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Scenari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<sst xmlns="http://schemas.openxmlformats.org/spreadsheetml/2006/main" count="177" uniqueCount="158">
  <si>
    <t xml:space="preserve">QoE Evidence Review: commercial model inputs</t>
  </si>
  <si>
    <t xml:space="preserve">ILLUSTRATIVE MODEL. No time saving has been measured. Scenario results appear only after measured preparer and reviewer time reductions are entered.</t>
  </si>
  <si>
    <t xml:space="preserve">Freed salaried hours are capacity, not money. They become economic value only when they are redeployed, when a cost is actually avoided, or when delivery economics change.</t>
  </si>
  <si>
    <t xml:space="preserve">Legend</t>
  </si>
  <si>
    <t xml:space="preserve">Blue text: an input you can change.</t>
  </si>
  <si>
    <t xml:space="preserve">Yellow fill: replace with your firm's own data (or a measured value) before relying on any output.</t>
  </si>
  <si>
    <t xml:space="preserve">Black text: a formula. Do not overwrite.</t>
  </si>
  <si>
    <t xml:space="preserve">Grey column: ILLUSTRATIVE example values only. Not measured, not a forecast, not a benchmark.</t>
  </si>
  <si>
    <t xml:space="preserve">Percentages are stored as fractions (0.35 = 35%). Basis ASSUMPTION = your estimate; MEASURED = from a timed comparison only.</t>
  </si>
  <si>
    <t xml:space="preserve">Ref</t>
  </si>
  <si>
    <t xml:space="preserve">Input</t>
  </si>
  <si>
    <t xml:space="preserve">Your value</t>
  </si>
  <si>
    <t xml:space="preserve">Unit</t>
  </si>
  <si>
    <t xml:space="preserve">Basis (your value)</t>
  </si>
  <si>
    <t xml:space="preserve">Illustrative example</t>
  </si>
  <si>
    <t xml:space="preserve">Note</t>
  </si>
  <si>
    <t xml:space="preserve">I-01</t>
  </si>
  <si>
    <t xml:space="preserve">Management adjustments tested per engagement</t>
  </si>
  <si>
    <t xml:space="preserve">adjustments</t>
  </si>
  <si>
    <t xml:space="preserve">ASSUMPTION</t>
  </si>
  <si>
    <t xml:space="preserve">Seller-proposed EBITDA adjustments in a typical QoE. Use the median of your recent engagements.</t>
  </si>
  <si>
    <t xml:space="preserve">I-02</t>
  </si>
  <si>
    <t xml:space="preserve">Baseline preparer hours per adjustment</t>
  </si>
  <si>
    <t xml:space="preserve">hours</t>
  </si>
  <si>
    <t xml:space="preserve">Associate / senior hours per adjustment today: GL pull, tie-out, document review, support schedule. Take it from time codes, not recollection.</t>
  </si>
  <si>
    <t xml:space="preserve">I-03</t>
  </si>
  <si>
    <t xml:space="preserve">Baseline reviewer hours per adjustment</t>
  </si>
  <si>
    <t xml:space="preserve">Manager / senior manager review hours per adjustment today.</t>
  </si>
  <si>
    <t xml:space="preserve">I-04</t>
  </si>
  <si>
    <t xml:space="preserve">Other engagement hours (unaffected by the tool)</t>
  </si>
  <si>
    <t xml:space="preserve">Hours on the rest of the QoE: net working capital, net debt, databook, report, meetings. Needed to express freed hours as whole engagements.</t>
  </si>
  <si>
    <t xml:space="preserve">I-05</t>
  </si>
  <si>
    <t xml:space="preserve">Measured preparer time reduction</t>
  </si>
  <si>
    <t xml:space="preserve">% of baseline hours</t>
  </si>
  <si>
    <t xml:space="preserve">From a timed comparison of the same adjustments with and without the tool. Leave blank until measured: the model shows no result without it. Illustrative value is NOT a measured result.</t>
  </si>
  <si>
    <t xml:space="preserve">I-06</t>
  </si>
  <si>
    <t xml:space="preserve">Measured reviewer time reduction</t>
  </si>
  <si>
    <t xml:space="preserve">Reviewer hours with vs without the tool, from the same timed comparison. Leave blank until measured. Illustrative value is NOT a measured result.</t>
  </si>
  <si>
    <t xml:space="preserve">I-07</t>
  </si>
  <si>
    <t xml:space="preserve">QoE engagements per year per team</t>
  </si>
  <si>
    <t xml:space="preserve">engagements</t>
  </si>
  <si>
    <t xml:space="preserve">Engagements the team delivers in a year.</t>
  </si>
  <si>
    <t xml:space="preserve">I-08</t>
  </si>
  <si>
    <t xml:space="preserve">Blended preparer cost per hour</t>
  </si>
  <si>
    <t xml:space="preserve">USD / hour</t>
  </si>
  <si>
    <t xml:space="preserve">Fully loaded cost (salary, benefits, overhead) per available hour. Cost, not bill rate.</t>
  </si>
  <si>
    <t xml:space="preserve">I-09</t>
  </si>
  <si>
    <t xml:space="preserve">Blended reviewer cost per hour</t>
  </si>
  <si>
    <t xml:space="preserve">Fully loaded cost per available hour for managers / senior managers.</t>
  </si>
  <si>
    <t xml:space="preserve">I-10</t>
  </si>
  <si>
    <t xml:space="preserve">Share of engagements on a fixed fee</t>
  </si>
  <si>
    <t xml:space="preserve">% of engagements</t>
  </si>
  <si>
    <t xml:space="preserve">The rest are billed hourly.</t>
  </si>
  <si>
    <t xml:space="preserve">I-11</t>
  </si>
  <si>
    <t xml:space="preserve">Fixed fee per QoE</t>
  </si>
  <si>
    <t xml:space="preserve">USD</t>
  </si>
  <si>
    <t xml:space="preserve">Average fixed fee, excluding expenses.</t>
  </si>
  <si>
    <t xml:space="preserve">I-12</t>
  </si>
  <si>
    <t xml:space="preserve">Blended net realized bill rate</t>
  </si>
  <si>
    <t xml:space="preserve">Standard rate x realization. Prices hourly engagements and values redeployed hours.</t>
  </si>
  <si>
    <t xml:space="preserve">I-13</t>
  </si>
  <si>
    <t xml:space="preserve">Share of freed hours redeployed</t>
  </si>
  <si>
    <t xml:space="preserve">% of freed hours</t>
  </si>
  <si>
    <t xml:space="preserve">Share actually converted to billable or other engagement work. Depends on demand, not on the tool.</t>
  </si>
  <si>
    <t xml:space="preserve">I-14</t>
  </si>
  <si>
    <t xml:space="preserve">Chargeable hours per FTE per year</t>
  </si>
  <si>
    <t xml:space="preserve">hours / year</t>
  </si>
  <si>
    <t xml:space="preserve">Converts freed hours into full-time equivalents.</t>
  </si>
  <si>
    <t xml:space="preserve">I-15</t>
  </si>
  <si>
    <t xml:space="preserve">Incremental hires planned that freed capacity could replace</t>
  </si>
  <si>
    <t xml:space="preserve">hires</t>
  </si>
  <si>
    <t xml:space="preserve">0 if the team is not planning to hire. Capped at whole FTEs actually freed.</t>
  </si>
  <si>
    <t xml:space="preserve">I-16</t>
  </si>
  <si>
    <t xml:space="preserve">Fully loaded annual cost per hire</t>
  </si>
  <si>
    <t xml:space="preserve">USD / year</t>
  </si>
  <si>
    <t xml:space="preserve">Salary, benefits, overhead, and recruiting cost for the role that would have been hired.</t>
  </si>
  <si>
    <t xml:space="preserve">Input checks</t>
  </si>
  <si>
    <t xml:space="preserve">Time reductions measured?</t>
  </si>
  <si>
    <t xml:space="preserve">All inputs entered?</t>
  </si>
  <si>
    <t xml:space="preserve">QoE Evidence Review: scenarios (capacity vs economic value)</t>
  </si>
  <si>
    <t xml:space="preserve">Freed salaried hours are capacity, not money. They become economic value only when they are redeployed, when a cost is actually avoided, or when delivery economics change. The four views below are alternatives: do not add them together.</t>
  </si>
  <si>
    <t xml:space="preserve">Every value on this sheet is a formula on the Assumptions sheet. 'n/a' means an input it needs is blank.</t>
  </si>
  <si>
    <t xml:space="preserve">Line</t>
  </si>
  <si>
    <t xml:space="preserve">Your inputs</t>
  </si>
  <si>
    <t xml:space="preserve">Illustrative example (not measured)</t>
  </si>
  <si>
    <t xml:space="preserve">How computed</t>
  </si>
  <si>
    <t xml:space="preserve">Status</t>
  </si>
  <si>
    <t xml:space="preserve">(a) Capacity only: hours, not dollars</t>
  </si>
  <si>
    <t xml:space="preserve">a.1</t>
  </si>
  <si>
    <t xml:space="preserve">Baseline adjustment-review hours per engagement</t>
  </si>
  <si>
    <t xml:space="preserve">I-01 x (I-02 + I-03)</t>
  </si>
  <si>
    <t xml:space="preserve">a.2</t>
  </si>
  <si>
    <t xml:space="preserve">Preparer hours freed per engagement</t>
  </si>
  <si>
    <t xml:space="preserve">I-01 x I-02 x I-05</t>
  </si>
  <si>
    <t xml:space="preserve">a.3</t>
  </si>
  <si>
    <t xml:space="preserve">Reviewer hours freed per engagement</t>
  </si>
  <si>
    <t xml:space="preserve">I-01 x I-03 x I-06</t>
  </si>
  <si>
    <t xml:space="preserve">a.4</t>
  </si>
  <si>
    <t xml:space="preserve">Total hours freed per engagement</t>
  </si>
  <si>
    <t xml:space="preserve">a.2 + a.3</t>
  </si>
  <si>
    <t xml:space="preserve">a.5</t>
  </si>
  <si>
    <t xml:space="preserve">Hours freed per team per year</t>
  </si>
  <si>
    <t xml:space="preserve">a.4 x I-07</t>
  </si>
  <si>
    <t xml:space="preserve">a.6</t>
  </si>
  <si>
    <t xml:space="preserve">Total hours per engagement with the tool</t>
  </si>
  <si>
    <t xml:space="preserve">a.1 + I-04 - a.4</t>
  </si>
  <si>
    <t xml:space="preserve">a.7</t>
  </si>
  <si>
    <t xml:space="preserve">Equivalent additional engagements per year (if demand exists)</t>
  </si>
  <si>
    <t xml:space="preserve">a.5 / a.6</t>
  </si>
  <si>
    <t xml:space="preserve">Salaried staff cost the same whether or not these hours are used. Equivalent engagements are capacity for more work only if there is demand to fill it.</t>
  </si>
  <si>
    <t xml:space="preserve">(b) Fixed-fee margin: delivery economics</t>
  </si>
  <si>
    <t xml:space="preserve">b.1</t>
  </si>
  <si>
    <t xml:space="preserve">Fixed-fee engagements per year</t>
  </si>
  <si>
    <t xml:space="preserve">I-07 x I-10</t>
  </si>
  <si>
    <t xml:space="preserve">b.2</t>
  </si>
  <si>
    <t xml:space="preserve">Delivery cost avoided per engagement at standard cost (USD)</t>
  </si>
  <si>
    <t xml:space="preserve">a.2 x I-08 + a.3 x I-09</t>
  </si>
  <si>
    <t xml:space="preserve">b.3</t>
  </si>
  <si>
    <t xml:space="preserve">Margin lift per fixed-fee engagement (% of fee)</t>
  </si>
  <si>
    <t xml:space="preserve">b.2 / I-11</t>
  </si>
  <si>
    <t xml:space="preserve">b.4</t>
  </si>
  <si>
    <t xml:space="preserve">Engagement-margin improvement on fixed-fee work (USD per year)</t>
  </si>
  <si>
    <t xml:space="preserve">b.2 x b.1</t>
  </si>
  <si>
    <t xml:space="preserve">b.5</t>
  </si>
  <si>
    <t xml:space="preserve">Hourly-billed engagements per year</t>
  </si>
  <si>
    <t xml:space="preserve">I-07 x (1 - I-10)</t>
  </si>
  <si>
    <t xml:space="preserve">b.6</t>
  </si>
  <si>
    <t xml:space="preserve">Fees forgone on hourly engagements (USD per year)</t>
  </si>
  <si>
    <t xml:space="preserve">-(a.4 x I-12 x b.5)</t>
  </si>
  <si>
    <t xml:space="preserve">b.7</t>
  </si>
  <si>
    <t xml:space="preserve">Delivery cost avoided on hourly engagements at standard cost (USD per year)</t>
  </si>
  <si>
    <t xml:space="preserve">b.2 x b.5</t>
  </si>
  <si>
    <t xml:space="preserve">b.8</t>
  </si>
  <si>
    <t xml:space="preserve">Net engagement-margin effect on hourly work (USD per year)</t>
  </si>
  <si>
    <t xml:space="preserve">b.6 + b.7</t>
  </si>
  <si>
    <t xml:space="preserve">Engagement margin at standard cost (hours x cost rate). On a fixed fee the fee is unchanged, so fewer hours lift margin. On hourly work the client keeps the saving: billed fees fall with hours. The firm's cash profit changes only if the freed hours are redeployed (c) or a hire is avoided (d).</t>
  </si>
  <si>
    <t xml:space="preserve">(c) Redeployment: value only for hours actually redeployed</t>
  </si>
  <si>
    <t xml:space="preserve">c.1</t>
  </si>
  <si>
    <t xml:space="preserve">Freed hours redeployed per year</t>
  </si>
  <si>
    <t xml:space="preserve">a.5 x I-13</t>
  </si>
  <si>
    <t xml:space="preserve">c.2</t>
  </si>
  <si>
    <t xml:space="preserve">Freed hours not redeployed (no economic value)</t>
  </si>
  <si>
    <t xml:space="preserve">a.5 - c.1</t>
  </si>
  <si>
    <t xml:space="preserve">c.3</t>
  </si>
  <si>
    <t xml:space="preserve">Value of redeployed hours (USD per year)</t>
  </si>
  <si>
    <t xml:space="preserve">c.1 x I-12</t>
  </si>
  <si>
    <t xml:space="preserve">Hours that are not redeployed are idle capacity with no economic value.</t>
  </si>
  <si>
    <t xml:space="preserve">(d) Avoided incremental hire</t>
  </si>
  <si>
    <t xml:space="preserve">d.1</t>
  </si>
  <si>
    <t xml:space="preserve">Full-time equivalents freed</t>
  </si>
  <si>
    <t xml:space="preserve">a.5 / I-14</t>
  </si>
  <si>
    <t xml:space="preserve">d.2</t>
  </si>
  <si>
    <t xml:space="preserve">Hires avoided (capped at whole FTEs freed)</t>
  </si>
  <si>
    <t xml:space="preserve">MIN(I-15, whole FTEs in d.1)</t>
  </si>
  <si>
    <t xml:space="preserve">d.3</t>
  </si>
  <si>
    <t xml:space="preserve">Hiring cost avoided (USD per year)</t>
  </si>
  <si>
    <t xml:space="preserve">d.2 x I-16</t>
  </si>
  <si>
    <t xml:space="preserve">Applies only if the team would otherwise hire. A fraction of an FTE does not avoid a hire.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</si>
</sst>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#,##0;\(#,##0\);\-"/>
    <numFmt numFmtId="167" formatCode="#,##0.0;\(#,##0.0\);\-"/>
    <numFmt numFmtId="168" formatCode="0.0%"/>
    <numFmt numFmtId="169" formatCode="#,##0.00;\(#,##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EDED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B6" s="5" t="n">
        <v>123</v>
      </c>
      <c r="C6" s="6" t="s">
        <v>4</v>
      </c>
    </row>
    <row r="7" customFormat="false" ht="15" hidden="false" customHeight="false" outlineLevel="0" collapsed="false">
      <c r="B7" s="7"/>
      <c r="C7" s="6" t="s">
        <v>5</v>
      </c>
    </row>
    <row r="8" customFormat="false" ht="15" hidden="false" customHeight="false" outlineLevel="0" collapsed="false">
      <c r="B8" s="8" t="n">
        <f aca="false">1+1</f>
        <v>2</v>
      </c>
      <c r="C8" s="6" t="s">
        <v>6</v>
      </c>
    </row>
    <row r="9" customFormat="false" ht="15" hidden="false" customHeight="false" outlineLevel="0" collapsed="false">
      <c r="B9" s="9" t="n">
        <v>123</v>
      </c>
      <c r="C9" s="6" t="s">
        <v>7</v>
      </c>
    </row>
    <row r="10" customFormat="false" ht="15" hidden="false" customHeight="false" outlineLevel="0" collapsed="false">
      <c r="A10" s="3" t="s">
        <v>8</v>
      </c>
    </row>
    <row r="12" customFormat="false" ht="15" hidden="false" customHeight="false" outlineLevel="0" collapsed="false">
      <c r="A12" s="10" t="s">
        <v>9</v>
      </c>
      <c r="B12" s="10" t="s">
        <v>10</v>
      </c>
      <c r="C12" s="10" t="s">
        <v>11</v>
      </c>
      <c r="D12" s="10" t="s">
        <v>12</v>
      </c>
      <c r="E12" s="10" t="s">
        <v>13</v>
      </c>
      <c r="F12" s="10" t="s">
        <v>14</v>
      </c>
      <c r="G12" s="10" t="s">
        <v>15</v>
      </c>
    </row>
    <row r="13" customFormat="false" ht="15" hidden="false" customHeight="false" outlineLevel="0" collapsed="false">
      <c r="A13" s="6" t="s">
        <v>16</v>
      </c>
      <c r="B13" s="6" t="s">
        <v>17</v>
      </c>
      <c r="C13" s="11"/>
      <c r="D13" s="6" t="s">
        <v>18</v>
      </c>
      <c r="E13" s="6" t="s">
        <v>19</v>
      </c>
      <c r="F13" s="12" t="n">
        <v>12</v>
      </c>
      <c r="G13" s="13" t="s">
        <v>20</v>
      </c>
    </row>
    <row r="14" customFormat="false" ht="15" hidden="false" customHeight="false" outlineLevel="0" collapsed="false">
      <c r="A14" s="6" t="s">
        <v>21</v>
      </c>
      <c r="B14" s="6" t="s">
        <v>22</v>
      </c>
      <c r="C14" s="14"/>
      <c r="D14" s="6" t="s">
        <v>23</v>
      </c>
      <c r="E14" s="6" t="s">
        <v>19</v>
      </c>
      <c r="F14" s="15" t="n">
        <v>6</v>
      </c>
      <c r="G14" s="13" t="s">
        <v>24</v>
      </c>
    </row>
    <row r="15" customFormat="false" ht="15" hidden="false" customHeight="false" outlineLevel="0" collapsed="false">
      <c r="A15" s="6" t="s">
        <v>25</v>
      </c>
      <c r="B15" s="6" t="s">
        <v>26</v>
      </c>
      <c r="C15" s="14"/>
      <c r="D15" s="6" t="s">
        <v>23</v>
      </c>
      <c r="E15" s="6" t="s">
        <v>19</v>
      </c>
      <c r="F15" s="15" t="n">
        <v>1.5</v>
      </c>
      <c r="G15" s="13" t="s">
        <v>27</v>
      </c>
    </row>
    <row r="16" customFormat="false" ht="23.85" hidden="false" customHeight="false" outlineLevel="0" collapsed="false">
      <c r="A16" s="6" t="s">
        <v>28</v>
      </c>
      <c r="B16" s="6" t="s">
        <v>29</v>
      </c>
      <c r="C16" s="11"/>
      <c r="D16" s="6" t="s">
        <v>23</v>
      </c>
      <c r="E16" s="6" t="s">
        <v>19</v>
      </c>
      <c r="F16" s="12" t="n">
        <v>500</v>
      </c>
      <c r="G16" s="13" t="s">
        <v>30</v>
      </c>
    </row>
    <row r="17" customFormat="false" ht="23.85" hidden="false" customHeight="false" outlineLevel="0" collapsed="false">
      <c r="A17" s="6" t="s">
        <v>31</v>
      </c>
      <c r="B17" s="6" t="s">
        <v>32</v>
      </c>
      <c r="C17" s="16"/>
      <c r="D17" s="6" t="s">
        <v>33</v>
      </c>
      <c r="E17" s="4" t="str">
        <f aca="false">IF(ISNUMBER(C17),"MEASURED","MEASUREMENT PENDING")</f>
        <v>MEASUREMENT PENDING</v>
      </c>
      <c r="F17" s="17" t="n">
        <v>0.4</v>
      </c>
      <c r="G17" s="13" t="s">
        <v>34</v>
      </c>
    </row>
    <row r="18" customFormat="false" ht="23.85" hidden="false" customHeight="false" outlineLevel="0" collapsed="false">
      <c r="A18" s="6" t="s">
        <v>35</v>
      </c>
      <c r="B18" s="6" t="s">
        <v>36</v>
      </c>
      <c r="C18" s="16"/>
      <c r="D18" s="6" t="s">
        <v>33</v>
      </c>
      <c r="E18" s="4" t="str">
        <f aca="false">IF(ISNUMBER(C18),"MEASURED","MEASUREMENT PENDING")</f>
        <v>MEASUREMENT PENDING</v>
      </c>
      <c r="F18" s="17" t="n">
        <v>0.15</v>
      </c>
      <c r="G18" s="13" t="s">
        <v>37</v>
      </c>
    </row>
    <row r="19" customFormat="false" ht="15" hidden="false" customHeight="false" outlineLevel="0" collapsed="false">
      <c r="A19" s="6" t="s">
        <v>38</v>
      </c>
      <c r="B19" s="6" t="s">
        <v>39</v>
      </c>
      <c r="C19" s="11"/>
      <c r="D19" s="6" t="s">
        <v>40</v>
      </c>
      <c r="E19" s="6" t="s">
        <v>19</v>
      </c>
      <c r="F19" s="12" t="n">
        <v>20</v>
      </c>
      <c r="G19" s="13" t="s">
        <v>41</v>
      </c>
    </row>
    <row r="20" customFormat="false" ht="15" hidden="false" customHeight="false" outlineLevel="0" collapsed="false">
      <c r="A20" s="6" t="s">
        <v>42</v>
      </c>
      <c r="B20" s="6" t="s">
        <v>43</v>
      </c>
      <c r="C20" s="11"/>
      <c r="D20" s="6" t="s">
        <v>44</v>
      </c>
      <c r="E20" s="6" t="s">
        <v>19</v>
      </c>
      <c r="F20" s="12" t="n">
        <v>90</v>
      </c>
      <c r="G20" s="13" t="s">
        <v>45</v>
      </c>
    </row>
    <row r="21" customFormat="false" ht="15" hidden="false" customHeight="false" outlineLevel="0" collapsed="false">
      <c r="A21" s="6" t="s">
        <v>46</v>
      </c>
      <c r="B21" s="6" t="s">
        <v>47</v>
      </c>
      <c r="C21" s="11"/>
      <c r="D21" s="6" t="s">
        <v>44</v>
      </c>
      <c r="E21" s="6" t="s">
        <v>19</v>
      </c>
      <c r="F21" s="12" t="n">
        <v>175</v>
      </c>
      <c r="G21" s="13" t="s">
        <v>48</v>
      </c>
    </row>
    <row r="22" customFormat="false" ht="15" hidden="false" customHeight="false" outlineLevel="0" collapsed="false">
      <c r="A22" s="6" t="s">
        <v>49</v>
      </c>
      <c r="B22" s="6" t="s">
        <v>50</v>
      </c>
      <c r="C22" s="16"/>
      <c r="D22" s="6" t="s">
        <v>51</v>
      </c>
      <c r="E22" s="6" t="s">
        <v>19</v>
      </c>
      <c r="F22" s="17" t="n">
        <v>0.6</v>
      </c>
      <c r="G22" s="13" t="s">
        <v>52</v>
      </c>
    </row>
    <row r="23" customFormat="false" ht="15" hidden="false" customHeight="false" outlineLevel="0" collapsed="false">
      <c r="A23" s="6" t="s">
        <v>53</v>
      </c>
      <c r="B23" s="6" t="s">
        <v>54</v>
      </c>
      <c r="C23" s="11"/>
      <c r="D23" s="6" t="s">
        <v>55</v>
      </c>
      <c r="E23" s="6" t="s">
        <v>19</v>
      </c>
      <c r="F23" s="12" t="n">
        <v>150000</v>
      </c>
      <c r="G23" s="13" t="s">
        <v>56</v>
      </c>
    </row>
    <row r="24" customFormat="false" ht="15" hidden="false" customHeight="false" outlineLevel="0" collapsed="false">
      <c r="A24" s="6" t="s">
        <v>57</v>
      </c>
      <c r="B24" s="6" t="s">
        <v>58</v>
      </c>
      <c r="C24" s="11"/>
      <c r="D24" s="6" t="s">
        <v>44</v>
      </c>
      <c r="E24" s="6" t="s">
        <v>19</v>
      </c>
      <c r="F24" s="12" t="n">
        <v>300</v>
      </c>
      <c r="G24" s="13" t="s">
        <v>59</v>
      </c>
    </row>
    <row r="25" customFormat="false" ht="15" hidden="false" customHeight="false" outlineLevel="0" collapsed="false">
      <c r="A25" s="6" t="s">
        <v>60</v>
      </c>
      <c r="B25" s="6" t="s">
        <v>61</v>
      </c>
      <c r="C25" s="16"/>
      <c r="D25" s="6" t="s">
        <v>62</v>
      </c>
      <c r="E25" s="6" t="s">
        <v>19</v>
      </c>
      <c r="F25" s="17" t="n">
        <v>0.5</v>
      </c>
      <c r="G25" s="13" t="s">
        <v>63</v>
      </c>
    </row>
    <row r="26" customFormat="false" ht="15" hidden="false" customHeight="false" outlineLevel="0" collapsed="false">
      <c r="A26" s="6" t="s">
        <v>64</v>
      </c>
      <c r="B26" s="6" t="s">
        <v>65</v>
      </c>
      <c r="C26" s="11"/>
      <c r="D26" s="6" t="s">
        <v>66</v>
      </c>
      <c r="E26" s="6" t="s">
        <v>19</v>
      </c>
      <c r="F26" s="12" t="n">
        <v>1500</v>
      </c>
      <c r="G26" s="13" t="s">
        <v>67</v>
      </c>
    </row>
    <row r="27" customFormat="false" ht="15" hidden="false" customHeight="false" outlineLevel="0" collapsed="false">
      <c r="A27" s="6" t="s">
        <v>68</v>
      </c>
      <c r="B27" s="6" t="s">
        <v>69</v>
      </c>
      <c r="C27" s="11"/>
      <c r="D27" s="6" t="s">
        <v>70</v>
      </c>
      <c r="E27" s="6" t="s">
        <v>19</v>
      </c>
      <c r="F27" s="12" t="n">
        <v>1</v>
      </c>
      <c r="G27" s="13" t="s">
        <v>71</v>
      </c>
    </row>
    <row r="28" customFormat="false" ht="15" hidden="false" customHeight="false" outlineLevel="0" collapsed="false">
      <c r="A28" s="6" t="s">
        <v>72</v>
      </c>
      <c r="B28" s="6" t="s">
        <v>73</v>
      </c>
      <c r="C28" s="11"/>
      <c r="D28" s="6" t="s">
        <v>74</v>
      </c>
      <c r="E28" s="6" t="s">
        <v>19</v>
      </c>
      <c r="F28" s="12" t="n">
        <v>140000</v>
      </c>
      <c r="G28" s="13" t="s">
        <v>75</v>
      </c>
    </row>
    <row r="30" customFormat="false" ht="15" hidden="false" customHeight="false" outlineLevel="0" collapsed="false">
      <c r="A30" s="4" t="s">
        <v>76</v>
      </c>
    </row>
    <row r="31" customFormat="false" ht="15" hidden="false" customHeight="false" outlineLevel="0" collapsed="false">
      <c r="B31" s="6" t="s">
        <v>77</v>
      </c>
      <c r="C31" s="18" t="b">
        <f aca="false">COUNT(C17,C18)=2</f>
        <v>0</v>
      </c>
      <c r="F31" s="18" t="b">
        <f aca="false">COUNT(F17,F18)=2</f>
        <v>1</v>
      </c>
    </row>
    <row r="32" customFormat="false" ht="15" hidden="false" customHeight="false" outlineLevel="0" collapsed="false">
      <c r="B32" s="6" t="s">
        <v>78</v>
      </c>
      <c r="C32" s="18" t="b">
        <f aca="false">COUNT(C13:C28)=16</f>
        <v>0</v>
      </c>
      <c r="F32" s="18" t="b">
        <f aca="false">COUNT(F13:F28)=16</f>
        <v>1</v>
      </c>
    </row>
  </sheetData>
  <dataValidations count="2">
    <dataValidation allowBlank="true" error="Enter a fraction between 0 and 1 (0.35 for 35%)." errorStyle="stop" errorTitle="Fraction expected" operator="between" showDropDown="false" showErrorMessage="false" showInputMessage="false" sqref="C17:C18 C22 C25" type="decimal">
      <formula1>0</formula1>
      <formula2>1</formula2>
    </dataValidation>
    <dataValidation allowBlank="true" error="Enter a number of zero or more." errorStyle="stop" errorTitle="Non-negative number expected" operator="greaterThanOrEqual" showDropDown="false" showErrorMessage="false" showInputMessage="false" sqref="C13:C16 C19:C21 C23:C24 C26:C28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2" t="s">
        <v>80</v>
      </c>
    </row>
    <row r="3" customFormat="false" ht="15" hidden="false" customHeight="false" outlineLevel="0" collapsed="false">
      <c r="A3" s="3" t="s">
        <v>81</v>
      </c>
    </row>
    <row r="5" customFormat="false" ht="23.85" hidden="false" customHeight="false" outlineLevel="0" collapsed="false">
      <c r="A5" s="10" t="s">
        <v>9</v>
      </c>
      <c r="B5" s="10" t="s">
        <v>82</v>
      </c>
      <c r="C5" s="10" t="s">
        <v>83</v>
      </c>
      <c r="D5" s="10" t="s">
        <v>84</v>
      </c>
      <c r="E5" s="10" t="s">
        <v>85</v>
      </c>
    </row>
    <row r="6" customFormat="false" ht="35.05" hidden="false" customHeight="false" outlineLevel="0" collapsed="false">
      <c r="B6" s="4" t="s">
        <v>86</v>
      </c>
      <c r="C6" s="19" t="str">
        <f aca="false">IF(NOT(Assumptions!C31),"Awaiting measured time reduction: no result",IF(Assumptions!C32,"All inputs entered","Some inputs blank: see n/a"))</f>
        <v>Awaiting measured time reduction: no result</v>
      </c>
      <c r="D6" s="19" t="str">
        <f aca="false">"ILLUSTRATIVE, not measured: "&amp;IF(NOT(Assumptions!F31),"Awaiting measured time reduction: no result",IF(Assumptions!F32,"All inputs entered","Some inputs blank: see n/a"))</f>
        <v>ILLUSTRATIVE, not measured: All inputs entered</v>
      </c>
    </row>
    <row r="8" customFormat="false" ht="15" hidden="false" customHeight="false" outlineLevel="0" collapsed="false">
      <c r="A8" s="20" t="s">
        <v>87</v>
      </c>
      <c r="B8" s="21"/>
      <c r="C8" s="21"/>
      <c r="D8" s="21"/>
      <c r="E8" s="21"/>
    </row>
    <row r="9" customFormat="false" ht="15" hidden="false" customHeight="false" outlineLevel="0" collapsed="false">
      <c r="A9" s="6" t="s">
        <v>88</v>
      </c>
      <c r="B9" s="6" t="s">
        <v>89</v>
      </c>
      <c r="C9" s="22" t="str">
        <f aca="false">IF(COUNT(Assumptions!$C$13,Assumptions!$C$14,Assumptions!$C$15)=3,Assumptions!$C$13*(Assumptions!$C$14+Assumptions!$C$15),"n/a")</f>
        <v>n/a</v>
      </c>
      <c r="D9" s="22" t="n">
        <f aca="false">IF(COUNT(Assumptions!$F$13,Assumptions!$F$14,Assumptions!$F$15)=3,Assumptions!$F$13*(Assumptions!$F$14+Assumptions!$F$15),"n/a")</f>
        <v>90</v>
      </c>
      <c r="E9" s="23" t="s">
        <v>90</v>
      </c>
    </row>
    <row r="10" customFormat="false" ht="15" hidden="false" customHeight="false" outlineLevel="0" collapsed="false">
      <c r="A10" s="6" t="s">
        <v>91</v>
      </c>
      <c r="B10" s="6" t="s">
        <v>92</v>
      </c>
      <c r="C10" s="24" t="str">
        <f aca="false">IF(COUNT(Assumptions!$C$13,Assumptions!$C$14,Assumptions!$C$17)=3,Assumptions!$C$13*Assumptions!$C$14*Assumptions!$C$17,"n/a")</f>
        <v>n/a</v>
      </c>
      <c r="D10" s="24" t="n">
        <f aca="false">IF(COUNT(Assumptions!$F$13,Assumptions!$F$14,Assumptions!$F$17)=3,Assumptions!$F$13*Assumptions!$F$14*Assumptions!$F$17,"n/a")</f>
        <v>28.8</v>
      </c>
      <c r="E10" s="23" t="s">
        <v>93</v>
      </c>
    </row>
    <row r="11" customFormat="false" ht="15" hidden="false" customHeight="false" outlineLevel="0" collapsed="false">
      <c r="A11" s="6" t="s">
        <v>94</v>
      </c>
      <c r="B11" s="6" t="s">
        <v>95</v>
      </c>
      <c r="C11" s="24" t="str">
        <f aca="false">IF(COUNT(Assumptions!$C$13,Assumptions!$C$15,Assumptions!$C$18)=3,Assumptions!$C$13*Assumptions!$C$15*Assumptions!$C$18,"n/a")</f>
        <v>n/a</v>
      </c>
      <c r="D11" s="24" t="n">
        <f aca="false">IF(COUNT(Assumptions!$F$13,Assumptions!$F$15,Assumptions!$F$18)=3,Assumptions!$F$13*Assumptions!$F$15*Assumptions!$F$18,"n/a")</f>
        <v>2.7</v>
      </c>
      <c r="E11" s="23" t="s">
        <v>96</v>
      </c>
    </row>
    <row r="12" customFormat="false" ht="15" hidden="false" customHeight="false" outlineLevel="0" collapsed="false">
      <c r="A12" s="6" t="s">
        <v>97</v>
      </c>
      <c r="B12" s="6" t="s">
        <v>98</v>
      </c>
      <c r="C12" s="24" t="str">
        <f aca="false">IF(COUNT(C10,C11)=2,C10+C11,"n/a")</f>
        <v>n/a</v>
      </c>
      <c r="D12" s="24" t="n">
        <f aca="false">IF(COUNT(D10,D11)=2,D10+D11,"n/a")</f>
        <v>31.5</v>
      </c>
      <c r="E12" s="23" t="s">
        <v>99</v>
      </c>
    </row>
    <row r="13" customFormat="false" ht="15" hidden="false" customHeight="false" outlineLevel="0" collapsed="false">
      <c r="A13" s="6" t="s">
        <v>100</v>
      </c>
      <c r="B13" s="6" t="s">
        <v>101</v>
      </c>
      <c r="C13" s="22" t="str">
        <f aca="false">IF(COUNT(C12,Assumptions!$C$19)=2,C12*Assumptions!$C$19,"n/a")</f>
        <v>n/a</v>
      </c>
      <c r="D13" s="22" t="n">
        <f aca="false">IF(COUNT(D12,Assumptions!$F$19)=2,D12*Assumptions!$F$19,"n/a")</f>
        <v>630</v>
      </c>
      <c r="E13" s="23" t="s">
        <v>102</v>
      </c>
    </row>
    <row r="14" customFormat="false" ht="15" hidden="false" customHeight="false" outlineLevel="0" collapsed="false">
      <c r="A14" s="6" t="s">
        <v>103</v>
      </c>
      <c r="B14" s="6" t="s">
        <v>104</v>
      </c>
      <c r="C14" s="22" t="str">
        <f aca="false">IF(COUNT(C9,Assumptions!$C$16,C12)=3,C9+Assumptions!$C$16-C12,"n/a")</f>
        <v>n/a</v>
      </c>
      <c r="D14" s="22" t="n">
        <f aca="false">IF(COUNT(D9,Assumptions!$F$16,D12)=3,D9+Assumptions!$F$16-D12,"n/a")</f>
        <v>558.5</v>
      </c>
      <c r="E14" s="23" t="s">
        <v>105</v>
      </c>
    </row>
    <row r="15" customFormat="false" ht="15" hidden="false" customHeight="false" outlineLevel="0" collapsed="false">
      <c r="A15" s="6" t="s">
        <v>106</v>
      </c>
      <c r="B15" s="6" t="s">
        <v>107</v>
      </c>
      <c r="C15" s="24" t="str">
        <f aca="false">IF(COUNT(C13,C14)=2,IF(C14=0,"n/a",C13/C14),"n/a")</f>
        <v>n/a</v>
      </c>
      <c r="D15" s="24" t="n">
        <f aca="false">IF(COUNT(D13,D14)=2,IF(D14=0,"n/a",D13/D14),"n/a")</f>
        <v>1.12802148612355</v>
      </c>
      <c r="E15" s="23" t="s">
        <v>108</v>
      </c>
    </row>
    <row r="16" customFormat="false" ht="42" hidden="false" customHeight="true" outlineLevel="0" collapsed="false">
      <c r="B16" s="25" t="s">
        <v>109</v>
      </c>
    </row>
    <row r="18" customFormat="false" ht="15" hidden="false" customHeight="false" outlineLevel="0" collapsed="false">
      <c r="A18" s="20" t="s">
        <v>110</v>
      </c>
      <c r="B18" s="21"/>
      <c r="C18" s="21"/>
      <c r="D18" s="21"/>
      <c r="E18" s="21"/>
    </row>
    <row r="19" customFormat="false" ht="15" hidden="false" customHeight="false" outlineLevel="0" collapsed="false">
      <c r="A19" s="6" t="s">
        <v>111</v>
      </c>
      <c r="B19" s="6" t="s">
        <v>112</v>
      </c>
      <c r="C19" s="24" t="str">
        <f aca="false">IF(COUNT(Assumptions!$C$19,Assumptions!$C$22)=2,Assumptions!$C$19*Assumptions!$C$22,"n/a")</f>
        <v>n/a</v>
      </c>
      <c r="D19" s="24" t="n">
        <f aca="false">IF(COUNT(Assumptions!$F$19,Assumptions!$F$22)=2,Assumptions!$F$19*Assumptions!$F$22,"n/a")</f>
        <v>12</v>
      </c>
      <c r="E19" s="23" t="s">
        <v>113</v>
      </c>
    </row>
    <row r="20" customFormat="false" ht="15" hidden="false" customHeight="false" outlineLevel="0" collapsed="false">
      <c r="A20" s="6" t="s">
        <v>114</v>
      </c>
      <c r="B20" s="6" t="s">
        <v>115</v>
      </c>
      <c r="C20" s="22" t="str">
        <f aca="false">IF(COUNT(C10,Assumptions!$C$20,C11,Assumptions!$C$21)=4,C10*Assumptions!$C$20+C11*Assumptions!$C$21,"n/a")</f>
        <v>n/a</v>
      </c>
      <c r="D20" s="22" t="n">
        <f aca="false">IF(COUNT(D10,Assumptions!$F$20,D11,Assumptions!$F$21)=4,D10*Assumptions!$F$20+D11*Assumptions!$F$21,"n/a")</f>
        <v>3064.5</v>
      </c>
      <c r="E20" s="23" t="s">
        <v>116</v>
      </c>
    </row>
    <row r="21" customFormat="false" ht="15" hidden="false" customHeight="false" outlineLevel="0" collapsed="false">
      <c r="A21" s="6" t="s">
        <v>117</v>
      </c>
      <c r="B21" s="6" t="s">
        <v>118</v>
      </c>
      <c r="C21" s="26" t="str">
        <f aca="false">IF(COUNT(C20,Assumptions!$C$23)=2,IF(Assumptions!$C$23=0,"n/a",C20/Assumptions!$C$23),"n/a")</f>
        <v>n/a</v>
      </c>
      <c r="D21" s="26" t="n">
        <f aca="false">IF(COUNT(D20,Assumptions!$F$23)=2,IF(Assumptions!$F$23=0,"n/a",D20/Assumptions!$F$23),"n/a")</f>
        <v>0.02043</v>
      </c>
      <c r="E21" s="23" t="s">
        <v>119</v>
      </c>
    </row>
    <row r="22" customFormat="false" ht="15" hidden="false" customHeight="false" outlineLevel="0" collapsed="false">
      <c r="A22" s="6" t="s">
        <v>120</v>
      </c>
      <c r="B22" s="6" t="s">
        <v>121</v>
      </c>
      <c r="C22" s="22" t="str">
        <f aca="false">IF(COUNT(C20,C19)=2,C20*C19,"n/a")</f>
        <v>n/a</v>
      </c>
      <c r="D22" s="22" t="n">
        <f aca="false">IF(COUNT(D20,D19)=2,D20*D19,"n/a")</f>
        <v>36774</v>
      </c>
      <c r="E22" s="23" t="s">
        <v>122</v>
      </c>
    </row>
    <row r="23" customFormat="false" ht="15" hidden="false" customHeight="false" outlineLevel="0" collapsed="false">
      <c r="A23" s="6" t="s">
        <v>123</v>
      </c>
      <c r="B23" s="6" t="s">
        <v>124</v>
      </c>
      <c r="C23" s="24" t="str">
        <f aca="false">IF(COUNT(Assumptions!$C$19,Assumptions!$C$22)=2,Assumptions!$C$19*(1-Assumptions!$C$22),"n/a")</f>
        <v>n/a</v>
      </c>
      <c r="D23" s="24" t="n">
        <f aca="false">IF(COUNT(Assumptions!$F$19,Assumptions!$F$22)=2,Assumptions!$F$19*(1-Assumptions!$F$22),"n/a")</f>
        <v>8</v>
      </c>
      <c r="E23" s="23" t="s">
        <v>125</v>
      </c>
    </row>
    <row r="24" customFormat="false" ht="15" hidden="false" customHeight="false" outlineLevel="0" collapsed="false">
      <c r="A24" s="6" t="s">
        <v>126</v>
      </c>
      <c r="B24" s="6" t="s">
        <v>127</v>
      </c>
      <c r="C24" s="22" t="str">
        <f aca="false">IF(COUNT(C12,Assumptions!$C$24,C23)=3,-C12*Assumptions!$C$24*C23,"n/a")</f>
        <v>n/a</v>
      </c>
      <c r="D24" s="22" t="n">
        <f aca="false">IF(COUNT(D12,Assumptions!$F$24,D23)=3,-D12*Assumptions!$F$24*D23,"n/a")</f>
        <v>-75600</v>
      </c>
      <c r="E24" s="23" t="s">
        <v>128</v>
      </c>
    </row>
    <row r="25" customFormat="false" ht="15" hidden="false" customHeight="false" outlineLevel="0" collapsed="false">
      <c r="A25" s="6" t="s">
        <v>129</v>
      </c>
      <c r="B25" s="6" t="s">
        <v>130</v>
      </c>
      <c r="C25" s="22" t="str">
        <f aca="false">IF(COUNT(C20,C23)=2,C20*C23,"n/a")</f>
        <v>n/a</v>
      </c>
      <c r="D25" s="22" t="n">
        <f aca="false">IF(COUNT(D20,D23)=2,D20*D23,"n/a")</f>
        <v>24516</v>
      </c>
      <c r="E25" s="23" t="s">
        <v>131</v>
      </c>
    </row>
    <row r="26" customFormat="false" ht="15" hidden="false" customHeight="false" outlineLevel="0" collapsed="false">
      <c r="A26" s="6" t="s">
        <v>132</v>
      </c>
      <c r="B26" s="6" t="s">
        <v>133</v>
      </c>
      <c r="C26" s="22" t="str">
        <f aca="false">IF(COUNT(C24,C25)=2,C24+C25,"n/a")</f>
        <v>n/a</v>
      </c>
      <c r="D26" s="22" t="n">
        <f aca="false">IF(COUNT(D24,D25)=2,D24+D25,"n/a")</f>
        <v>-51084</v>
      </c>
      <c r="E26" s="23" t="s">
        <v>134</v>
      </c>
    </row>
    <row r="27" customFormat="false" ht="42" hidden="false" customHeight="true" outlineLevel="0" collapsed="false">
      <c r="B27" s="25" t="s">
        <v>135</v>
      </c>
    </row>
    <row r="29" customFormat="false" ht="15" hidden="false" customHeight="false" outlineLevel="0" collapsed="false">
      <c r="A29" s="20" t="s">
        <v>136</v>
      </c>
      <c r="B29" s="21"/>
      <c r="C29" s="21"/>
      <c r="D29" s="21"/>
      <c r="E29" s="21"/>
    </row>
    <row r="30" customFormat="false" ht="15" hidden="false" customHeight="false" outlineLevel="0" collapsed="false">
      <c r="A30" s="6" t="s">
        <v>137</v>
      </c>
      <c r="B30" s="6" t="s">
        <v>138</v>
      </c>
      <c r="C30" s="22" t="str">
        <f aca="false">IF(COUNT(C13,Assumptions!$C$25)=2,C13*Assumptions!$C$25,"n/a")</f>
        <v>n/a</v>
      </c>
      <c r="D30" s="22" t="n">
        <f aca="false">IF(COUNT(D13,Assumptions!$F$25)=2,D13*Assumptions!$F$25,"n/a")</f>
        <v>315</v>
      </c>
      <c r="E30" s="23" t="s">
        <v>139</v>
      </c>
    </row>
    <row r="31" customFormat="false" ht="15" hidden="false" customHeight="false" outlineLevel="0" collapsed="false">
      <c r="A31" s="6" t="s">
        <v>140</v>
      </c>
      <c r="B31" s="6" t="s">
        <v>141</v>
      </c>
      <c r="C31" s="22" t="str">
        <f aca="false">IF(COUNT(C13,C30)=2,C13-C30,"n/a")</f>
        <v>n/a</v>
      </c>
      <c r="D31" s="22" t="n">
        <f aca="false">IF(COUNT(D13,D30)=2,D13-D30,"n/a")</f>
        <v>315</v>
      </c>
      <c r="E31" s="23" t="s">
        <v>142</v>
      </c>
    </row>
    <row r="32" customFormat="false" ht="15" hidden="false" customHeight="false" outlineLevel="0" collapsed="false">
      <c r="A32" s="6" t="s">
        <v>143</v>
      </c>
      <c r="B32" s="6" t="s">
        <v>144</v>
      </c>
      <c r="C32" s="22" t="str">
        <f aca="false">IF(COUNT(C30,Assumptions!$C$24)=2,C30*Assumptions!$C$24,"n/a")</f>
        <v>n/a</v>
      </c>
      <c r="D32" s="22" t="n">
        <f aca="false">IF(COUNT(D30,Assumptions!$F$24)=2,D30*Assumptions!$F$24,"n/a")</f>
        <v>94500</v>
      </c>
      <c r="E32" s="23" t="s">
        <v>145</v>
      </c>
    </row>
    <row r="33" customFormat="false" ht="27.75" hidden="false" customHeight="true" outlineLevel="0" collapsed="false">
      <c r="B33" s="25" t="s">
        <v>146</v>
      </c>
    </row>
    <row r="35" customFormat="false" ht="15" hidden="false" customHeight="false" outlineLevel="0" collapsed="false">
      <c r="A35" s="20" t="s">
        <v>147</v>
      </c>
      <c r="B35" s="21"/>
      <c r="C35" s="21"/>
      <c r="D35" s="21"/>
      <c r="E35" s="21"/>
    </row>
    <row r="36" customFormat="false" ht="15" hidden="false" customHeight="false" outlineLevel="0" collapsed="false">
      <c r="A36" s="6" t="s">
        <v>148</v>
      </c>
      <c r="B36" s="6" t="s">
        <v>149</v>
      </c>
      <c r="C36" s="27" t="str">
        <f aca="false">IF(COUNT(C13,Assumptions!$C$26)=2,IF(Assumptions!$C$26=0,"n/a",C13/Assumptions!$C$26),"n/a")</f>
        <v>n/a</v>
      </c>
      <c r="D36" s="27" t="n">
        <f aca="false">IF(COUNT(D13,Assumptions!$F$26)=2,IF(Assumptions!$F$26=0,"n/a",D13/Assumptions!$F$26),"n/a")</f>
        <v>0.42</v>
      </c>
      <c r="E36" s="23" t="s">
        <v>150</v>
      </c>
    </row>
    <row r="37" customFormat="false" ht="15" hidden="false" customHeight="false" outlineLevel="0" collapsed="false">
      <c r="A37" s="6" t="s">
        <v>151</v>
      </c>
      <c r="B37" s="6" t="s">
        <v>152</v>
      </c>
      <c r="C37" s="22" t="str">
        <f aca="false">IF(COUNT(Assumptions!$C$27,C36)=2,MIN(Assumptions!$C$27,ROUNDDOWN(C36,0)),"n/a")</f>
        <v>n/a</v>
      </c>
      <c r="D37" s="22" t="n">
        <f aca="false">IF(COUNT(Assumptions!$F$27,D36)=2,MIN(Assumptions!$F$27,ROUNDDOWN(D36,0)),"n/a")</f>
        <v>0</v>
      </c>
      <c r="E37" s="23" t="s">
        <v>153</v>
      </c>
    </row>
    <row r="38" customFormat="false" ht="15" hidden="false" customHeight="false" outlineLevel="0" collapsed="false">
      <c r="A38" s="6" t="s">
        <v>154</v>
      </c>
      <c r="B38" s="6" t="s">
        <v>155</v>
      </c>
      <c r="C38" s="22" t="str">
        <f aca="false">IF(COUNT(C37,Assumptions!$C$28)=2,C37*Assumptions!$C$28,"n/a")</f>
        <v>n/a</v>
      </c>
      <c r="D38" s="22" t="n">
        <f aca="false">IF(COUNT(D37,Assumptions!$F$28)=2,D37*Assumptions!$F$28,"n/a")</f>
        <v>0</v>
      </c>
      <c r="E38" s="23" t="s">
        <v>156</v>
      </c>
    </row>
    <row r="39" customFormat="false" ht="27.75" hidden="false" customHeight="true" outlineLevel="0" collapsed="false">
      <c r="B39" s="25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2026-09-28T16:38:59Z</dcterms:created>
  <dc:creator>openpyxl</dc:creator>
  <dc:description/>
  <dc:language>en-US</dc:language>
  <cp:lastModifiedBy/>
  <dcterms:modified xsi:type="dcterms:W3CDTF">2026-09-28T16:38:59Z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