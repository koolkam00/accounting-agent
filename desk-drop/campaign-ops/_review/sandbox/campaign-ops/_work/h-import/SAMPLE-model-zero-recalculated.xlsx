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<sst xmlns="http://schemas.openxmlformats.org/spreadsheetml/2006/main" count="3002" uniqueCount="1743">
  <si>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</si>
  <si>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</si>
  <si>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</si>
  <si>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</si>
  <si>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</si>
  <si>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</si>
  <si>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</si>
  <si>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</si>
  <si>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</si>
  <si>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</si>
  <si>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</si>
  <si>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</si>
  <si>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</si>
  <si>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</si>
  <si>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</si>
  <si>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</si>
  <si>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</si>
  <si>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</si>
  <si>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</si>
  <si>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</si>
  <si>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</si>
  <si>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</si>
  <si>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</si>
  <si>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</si>
  <si>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</si>
  <si>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</si>
  <si>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</si>
  <si>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</si>
  <si>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</si>
  <si>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</si>
  <si>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</si>
  <si>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</si>
  <si>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</si>
  <si>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</si>
  <si>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</si>
  <si>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</si>
  <si>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</si>
  <si>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</si>
  <si>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</si>
  <si>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</si>
  <si>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</si>
  <si>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</si>
  <si>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</si>
  <si>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</si>
  <si>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</si>
  <si>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</si>
  <si>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</si>
  <si>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</si>
  <si>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</si>
  <si>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</si>
  <si>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</si>
  <si>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</si>
  <si>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</si>
  <si>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</si>
  <si>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</si>
  <si>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</si>
  <si>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</si>
  <si>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</si>
  <si>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</si>
  <si>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</si>
  <si>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</si>
  <si>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</si>
  <si>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</si>
  <si>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</si>
  <si>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</si>
  <si>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</si>
  <si>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</si>
  <si>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</si>
  <si>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</si>
  <si>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</si>
  <si>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</si>
  <si>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</si>
  <si>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</si>
  <si>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</si>
  <si>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</si>
  <si>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</si>
  <si>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</si>
  <si>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</si>
  <si>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</si>
  <si>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</si>
  <si>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</si>
  <si>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</si>
  <si>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</si>
  <si>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</si>
  <si>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</si>
  <si>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</si>
  <si>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</si>
  <si>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</si>
  <si>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</si>
  <si>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</si>
  <si>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</si>
  <si>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</si>
  <si>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</si>
  <si>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</si>
  <si>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</si>
  <si>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</si>
  <si>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</si>
  <si>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</si>
  <si>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</si>
  <si>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</si>
  <si>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</si>
  <si>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</si>
  <si>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</si>
  <si>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</si>
  <si>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</si>
  <si>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</si>
  <si>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</si>
  <si>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</si>
  <si>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</si>
  <si>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</si>
  <si>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</si>
  <si>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</si>
  <si>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</si>
  <si>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</si>
  <si>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</si>
  <si>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</si>
  <si>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</si>
  <si>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</si>
  <si>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</si>
  <si>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</si>
  <si>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</si>
  <si>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</si>
  <si>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</si>
  <si>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</si>
  <si>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</si>
  <si>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</si>
  <si>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</si>
  <si>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</si>
  <si>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</si>
  <si>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</si>
  <si>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</si>
  <si>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</si>
  <si>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</si>
  <si>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</si>
  <si>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</si>
  <si>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</si>
  <si>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</si>
  <si>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</si>
  <si>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</si>
  <si>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</si>
  <si>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</si>
  <si>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</si>
  <si>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</si>
  <si>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</si>
  <si>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</si>
  <si>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</si>
  <si>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</si>
  <si>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</si>
  <si>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</si>
  <si>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</si>
  <si>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</si>
  <si>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</si>
  <si>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</si>
  <si>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</si>
  <si>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</si>
  <si>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</si>
  <si>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</si>
  <si>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</si>
  <si>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</si>
  <si>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</si>
  <si>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</si>
  <si>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</si>
  <si>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</si>
  <si>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</si>
  <si>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</si>
  <si>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</si>
  <si>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</si>
  <si>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</si>
  <si>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</si>
  <si>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</si>
  <si>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</si>
  <si>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</si>
  <si>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</si>
  <si>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</si>
  <si>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</si>
  <si>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</si>
  <si>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</si>
  <si>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</si>
  <si>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</si>
  <si>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</si>
  <si>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</si>
  <si>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</si>
  <si>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</si>
  <si>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</si>
  <si>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</si>
  <si>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</si>
  <si>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</si>
  <si>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</si>
  <si>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</si>
  <si>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</si>
  <si>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</si>
  <si>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</si>
  <si>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</si>
  <si>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</si>
  <si>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</si>
  <si>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</si>
  <si>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</si>
  <si>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</si>
  <si>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</si>
  <si>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</si>
  <si>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</si>
  <si>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</si>
  <si>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</si>
  <si>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</si>
  <si>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</si>
  <si>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</si>
  <si>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</si>
  <si>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</si>
  <si>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</si>
  <si>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</si>
  <si>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</si>
  <si>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</si>
  <si>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</si>
  <si>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</si>
  <si>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</si>
  <si>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</si>
  <si>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</si>
  <si>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</si>
  <si>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</si>
  <si>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</si>
  <si>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</si>
  <si>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</si>
  <si>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</si>
  <si>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</si>
  <si>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</si>
  <si>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</si>
  <si>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</si>
  <si>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SAMPLE DATA. A scratch copy loaded with SAMPLE exports from campaign-ops. Illustrative placeholders, not results.</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</si>
  <si>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</si>
  <si>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</si>
  <si>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</si>
  <si>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</si>
  <si>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</si>
  <si>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</si>
  <si>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</si>
  <si>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</si>
  <si>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</si>
  <si>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</si>
  <si>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</si>
  <si>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</si>
  <si>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</si>
  <si>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</si>
  <si>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</si>
  <si>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</si>
  <si>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</si>
  <si>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</si>
  <si>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</si>
  <si>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</si>
  <si>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</si>
  <si>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</si>
  <si>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</si>
  <si>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</si>
  <si>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</si>
  <si>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</si>
  <si>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</si>
  <si>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</si>
  <si>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</si>
  <si>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</si>
  <si>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</si>
  <si>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</si>
  <si>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</si>
  <si>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</si>
  <si>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</si>
  <si>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</si>
  <si>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</si>
  <si>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</si>
  <si>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</si>
  <si>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</si>
  <si>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</si>
  <si>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</si>
  <si>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</si>
  <si>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</si>
  <si>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</si>
  <si>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</si>
  <si>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</si>
  <si>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</si>
  <si>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</si>
  <si>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</si>
  <si>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</si>
  <si>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</si>
  <si>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</si>
  <si>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</si>
  <si>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</si>
  <si>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</si>
  <si>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</si>
  <si>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</si>
  <si>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</si>
  <si>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</si>
  <si>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</si>
  <si>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</si>
  <si>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</si>
  <si>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</si>
  <si>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</si>
  <si>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</si>
  <si>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</si>
  <si>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</si>
  <si>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</si>
  <si>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</si>
  <si>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</si>
  <si>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</si>
  <si>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</si>
  <si>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</si>
  <si>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</si>
  <si>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</si>
  <si>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</si>
  <si>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</si>
  <si>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</si>
  <si>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</si>
  <si>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</si>
  <si>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</si>
  <si>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</si>
  <si>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</si>
  <si>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</si>
  <si>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</si>
  <si>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</si>
  <si>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</si>
  <si>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</si>
  <si>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</si>
  <si>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</si>
  <si>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</si>
  <si>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</si>
  <si>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</si>
  <si>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</si>
  <si>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</si>
  <si>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</si>
  <si>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</si>
  <si>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</si>
  <si>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</si>
  <si>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</si>
  <si>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</si>
  <si>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</si>
  <si>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</si>
  <si>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</si>
  <si>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</si>
  <si>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</si>
  <si>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</si>
  <si>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</si>
  <si>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</si>
  <si>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</si>
  <si>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</si>
  <si>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</si>
  <si>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</si>
  <si>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</si>
  <si>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</si>
  <si>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</si>
  <si>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</si>
  <si>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</si>
  <si>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</si>
  <si>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</si>
  <si>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</si>
  <si>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</si>
  <si>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</si>
  <si>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</si>
  <si>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</si>
  <si>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</si>
  <si>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</si>
  <si>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</si>
  <si>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</si>
  <si>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</si>
  <si>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</si>
  <si>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</si>
  <si>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</si>
  <si>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</si>
  <si>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</si>
  <si>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</si>
  <si>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</si>
  <si>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</si>
  <si>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</si>
  <si>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</si>
  <si>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</si>
  <si>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</si>
  <si>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</si>
  <si>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</si>
  <si>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</si>
  <si>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</si>
  <si>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</si>
  <si>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</si>
  <si>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</si>
  <si>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</si>
  <si>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</si>
  <si>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</si>
  <si>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</si>
  <si>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</si>
  <si>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</si>
  <si>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</si>
  <si>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</si>
  <si>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</si>
  <si>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</si>
  <si>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</si>
  <si>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</si>
  <si>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</si>
  <si>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</si>
  <si>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</si>
  <si>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</si>
  <si>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</si>
  <si>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</si>
  <si>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</si>
  <si>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</si>
  <si>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</si>
  <si>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</si>
  <si>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</si>
  <si>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</si>
  <si>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</si>
  <si>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</si>
  <si>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</si>
  <si>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</si>
  <si>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</si>
  <si>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</si>
  <si>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</si>
  <si>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</si>
  <si>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</si>
  <si>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</si>
  <si>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</si>
  <si>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</si>
  <si>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</si>
  <si>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</si>
  <si>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</si>
  <si>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</si>
  <si>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</si>
  <si>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</si>
  <si>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</si>
  <si>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</si>
  <si>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</si>
  <si>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</si>
  <si>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</si>
  <si>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</si>
  <si>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</si>
  <si>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</si>
  <si>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</si>
  <si>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</si>
  <si>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</si>
  <si>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</si>
  <si>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</si>
  <si>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</si>
  <si>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</si>
  <si>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</si>
  <si>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</si>
  <si>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</si>
  <si>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</si>
  <si>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</si>
  <si>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</si>
  <si>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</si>
  <si>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</si>
  <si>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</si>
  <si>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</si>
  <si>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</si>
  <si>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</si>
  <si>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</si>
  <si>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</si>
  <si>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</si>
  <si>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</si>
  <si>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</si>
  <si>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</si>
  <si>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</si>
  <si>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</si>
  <si>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</si>
  <si>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</si>
  <si>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</si>
  <si>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</si>
  <si>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</si>
  <si>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</si>
  <si>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</si>
  <si>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</si>
  <si>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</si>
  <si>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</si>
  <si>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</si>
  <si>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</si>
  <si>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</si>
  <si>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</si>
  <si>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</si>
  <si>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</si>
  <si>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</si>
  <si>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</si>
  <si>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</si>
  <si>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</si>
  <si>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</si>
  <si>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</si>
  <si>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</si>
  <si>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</si>
  <si>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</si>
  <si>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</si>
  <si>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</si>
  <si>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</si>
  <si>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</si>
  <si>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</si>
  <si>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</si>
  <si>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</si>
  <si>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</si>
  <si>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</si>
  <si>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</si>
  <si>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</si>
  <si>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</si>
  <si>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</si>
  <si>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</si>
  <si>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</si>
  <si>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</si>
  <si>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</si>
  <si>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</si>
  <si>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</si>
  <si>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</si>
  <si>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</si>
  <si>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</si>
  <si>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</si>
  <si>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</si>
  <si>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</si>
  <si>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</si>
  <si>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</si>
  <si>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</si>
  <si>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</si>
  <si>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</si>
  <si>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</si>
  <si>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</si>
  <si>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</si>
  <si>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</si>
  <si>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</si>
  <si>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</si>
  <si>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</si>
  <si>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</si>
  <si>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</si>
  <si>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</si>
  <si>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</si>
  <si>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</si>
  <si>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</si>
  <si>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</si>
  <si>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</si>
  <si>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</si>
  <si>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</si>
  <si>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</si>
  <si>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</si>
  <si>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</si>
  <si>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</si>
  <si>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</si>
  <si>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</si>
  <si>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</si>
  <si>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</si>
  <si>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</si>
  <si>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</si>
  <si>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</si>
  <si>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</si>
  <si>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</si>
  <si>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</si>
  <si>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</si>
  <si>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</si>
  <si>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</si>
  <si>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</si>
  <si>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</si>
  <si>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</si>
  <si>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</si>
  <si>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</si>
  <si>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</si>
  <si>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</si>
  <si>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</si>
  <si>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</si>
  <si>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</si>
  <si>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</si>
  <si>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</si>
  <si>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</si>
  <si>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</si>
  <si>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</si>
  <si>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</si>
  <si>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</si>
  <si>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</si>
  <si>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</si>
  <si>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</si>
  <si>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</si>
  <si>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</si>
  <si>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</si>
  <si>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</si>
  <si>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</si>
  <si>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</si>
  <si>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</si>
  <si>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</si>
  <si>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</si>
  <si>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</si>
  <si>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</si>
  <si>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</si>
  <si>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</si>
  <si>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</si>
  <si>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</si>
  <si>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</si>
  <si>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</si>
  <si>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</si>
  <si>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</si>
  <si>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</si>
  <si>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</si>
  <si>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</si>
  <si>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</si>
  <si>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</si>
  <si>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</si>
  <si>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</si>
  <si>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</si>
  <si>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</si>
  <si>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</si>
  <si>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</si>
  <si>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</si>
  <si>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</si>
  <si>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</si>
  <si>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</si>
  <si>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</si>
  <si>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</si>
  <si>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</si>
  <si>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</si>
  <si>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</si>
  <si>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</si>
  <si>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</si>
  <si>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</si>
  <si>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</si>
  <si>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</si>
  <si>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</si>
  <si>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</si>
  <si>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</si>
  <si>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</si>
  <si>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</si>
  <si>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</si>
  <si>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</si>
  <si>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</si>
  <si>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</si>
  <si>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</si>
  <si>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</si>
  <si>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</si>
  <si>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</si>
  <si>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</si>
  <si>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</si>
  <si>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</si>
  <si>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</si>
  <si>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</si>
  <si>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</si>
  <si>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</si>
  <si>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</si>
  <si>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</si>
  <si>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</si>
  <si>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</si>
  <si>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</si>
  <si>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</si>
  <si>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</si>
  <si>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</si>
  <si>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</si>
  <si>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</si>
  <si>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</si>
  <si>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</si>
  <si>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</si>
  <si>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</si>
  <si>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</si>
  <si>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</si>
  <si>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</si>
  <si>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</si>
  <si>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</si>
  <si>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</si>
  <si>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</si>
  <si>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</si>
  <si>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</si>
  <si>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</si>
  <si>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</si>
  <si>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</si>
  <si>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</si>
  <si>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</si>
  <si>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</si>
  <si>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</si>
  <si>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</si>
  <si>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</si>
  <si>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</si>
  <si>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</si>
  <si>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</si>
  <si>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</si>
  <si>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</si>
  <si>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</si>
  <si>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</si>
  <si>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</si>
  <si>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</si>
  <si>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</si>
  <si>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</si>
  <si>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</si>
  <si>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</si>
  <si>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</si>
  <si>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</si>
  <si>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</si>
  <si>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</si>
  <si>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</si>
  <si>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</si>
  <si>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</si>
  <si>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</si>
  <si>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</si>
  <si>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</si>
  <si>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</si>
  <si>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</si>
  <si>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</si>
  <si>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</si>
  <si>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</si>
  <si>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</si>
  <si>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</si>
  <si>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</si>
  <si>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</si>
  <si>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</si>
  <si>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</si>
  <si>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</si>
  <si>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</si>
  <si>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</si>
  <si>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</si>
  <si>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</si>
  <si>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</si>
  <si>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</si>
  <si>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</si>
  <si>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</si>
  <si>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</si>
  <si>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</si>
  <si>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</si>
  <si>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</si>
  <si>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</si>
  <si>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</si>
  <si>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</si>
  <si>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</si>
  <si>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</si>
  <si>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</si>
  <si>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</si>
  <si>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</si>
  <si>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</si>
  <si>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</si>
  <si>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</si>
  <si>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</si>
  <si>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</si>
  <si>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</si>
  <si>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</si>
  <si>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</si>
  <si>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</si>
  <si>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</si>
  <si>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</si>
  <si>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</si>
  <si>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</si>
  <si>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</si>
  <si>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</si>
  <si>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</si>
  <si>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</si>
  <si>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</si>
  <si>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</si>
  <si>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</si>
  <si>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</si>
  <si>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</si>
  <si>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</si>
  <si>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</si>
  <si>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</si>
  <si>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</si>
  <si>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</si>
  <si>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</si>
  <si>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</si>
  <si>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</si>
  <si>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</si>
  <si>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</si>
  <si>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</si>
  <si>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</si>
  <si>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</si>
  <si>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</si>
  <si>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</si>
  <si>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</si>
  <si>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</si>
  <si>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</si>
  <si>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</si>
  <si>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</si>
  <si>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</si>
  <si>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</si>
  <si>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</si>
  <si>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</si>
  <si>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</si>
  <si>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</si>
  <si>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</si>
  <si>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</si>
  <si>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</si>
  <si>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</si>
  <si>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</si>
  <si>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</si>
  <si>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</si>
  <si>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</si>
  <si>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</si>
  <si>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</si>
  <si>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</si>
  <si>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</si>
  <si>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</si>
  <si>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</si>
  <si>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</si>
  <si>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</si>
  <si>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</si>
  <si>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</si>
  <si>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</si>
  <si>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</si>
  <si>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</si>
  <si>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</si>
  <si>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</si>
  <si>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</si>
  <si>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</si>
  <si>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</si>
  <si>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</si>
  <si>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</si>
  <si>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</si>
  <si>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</si>
  <si>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</si>
  <si>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</si>
  <si>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</si>
  <si>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</si>
  <si>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</si>
  <si>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</si>
  <si>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</si>
  <si>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</si>
  <si>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</si>
  <si>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</si>
  <si>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</si>
  <si>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</si>
  <si>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</si>
  <si>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</si>
  <si>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</si>
  <si>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</si>
  <si>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</si>
  <si>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</si>
  <si>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</si>
  <si>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</si>
  <si>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</si>
  <si>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</si>
  <si>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</si>
  <si>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</si>
  <si>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</si>
  <si>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</si>
  <si>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</si>
  <si>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</si>
  <si>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</si>
  <si>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</si>
  <si>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</si>
  <si>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</si>
  <si>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</si>
  <si>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</si>
  <si>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</si>
  <si>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</si>
  <si>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</si>
  <si>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</si>
  <si>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</si>
  <si>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</si>
  <si>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</si>
  <si>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</si>
  <si>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</si>
  <si>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</si>
  <si>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</si>
  <si>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</si>
  <si>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</si>
  <si>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</si>
  <si>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</si>
  <si>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</si>
  <si>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</si>
  <si>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</si>
  <si>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</si>
  <si>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</si>
  <si>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</si>
  <si>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</si>
  <si>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</si>
  <si>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</si>
  <si>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</si>
  <si>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</si>
  <si>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</si>
  <si>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</si>
  <si>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</si>
  <si>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</si>
  <si>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</si>
  <si>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</si>
  <si>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</si>
  <si>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</si>
  <si>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</si>
  <si>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</si>
  <si>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</si>
  <si>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</si>
  <si>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</si>
  <si>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</si>
  <si>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</si>
  <si>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</si>
  <si>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</si>
  <si>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</si>
  <si>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</si>
  <si>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</si>
  <si>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</si>
  <si>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</si>
  <si>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</si>
  <si>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</si>
  <si>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</si>
  <si>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</si>
  <si>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</si>
  <si>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</si>
  <si>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</si>
  <si>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</si>
  <si>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</si>
  <si>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</si>
  <si>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</si>
  <si>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</si>
  <si>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</si>
  <si>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</si>
  <si>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</si>
  <si>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</si>
  <si>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</si>
  <si>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</si>
  <si>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</si>
  <si>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</si>
  <si>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</si>
  <si>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</si>
  <si>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</si>
  <si>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</si>
  <si>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</si>
  <si>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</si>
  <si>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</si>
  <si>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</si>
  <si>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</si>
  <si>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</si>
  <si>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</si>
  <si>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</si>
  <si>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</si>
  <si>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</si>
  <si>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</si>
  <si>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</si>
  <si>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</si>
  <si>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</si>
  <si>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</si>
  <si>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</si>
  <si>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</si>
  <si>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</si>
  <si>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</si>
  <si>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</si>
  <si>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</si>
  <si>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</si>
  <si>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</si>
  <si>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</si>
  <si>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</si>
  <si>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</si>
  <si>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</si>
  <si>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</si>
  <si>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</si>
  <si>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</si>
  <si>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</si>
  <si>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</si>
  <si>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</si>
  <si>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</si>
  <si>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</si>
  <si>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</si>
  <si>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</si>
  <si>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</si>
  <si>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</si>
  <si>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</si>
  <si>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</si>
  <si>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</si>
  <si>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</si>
  <si>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</si>
  <si>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</si>
  <si>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</si>
  <si>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</si>
  <si>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</si>
  <si>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</si>
  <si>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</si>
  <si>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</si>
  <si>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</si>
  <si>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</si>
  <si>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</si>
  <si>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</si>
  <si>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</si>
  <si>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</si>
  <si>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</si>
  <si>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</si>
  <si>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</si>
  <si>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</si>
  <si>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</si>
  <si>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</si>
  <si>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</si>
  <si>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</si>
  <si>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</si>
  <si>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</si>
  <si>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</si>
  <si>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</si>
  <si>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</si>
  <si>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</si>
  <si>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</si>
  <si>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</si>
  <si>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</si>
  <si>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</si>
  <si>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</si>
  <si>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</si>
  <si>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</si>
  <si>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</si>
  <si>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</si>
  <si>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</si>
  <si>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</si>
  <si>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</si>
  <si>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</si>
  <si>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</si>
  <si>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</si>
  <si>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</si>
  <si>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</si>
  <si>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</si>
  <si>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</si>
  <si>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</si>
  <si>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</si>
  <si>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</si>
  <si>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</si>
  <si>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</si>
  <si>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</si>
  <si>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</si>
  <si>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</si>
  <si>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</si>
  <si>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</si>
  <si>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</si>
  <si>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</si>
  <si>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</si>
  <si>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</si>
  <si>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</si>
  <si>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</si>
  <si>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</si>
  <si>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</si>
  <si>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</si>
  <si>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</si>
  <si>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</si>
  <si>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</si>
  <si>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</si>
  <si>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</si>
  <si>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</si>
  <si>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</si>
  <si>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</si>
  <si>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</si>
  <si>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</si>
  <si>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</si>
  <si>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</si>
  <si>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</si>
  <si>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</si>
  <si>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</si>
  <si>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</si>
  <si>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</si>
  <si>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</si>
  <si>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</si>
  <si>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</si>
  <si>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</si>
  <si>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</si>
  <si>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</si>
  <si>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</si>
  <si>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</si>
  <si>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</si>
  <si>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</si>
  <si>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</si>
  <si>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</si>
  <si>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</si>
  <si>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</si>
  <si>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</si>
  <si>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</si>
  <si>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</si>
  <si>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</si>
  <si>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</si>
  <si>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</si>
  <si>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</si>
  <si>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</si>
  <si>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</si>
  <si>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</si>
  <si>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</si>
  <si>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</si>
  <si>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</si>
  <si>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</si>
  <si>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</si>
  <si>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</si>
  <si>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</si>
  <si>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</si>
  <si>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</si>
  <si>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</si>
  <si>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</si>
  <si>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</si>
  <si>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</si>
  <si>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</si>
  <si>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</si>
  <si>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</si>
  <si>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</si>
  <si>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</si>
  <si>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</si>
  <si>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</si>
  <si>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</si>
  <si>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</si>
  <si>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</si>
  <si>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</si>
  <si>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</si>
  <si>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</si>
  <si>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</si>
  <si>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</si>
  <si>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</si>
  <si>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</si>
  <si>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</si>
  <si>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</si>
  <si>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</si>
  <si>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</si>
  <si>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</si>
  <si>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</si>
  <si>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</si>
  <si>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</si>
  <si>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</si>
  <si>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</si>
  <si>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</si>
  <si>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</si>
  <si>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</si>
  <si>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</si>
  <si>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</si>
  <si>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</si>
  <si>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</si>
  <si>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</si>
  <si>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</si>
  <si>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</si>
  <si>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</si>
  <si>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</si>
  <si>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</si>
  <si>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</si>
  <si>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</si>
  <si>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</si>
  <si>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</si>
  <si>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</si>
  <si>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</si>
  <si>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</si>
  <si>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</si>
  <si>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</si>
  <si>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</si>
  <si>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</si>
  <si>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</si>
  <si>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</si>
  <si>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</si>
  <si>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</si>
  <si>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</si>
  <si>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</si>
  <si>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</si>
  <si>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</si>
  <si>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</si>
  <si>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</si>
  <si>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</si>
  <si>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</si>
  <si>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</si>
  <si>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</si>
  <si>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</si>
  <si>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</si>
  <si>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</si>
  <si>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</si>
  <si>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</si>
  <si>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</si>
  <si>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</si>
  <si>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</si>
  <si>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</si>
  <si>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</si>
  <si>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</si>
  <si>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</si>
  <si>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</si>
  <si>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</si>
  <si>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</si>
  <si>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</si>
  <si>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</si>
  <si>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</si>
  <si>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</si>
  <si>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</si>
  <si>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</si>
  <si>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</si>
  <si>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</si>
  <si>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</si>
  <si>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</si>
  <si>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</si>
  <si>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</si>
  <si>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</si>
  <si>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</si>
  <si>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</si>
  <si>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</si>
  <si>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</si>
  <si>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</si>
  <si>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</si>
  <si>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</si>
  <si>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</si>
  <si>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</si>
  <si>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</si>
  <si>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</si>
  <si>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</si>
  <si>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</si>
  <si>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</si>
  <si>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</si>
  <si>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</si>
  <si>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</si>
  <si>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</si>
  <si>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</si>
  <si>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</si>
  <si>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</si>
  <si>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</si>
  <si>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</si>
  <si>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</si>
  <si>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</si>
  <si>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</si>
  <si>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</si>
  <si>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</si>
  <si>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</si>
  <si>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</si>
  <si>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</si>
  <si>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</si>
  <si>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</si>
  <si>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</si>
  <si>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</si>
  <si>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</si>
  <si>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</si>
  <si>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</si>
  <si>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</si>
  <si>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</si>
  <si>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</si>
  <si>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</si>
  <si>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</si>
  <si>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</si>
  <si>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</si>
  <si>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</si>
  <si>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</si>
  <si>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</si>
  <si>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</si>
  <si>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</si>
  <si>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</si>
  <si>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</si>
  <si>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</si>
  <si>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</si>
  <si>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</si>
  <si>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</si>
  <si>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</si>
  <si>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</si>
  <si>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</si>
  <si>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</si>
  <si>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</si>
  <si>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</si>
  <si>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</si>
  <si>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</si>
  <si>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</si>
  <si>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</si>
  <si>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</si>
  <si>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</si>
  <si>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</si>
  <si>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</si>
  <si>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</si>
  <si>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</si>
  <si>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</si>
  <si>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</si>
  <si>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</si>
  <si>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</si>
  <si>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</si>
  <si>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</si>
  <si>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</si>
  <si>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</si>
  <si>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</si>
  <si>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</si>
  <si>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</si>
  <si>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</si>
  <si>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</si>
  <si>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</si>
  <si>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</si>
  <si>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</si>
  <si>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</si>
  <si>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</si>
  <si>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</si>
  <si>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</si>
  <si>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</si>
  <si>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</si>
  <si>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</si>
  <si>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</si>
  <si>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</si>
  <si>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</si>
  <si>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</si>
  <si>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</si>
  <si>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</si>
  <si>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</si>
  <si>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</si>
  <si>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</si>
  <si>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</si>
  <si>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</si>
  <si>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</si>
  <si>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</si>
  <si>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</si>
  <si>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</si>
  <si>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</si>
  <si>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</si>
  <si>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</si>
  <si>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</si>
  <si>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</si>
  <si>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</si>
  <si>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</si>
  <si>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</si>
  <si>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</si>
  <si>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</si>
  <si>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</si>
  <si>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</si>
  <si>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</si>
  <si>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</si>
  <si>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</si>
  <si>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</si>
  <si>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</si>
  <si>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</si>
  <si>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</si>
  <si>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</si>
  <si>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</si>
  <si>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</si>
  <si>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</si>
  <si>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</si>
  <si>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</si>
  <si>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</si>
  <si>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</si>
  <si>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</si>
  <si>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</si>
  <si>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</si>
  <si>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</si>
  <si>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</si>
  <si>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</si>
  <si>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</si>
  <si>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</si>
  <si>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</si>
  <si>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</si>
  <si>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</si>
  <si>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</si>
  <si>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</si>
  <si>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</si>
  <si>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</si>
  <si>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</si>
  <si>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</si>
  <si>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</si>
  <si>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</si>
  <si>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</si>
  <si>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</si>
  <si>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</si>
  <si>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</si>
  <si>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</si>
  <si>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</si>
  <si>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</si>
  <si>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</si>
  <si>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</si>
  <si>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</si>
  <si>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</si>
  <si>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</si>
  <si>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</si>
  <si>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</si>
  <si>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</si>
  <si>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</si>
  <si>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</si>
  <si>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</si>
  <si>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</si>
  <si>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</si>
  <si>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</si>
  <si>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</si>
  <si>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</si>
  <si>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</si>
  <si>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</si>
  <si>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</si>
  <si>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</si>
  <si>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</si>
  <si>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</si>
  <si>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</si>
  <si>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</si>
  <si>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</si>
  <si>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</si>
  <si>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</si>
  <si>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</si>
  <si>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</si>
  <si>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</si>
  <si>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</si>
  <si>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</si>
  <si>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</si>
  <si>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</si>
  <si>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</si>
  <si>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</si>
  <si>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</si>
  <si>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</si>
  <si>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</si>
  <si>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</si>
  <si>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</si>
  <si>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</si>
  <si>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</si>
  <si>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</si>
  <si>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</si>
  <si>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</si>
  <si>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</si>
  <si>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</si>
  <si>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</si>
  <si>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</si>
  <si>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</si>
  <si>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</si>
  <si>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</si>
  <si>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</si>
  <si>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</si>
  <si>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</si>
  <si>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</si>
  <si>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</si>
  <si>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</si>
  <si>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</si>
  <si>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</si>
  <si>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</si>
  <si>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</si>
  <si>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</si>
  <si>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</si>
  <si>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</si>
  <si>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</si>
  <si>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</si>
  <si>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</si>
  <si>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</si>
  <si>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</si>
  <si>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</si>
  <si>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</si>
  <si>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</si>
  <si>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</si>
  <si>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</si>
  <si>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</si>
  <si>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</si>
  <si>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</si>
  <si>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</si>
  <si>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</si>
  <si>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</si>
  <si>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</si>
  <si>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</si>
  <si>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</si>
  <si>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</si>
  <si>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</si>
  <si>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</si>
  <si>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</si>
  <si>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</si>
  <si>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</si>
  <si>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</si>
  <si>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</si>
  <si>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</si>
  <si>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</si>
  <si>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</si>
  <si>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</si>
  <si>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</si>
  <si>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</si>
  <si>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</si>
  <si>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</si>
  <si>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</si>
  <si>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</si>
  <si>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</si>
  <si>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</si>
  <si>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</si>
  <si>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</si>
  <si>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</si>
  <si>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</si>
  <si>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</si>
  <si>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</si>
  <si>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</si>
  <si>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</si>
  <si>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</si>
  <si>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</si>
  <si>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</si>
  <si>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</si>
  <si>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</si>
  <si>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</si>
  <si>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</si>
  <si>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</si>
  <si>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</si>
  <si>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</si>
  <si>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</si>
  <si>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</si>
  <si>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</si>
  <si>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</si>
  <si>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</si>
  <si>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</si>
  <si>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</si>
  <si>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</si>
  <si>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</si>
  <si>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</si>
  <si>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</si>
  <si>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</si>
  <si>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</si>
  <si>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SAMPLE discovery calls (no drop)</t>
  </si>
  <si>
    <t xml:space="preserve">SAMPLE-CMP-001</t>
  </si>
  <si>
    <t xml:space="preserve">SAMPLE qualifying, proposal, agreement</t>
  </si>
  <si>
    <t xml:space="preserve">SAMPLE-CMP-002</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</si>
  <si>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</si>
  <si>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</si>
  <si>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</si>
  <si>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</si>
  <si>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</si>
  <si>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</si>
  <si>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</si>
  <si>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</si>
  <si>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</si>
  <si>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</si>
  <si>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</si>
  <si>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</si>
  <si>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</si>
  <si>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</si>
  <si>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</si>
  <si>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</si>
  <si>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</si>
  <si>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Invalid activity keys in the hand log (should be 0)</t>
  </si>
  <si>
    <t xml:space="preserve">Rows whose drop_id is not on Schedule (should be 0)</t>
  </si>
  <si>
    <t xml:space="preserve">Hours outside the 26 weeks (dated before week 1 or after week 26)</t>
  </si>
  <si>
    <t xml:space="preserve">Hours inside the 26 weeks not linked to a drop (feeds the Dashboard's six-month all-in rate)</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</si>
  <si>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</si>
  <si>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</si>
  <si>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</si>
  <si>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</si>
  <si>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</si>
  <si>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</si>
  <si>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</si>
  <si>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</si>
  <si>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</si>
  <si>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</si>
  <si>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</si>
  <si>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</si>
  <si>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</si>
  <si>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</si>
  <si>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</si>
  <si>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</si>
  <si>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</si>
  <si>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</si>
  <si>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</si>
  <si>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</si>
  <si>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</si>
  <si>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</si>
  <si>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</si>
  <si>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</si>
  <si>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</si>
  <si>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</si>
  <si>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</si>
  <si>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</si>
  <si>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</si>
  <si>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</si>
  <si>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</si>
  <si>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</si>
  <si>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</si>
  <si>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</si>
  <si>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</si>
  <si>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</si>
  <si>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</si>
  <si>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</si>
  <si>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</si>
  <si>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</si>
  <si>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</si>
  <si>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brand</t>
  </si>
  <si>
    <t xml:space="preserve">SAMPLE-BR-001</t>
  </si>
  <si>
    <t xml:space="preserve">SAMPLE Brightside</t>
  </si>
  <si>
    <t xml:space="preserve">paid</t>
  </si>
  <si>
    <t xml:space="preserve">SAMPLE-INV-001 SAMPLE-BR-001 founding_full</t>
  </si>
  <si>
    <t xml:space="preserve">Office conversations by Gate 0</t>
  </si>
  <si>
    <t xml:space="preserve">SAMPLE-BR-002</t>
  </si>
  <si>
    <t xml:space="preserve">SAMPLE Northbound</t>
  </si>
  <si>
    <t xml:space="preserve">SAMPLE-INV-002 SAMPLE-BR-002 founding_full</t>
  </si>
  <si>
    <t xml:space="preserve">Offices yes in principle by Gate 0</t>
  </si>
  <si>
    <t xml:space="preserve">Brand conversations by Gate 0</t>
  </si>
  <si>
    <t xml:space="preserve">Brands that would pay the threshold and control the budget, by Gate 0</t>
  </si>
  <si>
    <t xml:space="preserve">Offices signed by Gate 1</t>
  </si>
  <si>
    <t xml:space="preserve">Combined Tuesday headcount of offices signed by Gate 1</t>
  </si>
  <si>
    <t xml:space="preserve">Brands paid in full by Gate 1 (payments add up to the founding package price)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</si>
  <si>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</si>
  <si>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</si>
  <si>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</si>
  <si>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</si>
  <si>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</si>
  <si>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</si>
  <si>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</si>
  <si>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</si>
  <si>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</si>
  <si>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</si>
  <si>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</si>
  <si>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</si>
  <si>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</si>
  <si>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</si>
  <si>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</si>
  <si>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</si>
  <si>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</si>
  <si>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</si>
  <si>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</si>
  <si>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</si>
  <si>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</si>
  <si>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</si>
  <si>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</si>
  <si>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</si>
  <si>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</si>
  <si>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</si>
  <si>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</si>
  <si>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</si>
  <si>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</si>
  <si>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</si>
  <si>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</si>
  <si>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</si>
  <si>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</si>
  <si>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</si>
  <si>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</si>
  <si>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</si>
  <si>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</si>
  <si>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</si>
  <si>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</si>
  <si>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</si>
  <si>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</si>
  <si>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</si>
  <si>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</si>
  <si>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</si>
  <si>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</si>
  <si>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</si>
  <si>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yes</t>
  </si>
  <si>
    <t xml:space="preserve">maybe</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</si>
  <si>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</si>
  <si>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</si>
  <si>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</si>
  <si>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</si>
  <si>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</si>
  <si>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SAMPLE campaign zero</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</si>
  <si>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</si>
  <si>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</si>
  <si>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</si>
  <si>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</si>
  <si>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</si>
  <si>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</si>
  <si>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</si>
  <si>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</si>
  <si>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</si>
  <si>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</si>
  <si>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</si>
  <si>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</si>
  <si>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</si>
  <si>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</si>
  <si>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</si>
  <si>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</si>
  <si>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</si>
  <si>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</si>
  <si>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</si>
  <si>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</si>
  <si>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</si>
  <si>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</si>
  <si>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</si>
  <si>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</si>
  <si>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</si>
  <si>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</si>
  <si>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</si>
  <si>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</si>
  <si>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</si>
  <si>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</si>
  <si>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</si>
  <si>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</si>
  <si>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</si>
  <si>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</si>
  <si>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</si>
  <si>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</si>
  <si>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</si>
  <si>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</si>
  <si>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</si>
  <si>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</si>
  <si>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</si>
  <si>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</si>
  <si>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</si>
  <si>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</si>
  <si>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</si>
  <si>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</si>
  <si>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</si>
  <si>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</si>
  <si>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</si>
  <si>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</si>
  <si>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</si>
  <si>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</si>
  <si>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</si>
  <si>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</si>
  <si>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</si>
  <si>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</si>
  <si>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</si>
  <si>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</si>
  <si>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</si>
  <si>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</si>
  <si>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</si>
  <si>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</si>
  <si>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</si>
  <si>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</si>
  <si>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</si>
  <si>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</si>
  <si>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</si>
  <si>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</si>
  <si>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</si>
  <si>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</si>
  <si>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</si>
  <si>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</si>
  <si>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</si>
  <si>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</si>
  <si>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</si>
  <si>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</si>
  <si>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</si>
  <si>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</si>
  <si>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</si>
  <si>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</si>
  <si>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</si>
  <si>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</si>
  <si>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</si>
  <si>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</si>
  <si>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</si>
  <si>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</si>
  <si>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</si>
  <si>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</si>
  <si>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</si>
  <si>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</si>
  <si>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</si>
  <si>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</si>
  <si>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</si>
  <si>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</si>
  <si>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</si>
  <si>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</si>
  <si>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</si>
  <si>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</si>
  <si>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</si>
  <si>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</si>
  <si>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</si>
  <si>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</si>
  <si>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</si>
  <si>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</si>
  <si>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</si>
  <si>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</si>
  <si>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</si>
  <si>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</si>
  <si>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</si>
  <si>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</si>
  <si>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</si>
  <si>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</si>
  <si>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</si>
  <si>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</si>
  <si>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</si>
  <si>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</si>
  <si>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</si>
  <si>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</si>
  <si>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</si>
  <si>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</si>
  <si>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</si>
  <si>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conversation</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</si>
  <si>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</si>
  <si>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</si>
  <si>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</si>
  <si>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</si>
  <si>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</si>
  <si>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</si>
  <si>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</si>
  <si>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</si>
  <si>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pending</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</si>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</sst>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-4000</c:v>
                </c:pt>
                <c:pt idx="11">
                  <c:v>-4202</c:v>
                </c:pt>
                <c:pt idx="12">
                  <c:v>-4552</c:v>
                </c:pt>
                <c:pt idx="13">
                  <c:v>-2429.5</c:v>
                </c:pt>
                <c:pt idx="14">
                  <c:v>-2659.5</c:v>
                </c:pt>
                <c:pt idx="15">
                  <c:v>1405.5</c:v>
                </c:pt>
                <c:pt idx="16">
                  <c:v>1325.5</c:v>
                </c:pt>
                <c:pt idx="17">
                  <c:v>3148</c:v>
                </c:pt>
                <c:pt idx="18">
                  <c:v>2998</c:v>
                </c:pt>
                <c:pt idx="19">
                  <c:v>5180.5</c:v>
                </c:pt>
                <c:pt idx="20">
                  <c:v>5075.5</c:v>
                </c:pt>
                <c:pt idx="21">
                  <c:v>9380.5</c:v>
                </c:pt>
                <c:pt idx="22">
                  <c:v>9150.5</c:v>
                </c:pt>
                <c:pt idx="23">
                  <c:v>11333</c:v>
                </c:pt>
                <c:pt idx="24">
                  <c:v>11333</c:v>
                </c:pt>
                <c:pt idx="25">
                  <c:v>11333</c:v>
                </c:pt>
              </c:numCache>
            </c:numRef>
          </c:val>
          <c:smooth val="0"/>
        </c:ser>
        <c:hiLowLines>
          <c:spPr>
            <a:ln w="0">
              <a:noFill/>
            </a:ln>
          </c:spPr>
        </c:hiLowLines>
        <c:marker val="0"/>
        <c:axId val="86044984"/>
        <c:axId val="69713772"/>
      </c:lineChart>
      <c:catAx>
        <c:axId val="8604498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9713772"/>
        <c:crosses val="autoZero"/>
        <c:auto val="1"/>
        <c:lblAlgn val="ctr"/>
        <c:lblOffset val="100"/>
        <c:noMultiLvlLbl val="0"/>
      </c:catAx>
      <c:valAx>
        <c:axId val="6971377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04498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-4000</c:v>
                </c:pt>
                <c:pt idx="11">
                  <c:v>-4202</c:v>
                </c:pt>
                <c:pt idx="12">
                  <c:v>-4552</c:v>
                </c:pt>
                <c:pt idx="13">
                  <c:v>-2429.5</c:v>
                </c:pt>
                <c:pt idx="14">
                  <c:v>-2659.5</c:v>
                </c:pt>
                <c:pt idx="15">
                  <c:v>1405.5</c:v>
                </c:pt>
                <c:pt idx="16">
                  <c:v>1325.5</c:v>
                </c:pt>
                <c:pt idx="17">
                  <c:v>3148</c:v>
                </c:pt>
                <c:pt idx="18">
                  <c:v>2998</c:v>
                </c:pt>
                <c:pt idx="19">
                  <c:v>5180.5</c:v>
                </c:pt>
                <c:pt idx="20">
                  <c:v>5075.5</c:v>
                </c:pt>
                <c:pt idx="21">
                  <c:v>9380.5</c:v>
                </c:pt>
                <c:pt idx="22">
                  <c:v>9150.5</c:v>
                </c:pt>
                <c:pt idx="23">
                  <c:v>11333</c:v>
                </c:pt>
                <c:pt idx="24">
                  <c:v>11333</c:v>
                </c:pt>
                <c:pt idx="25">
                  <c:v>11333</c:v>
                </c:pt>
              </c:numCache>
            </c:numRef>
          </c:val>
          <c:smooth val="0"/>
        </c:ser>
        <c:hiLowLines>
          <c:spPr>
            <a:ln w="0">
              <a:noFill/>
            </a:ln>
          </c:spPr>
        </c:hiLowLines>
        <c:marker val="0"/>
        <c:axId val="46369521"/>
        <c:axId val="14625390"/>
      </c:lineChart>
      <c:catAx>
        <c:axId val="4636952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4625390"/>
        <c:crosses val="autoZero"/>
        <c:auto val="1"/>
        <c:lblAlgn val="ctr"/>
        <c:lblOffset val="100"/>
        <c:noMultiLvlLbl val="0"/>
      </c:catAx>
      <c:valAx>
        <c:axId val="1462539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36952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4" customFormat="false" ht="15" hidden="false" customHeight="false" outlineLevel="0" collapsed="false">
      <c r="A4" s="0" t="s">
        <v>227</v>
      </c>
    </row>
    <row r="5" customFormat="false" ht="30" hidden="false" customHeight="true" outlineLevel="0" collapsed="false">
      <c r="B5" s="9" t="s">
        <v>228</v>
      </c>
      <c r="C5" s="10" t="n">
        <f aca="false">Inputs!$C$17</f>
        <v>46430</v>
      </c>
      <c r="D5" s="9" t="s">
        <v>229</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230</v>
      </c>
      <c r="B7" s="4"/>
      <c r="C7" s="4"/>
      <c r="D7" s="4"/>
      <c r="E7" s="4"/>
      <c r="F7" s="4"/>
      <c r="G7" s="4"/>
      <c r="H7" s="4"/>
      <c r="I7" s="4"/>
    </row>
    <row r="8" customFormat="false" ht="21.75" hidden="false" customHeight="true" outlineLevel="0" collapsed="false">
      <c r="B8" s="12" t="s">
        <v>231</v>
      </c>
      <c r="C8" s="12" t="s">
        <v>232</v>
      </c>
      <c r="D8" s="12" t="s">
        <v>233</v>
      </c>
    </row>
    <row r="9" customFormat="false" ht="30" hidden="false" customHeight="true" outlineLevel="0" collapsed="false">
      <c r="B9" s="7" t="s">
        <v>234</v>
      </c>
      <c r="C9" s="13" t="str">
        <f aca="false">IFERROR(INDEX(Drop_PnL!$A$7:$A$18,MATCH(MIN(Drop_PnL!$BJ$7:$BJ$18),Drop_PnL!$BJ$7:$BJ$18,0)),"none scheduled")</f>
        <v>DRP-003</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Tue 2027-02-23, courier, 3 brand(s), 10 offices, standard tier</v>
      </c>
      <c r="E9" s="14"/>
      <c r="F9" s="14"/>
      <c r="G9" s="14"/>
      <c r="H9" s="14"/>
      <c r="I9" s="14"/>
    </row>
    <row r="10" customFormat="false" ht="30" hidden="false" customHeight="true" outlineLevel="0" collapsed="false">
      <c r="B10" s="7" t="s">
        <v>235</v>
      </c>
      <c r="C10" s="15" t="n">
        <f aca="false">IFERROR(INDEX(Drop_PnL!$AK$7:$AK$18,MATCH(MIN(Drop_PnL!$BJ$7:$BJ$18),Drop_PnL!$BJ$7:$BJ$18,0)),"n/a")</f>
        <v>66.0344827586207</v>
      </c>
      <c r="D10" s="14" t="str">
        <f aca="false">IFERROR("revenue "&amp;TEXT(INDEX(Drop_PnL!$S$7:$S$18,MATCH(MIN(Drop_PnL!$BJ$7:$BJ$18),Drop_PnL!$BJ$7:$BJ$18,0)),"$#,##0")&amp;", "&amp;TEXT(INDEX(Drop_PnL!$AI$7:$AI$18,MATCH(MIN(Drop_PnL!$BJ$7:$BJ$18),Drop_PnL!$BJ$7:$BJ$18,0)),"0")&amp;" founder hours; campaign zero is at the founding rate, so the standard price does not move it","")</f>
        <v>revenue $4,500, 58 founder hours; campaign zero is at the founding rate, so the standard price does not move it</v>
      </c>
      <c r="E10" s="14"/>
      <c r="F10" s="14"/>
      <c r="G10" s="14"/>
      <c r="H10" s="14"/>
      <c r="I10" s="14"/>
    </row>
    <row r="11" customFormat="false" ht="30" hidden="false" customHeight="true" outlineLevel="0" collapsed="false">
      <c r="B11" s="7" t="s">
        <v>236</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237</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238</v>
      </c>
      <c r="C13" s="15" t="n">
        <f aca="false">IF(E54="","n/a",E54)</f>
        <v>61.28</v>
      </c>
      <c r="D13" s="14" t="str">
        <f aca="false">"actual: "&amp;IF(F54="","not yet",TEXT(F54,"$#,##0.0"))&amp;" ("&amp;F55&amp;" of "&amp;D55&amp;" standard runs with actuals in); target "&amp;TEXT(Inputs!$C$136,"$#,##0")</f>
        <v>actual: not yet (0 of 2 standard runs with actuals in); target $50</v>
      </c>
      <c r="E13" s="14"/>
      <c r="F13" s="14"/>
      <c r="G13" s="14"/>
      <c r="H13" s="14"/>
      <c r="I13" s="14"/>
    </row>
    <row r="14" customFormat="false" ht="30" hidden="false" customHeight="true" outlineLevel="0" collapsed="false">
      <c r="B14" s="7" t="s">
        <v>239</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240</v>
      </c>
      <c r="C15" s="16" t="n">
        <f aca="false">Cash_Flow!$C$34</f>
        <v>-4552</v>
      </c>
      <c r="D15" s="14" t="str">
        <f aca="false">"in week "&amp;Cash_Flow!$C$35&amp;", starting "&amp;TEXT(Cash_Flow!$C$36,"ddd yyyy-mm-dd")</f>
        <v>in week 13, starting Mon 2027-01-18</v>
      </c>
      <c r="E15" s="14"/>
      <c r="F15" s="14"/>
      <c r="G15" s="14"/>
      <c r="H15" s="14"/>
      <c r="I15" s="14"/>
    </row>
    <row r="16" customFormat="false" ht="30" hidden="false" customHeight="true" outlineLevel="0" collapsed="false">
      <c r="B16" s="7" t="s">
        <v>241</v>
      </c>
      <c r="C16" s="16" t="n">
        <f aca="false">Cash_Flow!$C$39</f>
        <v>5552</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242</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243</v>
      </c>
      <c r="C18" s="16" t="n">
        <f aca="false">Cash_Flow!$C$41</f>
        <v>958</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244</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245</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246</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33.4273127753304</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$15.3 per hour</v>
      </c>
      <c r="E21" s="14"/>
      <c r="F21" s="14"/>
      <c r="G21" s="14"/>
      <c r="H21" s="14"/>
      <c r="I21" s="14"/>
    </row>
    <row r="22" customFormat="false" ht="30" hidden="false" customHeight="true" outlineLevel="0" collapsed="false">
      <c r="B22" s="7" t="s">
        <v>247</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52.2912621359223</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$38.9 per hour</v>
      </c>
      <c r="E22" s="14"/>
      <c r="F22" s="14"/>
      <c r="G22" s="14"/>
      <c r="H22" s="14"/>
      <c r="I22" s="14"/>
    </row>
    <row r="23" customFormat="false" ht="30" hidden="false" customHeight="true" outlineLevel="0" collapsed="false">
      <c r="B23" s="7" t="s">
        <v>248</v>
      </c>
      <c r="C23" s="16" t="n">
        <f aca="false">Cash_Flow!$C$44-SUMIFS(Drop_PnL!$BI$7:$BI$18,Drop_PnL!$B$7:$B$18,"&gt;"&amp;Inputs!$C$14)</f>
        <v>2763</v>
      </c>
      <c r="D23" s="14" t="str">
        <f aca="false">"the decision-window drops add "&amp;TEXT(C24-C23,"$#,##0")&amp;" by week 26"</f>
        <v>the decision-window drops add $8,570 by week 26</v>
      </c>
      <c r="E23" s="14"/>
      <c r="F23" s="14"/>
      <c r="G23" s="14"/>
      <c r="H23" s="14"/>
      <c r="I23" s="14"/>
    </row>
    <row r="24" customFormat="false" ht="30" hidden="false" customHeight="true" outlineLevel="0" collapsed="false">
      <c r="B24" s="7" t="s">
        <v>249</v>
      </c>
      <c r="C24" s="16" t="n">
        <f aca="false">Cash_Flow!$C$44</f>
        <v>11333</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250</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251</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252</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253</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254</v>
      </c>
      <c r="C29" s="17" t="n">
        <f aca="false">Inputs!$C$174</f>
        <v>1</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255</v>
      </c>
      <c r="B31" s="4"/>
      <c r="C31" s="4"/>
      <c r="D31" s="4"/>
      <c r="E31" s="4"/>
      <c r="F31" s="4"/>
      <c r="G31" s="4"/>
      <c r="H31" s="4"/>
      <c r="I31" s="4"/>
    </row>
    <row r="32" customFormat="false" ht="69.75" hidden="false" customHeight="true" outlineLevel="0" collapsed="false">
      <c r="B32" s="12" t="s">
        <v>256</v>
      </c>
      <c r="C32" s="12" t="s">
        <v>257</v>
      </c>
      <c r="D32" s="12" t="s">
        <v>258</v>
      </c>
      <c r="E32" s="12" t="s">
        <v>259</v>
      </c>
      <c r="F32" s="12" t="s">
        <v>260</v>
      </c>
      <c r="G32" s="12" t="s">
        <v>261</v>
      </c>
      <c r="H32" s="12" t="s">
        <v>262</v>
      </c>
    </row>
    <row r="33" customFormat="false" ht="18" hidden="false" customHeight="true" outlineLevel="0" collapsed="false">
      <c r="B33" s="9" t="s">
        <v>263</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264</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1080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1080</v>
      </c>
      <c r="G34" s="16" t="n">
        <f aca="false">D34+E34-F34</f>
        <v>-3120</v>
      </c>
      <c r="H34" s="19" t="n">
        <f aca="false">SUMIFS(Cash_Flow!$C$26:$AB$26,Cash_Flow!$C$5:$AB$5,"&lt;="&amp;Inputs!$C$12)</f>
        <v>-3940</v>
      </c>
    </row>
    <row r="35" customFormat="false" ht="18" hidden="false" customHeight="true" outlineLevel="0" collapsed="false">
      <c r="B35" s="9" t="s">
        <v>265</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-5282</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1080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0</v>
      </c>
      <c r="G35" s="16" t="n">
        <f aca="false">D35+E35-F35</f>
        <v>-4202</v>
      </c>
      <c r="H35" s="19" t="n">
        <f aca="false">SUMIFS(Cash_Flow!$C$26:$AB$26,Cash_Flow!$C$5:$AB$5,"&lt;="&amp;Inputs!$C$13)</f>
        <v>-4552</v>
      </c>
    </row>
    <row r="36" customFormat="false" ht="18" hidden="false" customHeight="true" outlineLevel="0" collapsed="false">
      <c r="B36" s="9" t="s">
        <v>266</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-7149.5</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12330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2250</v>
      </c>
      <c r="G36" s="16" t="n">
        <f aca="false">D36+E36-F36</f>
        <v>2930.5</v>
      </c>
      <c r="H36" s="19" t="n">
        <f aca="false">SUMIFS(Cash_Flow!$C$26:$AB$26,Cash_Flow!$C$5:$AB$5,"&lt;="&amp;Inputs!$C$14)</f>
        <v>5180.5</v>
      </c>
    </row>
    <row r="37" customFormat="false" ht="18" hidden="false" customHeight="true" outlineLevel="0" collapsed="false">
      <c r="B37" s="9" t="s">
        <v>267</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-7747</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19080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11333</v>
      </c>
      <c r="H37" s="19" t="n">
        <f aca="false">SUMIFS(Cash_Flow!$C$26:$AB$26,Cash_Flow!$C$5:$AB$5,"&lt;="&amp;Inputs!$C$15)</f>
        <v>11333</v>
      </c>
    </row>
    <row r="38" customFormat="false" ht="57.75" hidden="false" customHeight="true" outlineLevel="0" collapsed="false">
      <c r="B38" s="20" t="s">
        <v>268</v>
      </c>
      <c r="C38" s="20"/>
      <c r="D38" s="20"/>
      <c r="E38" s="20"/>
      <c r="F38" s="20"/>
      <c r="G38" s="20"/>
      <c r="H38" s="20"/>
      <c r="I38" s="20"/>
    </row>
    <row r="40" customFormat="false" ht="15" hidden="false" customHeight="false" outlineLevel="0" collapsed="false">
      <c r="A40" s="3" t="s">
        <v>269</v>
      </c>
      <c r="B40" s="4"/>
      <c r="C40" s="4"/>
      <c r="D40" s="4"/>
      <c r="E40" s="4"/>
      <c r="F40" s="4"/>
      <c r="G40" s="4"/>
      <c r="H40" s="4"/>
      <c r="I40" s="4"/>
    </row>
    <row r="41" customFormat="false" ht="30" hidden="false" customHeight="true" outlineLevel="0" collapsed="false">
      <c r="A41" s="12" t="s">
        <v>270</v>
      </c>
      <c r="B41" s="12" t="s">
        <v>271</v>
      </c>
      <c r="C41" s="12" t="s">
        <v>272</v>
      </c>
      <c r="D41" s="12" t="s">
        <v>273</v>
      </c>
      <c r="E41" s="12" t="s">
        <v>274</v>
      </c>
      <c r="F41" s="12" t="s">
        <v>275</v>
      </c>
      <c r="G41" s="12" t="s">
        <v>276</v>
      </c>
      <c r="H41" s="12" t="s">
        <v>277</v>
      </c>
      <c r="I41" s="12"/>
      <c r="J41" s="12"/>
      <c r="K41" s="12"/>
    </row>
    <row r="42" customFormat="false" ht="30" hidden="false" customHeight="true" outlineLevel="0" collapsed="false">
      <c r="A42" s="9" t="s">
        <v>263</v>
      </c>
      <c r="B42" s="7" t="s">
        <v>278</v>
      </c>
      <c r="C42" s="18" t="n">
        <f aca="false">Inputs!$C$11</f>
        <v>46339</v>
      </c>
      <c r="D42" s="21" t="n">
        <f aca="false">Inputs!$C$122</f>
        <v>15</v>
      </c>
      <c r="E42" s="21"/>
      <c r="F42" s="22" t="n">
        <f aca="false">Pipeline!$AH$5</f>
        <v>0</v>
      </c>
      <c r="G42" s="23" t="s">
        <v>279</v>
      </c>
      <c r="H42" s="20"/>
      <c r="I42" s="20"/>
      <c r="J42" s="20"/>
      <c r="K42" s="20"/>
    </row>
    <row r="43" customFormat="false" ht="30" hidden="false" customHeight="true" outlineLevel="0" collapsed="false">
      <c r="A43" s="9" t="s">
        <v>263</v>
      </c>
      <c r="B43" s="7" t="s">
        <v>280</v>
      </c>
      <c r="C43" s="18" t="n">
        <f aca="false">Inputs!$C$11</f>
        <v>46339</v>
      </c>
      <c r="D43" s="21" t="n">
        <f aca="false">Inputs!$C$121</f>
        <v>5</v>
      </c>
      <c r="E43" s="21"/>
      <c r="F43" s="22" t="n">
        <f aca="false">Pipeline!$AH$6</f>
        <v>0</v>
      </c>
      <c r="G43" s="23" t="str">
        <f aca="false">IF(F43="",IF(Inputs!$C$17&gt;C43,"miss","not yet"),IF(F43&gt;=D43,"pass",IF(Inputs!$C$17&gt;C43,"miss","not yet")))</f>
        <v>miss</v>
      </c>
      <c r="H43" s="20" t="s">
        <v>281</v>
      </c>
      <c r="I43" s="20"/>
      <c r="J43" s="20"/>
      <c r="K43" s="20"/>
    </row>
    <row r="44" customFormat="false" ht="30" hidden="false" customHeight="true" outlineLevel="0" collapsed="false">
      <c r="A44" s="9" t="s">
        <v>263</v>
      </c>
      <c r="B44" s="7" t="s">
        <v>282</v>
      </c>
      <c r="C44" s="18" t="n">
        <f aca="false">Inputs!$C$11</f>
        <v>46339</v>
      </c>
      <c r="D44" s="21" t="n">
        <f aca="false">Inputs!$C$125</f>
        <v>15</v>
      </c>
      <c r="E44" s="21"/>
      <c r="F44" s="22" t="n">
        <f aca="false">Pipeline!$AH$7</f>
        <v>0</v>
      </c>
      <c r="G44" s="23" t="s">
        <v>279</v>
      </c>
      <c r="H44" s="20"/>
      <c r="I44" s="20"/>
      <c r="J44" s="20"/>
      <c r="K44" s="20"/>
    </row>
    <row r="45" customFormat="false" ht="30" hidden="false" customHeight="true" outlineLevel="0" collapsed="false">
      <c r="A45" s="9" t="s">
        <v>263</v>
      </c>
      <c r="B45" s="7" t="s">
        <v>283</v>
      </c>
      <c r="C45" s="18" t="n">
        <f aca="false">Inputs!$C$11</f>
        <v>46339</v>
      </c>
      <c r="D45" s="21" t="n">
        <f aca="false">Inputs!$C$123</f>
        <v>3</v>
      </c>
      <c r="E45" s="21"/>
      <c r="F45" s="22" t="n">
        <f aca="false">Pipeline!$AH$8</f>
        <v>0</v>
      </c>
      <c r="G45" s="23" t="str">
        <f aca="false">IF(F45="",IF(Inputs!$C$17&gt;C45,"miss","not yet"),IF(F45&gt;=D45,"pass",IF(Inputs!$C$17&gt;C45,"miss","not yet")))</f>
        <v>miss</v>
      </c>
      <c r="H45" s="20" t="s">
        <v>284</v>
      </c>
      <c r="I45" s="20"/>
      <c r="J45" s="20"/>
      <c r="K45" s="20"/>
    </row>
    <row r="46" customFormat="false" ht="30" hidden="false" customHeight="true" outlineLevel="0" collapsed="false">
      <c r="A46" s="9" t="s">
        <v>264</v>
      </c>
      <c r="B46" s="7" t="s">
        <v>285</v>
      </c>
      <c r="C46" s="18" t="n">
        <f aca="false">Inputs!$C$12</f>
        <v>46367</v>
      </c>
      <c r="D46" s="21" t="n">
        <f aca="false">Inputs!$C$126</f>
        <v>5</v>
      </c>
      <c r="E46" s="21" t="n">
        <f aca="false">Drop_PnL!E7</f>
        <v>5</v>
      </c>
      <c r="F46" s="22" t="n">
        <f aca="false">Pipeline!$AH$9</f>
        <v>0</v>
      </c>
      <c r="G46" s="23" t="str">
        <f aca="false">IF(F46="",IF(Inputs!$C$17&gt;C46,"miss","not yet"),IF(F46&gt;=D46,"pass",IF(Inputs!$C$17&gt;C46,"miss","not yet")))</f>
        <v>miss</v>
      </c>
      <c r="H46" s="20" t="s">
        <v>286</v>
      </c>
      <c r="I46" s="20"/>
      <c r="J46" s="20"/>
      <c r="K46" s="20"/>
    </row>
    <row r="47" customFormat="false" ht="30" hidden="false" customHeight="true" outlineLevel="0" collapsed="false">
      <c r="A47" s="9" t="s">
        <v>264</v>
      </c>
      <c r="B47" s="7" t="s">
        <v>287</v>
      </c>
      <c r="C47" s="18" t="n">
        <f aca="false">Inputs!$C$12</f>
        <v>46367</v>
      </c>
      <c r="D47" s="24" t="n">
        <f aca="false">Inputs!$C$127</f>
        <v>350</v>
      </c>
      <c r="E47" s="24"/>
      <c r="F47" s="25" t="n">
        <f aca="false">Pipeline!$AH$10</f>
        <v>0</v>
      </c>
      <c r="G47" s="23" t="str">
        <f aca="false">IF(F47="",IF(Inputs!$C$17&gt;C47,"miss","not yet"),IF(F47&gt;=D47,"pass",IF(Inputs!$C$17&gt;C47,"miss","not yet")))</f>
        <v>miss</v>
      </c>
      <c r="H47" s="20"/>
      <c r="I47" s="20"/>
      <c r="J47" s="20"/>
      <c r="K47" s="20"/>
    </row>
    <row r="48" customFormat="false" ht="30" hidden="false" customHeight="true" outlineLevel="0" collapsed="false">
      <c r="A48" s="9" t="s">
        <v>264</v>
      </c>
      <c r="B48" s="7" t="s">
        <v>288</v>
      </c>
      <c r="C48" s="18" t="n">
        <f aca="false">Inputs!$C$12</f>
        <v>46367</v>
      </c>
      <c r="D48" s="21" t="n">
        <f aca="false">Inputs!$C$128</f>
        <v>2</v>
      </c>
      <c r="E48" s="21" t="n">
        <f aca="false">Drop_PnL!G7</f>
        <v>2</v>
      </c>
      <c r="F48" s="22" t="n">
        <f aca="false">Pipeline!$AH$11</f>
        <v>2</v>
      </c>
      <c r="G48" s="23" t="str">
        <f aca="false">IF(F48="",IF(Inputs!$C$17&gt;C48,"miss","not yet"),IF(F48&gt;=D48,"pass",IF(Inputs!$C$17&gt;C48,"miss","not yet")))</f>
        <v>pass</v>
      </c>
      <c r="H48" s="20" t="s">
        <v>289</v>
      </c>
      <c r="I48" s="20"/>
      <c r="J48" s="20"/>
      <c r="K48" s="20"/>
    </row>
    <row r="49" customFormat="false" ht="30" hidden="false" customHeight="true" outlineLevel="0" collapsed="false">
      <c r="A49" s="9" t="s">
        <v>265</v>
      </c>
      <c r="B49" s="7" t="s">
        <v>290</v>
      </c>
      <c r="C49" s="18" t="n">
        <f aca="false">Inputs!$C$13</f>
        <v>46409</v>
      </c>
      <c r="D49" s="26" t="n">
        <f aca="false">Inputs!$C$130</f>
        <v>0.8</v>
      </c>
      <c r="E49" s="26"/>
      <c r="F49" s="27" t="n">
        <f aca="false">IFERROR(INDEX(Drop_Actuals!$AG$7:$AG$18,MATCH(Inputs!$C$129,Drop_Actuals!$A$7:$A$18,0)),"")</f>
        <v>0.896</v>
      </c>
      <c r="G49" s="23" t="str">
        <f aca="false">IF(F49="",IF(Inputs!$C$17&gt;C49,"miss","not yet"),IF(F49&gt;=D49,"pass",IF(Inputs!$C$17&gt;C49,"miss","not yet")))</f>
        <v>pass</v>
      </c>
      <c r="H49" s="20" t="s">
        <v>291</v>
      </c>
      <c r="I49" s="20"/>
      <c r="J49" s="20"/>
      <c r="K49" s="20"/>
    </row>
    <row r="50" customFormat="false" ht="30" hidden="false" customHeight="true" outlineLevel="0" collapsed="false">
      <c r="A50" s="9" t="s">
        <v>265</v>
      </c>
      <c r="B50" s="7" t="s">
        <v>292</v>
      </c>
      <c r="C50" s="18" t="n">
        <f aca="false">Inputs!$C$13</f>
        <v>46409</v>
      </c>
      <c r="D50" s="21" t="n">
        <v>0</v>
      </c>
      <c r="E50" s="21"/>
      <c r="F50" s="22" t="n">
        <f aca="false">IF(N(IFERROR(INDEX(Drop_Actuals!$AF$7:$AF$18,MATCH(Inputs!$C$129,Drop_Actuals!$A$7:$A$18,0)),""))=0,"",IFERROR(INDEX(Drop_Actuals!$AH$7:$AH$18,MATCH(Inputs!$C$129,Drop_Actuals!$A$7:$A$18,0)),""))</f>
        <v>1</v>
      </c>
      <c r="G50" s="23" t="str">
        <f aca="false">IF(F50="",IF(Inputs!$C$17&gt;C50,"miss","not yet"),IF(F50&lt;=D50,"pass",IF(Inputs!$C$17&gt;C50,"miss","not yet")))</f>
        <v>miss</v>
      </c>
      <c r="H50" s="20"/>
      <c r="I50" s="20"/>
      <c r="J50" s="20"/>
      <c r="K50" s="20"/>
    </row>
    <row r="51" customFormat="false" ht="30" hidden="false" customHeight="true" outlineLevel="0" collapsed="false">
      <c r="A51" s="9" t="s">
        <v>265</v>
      </c>
      <c r="B51" s="7" t="s">
        <v>293</v>
      </c>
      <c r="C51" s="18" t="n">
        <f aca="false">Inputs!$C$13</f>
        <v>46409</v>
      </c>
      <c r="D51" s="21" t="n">
        <v>0</v>
      </c>
      <c r="E51" s="21"/>
      <c r="F51" s="22" t="n">
        <f aca="false">IF(N(IFERROR(INDEX(Drop_Actuals!$AF$7:$AF$18,MATCH(Inputs!$C$129,Drop_Actuals!$A$7:$A$18,0)),""))=0,"",IFERROR(INDEX(Drop_Actuals!$AI$7:$AI$18,MATCH(Inputs!$C$129,Drop_Actuals!$A$7:$A$18,0)),""))</f>
        <v>0</v>
      </c>
      <c r="G51" s="23" t="str">
        <f aca="false">IF(F51="",IF(Inputs!$C$17&gt;C51,"miss","not yet"),IF(F51&lt;=D51,"pass",IF(Inputs!$C$17&gt;C51,"miss","not yet")))</f>
        <v>pass</v>
      </c>
      <c r="H51" s="20"/>
      <c r="I51" s="20"/>
      <c r="J51" s="20"/>
      <c r="K51" s="20"/>
    </row>
    <row r="52" customFormat="false" ht="30" hidden="false" customHeight="true" outlineLevel="0" collapsed="false">
      <c r="A52" s="9" t="s">
        <v>265</v>
      </c>
      <c r="B52" s="7" t="s">
        <v>294</v>
      </c>
      <c r="C52" s="18" t="n">
        <f aca="false">Inputs!$C$13</f>
        <v>46409</v>
      </c>
      <c r="D52" s="21" t="n">
        <f aca="false">Inputs!$C$133</f>
        <v>1</v>
      </c>
      <c r="E52" s="21"/>
      <c r="F52" s="22" t="n">
        <f aca="false">IF(N(IFERROR(INDEX(Drop_Actuals!$AF$7:$AF$18,MATCH(Inputs!$C$129,Drop_Actuals!$A$7:$A$18,0)),""))=0,"",IFERROR(INDEX(Drop_Actuals!$AJ$7:$AJ$18,MATCH(Inputs!$C$129,Drop_Actuals!$A$7:$A$18,0)),""))</f>
        <v>1</v>
      </c>
      <c r="G52" s="23" t="str">
        <f aca="false">IF(F52="",IF(Inputs!$C$17&gt;C52,"miss","not yet"),IF(F52&gt;=D52,"pass",IF(Inputs!$C$17&gt;C52,"miss","not yet")))</f>
        <v>pass</v>
      </c>
      <c r="H52" s="20"/>
      <c r="I52" s="20"/>
      <c r="J52" s="20"/>
      <c r="K52" s="20"/>
    </row>
    <row r="53" customFormat="false" ht="30" hidden="false" customHeight="true" outlineLevel="0" collapsed="false">
      <c r="A53" s="9" t="s">
        <v>266</v>
      </c>
      <c r="B53" s="7" t="s">
        <v>295</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not yet</v>
      </c>
      <c r="H53" s="20" t="s">
        <v>296</v>
      </c>
      <c r="I53" s="20"/>
      <c r="J53" s="20"/>
      <c r="K53" s="20"/>
    </row>
    <row r="54" customFormat="false" ht="48" hidden="false" customHeight="true" outlineLevel="0" collapsed="false">
      <c r="A54" s="9" t="s">
        <v>266</v>
      </c>
      <c r="B54" s="7" t="s">
        <v>297</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str">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3" t="str">
        <f aca="false">IF(AND(D55&gt;0,F55&lt;D55),"not yet: "&amp;(D55-F55)&amp;" standard run(s) without actuals",IF(F54="",IF(Inputs!$C$17&gt;C54,"miss","not yet"),IF(F54&gt;=D54,"pass",IF(Inputs!$C$17&gt;C54,"miss","not yet"))))</f>
        <v>not yet: 2 standard run(s) without actuals</v>
      </c>
      <c r="H54" s="20" t="s">
        <v>298</v>
      </c>
      <c r="I54" s="20"/>
      <c r="J54" s="20"/>
      <c r="K54" s="20"/>
    </row>
    <row r="55" customFormat="false" ht="48" hidden="false" customHeight="true" outlineLevel="0" collapsed="false">
      <c r="A55" s="9" t="s">
        <v>266</v>
      </c>
      <c r="B55" s="7" t="s">
        <v>299</v>
      </c>
      <c r="C55" s="18" t="n">
        <f aca="false">Inputs!$C$14</f>
        <v>46458</v>
      </c>
      <c r="D55" s="21" t="n">
        <f aca="false">COUNTIFS(Drop_PnL!$D$7:$D$18,"standard",Drop_PnL!$B$7:$B$18,"&lt;="&amp;Inputs!$C$14,Drop_PnL!$N$7:$N$18,1)</f>
        <v>2</v>
      </c>
      <c r="E55" s="21"/>
      <c r="F55" s="22" t="n">
        <f aca="false">COUNTIFS(Drop_PnL!$D$7:$D$18,"standard",Drop_PnL!$B$7:$B$18,"&lt;="&amp;Inputs!$C$14,Drop_PnL!$N$7:$N$18,1,Drop_PnL!$AZ$7:$AZ$18,"Y")</f>
        <v>0</v>
      </c>
      <c r="G55" s="23" t="str">
        <f aca="false">IF(D55=0,"",IF(F55&gt;=D55,"complete",(D55-F55)&amp;" without actuals"))</f>
        <v>2 without actuals</v>
      </c>
      <c r="H55" s="20" t="s">
        <v>300</v>
      </c>
      <c r="I55" s="20"/>
      <c r="J55" s="20"/>
      <c r="K55" s="20"/>
    </row>
    <row r="57" customFormat="false" ht="21.75" hidden="false" customHeight="true" outlineLevel="0" collapsed="false">
      <c r="A57" s="12" t="s">
        <v>270</v>
      </c>
      <c r="B57" s="12" t="s">
        <v>272</v>
      </c>
      <c r="C57" s="12" t="s">
        <v>301</v>
      </c>
    </row>
    <row r="58" customFormat="false" ht="15" hidden="false" customHeight="false" outlineLevel="0" collapsed="false">
      <c r="A58" s="9" t="s">
        <v>263</v>
      </c>
      <c r="B58" s="18" t="n">
        <f aca="false">C42</f>
        <v>46339</v>
      </c>
      <c r="C58" s="9" t="str">
        <f aca="false">IF(IF(G43="miss",1,0)+IF(G45="miss",1,0)&gt;0,"miss",IF(IF(LEFT(G43,LEN("not yet"))="not yet",1,0)+IF(LEFT(G45,LEN("not yet"))="not yet",1,0)&gt;0,"not yet","pass"))</f>
        <v>miss</v>
      </c>
    </row>
    <row r="59" customFormat="false" ht="15" hidden="false" customHeight="false" outlineLevel="0" collapsed="false">
      <c r="A59" s="9" t="s">
        <v>264</v>
      </c>
      <c r="B59" s="18" t="n">
        <f aca="false">C46</f>
        <v>46367</v>
      </c>
      <c r="C59" s="9" t="str">
        <f aca="false">IF(IF(G46="miss",1,0)+IF(G47="miss",1,0)+IF(G48="miss",1,0)&gt;0,"miss",IF(IF(LEFT(G46,LEN("not yet"))="not yet",1,0)+IF(LEFT(G47,LEN("not yet"))="not yet",1,0)+IF(LEFT(G48,LEN("not yet"))="not yet",1,0)&gt;0,"not yet","pass"))</f>
        <v>miss</v>
      </c>
    </row>
    <row r="60" customFormat="false" ht="15" hidden="false" customHeight="false" outlineLevel="0" collapsed="false">
      <c r="A60" s="9" t="s">
        <v>265</v>
      </c>
      <c r="B60" s="18" t="n">
        <f aca="false">C49</f>
        <v>46409</v>
      </c>
      <c r="C60" s="9" t="str">
        <f aca="false">IF(IF(G49="miss",1,0)+IF(G50="miss",1,0)+IF(G51="miss",1,0)+IF(G52="miss",1,0)&gt;0,"miss",IF(IF(LEFT(G49,LEN("not yet"))="not yet",1,0)+IF(LEFT(G50,LEN("not yet"))="not yet",1,0)+IF(LEFT(G51,LEN("not yet"))="not yet",1,0)+IF(LEFT(G52,LEN("not yet"))="not yet",1,0)&gt;0,"not yet","pass"))</f>
        <v>miss</v>
      </c>
    </row>
    <row r="61" customFormat="false" ht="15" hidden="false" customHeight="false" outlineLevel="0" collapsed="false">
      <c r="A61" s="9" t="s">
        <v>266</v>
      </c>
      <c r="B61" s="18" t="n">
        <f aca="false">C53</f>
        <v>46458</v>
      </c>
      <c r="C61" s="9" t="str">
        <f aca="false">IF(IF(G53="miss",1,0)+IF(G54="miss",1,0)&gt;0,"miss",IF(IF(LEFT(G53,LEN("not yet"))="not yet",1,0)+IF(LEFT(G54,LEN("not yet"))="not yet",1,0)&gt;0,"not yet","pass"))</f>
        <v>not yet</v>
      </c>
    </row>
    <row r="63" customFormat="false" ht="15" hidden="false" customHeight="false" outlineLevel="0" collapsed="false">
      <c r="A63" s="3" t="s">
        <v>302</v>
      </c>
      <c r="B63" s="4"/>
      <c r="C63" s="4"/>
      <c r="D63" s="4"/>
      <c r="E63" s="4"/>
      <c r="F63" s="4"/>
      <c r="G63" s="4"/>
      <c r="H63" s="4"/>
      <c r="I63" s="4"/>
    </row>
    <row r="64" customFormat="false" ht="15" hidden="false" customHeight="false" outlineLevel="0" collapsed="false">
      <c r="B64" s="30" t="s">
        <v>303</v>
      </c>
      <c r="C64" s="27" t="n">
        <f aca="false">IF(SUM(Actuals_Campaigns!$AQ$5:$AQ$204)=0,"",SUM(Actuals_Campaigns!$AR$5:$AR$204)/SUM(Actuals_Campaigns!$AQ$5:$AQ$204))</f>
        <v>0.5</v>
      </c>
    </row>
    <row r="65" customFormat="false" ht="15" hidden="false" customHeight="false" outlineLevel="0" collapsed="false">
      <c r="B65" s="30" t="s">
        <v>304</v>
      </c>
      <c r="C65" s="22" t="n">
        <f aca="false">Pipeline!$AH$13</f>
        <v>0</v>
      </c>
    </row>
    <row r="66" customFormat="false" ht="15" hidden="false" customHeight="false" outlineLevel="0" collapsed="false">
      <c r="B66" s="30" t="s">
        <v>305</v>
      </c>
      <c r="C66" s="22" t="n">
        <f aca="false">COUNTIFS(Drop_PnL!$B$7:$B$18,"&gt;"&amp;Inputs!$C$14,Drop_PnL!$AZ$7:$AZ$18,"Y",Drop_PnL!$N$7:$N$18,1)</f>
        <v>0</v>
      </c>
    </row>
    <row r="67" customFormat="false" ht="15" hidden="false" customHeight="false" outlineLevel="0" collapsed="false">
      <c r="B67" s="30" t="s">
        <v>266</v>
      </c>
      <c r="C67" s="9" t="str">
        <f aca="false">Dashboard!$C$61</f>
        <v>not yet</v>
      </c>
    </row>
    <row r="68" customFormat="false" ht="15" hidden="false" customHeight="false" outlineLevel="0" collapsed="false">
      <c r="B68" s="9" t="s">
        <v>306</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not yet: renewal clears the scale bar; Gate 3 is still open</v>
      </c>
      <c r="D68" s="31"/>
      <c r="E68" s="31"/>
      <c r="F68" s="31"/>
      <c r="G68" s="31"/>
      <c r="H68" s="31"/>
      <c r="I68" s="31"/>
    </row>
    <row r="69" customFormat="false" ht="30" hidden="false" customHeight="true" outlineLevel="0" collapsed="false">
      <c r="B69" s="32" t="s">
        <v>307</v>
      </c>
      <c r="C69" s="20" t="s">
        <v>308</v>
      </c>
      <c r="D69" s="20"/>
      <c r="E69" s="20"/>
      <c r="F69" s="20"/>
      <c r="G69" s="20"/>
      <c r="H69" s="20"/>
      <c r="I69" s="20"/>
    </row>
    <row r="71" customFormat="false" ht="15" hidden="false" customHeight="false" outlineLevel="0" collapsed="false">
      <c r="B71" s="30" t="s">
        <v>309</v>
      </c>
      <c r="C71" s="27" t="n">
        <f aca="false">IF(SUMIFS(Drop_Actuals!$V$7:$V$18,Drop_PnL!$AZ$7:$AZ$18,"Y")=0,"",SUMIFS(Drop_Actuals!$X$7:$X$18,Drop_PnL!$AZ$7:$AZ$18,"Y")/SUMIFS(Drop_Actuals!$V$7:$V$18,Drop_PnL!$AZ$7:$AZ$18,"Y"))</f>
        <v>0.896</v>
      </c>
    </row>
    <row r="72" customFormat="false" ht="15" hidden="false" customHeight="false" outlineLevel="0" collapsed="false">
      <c r="B72" s="30" t="s">
        <v>310</v>
      </c>
      <c r="C72" s="22" t="n">
        <f aca="false">COUNTIFS(Drop_PnL!$AZ$7:$AZ$18,"Y",Drop_Actuals!$AG$7:$AG$18,"&lt;"&amp;Inputs!$C$130)</f>
        <v>0</v>
      </c>
    </row>
    <row r="73" customFormat="false" ht="15" hidden="false" customHeight="false" outlineLevel="0" collapsed="false">
      <c r="B73" s="30" t="s">
        <v>311</v>
      </c>
      <c r="C73" s="29" t="n">
        <f aca="false">IF(SUMIFS(Drop_Actuals!$R$7:$R$18,Drop_PnL!$AZ$7:$AZ$18,"Y")&gt;0,SUMIFS(Drop_Actuals!$S$7:$S$18,Drop_PnL!$AZ$7:$AZ$18,"Y")/SUMIFS(Drop_Actuals!$R$7:$R$18,Drop_PnL!$AZ$7:$AZ$18,"Y"),"")</f>
        <v>14.8771929824561</v>
      </c>
    </row>
    <row r="74" customFormat="false" ht="15" hidden="false" customHeight="false" outlineLevel="0" collapsed="false">
      <c r="B74" s="30" t="s">
        <v>312</v>
      </c>
      <c r="C74" s="9" t="str">
        <f aca="false">COUNTIFS(Schedule!$AF$7:$AF$18,"&lt;="&amp;Inputs!$C$17,Schedule!$N$7:$N$18,"Y")&amp;" of "&amp;COUNTIFS(Schedule!$AF$7:$AF$18,"&lt;="&amp;Inputs!$C$17)</f>
        <v>1 of 1</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every drop whose results are due is in</v>
      </c>
      <c r="E74" s="33"/>
      <c r="F74" s="33"/>
      <c r="G74" s="33"/>
      <c r="H74" s="33"/>
      <c r="I74" s="33"/>
    </row>
    <row r="75" customFormat="false" ht="15" hidden="false" customHeight="false" outlineLevel="0" collapsed="false">
      <c r="B75" s="9" t="s">
        <v>313</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between scenarios: see the rule</v>
      </c>
      <c r="D75" s="31"/>
      <c r="E75" s="31"/>
      <c r="F75" s="31"/>
      <c r="G75" s="31"/>
      <c r="H75" s="31"/>
      <c r="I75" s="31"/>
    </row>
    <row r="78" customFormat="false" ht="15" hidden="false" customHeight="false" outlineLevel="0" collapsed="false">
      <c r="A78" s="3" t="s">
        <v>314</v>
      </c>
      <c r="B78" s="4"/>
      <c r="C78" s="4"/>
      <c r="D78" s="4"/>
      <c r="E78" s="4"/>
      <c r="F78" s="4"/>
      <c r="G78" s="4"/>
      <c r="H78" s="4"/>
      <c r="I78" s="4"/>
    </row>
    <row r="79" customFormat="false" ht="21.75" hidden="false" customHeight="true" outlineLevel="0" collapsed="false">
      <c r="B79" s="12" t="s">
        <v>315</v>
      </c>
      <c r="C79" s="12" t="s">
        <v>316</v>
      </c>
      <c r="D79" s="12" t="s">
        <v>317</v>
      </c>
      <c r="E79" s="12" t="s">
        <v>318</v>
      </c>
      <c r="F79" s="12" t="s">
        <v>276</v>
      </c>
    </row>
    <row r="80" customFormat="false" ht="15" hidden="false" customHeight="false" outlineLevel="0" collapsed="false">
      <c r="B80" s="30" t="s">
        <v>319</v>
      </c>
      <c r="C80" s="21" t="n">
        <f aca="false">Inputs!$C$143</f>
        <v>6</v>
      </c>
      <c r="D80" s="21" t="n">
        <f aca="false">SUMIFS(Drop_PnL!$G$7:$G$18,Drop_PnL!$B$7:$B$18,"&lt;="&amp;Cash_Flow!$AB$6)</f>
        <v>14</v>
      </c>
      <c r="E80" s="22" t="n">
        <f aca="false">COUNTIF(Actuals_Campaigns!$R$5:$R$204,"&gt;0")</f>
        <v>2</v>
      </c>
      <c r="F80" s="6" t="str">
        <f aca="false">IF(E80="",IF(Inputs!$C$17&gt;Inputs!$C$15,"miss","not yet"),IF(E80&gt;=C80,"pass",IF(Inputs!$C$17&gt;Inputs!$C$15,"miss","not yet")))</f>
        <v>not yet</v>
      </c>
    </row>
    <row r="81" customFormat="false" ht="15" hidden="false" customHeight="false" outlineLevel="0" collapsed="false">
      <c r="B81" s="30" t="s">
        <v>320</v>
      </c>
      <c r="C81" s="21" t="n">
        <f aca="false">Inputs!$C$144</f>
        <v>2</v>
      </c>
      <c r="D81" s="21" t="n">
        <f aca="false">SUMIFS(Drop_PnL!$H$7:$H$18,Drop_PnL!$B$7:$B$18,"&lt;="&amp;Cash_Flow!$AB$6)</f>
        <v>2</v>
      </c>
      <c r="E81" s="22" t="n">
        <f aca="false">COUNTIF(Actuals_Campaigns!$W$5:$W$204,"Y")</f>
        <v>1</v>
      </c>
      <c r="F81" s="6" t="str">
        <f aca="false">IF(E81="",IF(Inputs!$C$17&gt;Inputs!$C$15,"miss","not yet"),IF(E81&gt;=C81,"pass",IF(Inputs!$C$17&gt;Inputs!$C$15,"miss","not yet")))</f>
        <v>not yet</v>
      </c>
    </row>
    <row r="82" customFormat="false" ht="15" hidden="false" customHeight="false" outlineLevel="0" collapsed="false">
      <c r="B82" s="30" t="s">
        <v>321</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not yet</v>
      </c>
    </row>
    <row r="83" customFormat="false" ht="45" hidden="false" customHeight="true" outlineLevel="0" collapsed="false">
      <c r="B83" s="30" t="s">
        <v>297</v>
      </c>
      <c r="C83" s="28" t="n">
        <f aca="false">Inputs!$C$136</f>
        <v>50</v>
      </c>
      <c r="D83" s="28" t="n">
        <f aca="false">E54</f>
        <v>61.28</v>
      </c>
      <c r="E83" s="29" t="str">
        <f aca="false">F54</f>
        <v/>
      </c>
      <c r="F83" s="6" t="str">
        <f aca="false">IF(AND(D55&gt;0,F55&lt;D55),"not yet: "&amp;(D55-F55)&amp;" standard run(s) without actuals",IF(E83="",IF(Inputs!$C$17&gt;Inputs!$C$15,"miss","not yet"),IF(E83&gt;=C83,"pass",IF(Inputs!$C$17&gt;Inputs!$C$15,"miss","not yet"))))</f>
        <v>not yet: 2 standard run(s) without actuals</v>
      </c>
    </row>
    <row r="86" customFormat="false" ht="15" hidden="false" customHeight="false" outlineLevel="0" collapsed="false">
      <c r="A86" s="3" t="s">
        <v>322</v>
      </c>
      <c r="B86" s="4"/>
      <c r="C86" s="4"/>
      <c r="D86" s="4"/>
      <c r="E86" s="4"/>
      <c r="F86" s="4"/>
      <c r="G86" s="4"/>
      <c r="H86" s="4"/>
      <c r="I86" s="4"/>
      <c r="J86" s="34" t="s">
        <v>323</v>
      </c>
      <c r="K86" s="4"/>
      <c r="L86" s="35" t="n">
        <f aca="false">Inputs!$C$136</f>
        <v>50</v>
      </c>
    </row>
    <row r="87" customFormat="false" ht="30" hidden="false" customHeight="true" outlineLevel="0" collapsed="false">
      <c r="A87" s="12" t="s">
        <v>324</v>
      </c>
      <c r="B87" s="12" t="s">
        <v>325</v>
      </c>
      <c r="C87" s="12" t="s">
        <v>326</v>
      </c>
      <c r="D87" s="12" t="s">
        <v>327</v>
      </c>
      <c r="E87" s="12" t="s">
        <v>328</v>
      </c>
      <c r="F87" s="12" t="s">
        <v>329</v>
      </c>
      <c r="G87" s="12" t="s">
        <v>330</v>
      </c>
      <c r="H87" s="12" t="s">
        <v>331</v>
      </c>
      <c r="I87" s="12" t="s">
        <v>332</v>
      </c>
      <c r="J87" s="12" t="s">
        <v>333</v>
      </c>
      <c r="K87" s="12" t="s">
        <v>334</v>
      </c>
      <c r="L87" s="12" t="s">
        <v>335</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actual</v>
      </c>
      <c r="E88" s="30" t="str">
        <f aca="false">IF(Drop_PnL!B7="","",Drop_PnL!C7)</f>
        <v>founder</v>
      </c>
      <c r="F88" s="30" t="n">
        <f aca="false">IF(Drop_PnL!B7="","",Drop_PnL!G7)</f>
        <v>2</v>
      </c>
      <c r="G88" s="21" t="n">
        <f aca="false">IF(Drop_PnL!B7="","",Drop_PnL!E7)</f>
        <v>5</v>
      </c>
      <c r="H88" s="19" t="n">
        <f aca="false">IF(Drop_PnL!B7="","",Drop_PnL!BA7)</f>
        <v>1080</v>
      </c>
      <c r="I88" s="19" t="n">
        <f aca="false">IF(Drop_PnL!B7="","",Drop_PnL!BB7)</f>
        <v>232</v>
      </c>
      <c r="J88" s="36" t="n">
        <f aca="false">IF(Drop_PnL!B7="","",Drop_PnL!BC7)</f>
        <v>57</v>
      </c>
      <c r="K88" s="19" t="n">
        <f aca="false">IF(Drop_PnL!B7="","",Drop_PnL!BD7)</f>
        <v>848</v>
      </c>
      <c r="L88" s="29" t="n">
        <f aca="false">IF(Drop_PnL!B7="","",Drop_PnL!BE7)</f>
        <v>14.8771929824561</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plan</v>
      </c>
      <c r="E89" s="30" t="str">
        <f aca="false">IF(Drop_PnL!B8="","",Drop_PnL!C8)</f>
        <v>courier</v>
      </c>
      <c r="F89" s="30" t="n">
        <f aca="false">IF(Drop_PnL!B8="","",Drop_PnL!G8)</f>
        <v>3</v>
      </c>
      <c r="G89" s="21" t="n">
        <f aca="false">IF(Drop_PnL!B8="","",Drop_PnL!E8)</f>
        <v>10</v>
      </c>
      <c r="H89" s="19" t="n">
        <f aca="false">IF(Drop_PnL!B8="","",Drop_PnL!BA8)</f>
        <v>4500</v>
      </c>
      <c r="I89" s="19" t="n">
        <f aca="false">IF(Drop_PnL!B8="","",Drop_PnL!BB8)</f>
        <v>670</v>
      </c>
      <c r="J89" s="36" t="n">
        <f aca="false">IF(Drop_PnL!B8="","",Drop_PnL!BC8)</f>
        <v>67</v>
      </c>
      <c r="K89" s="19" t="n">
        <f aca="false">IF(Drop_PnL!B8="","",Drop_PnL!BD8)</f>
        <v>3830</v>
      </c>
      <c r="L89" s="29" t="n">
        <f aca="false">IF(Drop_PnL!B8="","",Drop_PnL!BE8)</f>
        <v>57.1641791044776</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plan</v>
      </c>
      <c r="E90" s="30" t="str">
        <f aca="false">IF(Drop_PnL!B9="","",Drop_PnL!C9)</f>
        <v>courier</v>
      </c>
      <c r="F90" s="30" t="n">
        <f aca="false">IF(Drop_PnL!B9="","",Drop_PnL!G9)</f>
        <v>3</v>
      </c>
      <c r="G90" s="21" t="n">
        <f aca="false">IF(Drop_PnL!B9="","",Drop_PnL!E9)</f>
        <v>10</v>
      </c>
      <c r="H90" s="19" t="n">
        <f aca="false">IF(Drop_PnL!B9="","",Drop_PnL!BA9)</f>
        <v>4500</v>
      </c>
      <c r="I90" s="19" t="n">
        <f aca="false">IF(Drop_PnL!B9="","",Drop_PnL!BB9)</f>
        <v>670</v>
      </c>
      <c r="J90" s="36" t="n">
        <f aca="false">IF(Drop_PnL!B9="","",Drop_PnL!BC9)</f>
        <v>58</v>
      </c>
      <c r="K90" s="19" t="n">
        <f aca="false">IF(Drop_PnL!B9="","",Drop_PnL!BD9)</f>
        <v>3830</v>
      </c>
      <c r="L90" s="29" t="n">
        <f aca="false">IF(Drop_PnL!B9="","",Drop_PnL!BE9)</f>
        <v>66.0344827586207</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plan</v>
      </c>
      <c r="E91" s="30" t="str">
        <f aca="false">IF(Drop_PnL!B10="","",Drop_PnL!C10)</f>
        <v>direct-ship</v>
      </c>
      <c r="F91" s="30" t="n">
        <f aca="false">IF(Drop_PnL!B10="","",Drop_PnL!G10)</f>
        <v>3</v>
      </c>
      <c r="G91" s="21" t="n">
        <f aca="false">IF(Drop_PnL!B10="","",Drop_PnL!E10)</f>
        <v>10</v>
      </c>
      <c r="H91" s="19" t="n">
        <f aca="false">IF(Drop_PnL!B10="","",Drop_PnL!BA10)</f>
        <v>4500</v>
      </c>
      <c r="I91" s="19" t="n">
        <f aca="false">IF(Drop_PnL!B10="","",Drop_PnL!BB10)</f>
        <v>370</v>
      </c>
      <c r="J91" s="36" t="n">
        <f aca="false">IF(Drop_PnL!B10="","",Drop_PnL!BC10)</f>
        <v>41</v>
      </c>
      <c r="K91" s="19" t="n">
        <f aca="false">IF(Drop_PnL!B10="","",Drop_PnL!BD10)</f>
        <v>4130</v>
      </c>
      <c r="L91" s="29" t="n">
        <f aca="false">IF(Drop_PnL!B10="","",Drop_PnL!BE10)</f>
        <v>100.731707317073</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336</v>
      </c>
      <c r="F100" s="9" t="n">
        <f aca="false">SUM(F88:F99)</f>
        <v>14</v>
      </c>
      <c r="G100" s="22" t="n">
        <f aca="false">SUM(G88:G99)</f>
        <v>45</v>
      </c>
      <c r="H100" s="37" t="n">
        <f aca="false">SUM(H88:H99)</f>
        <v>19080</v>
      </c>
      <c r="I100" s="37" t="n">
        <f aca="false">SUM(I88:I99)</f>
        <v>2312</v>
      </c>
      <c r="J100" s="38" t="n">
        <f aca="false">SUM(J88:J99)</f>
        <v>264</v>
      </c>
      <c r="K100" s="37" t="n">
        <f aca="false">SUM(K88:K99)</f>
        <v>16768</v>
      </c>
      <c r="L100" s="29" t="n">
        <f aca="false">IF(J100&gt;0,K100/J100,"n/a")</f>
        <v>63.5151515151515</v>
      </c>
    </row>
    <row r="102" customFormat="false" ht="15" hidden="false" customHeight="false" outlineLevel="0" collapsed="false">
      <c r="A102" s="32" t="s">
        <v>337</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338</v>
      </c>
    </row>
    <row r="3" customFormat="false" ht="30" hidden="false" customHeight="true" outlineLevel="0" collapsed="false">
      <c r="A3" s="8" t="s">
        <v>339</v>
      </c>
      <c r="B3" s="8"/>
      <c r="C3" s="8"/>
      <c r="D3" s="8"/>
      <c r="E3" s="8"/>
      <c r="F3" s="8"/>
      <c r="G3" s="8"/>
      <c r="H3" s="8"/>
      <c r="I3" s="8"/>
      <c r="J3" s="8"/>
      <c r="K3" s="8"/>
    </row>
    <row r="6" customFormat="false" ht="15" hidden="false" customHeight="false" outlineLevel="0" collapsed="false">
      <c r="A6" s="3" t="s">
        <v>340</v>
      </c>
      <c r="B6" s="4"/>
      <c r="C6" s="4"/>
      <c r="D6" s="4"/>
      <c r="E6" s="4"/>
      <c r="F6" s="4"/>
      <c r="G6" s="4"/>
      <c r="H6" s="4"/>
      <c r="I6" s="4"/>
      <c r="J6" s="4"/>
      <c r="K6" s="4"/>
    </row>
    <row r="7" customFormat="false" ht="28.35" hidden="false" customHeight="false" outlineLevel="0" collapsed="false">
      <c r="A7" s="12" t="s">
        <v>341</v>
      </c>
      <c r="B7" s="12" t="s">
        <v>342</v>
      </c>
      <c r="C7" s="12" t="s">
        <v>232</v>
      </c>
      <c r="D7" s="12" t="s">
        <v>343</v>
      </c>
      <c r="E7" s="12" t="s">
        <v>344</v>
      </c>
      <c r="F7" s="12" t="s">
        <v>345</v>
      </c>
      <c r="G7" s="12" t="s">
        <v>276</v>
      </c>
      <c r="H7" s="12" t="s">
        <v>346</v>
      </c>
      <c r="I7" s="12" t="s">
        <v>347</v>
      </c>
      <c r="J7" s="12" t="s">
        <v>348</v>
      </c>
      <c r="K7" s="12" t="s">
        <v>349</v>
      </c>
    </row>
    <row r="8" customFormat="false" ht="28.35" hidden="false" customHeight="false" outlineLevel="0" collapsed="false">
      <c r="A8" s="32" t="s">
        <v>350</v>
      </c>
      <c r="B8" s="7" t="s">
        <v>351</v>
      </c>
      <c r="C8" s="39" t="s">
        <v>352</v>
      </c>
      <c r="D8" s="30" t="s">
        <v>353</v>
      </c>
      <c r="E8" s="30"/>
      <c r="F8" s="30"/>
      <c r="G8" s="30" t="s">
        <v>354</v>
      </c>
      <c r="H8" s="7" t="s">
        <v>355</v>
      </c>
      <c r="I8" s="7" t="s">
        <v>356</v>
      </c>
      <c r="J8" s="32" t="s">
        <v>357</v>
      </c>
      <c r="K8" s="40" t="str">
        <f aca="false">IF(C8="","missing","")</f>
        <v/>
      </c>
    </row>
    <row r="9" customFormat="false" ht="15" hidden="false" customHeight="false" outlineLevel="0" collapsed="false">
      <c r="A9" s="32" t="s">
        <v>358</v>
      </c>
      <c r="B9" s="7" t="s">
        <v>359</v>
      </c>
      <c r="C9" s="39" t="s">
        <v>360</v>
      </c>
      <c r="D9" s="30" t="s">
        <v>353</v>
      </c>
      <c r="E9" s="30"/>
      <c r="F9" s="30"/>
      <c r="G9" s="30" t="s">
        <v>361</v>
      </c>
      <c r="H9" s="7" t="s">
        <v>362</v>
      </c>
      <c r="I9" s="7" t="s">
        <v>363</v>
      </c>
      <c r="J9" s="32" t="s">
        <v>357</v>
      </c>
      <c r="K9" s="40" t="str">
        <f aca="false">IF(C9="","missing","")</f>
        <v/>
      </c>
    </row>
    <row r="10" customFormat="false" ht="68.65" hidden="false" customHeight="false" outlineLevel="0" collapsed="false">
      <c r="A10" s="32" t="s">
        <v>364</v>
      </c>
      <c r="B10" s="7" t="s">
        <v>365</v>
      </c>
      <c r="C10" s="41" t="n">
        <v>46321</v>
      </c>
      <c r="D10" s="30" t="s">
        <v>366</v>
      </c>
      <c r="E10" s="30"/>
      <c r="F10" s="30"/>
      <c r="G10" s="30" t="s">
        <v>367</v>
      </c>
      <c r="H10" s="7" t="s">
        <v>368</v>
      </c>
      <c r="I10" s="7" t="s">
        <v>369</v>
      </c>
      <c r="J10" s="42" t="n">
        <v>46321</v>
      </c>
      <c r="K10" s="40" t="str">
        <f aca="false">IF(C10&amp;""=J10&amp;"","","changed")</f>
        <v/>
      </c>
    </row>
    <row r="11" customFormat="false" ht="15" hidden="false" customHeight="false" outlineLevel="0" collapsed="false">
      <c r="A11" s="32" t="s">
        <v>370</v>
      </c>
      <c r="B11" s="7" t="s">
        <v>371</v>
      </c>
      <c r="C11" s="41" t="n">
        <v>46339</v>
      </c>
      <c r="D11" s="30" t="s">
        <v>366</v>
      </c>
      <c r="E11" s="30"/>
      <c r="F11" s="30"/>
      <c r="G11" s="30" t="s">
        <v>367</v>
      </c>
      <c r="H11" s="7" t="s">
        <v>368</v>
      </c>
      <c r="I11" s="7"/>
      <c r="J11" s="42" t="n">
        <v>46339</v>
      </c>
      <c r="K11" s="40" t="str">
        <f aca="false">IF(C11&amp;""=J11&amp;"","","changed")</f>
        <v/>
      </c>
    </row>
    <row r="12" customFormat="false" ht="15" hidden="false" customHeight="false" outlineLevel="0" collapsed="false">
      <c r="A12" s="32" t="s">
        <v>372</v>
      </c>
      <c r="B12" s="7" t="s">
        <v>373</v>
      </c>
      <c r="C12" s="41" t="n">
        <v>46367</v>
      </c>
      <c r="D12" s="30" t="s">
        <v>366</v>
      </c>
      <c r="E12" s="30"/>
      <c r="F12" s="30"/>
      <c r="G12" s="30" t="s">
        <v>367</v>
      </c>
      <c r="H12" s="7" t="s">
        <v>368</v>
      </c>
      <c r="I12" s="7"/>
      <c r="J12" s="42" t="n">
        <v>46367</v>
      </c>
      <c r="K12" s="40" t="str">
        <f aca="false">IF(C12&amp;""=J12&amp;"","","changed")</f>
        <v/>
      </c>
    </row>
    <row r="13" customFormat="false" ht="41.75" hidden="false" customHeight="false" outlineLevel="0" collapsed="false">
      <c r="A13" s="32" t="s">
        <v>374</v>
      </c>
      <c r="B13" s="7" t="s">
        <v>375</v>
      </c>
      <c r="C13" s="43" t="n">
        <f aca="false">IFERROR(WORKDAY(INDEX(Schedule!$E$7:$E$18,MATCH(Inputs!$C$129,Schedule!$A$7:$A$18,0)),Inputs!$C$132,Lists!$N$4:$N$30),"")</f>
        <v>46409</v>
      </c>
      <c r="D13" s="30" t="s">
        <v>366</v>
      </c>
      <c r="E13" s="30"/>
      <c r="F13" s="30"/>
      <c r="G13" s="30" t="s">
        <v>367</v>
      </c>
      <c r="H13" s="7" t="s">
        <v>368</v>
      </c>
      <c r="I13" s="7" t="s">
        <v>376</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377</v>
      </c>
      <c r="B14" s="7" t="s">
        <v>378</v>
      </c>
      <c r="C14" s="41" t="n">
        <v>46458</v>
      </c>
      <c r="D14" s="30" t="s">
        <v>366</v>
      </c>
      <c r="E14" s="30"/>
      <c r="F14" s="30"/>
      <c r="G14" s="30" t="s">
        <v>367</v>
      </c>
      <c r="H14" s="7" t="s">
        <v>368</v>
      </c>
      <c r="I14" s="7" t="s">
        <v>379</v>
      </c>
      <c r="J14" s="42" t="n">
        <v>46458</v>
      </c>
      <c r="K14" s="40" t="str">
        <f aca="false">IF(C14&amp;""=J14&amp;"","","changed")</f>
        <v/>
      </c>
    </row>
    <row r="15" customFormat="false" ht="15" hidden="false" customHeight="false" outlineLevel="0" collapsed="false">
      <c r="A15" s="32" t="s">
        <v>380</v>
      </c>
      <c r="B15" s="7" t="s">
        <v>381</v>
      </c>
      <c r="C15" s="41" t="n">
        <v>46486</v>
      </c>
      <c r="D15" s="30" t="s">
        <v>366</v>
      </c>
      <c r="E15" s="30"/>
      <c r="F15" s="30"/>
      <c r="G15" s="30" t="s">
        <v>367</v>
      </c>
      <c r="H15" s="7" t="s">
        <v>368</v>
      </c>
      <c r="I15" s="7"/>
      <c r="J15" s="42" t="n">
        <v>46486</v>
      </c>
      <c r="K15" s="40" t="str">
        <f aca="false">IF(C15&amp;""=J15&amp;"","","changed")</f>
        <v/>
      </c>
    </row>
    <row r="16" customFormat="false" ht="28.35" hidden="false" customHeight="false" outlineLevel="0" collapsed="false">
      <c r="A16" s="32" t="s">
        <v>382</v>
      </c>
      <c r="B16" s="7" t="s">
        <v>383</v>
      </c>
      <c r="C16" s="41" t="n">
        <v>46430</v>
      </c>
      <c r="D16" s="30" t="s">
        <v>366</v>
      </c>
      <c r="E16" s="30"/>
      <c r="F16" s="30"/>
      <c r="G16" s="30" t="s">
        <v>384</v>
      </c>
      <c r="H16" s="7" t="s">
        <v>385</v>
      </c>
      <c r="I16" s="7" t="s">
        <v>386</v>
      </c>
      <c r="J16" s="42"/>
      <c r="K16" s="40" t="str">
        <f aca="false">IF(C16&amp;""=J16&amp;"","","changed")</f>
        <v>changed</v>
      </c>
    </row>
    <row r="17" customFormat="false" ht="15" hidden="false" customHeight="false" outlineLevel="0" collapsed="false">
      <c r="A17" s="32" t="s">
        <v>387</v>
      </c>
      <c r="B17" s="7" t="s">
        <v>388</v>
      </c>
      <c r="C17" s="44" t="n">
        <f aca="true">IF(C16="",TODAY(),C16)</f>
        <v>46430</v>
      </c>
      <c r="D17" s="30" t="s">
        <v>366</v>
      </c>
      <c r="E17" s="30"/>
      <c r="F17" s="30"/>
      <c r="G17" s="30" t="s">
        <v>389</v>
      </c>
      <c r="H17" s="7" t="s">
        <v>390</v>
      </c>
      <c r="I17" s="7"/>
      <c r="J17" s="30"/>
      <c r="K17" s="30"/>
    </row>
    <row r="18" customFormat="false" ht="15" hidden="false" customHeight="false" outlineLevel="0" collapsed="false">
      <c r="A18" s="32" t="s">
        <v>391</v>
      </c>
      <c r="B18" s="7" t="s">
        <v>392</v>
      </c>
      <c r="C18" s="39" t="n">
        <v>7</v>
      </c>
      <c r="D18" s="30" t="s">
        <v>393</v>
      </c>
      <c r="E18" s="30"/>
      <c r="F18" s="30"/>
      <c r="G18" s="30" t="s">
        <v>394</v>
      </c>
      <c r="H18" s="7" t="s">
        <v>395</v>
      </c>
      <c r="I18" s="7"/>
      <c r="J18" s="32" t="n">
        <v>7</v>
      </c>
      <c r="K18" s="40" t="str">
        <f aca="false">IF(C18&amp;""=J18&amp;"","","changed")</f>
        <v/>
      </c>
    </row>
    <row r="19" customFormat="false" ht="15" hidden="false" customHeight="false" outlineLevel="0" collapsed="false">
      <c r="A19" s="32" t="s">
        <v>396</v>
      </c>
      <c r="B19" s="7" t="s">
        <v>397</v>
      </c>
      <c r="C19" s="39" t="n">
        <v>52</v>
      </c>
      <c r="D19" s="30" t="s">
        <v>398</v>
      </c>
      <c r="E19" s="30"/>
      <c r="F19" s="30"/>
      <c r="G19" s="30" t="s">
        <v>394</v>
      </c>
      <c r="H19" s="7" t="s">
        <v>395</v>
      </c>
      <c r="I19" s="7"/>
      <c r="J19" s="32" t="n">
        <v>52</v>
      </c>
      <c r="K19" s="40" t="str">
        <f aca="false">IF(C19&amp;""=J19&amp;"","","changed")</f>
        <v/>
      </c>
    </row>
    <row r="20" customFormat="false" ht="15" hidden="false" customHeight="false" outlineLevel="0" collapsed="false">
      <c r="A20" s="32" t="s">
        <v>399</v>
      </c>
      <c r="B20" s="7" t="s">
        <v>400</v>
      </c>
      <c r="C20" s="39" t="n">
        <v>12</v>
      </c>
      <c r="D20" s="30" t="s">
        <v>401</v>
      </c>
      <c r="E20" s="30"/>
      <c r="F20" s="30"/>
      <c r="G20" s="30" t="s">
        <v>394</v>
      </c>
      <c r="H20" s="7" t="s">
        <v>395</v>
      </c>
      <c r="I20" s="7"/>
      <c r="J20" s="32" t="n">
        <v>12</v>
      </c>
      <c r="K20" s="40" t="str">
        <f aca="false">IF(C20&amp;""=J20&amp;"","","changed")</f>
        <v/>
      </c>
    </row>
    <row r="21" customFormat="false" ht="15" hidden="false" customHeight="false" outlineLevel="0" collapsed="false">
      <c r="A21" s="32" t="s">
        <v>402</v>
      </c>
      <c r="B21" s="7" t="s">
        <v>403</v>
      </c>
      <c r="C21" s="45" t="n">
        <f aca="false">Inputs!$C$19/Inputs!$C$20</f>
        <v>4.33333333333333</v>
      </c>
      <c r="D21" s="30" t="s">
        <v>398</v>
      </c>
      <c r="E21" s="30"/>
      <c r="F21" s="30"/>
      <c r="G21" s="30" t="s">
        <v>389</v>
      </c>
      <c r="H21" s="7" t="s">
        <v>404</v>
      </c>
      <c r="I21" s="7"/>
      <c r="J21" s="30"/>
      <c r="K21" s="30"/>
    </row>
    <row r="22" customFormat="false" ht="15" hidden="false" customHeight="false" outlineLevel="0" collapsed="false">
      <c r="A22" s="32" t="s">
        <v>405</v>
      </c>
      <c r="B22" s="7" t="s">
        <v>406</v>
      </c>
      <c r="C22" s="39" t="n">
        <v>24</v>
      </c>
      <c r="D22" s="30" t="s">
        <v>407</v>
      </c>
      <c r="E22" s="30"/>
      <c r="F22" s="30"/>
      <c r="G22" s="30" t="s">
        <v>394</v>
      </c>
      <c r="H22" s="7" t="s">
        <v>395</v>
      </c>
      <c r="I22" s="7"/>
      <c r="J22" s="32" t="n">
        <v>24</v>
      </c>
      <c r="K22" s="40" t="str">
        <f aca="false">IF(C22&amp;""=J22&amp;"","","changed")</f>
        <v/>
      </c>
    </row>
    <row r="23" customFormat="false" ht="15" hidden="false" customHeight="false" outlineLevel="0" collapsed="false">
      <c r="A23" s="32" t="s">
        <v>408</v>
      </c>
      <c r="B23" s="7" t="s">
        <v>409</v>
      </c>
      <c r="C23" s="39" t="n">
        <v>5</v>
      </c>
      <c r="D23" s="30" t="s">
        <v>410</v>
      </c>
      <c r="E23" s="30"/>
      <c r="F23" s="30"/>
      <c r="G23" s="30" t="s">
        <v>411</v>
      </c>
      <c r="H23" s="7" t="s">
        <v>412</v>
      </c>
      <c r="I23" s="7" t="s">
        <v>413</v>
      </c>
      <c r="J23" s="32" t="n">
        <v>5</v>
      </c>
      <c r="K23" s="40" t="str">
        <f aca="false">IF(C23&amp;""=J23&amp;"","","changed")</f>
        <v/>
      </c>
    </row>
    <row r="24" customFormat="false" ht="28.35" hidden="false" customHeight="false" outlineLevel="0" collapsed="false">
      <c r="A24" s="32" t="s">
        <v>414</v>
      </c>
      <c r="B24" s="7" t="s">
        <v>415</v>
      </c>
      <c r="C24" s="39" t="n">
        <v>10</v>
      </c>
      <c r="D24" s="30" t="s">
        <v>410</v>
      </c>
      <c r="E24" s="30"/>
      <c r="F24" s="30"/>
      <c r="G24" s="30" t="s">
        <v>411</v>
      </c>
      <c r="H24" s="7" t="s">
        <v>416</v>
      </c>
      <c r="I24" s="7" t="s">
        <v>417</v>
      </c>
      <c r="J24" s="32" t="n">
        <v>10</v>
      </c>
      <c r="K24" s="40" t="str">
        <f aca="false">IF(C24&amp;""=J24&amp;"","","changed")</f>
        <v/>
      </c>
    </row>
    <row r="25" customFormat="false" ht="41.75" hidden="false" customHeight="false" outlineLevel="0" collapsed="false">
      <c r="A25" s="32" t="s">
        <v>418</v>
      </c>
      <c r="B25" s="7" t="s">
        <v>419</v>
      </c>
      <c r="C25" s="39" t="n">
        <v>4</v>
      </c>
      <c r="D25" s="30" t="s">
        <v>410</v>
      </c>
      <c r="E25" s="30"/>
      <c r="F25" s="30"/>
      <c r="G25" s="30" t="s">
        <v>367</v>
      </c>
      <c r="H25" s="7" t="s">
        <v>420</v>
      </c>
      <c r="I25" s="7" t="s">
        <v>421</v>
      </c>
      <c r="J25" s="32" t="n">
        <v>4</v>
      </c>
      <c r="K25" s="40" t="str">
        <f aca="false">IF(C25&amp;""=J25&amp;"","","changed")</f>
        <v/>
      </c>
    </row>
    <row r="26" customFormat="false" ht="55.2" hidden="false" customHeight="false" outlineLevel="0" collapsed="false">
      <c r="A26" s="32" t="s">
        <v>422</v>
      </c>
      <c r="B26" s="7" t="s">
        <v>423</v>
      </c>
      <c r="C26" s="39" t="n">
        <v>3</v>
      </c>
      <c r="D26" s="30" t="s">
        <v>410</v>
      </c>
      <c r="E26" s="30"/>
      <c r="F26" s="30"/>
      <c r="G26" s="30" t="s">
        <v>367</v>
      </c>
      <c r="H26" s="7" t="s">
        <v>424</v>
      </c>
      <c r="I26" s="7" t="s">
        <v>425</v>
      </c>
      <c r="J26" s="32" t="n">
        <v>3</v>
      </c>
      <c r="K26" s="40" t="str">
        <f aca="false">IF(C26&amp;""=J26&amp;"","","changed")</f>
        <v/>
      </c>
    </row>
    <row r="27" customFormat="false" ht="41.75" hidden="false" customHeight="false" outlineLevel="0" collapsed="false">
      <c r="A27" s="32" t="s">
        <v>426</v>
      </c>
      <c r="B27" s="7" t="s">
        <v>427</v>
      </c>
      <c r="C27" s="39" t="n">
        <v>5</v>
      </c>
      <c r="D27" s="30" t="s">
        <v>410</v>
      </c>
      <c r="E27" s="30"/>
      <c r="F27" s="30"/>
      <c r="G27" s="30" t="s">
        <v>367</v>
      </c>
      <c r="H27" s="7" t="s">
        <v>428</v>
      </c>
      <c r="I27" s="7" t="s">
        <v>429</v>
      </c>
      <c r="J27" s="32" t="n">
        <v>5</v>
      </c>
      <c r="K27" s="40" t="str">
        <f aca="false">IF(C27&amp;""=J27&amp;"","","changed")</f>
        <v/>
      </c>
    </row>
    <row r="28" customFormat="false" ht="41.75" hidden="false" customHeight="false" outlineLevel="0" collapsed="false">
      <c r="A28" s="32" t="s">
        <v>430</v>
      </c>
      <c r="B28" s="7" t="s">
        <v>431</v>
      </c>
      <c r="C28" s="39" t="n">
        <v>10</v>
      </c>
      <c r="D28" s="30" t="s">
        <v>410</v>
      </c>
      <c r="E28" s="30"/>
      <c r="F28" s="30"/>
      <c r="G28" s="30" t="s">
        <v>367</v>
      </c>
      <c r="H28" s="7" t="s">
        <v>432</v>
      </c>
      <c r="I28" s="7" t="s">
        <v>433</v>
      </c>
      <c r="J28" s="32" t="n">
        <v>10</v>
      </c>
      <c r="K28" s="40" t="str">
        <f aca="false">IF(C28&amp;""=J28&amp;"","","changed")</f>
        <v/>
      </c>
    </row>
    <row r="29" customFormat="false" ht="28.35" hidden="false" customHeight="false" outlineLevel="0" collapsed="false">
      <c r="A29" s="32" t="s">
        <v>434</v>
      </c>
      <c r="B29" s="7" t="s">
        <v>435</v>
      </c>
      <c r="C29" s="39" t="n">
        <v>6</v>
      </c>
      <c r="D29" s="30" t="s">
        <v>398</v>
      </c>
      <c r="E29" s="30"/>
      <c r="F29" s="30"/>
      <c r="G29" s="30" t="s">
        <v>411</v>
      </c>
      <c r="H29" s="7" t="s">
        <v>436</v>
      </c>
      <c r="I29" s="7" t="s">
        <v>437</v>
      </c>
      <c r="J29" s="32" t="n">
        <v>6</v>
      </c>
      <c r="K29" s="40" t="str">
        <f aca="false">IF(C29&amp;""=J29&amp;"","","changed")</f>
        <v/>
      </c>
    </row>
    <row r="30" customFormat="false" ht="15" hidden="false" customHeight="false" outlineLevel="0" collapsed="false">
      <c r="A30" s="32" t="s">
        <v>438</v>
      </c>
      <c r="B30" s="7" t="s">
        <v>439</v>
      </c>
      <c r="C30" s="39" t="s">
        <v>440</v>
      </c>
      <c r="D30" s="30" t="s">
        <v>353</v>
      </c>
      <c r="E30" s="30"/>
      <c r="F30" s="30"/>
      <c r="G30" s="30" t="s">
        <v>441</v>
      </c>
      <c r="H30" s="7" t="s">
        <v>442</v>
      </c>
      <c r="I30" s="7" t="s">
        <v>443</v>
      </c>
      <c r="J30" s="32" t="s">
        <v>440</v>
      </c>
      <c r="K30" s="40" t="str">
        <f aca="false">IF(C30&amp;""=J30&amp;"","","changed")</f>
        <v/>
      </c>
    </row>
    <row r="31" customFormat="false" ht="28.35" hidden="false" customHeight="false" outlineLevel="0" collapsed="false">
      <c r="A31" s="32" t="s">
        <v>444</v>
      </c>
      <c r="B31" s="7" t="s">
        <v>445</v>
      </c>
      <c r="C31" s="39" t="n">
        <v>28</v>
      </c>
      <c r="D31" s="30" t="s">
        <v>393</v>
      </c>
      <c r="E31" s="30"/>
      <c r="F31" s="30"/>
      <c r="G31" s="30" t="s">
        <v>367</v>
      </c>
      <c r="H31" s="7" t="s">
        <v>446</v>
      </c>
      <c r="I31" s="7" t="s">
        <v>447</v>
      </c>
      <c r="J31" s="32" t="n">
        <v>28</v>
      </c>
      <c r="K31" s="40" t="str">
        <f aca="false">IF(C31&amp;""=J31&amp;"","","changed")</f>
        <v/>
      </c>
    </row>
    <row r="33" customFormat="false" ht="15" hidden="false" customHeight="false" outlineLevel="0" collapsed="false">
      <c r="A33" s="3" t="s">
        <v>448</v>
      </c>
      <c r="B33" s="4"/>
      <c r="C33" s="4"/>
      <c r="D33" s="4"/>
      <c r="E33" s="4"/>
      <c r="F33" s="4"/>
      <c r="G33" s="4"/>
      <c r="H33" s="4"/>
      <c r="I33" s="4"/>
      <c r="J33" s="4"/>
      <c r="K33" s="4"/>
    </row>
    <row r="34" customFormat="false" ht="28.35" hidden="false" customHeight="false" outlineLevel="0" collapsed="false">
      <c r="A34" s="12" t="s">
        <v>341</v>
      </c>
      <c r="B34" s="12" t="s">
        <v>342</v>
      </c>
      <c r="C34" s="12" t="s">
        <v>232</v>
      </c>
      <c r="D34" s="12" t="s">
        <v>343</v>
      </c>
      <c r="E34" s="12" t="s">
        <v>344</v>
      </c>
      <c r="F34" s="12" t="s">
        <v>345</v>
      </c>
      <c r="G34" s="12" t="s">
        <v>276</v>
      </c>
      <c r="H34" s="12" t="s">
        <v>346</v>
      </c>
      <c r="I34" s="12" t="s">
        <v>347</v>
      </c>
      <c r="J34" s="12" t="s">
        <v>348</v>
      </c>
      <c r="K34" s="12" t="s">
        <v>349</v>
      </c>
    </row>
    <row r="35" customFormat="false" ht="28.35" hidden="false" customHeight="false" outlineLevel="0" collapsed="false">
      <c r="A35" s="32" t="s">
        <v>449</v>
      </c>
      <c r="B35" s="7" t="s">
        <v>450</v>
      </c>
      <c r="C35" s="39" t="s">
        <v>451</v>
      </c>
      <c r="D35" s="30" t="s">
        <v>452</v>
      </c>
      <c r="E35" s="30"/>
      <c r="F35" s="30"/>
      <c r="G35" s="30" t="s">
        <v>384</v>
      </c>
      <c r="H35" s="7" t="s">
        <v>453</v>
      </c>
      <c r="I35" s="7" t="s">
        <v>454</v>
      </c>
      <c r="J35" s="32" t="s">
        <v>451</v>
      </c>
      <c r="K35" s="40" t="str">
        <f aca="false">IF(C35&amp;""=J35&amp;"","","changed")</f>
        <v/>
      </c>
    </row>
    <row r="37" customFormat="false" ht="15" hidden="false" customHeight="false" outlineLevel="0" collapsed="false">
      <c r="A37" s="3" t="s">
        <v>455</v>
      </c>
      <c r="B37" s="4"/>
      <c r="C37" s="4"/>
      <c r="D37" s="4"/>
      <c r="E37" s="4"/>
      <c r="F37" s="4"/>
      <c r="G37" s="4"/>
      <c r="H37" s="4"/>
      <c r="I37" s="4"/>
      <c r="J37" s="4"/>
      <c r="K37" s="4"/>
    </row>
    <row r="38" customFormat="false" ht="28.35" hidden="false" customHeight="false" outlineLevel="0" collapsed="false">
      <c r="A38" s="12" t="s">
        <v>341</v>
      </c>
      <c r="B38" s="12" t="s">
        <v>342</v>
      </c>
      <c r="C38" s="12" t="s">
        <v>232</v>
      </c>
      <c r="D38" s="12" t="s">
        <v>343</v>
      </c>
      <c r="E38" s="12" t="s">
        <v>344</v>
      </c>
      <c r="F38" s="12" t="s">
        <v>345</v>
      </c>
      <c r="G38" s="12" t="s">
        <v>276</v>
      </c>
      <c r="H38" s="12" t="s">
        <v>346</v>
      </c>
      <c r="I38" s="12" t="s">
        <v>347</v>
      </c>
      <c r="J38" s="12" t="s">
        <v>348</v>
      </c>
      <c r="K38" s="12" t="s">
        <v>349</v>
      </c>
    </row>
    <row r="39" customFormat="false" ht="15" hidden="false" customHeight="false" outlineLevel="0" collapsed="false">
      <c r="A39" s="32" t="s">
        <v>456</v>
      </c>
      <c r="B39" s="7" t="s">
        <v>457</v>
      </c>
      <c r="C39" s="46" t="n">
        <v>150</v>
      </c>
      <c r="D39" s="30" t="s">
        <v>458</v>
      </c>
      <c r="E39" s="30"/>
      <c r="F39" s="30"/>
      <c r="G39" s="30" t="s">
        <v>411</v>
      </c>
      <c r="H39" s="7" t="s">
        <v>459</v>
      </c>
      <c r="I39" s="7" t="s">
        <v>460</v>
      </c>
      <c r="J39" s="47" t="n">
        <v>150</v>
      </c>
      <c r="K39" s="40" t="str">
        <f aca="false">IF(C39&amp;""=J39&amp;"","","changed")</f>
        <v/>
      </c>
    </row>
    <row r="40" customFormat="false" ht="15" hidden="false" customHeight="false" outlineLevel="0" collapsed="false">
      <c r="A40" s="32" t="s">
        <v>461</v>
      </c>
      <c r="B40" s="7" t="s">
        <v>462</v>
      </c>
      <c r="C40" s="39" t="n">
        <v>10</v>
      </c>
      <c r="D40" s="30" t="s">
        <v>463</v>
      </c>
      <c r="E40" s="30"/>
      <c r="F40" s="30"/>
      <c r="G40" s="30" t="s">
        <v>411</v>
      </c>
      <c r="H40" s="7" t="s">
        <v>459</v>
      </c>
      <c r="I40" s="7"/>
      <c r="J40" s="32" t="n">
        <v>10</v>
      </c>
      <c r="K40" s="40" t="str">
        <f aca="false">IF(C40&amp;""=J40&amp;"","","changed")</f>
        <v/>
      </c>
    </row>
    <row r="41" customFormat="false" ht="15" hidden="false" customHeight="false" outlineLevel="0" collapsed="false">
      <c r="A41" s="32" t="s">
        <v>464</v>
      </c>
      <c r="B41" s="7" t="s">
        <v>465</v>
      </c>
      <c r="C41" s="48" t="n">
        <f aca="false">Inputs!$C$39*Inputs!$C$40</f>
        <v>1500</v>
      </c>
      <c r="D41" s="30" t="s">
        <v>466</v>
      </c>
      <c r="E41" s="30"/>
      <c r="F41" s="30"/>
      <c r="G41" s="30" t="s">
        <v>389</v>
      </c>
      <c r="H41" s="7" t="s">
        <v>467</v>
      </c>
      <c r="I41" s="7"/>
      <c r="J41" s="30"/>
      <c r="K41" s="30"/>
    </row>
    <row r="42" customFormat="false" ht="28.35" hidden="false" customHeight="false" outlineLevel="0" collapsed="false">
      <c r="A42" s="32" t="s">
        <v>468</v>
      </c>
      <c r="B42" s="7" t="s">
        <v>469</v>
      </c>
      <c r="C42" s="46" t="n">
        <v>120</v>
      </c>
      <c r="D42" s="30" t="s">
        <v>458</v>
      </c>
      <c r="E42" s="19" t="n">
        <v>120</v>
      </c>
      <c r="F42" s="19" t="n">
        <v>180</v>
      </c>
      <c r="G42" s="30" t="s">
        <v>411</v>
      </c>
      <c r="H42" s="7" t="s">
        <v>459</v>
      </c>
      <c r="I42" s="7" t="s">
        <v>470</v>
      </c>
      <c r="J42" s="47" t="n">
        <v>120</v>
      </c>
      <c r="K42" s="40" t="str">
        <f aca="false">IF(C42&amp;""=J42&amp;"","","changed")</f>
        <v/>
      </c>
    </row>
    <row r="43" customFormat="false" ht="15" hidden="false" customHeight="false" outlineLevel="0" collapsed="false">
      <c r="A43" s="32" t="s">
        <v>471</v>
      </c>
      <c r="B43" s="7" t="s">
        <v>472</v>
      </c>
      <c r="C43" s="39" t="n">
        <v>5</v>
      </c>
      <c r="D43" s="30" t="s">
        <v>463</v>
      </c>
      <c r="E43" s="30"/>
      <c r="F43" s="30"/>
      <c r="G43" s="30" t="s">
        <v>411</v>
      </c>
      <c r="H43" s="7" t="s">
        <v>459</v>
      </c>
      <c r="I43" s="7"/>
      <c r="J43" s="32" t="n">
        <v>5</v>
      </c>
      <c r="K43" s="40" t="str">
        <f aca="false">IF(C43&amp;""=J43&amp;"","","changed")</f>
        <v/>
      </c>
    </row>
    <row r="44" customFormat="false" ht="15" hidden="false" customHeight="false" outlineLevel="0" collapsed="false">
      <c r="A44" s="32" t="s">
        <v>473</v>
      </c>
      <c r="B44" s="7" t="s">
        <v>474</v>
      </c>
      <c r="C44" s="48" t="n">
        <f aca="false">Inputs!$C$42*Inputs!$C$43</f>
        <v>600</v>
      </c>
      <c r="D44" s="30" t="s">
        <v>466</v>
      </c>
      <c r="E44" s="30"/>
      <c r="F44" s="30"/>
      <c r="G44" s="30" t="s">
        <v>389</v>
      </c>
      <c r="H44" s="7" t="s">
        <v>467</v>
      </c>
      <c r="I44" s="7"/>
      <c r="J44" s="30"/>
      <c r="K44" s="30"/>
    </row>
    <row r="45" customFormat="false" ht="28.35" hidden="false" customHeight="false" outlineLevel="0" collapsed="false">
      <c r="A45" s="32" t="s">
        <v>475</v>
      </c>
      <c r="B45" s="7" t="s">
        <v>476</v>
      </c>
      <c r="C45" s="46" t="n">
        <v>150</v>
      </c>
      <c r="D45" s="30" t="s">
        <v>458</v>
      </c>
      <c r="E45" s="30"/>
      <c r="F45" s="30"/>
      <c r="G45" s="30" t="s">
        <v>411</v>
      </c>
      <c r="H45" s="7" t="s">
        <v>459</v>
      </c>
      <c r="I45" s="7" t="s">
        <v>477</v>
      </c>
      <c r="J45" s="47" t="n">
        <v>150</v>
      </c>
      <c r="K45" s="40" t="str">
        <f aca="false">IF(C45&amp;""=J45&amp;"","","changed")</f>
        <v/>
      </c>
    </row>
    <row r="46" customFormat="false" ht="15" hidden="false" customHeight="false" outlineLevel="0" collapsed="false">
      <c r="A46" s="32" t="s">
        <v>478</v>
      </c>
      <c r="B46" s="7" t="s">
        <v>479</v>
      </c>
      <c r="C46" s="39" t="n">
        <v>3</v>
      </c>
      <c r="D46" s="30" t="s">
        <v>480</v>
      </c>
      <c r="E46" s="30"/>
      <c r="F46" s="30"/>
      <c r="G46" s="30" t="s">
        <v>411</v>
      </c>
      <c r="H46" s="7" t="s">
        <v>459</v>
      </c>
      <c r="I46" s="7" t="s">
        <v>481</v>
      </c>
      <c r="J46" s="32" t="n">
        <v>3</v>
      </c>
      <c r="K46" s="40" t="str">
        <f aca="false">IF(C46&amp;""=J46&amp;"","","changed")</f>
        <v/>
      </c>
    </row>
    <row r="47" customFormat="false" ht="15" hidden="false" customHeight="false" outlineLevel="0" collapsed="false">
      <c r="A47" s="32" t="s">
        <v>482</v>
      </c>
      <c r="B47" s="7" t="s">
        <v>483</v>
      </c>
      <c r="C47" s="39" t="n">
        <v>2</v>
      </c>
      <c r="D47" s="30" t="s">
        <v>484</v>
      </c>
      <c r="E47" s="30"/>
      <c r="F47" s="30"/>
      <c r="G47" s="30" t="s">
        <v>411</v>
      </c>
      <c r="H47" s="7" t="s">
        <v>459</v>
      </c>
      <c r="I47" s="7"/>
      <c r="J47" s="32" t="n">
        <v>2</v>
      </c>
      <c r="K47" s="40" t="str">
        <f aca="false">IF(C47&amp;""=J47&amp;"","","changed")</f>
        <v/>
      </c>
    </row>
    <row r="48" customFormat="false" ht="15" hidden="false" customHeight="false" outlineLevel="0" collapsed="false">
      <c r="A48" s="32" t="s">
        <v>485</v>
      </c>
      <c r="B48" s="7" t="s">
        <v>486</v>
      </c>
      <c r="C48" s="49" t="n">
        <v>1</v>
      </c>
      <c r="D48" s="30" t="s">
        <v>487</v>
      </c>
      <c r="E48" s="30"/>
      <c r="F48" s="30"/>
      <c r="G48" s="30" t="s">
        <v>411</v>
      </c>
      <c r="H48" s="7" t="s">
        <v>459</v>
      </c>
      <c r="I48" s="7" t="s">
        <v>488</v>
      </c>
      <c r="J48" s="50" t="n">
        <v>1</v>
      </c>
      <c r="K48" s="40" t="str">
        <f aca="false">IF(C48&amp;""=J48&amp;"","","changed")</f>
        <v/>
      </c>
    </row>
    <row r="49" customFormat="false" ht="28.35" hidden="false" customHeight="false" outlineLevel="0" collapsed="false">
      <c r="A49" s="32" t="s">
        <v>489</v>
      </c>
      <c r="B49" s="7" t="s">
        <v>490</v>
      </c>
      <c r="C49" s="39" t="n">
        <v>20</v>
      </c>
      <c r="D49" s="30" t="s">
        <v>410</v>
      </c>
      <c r="E49" s="30"/>
      <c r="F49" s="30"/>
      <c r="G49" s="30" t="s">
        <v>367</v>
      </c>
      <c r="H49" s="7" t="s">
        <v>368</v>
      </c>
      <c r="I49" s="7" t="s">
        <v>491</v>
      </c>
      <c r="J49" s="32" t="n">
        <v>20</v>
      </c>
      <c r="K49" s="40" t="str">
        <f aca="false">IF(C49&amp;""=J49&amp;"","","changed")</f>
        <v/>
      </c>
    </row>
    <row r="50" customFormat="false" ht="15" hidden="false" customHeight="false" outlineLevel="0" collapsed="false">
      <c r="A50" s="32" t="s">
        <v>492</v>
      </c>
      <c r="B50" s="7" t="s">
        <v>493</v>
      </c>
      <c r="C50" s="49" t="n">
        <v>0.5</v>
      </c>
      <c r="D50" s="30" t="s">
        <v>487</v>
      </c>
      <c r="E50" s="30"/>
      <c r="F50" s="30"/>
      <c r="G50" s="30" t="s">
        <v>411</v>
      </c>
      <c r="H50" s="7" t="s">
        <v>459</v>
      </c>
      <c r="I50" s="7" t="s">
        <v>494</v>
      </c>
      <c r="J50" s="50" t="n">
        <v>0.5</v>
      </c>
      <c r="K50" s="40" t="str">
        <f aca="false">IF(C50&amp;""=J50&amp;"","","changed")</f>
        <v/>
      </c>
    </row>
    <row r="51" customFormat="false" ht="41.75" hidden="false" customHeight="false" outlineLevel="0" collapsed="false">
      <c r="A51" s="32" t="s">
        <v>495</v>
      </c>
      <c r="B51" s="7" t="s">
        <v>496</v>
      </c>
      <c r="C51" s="39" t="n">
        <v>10</v>
      </c>
      <c r="D51" s="30" t="s">
        <v>410</v>
      </c>
      <c r="E51" s="30"/>
      <c r="F51" s="30"/>
      <c r="G51" s="30" t="s">
        <v>367</v>
      </c>
      <c r="H51" s="7" t="s">
        <v>497</v>
      </c>
      <c r="I51" s="7" t="s">
        <v>498</v>
      </c>
      <c r="J51" s="32" t="n">
        <v>10</v>
      </c>
      <c r="K51" s="40" t="str">
        <f aca="false">IF(C51&amp;""=J51&amp;"","","changed")</f>
        <v/>
      </c>
    </row>
    <row r="52" customFormat="false" ht="28.35" hidden="false" customHeight="false" outlineLevel="0" collapsed="false">
      <c r="A52" s="32" t="s">
        <v>499</v>
      </c>
      <c r="B52" s="7" t="s">
        <v>500</v>
      </c>
      <c r="C52" s="39" t="n">
        <v>1</v>
      </c>
      <c r="D52" s="30" t="s">
        <v>410</v>
      </c>
      <c r="E52" s="30"/>
      <c r="F52" s="30"/>
      <c r="G52" s="30" t="s">
        <v>367</v>
      </c>
      <c r="H52" s="7" t="s">
        <v>501</v>
      </c>
      <c r="I52" s="7" t="s">
        <v>502</v>
      </c>
      <c r="J52" s="32" t="n">
        <v>1</v>
      </c>
      <c r="K52" s="40" t="str">
        <f aca="false">IF(C52&amp;""=J52&amp;"","","changed")</f>
        <v/>
      </c>
    </row>
    <row r="53" customFormat="false" ht="28.35" hidden="false" customHeight="false" outlineLevel="0" collapsed="false">
      <c r="A53" s="32" t="s">
        <v>503</v>
      </c>
      <c r="B53" s="7" t="s">
        <v>504</v>
      </c>
      <c r="C53" s="39"/>
      <c r="D53" s="30" t="s">
        <v>505</v>
      </c>
      <c r="E53" s="30"/>
      <c r="F53" s="30"/>
      <c r="G53" s="30" t="s">
        <v>506</v>
      </c>
      <c r="H53" s="7" t="s">
        <v>507</v>
      </c>
      <c r="I53" s="7" t="s">
        <v>508</v>
      </c>
      <c r="J53" s="32"/>
      <c r="K53" s="40" t="str">
        <f aca="false">IF(C53&amp;""=J53&amp;"","","changed")</f>
        <v/>
      </c>
    </row>
    <row r="54" customFormat="false" ht="15" hidden="false" customHeight="false" outlineLevel="0" collapsed="false">
      <c r="A54" s="32" t="s">
        <v>509</v>
      </c>
      <c r="B54" s="7" t="s">
        <v>510</v>
      </c>
      <c r="C54" s="51" t="n">
        <v>0.03</v>
      </c>
      <c r="D54" s="30" t="s">
        <v>511</v>
      </c>
      <c r="E54" s="30"/>
      <c r="F54" s="30"/>
      <c r="G54" s="30" t="s">
        <v>411</v>
      </c>
      <c r="H54" s="7" t="s">
        <v>512</v>
      </c>
      <c r="I54" s="7" t="s">
        <v>513</v>
      </c>
      <c r="J54" s="52" t="n">
        <v>0.03</v>
      </c>
      <c r="K54" s="40" t="str">
        <f aca="false">IF(C54&amp;""=J54&amp;"","","changed")</f>
        <v/>
      </c>
    </row>
    <row r="55" customFormat="false" ht="41.75" hidden="false" customHeight="false" outlineLevel="0" collapsed="false">
      <c r="A55" s="32" t="s">
        <v>514</v>
      </c>
      <c r="B55" s="7" t="s">
        <v>515</v>
      </c>
      <c r="C55" s="39" t="n">
        <v>1</v>
      </c>
      <c r="D55" s="30" t="s">
        <v>516</v>
      </c>
      <c r="E55" s="30" t="n">
        <v>0</v>
      </c>
      <c r="F55" s="30" t="n">
        <v>1</v>
      </c>
      <c r="G55" s="30" t="s">
        <v>384</v>
      </c>
      <c r="H55" s="7" t="s">
        <v>512</v>
      </c>
      <c r="I55" s="7" t="s">
        <v>517</v>
      </c>
      <c r="J55" s="32" t="n">
        <v>1</v>
      </c>
      <c r="K55" s="40" t="str">
        <f aca="false">IF(C55&amp;""=J55&amp;"","","changed")</f>
        <v/>
      </c>
    </row>
    <row r="57" customFormat="false" ht="15" hidden="false" customHeight="false" outlineLevel="0" collapsed="false">
      <c r="A57" s="3" t="s">
        <v>518</v>
      </c>
      <c r="B57" s="4"/>
      <c r="C57" s="4"/>
      <c r="D57" s="4"/>
      <c r="E57" s="4"/>
      <c r="F57" s="4"/>
      <c r="G57" s="4"/>
      <c r="H57" s="4"/>
      <c r="I57" s="4"/>
      <c r="J57" s="4"/>
      <c r="K57" s="4"/>
    </row>
    <row r="58" customFormat="false" ht="28.35" hidden="false" customHeight="false" outlineLevel="0" collapsed="false">
      <c r="A58" s="12" t="s">
        <v>341</v>
      </c>
      <c r="B58" s="12" t="s">
        <v>342</v>
      </c>
      <c r="C58" s="12" t="s">
        <v>232</v>
      </c>
      <c r="D58" s="12" t="s">
        <v>343</v>
      </c>
      <c r="E58" s="12" t="s">
        <v>344</v>
      </c>
      <c r="F58" s="12" t="s">
        <v>345</v>
      </c>
      <c r="G58" s="12" t="s">
        <v>276</v>
      </c>
      <c r="H58" s="12" t="s">
        <v>346</v>
      </c>
      <c r="I58" s="12" t="s">
        <v>347</v>
      </c>
      <c r="J58" s="12" t="s">
        <v>348</v>
      </c>
      <c r="K58" s="12" t="s">
        <v>349</v>
      </c>
    </row>
    <row r="59" customFormat="false" ht="28.35" hidden="false" customHeight="false" outlineLevel="0" collapsed="false">
      <c r="A59" s="32" t="s">
        <v>519</v>
      </c>
      <c r="B59" s="7" t="s">
        <v>520</v>
      </c>
      <c r="C59" s="39" t="n">
        <v>5</v>
      </c>
      <c r="D59" s="30" t="s">
        <v>463</v>
      </c>
      <c r="E59" s="30"/>
      <c r="F59" s="30"/>
      <c r="G59" s="30" t="s">
        <v>411</v>
      </c>
      <c r="H59" s="7" t="s">
        <v>521</v>
      </c>
      <c r="I59" s="7"/>
      <c r="J59" s="32" t="n">
        <v>5</v>
      </c>
      <c r="K59" s="40" t="str">
        <f aca="false">IF(C59&amp;""=J59&amp;"","","changed")</f>
        <v/>
      </c>
    </row>
    <row r="60" customFormat="false" ht="28.35" hidden="false" customHeight="false" outlineLevel="0" collapsed="false">
      <c r="A60" s="32" t="s">
        <v>522</v>
      </c>
      <c r="B60" s="7" t="s">
        <v>523</v>
      </c>
      <c r="C60" s="39" t="n">
        <v>2</v>
      </c>
      <c r="D60" s="30" t="s">
        <v>480</v>
      </c>
      <c r="E60" s="30"/>
      <c r="F60" s="30"/>
      <c r="G60" s="30" t="s">
        <v>411</v>
      </c>
      <c r="H60" s="7" t="s">
        <v>524</v>
      </c>
      <c r="I60" s="7"/>
      <c r="J60" s="32" t="n">
        <v>2</v>
      </c>
      <c r="K60" s="40" t="str">
        <f aca="false">IF(C60&amp;""=J60&amp;"","","changed")</f>
        <v/>
      </c>
    </row>
    <row r="61" customFormat="false" ht="28.35" hidden="false" customHeight="false" outlineLevel="0" collapsed="false">
      <c r="A61" s="32" t="s">
        <v>525</v>
      </c>
      <c r="B61" s="7" t="s">
        <v>526</v>
      </c>
      <c r="C61" s="39" t="n">
        <v>10</v>
      </c>
      <c r="D61" s="30" t="s">
        <v>463</v>
      </c>
      <c r="E61" s="30"/>
      <c r="F61" s="30"/>
      <c r="G61" s="30" t="s">
        <v>411</v>
      </c>
      <c r="H61" s="7" t="s">
        <v>527</v>
      </c>
      <c r="I61" s="7"/>
      <c r="J61" s="32" t="n">
        <v>10</v>
      </c>
      <c r="K61" s="40" t="str">
        <f aca="false">IF(C61&amp;""=J61&amp;"","","changed")</f>
        <v/>
      </c>
    </row>
    <row r="62" customFormat="false" ht="28.35" hidden="false" customHeight="false" outlineLevel="0" collapsed="false">
      <c r="A62" s="32" t="s">
        <v>528</v>
      </c>
      <c r="B62" s="7" t="s">
        <v>529</v>
      </c>
      <c r="C62" s="39" t="n">
        <v>3</v>
      </c>
      <c r="D62" s="30" t="s">
        <v>480</v>
      </c>
      <c r="E62" s="30"/>
      <c r="F62" s="30"/>
      <c r="G62" s="30" t="s">
        <v>411</v>
      </c>
      <c r="H62" s="7" t="s">
        <v>530</v>
      </c>
      <c r="I62" s="7" t="s">
        <v>531</v>
      </c>
      <c r="J62" s="32" t="n">
        <v>3</v>
      </c>
      <c r="K62" s="40" t="str">
        <f aca="false">IF(C62&amp;""=J62&amp;"","","changed")</f>
        <v/>
      </c>
    </row>
    <row r="63" customFormat="false" ht="15" hidden="false" customHeight="false" outlineLevel="0" collapsed="false">
      <c r="A63" s="32" t="s">
        <v>532</v>
      </c>
      <c r="B63" s="7" t="s">
        <v>533</v>
      </c>
      <c r="C63" s="39" t="n">
        <v>50</v>
      </c>
      <c r="D63" s="30" t="s">
        <v>534</v>
      </c>
      <c r="E63" s="30"/>
      <c r="F63" s="30"/>
      <c r="G63" s="30" t="s">
        <v>411</v>
      </c>
      <c r="H63" s="7" t="s">
        <v>535</v>
      </c>
      <c r="I63" s="7" t="s">
        <v>536</v>
      </c>
      <c r="J63" s="32" t="n">
        <v>50</v>
      </c>
      <c r="K63" s="40" t="str">
        <f aca="false">IF(C63&amp;""=J63&amp;"","","changed")</f>
        <v/>
      </c>
    </row>
    <row r="64" customFormat="false" ht="15" hidden="false" customHeight="false" outlineLevel="0" collapsed="false">
      <c r="A64" s="32" t="s">
        <v>537</v>
      </c>
      <c r="B64" s="7" t="s">
        <v>538</v>
      </c>
      <c r="C64" s="49" t="n">
        <v>0.1</v>
      </c>
      <c r="D64" s="30" t="s">
        <v>487</v>
      </c>
      <c r="E64" s="30"/>
      <c r="F64" s="30"/>
      <c r="G64" s="30" t="s">
        <v>411</v>
      </c>
      <c r="H64" s="7" t="s">
        <v>535</v>
      </c>
      <c r="I64" s="7"/>
      <c r="J64" s="50" t="n">
        <v>0.1</v>
      </c>
      <c r="K64" s="40" t="str">
        <f aca="false">IF(C64&amp;""=J64&amp;"","","changed")</f>
        <v/>
      </c>
    </row>
    <row r="66" customFormat="false" ht="15" hidden="false" customHeight="false" outlineLevel="0" collapsed="false">
      <c r="A66" s="3" t="s">
        <v>539</v>
      </c>
      <c r="B66" s="4"/>
      <c r="C66" s="4"/>
      <c r="D66" s="4"/>
      <c r="E66" s="4"/>
      <c r="F66" s="4"/>
      <c r="G66" s="4"/>
      <c r="H66" s="4"/>
      <c r="I66" s="4"/>
      <c r="J66" s="4"/>
      <c r="K66" s="4"/>
    </row>
    <row r="67" customFormat="false" ht="28.35" hidden="false" customHeight="false" outlineLevel="0" collapsed="false">
      <c r="A67" s="12" t="s">
        <v>341</v>
      </c>
      <c r="B67" s="12" t="s">
        <v>342</v>
      </c>
      <c r="C67" s="12" t="s">
        <v>232</v>
      </c>
      <c r="D67" s="12" t="s">
        <v>343</v>
      </c>
      <c r="E67" s="12" t="s">
        <v>344</v>
      </c>
      <c r="F67" s="12" t="s">
        <v>345</v>
      </c>
      <c r="G67" s="12" t="s">
        <v>276</v>
      </c>
      <c r="H67" s="12" t="s">
        <v>346</v>
      </c>
      <c r="I67" s="12" t="s">
        <v>347</v>
      </c>
      <c r="J67" s="12" t="s">
        <v>348</v>
      </c>
      <c r="K67" s="12" t="s">
        <v>349</v>
      </c>
    </row>
    <row r="68" customFormat="false" ht="28.35" hidden="false" customHeight="false" outlineLevel="0" collapsed="false">
      <c r="A68" s="32" t="s">
        <v>540</v>
      </c>
      <c r="B68" s="7" t="s">
        <v>541</v>
      </c>
      <c r="C68" s="46" t="n">
        <v>8</v>
      </c>
      <c r="D68" s="30" t="s">
        <v>542</v>
      </c>
      <c r="E68" s="30"/>
      <c r="F68" s="30"/>
      <c r="G68" s="30" t="s">
        <v>411</v>
      </c>
      <c r="H68" s="7" t="s">
        <v>512</v>
      </c>
      <c r="I68" s="7" t="s">
        <v>543</v>
      </c>
      <c r="J68" s="47" t="n">
        <v>8</v>
      </c>
      <c r="K68" s="40" t="str">
        <f aca="false">IF(C68&amp;""=J68&amp;"","","changed")</f>
        <v/>
      </c>
    </row>
    <row r="69" customFormat="false" ht="28.35" hidden="false" customHeight="false" outlineLevel="0" collapsed="false">
      <c r="A69" s="32" t="s">
        <v>544</v>
      </c>
      <c r="B69" s="7" t="s">
        <v>545</v>
      </c>
      <c r="C69" s="46"/>
      <c r="D69" s="30" t="s">
        <v>546</v>
      </c>
      <c r="E69" s="19" t="n">
        <v>1</v>
      </c>
      <c r="F69" s="19" t="n">
        <v>2</v>
      </c>
      <c r="G69" s="30" t="s">
        <v>506</v>
      </c>
      <c r="H69" s="7" t="s">
        <v>547</v>
      </c>
      <c r="I69" s="7" t="s">
        <v>548</v>
      </c>
      <c r="J69" s="47"/>
      <c r="K69" s="40" t="str">
        <f aca="false">IF(C69&amp;""=J69&amp;"","","changed")</f>
        <v/>
      </c>
    </row>
    <row r="70" customFormat="false" ht="15" hidden="false" customHeight="false" outlineLevel="0" collapsed="false">
      <c r="A70" s="32" t="s">
        <v>549</v>
      </c>
      <c r="B70" s="7" t="s">
        <v>550</v>
      </c>
      <c r="C70" s="46" t="n">
        <v>120</v>
      </c>
      <c r="D70" s="30" t="s">
        <v>551</v>
      </c>
      <c r="E70" s="30"/>
      <c r="F70" s="30"/>
      <c r="G70" s="30" t="s">
        <v>411</v>
      </c>
      <c r="H70" s="7" t="s">
        <v>512</v>
      </c>
      <c r="I70" s="7" t="s">
        <v>552</v>
      </c>
      <c r="J70" s="47" t="n">
        <v>120</v>
      </c>
      <c r="K70" s="40" t="str">
        <f aca="false">IF(C70&amp;""=J70&amp;"","","changed")</f>
        <v/>
      </c>
    </row>
    <row r="71" customFormat="false" ht="28.35" hidden="false" customHeight="false" outlineLevel="0" collapsed="false">
      <c r="A71" s="32" t="s">
        <v>553</v>
      </c>
      <c r="B71" s="7" t="s">
        <v>554</v>
      </c>
      <c r="C71" s="46" t="n">
        <v>30</v>
      </c>
      <c r="D71" s="30" t="s">
        <v>555</v>
      </c>
      <c r="E71" s="19" t="n">
        <v>25</v>
      </c>
      <c r="F71" s="19" t="n">
        <v>40</v>
      </c>
      <c r="G71" s="30" t="s">
        <v>556</v>
      </c>
      <c r="H71" s="7" t="s">
        <v>512</v>
      </c>
      <c r="I71" s="7" t="s">
        <v>557</v>
      </c>
      <c r="J71" s="47" t="n">
        <v>30</v>
      </c>
      <c r="K71" s="40" t="str">
        <f aca="false">IF(C71&amp;""=J71&amp;"","","changed")</f>
        <v/>
      </c>
    </row>
    <row r="72" customFormat="false" ht="15" hidden="false" customHeight="false" outlineLevel="0" collapsed="false">
      <c r="A72" s="32" t="s">
        <v>558</v>
      </c>
      <c r="B72" s="7" t="s">
        <v>559</v>
      </c>
      <c r="C72" s="46" t="n">
        <v>0</v>
      </c>
      <c r="D72" s="30" t="s">
        <v>551</v>
      </c>
      <c r="E72" s="30"/>
      <c r="F72" s="30"/>
      <c r="G72" s="30" t="s">
        <v>411</v>
      </c>
      <c r="H72" s="7" t="s">
        <v>560</v>
      </c>
      <c r="I72" s="7" t="s">
        <v>561</v>
      </c>
      <c r="J72" s="47" t="n">
        <v>0</v>
      </c>
      <c r="K72" s="40" t="str">
        <f aca="false">IF(C72&amp;""=J72&amp;"","","changed")</f>
        <v/>
      </c>
    </row>
    <row r="73" customFormat="false" ht="28.35" hidden="false" customHeight="false" outlineLevel="0" collapsed="false">
      <c r="A73" s="32" t="s">
        <v>562</v>
      </c>
      <c r="B73" s="7" t="s">
        <v>563</v>
      </c>
      <c r="C73" s="46"/>
      <c r="D73" s="30" t="s">
        <v>458</v>
      </c>
      <c r="E73" s="30"/>
      <c r="F73" s="30"/>
      <c r="G73" s="30" t="s">
        <v>564</v>
      </c>
      <c r="H73" s="7" t="s">
        <v>565</v>
      </c>
      <c r="I73" s="7" t="s">
        <v>566</v>
      </c>
      <c r="J73" s="47"/>
      <c r="K73" s="40" t="str">
        <f aca="false">IF(C73&amp;""=J73&amp;"","","changed")</f>
        <v/>
      </c>
    </row>
    <row r="74" customFormat="false" ht="15" hidden="false" customHeight="false" outlineLevel="0" collapsed="false">
      <c r="A74" s="32" t="s">
        <v>567</v>
      </c>
      <c r="B74" s="7" t="s">
        <v>568</v>
      </c>
      <c r="C74" s="39" t="n">
        <v>3</v>
      </c>
      <c r="D74" s="30" t="s">
        <v>410</v>
      </c>
      <c r="E74" s="30"/>
      <c r="F74" s="30"/>
      <c r="G74" s="30" t="s">
        <v>411</v>
      </c>
      <c r="H74" s="7" t="s">
        <v>569</v>
      </c>
      <c r="I74" s="7"/>
      <c r="J74" s="32" t="n">
        <v>3</v>
      </c>
      <c r="K74" s="40" t="str">
        <f aca="false">IF(C74&amp;""=J74&amp;"","","changed")</f>
        <v/>
      </c>
    </row>
    <row r="75" customFormat="false" ht="15" hidden="false" customHeight="false" outlineLevel="0" collapsed="false">
      <c r="A75" s="32" t="s">
        <v>570</v>
      </c>
      <c r="B75" s="7" t="s">
        <v>571</v>
      </c>
      <c r="C75" s="39" t="s">
        <v>572</v>
      </c>
      <c r="D75" s="30" t="s">
        <v>452</v>
      </c>
      <c r="E75" s="30"/>
      <c r="F75" s="30"/>
      <c r="G75" s="30" t="s">
        <v>384</v>
      </c>
      <c r="H75" s="7" t="s">
        <v>512</v>
      </c>
      <c r="I75" s="7" t="s">
        <v>573</v>
      </c>
      <c r="J75" s="32" t="s">
        <v>572</v>
      </c>
      <c r="K75" s="40" t="str">
        <f aca="false">IF(C75&amp;""=J75&amp;"","","changed")</f>
        <v/>
      </c>
    </row>
    <row r="76" customFormat="false" ht="15" hidden="false" customHeight="false" outlineLevel="0" collapsed="false">
      <c r="A76" s="32" t="s">
        <v>574</v>
      </c>
      <c r="B76" s="7" t="s">
        <v>575</v>
      </c>
      <c r="C76" s="46" t="n">
        <v>150</v>
      </c>
      <c r="D76" s="30" t="s">
        <v>576</v>
      </c>
      <c r="E76" s="30"/>
      <c r="F76" s="30"/>
      <c r="G76" s="30" t="s">
        <v>411</v>
      </c>
      <c r="H76" s="7" t="s">
        <v>512</v>
      </c>
      <c r="I76" s="7" t="s">
        <v>577</v>
      </c>
      <c r="J76" s="47" t="n">
        <v>150</v>
      </c>
      <c r="K76" s="40" t="str">
        <f aca="false">IF(C76&amp;""=J76&amp;"","","changed")</f>
        <v/>
      </c>
    </row>
    <row r="77" customFormat="false" ht="41.75" hidden="false" customHeight="false" outlineLevel="0" collapsed="false">
      <c r="A77" s="32" t="s">
        <v>578</v>
      </c>
      <c r="B77" s="7" t="s">
        <v>579</v>
      </c>
      <c r="C77" s="43" t="n">
        <f aca="false">IF(COUNT(Schedule!$AJ$7:$AJ$18)=0,"",EOMONTH(MIN(Schedule!$AJ$7:$AJ$18),-1)+1)</f>
        <v>46419</v>
      </c>
      <c r="D77" s="30" t="s">
        <v>366</v>
      </c>
      <c r="E77" s="30"/>
      <c r="F77" s="30"/>
      <c r="G77" s="30" t="s">
        <v>367</v>
      </c>
      <c r="H77" s="7" t="s">
        <v>580</v>
      </c>
      <c r="I77" s="7" t="s">
        <v>581</v>
      </c>
      <c r="J77" s="42" t="n">
        <f aca="false">IF(COUNT(Schedule!$AJ$7:$AJ$18)=0,"",EOMONTH(MIN(Schedule!$AJ$7:$AJ$18),-1)+1)</f>
        <v>46419</v>
      </c>
      <c r="K77" s="40" t="str">
        <f aca="false">IF(C77&amp;""=J77&amp;"","","changed")</f>
        <v/>
      </c>
    </row>
    <row r="78" customFormat="false" ht="28.35" hidden="false" customHeight="false" outlineLevel="0" collapsed="false">
      <c r="A78" s="32" t="s">
        <v>582</v>
      </c>
      <c r="B78" s="7" t="s">
        <v>583</v>
      </c>
      <c r="C78" s="41"/>
      <c r="D78" s="30" t="s">
        <v>366</v>
      </c>
      <c r="E78" s="30"/>
      <c r="F78" s="30"/>
      <c r="G78" s="30" t="s">
        <v>384</v>
      </c>
      <c r="H78" s="7" t="s">
        <v>584</v>
      </c>
      <c r="I78" s="7" t="s">
        <v>585</v>
      </c>
      <c r="J78" s="42"/>
      <c r="K78" s="40" t="str">
        <f aca="false">IF(C78&amp;""=J78&amp;"","","changed")</f>
        <v/>
      </c>
    </row>
    <row r="79" customFormat="false" ht="28.35" hidden="false" customHeight="false" outlineLevel="0" collapsed="false">
      <c r="A79" s="32" t="s">
        <v>586</v>
      </c>
      <c r="B79" s="7" t="s">
        <v>587</v>
      </c>
      <c r="C79" s="46" t="n">
        <v>60</v>
      </c>
      <c r="D79" s="30" t="s">
        <v>576</v>
      </c>
      <c r="E79" s="19" t="n">
        <v>7</v>
      </c>
      <c r="F79" s="19" t="n">
        <v>81</v>
      </c>
      <c r="G79" s="30" t="s">
        <v>411</v>
      </c>
      <c r="H79" s="7" t="s">
        <v>588</v>
      </c>
      <c r="I79" s="7" t="s">
        <v>589</v>
      </c>
      <c r="J79" s="47" t="n">
        <v>60</v>
      </c>
      <c r="K79" s="40" t="str">
        <f aca="false">IF(C79&amp;""=J79&amp;"","","changed")</f>
        <v/>
      </c>
    </row>
    <row r="80" customFormat="false" ht="15" hidden="false" customHeight="false" outlineLevel="0" collapsed="false">
      <c r="A80" s="32" t="s">
        <v>590</v>
      </c>
      <c r="B80" s="7" t="s">
        <v>591</v>
      </c>
      <c r="C80" s="43" t="n">
        <f aca="false">Inputs!$C$10</f>
        <v>46321</v>
      </c>
      <c r="D80" s="30" t="s">
        <v>366</v>
      </c>
      <c r="E80" s="30"/>
      <c r="F80" s="30"/>
      <c r="G80" s="30" t="s">
        <v>367</v>
      </c>
      <c r="H80" s="7" t="s">
        <v>592</v>
      </c>
      <c r="I80" s="7" t="s">
        <v>593</v>
      </c>
      <c r="J80" s="42" t="n">
        <f aca="false">Inputs!$C$10</f>
        <v>46321</v>
      </c>
      <c r="K80" s="40" t="str">
        <f aca="false">IF(C80&amp;""=J80&amp;"","","changed")</f>
        <v/>
      </c>
    </row>
    <row r="81" customFormat="false" ht="41.75" hidden="false" customHeight="false" outlineLevel="0" collapsed="false">
      <c r="A81" s="32" t="s">
        <v>594</v>
      </c>
      <c r="B81" s="7" t="s">
        <v>595</v>
      </c>
      <c r="C81" s="46" t="n">
        <v>100</v>
      </c>
      <c r="D81" s="30" t="s">
        <v>576</v>
      </c>
      <c r="E81" s="19" t="n">
        <v>41.6666666666667</v>
      </c>
      <c r="F81" s="19" t="n">
        <v>125</v>
      </c>
      <c r="G81" s="30" t="s">
        <v>596</v>
      </c>
      <c r="H81" s="7" t="s">
        <v>597</v>
      </c>
      <c r="I81" s="7" t="s">
        <v>598</v>
      </c>
      <c r="J81" s="47" t="n">
        <v>100</v>
      </c>
      <c r="K81" s="40" t="str">
        <f aca="false">IF(C81&amp;""=J81&amp;"","","changed")</f>
        <v/>
      </c>
    </row>
    <row r="82" customFormat="false" ht="15" hidden="false" customHeight="false" outlineLevel="0" collapsed="false">
      <c r="A82" s="32" t="s">
        <v>599</v>
      </c>
      <c r="B82" s="7" t="s">
        <v>600</v>
      </c>
      <c r="C82" s="39" t="s">
        <v>601</v>
      </c>
      <c r="D82" s="30" t="s">
        <v>452</v>
      </c>
      <c r="E82" s="30"/>
      <c r="F82" s="30"/>
      <c r="G82" s="30" t="s">
        <v>384</v>
      </c>
      <c r="H82" s="7" t="s">
        <v>602</v>
      </c>
      <c r="I82" s="7" t="s">
        <v>603</v>
      </c>
      <c r="J82" s="32" t="s">
        <v>601</v>
      </c>
      <c r="K82" s="40" t="str">
        <f aca="false">IF(C82&amp;""=J82&amp;"","","changed")</f>
        <v/>
      </c>
    </row>
    <row r="83" customFormat="false" ht="28.35" hidden="false" customHeight="false" outlineLevel="0" collapsed="false">
      <c r="A83" s="32" t="s">
        <v>604</v>
      </c>
      <c r="B83" s="7" t="s">
        <v>605</v>
      </c>
      <c r="C83" s="43" t="n">
        <f aca="false">Inputs!$C$12</f>
        <v>46367</v>
      </c>
      <c r="D83" s="30" t="s">
        <v>366</v>
      </c>
      <c r="E83" s="30"/>
      <c r="F83" s="30"/>
      <c r="G83" s="30" t="s">
        <v>367</v>
      </c>
      <c r="H83" s="7" t="s">
        <v>606</v>
      </c>
      <c r="I83" s="7" t="s">
        <v>607</v>
      </c>
      <c r="J83" s="42" t="n">
        <f aca="false">Inputs!$C$12</f>
        <v>46367</v>
      </c>
      <c r="K83" s="40" t="str">
        <f aca="false">IF(C83&amp;""=J83&amp;"","","changed")</f>
        <v/>
      </c>
    </row>
    <row r="84" customFormat="false" ht="15" hidden="false" customHeight="false" outlineLevel="0" collapsed="false">
      <c r="A84" s="32" t="s">
        <v>608</v>
      </c>
      <c r="B84" s="7" t="s">
        <v>609</v>
      </c>
      <c r="C84" s="46" t="n">
        <v>0</v>
      </c>
      <c r="D84" s="30" t="s">
        <v>576</v>
      </c>
      <c r="E84" s="30"/>
      <c r="F84" s="30"/>
      <c r="G84" s="30" t="s">
        <v>411</v>
      </c>
      <c r="H84" s="7" t="s">
        <v>610</v>
      </c>
      <c r="I84" s="7"/>
      <c r="J84" s="47" t="n">
        <v>0</v>
      </c>
      <c r="K84" s="40" t="str">
        <f aca="false">IF(C84&amp;""=J84&amp;"","","changed")</f>
        <v/>
      </c>
    </row>
    <row r="85" customFormat="false" ht="28.35" hidden="false" customHeight="false" outlineLevel="0" collapsed="false">
      <c r="A85" s="32" t="s">
        <v>611</v>
      </c>
      <c r="B85" s="7" t="s">
        <v>612</v>
      </c>
      <c r="C85" s="39" t="n">
        <v>2</v>
      </c>
      <c r="D85" s="30" t="s">
        <v>613</v>
      </c>
      <c r="E85" s="30"/>
      <c r="F85" s="30"/>
      <c r="G85" s="30" t="s">
        <v>411</v>
      </c>
      <c r="H85" s="7" t="s">
        <v>512</v>
      </c>
      <c r="I85" s="7" t="s">
        <v>614</v>
      </c>
      <c r="J85" s="32" t="n">
        <v>2</v>
      </c>
      <c r="K85" s="40" t="str">
        <f aca="false">IF(C85&amp;""=J85&amp;"","","changed")</f>
        <v/>
      </c>
    </row>
    <row r="87" customFormat="false" ht="15" hidden="false" customHeight="false" outlineLevel="0" collapsed="false">
      <c r="A87" s="3" t="s">
        <v>615</v>
      </c>
      <c r="B87" s="4"/>
      <c r="C87" s="4"/>
      <c r="D87" s="4"/>
      <c r="E87" s="4"/>
      <c r="F87" s="4"/>
      <c r="G87" s="4"/>
      <c r="H87" s="4"/>
      <c r="I87" s="4"/>
      <c r="J87" s="4"/>
      <c r="K87" s="4"/>
    </row>
    <row r="88" customFormat="false" ht="28.35" hidden="false" customHeight="false" outlineLevel="0" collapsed="false">
      <c r="A88" s="12" t="s">
        <v>341</v>
      </c>
      <c r="B88" s="12" t="s">
        <v>342</v>
      </c>
      <c r="C88" s="12" t="s">
        <v>232</v>
      </c>
      <c r="D88" s="12" t="s">
        <v>343</v>
      </c>
      <c r="E88" s="12" t="s">
        <v>344</v>
      </c>
      <c r="F88" s="12" t="s">
        <v>345</v>
      </c>
      <c r="G88" s="12" t="s">
        <v>276</v>
      </c>
      <c r="H88" s="12" t="s">
        <v>346</v>
      </c>
      <c r="I88" s="12" t="s">
        <v>347</v>
      </c>
      <c r="J88" s="12" t="s">
        <v>348</v>
      </c>
      <c r="K88" s="12" t="s">
        <v>349</v>
      </c>
    </row>
    <row r="89" customFormat="false" ht="15" hidden="false" customHeight="false" outlineLevel="0" collapsed="false">
      <c r="A89" s="32" t="s">
        <v>616</v>
      </c>
      <c r="B89" s="7" t="s">
        <v>617</v>
      </c>
      <c r="C89" s="39" t="n">
        <v>10</v>
      </c>
      <c r="D89" s="30" t="s">
        <v>618</v>
      </c>
      <c r="E89" s="30"/>
      <c r="F89" s="30"/>
      <c r="G89" s="30" t="s">
        <v>411</v>
      </c>
      <c r="H89" s="7" t="s">
        <v>619</v>
      </c>
      <c r="I89" s="7" t="s">
        <v>620</v>
      </c>
      <c r="J89" s="32" t="n">
        <v>10</v>
      </c>
      <c r="K89" s="40" t="str">
        <f aca="false">IF(C89&amp;""=J89&amp;"","","changed")</f>
        <v/>
      </c>
    </row>
    <row r="90" customFormat="false" ht="15" hidden="false" customHeight="false" outlineLevel="0" collapsed="false">
      <c r="A90" s="32" t="s">
        <v>621</v>
      </c>
      <c r="B90" s="7" t="s">
        <v>622</v>
      </c>
      <c r="C90" s="49" t="n">
        <v>0.2</v>
      </c>
      <c r="D90" s="30" t="s">
        <v>487</v>
      </c>
      <c r="E90" s="30"/>
      <c r="F90" s="30"/>
      <c r="G90" s="30" t="s">
        <v>411</v>
      </c>
      <c r="H90" s="7" t="s">
        <v>623</v>
      </c>
      <c r="I90" s="7" t="s">
        <v>624</v>
      </c>
      <c r="J90" s="50" t="n">
        <v>0.2</v>
      </c>
      <c r="K90" s="40" t="str">
        <f aca="false">IF(C90&amp;""=J90&amp;"","","changed")</f>
        <v/>
      </c>
    </row>
    <row r="91" customFormat="false" ht="15" hidden="false" customHeight="false" outlineLevel="0" collapsed="false">
      <c r="A91" s="32" t="s">
        <v>625</v>
      </c>
      <c r="B91" s="7" t="s">
        <v>626</v>
      </c>
      <c r="C91" s="39" t="n">
        <v>0.75</v>
      </c>
      <c r="D91" s="30" t="s">
        <v>407</v>
      </c>
      <c r="E91" s="30"/>
      <c r="F91" s="30"/>
      <c r="G91" s="30" t="s">
        <v>411</v>
      </c>
      <c r="H91" s="7" t="s">
        <v>627</v>
      </c>
      <c r="I91" s="7"/>
      <c r="J91" s="32" t="n">
        <v>0.75</v>
      </c>
      <c r="K91" s="40" t="str">
        <f aca="false">IF(C91&amp;""=J91&amp;"","","changed")</f>
        <v/>
      </c>
    </row>
    <row r="92" customFormat="false" ht="28.35" hidden="false" customHeight="false" outlineLevel="0" collapsed="false">
      <c r="A92" s="32" t="s">
        <v>628</v>
      </c>
      <c r="B92" s="7" t="s">
        <v>629</v>
      </c>
      <c r="C92" s="39" t="n">
        <v>2.25</v>
      </c>
      <c r="D92" s="30" t="s">
        <v>407</v>
      </c>
      <c r="E92" s="30"/>
      <c r="F92" s="30"/>
      <c r="G92" s="30" t="s">
        <v>367</v>
      </c>
      <c r="H92" s="7" t="s">
        <v>619</v>
      </c>
      <c r="I92" s="7" t="s">
        <v>630</v>
      </c>
      <c r="J92" s="32" t="n">
        <v>2.25</v>
      </c>
      <c r="K92" s="40" t="str">
        <f aca="false">IF(C92&amp;""=J92&amp;"","","changed")</f>
        <v/>
      </c>
    </row>
    <row r="93" customFormat="false" ht="15" hidden="false" customHeight="false" outlineLevel="0" collapsed="false">
      <c r="A93" s="32" t="s">
        <v>631</v>
      </c>
      <c r="B93" s="7" t="s">
        <v>632</v>
      </c>
      <c r="C93" s="53" t="n">
        <f aca="false">1/Inputs!$C$90*Inputs!$C$91+Inputs!$C$92</f>
        <v>6</v>
      </c>
      <c r="D93" s="30" t="s">
        <v>618</v>
      </c>
      <c r="E93" s="30"/>
      <c r="F93" s="30"/>
      <c r="G93" s="30" t="s">
        <v>389</v>
      </c>
      <c r="H93" s="7" t="s">
        <v>633</v>
      </c>
      <c r="I93" s="7" t="s">
        <v>634</v>
      </c>
      <c r="J93" s="30"/>
      <c r="K93" s="30"/>
    </row>
    <row r="94" customFormat="false" ht="28.35" hidden="false" customHeight="false" outlineLevel="0" collapsed="false">
      <c r="A94" s="32" t="s">
        <v>635</v>
      </c>
      <c r="B94" s="7" t="s">
        <v>636</v>
      </c>
      <c r="C94" s="39" t="n">
        <v>2</v>
      </c>
      <c r="D94" s="30" t="s">
        <v>637</v>
      </c>
      <c r="E94" s="30"/>
      <c r="F94" s="30"/>
      <c r="G94" s="30" t="s">
        <v>411</v>
      </c>
      <c r="H94" s="7" t="s">
        <v>638</v>
      </c>
      <c r="I94" s="7"/>
      <c r="J94" s="32" t="n">
        <v>2</v>
      </c>
      <c r="K94" s="40" t="str">
        <f aca="false">IF(C94&amp;""=J94&amp;"","","changed")</f>
        <v/>
      </c>
    </row>
    <row r="95" customFormat="false" ht="15" hidden="false" customHeight="false" outlineLevel="0" collapsed="false">
      <c r="A95" s="32" t="s">
        <v>639</v>
      </c>
      <c r="B95" s="7" t="s">
        <v>640</v>
      </c>
      <c r="C95" s="39" t="n">
        <v>4</v>
      </c>
      <c r="D95" s="30" t="s">
        <v>641</v>
      </c>
      <c r="E95" s="30"/>
      <c r="F95" s="30"/>
      <c r="G95" s="30" t="s">
        <v>411</v>
      </c>
      <c r="H95" s="7" t="s">
        <v>619</v>
      </c>
      <c r="I95" s="7" t="s">
        <v>642</v>
      </c>
      <c r="J95" s="32" t="n">
        <v>4</v>
      </c>
      <c r="K95" s="40" t="str">
        <f aca="false">IF(C95&amp;""=J95&amp;"","","changed")</f>
        <v/>
      </c>
    </row>
    <row r="96" customFormat="false" ht="15" hidden="false" customHeight="false" outlineLevel="0" collapsed="false">
      <c r="A96" s="32" t="s">
        <v>643</v>
      </c>
      <c r="B96" s="7" t="s">
        <v>644</v>
      </c>
      <c r="C96" s="39" t="n">
        <v>1</v>
      </c>
      <c r="D96" s="30" t="s">
        <v>641</v>
      </c>
      <c r="E96" s="30"/>
      <c r="F96" s="30"/>
      <c r="G96" s="30" t="s">
        <v>411</v>
      </c>
      <c r="H96" s="7" t="s">
        <v>619</v>
      </c>
      <c r="I96" s="7" t="s">
        <v>645</v>
      </c>
      <c r="J96" s="32" t="n">
        <v>1</v>
      </c>
      <c r="K96" s="40" t="str">
        <f aca="false">IF(C96&amp;""=J96&amp;"","","changed")</f>
        <v/>
      </c>
    </row>
    <row r="97" customFormat="false" ht="15" hidden="false" customHeight="false" outlineLevel="0" collapsed="false">
      <c r="A97" s="32" t="s">
        <v>646</v>
      </c>
      <c r="B97" s="7" t="s">
        <v>647</v>
      </c>
      <c r="C97" s="39" t="n">
        <v>0.5</v>
      </c>
      <c r="D97" s="30" t="s">
        <v>618</v>
      </c>
      <c r="E97" s="30"/>
      <c r="F97" s="30"/>
      <c r="G97" s="30" t="s">
        <v>367</v>
      </c>
      <c r="H97" s="7" t="s">
        <v>619</v>
      </c>
      <c r="I97" s="7" t="s">
        <v>648</v>
      </c>
      <c r="J97" s="32" t="n">
        <v>0.5</v>
      </c>
      <c r="K97" s="40" t="str">
        <f aca="false">IF(C97&amp;""=J97&amp;"","","changed")</f>
        <v/>
      </c>
    </row>
    <row r="98" customFormat="false" ht="15" hidden="false" customHeight="false" outlineLevel="0" collapsed="false">
      <c r="A98" s="32" t="s">
        <v>649</v>
      </c>
      <c r="B98" s="7" t="s">
        <v>650</v>
      </c>
      <c r="C98" s="39" t="n">
        <v>2</v>
      </c>
      <c r="D98" s="30" t="s">
        <v>618</v>
      </c>
      <c r="E98" s="30"/>
      <c r="F98" s="30"/>
      <c r="G98" s="30" t="s">
        <v>411</v>
      </c>
      <c r="H98" s="7" t="s">
        <v>619</v>
      </c>
      <c r="I98" s="7" t="s">
        <v>651</v>
      </c>
      <c r="J98" s="32" t="n">
        <v>2</v>
      </c>
      <c r="K98" s="40" t="str">
        <f aca="false">IF(C98&amp;""=J98&amp;"","","changed")</f>
        <v/>
      </c>
    </row>
    <row r="99" customFormat="false" ht="15" hidden="false" customHeight="false" outlineLevel="0" collapsed="false">
      <c r="A99" s="32" t="s">
        <v>652</v>
      </c>
      <c r="B99" s="7" t="s">
        <v>653</v>
      </c>
      <c r="C99" s="39" t="n">
        <v>2</v>
      </c>
      <c r="D99" s="30" t="s">
        <v>654</v>
      </c>
      <c r="E99" s="30"/>
      <c r="F99" s="30"/>
      <c r="G99" s="30" t="s">
        <v>411</v>
      </c>
      <c r="H99" s="7" t="s">
        <v>619</v>
      </c>
      <c r="I99" s="7"/>
      <c r="J99" s="32" t="n">
        <v>2</v>
      </c>
      <c r="K99" s="40" t="str">
        <f aca="false">IF(C99&amp;""=J99&amp;"","","changed")</f>
        <v/>
      </c>
    </row>
    <row r="100" customFormat="false" ht="28.35" hidden="false" customHeight="false" outlineLevel="0" collapsed="false">
      <c r="A100" s="32" t="s">
        <v>655</v>
      </c>
      <c r="B100" s="7" t="s">
        <v>656</v>
      </c>
      <c r="C100" s="39" t="n">
        <v>15</v>
      </c>
      <c r="D100" s="30" t="s">
        <v>657</v>
      </c>
      <c r="E100" s="30" t="n">
        <v>10</v>
      </c>
      <c r="F100" s="30" t="n">
        <v>15</v>
      </c>
      <c r="G100" s="30" t="s">
        <v>411</v>
      </c>
      <c r="H100" s="7" t="s">
        <v>658</v>
      </c>
      <c r="I100" s="7" t="s">
        <v>659</v>
      </c>
      <c r="J100" s="32" t="n">
        <v>15</v>
      </c>
      <c r="K100" s="40" t="str">
        <f aca="false">IF(C100&amp;""=J100&amp;"","","changed")</f>
        <v/>
      </c>
    </row>
    <row r="101" customFormat="false" ht="15" hidden="false" customHeight="false" outlineLevel="0" collapsed="false">
      <c r="A101" s="32" t="s">
        <v>660</v>
      </c>
      <c r="B101" s="7" t="s">
        <v>661</v>
      </c>
      <c r="C101" s="39" t="n">
        <v>3</v>
      </c>
      <c r="D101" s="30" t="s">
        <v>398</v>
      </c>
      <c r="E101" s="30"/>
      <c r="F101" s="30"/>
      <c r="G101" s="30" t="s">
        <v>411</v>
      </c>
      <c r="H101" s="7" t="s">
        <v>662</v>
      </c>
      <c r="I101" s="7"/>
      <c r="J101" s="32" t="n">
        <v>3</v>
      </c>
      <c r="K101" s="40" t="str">
        <f aca="false">IF(C101&amp;""=J101&amp;"","","changed")</f>
        <v/>
      </c>
    </row>
    <row r="103" customFormat="false" ht="15" hidden="false" customHeight="false" outlineLevel="0" collapsed="false">
      <c r="A103" s="3" t="s">
        <v>663</v>
      </c>
      <c r="B103" s="4"/>
      <c r="C103" s="4"/>
      <c r="D103" s="4"/>
      <c r="E103" s="4"/>
      <c r="F103" s="4"/>
      <c r="G103" s="4"/>
      <c r="H103" s="4"/>
      <c r="I103" s="4"/>
      <c r="J103" s="4"/>
      <c r="K103" s="4"/>
    </row>
    <row r="104" customFormat="false" ht="45" hidden="false" customHeight="true" outlineLevel="0" collapsed="false">
      <c r="A104" s="12" t="s">
        <v>341</v>
      </c>
      <c r="B104" s="12" t="s">
        <v>328</v>
      </c>
      <c r="C104" s="12" t="s">
        <v>664</v>
      </c>
      <c r="D104" s="12" t="s">
        <v>665</v>
      </c>
      <c r="E104" s="12" t="s">
        <v>666</v>
      </c>
      <c r="F104" s="12" t="s">
        <v>667</v>
      </c>
      <c r="G104" s="12" t="s">
        <v>668</v>
      </c>
      <c r="H104" s="12" t="s">
        <v>669</v>
      </c>
      <c r="I104" s="12" t="s">
        <v>670</v>
      </c>
      <c r="J104" s="12"/>
      <c r="K104" s="12"/>
    </row>
    <row r="105" customFormat="false" ht="28.35" hidden="false" customHeight="false" outlineLevel="0" collapsed="false">
      <c r="A105" s="32" t="s">
        <v>671</v>
      </c>
      <c r="B105" s="9" t="s">
        <v>672</v>
      </c>
      <c r="C105" s="48" t="n">
        <f aca="false">Inputs!$C$70</f>
        <v>120</v>
      </c>
      <c r="D105" s="46" t="n">
        <v>0</v>
      </c>
      <c r="E105" s="46" t="n">
        <v>0</v>
      </c>
      <c r="F105" s="54" t="n">
        <v>2</v>
      </c>
      <c r="G105" s="54" t="n">
        <v>1</v>
      </c>
      <c r="H105" s="54" t="n">
        <v>0.6</v>
      </c>
      <c r="I105" s="7" t="s">
        <v>673</v>
      </c>
    </row>
    <row r="106" customFormat="false" ht="28.35" hidden="false" customHeight="false" outlineLevel="0" collapsed="false">
      <c r="A106" s="32" t="s">
        <v>671</v>
      </c>
      <c r="B106" s="9" t="s">
        <v>674</v>
      </c>
      <c r="C106" s="46" t="n">
        <v>0</v>
      </c>
      <c r="D106" s="48" t="n">
        <f aca="false">Inputs!$C$71</f>
        <v>30</v>
      </c>
      <c r="E106" s="46" t="n">
        <v>0</v>
      </c>
      <c r="F106" s="54" t="n">
        <v>2.5</v>
      </c>
      <c r="G106" s="54" t="n">
        <v>0.8</v>
      </c>
      <c r="H106" s="54" t="n">
        <v>0.4</v>
      </c>
      <c r="I106" s="7" t="s">
        <v>675</v>
      </c>
    </row>
    <row r="107" customFormat="false" ht="28.35" hidden="false" customHeight="false" outlineLevel="0" collapsed="false">
      <c r="A107" s="32" t="s">
        <v>671</v>
      </c>
      <c r="B107" s="9" t="s">
        <v>676</v>
      </c>
      <c r="C107" s="48" t="n">
        <f aca="false">Inputs!$C$72</f>
        <v>0</v>
      </c>
      <c r="D107" s="46" t="n">
        <v>0</v>
      </c>
      <c r="E107" s="48" t="n">
        <f aca="false">Inputs!$C$73</f>
        <v>0</v>
      </c>
      <c r="F107" s="54" t="n">
        <v>0.5</v>
      </c>
      <c r="G107" s="54" t="n">
        <v>0.3</v>
      </c>
      <c r="H107" s="54" t="n">
        <v>0.4</v>
      </c>
      <c r="I107" s="7" t="s">
        <v>677</v>
      </c>
    </row>
    <row r="109" customFormat="false" ht="15" hidden="false" customHeight="false" outlineLevel="0" collapsed="false">
      <c r="A109" s="3" t="s">
        <v>678</v>
      </c>
      <c r="B109" s="4"/>
      <c r="C109" s="4"/>
      <c r="D109" s="4"/>
      <c r="E109" s="4"/>
      <c r="F109" s="4"/>
      <c r="G109" s="4"/>
      <c r="H109" s="4"/>
      <c r="I109" s="4"/>
      <c r="J109" s="4"/>
      <c r="K109" s="4"/>
    </row>
    <row r="110" customFormat="false" ht="28.35" hidden="false" customHeight="false" outlineLevel="0" collapsed="false">
      <c r="A110" s="12" t="s">
        <v>341</v>
      </c>
      <c r="B110" s="12" t="s">
        <v>342</v>
      </c>
      <c r="C110" s="12" t="s">
        <v>232</v>
      </c>
      <c r="D110" s="12" t="s">
        <v>343</v>
      </c>
      <c r="E110" s="12" t="s">
        <v>344</v>
      </c>
      <c r="F110" s="12" t="s">
        <v>345</v>
      </c>
      <c r="G110" s="12" t="s">
        <v>276</v>
      </c>
      <c r="H110" s="12" t="s">
        <v>346</v>
      </c>
      <c r="I110" s="12" t="s">
        <v>347</v>
      </c>
      <c r="J110" s="12" t="s">
        <v>348</v>
      </c>
      <c r="K110" s="12" t="s">
        <v>349</v>
      </c>
    </row>
    <row r="111" customFormat="false" ht="28.35" hidden="false" customHeight="false" outlineLevel="0" collapsed="false">
      <c r="A111" s="32" t="s">
        <v>679</v>
      </c>
      <c r="B111" s="7" t="s">
        <v>680</v>
      </c>
      <c r="C111" s="49" t="n">
        <v>0.4</v>
      </c>
      <c r="D111" s="30" t="s">
        <v>487</v>
      </c>
      <c r="E111" s="30"/>
      <c r="F111" s="30"/>
      <c r="G111" s="30" t="s">
        <v>411</v>
      </c>
      <c r="H111" s="7" t="s">
        <v>681</v>
      </c>
      <c r="I111" s="7" t="s">
        <v>682</v>
      </c>
      <c r="J111" s="50" t="n">
        <v>0.4</v>
      </c>
      <c r="K111" s="40" t="str">
        <f aca="false">IF(C111&amp;""=J111&amp;"","","changed")</f>
        <v/>
      </c>
    </row>
    <row r="112" customFormat="false" ht="15" hidden="false" customHeight="false" outlineLevel="0" collapsed="false">
      <c r="A112" s="32" t="s">
        <v>683</v>
      </c>
      <c r="B112" s="7" t="s">
        <v>684</v>
      </c>
      <c r="C112" s="39" t="n">
        <v>2</v>
      </c>
      <c r="D112" s="30" t="s">
        <v>613</v>
      </c>
      <c r="E112" s="30"/>
      <c r="F112" s="30"/>
      <c r="G112" s="30" t="s">
        <v>411</v>
      </c>
      <c r="H112" s="7" t="s">
        <v>685</v>
      </c>
      <c r="I112" s="7"/>
      <c r="J112" s="32" t="n">
        <v>2</v>
      </c>
      <c r="K112" s="40" t="str">
        <f aca="false">IF(C112&amp;""=J112&amp;"","","changed")</f>
        <v/>
      </c>
    </row>
    <row r="113" customFormat="false" ht="28.35" hidden="false" customHeight="false" outlineLevel="0" collapsed="false">
      <c r="A113" s="32" t="s">
        <v>686</v>
      </c>
      <c r="B113" s="7" t="s">
        <v>687</v>
      </c>
      <c r="C113" s="39" t="s">
        <v>674</v>
      </c>
      <c r="D113" s="30" t="s">
        <v>452</v>
      </c>
      <c r="E113" s="30"/>
      <c r="F113" s="30"/>
      <c r="G113" s="30" t="s">
        <v>384</v>
      </c>
      <c r="H113" s="7" t="s">
        <v>688</v>
      </c>
      <c r="I113" s="7" t="s">
        <v>689</v>
      </c>
      <c r="J113" s="32" t="s">
        <v>674</v>
      </c>
      <c r="K113" s="40" t="str">
        <f aca="false">IF(C113&amp;""=J113&amp;"","","changed")</f>
        <v/>
      </c>
    </row>
    <row r="114" customFormat="false" ht="15" hidden="false" customHeight="false" outlineLevel="0" collapsed="false">
      <c r="A114" s="32" t="s">
        <v>690</v>
      </c>
      <c r="B114" s="7" t="s">
        <v>691</v>
      </c>
      <c r="C114" s="55" t="n">
        <f aca="false">Inputs!$C$61</f>
        <v>10</v>
      </c>
      <c r="D114" s="30" t="s">
        <v>463</v>
      </c>
      <c r="E114" s="30"/>
      <c r="F114" s="30"/>
      <c r="G114" s="30" t="s">
        <v>389</v>
      </c>
      <c r="H114" s="7" t="s">
        <v>692</v>
      </c>
      <c r="I114" s="7"/>
      <c r="J114" s="30"/>
      <c r="K114" s="30"/>
    </row>
    <row r="115" customFormat="false" ht="15" hidden="false" customHeight="false" outlineLevel="0" collapsed="false">
      <c r="A115" s="32" t="s">
        <v>693</v>
      </c>
      <c r="B115" s="7" t="s">
        <v>694</v>
      </c>
      <c r="C115" s="46"/>
      <c r="D115" s="30" t="s">
        <v>695</v>
      </c>
      <c r="E115" s="30"/>
      <c r="F115" s="30"/>
      <c r="G115" s="30" t="s">
        <v>506</v>
      </c>
      <c r="H115" s="7" t="s">
        <v>696</v>
      </c>
      <c r="I115" s="7" t="s">
        <v>697</v>
      </c>
      <c r="J115" s="47"/>
      <c r="K115" s="40" t="str">
        <f aca="false">IF(C115&amp;""=J115&amp;"","","changed")</f>
        <v/>
      </c>
    </row>
    <row r="116" customFormat="false" ht="15" hidden="false" customHeight="false" outlineLevel="0" collapsed="false">
      <c r="A116" s="32" t="s">
        <v>698</v>
      </c>
      <c r="B116" s="7" t="s">
        <v>699</v>
      </c>
      <c r="C116" s="43" t="n">
        <f aca="false">Inputs!$C$10</f>
        <v>46321</v>
      </c>
      <c r="D116" s="30" t="s">
        <v>366</v>
      </c>
      <c r="E116" s="30"/>
      <c r="F116" s="30"/>
      <c r="G116" s="30" t="s">
        <v>384</v>
      </c>
      <c r="H116" s="7" t="s">
        <v>385</v>
      </c>
      <c r="I116" s="7" t="s">
        <v>593</v>
      </c>
      <c r="J116" s="42" t="n">
        <f aca="false">Inputs!$C$10</f>
        <v>46321</v>
      </c>
      <c r="K116" s="40" t="str">
        <f aca="false">IF(C116&amp;""=J116&amp;"","","changed")</f>
        <v/>
      </c>
    </row>
    <row r="117" customFormat="false" ht="15" hidden="false" customHeight="false" outlineLevel="0" collapsed="false">
      <c r="A117" s="32" t="s">
        <v>700</v>
      </c>
      <c r="B117" s="7" t="s">
        <v>701</v>
      </c>
      <c r="C117" s="46" t="n">
        <v>1000</v>
      </c>
      <c r="D117" s="30" t="s">
        <v>695</v>
      </c>
      <c r="E117" s="30"/>
      <c r="F117" s="30"/>
      <c r="G117" s="30" t="s">
        <v>411</v>
      </c>
      <c r="H117" s="7" t="s">
        <v>602</v>
      </c>
      <c r="I117" s="7"/>
      <c r="J117" s="47" t="n">
        <v>1000</v>
      </c>
      <c r="K117" s="40" t="str">
        <f aca="false">IF(C117&amp;""=J117&amp;"","","changed")</f>
        <v/>
      </c>
    </row>
    <row r="119" customFormat="false" ht="15" hidden="false" customHeight="false" outlineLevel="0" collapsed="false">
      <c r="A119" s="3" t="s">
        <v>702</v>
      </c>
      <c r="B119" s="4"/>
      <c r="C119" s="4"/>
      <c r="D119" s="4"/>
      <c r="E119" s="4"/>
      <c r="F119" s="4"/>
      <c r="G119" s="4"/>
      <c r="H119" s="4"/>
      <c r="I119" s="4"/>
      <c r="J119" s="4"/>
      <c r="K119" s="4"/>
    </row>
    <row r="120" customFormat="false" ht="28.35" hidden="false" customHeight="false" outlineLevel="0" collapsed="false">
      <c r="A120" s="12" t="s">
        <v>341</v>
      </c>
      <c r="B120" s="12" t="s">
        <v>342</v>
      </c>
      <c r="C120" s="12" t="s">
        <v>232</v>
      </c>
      <c r="D120" s="12" t="s">
        <v>343</v>
      </c>
      <c r="E120" s="12" t="s">
        <v>344</v>
      </c>
      <c r="F120" s="12" t="s">
        <v>345</v>
      </c>
      <c r="G120" s="12" t="s">
        <v>276</v>
      </c>
      <c r="H120" s="12" t="s">
        <v>346</v>
      </c>
      <c r="I120" s="12" t="s">
        <v>347</v>
      </c>
      <c r="J120" s="12" t="s">
        <v>348</v>
      </c>
      <c r="K120" s="12" t="s">
        <v>349</v>
      </c>
    </row>
    <row r="121" customFormat="false" ht="28.35" hidden="false" customHeight="false" outlineLevel="0" collapsed="false">
      <c r="A121" s="32" t="s">
        <v>703</v>
      </c>
      <c r="B121" s="7" t="s">
        <v>704</v>
      </c>
      <c r="C121" s="39" t="n">
        <v>5</v>
      </c>
      <c r="D121" s="30" t="s">
        <v>463</v>
      </c>
      <c r="E121" s="30"/>
      <c r="F121" s="30"/>
      <c r="G121" s="30" t="s">
        <v>411</v>
      </c>
      <c r="H121" s="7" t="s">
        <v>705</v>
      </c>
      <c r="I121" s="7" t="s">
        <v>706</v>
      </c>
      <c r="J121" s="32" t="n">
        <v>5</v>
      </c>
      <c r="K121" s="40" t="str">
        <f aca="false">IF(C121&amp;""=J121&amp;"","","changed")</f>
        <v/>
      </c>
    </row>
    <row r="122" customFormat="false" ht="15" hidden="false" customHeight="false" outlineLevel="0" collapsed="false">
      <c r="A122" s="32" t="s">
        <v>707</v>
      </c>
      <c r="B122" s="7" t="s">
        <v>708</v>
      </c>
      <c r="C122" s="39" t="n">
        <v>15</v>
      </c>
      <c r="D122" s="30" t="s">
        <v>709</v>
      </c>
      <c r="E122" s="30"/>
      <c r="F122" s="30"/>
      <c r="G122" s="30" t="s">
        <v>411</v>
      </c>
      <c r="H122" s="7" t="s">
        <v>710</v>
      </c>
      <c r="I122" s="7"/>
      <c r="J122" s="32" t="n">
        <v>15</v>
      </c>
      <c r="K122" s="40" t="str">
        <f aca="false">IF(C122&amp;""=J122&amp;"","","changed")</f>
        <v/>
      </c>
    </row>
    <row r="123" customFormat="false" ht="28.35" hidden="false" customHeight="false" outlineLevel="0" collapsed="false">
      <c r="A123" s="32" t="s">
        <v>711</v>
      </c>
      <c r="B123" s="7" t="s">
        <v>712</v>
      </c>
      <c r="C123" s="39" t="n">
        <v>3</v>
      </c>
      <c r="D123" s="30" t="s">
        <v>480</v>
      </c>
      <c r="E123" s="30"/>
      <c r="F123" s="30"/>
      <c r="G123" s="30" t="s">
        <v>411</v>
      </c>
      <c r="H123" s="7" t="s">
        <v>705</v>
      </c>
      <c r="I123" s="7"/>
      <c r="J123" s="32" t="n">
        <v>3</v>
      </c>
      <c r="K123" s="40" t="str">
        <f aca="false">IF(C123&amp;""=J123&amp;"","","changed")</f>
        <v/>
      </c>
    </row>
    <row r="124" customFormat="false" ht="15" hidden="false" customHeight="false" outlineLevel="0" collapsed="false">
      <c r="A124" s="32" t="s">
        <v>713</v>
      </c>
      <c r="B124" s="7" t="s">
        <v>714</v>
      </c>
      <c r="C124" s="46" t="n">
        <v>500</v>
      </c>
      <c r="D124" s="30" t="s">
        <v>715</v>
      </c>
      <c r="E124" s="30"/>
      <c r="F124" s="30"/>
      <c r="G124" s="30" t="s">
        <v>411</v>
      </c>
      <c r="H124" s="7" t="s">
        <v>705</v>
      </c>
      <c r="I124" s="7"/>
      <c r="J124" s="47" t="n">
        <v>500</v>
      </c>
      <c r="K124" s="40" t="str">
        <f aca="false">IF(C124&amp;""=J124&amp;"","","changed")</f>
        <v/>
      </c>
    </row>
    <row r="125" customFormat="false" ht="15" hidden="false" customHeight="false" outlineLevel="0" collapsed="false">
      <c r="A125" s="32" t="s">
        <v>716</v>
      </c>
      <c r="B125" s="7" t="s">
        <v>717</v>
      </c>
      <c r="C125" s="39" t="n">
        <v>15</v>
      </c>
      <c r="D125" s="30" t="s">
        <v>709</v>
      </c>
      <c r="E125" s="30"/>
      <c r="F125" s="30"/>
      <c r="G125" s="30" t="s">
        <v>411</v>
      </c>
      <c r="H125" s="7" t="s">
        <v>710</v>
      </c>
      <c r="I125" s="7"/>
      <c r="J125" s="32" t="n">
        <v>15</v>
      </c>
      <c r="K125" s="40" t="str">
        <f aca="false">IF(C125&amp;""=J125&amp;"","","changed")</f>
        <v/>
      </c>
    </row>
    <row r="126" customFormat="false" ht="15" hidden="false" customHeight="false" outlineLevel="0" collapsed="false">
      <c r="A126" s="32" t="s">
        <v>718</v>
      </c>
      <c r="B126" s="7" t="s">
        <v>719</v>
      </c>
      <c r="C126" s="39" t="n">
        <v>5</v>
      </c>
      <c r="D126" s="30" t="s">
        <v>463</v>
      </c>
      <c r="E126" s="30"/>
      <c r="F126" s="30"/>
      <c r="G126" s="30" t="s">
        <v>411</v>
      </c>
      <c r="H126" s="7" t="s">
        <v>720</v>
      </c>
      <c r="I126" s="7"/>
      <c r="J126" s="32" t="n">
        <v>5</v>
      </c>
      <c r="K126" s="40" t="str">
        <f aca="false">IF(C126&amp;""=J126&amp;"","","changed")</f>
        <v/>
      </c>
    </row>
    <row r="127" customFormat="false" ht="15" hidden="false" customHeight="false" outlineLevel="0" collapsed="false">
      <c r="A127" s="32" t="s">
        <v>721</v>
      </c>
      <c r="B127" s="7" t="s">
        <v>722</v>
      </c>
      <c r="C127" s="39" t="n">
        <v>350</v>
      </c>
      <c r="D127" s="30" t="s">
        <v>723</v>
      </c>
      <c r="E127" s="30"/>
      <c r="F127" s="30"/>
      <c r="G127" s="30" t="s">
        <v>411</v>
      </c>
      <c r="H127" s="7" t="s">
        <v>720</v>
      </c>
      <c r="I127" s="7"/>
      <c r="J127" s="32" t="n">
        <v>350</v>
      </c>
      <c r="K127" s="40" t="str">
        <f aca="false">IF(C127&amp;""=J127&amp;"","","changed")</f>
        <v/>
      </c>
    </row>
    <row r="128" customFormat="false" ht="15" hidden="false" customHeight="false" outlineLevel="0" collapsed="false">
      <c r="A128" s="32" t="s">
        <v>724</v>
      </c>
      <c r="B128" s="7" t="s">
        <v>725</v>
      </c>
      <c r="C128" s="39" t="n">
        <v>2</v>
      </c>
      <c r="D128" s="30" t="s">
        <v>480</v>
      </c>
      <c r="E128" s="30"/>
      <c r="F128" s="30"/>
      <c r="G128" s="30" t="s">
        <v>411</v>
      </c>
      <c r="H128" s="7" t="s">
        <v>720</v>
      </c>
      <c r="I128" s="7"/>
      <c r="J128" s="32" t="n">
        <v>2</v>
      </c>
      <c r="K128" s="40" t="str">
        <f aca="false">IF(C128&amp;""=J128&amp;"","","changed")</f>
        <v/>
      </c>
    </row>
    <row r="129" customFormat="false" ht="15" hidden="false" customHeight="false" outlineLevel="0" collapsed="false">
      <c r="A129" s="32" t="s">
        <v>726</v>
      </c>
      <c r="B129" s="7" t="s">
        <v>727</v>
      </c>
      <c r="C129" s="39" t="s">
        <v>728</v>
      </c>
      <c r="D129" s="30" t="s">
        <v>324</v>
      </c>
      <c r="E129" s="30"/>
      <c r="F129" s="30"/>
      <c r="G129" s="30" t="s">
        <v>384</v>
      </c>
      <c r="H129" s="7" t="s">
        <v>729</v>
      </c>
      <c r="I129" s="7"/>
      <c r="J129" s="32" t="s">
        <v>728</v>
      </c>
      <c r="K129" s="40" t="str">
        <f aca="false">IF(C129&amp;""=J129&amp;"","","changed")</f>
        <v/>
      </c>
    </row>
    <row r="130" customFormat="false" ht="15" hidden="false" customHeight="false" outlineLevel="0" collapsed="false">
      <c r="A130" s="32" t="s">
        <v>730</v>
      </c>
      <c r="B130" s="7" t="s">
        <v>731</v>
      </c>
      <c r="C130" s="49" t="n">
        <v>0.8</v>
      </c>
      <c r="D130" s="30" t="s">
        <v>732</v>
      </c>
      <c r="E130" s="30"/>
      <c r="F130" s="30"/>
      <c r="G130" s="30" t="s">
        <v>411</v>
      </c>
      <c r="H130" s="7" t="s">
        <v>729</v>
      </c>
      <c r="I130" s="7"/>
      <c r="J130" s="50" t="n">
        <v>0.8</v>
      </c>
      <c r="K130" s="40" t="str">
        <f aca="false">IF(C130&amp;""=J130&amp;"","","changed")</f>
        <v/>
      </c>
    </row>
    <row r="131" customFormat="false" ht="15" hidden="false" customHeight="false" outlineLevel="0" collapsed="false">
      <c r="A131" s="32" t="s">
        <v>733</v>
      </c>
      <c r="B131" s="7" t="s">
        <v>734</v>
      </c>
      <c r="C131" s="39" t="n">
        <v>5</v>
      </c>
      <c r="D131" s="30" t="s">
        <v>735</v>
      </c>
      <c r="E131" s="30"/>
      <c r="F131" s="30"/>
      <c r="G131" s="30" t="s">
        <v>411</v>
      </c>
      <c r="H131" s="7" t="s">
        <v>729</v>
      </c>
      <c r="I131" s="7"/>
      <c r="J131" s="32" t="n">
        <v>5</v>
      </c>
      <c r="K131" s="40" t="str">
        <f aca="false">IF(C131&amp;""=J131&amp;"","","changed")</f>
        <v/>
      </c>
    </row>
    <row r="132" customFormat="false" ht="15" hidden="false" customHeight="false" outlineLevel="0" collapsed="false">
      <c r="A132" s="32" t="s">
        <v>736</v>
      </c>
      <c r="B132" s="7" t="s">
        <v>737</v>
      </c>
      <c r="C132" s="39" t="n">
        <v>7</v>
      </c>
      <c r="D132" s="30" t="s">
        <v>410</v>
      </c>
      <c r="E132" s="30"/>
      <c r="F132" s="30"/>
      <c r="G132" s="30" t="s">
        <v>411</v>
      </c>
      <c r="H132" s="7" t="s">
        <v>738</v>
      </c>
      <c r="I132" s="7"/>
      <c r="J132" s="32" t="n">
        <v>7</v>
      </c>
      <c r="K132" s="40" t="str">
        <f aca="false">IF(C132&amp;""=J132&amp;"","","changed")</f>
        <v/>
      </c>
    </row>
    <row r="133" customFormat="false" ht="15" hidden="false" customHeight="false" outlineLevel="0" collapsed="false">
      <c r="A133" s="32" t="s">
        <v>739</v>
      </c>
      <c r="B133" s="7" t="s">
        <v>740</v>
      </c>
      <c r="C133" s="39" t="n">
        <v>1</v>
      </c>
      <c r="D133" s="30" t="s">
        <v>480</v>
      </c>
      <c r="E133" s="30"/>
      <c r="F133" s="30"/>
      <c r="G133" s="30" t="s">
        <v>411</v>
      </c>
      <c r="H133" s="7" t="s">
        <v>729</v>
      </c>
      <c r="I133" s="7"/>
      <c r="J133" s="32" t="n">
        <v>1</v>
      </c>
      <c r="K133" s="40" t="str">
        <f aca="false">IF(C133&amp;""=J133&amp;"","","changed")</f>
        <v/>
      </c>
    </row>
    <row r="134" customFormat="false" ht="15" hidden="false" customHeight="false" outlineLevel="0" collapsed="false">
      <c r="A134" s="32" t="s">
        <v>741</v>
      </c>
      <c r="B134" s="7" t="s">
        <v>742</v>
      </c>
      <c r="C134" s="39" t="n">
        <v>1</v>
      </c>
      <c r="D134" s="30" t="s">
        <v>743</v>
      </c>
      <c r="E134" s="30"/>
      <c r="F134" s="30"/>
      <c r="G134" s="30" t="s">
        <v>411</v>
      </c>
      <c r="H134" s="7" t="s">
        <v>744</v>
      </c>
      <c r="I134" s="7"/>
      <c r="J134" s="32" t="n">
        <v>1</v>
      </c>
      <c r="K134" s="40" t="str">
        <f aca="false">IF(C134&amp;""=J134&amp;"","","changed")</f>
        <v/>
      </c>
    </row>
    <row r="135" customFormat="false" ht="15" hidden="false" customHeight="false" outlineLevel="0" collapsed="false">
      <c r="A135" s="32" t="s">
        <v>745</v>
      </c>
      <c r="B135" s="7" t="s">
        <v>746</v>
      </c>
      <c r="C135" s="46" t="n">
        <v>1500</v>
      </c>
      <c r="D135" s="30" t="s">
        <v>695</v>
      </c>
      <c r="E135" s="30"/>
      <c r="F135" s="30"/>
      <c r="G135" s="30" t="s">
        <v>411</v>
      </c>
      <c r="H135" s="7" t="s">
        <v>744</v>
      </c>
      <c r="I135" s="7"/>
      <c r="J135" s="47" t="n">
        <v>1500</v>
      </c>
      <c r="K135" s="40" t="str">
        <f aca="false">IF(C135&amp;""=J135&amp;"","","changed")</f>
        <v/>
      </c>
    </row>
    <row r="136" customFormat="false" ht="15" hidden="false" customHeight="false" outlineLevel="0" collapsed="false">
      <c r="A136" s="32" t="s">
        <v>747</v>
      </c>
      <c r="B136" s="7" t="s">
        <v>748</v>
      </c>
      <c r="C136" s="46" t="n">
        <v>50</v>
      </c>
      <c r="D136" s="30" t="s">
        <v>749</v>
      </c>
      <c r="E136" s="30"/>
      <c r="F136" s="30"/>
      <c r="G136" s="30" t="s">
        <v>411</v>
      </c>
      <c r="H136" s="7" t="s">
        <v>744</v>
      </c>
      <c r="I136" s="7"/>
      <c r="J136" s="47" t="n">
        <v>50</v>
      </c>
      <c r="K136" s="40" t="str">
        <f aca="false">IF(C136&amp;""=J136&amp;"","","changed")</f>
        <v/>
      </c>
    </row>
    <row r="137" customFormat="false" ht="15" hidden="false" customHeight="false" outlineLevel="0" collapsed="false">
      <c r="A137" s="32" t="s">
        <v>750</v>
      </c>
      <c r="B137" s="7" t="s">
        <v>751</v>
      </c>
      <c r="C137" s="49" t="n">
        <v>0.4</v>
      </c>
      <c r="D137" s="30" t="s">
        <v>487</v>
      </c>
      <c r="E137" s="30"/>
      <c r="F137" s="30"/>
      <c r="G137" s="30" t="s">
        <v>411</v>
      </c>
      <c r="H137" s="7" t="s">
        <v>752</v>
      </c>
      <c r="I137" s="7"/>
      <c r="J137" s="50" t="n">
        <v>0.4</v>
      </c>
      <c r="K137" s="40" t="str">
        <f aca="false">IF(C137&amp;""=J137&amp;"","","changed")</f>
        <v/>
      </c>
    </row>
    <row r="138" customFormat="false" ht="15" hidden="false" customHeight="false" outlineLevel="0" collapsed="false">
      <c r="A138" s="32" t="s">
        <v>753</v>
      </c>
      <c r="B138" s="7" t="s">
        <v>754</v>
      </c>
      <c r="C138" s="39" t="n">
        <v>5</v>
      </c>
      <c r="D138" s="30" t="s">
        <v>463</v>
      </c>
      <c r="E138" s="30"/>
      <c r="F138" s="30"/>
      <c r="G138" s="30" t="s">
        <v>411</v>
      </c>
      <c r="H138" s="7" t="s">
        <v>752</v>
      </c>
      <c r="I138" s="7"/>
      <c r="J138" s="32" t="n">
        <v>5</v>
      </c>
      <c r="K138" s="40" t="str">
        <f aca="false">IF(C138&amp;""=J138&amp;"","","changed")</f>
        <v/>
      </c>
    </row>
    <row r="139" customFormat="false" ht="15" hidden="false" customHeight="false" outlineLevel="0" collapsed="false">
      <c r="A139" s="32" t="s">
        <v>755</v>
      </c>
      <c r="B139" s="7" t="s">
        <v>756</v>
      </c>
      <c r="C139" s="46" t="n">
        <v>100</v>
      </c>
      <c r="D139" s="30" t="s">
        <v>576</v>
      </c>
      <c r="E139" s="30"/>
      <c r="F139" s="30"/>
      <c r="G139" s="30" t="s">
        <v>411</v>
      </c>
      <c r="H139" s="7" t="s">
        <v>752</v>
      </c>
      <c r="I139" s="7"/>
      <c r="J139" s="47" t="n">
        <v>100</v>
      </c>
      <c r="K139" s="40" t="str">
        <f aca="false">IF(C139&amp;""=J139&amp;"","","changed")</f>
        <v/>
      </c>
    </row>
    <row r="140" customFormat="false" ht="15" hidden="false" customHeight="false" outlineLevel="0" collapsed="false">
      <c r="A140" s="32" t="s">
        <v>757</v>
      </c>
      <c r="B140" s="7" t="s">
        <v>758</v>
      </c>
      <c r="C140" s="49" t="n">
        <v>0.3</v>
      </c>
      <c r="D140" s="30" t="s">
        <v>487</v>
      </c>
      <c r="E140" s="30"/>
      <c r="F140" s="30"/>
      <c r="G140" s="30" t="s">
        <v>411</v>
      </c>
      <c r="H140" s="7" t="s">
        <v>752</v>
      </c>
      <c r="I140" s="7"/>
      <c r="J140" s="50" t="n">
        <v>0.3</v>
      </c>
      <c r="K140" s="40" t="str">
        <f aca="false">IF(C140&amp;""=J140&amp;"","","changed")</f>
        <v/>
      </c>
    </row>
    <row r="141" customFormat="false" ht="15" hidden="false" customHeight="false" outlineLevel="0" collapsed="false">
      <c r="A141" s="32" t="s">
        <v>759</v>
      </c>
      <c r="B141" s="7" t="s">
        <v>760</v>
      </c>
      <c r="C141" s="39" t="n">
        <v>2</v>
      </c>
      <c r="D141" s="30" t="s">
        <v>761</v>
      </c>
      <c r="E141" s="30"/>
      <c r="F141" s="30"/>
      <c r="G141" s="30" t="s">
        <v>411</v>
      </c>
      <c r="H141" s="7" t="s">
        <v>752</v>
      </c>
      <c r="I141" s="7"/>
      <c r="J141" s="32" t="n">
        <v>2</v>
      </c>
      <c r="K141" s="40" t="str">
        <f aca="false">IF(C141&amp;""=J141&amp;"","","changed")</f>
        <v/>
      </c>
    </row>
    <row r="142" customFormat="false" ht="28.35" hidden="false" customHeight="false" outlineLevel="0" collapsed="false">
      <c r="A142" s="32" t="s">
        <v>762</v>
      </c>
      <c r="B142" s="7" t="s">
        <v>763</v>
      </c>
      <c r="C142" s="39" t="n">
        <v>2</v>
      </c>
      <c r="D142" s="30" t="s">
        <v>761</v>
      </c>
      <c r="E142" s="30"/>
      <c r="F142" s="30"/>
      <c r="G142" s="30" t="s">
        <v>411</v>
      </c>
      <c r="H142" s="7" t="s">
        <v>764</v>
      </c>
      <c r="I142" s="7"/>
      <c r="J142" s="32" t="n">
        <v>2</v>
      </c>
      <c r="K142" s="40" t="str">
        <f aca="false">IF(C142&amp;""=J142&amp;"","","changed")</f>
        <v/>
      </c>
    </row>
    <row r="143" customFormat="false" ht="15" hidden="false" customHeight="false" outlineLevel="0" collapsed="false">
      <c r="A143" s="32" t="s">
        <v>765</v>
      </c>
      <c r="B143" s="7" t="s">
        <v>766</v>
      </c>
      <c r="C143" s="39" t="n">
        <v>6</v>
      </c>
      <c r="D143" s="30" t="s">
        <v>767</v>
      </c>
      <c r="E143" s="30"/>
      <c r="F143" s="30"/>
      <c r="G143" s="30" t="s">
        <v>411</v>
      </c>
      <c r="H143" s="7" t="s">
        <v>768</v>
      </c>
      <c r="I143" s="7"/>
      <c r="J143" s="32" t="n">
        <v>6</v>
      </c>
      <c r="K143" s="40" t="str">
        <f aca="false">IF(C143&amp;""=J143&amp;"","","changed")</f>
        <v/>
      </c>
    </row>
    <row r="144" customFormat="false" ht="15" hidden="false" customHeight="false" outlineLevel="0" collapsed="false">
      <c r="A144" s="32" t="s">
        <v>769</v>
      </c>
      <c r="B144" s="7" t="s">
        <v>770</v>
      </c>
      <c r="C144" s="39" t="n">
        <v>2</v>
      </c>
      <c r="D144" s="30" t="s">
        <v>743</v>
      </c>
      <c r="E144" s="30"/>
      <c r="F144" s="30"/>
      <c r="G144" s="30" t="s">
        <v>411</v>
      </c>
      <c r="H144" s="7" t="s">
        <v>768</v>
      </c>
      <c r="I144" s="7"/>
      <c r="J144" s="32" t="n">
        <v>2</v>
      </c>
      <c r="K144" s="40" t="str">
        <f aca="false">IF(C144&amp;""=J144&amp;"","","changed")</f>
        <v/>
      </c>
    </row>
    <row r="145" customFormat="false" ht="15" hidden="false" customHeight="false" outlineLevel="0" collapsed="false">
      <c r="A145" s="32" t="s">
        <v>771</v>
      </c>
      <c r="B145" s="7" t="s">
        <v>772</v>
      </c>
      <c r="C145" s="39" t="n">
        <v>12</v>
      </c>
      <c r="D145" s="30" t="s">
        <v>463</v>
      </c>
      <c r="E145" s="30"/>
      <c r="F145" s="30"/>
      <c r="G145" s="30" t="s">
        <v>411</v>
      </c>
      <c r="H145" s="7" t="s">
        <v>768</v>
      </c>
      <c r="I145" s="7"/>
      <c r="J145" s="32" t="n">
        <v>12</v>
      </c>
      <c r="K145" s="40" t="str">
        <f aca="false">IF(C145&amp;""=J145&amp;"","","changed")</f>
        <v/>
      </c>
    </row>
    <row r="147" customFormat="false" ht="15" hidden="false" customHeight="false" outlineLevel="0" collapsed="false">
      <c r="A147" s="3" t="s">
        <v>773</v>
      </c>
      <c r="B147" s="4"/>
      <c r="C147" s="4"/>
      <c r="D147" s="4"/>
      <c r="E147" s="4"/>
      <c r="F147" s="4"/>
      <c r="G147" s="4"/>
      <c r="H147" s="4"/>
      <c r="I147" s="4"/>
      <c r="J147" s="4"/>
      <c r="K147" s="4"/>
    </row>
    <row r="148" customFormat="false" ht="28.35" hidden="false" customHeight="false" outlineLevel="0" collapsed="false">
      <c r="A148" s="12" t="s">
        <v>341</v>
      </c>
      <c r="B148" s="12" t="s">
        <v>342</v>
      </c>
      <c r="C148" s="12" t="s">
        <v>232</v>
      </c>
      <c r="D148" s="12" t="s">
        <v>343</v>
      </c>
      <c r="E148" s="12" t="s">
        <v>344</v>
      </c>
      <c r="F148" s="12" t="s">
        <v>345</v>
      </c>
      <c r="G148" s="12" t="s">
        <v>276</v>
      </c>
      <c r="H148" s="12" t="s">
        <v>346</v>
      </c>
      <c r="I148" s="12" t="s">
        <v>347</v>
      </c>
      <c r="J148" s="12" t="s">
        <v>348</v>
      </c>
      <c r="K148" s="12" t="s">
        <v>349</v>
      </c>
    </row>
    <row r="149" customFormat="false" ht="15" hidden="false" customHeight="false" outlineLevel="0" collapsed="false">
      <c r="A149" s="32" t="s">
        <v>774</v>
      </c>
      <c r="B149" s="7" t="s">
        <v>775</v>
      </c>
      <c r="C149" s="46" t="n">
        <v>100</v>
      </c>
      <c r="D149" s="30" t="s">
        <v>458</v>
      </c>
      <c r="E149" s="30"/>
      <c r="F149" s="30"/>
      <c r="G149" s="30" t="s">
        <v>384</v>
      </c>
      <c r="H149" s="7" t="s">
        <v>385</v>
      </c>
      <c r="I149" s="7"/>
      <c r="J149" s="47" t="n">
        <v>100</v>
      </c>
      <c r="K149" s="40" t="str">
        <f aca="false">IF(C149&amp;""=J149&amp;"","","changed")</f>
        <v/>
      </c>
    </row>
    <row r="150" customFormat="false" ht="15" hidden="false" customHeight="false" outlineLevel="0" collapsed="false">
      <c r="A150" s="32" t="s">
        <v>776</v>
      </c>
      <c r="B150" s="7" t="s">
        <v>777</v>
      </c>
      <c r="C150" s="46" t="n">
        <v>25</v>
      </c>
      <c r="D150" s="30" t="s">
        <v>458</v>
      </c>
      <c r="E150" s="30"/>
      <c r="F150" s="30"/>
      <c r="G150" s="30" t="s">
        <v>384</v>
      </c>
      <c r="H150" s="7" t="s">
        <v>385</v>
      </c>
      <c r="I150" s="7"/>
      <c r="J150" s="47" t="n">
        <v>25</v>
      </c>
      <c r="K150" s="40" t="str">
        <f aca="false">IF(C150&amp;""=J150&amp;"","","changed")</f>
        <v/>
      </c>
    </row>
    <row r="151" customFormat="false" ht="15" hidden="false" customHeight="false" outlineLevel="0" collapsed="false">
      <c r="A151" s="32" t="s">
        <v>778</v>
      </c>
      <c r="B151" s="7" t="s">
        <v>779</v>
      </c>
      <c r="C151" s="39" t="n">
        <v>1</v>
      </c>
      <c r="D151" s="30" t="s">
        <v>480</v>
      </c>
      <c r="E151" s="30"/>
      <c r="F151" s="30"/>
      <c r="G151" s="30" t="s">
        <v>384</v>
      </c>
      <c r="H151" s="7" t="s">
        <v>385</v>
      </c>
      <c r="I151" s="7"/>
      <c r="J151" s="32" t="n">
        <v>1</v>
      </c>
      <c r="K151" s="40" t="str">
        <f aca="false">IF(C151&amp;""=J151&amp;"","","changed")</f>
        <v/>
      </c>
    </row>
    <row r="152" customFormat="false" ht="15" hidden="false" customHeight="false" outlineLevel="0" collapsed="false">
      <c r="A152" s="32" t="s">
        <v>780</v>
      </c>
      <c r="B152" s="7" t="s">
        <v>781</v>
      </c>
      <c r="C152" s="39" t="n">
        <v>1</v>
      </c>
      <c r="D152" s="30" t="s">
        <v>480</v>
      </c>
      <c r="E152" s="30"/>
      <c r="F152" s="30"/>
      <c r="G152" s="30" t="s">
        <v>384</v>
      </c>
      <c r="H152" s="7" t="s">
        <v>385</v>
      </c>
      <c r="I152" s="7"/>
      <c r="J152" s="32" t="n">
        <v>1</v>
      </c>
      <c r="K152" s="40" t="str">
        <f aca="false">IF(C152&amp;""=J152&amp;"","","changed")</f>
        <v/>
      </c>
    </row>
    <row r="153" customFormat="false" ht="15" hidden="false" customHeight="false" outlineLevel="0" collapsed="false">
      <c r="A153" s="32" t="s">
        <v>782</v>
      </c>
      <c r="B153" s="7" t="s">
        <v>783</v>
      </c>
      <c r="C153" s="49" t="n">
        <v>0</v>
      </c>
      <c r="D153" s="30" t="s">
        <v>487</v>
      </c>
      <c r="E153" s="30"/>
      <c r="F153" s="30"/>
      <c r="G153" s="30" t="s">
        <v>384</v>
      </c>
      <c r="H153" s="7" t="s">
        <v>385</v>
      </c>
      <c r="I153" s="7"/>
      <c r="J153" s="50" t="n">
        <v>0</v>
      </c>
      <c r="K153" s="40" t="str">
        <f aca="false">IF(C153&amp;""=J153&amp;"","","changed")</f>
        <v/>
      </c>
    </row>
    <row r="154" customFormat="false" ht="15" hidden="false" customHeight="false" outlineLevel="0" collapsed="false">
      <c r="A154" s="32" t="s">
        <v>784</v>
      </c>
      <c r="B154" s="7" t="s">
        <v>785</v>
      </c>
      <c r="C154" s="49" t="n">
        <v>0.1</v>
      </c>
      <c r="D154" s="30" t="s">
        <v>487</v>
      </c>
      <c r="E154" s="30"/>
      <c r="F154" s="30"/>
      <c r="G154" s="30" t="s">
        <v>384</v>
      </c>
      <c r="H154" s="7" t="s">
        <v>385</v>
      </c>
      <c r="I154" s="7"/>
      <c r="J154" s="50" t="n">
        <v>0.1</v>
      </c>
      <c r="K154" s="40" t="str">
        <f aca="false">IF(C154&amp;""=J154&amp;"","","changed")</f>
        <v/>
      </c>
    </row>
    <row r="156" customFormat="false" ht="15" hidden="false" customHeight="false" outlineLevel="0" collapsed="false">
      <c r="A156" s="3" t="s">
        <v>786</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341</v>
      </c>
      <c r="B157" s="12" t="s">
        <v>787</v>
      </c>
      <c r="C157" s="12" t="s">
        <v>788</v>
      </c>
      <c r="D157" s="12" t="s">
        <v>343</v>
      </c>
      <c r="E157" s="12" t="s">
        <v>344</v>
      </c>
      <c r="F157" s="12" t="s">
        <v>345</v>
      </c>
      <c r="G157" s="12" t="s">
        <v>276</v>
      </c>
      <c r="H157" s="12" t="s">
        <v>346</v>
      </c>
      <c r="I157" s="12" t="s">
        <v>347</v>
      </c>
      <c r="J157" s="12" t="s">
        <v>348</v>
      </c>
      <c r="K157" s="12" t="s">
        <v>349</v>
      </c>
      <c r="L157" s="12" t="s">
        <v>789</v>
      </c>
      <c r="M157" s="12" t="s">
        <v>790</v>
      </c>
      <c r="N157" s="12" t="s">
        <v>791</v>
      </c>
      <c r="O157" s="12" t="s">
        <v>792</v>
      </c>
      <c r="P157" s="12" t="s">
        <v>793</v>
      </c>
      <c r="Q157" s="12" t="s">
        <v>794</v>
      </c>
      <c r="R157" s="12" t="s">
        <v>795</v>
      </c>
      <c r="S157" s="12" t="s">
        <v>796</v>
      </c>
      <c r="T157" s="12" t="s">
        <v>797</v>
      </c>
    </row>
    <row r="158" customFormat="false" ht="55.2" hidden="false" customHeight="false" outlineLevel="0" collapsed="false">
      <c r="A158" s="32" t="s">
        <v>798</v>
      </c>
      <c r="B158" s="7" t="s">
        <v>799</v>
      </c>
      <c r="C158" s="46" t="n">
        <v>200</v>
      </c>
      <c r="D158" s="30" t="s">
        <v>800</v>
      </c>
      <c r="E158" s="19" t="n">
        <v>200</v>
      </c>
      <c r="F158" s="19" t="n">
        <v>200</v>
      </c>
      <c r="G158" s="30" t="s">
        <v>801</v>
      </c>
      <c r="H158" s="7" t="s">
        <v>802</v>
      </c>
      <c r="I158" s="7" t="s">
        <v>803</v>
      </c>
      <c r="J158" s="47" t="n">
        <v>200</v>
      </c>
      <c r="K158" s="40" t="str">
        <f aca="false">IF(AND(C158&amp;""=J158&amp;"",N158&amp;""=S158&amp;"",L158&amp;""=T158&amp;""),"","changed")</f>
        <v/>
      </c>
      <c r="L158" s="43" t="n">
        <f aca="false">WORKDAY(Inputs!$C$11,Inputs!$C$25,Lists!$N$4:$N$30)</f>
        <v>46345</v>
      </c>
      <c r="M158" s="7" t="s">
        <v>804</v>
      </c>
      <c r="N158" s="39" t="s">
        <v>805</v>
      </c>
      <c r="O158" s="56"/>
      <c r="P158" s="57"/>
      <c r="Q158" s="58" t="n">
        <f aca="false">IF(P158&lt;&gt;"",N(O158),IF(N158="Y",N(C158),0))</f>
        <v>200</v>
      </c>
      <c r="R158" s="59" t="n">
        <f aca="false">IF(P158&lt;&gt;"",P158,L158)</f>
        <v>46345</v>
      </c>
      <c r="S158" s="32" t="s">
        <v>805</v>
      </c>
      <c r="T158" s="42" t="n">
        <f aca="false">WORKDAY(Inputs!$C$11,Inputs!$C$25,Lists!$N$4:$N$30)</f>
        <v>46345</v>
      </c>
    </row>
    <row r="159" customFormat="false" ht="55.2" hidden="false" customHeight="false" outlineLevel="0" collapsed="false">
      <c r="A159" s="32" t="s">
        <v>806</v>
      </c>
      <c r="B159" s="7" t="s">
        <v>807</v>
      </c>
      <c r="C159" s="46" t="n">
        <v>50</v>
      </c>
      <c r="D159" s="30" t="s">
        <v>800</v>
      </c>
      <c r="E159" s="19" t="n">
        <v>50</v>
      </c>
      <c r="F159" s="19" t="n">
        <v>50</v>
      </c>
      <c r="G159" s="30" t="s">
        <v>801</v>
      </c>
      <c r="H159" s="7" t="s">
        <v>808</v>
      </c>
      <c r="I159" s="7"/>
      <c r="J159" s="47" t="n">
        <v>50</v>
      </c>
      <c r="K159" s="40" t="str">
        <f aca="false">IF(AND(C159&amp;""=J159&amp;"",N159&amp;""=S159&amp;"",L159&amp;""=T159&amp;""),"","changed")</f>
        <v/>
      </c>
      <c r="L159" s="43" t="n">
        <f aca="false">L160+Inputs!$C$29*Inputs!$C$18</f>
        <v>46402</v>
      </c>
      <c r="M159" s="7" t="s">
        <v>809</v>
      </c>
      <c r="N159" s="39" t="s">
        <v>805</v>
      </c>
      <c r="O159" s="56"/>
      <c r="P159" s="57"/>
      <c r="Q159" s="58" t="n">
        <f aca="false">IF(P159&lt;&gt;"",N(O159),IF(N159="Y",N(C159),0))</f>
        <v>50</v>
      </c>
      <c r="R159" s="59" t="n">
        <f aca="false">IF(P159&lt;&gt;"",P159,L159)</f>
        <v>46402</v>
      </c>
      <c r="S159" s="32" t="s">
        <v>805</v>
      </c>
      <c r="T159" s="42" t="n">
        <f aca="false">L160+Inputs!$C$29*Inputs!$C$18</f>
        <v>46402</v>
      </c>
    </row>
    <row r="160" customFormat="false" ht="68.65" hidden="false" customHeight="false" outlineLevel="0" collapsed="false">
      <c r="A160" s="32" t="s">
        <v>810</v>
      </c>
      <c r="B160" s="7" t="s">
        <v>811</v>
      </c>
      <c r="C160" s="46" t="n">
        <v>2000</v>
      </c>
      <c r="D160" s="30" t="s">
        <v>800</v>
      </c>
      <c r="E160" s="19" t="n">
        <v>250</v>
      </c>
      <c r="F160" s="19" t="n">
        <v>2000</v>
      </c>
      <c r="G160" s="30" t="s">
        <v>812</v>
      </c>
      <c r="H160" s="7" t="s">
        <v>813</v>
      </c>
      <c r="I160" s="7" t="s">
        <v>814</v>
      </c>
      <c r="J160" s="47" t="n">
        <v>2000</v>
      </c>
      <c r="K160" s="40" t="str">
        <f aca="false">IF(AND(C160&amp;""=J160&amp;"",N160&amp;""=S160&amp;"",L160&amp;""=T160&amp;""),"","changed")</f>
        <v/>
      </c>
      <c r="L160" s="43" t="n">
        <f aca="false">WORKDAY(L158,Inputs!$C$28,Lists!$N$4:$N$30)</f>
        <v>46360</v>
      </c>
      <c r="M160" s="7" t="s">
        <v>815</v>
      </c>
      <c r="N160" s="39" t="s">
        <v>805</v>
      </c>
      <c r="O160" s="56"/>
      <c r="P160" s="57"/>
      <c r="Q160" s="58" t="n">
        <f aca="false">IF(P160&lt;&gt;"",N(O160),IF(N160="Y",N(C160),0))</f>
        <v>2000</v>
      </c>
      <c r="R160" s="59" t="n">
        <f aca="false">IF(P160&lt;&gt;"",P160,L160)</f>
        <v>46360</v>
      </c>
      <c r="S160" s="32" t="s">
        <v>805</v>
      </c>
      <c r="T160" s="42" t="n">
        <f aca="false">WORKDAY(L158,Inputs!$C$28,Lists!$N$4:$N$30)</f>
        <v>46360</v>
      </c>
    </row>
    <row r="161" customFormat="false" ht="68.65" hidden="false" customHeight="false" outlineLevel="0" collapsed="false">
      <c r="A161" s="32" t="s">
        <v>816</v>
      </c>
      <c r="B161" s="7" t="s">
        <v>817</v>
      </c>
      <c r="C161" s="56"/>
      <c r="D161" s="30" t="s">
        <v>800</v>
      </c>
      <c r="E161" s="60"/>
      <c r="F161" s="60"/>
      <c r="G161" s="30" t="s">
        <v>818</v>
      </c>
      <c r="H161" s="7" t="s">
        <v>819</v>
      </c>
      <c r="I161" s="7" t="s">
        <v>820</v>
      </c>
      <c r="J161" s="61"/>
      <c r="K161" s="40" t="str">
        <f aca="false">IF(AND(C161&amp;""=J161&amp;"",N161&amp;""=S161&amp;"",L161&amp;""=T161&amp;""),"","changed")</f>
        <v/>
      </c>
      <c r="L161" s="43" t="n">
        <f aca="false">L158</f>
        <v>46345</v>
      </c>
      <c r="M161" s="7" t="s">
        <v>821</v>
      </c>
      <c r="N161" s="39" t="s">
        <v>822</v>
      </c>
      <c r="O161" s="56"/>
      <c r="P161" s="57"/>
      <c r="Q161" s="58" t="n">
        <f aca="false">IF(P161&lt;&gt;"",N(O161),IF(N161="Y",N(C161),0))</f>
        <v>0</v>
      </c>
      <c r="R161" s="59" t="n">
        <f aca="false">IF(P161&lt;&gt;"",P161,L161)</f>
        <v>46345</v>
      </c>
      <c r="S161" s="32" t="s">
        <v>822</v>
      </c>
      <c r="T161" s="42" t="n">
        <f aca="false">L158</f>
        <v>46345</v>
      </c>
    </row>
    <row r="162" customFormat="false" ht="55.2" hidden="false" customHeight="false" outlineLevel="0" collapsed="false">
      <c r="A162" s="32" t="s">
        <v>823</v>
      </c>
      <c r="B162" s="7" t="s">
        <v>824</v>
      </c>
      <c r="C162" s="46" t="n">
        <v>400</v>
      </c>
      <c r="D162" s="30" t="s">
        <v>800</v>
      </c>
      <c r="E162" s="19" t="n">
        <v>0</v>
      </c>
      <c r="F162" s="19" t="n">
        <v>400</v>
      </c>
      <c r="G162" s="30" t="s">
        <v>825</v>
      </c>
      <c r="H162" s="7" t="s">
        <v>826</v>
      </c>
      <c r="I162" s="7" t="s">
        <v>827</v>
      </c>
      <c r="J162" s="47" t="n">
        <v>400</v>
      </c>
      <c r="K162" s="40" t="str">
        <f aca="false">IF(AND(C162&amp;""=J162&amp;"",N162&amp;""=S162&amp;"",L162&amp;""=T162&amp;""),"","changed")</f>
        <v/>
      </c>
      <c r="L162" s="43" t="n">
        <f aca="false">Inputs!$C$12</f>
        <v>46367</v>
      </c>
      <c r="M162" s="7" t="s">
        <v>828</v>
      </c>
      <c r="N162" s="39" t="s">
        <v>805</v>
      </c>
      <c r="O162" s="56"/>
      <c r="P162" s="57"/>
      <c r="Q162" s="58" t="n">
        <f aca="false">IF(P162&lt;&gt;"",N(O162),IF(N162="Y",N(C162),0))</f>
        <v>400</v>
      </c>
      <c r="R162" s="59" t="n">
        <f aca="false">IF(P162&lt;&gt;"",P162,L162)</f>
        <v>46367</v>
      </c>
      <c r="S162" s="32" t="s">
        <v>805</v>
      </c>
      <c r="T162" s="42" t="n">
        <f aca="false">Inputs!$C$12</f>
        <v>46367</v>
      </c>
    </row>
    <row r="163" customFormat="false" ht="41.75" hidden="false" customHeight="false" outlineLevel="0" collapsed="false">
      <c r="A163" s="32" t="s">
        <v>829</v>
      </c>
      <c r="B163" s="7" t="s">
        <v>830</v>
      </c>
      <c r="C163" s="46" t="n">
        <v>300</v>
      </c>
      <c r="D163" s="30" t="s">
        <v>800</v>
      </c>
      <c r="E163" s="19" t="n">
        <v>300</v>
      </c>
      <c r="F163" s="19" t="n">
        <v>300</v>
      </c>
      <c r="G163" s="30" t="s">
        <v>411</v>
      </c>
      <c r="H163" s="7" t="s">
        <v>602</v>
      </c>
      <c r="I163" s="7" t="s">
        <v>831</v>
      </c>
      <c r="J163" s="47" t="n">
        <v>300</v>
      </c>
      <c r="K163" s="40" t="str">
        <f aca="false">IF(AND(C163&amp;""=J163&amp;"",N163&amp;""=S163&amp;"",L163&amp;""=T163&amp;""),"","changed")</f>
        <v/>
      </c>
      <c r="L163" s="43" t="n">
        <f aca="false">Inputs!$C$12</f>
        <v>46367</v>
      </c>
      <c r="M163" s="7" t="s">
        <v>832</v>
      </c>
      <c r="N163" s="39" t="s">
        <v>805</v>
      </c>
      <c r="O163" s="56"/>
      <c r="P163" s="57"/>
      <c r="Q163" s="58" t="n">
        <f aca="false">IF(P163&lt;&gt;"",N(O163),IF(N163="Y",N(C163),0))</f>
        <v>300</v>
      </c>
      <c r="R163" s="59" t="n">
        <f aca="false">IF(P163&lt;&gt;"",P163,L163)</f>
        <v>46367</v>
      </c>
      <c r="S163" s="32" t="s">
        <v>805</v>
      </c>
      <c r="T163" s="42" t="n">
        <f aca="false">Inputs!$C$12</f>
        <v>46367</v>
      </c>
    </row>
    <row r="164" customFormat="false" ht="15" hidden="false" customHeight="false" outlineLevel="0" collapsed="false">
      <c r="A164" s="32" t="s">
        <v>833</v>
      </c>
      <c r="B164" s="7" t="s">
        <v>834</v>
      </c>
      <c r="C164" s="46" t="n">
        <v>100</v>
      </c>
      <c r="D164" s="30" t="s">
        <v>800</v>
      </c>
      <c r="E164" s="19" t="n">
        <v>100</v>
      </c>
      <c r="F164" s="19" t="n">
        <v>100</v>
      </c>
      <c r="G164" s="30" t="s">
        <v>411</v>
      </c>
      <c r="H164" s="7" t="s">
        <v>602</v>
      </c>
      <c r="I164" s="7"/>
      <c r="J164" s="47" t="n">
        <v>100</v>
      </c>
      <c r="K164" s="40" t="str">
        <f aca="false">IF(AND(C164&amp;""=J164&amp;"",N164&amp;""=S164&amp;"",L164&amp;""=T164&amp;""),"","changed")</f>
        <v/>
      </c>
      <c r="L164" s="43" t="n">
        <f aca="false">Inputs!$C$10</f>
        <v>46321</v>
      </c>
      <c r="M164" s="7" t="s">
        <v>835</v>
      </c>
      <c r="N164" s="39" t="s">
        <v>805</v>
      </c>
      <c r="O164" s="56"/>
      <c r="P164" s="57"/>
      <c r="Q164" s="58" t="n">
        <f aca="false">IF(P164&lt;&gt;"",N(O164),IF(N164="Y",N(C164),0))</f>
        <v>100</v>
      </c>
      <c r="R164" s="59" t="n">
        <f aca="false">IF(P164&lt;&gt;"",P164,L164)</f>
        <v>46321</v>
      </c>
      <c r="S164" s="32" t="s">
        <v>805</v>
      </c>
      <c r="T164" s="42" t="n">
        <f aca="false">Inputs!$C$10</f>
        <v>46321</v>
      </c>
    </row>
    <row r="165" customFormat="false" ht="68.65" hidden="false" customHeight="false" outlineLevel="0" collapsed="false">
      <c r="A165" s="32" t="s">
        <v>836</v>
      </c>
      <c r="B165" s="7" t="s">
        <v>837</v>
      </c>
      <c r="C165" s="56"/>
      <c r="D165" s="30" t="s">
        <v>800</v>
      </c>
      <c r="E165" s="60"/>
      <c r="F165" s="60"/>
      <c r="G165" s="30" t="s">
        <v>818</v>
      </c>
      <c r="H165" s="7" t="s">
        <v>838</v>
      </c>
      <c r="I165" s="7" t="s">
        <v>839</v>
      </c>
      <c r="J165" s="61"/>
      <c r="K165" s="40" t="str">
        <f aca="false">IF(AND(C165&amp;""=J165&amp;"",N165&amp;""=S165&amp;"",L165&amp;""=T165&amp;""),"","changed")</f>
        <v/>
      </c>
      <c r="L165" s="43" t="n">
        <f aca="false">Inputs!$C$10</f>
        <v>46321</v>
      </c>
      <c r="M165" s="7" t="s">
        <v>840</v>
      </c>
      <c r="N165" s="39" t="s">
        <v>805</v>
      </c>
      <c r="O165" s="56"/>
      <c r="P165" s="57"/>
      <c r="Q165" s="58" t="n">
        <f aca="false">IF(P165&lt;&gt;"",N(O165),IF(N165="Y",N(C165),0))</f>
        <v>0</v>
      </c>
      <c r="R165" s="59" t="n">
        <f aca="false">IF(P165&lt;&gt;"",P165,L165)</f>
        <v>46321</v>
      </c>
      <c r="S165" s="32" t="s">
        <v>805</v>
      </c>
      <c r="T165" s="42" t="n">
        <f aca="false">Inputs!$C$10</f>
        <v>46321</v>
      </c>
    </row>
    <row r="166" customFormat="false" ht="28.35" hidden="false" customHeight="false" outlineLevel="0" collapsed="false">
      <c r="A166" s="32" t="s">
        <v>841</v>
      </c>
      <c r="B166" s="7" t="s">
        <v>842</v>
      </c>
      <c r="C166" s="46" t="n">
        <v>400</v>
      </c>
      <c r="D166" s="30" t="s">
        <v>800</v>
      </c>
      <c r="E166" s="19" t="n">
        <v>300</v>
      </c>
      <c r="F166" s="19" t="n">
        <v>500</v>
      </c>
      <c r="G166" s="30" t="s">
        <v>843</v>
      </c>
      <c r="H166" s="7" t="s">
        <v>844</v>
      </c>
      <c r="I166" s="7" t="s">
        <v>845</v>
      </c>
      <c r="J166" s="47" t="n">
        <v>400</v>
      </c>
      <c r="K166" s="40" t="str">
        <f aca="false">IF(AND(C166&amp;""=J166&amp;"",N166&amp;""=S166&amp;"",L166&amp;""=T166&amp;""),"","changed")</f>
        <v/>
      </c>
      <c r="L166" s="43" t="n">
        <f aca="false">WORKDAY(Inputs!$C$11,Inputs!$C$26,Lists!$N$4:$N$30)</f>
        <v>46344</v>
      </c>
      <c r="M166" s="7" t="s">
        <v>846</v>
      </c>
      <c r="N166" s="39" t="s">
        <v>805</v>
      </c>
      <c r="O166" s="56"/>
      <c r="P166" s="57"/>
      <c r="Q166" s="58" t="n">
        <f aca="false">IF(P166&lt;&gt;"",N(O166),IF(N166="Y",N(C166),0))</f>
        <v>400</v>
      </c>
      <c r="R166" s="59" t="n">
        <f aca="false">IF(P166&lt;&gt;"",P166,L166)</f>
        <v>46344</v>
      </c>
      <c r="S166" s="32" t="s">
        <v>805</v>
      </c>
      <c r="T166" s="42" t="n">
        <f aca="false">WORKDAY(Inputs!$C$11,Inputs!$C$26,Lists!$N$4:$N$30)</f>
        <v>46344</v>
      </c>
    </row>
    <row r="167" customFormat="false" ht="28.35" hidden="false" customHeight="false" outlineLevel="0" collapsed="false">
      <c r="A167" s="32" t="s">
        <v>847</v>
      </c>
      <c r="B167" s="7" t="s">
        <v>848</v>
      </c>
      <c r="C167" s="46" t="n">
        <v>300</v>
      </c>
      <c r="D167" s="30" t="s">
        <v>800</v>
      </c>
      <c r="E167" s="19" t="n">
        <v>200</v>
      </c>
      <c r="F167" s="19" t="n">
        <v>400</v>
      </c>
      <c r="G167" s="30" t="s">
        <v>843</v>
      </c>
      <c r="H167" s="7" t="s">
        <v>844</v>
      </c>
      <c r="I167" s="7" t="s">
        <v>849</v>
      </c>
      <c r="J167" s="47" t="n">
        <v>300</v>
      </c>
      <c r="K167" s="40" t="str">
        <f aca="false">IF(AND(C167&amp;""=J167&amp;"",N167&amp;""=S167&amp;"",L167&amp;""=T167&amp;""),"","changed")</f>
        <v/>
      </c>
      <c r="L167" s="43" t="n">
        <f aca="false">WORKDAY(Inputs!$C$11,Inputs!$C$27,Lists!$N$4:$N$30)</f>
        <v>46346</v>
      </c>
      <c r="M167" s="7" t="s">
        <v>850</v>
      </c>
      <c r="N167" s="39" t="s">
        <v>805</v>
      </c>
      <c r="O167" s="56"/>
      <c r="P167" s="57"/>
      <c r="Q167" s="58" t="n">
        <f aca="false">IF(P167&lt;&gt;"",N(O167),IF(N167="Y",N(C167),0))</f>
        <v>300</v>
      </c>
      <c r="R167" s="59" t="n">
        <f aca="false">IF(P167&lt;&gt;"",P167,L167)</f>
        <v>46346</v>
      </c>
      <c r="S167" s="32" t="s">
        <v>805</v>
      </c>
      <c r="T167" s="42" t="n">
        <f aca="false">WORKDAY(Inputs!$C$11,Inputs!$C$27,Lists!$N$4:$N$30)</f>
        <v>46346</v>
      </c>
    </row>
    <row r="168" customFormat="false" ht="55.2" hidden="false" customHeight="false" outlineLevel="0" collapsed="false">
      <c r="A168" s="32" t="s">
        <v>851</v>
      </c>
      <c r="B168" s="7" t="s">
        <v>852</v>
      </c>
      <c r="C168" s="46" t="n">
        <v>25</v>
      </c>
      <c r="D168" s="30" t="s">
        <v>800</v>
      </c>
      <c r="E168" s="19" t="n">
        <v>25</v>
      </c>
      <c r="F168" s="19" t="n">
        <v>25</v>
      </c>
      <c r="G168" s="30" t="s">
        <v>801</v>
      </c>
      <c r="H168" s="7" t="s">
        <v>853</v>
      </c>
      <c r="I168" s="7" t="s">
        <v>854</v>
      </c>
      <c r="J168" s="47" t="n">
        <v>25</v>
      </c>
      <c r="K168" s="40" t="str">
        <f aca="false">IF(AND(C168&amp;""=J168&amp;"",N168&amp;""=S168&amp;"",L168&amp;""=T168&amp;""),"","changed")</f>
        <v/>
      </c>
      <c r="L168" s="41" t="n">
        <v>46461</v>
      </c>
      <c r="M168" s="7" t="s">
        <v>855</v>
      </c>
      <c r="N168" s="39" t="s">
        <v>805</v>
      </c>
      <c r="O168" s="56"/>
      <c r="P168" s="57"/>
      <c r="Q168" s="58" t="n">
        <f aca="false">IF(P168&lt;&gt;"",N(O168),IF(N168="Y",N(C168),0))</f>
        <v>25</v>
      </c>
      <c r="R168" s="59" t="n">
        <f aca="false">IF(P168&lt;&gt;"",P168,L168)</f>
        <v>46461</v>
      </c>
      <c r="S168" s="32" t="s">
        <v>805</v>
      </c>
      <c r="T168" s="42" t="n">
        <v>46461</v>
      </c>
    </row>
    <row r="169" customFormat="false" ht="41.75" hidden="false" customHeight="false" outlineLevel="0" collapsed="false">
      <c r="A169" s="32" t="s">
        <v>856</v>
      </c>
      <c r="B169" s="7" t="s">
        <v>857</v>
      </c>
      <c r="C169" s="56"/>
      <c r="D169" s="30" t="s">
        <v>800</v>
      </c>
      <c r="E169" s="60"/>
      <c r="F169" s="60"/>
      <c r="G169" s="30" t="s">
        <v>818</v>
      </c>
      <c r="H169" s="7" t="s">
        <v>858</v>
      </c>
      <c r="I169" s="7" t="s">
        <v>859</v>
      </c>
      <c r="J169" s="61"/>
      <c r="K169" s="40" t="str">
        <f aca="false">IF(AND(C169&amp;""=J169&amp;"",N169&amp;""=S169&amp;"",L169&amp;""=T169&amp;""),"","changed")</f>
        <v/>
      </c>
      <c r="L169" s="43" t="n">
        <f aca="false">Inputs!$C$83</f>
        <v>46367</v>
      </c>
      <c r="M169" s="7" t="s">
        <v>860</v>
      </c>
      <c r="N169" s="39" t="s">
        <v>805</v>
      </c>
      <c r="O169" s="56"/>
      <c r="P169" s="57"/>
      <c r="Q169" s="58" t="n">
        <f aca="false">IF(P169&lt;&gt;"",N(O169),IF(N169="Y",N(C169),0))</f>
        <v>0</v>
      </c>
      <c r="R169" s="59" t="n">
        <f aca="false">IF(P169&lt;&gt;"",P169,L169)</f>
        <v>46367</v>
      </c>
      <c r="S169" s="32" t="s">
        <v>805</v>
      </c>
      <c r="T169" s="42" t="n">
        <f aca="false">Inputs!$C$83</f>
        <v>46367</v>
      </c>
    </row>
    <row r="170" customFormat="false" ht="41.75" hidden="false" customHeight="false" outlineLevel="0" collapsed="false">
      <c r="A170" s="32" t="s">
        <v>861</v>
      </c>
      <c r="B170" s="7" t="s">
        <v>862</v>
      </c>
      <c r="C170" s="56"/>
      <c r="D170" s="30" t="s">
        <v>800</v>
      </c>
      <c r="E170" s="60"/>
      <c r="F170" s="60"/>
      <c r="G170" s="30" t="s">
        <v>818</v>
      </c>
      <c r="H170" s="7" t="s">
        <v>863</v>
      </c>
      <c r="I170" s="7" t="s">
        <v>864</v>
      </c>
      <c r="J170" s="61"/>
      <c r="K170" s="40" t="str">
        <f aca="false">IF(AND(C170&amp;""=J170&amp;"",N170&amp;""=S170&amp;"",L170&amp;""=T170&amp;""),"","changed")</f>
        <v/>
      </c>
      <c r="L170" s="43" t="n">
        <f aca="false">Inputs!$C$83</f>
        <v>46367</v>
      </c>
      <c r="M170" s="7" t="s">
        <v>865</v>
      </c>
      <c r="N170" s="39" t="s">
        <v>805</v>
      </c>
      <c r="O170" s="56"/>
      <c r="P170" s="57"/>
      <c r="Q170" s="58" t="n">
        <f aca="false">IF(P170&lt;&gt;"",N(O170),IF(N170="Y",N(C170),0))</f>
        <v>0</v>
      </c>
      <c r="R170" s="59" t="n">
        <f aca="false">IF(P170&lt;&gt;"",P170,L170)</f>
        <v>46367</v>
      </c>
      <c r="S170" s="32" t="s">
        <v>805</v>
      </c>
      <c r="T170" s="42" t="n">
        <f aca="false">Inputs!$C$83</f>
        <v>46367</v>
      </c>
    </row>
    <row r="171" customFormat="false" ht="95.5" hidden="false" customHeight="false" outlineLevel="0" collapsed="false">
      <c r="A171" s="32" t="s">
        <v>866</v>
      </c>
      <c r="B171" s="7" t="s">
        <v>867</v>
      </c>
      <c r="C171" s="46" t="n">
        <v>350</v>
      </c>
      <c r="D171" s="30" t="s">
        <v>800</v>
      </c>
      <c r="E171" s="19" t="n">
        <v>350</v>
      </c>
      <c r="F171" s="19" t="n">
        <v>850</v>
      </c>
      <c r="G171" s="30" t="s">
        <v>801</v>
      </c>
      <c r="H171" s="7" t="s">
        <v>868</v>
      </c>
      <c r="I171" s="7" t="s">
        <v>869</v>
      </c>
      <c r="J171" s="47" t="n">
        <v>350</v>
      </c>
      <c r="K171" s="40" t="str">
        <f aca="false">IF(AND(C171&amp;""=J171&amp;"",N171&amp;""=S171&amp;"",L171&amp;""=T171&amp;""),"","changed")</f>
        <v/>
      </c>
      <c r="L171" s="43" t="n">
        <f aca="false">Inputs!$C$13</f>
        <v>46409</v>
      </c>
      <c r="M171" s="7" t="s">
        <v>870</v>
      </c>
      <c r="N171" s="39" t="s">
        <v>805</v>
      </c>
      <c r="O171" s="56"/>
      <c r="P171" s="57"/>
      <c r="Q171" s="58" t="n">
        <f aca="false">IF(P171&lt;&gt;"",N(O171),IF(N171="Y",N(C171),0))</f>
        <v>350</v>
      </c>
      <c r="R171" s="59" t="n">
        <f aca="false">IF(P171&lt;&gt;"",P171,L171)</f>
        <v>46409</v>
      </c>
      <c r="S171" s="32" t="s">
        <v>805</v>
      </c>
      <c r="T171" s="42" t="n">
        <f aca="false">Inputs!$C$13</f>
        <v>46409</v>
      </c>
    </row>
    <row r="172" customFormat="false" ht="15" hidden="false" customHeight="false" outlineLevel="0" collapsed="false">
      <c r="B172" s="9" t="s">
        <v>871</v>
      </c>
      <c r="Q172" s="37" t="n">
        <f aca="false">SUM(Q158:Q171)</f>
        <v>4125</v>
      </c>
    </row>
    <row r="174" customFormat="false" ht="15" hidden="false" customHeight="false" outlineLevel="0" collapsed="false">
      <c r="B174" s="9" t="s">
        <v>254</v>
      </c>
      <c r="C174" s="22" t="n">
        <f aca="false">COUNTIF(K5:K171,"changed")+COUNTIF(Scenarios!$Q$10:$Q$21,"changed")</f>
        <v>1</v>
      </c>
      <c r="D174" s="32" t="s">
        <v>872</v>
      </c>
    </row>
    <row r="175" customFormat="false" ht="41.75" hidden="false" customHeight="false" outlineLevel="0" collapsed="false">
      <c r="B175" s="6" t="s">
        <v>873</v>
      </c>
      <c r="C175" s="22" t="n">
        <f aca="false">SUMPRODUCT((LEFT(G158:G171,LEN("needs"))="needs")*(C158:C171="")*(N158:N171="Y"))+IF(Inputs!$C$69="",1,0)+IF(Inputs!$C$73="",1,0)</f>
        <v>5</v>
      </c>
      <c r="D175" s="32" t="s">
        <v>874</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875</v>
      </c>
    </row>
    <row r="2" customFormat="false" ht="15" hidden="false" customHeight="false" outlineLevel="0" collapsed="false">
      <c r="A2" s="2" t="s">
        <v>876</v>
      </c>
    </row>
    <row r="3" customFormat="false" ht="30" hidden="false" customHeight="true" outlineLevel="0" collapsed="false">
      <c r="A3" s="8" t="s">
        <v>877</v>
      </c>
      <c r="B3" s="8"/>
      <c r="C3" s="8"/>
      <c r="D3" s="8"/>
      <c r="E3" s="8"/>
      <c r="F3" s="8"/>
      <c r="G3" s="8"/>
      <c r="H3" s="8"/>
      <c r="I3" s="8"/>
      <c r="J3" s="8"/>
    </row>
    <row r="5" customFormat="false" ht="30" hidden="false" customHeight="true" outlineLevel="0" collapsed="false">
      <c r="B5" s="12" t="s">
        <v>878</v>
      </c>
      <c r="C5" s="12" t="s">
        <v>451</v>
      </c>
      <c r="D5" s="12" t="s">
        <v>879</v>
      </c>
      <c r="E5" s="12" t="s">
        <v>880</v>
      </c>
      <c r="F5" s="12" t="s">
        <v>881</v>
      </c>
      <c r="G5" s="12" t="s">
        <v>882</v>
      </c>
      <c r="H5" s="12" t="s">
        <v>883</v>
      </c>
      <c r="I5" s="12" t="s">
        <v>343</v>
      </c>
      <c r="J5" s="12" t="s">
        <v>884</v>
      </c>
      <c r="L5" s="12" t="s">
        <v>885</v>
      </c>
      <c r="M5" s="12" t="s">
        <v>886</v>
      </c>
      <c r="N5" s="12" t="s">
        <v>887</v>
      </c>
      <c r="O5" s="12" t="s">
        <v>888</v>
      </c>
      <c r="P5" s="12" t="s">
        <v>889</v>
      </c>
      <c r="Q5" s="12" t="s">
        <v>349</v>
      </c>
      <c r="R5" s="12" t="s">
        <v>890</v>
      </c>
    </row>
    <row r="6" customFormat="false" ht="31.5" hidden="false" customHeight="true" outlineLevel="0" collapsed="false">
      <c r="B6" s="9" t="s">
        <v>891</v>
      </c>
      <c r="C6" s="6" t="s">
        <v>892</v>
      </c>
      <c r="D6" s="6" t="s">
        <v>893</v>
      </c>
      <c r="E6" s="6" t="s">
        <v>894</v>
      </c>
      <c r="F6" s="6" t="s">
        <v>895</v>
      </c>
      <c r="G6" s="6" t="s">
        <v>896</v>
      </c>
    </row>
    <row r="7" customFormat="false" ht="61.5" hidden="false" customHeight="true" outlineLevel="0" collapsed="false">
      <c r="B7" s="9" t="s">
        <v>897</v>
      </c>
      <c r="C7" s="7" t="s">
        <v>898</v>
      </c>
      <c r="D7" s="7" t="s">
        <v>899</v>
      </c>
      <c r="E7" s="7" t="s">
        <v>900</v>
      </c>
      <c r="F7" s="7" t="s">
        <v>901</v>
      </c>
      <c r="G7" s="7" t="s">
        <v>902</v>
      </c>
    </row>
    <row r="8" customFormat="false" ht="91.5" hidden="false" customHeight="true" outlineLevel="0" collapsed="false">
      <c r="B8" s="9" t="s">
        <v>903</v>
      </c>
      <c r="C8" s="7" t="s">
        <v>904</v>
      </c>
      <c r="D8" s="7" t="s">
        <v>905</v>
      </c>
      <c r="E8" s="7" t="s">
        <v>906</v>
      </c>
      <c r="F8" s="7" t="s">
        <v>907</v>
      </c>
      <c r="G8" s="7" t="s">
        <v>908</v>
      </c>
    </row>
    <row r="10" customFormat="false" ht="30" hidden="false" customHeight="true" outlineLevel="0" collapsed="false">
      <c r="B10" s="7" t="s">
        <v>909</v>
      </c>
      <c r="C10" s="62" t="n">
        <v>2</v>
      </c>
      <c r="D10" s="62" t="n">
        <v>2</v>
      </c>
      <c r="E10" s="62" t="n">
        <v>2</v>
      </c>
      <c r="F10" s="62" t="n">
        <v>1</v>
      </c>
      <c r="G10" s="62" t="n">
        <v>0</v>
      </c>
      <c r="H10" s="63" t="n">
        <f aca="false">INDEX(C10:G10,1,MATCH(Inputs!$C$35,$C$5:$G$5,0))</f>
        <v>2</v>
      </c>
      <c r="I10" s="30" t="s">
        <v>761</v>
      </c>
      <c r="J10" s="7" t="s">
        <v>910</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911</v>
      </c>
      <c r="C11" s="65" t="n">
        <f aca="false">Inputs!$C$62</f>
        <v>3</v>
      </c>
      <c r="D11" s="65" t="n">
        <f aca="false">$C11</f>
        <v>3</v>
      </c>
      <c r="E11" s="65" t="n">
        <f aca="false">$C11</f>
        <v>3</v>
      </c>
      <c r="F11" s="65" t="n">
        <f aca="false">$C11</f>
        <v>3</v>
      </c>
      <c r="G11" s="62" t="n">
        <v>0</v>
      </c>
      <c r="H11" s="63" t="n">
        <f aca="false">INDEX(C11:G11,1,MATCH(Inputs!$C$35,$C$5:$G$5,0))</f>
        <v>3</v>
      </c>
      <c r="I11" s="30" t="s">
        <v>480</v>
      </c>
      <c r="J11" s="7" t="s">
        <v>912</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913</v>
      </c>
      <c r="C12" s="66" t="n">
        <f aca="false">Inputs!$C$111</f>
        <v>0.4</v>
      </c>
      <c r="D12" s="49" t="n">
        <v>0.4</v>
      </c>
      <c r="E12" s="49" t="n">
        <v>0</v>
      </c>
      <c r="F12" s="66" t="n">
        <f aca="false">C12</f>
        <v>0.4</v>
      </c>
      <c r="G12" s="49" t="n">
        <v>0</v>
      </c>
      <c r="H12" s="67" t="n">
        <f aca="false">INDEX(C12:G12,1,MATCH(Inputs!$C$35,$C$5:$G$5,0))</f>
        <v>0.4</v>
      </c>
      <c r="I12" s="30" t="s">
        <v>487</v>
      </c>
      <c r="J12" s="7" t="s">
        <v>914</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915</v>
      </c>
      <c r="C13" s="62" t="n">
        <v>0</v>
      </c>
      <c r="D13" s="62" t="n">
        <v>4</v>
      </c>
      <c r="E13" s="62" t="n">
        <v>0</v>
      </c>
      <c r="F13" s="68"/>
      <c r="G13" s="62" t="n">
        <v>0</v>
      </c>
      <c r="H13" s="63" t="n">
        <f aca="false">INDEX(C13:G13,1,MATCH(Inputs!$C$35,$C$5:$G$5,0))</f>
        <v>0</v>
      </c>
      <c r="I13" s="30" t="s">
        <v>463</v>
      </c>
      <c r="J13" s="7" t="s">
        <v>916</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917</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458</v>
      </c>
      <c r="J14" s="7" t="s">
        <v>918</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919</v>
      </c>
      <c r="C15" s="65" t="n">
        <f aca="false">Inputs!$C$112</f>
        <v>2</v>
      </c>
      <c r="D15" s="65" t="n">
        <f aca="false">$C15</f>
        <v>2</v>
      </c>
      <c r="E15" s="65" t="n">
        <f aca="false">$C15</f>
        <v>2</v>
      </c>
      <c r="F15" s="65" t="n">
        <f aca="false">$C15</f>
        <v>2</v>
      </c>
      <c r="G15" s="62" t="n">
        <v>0</v>
      </c>
      <c r="H15" s="63" t="n">
        <f aca="false">INDEX(C15:G15,1,MATCH(Inputs!$C$35,$C$5:$G$5,0))</f>
        <v>2</v>
      </c>
      <c r="I15" s="30" t="s">
        <v>613</v>
      </c>
      <c r="J15" s="7" t="s">
        <v>920</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921</v>
      </c>
      <c r="C16" s="65" t="n">
        <f aca="false">Inputs!$C$62</f>
        <v>3</v>
      </c>
      <c r="D16" s="65" t="n">
        <f aca="false">$C16</f>
        <v>3</v>
      </c>
      <c r="E16" s="65" t="n">
        <f aca="false">$C16</f>
        <v>3</v>
      </c>
      <c r="F16" s="65" t="n">
        <f aca="false">$C16</f>
        <v>3</v>
      </c>
      <c r="G16" s="62" t="n">
        <v>0</v>
      </c>
      <c r="H16" s="63" t="n">
        <f aca="false">INDEX(C16:G16,1,MATCH(Inputs!$C$35,$C$5:$G$5,0))</f>
        <v>3</v>
      </c>
      <c r="I16" s="30" t="s">
        <v>480</v>
      </c>
      <c r="J16" s="7" t="s">
        <v>922</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923</v>
      </c>
      <c r="C17" s="62" t="n">
        <v>0</v>
      </c>
      <c r="D17" s="62" t="n">
        <v>0</v>
      </c>
      <c r="E17" s="62" t="n">
        <v>5</v>
      </c>
      <c r="F17" s="62" t="n">
        <v>0</v>
      </c>
      <c r="G17" s="62" t="n">
        <v>0</v>
      </c>
      <c r="H17" s="63" t="n">
        <f aca="false">INDEX(C17:G17,1,MATCH(Inputs!$C$35,$C$5:$G$5,0))</f>
        <v>0</v>
      </c>
      <c r="I17" s="30" t="s">
        <v>463</v>
      </c>
      <c r="J17" s="7" t="s">
        <v>924</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925</v>
      </c>
      <c r="C18" s="56"/>
      <c r="D18" s="56"/>
      <c r="E18" s="46" t="n">
        <v>100</v>
      </c>
      <c r="F18" s="56"/>
      <c r="G18" s="56"/>
      <c r="H18" s="71" t="n">
        <f aca="false">INDEX(C18:G18,1,MATCH(Inputs!$C$35,$C$5:$G$5,0))</f>
        <v>0</v>
      </c>
      <c r="I18" s="30" t="s">
        <v>576</v>
      </c>
      <c r="J18" s="7" t="s">
        <v>926</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927</v>
      </c>
      <c r="C19" s="56"/>
      <c r="D19" s="56"/>
      <c r="E19" s="56"/>
      <c r="F19" s="56"/>
      <c r="G19" s="56"/>
      <c r="H19" s="71" t="n">
        <f aca="false">INDEX(C19:G19,1,MATCH(Inputs!$C$35,$C$5:$G$5,0))</f>
        <v>0</v>
      </c>
      <c r="I19" s="30" t="s">
        <v>576</v>
      </c>
      <c r="J19" s="7" t="s">
        <v>928</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929</v>
      </c>
      <c r="C20" s="46" t="n">
        <v>25</v>
      </c>
      <c r="D20" s="46" t="n">
        <v>25</v>
      </c>
      <c r="E20" s="56"/>
      <c r="F20" s="56"/>
      <c r="G20" s="56"/>
      <c r="H20" s="71" t="n">
        <f aca="false">INDEX(C20:G20,1,MATCH(Inputs!$C$35,$C$5:$G$5,0))</f>
        <v>25</v>
      </c>
      <c r="I20" s="30" t="s">
        <v>749</v>
      </c>
      <c r="J20" s="7" t="s">
        <v>930</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931</v>
      </c>
      <c r="C21" s="62" t="n">
        <v>2</v>
      </c>
      <c r="D21" s="65" t="n">
        <f aca="false">$C21</f>
        <v>2</v>
      </c>
      <c r="E21" s="65" t="n">
        <f aca="false">$C21</f>
        <v>2</v>
      </c>
      <c r="F21" s="65" t="n">
        <f aca="false">$C21</f>
        <v>2</v>
      </c>
      <c r="G21" s="65" t="n">
        <f aca="false">$C21</f>
        <v>2</v>
      </c>
      <c r="H21" s="63" t="n">
        <f aca="false">INDEX(C21:G21,1,MATCH(Inputs!$C$35,$C$5:$G$5,0))</f>
        <v>2</v>
      </c>
      <c r="I21" s="30" t="s">
        <v>613</v>
      </c>
      <c r="J21" s="7" t="s">
        <v>932</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933</v>
      </c>
    </row>
    <row r="24" customFormat="false" ht="61.5" hidden="false" customHeight="true" outlineLevel="0" collapsed="false">
      <c r="B24" s="5" t="s">
        <v>934</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935</v>
      </c>
    </row>
    <row r="2" customFormat="false" ht="15" hidden="false" customHeight="false" outlineLevel="0" collapsed="false">
      <c r="A2" s="2" t="s">
        <v>936</v>
      </c>
    </row>
    <row r="3" customFormat="false" ht="30" hidden="false" customHeight="true" outlineLevel="0" collapsed="false">
      <c r="A3" s="8" t="s">
        <v>937</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938</v>
      </c>
    </row>
    <row r="5" customFormat="false" ht="15" hidden="false" customHeight="false" outlineLevel="0" collapsed="false">
      <c r="Y5" s="9" t="s">
        <v>939</v>
      </c>
      <c r="AF5" s="9" t="s">
        <v>940</v>
      </c>
      <c r="AL5" s="32" t="s">
        <v>941</v>
      </c>
    </row>
    <row r="6" customFormat="false" ht="69.75" hidden="false" customHeight="true" outlineLevel="0" collapsed="false">
      <c r="A6" s="12" t="s">
        <v>324</v>
      </c>
      <c r="B6" s="12" t="s">
        <v>325</v>
      </c>
      <c r="C6" s="12" t="s">
        <v>327</v>
      </c>
      <c r="D6" s="12" t="s">
        <v>942</v>
      </c>
      <c r="E6" s="12" t="s">
        <v>326</v>
      </c>
      <c r="F6" s="12" t="s">
        <v>943</v>
      </c>
      <c r="G6" s="12" t="s">
        <v>328</v>
      </c>
      <c r="H6" s="12" t="s">
        <v>944</v>
      </c>
      <c r="I6" s="12" t="s">
        <v>330</v>
      </c>
      <c r="J6" s="12" t="s">
        <v>945</v>
      </c>
      <c r="K6" s="12" t="s">
        <v>329</v>
      </c>
      <c r="L6" s="12" t="s">
        <v>946</v>
      </c>
      <c r="M6" s="12" t="s">
        <v>947</v>
      </c>
      <c r="N6" s="12" t="s">
        <v>948</v>
      </c>
      <c r="O6" s="12" t="s">
        <v>347</v>
      </c>
      <c r="P6" s="12" t="s">
        <v>949</v>
      </c>
      <c r="Q6" s="12" t="s">
        <v>950</v>
      </c>
      <c r="R6" s="12" t="s">
        <v>951</v>
      </c>
      <c r="S6" s="12" t="s">
        <v>952</v>
      </c>
      <c r="T6" s="12" t="s">
        <v>953</v>
      </c>
      <c r="U6" s="12" t="s">
        <v>954</v>
      </c>
      <c r="V6" s="12" t="s">
        <v>955</v>
      </c>
      <c r="W6" s="12" t="s">
        <v>956</v>
      </c>
      <c r="X6" s="12" t="s">
        <v>957</v>
      </c>
      <c r="Y6" s="12" t="s">
        <v>958</v>
      </c>
      <c r="Z6" s="12" t="s">
        <v>959</v>
      </c>
      <c r="AA6" s="12" t="s">
        <v>960</v>
      </c>
      <c r="AB6" s="12" t="s">
        <v>961</v>
      </c>
      <c r="AC6" s="12" t="s">
        <v>962</v>
      </c>
      <c r="AD6" s="12" t="s">
        <v>963</v>
      </c>
      <c r="AE6" s="12" t="s">
        <v>964</v>
      </c>
      <c r="AF6" s="12" t="s">
        <v>965</v>
      </c>
      <c r="AG6" s="12" t="s">
        <v>966</v>
      </c>
      <c r="AH6" s="12" t="s">
        <v>967</v>
      </c>
      <c r="AI6" s="12" t="s">
        <v>968</v>
      </c>
      <c r="AJ6" s="12" t="s">
        <v>969</v>
      </c>
      <c r="AL6" s="12" t="s">
        <v>970</v>
      </c>
      <c r="AM6" s="12" t="s">
        <v>971</v>
      </c>
      <c r="AN6" s="12" t="s">
        <v>972</v>
      </c>
      <c r="AO6" s="12" t="s">
        <v>973</v>
      </c>
      <c r="AP6" s="12" t="s">
        <v>974</v>
      </c>
      <c r="AQ6" s="12" t="s">
        <v>975</v>
      </c>
      <c r="AR6" s="12" t="s">
        <v>976</v>
      </c>
      <c r="AS6" s="12" t="s">
        <v>977</v>
      </c>
    </row>
    <row r="7" customFormat="false" ht="55.5" hidden="false" customHeight="true" outlineLevel="0" collapsed="false">
      <c r="A7" s="72" t="s">
        <v>728</v>
      </c>
      <c r="B7" s="72" t="s">
        <v>978</v>
      </c>
      <c r="C7" s="72" t="s">
        <v>979</v>
      </c>
      <c r="D7" s="72"/>
      <c r="E7" s="73" t="n">
        <v>46399</v>
      </c>
      <c r="F7" s="7" t="str">
        <f aca="false">IF(E7="","",TEXT(E7,"ddd"))</f>
        <v>Tue</v>
      </c>
      <c r="G7" s="72" t="s">
        <v>672</v>
      </c>
      <c r="H7" s="72" t="s">
        <v>980</v>
      </c>
      <c r="I7" s="74" t="n">
        <f aca="false">Inputs!$C$59</f>
        <v>5</v>
      </c>
      <c r="J7" s="74" t="n">
        <f aca="false">IF(N(K7)=0,0,I7)</f>
        <v>5</v>
      </c>
      <c r="K7" s="74" t="n">
        <f aca="false">Inputs!$C$60</f>
        <v>2</v>
      </c>
      <c r="L7" s="72" t="n">
        <v>0</v>
      </c>
      <c r="M7" s="72" t="n">
        <v>0</v>
      </c>
      <c r="N7" s="72" t="s">
        <v>805</v>
      </c>
      <c r="O7" s="72" t="s">
        <v>981</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2</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672</v>
      </c>
      <c r="AN7" s="32" t="s">
        <v>980</v>
      </c>
      <c r="AO7" s="32" t="n">
        <f aca="false">Inputs!$C$59</f>
        <v>5</v>
      </c>
      <c r="AP7" s="32" t="n">
        <f aca="false">IF(N(K7)=0,0,I7)</f>
        <v>5</v>
      </c>
      <c r="AQ7" s="32" t="n">
        <f aca="false">Inputs!$C$60</f>
        <v>2</v>
      </c>
      <c r="AR7" s="32" t="n">
        <v>0</v>
      </c>
      <c r="AS7" s="32" t="n">
        <v>0</v>
      </c>
    </row>
    <row r="8" customFormat="false" ht="55.5" hidden="false" customHeight="true" outlineLevel="0" collapsed="false">
      <c r="A8" s="72" t="s">
        <v>982</v>
      </c>
      <c r="B8" s="72" t="s">
        <v>983</v>
      </c>
      <c r="C8" s="72" t="s">
        <v>979</v>
      </c>
      <c r="D8" s="72"/>
      <c r="E8" s="73" t="n">
        <v>46427</v>
      </c>
      <c r="F8" s="7" t="str">
        <f aca="false">IF(E8="","",TEXT(E8,"ddd"))</f>
        <v>Tue</v>
      </c>
      <c r="G8" s="72" t="s">
        <v>674</v>
      </c>
      <c r="H8" s="72" t="s">
        <v>984</v>
      </c>
      <c r="I8" s="74" t="n">
        <f aca="false">Inputs!$C$61</f>
        <v>10</v>
      </c>
      <c r="J8" s="74" t="n">
        <f aca="false">IF(N(K8)=0,0,MAX(0,I8-SUM(J$7:J7)))</f>
        <v>5</v>
      </c>
      <c r="K8" s="74" t="n">
        <f aca="false">Inputs!$C$62</f>
        <v>3</v>
      </c>
      <c r="L8" s="72" t="n">
        <v>0</v>
      </c>
      <c r="M8" s="72" t="n">
        <v>0</v>
      </c>
      <c r="N8" s="72" t="s">
        <v>822</v>
      </c>
      <c r="O8" s="72" t="s">
        <v>985</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2</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674</v>
      </c>
      <c r="AN8" s="32" t="s">
        <v>984</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986</v>
      </c>
      <c r="B9" s="72" t="s">
        <v>987</v>
      </c>
      <c r="C9" s="72" t="s">
        <v>979</v>
      </c>
      <c r="D9" s="72"/>
      <c r="E9" s="73" t="n">
        <v>46441</v>
      </c>
      <c r="F9" s="7" t="str">
        <f aca="false">IF(E9="","",TEXT(E9,"ddd"))</f>
        <v>Tue</v>
      </c>
      <c r="G9" s="72" t="s">
        <v>674</v>
      </c>
      <c r="H9" s="72" t="s">
        <v>984</v>
      </c>
      <c r="I9" s="74" t="n">
        <f aca="false">Inputs!$C$61</f>
        <v>10</v>
      </c>
      <c r="J9" s="74" t="n">
        <f aca="false">IF(N(K9)=0,0,MAX(0,MIN(I9,Inputs!$C$145-SUM(J$7:J8))))</f>
        <v>2</v>
      </c>
      <c r="K9" s="74" t="n">
        <f aca="false">Inputs!$C$62</f>
        <v>3</v>
      </c>
      <c r="L9" s="72" t="n">
        <v>0</v>
      </c>
      <c r="M9" s="72" t="n">
        <v>0</v>
      </c>
      <c r="N9" s="72" t="s">
        <v>822</v>
      </c>
      <c r="O9" s="72" t="s">
        <v>988</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2</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674</v>
      </c>
      <c r="AN9" s="32" t="s">
        <v>984</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989</v>
      </c>
      <c r="B10" s="72" t="s">
        <v>990</v>
      </c>
      <c r="C10" s="72" t="s">
        <v>991</v>
      </c>
      <c r="D10" s="72" t="n">
        <v>1</v>
      </c>
      <c r="E10" s="73" t="n">
        <v>46469</v>
      </c>
      <c r="F10" s="7" t="str">
        <f aca="false">IF(E10="","",TEXT(E10,"ddd"))</f>
        <v>Tue</v>
      </c>
      <c r="G10" s="72" t="s">
        <v>676</v>
      </c>
      <c r="H10" s="72" t="s">
        <v>984</v>
      </c>
      <c r="I10" s="74" t="n">
        <f aca="false">Inputs!$C$61</f>
        <v>10</v>
      </c>
      <c r="J10" s="74" t="n">
        <f aca="false">IF(K10&gt;0,N(Scenarios!$H$13),0)</f>
        <v>0</v>
      </c>
      <c r="K10" s="81" t="n">
        <f aca="false">IF(D10&lt;=Scenarios!$H$10,Scenarios!$H$11,0)</f>
        <v>3</v>
      </c>
      <c r="L10" s="74" t="n">
        <f aca="false">ROUND(Scenarios!$H$12*K10,0)</f>
        <v>1</v>
      </c>
      <c r="M10" s="72" t="n">
        <v>0</v>
      </c>
      <c r="N10" s="72" t="s">
        <v>822</v>
      </c>
      <c r="O10" s="72" t="s">
        <v>992</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2</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676</v>
      </c>
      <c r="AN10" s="32" t="s">
        <v>984</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993</v>
      </c>
      <c r="B11" s="72" t="s">
        <v>994</v>
      </c>
      <c r="C11" s="72" t="s">
        <v>991</v>
      </c>
      <c r="D11" s="72" t="n">
        <v>2</v>
      </c>
      <c r="E11" s="73" t="n">
        <v>46483</v>
      </c>
      <c r="F11" s="7" t="str">
        <f aca="false">IF(E11="","",TEXT(E11,"ddd"))</f>
        <v>Tue</v>
      </c>
      <c r="G11" s="72" t="s">
        <v>676</v>
      </c>
      <c r="H11" s="72" t="s">
        <v>984</v>
      </c>
      <c r="I11" s="74" t="n">
        <f aca="false">Inputs!$C$61</f>
        <v>10</v>
      </c>
      <c r="J11" s="74" t="n">
        <f aca="false">IF(K11&gt;0,N(Scenarios!$H$13),0)</f>
        <v>0</v>
      </c>
      <c r="K11" s="81" t="n">
        <f aca="false">IF(D11&lt;=Scenarios!$H$10,Scenarios!$H$11,0)</f>
        <v>3</v>
      </c>
      <c r="L11" s="74" t="n">
        <f aca="false">ROUND(Scenarios!$H$12*K11,0)</f>
        <v>1</v>
      </c>
      <c r="M11" s="72" t="n">
        <v>0</v>
      </c>
      <c r="N11" s="72" t="s">
        <v>822</v>
      </c>
      <c r="O11" s="72" t="s">
        <v>995</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2</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676</v>
      </c>
      <c r="AN11" s="32" t="s">
        <v>984</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996</v>
      </c>
      <c r="B12" s="72"/>
      <c r="C12" s="72" t="s">
        <v>997</v>
      </c>
      <c r="D12" s="72"/>
      <c r="E12" s="73"/>
      <c r="F12" s="7" t="str">
        <f aca="false">IF(E12="","",TEXT(E12,"ddd"))</f>
        <v/>
      </c>
      <c r="G12" s="72"/>
      <c r="H12" s="72"/>
      <c r="I12" s="72"/>
      <c r="J12" s="72"/>
      <c r="K12" s="72"/>
      <c r="L12" s="72"/>
      <c r="M12" s="72"/>
      <c r="N12" s="72" t="s">
        <v>822</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998</v>
      </c>
      <c r="B13" s="72"/>
      <c r="C13" s="72" t="s">
        <v>997</v>
      </c>
      <c r="D13" s="72"/>
      <c r="E13" s="73"/>
      <c r="F13" s="7" t="str">
        <f aca="false">IF(E13="","",TEXT(E13,"ddd"))</f>
        <v/>
      </c>
      <c r="G13" s="72"/>
      <c r="H13" s="72"/>
      <c r="I13" s="72"/>
      <c r="J13" s="72"/>
      <c r="K13" s="72"/>
      <c r="L13" s="72"/>
      <c r="M13" s="72"/>
      <c r="N13" s="72" t="s">
        <v>822</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999</v>
      </c>
      <c r="B14" s="72"/>
      <c r="C14" s="72" t="s">
        <v>997</v>
      </c>
      <c r="D14" s="72"/>
      <c r="E14" s="73"/>
      <c r="F14" s="7" t="str">
        <f aca="false">IF(E14="","",TEXT(E14,"ddd"))</f>
        <v/>
      </c>
      <c r="G14" s="72"/>
      <c r="H14" s="72"/>
      <c r="I14" s="72"/>
      <c r="J14" s="72"/>
      <c r="K14" s="72"/>
      <c r="L14" s="72"/>
      <c r="M14" s="72"/>
      <c r="N14" s="72" t="s">
        <v>822</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1000</v>
      </c>
      <c r="B15" s="72"/>
      <c r="C15" s="72" t="s">
        <v>997</v>
      </c>
      <c r="D15" s="72"/>
      <c r="E15" s="73"/>
      <c r="F15" s="7" t="str">
        <f aca="false">IF(E15="","",TEXT(E15,"ddd"))</f>
        <v/>
      </c>
      <c r="G15" s="72"/>
      <c r="H15" s="72"/>
      <c r="I15" s="72"/>
      <c r="J15" s="72"/>
      <c r="K15" s="72"/>
      <c r="L15" s="72"/>
      <c r="M15" s="72"/>
      <c r="N15" s="72" t="s">
        <v>822</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1001</v>
      </c>
      <c r="B16" s="72"/>
      <c r="C16" s="72" t="s">
        <v>997</v>
      </c>
      <c r="D16" s="72"/>
      <c r="E16" s="73"/>
      <c r="F16" s="7" t="str">
        <f aca="false">IF(E16="","",TEXT(E16,"ddd"))</f>
        <v/>
      </c>
      <c r="G16" s="72"/>
      <c r="H16" s="72"/>
      <c r="I16" s="72"/>
      <c r="J16" s="72"/>
      <c r="K16" s="72"/>
      <c r="L16" s="72"/>
      <c r="M16" s="72"/>
      <c r="N16" s="72" t="s">
        <v>822</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1002</v>
      </c>
      <c r="B17" s="72"/>
      <c r="C17" s="72" t="s">
        <v>997</v>
      </c>
      <c r="D17" s="72"/>
      <c r="E17" s="73"/>
      <c r="F17" s="7" t="str">
        <f aca="false">IF(E17="","",TEXT(E17,"ddd"))</f>
        <v/>
      </c>
      <c r="G17" s="72"/>
      <c r="H17" s="72"/>
      <c r="I17" s="72"/>
      <c r="J17" s="72"/>
      <c r="K17" s="72"/>
      <c r="L17" s="72"/>
      <c r="M17" s="72"/>
      <c r="N17" s="72" t="s">
        <v>822</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1003</v>
      </c>
      <c r="B18" s="72"/>
      <c r="C18" s="72" t="s">
        <v>997</v>
      </c>
      <c r="D18" s="72"/>
      <c r="E18" s="73"/>
      <c r="F18" s="7" t="str">
        <f aca="false">IF(E18="","",TEXT(E18,"ddd"))</f>
        <v/>
      </c>
      <c r="G18" s="72"/>
      <c r="H18" s="72"/>
      <c r="I18" s="72"/>
      <c r="J18" s="72"/>
      <c r="K18" s="72"/>
      <c r="L18" s="72"/>
      <c r="M18" s="72"/>
      <c r="N18" s="72" t="s">
        <v>822</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1004</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1005</v>
      </c>
      <c r="C21" s="5"/>
      <c r="D21" s="5"/>
      <c r="E21" s="5"/>
      <c r="F21" s="5"/>
      <c r="G21" s="5"/>
      <c r="H21" s="5"/>
      <c r="I21" s="5"/>
      <c r="J21" s="5"/>
      <c r="K21" s="5"/>
      <c r="L21" s="5"/>
      <c r="M21" s="5"/>
      <c r="N21" s="5"/>
      <c r="O21" s="5"/>
    </row>
    <row r="22" customFormat="false" ht="60" hidden="false" customHeight="true" outlineLevel="0" collapsed="false">
      <c r="B22" s="5" t="s">
        <v>1006</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1007</v>
      </c>
    </row>
    <row r="2" customFormat="false" ht="15" hidden="false" customHeight="false" outlineLevel="0" collapsed="false">
      <c r="A2" s="2" t="s">
        <v>1008</v>
      </c>
    </row>
    <row r="3" customFormat="false" ht="30" hidden="false" customHeight="true" outlineLevel="0" collapsed="false">
      <c r="A3" s="8" t="s">
        <v>1009</v>
      </c>
      <c r="B3" s="8"/>
      <c r="C3" s="8"/>
      <c r="D3" s="8"/>
      <c r="E3" s="8"/>
      <c r="F3" s="8"/>
    </row>
    <row r="5" customFormat="false" ht="15" hidden="false" customHeight="false" outlineLevel="0" collapsed="false">
      <c r="B5" s="84" t="s">
        <v>1010</v>
      </c>
      <c r="E5" s="84" t="s">
        <v>1011</v>
      </c>
    </row>
    <row r="6" customFormat="false" ht="30" hidden="false" customHeight="true" outlineLevel="0" collapsed="false">
      <c r="B6" s="30" t="s">
        <v>944</v>
      </c>
      <c r="C6" s="39" t="s">
        <v>984</v>
      </c>
      <c r="E6" s="12" t="s">
        <v>1012</v>
      </c>
      <c r="F6" s="12" t="s">
        <v>1013</v>
      </c>
      <c r="G6" s="12" t="s">
        <v>1014</v>
      </c>
    </row>
    <row r="7" customFormat="false" ht="15" hidden="false" customHeight="false" outlineLevel="0" collapsed="false">
      <c r="B7" s="30" t="s">
        <v>328</v>
      </c>
      <c r="C7" s="39" t="s">
        <v>674</v>
      </c>
      <c r="E7" s="9" t="s">
        <v>331</v>
      </c>
      <c r="F7" s="37" t="n">
        <f aca="false">S40</f>
        <v>4500</v>
      </c>
      <c r="G7" s="19" t="n">
        <f aca="false">IF(G40&gt;0,F7/G40,"")</f>
        <v>1500</v>
      </c>
    </row>
    <row r="8" customFormat="false" ht="15" hidden="false" customHeight="false" outlineLevel="0" collapsed="false">
      <c r="B8" s="30" t="s">
        <v>330</v>
      </c>
      <c r="C8" s="39" t="n">
        <v>10</v>
      </c>
      <c r="E8" s="30" t="s">
        <v>1015</v>
      </c>
      <c r="F8" s="19" t="n">
        <f aca="false">T40</f>
        <v>80</v>
      </c>
      <c r="G8" s="19" t="n">
        <f aca="false">IF(G40&gt;0,F8/G40,"")</f>
        <v>26.6666666666667</v>
      </c>
    </row>
    <row r="9" customFormat="false" ht="15" hidden="false" customHeight="false" outlineLevel="0" collapsed="false">
      <c r="B9" s="30" t="s">
        <v>1016</v>
      </c>
      <c r="C9" s="39" t="n">
        <v>0</v>
      </c>
      <c r="E9" s="30" t="s">
        <v>1017</v>
      </c>
      <c r="F9" s="19" t="n">
        <f aca="false">U40</f>
        <v>300</v>
      </c>
      <c r="G9" s="19" t="n">
        <f aca="false">IF(G40&gt;0,F9/G40,"")</f>
        <v>100</v>
      </c>
    </row>
    <row r="10" customFormat="false" ht="15" hidden="false" customHeight="false" outlineLevel="0" collapsed="false">
      <c r="B10" s="30" t="s">
        <v>329</v>
      </c>
      <c r="C10" s="39" t="n">
        <v>3</v>
      </c>
      <c r="E10" s="30" t="s">
        <v>193</v>
      </c>
      <c r="F10" s="19" t="n">
        <f aca="false">V40</f>
        <v>0</v>
      </c>
      <c r="G10" s="19" t="n">
        <f aca="false">IF(G40&gt;0,F10/G40,"")</f>
        <v>0</v>
      </c>
    </row>
    <row r="11" customFormat="false" ht="15" hidden="false" customHeight="false" outlineLevel="0" collapsed="false">
      <c r="B11" s="30" t="s">
        <v>946</v>
      </c>
      <c r="C11" s="39" t="n">
        <v>0</v>
      </c>
      <c r="E11" s="30" t="s">
        <v>1018</v>
      </c>
      <c r="F11" s="19" t="n">
        <f aca="false">W40</f>
        <v>135</v>
      </c>
      <c r="G11" s="19" t="n">
        <f aca="false">IF(G40&gt;0,F11/G40,"")</f>
        <v>45</v>
      </c>
    </row>
    <row r="12" customFormat="false" ht="15" hidden="false" customHeight="false" outlineLevel="0" collapsed="false">
      <c r="B12" s="30" t="s">
        <v>947</v>
      </c>
      <c r="C12" s="39" t="n">
        <v>0</v>
      </c>
      <c r="E12" s="30" t="s">
        <v>1019</v>
      </c>
      <c r="F12" s="19" t="n">
        <f aca="false">X40</f>
        <v>75</v>
      </c>
      <c r="G12" s="19" t="n">
        <f aca="false">IF(G40&gt;0,F12/G40,"")</f>
        <v>25</v>
      </c>
    </row>
    <row r="13" customFormat="false" ht="15" hidden="false" customHeight="false" outlineLevel="0" collapsed="false">
      <c r="B13" s="30" t="s">
        <v>1020</v>
      </c>
      <c r="C13" s="56"/>
      <c r="E13" s="30" t="s">
        <v>1021</v>
      </c>
      <c r="F13" s="19" t="n">
        <f aca="false">Y40</f>
        <v>30</v>
      </c>
      <c r="G13" s="19" t="n">
        <f aca="false">IF(G40&gt;0,F13/G40,"")</f>
        <v>10</v>
      </c>
    </row>
    <row r="14" customFormat="false" ht="15" hidden="false" customHeight="false" outlineLevel="0" collapsed="false">
      <c r="B14" s="30" t="s">
        <v>1022</v>
      </c>
      <c r="C14" s="56"/>
      <c r="E14" s="30" t="s">
        <v>1023</v>
      </c>
      <c r="F14" s="19" t="n">
        <f aca="false">Z40</f>
        <v>50</v>
      </c>
      <c r="G14" s="19" t="n">
        <f aca="false">IF(G40&gt;0,F14/G40,"")</f>
        <v>16.6666666666667</v>
      </c>
    </row>
    <row r="15" customFormat="false" ht="15" hidden="false" customHeight="false" outlineLevel="0" collapsed="false">
      <c r="B15" s="30" t="s">
        <v>1024</v>
      </c>
      <c r="C15" s="85"/>
      <c r="E15" s="9" t="s">
        <v>332</v>
      </c>
      <c r="F15" s="37" t="n">
        <f aca="false">AA40</f>
        <v>670</v>
      </c>
      <c r="G15" s="19" t="n">
        <f aca="false">IF(G40&gt;0,F15/G40,"")</f>
        <v>223.333333333333</v>
      </c>
    </row>
    <row r="16" customFormat="false" ht="15" hidden="false" customHeight="false" outlineLevel="0" collapsed="false">
      <c r="B16" s="30" t="s">
        <v>1025</v>
      </c>
      <c r="C16" s="85"/>
      <c r="E16" s="9" t="s">
        <v>334</v>
      </c>
      <c r="F16" s="37" t="n">
        <f aca="false">AJ40</f>
        <v>3830</v>
      </c>
      <c r="G16" s="19" t="n">
        <f aca="false">IF(G40&gt;0,F16/G40,"")</f>
        <v>1276.66666666667</v>
      </c>
    </row>
    <row r="17" customFormat="false" ht="15" hidden="false" customHeight="false" outlineLevel="0" collapsed="false">
      <c r="E17" s="30" t="s">
        <v>1026</v>
      </c>
      <c r="F17" s="36" t="n">
        <f aca="false">AB40</f>
        <v>18</v>
      </c>
      <c r="G17" s="36" t="n">
        <f aca="false">IF(G40&gt;0,F17/G40,"")</f>
        <v>6</v>
      </c>
    </row>
    <row r="18" customFormat="false" ht="15" hidden="false" customHeight="false" outlineLevel="0" collapsed="false">
      <c r="E18" s="30" t="s">
        <v>1027</v>
      </c>
      <c r="F18" s="36" t="n">
        <f aca="false">AC40</f>
        <v>10</v>
      </c>
      <c r="G18" s="36" t="n">
        <f aca="false">IF(G40&gt;0,F18/G40,"")</f>
        <v>3.33333333333333</v>
      </c>
    </row>
    <row r="19" customFormat="false" ht="15" hidden="false" customHeight="false" outlineLevel="0" collapsed="false">
      <c r="E19" s="30" t="s">
        <v>1028</v>
      </c>
      <c r="F19" s="36" t="n">
        <f aca="false">AD40</f>
        <v>4</v>
      </c>
      <c r="G19" s="36" t="n">
        <f aca="false">IF(G40&gt;0,F19/G40,"")</f>
        <v>1.33333333333333</v>
      </c>
    </row>
    <row r="20" customFormat="false" ht="15" hidden="false" customHeight="false" outlineLevel="0" collapsed="false">
      <c r="E20" s="30" t="s">
        <v>1029</v>
      </c>
      <c r="F20" s="36" t="n">
        <f aca="false">AE40</f>
        <v>8</v>
      </c>
      <c r="G20" s="36" t="n">
        <f aca="false">IF(G40&gt;0,F20/G40,"")</f>
        <v>2.66666666666667</v>
      </c>
    </row>
    <row r="21" customFormat="false" ht="15" hidden="false" customHeight="false" outlineLevel="0" collapsed="false">
      <c r="E21" s="30" t="s">
        <v>1030</v>
      </c>
      <c r="F21" s="36" t="n">
        <f aca="false">AF40</f>
        <v>4</v>
      </c>
      <c r="G21" s="36" t="n">
        <f aca="false">IF(G40&gt;0,F21/G40,"")</f>
        <v>1.33333333333333</v>
      </c>
    </row>
    <row r="22" customFormat="false" ht="15" hidden="false" customHeight="false" outlineLevel="0" collapsed="false">
      <c r="E22" s="30" t="s">
        <v>1031</v>
      </c>
      <c r="F22" s="36" t="n">
        <f aca="false">AG40</f>
        <v>6</v>
      </c>
      <c r="G22" s="36" t="n">
        <f aca="false">IF(G40&gt;0,F22/G40,"")</f>
        <v>2</v>
      </c>
    </row>
    <row r="23" customFormat="false" ht="15" hidden="false" customHeight="false" outlineLevel="0" collapsed="false">
      <c r="E23" s="30" t="s">
        <v>1032</v>
      </c>
      <c r="F23" s="36" t="n">
        <f aca="false">AH40</f>
        <v>2</v>
      </c>
      <c r="G23" s="36" t="n">
        <f aca="false">IF(G40&gt;0,F23/G40,"")</f>
        <v>0.666666666666667</v>
      </c>
    </row>
    <row r="24" customFormat="false" ht="15" hidden="false" customHeight="false" outlineLevel="0" collapsed="false">
      <c r="E24" s="9" t="s">
        <v>333</v>
      </c>
      <c r="F24" s="38" t="n">
        <f aca="false">AI40</f>
        <v>52</v>
      </c>
      <c r="G24" s="36" t="n">
        <f aca="false">IF(G40&gt;0,F24/G40,"")</f>
        <v>17.3333333333333</v>
      </c>
    </row>
    <row r="25" customFormat="false" ht="15" hidden="false" customHeight="false" outlineLevel="0" collapsed="false">
      <c r="E25" s="9" t="s">
        <v>1033</v>
      </c>
      <c r="F25" s="15" t="n">
        <f aca="false">AK40</f>
        <v>73.6538461538462</v>
      </c>
      <c r="G25" s="28" t="n">
        <f aca="false">F25</f>
        <v>73.6538461538462</v>
      </c>
    </row>
    <row r="26" customFormat="false" ht="15" hidden="false" customHeight="false" outlineLevel="0" collapsed="false">
      <c r="E26" s="30" t="s">
        <v>1034</v>
      </c>
      <c r="F26" s="9" t="str">
        <f aca="false">IF(ISNUMBER(F25),IF(F25&gt;=Inputs!$C$136,"at or above target","below target"),"n/a")</f>
        <v>at or above target</v>
      </c>
    </row>
    <row r="27" customFormat="false" ht="15" hidden="false" customHeight="false" outlineLevel="0" collapsed="false">
      <c r="E27" s="30" t="s">
        <v>1035</v>
      </c>
      <c r="F27" s="24" t="n">
        <f aca="false">E40*Inputs!$C$63*(1+Inputs!$C$64)</f>
        <v>550</v>
      </c>
    </row>
    <row r="29" customFormat="false" ht="60" hidden="false" customHeight="true" outlineLevel="0" collapsed="false">
      <c r="E29" s="5" t="s">
        <v>1036</v>
      </c>
      <c r="F29" s="5"/>
      <c r="G29" s="5"/>
    </row>
    <row r="37" customFormat="false" ht="15" hidden="false" customHeight="false" outlineLevel="0" collapsed="false">
      <c r="A37" s="84" t="s">
        <v>1037</v>
      </c>
    </row>
    <row r="39" customFormat="false" ht="57.75" hidden="false" customHeight="true" outlineLevel="0" collapsed="false">
      <c r="A39" s="12" t="s">
        <v>1038</v>
      </c>
      <c r="B39" s="12" t="s">
        <v>326</v>
      </c>
      <c r="C39" s="12" t="s">
        <v>328</v>
      </c>
      <c r="D39" s="12" t="s">
        <v>944</v>
      </c>
      <c r="E39" s="12" t="s">
        <v>330</v>
      </c>
      <c r="F39" s="12" t="s">
        <v>945</v>
      </c>
      <c r="G39" s="12" t="s">
        <v>329</v>
      </c>
      <c r="H39" s="12" t="s">
        <v>946</v>
      </c>
      <c r="I39" s="12" t="s">
        <v>947</v>
      </c>
      <c r="J39" s="12" t="s">
        <v>457</v>
      </c>
      <c r="K39" s="12" t="s">
        <v>469</v>
      </c>
      <c r="L39" s="12" t="s">
        <v>1039</v>
      </c>
      <c r="M39" s="12" t="s">
        <v>1040</v>
      </c>
      <c r="N39" s="12" t="s">
        <v>1041</v>
      </c>
      <c r="O39" s="12" t="s">
        <v>1042</v>
      </c>
      <c r="P39" s="12" t="s">
        <v>1043</v>
      </c>
      <c r="Q39" s="12" t="s">
        <v>1044</v>
      </c>
      <c r="R39" s="12" t="s">
        <v>1045</v>
      </c>
      <c r="S39" s="12" t="s">
        <v>331</v>
      </c>
      <c r="T39" s="12" t="s">
        <v>1015</v>
      </c>
      <c r="U39" s="12" t="s">
        <v>1017</v>
      </c>
      <c r="V39" s="12" t="s">
        <v>193</v>
      </c>
      <c r="W39" s="12" t="s">
        <v>1018</v>
      </c>
      <c r="X39" s="12" t="s">
        <v>1019</v>
      </c>
      <c r="Y39" s="12" t="s">
        <v>1021</v>
      </c>
      <c r="Z39" s="12" t="s">
        <v>1023</v>
      </c>
      <c r="AA39" s="12" t="s">
        <v>332</v>
      </c>
      <c r="AB39" s="12" t="s">
        <v>1026</v>
      </c>
      <c r="AC39" s="12" t="s">
        <v>1027</v>
      </c>
      <c r="AD39" s="12" t="s">
        <v>1028</v>
      </c>
      <c r="AE39" s="12" t="s">
        <v>1029</v>
      </c>
      <c r="AF39" s="12" t="s">
        <v>1030</v>
      </c>
      <c r="AG39" s="12" t="s">
        <v>1031</v>
      </c>
      <c r="AH39" s="12" t="s">
        <v>1032</v>
      </c>
      <c r="AI39" s="12" t="s">
        <v>333</v>
      </c>
      <c r="AJ39" s="12" t="s">
        <v>334</v>
      </c>
      <c r="AK39" s="12" t="s">
        <v>1033</v>
      </c>
      <c r="AL39" s="12" t="s">
        <v>1046</v>
      </c>
      <c r="AM39" s="12" t="s">
        <v>1047</v>
      </c>
    </row>
    <row r="40" customFormat="false" ht="15" hidden="false" customHeight="false" outlineLevel="0" collapsed="false">
      <c r="A40" s="30" t="s">
        <v>1048</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1049</v>
      </c>
    </row>
    <row r="2" customFormat="false" ht="15" hidden="false" customHeight="false" outlineLevel="0" collapsed="false">
      <c r="A2" s="2" t="s">
        <v>1050</v>
      </c>
    </row>
    <row r="3" customFormat="false" ht="30" hidden="false" customHeight="true" outlineLevel="0" collapsed="false">
      <c r="A3" s="8" t="s">
        <v>1051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c r="AO5" s="87" t="s">
        <v>1056</v>
      </c>
      <c r="AP5" s="87"/>
      <c r="AQ5" s="87"/>
      <c r="AR5" s="87"/>
      <c r="AS5" s="87"/>
      <c r="AT5" s="87"/>
      <c r="AU5" s="87"/>
      <c r="AV5" s="87"/>
      <c r="AW5" s="87"/>
      <c r="AX5" s="87"/>
      <c r="AY5" s="87"/>
      <c r="AZ5" s="87" t="s">
        <v>1057</v>
      </c>
      <c r="BA5" s="87"/>
      <c r="BB5" s="87"/>
      <c r="BC5" s="87"/>
      <c r="BD5" s="87"/>
      <c r="BE5" s="87"/>
      <c r="BF5" s="87"/>
      <c r="BG5" s="87"/>
      <c r="BH5" s="87" t="s">
        <v>1058</v>
      </c>
      <c r="BI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1059</v>
      </c>
      <c r="AP6" s="12" t="s">
        <v>1060</v>
      </c>
      <c r="AQ6" s="12" t="s">
        <v>1061</v>
      </c>
      <c r="AR6" s="12" t="s">
        <v>1062</v>
      </c>
      <c r="AS6" s="12" t="s">
        <v>1063</v>
      </c>
      <c r="AT6" s="12" t="s">
        <v>1064</v>
      </c>
      <c r="AU6" s="12" t="s">
        <v>1065</v>
      </c>
      <c r="AV6" s="12" t="s">
        <v>1066</v>
      </c>
      <c r="AW6" s="12" t="s">
        <v>1067</v>
      </c>
      <c r="AX6" s="12" t="s">
        <v>1068</v>
      </c>
      <c r="AY6" s="12" t="s">
        <v>1069</v>
      </c>
      <c r="AZ6" s="12" t="s">
        <v>1070</v>
      </c>
      <c r="BA6" s="12" t="s">
        <v>1071</v>
      </c>
      <c r="BB6" s="12" t="s">
        <v>1072</v>
      </c>
      <c r="BC6" s="12" t="s">
        <v>1073</v>
      </c>
      <c r="BD6" s="12" t="s">
        <v>1074</v>
      </c>
      <c r="BE6" s="12" t="s">
        <v>1075</v>
      </c>
      <c r="BF6" s="12" t="s">
        <v>327</v>
      </c>
      <c r="BG6" s="12" t="s">
        <v>1076</v>
      </c>
      <c r="BH6" s="12" t="s">
        <v>1077</v>
      </c>
      <c r="BI6" s="12" t="s">
        <v>1078</v>
      </c>
      <c r="BJ6" s="12" t="s">
        <v>1079</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Y</v>
      </c>
      <c r="BA7" s="19" t="n">
        <f aca="false">IF(AZ7="Y",Drop_Actuals!D7,S7)</f>
        <v>1080</v>
      </c>
      <c r="BB7" s="19" t="n">
        <f aca="false">IF(AZ7="Y",Drop_Actuals!J7,AA7)</f>
        <v>232</v>
      </c>
      <c r="BC7" s="36" t="n">
        <f aca="false">IF(AZ7="Y",Drop_Actuals!R7,AI7)</f>
        <v>57</v>
      </c>
      <c r="BD7" s="19" t="n">
        <f aca="false">BA7-BB7</f>
        <v>848</v>
      </c>
      <c r="BE7" s="28" t="n">
        <f aca="false">IF(BC7&gt;0,BD7/BC7,"n/a")</f>
        <v>14.8771929824561</v>
      </c>
      <c r="BF7" s="30" t="str">
        <f aca="false">IF(AND(N7=0,AZ7="N"),"",IF(AZ7="Y","actual","plan"))</f>
        <v>actual</v>
      </c>
      <c r="BG7" s="21" t="n">
        <f aca="false">IF(AND(N7=1,B7&gt;=Inputs!$C$17),1,0)</f>
        <v>0</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928</v>
      </c>
      <c r="BJ7" s="18" t="str">
        <f aca="false">IF(BG7=1,B7,"")</f>
        <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N</v>
      </c>
      <c r="BA8" s="19" t="n">
        <f aca="false">IF(AZ8="Y",Drop_Actuals!D8,S8)</f>
        <v>4500</v>
      </c>
      <c r="BB8" s="19" t="n">
        <f aca="false">IF(AZ8="Y",Drop_Actuals!J8,AA8)</f>
        <v>670</v>
      </c>
      <c r="BC8" s="36" t="n">
        <f aca="false">IF(AZ8="Y",Drop_Actuals!R8,AI8)</f>
        <v>67</v>
      </c>
      <c r="BD8" s="19" t="n">
        <f aca="false">BA8-BB8</f>
        <v>3830</v>
      </c>
      <c r="BE8" s="28" t="n">
        <f aca="false">IF(BC8&gt;0,BD8/BC8,"n/a")</f>
        <v>57.1641791044776</v>
      </c>
      <c r="BF8" s="30" t="str">
        <f aca="false">IF(AND(N8=0,AZ8="N"),"",IF(AZ8="Y","actual","plan"))</f>
        <v>plan</v>
      </c>
      <c r="BG8" s="21" t="n">
        <f aca="false">IF(AND(N8=1,B8&gt;=Inputs!$C$17),1,0)</f>
        <v>0</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3985</v>
      </c>
      <c r="BJ8" s="18" t="str">
        <f aca="false">IF(BG8=1,B8,"")</f>
        <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N</v>
      </c>
      <c r="BA9" s="19" t="n">
        <f aca="false">IF(AZ9="Y",Drop_Actuals!D9,S9)</f>
        <v>4500</v>
      </c>
      <c r="BB9" s="19" t="n">
        <f aca="false">IF(AZ9="Y",Drop_Actuals!J9,AA9)</f>
        <v>670</v>
      </c>
      <c r="BC9" s="36" t="n">
        <f aca="false">IF(AZ9="Y",Drop_Actuals!R9,AI9)</f>
        <v>58</v>
      </c>
      <c r="BD9" s="19" t="n">
        <f aca="false">BA9-BB9</f>
        <v>3830</v>
      </c>
      <c r="BE9" s="28" t="n">
        <f aca="false">IF(BC9&gt;0,BD9/BC9,"n/a")</f>
        <v>66.0344827586207</v>
      </c>
      <c r="BF9" s="30" t="str">
        <f aca="false">IF(AND(N9=0,AZ9="N"),"",IF(AZ9="Y","actual","plan"))</f>
        <v>plan</v>
      </c>
      <c r="BG9" s="21" t="n">
        <f aca="false">IF(AND(N9=1,B9&gt;=Inputs!$C$17),1,0)</f>
        <v>1</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3985</v>
      </c>
      <c r="BJ9" s="18" t="n">
        <f aca="false">IF(BG9=1,B9,"")</f>
        <v>46441</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N</v>
      </c>
      <c r="BA10" s="19" t="n">
        <f aca="false">IF(AZ10="Y",Drop_Actuals!D10,S10)</f>
        <v>4500</v>
      </c>
      <c r="BB10" s="19" t="n">
        <f aca="false">IF(AZ10="Y",Drop_Actuals!J10,AA10)</f>
        <v>370</v>
      </c>
      <c r="BC10" s="36" t="n">
        <f aca="false">IF(AZ10="Y",Drop_Actuals!R10,AI10)</f>
        <v>41</v>
      </c>
      <c r="BD10" s="19" t="n">
        <f aca="false">BA10-BB10</f>
        <v>4130</v>
      </c>
      <c r="BE10" s="28" t="n">
        <f aca="false">IF(BC10&gt;0,BD10/BC10,"n/a")</f>
        <v>100.731707317073</v>
      </c>
      <c r="BF10" s="30" t="str">
        <f aca="false">IF(AND(N10=0,AZ10="N"),"",IF(AZ10="Y","actual","plan"))</f>
        <v>plan</v>
      </c>
      <c r="BG10" s="21" t="n">
        <f aca="false">IF(AND(N10=1,B10&gt;=Inputs!$C$17),1,0)</f>
        <v>1</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4285</v>
      </c>
      <c r="BJ10" s="18" t="n">
        <f aca="false">IF(BG10=1,B10,"")</f>
        <v>46469</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1</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n">
        <f aca="false">IF(BG11=1,B11,"")</f>
        <v>46483</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1080</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19080</v>
      </c>
      <c r="BB19" s="37" t="n">
        <f aca="false">SUM(BB7:BB18)</f>
        <v>2312</v>
      </c>
      <c r="BC19" s="38" t="n">
        <f aca="false">SUM(BC7:BC18)</f>
        <v>264</v>
      </c>
      <c r="BD19" s="37" t="n">
        <f aca="false">SUM(BD7:BD18)</f>
        <v>16768</v>
      </c>
      <c r="BE19" s="29" t="n">
        <f aca="false">IF(BC19&gt;0,BD19/BC19,"n/a")</f>
        <v>63.5151515151515</v>
      </c>
      <c r="BH19" s="37" t="n">
        <f aca="false">SUM(BH7:BH18)</f>
        <v>17544</v>
      </c>
      <c r="BI19" s="37" t="n">
        <f aca="false">SUM(BI7:BI18)</f>
        <v>17468</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1081</v>
      </c>
    </row>
    <row r="2" customFormat="false" ht="15" hidden="false" customHeight="false" outlineLevel="0" collapsed="false">
      <c r="A2" s="2" t="s">
        <v>1082</v>
      </c>
    </row>
    <row r="3" customFormat="false" ht="30" hidden="false" customHeight="true" outlineLevel="0" collapsed="false">
      <c r="A3" s="8" t="s">
        <v>1083</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1084</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1085</v>
      </c>
    </row>
    <row r="5" customFormat="false" ht="15" hidden="false" customHeight="false" outlineLevel="0" collapsed="false">
      <c r="B5" s="9" t="s">
        <v>1086</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1087</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1088</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1089</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1090</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2250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4500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2250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2250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4500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18000</v>
      </c>
    </row>
    <row r="10" customFormat="false" ht="15" hidden="false" customHeight="false" outlineLevel="0" collapsed="false">
      <c r="B10" s="30" t="s">
        <v>1091</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1080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0</v>
      </c>
      <c r="N10" s="19" t="n">
        <f aca="false">SUMIFS(Actuals_Campaigns!$X$5:$X$204,Actuals_Campaigns!$Y$5:$Y$204,"&gt;="&amp;N$5,Actuals_Campaigns!$Y$5:$Y$204,"&lt;="&amp;N$6,Actuals_Campaigns!$AL$5:$AL$204,"Y")+SUMIFS(Actuals_Campaigns!$AM$5:$AM$204,Actuals_Campaigns!$S$5:$S$204,"&gt;="&amp;N$5,Actuals_Campaigns!$S$5:$S$204,"&lt;="&amp;N$6,Actuals_Campaigns!$AL$5:$AL$204,"Y")</f>
        <v>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0</v>
      </c>
      <c r="S10" s="19" t="n">
        <f aca="false">SUMIFS(Actuals_Campaigns!$X$5:$X$204,Actuals_Campaigns!$Y$5:$Y$204,"&gt;="&amp;S$5,Actuals_Campaigns!$Y$5:$Y$204,"&lt;="&amp;S$6,Actuals_Campaigns!$AL$5:$AL$204,"Y")+SUMIFS(Actuals_Campaigns!$AM$5:$AM$204,Actuals_Campaigns!$S$5:$S$204,"&gt;="&amp;S$5,Actuals_Campaigns!$S$5:$S$204,"&lt;="&amp;S$6,Actuals_Campaigns!$AL$5:$AL$204,"Y")</f>
        <v>0</v>
      </c>
      <c r="T10" s="19" t="n">
        <f aca="false">SUMIFS(Actuals_Campaigns!$X$5:$X$204,Actuals_Campaigns!$Y$5:$Y$204,"&gt;="&amp;T$5,Actuals_Campaigns!$Y$5:$Y$204,"&lt;="&amp;T$6,Actuals_Campaigns!$AL$5:$AL$204,"Y")+SUMIFS(Actuals_Campaigns!$AM$5:$AM$204,Actuals_Campaigns!$S$5:$S$204,"&gt;="&amp;T$5,Actuals_Campaigns!$S$5:$S$204,"&lt;="&amp;T$6,Actuals_Campaigns!$AL$5:$AL$204,"Y")</f>
        <v>0</v>
      </c>
      <c r="U10" s="19" t="n">
        <f aca="false">SUMIFS(Actuals_Campaigns!$X$5:$X$204,Actuals_Campaigns!$Y$5:$Y$204,"&gt;="&amp;U$5,Actuals_Campaigns!$Y$5:$Y$204,"&lt;="&amp;U$6,Actuals_Campaigns!$AL$5:$AL$204,"Y")+SUMIFS(Actuals_Campaigns!$AM$5:$AM$204,Actuals_Campaigns!$S$5:$S$204,"&gt;="&amp;U$5,Actuals_Campaigns!$S$5:$S$204,"&lt;="&amp;U$6,Actuals_Campaigns!$AL$5:$AL$204,"Y")</f>
        <v>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1080</v>
      </c>
    </row>
    <row r="11" customFormat="false" ht="15" hidden="false" customHeight="false" outlineLevel="0" collapsed="false">
      <c r="B11" s="9" t="s">
        <v>1092</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1080</v>
      </c>
      <c r="J11" s="37" t="n">
        <f aca="false">SUM(J9:J10)</f>
        <v>0</v>
      </c>
      <c r="K11" s="37" t="n">
        <f aca="false">SUM(K9:K10)</f>
        <v>0</v>
      </c>
      <c r="L11" s="37" t="n">
        <f aca="false">SUM(L9:L10)</f>
        <v>0</v>
      </c>
      <c r="M11" s="37" t="n">
        <f aca="false">SUM(M9:M10)</f>
        <v>0</v>
      </c>
      <c r="N11" s="37" t="n">
        <f aca="false">SUM(N9:N10)</f>
        <v>0</v>
      </c>
      <c r="O11" s="37" t="n">
        <f aca="false">SUM(O9:O10)</f>
        <v>0</v>
      </c>
      <c r="P11" s="37" t="n">
        <f aca="false">SUM(P9:P10)</f>
        <v>2250</v>
      </c>
      <c r="Q11" s="37" t="n">
        <f aca="false">SUM(Q9:Q10)</f>
        <v>0</v>
      </c>
      <c r="R11" s="37" t="n">
        <f aca="false">SUM(R9:R10)</f>
        <v>4500</v>
      </c>
      <c r="S11" s="37" t="n">
        <f aca="false">SUM(S9:S10)</f>
        <v>0</v>
      </c>
      <c r="T11" s="37" t="n">
        <f aca="false">SUM(T9:T10)</f>
        <v>2250</v>
      </c>
      <c r="U11" s="37" t="n">
        <f aca="false">SUM(U9:U10)</f>
        <v>0</v>
      </c>
      <c r="V11" s="37" t="n">
        <f aca="false">SUM(V9:V10)</f>
        <v>2250</v>
      </c>
      <c r="W11" s="37" t="n">
        <f aca="false">SUM(W9:W10)</f>
        <v>0</v>
      </c>
      <c r="X11" s="37" t="n">
        <f aca="false">SUM(X9:X10)</f>
        <v>4500</v>
      </c>
      <c r="Y11" s="37" t="n">
        <f aca="false">SUM(Y9:Y10)</f>
        <v>0</v>
      </c>
      <c r="Z11" s="37" t="n">
        <f aca="false">SUM(Z9:Z10)</f>
        <v>2250</v>
      </c>
      <c r="AA11" s="37" t="n">
        <f aca="false">SUM(AA9:AA10)</f>
        <v>0</v>
      </c>
      <c r="AB11" s="37" t="n">
        <f aca="false">SUM(AB9:AB10)</f>
        <v>0</v>
      </c>
      <c r="AC11" s="37" t="n">
        <f aca="false">SUM(C11:AB11)</f>
        <v>19080</v>
      </c>
    </row>
    <row r="12" customFormat="false" ht="15" hidden="false" customHeight="false" outlineLevel="0" collapsed="false">
      <c r="A12" s="3" t="s">
        <v>1093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1094</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-80</v>
      </c>
      <c r="R13" s="19" t="n">
        <f aca="false">-SUMIFS(Drop_PnL!$T$7:$T$18,Drop_PnL!$AX$7:$AX$18,"&gt;="&amp;R$5,Drop_PnL!$AX$7:$AX$18,"&lt;="&amp;R$6,Drop_PnL!$AZ$7:$AZ$18,"N")</f>
        <v>-0</v>
      </c>
      <c r="S13" s="19" t="n">
        <f aca="false">-SUMIFS(Drop_PnL!$T$7:$T$18,Drop_PnL!$AX$7:$AX$18,"&gt;="&amp;S$5,Drop_PnL!$AX$7:$AX$18,"&lt;="&amp;S$6,Drop_PnL!$AZ$7:$AZ$18,"N")</f>
        <v>-80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-80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-320</v>
      </c>
    </row>
    <row r="14" customFormat="false" ht="15" hidden="false" customHeight="false" outlineLevel="0" collapsed="false">
      <c r="B14" s="30" t="s">
        <v>1095</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-300</v>
      </c>
      <c r="S14" s="19" t="n">
        <f aca="false">-SUMIFS(Drop_PnL!$U$7:$U$18,Drop_PnL!$AY$7:$AY$18,"&gt;="&amp;S$5,Drop_PnL!$AY$7:$AY$18,"&lt;="&amp;S$6,Drop_PnL!$AZ$7:$AZ$18,"N")</f>
        <v>-0</v>
      </c>
      <c r="T14" s="19" t="n">
        <f aca="false">-SUMIFS(Drop_PnL!$U$7:$U$18,Drop_PnL!$AY$7:$AY$18,"&gt;="&amp;T$5,Drop_PnL!$AY$7:$AY$18,"&lt;="&amp;T$6,Drop_PnL!$AZ$7:$AZ$18,"N")</f>
        <v>-300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-600</v>
      </c>
    </row>
    <row r="15" customFormat="false" ht="15" hidden="false" customHeight="false" outlineLevel="0" collapsed="false">
      <c r="B15" s="30" t="s">
        <v>1096</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1097</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-0</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-67.5</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-135</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-67.5</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-67.5</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-135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-540</v>
      </c>
    </row>
    <row r="17" customFormat="false" ht="15" hidden="false" customHeight="false" outlineLevel="0" collapsed="false">
      <c r="B17" s="30" t="s">
        <v>1098</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-152</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-0</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-152</v>
      </c>
    </row>
    <row r="18" customFormat="false" ht="15" hidden="false" customHeight="false" outlineLevel="0" collapsed="false">
      <c r="B18" s="9" t="s">
        <v>1099</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0</v>
      </c>
      <c r="J18" s="37" t="n">
        <f aca="false">SUM(J13:J17)</f>
        <v>0</v>
      </c>
      <c r="K18" s="37" t="n">
        <f aca="false">SUM(K13:K17)</f>
        <v>0</v>
      </c>
      <c r="L18" s="37" t="n">
        <f aca="false">SUM(L13:L17)</f>
        <v>0</v>
      </c>
      <c r="M18" s="37" t="n">
        <f aca="false">SUM(M13:M17)</f>
        <v>0</v>
      </c>
      <c r="N18" s="37" t="n">
        <f aca="false">SUM(N13:N17)</f>
        <v>-152</v>
      </c>
      <c r="O18" s="37" t="n">
        <f aca="false">SUM(O13:O17)</f>
        <v>0</v>
      </c>
      <c r="P18" s="37" t="n">
        <f aca="false">SUM(P13:P17)</f>
        <v>-67.5</v>
      </c>
      <c r="Q18" s="37" t="n">
        <f aca="false">SUM(Q13:Q17)</f>
        <v>-80</v>
      </c>
      <c r="R18" s="37" t="n">
        <f aca="false">SUM(R13:R17)</f>
        <v>-435</v>
      </c>
      <c r="S18" s="37" t="n">
        <f aca="false">SUM(S13:S17)</f>
        <v>-80</v>
      </c>
      <c r="T18" s="37" t="n">
        <f aca="false">SUM(T13:T17)</f>
        <v>-367.5</v>
      </c>
      <c r="U18" s="37" t="n">
        <f aca="false">SUM(U13:U17)</f>
        <v>0</v>
      </c>
      <c r="V18" s="37" t="n">
        <f aca="false">SUM(V13:V17)</f>
        <v>-67.5</v>
      </c>
      <c r="W18" s="37" t="n">
        <f aca="false">SUM(W13:W17)</f>
        <v>-80</v>
      </c>
      <c r="X18" s="37" t="n">
        <f aca="false">SUM(X13:X17)</f>
        <v>-135</v>
      </c>
      <c r="Y18" s="37" t="n">
        <f aca="false">SUM(Y13:Y17)</f>
        <v>-80</v>
      </c>
      <c r="Z18" s="37" t="n">
        <f aca="false">SUM(Z13:Z17)</f>
        <v>-67.5</v>
      </c>
      <c r="AA18" s="37" t="n">
        <f aca="false">SUM(AA13:AA17)</f>
        <v>0</v>
      </c>
      <c r="AB18" s="37" t="n">
        <f aca="false">SUM(AB13:AB17)</f>
        <v>0</v>
      </c>
      <c r="AC18" s="37" t="n">
        <f aca="false">SUM(C18:AB18)</f>
        <v>-1612</v>
      </c>
    </row>
    <row r="19" customFormat="false" ht="15" hidden="false" customHeight="false" outlineLevel="0" collapsed="false">
      <c r="A19" s="3" t="s">
        <v>1100</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1101</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571</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1102</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1103</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1104</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1105</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-820</v>
      </c>
      <c r="J26" s="90" t="n">
        <f aca="false">J11+J18+J24+J25</f>
        <v>0</v>
      </c>
      <c r="K26" s="90" t="n">
        <f aca="false">K11+K18+K24+K25</f>
        <v>-60</v>
      </c>
      <c r="L26" s="90" t="n">
        <f aca="false">L11+L18+L24+L25</f>
        <v>0</v>
      </c>
      <c r="M26" s="90" t="n">
        <f aca="false">M11+M18+M24+M25</f>
        <v>0</v>
      </c>
      <c r="N26" s="90" t="n">
        <f aca="false">N11+N18+N24+N25</f>
        <v>-202</v>
      </c>
      <c r="O26" s="90" t="n">
        <f aca="false">O11+O18+O24+O25</f>
        <v>-350</v>
      </c>
      <c r="P26" s="90" t="n">
        <f aca="false">P11+P18+P24+P25</f>
        <v>2122.5</v>
      </c>
      <c r="Q26" s="90" t="n">
        <f aca="false">Q11+Q18+Q24+Q25</f>
        <v>-230</v>
      </c>
      <c r="R26" s="90" t="n">
        <f aca="false">R11+R18+R24+R25</f>
        <v>4065</v>
      </c>
      <c r="S26" s="90" t="n">
        <f aca="false">S11+S18+S24+S25</f>
        <v>-80</v>
      </c>
      <c r="T26" s="90" t="n">
        <f aca="false">T11+T18+T24+T25</f>
        <v>1822.5</v>
      </c>
      <c r="U26" s="90" t="n">
        <f aca="false">U11+U18+U24+U25</f>
        <v>-150</v>
      </c>
      <c r="V26" s="90" t="n">
        <f aca="false">V11+V18+V24+V25</f>
        <v>2182.5</v>
      </c>
      <c r="W26" s="90" t="n">
        <f aca="false">W11+W18+W24+W25</f>
        <v>-105</v>
      </c>
      <c r="X26" s="90" t="n">
        <f aca="false">X11+X18+X24+X25</f>
        <v>4305</v>
      </c>
      <c r="Y26" s="90" t="n">
        <f aca="false">Y11+Y18+Y24+Y25</f>
        <v>-230</v>
      </c>
      <c r="Z26" s="90" t="n">
        <f aca="false">Z11+Z18+Z24+Z25</f>
        <v>2182.5</v>
      </c>
      <c r="AA26" s="90" t="n">
        <f aca="false">AA11+AA18+AA24+AA25</f>
        <v>0</v>
      </c>
      <c r="AB26" s="90" t="n">
        <f aca="false">AB11+AB18+AB24+AB25</f>
        <v>0</v>
      </c>
      <c r="AC26" s="90" t="n">
        <f aca="false">SUM(C26:AB26)</f>
        <v>11333</v>
      </c>
    </row>
    <row r="27" customFormat="false" ht="15" hidden="false" customHeight="false" outlineLevel="0" collapsed="false">
      <c r="B27" s="9" t="s">
        <v>1106</v>
      </c>
      <c r="C27" s="90" t="n">
        <f aca="false">C26</f>
        <v>-160</v>
      </c>
      <c r="D27" s="90" t="n">
        <f aca="false">C27+D26</f>
        <v>-160</v>
      </c>
      <c r="E27" s="90" t="n">
        <f aca="false">D27+E26</f>
        <v>-160</v>
      </c>
      <c r="F27" s="90" t="n">
        <f aca="false">E27+F26</f>
        <v>-1060</v>
      </c>
      <c r="G27" s="90" t="n">
        <f aca="false">F27+G26</f>
        <v>-1120</v>
      </c>
      <c r="H27" s="90" t="n">
        <f aca="false">G27+H26</f>
        <v>-3120</v>
      </c>
      <c r="I27" s="90" t="n">
        <f aca="false">H27+I26</f>
        <v>-3940</v>
      </c>
      <c r="J27" s="90" t="n">
        <f aca="false">I27+J26</f>
        <v>-3940</v>
      </c>
      <c r="K27" s="90" t="n">
        <f aca="false">J27+K26</f>
        <v>-4000</v>
      </c>
      <c r="L27" s="90" t="n">
        <f aca="false">K27+L26</f>
        <v>-4000</v>
      </c>
      <c r="M27" s="90" t="n">
        <f aca="false">L27+M26</f>
        <v>-4000</v>
      </c>
      <c r="N27" s="90" t="n">
        <f aca="false">M27+N26</f>
        <v>-4202</v>
      </c>
      <c r="O27" s="90" t="n">
        <f aca="false">N27+O26</f>
        <v>-4552</v>
      </c>
      <c r="P27" s="90" t="n">
        <f aca="false">O27+P26</f>
        <v>-2429.5</v>
      </c>
      <c r="Q27" s="90" t="n">
        <f aca="false">P27+Q26</f>
        <v>-2659.5</v>
      </c>
      <c r="R27" s="90" t="n">
        <f aca="false">Q27+R26</f>
        <v>1405.5</v>
      </c>
      <c r="S27" s="90" t="n">
        <f aca="false">R27+S26</f>
        <v>1325.5</v>
      </c>
      <c r="T27" s="90" t="n">
        <f aca="false">S27+T26</f>
        <v>3148</v>
      </c>
      <c r="U27" s="90" t="n">
        <f aca="false">T27+U26</f>
        <v>2998</v>
      </c>
      <c r="V27" s="90" t="n">
        <f aca="false">U27+V26</f>
        <v>5180.5</v>
      </c>
      <c r="W27" s="90" t="n">
        <f aca="false">V27+W26</f>
        <v>5075.5</v>
      </c>
      <c r="X27" s="90" t="n">
        <f aca="false">W27+X26</f>
        <v>9380.5</v>
      </c>
      <c r="Y27" s="90" t="n">
        <f aca="false">X27+Y26</f>
        <v>9150.5</v>
      </c>
      <c r="Z27" s="90" t="n">
        <f aca="false">Y27+Z26</f>
        <v>11333</v>
      </c>
      <c r="AA27" s="90" t="n">
        <f aca="false">Z27+AA26</f>
        <v>11333</v>
      </c>
      <c r="AB27" s="90" t="n">
        <f aca="false">AA27+AB26</f>
        <v>11333</v>
      </c>
      <c r="AC27" s="90" t="n">
        <f aca="false">AB27</f>
        <v>11333</v>
      </c>
    </row>
    <row r="28" customFormat="false" ht="15" hidden="false" customHeight="false" outlineLevel="0" collapsed="false">
      <c r="B28" s="9" t="s">
        <v>1107</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1108</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-3940</v>
      </c>
      <c r="J29" s="90" t="n">
        <f aca="false">J27+SUM($C28:J28)</f>
        <v>-3940</v>
      </c>
      <c r="K29" s="90" t="n">
        <f aca="false">K27+SUM($C28:K28)</f>
        <v>-4000</v>
      </c>
      <c r="L29" s="90" t="n">
        <f aca="false">L27+SUM($C28:L28)</f>
        <v>-4000</v>
      </c>
      <c r="M29" s="90" t="n">
        <f aca="false">M27+SUM($C28:M28)</f>
        <v>-4000</v>
      </c>
      <c r="N29" s="90" t="n">
        <f aca="false">N27+SUM($C28:N28)</f>
        <v>-4202</v>
      </c>
      <c r="O29" s="90" t="n">
        <f aca="false">O27+SUM($C28:O28)</f>
        <v>-4552</v>
      </c>
      <c r="P29" s="90" t="n">
        <f aca="false">P27+SUM($C28:P28)</f>
        <v>-2429.5</v>
      </c>
      <c r="Q29" s="90" t="n">
        <f aca="false">Q27+SUM($C28:Q28)</f>
        <v>-2659.5</v>
      </c>
      <c r="R29" s="90" t="n">
        <f aca="false">R27+SUM($C28:R28)</f>
        <v>1405.5</v>
      </c>
      <c r="S29" s="90" t="n">
        <f aca="false">S27+SUM($C28:S28)</f>
        <v>1325.5</v>
      </c>
      <c r="T29" s="90" t="n">
        <f aca="false">T27+SUM($C28:T28)</f>
        <v>3148</v>
      </c>
      <c r="U29" s="90" t="n">
        <f aca="false">U27+SUM($C28:U28)</f>
        <v>2998</v>
      </c>
      <c r="V29" s="90" t="n">
        <f aca="false">V27+SUM($C28:V28)</f>
        <v>5180.5</v>
      </c>
      <c r="W29" s="90" t="n">
        <f aca="false">W27+SUM($C28:W28)</f>
        <v>5075.5</v>
      </c>
      <c r="X29" s="90" t="n">
        <f aca="false">X27+SUM($C28:X28)</f>
        <v>9380.5</v>
      </c>
      <c r="Y29" s="90" t="n">
        <f aca="false">Y27+SUM($C28:Y28)</f>
        <v>9150.5</v>
      </c>
      <c r="Z29" s="90" t="n">
        <f aca="false">Z27+SUM($C28:Z28)</f>
        <v>11333</v>
      </c>
      <c r="AA29" s="90" t="n">
        <f aca="false">AA27+SUM($C28:AA28)</f>
        <v>11333</v>
      </c>
      <c r="AB29" s="90" t="n">
        <f aca="false">AB27+SUM($C28:AB28)</f>
        <v>11333</v>
      </c>
      <c r="AC29" s="90" t="n">
        <f aca="false">AB29</f>
        <v>11333</v>
      </c>
    </row>
    <row r="30" customFormat="false" ht="15" hidden="false" customHeight="false" outlineLevel="0" collapsed="false">
      <c r="B30" s="9" t="s">
        <v>1109</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1110</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1111</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1112</v>
      </c>
      <c r="C34" s="16" t="n">
        <f aca="false">MIN(C27:AB27)</f>
        <v>-4552</v>
      </c>
    </row>
    <row r="35" customFormat="false" ht="15" hidden="false" customHeight="false" outlineLevel="0" collapsed="false">
      <c r="B35" s="30" t="s">
        <v>1113</v>
      </c>
      <c r="C35" s="22" t="n">
        <f aca="false">INDEX(C4:AB4,1,MATCH(C34,C27:AB27,0))</f>
        <v>13</v>
      </c>
    </row>
    <row r="36" customFormat="false" ht="15" hidden="false" customHeight="false" outlineLevel="0" collapsed="false">
      <c r="B36" s="30" t="s">
        <v>1114</v>
      </c>
      <c r="C36" s="91" t="n">
        <f aca="false">INDEX(C5:AB5,1,MATCH(C34,C27:AB27,0))</f>
        <v>46405</v>
      </c>
    </row>
    <row r="37" customFormat="false" ht="15" hidden="false" customHeight="false" outlineLevel="0" collapsed="false">
      <c r="B37" s="30" t="s">
        <v>1115</v>
      </c>
      <c r="C37" s="37" t="n">
        <f aca="false">-MIN(0,C34)</f>
        <v>4552</v>
      </c>
    </row>
    <row r="38" customFormat="false" ht="15" hidden="false" customHeight="false" outlineLevel="0" collapsed="false">
      <c r="B38" s="30" t="s">
        <v>1116</v>
      </c>
      <c r="C38" s="37" t="n">
        <f aca="false">Inputs!$C$117</f>
        <v>1000</v>
      </c>
    </row>
    <row r="39" customFormat="false" ht="15" hidden="false" customHeight="false" outlineLevel="0" collapsed="false">
      <c r="B39" s="30" t="s">
        <v>1117</v>
      </c>
      <c r="C39" s="16" t="n">
        <f aca="false">C37+C38</f>
        <v>5552</v>
      </c>
    </row>
    <row r="40" customFormat="false" ht="15" hidden="false" customHeight="false" outlineLevel="0" collapsed="false">
      <c r="B40" s="30" t="s">
        <v>1118</v>
      </c>
      <c r="C40" s="37" t="n">
        <f aca="false">Capital!D14</f>
        <v>6510</v>
      </c>
    </row>
    <row r="41" customFormat="false" ht="15" hidden="false" customHeight="false" outlineLevel="0" collapsed="false">
      <c r="B41" s="30" t="s">
        <v>1119</v>
      </c>
      <c r="C41" s="16" t="n">
        <f aca="false">C40-C39</f>
        <v>958</v>
      </c>
    </row>
    <row r="42" customFormat="false" ht="15" hidden="false" customHeight="false" outlineLevel="0" collapsed="false">
      <c r="B42" s="30" t="s">
        <v>1120</v>
      </c>
      <c r="C42" s="37" t="str">
        <f aca="false">IF(Inputs!$C$115="","not set",Inputs!$C$115)</f>
        <v>not set</v>
      </c>
    </row>
    <row r="43" customFormat="false" ht="15" hidden="false" customHeight="false" outlineLevel="0" collapsed="false">
      <c r="B43" s="30" t="s">
        <v>1121</v>
      </c>
      <c r="C43" s="37" t="n">
        <f aca="false">MIN(C29:AB29)</f>
        <v>-4552</v>
      </c>
    </row>
    <row r="44" customFormat="false" ht="15" hidden="false" customHeight="false" outlineLevel="0" collapsed="false">
      <c r="B44" s="30" t="s">
        <v>1122</v>
      </c>
      <c r="C44" s="37" t="n">
        <f aca="false">AB27</f>
        <v>11333</v>
      </c>
    </row>
    <row r="45" customFormat="false" ht="15" hidden="false" customHeight="false" outlineLevel="0" collapsed="false">
      <c r="B45" s="30" t="s">
        <v>1123</v>
      </c>
      <c r="C45" s="22" t="str">
        <f aca="false">IF(COUNT(C30:AB30)=0,"",SUMPRODUCT(MAX((C30:AB30&lt;&gt;"")*C4:AB4)))</f>
        <v/>
      </c>
    </row>
    <row r="46" customFormat="false" ht="15" hidden="false" customHeight="false" outlineLevel="0" collapsed="false">
      <c r="B46" s="30" t="s">
        <v>1124</v>
      </c>
      <c r="C46" s="37" t="str">
        <f aca="false">IF(C45="","",INDEX(C31:AB31,1,C45))</f>
        <v/>
      </c>
    </row>
    <row r="48" customFormat="false" ht="15" hidden="false" customHeight="false" outlineLevel="0" collapsed="false">
      <c r="A48" s="3" t="s">
        <v>1125</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1126</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1085</v>
      </c>
    </row>
    <row r="50" customFormat="false" ht="15" hidden="false" customHeight="false" outlineLevel="0" collapsed="false">
      <c r="B50" s="9" t="s">
        <v>1127</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1128</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1090</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2250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6750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6750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18000</v>
      </c>
    </row>
    <row r="53" customFormat="false" ht="15" hidden="false" customHeight="false" outlineLevel="0" collapsed="false">
      <c r="B53" s="30" t="s">
        <v>1091</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1080</v>
      </c>
      <c r="F53" s="19" t="n">
        <f aca="false">SUMIFS(Actuals_Campaigns!$X$5:$X$204,Actuals_Campaigns!$Y$5:$Y$204,"&gt;="&amp;F$50,Actuals_Campaigns!$Y$5:$Y$204,"&lt;="&amp;F$51,Actuals_Campaigns!$AL$5:$AL$204,"Y")+SUMIFS(Actuals_Campaigns!$AM$5:$AM$204,Actuals_Campaigns!$S$5:$S$204,"&gt;="&amp;F$50,Actuals_Campaigns!$S$5:$S$204,"&lt;="&amp;F$51,Actuals_Campaigns!$AL$5:$AL$204,"Y")</f>
        <v>0</v>
      </c>
      <c r="G53" s="19" t="n">
        <f aca="false">SUMIFS(Actuals_Campaigns!$X$5:$X$204,Actuals_Campaigns!$Y$5:$Y$204,"&gt;="&amp;G$50,Actuals_Campaigns!$Y$5:$Y$204,"&lt;="&amp;G$51,Actuals_Campaigns!$AL$5:$AL$204,"Y")+SUMIFS(Actuals_Campaigns!$AM$5:$AM$204,Actuals_Campaigns!$S$5:$S$204,"&gt;="&amp;G$50,Actuals_Campaigns!$S$5:$S$204,"&lt;="&amp;G$51,Actuals_Campaigns!$AL$5:$AL$204,"Y")</f>
        <v>0</v>
      </c>
      <c r="H53" s="19" t="n">
        <f aca="false">SUMIFS(Actuals_Campaigns!$X$5:$X$204,Actuals_Campaigns!$Y$5:$Y$204,"&gt;="&amp;H$50,Actuals_Campaigns!$Y$5:$Y$204,"&lt;="&amp;H$51,Actuals_Campaigns!$AL$5:$AL$204,"Y")+SUMIFS(Actuals_Campaigns!$AM$5:$AM$204,Actuals_Campaigns!$S$5:$S$204,"&gt;="&amp;H$50,Actuals_Campaigns!$S$5:$S$204,"&lt;="&amp;H$51,Actuals_Campaigns!$AL$5:$AL$204,"Y")</f>
        <v>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1080</v>
      </c>
    </row>
    <row r="54" customFormat="false" ht="15" hidden="false" customHeight="false" outlineLevel="0" collapsed="false">
      <c r="B54" s="9" t="s">
        <v>1092</v>
      </c>
      <c r="C54" s="37" t="n">
        <f aca="false">C52+C53</f>
        <v>0</v>
      </c>
      <c r="D54" s="37" t="n">
        <f aca="false">D52+D53</f>
        <v>0</v>
      </c>
      <c r="E54" s="37" t="n">
        <f aca="false">E52+E53</f>
        <v>1080</v>
      </c>
      <c r="F54" s="37" t="n">
        <f aca="false">F52+F53</f>
        <v>2250</v>
      </c>
      <c r="G54" s="37" t="n">
        <f aca="false">G52+G53</f>
        <v>6750</v>
      </c>
      <c r="H54" s="37" t="n">
        <f aca="false">H52+H53</f>
        <v>6750</v>
      </c>
      <c r="I54" s="37" t="n">
        <f aca="false">I52+I53</f>
        <v>2250</v>
      </c>
      <c r="J54" s="37" t="n">
        <f aca="false">SUM(C54:I54)</f>
        <v>19080</v>
      </c>
    </row>
    <row r="55" customFormat="false" ht="15" hidden="false" customHeight="false" outlineLevel="0" collapsed="false">
      <c r="B55" s="30" t="s">
        <v>1094</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-0</v>
      </c>
      <c r="G55" s="19" t="n">
        <f aca="false">-SUMIFS(Drop_PnL!$T$7:$T$18,Drop_PnL!$AX$7:$AX$18,"&gt;="&amp;G$50,Drop_PnL!$AX$7:$AX$18,"&lt;="&amp;G$51,Drop_PnL!$AZ$7:$AZ$18,"N")</f>
        <v>-160</v>
      </c>
      <c r="H55" s="19" t="n">
        <f aca="false">-SUMIFS(Drop_PnL!$T$7:$T$18,Drop_PnL!$AX$7:$AX$18,"&gt;="&amp;H$50,Drop_PnL!$AX$7:$AX$18,"&lt;="&amp;H$51,Drop_PnL!$AZ$7:$AZ$18,"N")</f>
        <v>-80</v>
      </c>
      <c r="I55" s="19" t="n">
        <f aca="false">-SUMIFS(Drop_PnL!$T$7:$T$18,Drop_PnL!$AX$7:$AX$18,"&gt;="&amp;I$50,Drop_PnL!$AX$7:$AX$18,"&lt;="&amp;I$51,Drop_PnL!$AZ$7:$AZ$18,"N")</f>
        <v>-80</v>
      </c>
      <c r="J55" s="37" t="n">
        <f aca="false">SUM(C55:I55)</f>
        <v>-320</v>
      </c>
    </row>
    <row r="56" customFormat="false" ht="15" hidden="false" customHeight="false" outlineLevel="0" collapsed="false">
      <c r="B56" s="30" t="s">
        <v>1095</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-0</v>
      </c>
      <c r="G56" s="19" t="n">
        <f aca="false">-SUMIFS(Drop_PnL!$U$7:$U$18,Drop_PnL!$AY$7:$AY$18,"&gt;="&amp;G$50,Drop_PnL!$AY$7:$AY$18,"&lt;="&amp;G$51,Drop_PnL!$AZ$7:$AZ$18,"N")</f>
        <v>-600</v>
      </c>
      <c r="H56" s="19" t="n">
        <f aca="false">-SUMIFS(Drop_PnL!$U$7:$U$18,Drop_PnL!$AY$7:$AY$18,"&gt;="&amp;H$50,Drop_PnL!$AY$7:$AY$18,"&lt;="&amp;H$51,Drop_PnL!$AZ$7:$AZ$18,"N")</f>
        <v>-0</v>
      </c>
      <c r="I56" s="19" t="n">
        <f aca="false">-SUMIFS(Drop_PnL!$U$7:$U$18,Drop_PnL!$AY$7:$AY$18,"&gt;="&amp;I$50,Drop_PnL!$AY$7:$AY$18,"&lt;="&amp;I$51,Drop_PnL!$AZ$7:$AZ$18,"N")</f>
        <v>-0</v>
      </c>
      <c r="J56" s="37" t="n">
        <f aca="false">SUM(C56:I56)</f>
        <v>-600</v>
      </c>
    </row>
    <row r="57" customFormat="false" ht="15" hidden="false" customHeight="false" outlineLevel="0" collapsed="false">
      <c r="B57" s="30" t="s">
        <v>1096</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1097</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-0</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-67.5</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-202.5</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-202.5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-540</v>
      </c>
    </row>
    <row r="59" customFormat="false" ht="15" hidden="false" customHeight="false" outlineLevel="0" collapsed="false">
      <c r="B59" s="30" t="s">
        <v>1098</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-152</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-0</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-152</v>
      </c>
    </row>
    <row r="60" customFormat="false" ht="15" hidden="false" customHeight="false" outlineLevel="0" collapsed="false">
      <c r="B60" s="9" t="s">
        <v>1099</v>
      </c>
      <c r="C60" s="37" t="n">
        <f aca="false">C55+C56+C57+C58+C59</f>
        <v>-0</v>
      </c>
      <c r="D60" s="37" t="n">
        <f aca="false">D55+D56+D57+D58+D59</f>
        <v>-0</v>
      </c>
      <c r="E60" s="37" t="n">
        <f aca="false">E55+E56+E57+E58+E59</f>
        <v>-0</v>
      </c>
      <c r="F60" s="37" t="n">
        <f aca="false">F55+F56+F57+F58+F59</f>
        <v>-219.5</v>
      </c>
      <c r="G60" s="37" t="n">
        <f aca="false">G55+G56+G57+G58+G59</f>
        <v>-962.5</v>
      </c>
      <c r="H60" s="37" t="n">
        <f aca="false">H55+H56+H57+H58+H59</f>
        <v>-282.5</v>
      </c>
      <c r="I60" s="37" t="n">
        <f aca="false">I55+I56+I57+I58+I59</f>
        <v>-147.5</v>
      </c>
      <c r="J60" s="37" t="n">
        <f aca="false">SUM(C60:I60)</f>
        <v>-1612</v>
      </c>
    </row>
    <row r="61" customFormat="false" ht="15" hidden="false" customHeight="false" outlineLevel="0" collapsed="false">
      <c r="B61" s="30" t="s">
        <v>1101</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571</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1102</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1103</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1104</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1105</v>
      </c>
      <c r="C67" s="37" t="n">
        <f aca="false">C54+C60+C65+C66</f>
        <v>-160</v>
      </c>
      <c r="D67" s="37" t="n">
        <f aca="false">D54+D60+D65+D66</f>
        <v>-960</v>
      </c>
      <c r="E67" s="37" t="n">
        <f aca="false">E54+E60+E65+E66</f>
        <v>-2880</v>
      </c>
      <c r="F67" s="37" t="n">
        <f aca="false">F54+F60+F65+F66</f>
        <v>1570.5</v>
      </c>
      <c r="G67" s="37" t="n">
        <f aca="false">G54+G60+G65+G66</f>
        <v>5577.5</v>
      </c>
      <c r="H67" s="37" t="n">
        <f aca="false">H54+H60+H65+H66</f>
        <v>6232.5</v>
      </c>
      <c r="I67" s="37" t="n">
        <f aca="false">I54+I60+I65+I66</f>
        <v>1952.5</v>
      </c>
      <c r="J67" s="37" t="n">
        <f aca="false">SUM(C67:I67)</f>
        <v>11333</v>
      </c>
    </row>
    <row r="69" customFormat="false" ht="15" hidden="false" customHeight="false" outlineLevel="0" collapsed="false">
      <c r="B69" s="9" t="s">
        <v>1129</v>
      </c>
      <c r="C69" s="94" t="n">
        <f aca="false">J67-AC26</f>
        <v>0</v>
      </c>
    </row>
    <row r="70" customFormat="false" ht="15" hidden="false" customHeight="false" outlineLevel="0" collapsed="false">
      <c r="B70" s="30" t="s">
        <v>1130</v>
      </c>
      <c r="C70" s="19" t="n">
        <f aca="false">SUMIFS(Drop_PnL!$AM$7:$AM$18,Drop_PnL!$B$7:$B$18,"&gt;="&amp;Inputs!$C$10,Drop_PnL!$B$7:$B$18,"&lt;="&amp;Cash_Flow!$AB$6)</f>
        <v>700</v>
      </c>
    </row>
    <row r="71" customFormat="false" ht="15" hidden="false" customHeight="false" outlineLevel="0" collapsed="false">
      <c r="B71" s="30" t="s">
        <v>1131</v>
      </c>
      <c r="C71" s="19" t="n">
        <f aca="false">-AC24</f>
        <v>2010</v>
      </c>
    </row>
    <row r="72" customFormat="false" ht="15" hidden="false" customHeight="false" outlineLevel="0" collapsed="false">
      <c r="B72" s="30" t="s">
        <v>1132</v>
      </c>
      <c r="C72" s="37" t="n">
        <f aca="false">C71-C70</f>
        <v>1310</v>
      </c>
    </row>
    <row r="73" customFormat="false" ht="15" hidden="false" customHeight="false" outlineLevel="0" collapsed="false">
      <c r="B73" s="30" t="s">
        <v>1133</v>
      </c>
      <c r="C73" s="21" t="n">
        <f aca="false">COUNTIFS(Cash_Ledger!$A$5:$A$53,"insurance",Cash_Ledger!$B$5:$B$53,"&gt;0",Cash_Ledger!$C$5:$C$53,"&gt;="&amp;Inputs!$C$10,Cash_Ledger!$C$5:$C$53,"&lt;="&amp;Cash_Flow!$AB$6)</f>
        <v>5</v>
      </c>
    </row>
    <row r="74" customFormat="false" ht="15" hidden="false" customHeight="false" outlineLevel="0" collapsed="false">
      <c r="B74" s="30" t="s">
        <v>1134</v>
      </c>
      <c r="C74" s="19" t="n">
        <f aca="false">C73*Inputs!$C$81</f>
        <v>500</v>
      </c>
    </row>
    <row r="75" customFormat="false" ht="15" hidden="false" customHeight="false" outlineLevel="0" collapsed="false">
      <c r="B75" s="30" t="s">
        <v>1135</v>
      </c>
      <c r="C75" s="19" t="n">
        <f aca="false">MAX(0,-AC21-C74)</f>
        <v>700</v>
      </c>
    </row>
    <row r="76" customFormat="false" ht="15" hidden="false" customHeight="false" outlineLevel="0" collapsed="false">
      <c r="B76" s="30" t="s">
        <v>1136</v>
      </c>
      <c r="C76" s="19" t="n">
        <f aca="false">C71-C75</f>
        <v>1310</v>
      </c>
    </row>
    <row r="77" customFormat="false" ht="15" hidden="false" customHeight="false" outlineLevel="0" collapsed="false">
      <c r="B77" s="30" t="s">
        <v>1137</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1138</v>
      </c>
    </row>
    <row r="2" customFormat="false" ht="15" hidden="false" customHeight="false" outlineLevel="0" collapsed="false">
      <c r="A2" s="2" t="s">
        <v>1139</v>
      </c>
    </row>
    <row r="3" customFormat="false" ht="30" hidden="false" customHeight="true" outlineLevel="0" collapsed="false">
      <c r="A3" s="8" t="s">
        <v>1140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row>
    <row r="7" customFormat="false" ht="15" hidden="false" customHeight="false" outlineLevel="0" collapsed="false">
      <c r="A7" s="32" t="s">
        <v>1141</v>
      </c>
      <c r="B7" s="82"/>
      <c r="C7" s="32" t="s">
        <v>674</v>
      </c>
      <c r="D7" s="32" t="s">
        <v>984</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1142</v>
      </c>
      <c r="B8" s="86"/>
      <c r="C8" s="30" t="str">
        <f aca="false">Inputs!$C$113</f>
        <v>courier</v>
      </c>
      <c r="D8" s="30" t="s">
        <v>984</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1143</v>
      </c>
      <c r="B9" s="86"/>
      <c r="C9" s="30" t="str">
        <f aca="false">Inputs!$C$113</f>
        <v>courier</v>
      </c>
      <c r="D9" s="30" t="s">
        <v>984</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1144</v>
      </c>
      <c r="B10" s="86"/>
      <c r="C10" s="30" t="str">
        <f aca="false">Inputs!$C$113</f>
        <v>courier</v>
      </c>
      <c r="D10" s="30" t="s">
        <v>984</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1145</v>
      </c>
      <c r="B11" s="86"/>
      <c r="C11" s="30" t="str">
        <f aca="false">Inputs!$C$113</f>
        <v>courier</v>
      </c>
      <c r="D11" s="30" t="s">
        <v>984</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1146</v>
      </c>
      <c r="B12" s="86"/>
      <c r="C12" s="30" t="str">
        <f aca="false">Inputs!$C$113</f>
        <v>courier</v>
      </c>
      <c r="D12" s="30" t="s">
        <v>984</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1147</v>
      </c>
      <c r="B13" s="86"/>
      <c r="C13" s="30" t="str">
        <f aca="false">Inputs!$C$113</f>
        <v>courier</v>
      </c>
      <c r="D13" s="30" t="s">
        <v>984</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1148</v>
      </c>
      <c r="B14" s="86"/>
      <c r="C14" s="30" t="str">
        <f aca="false">Inputs!$C$113</f>
        <v>courier</v>
      </c>
      <c r="D14" s="30" t="s">
        <v>984</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1149</v>
      </c>
      <c r="B15" s="86"/>
      <c r="C15" s="30" t="s">
        <v>676</v>
      </c>
      <c r="D15" s="30" t="s">
        <v>984</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1150</v>
      </c>
      <c r="B16" s="86"/>
      <c r="C16" s="30" t="s">
        <v>676</v>
      </c>
      <c r="D16" s="30" t="s">
        <v>984</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1151</v>
      </c>
      <c r="B17" s="86"/>
      <c r="C17" s="30" t="str">
        <f aca="false">Inputs!$C$113</f>
        <v>courier</v>
      </c>
      <c r="D17" s="30" t="s">
        <v>984</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1152</v>
      </c>
      <c r="B18" s="86"/>
      <c r="C18" s="30" t="str">
        <f aca="false">Inputs!$C$113</f>
        <v>courier</v>
      </c>
      <c r="D18" s="30" t="s">
        <v>984</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1153</v>
      </c>
      <c r="B21" s="4"/>
      <c r="C21" s="4"/>
      <c r="D21" s="4"/>
      <c r="E21" s="4"/>
      <c r="F21" s="4"/>
    </row>
    <row r="22" customFormat="false" ht="30" hidden="false" customHeight="true" outlineLevel="0" collapsed="false">
      <c r="B22" s="12" t="s">
        <v>1012</v>
      </c>
      <c r="C22" s="12" t="s">
        <v>688</v>
      </c>
      <c r="D22" s="12" t="s">
        <v>1154</v>
      </c>
      <c r="E22" s="12" t="s">
        <v>343</v>
      </c>
      <c r="F22" s="12" t="s">
        <v>1155</v>
      </c>
    </row>
    <row r="23" customFormat="false" ht="15" hidden="false" customHeight="false" outlineLevel="0" collapsed="false">
      <c r="B23" s="30" t="s">
        <v>1156</v>
      </c>
      <c r="C23" s="21" t="n">
        <f aca="false">Inputs!$C$112</f>
        <v>2</v>
      </c>
      <c r="D23" s="21" t="n">
        <f aca="false">Scenarios!$H$15</f>
        <v>2</v>
      </c>
      <c r="E23" s="30" t="s">
        <v>761</v>
      </c>
      <c r="F23" s="32" t="s">
        <v>1157</v>
      </c>
    </row>
    <row r="24" customFormat="false" ht="15" hidden="false" customHeight="false" outlineLevel="0" collapsed="false">
      <c r="B24" s="30" t="s">
        <v>331</v>
      </c>
      <c r="C24" s="19" t="n">
        <f aca="false">C23*S7</f>
        <v>9000</v>
      </c>
      <c r="D24" s="19" t="n">
        <f aca="false">D23*S9</f>
        <v>9000</v>
      </c>
      <c r="E24" s="30" t="s">
        <v>576</v>
      </c>
      <c r="F24" s="32" t="s">
        <v>1158</v>
      </c>
    </row>
    <row r="25" customFormat="false" ht="15" hidden="false" customHeight="false" outlineLevel="0" collapsed="false">
      <c r="B25" s="30" t="s">
        <v>1159</v>
      </c>
      <c r="C25" s="19" t="n">
        <f aca="false">C23*AA7</f>
        <v>1340</v>
      </c>
      <c r="D25" s="19" t="n">
        <f aca="false">D23*AA9</f>
        <v>1340</v>
      </c>
      <c r="E25" s="30" t="s">
        <v>576</v>
      </c>
      <c r="F25" s="32" t="s">
        <v>1158</v>
      </c>
    </row>
    <row r="26" customFormat="false" ht="15" hidden="false" customHeight="false" outlineLevel="0" collapsed="false">
      <c r="B26" s="30" t="s">
        <v>333</v>
      </c>
      <c r="C26" s="36" t="n">
        <f aca="false">C23*AI7</f>
        <v>104</v>
      </c>
      <c r="D26" s="36" t="n">
        <f aca="false">D23*AI9</f>
        <v>94.4</v>
      </c>
      <c r="E26" s="30" t="s">
        <v>1160</v>
      </c>
      <c r="F26" s="32" t="s">
        <v>1158</v>
      </c>
    </row>
    <row r="27" customFormat="false" ht="15" hidden="false" customHeight="false" outlineLevel="0" collapsed="false">
      <c r="B27" s="30" t="s">
        <v>1161</v>
      </c>
      <c r="C27" s="37" t="n">
        <f aca="false">C24-C25</f>
        <v>7660</v>
      </c>
      <c r="D27" s="37" t="n">
        <f aca="false">D24-D25</f>
        <v>7660</v>
      </c>
      <c r="E27" s="30" t="s">
        <v>576</v>
      </c>
      <c r="F27" s="32" t="s">
        <v>1162</v>
      </c>
    </row>
    <row r="28" customFormat="false" ht="15" hidden="false" customHeight="false" outlineLevel="0" collapsed="false">
      <c r="B28" s="30" t="s">
        <v>1033</v>
      </c>
      <c r="C28" s="29" t="n">
        <f aca="false">IF(C26&gt;0,C27/C26,"n/a")</f>
        <v>73.6538461538462</v>
      </c>
      <c r="D28" s="29" t="n">
        <f aca="false">IF(D26&gt;0,D27/D26,"n/a")</f>
        <v>81.1440677966102</v>
      </c>
      <c r="E28" s="30" t="s">
        <v>749</v>
      </c>
      <c r="F28" s="32"/>
    </row>
    <row r="29" customFormat="false" ht="15" hidden="false" customHeight="false" outlineLevel="0" collapsed="false">
      <c r="B29" s="30" t="s">
        <v>1163</v>
      </c>
      <c r="C29" s="19" t="n">
        <f aca="false">C27*Inputs!$C$20</f>
        <v>91920</v>
      </c>
      <c r="D29" s="19" t="n">
        <f aca="false">D27*Inputs!$C$20</f>
        <v>91920</v>
      </c>
      <c r="E29" s="30" t="s">
        <v>1164</v>
      </c>
      <c r="F29" s="32" t="s">
        <v>1165</v>
      </c>
    </row>
    <row r="30" customFormat="false" ht="15" hidden="false" customHeight="false" outlineLevel="0" collapsed="false">
      <c r="B30" s="30" t="s">
        <v>1166</v>
      </c>
      <c r="C30" s="36" t="n">
        <f aca="false">C26/Inputs!$C$21</f>
        <v>24</v>
      </c>
      <c r="D30" s="36" t="n">
        <f aca="false">D26/Inputs!$C$21</f>
        <v>21.7846153846154</v>
      </c>
      <c r="E30" s="30" t="s">
        <v>657</v>
      </c>
      <c r="F30" s="32" t="s">
        <v>1167</v>
      </c>
    </row>
    <row r="31" customFormat="false" ht="15" hidden="false" customHeight="false" outlineLevel="0" collapsed="false">
      <c r="B31" s="30" t="s">
        <v>1168</v>
      </c>
      <c r="C31" s="19" t="n">
        <f aca="false">(Inputs!$C$79+Inputs!$C$81+Inputs!$C$84+Inputs!$C$76*IF(Inputs!$C$75="unit",1,0))</f>
        <v>310</v>
      </c>
      <c r="D31" s="19" t="n">
        <f aca="false">(Inputs!$C$79+Inputs!$C$81+Inputs!$C$84+Inputs!$C$76*IF(Inputs!$C$75="unit",1,0))</f>
        <v>310</v>
      </c>
      <c r="E31" s="30" t="s">
        <v>576</v>
      </c>
      <c r="F31" s="32" t="s">
        <v>1169</v>
      </c>
    </row>
    <row r="32" customFormat="false" ht="15" hidden="false" customHeight="false" outlineLevel="0" collapsed="false">
      <c r="B32" s="30" t="s">
        <v>1170</v>
      </c>
      <c r="C32" s="19" t="n">
        <f aca="false">C23*AM7</f>
        <v>310</v>
      </c>
      <c r="D32" s="19" t="n">
        <f aca="false">D23*AM9</f>
        <v>310</v>
      </c>
      <c r="E32" s="30" t="s">
        <v>576</v>
      </c>
      <c r="F32" s="32" t="s">
        <v>1171</v>
      </c>
    </row>
    <row r="33" customFormat="false" ht="15" hidden="false" customHeight="false" outlineLevel="0" collapsed="false">
      <c r="B33" s="30" t="s">
        <v>1172</v>
      </c>
      <c r="C33" s="19" t="n">
        <f aca="false">C31-C32</f>
        <v>0</v>
      </c>
      <c r="D33" s="19" t="n">
        <f aca="false">D31-D32</f>
        <v>0</v>
      </c>
      <c r="E33" s="30" t="s">
        <v>576</v>
      </c>
      <c r="F33" s="32" t="s">
        <v>1173</v>
      </c>
    </row>
    <row r="34" customFormat="false" ht="15" hidden="false" customHeight="false" outlineLevel="0" collapsed="false">
      <c r="B34" s="30" t="s">
        <v>1174</v>
      </c>
      <c r="C34" s="19" t="n">
        <v>0</v>
      </c>
      <c r="D34" s="19" t="n">
        <f aca="false">Scenarios!$H$17*N(Scenarios!$H$18)</f>
        <v>0</v>
      </c>
      <c r="E34" s="30" t="s">
        <v>576</v>
      </c>
      <c r="F34" s="32" t="s">
        <v>1175</v>
      </c>
    </row>
    <row r="35" customFormat="false" ht="15" hidden="false" customHeight="false" outlineLevel="0" collapsed="false">
      <c r="B35" s="30" t="s">
        <v>1176</v>
      </c>
      <c r="C35" s="19" t="n">
        <v>0</v>
      </c>
      <c r="D35" s="19" t="n">
        <f aca="false">Scenarios!$H$17*N(Scenarios!$H$19)</f>
        <v>0</v>
      </c>
      <c r="E35" s="30" t="s">
        <v>576</v>
      </c>
      <c r="F35" s="32" t="s">
        <v>1177</v>
      </c>
    </row>
    <row r="36" customFormat="false" ht="15" hidden="false" customHeight="false" outlineLevel="0" collapsed="false">
      <c r="B36" s="30" t="s">
        <v>1178</v>
      </c>
      <c r="C36" s="30" t="s">
        <v>1179</v>
      </c>
      <c r="D36" s="30" t="str">
        <f aca="false">IF(N(Scenarios!$H$17)=0,"no office-paid tier",IF(Scenarios!$R$19=1,"no: cost to serve needs quote","yes"))</f>
        <v>no office-paid tier</v>
      </c>
      <c r="E36" s="30"/>
      <c r="F36" s="32" t="s">
        <v>1180</v>
      </c>
    </row>
    <row r="37" customFormat="false" ht="15" hidden="false" customHeight="false" outlineLevel="0" collapsed="false">
      <c r="B37" s="30" t="s">
        <v>1181</v>
      </c>
      <c r="C37" s="36" t="n">
        <v>0</v>
      </c>
      <c r="D37" s="36" t="n">
        <f aca="false">IF(D23&gt;Scenarios!$H$21,D23*AE9,0)</f>
        <v>0</v>
      </c>
      <c r="E37" s="30" t="s">
        <v>1160</v>
      </c>
      <c r="F37" s="32" t="s">
        <v>1182</v>
      </c>
    </row>
    <row r="38" customFormat="false" ht="15" hidden="false" customHeight="false" outlineLevel="0" collapsed="false">
      <c r="B38" s="30" t="s">
        <v>1183</v>
      </c>
      <c r="C38" s="19" t="n">
        <v>0</v>
      </c>
      <c r="D38" s="19" t="n">
        <f aca="false">D37*N(Scenarios!$H$20)</f>
        <v>0</v>
      </c>
      <c r="E38" s="30" t="s">
        <v>576</v>
      </c>
      <c r="F38" s="32"/>
    </row>
    <row r="39" customFormat="false" ht="15" hidden="false" customHeight="false" outlineLevel="0" collapsed="false">
      <c r="B39" s="30" t="s">
        <v>1184</v>
      </c>
      <c r="C39" s="37" t="n">
        <f aca="false">C27-C33+C34-C35-C38</f>
        <v>7660</v>
      </c>
      <c r="D39" s="37" t="n">
        <f aca="false">D27-D33+IF(D36="yes",D34-D35,0)-D38</f>
        <v>7660</v>
      </c>
      <c r="E39" s="30" t="s">
        <v>576</v>
      </c>
      <c r="F39" s="32" t="s">
        <v>1185</v>
      </c>
    </row>
    <row r="40" customFormat="false" ht="15" hidden="false" customHeight="false" outlineLevel="0" collapsed="false">
      <c r="B40" s="30" t="s">
        <v>1186</v>
      </c>
      <c r="C40" s="36" t="n">
        <f aca="false">C26-C37</f>
        <v>104</v>
      </c>
      <c r="D40" s="36" t="n">
        <f aca="false">D26-D37</f>
        <v>94.4</v>
      </c>
      <c r="E40" s="30" t="s">
        <v>1160</v>
      </c>
      <c r="F40" s="32"/>
    </row>
    <row r="41" customFormat="false" ht="15" hidden="false" customHeight="false" outlineLevel="0" collapsed="false">
      <c r="B41" s="30" t="s">
        <v>1187</v>
      </c>
      <c r="C41" s="29" t="n">
        <f aca="false">IF(C40&gt;0,C39/C40,"n/a")</f>
        <v>73.6538461538462</v>
      </c>
      <c r="D41" s="29" t="n">
        <f aca="false">IF(D40&gt;0,D39/D40,"n/a")</f>
        <v>81.1440677966102</v>
      </c>
      <c r="E41" s="30" t="s">
        <v>749</v>
      </c>
      <c r="F41" s="32"/>
    </row>
    <row r="42" customFormat="false" ht="15" hidden="false" customHeight="false" outlineLevel="0" collapsed="false">
      <c r="B42" s="30" t="s">
        <v>1188</v>
      </c>
      <c r="C42" s="95" t="n">
        <f aca="false">C23*(G7-H7)</f>
        <v>6</v>
      </c>
      <c r="D42" s="95" t="n">
        <f aca="false">D23*(G9-H9)</f>
        <v>3.6</v>
      </c>
      <c r="E42" s="30" t="s">
        <v>1189</v>
      </c>
      <c r="F42" s="32" t="s">
        <v>1190</v>
      </c>
    </row>
    <row r="43" customFormat="false" ht="15" hidden="false" customHeight="false" outlineLevel="0" collapsed="false">
      <c r="B43" s="30" t="s">
        <v>1191</v>
      </c>
      <c r="C43" s="21" t="n">
        <f aca="false">C42/Inputs!$C$90</f>
        <v>30</v>
      </c>
      <c r="D43" s="21" t="n">
        <f aca="false">D42/Inputs!$C$90</f>
        <v>18</v>
      </c>
      <c r="E43" s="30" t="s">
        <v>709</v>
      </c>
      <c r="F43" s="32" t="s">
        <v>1192</v>
      </c>
    </row>
    <row r="44" customFormat="false" ht="15" hidden="false" customHeight="false" outlineLevel="0" collapsed="false">
      <c r="B44" s="30" t="s">
        <v>1193</v>
      </c>
      <c r="C44" s="21" t="n">
        <f aca="false">C23*E7</f>
        <v>20</v>
      </c>
      <c r="D44" s="21" t="n">
        <f aca="false">D23*E9</f>
        <v>20</v>
      </c>
      <c r="E44" s="30" t="s">
        <v>463</v>
      </c>
      <c r="F44" s="32" t="s">
        <v>1194</v>
      </c>
    </row>
    <row r="46" customFormat="false" ht="15" hidden="false" customHeight="false" outlineLevel="0" collapsed="false">
      <c r="A46" s="3" t="s">
        <v>1195</v>
      </c>
      <c r="B46" s="4"/>
      <c r="C46" s="4"/>
      <c r="D46" s="4"/>
      <c r="E46" s="4"/>
      <c r="F46" s="4"/>
    </row>
    <row r="47" customFormat="false" ht="30" hidden="false" customHeight="true" outlineLevel="0" collapsed="false">
      <c r="B47" s="12" t="s">
        <v>231</v>
      </c>
      <c r="C47" s="12" t="s">
        <v>232</v>
      </c>
      <c r="D47" s="12"/>
      <c r="E47" s="12" t="s">
        <v>343</v>
      </c>
      <c r="F47" s="12" t="s">
        <v>1155</v>
      </c>
    </row>
    <row r="48" customFormat="false" ht="28.35" hidden="false" customHeight="false" outlineLevel="0" collapsed="false">
      <c r="B48" s="7" t="s">
        <v>1196</v>
      </c>
      <c r="C48" s="37" t="n">
        <f aca="false">Inputs!$Q$172</f>
        <v>4125</v>
      </c>
      <c r="E48" s="30" t="s">
        <v>695</v>
      </c>
      <c r="F48" s="32" t="s">
        <v>1197</v>
      </c>
    </row>
    <row r="49" customFormat="false" ht="15" hidden="false" customHeight="false" outlineLevel="0" collapsed="false">
      <c r="B49" s="7" t="s">
        <v>1198</v>
      </c>
      <c r="C49" s="37" t="n">
        <f aca="false">AJ10</f>
        <v>920</v>
      </c>
      <c r="E49" s="30" t="s">
        <v>715</v>
      </c>
      <c r="F49" s="32" t="s">
        <v>1199</v>
      </c>
    </row>
    <row r="50" customFormat="false" ht="28.35" hidden="false" customHeight="false" outlineLevel="0" collapsed="false">
      <c r="B50" s="7" t="s">
        <v>1200</v>
      </c>
      <c r="C50" s="37" t="n">
        <f aca="false">IF(G8&gt;0,AJ8/G8,0)</f>
        <v>1276.66666666667</v>
      </c>
      <c r="E50" s="30" t="s">
        <v>715</v>
      </c>
      <c r="F50" s="32" t="s">
        <v>1201</v>
      </c>
    </row>
    <row r="51" customFormat="false" ht="15" hidden="false" customHeight="false" outlineLevel="0" collapsed="false">
      <c r="B51" s="7" t="s">
        <v>1202</v>
      </c>
      <c r="C51" s="22" t="n">
        <f aca="false">IF(C49&gt;0,ROUNDUP(C48/C49,0),"never")</f>
        <v>5</v>
      </c>
      <c r="E51" s="30" t="s">
        <v>767</v>
      </c>
      <c r="F51" s="32" t="s">
        <v>1203</v>
      </c>
    </row>
    <row r="52" customFormat="false" ht="28.35" hidden="false" customHeight="false" outlineLevel="0" collapsed="false">
      <c r="B52" s="7" t="s">
        <v>1204</v>
      </c>
      <c r="C52" s="22" t="n">
        <f aca="false">IF(C50&gt;0,ROUNDUP(C48/C50,0),"never")</f>
        <v>4</v>
      </c>
      <c r="E52" s="30" t="s">
        <v>1205</v>
      </c>
      <c r="F52" s="32" t="s">
        <v>1206</v>
      </c>
    </row>
    <row r="53" customFormat="false" ht="28.35" hidden="false" customHeight="false" outlineLevel="0" collapsed="false">
      <c r="B53" s="7" t="s">
        <v>1207</v>
      </c>
      <c r="C53" s="22" t="n">
        <f aca="false">IF(AJ8&gt;0,ROUNDUP(C48/AJ8,0),"never")</f>
        <v>2</v>
      </c>
      <c r="E53" s="30" t="s">
        <v>761</v>
      </c>
      <c r="F53" s="32" t="s">
        <v>1208</v>
      </c>
    </row>
    <row r="54" customFormat="false" ht="28.35" hidden="false" customHeight="false" outlineLevel="0" collapsed="false">
      <c r="B54" s="7" t="s">
        <v>1209</v>
      </c>
      <c r="C54" s="37" t="n">
        <f aca="false">AJ10+AM10</f>
        <v>1075</v>
      </c>
      <c r="E54" s="30" t="s">
        <v>715</v>
      </c>
      <c r="F54" s="32" t="s">
        <v>1210</v>
      </c>
    </row>
    <row r="55" customFormat="false" ht="15" hidden="false" customHeight="false" outlineLevel="0" collapsed="false">
      <c r="B55" s="7" t="s">
        <v>1168</v>
      </c>
      <c r="C55" s="37" t="n">
        <f aca="false">Steady_State!$D$31</f>
        <v>310</v>
      </c>
      <c r="E55" s="30" t="s">
        <v>576</v>
      </c>
      <c r="F55" s="32" t="s">
        <v>1153</v>
      </c>
    </row>
    <row r="56" customFormat="false" ht="15" hidden="false" customHeight="false" outlineLevel="0" collapsed="false">
      <c r="B56" s="7" t="s">
        <v>1211</v>
      </c>
      <c r="C56" s="22" t="n">
        <f aca="false">IF(C54&gt;0,ROUNDUP(C55/C54,0),"never")</f>
        <v>1</v>
      </c>
      <c r="E56" s="30" t="s">
        <v>1212</v>
      </c>
      <c r="F56" s="32" t="s">
        <v>1213</v>
      </c>
    </row>
    <row r="57" customFormat="false" ht="28.35" hidden="false" customHeight="false" outlineLevel="0" collapsed="false">
      <c r="B57" s="7" t="s">
        <v>1214</v>
      </c>
      <c r="C57" s="96" t="n">
        <f aca="false">IF((AJ12-AJ11)-Inputs!$C$136*(AI12-AI11)&lt;=0,"never",MAX(0,1+(Inputs!$C$136*AI11-AJ11)/((AJ12-AJ11)-Inputs!$C$136*(AI12-AI11))))</f>
        <v>1.80582524271845</v>
      </c>
      <c r="E57" s="30" t="s">
        <v>1215</v>
      </c>
      <c r="F57" s="32" t="s">
        <v>1216</v>
      </c>
    </row>
    <row r="58" customFormat="false" ht="15" hidden="false" customHeight="false" outlineLevel="0" collapsed="false">
      <c r="B58" s="7" t="s">
        <v>1217</v>
      </c>
      <c r="C58" s="22" t="n">
        <f aca="false">IF(ISNUMBER(C57),ROUNDUP(C57,0),"never")</f>
        <v>2</v>
      </c>
      <c r="E58" s="30" t="s">
        <v>1215</v>
      </c>
      <c r="F58" s="32"/>
    </row>
    <row r="59" customFormat="false" ht="15" hidden="false" customHeight="false" outlineLevel="0" collapsed="false">
      <c r="B59" s="7" t="s">
        <v>1218</v>
      </c>
      <c r="C59" s="96" t="n">
        <f aca="false">IF((AJ14-AJ13)-Inputs!$C$136*(AI14-AI13)&lt;=0,"never",MAX(0,1+(Inputs!$C$136*AI13-AJ13)/((AJ14-AJ13)-Inputs!$C$136*(AI14-AI13))))</f>
        <v>1.67567567567568</v>
      </c>
      <c r="E59" s="30" t="s">
        <v>1215</v>
      </c>
      <c r="F59" s="32" t="s">
        <v>1219</v>
      </c>
    </row>
    <row r="60" customFormat="false" ht="15" hidden="false" customHeight="false" outlineLevel="0" collapsed="false">
      <c r="B60" s="7" t="s">
        <v>1220</v>
      </c>
      <c r="C60" s="96" t="n">
        <f aca="false">IF((AJ16-AJ15)-Inputs!$C$136*(AI16-AI15)&lt;=0,"never",MAX(0,1+(Inputs!$C$136*AI15-AJ15)/((AJ16-AJ15)-Inputs!$C$136*(AI16-AI15))))</f>
        <v>1.1747572815534</v>
      </c>
      <c r="E60" s="30" t="s">
        <v>1215</v>
      </c>
      <c r="F60" s="32" t="s">
        <v>1221</v>
      </c>
    </row>
    <row r="61" customFormat="false" ht="28.35" hidden="false" customHeight="false" outlineLevel="0" collapsed="false">
      <c r="B61" s="7" t="s">
        <v>1222</v>
      </c>
      <c r="C61" s="94" t="n">
        <f aca="false">IF(S18=S17,"never",J17+(Inputs!$C$136*AI17-AJ17)*(J18-J17)/(AJ18-AJ17))</f>
        <v>107.731958762887</v>
      </c>
      <c r="E61" s="30" t="s">
        <v>458</v>
      </c>
      <c r="F61" s="32" t="s">
        <v>1223</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1224</v>
      </c>
    </row>
    <row r="2" customFormat="false" ht="15" hidden="false" customHeight="false" outlineLevel="0" collapsed="false">
      <c r="A2" s="2" t="s">
        <v>1225</v>
      </c>
    </row>
    <row r="3" customFormat="false" ht="30" hidden="false" customHeight="true" outlineLevel="0" collapsed="false">
      <c r="A3" s="8" t="s">
        <v>1226</v>
      </c>
      <c r="B3" s="8"/>
      <c r="C3" s="8"/>
      <c r="D3" s="8"/>
      <c r="E3" s="8"/>
      <c r="F3" s="8"/>
      <c r="G3" s="8"/>
      <c r="H3" s="8"/>
      <c r="I3" s="8"/>
      <c r="J3" s="8"/>
      <c r="K3" s="8"/>
      <c r="L3" s="8"/>
    </row>
    <row r="5" customFormat="false" ht="15" hidden="false" customHeight="false" outlineLevel="0" collapsed="false">
      <c r="B5" s="84" t="s">
        <v>1227</v>
      </c>
      <c r="E5" s="84" t="s">
        <v>1228</v>
      </c>
    </row>
    <row r="6" customFormat="false" ht="15" hidden="false" customHeight="false" outlineLevel="0" collapsed="false">
      <c r="B6" s="30" t="s">
        <v>1229</v>
      </c>
      <c r="C6" s="21" t="n">
        <f aca="false">Inputs!$C$114</f>
        <v>10</v>
      </c>
      <c r="E6" s="30" t="s">
        <v>1230</v>
      </c>
      <c r="G6" s="39" t="n">
        <v>3</v>
      </c>
    </row>
    <row r="7" customFormat="false" ht="15" hidden="false" customHeight="false" outlineLevel="0" collapsed="false">
      <c r="B7" s="30" t="s">
        <v>1231</v>
      </c>
      <c r="C7" s="97" t="n">
        <f aca="false">1-Inputs!$C$54*Inputs!$C$55</f>
        <v>0.97</v>
      </c>
      <c r="E7" s="30" t="s">
        <v>1232</v>
      </c>
      <c r="G7" s="28" t="n">
        <f aca="false">IF(($C$12+$G$6*((1-Scenarios!$H$12)*$C$13+Scenarios!$H$12*$C$14))&gt;0,($G$6*(Inputs!$C$39*$C$9+$C$8)*$C$7-$C$10-$C$11*MAX($G$6-1,0))/($C$12+$G$6*((1-Scenarios!$H$12)*$C$13+Scenarios!$H$12*$C$14)),"n/a")</f>
        <v>81.1440677966102</v>
      </c>
    </row>
    <row r="8" customFormat="false" ht="15" hidden="false" customHeight="false" outlineLevel="0" collapsed="false">
      <c r="B8" s="30" t="s">
        <v>1233</v>
      </c>
      <c r="C8" s="19" t="n">
        <f aca="false">Inputs!$C$45*MAX(C6-Inputs!$C$40,0)</f>
        <v>0</v>
      </c>
      <c r="E8" s="30" t="s">
        <v>1234</v>
      </c>
      <c r="G8" s="28" t="n">
        <f aca="false">AK77</f>
        <v>81.1440677966102</v>
      </c>
    </row>
    <row r="9" customFormat="false" ht="15" hidden="false" customHeight="false" outlineLevel="0" collapsed="false">
      <c r="B9" s="30" t="s">
        <v>1235</v>
      </c>
      <c r="C9" s="21" t="n">
        <f aca="false">MIN(C6,Inputs!$C$40)</f>
        <v>10</v>
      </c>
      <c r="E9" s="30" t="s">
        <v>1236</v>
      </c>
      <c r="G9" s="98" t="n">
        <f aca="false">G7-G8</f>
        <v>0</v>
      </c>
    </row>
    <row r="10" customFormat="false" ht="15" hidden="false" customHeight="false" outlineLevel="0" collapsed="false">
      <c r="B10" s="30" t="s">
        <v>1237</v>
      </c>
      <c r="C10" s="19" t="n">
        <f aca="false">C6*Inputs!$C$68+INDEX(Inputs!$C$105:$C$107,MATCH(Inputs!$C$113,Inputs!$B$105:$B$107,0))+INDEX(Inputs!$D$105:$D$107,MATCH(Inputs!$C$113,Inputs!$B$105:$B$107,0))*C6+INDEX(Inputs!$E$105:$E$107,MATCH(Inputs!$C$113,Inputs!$B$105:$B$107,0))*C6+(IF(Inputs!$C$75="unit",1,0)*Inputs!$C$76+Inputs!$C$79+Inputs!$C$81)/Inputs!$C$85</f>
        <v>535</v>
      </c>
      <c r="E10" s="30" t="s">
        <v>1238</v>
      </c>
      <c r="G10" s="19" t="n">
        <f aca="false">Inputs!$C$136</f>
        <v>50</v>
      </c>
    </row>
    <row r="11" customFormat="false" ht="15" hidden="false" customHeight="false" outlineLevel="0" collapsed="false">
      <c r="B11" s="30" t="s">
        <v>1239</v>
      </c>
      <c r="C11" s="19" t="n">
        <f aca="false">C6*N(Inputs!$C$69)</f>
        <v>0</v>
      </c>
    </row>
    <row r="12" customFormat="false" ht="15" hidden="false" customHeight="false" outlineLevel="0" collapsed="false">
      <c r="B12" s="30" t="s">
        <v>1240</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1241</v>
      </c>
      <c r="C13" s="36" t="n">
        <f aca="false">Inputs!$C$93+Inputs!$C$97+Inputs!$C$98</f>
        <v>8.5</v>
      </c>
    </row>
    <row r="14" customFormat="false" ht="15" hidden="false" customHeight="false" outlineLevel="0" collapsed="false">
      <c r="B14" s="30" t="s">
        <v>1242</v>
      </c>
      <c r="C14" s="36" t="n">
        <f aca="false">Inputs!$C$94+Inputs!$C$97+Inputs!$C$98</f>
        <v>4.5</v>
      </c>
    </row>
    <row r="16" customFormat="false" ht="15" hidden="false" customHeight="false" outlineLevel="0" collapsed="false">
      <c r="B16" s="84" t="s">
        <v>1243</v>
      </c>
    </row>
    <row r="17" customFormat="false" ht="15" hidden="false" customHeight="false" outlineLevel="0" collapsed="false">
      <c r="B17" s="93" t="s">
        <v>1244</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1245</v>
      </c>
    </row>
    <row r="29" customFormat="false" ht="15" hidden="false" customHeight="false" outlineLevel="0" collapsed="false">
      <c r="B29" s="93" t="s">
        <v>1246</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1247</v>
      </c>
    </row>
    <row r="44" customFormat="false" ht="45" hidden="false" customHeight="true" outlineLevel="0" collapsed="false">
      <c r="B44" s="12" t="s">
        <v>1248</v>
      </c>
      <c r="C44" s="12" t="s">
        <v>1249</v>
      </c>
      <c r="D44" s="12" t="s">
        <v>1250</v>
      </c>
      <c r="E44" s="12" t="s">
        <v>1251</v>
      </c>
      <c r="F44" s="12" t="s">
        <v>1252</v>
      </c>
      <c r="G44" s="12" t="s">
        <v>1033</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1253</v>
      </c>
    </row>
    <row r="59" customFormat="false" ht="45" hidden="false" customHeight="true" outlineLevel="0" collapsed="false">
      <c r="B59" s="12" t="s">
        <v>1254</v>
      </c>
      <c r="C59" s="12" t="s">
        <v>1255</v>
      </c>
      <c r="D59" s="12" t="s">
        <v>1252</v>
      </c>
      <c r="E59" s="12" t="s">
        <v>1251</v>
      </c>
      <c r="F59" s="12" t="s">
        <v>1033</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1256</v>
      </c>
    </row>
    <row r="71" customFormat="false" ht="15" hidden="false" customHeight="false" outlineLevel="0" collapsed="false">
      <c r="B71" s="30" t="s">
        <v>1257</v>
      </c>
      <c r="C71" s="22" t="n">
        <f aca="false">SUMPRODUCT((C19:C25-C18:C24&lt;=0)*1)+SUMPRODUCT((D19:D25-D18:D24&lt;=0)*1)+SUMPRODUCT((E19:E25-E18:E24&lt;=0)*1)+SUMPRODUCT((F19:F25-F18:F24&lt;=0)*1)+SUMPRODUCT((G19:G25-G18:G24&lt;=0)*1)</f>
        <v>0</v>
      </c>
    </row>
    <row r="72" customFormat="false" ht="15" hidden="false" customHeight="false" outlineLevel="0" collapsed="false">
      <c r="B72" s="30" t="s">
        <v>1258</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1259</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1260</v>
      </c>
    </row>
    <row r="76" customFormat="false" ht="57.75" hidden="false" customHeight="true" outlineLevel="0" collapsed="false">
      <c r="A76" s="12" t="s">
        <v>1038</v>
      </c>
      <c r="B76" s="12" t="s">
        <v>326</v>
      </c>
      <c r="C76" s="12" t="s">
        <v>328</v>
      </c>
      <c r="D76" s="12" t="s">
        <v>944</v>
      </c>
      <c r="E76" s="12" t="s">
        <v>330</v>
      </c>
      <c r="F76" s="12" t="s">
        <v>945</v>
      </c>
      <c r="G76" s="12" t="s">
        <v>329</v>
      </c>
      <c r="H76" s="12" t="s">
        <v>946</v>
      </c>
      <c r="I76" s="12" t="s">
        <v>947</v>
      </c>
      <c r="J76" s="12" t="s">
        <v>457</v>
      </c>
      <c r="K76" s="12" t="s">
        <v>469</v>
      </c>
      <c r="L76" s="12" t="s">
        <v>1039</v>
      </c>
      <c r="M76" s="12" t="s">
        <v>1040</v>
      </c>
      <c r="N76" s="12" t="s">
        <v>1041</v>
      </c>
      <c r="O76" s="12" t="s">
        <v>1042</v>
      </c>
      <c r="P76" s="12" t="s">
        <v>1043</v>
      </c>
      <c r="Q76" s="12" t="s">
        <v>1044</v>
      </c>
      <c r="R76" s="12" t="s">
        <v>1045</v>
      </c>
      <c r="S76" s="12" t="s">
        <v>331</v>
      </c>
      <c r="T76" s="12" t="s">
        <v>1015</v>
      </c>
      <c r="U76" s="12" t="s">
        <v>1017</v>
      </c>
      <c r="V76" s="12" t="s">
        <v>193</v>
      </c>
      <c r="W76" s="12" t="s">
        <v>1018</v>
      </c>
      <c r="X76" s="12" t="s">
        <v>1019</v>
      </c>
      <c r="Y76" s="12" t="s">
        <v>1021</v>
      </c>
      <c r="Z76" s="12" t="s">
        <v>1023</v>
      </c>
      <c r="AA76" s="12" t="s">
        <v>332</v>
      </c>
      <c r="AB76" s="12" t="s">
        <v>1026</v>
      </c>
      <c r="AC76" s="12" t="s">
        <v>1027</v>
      </c>
      <c r="AD76" s="12" t="s">
        <v>1028</v>
      </c>
      <c r="AE76" s="12" t="s">
        <v>1029</v>
      </c>
      <c r="AF76" s="12" t="s">
        <v>1030</v>
      </c>
      <c r="AG76" s="12" t="s">
        <v>1031</v>
      </c>
      <c r="AH76" s="12" t="s">
        <v>1032</v>
      </c>
      <c r="AI76" s="12" t="s">
        <v>333</v>
      </c>
      <c r="AJ76" s="12" t="s">
        <v>334</v>
      </c>
      <c r="AK76" s="12" t="s">
        <v>1033</v>
      </c>
      <c r="AL76" s="12" t="s">
        <v>1046</v>
      </c>
      <c r="AM76" s="12" t="s">
        <v>1047</v>
      </c>
    </row>
    <row r="77" customFormat="false" ht="15" hidden="false" customHeight="false" outlineLevel="0" collapsed="false">
      <c r="A77" s="30" t="s">
        <v>1261</v>
      </c>
      <c r="B77" s="86"/>
      <c r="C77" s="30" t="str">
        <f aca="false">Inputs!$C$113</f>
        <v>courier</v>
      </c>
      <c r="D77" s="30" t="s">
        <v>984</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1262</v>
      </c>
    </row>
    <row r="2" customFormat="false" ht="15" hidden="false" customHeight="false" outlineLevel="0" collapsed="false">
      <c r="A2" s="2" t="s">
        <v>1263</v>
      </c>
    </row>
    <row r="3" customFormat="false" ht="30" hidden="false" customHeight="true" outlineLevel="0" collapsed="false">
      <c r="A3" s="8" t="s">
        <v>1264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1265</v>
      </c>
      <c r="AP6" s="12" t="s">
        <v>1266</v>
      </c>
      <c r="AQ6" s="12" t="s">
        <v>1267</v>
      </c>
      <c r="AR6" s="12" t="s">
        <v>1268</v>
      </c>
      <c r="AS6" s="12" t="s">
        <v>1269</v>
      </c>
      <c r="AT6" s="12" t="s">
        <v>1270</v>
      </c>
      <c r="AU6" s="12" t="s">
        <v>1271</v>
      </c>
      <c r="AV6" s="12" t="s">
        <v>1272</v>
      </c>
      <c r="AW6" s="12" t="s">
        <v>1273</v>
      </c>
      <c r="AX6" s="12" t="s">
        <v>276</v>
      </c>
      <c r="AY6" s="12" t="s">
        <v>1274</v>
      </c>
    </row>
    <row r="7" customFormat="false" ht="30" hidden="false" customHeight="true" outlineLevel="0" collapsed="false">
      <c r="A7" s="39" t="s">
        <v>1275</v>
      </c>
      <c r="B7" s="57"/>
      <c r="C7" s="39" t="s">
        <v>672</v>
      </c>
      <c r="D7" s="39" t="s">
        <v>980</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1276</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1277</v>
      </c>
    </row>
    <row r="8" customFormat="false" ht="30" hidden="false" customHeight="true" outlineLevel="0" collapsed="false">
      <c r="A8" s="39" t="s">
        <v>1278</v>
      </c>
      <c r="B8" s="57"/>
      <c r="C8" s="39" t="s">
        <v>674</v>
      </c>
      <c r="D8" s="39" t="s">
        <v>984</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1276</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1279</v>
      </c>
      <c r="B9" s="57"/>
      <c r="C9" s="39" t="s">
        <v>674</v>
      </c>
      <c r="D9" s="39" t="s">
        <v>984</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1276</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1280</v>
      </c>
    </row>
    <row r="10" customFormat="false" ht="30" hidden="false" customHeight="true" outlineLevel="0" collapsed="false">
      <c r="A10" s="39" t="s">
        <v>1281</v>
      </c>
      <c r="B10" s="57"/>
      <c r="C10" s="39" t="s">
        <v>676</v>
      </c>
      <c r="D10" s="39" t="s">
        <v>984</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1276</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1282</v>
      </c>
    </row>
    <row r="11" customFormat="false" ht="30" hidden="false" customHeight="true" outlineLevel="0" collapsed="false">
      <c r="A11" s="39" t="s">
        <v>1283</v>
      </c>
      <c r="B11" s="57"/>
      <c r="C11" s="39" t="s">
        <v>674</v>
      </c>
      <c r="D11" s="39" t="s">
        <v>984</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1276</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1284</v>
      </c>
      <c r="B12" s="57"/>
      <c r="C12" s="39" t="s">
        <v>674</v>
      </c>
      <c r="D12" s="39" t="s">
        <v>984</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1276</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1285</v>
      </c>
    </row>
    <row r="13" customFormat="false" ht="30" hidden="false" customHeight="true" outlineLevel="0" collapsed="false">
      <c r="A13" s="39" t="s">
        <v>1286</v>
      </c>
      <c r="B13" s="57"/>
      <c r="C13" s="39" t="s">
        <v>674</v>
      </c>
      <c r="D13" s="39" t="s">
        <v>984</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1287</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1288</v>
      </c>
    </row>
    <row r="14" customFormat="false" ht="30" hidden="false" customHeight="true" outlineLevel="0" collapsed="false">
      <c r="A14" s="39" t="s">
        <v>1289</v>
      </c>
      <c r="B14" s="57"/>
      <c r="C14" s="39" t="s">
        <v>674</v>
      </c>
      <c r="D14" s="39" t="s">
        <v>984</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1290</v>
      </c>
      <c r="AX14" s="9" t="str">
        <f aca="false">IF(AND(IF(AO14="",TRUE(),ABS(S14-AO14)&lt;=AT14),IF(AP14="",TRUE(),ABS(AA14-AP14)&lt;=AT14),IF(AR14="",TRUE(),ABS(AJ14-AR14)&lt;=AT14),IF(AQ14="",TRUE(),ABS(AI14-AQ14)&lt;=AU14),IF(AS14="",TRUE(),IF(ISNUMBER(AK14),ABS(AK14-AS14)&lt;=AV14,FALSE()))),"behaves","check")</f>
        <v>behaves</v>
      </c>
      <c r="AY14" s="7" t="s">
        <v>1291</v>
      </c>
    </row>
    <row r="15" customFormat="false" ht="30" hidden="false" customHeight="true" outlineLevel="0" collapsed="false">
      <c r="A15" s="39" t="s">
        <v>1292</v>
      </c>
      <c r="B15" s="57"/>
      <c r="C15" s="39" t="s">
        <v>674</v>
      </c>
      <c r="D15" s="39" t="s">
        <v>984</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1290</v>
      </c>
      <c r="AX15" s="9" t="str">
        <f aca="false">IF(AND(IF(AO15="",TRUE(),ABS(S15-AO15)&lt;=AT15),IF(AP15="",TRUE(),ABS(AA15-AP15)&lt;=AT15),IF(AR15="",TRUE(),ABS(AJ15-AR15)&lt;=AT15),IF(AQ15="",TRUE(),ABS(AI15-AQ15)&lt;=AU15),IF(AS15="",TRUE(),IF(ISNUMBER(AK15),ABS(AK15-AS15)&lt;=AV15,FALSE()))),"behaves","check")</f>
        <v>behaves</v>
      </c>
      <c r="AY15" s="7" t="s">
        <v>1293</v>
      </c>
    </row>
    <row r="16" customFormat="false" ht="30" hidden="false" customHeight="true" outlineLevel="0" collapsed="false">
      <c r="A16" s="39" t="s">
        <v>1294</v>
      </c>
      <c r="B16" s="57"/>
      <c r="C16" s="39" t="s">
        <v>674</v>
      </c>
      <c r="D16" s="39" t="s">
        <v>984</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1290</v>
      </c>
      <c r="AX16" s="9" t="str">
        <f aca="false">IF(AND(IF(AO16="",TRUE(),ABS(S16-AO16)&lt;=AT16),IF(AP16="",TRUE(),ABS(AA16-AP16)&lt;=AT16),IF(AR16="",TRUE(),ABS(AJ16-AR16)&lt;=AT16),IF(AQ16="",TRUE(),ABS(AI16-AQ16)&lt;=AU16),IF(AS16="",TRUE(),IF(ISNUMBER(AK16),ABS(AK16-AS16)&lt;=AV16,FALSE()))),"behaves","check")</f>
        <v>behaves</v>
      </c>
      <c r="AY16" s="7" t="s">
        <v>1295</v>
      </c>
    </row>
    <row r="17" customFormat="false" ht="30" hidden="false" customHeight="true" outlineLevel="0" collapsed="false">
      <c r="A17" s="39" t="s">
        <v>1296</v>
      </c>
      <c r="B17" s="57"/>
      <c r="C17" s="39" t="s">
        <v>674</v>
      </c>
      <c r="D17" s="39" t="s">
        <v>980</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1290</v>
      </c>
      <c r="AX17" s="9" t="str">
        <f aca="false">IF(AND(IF(AO17="",TRUE(),ABS(S17-AO17)&lt;=AT17),IF(AP17="",TRUE(),ABS(AA17-AP17)&lt;=AT17),IF(AR17="",TRUE(),ABS(AJ17-AR17)&lt;=AT17),IF(AQ17="",TRUE(),ABS(AI17-AQ17)&lt;=AU17),IF(AS17="",TRUE(),IF(ISNUMBER(AK17),ABS(AK17-AS17)&lt;=AV17,FALSE()))),"behaves","check")</f>
        <v>behaves</v>
      </c>
      <c r="AY17" s="7" t="s">
        <v>1297</v>
      </c>
    </row>
    <row r="20" customFormat="false" ht="15" hidden="false" customHeight="false" outlineLevel="0" collapsed="false">
      <c r="A20" s="3" t="s">
        <v>1298</v>
      </c>
      <c r="B20" s="4"/>
      <c r="C20" s="4"/>
      <c r="D20" s="4"/>
      <c r="E20" s="4"/>
      <c r="F20" s="4"/>
      <c r="G20" s="4"/>
      <c r="H20" s="4"/>
      <c r="I20" s="4"/>
      <c r="J20" s="4"/>
      <c r="K20" s="4"/>
      <c r="L20" s="4"/>
    </row>
    <row r="21" customFormat="false" ht="39.75" hidden="false" customHeight="true" outlineLevel="0" collapsed="false">
      <c r="A21" s="12" t="s">
        <v>1299</v>
      </c>
      <c r="B21" s="12" t="s">
        <v>1300</v>
      </c>
      <c r="C21" s="12" t="s">
        <v>390</v>
      </c>
      <c r="D21" s="12" t="s">
        <v>1301</v>
      </c>
      <c r="E21" s="12" t="s">
        <v>390</v>
      </c>
      <c r="F21" s="12" t="s">
        <v>1302</v>
      </c>
      <c r="G21" s="12" t="s">
        <v>390</v>
      </c>
      <c r="H21" s="12" t="s">
        <v>1303</v>
      </c>
      <c r="I21" s="12" t="s">
        <v>390</v>
      </c>
      <c r="J21" s="12" t="s">
        <v>1304</v>
      </c>
      <c r="K21" s="9" t="s">
        <v>1305</v>
      </c>
      <c r="L21" s="101" t="n">
        <v>0.01</v>
      </c>
    </row>
    <row r="22" customFormat="false" ht="15" hidden="false" customHeight="false" outlineLevel="0" collapsed="false">
      <c r="A22" s="30" t="s">
        <v>1306</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1307</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1308</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1309</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1310</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1311</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1312</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1313</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1314</v>
      </c>
      <c r="B32" s="4"/>
      <c r="C32" s="4"/>
      <c r="D32" s="4"/>
      <c r="E32" s="4"/>
      <c r="F32" s="4"/>
      <c r="G32" s="4"/>
      <c r="H32" s="4"/>
      <c r="I32" s="4"/>
      <c r="J32" s="4"/>
      <c r="K32" s="4"/>
      <c r="L32" s="4"/>
    </row>
    <row r="33" customFormat="false" ht="31.5" hidden="false" customHeight="true" outlineLevel="0" collapsed="false">
      <c r="A33" s="12" t="s">
        <v>1315</v>
      </c>
      <c r="B33" s="12" t="s">
        <v>1316</v>
      </c>
      <c r="C33" s="12" t="s">
        <v>1317</v>
      </c>
      <c r="D33" s="12" t="s">
        <v>1318</v>
      </c>
      <c r="E33" s="12" t="s">
        <v>1319</v>
      </c>
      <c r="F33" s="12" t="s">
        <v>1320</v>
      </c>
      <c r="G33" s="12" t="s">
        <v>276</v>
      </c>
      <c r="H33" s="12" t="s">
        <v>1321</v>
      </c>
    </row>
    <row r="34" customFormat="false" ht="30" hidden="false" customHeight="true" outlineLevel="0" collapsed="false">
      <c r="A34" s="30" t="n">
        <v>1</v>
      </c>
      <c r="B34" s="7" t="s">
        <v>1322</v>
      </c>
      <c r="C34" s="19" t="n">
        <v>280</v>
      </c>
      <c r="D34" s="19" t="n">
        <f aca="false">AA7</f>
        <v>276</v>
      </c>
      <c r="E34" s="19" t="n">
        <f aca="false">D34-C34</f>
        <v>-4</v>
      </c>
      <c r="F34" s="19" t="n">
        <v>5</v>
      </c>
      <c r="G34" s="9" t="str">
        <f aca="false">IF(ABS(E34)&lt;=F34,"within tolerance","differs: see reason")</f>
        <v>within tolerance</v>
      </c>
      <c r="H34" s="5" t="s">
        <v>1323</v>
      </c>
      <c r="I34" s="5"/>
      <c r="J34" s="5"/>
      <c r="K34" s="5"/>
      <c r="L34" s="5"/>
      <c r="M34" s="5"/>
      <c r="N34" s="5"/>
    </row>
    <row r="35" customFormat="false" ht="30" hidden="false" customHeight="true" outlineLevel="0" collapsed="false">
      <c r="A35" s="30" t="n">
        <v>2</v>
      </c>
      <c r="B35" s="7" t="s">
        <v>1324</v>
      </c>
      <c r="C35" s="19" t="n">
        <v>920</v>
      </c>
      <c r="D35" s="19" t="n">
        <f aca="false">AJ7</f>
        <v>924</v>
      </c>
      <c r="E35" s="19" t="n">
        <f aca="false">D35-C35</f>
        <v>4</v>
      </c>
      <c r="F35" s="19" t="n">
        <v>5</v>
      </c>
      <c r="G35" s="9" t="str">
        <f aca="false">IF(ABS(E35)&lt;=F35,"within tolerance","differs: see reason")</f>
        <v>within tolerance</v>
      </c>
      <c r="H35" s="5" t="s">
        <v>1325</v>
      </c>
      <c r="I35" s="5"/>
      <c r="J35" s="5"/>
      <c r="K35" s="5"/>
      <c r="L35" s="5"/>
      <c r="M35" s="5"/>
      <c r="N35" s="5"/>
    </row>
    <row r="36" customFormat="false" ht="30" hidden="false" customHeight="true" outlineLevel="0" collapsed="false">
      <c r="A36" s="30" t="n">
        <v>3</v>
      </c>
      <c r="B36" s="7" t="s">
        <v>1326</v>
      </c>
      <c r="C36" s="28" t="n">
        <v>16</v>
      </c>
      <c r="D36" s="28" t="n">
        <f aca="false">AK7</f>
        <v>16.2105263157895</v>
      </c>
      <c r="E36" s="28" t="n">
        <f aca="false">D36-C36</f>
        <v>0.210526315789473</v>
      </c>
      <c r="F36" s="28" t="n">
        <v>0.5</v>
      </c>
      <c r="G36" s="9" t="str">
        <f aca="false">IF(ABS(E36)&lt;=F36,"within tolerance","differs: see reason")</f>
        <v>within tolerance</v>
      </c>
      <c r="H36" s="5" t="s">
        <v>1327</v>
      </c>
      <c r="I36" s="5"/>
      <c r="J36" s="5"/>
      <c r="K36" s="5"/>
      <c r="L36" s="5"/>
      <c r="M36" s="5"/>
      <c r="N36" s="5"/>
    </row>
    <row r="37" customFormat="false" ht="30" hidden="false" customHeight="true" outlineLevel="0" collapsed="false">
      <c r="A37" s="30" t="n">
        <v>4</v>
      </c>
      <c r="B37" s="7" t="s">
        <v>1328</v>
      </c>
      <c r="C37" s="19" t="n">
        <v>670</v>
      </c>
      <c r="D37" s="19" t="n">
        <f aca="false">AA9</f>
        <v>670</v>
      </c>
      <c r="E37" s="19" t="n">
        <f aca="false">D37-C37</f>
        <v>0</v>
      </c>
      <c r="F37" s="19" t="n">
        <v>5</v>
      </c>
      <c r="G37" s="9" t="str">
        <f aca="false">IF(ABS(E37)&lt;=F37,"within tolerance","differs: see reason")</f>
        <v>within tolerance</v>
      </c>
      <c r="H37" s="5" t="s">
        <v>1329</v>
      </c>
      <c r="I37" s="5"/>
      <c r="J37" s="5"/>
      <c r="K37" s="5"/>
      <c r="L37" s="5"/>
      <c r="M37" s="5"/>
      <c r="N37" s="5"/>
    </row>
    <row r="38" customFormat="false" ht="30" hidden="false" customHeight="true" outlineLevel="0" collapsed="false">
      <c r="A38" s="30" t="n">
        <v>5</v>
      </c>
      <c r="B38" s="7" t="s">
        <v>1330</v>
      </c>
      <c r="C38" s="28" t="n">
        <v>74</v>
      </c>
      <c r="D38" s="28" t="n">
        <f aca="false">AK9</f>
        <v>73.6538461538462</v>
      </c>
      <c r="E38" s="28" t="n">
        <f aca="false">D38-C38</f>
        <v>-0.34615384615384</v>
      </c>
      <c r="F38" s="28" t="n">
        <v>0.5</v>
      </c>
      <c r="G38" s="9" t="str">
        <f aca="false">IF(ABS(E38)&lt;=F38,"within tolerance","differs: see reason")</f>
        <v>within tolerance</v>
      </c>
      <c r="H38" s="5" t="s">
        <v>1331</v>
      </c>
      <c r="I38" s="5"/>
      <c r="J38" s="5"/>
      <c r="K38" s="5"/>
      <c r="L38" s="5"/>
      <c r="M38" s="5"/>
      <c r="N38" s="5"/>
    </row>
    <row r="39" customFormat="false" ht="30" hidden="false" customHeight="true" outlineLevel="0" collapsed="false">
      <c r="A39" s="30" t="n">
        <v>6</v>
      </c>
      <c r="B39" s="7" t="s">
        <v>1332</v>
      </c>
      <c r="C39" s="28" t="n">
        <v>26</v>
      </c>
      <c r="D39" s="28" t="n">
        <f aca="false">AK8</f>
        <v>26.2857142857143</v>
      </c>
      <c r="E39" s="28" t="n">
        <f aca="false">D39-C39</f>
        <v>0.285714285714285</v>
      </c>
      <c r="F39" s="28" t="n">
        <v>0.5</v>
      </c>
      <c r="G39" s="9" t="str">
        <f aca="false">IF(ABS(E39)&lt;=F39,"within tolerance","differs: see reason")</f>
        <v>within tolerance</v>
      </c>
      <c r="H39" s="5" t="s">
        <v>1333</v>
      </c>
      <c r="I39" s="5"/>
      <c r="J39" s="5"/>
      <c r="K39" s="5"/>
      <c r="L39" s="5"/>
      <c r="M39" s="5"/>
      <c r="N39" s="5"/>
    </row>
    <row r="40" customFormat="false" ht="30" hidden="false" customHeight="true" outlineLevel="0" collapsed="false">
      <c r="A40" s="30" t="n">
        <v>7</v>
      </c>
      <c r="B40" s="7" t="s">
        <v>1334</v>
      </c>
      <c r="C40" s="19" t="n">
        <v>370</v>
      </c>
      <c r="D40" s="19" t="n">
        <f aca="false">AA10</f>
        <v>370</v>
      </c>
      <c r="E40" s="19" t="n">
        <f aca="false">D40-C40</f>
        <v>0</v>
      </c>
      <c r="F40" s="19" t="n">
        <v>5</v>
      </c>
      <c r="G40" s="9" t="str">
        <f aca="false">IF(ABS(E40)&lt;=F40,"within tolerance","differs: see reason")</f>
        <v>within tolerance</v>
      </c>
      <c r="H40" s="5" t="s">
        <v>1335</v>
      </c>
      <c r="I40" s="5"/>
      <c r="J40" s="5"/>
      <c r="K40" s="5"/>
      <c r="L40" s="5"/>
      <c r="M40" s="5"/>
      <c r="N40" s="5"/>
    </row>
    <row r="41" customFormat="false" ht="30" hidden="false" customHeight="true" outlineLevel="0" collapsed="false">
      <c r="A41" s="30" t="n">
        <v>8</v>
      </c>
      <c r="B41" s="7" t="s">
        <v>1336</v>
      </c>
      <c r="C41" s="28" t="n">
        <v>102</v>
      </c>
      <c r="D41" s="28" t="n">
        <f aca="false">AK11</f>
        <v>101.634615384615</v>
      </c>
      <c r="E41" s="28" t="n">
        <f aca="false">D41-C41</f>
        <v>-0.365384615384613</v>
      </c>
      <c r="F41" s="28" t="n">
        <v>0.5</v>
      </c>
      <c r="G41" s="9" t="str">
        <f aca="false">IF(ABS(E41)&lt;=F41,"within tolerance","differs: see reason")</f>
        <v>within tolerance</v>
      </c>
      <c r="H41" s="5" t="s">
        <v>1337</v>
      </c>
      <c r="I41" s="5"/>
      <c r="J41" s="5"/>
      <c r="K41" s="5"/>
      <c r="L41" s="5"/>
      <c r="M41" s="5"/>
      <c r="N41" s="5"/>
    </row>
    <row r="42" customFormat="false" ht="30" hidden="false" customHeight="true" outlineLevel="0" collapsed="false">
      <c r="A42" s="30" t="n">
        <v>9</v>
      </c>
      <c r="B42" s="7" t="s">
        <v>1338</v>
      </c>
      <c r="C42" s="28" t="n">
        <v>47</v>
      </c>
      <c r="D42" s="28" t="n">
        <f aca="false">AK12</f>
        <v>47.4038461538462</v>
      </c>
      <c r="E42" s="28" t="n">
        <f aca="false">D42-C42</f>
        <v>0.403846153846153</v>
      </c>
      <c r="F42" s="28" t="n">
        <v>0.5</v>
      </c>
      <c r="G42" s="9" t="str">
        <f aca="false">IF(ABS(E42)&lt;=F42,"within tolerance","differs: see reason")</f>
        <v>within tolerance</v>
      </c>
      <c r="H42" s="5" t="s">
        <v>1339</v>
      </c>
      <c r="I42" s="5"/>
      <c r="J42" s="5"/>
      <c r="K42" s="5"/>
      <c r="L42" s="5"/>
      <c r="M42" s="5"/>
      <c r="N42" s="5"/>
    </row>
    <row r="43" customFormat="false" ht="30" hidden="false" customHeight="true" outlineLevel="0" collapsed="false">
      <c r="A43" s="30" t="n">
        <v>10</v>
      </c>
      <c r="B43" s="7" t="s">
        <v>1340</v>
      </c>
      <c r="C43" s="28" t="n">
        <v>47</v>
      </c>
      <c r="D43" s="28" t="n">
        <f aca="false">AK13</f>
        <v>45.6730769230769</v>
      </c>
      <c r="E43" s="28" t="n">
        <f aca="false">D43-C43</f>
        <v>-1.32692307692308</v>
      </c>
      <c r="F43" s="28" t="n">
        <v>0.5</v>
      </c>
      <c r="G43" s="9" t="str">
        <f aca="false">IF(ABS(E43)&lt;=F43,"within tolerance","differs: see reason")</f>
        <v>differs: see reason</v>
      </c>
      <c r="H43" s="5" t="s">
        <v>1341</v>
      </c>
      <c r="I43" s="5"/>
      <c r="J43" s="5"/>
      <c r="K43" s="5"/>
      <c r="L43" s="5"/>
      <c r="M43" s="5"/>
      <c r="N43" s="5"/>
    </row>
    <row r="44" customFormat="false" ht="30" hidden="false" customHeight="true" outlineLevel="0" collapsed="false">
      <c r="A44" s="30" t="n">
        <v>11</v>
      </c>
      <c r="B44" s="7" t="s">
        <v>1342</v>
      </c>
      <c r="C44" s="19" t="n">
        <v>9000</v>
      </c>
      <c r="D44" s="19" t="n">
        <f aca="false">Steady_State!$C$24</f>
        <v>9000</v>
      </c>
      <c r="E44" s="19" t="n">
        <f aca="false">D44-C44</f>
        <v>0</v>
      </c>
      <c r="F44" s="19" t="n">
        <v>25</v>
      </c>
      <c r="G44" s="9" t="str">
        <f aca="false">IF(ABS(E44)&lt;=F44,"within tolerance","differs: see reason")</f>
        <v>within tolerance</v>
      </c>
      <c r="H44" s="5" t="s">
        <v>1343</v>
      </c>
      <c r="I44" s="5"/>
      <c r="J44" s="5"/>
      <c r="K44" s="5"/>
      <c r="L44" s="5"/>
      <c r="M44" s="5"/>
      <c r="N44" s="5"/>
    </row>
    <row r="45" customFormat="false" ht="30" hidden="false" customHeight="true" outlineLevel="0" collapsed="false">
      <c r="A45" s="30" t="n">
        <v>12</v>
      </c>
      <c r="B45" s="7" t="s">
        <v>1344</v>
      </c>
      <c r="C45" s="19" t="n">
        <v>1350</v>
      </c>
      <c r="D45" s="19" t="n">
        <f aca="false">Steady_State!$C$25</f>
        <v>1340</v>
      </c>
      <c r="E45" s="19" t="n">
        <f aca="false">D45-C45</f>
        <v>-10</v>
      </c>
      <c r="F45" s="19" t="n">
        <v>25</v>
      </c>
      <c r="G45" s="9" t="str">
        <f aca="false">IF(ABS(E45)&lt;=F45,"within tolerance","differs: see reason")</f>
        <v>within tolerance</v>
      </c>
      <c r="H45" s="5" t="s">
        <v>1345</v>
      </c>
      <c r="I45" s="5"/>
      <c r="J45" s="5"/>
      <c r="K45" s="5"/>
      <c r="L45" s="5"/>
      <c r="M45" s="5"/>
      <c r="N45" s="5"/>
    </row>
    <row r="46" customFormat="false" ht="30" hidden="false" customHeight="true" outlineLevel="0" collapsed="false">
      <c r="A46" s="30" t="n">
        <v>13</v>
      </c>
      <c r="B46" s="7" t="s">
        <v>1346</v>
      </c>
      <c r="C46" s="36" t="n">
        <v>104</v>
      </c>
      <c r="D46" s="36" t="n">
        <f aca="false">Steady_State!$C$26</f>
        <v>104</v>
      </c>
      <c r="E46" s="36" t="n">
        <f aca="false">D46-C46</f>
        <v>0</v>
      </c>
      <c r="F46" s="36" t="n">
        <v>0.01</v>
      </c>
      <c r="G46" s="9" t="str">
        <f aca="false">IF(ABS(E46)&lt;=F46,"within tolerance","differs: see reason")</f>
        <v>within tolerance</v>
      </c>
      <c r="H46" s="5" t="s">
        <v>1347</v>
      </c>
      <c r="I46" s="5"/>
      <c r="J46" s="5"/>
      <c r="K46" s="5"/>
      <c r="L46" s="5"/>
      <c r="M46" s="5"/>
      <c r="N46" s="5"/>
    </row>
    <row r="47" customFormat="false" ht="30" hidden="false" customHeight="true" outlineLevel="0" collapsed="false">
      <c r="A47" s="30" t="n">
        <v>14</v>
      </c>
      <c r="B47" s="7" t="s">
        <v>1348</v>
      </c>
      <c r="C47" s="19" t="n">
        <v>7650</v>
      </c>
      <c r="D47" s="19" t="n">
        <f aca="false">Steady_State!$C$27</f>
        <v>7660</v>
      </c>
      <c r="E47" s="19" t="n">
        <f aca="false">D47-C47</f>
        <v>10</v>
      </c>
      <c r="F47" s="19" t="n">
        <v>25</v>
      </c>
      <c r="G47" s="9" t="str">
        <f aca="false">IF(ABS(E47)&lt;=F47,"within tolerance","differs: see reason")</f>
        <v>within tolerance</v>
      </c>
      <c r="H47" s="5" t="s">
        <v>1349</v>
      </c>
      <c r="I47" s="5"/>
      <c r="J47" s="5"/>
      <c r="K47" s="5"/>
      <c r="L47" s="5"/>
      <c r="M47" s="5"/>
      <c r="N47" s="5"/>
    </row>
    <row r="48" customFormat="false" ht="30" hidden="false" customHeight="true" outlineLevel="0" collapsed="false">
      <c r="A48" s="30" t="n">
        <v>15</v>
      </c>
      <c r="B48" s="7" t="s">
        <v>1350</v>
      </c>
      <c r="C48" s="19" t="n">
        <v>90000</v>
      </c>
      <c r="D48" s="19" t="n">
        <f aca="false">Steady_State!$C$29</f>
        <v>91920</v>
      </c>
      <c r="E48" s="19" t="n">
        <f aca="false">D48-C48</f>
        <v>1920</v>
      </c>
      <c r="F48" s="19" t="n">
        <v>5000</v>
      </c>
      <c r="G48" s="9" t="str">
        <f aca="false">IF(ABS(E48)&lt;=F48,"within tolerance","differs: see reason")</f>
        <v>within tolerance</v>
      </c>
      <c r="H48" s="5" t="s">
        <v>1351</v>
      </c>
      <c r="I48" s="5"/>
      <c r="J48" s="5"/>
      <c r="K48" s="5"/>
      <c r="L48" s="5"/>
      <c r="M48" s="5"/>
      <c r="N48" s="5"/>
    </row>
    <row r="49" customFormat="false" ht="30" hidden="false" customHeight="true" outlineLevel="0" collapsed="false">
      <c r="A49" s="30" t="n">
        <v>16</v>
      </c>
      <c r="B49" s="7" t="s">
        <v>1352</v>
      </c>
      <c r="C49" s="95" t="n">
        <v>6</v>
      </c>
      <c r="D49" s="95" t="n">
        <f aca="false">Steady_State!$C$42</f>
        <v>6</v>
      </c>
      <c r="E49" s="95" t="n">
        <f aca="false">D49-C49</f>
        <v>0</v>
      </c>
      <c r="F49" s="95" t="n">
        <v>0.01</v>
      </c>
      <c r="G49" s="9" t="str">
        <f aca="false">IF(ABS(E49)&lt;=F49,"within tolerance","differs: see reason")</f>
        <v>within tolerance</v>
      </c>
      <c r="H49" s="5" t="s">
        <v>1353</v>
      </c>
      <c r="I49" s="5"/>
      <c r="J49" s="5"/>
      <c r="K49" s="5"/>
      <c r="L49" s="5"/>
      <c r="M49" s="5"/>
      <c r="N49" s="5"/>
    </row>
    <row r="50" customFormat="false" ht="30" hidden="false" customHeight="true" outlineLevel="0" collapsed="false">
      <c r="A50" s="30" t="n">
        <v>17</v>
      </c>
      <c r="B50" s="7" t="s">
        <v>1354</v>
      </c>
      <c r="C50" s="21" t="n">
        <v>30</v>
      </c>
      <c r="D50" s="21" t="n">
        <f aca="false">Steady_State!$C$43</f>
        <v>30</v>
      </c>
      <c r="E50" s="21" t="n">
        <f aca="false">D50-C50</f>
        <v>0</v>
      </c>
      <c r="F50" s="21" t="n">
        <v>0.01</v>
      </c>
      <c r="G50" s="9" t="str">
        <f aca="false">IF(ABS(E50)&lt;=F50,"within tolerance","differs: see reason")</f>
        <v>within tolerance</v>
      </c>
      <c r="H50" s="5" t="s">
        <v>1355</v>
      </c>
      <c r="I50" s="5"/>
      <c r="J50" s="5"/>
      <c r="K50" s="5"/>
      <c r="L50" s="5"/>
      <c r="M50" s="5"/>
      <c r="N50" s="5"/>
    </row>
    <row r="51" customFormat="false" ht="30" hidden="false" customHeight="true" outlineLevel="0" collapsed="false">
      <c r="A51" s="30" t="n">
        <v>18</v>
      </c>
      <c r="B51" s="7" t="s">
        <v>1356</v>
      </c>
      <c r="C51" s="21" t="n">
        <v>20</v>
      </c>
      <c r="D51" s="21" t="n">
        <f aca="false">Steady_State!$C$44</f>
        <v>20</v>
      </c>
      <c r="E51" s="21" t="n">
        <f aca="false">D51-C51</f>
        <v>0</v>
      </c>
      <c r="F51" s="21" t="n">
        <v>0.01</v>
      </c>
      <c r="G51" s="9" t="str">
        <f aca="false">IF(ABS(E51)&lt;=F51,"within tolerance","differs: see reason")</f>
        <v>within tolerance</v>
      </c>
      <c r="H51" s="5" t="s">
        <v>1357</v>
      </c>
      <c r="I51" s="5"/>
      <c r="J51" s="5"/>
      <c r="K51" s="5"/>
      <c r="L51" s="5"/>
      <c r="M51" s="5"/>
      <c r="N51" s="5"/>
    </row>
    <row r="52" customFormat="false" ht="30" hidden="false" customHeight="true" outlineLevel="0" collapsed="false">
      <c r="A52" s="30" t="n">
        <v>19</v>
      </c>
      <c r="B52" s="7" t="s">
        <v>1358</v>
      </c>
      <c r="C52" s="19" t="n">
        <v>275</v>
      </c>
      <c r="D52" s="19" t="n">
        <f aca="false">Steady_State!$C$31</f>
        <v>310</v>
      </c>
      <c r="E52" s="19" t="n">
        <f aca="false">D52-C52</f>
        <v>35</v>
      </c>
      <c r="F52" s="19" t="n">
        <v>75</v>
      </c>
      <c r="G52" s="9" t="str">
        <f aca="false">IF(ABS(E52)&lt;=F52,"within tolerance","differs: see reason")</f>
        <v>within tolerance</v>
      </c>
      <c r="H52" s="5" t="s">
        <v>1359</v>
      </c>
      <c r="I52" s="5"/>
      <c r="J52" s="5"/>
      <c r="K52" s="5"/>
      <c r="L52" s="5"/>
      <c r="M52" s="5"/>
      <c r="N52" s="5"/>
    </row>
    <row r="53" customFormat="false" ht="30" hidden="false" customHeight="true" outlineLevel="0" collapsed="false">
      <c r="A53" s="30" t="n">
        <v>20</v>
      </c>
      <c r="B53" s="7" t="s">
        <v>1360</v>
      </c>
      <c r="C53" s="21" t="n">
        <v>1</v>
      </c>
      <c r="D53" s="21" t="n">
        <f aca="false">Steady_State!$C$56</f>
        <v>1</v>
      </c>
      <c r="E53" s="21" t="n">
        <f aca="false">D53-C53</f>
        <v>0</v>
      </c>
      <c r="F53" s="21" t="n">
        <v>0.01</v>
      </c>
      <c r="G53" s="9" t="str">
        <f aca="false">IF(ABS(E53)&lt;=F53,"within tolerance","differs: see reason")</f>
        <v>within tolerance</v>
      </c>
      <c r="H53" s="5" t="s">
        <v>1361</v>
      </c>
      <c r="I53" s="5"/>
      <c r="J53" s="5"/>
      <c r="K53" s="5"/>
      <c r="L53" s="5"/>
      <c r="M53" s="5"/>
      <c r="N53" s="5"/>
    </row>
    <row r="54" customFormat="false" ht="30" hidden="false" customHeight="true" outlineLevel="0" collapsed="false">
      <c r="A54" s="30" t="n">
        <v>21</v>
      </c>
      <c r="B54" s="7" t="s">
        <v>1362</v>
      </c>
      <c r="C54" s="36" t="n">
        <v>6</v>
      </c>
      <c r="D54" s="36" t="n">
        <f aca="false">Inputs!$C$93</f>
        <v>6</v>
      </c>
      <c r="E54" s="36" t="n">
        <f aca="false">D54-C54</f>
        <v>0</v>
      </c>
      <c r="F54" s="36" t="n">
        <v>0.01</v>
      </c>
      <c r="G54" s="9" t="str">
        <f aca="false">IF(ABS(E54)&lt;=F54,"within tolerance","differs: see reason")</f>
        <v>within tolerance</v>
      </c>
      <c r="H54" s="5" t="s">
        <v>1363</v>
      </c>
      <c r="I54" s="5"/>
      <c r="J54" s="5"/>
      <c r="K54" s="5"/>
      <c r="L54" s="5"/>
      <c r="M54" s="5"/>
      <c r="N54" s="5"/>
    </row>
    <row r="55" customFormat="false" ht="30" hidden="false" customHeight="true" outlineLevel="0" collapsed="false">
      <c r="A55" s="30" t="n">
        <v>22</v>
      </c>
      <c r="B55" s="7" t="s">
        <v>1364</v>
      </c>
      <c r="C55" s="19" t="n">
        <v>3360</v>
      </c>
      <c r="D55" s="19" t="n">
        <f aca="false">Capital!$C$14</f>
        <v>3360</v>
      </c>
      <c r="E55" s="19" t="n">
        <f aca="false">D55-C55</f>
        <v>0</v>
      </c>
      <c r="F55" s="19" t="n">
        <v>0.01</v>
      </c>
      <c r="G55" s="9" t="str">
        <f aca="false">IF(ABS(E55)&lt;=F55,"within tolerance","differs: see reason")</f>
        <v>within tolerance</v>
      </c>
      <c r="H55" s="5" t="s">
        <v>1365</v>
      </c>
      <c r="I55" s="5"/>
      <c r="J55" s="5"/>
      <c r="K55" s="5"/>
      <c r="L55" s="5"/>
      <c r="M55" s="5"/>
      <c r="N55" s="5"/>
    </row>
    <row r="56" customFormat="false" ht="30" hidden="false" customHeight="true" outlineLevel="0" collapsed="false">
      <c r="A56" s="30" t="n">
        <v>23</v>
      </c>
      <c r="B56" s="7" t="s">
        <v>1366</v>
      </c>
      <c r="C56" s="19" t="n">
        <v>6510</v>
      </c>
      <c r="D56" s="19" t="n">
        <f aca="false">Capital!$D$14</f>
        <v>6510</v>
      </c>
      <c r="E56" s="19" t="n">
        <f aca="false">D56-C56</f>
        <v>0</v>
      </c>
      <c r="F56" s="19" t="n">
        <v>0.01</v>
      </c>
      <c r="G56" s="9" t="str">
        <f aca="false">IF(ABS(E56)&lt;=F56,"within tolerance","differs: see reason")</f>
        <v>within tolerance</v>
      </c>
      <c r="H56" s="5" t="s">
        <v>1367</v>
      </c>
      <c r="I56" s="5"/>
      <c r="J56" s="5"/>
      <c r="K56" s="5"/>
      <c r="L56" s="5"/>
      <c r="M56" s="5"/>
      <c r="N56" s="5"/>
    </row>
    <row r="57" customFormat="false" ht="30" hidden="false" customHeight="true" outlineLevel="0" collapsed="false">
      <c r="A57" s="30" t="n">
        <v>24</v>
      </c>
      <c r="B57" s="7" t="s">
        <v>1368</v>
      </c>
      <c r="C57" s="19" t="n">
        <v>360</v>
      </c>
      <c r="D57" s="19" t="n">
        <f aca="false">Capital!G10</f>
        <v>360</v>
      </c>
      <c r="E57" s="19" t="n">
        <f aca="false">D57-C57</f>
        <v>0</v>
      </c>
      <c r="F57" s="19" t="n">
        <v>0.01</v>
      </c>
      <c r="G57" s="9" t="str">
        <f aca="false">IF(ABS(E57)&lt;=F57,"within tolerance","differs: see reason")</f>
        <v>within tolerance</v>
      </c>
      <c r="H57" s="5" t="s">
        <v>1369</v>
      </c>
      <c r="I57" s="5"/>
      <c r="J57" s="5"/>
      <c r="K57" s="5"/>
      <c r="L57" s="5"/>
      <c r="M57" s="5"/>
      <c r="N57" s="5"/>
    </row>
    <row r="58" customFormat="false" ht="30" hidden="false" customHeight="true" outlineLevel="0" collapsed="false">
      <c r="A58" s="30" t="n">
        <v>25</v>
      </c>
      <c r="B58" s="7" t="s">
        <v>1370</v>
      </c>
      <c r="C58" s="19" t="n">
        <v>600</v>
      </c>
      <c r="D58" s="19" t="n">
        <f aca="false">Capital!G11</f>
        <v>720</v>
      </c>
      <c r="E58" s="19" t="n">
        <f aca="false">D58-C58</f>
        <v>120</v>
      </c>
      <c r="F58" s="19" t="n">
        <v>0.01</v>
      </c>
      <c r="G58" s="9" t="str">
        <f aca="false">IF(ABS(E58)&lt;=F58,"within tolerance","differs: see reason")</f>
        <v>differs: see reason</v>
      </c>
      <c r="H58" s="5" t="s">
        <v>1371</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1372</v>
      </c>
    </row>
    <row r="2" customFormat="false" ht="15" hidden="false" customHeight="false" outlineLevel="0" collapsed="false">
      <c r="A2" s="2" t="s">
        <v>1373</v>
      </c>
    </row>
    <row r="3" customFormat="false" ht="30" hidden="false" customHeight="true" outlineLevel="0" collapsed="false">
      <c r="B3" s="8" t="s">
        <v>1374</v>
      </c>
      <c r="C3" s="8"/>
      <c r="D3" s="8"/>
      <c r="E3" s="8"/>
      <c r="F3" s="8"/>
      <c r="G3" s="8"/>
      <c r="H3" s="8"/>
      <c r="I3" s="8"/>
      <c r="J3" s="8"/>
    </row>
    <row r="4" customFormat="false" ht="45" hidden="false" customHeight="true" outlineLevel="0" collapsed="false">
      <c r="B4" s="12" t="s">
        <v>1375</v>
      </c>
      <c r="C4" s="12" t="s">
        <v>1376</v>
      </c>
      <c r="D4" s="12" t="s">
        <v>1377</v>
      </c>
      <c r="E4" s="12" t="s">
        <v>1378</v>
      </c>
      <c r="F4" s="12" t="s">
        <v>1379</v>
      </c>
      <c r="G4" s="12" t="s">
        <v>1380</v>
      </c>
      <c r="H4" s="12" t="s">
        <v>1381</v>
      </c>
      <c r="I4" s="12" t="s">
        <v>1382</v>
      </c>
      <c r="J4" s="12" t="s">
        <v>1383</v>
      </c>
    </row>
    <row r="5" customFormat="false" ht="31.5" hidden="false" customHeight="true" outlineLevel="0" collapsed="false">
      <c r="B5" s="7" t="s">
        <v>1384</v>
      </c>
      <c r="C5" s="19" t="n">
        <v>250</v>
      </c>
      <c r="D5" s="19" t="n">
        <v>250</v>
      </c>
      <c r="E5" s="19" t="n">
        <f aca="false">Inputs!$C$158+Inputs!$C$159</f>
        <v>250</v>
      </c>
      <c r="F5" s="7" t="s">
        <v>1385</v>
      </c>
      <c r="G5" s="19" t="n">
        <f aca="false">Inputs!$Q$158+Inputs!$Q$159</f>
        <v>250</v>
      </c>
      <c r="H5" s="19" t="n">
        <f aca="false">G5-D5</f>
        <v>0</v>
      </c>
      <c r="I5" s="7" t="s">
        <v>1386</v>
      </c>
      <c r="J5" s="7" t="s">
        <v>1387</v>
      </c>
    </row>
    <row r="6" customFormat="false" ht="48" hidden="false" customHeight="true" outlineLevel="0" collapsed="false">
      <c r="B6" s="7" t="s">
        <v>1388</v>
      </c>
      <c r="C6" s="19" t="n">
        <v>250</v>
      </c>
      <c r="D6" s="19" t="n">
        <v>2000</v>
      </c>
      <c r="E6" s="19" t="n">
        <f aca="false">Inputs!$C$160</f>
        <v>2000</v>
      </c>
      <c r="F6" s="7" t="s">
        <v>1385</v>
      </c>
      <c r="G6" s="19" t="n">
        <f aca="false">Inputs!$Q$160</f>
        <v>2000</v>
      </c>
      <c r="H6" s="19" t="n">
        <f aca="false">G6-D6</f>
        <v>0</v>
      </c>
      <c r="I6" s="7" t="s">
        <v>1389</v>
      </c>
      <c r="J6" s="7" t="s">
        <v>1390</v>
      </c>
    </row>
    <row r="7" customFormat="false" ht="31.5" hidden="false" customHeight="true" outlineLevel="0" collapsed="false">
      <c r="B7" s="7" t="s">
        <v>1391</v>
      </c>
      <c r="C7" s="19" t="n">
        <v>500</v>
      </c>
      <c r="D7" s="19" t="n">
        <v>1500</v>
      </c>
      <c r="E7" s="19" t="n">
        <f aca="false">Inputs!$C$81*Inputs!$C$20</f>
        <v>1200</v>
      </c>
      <c r="F7" s="7" t="s">
        <v>1392</v>
      </c>
      <c r="G7" s="19" t="n">
        <f aca="false">SUMIFS(Cash_Ledger!$D$5:$D$53,Cash_Ledger!$A$5:$A$53,"insurance",Cash_Ledger!$C$5:$C$53,"&gt;="&amp;Inputs!$C$10,Cash_Ledger!$C$5:$C$53,"&lt;="&amp;Cash_Flow!$AB$6)</f>
        <v>1200</v>
      </c>
      <c r="H7" s="19" t="n">
        <f aca="false">G7-D7</f>
        <v>-300</v>
      </c>
      <c r="I7" s="7" t="s">
        <v>1393</v>
      </c>
      <c r="J7" s="7" t="s">
        <v>1394</v>
      </c>
    </row>
    <row r="8" customFormat="false" ht="31.5" hidden="false" customHeight="true" outlineLevel="0" collapsed="false">
      <c r="B8" s="7" t="s">
        <v>1395</v>
      </c>
      <c r="C8" s="19" t="n">
        <v>0</v>
      </c>
      <c r="D8" s="19" t="n">
        <v>400</v>
      </c>
      <c r="E8" s="19" t="n">
        <f aca="false">Inputs!$C$162</f>
        <v>400</v>
      </c>
      <c r="F8" s="7" t="s">
        <v>1385</v>
      </c>
      <c r="G8" s="19" t="n">
        <f aca="false">Inputs!$Q$162</f>
        <v>400</v>
      </c>
      <c r="H8" s="19" t="n">
        <f aca="false">G8-D8</f>
        <v>0</v>
      </c>
      <c r="I8" s="7" t="s">
        <v>1396</v>
      </c>
      <c r="J8" s="7" t="s">
        <v>1397</v>
      </c>
    </row>
    <row r="9" customFormat="false" ht="31.5" hidden="false" customHeight="true" outlineLevel="0" collapsed="false">
      <c r="B9" s="7" t="s">
        <v>1398</v>
      </c>
      <c r="C9" s="19" t="n">
        <v>300</v>
      </c>
      <c r="D9" s="19" t="n">
        <v>300</v>
      </c>
      <c r="E9" s="19" t="n">
        <f aca="false">Inputs!$C$163</f>
        <v>300</v>
      </c>
      <c r="F9" s="7" t="s">
        <v>1385</v>
      </c>
      <c r="G9" s="19" t="n">
        <f aca="false">Inputs!$Q$163</f>
        <v>300</v>
      </c>
      <c r="H9" s="19" t="n">
        <f aca="false">G9-D9</f>
        <v>0</v>
      </c>
      <c r="I9" s="7" t="s">
        <v>1399</v>
      </c>
      <c r="J9" s="7" t="s">
        <v>1400</v>
      </c>
    </row>
    <row r="10" customFormat="false" ht="31.5" hidden="false" customHeight="true" outlineLevel="0" collapsed="false">
      <c r="B10" s="7" t="s">
        <v>1368</v>
      </c>
      <c r="C10" s="19" t="n">
        <v>360</v>
      </c>
      <c r="D10" s="19" t="n">
        <v>360</v>
      </c>
      <c r="E10" s="19" t="n">
        <f aca="false">Inputs!$C$79*COUNTIFS(Cash_Ledger!$A$5:$A$53,"software",Cash_Ledger!$D$5:$D$53,"&gt;0")</f>
        <v>360</v>
      </c>
      <c r="F10" s="7" t="s">
        <v>1401</v>
      </c>
      <c r="G10" s="19" t="n">
        <f aca="false">SUMIFS(Cash_Ledger!$D$5:$D$53,Cash_Ledger!$A$5:$A$53,"software",Cash_Ledger!$C$5:$C$53,"&gt;="&amp;Inputs!$C$10,Cash_Ledger!$C$5:$C$53,"&lt;="&amp;Cash_Flow!$AB$6)</f>
        <v>360</v>
      </c>
      <c r="H10" s="19" t="n">
        <f aca="false">G10-D10</f>
        <v>0</v>
      </c>
      <c r="I10" s="7" t="s">
        <v>1402</v>
      </c>
      <c r="J10" s="7" t="s">
        <v>1400</v>
      </c>
    </row>
    <row r="11" customFormat="false" ht="48" hidden="false" customHeight="true" outlineLevel="0" collapsed="false">
      <c r="B11" s="7" t="s">
        <v>1370</v>
      </c>
      <c r="C11" s="19" t="n">
        <v>600</v>
      </c>
      <c r="D11" s="19" t="n">
        <v>600</v>
      </c>
      <c r="E11" s="19" t="n">
        <f aca="false">SUM(Drop_PnL!U7:U9)</f>
        <v>720</v>
      </c>
      <c r="F11" s="7" t="s">
        <v>1403</v>
      </c>
      <c r="G11" s="19" t="n">
        <f aca="false">SUM(Drop_PnL!U7:U9)</f>
        <v>720</v>
      </c>
      <c r="H11" s="19" t="n">
        <f aca="false">G11-D11</f>
        <v>120</v>
      </c>
      <c r="I11" s="7" t="s">
        <v>1404</v>
      </c>
      <c r="J11" s="7" t="s">
        <v>1400</v>
      </c>
    </row>
    <row r="12" customFormat="false" ht="31.5" hidden="false" customHeight="true" outlineLevel="0" collapsed="false">
      <c r="B12" s="7" t="s">
        <v>1405</v>
      </c>
      <c r="C12" s="19" t="n">
        <v>100</v>
      </c>
      <c r="D12" s="19" t="n">
        <v>100</v>
      </c>
      <c r="E12" s="19" t="n">
        <f aca="false">Inputs!$C$164</f>
        <v>100</v>
      </c>
      <c r="F12" s="7" t="s">
        <v>1385</v>
      </c>
      <c r="G12" s="19" t="n">
        <f aca="false">Inputs!$Q$164</f>
        <v>100</v>
      </c>
      <c r="H12" s="19" t="n">
        <f aca="false">G12-D12</f>
        <v>0</v>
      </c>
      <c r="I12" s="7" t="s">
        <v>1386</v>
      </c>
      <c r="J12" s="7" t="s">
        <v>1400</v>
      </c>
    </row>
    <row r="13" customFormat="false" ht="31.5" hidden="false" customHeight="true" outlineLevel="0" collapsed="false">
      <c r="B13" s="7" t="s">
        <v>1406</v>
      </c>
      <c r="C13" s="19" t="n">
        <v>1000</v>
      </c>
      <c r="D13" s="19" t="n">
        <v>1000</v>
      </c>
      <c r="E13" s="19" t="n">
        <f aca="false">Inputs!$C$117</f>
        <v>1000</v>
      </c>
      <c r="F13" s="7" t="s">
        <v>1407</v>
      </c>
      <c r="G13" s="60"/>
      <c r="H13" s="60"/>
      <c r="I13" s="7" t="s">
        <v>1408</v>
      </c>
      <c r="J13" s="7" t="s">
        <v>1400</v>
      </c>
    </row>
    <row r="14" customFormat="false" ht="15" hidden="false" customHeight="false" outlineLevel="0" collapsed="false">
      <c r="B14" s="9" t="s">
        <v>1409</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1410</v>
      </c>
      <c r="B16" s="4"/>
      <c r="C16" s="4"/>
      <c r="D16" s="4"/>
      <c r="E16" s="4"/>
      <c r="F16" s="4"/>
      <c r="G16" s="4"/>
      <c r="H16" s="4"/>
      <c r="I16" s="4"/>
      <c r="J16" s="4"/>
    </row>
    <row r="17" customFormat="false" ht="28.35" hidden="false" customHeight="false" outlineLevel="0" collapsed="false">
      <c r="B17" s="7" t="s">
        <v>1411</v>
      </c>
      <c r="C17" s="19" t="n">
        <v>300</v>
      </c>
      <c r="D17" s="19" t="n">
        <v>500</v>
      </c>
      <c r="E17" s="19" t="n">
        <f aca="false">Inputs!$C$166</f>
        <v>400</v>
      </c>
      <c r="F17" s="7" t="s">
        <v>1385</v>
      </c>
      <c r="G17" s="19" t="n">
        <f aca="false">Inputs!$Q$166</f>
        <v>400</v>
      </c>
      <c r="I17" s="7" t="s">
        <v>1412</v>
      </c>
    </row>
    <row r="18" customFormat="false" ht="15" hidden="false" customHeight="false" outlineLevel="0" collapsed="false">
      <c r="B18" s="7" t="s">
        <v>1413</v>
      </c>
      <c r="C18" s="19" t="n">
        <v>200</v>
      </c>
      <c r="D18" s="19" t="n">
        <v>400</v>
      </c>
      <c r="E18" s="19" t="n">
        <f aca="false">Inputs!$C$167</f>
        <v>300</v>
      </c>
      <c r="F18" s="7" t="s">
        <v>1385</v>
      </c>
      <c r="G18" s="19" t="n">
        <f aca="false">Inputs!$Q$167</f>
        <v>300</v>
      </c>
      <c r="I18" s="7" t="s">
        <v>1414</v>
      </c>
    </row>
    <row r="19" customFormat="false" ht="28.35" hidden="false" customHeight="false" outlineLevel="0" collapsed="false">
      <c r="B19" s="7" t="s">
        <v>1415</v>
      </c>
      <c r="C19" s="19" t="n">
        <v>25</v>
      </c>
      <c r="D19" s="19" t="n">
        <v>25</v>
      </c>
      <c r="E19" s="19" t="n">
        <f aca="false">Inputs!$C$168</f>
        <v>25</v>
      </c>
      <c r="F19" s="7" t="s">
        <v>1385</v>
      </c>
      <c r="G19" s="19" t="n">
        <f aca="false">Inputs!$Q$168</f>
        <v>25</v>
      </c>
      <c r="I19" s="7" t="s">
        <v>1416</v>
      </c>
    </row>
    <row r="20" customFormat="false" ht="28.35" hidden="false" customHeight="false" outlineLevel="0" collapsed="false">
      <c r="B20" s="7" t="s">
        <v>1417</v>
      </c>
      <c r="C20" s="60"/>
      <c r="D20" s="60"/>
      <c r="E20" s="19" t="n">
        <f aca="false">Inputs!$C$169</f>
        <v>0</v>
      </c>
      <c r="F20" s="7" t="s">
        <v>1385</v>
      </c>
      <c r="G20" s="19" t="n">
        <f aca="false">Inputs!$Q$169</f>
        <v>0</v>
      </c>
      <c r="I20" s="7" t="s">
        <v>1418</v>
      </c>
    </row>
    <row r="21" customFormat="false" ht="41.75" hidden="false" customHeight="false" outlineLevel="0" collapsed="false">
      <c r="B21" s="7" t="s">
        <v>1419</v>
      </c>
      <c r="C21" s="60"/>
      <c r="D21" s="60"/>
      <c r="E21" s="19" t="n">
        <f aca="false">Inputs!$C$170</f>
        <v>0</v>
      </c>
      <c r="F21" s="7" t="s">
        <v>1385</v>
      </c>
      <c r="G21" s="19" t="n">
        <f aca="false">Inputs!$Q$170</f>
        <v>0</v>
      </c>
      <c r="I21" s="7" t="s">
        <v>1420</v>
      </c>
    </row>
    <row r="22" customFormat="false" ht="28.35" hidden="false" customHeight="false" outlineLevel="0" collapsed="false">
      <c r="B22" s="7" t="s">
        <v>1421</v>
      </c>
      <c r="C22" s="60"/>
      <c r="D22" s="60"/>
      <c r="E22" s="19" t="n">
        <f aca="false">Inputs!$C$165</f>
        <v>0</v>
      </c>
      <c r="F22" s="7" t="s">
        <v>1385</v>
      </c>
      <c r="G22" s="19" t="n">
        <f aca="false">Inputs!$Q$165</f>
        <v>0</v>
      </c>
      <c r="I22" s="7" t="s">
        <v>1422</v>
      </c>
    </row>
    <row r="23" customFormat="false" ht="28.35" hidden="false" customHeight="false" outlineLevel="0" collapsed="false">
      <c r="B23" s="7" t="s">
        <v>1423</v>
      </c>
      <c r="C23" s="60"/>
      <c r="D23" s="60"/>
      <c r="E23" s="19" t="n">
        <f aca="false">Inputs!$C$161</f>
        <v>0</v>
      </c>
      <c r="F23" s="7" t="s">
        <v>1424</v>
      </c>
      <c r="G23" s="19" t="n">
        <f aca="false">Inputs!$Q$161</f>
        <v>0</v>
      </c>
      <c r="I23" s="7" t="s">
        <v>1425</v>
      </c>
    </row>
    <row r="24" customFormat="false" ht="55.2" hidden="false" customHeight="false" outlineLevel="0" collapsed="false">
      <c r="B24" s="7" t="s">
        <v>1426</v>
      </c>
      <c r="C24" s="19" t="n">
        <v>350</v>
      </c>
      <c r="D24" s="19" t="n">
        <v>850</v>
      </c>
      <c r="E24" s="19" t="n">
        <f aca="false">Inputs!$C$171</f>
        <v>350</v>
      </c>
      <c r="F24" s="7" t="s">
        <v>1427</v>
      </c>
      <c r="G24" s="19" t="n">
        <f aca="false">Inputs!$Q$171</f>
        <v>350</v>
      </c>
      <c r="I24" s="7" t="s">
        <v>1428</v>
      </c>
    </row>
    <row r="25" customFormat="false" ht="15" hidden="false" customHeight="false" outlineLevel="0" collapsed="false">
      <c r="B25" s="7" t="s">
        <v>1429</v>
      </c>
      <c r="C25" s="60"/>
      <c r="D25" s="60"/>
      <c r="E25" s="60"/>
      <c r="F25" s="7" t="s">
        <v>1430</v>
      </c>
      <c r="G25" s="19" t="n">
        <f aca="false">SUMIFS(Cash_Ledger!$D$5:$D$53,Cash_Ledger!$A$5:$A$53,"storage",Cash_Ledger!$C$5:$C$53,"&gt;="&amp;Inputs!$C$10,Cash_Ledger!$C$5:$C$53,"&lt;="&amp;Cash_Flow!$AB$6)</f>
        <v>450</v>
      </c>
      <c r="I25" s="7" t="s">
        <v>1431</v>
      </c>
    </row>
    <row r="26" customFormat="false" ht="15" hidden="false" customHeight="false" outlineLevel="0" collapsed="false">
      <c r="B26" s="7" t="s">
        <v>1432</v>
      </c>
      <c r="C26" s="60"/>
      <c r="D26" s="60"/>
      <c r="E26" s="60"/>
      <c r="F26" s="7" t="s">
        <v>1433</v>
      </c>
      <c r="G26" s="19" t="n">
        <f aca="false">-Cash_Flow!$AC$13</f>
        <v>320</v>
      </c>
      <c r="I26" s="7" t="s">
        <v>1434</v>
      </c>
    </row>
    <row r="27" customFormat="false" ht="15" hidden="false" customHeight="false" outlineLevel="0" collapsed="false">
      <c r="B27" s="7" t="s">
        <v>1435</v>
      </c>
      <c r="C27" s="60"/>
      <c r="D27" s="60"/>
      <c r="E27" s="60"/>
      <c r="F27" s="7" t="s">
        <v>1433</v>
      </c>
      <c r="G27" s="19" t="n">
        <f aca="false">-Cash_Flow!$AC$14-G11</f>
        <v>-120</v>
      </c>
      <c r="I27" s="7" t="s">
        <v>1436</v>
      </c>
    </row>
    <row r="28" customFormat="false" ht="15" hidden="false" customHeight="false" outlineLevel="0" collapsed="false">
      <c r="B28" s="7" t="s">
        <v>1018</v>
      </c>
      <c r="C28" s="60"/>
      <c r="D28" s="60"/>
      <c r="E28" s="60"/>
      <c r="F28" s="7" t="s">
        <v>1437</v>
      </c>
      <c r="G28" s="19" t="n">
        <f aca="false">-Cash_Flow!$AC$16</f>
        <v>540</v>
      </c>
      <c r="I28" s="7" t="s">
        <v>1438</v>
      </c>
    </row>
    <row r="29" customFormat="false" ht="15" hidden="false" customHeight="false" outlineLevel="0" collapsed="false">
      <c r="B29" s="7" t="s">
        <v>1439</v>
      </c>
      <c r="C29" s="60"/>
      <c r="D29" s="60"/>
      <c r="E29" s="60"/>
      <c r="F29" s="7" t="s">
        <v>1433</v>
      </c>
      <c r="G29" s="19" t="n">
        <f aca="false">-Cash_Flow!$AC$15</f>
        <v>-0</v>
      </c>
      <c r="I29" s="7" t="s">
        <v>1440</v>
      </c>
    </row>
    <row r="30" customFormat="false" ht="15" hidden="false" customHeight="false" outlineLevel="0" collapsed="false">
      <c r="B30" s="7" t="s">
        <v>1102</v>
      </c>
      <c r="C30" s="60"/>
      <c r="D30" s="60"/>
      <c r="E30" s="60"/>
      <c r="F30" s="7" t="s">
        <v>1441</v>
      </c>
      <c r="G30" s="19" t="n">
        <f aca="false">SUMIFS(Cash_Ledger!$D$5:$D$53,Cash_Ledger!$A$5:$A$53,"phone",Cash_Ledger!$C$5:$C$53,"&gt;="&amp;Inputs!$C$10,Cash_Ledger!$C$5:$C$53,"&lt;="&amp;Cash_Flow!$AB$6)</f>
        <v>0</v>
      </c>
      <c r="I30" s="7" t="s">
        <v>1442</v>
      </c>
    </row>
    <row r="31" customFormat="false" ht="15" hidden="false" customHeight="false" outlineLevel="0" collapsed="false">
      <c r="B31" s="9" t="s">
        <v>1443</v>
      </c>
      <c r="G31" s="37" t="n">
        <f aca="false">SUM(G5:G13)+SUM(G17:G30)</f>
        <v>7595</v>
      </c>
    </row>
    <row r="32" customFormat="false" ht="15" hidden="false" customHeight="false" outlineLevel="0" collapsed="false">
      <c r="B32" s="9" t="s">
        <v>1444</v>
      </c>
      <c r="G32" s="37" t="n">
        <f aca="false">-(Cash_Flow!$AC$26-Cash_Flow!$AC$9-Cash_Flow!$AC$10)</f>
        <v>7747</v>
      </c>
    </row>
    <row r="33" customFormat="false" ht="15" hidden="false" customHeight="false" outlineLevel="0" collapsed="false">
      <c r="B33" s="9" t="s">
        <v>1445</v>
      </c>
      <c r="G33" s="94" t="n">
        <f aca="false">G31-G32</f>
        <v>-152</v>
      </c>
    </row>
    <row r="35" customFormat="false" ht="45" hidden="false" customHeight="true" outlineLevel="0" collapsed="false">
      <c r="B35" s="5" t="s">
        <v>1446</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1447</v>
      </c>
    </row>
    <row r="2" customFormat="false" ht="15" hidden="false" customHeight="false" outlineLevel="0" collapsed="false">
      <c r="A2" s="2" t="s">
        <v>1448</v>
      </c>
    </row>
    <row r="3" customFormat="false" ht="30" hidden="false" customHeight="true" outlineLevel="0" collapsed="false">
      <c r="A3" s="8" t="s">
        <v>1449</v>
      </c>
      <c r="B3" s="8"/>
      <c r="C3" s="8"/>
      <c r="D3" s="8"/>
      <c r="E3" s="8"/>
      <c r="F3" s="8"/>
      <c r="Q3" s="84" t="s">
        <v>1450</v>
      </c>
    </row>
    <row r="4" customFormat="false" ht="30" hidden="false" customHeight="true" outlineLevel="0" collapsed="false">
      <c r="A4" s="12" t="s">
        <v>366</v>
      </c>
      <c r="B4" s="12" t="s">
        <v>324</v>
      </c>
      <c r="C4" s="12" t="s">
        <v>1451</v>
      </c>
      <c r="D4" s="12" t="s">
        <v>1452</v>
      </c>
      <c r="E4" s="12" t="s">
        <v>407</v>
      </c>
      <c r="F4" s="12" t="s">
        <v>1453</v>
      </c>
      <c r="Q4" s="12" t="s">
        <v>324</v>
      </c>
      <c r="R4" s="12" t="s">
        <v>1306</v>
      </c>
      <c r="S4" s="12" t="s">
        <v>1307</v>
      </c>
      <c r="T4" s="12" t="s">
        <v>1308</v>
      </c>
      <c r="U4" s="12" t="s">
        <v>1309</v>
      </c>
      <c r="V4" s="12" t="s">
        <v>1310</v>
      </c>
      <c r="W4" s="12" t="s">
        <v>1311</v>
      </c>
      <c r="X4" s="12" t="s">
        <v>1312</v>
      </c>
      <c r="Y4" s="12" t="s">
        <v>1313</v>
      </c>
    </row>
    <row r="5" customFormat="false" ht="15" hidden="false" customHeight="false" outlineLevel="0" collapsed="false">
      <c r="A5" s="102" t="n">
        <v>46322</v>
      </c>
      <c r="B5" s="103"/>
      <c r="C5" s="103"/>
      <c r="D5" s="104" t="s">
        <v>1307</v>
      </c>
      <c r="E5" s="105" t="n">
        <v>1.5</v>
      </c>
      <c r="F5" s="103" t="s">
        <v>1454</v>
      </c>
      <c r="Q5" s="30" t="str">
        <f aca="false">Schedule!A7</f>
        <v>DRP-001</v>
      </c>
      <c r="R5" s="36" t="n">
        <f aca="false">SUMIFS(Hours_Log!$E$5:$E$1004,Hours_Log!$B$5:$B$1004,$Q5,Hours_Log!$D$5:$D$1004,R$4)+SUMIFS(Toggl_Import!$AI$10:$AI$509,Toggl_Import!$AG$10:$AG$509,$Q5,Toggl_Import!$AH$10:$AH$509,R$4)</f>
        <v>20</v>
      </c>
      <c r="S5" s="36" t="n">
        <f aca="false">SUMIFS(Hours_Log!$E$5:$E$1004,Hours_Log!$B$5:$B$1004,$Q5,Hours_Log!$D$5:$D$1004,S$4)+SUMIFS(Toggl_Import!$AI$10:$AI$509,Toggl_Import!$AG$10:$AG$509,$Q5,Toggl_Import!$AH$10:$AH$509,S$4)</f>
        <v>20</v>
      </c>
      <c r="T5" s="36" t="n">
        <f aca="false">SUMIFS(Hours_Log!$E$5:$E$1004,Hours_Log!$B$5:$B$1004,$Q5,Hours_Log!$D$5:$D$1004,T$4)+SUMIFS(Toggl_Import!$AI$10:$AI$509,Toggl_Import!$AG$10:$AG$509,$Q5,Toggl_Import!$AH$10:$AH$509,T$4)</f>
        <v>3</v>
      </c>
      <c r="U5" s="36" t="n">
        <f aca="false">SUMIFS(Hours_Log!$E$5:$E$1004,Hours_Log!$B$5:$B$1004,$Q5,Hours_Log!$D$5:$D$1004,U$4)+SUMIFS(Toggl_Import!$AI$10:$AI$509,Toggl_Import!$AG$10:$AG$509,$Q5,Toggl_Import!$AH$10:$AH$509,U$4)</f>
        <v>5</v>
      </c>
      <c r="V5" s="36" t="n">
        <f aca="false">SUMIFS(Hours_Log!$E$5:$E$1004,Hours_Log!$B$5:$B$1004,$Q5,Hours_Log!$D$5:$D$1004,V$4)+SUMIFS(Toggl_Import!$AI$10:$AI$509,Toggl_Import!$AG$10:$AG$509,$Q5,Toggl_Import!$AH$10:$AH$509,V$4)</f>
        <v>3</v>
      </c>
      <c r="W5" s="36" t="n">
        <f aca="false">SUMIFS(Hours_Log!$E$5:$E$1004,Hours_Log!$B$5:$B$1004,$Q5,Hours_Log!$D$5:$D$1004,W$4)+SUMIFS(Toggl_Import!$AI$10:$AI$509,Toggl_Import!$AG$10:$AG$509,$Q5,Toggl_Import!$AH$10:$AH$509,W$4)</f>
        <v>4</v>
      </c>
      <c r="X5" s="36" t="n">
        <f aca="false">SUMIFS(Hours_Log!$E$5:$E$1004,Hours_Log!$B$5:$B$1004,$Q5,Hours_Log!$D$5:$D$1004,X$4)+SUMIFS(Toggl_Import!$AI$10:$AI$509,Toggl_Import!$AG$10:$AG$509,$Q5,Toggl_Import!$AH$10:$AH$509,X$4)</f>
        <v>2</v>
      </c>
      <c r="Y5" s="38" t="n">
        <f aca="false">SUM(R5:X5)</f>
        <v>57</v>
      </c>
    </row>
    <row r="6" customFormat="false" ht="15" hidden="false" customHeight="false" outlineLevel="0" collapsed="false">
      <c r="A6" s="102" t="n">
        <v>46322</v>
      </c>
      <c r="B6" s="103"/>
      <c r="C6" s="103"/>
      <c r="D6" s="104" t="s">
        <v>1306</v>
      </c>
      <c r="E6" s="105" t="n">
        <v>1.5</v>
      </c>
      <c r="F6" s="103" t="s">
        <v>1454</v>
      </c>
      <c r="Q6" s="30" t="str">
        <f aca="false">Schedule!A8</f>
        <v>DRP-002</v>
      </c>
      <c r="R6" s="36" t="n">
        <f aca="false">SUMIFS(Hours_Log!$E$5:$E$1004,Hours_Log!$B$5:$B$1004,$Q6,Hours_Log!$D$5:$D$1004,R$4)+SUMIFS(Toggl_Import!$AI$10:$AI$509,Toggl_Import!$AG$10:$AG$509,$Q6,Toggl_Import!$AH$10:$AH$509,R$4)</f>
        <v>0</v>
      </c>
      <c r="S6" s="36" t="n">
        <f aca="false">SUMIFS(Hours_Log!$E$5:$E$1004,Hours_Log!$B$5:$B$1004,$Q6,Hours_Log!$D$5:$D$1004,S$4)+SUMIFS(Toggl_Import!$AI$10:$AI$509,Toggl_Import!$AG$10:$AG$509,$Q6,Toggl_Import!$AH$10:$AH$509,S$4)</f>
        <v>0</v>
      </c>
      <c r="T6" s="36" t="n">
        <f aca="false">SUMIFS(Hours_Log!$E$5:$E$1004,Hours_Log!$B$5:$B$1004,$Q6,Hours_Log!$D$5:$D$1004,T$4)+SUMIFS(Toggl_Import!$AI$10:$AI$509,Toggl_Import!$AG$10:$AG$509,$Q6,Toggl_Import!$AH$10:$AH$509,T$4)</f>
        <v>0</v>
      </c>
      <c r="U6" s="36" t="n">
        <f aca="false">SUMIFS(Hours_Log!$E$5:$E$1004,Hours_Log!$B$5:$B$1004,$Q6,Hours_Log!$D$5:$D$1004,U$4)+SUMIFS(Toggl_Import!$AI$10:$AI$509,Toggl_Import!$AG$10:$AG$509,$Q6,Toggl_Import!$AH$10:$AH$509,U$4)</f>
        <v>0</v>
      </c>
      <c r="V6" s="36" t="n">
        <f aca="false">SUMIFS(Hours_Log!$E$5:$E$1004,Hours_Log!$B$5:$B$1004,$Q6,Hours_Log!$D$5:$D$1004,V$4)+SUMIFS(Toggl_Import!$AI$10:$AI$509,Toggl_Import!$AG$10:$AG$509,$Q6,Toggl_Import!$AH$10:$AH$509,V$4)</f>
        <v>0</v>
      </c>
      <c r="W6" s="36" t="n">
        <f aca="false">SUMIFS(Hours_Log!$E$5:$E$1004,Hours_Log!$B$5:$B$1004,$Q6,Hours_Log!$D$5:$D$1004,W$4)+SUMIFS(Toggl_Import!$AI$10:$AI$509,Toggl_Import!$AG$10:$AG$509,$Q6,Toggl_Import!$AH$10:$AH$509,W$4)</f>
        <v>0</v>
      </c>
      <c r="X6" s="36" t="n">
        <f aca="false">SUMIFS(Hours_Log!$E$5:$E$1004,Hours_Log!$B$5:$B$1004,$Q6,Hours_Log!$D$5:$D$1004,X$4)+SUMIFS(Toggl_Import!$AI$10:$AI$509,Toggl_Import!$AG$10:$AG$509,$Q6,Toggl_Import!$AH$10:$AH$509,X$4)</f>
        <v>0</v>
      </c>
      <c r="Y6" s="38" t="n">
        <f aca="false">SUM(R6:X6)</f>
        <v>0</v>
      </c>
    </row>
    <row r="7" customFormat="false" ht="15" hidden="false" customHeight="false" outlineLevel="0" collapsed="false">
      <c r="A7" s="102" t="n">
        <v>46324</v>
      </c>
      <c r="B7" s="103"/>
      <c r="C7" s="103"/>
      <c r="D7" s="104" t="s">
        <v>1307</v>
      </c>
      <c r="E7" s="105" t="n">
        <v>1.5</v>
      </c>
      <c r="F7" s="103" t="s">
        <v>1454</v>
      </c>
      <c r="Q7" s="30" t="str">
        <f aca="false">Schedule!A9</f>
        <v>DRP-003</v>
      </c>
      <c r="R7" s="36" t="n">
        <f aca="false">SUMIFS(Hours_Log!$E$5:$E$1004,Hours_Log!$B$5:$B$1004,$Q7,Hours_Log!$D$5:$D$1004,R$4)+SUMIFS(Toggl_Import!$AI$10:$AI$509,Toggl_Import!$AG$10:$AG$509,$Q7,Toggl_Import!$AH$10:$AH$509,R$4)</f>
        <v>0</v>
      </c>
      <c r="S7" s="36" t="n">
        <f aca="false">SUMIFS(Hours_Log!$E$5:$E$1004,Hours_Log!$B$5:$B$1004,$Q7,Hours_Log!$D$5:$D$1004,S$4)+SUMIFS(Toggl_Import!$AI$10:$AI$509,Toggl_Import!$AG$10:$AG$509,$Q7,Toggl_Import!$AH$10:$AH$509,S$4)</f>
        <v>0</v>
      </c>
      <c r="T7" s="36" t="n">
        <f aca="false">SUMIFS(Hours_Log!$E$5:$E$1004,Hours_Log!$B$5:$B$1004,$Q7,Hours_Log!$D$5:$D$1004,T$4)+SUMIFS(Toggl_Import!$AI$10:$AI$509,Toggl_Import!$AG$10:$AG$509,$Q7,Toggl_Import!$AH$10:$AH$509,T$4)</f>
        <v>0</v>
      </c>
      <c r="U7" s="36" t="n">
        <f aca="false">SUMIFS(Hours_Log!$E$5:$E$1004,Hours_Log!$B$5:$B$1004,$Q7,Hours_Log!$D$5:$D$1004,U$4)+SUMIFS(Toggl_Import!$AI$10:$AI$509,Toggl_Import!$AG$10:$AG$509,$Q7,Toggl_Import!$AH$10:$AH$509,U$4)</f>
        <v>0</v>
      </c>
      <c r="V7" s="36" t="n">
        <f aca="false">SUMIFS(Hours_Log!$E$5:$E$1004,Hours_Log!$B$5:$B$1004,$Q7,Hours_Log!$D$5:$D$1004,V$4)+SUMIFS(Toggl_Import!$AI$10:$AI$509,Toggl_Import!$AG$10:$AG$509,$Q7,Toggl_Import!$AH$10:$AH$509,V$4)</f>
        <v>0</v>
      </c>
      <c r="W7" s="36" t="n">
        <f aca="false">SUMIFS(Hours_Log!$E$5:$E$1004,Hours_Log!$B$5:$B$1004,$Q7,Hours_Log!$D$5:$D$1004,W$4)+SUMIFS(Toggl_Import!$AI$10:$AI$509,Toggl_Import!$AG$10:$AG$509,$Q7,Toggl_Import!$AH$10:$AH$509,W$4)</f>
        <v>0</v>
      </c>
      <c r="X7" s="36" t="n">
        <f aca="false">SUMIFS(Hours_Log!$E$5:$E$1004,Hours_Log!$B$5:$B$1004,$Q7,Hours_Log!$D$5:$D$1004,X$4)+SUMIFS(Toggl_Import!$AI$10:$AI$509,Toggl_Import!$AG$10:$AG$509,$Q7,Toggl_Import!$AH$10:$AH$509,X$4)</f>
        <v>0</v>
      </c>
      <c r="Y7" s="38" t="n">
        <f aca="false">SUM(R7:X7)</f>
        <v>0</v>
      </c>
    </row>
    <row r="8" customFormat="false" ht="15" hidden="false" customHeight="false" outlineLevel="0" collapsed="false">
      <c r="A8" s="102" t="n">
        <v>46324</v>
      </c>
      <c r="B8" s="103"/>
      <c r="C8" s="103"/>
      <c r="D8" s="104" t="s">
        <v>1306</v>
      </c>
      <c r="E8" s="105" t="n">
        <v>1.5</v>
      </c>
      <c r="F8" s="103" t="s">
        <v>1454</v>
      </c>
      <c r="Q8" s="30" t="str">
        <f aca="false">Schedule!A10</f>
        <v>DRP-004</v>
      </c>
      <c r="R8" s="36" t="n">
        <f aca="false">SUMIFS(Hours_Log!$E$5:$E$1004,Hours_Log!$B$5:$B$1004,$Q8,Hours_Log!$D$5:$D$1004,R$4)+SUMIFS(Toggl_Import!$AI$10:$AI$509,Toggl_Import!$AG$10:$AG$509,$Q8,Toggl_Import!$AH$10:$AH$509,R$4)</f>
        <v>0</v>
      </c>
      <c r="S8" s="36" t="n">
        <f aca="false">SUMIFS(Hours_Log!$E$5:$E$1004,Hours_Log!$B$5:$B$1004,$Q8,Hours_Log!$D$5:$D$1004,S$4)+SUMIFS(Toggl_Import!$AI$10:$AI$509,Toggl_Import!$AG$10:$AG$509,$Q8,Toggl_Import!$AH$10:$AH$509,S$4)</f>
        <v>0</v>
      </c>
      <c r="T8" s="36" t="n">
        <f aca="false">SUMIFS(Hours_Log!$E$5:$E$1004,Hours_Log!$B$5:$B$1004,$Q8,Hours_Log!$D$5:$D$1004,T$4)+SUMIFS(Toggl_Import!$AI$10:$AI$509,Toggl_Import!$AG$10:$AG$509,$Q8,Toggl_Import!$AH$10:$AH$509,T$4)</f>
        <v>0</v>
      </c>
      <c r="U8" s="36" t="n">
        <f aca="false">SUMIFS(Hours_Log!$E$5:$E$1004,Hours_Log!$B$5:$B$1004,$Q8,Hours_Log!$D$5:$D$1004,U$4)+SUMIFS(Toggl_Import!$AI$10:$AI$509,Toggl_Import!$AG$10:$AG$509,$Q8,Toggl_Import!$AH$10:$AH$509,U$4)</f>
        <v>0</v>
      </c>
      <c r="V8" s="36" t="n">
        <f aca="false">SUMIFS(Hours_Log!$E$5:$E$1004,Hours_Log!$B$5:$B$1004,$Q8,Hours_Log!$D$5:$D$1004,V$4)+SUMIFS(Toggl_Import!$AI$10:$AI$509,Toggl_Import!$AG$10:$AG$509,$Q8,Toggl_Import!$AH$10:$AH$509,V$4)</f>
        <v>0</v>
      </c>
      <c r="W8" s="36" t="n">
        <f aca="false">SUMIFS(Hours_Log!$E$5:$E$1004,Hours_Log!$B$5:$B$1004,$Q8,Hours_Log!$D$5:$D$1004,W$4)+SUMIFS(Toggl_Import!$AI$10:$AI$509,Toggl_Import!$AG$10:$AG$509,$Q8,Toggl_Import!$AH$10:$AH$509,W$4)</f>
        <v>0</v>
      </c>
      <c r="X8" s="36" t="n">
        <f aca="false">SUMIFS(Hours_Log!$E$5:$E$1004,Hours_Log!$B$5:$B$1004,$Q8,Hours_Log!$D$5:$D$1004,X$4)+SUMIFS(Toggl_Import!$AI$10:$AI$509,Toggl_Import!$AG$10:$AG$509,$Q8,Toggl_Import!$AH$10:$AH$509,X$4)</f>
        <v>0</v>
      </c>
      <c r="Y8" s="38" t="n">
        <f aca="false">SUM(R8:X8)</f>
        <v>0</v>
      </c>
    </row>
    <row r="9" customFormat="false" ht="15" hidden="false" customHeight="false" outlineLevel="0" collapsed="false">
      <c r="A9" s="102" t="n">
        <v>46329</v>
      </c>
      <c r="B9" s="103"/>
      <c r="C9" s="103"/>
      <c r="D9" s="104" t="s">
        <v>1307</v>
      </c>
      <c r="E9" s="105" t="n">
        <v>1.5</v>
      </c>
      <c r="F9" s="103" t="s">
        <v>1454</v>
      </c>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t="n">
        <v>46329</v>
      </c>
      <c r="B10" s="103"/>
      <c r="C10" s="103"/>
      <c r="D10" s="104" t="s">
        <v>1306</v>
      </c>
      <c r="E10" s="105" t="n">
        <v>1.5</v>
      </c>
      <c r="F10" s="103" t="s">
        <v>1454</v>
      </c>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t="n">
        <v>46331</v>
      </c>
      <c r="B11" s="103"/>
      <c r="C11" s="103"/>
      <c r="D11" s="104" t="s">
        <v>1307</v>
      </c>
      <c r="E11" s="105" t="n">
        <v>1.5</v>
      </c>
      <c r="F11" s="103" t="s">
        <v>1454</v>
      </c>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t="n">
        <v>46331</v>
      </c>
      <c r="B12" s="103"/>
      <c r="C12" s="103"/>
      <c r="D12" s="104" t="s">
        <v>1306</v>
      </c>
      <c r="E12" s="105" t="n">
        <v>1.5</v>
      </c>
      <c r="F12" s="103" t="s">
        <v>1454</v>
      </c>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t="n">
        <v>46336</v>
      </c>
      <c r="B13" s="103"/>
      <c r="C13" s="103"/>
      <c r="D13" s="104" t="s">
        <v>1307</v>
      </c>
      <c r="E13" s="105" t="n">
        <v>1.5</v>
      </c>
      <c r="F13" s="103" t="s">
        <v>1454</v>
      </c>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t="n">
        <v>46336</v>
      </c>
      <c r="B14" s="103"/>
      <c r="C14" s="103"/>
      <c r="D14" s="104" t="s">
        <v>1306</v>
      </c>
      <c r="E14" s="105" t="n">
        <v>1.5</v>
      </c>
      <c r="F14" s="103" t="s">
        <v>1454</v>
      </c>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t="n">
        <v>46343</v>
      </c>
      <c r="B15" s="103" t="s">
        <v>728</v>
      </c>
      <c r="C15" s="103" t="s">
        <v>1455</v>
      </c>
      <c r="D15" s="104" t="s">
        <v>1306</v>
      </c>
      <c r="E15" s="105" t="n">
        <v>2</v>
      </c>
      <c r="F15" s="103" t="s">
        <v>1456</v>
      </c>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t="n">
        <v>46344</v>
      </c>
      <c r="B16" s="103" t="s">
        <v>728</v>
      </c>
      <c r="C16" s="103" t="s">
        <v>1457</v>
      </c>
      <c r="D16" s="104" t="s">
        <v>1306</v>
      </c>
      <c r="E16" s="105" t="n">
        <v>2</v>
      </c>
      <c r="F16" s="103" t="s">
        <v>1456</v>
      </c>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t="n">
        <v>46350</v>
      </c>
      <c r="B17" s="103" t="s">
        <v>728</v>
      </c>
      <c r="C17" s="103" t="s">
        <v>1455</v>
      </c>
      <c r="D17" s="104" t="s">
        <v>1306</v>
      </c>
      <c r="E17" s="105" t="n">
        <v>2</v>
      </c>
      <c r="F17" s="103" t="s">
        <v>1456</v>
      </c>
      <c r="Q17" s="30" t="s">
        <v>1458</v>
      </c>
      <c r="R17" s="36" t="n">
        <f aca="false">SUMIFS(Hours_Log!$E$5:$E$1004,Hours_Log!$D$5:$D$1004,R$4)+SUMIFS(Toggl_Import!$AI$10:$AI$509,Toggl_Import!$AH$10:$AH$509,R$4)</f>
        <v>27.5</v>
      </c>
      <c r="S17" s="36" t="n">
        <f aca="false">SUMIFS(Hours_Log!$E$5:$E$1004,Hours_Log!$D$5:$D$1004,S$4)+SUMIFS(Toggl_Import!$AI$10:$AI$509,Toggl_Import!$AH$10:$AH$509,S$4)</f>
        <v>27.5</v>
      </c>
      <c r="T17" s="36" t="n">
        <f aca="false">SUMIFS(Hours_Log!$E$5:$E$1004,Hours_Log!$D$5:$D$1004,T$4)+SUMIFS(Toggl_Import!$AI$10:$AI$509,Toggl_Import!$AH$10:$AH$509,T$4)</f>
        <v>3</v>
      </c>
      <c r="U17" s="36" t="n">
        <f aca="false">SUMIFS(Hours_Log!$E$5:$E$1004,Hours_Log!$D$5:$D$1004,U$4)+SUMIFS(Toggl_Import!$AI$10:$AI$509,Toggl_Import!$AH$10:$AH$509,U$4)</f>
        <v>5</v>
      </c>
      <c r="V17" s="36" t="n">
        <f aca="false">SUMIFS(Hours_Log!$E$5:$E$1004,Hours_Log!$D$5:$D$1004,V$4)+SUMIFS(Toggl_Import!$AI$10:$AI$509,Toggl_Import!$AH$10:$AH$509,V$4)</f>
        <v>3</v>
      </c>
      <c r="W17" s="36" t="n">
        <f aca="false">SUMIFS(Hours_Log!$E$5:$E$1004,Hours_Log!$D$5:$D$1004,W$4)+SUMIFS(Toggl_Import!$AI$10:$AI$509,Toggl_Import!$AH$10:$AH$509,W$4)</f>
        <v>4</v>
      </c>
      <c r="X17" s="36" t="n">
        <f aca="false">SUMIFS(Hours_Log!$E$5:$E$1004,Hours_Log!$D$5:$D$1004,X$4)+SUMIFS(Toggl_Import!$AI$10:$AI$509,Toggl_Import!$AH$10:$AH$509,X$4)</f>
        <v>2</v>
      </c>
      <c r="Y17" s="38" t="n">
        <f aca="false">SUM(R17:X17)</f>
        <v>72</v>
      </c>
    </row>
    <row r="18" customFormat="false" ht="15" hidden="false" customHeight="false" outlineLevel="0" collapsed="false">
      <c r="A18" s="102" t="n">
        <v>46351</v>
      </c>
      <c r="B18" s="103" t="s">
        <v>728</v>
      </c>
      <c r="C18" s="103" t="s">
        <v>1457</v>
      </c>
      <c r="D18" s="104" t="s">
        <v>1306</v>
      </c>
      <c r="E18" s="105" t="n">
        <v>2</v>
      </c>
      <c r="F18" s="103" t="s">
        <v>1456</v>
      </c>
      <c r="Q18" s="30" t="s">
        <v>1459</v>
      </c>
      <c r="R18" s="36" t="n">
        <f aca="false">R17-SUM(R5:R16)</f>
        <v>7.5</v>
      </c>
      <c r="S18" s="36" t="n">
        <f aca="false">S17-SUM(S5:S16)</f>
        <v>7.5</v>
      </c>
      <c r="T18" s="36" t="n">
        <f aca="false">T17-SUM(T5:T16)</f>
        <v>0</v>
      </c>
      <c r="U18" s="36" t="n">
        <f aca="false">U17-SUM(U5:U16)</f>
        <v>0</v>
      </c>
      <c r="V18" s="36" t="n">
        <f aca="false">V17-SUM(V5:V16)</f>
        <v>0</v>
      </c>
      <c r="W18" s="36" t="n">
        <f aca="false">W17-SUM(W5:W16)</f>
        <v>0</v>
      </c>
      <c r="X18" s="36" t="n">
        <f aca="false">X17-SUM(X5:X16)</f>
        <v>0</v>
      </c>
      <c r="Y18" s="36" t="n">
        <f aca="false">Y17-SUM(Y5:Y16)</f>
        <v>15</v>
      </c>
    </row>
    <row r="19" customFormat="false" ht="15" hidden="false" customHeight="false" outlineLevel="0" collapsed="false">
      <c r="A19" s="102" t="n">
        <v>46357</v>
      </c>
      <c r="B19" s="103" t="s">
        <v>728</v>
      </c>
      <c r="C19" s="103" t="s">
        <v>1455</v>
      </c>
      <c r="D19" s="104" t="s">
        <v>1306</v>
      </c>
      <c r="E19" s="105" t="n">
        <v>2</v>
      </c>
      <c r="F19" s="103" t="s">
        <v>1456</v>
      </c>
    </row>
    <row r="20" customFormat="false" ht="15" hidden="false" customHeight="false" outlineLevel="0" collapsed="false">
      <c r="A20" s="102" t="n">
        <v>46358</v>
      </c>
      <c r="B20" s="103" t="s">
        <v>728</v>
      </c>
      <c r="C20" s="103" t="s">
        <v>1457</v>
      </c>
      <c r="D20" s="104" t="s">
        <v>1306</v>
      </c>
      <c r="E20" s="105" t="n">
        <v>2</v>
      </c>
      <c r="F20" s="103" t="s">
        <v>1456</v>
      </c>
      <c r="Q20" s="84" t="s">
        <v>1460</v>
      </c>
    </row>
    <row r="21" customFormat="false" ht="30" hidden="false" customHeight="true" outlineLevel="0" collapsed="false">
      <c r="A21" s="102" t="n">
        <v>46360</v>
      </c>
      <c r="B21" s="103" t="s">
        <v>728</v>
      </c>
      <c r="C21" s="103" t="s">
        <v>1455</v>
      </c>
      <c r="D21" s="104" t="s">
        <v>1306</v>
      </c>
      <c r="E21" s="105" t="n">
        <v>2</v>
      </c>
      <c r="F21" s="103" t="s">
        <v>1456</v>
      </c>
      <c r="Q21" s="12" t="s">
        <v>1461</v>
      </c>
      <c r="R21" s="12" t="s">
        <v>1462</v>
      </c>
      <c r="S21" s="12" t="s">
        <v>1306</v>
      </c>
      <c r="T21" s="12" t="s">
        <v>1307</v>
      </c>
      <c r="U21" s="12" t="s">
        <v>1308</v>
      </c>
      <c r="V21" s="12" t="s">
        <v>1309</v>
      </c>
      <c r="W21" s="12" t="s">
        <v>1310</v>
      </c>
      <c r="X21" s="12" t="s">
        <v>1311</v>
      </c>
      <c r="Y21" s="12" t="s">
        <v>1312</v>
      </c>
      <c r="Z21" s="12" t="s">
        <v>1313</v>
      </c>
      <c r="AA21" s="12" t="s">
        <v>1463</v>
      </c>
    </row>
    <row r="22" customFormat="false" ht="15" hidden="false" customHeight="false" outlineLevel="0" collapsed="false">
      <c r="A22" s="102" t="n">
        <v>46363</v>
      </c>
      <c r="B22" s="103" t="s">
        <v>728</v>
      </c>
      <c r="C22" s="103" t="s">
        <v>1457</v>
      </c>
      <c r="D22" s="104" t="s">
        <v>1306</v>
      </c>
      <c r="E22" s="105" t="n">
        <v>2</v>
      </c>
      <c r="F22" s="103" t="s">
        <v>1456</v>
      </c>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3</v>
      </c>
      <c r="T22" s="36" t="n">
        <f aca="false">SUMIFS(Hours_Log!$E$5:$E$1004,Hours_Log!$A$5:$A$1004,"&gt;="&amp;$R22,Hours_Log!$A$5:$A$1004,"&lt;"&amp;$R22+Inputs!$C$18,Hours_Log!$D$5:$D$1004,T$21)+SUMIFS(Toggl_Import!$AI$10:$AI$509,Toggl_Import!$AF$10:$AF$509,"&gt;="&amp;$R22,Toggl_Import!$AF$10:$AF$509,"&lt;"&amp;$R22+Inputs!$C$18,Toggl_Import!$AH$10:$AH$509,T$21)</f>
        <v>3</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6</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t="n">
        <v>46363</v>
      </c>
      <c r="B23" s="103" t="s">
        <v>728</v>
      </c>
      <c r="C23" s="103" t="s">
        <v>1455</v>
      </c>
      <c r="D23" s="104" t="s">
        <v>1306</v>
      </c>
      <c r="E23" s="105" t="n">
        <v>2</v>
      </c>
      <c r="F23" s="103" t="s">
        <v>1456</v>
      </c>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3</v>
      </c>
      <c r="T23" s="36" t="n">
        <f aca="false">SUMIFS(Hours_Log!$E$5:$E$1004,Hours_Log!$A$5:$A$1004,"&gt;="&amp;$R23,Hours_Log!$A$5:$A$1004,"&lt;"&amp;$R23+Inputs!$C$18,Hours_Log!$D$5:$D$1004,T$21)+SUMIFS(Toggl_Import!$AI$10:$AI$509,Toggl_Import!$AF$10:$AF$509,"&gt;="&amp;$R23,Toggl_Import!$AF$10:$AF$509,"&lt;"&amp;$R23+Inputs!$C$18,Toggl_Import!$AH$10:$AH$509,T$21)</f>
        <v>3</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6</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t="n">
        <v>46364</v>
      </c>
      <c r="B24" s="103" t="s">
        <v>728</v>
      </c>
      <c r="C24" s="103" t="s">
        <v>1457</v>
      </c>
      <c r="D24" s="104" t="s">
        <v>1306</v>
      </c>
      <c r="E24" s="105" t="n">
        <v>2</v>
      </c>
      <c r="F24" s="103" t="s">
        <v>1456</v>
      </c>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1.5</v>
      </c>
      <c r="T24" s="36" t="n">
        <f aca="false">SUMIFS(Hours_Log!$E$5:$E$1004,Hours_Log!$A$5:$A$1004,"&gt;="&amp;$R24,Hours_Log!$A$5:$A$1004,"&lt;"&amp;$R24+Inputs!$C$18,Hours_Log!$D$5:$D$1004,T$21)+SUMIFS(Toggl_Import!$AI$10:$AI$509,Toggl_Import!$AF$10:$AF$509,"&gt;="&amp;$R24,Toggl_Import!$AF$10:$AF$509,"&lt;"&amp;$R24+Inputs!$C$18,Toggl_Import!$AH$10:$AH$509,T$21)</f>
        <v>1.5</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3</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t="n">
        <v>46342</v>
      </c>
      <c r="B25" s="103" t="s">
        <v>728</v>
      </c>
      <c r="C25" s="103"/>
      <c r="D25" s="104" t="s">
        <v>1307</v>
      </c>
      <c r="E25" s="105" t="n">
        <v>4</v>
      </c>
      <c r="F25" s="103" t="s">
        <v>1464</v>
      </c>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4</v>
      </c>
      <c r="T25" s="36" t="n">
        <f aca="false">SUMIFS(Hours_Log!$E$5:$E$1004,Hours_Log!$A$5:$A$1004,"&gt;="&amp;$R25,Hours_Log!$A$5:$A$1004,"&lt;"&amp;$R25+Inputs!$C$18,Hours_Log!$D$5:$D$1004,T$21)+SUMIFS(Toggl_Import!$AI$10:$AI$509,Toggl_Import!$AF$10:$AF$509,"&gt;="&amp;$R25,Toggl_Import!$AF$10:$AF$509,"&lt;"&amp;$R25+Inputs!$C$18,Toggl_Import!$AH$10:$AH$509,T$21)</f>
        <v>8</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12</v>
      </c>
      <c r="AA25" s="36" t="n">
        <f aca="false">SUMIFS(Hours_Log!$E$5:$E$1004,Hours_Log!$A$5:$A$1004,"&gt;="&amp;$R25,Hours_Log!$A$5:$A$1004,"&lt;"&amp;$R25+Inputs!$C$18,Hours_Log!$B$5:$B$1004,Inputs!$C$30&amp;"*")+SUMIFS(Toggl_Import!$AI$10:$AI$509,Toggl_Import!$AF$10:$AF$509,"&gt;="&amp;$R25,Toggl_Import!$AF$10:$AF$509,"&lt;"&amp;$R25+Inputs!$C$18,Toggl_Import!$AG$10:$AG$509,Inputs!$C$30&amp;"*")</f>
        <v>12</v>
      </c>
    </row>
    <row r="26" customFormat="false" ht="15" hidden="false" customHeight="false" outlineLevel="0" collapsed="false">
      <c r="A26" s="102" t="n">
        <v>46344</v>
      </c>
      <c r="B26" s="103" t="s">
        <v>728</v>
      </c>
      <c r="C26" s="103"/>
      <c r="D26" s="104" t="s">
        <v>1307</v>
      </c>
      <c r="E26" s="105" t="n">
        <v>4</v>
      </c>
      <c r="F26" s="103" t="s">
        <v>1464</v>
      </c>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4</v>
      </c>
      <c r="T26" s="36" t="n">
        <f aca="false">SUMIFS(Hours_Log!$E$5:$E$1004,Hours_Log!$A$5:$A$1004,"&gt;="&amp;$R26,Hours_Log!$A$5:$A$1004,"&lt;"&amp;$R26+Inputs!$C$18,Hours_Log!$D$5:$D$1004,T$21)+SUMIFS(Toggl_Import!$AI$10:$AI$509,Toggl_Import!$AF$10:$AF$509,"&gt;="&amp;$R26,Toggl_Import!$AF$10:$AF$509,"&lt;"&amp;$R26+Inputs!$C$18,Toggl_Import!$AH$10:$AH$509,T$21)</f>
        <v>4</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8</v>
      </c>
      <c r="AA26" s="36" t="n">
        <f aca="false">SUMIFS(Hours_Log!$E$5:$E$1004,Hours_Log!$A$5:$A$1004,"&gt;="&amp;$R26,Hours_Log!$A$5:$A$1004,"&lt;"&amp;$R26+Inputs!$C$18,Hours_Log!$B$5:$B$1004,Inputs!$C$30&amp;"*")+SUMIFS(Toggl_Import!$AI$10:$AI$509,Toggl_Import!$AF$10:$AF$509,"&gt;="&amp;$R26,Toggl_Import!$AF$10:$AF$509,"&lt;"&amp;$R26+Inputs!$C$18,Toggl_Import!$AG$10:$AG$509,Inputs!$C$30&amp;"*")</f>
        <v>8</v>
      </c>
    </row>
    <row r="27" customFormat="false" ht="15" hidden="false" customHeight="false" outlineLevel="0" collapsed="false">
      <c r="A27" s="102" t="n">
        <v>46350</v>
      </c>
      <c r="B27" s="103" t="s">
        <v>728</v>
      </c>
      <c r="C27" s="103"/>
      <c r="D27" s="104" t="s">
        <v>1307</v>
      </c>
      <c r="E27" s="105" t="n">
        <v>4</v>
      </c>
      <c r="F27" s="103" t="s">
        <v>1464</v>
      </c>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6</v>
      </c>
      <c r="T27" s="36" t="n">
        <f aca="false">SUMIFS(Hours_Log!$E$5:$E$1004,Hours_Log!$A$5:$A$1004,"&gt;="&amp;$R27,Hours_Log!$A$5:$A$1004,"&lt;"&amp;$R27+Inputs!$C$18,Hours_Log!$D$5:$D$1004,T$21)+SUMIFS(Toggl_Import!$AI$10:$AI$509,Toggl_Import!$AF$10:$AF$509,"&gt;="&amp;$R27,Toggl_Import!$AF$10:$AF$509,"&lt;"&amp;$R27+Inputs!$C$18,Toggl_Import!$AH$10:$AH$509,T$21)</f>
        <v>8</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14</v>
      </c>
      <c r="AA27" s="36" t="n">
        <f aca="false">SUMIFS(Hours_Log!$E$5:$E$1004,Hours_Log!$A$5:$A$1004,"&gt;="&amp;$R27,Hours_Log!$A$5:$A$1004,"&lt;"&amp;$R27+Inputs!$C$18,Hours_Log!$B$5:$B$1004,Inputs!$C$30&amp;"*")+SUMIFS(Toggl_Import!$AI$10:$AI$509,Toggl_Import!$AF$10:$AF$509,"&gt;="&amp;$R27,Toggl_Import!$AF$10:$AF$509,"&lt;"&amp;$R27+Inputs!$C$18,Toggl_Import!$AG$10:$AG$509,Inputs!$C$30&amp;"*")</f>
        <v>14</v>
      </c>
    </row>
    <row r="28" customFormat="false" ht="15" hidden="false" customHeight="false" outlineLevel="0" collapsed="false">
      <c r="A28" s="102" t="n">
        <v>46357</v>
      </c>
      <c r="B28" s="103" t="s">
        <v>728</v>
      </c>
      <c r="C28" s="103"/>
      <c r="D28" s="104" t="s">
        <v>1307</v>
      </c>
      <c r="E28" s="105" t="n">
        <v>4</v>
      </c>
      <c r="F28" s="103" t="s">
        <v>1464</v>
      </c>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6</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1</v>
      </c>
      <c r="Z28" s="38" t="n">
        <f aca="false">SUM(S28:Y28)</f>
        <v>7</v>
      </c>
      <c r="AA28" s="36" t="n">
        <f aca="false">SUMIFS(Hours_Log!$E$5:$E$1004,Hours_Log!$A$5:$A$1004,"&gt;="&amp;$R28,Hours_Log!$A$5:$A$1004,"&lt;"&amp;$R28+Inputs!$C$18,Hours_Log!$B$5:$B$1004,Inputs!$C$30&amp;"*")+SUMIFS(Toggl_Import!$AI$10:$AI$509,Toggl_Import!$AF$10:$AF$509,"&gt;="&amp;$R28,Toggl_Import!$AF$10:$AF$509,"&lt;"&amp;$R28+Inputs!$C$18,Toggl_Import!$AG$10:$AG$509,Inputs!$C$30&amp;"*")</f>
        <v>7</v>
      </c>
    </row>
    <row r="29" customFormat="false" ht="15" hidden="false" customHeight="false" outlineLevel="0" collapsed="false">
      <c r="A29" s="102" t="n">
        <v>46359</v>
      </c>
      <c r="B29" s="103" t="s">
        <v>728</v>
      </c>
      <c r="C29" s="103"/>
      <c r="D29" s="104" t="s">
        <v>1307</v>
      </c>
      <c r="E29" s="105" t="n">
        <v>4</v>
      </c>
      <c r="F29" s="103" t="s">
        <v>1464</v>
      </c>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0</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0</v>
      </c>
      <c r="AA29" s="36" t="n">
        <f aca="false">SUMIFS(Hours_Log!$E$5:$E$1004,Hours_Log!$A$5:$A$1004,"&gt;="&amp;$R29,Hours_Log!$A$5:$A$1004,"&lt;"&amp;$R29+Inputs!$C$18,Hours_Log!$B$5:$B$1004,Inputs!$C$30&amp;"*")+SUMIFS(Toggl_Import!$AI$10:$AI$509,Toggl_Import!$AF$10:$AF$509,"&gt;="&amp;$R29,Toggl_Import!$AF$10:$AF$509,"&lt;"&amp;$R29+Inputs!$C$18,Toggl_Import!$AG$10:$AG$509,Inputs!$C$30&amp;"*")</f>
        <v>0</v>
      </c>
    </row>
    <row r="30" customFormat="false" ht="15" hidden="false" customHeight="false" outlineLevel="0" collapsed="false">
      <c r="A30" s="102" t="n">
        <v>46384</v>
      </c>
      <c r="B30" s="103" t="s">
        <v>728</v>
      </c>
      <c r="C30" s="103"/>
      <c r="D30" s="104" t="s">
        <v>1308</v>
      </c>
      <c r="E30" s="105" t="n">
        <v>1</v>
      </c>
      <c r="F30" s="103" t="s">
        <v>1465</v>
      </c>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0</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0</v>
      </c>
      <c r="AA30" s="36" t="n">
        <f aca="false">SUMIFS(Hours_Log!$E$5:$E$1004,Hours_Log!$A$5:$A$1004,"&gt;="&amp;$R30,Hours_Log!$A$5:$A$1004,"&lt;"&amp;$R30+Inputs!$C$18,Hours_Log!$B$5:$B$1004,Inputs!$C$30&amp;"*")+SUMIFS(Toggl_Import!$AI$10:$AI$509,Toggl_Import!$AF$10:$AF$509,"&gt;="&amp;$R30,Toggl_Import!$AF$10:$AF$509,"&lt;"&amp;$R30+Inputs!$C$18,Toggl_Import!$AG$10:$AG$509,Inputs!$C$30&amp;"*")</f>
        <v>0</v>
      </c>
    </row>
    <row r="31" customFormat="false" ht="15" hidden="false" customHeight="false" outlineLevel="0" collapsed="false">
      <c r="A31" s="102" t="n">
        <v>46386</v>
      </c>
      <c r="B31" s="103" t="s">
        <v>728</v>
      </c>
      <c r="C31" s="103"/>
      <c r="D31" s="104" t="s">
        <v>1308</v>
      </c>
      <c r="E31" s="105" t="n">
        <v>1</v>
      </c>
      <c r="F31" s="103" t="s">
        <v>1466</v>
      </c>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0</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2</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2</v>
      </c>
      <c r="AA31" s="36" t="n">
        <f aca="false">SUMIFS(Hours_Log!$E$5:$E$1004,Hours_Log!$A$5:$A$1004,"&gt;="&amp;$R31,Hours_Log!$A$5:$A$1004,"&lt;"&amp;$R31+Inputs!$C$18,Hours_Log!$B$5:$B$1004,Inputs!$C$30&amp;"*")+SUMIFS(Toggl_Import!$AI$10:$AI$509,Toggl_Import!$AF$10:$AF$509,"&gt;="&amp;$R31,Toggl_Import!$AF$10:$AF$509,"&lt;"&amp;$R31+Inputs!$C$18,Toggl_Import!$AG$10:$AG$509,Inputs!$C$30&amp;"*")</f>
        <v>2</v>
      </c>
    </row>
    <row r="32" customFormat="false" ht="15" hidden="false" customHeight="false" outlineLevel="0" collapsed="false">
      <c r="A32" s="102" t="n">
        <v>46398</v>
      </c>
      <c r="B32" s="103" t="s">
        <v>728</v>
      </c>
      <c r="C32" s="103"/>
      <c r="D32" s="104" t="s">
        <v>1308</v>
      </c>
      <c r="E32" s="105" t="n">
        <v>1</v>
      </c>
      <c r="F32" s="103" t="s">
        <v>1467</v>
      </c>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0</v>
      </c>
      <c r="T32" s="36" t="n">
        <f aca="false">SUMIFS(Hours_Log!$E$5:$E$1004,Hours_Log!$A$5:$A$1004,"&gt;="&amp;$R32,Hours_Log!$A$5:$A$1004,"&lt;"&amp;$R32+Inputs!$C$18,Hours_Log!$D$5:$D$1004,T$21)+SUMIFS(Toggl_Import!$AI$10:$AI$509,Toggl_Import!$AF$10:$AF$509,"&gt;="&amp;$R32,Toggl_Import!$AF$10:$AF$509,"&lt;"&amp;$R32+Inputs!$C$18,Toggl_Import!$AH$10:$AH$509,T$21)</f>
        <v>0</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0</v>
      </c>
      <c r="Z32" s="38" t="n">
        <f aca="false">SUM(S32:Y32)</f>
        <v>0</v>
      </c>
      <c r="AA32" s="36" t="n">
        <f aca="false">SUMIFS(Hours_Log!$E$5:$E$1004,Hours_Log!$A$5:$A$1004,"&gt;="&amp;$R32,Hours_Log!$A$5:$A$1004,"&lt;"&amp;$R32+Inputs!$C$18,Hours_Log!$B$5:$B$1004,Inputs!$C$30&amp;"*")+SUMIFS(Toggl_Import!$AI$10:$AI$509,Toggl_Import!$AF$10:$AF$509,"&gt;="&amp;$R32,Toggl_Import!$AF$10:$AF$509,"&lt;"&amp;$R32+Inputs!$C$18,Toggl_Import!$AG$10:$AG$509,Inputs!$C$30&amp;"*")</f>
        <v>0</v>
      </c>
    </row>
    <row r="33" customFormat="false" ht="15" hidden="false" customHeight="false" outlineLevel="0" collapsed="false">
      <c r="A33" s="102" t="n">
        <v>46399</v>
      </c>
      <c r="B33" s="103" t="s">
        <v>728</v>
      </c>
      <c r="C33" s="103"/>
      <c r="D33" s="104" t="s">
        <v>1309</v>
      </c>
      <c r="E33" s="105" t="n">
        <v>5</v>
      </c>
      <c r="F33" s="103" t="s">
        <v>1468</v>
      </c>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0</v>
      </c>
      <c r="T33" s="36" t="n">
        <f aca="false">SUMIFS(Hours_Log!$E$5:$E$1004,Hours_Log!$A$5:$A$1004,"&gt;="&amp;$R33,Hours_Log!$A$5:$A$1004,"&lt;"&amp;$R33+Inputs!$C$18,Hours_Log!$D$5:$D$1004,T$21)+SUMIFS(Toggl_Import!$AI$10:$AI$509,Toggl_Import!$AF$10:$AF$509,"&gt;="&amp;$R33,Toggl_Import!$AF$10:$AF$509,"&lt;"&amp;$R33+Inputs!$C$18,Toggl_Import!$AH$10:$AH$509,T$21)</f>
        <v>0</v>
      </c>
      <c r="U33" s="36" t="n">
        <f aca="false">SUMIFS(Hours_Log!$E$5:$E$1004,Hours_Log!$A$5:$A$1004,"&gt;="&amp;$R33,Hours_Log!$A$5:$A$1004,"&lt;"&amp;$R33+Inputs!$C$18,Hours_Log!$D$5:$D$1004,U$21)+SUMIFS(Toggl_Import!$AI$10:$AI$509,Toggl_Import!$AF$10:$AF$509,"&gt;="&amp;$R33,Toggl_Import!$AF$10:$AF$509,"&lt;"&amp;$R33+Inputs!$C$18,Toggl_Import!$AH$10:$AH$509,U$21)</f>
        <v>1</v>
      </c>
      <c r="V33" s="36" t="n">
        <f aca="false">SUMIFS(Hours_Log!$E$5:$E$1004,Hours_Log!$A$5:$A$1004,"&gt;="&amp;$R33,Hours_Log!$A$5:$A$1004,"&lt;"&amp;$R33+Inputs!$C$18,Hours_Log!$D$5:$D$1004,V$21)+SUMIFS(Toggl_Import!$AI$10:$AI$509,Toggl_Import!$AF$10:$AF$509,"&gt;="&amp;$R33,Toggl_Import!$AF$10:$AF$509,"&lt;"&amp;$R33+Inputs!$C$18,Toggl_Import!$AH$10:$AH$509,V$21)</f>
        <v>5</v>
      </c>
      <c r="W33" s="36" t="n">
        <f aca="false">SUMIFS(Hours_Log!$E$5:$E$1004,Hours_Log!$A$5:$A$1004,"&gt;="&amp;$R33,Hours_Log!$A$5:$A$1004,"&lt;"&amp;$R33+Inputs!$C$18,Hours_Log!$D$5:$D$1004,W$21)+SUMIFS(Toggl_Import!$AI$10:$AI$509,Toggl_Import!$AF$10:$AF$509,"&gt;="&amp;$R33,Toggl_Import!$AF$10:$AF$509,"&lt;"&amp;$R33+Inputs!$C$18,Toggl_Import!$AH$10:$AH$509,W$21)</f>
        <v>1.5</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1</v>
      </c>
      <c r="Z33" s="38" t="n">
        <f aca="false">SUM(S33:Y33)</f>
        <v>8.5</v>
      </c>
      <c r="AA33" s="36" t="n">
        <f aca="false">SUMIFS(Hours_Log!$E$5:$E$1004,Hours_Log!$A$5:$A$1004,"&gt;="&amp;$R33,Hours_Log!$A$5:$A$1004,"&lt;"&amp;$R33+Inputs!$C$18,Hours_Log!$B$5:$B$1004,Inputs!$C$30&amp;"*")+SUMIFS(Toggl_Import!$AI$10:$AI$509,Toggl_Import!$AF$10:$AF$509,"&gt;="&amp;$R33,Toggl_Import!$AF$10:$AF$509,"&lt;"&amp;$R33+Inputs!$C$18,Toggl_Import!$AG$10:$AG$509,Inputs!$C$30&amp;"*")</f>
        <v>8.5</v>
      </c>
    </row>
    <row r="34" customFormat="false" ht="15" hidden="false" customHeight="false" outlineLevel="0" collapsed="false">
      <c r="A34" s="102" t="n">
        <v>46401</v>
      </c>
      <c r="B34" s="103" t="s">
        <v>728</v>
      </c>
      <c r="C34" s="103"/>
      <c r="D34" s="104" t="s">
        <v>1310</v>
      </c>
      <c r="E34" s="105" t="n">
        <v>1.5</v>
      </c>
      <c r="F34" s="103" t="s">
        <v>1469</v>
      </c>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0</v>
      </c>
      <c r="T34" s="36" t="n">
        <f aca="false">SUMIFS(Hours_Log!$E$5:$E$1004,Hours_Log!$A$5:$A$1004,"&gt;="&amp;$R34,Hours_Log!$A$5:$A$1004,"&lt;"&amp;$R34+Inputs!$C$18,Hours_Log!$D$5:$D$1004,T$21)+SUMIFS(Toggl_Import!$AI$10:$AI$509,Toggl_Import!$AF$10:$AF$509,"&gt;="&amp;$R34,Toggl_Import!$AF$10:$AF$509,"&lt;"&amp;$R34+Inputs!$C$18,Toggl_Import!$AH$10:$AH$509,T$21)</f>
        <v>0</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1.5</v>
      </c>
      <c r="X34" s="36" t="n">
        <f aca="false">SUMIFS(Hours_Log!$E$5:$E$1004,Hours_Log!$A$5:$A$1004,"&gt;="&amp;$R34,Hours_Log!$A$5:$A$1004,"&lt;"&amp;$R34+Inputs!$C$18,Hours_Log!$D$5:$D$1004,X$21)+SUMIFS(Toggl_Import!$AI$10:$AI$509,Toggl_Import!$AF$10:$AF$509,"&gt;="&amp;$R34,Toggl_Import!$AF$10:$AF$509,"&lt;"&amp;$R34+Inputs!$C$18,Toggl_Import!$AH$10:$AH$509,X$21)</f>
        <v>3</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4.5</v>
      </c>
      <c r="AA34" s="36" t="n">
        <f aca="false">SUMIFS(Hours_Log!$E$5:$E$1004,Hours_Log!$A$5:$A$1004,"&gt;="&amp;$R34,Hours_Log!$A$5:$A$1004,"&lt;"&amp;$R34+Inputs!$C$18,Hours_Log!$B$5:$B$1004,Inputs!$C$30&amp;"*")+SUMIFS(Toggl_Import!$AI$10:$AI$509,Toggl_Import!$AF$10:$AF$509,"&gt;="&amp;$R34,Toggl_Import!$AF$10:$AF$509,"&lt;"&amp;$R34+Inputs!$C$18,Toggl_Import!$AG$10:$AG$509,Inputs!$C$30&amp;"*")</f>
        <v>4.5</v>
      </c>
    </row>
    <row r="35" customFormat="false" ht="15" hidden="false" customHeight="false" outlineLevel="0" collapsed="false">
      <c r="A35" s="102" t="n">
        <v>46406</v>
      </c>
      <c r="B35" s="103" t="s">
        <v>728</v>
      </c>
      <c r="C35" s="103"/>
      <c r="D35" s="104" t="s">
        <v>1310</v>
      </c>
      <c r="E35" s="105" t="n">
        <v>1.5</v>
      </c>
      <c r="F35" s="103" t="s">
        <v>1470</v>
      </c>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0</v>
      </c>
      <c r="T35" s="36" t="n">
        <f aca="false">SUMIFS(Hours_Log!$E$5:$E$1004,Hours_Log!$A$5:$A$1004,"&gt;="&amp;$R35,Hours_Log!$A$5:$A$1004,"&lt;"&amp;$R35+Inputs!$C$18,Hours_Log!$D$5:$D$1004,T$21)+SUMIFS(Toggl_Import!$AI$10:$AI$509,Toggl_Import!$AF$10:$AF$509,"&gt;="&amp;$R35,Toggl_Import!$AF$10:$AF$509,"&lt;"&amp;$R35+Inputs!$C$18,Toggl_Import!$AH$10:$AH$509,T$21)</f>
        <v>0</v>
      </c>
      <c r="U35" s="36" t="n">
        <f aca="false">SUMIFS(Hours_Log!$E$5:$E$1004,Hours_Log!$A$5:$A$1004,"&gt;="&amp;$R35,Hours_Log!$A$5:$A$1004,"&lt;"&amp;$R35+Inputs!$C$18,Hours_Log!$D$5:$D$1004,U$21)+SUMIFS(Toggl_Import!$AI$10:$AI$509,Toggl_Import!$AF$10:$AF$509,"&gt;="&amp;$R35,Toggl_Import!$AF$10:$AF$509,"&lt;"&amp;$R35+Inputs!$C$18,Toggl_Import!$AH$10:$AH$509,U$21)</f>
        <v>0</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1</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1</v>
      </c>
      <c r="AA35" s="36" t="n">
        <f aca="false">SUMIFS(Hours_Log!$E$5:$E$1004,Hours_Log!$A$5:$A$1004,"&gt;="&amp;$R35,Hours_Log!$A$5:$A$1004,"&lt;"&amp;$R35+Inputs!$C$18,Hours_Log!$B$5:$B$1004,Inputs!$C$30&amp;"*")+SUMIFS(Toggl_Import!$AI$10:$AI$509,Toggl_Import!$AF$10:$AF$509,"&gt;="&amp;$R35,Toggl_Import!$AF$10:$AF$509,"&lt;"&amp;$R35+Inputs!$C$18,Toggl_Import!$AG$10:$AG$509,Inputs!$C$30&amp;"*")</f>
        <v>1</v>
      </c>
    </row>
    <row r="36" customFormat="false" ht="15" hidden="false" customHeight="false" outlineLevel="0" collapsed="false">
      <c r="A36" s="102" t="n">
        <v>46409</v>
      </c>
      <c r="B36" s="103" t="s">
        <v>728</v>
      </c>
      <c r="C36" s="103" t="s">
        <v>1455</v>
      </c>
      <c r="D36" s="104" t="s">
        <v>1311</v>
      </c>
      <c r="E36" s="105" t="n">
        <v>1.5</v>
      </c>
      <c r="F36" s="103" t="s">
        <v>1471</v>
      </c>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0</v>
      </c>
      <c r="U36" s="36" t="n">
        <f aca="false">SUMIFS(Hours_Log!$E$5:$E$1004,Hours_Log!$A$5:$A$1004,"&gt;="&amp;$R36,Hours_Log!$A$5:$A$1004,"&lt;"&amp;$R36+Inputs!$C$18,Hours_Log!$D$5:$D$1004,U$21)+SUMIFS(Toggl_Import!$AI$10:$AI$509,Toggl_Import!$AF$10:$AF$509,"&gt;="&amp;$R36,Toggl_Import!$AF$10:$AF$509,"&lt;"&amp;$R36+Inputs!$C$18,Toggl_Import!$AH$10:$AH$509,U$21)</f>
        <v>0</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0</v>
      </c>
      <c r="AA36" s="36" t="n">
        <f aca="false">SUMIFS(Hours_Log!$E$5:$E$1004,Hours_Log!$A$5:$A$1004,"&gt;="&amp;$R36,Hours_Log!$A$5:$A$1004,"&lt;"&amp;$R36+Inputs!$C$18,Hours_Log!$B$5:$B$1004,Inputs!$C$30&amp;"*")+SUMIFS(Toggl_Import!$AI$10:$AI$509,Toggl_Import!$AF$10:$AF$509,"&gt;="&amp;$R36,Toggl_Import!$AF$10:$AF$509,"&lt;"&amp;$R36+Inputs!$C$18,Toggl_Import!$AG$10:$AG$509,Inputs!$C$30&amp;"*")</f>
        <v>0</v>
      </c>
    </row>
    <row r="37" customFormat="false" ht="15" hidden="false" customHeight="false" outlineLevel="0" collapsed="false">
      <c r="A37" s="102" t="n">
        <v>46409</v>
      </c>
      <c r="B37" s="103" t="s">
        <v>728</v>
      </c>
      <c r="C37" s="103" t="s">
        <v>1457</v>
      </c>
      <c r="D37" s="104" t="s">
        <v>1311</v>
      </c>
      <c r="E37" s="105" t="n">
        <v>1.5</v>
      </c>
      <c r="F37" s="103" t="s">
        <v>1471</v>
      </c>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0</v>
      </c>
      <c r="V37" s="36" t="n">
        <f aca="false">SUMIFS(Hours_Log!$E$5:$E$1004,Hours_Log!$A$5:$A$1004,"&gt;="&amp;$R37,Hours_Log!$A$5:$A$1004,"&lt;"&amp;$R37+Inputs!$C$18,Hours_Log!$D$5:$D$1004,V$21)+SUMIFS(Toggl_Import!$AI$10:$AI$509,Toggl_Import!$AF$10:$AF$509,"&gt;="&amp;$R37,Toggl_Import!$AF$10:$AF$509,"&lt;"&amp;$R37+Inputs!$C$18,Toggl_Import!$AH$10:$AH$509,V$21)</f>
        <v>0</v>
      </c>
      <c r="W37" s="36" t="n">
        <f aca="false">SUMIFS(Hours_Log!$E$5:$E$1004,Hours_Log!$A$5:$A$1004,"&gt;="&amp;$R37,Hours_Log!$A$5:$A$1004,"&lt;"&amp;$R37+Inputs!$C$18,Hours_Log!$D$5:$D$1004,W$21)+SUMIFS(Toggl_Import!$AI$10:$AI$509,Toggl_Import!$AF$10:$AF$509,"&gt;="&amp;$R37,Toggl_Import!$AF$10:$AF$509,"&lt;"&amp;$R37+Inputs!$C$18,Toggl_Import!$AH$10:$AH$509,W$21)</f>
        <v>0</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0</v>
      </c>
      <c r="Z37" s="38" t="n">
        <f aca="false">SUM(S37:Y37)</f>
        <v>0</v>
      </c>
      <c r="AA37" s="36" t="n">
        <f aca="false">SUMIFS(Hours_Log!$E$5:$E$1004,Hours_Log!$A$5:$A$1004,"&gt;="&amp;$R37,Hours_Log!$A$5:$A$1004,"&lt;"&amp;$R37+Inputs!$C$18,Hours_Log!$B$5:$B$1004,Inputs!$C$30&amp;"*")+SUMIFS(Toggl_Import!$AI$10:$AI$509,Toggl_Import!$AF$10:$AF$509,"&gt;="&amp;$R37,Toggl_Import!$AF$10:$AF$509,"&lt;"&amp;$R37+Inputs!$C$18,Toggl_Import!$AG$10:$AG$509,Inputs!$C$30&amp;"*")</f>
        <v>0</v>
      </c>
    </row>
    <row r="38" customFormat="false" ht="15" hidden="false" customHeight="false" outlineLevel="0" collapsed="false">
      <c r="A38" s="102" t="n">
        <v>46414</v>
      </c>
      <c r="B38" s="103" t="s">
        <v>728</v>
      </c>
      <c r="C38" s="103" t="s">
        <v>1455</v>
      </c>
      <c r="D38" s="104" t="s">
        <v>1311</v>
      </c>
      <c r="E38" s="105" t="n">
        <v>0.5</v>
      </c>
      <c r="F38" s="103" t="s">
        <v>1472</v>
      </c>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0</v>
      </c>
      <c r="X38" s="36" t="n">
        <f aca="false">SUMIFS(Hours_Log!$E$5:$E$1004,Hours_Log!$A$5:$A$1004,"&gt;="&amp;$R38,Hours_Log!$A$5:$A$1004,"&lt;"&amp;$R38+Inputs!$C$18,Hours_Log!$D$5:$D$1004,X$21)+SUMIFS(Toggl_Import!$AI$10:$AI$509,Toggl_Import!$AF$10:$AF$509,"&gt;="&amp;$R38,Toggl_Import!$AF$10:$AF$509,"&lt;"&amp;$R38+Inputs!$C$18,Toggl_Import!$AH$10:$AH$509,X$21)</f>
        <v>0</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0</v>
      </c>
      <c r="AA38" s="36" t="n">
        <f aca="false">SUMIFS(Hours_Log!$E$5:$E$1004,Hours_Log!$A$5:$A$1004,"&gt;="&amp;$R38,Hours_Log!$A$5:$A$1004,"&lt;"&amp;$R38+Inputs!$C$18,Hours_Log!$B$5:$B$1004,Inputs!$C$30&amp;"*")+SUMIFS(Toggl_Import!$AI$10:$AI$509,Toggl_Import!$AF$10:$AF$509,"&gt;="&amp;$R38,Toggl_Import!$AF$10:$AF$509,"&lt;"&amp;$R38+Inputs!$C$18,Toggl_Import!$AG$10:$AG$509,Inputs!$C$30&amp;"*")</f>
        <v>0</v>
      </c>
    </row>
    <row r="39" customFormat="false" ht="15" hidden="false" customHeight="false" outlineLevel="0" collapsed="false">
      <c r="A39" s="102" t="n">
        <v>46414</v>
      </c>
      <c r="B39" s="103" t="s">
        <v>728</v>
      </c>
      <c r="C39" s="103" t="s">
        <v>1457</v>
      </c>
      <c r="D39" s="104" t="s">
        <v>1311</v>
      </c>
      <c r="E39" s="105" t="n">
        <v>0.5</v>
      </c>
      <c r="F39" s="103" t="s">
        <v>1472</v>
      </c>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0</v>
      </c>
      <c r="T39" s="36" t="n">
        <f aca="false">SUMIFS(Hours_Log!$E$5:$E$1004,Hours_Log!$A$5:$A$1004,"&gt;="&amp;$R39,Hours_Log!$A$5:$A$1004,"&lt;"&amp;$R39+Inputs!$C$18,Hours_Log!$D$5:$D$1004,T$21)+SUMIFS(Toggl_Import!$AI$10:$AI$509,Toggl_Import!$AF$10:$AF$509,"&gt;="&amp;$R39,Toggl_Import!$AF$10:$AF$509,"&lt;"&amp;$R39+Inputs!$C$18,Toggl_Import!$AH$10:$AH$509,T$21)</f>
        <v>0</v>
      </c>
      <c r="U39" s="36" t="n">
        <f aca="false">SUMIFS(Hours_Log!$E$5:$E$1004,Hours_Log!$A$5:$A$1004,"&gt;="&amp;$R39,Hours_Log!$A$5:$A$1004,"&lt;"&amp;$R39+Inputs!$C$18,Hours_Log!$D$5:$D$1004,U$21)+SUMIFS(Toggl_Import!$AI$10:$AI$509,Toggl_Import!$AF$10:$AF$509,"&gt;="&amp;$R39,Toggl_Import!$AF$10:$AF$509,"&lt;"&amp;$R39+Inputs!$C$18,Toggl_Import!$AH$10:$AH$509,U$21)</f>
        <v>0</v>
      </c>
      <c r="V39" s="36" t="n">
        <f aca="false">SUMIFS(Hours_Log!$E$5:$E$1004,Hours_Log!$A$5:$A$1004,"&gt;="&amp;$R39,Hours_Log!$A$5:$A$1004,"&lt;"&amp;$R39+Inputs!$C$18,Hours_Log!$D$5:$D$1004,V$21)+SUMIFS(Toggl_Import!$AI$10:$AI$509,Toggl_Import!$AF$10:$AF$509,"&gt;="&amp;$R39,Toggl_Import!$AF$10:$AF$509,"&lt;"&amp;$R39+Inputs!$C$18,Toggl_Import!$AH$10:$AH$509,V$21)</f>
        <v>0</v>
      </c>
      <c r="W39" s="36" t="n">
        <f aca="false">SUMIFS(Hours_Log!$E$5:$E$1004,Hours_Log!$A$5:$A$1004,"&gt;="&amp;$R39,Hours_Log!$A$5:$A$1004,"&lt;"&amp;$R39+Inputs!$C$18,Hours_Log!$D$5:$D$1004,W$21)+SUMIFS(Toggl_Import!$AI$10:$AI$509,Toggl_Import!$AF$10:$AF$509,"&gt;="&amp;$R39,Toggl_Import!$AF$10:$AF$509,"&lt;"&amp;$R39+Inputs!$C$18,Toggl_Import!$AH$10:$AH$509,W$21)</f>
        <v>0</v>
      </c>
      <c r="X39" s="36" t="n">
        <f aca="false">SUMIFS(Hours_Log!$E$5:$E$1004,Hours_Log!$A$5:$A$1004,"&gt;="&amp;$R39,Hours_Log!$A$5:$A$1004,"&lt;"&amp;$R39+Inputs!$C$18,Hours_Log!$D$5:$D$1004,X$21)+SUMIFS(Toggl_Import!$AI$10:$AI$509,Toggl_Import!$AF$10:$AF$509,"&gt;="&amp;$R39,Toggl_Import!$AF$10:$AF$509,"&lt;"&amp;$R39+Inputs!$C$18,Toggl_Import!$AH$10:$AH$509,X$21)</f>
        <v>0</v>
      </c>
      <c r="Y39" s="36" t="n">
        <f aca="false">SUMIFS(Hours_Log!$E$5:$E$1004,Hours_Log!$A$5:$A$1004,"&gt;="&amp;$R39,Hours_Log!$A$5:$A$1004,"&lt;"&amp;$R39+Inputs!$C$18,Hours_Log!$D$5:$D$1004,Y$21)+SUMIFS(Toggl_Import!$AI$10:$AI$509,Toggl_Import!$AF$10:$AF$509,"&gt;="&amp;$R39,Toggl_Import!$AF$10:$AF$509,"&lt;"&amp;$R39+Inputs!$C$18,Toggl_Import!$AH$10:$AH$509,Y$21)</f>
        <v>0</v>
      </c>
      <c r="Z39" s="38" t="n">
        <f aca="false">SUM(S39:Y39)</f>
        <v>0</v>
      </c>
      <c r="AA39" s="36" t="n">
        <f aca="false">SUMIFS(Hours_Log!$E$5:$E$1004,Hours_Log!$A$5:$A$1004,"&gt;="&amp;$R39,Hours_Log!$A$5:$A$1004,"&lt;"&amp;$R39+Inputs!$C$18,Hours_Log!$B$5:$B$1004,Inputs!$C$30&amp;"*")+SUMIFS(Toggl_Import!$AI$10:$AI$509,Toggl_Import!$AF$10:$AF$509,"&gt;="&amp;$R39,Toggl_Import!$AF$10:$AF$509,"&lt;"&amp;$R39+Inputs!$C$18,Toggl_Import!$AG$10:$AG$509,Inputs!$C$30&amp;"*")</f>
        <v>0</v>
      </c>
    </row>
    <row r="40" customFormat="false" ht="15" hidden="false" customHeight="false" outlineLevel="0" collapsed="false">
      <c r="A40" s="102" t="n">
        <v>46363</v>
      </c>
      <c r="B40" s="103" t="s">
        <v>728</v>
      </c>
      <c r="C40" s="103"/>
      <c r="D40" s="104" t="s">
        <v>1312</v>
      </c>
      <c r="E40" s="105" t="n">
        <v>1</v>
      </c>
      <c r="F40" s="103" t="s">
        <v>1473</v>
      </c>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0</v>
      </c>
      <c r="X40" s="36" t="n">
        <f aca="false">SUMIFS(Hours_Log!$E$5:$E$1004,Hours_Log!$A$5:$A$1004,"&gt;="&amp;$R40,Hours_Log!$A$5:$A$1004,"&lt;"&amp;$R40+Inputs!$C$18,Hours_Log!$D$5:$D$1004,X$21)+SUMIFS(Toggl_Import!$AI$10:$AI$509,Toggl_Import!$AF$10:$AF$509,"&gt;="&amp;$R40,Toggl_Import!$AF$10:$AF$509,"&lt;"&amp;$R40+Inputs!$C$18,Toggl_Import!$AH$10:$AH$509,X$21)</f>
        <v>0</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0</v>
      </c>
      <c r="AA40" s="36" t="n">
        <f aca="false">SUMIFS(Hours_Log!$E$5:$E$1004,Hours_Log!$A$5:$A$1004,"&gt;="&amp;$R40,Hours_Log!$A$5:$A$1004,"&lt;"&amp;$R40+Inputs!$C$18,Hours_Log!$B$5:$B$1004,Inputs!$C$30&amp;"*")+SUMIFS(Toggl_Import!$AI$10:$AI$509,Toggl_Import!$AF$10:$AF$509,"&gt;="&amp;$R40,Toggl_Import!$AF$10:$AF$509,"&lt;"&amp;$R40+Inputs!$C$18,Toggl_Import!$AG$10:$AG$509,Inputs!$C$30&amp;"*")</f>
        <v>0</v>
      </c>
    </row>
    <row r="41" customFormat="false" ht="15" hidden="false" customHeight="false" outlineLevel="0" collapsed="false">
      <c r="A41" s="102" t="n">
        <v>46402</v>
      </c>
      <c r="B41" s="103" t="s">
        <v>728</v>
      </c>
      <c r="C41" s="103"/>
      <c r="D41" s="104" t="s">
        <v>1312</v>
      </c>
      <c r="E41" s="105" t="n">
        <v>1</v>
      </c>
      <c r="F41" s="103" t="s">
        <v>1474</v>
      </c>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v>
      </c>
      <c r="AA41" s="36" t="n">
        <f aca="false">SUMIFS(Hours_Log!$E$5:$E$1004,Hours_Log!$A$5:$A$1004,"&gt;="&amp;$R41,Hours_Log!$A$5:$A$1004,"&lt;"&amp;$R41+Inputs!$C$18,Hours_Log!$B$5:$B$1004,Inputs!$C$30&amp;"*")+SUMIFS(Toggl_Import!$AI$10:$AI$509,Toggl_Import!$AF$10:$AF$509,"&gt;="&amp;$R41,Toggl_Import!$AF$10:$AF$509,"&lt;"&amp;$R41+Inputs!$C$18,Toggl_Import!$AG$10:$AG$509,Inputs!$C$30&amp;"*")</f>
        <v>0</v>
      </c>
    </row>
    <row r="42" customFormat="false" ht="15" hidden="false" customHeight="false" outlineLevel="0" collapsed="false">
      <c r="A42" s="102"/>
      <c r="B42" s="103"/>
      <c r="C42" s="103"/>
      <c r="D42" s="104"/>
      <c r="E42" s="105"/>
      <c r="F42" s="103"/>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0</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0</v>
      </c>
      <c r="AA42" s="36" t="n">
        <f aca="false">SUMIFS(Hours_Log!$E$5:$E$1004,Hours_Log!$A$5:$A$1004,"&gt;="&amp;$R42,Hours_Log!$A$5:$A$1004,"&lt;"&amp;$R42+Inputs!$C$18,Hours_Log!$B$5:$B$1004,Inputs!$C$30&amp;"*")+SUMIFS(Toggl_Import!$AI$10:$AI$509,Toggl_Import!$AF$10:$AF$509,"&gt;="&amp;$R42,Toggl_Import!$AF$10:$AF$509,"&lt;"&amp;$R42+Inputs!$C$18,Toggl_Import!$AG$10:$AG$509,Inputs!$C$30&amp;"*")</f>
        <v>0</v>
      </c>
    </row>
    <row r="43" customFormat="false" ht="15" hidden="false" customHeight="false" outlineLevel="0" collapsed="false">
      <c r="A43" s="102"/>
      <c r="B43" s="103"/>
      <c r="C43" s="103"/>
      <c r="D43" s="104"/>
      <c r="E43" s="105"/>
      <c r="F43" s="103"/>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0</v>
      </c>
      <c r="W43" s="36" t="n">
        <f aca="false">SUMIFS(Hours_Log!$E$5:$E$1004,Hours_Log!$A$5:$A$1004,"&gt;="&amp;$R43,Hours_Log!$A$5:$A$1004,"&lt;"&amp;$R43+Inputs!$C$18,Hours_Log!$D$5:$D$1004,W$21)+SUMIFS(Toggl_Import!$AI$10:$AI$509,Toggl_Import!$AF$10:$AF$509,"&gt;="&amp;$R43,Toggl_Import!$AF$10:$AF$509,"&lt;"&amp;$R43+Inputs!$C$18,Toggl_Import!$AH$10:$AH$509,W$21)</f>
        <v>0</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0</v>
      </c>
      <c r="Z43" s="38" t="n">
        <f aca="false">SUM(S43:Y43)</f>
        <v>0</v>
      </c>
      <c r="AA43" s="36" t="n">
        <f aca="false">SUMIFS(Hours_Log!$E$5:$E$1004,Hours_Log!$A$5:$A$1004,"&gt;="&amp;$R43,Hours_Log!$A$5:$A$1004,"&lt;"&amp;$R43+Inputs!$C$18,Hours_Log!$B$5:$B$1004,Inputs!$C$30&amp;"*")+SUMIFS(Toggl_Import!$AI$10:$AI$509,Toggl_Import!$AF$10:$AF$509,"&gt;="&amp;$R43,Toggl_Import!$AF$10:$AF$509,"&lt;"&amp;$R43+Inputs!$C$18,Toggl_Import!$AG$10:$AG$509,Inputs!$C$30&amp;"*")</f>
        <v>0</v>
      </c>
    </row>
    <row r="44" customFormat="false" ht="15" hidden="false" customHeight="false" outlineLevel="0" collapsed="false">
      <c r="A44" s="102"/>
      <c r="B44" s="103"/>
      <c r="C44" s="103"/>
      <c r="D44" s="104"/>
      <c r="E44" s="105"/>
      <c r="F44" s="103"/>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0</v>
      </c>
      <c r="X44" s="36" t="n">
        <f aca="false">SUMIFS(Hours_Log!$E$5:$E$1004,Hours_Log!$A$5:$A$1004,"&gt;="&amp;$R44,Hours_Log!$A$5:$A$1004,"&lt;"&amp;$R44+Inputs!$C$18,Hours_Log!$D$5:$D$1004,X$21)+SUMIFS(Toggl_Import!$AI$10:$AI$509,Toggl_Import!$AF$10:$AF$509,"&gt;="&amp;$R44,Toggl_Import!$AF$10:$AF$509,"&lt;"&amp;$R44+Inputs!$C$18,Toggl_Import!$AH$10:$AH$509,X$21)</f>
        <v>0</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0</v>
      </c>
      <c r="AA44" s="36" t="n">
        <f aca="false">SUMIFS(Hours_Log!$E$5:$E$1004,Hours_Log!$A$5:$A$1004,"&gt;="&amp;$R44,Hours_Log!$A$5:$A$1004,"&lt;"&amp;$R44+Inputs!$C$18,Hours_Log!$B$5:$B$1004,Inputs!$C$30&amp;"*")+SUMIFS(Toggl_Import!$AI$10:$AI$509,Toggl_Import!$AF$10:$AF$509,"&gt;="&amp;$R44,Toggl_Import!$AF$10:$AF$509,"&lt;"&amp;$R44+Inputs!$C$18,Toggl_Import!$AG$10:$AG$509,Inputs!$C$30&amp;"*")</f>
        <v>0</v>
      </c>
    </row>
    <row r="45" customFormat="false" ht="15" hidden="false" customHeight="false" outlineLevel="0" collapsed="false">
      <c r="A45" s="102"/>
      <c r="B45" s="103"/>
      <c r="C45" s="103"/>
      <c r="D45" s="104"/>
      <c r="E45" s="105"/>
      <c r="F45" s="103"/>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0</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0</v>
      </c>
      <c r="AA45" s="36" t="n">
        <f aca="false">SUMIFS(Hours_Log!$E$5:$E$1004,Hours_Log!$A$5:$A$1004,"&gt;="&amp;$R45,Hours_Log!$A$5:$A$1004,"&lt;"&amp;$R45+Inputs!$C$18,Hours_Log!$B$5:$B$1004,Inputs!$C$30&amp;"*")+SUMIFS(Toggl_Import!$AI$10:$AI$509,Toggl_Import!$AF$10:$AF$509,"&gt;="&amp;$R45,Toggl_Import!$AF$10:$AF$509,"&lt;"&amp;$R45+Inputs!$C$18,Toggl_Import!$AG$10:$AG$509,Inputs!$C$30&amp;"*")</f>
        <v>0</v>
      </c>
    </row>
    <row r="46" customFormat="false" ht="15" hidden="false" customHeight="false" outlineLevel="0" collapsed="false">
      <c r="A46" s="102"/>
      <c r="B46" s="103"/>
      <c r="C46" s="103"/>
      <c r="D46" s="104"/>
      <c r="E46" s="105"/>
      <c r="F46" s="103"/>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c r="B47" s="103"/>
      <c r="C47" s="103"/>
      <c r="D47" s="104"/>
      <c r="E47" s="105"/>
      <c r="F47" s="103"/>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c r="B48" s="103"/>
      <c r="C48" s="103"/>
      <c r="D48" s="104"/>
      <c r="E48" s="105"/>
      <c r="F48" s="103"/>
      <c r="Q48" s="30" t="s">
        <v>1085</v>
      </c>
      <c r="S48" s="38" t="n">
        <f aca="false">SUM(S22:S47)</f>
        <v>27.5</v>
      </c>
      <c r="T48" s="38" t="n">
        <f aca="false">SUM(T22:T47)</f>
        <v>27.5</v>
      </c>
      <c r="U48" s="38" t="n">
        <f aca="false">SUM(U22:U47)</f>
        <v>3</v>
      </c>
      <c r="V48" s="38" t="n">
        <f aca="false">SUM(V22:V47)</f>
        <v>5</v>
      </c>
      <c r="W48" s="38" t="n">
        <f aca="false">SUM(W22:W47)</f>
        <v>3</v>
      </c>
      <c r="X48" s="38" t="n">
        <f aca="false">SUM(X22:X47)</f>
        <v>4</v>
      </c>
      <c r="Y48" s="38" t="n">
        <f aca="false">SUM(Y22:Y47)</f>
        <v>2</v>
      </c>
      <c r="Z48" s="38" t="n">
        <f aca="false">SUM(Z22:Z47)</f>
        <v>72</v>
      </c>
      <c r="AA48" s="38" t="n">
        <f aca="false">SUM(AA22:AA47)</f>
        <v>57</v>
      </c>
    </row>
    <row r="49" customFormat="false" ht="15" hidden="false" customHeight="false" outlineLevel="0" collapsed="false">
      <c r="A49" s="102"/>
      <c r="B49" s="103"/>
      <c r="C49" s="103"/>
      <c r="D49" s="104"/>
      <c r="E49" s="105"/>
      <c r="F49" s="103"/>
    </row>
    <row r="50" customFormat="false" ht="15" hidden="false" customHeight="false" outlineLevel="0" collapsed="false">
      <c r="A50" s="102"/>
      <c r="B50" s="103"/>
      <c r="C50" s="103"/>
      <c r="D50" s="104"/>
      <c r="E50" s="105"/>
      <c r="F50" s="103"/>
      <c r="Q50" s="30" t="s">
        <v>1475</v>
      </c>
      <c r="Z50" s="22" t="n">
        <f aca="false">COUNTA(Hours_Log!$D$5:$D$1004)-SUMPRODUCT(COUNTIF(Hours_Log!$D$5:$D$1004,Lists!$C$4:$C$10))</f>
        <v>0</v>
      </c>
    </row>
    <row r="51" customFormat="false" ht="15" hidden="false" customHeight="false" outlineLevel="0" collapsed="false">
      <c r="A51" s="102"/>
      <c r="B51" s="103"/>
      <c r="C51" s="103"/>
      <c r="D51" s="104"/>
      <c r="E51" s="105"/>
      <c r="F51" s="103"/>
      <c r="Q51" s="30" t="s">
        <v>1476</v>
      </c>
      <c r="Z51" s="22" t="n">
        <f aca="false">SUMPRODUCT((Hours_Log!$B$5:$B$1004&lt;&gt;"")*(COUNTIF(Schedule!$A$7:$A$18,Hours_Log!$B$5:$B$1004)=0))</f>
        <v>0</v>
      </c>
    </row>
    <row r="52" customFormat="false" ht="15" hidden="false" customHeight="false" outlineLevel="0" collapsed="false">
      <c r="A52" s="102"/>
      <c r="B52" s="103"/>
      <c r="C52" s="103"/>
      <c r="D52" s="104"/>
      <c r="E52" s="105"/>
      <c r="F52" s="103"/>
      <c r="Q52" s="30" t="s">
        <v>1477</v>
      </c>
      <c r="Z52" s="38" t="n">
        <f aca="false">Y17-Z48</f>
        <v>0</v>
      </c>
    </row>
    <row r="53" customFormat="false" ht="15" hidden="false" customHeight="false" outlineLevel="0" collapsed="false">
      <c r="A53" s="102"/>
      <c r="B53" s="103"/>
      <c r="C53" s="103"/>
      <c r="D53" s="104"/>
      <c r="E53" s="105"/>
      <c r="F53" s="103"/>
      <c r="Q53" s="30" t="s">
        <v>1478</v>
      </c>
      <c r="Z53" s="38" t="n">
        <f aca="false">Z48-AA48</f>
        <v>15</v>
      </c>
    </row>
    <row r="54" customFormat="false" ht="15" hidden="false" customHeight="false" outlineLevel="0" collapsed="false">
      <c r="A54" s="102"/>
      <c r="B54" s="103"/>
      <c r="C54" s="103"/>
      <c r="D54" s="104"/>
      <c r="E54" s="105"/>
      <c r="F54" s="103"/>
    </row>
    <row r="55" customFormat="false" ht="15" hidden="false" customHeight="false" outlineLevel="0" collapsed="false">
      <c r="A55" s="102"/>
      <c r="B55" s="103"/>
      <c r="C55" s="103"/>
      <c r="D55" s="104"/>
      <c r="E55" s="105"/>
      <c r="F55" s="103"/>
    </row>
    <row r="56" customFormat="false" ht="15" hidden="false" customHeight="false" outlineLevel="0" collapsed="false">
      <c r="A56" s="102"/>
      <c r="B56" s="103"/>
      <c r="C56" s="103"/>
      <c r="D56" s="104"/>
      <c r="E56" s="105"/>
      <c r="F56" s="103"/>
    </row>
    <row r="57" customFormat="false" ht="15" hidden="false" customHeight="false" outlineLevel="0" collapsed="false">
      <c r="A57" s="102"/>
      <c r="B57" s="103"/>
      <c r="C57" s="103"/>
      <c r="D57" s="104"/>
      <c r="E57" s="105"/>
      <c r="F57" s="103"/>
    </row>
    <row r="58" customFormat="false" ht="15" hidden="false" customHeight="false" outlineLevel="0" collapsed="false">
      <c r="A58" s="102"/>
      <c r="B58" s="103"/>
      <c r="C58" s="103"/>
      <c r="D58" s="104"/>
      <c r="E58" s="105"/>
      <c r="F58" s="103"/>
    </row>
    <row r="59" customFormat="false" ht="15" hidden="false" customHeight="false" outlineLevel="0" collapsed="false">
      <c r="A59" s="102"/>
      <c r="B59" s="103"/>
      <c r="C59" s="103"/>
      <c r="D59" s="104"/>
      <c r="E59" s="105"/>
      <c r="F59" s="103"/>
    </row>
    <row r="60" customFormat="false" ht="15" hidden="false" customHeight="false" outlineLevel="0" collapsed="false">
      <c r="A60" s="102"/>
      <c r="B60" s="103"/>
      <c r="C60" s="103"/>
      <c r="D60" s="104"/>
      <c r="E60" s="105"/>
      <c r="F60" s="103"/>
    </row>
    <row r="61" customFormat="false" ht="15" hidden="false" customHeight="false" outlineLevel="0" collapsed="false">
      <c r="A61" s="102"/>
      <c r="B61" s="103"/>
      <c r="C61" s="103"/>
      <c r="D61" s="104"/>
      <c r="E61" s="105"/>
      <c r="F61" s="103"/>
    </row>
    <row r="62" customFormat="false" ht="15" hidden="false" customHeight="false" outlineLevel="0" collapsed="false">
      <c r="A62" s="102"/>
      <c r="B62" s="103"/>
      <c r="C62" s="103"/>
      <c r="D62" s="104"/>
      <c r="E62" s="105"/>
      <c r="F62" s="103"/>
    </row>
    <row r="63" customFormat="false" ht="15" hidden="false" customHeight="false" outlineLevel="0" collapsed="false">
      <c r="A63" s="102"/>
      <c r="B63" s="103"/>
      <c r="C63" s="103"/>
      <c r="D63" s="104"/>
      <c r="E63" s="105"/>
      <c r="F63" s="103"/>
    </row>
    <row r="64" customFormat="false" ht="15" hidden="false" customHeight="false" outlineLevel="0" collapsed="false">
      <c r="A64" s="102"/>
      <c r="B64" s="103"/>
      <c r="C64" s="103"/>
      <c r="D64" s="104"/>
      <c r="E64" s="105"/>
      <c r="F64" s="103"/>
    </row>
    <row r="65" customFormat="false" ht="15" hidden="false" customHeight="false" outlineLevel="0" collapsed="false">
      <c r="A65" s="102"/>
      <c r="B65" s="103"/>
      <c r="C65" s="103"/>
      <c r="D65" s="104"/>
      <c r="E65" s="105"/>
      <c r="F65" s="103"/>
    </row>
    <row r="66" customFormat="false" ht="15" hidden="false" customHeight="false" outlineLevel="0" collapsed="false">
      <c r="A66" s="102"/>
      <c r="B66" s="103"/>
      <c r="C66" s="103"/>
      <c r="D66" s="104"/>
      <c r="E66" s="105"/>
      <c r="F66" s="103"/>
    </row>
    <row r="67" customFormat="false" ht="15" hidden="false" customHeight="false" outlineLevel="0" collapsed="false">
      <c r="A67" s="102"/>
      <c r="B67" s="103"/>
      <c r="C67" s="103"/>
      <c r="D67" s="104"/>
      <c r="E67" s="105"/>
      <c r="F67" s="103"/>
    </row>
    <row r="68" customFormat="false" ht="15" hidden="false" customHeight="false" outlineLevel="0" collapsed="false">
      <c r="A68" s="102"/>
      <c r="B68" s="103"/>
      <c r="C68" s="103"/>
      <c r="D68" s="104"/>
      <c r="E68" s="105"/>
      <c r="F68" s="103"/>
    </row>
    <row r="69" customFormat="false" ht="15" hidden="false" customHeight="false" outlineLevel="0" collapsed="false">
      <c r="A69" s="102"/>
      <c r="B69" s="103"/>
      <c r="C69" s="103"/>
      <c r="D69" s="104"/>
      <c r="E69" s="105"/>
      <c r="F69" s="103"/>
    </row>
    <row r="70" customFormat="false" ht="15" hidden="false" customHeight="false" outlineLevel="0" collapsed="false">
      <c r="A70" s="102"/>
      <c r="B70" s="103"/>
      <c r="C70" s="103"/>
      <c r="D70" s="104"/>
      <c r="E70" s="105"/>
      <c r="F70" s="103"/>
    </row>
    <row r="71" customFormat="false" ht="15" hidden="false" customHeight="false" outlineLevel="0" collapsed="false">
      <c r="A71" s="102"/>
      <c r="B71" s="103"/>
      <c r="C71" s="103"/>
      <c r="D71" s="104"/>
      <c r="E71" s="105"/>
      <c r="F71" s="103"/>
    </row>
    <row r="72" customFormat="false" ht="15" hidden="false" customHeight="false" outlineLevel="0" collapsed="false">
      <c r="A72" s="102"/>
      <c r="B72" s="103"/>
      <c r="C72" s="103"/>
      <c r="D72" s="104"/>
      <c r="E72" s="105"/>
      <c r="F72" s="103"/>
    </row>
    <row r="73" customFormat="false" ht="15" hidden="false" customHeight="false" outlineLevel="0" collapsed="false">
      <c r="A73" s="102"/>
      <c r="B73" s="103"/>
      <c r="C73" s="103"/>
      <c r="D73" s="104"/>
      <c r="E73" s="105"/>
      <c r="F73" s="103"/>
    </row>
    <row r="74" customFormat="false" ht="15" hidden="false" customHeight="false" outlineLevel="0" collapsed="false">
      <c r="A74" s="102"/>
      <c r="B74" s="103"/>
      <c r="C74" s="103"/>
      <c r="D74" s="104"/>
      <c r="E74" s="105"/>
      <c r="F74" s="103"/>
    </row>
    <row r="75" customFormat="false" ht="15" hidden="false" customHeight="false" outlineLevel="0" collapsed="false">
      <c r="A75" s="102"/>
      <c r="B75" s="103"/>
      <c r="C75" s="103"/>
      <c r="D75" s="104"/>
      <c r="E75" s="105"/>
      <c r="F75" s="103"/>
    </row>
    <row r="76" customFormat="false" ht="15" hidden="false" customHeight="false" outlineLevel="0" collapsed="false">
      <c r="A76" s="102"/>
      <c r="B76" s="103"/>
      <c r="C76" s="103"/>
      <c r="D76" s="104"/>
      <c r="E76" s="105"/>
      <c r="F76" s="103"/>
    </row>
    <row r="77" customFormat="false" ht="15" hidden="false" customHeight="false" outlineLevel="0" collapsed="false">
      <c r="A77" s="102"/>
      <c r="B77" s="103"/>
      <c r="C77" s="103"/>
      <c r="D77" s="104"/>
      <c r="E77" s="105"/>
      <c r="F77" s="103"/>
    </row>
    <row r="78" customFormat="false" ht="15" hidden="false" customHeight="false" outlineLevel="0" collapsed="false">
      <c r="A78" s="102"/>
      <c r="B78" s="103"/>
      <c r="C78" s="103"/>
      <c r="D78" s="104"/>
      <c r="E78" s="105"/>
      <c r="F78" s="103"/>
    </row>
    <row r="79" customFormat="false" ht="15" hidden="false" customHeight="false" outlineLevel="0" collapsed="false">
      <c r="A79" s="102"/>
      <c r="B79" s="103"/>
      <c r="C79" s="103"/>
      <c r="D79" s="104"/>
      <c r="E79" s="105"/>
      <c r="F79" s="103"/>
    </row>
    <row r="80" customFormat="false" ht="15" hidden="false" customHeight="false" outlineLevel="0" collapsed="false">
      <c r="A80" s="102"/>
      <c r="B80" s="103"/>
      <c r="C80" s="103"/>
      <c r="D80" s="104"/>
      <c r="E80" s="105"/>
      <c r="F80" s="103"/>
    </row>
    <row r="81" customFormat="false" ht="15" hidden="false" customHeight="false" outlineLevel="0" collapsed="false">
      <c r="A81" s="102"/>
      <c r="B81" s="103"/>
      <c r="C81" s="103"/>
      <c r="D81" s="104"/>
      <c r="E81" s="105"/>
      <c r="F81" s="103"/>
    </row>
    <row r="82" customFormat="false" ht="15" hidden="false" customHeight="false" outlineLevel="0" collapsed="false">
      <c r="A82" s="102"/>
      <c r="B82" s="103"/>
      <c r="C82" s="103"/>
      <c r="D82" s="104"/>
      <c r="E82" s="105"/>
      <c r="F82" s="103"/>
    </row>
    <row r="83" customFormat="false" ht="15" hidden="false" customHeight="false" outlineLevel="0" collapsed="false">
      <c r="A83" s="102"/>
      <c r="B83" s="103"/>
      <c r="C83" s="103"/>
      <c r="D83" s="104"/>
      <c r="E83" s="105"/>
      <c r="F83" s="103"/>
    </row>
    <row r="84" customFormat="false" ht="15" hidden="false" customHeight="false" outlineLevel="0" collapsed="false">
      <c r="A84" s="102"/>
      <c r="B84" s="103"/>
      <c r="C84" s="103"/>
      <c r="D84" s="104"/>
      <c r="E84" s="105"/>
      <c r="F84" s="103"/>
    </row>
    <row r="85" customFormat="false" ht="15" hidden="false" customHeight="false" outlineLevel="0" collapsed="false">
      <c r="A85" s="102"/>
      <c r="B85" s="103"/>
      <c r="C85" s="103"/>
      <c r="D85" s="104"/>
      <c r="E85" s="105"/>
      <c r="F85" s="103"/>
    </row>
    <row r="86" customFormat="false" ht="15" hidden="false" customHeight="false" outlineLevel="0" collapsed="false">
      <c r="A86" s="102"/>
      <c r="B86" s="103"/>
      <c r="C86" s="103"/>
      <c r="D86" s="104"/>
      <c r="E86" s="105"/>
      <c r="F86" s="103"/>
    </row>
    <row r="87" customFormat="false" ht="15" hidden="false" customHeight="false" outlineLevel="0" collapsed="false">
      <c r="A87" s="102"/>
      <c r="B87" s="103"/>
      <c r="C87" s="103"/>
      <c r="D87" s="104"/>
      <c r="E87" s="105"/>
      <c r="F87" s="103"/>
    </row>
    <row r="88" customFormat="false" ht="15" hidden="false" customHeight="false" outlineLevel="0" collapsed="false">
      <c r="A88" s="102"/>
      <c r="B88" s="103"/>
      <c r="C88" s="103"/>
      <c r="D88" s="104"/>
      <c r="E88" s="105"/>
      <c r="F88" s="103"/>
    </row>
    <row r="89" customFormat="false" ht="15" hidden="false" customHeight="false" outlineLevel="0" collapsed="false">
      <c r="A89" s="102"/>
      <c r="B89" s="103"/>
      <c r="C89" s="103"/>
      <c r="D89" s="104"/>
      <c r="E89" s="105"/>
      <c r="F89" s="103"/>
    </row>
    <row r="90" customFormat="false" ht="15" hidden="false" customHeight="false" outlineLevel="0" collapsed="false">
      <c r="A90" s="102"/>
      <c r="B90" s="103"/>
      <c r="C90" s="103"/>
      <c r="D90" s="104"/>
      <c r="E90" s="105"/>
      <c r="F90" s="103"/>
    </row>
    <row r="91" customFormat="false" ht="15" hidden="false" customHeight="false" outlineLevel="0" collapsed="false">
      <c r="A91" s="102"/>
      <c r="B91" s="103"/>
      <c r="C91" s="103"/>
      <c r="D91" s="104"/>
      <c r="E91" s="105"/>
      <c r="F91" s="103"/>
    </row>
    <row r="92" customFormat="false" ht="15" hidden="false" customHeight="false" outlineLevel="0" collapsed="false">
      <c r="A92" s="102"/>
      <c r="B92" s="103"/>
      <c r="C92" s="103"/>
      <c r="D92" s="104"/>
      <c r="E92" s="105"/>
      <c r="F92" s="103"/>
    </row>
    <row r="93" customFormat="false" ht="15" hidden="false" customHeight="false" outlineLevel="0" collapsed="false">
      <c r="A93" s="102"/>
      <c r="B93" s="103"/>
      <c r="C93" s="103"/>
      <c r="D93" s="104"/>
      <c r="E93" s="105"/>
      <c r="F93" s="103"/>
    </row>
    <row r="94" customFormat="false" ht="15" hidden="false" customHeight="false" outlineLevel="0" collapsed="false">
      <c r="A94" s="102"/>
      <c r="B94" s="103"/>
      <c r="C94" s="103"/>
      <c r="D94" s="104"/>
      <c r="E94" s="105"/>
      <c r="F94" s="103"/>
    </row>
    <row r="95" customFormat="false" ht="15" hidden="false" customHeight="false" outlineLevel="0" collapsed="false">
      <c r="A95" s="102"/>
      <c r="B95" s="103"/>
      <c r="C95" s="103"/>
      <c r="D95" s="104"/>
      <c r="E95" s="105"/>
      <c r="F95" s="103"/>
    </row>
    <row r="96" customFormat="false" ht="15" hidden="false" customHeight="false" outlineLevel="0" collapsed="false">
      <c r="A96" s="102"/>
      <c r="B96" s="103"/>
      <c r="C96" s="103"/>
      <c r="D96" s="104"/>
      <c r="E96" s="105"/>
      <c r="F96" s="103"/>
    </row>
    <row r="97" customFormat="false" ht="15" hidden="false" customHeight="false" outlineLevel="0" collapsed="false">
      <c r="A97" s="102"/>
      <c r="B97" s="103"/>
      <c r="C97" s="103"/>
      <c r="D97" s="104"/>
      <c r="E97" s="105"/>
      <c r="F97" s="103"/>
    </row>
    <row r="98" customFormat="false" ht="15" hidden="false" customHeight="false" outlineLevel="0" collapsed="false">
      <c r="A98" s="102"/>
      <c r="B98" s="103"/>
      <c r="C98" s="103"/>
      <c r="D98" s="104"/>
      <c r="E98" s="105"/>
      <c r="F98" s="103"/>
    </row>
    <row r="99" customFormat="false" ht="15" hidden="false" customHeight="false" outlineLevel="0" collapsed="false">
      <c r="A99" s="102"/>
      <c r="B99" s="103"/>
      <c r="C99" s="103"/>
      <c r="D99" s="104"/>
      <c r="E99" s="105"/>
      <c r="F99" s="103"/>
    </row>
    <row r="100" customFormat="false" ht="15" hidden="false" customHeight="false" outlineLevel="0" collapsed="false">
      <c r="A100" s="102"/>
      <c r="B100" s="103"/>
      <c r="C100" s="103"/>
      <c r="D100" s="104"/>
      <c r="E100" s="105"/>
      <c r="F100" s="103"/>
    </row>
    <row r="101" customFormat="false" ht="15" hidden="false" customHeight="false" outlineLevel="0" collapsed="false">
      <c r="A101" s="102"/>
      <c r="B101" s="103"/>
      <c r="C101" s="103"/>
      <c r="D101" s="104"/>
      <c r="E101" s="105"/>
      <c r="F101" s="103"/>
    </row>
    <row r="102" customFormat="false" ht="15" hidden="false" customHeight="false" outlineLevel="0" collapsed="false">
      <c r="A102" s="102"/>
      <c r="B102" s="103"/>
      <c r="C102" s="103"/>
      <c r="D102" s="104"/>
      <c r="E102" s="105"/>
      <c r="F102" s="103"/>
    </row>
    <row r="103" customFormat="false" ht="15" hidden="false" customHeight="false" outlineLevel="0" collapsed="false">
      <c r="A103" s="102"/>
      <c r="B103" s="103"/>
      <c r="C103" s="103"/>
      <c r="D103" s="104"/>
      <c r="E103" s="105"/>
      <c r="F103" s="103"/>
    </row>
    <row r="104" customFormat="false" ht="15" hidden="false" customHeight="false" outlineLevel="0" collapsed="false">
      <c r="A104" s="102"/>
      <c r="B104" s="103"/>
      <c r="C104" s="103"/>
      <c r="D104" s="104"/>
      <c r="E104" s="105"/>
      <c r="F104" s="103"/>
    </row>
    <row r="105" customFormat="false" ht="15" hidden="false" customHeight="false" outlineLevel="0" collapsed="false">
      <c r="A105" s="102"/>
      <c r="B105" s="103"/>
      <c r="C105" s="103"/>
      <c r="D105" s="104"/>
      <c r="E105" s="105"/>
      <c r="F105" s="103"/>
    </row>
    <row r="106" customFormat="false" ht="15" hidden="false" customHeight="false" outlineLevel="0" collapsed="false">
      <c r="A106" s="102"/>
      <c r="B106" s="103"/>
      <c r="C106" s="103"/>
      <c r="D106" s="104"/>
      <c r="E106" s="105"/>
      <c r="F106" s="103"/>
    </row>
    <row r="107" customFormat="false" ht="15" hidden="false" customHeight="false" outlineLevel="0" collapsed="false">
      <c r="A107" s="102"/>
      <c r="B107" s="103"/>
      <c r="C107" s="103"/>
      <c r="D107" s="104"/>
      <c r="E107" s="105"/>
      <c r="F107" s="103"/>
    </row>
    <row r="108" customFormat="false" ht="15" hidden="false" customHeight="false" outlineLevel="0" collapsed="false">
      <c r="A108" s="102"/>
      <c r="B108" s="103"/>
      <c r="C108" s="103"/>
      <c r="D108" s="104"/>
      <c r="E108" s="105"/>
      <c r="F108" s="103"/>
    </row>
    <row r="109" customFormat="false" ht="15" hidden="false" customHeight="false" outlineLevel="0" collapsed="false">
      <c r="A109" s="102"/>
      <c r="B109" s="103"/>
      <c r="C109" s="103"/>
      <c r="D109" s="104"/>
      <c r="E109" s="105"/>
      <c r="F109" s="103"/>
    </row>
    <row r="110" customFormat="false" ht="15" hidden="false" customHeight="false" outlineLevel="0" collapsed="false">
      <c r="A110" s="102"/>
      <c r="B110" s="103"/>
      <c r="C110" s="103"/>
      <c r="D110" s="104"/>
      <c r="E110" s="105"/>
      <c r="F110" s="103"/>
    </row>
    <row r="111" customFormat="false" ht="15" hidden="false" customHeight="false" outlineLevel="0" collapsed="false">
      <c r="A111" s="102"/>
      <c r="B111" s="103"/>
      <c r="C111" s="103"/>
      <c r="D111" s="104"/>
      <c r="E111" s="105"/>
      <c r="F111" s="103"/>
    </row>
    <row r="112" customFormat="false" ht="15" hidden="false" customHeight="false" outlineLevel="0" collapsed="false">
      <c r="A112" s="102"/>
      <c r="B112" s="103"/>
      <c r="C112" s="103"/>
      <c r="D112" s="104"/>
      <c r="E112" s="105"/>
      <c r="F112" s="103"/>
    </row>
    <row r="113" customFormat="false" ht="15" hidden="false" customHeight="false" outlineLevel="0" collapsed="false">
      <c r="A113" s="102"/>
      <c r="B113" s="103"/>
      <c r="C113" s="103"/>
      <c r="D113" s="104"/>
      <c r="E113" s="105"/>
      <c r="F113" s="103"/>
    </row>
    <row r="114" customFormat="false" ht="15" hidden="false" customHeight="false" outlineLevel="0" collapsed="false">
      <c r="A114" s="102"/>
      <c r="B114" s="103"/>
      <c r="C114" s="103"/>
      <c r="D114" s="104"/>
      <c r="E114" s="105"/>
      <c r="F114" s="103"/>
    </row>
    <row r="115" customFormat="false" ht="15" hidden="false" customHeight="false" outlineLevel="0" collapsed="false">
      <c r="A115" s="102"/>
      <c r="B115" s="103"/>
      <c r="C115" s="103"/>
      <c r="D115" s="104"/>
      <c r="E115" s="105"/>
      <c r="F115" s="103"/>
    </row>
    <row r="116" customFormat="false" ht="15" hidden="false" customHeight="false" outlineLevel="0" collapsed="false">
      <c r="A116" s="102"/>
      <c r="B116" s="103"/>
      <c r="C116" s="103"/>
      <c r="D116" s="104"/>
      <c r="E116" s="105"/>
      <c r="F116" s="103"/>
    </row>
    <row r="117" customFormat="false" ht="15" hidden="false" customHeight="false" outlineLevel="0" collapsed="false">
      <c r="A117" s="102"/>
      <c r="B117" s="103"/>
      <c r="C117" s="103"/>
      <c r="D117" s="104"/>
      <c r="E117" s="105"/>
      <c r="F117" s="103"/>
    </row>
    <row r="118" customFormat="false" ht="15" hidden="false" customHeight="false" outlineLevel="0" collapsed="false">
      <c r="A118" s="102"/>
      <c r="B118" s="103"/>
      <c r="C118" s="103"/>
      <c r="D118" s="104"/>
      <c r="E118" s="105"/>
      <c r="F118" s="103"/>
    </row>
    <row r="119" customFormat="false" ht="15" hidden="false" customHeight="false" outlineLevel="0" collapsed="false">
      <c r="A119" s="102"/>
      <c r="B119" s="103"/>
      <c r="C119" s="103"/>
      <c r="D119" s="104"/>
      <c r="E119" s="105"/>
      <c r="F119" s="103"/>
    </row>
    <row r="120" customFormat="false" ht="15" hidden="false" customHeight="false" outlineLevel="0" collapsed="false">
      <c r="A120" s="102"/>
      <c r="B120" s="103"/>
      <c r="C120" s="103"/>
      <c r="D120" s="104"/>
      <c r="E120" s="105"/>
      <c r="F120" s="103"/>
    </row>
    <row r="121" customFormat="false" ht="15" hidden="false" customHeight="false" outlineLevel="0" collapsed="false">
      <c r="A121" s="102"/>
      <c r="B121" s="103"/>
      <c r="C121" s="103"/>
      <c r="D121" s="104"/>
      <c r="E121" s="105"/>
      <c r="F121" s="103"/>
    </row>
    <row r="122" customFormat="false" ht="15" hidden="false" customHeight="false" outlineLevel="0" collapsed="false">
      <c r="A122" s="102"/>
      <c r="B122" s="103"/>
      <c r="C122" s="103"/>
      <c r="D122" s="104"/>
      <c r="E122" s="105"/>
      <c r="F122" s="103"/>
    </row>
    <row r="123" customFormat="false" ht="15" hidden="false" customHeight="false" outlineLevel="0" collapsed="false">
      <c r="A123" s="102"/>
      <c r="B123" s="103"/>
      <c r="C123" s="103"/>
      <c r="D123" s="104"/>
      <c r="E123" s="105"/>
      <c r="F123" s="103"/>
    </row>
    <row r="124" customFormat="false" ht="15" hidden="false" customHeight="false" outlineLevel="0" collapsed="false">
      <c r="A124" s="102"/>
      <c r="B124" s="103"/>
      <c r="C124" s="103"/>
      <c r="D124" s="104"/>
      <c r="E124" s="105"/>
      <c r="F124" s="103"/>
    </row>
    <row r="125" customFormat="false" ht="15" hidden="false" customHeight="false" outlineLevel="0" collapsed="false">
      <c r="A125" s="102"/>
      <c r="B125" s="103"/>
      <c r="C125" s="103"/>
      <c r="D125" s="104"/>
      <c r="E125" s="105"/>
      <c r="F125" s="103"/>
    </row>
    <row r="126" customFormat="false" ht="15" hidden="false" customHeight="false" outlineLevel="0" collapsed="false">
      <c r="A126" s="102"/>
      <c r="B126" s="103"/>
      <c r="C126" s="103"/>
      <c r="D126" s="104"/>
      <c r="E126" s="105"/>
      <c r="F126" s="103"/>
    </row>
    <row r="127" customFormat="false" ht="15" hidden="false" customHeight="false" outlineLevel="0" collapsed="false">
      <c r="A127" s="102"/>
      <c r="B127" s="103"/>
      <c r="C127" s="103"/>
      <c r="D127" s="104"/>
      <c r="E127" s="105"/>
      <c r="F127" s="103"/>
    </row>
    <row r="128" customFormat="false" ht="15" hidden="false" customHeight="false" outlineLevel="0" collapsed="false">
      <c r="A128" s="102"/>
      <c r="B128" s="103"/>
      <c r="C128" s="103"/>
      <c r="D128" s="104"/>
      <c r="E128" s="105"/>
      <c r="F128" s="103"/>
    </row>
    <row r="129" customFormat="false" ht="15" hidden="false" customHeight="false" outlineLevel="0" collapsed="false">
      <c r="A129" s="102"/>
      <c r="B129" s="103"/>
      <c r="C129" s="103"/>
      <c r="D129" s="104"/>
      <c r="E129" s="105"/>
      <c r="F129" s="103"/>
    </row>
    <row r="130" customFormat="false" ht="15" hidden="false" customHeight="false" outlineLevel="0" collapsed="false">
      <c r="A130" s="102"/>
      <c r="B130" s="103"/>
      <c r="C130" s="103"/>
      <c r="D130" s="104"/>
      <c r="E130" s="105"/>
      <c r="F130" s="103"/>
    </row>
    <row r="131" customFormat="false" ht="15" hidden="false" customHeight="false" outlineLevel="0" collapsed="false">
      <c r="A131" s="102"/>
      <c r="B131" s="103"/>
      <c r="C131" s="103"/>
      <c r="D131" s="104"/>
      <c r="E131" s="105"/>
      <c r="F131" s="103"/>
    </row>
    <row r="132" customFormat="false" ht="15" hidden="false" customHeight="false" outlineLevel="0" collapsed="false">
      <c r="A132" s="102"/>
      <c r="B132" s="103"/>
      <c r="C132" s="103"/>
      <c r="D132" s="104"/>
      <c r="E132" s="105"/>
      <c r="F132" s="103"/>
    </row>
    <row r="133" customFormat="false" ht="15" hidden="false" customHeight="false" outlineLevel="0" collapsed="false">
      <c r="A133" s="102"/>
      <c r="B133" s="103"/>
      <c r="C133" s="103"/>
      <c r="D133" s="104"/>
      <c r="E133" s="105"/>
      <c r="F133" s="103"/>
    </row>
    <row r="134" customFormat="false" ht="15" hidden="false" customHeight="false" outlineLevel="0" collapsed="false">
      <c r="A134" s="102"/>
      <c r="B134" s="103"/>
      <c r="C134" s="103"/>
      <c r="D134" s="104"/>
      <c r="E134" s="105"/>
      <c r="F134" s="103"/>
    </row>
    <row r="135" customFormat="false" ht="15" hidden="false" customHeight="false" outlineLevel="0" collapsed="false">
      <c r="A135" s="102"/>
      <c r="B135" s="103"/>
      <c r="C135" s="103"/>
      <c r="D135" s="104"/>
      <c r="E135" s="105"/>
      <c r="F135" s="103"/>
    </row>
    <row r="136" customFormat="false" ht="15" hidden="false" customHeight="false" outlineLevel="0" collapsed="false">
      <c r="A136" s="102"/>
      <c r="B136" s="103"/>
      <c r="C136" s="103"/>
      <c r="D136" s="104"/>
      <c r="E136" s="105"/>
      <c r="F136" s="103"/>
    </row>
    <row r="137" customFormat="false" ht="15" hidden="false" customHeight="false" outlineLevel="0" collapsed="false">
      <c r="A137" s="102"/>
      <c r="B137" s="103"/>
      <c r="C137" s="103"/>
      <c r="D137" s="104"/>
      <c r="E137" s="105"/>
      <c r="F137" s="103"/>
    </row>
    <row r="138" customFormat="false" ht="15" hidden="false" customHeight="false" outlineLevel="0" collapsed="false">
      <c r="A138" s="102"/>
      <c r="B138" s="103"/>
      <c r="C138" s="103"/>
      <c r="D138" s="104"/>
      <c r="E138" s="105"/>
      <c r="F138" s="103"/>
    </row>
    <row r="139" customFormat="false" ht="15" hidden="false" customHeight="false" outlineLevel="0" collapsed="false">
      <c r="A139" s="102"/>
      <c r="B139" s="103"/>
      <c r="C139" s="103"/>
      <c r="D139" s="104"/>
      <c r="E139" s="105"/>
      <c r="F139" s="103"/>
    </row>
    <row r="140" customFormat="false" ht="15" hidden="false" customHeight="false" outlineLevel="0" collapsed="false">
      <c r="A140" s="102"/>
      <c r="B140" s="103"/>
      <c r="C140" s="103"/>
      <c r="D140" s="104"/>
      <c r="E140" s="105"/>
      <c r="F140" s="103"/>
    </row>
    <row r="141" customFormat="false" ht="15" hidden="false" customHeight="false" outlineLevel="0" collapsed="false">
      <c r="A141" s="102"/>
      <c r="B141" s="103"/>
      <c r="C141" s="103"/>
      <c r="D141" s="104"/>
      <c r="E141" s="105"/>
      <c r="F141" s="103"/>
    </row>
    <row r="142" customFormat="false" ht="15" hidden="false" customHeight="false" outlineLevel="0" collapsed="false">
      <c r="A142" s="102"/>
      <c r="B142" s="103"/>
      <c r="C142" s="103"/>
      <c r="D142" s="104"/>
      <c r="E142" s="105"/>
      <c r="F142" s="103"/>
    </row>
    <row r="143" customFormat="false" ht="15" hidden="false" customHeight="false" outlineLevel="0" collapsed="false">
      <c r="A143" s="102"/>
      <c r="B143" s="103"/>
      <c r="C143" s="103"/>
      <c r="D143" s="104"/>
      <c r="E143" s="105"/>
      <c r="F143" s="103"/>
    </row>
    <row r="144" customFormat="false" ht="15" hidden="false" customHeight="false" outlineLevel="0" collapsed="false">
      <c r="A144" s="102"/>
      <c r="B144" s="103"/>
      <c r="C144" s="103"/>
      <c r="D144" s="104"/>
      <c r="E144" s="105"/>
      <c r="F144" s="103"/>
    </row>
    <row r="145" customFormat="false" ht="15" hidden="false" customHeight="false" outlineLevel="0" collapsed="false">
      <c r="A145" s="102"/>
      <c r="B145" s="103"/>
      <c r="C145" s="103"/>
      <c r="D145" s="104"/>
      <c r="E145" s="105"/>
      <c r="F145" s="103"/>
    </row>
    <row r="146" customFormat="false" ht="15" hidden="false" customHeight="false" outlineLevel="0" collapsed="false">
      <c r="A146" s="102"/>
      <c r="B146" s="103"/>
      <c r="C146" s="103"/>
      <c r="D146" s="104"/>
      <c r="E146" s="105"/>
      <c r="F146" s="103"/>
    </row>
    <row r="147" customFormat="false" ht="15" hidden="false" customHeight="false" outlineLevel="0" collapsed="false">
      <c r="A147" s="102"/>
      <c r="B147" s="103"/>
      <c r="C147" s="103"/>
      <c r="D147" s="104"/>
      <c r="E147" s="105"/>
      <c r="F147" s="103"/>
    </row>
    <row r="148" customFormat="false" ht="15" hidden="false" customHeight="false" outlineLevel="0" collapsed="false">
      <c r="A148" s="102"/>
      <c r="B148" s="103"/>
      <c r="C148" s="103"/>
      <c r="D148" s="104"/>
      <c r="E148" s="105"/>
      <c r="F148" s="103"/>
    </row>
    <row r="149" customFormat="false" ht="15" hidden="false" customHeight="false" outlineLevel="0" collapsed="false">
      <c r="A149" s="102"/>
      <c r="B149" s="103"/>
      <c r="C149" s="103"/>
      <c r="D149" s="104"/>
      <c r="E149" s="105"/>
      <c r="F149" s="103"/>
    </row>
    <row r="150" customFormat="false" ht="15" hidden="false" customHeight="false" outlineLevel="0" collapsed="false">
      <c r="A150" s="102"/>
      <c r="B150" s="103"/>
      <c r="C150" s="103"/>
      <c r="D150" s="104"/>
      <c r="E150" s="105"/>
      <c r="F150" s="103"/>
    </row>
    <row r="151" customFormat="false" ht="15" hidden="false" customHeight="false" outlineLevel="0" collapsed="false">
      <c r="A151" s="102"/>
      <c r="B151" s="103"/>
      <c r="C151" s="103"/>
      <c r="D151" s="104"/>
      <c r="E151" s="105"/>
      <c r="F151" s="103"/>
    </row>
    <row r="152" customFormat="false" ht="15" hidden="false" customHeight="false" outlineLevel="0" collapsed="false">
      <c r="A152" s="102"/>
      <c r="B152" s="103"/>
      <c r="C152" s="103"/>
      <c r="D152" s="104"/>
      <c r="E152" s="105"/>
      <c r="F152" s="103"/>
    </row>
    <row r="153" customFormat="false" ht="15" hidden="false" customHeight="false" outlineLevel="0" collapsed="false">
      <c r="A153" s="102"/>
      <c r="B153" s="103"/>
      <c r="C153" s="103"/>
      <c r="D153" s="104"/>
      <c r="E153" s="105"/>
      <c r="F153" s="103"/>
    </row>
    <row r="154" customFormat="false" ht="15" hidden="false" customHeight="false" outlineLevel="0" collapsed="false">
      <c r="A154" s="102"/>
      <c r="B154" s="103"/>
      <c r="C154" s="103"/>
      <c r="D154" s="104"/>
      <c r="E154" s="105"/>
      <c r="F154" s="103"/>
    </row>
    <row r="155" customFormat="false" ht="15" hidden="false" customHeight="false" outlineLevel="0" collapsed="false">
      <c r="A155" s="102"/>
      <c r="B155" s="103"/>
      <c r="C155" s="103"/>
      <c r="D155" s="104"/>
      <c r="E155" s="105"/>
      <c r="F155" s="103"/>
    </row>
    <row r="156" customFormat="false" ht="15" hidden="false" customHeight="false" outlineLevel="0" collapsed="false">
      <c r="A156" s="102"/>
      <c r="B156" s="103"/>
      <c r="C156" s="103"/>
      <c r="D156" s="104"/>
      <c r="E156" s="105"/>
      <c r="F156" s="103"/>
    </row>
    <row r="157" customFormat="false" ht="15" hidden="false" customHeight="false" outlineLevel="0" collapsed="false">
      <c r="A157" s="102"/>
      <c r="B157" s="103"/>
      <c r="C157" s="103"/>
      <c r="D157" s="104"/>
      <c r="E157" s="105"/>
      <c r="F157" s="103"/>
    </row>
    <row r="158" customFormat="false" ht="15" hidden="false" customHeight="false" outlineLevel="0" collapsed="false">
      <c r="A158" s="102"/>
      <c r="B158" s="103"/>
      <c r="C158" s="103"/>
      <c r="D158" s="104"/>
      <c r="E158" s="105"/>
      <c r="F158" s="103"/>
    </row>
    <row r="159" customFormat="false" ht="15" hidden="false" customHeight="false" outlineLevel="0" collapsed="false">
      <c r="A159" s="102"/>
      <c r="B159" s="103"/>
      <c r="C159" s="103"/>
      <c r="D159" s="104"/>
      <c r="E159" s="105"/>
      <c r="F159" s="103"/>
    </row>
    <row r="160" customFormat="false" ht="15" hidden="false" customHeight="false" outlineLevel="0" collapsed="false">
      <c r="A160" s="102"/>
      <c r="B160" s="103"/>
      <c r="C160" s="103"/>
      <c r="D160" s="104"/>
      <c r="E160" s="105"/>
      <c r="F160" s="103"/>
    </row>
    <row r="161" customFormat="false" ht="15" hidden="false" customHeight="false" outlineLevel="0" collapsed="false">
      <c r="A161" s="102"/>
      <c r="B161" s="103"/>
      <c r="C161" s="103"/>
      <c r="D161" s="104"/>
      <c r="E161" s="105"/>
      <c r="F161" s="103"/>
    </row>
    <row r="162" customFormat="false" ht="15" hidden="false" customHeight="false" outlineLevel="0" collapsed="false">
      <c r="A162" s="102"/>
      <c r="B162" s="103"/>
      <c r="C162" s="103"/>
      <c r="D162" s="104"/>
      <c r="E162" s="105"/>
      <c r="F162" s="103"/>
    </row>
    <row r="163" customFormat="false" ht="15" hidden="false" customHeight="false" outlineLevel="0" collapsed="false">
      <c r="A163" s="102"/>
      <c r="B163" s="103"/>
      <c r="C163" s="103"/>
      <c r="D163" s="104"/>
      <c r="E163" s="105"/>
      <c r="F163" s="103"/>
    </row>
    <row r="164" customFormat="false" ht="15" hidden="false" customHeight="false" outlineLevel="0" collapsed="false">
      <c r="A164" s="102"/>
      <c r="B164" s="103"/>
      <c r="C164" s="103"/>
      <c r="D164" s="104"/>
      <c r="E164" s="105"/>
      <c r="F164" s="103"/>
    </row>
    <row r="165" customFormat="false" ht="15" hidden="false" customHeight="false" outlineLevel="0" collapsed="false">
      <c r="A165" s="102"/>
      <c r="B165" s="103"/>
      <c r="C165" s="103"/>
      <c r="D165" s="104"/>
      <c r="E165" s="105"/>
      <c r="F165" s="103"/>
    </row>
    <row r="166" customFormat="false" ht="15" hidden="false" customHeight="false" outlineLevel="0" collapsed="false">
      <c r="A166" s="102"/>
      <c r="B166" s="103"/>
      <c r="C166" s="103"/>
      <c r="D166" s="104"/>
      <c r="E166" s="105"/>
      <c r="F166" s="103"/>
    </row>
    <row r="167" customFormat="false" ht="15" hidden="false" customHeight="false" outlineLevel="0" collapsed="false">
      <c r="A167" s="102"/>
      <c r="B167" s="103"/>
      <c r="C167" s="103"/>
      <c r="D167" s="104"/>
      <c r="E167" s="105"/>
      <c r="F167" s="103"/>
    </row>
    <row r="168" customFormat="false" ht="15" hidden="false" customHeight="false" outlineLevel="0" collapsed="false">
      <c r="A168" s="102"/>
      <c r="B168" s="103"/>
      <c r="C168" s="103"/>
      <c r="D168" s="104"/>
      <c r="E168" s="105"/>
      <c r="F168" s="103"/>
    </row>
    <row r="169" customFormat="false" ht="15" hidden="false" customHeight="false" outlineLevel="0" collapsed="false">
      <c r="A169" s="102"/>
      <c r="B169" s="103"/>
      <c r="C169" s="103"/>
      <c r="D169" s="104"/>
      <c r="E169" s="105"/>
      <c r="F169" s="103"/>
    </row>
    <row r="170" customFormat="false" ht="15" hidden="false" customHeight="false" outlineLevel="0" collapsed="false">
      <c r="A170" s="102"/>
      <c r="B170" s="103"/>
      <c r="C170" s="103"/>
      <c r="D170" s="104"/>
      <c r="E170" s="105"/>
      <c r="F170" s="103"/>
    </row>
    <row r="171" customFormat="false" ht="15" hidden="false" customHeight="false" outlineLevel="0" collapsed="false">
      <c r="A171" s="102"/>
      <c r="B171" s="103"/>
      <c r="C171" s="103"/>
      <c r="D171" s="104"/>
      <c r="E171" s="105"/>
      <c r="F171" s="103"/>
    </row>
    <row r="172" customFormat="false" ht="15" hidden="false" customHeight="false" outlineLevel="0" collapsed="false">
      <c r="A172" s="102"/>
      <c r="B172" s="103"/>
      <c r="C172" s="103"/>
      <c r="D172" s="104"/>
      <c r="E172" s="105"/>
      <c r="F172" s="103"/>
    </row>
    <row r="173" customFormat="false" ht="15" hidden="false" customHeight="false" outlineLevel="0" collapsed="false">
      <c r="A173" s="102"/>
      <c r="B173" s="103"/>
      <c r="C173" s="103"/>
      <c r="D173" s="104"/>
      <c r="E173" s="105"/>
      <c r="F173" s="103"/>
    </row>
    <row r="174" customFormat="false" ht="15" hidden="false" customHeight="false" outlineLevel="0" collapsed="false">
      <c r="A174" s="102"/>
      <c r="B174" s="103"/>
      <c r="C174" s="103"/>
      <c r="D174" s="104"/>
      <c r="E174" s="105"/>
      <c r="F174" s="103"/>
    </row>
    <row r="175" customFormat="false" ht="15" hidden="false" customHeight="false" outlineLevel="0" collapsed="false">
      <c r="A175" s="102"/>
      <c r="B175" s="103"/>
      <c r="C175" s="103"/>
      <c r="D175" s="104"/>
      <c r="E175" s="105"/>
      <c r="F175" s="103"/>
    </row>
    <row r="176" customFormat="false" ht="15" hidden="false" customHeight="false" outlineLevel="0" collapsed="false">
      <c r="A176" s="102"/>
      <c r="B176" s="103"/>
      <c r="C176" s="103"/>
      <c r="D176" s="104"/>
      <c r="E176" s="105"/>
      <c r="F176" s="103"/>
    </row>
    <row r="177" customFormat="false" ht="15" hidden="false" customHeight="false" outlineLevel="0" collapsed="false">
      <c r="A177" s="102"/>
      <c r="B177" s="103"/>
      <c r="C177" s="103"/>
      <c r="D177" s="104"/>
      <c r="E177" s="105"/>
      <c r="F177" s="103"/>
    </row>
    <row r="178" customFormat="false" ht="15" hidden="false" customHeight="false" outlineLevel="0" collapsed="false">
      <c r="A178" s="102"/>
      <c r="B178" s="103"/>
      <c r="C178" s="103"/>
      <c r="D178" s="104"/>
      <c r="E178" s="105"/>
      <c r="F178" s="103"/>
    </row>
    <row r="179" customFormat="false" ht="15" hidden="false" customHeight="false" outlineLevel="0" collapsed="false">
      <c r="A179" s="102"/>
      <c r="B179" s="103"/>
      <c r="C179" s="103"/>
      <c r="D179" s="104"/>
      <c r="E179" s="105"/>
      <c r="F179" s="103"/>
    </row>
    <row r="180" customFormat="false" ht="15" hidden="false" customHeight="false" outlineLevel="0" collapsed="false">
      <c r="A180" s="102"/>
      <c r="B180" s="103"/>
      <c r="C180" s="103"/>
      <c r="D180" s="104"/>
      <c r="E180" s="105"/>
      <c r="F180" s="103"/>
    </row>
    <row r="181" customFormat="false" ht="15" hidden="false" customHeight="false" outlineLevel="0" collapsed="false">
      <c r="A181" s="102"/>
      <c r="B181" s="103"/>
      <c r="C181" s="103"/>
      <c r="D181" s="104"/>
      <c r="E181" s="105"/>
      <c r="F181" s="103"/>
    </row>
    <row r="182" customFormat="false" ht="15" hidden="false" customHeight="false" outlineLevel="0" collapsed="false">
      <c r="A182" s="102"/>
      <c r="B182" s="103"/>
      <c r="C182" s="103"/>
      <c r="D182" s="104"/>
      <c r="E182" s="105"/>
      <c r="F182" s="103"/>
    </row>
    <row r="183" customFormat="false" ht="15" hidden="false" customHeight="false" outlineLevel="0" collapsed="false">
      <c r="A183" s="102"/>
      <c r="B183" s="103"/>
      <c r="C183" s="103"/>
      <c r="D183" s="104"/>
      <c r="E183" s="105"/>
      <c r="F183" s="103"/>
    </row>
    <row r="184" customFormat="false" ht="15" hidden="false" customHeight="false" outlineLevel="0" collapsed="false">
      <c r="A184" s="102"/>
      <c r="B184" s="103"/>
      <c r="C184" s="103"/>
      <c r="D184" s="104"/>
      <c r="E184" s="105"/>
      <c r="F184" s="103"/>
    </row>
    <row r="185" customFormat="false" ht="15" hidden="false" customHeight="false" outlineLevel="0" collapsed="false">
      <c r="A185" s="102"/>
      <c r="B185" s="103"/>
      <c r="C185" s="103"/>
      <c r="D185" s="104"/>
      <c r="E185" s="105"/>
      <c r="F185" s="103"/>
    </row>
    <row r="186" customFormat="false" ht="15" hidden="false" customHeight="false" outlineLevel="0" collapsed="false">
      <c r="A186" s="102"/>
      <c r="B186" s="103"/>
      <c r="C186" s="103"/>
      <c r="D186" s="104"/>
      <c r="E186" s="105"/>
      <c r="F186" s="103"/>
    </row>
    <row r="187" customFormat="false" ht="15" hidden="false" customHeight="false" outlineLevel="0" collapsed="false">
      <c r="A187" s="102"/>
      <c r="B187" s="103"/>
      <c r="C187" s="103"/>
      <c r="D187" s="104"/>
      <c r="E187" s="105"/>
      <c r="F187" s="103"/>
    </row>
    <row r="188" customFormat="false" ht="15" hidden="false" customHeight="false" outlineLevel="0" collapsed="false">
      <c r="A188" s="102"/>
      <c r="B188" s="103"/>
      <c r="C188" s="103"/>
      <c r="D188" s="104"/>
      <c r="E188" s="105"/>
      <c r="F188" s="103"/>
    </row>
    <row r="189" customFormat="false" ht="15" hidden="false" customHeight="false" outlineLevel="0" collapsed="false">
      <c r="A189" s="102"/>
      <c r="B189" s="103"/>
      <c r="C189" s="103"/>
      <c r="D189" s="104"/>
      <c r="E189" s="105"/>
      <c r="F189" s="103"/>
    </row>
    <row r="190" customFormat="false" ht="15" hidden="false" customHeight="false" outlineLevel="0" collapsed="false">
      <c r="A190" s="102"/>
      <c r="B190" s="103"/>
      <c r="C190" s="103"/>
      <c r="D190" s="104"/>
      <c r="E190" s="105"/>
      <c r="F190" s="103"/>
    </row>
    <row r="191" customFormat="false" ht="15" hidden="false" customHeight="false" outlineLevel="0" collapsed="false">
      <c r="A191" s="102"/>
      <c r="B191" s="103"/>
      <c r="C191" s="103"/>
      <c r="D191" s="104"/>
      <c r="E191" s="105"/>
      <c r="F191" s="103"/>
    </row>
    <row r="192" customFormat="false" ht="15" hidden="false" customHeight="false" outlineLevel="0" collapsed="false">
      <c r="A192" s="102"/>
      <c r="B192" s="103"/>
      <c r="C192" s="103"/>
      <c r="D192" s="104"/>
      <c r="E192" s="105"/>
      <c r="F192" s="103"/>
    </row>
    <row r="193" customFormat="false" ht="15" hidden="false" customHeight="false" outlineLevel="0" collapsed="false">
      <c r="A193" s="102"/>
      <c r="B193" s="103"/>
      <c r="C193" s="103"/>
      <c r="D193" s="104"/>
      <c r="E193" s="105"/>
      <c r="F193" s="103"/>
    </row>
    <row r="194" customFormat="false" ht="15" hidden="false" customHeight="false" outlineLevel="0" collapsed="false">
      <c r="A194" s="102"/>
      <c r="B194" s="103"/>
      <c r="C194" s="103"/>
      <c r="D194" s="104"/>
      <c r="E194" s="105"/>
      <c r="F194" s="103"/>
    </row>
    <row r="195" customFormat="false" ht="15" hidden="false" customHeight="false" outlineLevel="0" collapsed="false">
      <c r="A195" s="102"/>
      <c r="B195" s="103"/>
      <c r="C195" s="103"/>
      <c r="D195" s="104"/>
      <c r="E195" s="105"/>
      <c r="F195" s="103"/>
    </row>
    <row r="196" customFormat="false" ht="15" hidden="false" customHeight="false" outlineLevel="0" collapsed="false">
      <c r="A196" s="102"/>
      <c r="B196" s="103"/>
      <c r="C196" s="103"/>
      <c r="D196" s="104"/>
      <c r="E196" s="105"/>
      <c r="F196" s="103"/>
    </row>
    <row r="197" customFormat="false" ht="15" hidden="false" customHeight="false" outlineLevel="0" collapsed="false">
      <c r="A197" s="102"/>
      <c r="B197" s="103"/>
      <c r="C197" s="103"/>
      <c r="D197" s="104"/>
      <c r="E197" s="105"/>
      <c r="F197" s="103"/>
    </row>
    <row r="198" customFormat="false" ht="15" hidden="false" customHeight="false" outlineLevel="0" collapsed="false">
      <c r="A198" s="102"/>
      <c r="B198" s="103"/>
      <c r="C198" s="103"/>
      <c r="D198" s="104"/>
      <c r="E198" s="105"/>
      <c r="F198" s="103"/>
    </row>
    <row r="199" customFormat="false" ht="15" hidden="false" customHeight="false" outlineLevel="0" collapsed="false">
      <c r="A199" s="102"/>
      <c r="B199" s="103"/>
      <c r="C199" s="103"/>
      <c r="D199" s="104"/>
      <c r="E199" s="105"/>
      <c r="F199" s="103"/>
    </row>
    <row r="200" customFormat="false" ht="15" hidden="false" customHeight="false" outlineLevel="0" collapsed="false">
      <c r="A200" s="102"/>
      <c r="B200" s="103"/>
      <c r="C200" s="103"/>
      <c r="D200" s="104"/>
      <c r="E200" s="105"/>
      <c r="F200" s="103"/>
    </row>
    <row r="201" customFormat="false" ht="15" hidden="false" customHeight="false" outlineLevel="0" collapsed="false">
      <c r="A201" s="102"/>
      <c r="B201" s="103"/>
      <c r="C201" s="103"/>
      <c r="D201" s="104"/>
      <c r="E201" s="105"/>
      <c r="F201" s="103"/>
    </row>
    <row r="202" customFormat="false" ht="15" hidden="false" customHeight="false" outlineLevel="0" collapsed="false">
      <c r="A202" s="102"/>
      <c r="B202" s="103"/>
      <c r="C202" s="103"/>
      <c r="D202" s="104"/>
      <c r="E202" s="105"/>
      <c r="F202" s="103"/>
    </row>
    <row r="203" customFormat="false" ht="15" hidden="false" customHeight="false" outlineLevel="0" collapsed="false">
      <c r="A203" s="102"/>
      <c r="B203" s="103"/>
      <c r="C203" s="103"/>
      <c r="D203" s="104"/>
      <c r="E203" s="105"/>
      <c r="F203" s="103"/>
    </row>
    <row r="204" customFormat="false" ht="15" hidden="false" customHeight="false" outlineLevel="0" collapsed="false">
      <c r="A204" s="102"/>
      <c r="B204" s="103"/>
      <c r="C204" s="103"/>
      <c r="D204" s="104"/>
      <c r="E204" s="105"/>
      <c r="F204" s="103"/>
    </row>
    <row r="205" customFormat="false" ht="15" hidden="false" customHeight="false" outlineLevel="0" collapsed="false">
      <c r="A205" s="102"/>
      <c r="B205" s="103"/>
      <c r="C205" s="103"/>
      <c r="D205" s="104"/>
      <c r="E205" s="105"/>
      <c r="F205" s="103"/>
    </row>
    <row r="206" customFormat="false" ht="15" hidden="false" customHeight="false" outlineLevel="0" collapsed="false">
      <c r="A206" s="102"/>
      <c r="B206" s="103"/>
      <c r="C206" s="103"/>
      <c r="D206" s="104"/>
      <c r="E206" s="105"/>
      <c r="F206" s="103"/>
    </row>
    <row r="207" customFormat="false" ht="15" hidden="false" customHeight="false" outlineLevel="0" collapsed="false">
      <c r="A207" s="102"/>
      <c r="B207" s="103"/>
      <c r="C207" s="103"/>
      <c r="D207" s="104"/>
      <c r="E207" s="105"/>
      <c r="F207" s="103"/>
    </row>
    <row r="208" customFormat="false" ht="15" hidden="false" customHeight="false" outlineLevel="0" collapsed="false">
      <c r="A208" s="102"/>
      <c r="B208" s="103"/>
      <c r="C208" s="103"/>
      <c r="D208" s="104"/>
      <c r="E208" s="105"/>
      <c r="F208" s="103"/>
    </row>
    <row r="209" customFormat="false" ht="15" hidden="false" customHeight="false" outlineLevel="0" collapsed="false">
      <c r="A209" s="102"/>
      <c r="B209" s="103"/>
      <c r="C209" s="103"/>
      <c r="D209" s="104"/>
      <c r="E209" s="105"/>
      <c r="F209" s="103"/>
    </row>
    <row r="210" customFormat="false" ht="15" hidden="false" customHeight="false" outlineLevel="0" collapsed="false">
      <c r="A210" s="102"/>
      <c r="B210" s="103"/>
      <c r="C210" s="103"/>
      <c r="D210" s="104"/>
      <c r="E210" s="105"/>
      <c r="F210" s="103"/>
    </row>
    <row r="211" customFormat="false" ht="15" hidden="false" customHeight="false" outlineLevel="0" collapsed="false">
      <c r="A211" s="102"/>
      <c r="B211" s="103"/>
      <c r="C211" s="103"/>
      <c r="D211" s="104"/>
      <c r="E211" s="105"/>
      <c r="F211" s="103"/>
    </row>
    <row r="212" customFormat="false" ht="15" hidden="false" customHeight="false" outlineLevel="0" collapsed="false">
      <c r="A212" s="102"/>
      <c r="B212" s="103"/>
      <c r="C212" s="103"/>
      <c r="D212" s="104"/>
      <c r="E212" s="105"/>
      <c r="F212" s="103"/>
    </row>
    <row r="213" customFormat="false" ht="15" hidden="false" customHeight="false" outlineLevel="0" collapsed="false">
      <c r="A213" s="102"/>
      <c r="B213" s="103"/>
      <c r="C213" s="103"/>
      <c r="D213" s="104"/>
      <c r="E213" s="105"/>
      <c r="F213" s="103"/>
    </row>
    <row r="214" customFormat="false" ht="15" hidden="false" customHeight="false" outlineLevel="0" collapsed="false">
      <c r="A214" s="102"/>
      <c r="B214" s="103"/>
      <c r="C214" s="103"/>
      <c r="D214" s="104"/>
      <c r="E214" s="105"/>
      <c r="F214" s="103"/>
    </row>
    <row r="215" customFormat="false" ht="15" hidden="false" customHeight="false" outlineLevel="0" collapsed="false">
      <c r="A215" s="102"/>
      <c r="B215" s="103"/>
      <c r="C215" s="103"/>
      <c r="D215" s="104"/>
      <c r="E215" s="105"/>
      <c r="F215" s="103"/>
    </row>
    <row r="216" customFormat="false" ht="15" hidden="false" customHeight="false" outlineLevel="0" collapsed="false">
      <c r="A216" s="102"/>
      <c r="B216" s="103"/>
      <c r="C216" s="103"/>
      <c r="D216" s="104"/>
      <c r="E216" s="105"/>
      <c r="F216" s="103"/>
    </row>
    <row r="217" customFormat="false" ht="15" hidden="false" customHeight="false" outlineLevel="0" collapsed="false">
      <c r="A217" s="102"/>
      <c r="B217" s="103"/>
      <c r="C217" s="103"/>
      <c r="D217" s="104"/>
      <c r="E217" s="105"/>
      <c r="F217" s="103"/>
    </row>
    <row r="218" customFormat="false" ht="15" hidden="false" customHeight="false" outlineLevel="0" collapsed="false">
      <c r="A218" s="102"/>
      <c r="B218" s="103"/>
      <c r="C218" s="103"/>
      <c r="D218" s="104"/>
      <c r="E218" s="105"/>
      <c r="F218" s="103"/>
    </row>
    <row r="219" customFormat="false" ht="15" hidden="false" customHeight="false" outlineLevel="0" collapsed="false">
      <c r="A219" s="102"/>
      <c r="B219" s="103"/>
      <c r="C219" s="103"/>
      <c r="D219" s="104"/>
      <c r="E219" s="105"/>
      <c r="F219" s="103"/>
    </row>
    <row r="220" customFormat="false" ht="15" hidden="false" customHeight="false" outlineLevel="0" collapsed="false">
      <c r="A220" s="102"/>
      <c r="B220" s="103"/>
      <c r="C220" s="103"/>
      <c r="D220" s="104"/>
      <c r="E220" s="105"/>
      <c r="F220" s="103"/>
    </row>
    <row r="221" customFormat="false" ht="15" hidden="false" customHeight="false" outlineLevel="0" collapsed="false">
      <c r="A221" s="102"/>
      <c r="B221" s="103"/>
      <c r="C221" s="103"/>
      <c r="D221" s="104"/>
      <c r="E221" s="105"/>
      <c r="F221" s="103"/>
    </row>
    <row r="222" customFormat="false" ht="15" hidden="false" customHeight="false" outlineLevel="0" collapsed="false">
      <c r="A222" s="102"/>
      <c r="B222" s="103"/>
      <c r="C222" s="103"/>
      <c r="D222" s="104"/>
      <c r="E222" s="105"/>
      <c r="F222" s="103"/>
    </row>
    <row r="223" customFormat="false" ht="15" hidden="false" customHeight="false" outlineLevel="0" collapsed="false">
      <c r="A223" s="102"/>
      <c r="B223" s="103"/>
      <c r="C223" s="103"/>
      <c r="D223" s="104"/>
      <c r="E223" s="105"/>
      <c r="F223" s="103"/>
    </row>
    <row r="224" customFormat="false" ht="15" hidden="false" customHeight="false" outlineLevel="0" collapsed="false">
      <c r="A224" s="102"/>
      <c r="B224" s="103"/>
      <c r="C224" s="103"/>
      <c r="D224" s="104"/>
      <c r="E224" s="105"/>
      <c r="F224" s="103"/>
    </row>
    <row r="225" customFormat="false" ht="15" hidden="false" customHeight="false" outlineLevel="0" collapsed="false">
      <c r="A225" s="102"/>
      <c r="B225" s="103"/>
      <c r="C225" s="103"/>
      <c r="D225" s="104"/>
      <c r="E225" s="105"/>
      <c r="F225" s="103"/>
    </row>
    <row r="226" customFormat="false" ht="15" hidden="false" customHeight="false" outlineLevel="0" collapsed="false">
      <c r="A226" s="102"/>
      <c r="B226" s="103"/>
      <c r="C226" s="103"/>
      <c r="D226" s="104"/>
      <c r="E226" s="105"/>
      <c r="F226" s="103"/>
    </row>
    <row r="227" customFormat="false" ht="15" hidden="false" customHeight="false" outlineLevel="0" collapsed="false">
      <c r="A227" s="102"/>
      <c r="B227" s="103"/>
      <c r="C227" s="103"/>
      <c r="D227" s="104"/>
      <c r="E227" s="105"/>
      <c r="F227" s="103"/>
    </row>
    <row r="228" customFormat="false" ht="15" hidden="false" customHeight="false" outlineLevel="0" collapsed="false">
      <c r="A228" s="102"/>
      <c r="B228" s="103"/>
      <c r="C228" s="103"/>
      <c r="D228" s="104"/>
      <c r="E228" s="105"/>
      <c r="F228" s="103"/>
    </row>
    <row r="229" customFormat="false" ht="15" hidden="false" customHeight="false" outlineLevel="0" collapsed="false">
      <c r="A229" s="102"/>
      <c r="B229" s="103"/>
      <c r="C229" s="103"/>
      <c r="D229" s="104"/>
      <c r="E229" s="105"/>
      <c r="F229" s="103"/>
    </row>
    <row r="230" customFormat="false" ht="15" hidden="false" customHeight="false" outlineLevel="0" collapsed="false">
      <c r="A230" s="102"/>
      <c r="B230" s="103"/>
      <c r="C230" s="103"/>
      <c r="D230" s="104"/>
      <c r="E230" s="105"/>
      <c r="F230" s="103"/>
    </row>
    <row r="231" customFormat="false" ht="15" hidden="false" customHeight="false" outlineLevel="0" collapsed="false">
      <c r="A231" s="102"/>
      <c r="B231" s="103"/>
      <c r="C231" s="103"/>
      <c r="D231" s="104"/>
      <c r="E231" s="105"/>
      <c r="F231" s="103"/>
    </row>
    <row r="232" customFormat="false" ht="15" hidden="false" customHeight="false" outlineLevel="0" collapsed="false">
      <c r="A232" s="102"/>
      <c r="B232" s="103"/>
      <c r="C232" s="103"/>
      <c r="D232" s="104"/>
      <c r="E232" s="105"/>
      <c r="F232" s="103"/>
    </row>
    <row r="233" customFormat="false" ht="15" hidden="false" customHeight="false" outlineLevel="0" collapsed="false">
      <c r="A233" s="102"/>
      <c r="B233" s="103"/>
      <c r="C233" s="103"/>
      <c r="D233" s="104"/>
      <c r="E233" s="105"/>
      <c r="F233" s="103"/>
    </row>
    <row r="234" customFormat="false" ht="15" hidden="false" customHeight="false" outlineLevel="0" collapsed="false">
      <c r="A234" s="102"/>
      <c r="B234" s="103"/>
      <c r="C234" s="103"/>
      <c r="D234" s="104"/>
      <c r="E234" s="105"/>
      <c r="F234" s="103"/>
    </row>
    <row r="235" customFormat="false" ht="15" hidden="false" customHeight="false" outlineLevel="0" collapsed="false">
      <c r="A235" s="102"/>
      <c r="B235" s="103"/>
      <c r="C235" s="103"/>
      <c r="D235" s="104"/>
      <c r="E235" s="105"/>
      <c r="F235" s="103"/>
    </row>
    <row r="236" customFormat="false" ht="15" hidden="false" customHeight="false" outlineLevel="0" collapsed="false">
      <c r="A236" s="102"/>
      <c r="B236" s="103"/>
      <c r="C236" s="103"/>
      <c r="D236" s="104"/>
      <c r="E236" s="105"/>
      <c r="F236" s="103"/>
    </row>
    <row r="237" customFormat="false" ht="15" hidden="false" customHeight="false" outlineLevel="0" collapsed="false">
      <c r="A237" s="102"/>
      <c r="B237" s="103"/>
      <c r="C237" s="103"/>
      <c r="D237" s="104"/>
      <c r="E237" s="105"/>
      <c r="F237" s="103"/>
    </row>
    <row r="238" customFormat="false" ht="15" hidden="false" customHeight="false" outlineLevel="0" collapsed="false">
      <c r="A238" s="102"/>
      <c r="B238" s="103"/>
      <c r="C238" s="103"/>
      <c r="D238" s="104"/>
      <c r="E238" s="105"/>
      <c r="F238" s="103"/>
    </row>
    <row r="239" customFormat="false" ht="15" hidden="false" customHeight="false" outlineLevel="0" collapsed="false">
      <c r="A239" s="102"/>
      <c r="B239" s="103"/>
      <c r="C239" s="103"/>
      <c r="D239" s="104"/>
      <c r="E239" s="105"/>
      <c r="F239" s="103"/>
    </row>
    <row r="240" customFormat="false" ht="15" hidden="false" customHeight="false" outlineLevel="0" collapsed="false">
      <c r="A240" s="102"/>
      <c r="B240" s="103"/>
      <c r="C240" s="103"/>
      <c r="D240" s="104"/>
      <c r="E240" s="105"/>
      <c r="F240" s="103"/>
    </row>
    <row r="241" customFormat="false" ht="15" hidden="false" customHeight="false" outlineLevel="0" collapsed="false">
      <c r="A241" s="102"/>
      <c r="B241" s="103"/>
      <c r="C241" s="103"/>
      <c r="D241" s="104"/>
      <c r="E241" s="105"/>
      <c r="F241" s="103"/>
    </row>
    <row r="242" customFormat="false" ht="15" hidden="false" customHeight="false" outlineLevel="0" collapsed="false">
      <c r="A242" s="102"/>
      <c r="B242" s="103"/>
      <c r="C242" s="103"/>
      <c r="D242" s="104"/>
      <c r="E242" s="105"/>
      <c r="F242" s="103"/>
    </row>
    <row r="243" customFormat="false" ht="15" hidden="false" customHeight="false" outlineLevel="0" collapsed="false">
      <c r="A243" s="102"/>
      <c r="B243" s="103"/>
      <c r="C243" s="103"/>
      <c r="D243" s="104"/>
      <c r="E243" s="105"/>
      <c r="F243" s="103"/>
    </row>
    <row r="244" customFormat="false" ht="15" hidden="false" customHeight="false" outlineLevel="0" collapsed="false">
      <c r="A244" s="102"/>
      <c r="B244" s="103"/>
      <c r="C244" s="103"/>
      <c r="D244" s="104"/>
      <c r="E244" s="105"/>
      <c r="F244" s="103"/>
    </row>
    <row r="245" customFormat="false" ht="15" hidden="false" customHeight="false" outlineLevel="0" collapsed="false">
      <c r="A245" s="102"/>
      <c r="B245" s="103"/>
      <c r="C245" s="103"/>
      <c r="D245" s="104"/>
      <c r="E245" s="105"/>
      <c r="F245" s="103"/>
    </row>
    <row r="246" customFormat="false" ht="15" hidden="false" customHeight="false" outlineLevel="0" collapsed="false">
      <c r="A246" s="102"/>
      <c r="B246" s="103"/>
      <c r="C246" s="103"/>
      <c r="D246" s="104"/>
      <c r="E246" s="105"/>
      <c r="F246" s="103"/>
    </row>
    <row r="247" customFormat="false" ht="15" hidden="false" customHeight="false" outlineLevel="0" collapsed="false">
      <c r="A247" s="102"/>
      <c r="B247" s="103"/>
      <c r="C247" s="103"/>
      <c r="D247" s="104"/>
      <c r="E247" s="105"/>
      <c r="F247" s="103"/>
    </row>
    <row r="248" customFormat="false" ht="15" hidden="false" customHeight="false" outlineLevel="0" collapsed="false">
      <c r="A248" s="102"/>
      <c r="B248" s="103"/>
      <c r="C248" s="103"/>
      <c r="D248" s="104"/>
      <c r="E248" s="105"/>
      <c r="F248" s="103"/>
    </row>
    <row r="249" customFormat="false" ht="15" hidden="false" customHeight="false" outlineLevel="0" collapsed="false">
      <c r="A249" s="102"/>
      <c r="B249" s="103"/>
      <c r="C249" s="103"/>
      <c r="D249" s="104"/>
      <c r="E249" s="105"/>
      <c r="F249" s="103"/>
    </row>
    <row r="250" customFormat="false" ht="15" hidden="false" customHeight="false" outlineLevel="0" collapsed="false">
      <c r="A250" s="102"/>
      <c r="B250" s="103"/>
      <c r="C250" s="103"/>
      <c r="D250" s="104"/>
      <c r="E250" s="105"/>
      <c r="F250" s="103"/>
    </row>
    <row r="251" customFormat="false" ht="15" hidden="false" customHeight="false" outlineLevel="0" collapsed="false">
      <c r="A251" s="102"/>
      <c r="B251" s="103"/>
      <c r="C251" s="103"/>
      <c r="D251" s="104"/>
      <c r="E251" s="105"/>
      <c r="F251" s="103"/>
    </row>
    <row r="252" customFormat="false" ht="15" hidden="false" customHeight="false" outlineLevel="0" collapsed="false">
      <c r="A252" s="102"/>
      <c r="B252" s="103"/>
      <c r="C252" s="103"/>
      <c r="D252" s="104"/>
      <c r="E252" s="105"/>
      <c r="F252" s="103"/>
    </row>
    <row r="253" customFormat="false" ht="15" hidden="false" customHeight="false" outlineLevel="0" collapsed="false">
      <c r="A253" s="102"/>
      <c r="B253" s="103"/>
      <c r="C253" s="103"/>
      <c r="D253" s="104"/>
      <c r="E253" s="105"/>
      <c r="F253" s="103"/>
    </row>
    <row r="254" customFormat="false" ht="15" hidden="false" customHeight="false" outlineLevel="0" collapsed="false">
      <c r="A254" s="102"/>
      <c r="B254" s="103"/>
      <c r="C254" s="103"/>
      <c r="D254" s="104"/>
      <c r="E254" s="105"/>
      <c r="F254" s="103"/>
    </row>
    <row r="255" customFormat="false" ht="15" hidden="false" customHeight="false" outlineLevel="0" collapsed="false">
      <c r="A255" s="102"/>
      <c r="B255" s="103"/>
      <c r="C255" s="103"/>
      <c r="D255" s="104"/>
      <c r="E255" s="105"/>
      <c r="F255" s="103"/>
    </row>
    <row r="256" customFormat="false" ht="15" hidden="false" customHeight="false" outlineLevel="0" collapsed="false">
      <c r="A256" s="102"/>
      <c r="B256" s="103"/>
      <c r="C256" s="103"/>
      <c r="D256" s="104"/>
      <c r="E256" s="105"/>
      <c r="F256" s="103"/>
    </row>
    <row r="257" customFormat="false" ht="15" hidden="false" customHeight="false" outlineLevel="0" collapsed="false">
      <c r="A257" s="102"/>
      <c r="B257" s="103"/>
      <c r="C257" s="103"/>
      <c r="D257" s="104"/>
      <c r="E257" s="105"/>
      <c r="F257" s="103"/>
    </row>
    <row r="258" customFormat="false" ht="15" hidden="false" customHeight="false" outlineLevel="0" collapsed="false">
      <c r="A258" s="102"/>
      <c r="B258" s="103"/>
      <c r="C258" s="103"/>
      <c r="D258" s="104"/>
      <c r="E258" s="105"/>
      <c r="F258" s="103"/>
    </row>
    <row r="259" customFormat="false" ht="15" hidden="false" customHeight="false" outlineLevel="0" collapsed="false">
      <c r="A259" s="102"/>
      <c r="B259" s="103"/>
      <c r="C259" s="103"/>
      <c r="D259" s="104"/>
      <c r="E259" s="105"/>
      <c r="F259" s="103"/>
    </row>
    <row r="260" customFormat="false" ht="15" hidden="false" customHeight="false" outlineLevel="0" collapsed="false">
      <c r="A260" s="102"/>
      <c r="B260" s="103"/>
      <c r="C260" s="103"/>
      <c r="D260" s="104"/>
      <c r="E260" s="105"/>
      <c r="F260" s="103"/>
    </row>
    <row r="261" customFormat="false" ht="15" hidden="false" customHeight="false" outlineLevel="0" collapsed="false">
      <c r="A261" s="102"/>
      <c r="B261" s="103"/>
      <c r="C261" s="103"/>
      <c r="D261" s="104"/>
      <c r="E261" s="105"/>
      <c r="F261" s="103"/>
    </row>
    <row r="262" customFormat="false" ht="15" hidden="false" customHeight="false" outlineLevel="0" collapsed="false">
      <c r="A262" s="102"/>
      <c r="B262" s="103"/>
      <c r="C262" s="103"/>
      <c r="D262" s="104"/>
      <c r="E262" s="105"/>
      <c r="F262" s="103"/>
    </row>
    <row r="263" customFormat="false" ht="15" hidden="false" customHeight="false" outlineLevel="0" collapsed="false">
      <c r="A263" s="102"/>
      <c r="B263" s="103"/>
      <c r="C263" s="103"/>
      <c r="D263" s="104"/>
      <c r="E263" s="105"/>
      <c r="F263" s="103"/>
    </row>
    <row r="264" customFormat="false" ht="15" hidden="false" customHeight="false" outlineLevel="0" collapsed="false">
      <c r="A264" s="102"/>
      <c r="B264" s="103"/>
      <c r="C264" s="103"/>
      <c r="D264" s="104"/>
      <c r="E264" s="105"/>
      <c r="F264" s="103"/>
    </row>
    <row r="265" customFormat="false" ht="15" hidden="false" customHeight="false" outlineLevel="0" collapsed="false">
      <c r="A265" s="102"/>
      <c r="B265" s="103"/>
      <c r="C265" s="103"/>
      <c r="D265" s="104"/>
      <c r="E265" s="105"/>
      <c r="F265" s="103"/>
    </row>
    <row r="266" customFormat="false" ht="15" hidden="false" customHeight="false" outlineLevel="0" collapsed="false">
      <c r="A266" s="102"/>
      <c r="B266" s="103"/>
      <c r="C266" s="103"/>
      <c r="D266" s="104"/>
      <c r="E266" s="105"/>
      <c r="F266" s="103"/>
    </row>
    <row r="267" customFormat="false" ht="15" hidden="false" customHeight="false" outlineLevel="0" collapsed="false">
      <c r="A267" s="102"/>
      <c r="B267" s="103"/>
      <c r="C267" s="103"/>
      <c r="D267" s="104"/>
      <c r="E267" s="105"/>
      <c r="F267" s="103"/>
    </row>
    <row r="268" customFormat="false" ht="15" hidden="false" customHeight="false" outlineLevel="0" collapsed="false">
      <c r="A268" s="102"/>
      <c r="B268" s="103"/>
      <c r="C268" s="103"/>
      <c r="D268" s="104"/>
      <c r="E268" s="105"/>
      <c r="F268" s="103"/>
    </row>
    <row r="269" customFormat="false" ht="15" hidden="false" customHeight="false" outlineLevel="0" collapsed="false">
      <c r="A269" s="102"/>
      <c r="B269" s="103"/>
      <c r="C269" s="103"/>
      <c r="D269" s="104"/>
      <c r="E269" s="105"/>
      <c r="F269" s="103"/>
    </row>
    <row r="270" customFormat="false" ht="15" hidden="false" customHeight="false" outlineLevel="0" collapsed="false">
      <c r="A270" s="102"/>
      <c r="B270" s="103"/>
      <c r="C270" s="103"/>
      <c r="D270" s="104"/>
      <c r="E270" s="105"/>
      <c r="F270" s="103"/>
    </row>
    <row r="271" customFormat="false" ht="15" hidden="false" customHeight="false" outlineLevel="0" collapsed="false">
      <c r="A271" s="102"/>
      <c r="B271" s="103"/>
      <c r="C271" s="103"/>
      <c r="D271" s="104"/>
      <c r="E271" s="105"/>
      <c r="F271" s="103"/>
    </row>
    <row r="272" customFormat="false" ht="15" hidden="false" customHeight="false" outlineLevel="0" collapsed="false">
      <c r="A272" s="102"/>
      <c r="B272" s="103"/>
      <c r="C272" s="103"/>
      <c r="D272" s="104"/>
      <c r="E272" s="105"/>
      <c r="F272" s="103"/>
    </row>
    <row r="273" customFormat="false" ht="15" hidden="false" customHeight="false" outlineLevel="0" collapsed="false">
      <c r="A273" s="102"/>
      <c r="B273" s="103"/>
      <c r="C273" s="103"/>
      <c r="D273" s="104"/>
      <c r="E273" s="105"/>
      <c r="F273" s="103"/>
    </row>
    <row r="274" customFormat="false" ht="15" hidden="false" customHeight="false" outlineLevel="0" collapsed="false">
      <c r="A274" s="102"/>
      <c r="B274" s="103"/>
      <c r="C274" s="103"/>
      <c r="D274" s="104"/>
      <c r="E274" s="105"/>
      <c r="F274" s="103"/>
    </row>
    <row r="275" customFormat="false" ht="15" hidden="false" customHeight="false" outlineLevel="0" collapsed="false">
      <c r="A275" s="102"/>
      <c r="B275" s="103"/>
      <c r="C275" s="103"/>
      <c r="D275" s="104"/>
      <c r="E275" s="105"/>
      <c r="F275" s="103"/>
    </row>
    <row r="276" customFormat="false" ht="15" hidden="false" customHeight="false" outlineLevel="0" collapsed="false">
      <c r="A276" s="102"/>
      <c r="B276" s="103"/>
      <c r="C276" s="103"/>
      <c r="D276" s="104"/>
      <c r="E276" s="105"/>
      <c r="F276" s="103"/>
    </row>
    <row r="277" customFormat="false" ht="15" hidden="false" customHeight="false" outlineLevel="0" collapsed="false">
      <c r="A277" s="102"/>
      <c r="B277" s="103"/>
      <c r="C277" s="103"/>
      <c r="D277" s="104"/>
      <c r="E277" s="105"/>
      <c r="F277" s="103"/>
    </row>
    <row r="278" customFormat="false" ht="15" hidden="false" customHeight="false" outlineLevel="0" collapsed="false">
      <c r="A278" s="102"/>
      <c r="B278" s="103"/>
      <c r="C278" s="103"/>
      <c r="D278" s="104"/>
      <c r="E278" s="105"/>
      <c r="F278" s="103"/>
    </row>
    <row r="279" customFormat="false" ht="15" hidden="false" customHeight="false" outlineLevel="0" collapsed="false">
      <c r="A279" s="102"/>
      <c r="B279" s="103"/>
      <c r="C279" s="103"/>
      <c r="D279" s="104"/>
      <c r="E279" s="105"/>
      <c r="F279" s="103"/>
    </row>
    <row r="280" customFormat="false" ht="15" hidden="false" customHeight="false" outlineLevel="0" collapsed="false">
      <c r="A280" s="102"/>
      <c r="B280" s="103"/>
      <c r="C280" s="103"/>
      <c r="D280" s="104"/>
      <c r="E280" s="105"/>
      <c r="F280" s="103"/>
    </row>
    <row r="281" customFormat="false" ht="15" hidden="false" customHeight="false" outlineLevel="0" collapsed="false">
      <c r="A281" s="102"/>
      <c r="B281" s="103"/>
      <c r="C281" s="103"/>
      <c r="D281" s="104"/>
      <c r="E281" s="105"/>
      <c r="F281" s="103"/>
    </row>
    <row r="282" customFormat="false" ht="15" hidden="false" customHeight="false" outlineLevel="0" collapsed="false">
      <c r="A282" s="102"/>
      <c r="B282" s="103"/>
      <c r="C282" s="103"/>
      <c r="D282" s="104"/>
      <c r="E282" s="105"/>
      <c r="F282" s="103"/>
    </row>
    <row r="283" customFormat="false" ht="15" hidden="false" customHeight="false" outlineLevel="0" collapsed="false">
      <c r="A283" s="102"/>
      <c r="B283" s="103"/>
      <c r="C283" s="103"/>
      <c r="D283" s="104"/>
      <c r="E283" s="105"/>
      <c r="F283" s="103"/>
    </row>
    <row r="284" customFormat="false" ht="15" hidden="false" customHeight="false" outlineLevel="0" collapsed="false">
      <c r="A284" s="102"/>
      <c r="B284" s="103"/>
      <c r="C284" s="103"/>
      <c r="D284" s="104"/>
      <c r="E284" s="105"/>
      <c r="F284" s="103"/>
    </row>
    <row r="285" customFormat="false" ht="15" hidden="false" customHeight="false" outlineLevel="0" collapsed="false">
      <c r="A285" s="102"/>
      <c r="B285" s="103"/>
      <c r="C285" s="103"/>
      <c r="D285" s="104"/>
      <c r="E285" s="105"/>
      <c r="F285" s="103"/>
    </row>
    <row r="286" customFormat="false" ht="15" hidden="false" customHeight="false" outlineLevel="0" collapsed="false">
      <c r="A286" s="102"/>
      <c r="B286" s="103"/>
      <c r="C286" s="103"/>
      <c r="D286" s="104"/>
      <c r="E286" s="105"/>
      <c r="F286" s="103"/>
    </row>
    <row r="287" customFormat="false" ht="15" hidden="false" customHeight="false" outlineLevel="0" collapsed="false">
      <c r="A287" s="102"/>
      <c r="B287" s="103"/>
      <c r="C287" s="103"/>
      <c r="D287" s="104"/>
      <c r="E287" s="105"/>
      <c r="F287" s="103"/>
    </row>
    <row r="288" customFormat="false" ht="15" hidden="false" customHeight="false" outlineLevel="0" collapsed="false">
      <c r="A288" s="102"/>
      <c r="B288" s="103"/>
      <c r="C288" s="103"/>
      <c r="D288" s="104"/>
      <c r="E288" s="105"/>
      <c r="F288" s="103"/>
    </row>
    <row r="289" customFormat="false" ht="15" hidden="false" customHeight="false" outlineLevel="0" collapsed="false">
      <c r="A289" s="102"/>
      <c r="B289" s="103"/>
      <c r="C289" s="103"/>
      <c r="D289" s="104"/>
      <c r="E289" s="105"/>
      <c r="F289" s="103"/>
    </row>
    <row r="290" customFormat="false" ht="15" hidden="false" customHeight="false" outlineLevel="0" collapsed="false">
      <c r="A290" s="102"/>
      <c r="B290" s="103"/>
      <c r="C290" s="103"/>
      <c r="D290" s="104"/>
      <c r="E290" s="105"/>
      <c r="F290" s="103"/>
    </row>
    <row r="291" customFormat="false" ht="15" hidden="false" customHeight="false" outlineLevel="0" collapsed="false">
      <c r="A291" s="102"/>
      <c r="B291" s="103"/>
      <c r="C291" s="103"/>
      <c r="D291" s="104"/>
      <c r="E291" s="105"/>
      <c r="F291" s="103"/>
    </row>
    <row r="292" customFormat="false" ht="15" hidden="false" customHeight="false" outlineLevel="0" collapsed="false">
      <c r="A292" s="102"/>
      <c r="B292" s="103"/>
      <c r="C292" s="103"/>
      <c r="D292" s="104"/>
      <c r="E292" s="105"/>
      <c r="F292" s="103"/>
    </row>
    <row r="293" customFormat="false" ht="15" hidden="false" customHeight="false" outlineLevel="0" collapsed="false">
      <c r="A293" s="102"/>
      <c r="B293" s="103"/>
      <c r="C293" s="103"/>
      <c r="D293" s="104"/>
      <c r="E293" s="105"/>
      <c r="F293" s="103"/>
    </row>
    <row r="294" customFormat="false" ht="15" hidden="false" customHeight="false" outlineLevel="0" collapsed="false">
      <c r="A294" s="102"/>
      <c r="B294" s="103"/>
      <c r="C294" s="103"/>
      <c r="D294" s="104"/>
      <c r="E294" s="105"/>
      <c r="F294" s="103"/>
    </row>
    <row r="295" customFormat="false" ht="15" hidden="false" customHeight="false" outlineLevel="0" collapsed="false">
      <c r="A295" s="102"/>
      <c r="B295" s="103"/>
      <c r="C295" s="103"/>
      <c r="D295" s="104"/>
      <c r="E295" s="105"/>
      <c r="F295" s="103"/>
    </row>
    <row r="296" customFormat="false" ht="15" hidden="false" customHeight="false" outlineLevel="0" collapsed="false">
      <c r="A296" s="102"/>
      <c r="B296" s="103"/>
      <c r="C296" s="103"/>
      <c r="D296" s="104"/>
      <c r="E296" s="105"/>
      <c r="F296" s="103"/>
    </row>
    <row r="297" customFormat="false" ht="15" hidden="false" customHeight="false" outlineLevel="0" collapsed="false">
      <c r="A297" s="102"/>
      <c r="B297" s="103"/>
      <c r="C297" s="103"/>
      <c r="D297" s="104"/>
      <c r="E297" s="105"/>
      <c r="F297" s="103"/>
    </row>
    <row r="298" customFormat="false" ht="15" hidden="false" customHeight="false" outlineLevel="0" collapsed="false">
      <c r="A298" s="102"/>
      <c r="B298" s="103"/>
      <c r="C298" s="103"/>
      <c r="D298" s="104"/>
      <c r="E298" s="105"/>
      <c r="F298" s="103"/>
    </row>
    <row r="299" customFormat="false" ht="15" hidden="false" customHeight="false" outlineLevel="0" collapsed="false">
      <c r="A299" s="102"/>
      <c r="B299" s="103"/>
      <c r="C299" s="103"/>
      <c r="D299" s="104"/>
      <c r="E299" s="105"/>
      <c r="F299" s="103"/>
    </row>
    <row r="300" customFormat="false" ht="15" hidden="false" customHeight="false" outlineLevel="0" collapsed="false">
      <c r="A300" s="102"/>
      <c r="B300" s="103"/>
      <c r="C300" s="103"/>
      <c r="D300" s="104"/>
      <c r="E300" s="105"/>
      <c r="F300" s="103"/>
    </row>
    <row r="301" customFormat="false" ht="15" hidden="false" customHeight="false" outlineLevel="0" collapsed="false">
      <c r="A301" s="102"/>
      <c r="B301" s="103"/>
      <c r="C301" s="103"/>
      <c r="D301" s="104"/>
      <c r="E301" s="105"/>
      <c r="F301" s="103"/>
    </row>
    <row r="302" customFormat="false" ht="15" hidden="false" customHeight="false" outlineLevel="0" collapsed="false">
      <c r="A302" s="102"/>
      <c r="B302" s="103"/>
      <c r="C302" s="103"/>
      <c r="D302" s="104"/>
      <c r="E302" s="105"/>
      <c r="F302" s="103"/>
    </row>
    <row r="303" customFormat="false" ht="15" hidden="false" customHeight="false" outlineLevel="0" collapsed="false">
      <c r="A303" s="102"/>
      <c r="B303" s="103"/>
      <c r="C303" s="103"/>
      <c r="D303" s="104"/>
      <c r="E303" s="105"/>
      <c r="F303" s="103"/>
    </row>
    <row r="304" customFormat="false" ht="15" hidden="false" customHeight="false" outlineLevel="0" collapsed="false">
      <c r="A304" s="102"/>
      <c r="B304" s="103"/>
      <c r="C304" s="103"/>
      <c r="D304" s="104"/>
      <c r="E304" s="105"/>
      <c r="F304" s="103"/>
    </row>
    <row r="305" customFormat="false" ht="15" hidden="false" customHeight="false" outlineLevel="0" collapsed="false">
      <c r="A305" s="102"/>
      <c r="B305" s="103"/>
      <c r="C305" s="103"/>
      <c r="D305" s="104"/>
      <c r="E305" s="105"/>
      <c r="F305" s="103"/>
    </row>
    <row r="306" customFormat="false" ht="15" hidden="false" customHeight="false" outlineLevel="0" collapsed="false">
      <c r="A306" s="102"/>
      <c r="B306" s="103"/>
      <c r="C306" s="103"/>
      <c r="D306" s="104"/>
      <c r="E306" s="105"/>
      <c r="F306" s="103"/>
    </row>
    <row r="307" customFormat="false" ht="15" hidden="false" customHeight="false" outlineLevel="0" collapsed="false">
      <c r="A307" s="102"/>
      <c r="B307" s="103"/>
      <c r="C307" s="103"/>
      <c r="D307" s="104"/>
      <c r="E307" s="105"/>
      <c r="F307" s="103"/>
    </row>
    <row r="308" customFormat="false" ht="15" hidden="false" customHeight="false" outlineLevel="0" collapsed="false">
      <c r="A308" s="102"/>
      <c r="B308" s="103"/>
      <c r="C308" s="103"/>
      <c r="D308" s="104"/>
      <c r="E308" s="105"/>
      <c r="F308" s="103"/>
    </row>
    <row r="309" customFormat="false" ht="15" hidden="false" customHeight="false" outlineLevel="0" collapsed="false">
      <c r="A309" s="102"/>
      <c r="B309" s="103"/>
      <c r="C309" s="103"/>
      <c r="D309" s="104"/>
      <c r="E309" s="105"/>
      <c r="F309" s="103"/>
    </row>
    <row r="310" customFormat="false" ht="15" hidden="false" customHeight="false" outlineLevel="0" collapsed="false">
      <c r="A310" s="102"/>
      <c r="B310" s="103"/>
      <c r="C310" s="103"/>
      <c r="D310" s="104"/>
      <c r="E310" s="105"/>
      <c r="F310" s="103"/>
    </row>
    <row r="311" customFormat="false" ht="15" hidden="false" customHeight="false" outlineLevel="0" collapsed="false">
      <c r="A311" s="102"/>
      <c r="B311" s="103"/>
      <c r="C311" s="103"/>
      <c r="D311" s="104"/>
      <c r="E311" s="105"/>
      <c r="F311" s="103"/>
    </row>
    <row r="312" customFormat="false" ht="15" hidden="false" customHeight="false" outlineLevel="0" collapsed="false">
      <c r="A312" s="102"/>
      <c r="B312" s="103"/>
      <c r="C312" s="103"/>
      <c r="D312" s="104"/>
      <c r="E312" s="105"/>
      <c r="F312" s="103"/>
    </row>
    <row r="313" customFormat="false" ht="15" hidden="false" customHeight="false" outlineLevel="0" collapsed="false">
      <c r="A313" s="102"/>
      <c r="B313" s="103"/>
      <c r="C313" s="103"/>
      <c r="D313" s="104"/>
      <c r="E313" s="105"/>
      <c r="F313" s="103"/>
    </row>
    <row r="314" customFormat="false" ht="15" hidden="false" customHeight="false" outlineLevel="0" collapsed="false">
      <c r="A314" s="102"/>
      <c r="B314" s="103"/>
      <c r="C314" s="103"/>
      <c r="D314" s="104"/>
      <c r="E314" s="105"/>
      <c r="F314" s="103"/>
    </row>
    <row r="315" customFormat="false" ht="15" hidden="false" customHeight="false" outlineLevel="0" collapsed="false">
      <c r="A315" s="102"/>
      <c r="B315" s="103"/>
      <c r="C315" s="103"/>
      <c r="D315" s="104"/>
      <c r="E315" s="105"/>
      <c r="F315" s="103"/>
    </row>
    <row r="316" customFormat="false" ht="15" hidden="false" customHeight="false" outlineLevel="0" collapsed="false">
      <c r="A316" s="102"/>
      <c r="B316" s="103"/>
      <c r="C316" s="103"/>
      <c r="D316" s="104"/>
      <c r="E316" s="105"/>
      <c r="F316" s="103"/>
    </row>
    <row r="317" customFormat="false" ht="15" hidden="false" customHeight="false" outlineLevel="0" collapsed="false">
      <c r="A317" s="102"/>
      <c r="B317" s="103"/>
      <c r="C317" s="103"/>
      <c r="D317" s="104"/>
      <c r="E317" s="105"/>
      <c r="F317" s="103"/>
    </row>
    <row r="318" customFormat="false" ht="15" hidden="false" customHeight="false" outlineLevel="0" collapsed="false">
      <c r="A318" s="102"/>
      <c r="B318" s="103"/>
      <c r="C318" s="103"/>
      <c r="D318" s="104"/>
      <c r="E318" s="105"/>
      <c r="F318" s="103"/>
    </row>
    <row r="319" customFormat="false" ht="15" hidden="false" customHeight="false" outlineLevel="0" collapsed="false">
      <c r="A319" s="102"/>
      <c r="B319" s="103"/>
      <c r="C319" s="103"/>
      <c r="D319" s="104"/>
      <c r="E319" s="105"/>
      <c r="F319" s="103"/>
    </row>
    <row r="320" customFormat="false" ht="15" hidden="false" customHeight="false" outlineLevel="0" collapsed="false">
      <c r="A320" s="102"/>
      <c r="B320" s="103"/>
      <c r="C320" s="103"/>
      <c r="D320" s="104"/>
      <c r="E320" s="105"/>
      <c r="F320" s="103"/>
    </row>
    <row r="321" customFormat="false" ht="15" hidden="false" customHeight="false" outlineLevel="0" collapsed="false">
      <c r="A321" s="102"/>
      <c r="B321" s="103"/>
      <c r="C321" s="103"/>
      <c r="D321" s="104"/>
      <c r="E321" s="105"/>
      <c r="F321" s="103"/>
    </row>
    <row r="322" customFormat="false" ht="15" hidden="false" customHeight="false" outlineLevel="0" collapsed="false">
      <c r="A322" s="102"/>
      <c r="B322" s="103"/>
      <c r="C322" s="103"/>
      <c r="D322" s="104"/>
      <c r="E322" s="105"/>
      <c r="F322" s="103"/>
    </row>
    <row r="323" customFormat="false" ht="15" hidden="false" customHeight="false" outlineLevel="0" collapsed="false">
      <c r="A323" s="102"/>
      <c r="B323" s="103"/>
      <c r="C323" s="103"/>
      <c r="D323" s="104"/>
      <c r="E323" s="105"/>
      <c r="F323" s="103"/>
    </row>
    <row r="324" customFormat="false" ht="15" hidden="false" customHeight="false" outlineLevel="0" collapsed="false">
      <c r="A324" s="102"/>
      <c r="B324" s="103"/>
      <c r="C324" s="103"/>
      <c r="D324" s="104"/>
      <c r="E324" s="105"/>
      <c r="F324" s="103"/>
    </row>
    <row r="325" customFormat="false" ht="15" hidden="false" customHeight="false" outlineLevel="0" collapsed="false">
      <c r="A325" s="102"/>
      <c r="B325" s="103"/>
      <c r="C325" s="103"/>
      <c r="D325" s="104"/>
      <c r="E325" s="105"/>
      <c r="F325" s="103"/>
    </row>
    <row r="326" customFormat="false" ht="15" hidden="false" customHeight="false" outlineLevel="0" collapsed="false">
      <c r="A326" s="102"/>
      <c r="B326" s="103"/>
      <c r="C326" s="103"/>
      <c r="D326" s="104"/>
      <c r="E326" s="105"/>
      <c r="F326" s="103"/>
    </row>
    <row r="327" customFormat="false" ht="15" hidden="false" customHeight="false" outlineLevel="0" collapsed="false">
      <c r="A327" s="102"/>
      <c r="B327" s="103"/>
      <c r="C327" s="103"/>
      <c r="D327" s="104"/>
      <c r="E327" s="105"/>
      <c r="F327" s="103"/>
    </row>
    <row r="328" customFormat="false" ht="15" hidden="false" customHeight="false" outlineLevel="0" collapsed="false">
      <c r="A328" s="102"/>
      <c r="B328" s="103"/>
      <c r="C328" s="103"/>
      <c r="D328" s="104"/>
      <c r="E328" s="105"/>
      <c r="F328" s="103"/>
    </row>
    <row r="329" customFormat="false" ht="15" hidden="false" customHeight="false" outlineLevel="0" collapsed="false">
      <c r="A329" s="102"/>
      <c r="B329" s="103"/>
      <c r="C329" s="103"/>
      <c r="D329" s="104"/>
      <c r="E329" s="105"/>
      <c r="F329" s="103"/>
    </row>
    <row r="330" customFormat="false" ht="15" hidden="false" customHeight="false" outlineLevel="0" collapsed="false">
      <c r="A330" s="102"/>
      <c r="B330" s="103"/>
      <c r="C330" s="103"/>
      <c r="D330" s="104"/>
      <c r="E330" s="105"/>
      <c r="F330" s="103"/>
    </row>
    <row r="331" customFormat="false" ht="15" hidden="false" customHeight="false" outlineLevel="0" collapsed="false">
      <c r="A331" s="102"/>
      <c r="B331" s="103"/>
      <c r="C331" s="103"/>
      <c r="D331" s="104"/>
      <c r="E331" s="105"/>
      <c r="F331" s="103"/>
    </row>
    <row r="332" customFormat="false" ht="15" hidden="false" customHeight="false" outlineLevel="0" collapsed="false">
      <c r="A332" s="102"/>
      <c r="B332" s="103"/>
      <c r="C332" s="103"/>
      <c r="D332" s="104"/>
      <c r="E332" s="105"/>
      <c r="F332" s="103"/>
    </row>
    <row r="333" customFormat="false" ht="15" hidden="false" customHeight="false" outlineLevel="0" collapsed="false">
      <c r="A333" s="102"/>
      <c r="B333" s="103"/>
      <c r="C333" s="103"/>
      <c r="D333" s="104"/>
      <c r="E333" s="105"/>
      <c r="F333" s="103"/>
    </row>
    <row r="334" customFormat="false" ht="15" hidden="false" customHeight="false" outlineLevel="0" collapsed="false">
      <c r="A334" s="102"/>
      <c r="B334" s="103"/>
      <c r="C334" s="103"/>
      <c r="D334" s="104"/>
      <c r="E334" s="105"/>
      <c r="F334" s="103"/>
    </row>
    <row r="335" customFormat="false" ht="15" hidden="false" customHeight="false" outlineLevel="0" collapsed="false">
      <c r="A335" s="102"/>
      <c r="B335" s="103"/>
      <c r="C335" s="103"/>
      <c r="D335" s="104"/>
      <c r="E335" s="105"/>
      <c r="F335" s="103"/>
    </row>
    <row r="336" customFormat="false" ht="15" hidden="false" customHeight="false" outlineLevel="0" collapsed="false">
      <c r="A336" s="102"/>
      <c r="B336" s="103"/>
      <c r="C336" s="103"/>
      <c r="D336" s="104"/>
      <c r="E336" s="105"/>
      <c r="F336" s="103"/>
    </row>
    <row r="337" customFormat="false" ht="15" hidden="false" customHeight="false" outlineLevel="0" collapsed="false">
      <c r="A337" s="102"/>
      <c r="B337" s="103"/>
      <c r="C337" s="103"/>
      <c r="D337" s="104"/>
      <c r="E337" s="105"/>
      <c r="F337" s="103"/>
    </row>
    <row r="338" customFormat="false" ht="15" hidden="false" customHeight="false" outlineLevel="0" collapsed="false">
      <c r="A338" s="102"/>
      <c r="B338" s="103"/>
      <c r="C338" s="103"/>
      <c r="D338" s="104"/>
      <c r="E338" s="105"/>
      <c r="F338" s="103"/>
    </row>
    <row r="339" customFormat="false" ht="15" hidden="false" customHeight="false" outlineLevel="0" collapsed="false">
      <c r="A339" s="102"/>
      <c r="B339" s="103"/>
      <c r="C339" s="103"/>
      <c r="D339" s="104"/>
      <c r="E339" s="105"/>
      <c r="F339" s="103"/>
    </row>
    <row r="340" customFormat="false" ht="15" hidden="false" customHeight="false" outlineLevel="0" collapsed="false">
      <c r="A340" s="102"/>
      <c r="B340" s="103"/>
      <c r="C340" s="103"/>
      <c r="D340" s="104"/>
      <c r="E340" s="105"/>
      <c r="F340" s="103"/>
    </row>
    <row r="341" customFormat="false" ht="15" hidden="false" customHeight="false" outlineLevel="0" collapsed="false">
      <c r="A341" s="102"/>
      <c r="B341" s="103"/>
      <c r="C341" s="103"/>
      <c r="D341" s="104"/>
      <c r="E341" s="105"/>
      <c r="F341" s="103"/>
    </row>
    <row r="342" customFormat="false" ht="15" hidden="false" customHeight="false" outlineLevel="0" collapsed="false">
      <c r="A342" s="102"/>
      <c r="B342" s="103"/>
      <c r="C342" s="103"/>
      <c r="D342" s="104"/>
      <c r="E342" s="105"/>
      <c r="F342" s="103"/>
    </row>
    <row r="343" customFormat="false" ht="15" hidden="false" customHeight="false" outlineLevel="0" collapsed="false">
      <c r="A343" s="102"/>
      <c r="B343" s="103"/>
      <c r="C343" s="103"/>
      <c r="D343" s="104"/>
      <c r="E343" s="105"/>
      <c r="F343" s="103"/>
    </row>
    <row r="344" customFormat="false" ht="15" hidden="false" customHeight="false" outlineLevel="0" collapsed="false">
      <c r="A344" s="102"/>
      <c r="B344" s="103"/>
      <c r="C344" s="103"/>
      <c r="D344" s="104"/>
      <c r="E344" s="105"/>
      <c r="F344" s="103"/>
    </row>
    <row r="345" customFormat="false" ht="15" hidden="false" customHeight="false" outlineLevel="0" collapsed="false">
      <c r="A345" s="102"/>
      <c r="B345" s="103"/>
      <c r="C345" s="103"/>
      <c r="D345" s="104"/>
      <c r="E345" s="105"/>
      <c r="F345" s="103"/>
    </row>
    <row r="346" customFormat="false" ht="15" hidden="false" customHeight="false" outlineLevel="0" collapsed="false">
      <c r="A346" s="102"/>
      <c r="B346" s="103"/>
      <c r="C346" s="103"/>
      <c r="D346" s="104"/>
      <c r="E346" s="105"/>
      <c r="F346" s="103"/>
    </row>
    <row r="347" customFormat="false" ht="15" hidden="false" customHeight="false" outlineLevel="0" collapsed="false">
      <c r="A347" s="102"/>
      <c r="B347" s="103"/>
      <c r="C347" s="103"/>
      <c r="D347" s="104"/>
      <c r="E347" s="105"/>
      <c r="F347" s="103"/>
    </row>
    <row r="348" customFormat="false" ht="15" hidden="false" customHeight="false" outlineLevel="0" collapsed="false">
      <c r="A348" s="102"/>
      <c r="B348" s="103"/>
      <c r="C348" s="103"/>
      <c r="D348" s="104"/>
      <c r="E348" s="105"/>
      <c r="F348" s="103"/>
    </row>
    <row r="349" customFormat="false" ht="15" hidden="false" customHeight="false" outlineLevel="0" collapsed="false">
      <c r="A349" s="102"/>
      <c r="B349" s="103"/>
      <c r="C349" s="103"/>
      <c r="D349" s="104"/>
      <c r="E349" s="105"/>
      <c r="F349" s="103"/>
    </row>
    <row r="350" customFormat="false" ht="15" hidden="false" customHeight="false" outlineLevel="0" collapsed="false">
      <c r="A350" s="102"/>
      <c r="B350" s="103"/>
      <c r="C350" s="103"/>
      <c r="D350" s="104"/>
      <c r="E350" s="105"/>
      <c r="F350" s="103"/>
    </row>
    <row r="351" customFormat="false" ht="15" hidden="false" customHeight="false" outlineLevel="0" collapsed="false">
      <c r="A351" s="102"/>
      <c r="B351" s="103"/>
      <c r="C351" s="103"/>
      <c r="D351" s="104"/>
      <c r="E351" s="105"/>
      <c r="F351" s="103"/>
    </row>
    <row r="352" customFormat="false" ht="15" hidden="false" customHeight="false" outlineLevel="0" collapsed="false">
      <c r="A352" s="102"/>
      <c r="B352" s="103"/>
      <c r="C352" s="103"/>
      <c r="D352" s="104"/>
      <c r="E352" s="105"/>
      <c r="F352" s="103"/>
    </row>
    <row r="353" customFormat="false" ht="15" hidden="false" customHeight="false" outlineLevel="0" collapsed="false">
      <c r="A353" s="102"/>
      <c r="B353" s="103"/>
      <c r="C353" s="103"/>
      <c r="D353" s="104"/>
      <c r="E353" s="105"/>
      <c r="F353" s="103"/>
    </row>
    <row r="354" customFormat="false" ht="15" hidden="false" customHeight="false" outlineLevel="0" collapsed="false">
      <c r="A354" s="102"/>
      <c r="B354" s="103"/>
      <c r="C354" s="103"/>
      <c r="D354" s="104"/>
      <c r="E354" s="105"/>
      <c r="F354" s="103"/>
    </row>
    <row r="355" customFormat="false" ht="15" hidden="false" customHeight="false" outlineLevel="0" collapsed="false">
      <c r="A355" s="102"/>
      <c r="B355" s="103"/>
      <c r="C355" s="103"/>
      <c r="D355" s="104"/>
      <c r="E355" s="105"/>
      <c r="F355" s="103"/>
    </row>
    <row r="356" customFormat="false" ht="15" hidden="false" customHeight="false" outlineLevel="0" collapsed="false">
      <c r="A356" s="102"/>
      <c r="B356" s="103"/>
      <c r="C356" s="103"/>
      <c r="D356" s="104"/>
      <c r="E356" s="105"/>
      <c r="F356" s="103"/>
    </row>
    <row r="357" customFormat="false" ht="15" hidden="false" customHeight="false" outlineLevel="0" collapsed="false">
      <c r="A357" s="102"/>
      <c r="B357" s="103"/>
      <c r="C357" s="103"/>
      <c r="D357" s="104"/>
      <c r="E357" s="105"/>
      <c r="F357" s="103"/>
    </row>
    <row r="358" customFormat="false" ht="15" hidden="false" customHeight="false" outlineLevel="0" collapsed="false">
      <c r="A358" s="102"/>
      <c r="B358" s="103"/>
      <c r="C358" s="103"/>
      <c r="D358" s="104"/>
      <c r="E358" s="105"/>
      <c r="F358" s="103"/>
    </row>
    <row r="359" customFormat="false" ht="15" hidden="false" customHeight="false" outlineLevel="0" collapsed="false">
      <c r="A359" s="102"/>
      <c r="B359" s="103"/>
      <c r="C359" s="103"/>
      <c r="D359" s="104"/>
      <c r="E359" s="105"/>
      <c r="F359" s="103"/>
    </row>
    <row r="360" customFormat="false" ht="15" hidden="false" customHeight="false" outlineLevel="0" collapsed="false">
      <c r="A360" s="102"/>
      <c r="B360" s="103"/>
      <c r="C360" s="103"/>
      <c r="D360" s="104"/>
      <c r="E360" s="105"/>
      <c r="F360" s="103"/>
    </row>
    <row r="361" customFormat="false" ht="15" hidden="false" customHeight="false" outlineLevel="0" collapsed="false">
      <c r="A361" s="102"/>
      <c r="B361" s="103"/>
      <c r="C361" s="103"/>
      <c r="D361" s="104"/>
      <c r="E361" s="105"/>
      <c r="F361" s="103"/>
    </row>
    <row r="362" customFormat="false" ht="15" hidden="false" customHeight="false" outlineLevel="0" collapsed="false">
      <c r="A362" s="102"/>
      <c r="B362" s="103"/>
      <c r="C362" s="103"/>
      <c r="D362" s="104"/>
      <c r="E362" s="105"/>
      <c r="F362" s="103"/>
    </row>
    <row r="363" customFormat="false" ht="15" hidden="false" customHeight="false" outlineLevel="0" collapsed="false">
      <c r="A363" s="102"/>
      <c r="B363" s="103"/>
      <c r="C363" s="103"/>
      <c r="D363" s="104"/>
      <c r="E363" s="105"/>
      <c r="F363" s="103"/>
    </row>
    <row r="364" customFormat="false" ht="15" hidden="false" customHeight="false" outlineLevel="0" collapsed="false">
      <c r="A364" s="102"/>
      <c r="B364" s="103"/>
      <c r="C364" s="103"/>
      <c r="D364" s="104"/>
      <c r="E364" s="105"/>
      <c r="F364" s="103"/>
    </row>
    <row r="365" customFormat="false" ht="15" hidden="false" customHeight="false" outlineLevel="0" collapsed="false">
      <c r="A365" s="102"/>
      <c r="B365" s="103"/>
      <c r="C365" s="103"/>
      <c r="D365" s="104"/>
      <c r="E365" s="105"/>
      <c r="F365" s="103"/>
    </row>
    <row r="366" customFormat="false" ht="15" hidden="false" customHeight="false" outlineLevel="0" collapsed="false">
      <c r="A366" s="102"/>
      <c r="B366" s="103"/>
      <c r="C366" s="103"/>
      <c r="D366" s="104"/>
      <c r="E366" s="105"/>
      <c r="F366" s="103"/>
    </row>
    <row r="367" customFormat="false" ht="15" hidden="false" customHeight="false" outlineLevel="0" collapsed="false">
      <c r="A367" s="102"/>
      <c r="B367" s="103"/>
      <c r="C367" s="103"/>
      <c r="D367" s="104"/>
      <c r="E367" s="105"/>
      <c r="F367" s="103"/>
    </row>
    <row r="368" customFormat="false" ht="15" hidden="false" customHeight="false" outlineLevel="0" collapsed="false">
      <c r="A368" s="102"/>
      <c r="B368" s="103"/>
      <c r="C368" s="103"/>
      <c r="D368" s="104"/>
      <c r="E368" s="105"/>
      <c r="F368" s="103"/>
    </row>
    <row r="369" customFormat="false" ht="15" hidden="false" customHeight="false" outlineLevel="0" collapsed="false">
      <c r="A369" s="102"/>
      <c r="B369" s="103"/>
      <c r="C369" s="103"/>
      <c r="D369" s="104"/>
      <c r="E369" s="105"/>
      <c r="F369" s="103"/>
    </row>
    <row r="370" customFormat="false" ht="15" hidden="false" customHeight="false" outlineLevel="0" collapsed="false">
      <c r="A370" s="102"/>
      <c r="B370" s="103"/>
      <c r="C370" s="103"/>
      <c r="D370" s="104"/>
      <c r="E370" s="105"/>
      <c r="F370" s="103"/>
    </row>
    <row r="371" customFormat="false" ht="15" hidden="false" customHeight="false" outlineLevel="0" collapsed="false">
      <c r="A371" s="102"/>
      <c r="B371" s="103"/>
      <c r="C371" s="103"/>
      <c r="D371" s="104"/>
      <c r="E371" s="105"/>
      <c r="F371" s="103"/>
    </row>
    <row r="372" customFormat="false" ht="15" hidden="false" customHeight="false" outlineLevel="0" collapsed="false">
      <c r="A372" s="102"/>
      <c r="B372" s="103"/>
      <c r="C372" s="103"/>
      <c r="D372" s="104"/>
      <c r="E372" s="105"/>
      <c r="F372" s="103"/>
    </row>
    <row r="373" customFormat="false" ht="15" hidden="false" customHeight="false" outlineLevel="0" collapsed="false">
      <c r="A373" s="102"/>
      <c r="B373" s="103"/>
      <c r="C373" s="103"/>
      <c r="D373" s="104"/>
      <c r="E373" s="105"/>
      <c r="F373" s="103"/>
    </row>
    <row r="374" customFormat="false" ht="15" hidden="false" customHeight="false" outlineLevel="0" collapsed="false">
      <c r="A374" s="102"/>
      <c r="B374" s="103"/>
      <c r="C374" s="103"/>
      <c r="D374" s="104"/>
      <c r="E374" s="105"/>
      <c r="F374" s="103"/>
    </row>
    <row r="375" customFormat="false" ht="15" hidden="false" customHeight="false" outlineLevel="0" collapsed="false">
      <c r="A375" s="102"/>
      <c r="B375" s="103"/>
      <c r="C375" s="103"/>
      <c r="D375" s="104"/>
      <c r="E375" s="105"/>
      <c r="F375" s="103"/>
    </row>
    <row r="376" customFormat="false" ht="15" hidden="false" customHeight="false" outlineLevel="0" collapsed="false">
      <c r="A376" s="102"/>
      <c r="B376" s="103"/>
      <c r="C376" s="103"/>
      <c r="D376" s="104"/>
      <c r="E376" s="105"/>
      <c r="F376" s="103"/>
    </row>
    <row r="377" customFormat="false" ht="15" hidden="false" customHeight="false" outlineLevel="0" collapsed="false">
      <c r="A377" s="102"/>
      <c r="B377" s="103"/>
      <c r="C377" s="103"/>
      <c r="D377" s="104"/>
      <c r="E377" s="105"/>
      <c r="F377" s="103"/>
    </row>
    <row r="378" customFormat="false" ht="15" hidden="false" customHeight="false" outlineLevel="0" collapsed="false">
      <c r="A378" s="102"/>
      <c r="B378" s="103"/>
      <c r="C378" s="103"/>
      <c r="D378" s="104"/>
      <c r="E378" s="105"/>
      <c r="F378" s="103"/>
    </row>
    <row r="379" customFormat="false" ht="15" hidden="false" customHeight="false" outlineLevel="0" collapsed="false">
      <c r="A379" s="102"/>
      <c r="B379" s="103"/>
      <c r="C379" s="103"/>
      <c r="D379" s="104"/>
      <c r="E379" s="105"/>
      <c r="F379" s="103"/>
    </row>
    <row r="380" customFormat="false" ht="15" hidden="false" customHeight="false" outlineLevel="0" collapsed="false">
      <c r="A380" s="102"/>
      <c r="B380" s="103"/>
      <c r="C380" s="103"/>
      <c r="D380" s="104"/>
      <c r="E380" s="105"/>
      <c r="F380" s="103"/>
    </row>
    <row r="381" customFormat="false" ht="15" hidden="false" customHeight="false" outlineLevel="0" collapsed="false">
      <c r="A381" s="102"/>
      <c r="B381" s="103"/>
      <c r="C381" s="103"/>
      <c r="D381" s="104"/>
      <c r="E381" s="105"/>
      <c r="F381" s="103"/>
    </row>
    <row r="382" customFormat="false" ht="15" hidden="false" customHeight="false" outlineLevel="0" collapsed="false">
      <c r="A382" s="102"/>
      <c r="B382" s="103"/>
      <c r="C382" s="103"/>
      <c r="D382" s="104"/>
      <c r="E382" s="105"/>
      <c r="F382" s="103"/>
    </row>
    <row r="383" customFormat="false" ht="15" hidden="false" customHeight="false" outlineLevel="0" collapsed="false">
      <c r="A383" s="102"/>
      <c r="B383" s="103"/>
      <c r="C383" s="103"/>
      <c r="D383" s="104"/>
      <c r="E383" s="105"/>
      <c r="F383" s="103"/>
    </row>
    <row r="384" customFormat="false" ht="15" hidden="false" customHeight="false" outlineLevel="0" collapsed="false">
      <c r="A384" s="102"/>
      <c r="B384" s="103"/>
      <c r="C384" s="103"/>
      <c r="D384" s="104"/>
      <c r="E384" s="105"/>
      <c r="F384" s="103"/>
    </row>
    <row r="385" customFormat="false" ht="15" hidden="false" customHeight="false" outlineLevel="0" collapsed="false">
      <c r="A385" s="102"/>
      <c r="B385" s="103"/>
      <c r="C385" s="103"/>
      <c r="D385" s="104"/>
      <c r="E385" s="105"/>
      <c r="F385" s="103"/>
    </row>
    <row r="386" customFormat="false" ht="15" hidden="false" customHeight="false" outlineLevel="0" collapsed="false">
      <c r="A386" s="102"/>
      <c r="B386" s="103"/>
      <c r="C386" s="103"/>
      <c r="D386" s="104"/>
      <c r="E386" s="105"/>
      <c r="F386" s="103"/>
    </row>
    <row r="387" customFormat="false" ht="15" hidden="false" customHeight="false" outlineLevel="0" collapsed="false">
      <c r="A387" s="102"/>
      <c r="B387" s="103"/>
      <c r="C387" s="103"/>
      <c r="D387" s="104"/>
      <c r="E387" s="105"/>
      <c r="F387" s="103"/>
    </row>
    <row r="388" customFormat="false" ht="15" hidden="false" customHeight="false" outlineLevel="0" collapsed="false">
      <c r="A388" s="102"/>
      <c r="B388" s="103"/>
      <c r="C388" s="103"/>
      <c r="D388" s="104"/>
      <c r="E388" s="105"/>
      <c r="F388" s="103"/>
    </row>
    <row r="389" customFormat="false" ht="15" hidden="false" customHeight="false" outlineLevel="0" collapsed="false">
      <c r="A389" s="102"/>
      <c r="B389" s="103"/>
      <c r="C389" s="103"/>
      <c r="D389" s="104"/>
      <c r="E389" s="105"/>
      <c r="F389" s="103"/>
    </row>
    <row r="390" customFormat="false" ht="15" hidden="false" customHeight="false" outlineLevel="0" collapsed="false">
      <c r="A390" s="102"/>
      <c r="B390" s="103"/>
      <c r="C390" s="103"/>
      <c r="D390" s="104"/>
      <c r="E390" s="105"/>
      <c r="F390" s="103"/>
    </row>
    <row r="391" customFormat="false" ht="15" hidden="false" customHeight="false" outlineLevel="0" collapsed="false">
      <c r="A391" s="102"/>
      <c r="B391" s="103"/>
      <c r="C391" s="103"/>
      <c r="D391" s="104"/>
      <c r="E391" s="105"/>
      <c r="F391" s="103"/>
    </row>
    <row r="392" customFormat="false" ht="15" hidden="false" customHeight="false" outlineLevel="0" collapsed="false">
      <c r="A392" s="102"/>
      <c r="B392" s="103"/>
      <c r="C392" s="103"/>
      <c r="D392" s="104"/>
      <c r="E392" s="105"/>
      <c r="F392" s="103"/>
    </row>
    <row r="393" customFormat="false" ht="15" hidden="false" customHeight="false" outlineLevel="0" collapsed="false">
      <c r="A393" s="102"/>
      <c r="B393" s="103"/>
      <c r="C393" s="103"/>
      <c r="D393" s="104"/>
      <c r="E393" s="105"/>
      <c r="F393" s="103"/>
    </row>
    <row r="394" customFormat="false" ht="15" hidden="false" customHeight="false" outlineLevel="0" collapsed="false">
      <c r="A394" s="102"/>
      <c r="B394" s="103"/>
      <c r="C394" s="103"/>
      <c r="D394" s="104"/>
      <c r="E394" s="105"/>
      <c r="F394" s="103"/>
    </row>
    <row r="395" customFormat="false" ht="15" hidden="false" customHeight="false" outlineLevel="0" collapsed="false">
      <c r="A395" s="102"/>
      <c r="B395" s="103"/>
      <c r="C395" s="103"/>
      <c r="D395" s="104"/>
      <c r="E395" s="105"/>
      <c r="F395" s="103"/>
    </row>
    <row r="396" customFormat="false" ht="15" hidden="false" customHeight="false" outlineLevel="0" collapsed="false">
      <c r="A396" s="102"/>
      <c r="B396" s="103"/>
      <c r="C396" s="103"/>
      <c r="D396" s="104"/>
      <c r="E396" s="105"/>
      <c r="F396" s="103"/>
    </row>
    <row r="397" customFormat="false" ht="15" hidden="false" customHeight="false" outlineLevel="0" collapsed="false">
      <c r="A397" s="102"/>
      <c r="B397" s="103"/>
      <c r="C397" s="103"/>
      <c r="D397" s="104"/>
      <c r="E397" s="105"/>
      <c r="F397" s="103"/>
    </row>
    <row r="398" customFormat="false" ht="15" hidden="false" customHeight="false" outlineLevel="0" collapsed="false">
      <c r="A398" s="102"/>
      <c r="B398" s="103"/>
      <c r="C398" s="103"/>
      <c r="D398" s="104"/>
      <c r="E398" s="105"/>
      <c r="F398" s="103"/>
    </row>
    <row r="399" customFormat="false" ht="15" hidden="false" customHeight="false" outlineLevel="0" collapsed="false">
      <c r="A399" s="102"/>
      <c r="B399" s="103"/>
      <c r="C399" s="103"/>
      <c r="D399" s="104"/>
      <c r="E399" s="105"/>
      <c r="F399" s="103"/>
    </row>
    <row r="400" customFormat="false" ht="15" hidden="false" customHeight="false" outlineLevel="0" collapsed="false">
      <c r="A400" s="102"/>
      <c r="B400" s="103"/>
      <c r="C400" s="103"/>
      <c r="D400" s="104"/>
      <c r="E400" s="105"/>
      <c r="F400" s="103"/>
    </row>
    <row r="401" customFormat="false" ht="15" hidden="false" customHeight="false" outlineLevel="0" collapsed="false">
      <c r="A401" s="102"/>
      <c r="B401" s="103"/>
      <c r="C401" s="103"/>
      <c r="D401" s="104"/>
      <c r="E401" s="105"/>
      <c r="F401" s="103"/>
    </row>
    <row r="402" customFormat="false" ht="15" hidden="false" customHeight="false" outlineLevel="0" collapsed="false">
      <c r="A402" s="102"/>
      <c r="B402" s="103"/>
      <c r="C402" s="103"/>
      <c r="D402" s="104"/>
      <c r="E402" s="105"/>
      <c r="F402" s="103"/>
    </row>
    <row r="403" customFormat="false" ht="15" hidden="false" customHeight="false" outlineLevel="0" collapsed="false">
      <c r="A403" s="102"/>
      <c r="B403" s="103"/>
      <c r="C403" s="103"/>
      <c r="D403" s="104"/>
      <c r="E403" s="105"/>
      <c r="F403" s="103"/>
    </row>
    <row r="404" customFormat="false" ht="15" hidden="false" customHeight="false" outlineLevel="0" collapsed="false">
      <c r="A404" s="102"/>
      <c r="B404" s="103"/>
      <c r="C404" s="103"/>
      <c r="D404" s="104"/>
      <c r="E404" s="105"/>
      <c r="F404" s="103"/>
    </row>
    <row r="405" customFormat="false" ht="15" hidden="false" customHeight="false" outlineLevel="0" collapsed="false">
      <c r="A405" s="102"/>
      <c r="B405" s="103"/>
      <c r="C405" s="103"/>
      <c r="D405" s="104"/>
      <c r="E405" s="105"/>
      <c r="F405" s="103"/>
    </row>
    <row r="406" customFormat="false" ht="15" hidden="false" customHeight="false" outlineLevel="0" collapsed="false">
      <c r="A406" s="102"/>
      <c r="B406" s="103"/>
      <c r="C406" s="103"/>
      <c r="D406" s="104"/>
      <c r="E406" s="105"/>
      <c r="F406" s="103"/>
    </row>
    <row r="407" customFormat="false" ht="15" hidden="false" customHeight="false" outlineLevel="0" collapsed="false">
      <c r="A407" s="102"/>
      <c r="B407" s="103"/>
      <c r="C407" s="103"/>
      <c r="D407" s="104"/>
      <c r="E407" s="105"/>
      <c r="F407" s="103"/>
    </row>
    <row r="408" customFormat="false" ht="15" hidden="false" customHeight="false" outlineLevel="0" collapsed="false">
      <c r="A408" s="102"/>
      <c r="B408" s="103"/>
      <c r="C408" s="103"/>
      <c r="D408" s="104"/>
      <c r="E408" s="105"/>
      <c r="F408" s="103"/>
    </row>
    <row r="409" customFormat="false" ht="15" hidden="false" customHeight="false" outlineLevel="0" collapsed="false">
      <c r="A409" s="102"/>
      <c r="B409" s="103"/>
      <c r="C409" s="103"/>
      <c r="D409" s="104"/>
      <c r="E409" s="105"/>
      <c r="F409" s="103"/>
    </row>
    <row r="410" customFormat="false" ht="15" hidden="false" customHeight="false" outlineLevel="0" collapsed="false">
      <c r="A410" s="102"/>
      <c r="B410" s="103"/>
      <c r="C410" s="103"/>
      <c r="D410" s="104"/>
      <c r="E410" s="105"/>
      <c r="F410" s="103"/>
    </row>
    <row r="411" customFormat="false" ht="15" hidden="false" customHeight="false" outlineLevel="0" collapsed="false">
      <c r="A411" s="102"/>
      <c r="B411" s="103"/>
      <c r="C411" s="103"/>
      <c r="D411" s="104"/>
      <c r="E411" s="105"/>
      <c r="F411" s="103"/>
    </row>
    <row r="412" customFormat="false" ht="15" hidden="false" customHeight="false" outlineLevel="0" collapsed="false">
      <c r="A412" s="102"/>
      <c r="B412" s="103"/>
      <c r="C412" s="103"/>
      <c r="D412" s="104"/>
      <c r="E412" s="105"/>
      <c r="F412" s="103"/>
    </row>
    <row r="413" customFormat="false" ht="15" hidden="false" customHeight="false" outlineLevel="0" collapsed="false">
      <c r="A413" s="102"/>
      <c r="B413" s="103"/>
      <c r="C413" s="103"/>
      <c r="D413" s="104"/>
      <c r="E413" s="105"/>
      <c r="F413" s="103"/>
    </row>
    <row r="414" customFormat="false" ht="15" hidden="false" customHeight="false" outlineLevel="0" collapsed="false">
      <c r="A414" s="102"/>
      <c r="B414" s="103"/>
      <c r="C414" s="103"/>
      <c r="D414" s="104"/>
      <c r="E414" s="105"/>
      <c r="F414" s="103"/>
    </row>
    <row r="415" customFormat="false" ht="15" hidden="false" customHeight="false" outlineLevel="0" collapsed="false">
      <c r="A415" s="102"/>
      <c r="B415" s="103"/>
      <c r="C415" s="103"/>
      <c r="D415" s="104"/>
      <c r="E415" s="105"/>
      <c r="F415" s="103"/>
    </row>
    <row r="416" customFormat="false" ht="15" hidden="false" customHeight="false" outlineLevel="0" collapsed="false">
      <c r="A416" s="102"/>
      <c r="B416" s="103"/>
      <c r="C416" s="103"/>
      <c r="D416" s="104"/>
      <c r="E416" s="105"/>
      <c r="F416" s="103"/>
    </row>
    <row r="417" customFormat="false" ht="15" hidden="false" customHeight="false" outlineLevel="0" collapsed="false">
      <c r="A417" s="102"/>
      <c r="B417" s="103"/>
      <c r="C417" s="103"/>
      <c r="D417" s="104"/>
      <c r="E417" s="105"/>
      <c r="F417" s="103"/>
    </row>
    <row r="418" customFormat="false" ht="15" hidden="false" customHeight="false" outlineLevel="0" collapsed="false">
      <c r="A418" s="102"/>
      <c r="B418" s="103"/>
      <c r="C418" s="103"/>
      <c r="D418" s="104"/>
      <c r="E418" s="105"/>
      <c r="F418" s="103"/>
    </row>
    <row r="419" customFormat="false" ht="15" hidden="false" customHeight="false" outlineLevel="0" collapsed="false">
      <c r="A419" s="102"/>
      <c r="B419" s="103"/>
      <c r="C419" s="103"/>
      <c r="D419" s="104"/>
      <c r="E419" s="105"/>
      <c r="F419" s="103"/>
    </row>
    <row r="420" customFormat="false" ht="15" hidden="false" customHeight="false" outlineLevel="0" collapsed="false">
      <c r="A420" s="102"/>
      <c r="B420" s="103"/>
      <c r="C420" s="103"/>
      <c r="D420" s="104"/>
      <c r="E420" s="105"/>
      <c r="F420" s="103"/>
    </row>
    <row r="421" customFormat="false" ht="15" hidden="false" customHeight="false" outlineLevel="0" collapsed="false">
      <c r="A421" s="102"/>
      <c r="B421" s="103"/>
      <c r="C421" s="103"/>
      <c r="D421" s="104"/>
      <c r="E421" s="105"/>
      <c r="F421" s="103"/>
    </row>
    <row r="422" customFormat="false" ht="15" hidden="false" customHeight="false" outlineLevel="0" collapsed="false">
      <c r="A422" s="102"/>
      <c r="B422" s="103"/>
      <c r="C422" s="103"/>
      <c r="D422" s="104"/>
      <c r="E422" s="105"/>
      <c r="F422" s="103"/>
    </row>
    <row r="423" customFormat="false" ht="15" hidden="false" customHeight="false" outlineLevel="0" collapsed="false">
      <c r="A423" s="102"/>
      <c r="B423" s="103"/>
      <c r="C423" s="103"/>
      <c r="D423" s="104"/>
      <c r="E423" s="105"/>
      <c r="F423" s="103"/>
    </row>
    <row r="424" customFormat="false" ht="15" hidden="false" customHeight="false" outlineLevel="0" collapsed="false">
      <c r="A424" s="102"/>
      <c r="B424" s="103"/>
      <c r="C424" s="103"/>
      <c r="D424" s="104"/>
      <c r="E424" s="105"/>
      <c r="F424" s="103"/>
    </row>
    <row r="425" customFormat="false" ht="15" hidden="false" customHeight="false" outlineLevel="0" collapsed="false">
      <c r="A425" s="102"/>
      <c r="B425" s="103"/>
      <c r="C425" s="103"/>
      <c r="D425" s="104"/>
      <c r="E425" s="105"/>
      <c r="F425" s="103"/>
    </row>
    <row r="426" customFormat="false" ht="15" hidden="false" customHeight="false" outlineLevel="0" collapsed="false">
      <c r="A426" s="102"/>
      <c r="B426" s="103"/>
      <c r="C426" s="103"/>
      <c r="D426" s="104"/>
      <c r="E426" s="105"/>
      <c r="F426" s="103"/>
    </row>
    <row r="427" customFormat="false" ht="15" hidden="false" customHeight="false" outlineLevel="0" collapsed="false">
      <c r="A427" s="102"/>
      <c r="B427" s="103"/>
      <c r="C427" s="103"/>
      <c r="D427" s="104"/>
      <c r="E427" s="105"/>
      <c r="F427" s="103"/>
    </row>
    <row r="428" customFormat="false" ht="15" hidden="false" customHeight="false" outlineLevel="0" collapsed="false">
      <c r="A428" s="102"/>
      <c r="B428" s="103"/>
      <c r="C428" s="103"/>
      <c r="D428" s="104"/>
      <c r="E428" s="105"/>
      <c r="F428" s="103"/>
    </row>
    <row r="429" customFormat="false" ht="15" hidden="false" customHeight="false" outlineLevel="0" collapsed="false">
      <c r="A429" s="102"/>
      <c r="B429" s="103"/>
      <c r="C429" s="103"/>
      <c r="D429" s="104"/>
      <c r="E429" s="105"/>
      <c r="F429" s="103"/>
    </row>
    <row r="430" customFormat="false" ht="15" hidden="false" customHeight="false" outlineLevel="0" collapsed="false">
      <c r="A430" s="102"/>
      <c r="B430" s="103"/>
      <c r="C430" s="103"/>
      <c r="D430" s="104"/>
      <c r="E430" s="105"/>
      <c r="F430" s="103"/>
    </row>
    <row r="431" customFormat="false" ht="15" hidden="false" customHeight="false" outlineLevel="0" collapsed="false">
      <c r="A431" s="102"/>
      <c r="B431" s="103"/>
      <c r="C431" s="103"/>
      <c r="D431" s="104"/>
      <c r="E431" s="105"/>
      <c r="F431" s="103"/>
    </row>
    <row r="432" customFormat="false" ht="15" hidden="false" customHeight="false" outlineLevel="0" collapsed="false">
      <c r="A432" s="102"/>
      <c r="B432" s="103"/>
      <c r="C432" s="103"/>
      <c r="D432" s="104"/>
      <c r="E432" s="105"/>
      <c r="F432" s="103"/>
    </row>
    <row r="433" customFormat="false" ht="15" hidden="false" customHeight="false" outlineLevel="0" collapsed="false">
      <c r="A433" s="102"/>
      <c r="B433" s="103"/>
      <c r="C433" s="103"/>
      <c r="D433" s="104"/>
      <c r="E433" s="105"/>
      <c r="F433" s="103"/>
    </row>
    <row r="434" customFormat="false" ht="15" hidden="false" customHeight="false" outlineLevel="0" collapsed="false">
      <c r="A434" s="102"/>
      <c r="B434" s="103"/>
      <c r="C434" s="103"/>
      <c r="D434" s="104"/>
      <c r="E434" s="105"/>
      <c r="F434" s="103"/>
    </row>
    <row r="435" customFormat="false" ht="15" hidden="false" customHeight="false" outlineLevel="0" collapsed="false">
      <c r="A435" s="102"/>
      <c r="B435" s="103"/>
      <c r="C435" s="103"/>
      <c r="D435" s="104"/>
      <c r="E435" s="105"/>
      <c r="F435" s="103"/>
    </row>
    <row r="436" customFormat="false" ht="15" hidden="false" customHeight="false" outlineLevel="0" collapsed="false">
      <c r="A436" s="102"/>
      <c r="B436" s="103"/>
      <c r="C436" s="103"/>
      <c r="D436" s="104"/>
      <c r="E436" s="105"/>
      <c r="F436" s="103"/>
    </row>
    <row r="437" customFormat="false" ht="15" hidden="false" customHeight="false" outlineLevel="0" collapsed="false">
      <c r="A437" s="102"/>
      <c r="B437" s="103"/>
      <c r="C437" s="103"/>
      <c r="D437" s="104"/>
      <c r="E437" s="105"/>
      <c r="F437" s="103"/>
    </row>
    <row r="438" customFormat="false" ht="15" hidden="false" customHeight="false" outlineLevel="0" collapsed="false">
      <c r="A438" s="102"/>
      <c r="B438" s="103"/>
      <c r="C438" s="103"/>
      <c r="D438" s="104"/>
      <c r="E438" s="105"/>
      <c r="F438" s="103"/>
    </row>
    <row r="439" customFormat="false" ht="15" hidden="false" customHeight="false" outlineLevel="0" collapsed="false">
      <c r="A439" s="102"/>
      <c r="B439" s="103"/>
      <c r="C439" s="103"/>
      <c r="D439" s="104"/>
      <c r="E439" s="105"/>
      <c r="F439" s="103"/>
    </row>
    <row r="440" customFormat="false" ht="15" hidden="false" customHeight="false" outlineLevel="0" collapsed="false">
      <c r="A440" s="102"/>
      <c r="B440" s="103"/>
      <c r="C440" s="103"/>
      <c r="D440" s="104"/>
      <c r="E440" s="105"/>
      <c r="F440" s="103"/>
    </row>
    <row r="441" customFormat="false" ht="15" hidden="false" customHeight="false" outlineLevel="0" collapsed="false">
      <c r="A441" s="102"/>
      <c r="B441" s="103"/>
      <c r="C441" s="103"/>
      <c r="D441" s="104"/>
      <c r="E441" s="105"/>
      <c r="F441" s="103"/>
    </row>
    <row r="442" customFormat="false" ht="15" hidden="false" customHeight="false" outlineLevel="0" collapsed="false">
      <c r="A442" s="102"/>
      <c r="B442" s="103"/>
      <c r="C442" s="103"/>
      <c r="D442" s="104"/>
      <c r="E442" s="105"/>
      <c r="F442" s="103"/>
    </row>
    <row r="443" customFormat="false" ht="15" hidden="false" customHeight="false" outlineLevel="0" collapsed="false">
      <c r="A443" s="102"/>
      <c r="B443" s="103"/>
      <c r="C443" s="103"/>
      <c r="D443" s="104"/>
      <c r="E443" s="105"/>
      <c r="F443" s="103"/>
    </row>
    <row r="444" customFormat="false" ht="15" hidden="false" customHeight="false" outlineLevel="0" collapsed="false">
      <c r="A444" s="102"/>
      <c r="B444" s="103"/>
      <c r="C444" s="103"/>
      <c r="D444" s="104"/>
      <c r="E444" s="105"/>
      <c r="F444" s="103"/>
    </row>
    <row r="445" customFormat="false" ht="15" hidden="false" customHeight="false" outlineLevel="0" collapsed="false">
      <c r="A445" s="102"/>
      <c r="B445" s="103"/>
      <c r="C445" s="103"/>
      <c r="D445" s="104"/>
      <c r="E445" s="105"/>
      <c r="F445" s="103"/>
    </row>
    <row r="446" customFormat="false" ht="15" hidden="false" customHeight="false" outlineLevel="0" collapsed="false">
      <c r="A446" s="102"/>
      <c r="B446" s="103"/>
      <c r="C446" s="103"/>
      <c r="D446" s="104"/>
      <c r="E446" s="105"/>
      <c r="F446" s="103"/>
    </row>
    <row r="447" customFormat="false" ht="15" hidden="false" customHeight="false" outlineLevel="0" collapsed="false">
      <c r="A447" s="102"/>
      <c r="B447" s="103"/>
      <c r="C447" s="103"/>
      <c r="D447" s="104"/>
      <c r="E447" s="105"/>
      <c r="F447" s="103"/>
    </row>
    <row r="448" customFormat="false" ht="15" hidden="false" customHeight="false" outlineLevel="0" collapsed="false">
      <c r="A448" s="102"/>
      <c r="B448" s="103"/>
      <c r="C448" s="103"/>
      <c r="D448" s="104"/>
      <c r="E448" s="105"/>
      <c r="F448" s="103"/>
    </row>
    <row r="449" customFormat="false" ht="15" hidden="false" customHeight="false" outlineLevel="0" collapsed="false">
      <c r="A449" s="102"/>
      <c r="B449" s="103"/>
      <c r="C449" s="103"/>
      <c r="D449" s="104"/>
      <c r="E449" s="105"/>
      <c r="F449" s="103"/>
    </row>
    <row r="450" customFormat="false" ht="15" hidden="false" customHeight="false" outlineLevel="0" collapsed="false">
      <c r="A450" s="102"/>
      <c r="B450" s="103"/>
      <c r="C450" s="103"/>
      <c r="D450" s="104"/>
      <c r="E450" s="105"/>
      <c r="F450" s="103"/>
    </row>
    <row r="451" customFormat="false" ht="15" hidden="false" customHeight="false" outlineLevel="0" collapsed="false">
      <c r="A451" s="102"/>
      <c r="B451" s="103"/>
      <c r="C451" s="103"/>
      <c r="D451" s="104"/>
      <c r="E451" s="105"/>
      <c r="F451" s="103"/>
    </row>
    <row r="452" customFormat="false" ht="15" hidden="false" customHeight="false" outlineLevel="0" collapsed="false">
      <c r="A452" s="102"/>
      <c r="B452" s="103"/>
      <c r="C452" s="103"/>
      <c r="D452" s="104"/>
      <c r="E452" s="105"/>
      <c r="F452" s="103"/>
    </row>
    <row r="453" customFormat="false" ht="15" hidden="false" customHeight="false" outlineLevel="0" collapsed="false">
      <c r="A453" s="102"/>
      <c r="B453" s="103"/>
      <c r="C453" s="103"/>
      <c r="D453" s="104"/>
      <c r="E453" s="105"/>
      <c r="F453" s="103"/>
    </row>
    <row r="454" customFormat="false" ht="15" hidden="false" customHeight="false" outlineLevel="0" collapsed="false">
      <c r="A454" s="102"/>
      <c r="B454" s="103"/>
      <c r="C454" s="103"/>
      <c r="D454" s="104"/>
      <c r="E454" s="105"/>
      <c r="F454" s="103"/>
    </row>
    <row r="455" customFormat="false" ht="15" hidden="false" customHeight="false" outlineLevel="0" collapsed="false">
      <c r="A455" s="102"/>
      <c r="B455" s="103"/>
      <c r="C455" s="103"/>
      <c r="D455" s="104"/>
      <c r="E455" s="105"/>
      <c r="F455" s="103"/>
    </row>
    <row r="456" customFormat="false" ht="15" hidden="false" customHeight="false" outlineLevel="0" collapsed="false">
      <c r="A456" s="102"/>
      <c r="B456" s="103"/>
      <c r="C456" s="103"/>
      <c r="D456" s="104"/>
      <c r="E456" s="105"/>
      <c r="F456" s="103"/>
    </row>
    <row r="457" customFormat="false" ht="15" hidden="false" customHeight="false" outlineLevel="0" collapsed="false">
      <c r="A457" s="102"/>
      <c r="B457" s="103"/>
      <c r="C457" s="103"/>
      <c r="D457" s="104"/>
      <c r="E457" s="105"/>
      <c r="F457" s="103"/>
    </row>
    <row r="458" customFormat="false" ht="15" hidden="false" customHeight="false" outlineLevel="0" collapsed="false">
      <c r="A458" s="102"/>
      <c r="B458" s="103"/>
      <c r="C458" s="103"/>
      <c r="D458" s="104"/>
      <c r="E458" s="105"/>
      <c r="F458" s="103"/>
    </row>
    <row r="459" customFormat="false" ht="15" hidden="false" customHeight="false" outlineLevel="0" collapsed="false">
      <c r="A459" s="102"/>
      <c r="B459" s="103"/>
      <c r="C459" s="103"/>
      <c r="D459" s="104"/>
      <c r="E459" s="105"/>
      <c r="F459" s="103"/>
    </row>
    <row r="460" customFormat="false" ht="15" hidden="false" customHeight="false" outlineLevel="0" collapsed="false">
      <c r="A460" s="102"/>
      <c r="B460" s="103"/>
      <c r="C460" s="103"/>
      <c r="D460" s="104"/>
      <c r="E460" s="105"/>
      <c r="F460" s="103"/>
    </row>
    <row r="461" customFormat="false" ht="15" hidden="false" customHeight="false" outlineLevel="0" collapsed="false">
      <c r="A461" s="102"/>
      <c r="B461" s="103"/>
      <c r="C461" s="103"/>
      <c r="D461" s="104"/>
      <c r="E461" s="105"/>
      <c r="F461" s="103"/>
    </row>
    <row r="462" customFormat="false" ht="15" hidden="false" customHeight="false" outlineLevel="0" collapsed="false">
      <c r="A462" s="102"/>
      <c r="B462" s="103"/>
      <c r="C462" s="103"/>
      <c r="D462" s="104"/>
      <c r="E462" s="105"/>
      <c r="F462" s="103"/>
    </row>
    <row r="463" customFormat="false" ht="15" hidden="false" customHeight="false" outlineLevel="0" collapsed="false">
      <c r="A463" s="102"/>
      <c r="B463" s="103"/>
      <c r="C463" s="103"/>
      <c r="D463" s="104"/>
      <c r="E463" s="105"/>
      <c r="F463" s="103"/>
    </row>
    <row r="464" customFormat="false" ht="15" hidden="false" customHeight="false" outlineLevel="0" collapsed="false">
      <c r="A464" s="102"/>
      <c r="B464" s="103"/>
      <c r="C464" s="103"/>
      <c r="D464" s="104"/>
      <c r="E464" s="105"/>
      <c r="F464" s="103"/>
    </row>
    <row r="465" customFormat="false" ht="15" hidden="false" customHeight="false" outlineLevel="0" collapsed="false">
      <c r="A465" s="102"/>
      <c r="B465" s="103"/>
      <c r="C465" s="103"/>
      <c r="D465" s="104"/>
      <c r="E465" s="105"/>
      <c r="F465" s="103"/>
    </row>
    <row r="466" customFormat="false" ht="15" hidden="false" customHeight="false" outlineLevel="0" collapsed="false">
      <c r="A466" s="102"/>
      <c r="B466" s="103"/>
      <c r="C466" s="103"/>
      <c r="D466" s="104"/>
      <c r="E466" s="105"/>
      <c r="F466" s="103"/>
    </row>
    <row r="467" customFormat="false" ht="15" hidden="false" customHeight="false" outlineLevel="0" collapsed="false">
      <c r="A467" s="102"/>
      <c r="B467" s="103"/>
      <c r="C467" s="103"/>
      <c r="D467" s="104"/>
      <c r="E467" s="105"/>
      <c r="F467" s="103"/>
    </row>
    <row r="468" customFormat="false" ht="15" hidden="false" customHeight="false" outlineLevel="0" collapsed="false">
      <c r="A468" s="102"/>
      <c r="B468" s="103"/>
      <c r="C468" s="103"/>
      <c r="D468" s="104"/>
      <c r="E468" s="105"/>
      <c r="F468" s="103"/>
    </row>
    <row r="469" customFormat="false" ht="15" hidden="false" customHeight="false" outlineLevel="0" collapsed="false">
      <c r="A469" s="102"/>
      <c r="B469" s="103"/>
      <c r="C469" s="103"/>
      <c r="D469" s="104"/>
      <c r="E469" s="105"/>
      <c r="F469" s="103"/>
    </row>
    <row r="470" customFormat="false" ht="15" hidden="false" customHeight="false" outlineLevel="0" collapsed="false">
      <c r="A470" s="102"/>
      <c r="B470" s="103"/>
      <c r="C470" s="103"/>
      <c r="D470" s="104"/>
      <c r="E470" s="105"/>
      <c r="F470" s="103"/>
    </row>
    <row r="471" customFormat="false" ht="15" hidden="false" customHeight="false" outlineLevel="0" collapsed="false">
      <c r="A471" s="102"/>
      <c r="B471" s="103"/>
      <c r="C471" s="103"/>
      <c r="D471" s="104"/>
      <c r="E471" s="105"/>
      <c r="F471" s="103"/>
    </row>
    <row r="472" customFormat="false" ht="15" hidden="false" customHeight="false" outlineLevel="0" collapsed="false">
      <c r="A472" s="102"/>
      <c r="B472" s="103"/>
      <c r="C472" s="103"/>
      <c r="D472" s="104"/>
      <c r="E472" s="105"/>
      <c r="F472" s="103"/>
    </row>
    <row r="473" customFormat="false" ht="15" hidden="false" customHeight="false" outlineLevel="0" collapsed="false">
      <c r="A473" s="102"/>
      <c r="B473" s="103"/>
      <c r="C473" s="103"/>
      <c r="D473" s="104"/>
      <c r="E473" s="105"/>
      <c r="F473" s="103"/>
    </row>
    <row r="474" customFormat="false" ht="15" hidden="false" customHeight="false" outlineLevel="0" collapsed="false">
      <c r="A474" s="102"/>
      <c r="B474" s="103"/>
      <c r="C474" s="103"/>
      <c r="D474" s="104"/>
      <c r="E474" s="105"/>
      <c r="F474" s="103"/>
    </row>
    <row r="475" customFormat="false" ht="15" hidden="false" customHeight="false" outlineLevel="0" collapsed="false">
      <c r="A475" s="102"/>
      <c r="B475" s="103"/>
      <c r="C475" s="103"/>
      <c r="D475" s="104"/>
      <c r="E475" s="105"/>
      <c r="F475" s="103"/>
    </row>
    <row r="476" customFormat="false" ht="15" hidden="false" customHeight="false" outlineLevel="0" collapsed="false">
      <c r="A476" s="102"/>
      <c r="B476" s="103"/>
      <c r="C476" s="103"/>
      <c r="D476" s="104"/>
      <c r="E476" s="105"/>
      <c r="F476" s="103"/>
    </row>
    <row r="477" customFormat="false" ht="15" hidden="false" customHeight="false" outlineLevel="0" collapsed="false">
      <c r="A477" s="102"/>
      <c r="B477" s="103"/>
      <c r="C477" s="103"/>
      <c r="D477" s="104"/>
      <c r="E477" s="105"/>
      <c r="F477" s="103"/>
    </row>
    <row r="478" customFormat="false" ht="15" hidden="false" customHeight="false" outlineLevel="0" collapsed="false">
      <c r="A478" s="102"/>
      <c r="B478" s="103"/>
      <c r="C478" s="103"/>
      <c r="D478" s="104"/>
      <c r="E478" s="105"/>
      <c r="F478" s="103"/>
    </row>
    <row r="479" customFormat="false" ht="15" hidden="false" customHeight="false" outlineLevel="0" collapsed="false">
      <c r="A479" s="102"/>
      <c r="B479" s="103"/>
      <c r="C479" s="103"/>
      <c r="D479" s="104"/>
      <c r="E479" s="105"/>
      <c r="F479" s="103"/>
    </row>
    <row r="480" customFormat="false" ht="15" hidden="false" customHeight="false" outlineLevel="0" collapsed="false">
      <c r="A480" s="102"/>
      <c r="B480" s="103"/>
      <c r="C480" s="103"/>
      <c r="D480" s="104"/>
      <c r="E480" s="105"/>
      <c r="F480" s="103"/>
    </row>
    <row r="481" customFormat="false" ht="15" hidden="false" customHeight="false" outlineLevel="0" collapsed="false">
      <c r="A481" s="102"/>
      <c r="B481" s="103"/>
      <c r="C481" s="103"/>
      <c r="D481" s="104"/>
      <c r="E481" s="105"/>
      <c r="F481" s="103"/>
    </row>
    <row r="482" customFormat="false" ht="15" hidden="false" customHeight="false" outlineLevel="0" collapsed="false">
      <c r="A482" s="102"/>
      <c r="B482" s="103"/>
      <c r="C482" s="103"/>
      <c r="D482" s="104"/>
      <c r="E482" s="105"/>
      <c r="F482" s="103"/>
    </row>
    <row r="483" customFormat="false" ht="15" hidden="false" customHeight="false" outlineLevel="0" collapsed="false">
      <c r="A483" s="102"/>
      <c r="B483" s="103"/>
      <c r="C483" s="103"/>
      <c r="D483" s="104"/>
      <c r="E483" s="105"/>
      <c r="F483" s="103"/>
    </row>
    <row r="484" customFormat="false" ht="15" hidden="false" customHeight="false" outlineLevel="0" collapsed="false">
      <c r="A484" s="102"/>
      <c r="B484" s="103"/>
      <c r="C484" s="103"/>
      <c r="D484" s="104"/>
      <c r="E484" s="105"/>
      <c r="F484" s="103"/>
    </row>
    <row r="485" customFormat="false" ht="15" hidden="false" customHeight="false" outlineLevel="0" collapsed="false">
      <c r="A485" s="102"/>
      <c r="B485" s="103"/>
      <c r="C485" s="103"/>
      <c r="D485" s="104"/>
      <c r="E485" s="105"/>
      <c r="F485" s="103"/>
    </row>
    <row r="486" customFormat="false" ht="15" hidden="false" customHeight="false" outlineLevel="0" collapsed="false">
      <c r="A486" s="102"/>
      <c r="B486" s="103"/>
      <c r="C486" s="103"/>
      <c r="D486" s="104"/>
      <c r="E486" s="105"/>
      <c r="F486" s="103"/>
    </row>
    <row r="487" customFormat="false" ht="15" hidden="false" customHeight="false" outlineLevel="0" collapsed="false">
      <c r="A487" s="102"/>
      <c r="B487" s="103"/>
      <c r="C487" s="103"/>
      <c r="D487" s="104"/>
      <c r="E487" s="105"/>
      <c r="F487" s="103"/>
    </row>
    <row r="488" customFormat="false" ht="15" hidden="false" customHeight="false" outlineLevel="0" collapsed="false">
      <c r="A488" s="102"/>
      <c r="B488" s="103"/>
      <c r="C488" s="103"/>
      <c r="D488" s="104"/>
      <c r="E488" s="105"/>
      <c r="F488" s="103"/>
    </row>
    <row r="489" customFormat="false" ht="15" hidden="false" customHeight="false" outlineLevel="0" collapsed="false">
      <c r="A489" s="102"/>
      <c r="B489" s="103"/>
      <c r="C489" s="103"/>
      <c r="D489" s="104"/>
      <c r="E489" s="105"/>
      <c r="F489" s="103"/>
    </row>
    <row r="490" customFormat="false" ht="15" hidden="false" customHeight="false" outlineLevel="0" collapsed="false">
      <c r="A490" s="102"/>
      <c r="B490" s="103"/>
      <c r="C490" s="103"/>
      <c r="D490" s="104"/>
      <c r="E490" s="105"/>
      <c r="F490" s="103"/>
    </row>
    <row r="491" customFormat="false" ht="15" hidden="false" customHeight="false" outlineLevel="0" collapsed="false">
      <c r="A491" s="102"/>
      <c r="B491" s="103"/>
      <c r="C491" s="103"/>
      <c r="D491" s="104"/>
      <c r="E491" s="105"/>
      <c r="F491" s="103"/>
    </row>
    <row r="492" customFormat="false" ht="15" hidden="false" customHeight="false" outlineLevel="0" collapsed="false">
      <c r="A492" s="102"/>
      <c r="B492" s="103"/>
      <c r="C492" s="103"/>
      <c r="D492" s="104"/>
      <c r="E492" s="105"/>
      <c r="F492" s="103"/>
    </row>
    <row r="493" customFormat="false" ht="15" hidden="false" customHeight="false" outlineLevel="0" collapsed="false">
      <c r="A493" s="102"/>
      <c r="B493" s="103"/>
      <c r="C493" s="103"/>
      <c r="D493" s="104"/>
      <c r="E493" s="105"/>
      <c r="F493" s="103"/>
    </row>
    <row r="494" customFormat="false" ht="15" hidden="false" customHeight="false" outlineLevel="0" collapsed="false">
      <c r="A494" s="102"/>
      <c r="B494" s="103"/>
      <c r="C494" s="103"/>
      <c r="D494" s="104"/>
      <c r="E494" s="105"/>
      <c r="F494" s="103"/>
    </row>
    <row r="495" customFormat="false" ht="15" hidden="false" customHeight="false" outlineLevel="0" collapsed="false">
      <c r="A495" s="102"/>
      <c r="B495" s="103"/>
      <c r="C495" s="103"/>
      <c r="D495" s="104"/>
      <c r="E495" s="105"/>
      <c r="F495" s="103"/>
    </row>
    <row r="496" customFormat="false" ht="15" hidden="false" customHeight="false" outlineLevel="0" collapsed="false">
      <c r="A496" s="102"/>
      <c r="B496" s="103"/>
      <c r="C496" s="103"/>
      <c r="D496" s="104"/>
      <c r="E496" s="105"/>
      <c r="F496" s="103"/>
    </row>
    <row r="497" customFormat="false" ht="15" hidden="false" customHeight="false" outlineLevel="0" collapsed="false">
      <c r="A497" s="102"/>
      <c r="B497" s="103"/>
      <c r="C497" s="103"/>
      <c r="D497" s="104"/>
      <c r="E497" s="105"/>
      <c r="F497" s="103"/>
    </row>
    <row r="498" customFormat="false" ht="15" hidden="false" customHeight="false" outlineLevel="0" collapsed="false">
      <c r="A498" s="102"/>
      <c r="B498" s="103"/>
      <c r="C498" s="103"/>
      <c r="D498" s="104"/>
      <c r="E498" s="105"/>
      <c r="F498" s="103"/>
    </row>
    <row r="499" customFormat="false" ht="15" hidden="false" customHeight="false" outlineLevel="0" collapsed="false">
      <c r="A499" s="102"/>
      <c r="B499" s="103"/>
      <c r="C499" s="103"/>
      <c r="D499" s="104"/>
      <c r="E499" s="105"/>
      <c r="F499" s="103"/>
    </row>
    <row r="500" customFormat="false" ht="15" hidden="false" customHeight="false" outlineLevel="0" collapsed="false">
      <c r="A500" s="102"/>
      <c r="B500" s="103"/>
      <c r="C500" s="103"/>
      <c r="D500" s="104"/>
      <c r="E500" s="105"/>
      <c r="F500" s="103"/>
    </row>
    <row r="501" customFormat="false" ht="15" hidden="false" customHeight="false" outlineLevel="0" collapsed="false">
      <c r="A501" s="102"/>
      <c r="B501" s="103"/>
      <c r="C501" s="103"/>
      <c r="D501" s="104"/>
      <c r="E501" s="105"/>
      <c r="F501" s="103"/>
    </row>
    <row r="502" customFormat="false" ht="15" hidden="false" customHeight="false" outlineLevel="0" collapsed="false">
      <c r="A502" s="102"/>
      <c r="B502" s="103"/>
      <c r="C502" s="103"/>
      <c r="D502" s="104"/>
      <c r="E502" s="105"/>
      <c r="F502" s="103"/>
    </row>
    <row r="503" customFormat="false" ht="15" hidden="false" customHeight="false" outlineLevel="0" collapsed="false">
      <c r="A503" s="102"/>
      <c r="B503" s="103"/>
      <c r="C503" s="103"/>
      <c r="D503" s="104"/>
      <c r="E503" s="105"/>
      <c r="F503" s="103"/>
    </row>
    <row r="504" customFormat="false" ht="15" hidden="false" customHeight="false" outlineLevel="0" collapsed="false">
      <c r="A504" s="102"/>
      <c r="B504" s="103"/>
      <c r="C504" s="103"/>
      <c r="D504" s="104"/>
      <c r="E504" s="105"/>
      <c r="F504" s="103"/>
    </row>
    <row r="505" customFormat="false" ht="15" hidden="false" customHeight="false" outlineLevel="0" collapsed="false">
      <c r="A505" s="102"/>
      <c r="B505" s="103"/>
      <c r="C505" s="103"/>
      <c r="D505" s="104"/>
      <c r="E505" s="105"/>
      <c r="F505" s="103"/>
    </row>
    <row r="506" customFormat="false" ht="15" hidden="false" customHeight="false" outlineLevel="0" collapsed="false">
      <c r="A506" s="102"/>
      <c r="B506" s="103"/>
      <c r="C506" s="103"/>
      <c r="D506" s="104"/>
      <c r="E506" s="105"/>
      <c r="F506" s="103"/>
    </row>
    <row r="507" customFormat="false" ht="15" hidden="false" customHeight="false" outlineLevel="0" collapsed="false">
      <c r="A507" s="102"/>
      <c r="B507" s="103"/>
      <c r="C507" s="103"/>
      <c r="D507" s="104"/>
      <c r="E507" s="105"/>
      <c r="F507" s="103"/>
    </row>
    <row r="508" customFormat="false" ht="15" hidden="false" customHeight="false" outlineLevel="0" collapsed="false">
      <c r="A508" s="102"/>
      <c r="B508" s="103"/>
      <c r="C508" s="103"/>
      <c r="D508" s="104"/>
      <c r="E508" s="105"/>
      <c r="F508" s="103"/>
    </row>
    <row r="509" customFormat="false" ht="15" hidden="false" customHeight="false" outlineLevel="0" collapsed="false">
      <c r="A509" s="102"/>
      <c r="B509" s="103"/>
      <c r="C509" s="103"/>
      <c r="D509" s="104"/>
      <c r="E509" s="105"/>
      <c r="F509" s="103"/>
    </row>
    <row r="510" customFormat="false" ht="15" hidden="false" customHeight="false" outlineLevel="0" collapsed="false">
      <c r="A510" s="102"/>
      <c r="B510" s="103"/>
      <c r="C510" s="103"/>
      <c r="D510" s="104"/>
      <c r="E510" s="105"/>
      <c r="F510" s="103"/>
    </row>
    <row r="511" customFormat="false" ht="15" hidden="false" customHeight="false" outlineLevel="0" collapsed="false">
      <c r="A511" s="102"/>
      <c r="B511" s="103"/>
      <c r="C511" s="103"/>
      <c r="D511" s="104"/>
      <c r="E511" s="105"/>
      <c r="F511" s="103"/>
    </row>
    <row r="512" customFormat="false" ht="15" hidden="false" customHeight="false" outlineLevel="0" collapsed="false">
      <c r="A512" s="102"/>
      <c r="B512" s="103"/>
      <c r="C512" s="103"/>
      <c r="D512" s="104"/>
      <c r="E512" s="105"/>
      <c r="F512" s="103"/>
    </row>
    <row r="513" customFormat="false" ht="15" hidden="false" customHeight="false" outlineLevel="0" collapsed="false">
      <c r="A513" s="102"/>
      <c r="B513" s="103"/>
      <c r="C513" s="103"/>
      <c r="D513" s="104"/>
      <c r="E513" s="105"/>
      <c r="F513" s="103"/>
    </row>
    <row r="514" customFormat="false" ht="15" hidden="false" customHeight="false" outlineLevel="0" collapsed="false">
      <c r="A514" s="102"/>
      <c r="B514" s="103"/>
      <c r="C514" s="103"/>
      <c r="D514" s="104"/>
      <c r="E514" s="105"/>
      <c r="F514" s="103"/>
    </row>
    <row r="515" customFormat="false" ht="15" hidden="false" customHeight="false" outlineLevel="0" collapsed="false">
      <c r="A515" s="102"/>
      <c r="B515" s="103"/>
      <c r="C515" s="103"/>
      <c r="D515" s="104"/>
      <c r="E515" s="105"/>
      <c r="F515" s="103"/>
    </row>
    <row r="516" customFormat="false" ht="15" hidden="false" customHeight="false" outlineLevel="0" collapsed="false">
      <c r="A516" s="102"/>
      <c r="B516" s="103"/>
      <c r="C516" s="103"/>
      <c r="D516" s="104"/>
      <c r="E516" s="105"/>
      <c r="F516" s="103"/>
    </row>
    <row r="517" customFormat="false" ht="15" hidden="false" customHeight="false" outlineLevel="0" collapsed="false">
      <c r="A517" s="102"/>
      <c r="B517" s="103"/>
      <c r="C517" s="103"/>
      <c r="D517" s="104"/>
      <c r="E517" s="105"/>
      <c r="F517" s="103"/>
    </row>
    <row r="518" customFormat="false" ht="15" hidden="false" customHeight="false" outlineLevel="0" collapsed="false">
      <c r="A518" s="102"/>
      <c r="B518" s="103"/>
      <c r="C518" s="103"/>
      <c r="D518" s="104"/>
      <c r="E518" s="105"/>
      <c r="F518" s="103"/>
    </row>
    <row r="519" customFormat="false" ht="15" hidden="false" customHeight="false" outlineLevel="0" collapsed="false">
      <c r="A519" s="102"/>
      <c r="B519" s="103"/>
      <c r="C519" s="103"/>
      <c r="D519" s="104"/>
      <c r="E519" s="105"/>
      <c r="F519" s="103"/>
    </row>
    <row r="520" customFormat="false" ht="15" hidden="false" customHeight="false" outlineLevel="0" collapsed="false">
      <c r="A520" s="102"/>
      <c r="B520" s="103"/>
      <c r="C520" s="103"/>
      <c r="D520" s="104"/>
      <c r="E520" s="105"/>
      <c r="F520" s="103"/>
    </row>
    <row r="521" customFormat="false" ht="15" hidden="false" customHeight="false" outlineLevel="0" collapsed="false">
      <c r="A521" s="102"/>
      <c r="B521" s="103"/>
      <c r="C521" s="103"/>
      <c r="D521" s="104"/>
      <c r="E521" s="105"/>
      <c r="F521" s="103"/>
    </row>
    <row r="522" customFormat="false" ht="15" hidden="false" customHeight="false" outlineLevel="0" collapsed="false">
      <c r="A522" s="102"/>
      <c r="B522" s="103"/>
      <c r="C522" s="103"/>
      <c r="D522" s="104"/>
      <c r="E522" s="105"/>
      <c r="F522" s="103"/>
    </row>
    <row r="523" customFormat="false" ht="15" hidden="false" customHeight="false" outlineLevel="0" collapsed="false">
      <c r="A523" s="102"/>
      <c r="B523" s="103"/>
      <c r="C523" s="103"/>
      <c r="D523" s="104"/>
      <c r="E523" s="105"/>
      <c r="F523" s="103"/>
    </row>
    <row r="524" customFormat="false" ht="15" hidden="false" customHeight="false" outlineLevel="0" collapsed="false">
      <c r="A524" s="102"/>
      <c r="B524" s="103"/>
      <c r="C524" s="103"/>
      <c r="D524" s="104"/>
      <c r="E524" s="105"/>
      <c r="F524" s="103"/>
    </row>
    <row r="525" customFormat="false" ht="15" hidden="false" customHeight="false" outlineLevel="0" collapsed="false">
      <c r="A525" s="102"/>
      <c r="B525" s="103"/>
      <c r="C525" s="103"/>
      <c r="D525" s="104"/>
      <c r="E525" s="105"/>
      <c r="F525" s="103"/>
    </row>
    <row r="526" customFormat="false" ht="15" hidden="false" customHeight="false" outlineLevel="0" collapsed="false">
      <c r="A526" s="102"/>
      <c r="B526" s="103"/>
      <c r="C526" s="103"/>
      <c r="D526" s="104"/>
      <c r="E526" s="105"/>
      <c r="F526" s="103"/>
    </row>
    <row r="527" customFormat="false" ht="15" hidden="false" customHeight="false" outlineLevel="0" collapsed="false">
      <c r="A527" s="102"/>
      <c r="B527" s="103"/>
      <c r="C527" s="103"/>
      <c r="D527" s="104"/>
      <c r="E527" s="105"/>
      <c r="F527" s="103"/>
    </row>
    <row r="528" customFormat="false" ht="15" hidden="false" customHeight="false" outlineLevel="0" collapsed="false">
      <c r="A528" s="102"/>
      <c r="B528" s="103"/>
      <c r="C528" s="103"/>
      <c r="D528" s="104"/>
      <c r="E528" s="105"/>
      <c r="F528" s="103"/>
    </row>
    <row r="529" customFormat="false" ht="15" hidden="false" customHeight="false" outlineLevel="0" collapsed="false">
      <c r="A529" s="102"/>
      <c r="B529" s="103"/>
      <c r="C529" s="103"/>
      <c r="D529" s="104"/>
      <c r="E529" s="105"/>
      <c r="F529" s="103"/>
    </row>
    <row r="530" customFormat="false" ht="15" hidden="false" customHeight="false" outlineLevel="0" collapsed="false">
      <c r="A530" s="102"/>
      <c r="B530" s="103"/>
      <c r="C530" s="103"/>
      <c r="D530" s="104"/>
      <c r="E530" s="105"/>
      <c r="F530" s="103"/>
    </row>
    <row r="531" customFormat="false" ht="15" hidden="false" customHeight="false" outlineLevel="0" collapsed="false">
      <c r="A531" s="102"/>
      <c r="B531" s="103"/>
      <c r="C531" s="103"/>
      <c r="D531" s="104"/>
      <c r="E531" s="105"/>
      <c r="F531" s="103"/>
    </row>
    <row r="532" customFormat="false" ht="15" hidden="false" customHeight="false" outlineLevel="0" collapsed="false">
      <c r="A532" s="102"/>
      <c r="B532" s="103"/>
      <c r="C532" s="103"/>
      <c r="D532" s="104"/>
      <c r="E532" s="105"/>
      <c r="F532" s="103"/>
    </row>
    <row r="533" customFormat="false" ht="15" hidden="false" customHeight="false" outlineLevel="0" collapsed="false">
      <c r="A533" s="102"/>
      <c r="B533" s="103"/>
      <c r="C533" s="103"/>
      <c r="D533" s="104"/>
      <c r="E533" s="105"/>
      <c r="F533" s="103"/>
    </row>
    <row r="534" customFormat="false" ht="15" hidden="false" customHeight="false" outlineLevel="0" collapsed="false">
      <c r="A534" s="102"/>
      <c r="B534" s="103"/>
      <c r="C534" s="103"/>
      <c r="D534" s="104"/>
      <c r="E534" s="105"/>
      <c r="F534" s="103"/>
    </row>
    <row r="535" customFormat="false" ht="15" hidden="false" customHeight="false" outlineLevel="0" collapsed="false">
      <c r="A535" s="102"/>
      <c r="B535" s="103"/>
      <c r="C535" s="103"/>
      <c r="D535" s="104"/>
      <c r="E535" s="105"/>
      <c r="F535" s="103"/>
    </row>
    <row r="536" customFormat="false" ht="15" hidden="false" customHeight="false" outlineLevel="0" collapsed="false">
      <c r="A536" s="102"/>
      <c r="B536" s="103"/>
      <c r="C536" s="103"/>
      <c r="D536" s="104"/>
      <c r="E536" s="105"/>
      <c r="F536" s="103"/>
    </row>
    <row r="537" customFormat="false" ht="15" hidden="false" customHeight="false" outlineLevel="0" collapsed="false">
      <c r="A537" s="102"/>
      <c r="B537" s="103"/>
      <c r="C537" s="103"/>
      <c r="D537" s="104"/>
      <c r="E537" s="105"/>
      <c r="F537" s="103"/>
    </row>
    <row r="538" customFormat="false" ht="15" hidden="false" customHeight="false" outlineLevel="0" collapsed="false">
      <c r="A538" s="102"/>
      <c r="B538" s="103"/>
      <c r="C538" s="103"/>
      <c r="D538" s="104"/>
      <c r="E538" s="105"/>
      <c r="F538" s="103"/>
    </row>
    <row r="539" customFormat="false" ht="15" hidden="false" customHeight="false" outlineLevel="0" collapsed="false">
      <c r="A539" s="102"/>
      <c r="B539" s="103"/>
      <c r="C539" s="103"/>
      <c r="D539" s="104"/>
      <c r="E539" s="105"/>
      <c r="F539" s="103"/>
    </row>
    <row r="540" customFormat="false" ht="15" hidden="false" customHeight="false" outlineLevel="0" collapsed="false">
      <c r="A540" s="102"/>
      <c r="B540" s="103"/>
      <c r="C540" s="103"/>
      <c r="D540" s="104"/>
      <c r="E540" s="105"/>
      <c r="F540" s="103"/>
    </row>
    <row r="541" customFormat="false" ht="15" hidden="false" customHeight="false" outlineLevel="0" collapsed="false">
      <c r="A541" s="102"/>
      <c r="B541" s="103"/>
      <c r="C541" s="103"/>
      <c r="D541" s="104"/>
      <c r="E541" s="105"/>
      <c r="F541" s="103"/>
    </row>
    <row r="542" customFormat="false" ht="15" hidden="false" customHeight="false" outlineLevel="0" collapsed="false">
      <c r="A542" s="102"/>
      <c r="B542" s="103"/>
      <c r="C542" s="103"/>
      <c r="D542" s="104"/>
      <c r="E542" s="105"/>
      <c r="F542" s="103"/>
    </row>
    <row r="543" customFormat="false" ht="15" hidden="false" customHeight="false" outlineLevel="0" collapsed="false">
      <c r="A543" s="102"/>
      <c r="B543" s="103"/>
      <c r="C543" s="103"/>
      <c r="D543" s="104"/>
      <c r="E543" s="105"/>
      <c r="F543" s="103"/>
    </row>
    <row r="544" customFormat="false" ht="15" hidden="false" customHeight="false" outlineLevel="0" collapsed="false">
      <c r="A544" s="102"/>
      <c r="B544" s="103"/>
      <c r="C544" s="103"/>
      <c r="D544" s="104"/>
      <c r="E544" s="105"/>
      <c r="F544" s="103"/>
    </row>
    <row r="545" customFormat="false" ht="15" hidden="false" customHeight="false" outlineLevel="0" collapsed="false">
      <c r="A545" s="102"/>
      <c r="B545" s="103"/>
      <c r="C545" s="103"/>
      <c r="D545" s="104"/>
      <c r="E545" s="105"/>
      <c r="F545" s="103"/>
    </row>
    <row r="546" customFormat="false" ht="15" hidden="false" customHeight="false" outlineLevel="0" collapsed="false">
      <c r="A546" s="102"/>
      <c r="B546" s="103"/>
      <c r="C546" s="103"/>
      <c r="D546" s="104"/>
      <c r="E546" s="105"/>
      <c r="F546" s="103"/>
    </row>
    <row r="547" customFormat="false" ht="15" hidden="false" customHeight="false" outlineLevel="0" collapsed="false">
      <c r="A547" s="102"/>
      <c r="B547" s="103"/>
      <c r="C547" s="103"/>
      <c r="D547" s="104"/>
      <c r="E547" s="105"/>
      <c r="F547" s="103"/>
    </row>
    <row r="548" customFormat="false" ht="15" hidden="false" customHeight="false" outlineLevel="0" collapsed="false">
      <c r="A548" s="102"/>
      <c r="B548" s="103"/>
      <c r="C548" s="103"/>
      <c r="D548" s="104"/>
      <c r="E548" s="105"/>
      <c r="F548" s="103"/>
    </row>
    <row r="549" customFormat="false" ht="15" hidden="false" customHeight="false" outlineLevel="0" collapsed="false">
      <c r="A549" s="102"/>
      <c r="B549" s="103"/>
      <c r="C549" s="103"/>
      <c r="D549" s="104"/>
      <c r="E549" s="105"/>
      <c r="F549" s="103"/>
    </row>
    <row r="550" customFormat="false" ht="15" hidden="false" customHeight="false" outlineLevel="0" collapsed="false">
      <c r="A550" s="102"/>
      <c r="B550" s="103"/>
      <c r="C550" s="103"/>
      <c r="D550" s="104"/>
      <c r="E550" s="105"/>
      <c r="F550" s="103"/>
    </row>
    <row r="551" customFormat="false" ht="15" hidden="false" customHeight="false" outlineLevel="0" collapsed="false">
      <c r="A551" s="102"/>
      <c r="B551" s="103"/>
      <c r="C551" s="103"/>
      <c r="D551" s="104"/>
      <c r="E551" s="105"/>
      <c r="F551" s="103"/>
    </row>
    <row r="552" customFormat="false" ht="15" hidden="false" customHeight="false" outlineLevel="0" collapsed="false">
      <c r="A552" s="102"/>
      <c r="B552" s="103"/>
      <c r="C552" s="103"/>
      <c r="D552" s="104"/>
      <c r="E552" s="105"/>
      <c r="F552" s="103"/>
    </row>
    <row r="553" customFormat="false" ht="15" hidden="false" customHeight="false" outlineLevel="0" collapsed="false">
      <c r="A553" s="102"/>
      <c r="B553" s="103"/>
      <c r="C553" s="103"/>
      <c r="D553" s="104"/>
      <c r="E553" s="105"/>
      <c r="F553" s="103"/>
    </row>
    <row r="554" customFormat="false" ht="15" hidden="false" customHeight="false" outlineLevel="0" collapsed="false">
      <c r="A554" s="102"/>
      <c r="B554" s="103"/>
      <c r="C554" s="103"/>
      <c r="D554" s="104"/>
      <c r="E554" s="105"/>
      <c r="F554" s="103"/>
    </row>
    <row r="555" customFormat="false" ht="15" hidden="false" customHeight="false" outlineLevel="0" collapsed="false">
      <c r="A555" s="102"/>
      <c r="B555" s="103"/>
      <c r="C555" s="103"/>
      <c r="D555" s="104"/>
      <c r="E555" s="105"/>
      <c r="F555" s="103"/>
    </row>
    <row r="556" customFormat="false" ht="15" hidden="false" customHeight="false" outlineLevel="0" collapsed="false">
      <c r="A556" s="102"/>
      <c r="B556" s="103"/>
      <c r="C556" s="103"/>
      <c r="D556" s="104"/>
      <c r="E556" s="105"/>
      <c r="F556" s="103"/>
    </row>
    <row r="557" customFormat="false" ht="15" hidden="false" customHeight="false" outlineLevel="0" collapsed="false">
      <c r="A557" s="102"/>
      <c r="B557" s="103"/>
      <c r="C557" s="103"/>
      <c r="D557" s="104"/>
      <c r="E557" s="105"/>
      <c r="F557" s="103"/>
    </row>
    <row r="558" customFormat="false" ht="15" hidden="false" customHeight="false" outlineLevel="0" collapsed="false">
      <c r="A558" s="102"/>
      <c r="B558" s="103"/>
      <c r="C558" s="103"/>
      <c r="D558" s="104"/>
      <c r="E558" s="105"/>
      <c r="F558" s="103"/>
    </row>
    <row r="559" customFormat="false" ht="15" hidden="false" customHeight="false" outlineLevel="0" collapsed="false">
      <c r="A559" s="102"/>
      <c r="B559" s="103"/>
      <c r="C559" s="103"/>
      <c r="D559" s="104"/>
      <c r="E559" s="105"/>
      <c r="F559" s="103"/>
    </row>
    <row r="560" customFormat="false" ht="15" hidden="false" customHeight="false" outlineLevel="0" collapsed="false">
      <c r="A560" s="102"/>
      <c r="B560" s="103"/>
      <c r="C560" s="103"/>
      <c r="D560" s="104"/>
      <c r="E560" s="105"/>
      <c r="F560" s="103"/>
    </row>
    <row r="561" customFormat="false" ht="15" hidden="false" customHeight="false" outlineLevel="0" collapsed="false">
      <c r="A561" s="102"/>
      <c r="B561" s="103"/>
      <c r="C561" s="103"/>
      <c r="D561" s="104"/>
      <c r="E561" s="105"/>
      <c r="F561" s="103"/>
    </row>
    <row r="562" customFormat="false" ht="15" hidden="false" customHeight="false" outlineLevel="0" collapsed="false">
      <c r="A562" s="102"/>
      <c r="B562" s="103"/>
      <c r="C562" s="103"/>
      <c r="D562" s="104"/>
      <c r="E562" s="105"/>
      <c r="F562" s="103"/>
    </row>
    <row r="563" customFormat="false" ht="15" hidden="false" customHeight="false" outlineLevel="0" collapsed="false">
      <c r="A563" s="102"/>
      <c r="B563" s="103"/>
      <c r="C563" s="103"/>
      <c r="D563" s="104"/>
      <c r="E563" s="105"/>
      <c r="F563" s="103"/>
    </row>
    <row r="564" customFormat="false" ht="15" hidden="false" customHeight="false" outlineLevel="0" collapsed="false">
      <c r="A564" s="102"/>
      <c r="B564" s="103"/>
      <c r="C564" s="103"/>
      <c r="D564" s="104"/>
      <c r="E564" s="105"/>
      <c r="F564" s="103"/>
    </row>
    <row r="565" customFormat="false" ht="15" hidden="false" customHeight="false" outlineLevel="0" collapsed="false">
      <c r="A565" s="102"/>
      <c r="B565" s="103"/>
      <c r="C565" s="103"/>
      <c r="D565" s="104"/>
      <c r="E565" s="105"/>
      <c r="F565" s="103"/>
    </row>
    <row r="566" customFormat="false" ht="15" hidden="false" customHeight="false" outlineLevel="0" collapsed="false">
      <c r="A566" s="102"/>
      <c r="B566" s="103"/>
      <c r="C566" s="103"/>
      <c r="D566" s="104"/>
      <c r="E566" s="105"/>
      <c r="F566" s="103"/>
    </row>
    <row r="567" customFormat="false" ht="15" hidden="false" customHeight="false" outlineLevel="0" collapsed="false">
      <c r="A567" s="102"/>
      <c r="B567" s="103"/>
      <c r="C567" s="103"/>
      <c r="D567" s="104"/>
      <c r="E567" s="105"/>
      <c r="F567" s="103"/>
    </row>
    <row r="568" customFormat="false" ht="15" hidden="false" customHeight="false" outlineLevel="0" collapsed="false">
      <c r="A568" s="102"/>
      <c r="B568" s="103"/>
      <c r="C568" s="103"/>
      <c r="D568" s="104"/>
      <c r="E568" s="105"/>
      <c r="F568" s="103"/>
    </row>
    <row r="569" customFormat="false" ht="15" hidden="false" customHeight="false" outlineLevel="0" collapsed="false">
      <c r="A569" s="102"/>
      <c r="B569" s="103"/>
      <c r="C569" s="103"/>
      <c r="D569" s="104"/>
      <c r="E569" s="105"/>
      <c r="F569" s="103"/>
    </row>
    <row r="570" customFormat="false" ht="15" hidden="false" customHeight="false" outlineLevel="0" collapsed="false">
      <c r="A570" s="102"/>
      <c r="B570" s="103"/>
      <c r="C570" s="103"/>
      <c r="D570" s="104"/>
      <c r="E570" s="105"/>
      <c r="F570" s="103"/>
    </row>
    <row r="571" customFormat="false" ht="15" hidden="false" customHeight="false" outlineLevel="0" collapsed="false">
      <c r="A571" s="102"/>
      <c r="B571" s="103"/>
      <c r="C571" s="103"/>
      <c r="D571" s="104"/>
      <c r="E571" s="105"/>
      <c r="F571" s="103"/>
    </row>
    <row r="572" customFormat="false" ht="15" hidden="false" customHeight="false" outlineLevel="0" collapsed="false">
      <c r="A572" s="102"/>
      <c r="B572" s="103"/>
      <c r="C572" s="103"/>
      <c r="D572" s="104"/>
      <c r="E572" s="105"/>
      <c r="F572" s="103"/>
    </row>
    <row r="573" customFormat="false" ht="15" hidden="false" customHeight="false" outlineLevel="0" collapsed="false">
      <c r="A573" s="102"/>
      <c r="B573" s="103"/>
      <c r="C573" s="103"/>
      <c r="D573" s="104"/>
      <c r="E573" s="105"/>
      <c r="F573" s="103"/>
    </row>
    <row r="574" customFormat="false" ht="15" hidden="false" customHeight="false" outlineLevel="0" collapsed="false">
      <c r="A574" s="102"/>
      <c r="B574" s="103"/>
      <c r="C574" s="103"/>
      <c r="D574" s="104"/>
      <c r="E574" s="105"/>
      <c r="F574" s="103"/>
    </row>
    <row r="575" customFormat="false" ht="15" hidden="false" customHeight="false" outlineLevel="0" collapsed="false">
      <c r="A575" s="102"/>
      <c r="B575" s="103"/>
      <c r="C575" s="103"/>
      <c r="D575" s="104"/>
      <c r="E575" s="105"/>
      <c r="F575" s="103"/>
    </row>
    <row r="576" customFormat="false" ht="15" hidden="false" customHeight="false" outlineLevel="0" collapsed="false">
      <c r="A576" s="102"/>
      <c r="B576" s="103"/>
      <c r="C576" s="103"/>
      <c r="D576" s="104"/>
      <c r="E576" s="105"/>
      <c r="F576" s="103"/>
    </row>
    <row r="577" customFormat="false" ht="15" hidden="false" customHeight="false" outlineLevel="0" collapsed="false">
      <c r="A577" s="102"/>
      <c r="B577" s="103"/>
      <c r="C577" s="103"/>
      <c r="D577" s="104"/>
      <c r="E577" s="105"/>
      <c r="F577" s="103"/>
    </row>
    <row r="578" customFormat="false" ht="15" hidden="false" customHeight="false" outlineLevel="0" collapsed="false">
      <c r="A578" s="102"/>
      <c r="B578" s="103"/>
      <c r="C578" s="103"/>
      <c r="D578" s="104"/>
      <c r="E578" s="105"/>
      <c r="F578" s="103"/>
    </row>
    <row r="579" customFormat="false" ht="15" hidden="false" customHeight="false" outlineLevel="0" collapsed="false">
      <c r="A579" s="102"/>
      <c r="B579" s="103"/>
      <c r="C579" s="103"/>
      <c r="D579" s="104"/>
      <c r="E579" s="105"/>
      <c r="F579" s="103"/>
    </row>
    <row r="580" customFormat="false" ht="15" hidden="false" customHeight="false" outlineLevel="0" collapsed="false">
      <c r="A580" s="102"/>
      <c r="B580" s="103"/>
      <c r="C580" s="103"/>
      <c r="D580" s="104"/>
      <c r="E580" s="105"/>
      <c r="F580" s="103"/>
    </row>
    <row r="581" customFormat="false" ht="15" hidden="false" customHeight="false" outlineLevel="0" collapsed="false">
      <c r="A581" s="102"/>
      <c r="B581" s="103"/>
      <c r="C581" s="103"/>
      <c r="D581" s="104"/>
      <c r="E581" s="105"/>
      <c r="F581" s="103"/>
    </row>
    <row r="582" customFormat="false" ht="15" hidden="false" customHeight="false" outlineLevel="0" collapsed="false">
      <c r="A582" s="102"/>
      <c r="B582" s="103"/>
      <c r="C582" s="103"/>
      <c r="D582" s="104"/>
      <c r="E582" s="105"/>
      <c r="F582" s="103"/>
    </row>
    <row r="583" customFormat="false" ht="15" hidden="false" customHeight="false" outlineLevel="0" collapsed="false">
      <c r="A583" s="102"/>
      <c r="B583" s="103"/>
      <c r="C583" s="103"/>
      <c r="D583" s="104"/>
      <c r="E583" s="105"/>
      <c r="F583" s="103"/>
    </row>
    <row r="584" customFormat="false" ht="15" hidden="false" customHeight="false" outlineLevel="0" collapsed="false">
      <c r="A584" s="102"/>
      <c r="B584" s="103"/>
      <c r="C584" s="103"/>
      <c r="D584" s="104"/>
      <c r="E584" s="105"/>
      <c r="F584" s="103"/>
    </row>
    <row r="585" customFormat="false" ht="15" hidden="false" customHeight="false" outlineLevel="0" collapsed="false">
      <c r="A585" s="102"/>
      <c r="B585" s="103"/>
      <c r="C585" s="103"/>
      <c r="D585" s="104"/>
      <c r="E585" s="105"/>
      <c r="F585" s="103"/>
    </row>
    <row r="586" customFormat="false" ht="15" hidden="false" customHeight="false" outlineLevel="0" collapsed="false">
      <c r="A586" s="102"/>
      <c r="B586" s="103"/>
      <c r="C586" s="103"/>
      <c r="D586" s="104"/>
      <c r="E586" s="105"/>
      <c r="F586" s="103"/>
    </row>
    <row r="587" customFormat="false" ht="15" hidden="false" customHeight="false" outlineLevel="0" collapsed="false">
      <c r="A587" s="102"/>
      <c r="B587" s="103"/>
      <c r="C587" s="103"/>
      <c r="D587" s="104"/>
      <c r="E587" s="105"/>
      <c r="F587" s="103"/>
    </row>
    <row r="588" customFormat="false" ht="15" hidden="false" customHeight="false" outlineLevel="0" collapsed="false">
      <c r="A588" s="102"/>
      <c r="B588" s="103"/>
      <c r="C588" s="103"/>
      <c r="D588" s="104"/>
      <c r="E588" s="105"/>
      <c r="F588" s="103"/>
    </row>
    <row r="589" customFormat="false" ht="15" hidden="false" customHeight="false" outlineLevel="0" collapsed="false">
      <c r="A589" s="102"/>
      <c r="B589" s="103"/>
      <c r="C589" s="103"/>
      <c r="D589" s="104"/>
      <c r="E589" s="105"/>
      <c r="F589" s="103"/>
    </row>
    <row r="590" customFormat="false" ht="15" hidden="false" customHeight="false" outlineLevel="0" collapsed="false">
      <c r="A590" s="102"/>
      <c r="B590" s="103"/>
      <c r="C590" s="103"/>
      <c r="D590" s="104"/>
      <c r="E590" s="105"/>
      <c r="F590" s="103"/>
    </row>
    <row r="591" customFormat="false" ht="15" hidden="false" customHeight="false" outlineLevel="0" collapsed="false">
      <c r="A591" s="102"/>
      <c r="B591" s="103"/>
      <c r="C591" s="103"/>
      <c r="D591" s="104"/>
      <c r="E591" s="105"/>
      <c r="F591" s="103"/>
    </row>
    <row r="592" customFormat="false" ht="15" hidden="false" customHeight="false" outlineLevel="0" collapsed="false">
      <c r="A592" s="102"/>
      <c r="B592" s="103"/>
      <c r="C592" s="103"/>
      <c r="D592" s="104"/>
      <c r="E592" s="105"/>
      <c r="F592" s="103"/>
    </row>
    <row r="593" customFormat="false" ht="15" hidden="false" customHeight="false" outlineLevel="0" collapsed="false">
      <c r="A593" s="102"/>
      <c r="B593" s="103"/>
      <c r="C593" s="103"/>
      <c r="D593" s="104"/>
      <c r="E593" s="105"/>
      <c r="F593" s="103"/>
    </row>
    <row r="594" customFormat="false" ht="15" hidden="false" customHeight="false" outlineLevel="0" collapsed="false">
      <c r="A594" s="102"/>
      <c r="B594" s="103"/>
      <c r="C594" s="103"/>
      <c r="D594" s="104"/>
      <c r="E594" s="105"/>
      <c r="F594" s="103"/>
    </row>
    <row r="595" customFormat="false" ht="15" hidden="false" customHeight="false" outlineLevel="0" collapsed="false">
      <c r="A595" s="102"/>
      <c r="B595" s="103"/>
      <c r="C595" s="103"/>
      <c r="D595" s="104"/>
      <c r="E595" s="105"/>
      <c r="F595" s="103"/>
    </row>
    <row r="596" customFormat="false" ht="15" hidden="false" customHeight="false" outlineLevel="0" collapsed="false">
      <c r="A596" s="102"/>
      <c r="B596" s="103"/>
      <c r="C596" s="103"/>
      <c r="D596" s="104"/>
      <c r="E596" s="105"/>
      <c r="F596" s="103"/>
    </row>
    <row r="597" customFormat="false" ht="15" hidden="false" customHeight="false" outlineLevel="0" collapsed="false">
      <c r="A597" s="102"/>
      <c r="B597" s="103"/>
      <c r="C597" s="103"/>
      <c r="D597" s="104"/>
      <c r="E597" s="105"/>
      <c r="F597" s="103"/>
    </row>
    <row r="598" customFormat="false" ht="15" hidden="false" customHeight="false" outlineLevel="0" collapsed="false">
      <c r="A598" s="102"/>
      <c r="B598" s="103"/>
      <c r="C598" s="103"/>
      <c r="D598" s="104"/>
      <c r="E598" s="105"/>
      <c r="F598" s="103"/>
    </row>
    <row r="599" customFormat="false" ht="15" hidden="false" customHeight="false" outlineLevel="0" collapsed="false">
      <c r="A599" s="102"/>
      <c r="B599" s="103"/>
      <c r="C599" s="103"/>
      <c r="D599" s="104"/>
      <c r="E599" s="105"/>
      <c r="F599" s="103"/>
    </row>
    <row r="600" customFormat="false" ht="15" hidden="false" customHeight="false" outlineLevel="0" collapsed="false">
      <c r="A600" s="102"/>
      <c r="B600" s="103"/>
      <c r="C600" s="103"/>
      <c r="D600" s="104"/>
      <c r="E600" s="105"/>
      <c r="F600" s="103"/>
    </row>
    <row r="601" customFormat="false" ht="15" hidden="false" customHeight="false" outlineLevel="0" collapsed="false">
      <c r="A601" s="102"/>
      <c r="B601" s="103"/>
      <c r="C601" s="103"/>
      <c r="D601" s="104"/>
      <c r="E601" s="105"/>
      <c r="F601" s="103"/>
    </row>
    <row r="602" customFormat="false" ht="15" hidden="false" customHeight="false" outlineLevel="0" collapsed="false">
      <c r="A602" s="102"/>
      <c r="B602" s="103"/>
      <c r="C602" s="103"/>
      <c r="D602" s="104"/>
      <c r="E602" s="105"/>
      <c r="F602" s="103"/>
    </row>
    <row r="603" customFormat="false" ht="15" hidden="false" customHeight="false" outlineLevel="0" collapsed="false">
      <c r="A603" s="102"/>
      <c r="B603" s="103"/>
      <c r="C603" s="103"/>
      <c r="D603" s="104"/>
      <c r="E603" s="105"/>
      <c r="F603" s="103"/>
    </row>
    <row r="604" customFormat="false" ht="15" hidden="false" customHeight="false" outlineLevel="0" collapsed="false">
      <c r="A604" s="102"/>
      <c r="B604" s="103"/>
      <c r="C604" s="103"/>
      <c r="D604" s="104"/>
      <c r="E604" s="105"/>
      <c r="F604" s="103"/>
    </row>
    <row r="605" customFormat="false" ht="15" hidden="false" customHeight="false" outlineLevel="0" collapsed="false">
      <c r="A605" s="102"/>
      <c r="B605" s="103"/>
      <c r="C605" s="103"/>
      <c r="D605" s="104"/>
      <c r="E605" s="105"/>
      <c r="F605" s="103"/>
    </row>
    <row r="606" customFormat="false" ht="15" hidden="false" customHeight="false" outlineLevel="0" collapsed="false">
      <c r="A606" s="102"/>
      <c r="B606" s="103"/>
      <c r="C606" s="103"/>
      <c r="D606" s="104"/>
      <c r="E606" s="105"/>
      <c r="F606" s="103"/>
    </row>
    <row r="607" customFormat="false" ht="15" hidden="false" customHeight="false" outlineLevel="0" collapsed="false">
      <c r="A607" s="102"/>
      <c r="B607" s="103"/>
      <c r="C607" s="103"/>
      <c r="D607" s="104"/>
      <c r="E607" s="105"/>
      <c r="F607" s="103"/>
    </row>
    <row r="608" customFormat="false" ht="15" hidden="false" customHeight="false" outlineLevel="0" collapsed="false">
      <c r="A608" s="102"/>
      <c r="B608" s="103"/>
      <c r="C608" s="103"/>
      <c r="D608" s="104"/>
      <c r="E608" s="105"/>
      <c r="F608" s="103"/>
    </row>
    <row r="609" customFormat="false" ht="15" hidden="false" customHeight="false" outlineLevel="0" collapsed="false">
      <c r="A609" s="102"/>
      <c r="B609" s="103"/>
      <c r="C609" s="103"/>
      <c r="D609" s="104"/>
      <c r="E609" s="105"/>
      <c r="F609" s="103"/>
    </row>
    <row r="610" customFormat="false" ht="15" hidden="false" customHeight="false" outlineLevel="0" collapsed="false">
      <c r="A610" s="102"/>
      <c r="B610" s="103"/>
      <c r="C610" s="103"/>
      <c r="D610" s="104"/>
      <c r="E610" s="105"/>
      <c r="F610" s="103"/>
    </row>
    <row r="611" customFormat="false" ht="15" hidden="false" customHeight="false" outlineLevel="0" collapsed="false">
      <c r="A611" s="102"/>
      <c r="B611" s="103"/>
      <c r="C611" s="103"/>
      <c r="D611" s="104"/>
      <c r="E611" s="105"/>
      <c r="F611" s="103"/>
    </row>
    <row r="612" customFormat="false" ht="15" hidden="false" customHeight="false" outlineLevel="0" collapsed="false">
      <c r="A612" s="102"/>
      <c r="B612" s="103"/>
      <c r="C612" s="103"/>
      <c r="D612" s="104"/>
      <c r="E612" s="105"/>
      <c r="F612" s="103"/>
    </row>
    <row r="613" customFormat="false" ht="15" hidden="false" customHeight="false" outlineLevel="0" collapsed="false">
      <c r="A613" s="102"/>
      <c r="B613" s="103"/>
      <c r="C613" s="103"/>
      <c r="D613" s="104"/>
      <c r="E613" s="105"/>
      <c r="F613" s="103"/>
    </row>
    <row r="614" customFormat="false" ht="15" hidden="false" customHeight="false" outlineLevel="0" collapsed="false">
      <c r="A614" s="102"/>
      <c r="B614" s="103"/>
      <c r="C614" s="103"/>
      <c r="D614" s="104"/>
      <c r="E614" s="105"/>
      <c r="F614" s="103"/>
    </row>
    <row r="615" customFormat="false" ht="15" hidden="false" customHeight="false" outlineLevel="0" collapsed="false">
      <c r="A615" s="102"/>
      <c r="B615" s="103"/>
      <c r="C615" s="103"/>
      <c r="D615" s="104"/>
      <c r="E615" s="105"/>
      <c r="F615" s="103"/>
    </row>
    <row r="616" customFormat="false" ht="15" hidden="false" customHeight="false" outlineLevel="0" collapsed="false">
      <c r="A616" s="102"/>
      <c r="B616" s="103"/>
      <c r="C616" s="103"/>
      <c r="D616" s="104"/>
      <c r="E616" s="105"/>
      <c r="F616" s="103"/>
    </row>
    <row r="617" customFormat="false" ht="15" hidden="false" customHeight="false" outlineLevel="0" collapsed="false">
      <c r="A617" s="102"/>
      <c r="B617" s="103"/>
      <c r="C617" s="103"/>
      <c r="D617" s="104"/>
      <c r="E617" s="105"/>
      <c r="F617" s="103"/>
    </row>
    <row r="618" customFormat="false" ht="15" hidden="false" customHeight="false" outlineLevel="0" collapsed="false">
      <c r="A618" s="102"/>
      <c r="B618" s="103"/>
      <c r="C618" s="103"/>
      <c r="D618" s="104"/>
      <c r="E618" s="105"/>
      <c r="F618" s="103"/>
    </row>
    <row r="619" customFormat="false" ht="15" hidden="false" customHeight="false" outlineLevel="0" collapsed="false">
      <c r="A619" s="102"/>
      <c r="B619" s="103"/>
      <c r="C619" s="103"/>
      <c r="D619" s="104"/>
      <c r="E619" s="105"/>
      <c r="F619" s="103"/>
    </row>
    <row r="620" customFormat="false" ht="15" hidden="false" customHeight="false" outlineLevel="0" collapsed="false">
      <c r="A620" s="102"/>
      <c r="B620" s="103"/>
      <c r="C620" s="103"/>
      <c r="D620" s="104"/>
      <c r="E620" s="105"/>
      <c r="F620" s="103"/>
    </row>
    <row r="621" customFormat="false" ht="15" hidden="false" customHeight="false" outlineLevel="0" collapsed="false">
      <c r="A621" s="102"/>
      <c r="B621" s="103"/>
      <c r="C621" s="103"/>
      <c r="D621" s="104"/>
      <c r="E621" s="105"/>
      <c r="F621" s="103"/>
    </row>
    <row r="622" customFormat="false" ht="15" hidden="false" customHeight="false" outlineLevel="0" collapsed="false">
      <c r="A622" s="102"/>
      <c r="B622" s="103"/>
      <c r="C622" s="103"/>
      <c r="D622" s="104"/>
      <c r="E622" s="105"/>
      <c r="F622" s="103"/>
    </row>
    <row r="623" customFormat="false" ht="15" hidden="false" customHeight="false" outlineLevel="0" collapsed="false">
      <c r="A623" s="102"/>
      <c r="B623" s="103"/>
      <c r="C623" s="103"/>
      <c r="D623" s="104"/>
      <c r="E623" s="105"/>
      <c r="F623" s="103"/>
    </row>
    <row r="624" customFormat="false" ht="15" hidden="false" customHeight="false" outlineLevel="0" collapsed="false">
      <c r="A624" s="102"/>
      <c r="B624" s="103"/>
      <c r="C624" s="103"/>
      <c r="D624" s="104"/>
      <c r="E624" s="105"/>
      <c r="F624" s="103"/>
    </row>
    <row r="625" customFormat="false" ht="15" hidden="false" customHeight="false" outlineLevel="0" collapsed="false">
      <c r="A625" s="102"/>
      <c r="B625" s="103"/>
      <c r="C625" s="103"/>
      <c r="D625" s="104"/>
      <c r="E625" s="105"/>
      <c r="F625" s="103"/>
    </row>
    <row r="626" customFormat="false" ht="15" hidden="false" customHeight="false" outlineLevel="0" collapsed="false">
      <c r="A626" s="102"/>
      <c r="B626" s="103"/>
      <c r="C626" s="103"/>
      <c r="D626" s="104"/>
      <c r="E626" s="105"/>
      <c r="F626" s="103"/>
    </row>
    <row r="627" customFormat="false" ht="15" hidden="false" customHeight="false" outlineLevel="0" collapsed="false">
      <c r="A627" s="102"/>
      <c r="B627" s="103"/>
      <c r="C627" s="103"/>
      <c r="D627" s="104"/>
      <c r="E627" s="105"/>
      <c r="F627" s="103"/>
    </row>
    <row r="628" customFormat="false" ht="15" hidden="false" customHeight="false" outlineLevel="0" collapsed="false">
      <c r="A628" s="102"/>
      <c r="B628" s="103"/>
      <c r="C628" s="103"/>
      <c r="D628" s="104"/>
      <c r="E628" s="105"/>
      <c r="F628" s="103"/>
    </row>
    <row r="629" customFormat="false" ht="15" hidden="false" customHeight="false" outlineLevel="0" collapsed="false">
      <c r="A629" s="102"/>
      <c r="B629" s="103"/>
      <c r="C629" s="103"/>
      <c r="D629" s="104"/>
      <c r="E629" s="105"/>
      <c r="F629" s="103"/>
    </row>
    <row r="630" customFormat="false" ht="15" hidden="false" customHeight="false" outlineLevel="0" collapsed="false">
      <c r="A630" s="102"/>
      <c r="B630" s="103"/>
      <c r="C630" s="103"/>
      <c r="D630" s="104"/>
      <c r="E630" s="105"/>
      <c r="F630" s="103"/>
    </row>
    <row r="631" customFormat="false" ht="15" hidden="false" customHeight="false" outlineLevel="0" collapsed="false">
      <c r="A631" s="102"/>
      <c r="B631" s="103"/>
      <c r="C631" s="103"/>
      <c r="D631" s="104"/>
      <c r="E631" s="105"/>
      <c r="F631" s="103"/>
    </row>
    <row r="632" customFormat="false" ht="15" hidden="false" customHeight="false" outlineLevel="0" collapsed="false">
      <c r="A632" s="102"/>
      <c r="B632" s="103"/>
      <c r="C632" s="103"/>
      <c r="D632" s="104"/>
      <c r="E632" s="105"/>
      <c r="F632" s="103"/>
    </row>
    <row r="633" customFormat="false" ht="15" hidden="false" customHeight="false" outlineLevel="0" collapsed="false">
      <c r="A633" s="102"/>
      <c r="B633" s="103"/>
      <c r="C633" s="103"/>
      <c r="D633" s="104"/>
      <c r="E633" s="105"/>
      <c r="F633" s="103"/>
    </row>
    <row r="634" customFormat="false" ht="15" hidden="false" customHeight="false" outlineLevel="0" collapsed="false">
      <c r="A634" s="102"/>
      <c r="B634" s="103"/>
      <c r="C634" s="103"/>
      <c r="D634" s="104"/>
      <c r="E634" s="105"/>
      <c r="F634" s="103"/>
    </row>
    <row r="635" customFormat="false" ht="15" hidden="false" customHeight="false" outlineLevel="0" collapsed="false">
      <c r="A635" s="102"/>
      <c r="B635" s="103"/>
      <c r="C635" s="103"/>
      <c r="D635" s="104"/>
      <c r="E635" s="105"/>
      <c r="F635" s="103"/>
    </row>
    <row r="636" customFormat="false" ht="15" hidden="false" customHeight="false" outlineLevel="0" collapsed="false">
      <c r="A636" s="102"/>
      <c r="B636" s="103"/>
      <c r="C636" s="103"/>
      <c r="D636" s="104"/>
      <c r="E636" s="105"/>
      <c r="F636" s="103"/>
    </row>
    <row r="637" customFormat="false" ht="15" hidden="false" customHeight="false" outlineLevel="0" collapsed="false">
      <c r="A637" s="102"/>
      <c r="B637" s="103"/>
      <c r="C637" s="103"/>
      <c r="D637" s="104"/>
      <c r="E637" s="105"/>
      <c r="F637" s="103"/>
    </row>
    <row r="638" customFormat="false" ht="15" hidden="false" customHeight="false" outlineLevel="0" collapsed="false">
      <c r="A638" s="102"/>
      <c r="B638" s="103"/>
      <c r="C638" s="103"/>
      <c r="D638" s="104"/>
      <c r="E638" s="105"/>
      <c r="F638" s="103"/>
    </row>
    <row r="639" customFormat="false" ht="15" hidden="false" customHeight="false" outlineLevel="0" collapsed="false">
      <c r="A639" s="102"/>
      <c r="B639" s="103"/>
      <c r="C639" s="103"/>
      <c r="D639" s="104"/>
      <c r="E639" s="105"/>
      <c r="F639" s="103"/>
    </row>
    <row r="640" customFormat="false" ht="15" hidden="false" customHeight="false" outlineLevel="0" collapsed="false">
      <c r="A640" s="102"/>
      <c r="B640" s="103"/>
      <c r="C640" s="103"/>
      <c r="D640" s="104"/>
      <c r="E640" s="105"/>
      <c r="F640" s="103"/>
    </row>
    <row r="641" customFormat="false" ht="15" hidden="false" customHeight="false" outlineLevel="0" collapsed="false">
      <c r="A641" s="102"/>
      <c r="B641" s="103"/>
      <c r="C641" s="103"/>
      <c r="D641" s="104"/>
      <c r="E641" s="105"/>
      <c r="F641" s="103"/>
    </row>
    <row r="642" customFormat="false" ht="15" hidden="false" customHeight="false" outlineLevel="0" collapsed="false">
      <c r="A642" s="102"/>
      <c r="B642" s="103"/>
      <c r="C642" s="103"/>
      <c r="D642" s="104"/>
      <c r="E642" s="105"/>
      <c r="F642" s="103"/>
    </row>
    <row r="643" customFormat="false" ht="15" hidden="false" customHeight="false" outlineLevel="0" collapsed="false">
      <c r="A643" s="102"/>
      <c r="B643" s="103"/>
      <c r="C643" s="103"/>
      <c r="D643" s="104"/>
      <c r="E643" s="105"/>
      <c r="F643" s="103"/>
    </row>
    <row r="644" customFormat="false" ht="15" hidden="false" customHeight="false" outlineLevel="0" collapsed="false">
      <c r="A644" s="102"/>
      <c r="B644" s="103"/>
      <c r="C644" s="103"/>
      <c r="D644" s="104"/>
      <c r="E644" s="105"/>
      <c r="F644" s="103"/>
    </row>
    <row r="645" customFormat="false" ht="15" hidden="false" customHeight="false" outlineLevel="0" collapsed="false">
      <c r="A645" s="102"/>
      <c r="B645" s="103"/>
      <c r="C645" s="103"/>
      <c r="D645" s="104"/>
      <c r="E645" s="105"/>
      <c r="F645" s="103"/>
    </row>
    <row r="646" customFormat="false" ht="15" hidden="false" customHeight="false" outlineLevel="0" collapsed="false">
      <c r="A646" s="102"/>
      <c r="B646" s="103"/>
      <c r="C646" s="103"/>
      <c r="D646" s="104"/>
      <c r="E646" s="105"/>
      <c r="F646" s="103"/>
    </row>
    <row r="647" customFormat="false" ht="15" hidden="false" customHeight="false" outlineLevel="0" collapsed="false">
      <c r="A647" s="102"/>
      <c r="B647" s="103"/>
      <c r="C647" s="103"/>
      <c r="D647" s="104"/>
      <c r="E647" s="105"/>
      <c r="F647" s="103"/>
    </row>
    <row r="648" customFormat="false" ht="15" hidden="false" customHeight="false" outlineLevel="0" collapsed="false">
      <c r="A648" s="102"/>
      <c r="B648" s="103"/>
      <c r="C648" s="103"/>
      <c r="D648" s="104"/>
      <c r="E648" s="105"/>
      <c r="F648" s="103"/>
    </row>
    <row r="649" customFormat="false" ht="15" hidden="false" customHeight="false" outlineLevel="0" collapsed="false">
      <c r="A649" s="102"/>
      <c r="B649" s="103"/>
      <c r="C649" s="103"/>
      <c r="D649" s="104"/>
      <c r="E649" s="105"/>
      <c r="F649" s="103"/>
    </row>
    <row r="650" customFormat="false" ht="15" hidden="false" customHeight="false" outlineLevel="0" collapsed="false">
      <c r="A650" s="102"/>
      <c r="B650" s="103"/>
      <c r="C650" s="103"/>
      <c r="D650" s="104"/>
      <c r="E650" s="105"/>
      <c r="F650" s="103"/>
    </row>
    <row r="651" customFormat="false" ht="15" hidden="false" customHeight="false" outlineLevel="0" collapsed="false">
      <c r="A651" s="102"/>
      <c r="B651" s="103"/>
      <c r="C651" s="103"/>
      <c r="D651" s="104"/>
      <c r="E651" s="105"/>
      <c r="F651" s="103"/>
    </row>
    <row r="652" customFormat="false" ht="15" hidden="false" customHeight="false" outlineLevel="0" collapsed="false">
      <c r="A652" s="102"/>
      <c r="B652" s="103"/>
      <c r="C652" s="103"/>
      <c r="D652" s="104"/>
      <c r="E652" s="105"/>
      <c r="F652" s="103"/>
    </row>
    <row r="653" customFormat="false" ht="15" hidden="false" customHeight="false" outlineLevel="0" collapsed="false">
      <c r="A653" s="102"/>
      <c r="B653" s="103"/>
      <c r="C653" s="103"/>
      <c r="D653" s="104"/>
      <c r="E653" s="105"/>
      <c r="F653" s="103"/>
    </row>
    <row r="654" customFormat="false" ht="15" hidden="false" customHeight="false" outlineLevel="0" collapsed="false">
      <c r="A654" s="102"/>
      <c r="B654" s="103"/>
      <c r="C654" s="103"/>
      <c r="D654" s="104"/>
      <c r="E654" s="105"/>
      <c r="F654" s="103"/>
    </row>
    <row r="655" customFormat="false" ht="15" hidden="false" customHeight="false" outlineLevel="0" collapsed="false">
      <c r="A655" s="102"/>
      <c r="B655" s="103"/>
      <c r="C655" s="103"/>
      <c r="D655" s="104"/>
      <c r="E655" s="105"/>
      <c r="F655" s="103"/>
    </row>
    <row r="656" customFormat="false" ht="15" hidden="false" customHeight="false" outlineLevel="0" collapsed="false">
      <c r="A656" s="102"/>
      <c r="B656" s="103"/>
      <c r="C656" s="103"/>
      <c r="D656" s="104"/>
      <c r="E656" s="105"/>
      <c r="F656" s="103"/>
    </row>
    <row r="657" customFormat="false" ht="15" hidden="false" customHeight="false" outlineLevel="0" collapsed="false">
      <c r="A657" s="102"/>
      <c r="B657" s="103"/>
      <c r="C657" s="103"/>
      <c r="D657" s="104"/>
      <c r="E657" s="105"/>
      <c r="F657" s="103"/>
    </row>
    <row r="658" customFormat="false" ht="15" hidden="false" customHeight="false" outlineLevel="0" collapsed="false">
      <c r="A658" s="102"/>
      <c r="B658" s="103"/>
      <c r="C658" s="103"/>
      <c r="D658" s="104"/>
      <c r="E658" s="105"/>
      <c r="F658" s="103"/>
    </row>
    <row r="659" customFormat="false" ht="15" hidden="false" customHeight="false" outlineLevel="0" collapsed="false">
      <c r="A659" s="102"/>
      <c r="B659" s="103"/>
      <c r="C659" s="103"/>
      <c r="D659" s="104"/>
      <c r="E659" s="105"/>
      <c r="F659" s="103"/>
    </row>
    <row r="660" customFormat="false" ht="15" hidden="false" customHeight="false" outlineLevel="0" collapsed="false">
      <c r="A660" s="102"/>
      <c r="B660" s="103"/>
      <c r="C660" s="103"/>
      <c r="D660" s="104"/>
      <c r="E660" s="105"/>
      <c r="F660" s="103"/>
    </row>
    <row r="661" customFormat="false" ht="15" hidden="false" customHeight="false" outlineLevel="0" collapsed="false">
      <c r="A661" s="102"/>
      <c r="B661" s="103"/>
      <c r="C661" s="103"/>
      <c r="D661" s="104"/>
      <c r="E661" s="105"/>
      <c r="F661" s="103"/>
    </row>
    <row r="662" customFormat="false" ht="15" hidden="false" customHeight="false" outlineLevel="0" collapsed="false">
      <c r="A662" s="102"/>
      <c r="B662" s="103"/>
      <c r="C662" s="103"/>
      <c r="D662" s="104"/>
      <c r="E662" s="105"/>
      <c r="F662" s="103"/>
    </row>
    <row r="663" customFormat="false" ht="15" hidden="false" customHeight="false" outlineLevel="0" collapsed="false">
      <c r="A663" s="102"/>
      <c r="B663" s="103"/>
      <c r="C663" s="103"/>
      <c r="D663" s="104"/>
      <c r="E663" s="105"/>
      <c r="F663" s="103"/>
    </row>
    <row r="664" customFormat="false" ht="15" hidden="false" customHeight="false" outlineLevel="0" collapsed="false">
      <c r="A664" s="102"/>
      <c r="B664" s="103"/>
      <c r="C664" s="103"/>
      <c r="D664" s="104"/>
      <c r="E664" s="105"/>
      <c r="F664" s="103"/>
    </row>
    <row r="665" customFormat="false" ht="15" hidden="false" customHeight="false" outlineLevel="0" collapsed="false">
      <c r="A665" s="102"/>
      <c r="B665" s="103"/>
      <c r="C665" s="103"/>
      <c r="D665" s="104"/>
      <c r="E665" s="105"/>
      <c r="F665" s="103"/>
    </row>
    <row r="666" customFormat="false" ht="15" hidden="false" customHeight="false" outlineLevel="0" collapsed="false">
      <c r="A666" s="102"/>
      <c r="B666" s="103"/>
      <c r="C666" s="103"/>
      <c r="D666" s="104"/>
      <c r="E666" s="105"/>
      <c r="F666" s="103"/>
    </row>
    <row r="667" customFormat="false" ht="15" hidden="false" customHeight="false" outlineLevel="0" collapsed="false">
      <c r="A667" s="102"/>
      <c r="B667" s="103"/>
      <c r="C667" s="103"/>
      <c r="D667" s="104"/>
      <c r="E667" s="105"/>
      <c r="F667" s="103"/>
    </row>
    <row r="668" customFormat="false" ht="15" hidden="false" customHeight="false" outlineLevel="0" collapsed="false">
      <c r="A668" s="102"/>
      <c r="B668" s="103"/>
      <c r="C668" s="103"/>
      <c r="D668" s="104"/>
      <c r="E668" s="105"/>
      <c r="F668" s="103"/>
    </row>
    <row r="669" customFormat="false" ht="15" hidden="false" customHeight="false" outlineLevel="0" collapsed="false">
      <c r="A669" s="102"/>
      <c r="B669" s="103"/>
      <c r="C669" s="103"/>
      <c r="D669" s="104"/>
      <c r="E669" s="105"/>
      <c r="F669" s="103"/>
    </row>
    <row r="670" customFormat="false" ht="15" hidden="false" customHeight="false" outlineLevel="0" collapsed="false">
      <c r="A670" s="102"/>
      <c r="B670" s="103"/>
      <c r="C670" s="103"/>
      <c r="D670" s="104"/>
      <c r="E670" s="105"/>
      <c r="F670" s="103"/>
    </row>
    <row r="671" customFormat="false" ht="15" hidden="false" customHeight="false" outlineLevel="0" collapsed="false">
      <c r="A671" s="102"/>
      <c r="B671" s="103"/>
      <c r="C671" s="103"/>
      <c r="D671" s="104"/>
      <c r="E671" s="105"/>
      <c r="F671" s="103"/>
    </row>
    <row r="672" customFormat="false" ht="15" hidden="false" customHeight="false" outlineLevel="0" collapsed="false">
      <c r="A672" s="102"/>
      <c r="B672" s="103"/>
      <c r="C672" s="103"/>
      <c r="D672" s="104"/>
      <c r="E672" s="105"/>
      <c r="F672" s="103"/>
    </row>
    <row r="673" customFormat="false" ht="15" hidden="false" customHeight="false" outlineLevel="0" collapsed="false">
      <c r="A673" s="102"/>
      <c r="B673" s="103"/>
      <c r="C673" s="103"/>
      <c r="D673" s="104"/>
      <c r="E673" s="105"/>
      <c r="F673" s="103"/>
    </row>
    <row r="674" customFormat="false" ht="15" hidden="false" customHeight="false" outlineLevel="0" collapsed="false">
      <c r="A674" s="102"/>
      <c r="B674" s="103"/>
      <c r="C674" s="103"/>
      <c r="D674" s="104"/>
      <c r="E674" s="105"/>
      <c r="F674" s="103"/>
    </row>
    <row r="675" customFormat="false" ht="15" hidden="false" customHeight="false" outlineLevel="0" collapsed="false">
      <c r="A675" s="102"/>
      <c r="B675" s="103"/>
      <c r="C675" s="103"/>
      <c r="D675" s="104"/>
      <c r="E675" s="105"/>
      <c r="F675" s="103"/>
    </row>
    <row r="676" customFormat="false" ht="15" hidden="false" customHeight="false" outlineLevel="0" collapsed="false">
      <c r="A676" s="102"/>
      <c r="B676" s="103"/>
      <c r="C676" s="103"/>
      <c r="D676" s="104"/>
      <c r="E676" s="105"/>
      <c r="F676" s="103"/>
    </row>
    <row r="677" customFormat="false" ht="15" hidden="false" customHeight="false" outlineLevel="0" collapsed="false">
      <c r="A677" s="102"/>
      <c r="B677" s="103"/>
      <c r="C677" s="103"/>
      <c r="D677" s="104"/>
      <c r="E677" s="105"/>
      <c r="F677" s="103"/>
    </row>
    <row r="678" customFormat="false" ht="15" hidden="false" customHeight="false" outlineLevel="0" collapsed="false">
      <c r="A678" s="102"/>
      <c r="B678" s="103"/>
      <c r="C678" s="103"/>
      <c r="D678" s="104"/>
      <c r="E678" s="105"/>
      <c r="F678" s="103"/>
    </row>
    <row r="679" customFormat="false" ht="15" hidden="false" customHeight="false" outlineLevel="0" collapsed="false">
      <c r="A679" s="102"/>
      <c r="B679" s="103"/>
      <c r="C679" s="103"/>
      <c r="D679" s="104"/>
      <c r="E679" s="105"/>
      <c r="F679" s="103"/>
    </row>
    <row r="680" customFormat="false" ht="15" hidden="false" customHeight="false" outlineLevel="0" collapsed="false">
      <c r="A680" s="102"/>
      <c r="B680" s="103"/>
      <c r="C680" s="103"/>
      <c r="D680" s="104"/>
      <c r="E680" s="105"/>
      <c r="F680" s="103"/>
    </row>
    <row r="681" customFormat="false" ht="15" hidden="false" customHeight="false" outlineLevel="0" collapsed="false">
      <c r="A681" s="102"/>
      <c r="B681" s="103"/>
      <c r="C681" s="103"/>
      <c r="D681" s="104"/>
      <c r="E681" s="105"/>
      <c r="F681" s="103"/>
    </row>
    <row r="682" customFormat="false" ht="15" hidden="false" customHeight="false" outlineLevel="0" collapsed="false">
      <c r="A682" s="102"/>
      <c r="B682" s="103"/>
      <c r="C682" s="103"/>
      <c r="D682" s="104"/>
      <c r="E682" s="105"/>
      <c r="F682" s="103"/>
    </row>
    <row r="683" customFormat="false" ht="15" hidden="false" customHeight="false" outlineLevel="0" collapsed="false">
      <c r="A683" s="102"/>
      <c r="B683" s="103"/>
      <c r="C683" s="103"/>
      <c r="D683" s="104"/>
      <c r="E683" s="105"/>
      <c r="F683" s="103"/>
    </row>
    <row r="684" customFormat="false" ht="15" hidden="false" customHeight="false" outlineLevel="0" collapsed="false">
      <c r="A684" s="102"/>
      <c r="B684" s="103"/>
      <c r="C684" s="103"/>
      <c r="D684" s="104"/>
      <c r="E684" s="105"/>
      <c r="F684" s="103"/>
    </row>
    <row r="685" customFormat="false" ht="15" hidden="false" customHeight="false" outlineLevel="0" collapsed="false">
      <c r="A685" s="102"/>
      <c r="B685" s="103"/>
      <c r="C685" s="103"/>
      <c r="D685" s="104"/>
      <c r="E685" s="105"/>
      <c r="F685" s="103"/>
    </row>
    <row r="686" customFormat="false" ht="15" hidden="false" customHeight="false" outlineLevel="0" collapsed="false">
      <c r="A686" s="102"/>
      <c r="B686" s="103"/>
      <c r="C686" s="103"/>
      <c r="D686" s="104"/>
      <c r="E686" s="105"/>
      <c r="F686" s="103"/>
    </row>
    <row r="687" customFormat="false" ht="15" hidden="false" customHeight="false" outlineLevel="0" collapsed="false">
      <c r="A687" s="102"/>
      <c r="B687" s="103"/>
      <c r="C687" s="103"/>
      <c r="D687" s="104"/>
      <c r="E687" s="105"/>
      <c r="F687" s="103"/>
    </row>
    <row r="688" customFormat="false" ht="15" hidden="false" customHeight="false" outlineLevel="0" collapsed="false">
      <c r="A688" s="102"/>
      <c r="B688" s="103"/>
      <c r="C688" s="103"/>
      <c r="D688" s="104"/>
      <c r="E688" s="105"/>
      <c r="F688" s="103"/>
    </row>
    <row r="689" customFormat="false" ht="15" hidden="false" customHeight="false" outlineLevel="0" collapsed="false">
      <c r="A689" s="102"/>
      <c r="B689" s="103"/>
      <c r="C689" s="103"/>
      <c r="D689" s="104"/>
      <c r="E689" s="105"/>
      <c r="F689" s="103"/>
    </row>
    <row r="690" customFormat="false" ht="15" hidden="false" customHeight="false" outlineLevel="0" collapsed="false">
      <c r="A690" s="102"/>
      <c r="B690" s="103"/>
      <c r="C690" s="103"/>
      <c r="D690" s="104"/>
      <c r="E690" s="105"/>
      <c r="F690" s="103"/>
    </row>
    <row r="691" customFormat="false" ht="15" hidden="false" customHeight="false" outlineLevel="0" collapsed="false">
      <c r="A691" s="102"/>
      <c r="B691" s="103"/>
      <c r="C691" s="103"/>
      <c r="D691" s="104"/>
      <c r="E691" s="105"/>
      <c r="F691" s="103"/>
    </row>
    <row r="692" customFormat="false" ht="15" hidden="false" customHeight="false" outlineLevel="0" collapsed="false">
      <c r="A692" s="102"/>
      <c r="B692" s="103"/>
      <c r="C692" s="103"/>
      <c r="D692" s="104"/>
      <c r="E692" s="105"/>
      <c r="F692" s="103"/>
    </row>
    <row r="693" customFormat="false" ht="15" hidden="false" customHeight="false" outlineLevel="0" collapsed="false">
      <c r="A693" s="102"/>
      <c r="B693" s="103"/>
      <c r="C693" s="103"/>
      <c r="D693" s="104"/>
      <c r="E693" s="105"/>
      <c r="F693" s="103"/>
    </row>
    <row r="694" customFormat="false" ht="15" hidden="false" customHeight="false" outlineLevel="0" collapsed="false">
      <c r="A694" s="102"/>
      <c r="B694" s="103"/>
      <c r="C694" s="103"/>
      <c r="D694" s="104"/>
      <c r="E694" s="105"/>
      <c r="F694" s="103"/>
    </row>
    <row r="695" customFormat="false" ht="15" hidden="false" customHeight="false" outlineLevel="0" collapsed="false">
      <c r="A695" s="102"/>
      <c r="B695" s="103"/>
      <c r="C695" s="103"/>
      <c r="D695" s="104"/>
      <c r="E695" s="105"/>
      <c r="F695" s="103"/>
    </row>
    <row r="696" customFormat="false" ht="15" hidden="false" customHeight="false" outlineLevel="0" collapsed="false">
      <c r="A696" s="102"/>
      <c r="B696" s="103"/>
      <c r="C696" s="103"/>
      <c r="D696" s="104"/>
      <c r="E696" s="105"/>
      <c r="F696" s="103"/>
    </row>
    <row r="697" customFormat="false" ht="15" hidden="false" customHeight="false" outlineLevel="0" collapsed="false">
      <c r="A697" s="102"/>
      <c r="B697" s="103"/>
      <c r="C697" s="103"/>
      <c r="D697" s="104"/>
      <c r="E697" s="105"/>
      <c r="F697" s="103"/>
    </row>
    <row r="698" customFormat="false" ht="15" hidden="false" customHeight="false" outlineLevel="0" collapsed="false">
      <c r="A698" s="102"/>
      <c r="B698" s="103"/>
      <c r="C698" s="103"/>
      <c r="D698" s="104"/>
      <c r="E698" s="105"/>
      <c r="F698" s="103"/>
    </row>
    <row r="699" customFormat="false" ht="15" hidden="false" customHeight="false" outlineLevel="0" collapsed="false">
      <c r="A699" s="102"/>
      <c r="B699" s="103"/>
      <c r="C699" s="103"/>
      <c r="D699" s="104"/>
      <c r="E699" s="105"/>
      <c r="F699" s="103"/>
    </row>
    <row r="700" customFormat="false" ht="15" hidden="false" customHeight="false" outlineLevel="0" collapsed="false">
      <c r="A700" s="102"/>
      <c r="B700" s="103"/>
      <c r="C700" s="103"/>
      <c r="D700" s="104"/>
      <c r="E700" s="105"/>
      <c r="F700" s="103"/>
    </row>
    <row r="701" customFormat="false" ht="15" hidden="false" customHeight="false" outlineLevel="0" collapsed="false">
      <c r="A701" s="102"/>
      <c r="B701" s="103"/>
      <c r="C701" s="103"/>
      <c r="D701" s="104"/>
      <c r="E701" s="105"/>
      <c r="F701" s="103"/>
    </row>
    <row r="702" customFormat="false" ht="15" hidden="false" customHeight="false" outlineLevel="0" collapsed="false">
      <c r="A702" s="102"/>
      <c r="B702" s="103"/>
      <c r="C702" s="103"/>
      <c r="D702" s="104"/>
      <c r="E702" s="105"/>
      <c r="F702" s="103"/>
    </row>
    <row r="703" customFormat="false" ht="15" hidden="false" customHeight="false" outlineLevel="0" collapsed="false">
      <c r="A703" s="102"/>
      <c r="B703" s="103"/>
      <c r="C703" s="103"/>
      <c r="D703" s="104"/>
      <c r="E703" s="105"/>
      <c r="F703" s="103"/>
    </row>
    <row r="704" customFormat="false" ht="15" hidden="false" customHeight="false" outlineLevel="0" collapsed="false">
      <c r="A704" s="102"/>
      <c r="B704" s="103"/>
      <c r="C704" s="103"/>
      <c r="D704" s="104"/>
      <c r="E704" s="105"/>
      <c r="F704" s="103"/>
    </row>
    <row r="705" customFormat="false" ht="15" hidden="false" customHeight="false" outlineLevel="0" collapsed="false">
      <c r="A705" s="102"/>
      <c r="B705" s="103"/>
      <c r="C705" s="103"/>
      <c r="D705" s="104"/>
      <c r="E705" s="105"/>
      <c r="F705" s="103"/>
    </row>
    <row r="706" customFormat="false" ht="15" hidden="false" customHeight="false" outlineLevel="0" collapsed="false">
      <c r="A706" s="102"/>
      <c r="B706" s="103"/>
      <c r="C706" s="103"/>
      <c r="D706" s="104"/>
      <c r="E706" s="105"/>
      <c r="F706" s="103"/>
    </row>
    <row r="707" customFormat="false" ht="15" hidden="false" customHeight="false" outlineLevel="0" collapsed="false">
      <c r="A707" s="102"/>
      <c r="B707" s="103"/>
      <c r="C707" s="103"/>
      <c r="D707" s="104"/>
      <c r="E707" s="105"/>
      <c r="F707" s="103"/>
    </row>
    <row r="708" customFormat="false" ht="15" hidden="false" customHeight="false" outlineLevel="0" collapsed="false">
      <c r="A708" s="102"/>
      <c r="B708" s="103"/>
      <c r="C708" s="103"/>
      <c r="D708" s="104"/>
      <c r="E708" s="105"/>
      <c r="F708" s="103"/>
    </row>
    <row r="709" customFormat="false" ht="15" hidden="false" customHeight="false" outlineLevel="0" collapsed="false">
      <c r="A709" s="102"/>
      <c r="B709" s="103"/>
      <c r="C709" s="103"/>
      <c r="D709" s="104"/>
      <c r="E709" s="105"/>
      <c r="F709" s="103"/>
    </row>
    <row r="710" customFormat="false" ht="15" hidden="false" customHeight="false" outlineLevel="0" collapsed="false">
      <c r="A710" s="102"/>
      <c r="B710" s="103"/>
      <c r="C710" s="103"/>
      <c r="D710" s="104"/>
      <c r="E710" s="105"/>
      <c r="F710" s="103"/>
    </row>
    <row r="711" customFormat="false" ht="15" hidden="false" customHeight="false" outlineLevel="0" collapsed="false">
      <c r="A711" s="102"/>
      <c r="B711" s="103"/>
      <c r="C711" s="103"/>
      <c r="D711" s="104"/>
      <c r="E711" s="105"/>
      <c r="F711" s="103"/>
    </row>
    <row r="712" customFormat="false" ht="15" hidden="false" customHeight="false" outlineLevel="0" collapsed="false">
      <c r="A712" s="102"/>
      <c r="B712" s="103"/>
      <c r="C712" s="103"/>
      <c r="D712" s="104"/>
      <c r="E712" s="105"/>
      <c r="F712" s="103"/>
    </row>
    <row r="713" customFormat="false" ht="15" hidden="false" customHeight="false" outlineLevel="0" collapsed="false">
      <c r="A713" s="102"/>
      <c r="B713" s="103"/>
      <c r="C713" s="103"/>
      <c r="D713" s="104"/>
      <c r="E713" s="105"/>
      <c r="F713" s="103"/>
    </row>
    <row r="714" customFormat="false" ht="15" hidden="false" customHeight="false" outlineLevel="0" collapsed="false">
      <c r="A714" s="102"/>
      <c r="B714" s="103"/>
      <c r="C714" s="103"/>
      <c r="D714" s="104"/>
      <c r="E714" s="105"/>
      <c r="F714" s="103"/>
    </row>
    <row r="715" customFormat="false" ht="15" hidden="false" customHeight="false" outlineLevel="0" collapsed="false">
      <c r="A715" s="102"/>
      <c r="B715" s="103"/>
      <c r="C715" s="103"/>
      <c r="D715" s="104"/>
      <c r="E715" s="105"/>
      <c r="F715" s="103"/>
    </row>
    <row r="716" customFormat="false" ht="15" hidden="false" customHeight="false" outlineLevel="0" collapsed="false">
      <c r="A716" s="102"/>
      <c r="B716" s="103"/>
      <c r="C716" s="103"/>
      <c r="D716" s="104"/>
      <c r="E716" s="105"/>
      <c r="F716" s="103"/>
    </row>
    <row r="717" customFormat="false" ht="15" hidden="false" customHeight="false" outlineLevel="0" collapsed="false">
      <c r="A717" s="102"/>
      <c r="B717" s="103"/>
      <c r="C717" s="103"/>
      <c r="D717" s="104"/>
      <c r="E717" s="105"/>
      <c r="F717" s="103"/>
    </row>
    <row r="718" customFormat="false" ht="15" hidden="false" customHeight="false" outlineLevel="0" collapsed="false">
      <c r="A718" s="102"/>
      <c r="B718" s="103"/>
      <c r="C718" s="103"/>
      <c r="D718" s="104"/>
      <c r="E718" s="105"/>
      <c r="F718" s="103"/>
    </row>
    <row r="719" customFormat="false" ht="15" hidden="false" customHeight="false" outlineLevel="0" collapsed="false">
      <c r="A719" s="102"/>
      <c r="B719" s="103"/>
      <c r="C719" s="103"/>
      <c r="D719" s="104"/>
      <c r="E719" s="105"/>
      <c r="F719" s="103"/>
    </row>
    <row r="720" customFormat="false" ht="15" hidden="false" customHeight="false" outlineLevel="0" collapsed="false">
      <c r="A720" s="102"/>
      <c r="B720" s="103"/>
      <c r="C720" s="103"/>
      <c r="D720" s="104"/>
      <c r="E720" s="105"/>
      <c r="F720" s="103"/>
    </row>
    <row r="721" customFormat="false" ht="15" hidden="false" customHeight="false" outlineLevel="0" collapsed="false">
      <c r="A721" s="102"/>
      <c r="B721" s="103"/>
      <c r="C721" s="103"/>
      <c r="D721" s="104"/>
      <c r="E721" s="105"/>
      <c r="F721" s="103"/>
    </row>
    <row r="722" customFormat="false" ht="15" hidden="false" customHeight="false" outlineLevel="0" collapsed="false">
      <c r="A722" s="102"/>
      <c r="B722" s="103"/>
      <c r="C722" s="103"/>
      <c r="D722" s="104"/>
      <c r="E722" s="105"/>
      <c r="F722" s="103"/>
    </row>
    <row r="723" customFormat="false" ht="15" hidden="false" customHeight="false" outlineLevel="0" collapsed="false">
      <c r="A723" s="102"/>
      <c r="B723" s="103"/>
      <c r="C723" s="103"/>
      <c r="D723" s="104"/>
      <c r="E723" s="105"/>
      <c r="F723" s="103"/>
    </row>
    <row r="724" customFormat="false" ht="15" hidden="false" customHeight="false" outlineLevel="0" collapsed="false">
      <c r="A724" s="102"/>
      <c r="B724" s="103"/>
      <c r="C724" s="103"/>
      <c r="D724" s="104"/>
      <c r="E724" s="105"/>
      <c r="F724" s="103"/>
    </row>
    <row r="725" customFormat="false" ht="15" hidden="false" customHeight="false" outlineLevel="0" collapsed="false">
      <c r="A725" s="102"/>
      <c r="B725" s="103"/>
      <c r="C725" s="103"/>
      <c r="D725" s="104"/>
      <c r="E725" s="105"/>
      <c r="F725" s="103"/>
    </row>
    <row r="726" customFormat="false" ht="15" hidden="false" customHeight="false" outlineLevel="0" collapsed="false">
      <c r="A726" s="102"/>
      <c r="B726" s="103"/>
      <c r="C726" s="103"/>
      <c r="D726" s="104"/>
      <c r="E726" s="105"/>
      <c r="F726" s="103"/>
    </row>
    <row r="727" customFormat="false" ht="15" hidden="false" customHeight="false" outlineLevel="0" collapsed="false">
      <c r="A727" s="102"/>
      <c r="B727" s="103"/>
      <c r="C727" s="103"/>
      <c r="D727" s="104"/>
      <c r="E727" s="105"/>
      <c r="F727" s="103"/>
    </row>
    <row r="728" customFormat="false" ht="15" hidden="false" customHeight="false" outlineLevel="0" collapsed="false">
      <c r="A728" s="102"/>
      <c r="B728" s="103"/>
      <c r="C728" s="103"/>
      <c r="D728" s="104"/>
      <c r="E728" s="105"/>
      <c r="F728" s="103"/>
    </row>
    <row r="729" customFormat="false" ht="15" hidden="false" customHeight="false" outlineLevel="0" collapsed="false">
      <c r="A729" s="102"/>
      <c r="B729" s="103"/>
      <c r="C729" s="103"/>
      <c r="D729" s="104"/>
      <c r="E729" s="105"/>
      <c r="F729" s="103"/>
    </row>
    <row r="730" customFormat="false" ht="15" hidden="false" customHeight="false" outlineLevel="0" collapsed="false">
      <c r="A730" s="102"/>
      <c r="B730" s="103"/>
      <c r="C730" s="103"/>
      <c r="D730" s="104"/>
      <c r="E730" s="105"/>
      <c r="F730" s="103"/>
    </row>
    <row r="731" customFormat="false" ht="15" hidden="false" customHeight="false" outlineLevel="0" collapsed="false">
      <c r="A731" s="102"/>
      <c r="B731" s="103"/>
      <c r="C731" s="103"/>
      <c r="D731" s="104"/>
      <c r="E731" s="105"/>
      <c r="F731" s="103"/>
    </row>
    <row r="732" customFormat="false" ht="15" hidden="false" customHeight="false" outlineLevel="0" collapsed="false">
      <c r="A732" s="102"/>
      <c r="B732" s="103"/>
      <c r="C732" s="103"/>
      <c r="D732" s="104"/>
      <c r="E732" s="105"/>
      <c r="F732" s="103"/>
    </row>
    <row r="733" customFormat="false" ht="15" hidden="false" customHeight="false" outlineLevel="0" collapsed="false">
      <c r="A733" s="102"/>
      <c r="B733" s="103"/>
      <c r="C733" s="103"/>
      <c r="D733" s="104"/>
      <c r="E733" s="105"/>
      <c r="F733" s="103"/>
    </row>
    <row r="734" customFormat="false" ht="15" hidden="false" customHeight="false" outlineLevel="0" collapsed="false">
      <c r="A734" s="102"/>
      <c r="B734" s="103"/>
      <c r="C734" s="103"/>
      <c r="D734" s="104"/>
      <c r="E734" s="105"/>
      <c r="F734" s="103"/>
    </row>
    <row r="735" customFormat="false" ht="15" hidden="false" customHeight="false" outlineLevel="0" collapsed="false">
      <c r="A735" s="102"/>
      <c r="B735" s="103"/>
      <c r="C735" s="103"/>
      <c r="D735" s="104"/>
      <c r="E735" s="105"/>
      <c r="F735" s="103"/>
    </row>
    <row r="736" customFormat="false" ht="15" hidden="false" customHeight="false" outlineLevel="0" collapsed="false">
      <c r="A736" s="102"/>
      <c r="B736" s="103"/>
      <c r="C736" s="103"/>
      <c r="D736" s="104"/>
      <c r="E736" s="105"/>
      <c r="F736" s="103"/>
    </row>
    <row r="737" customFormat="false" ht="15" hidden="false" customHeight="false" outlineLevel="0" collapsed="false">
      <c r="A737" s="102"/>
      <c r="B737" s="103"/>
      <c r="C737" s="103"/>
      <c r="D737" s="104"/>
      <c r="E737" s="105"/>
      <c r="F737" s="103"/>
    </row>
    <row r="738" customFormat="false" ht="15" hidden="false" customHeight="false" outlineLevel="0" collapsed="false">
      <c r="A738" s="102"/>
      <c r="B738" s="103"/>
      <c r="C738" s="103"/>
      <c r="D738" s="104"/>
      <c r="E738" s="105"/>
      <c r="F738" s="103"/>
    </row>
    <row r="739" customFormat="false" ht="15" hidden="false" customHeight="false" outlineLevel="0" collapsed="false">
      <c r="A739" s="102"/>
      <c r="B739" s="103"/>
      <c r="C739" s="103"/>
      <c r="D739" s="104"/>
      <c r="E739" s="105"/>
      <c r="F739" s="103"/>
    </row>
    <row r="740" customFormat="false" ht="15" hidden="false" customHeight="false" outlineLevel="0" collapsed="false">
      <c r="A740" s="102"/>
      <c r="B740" s="103"/>
      <c r="C740" s="103"/>
      <c r="D740" s="104"/>
      <c r="E740" s="105"/>
      <c r="F740" s="103"/>
    </row>
    <row r="741" customFormat="false" ht="15" hidden="false" customHeight="false" outlineLevel="0" collapsed="false">
      <c r="A741" s="102"/>
      <c r="B741" s="103"/>
      <c r="C741" s="103"/>
      <c r="D741" s="104"/>
      <c r="E741" s="105"/>
      <c r="F741" s="103"/>
    </row>
    <row r="742" customFormat="false" ht="15" hidden="false" customHeight="false" outlineLevel="0" collapsed="false">
      <c r="A742" s="102"/>
      <c r="B742" s="103"/>
      <c r="C742" s="103"/>
      <c r="D742" s="104"/>
      <c r="E742" s="105"/>
      <c r="F742" s="103"/>
    </row>
    <row r="743" customFormat="false" ht="15" hidden="false" customHeight="false" outlineLevel="0" collapsed="false">
      <c r="A743" s="102"/>
      <c r="B743" s="103"/>
      <c r="C743" s="103"/>
      <c r="D743" s="104"/>
      <c r="E743" s="105"/>
      <c r="F743" s="103"/>
    </row>
    <row r="744" customFormat="false" ht="15" hidden="false" customHeight="false" outlineLevel="0" collapsed="false">
      <c r="A744" s="102"/>
      <c r="B744" s="103"/>
      <c r="C744" s="103"/>
      <c r="D744" s="104"/>
      <c r="E744" s="105"/>
      <c r="F744" s="103"/>
    </row>
    <row r="745" customFormat="false" ht="15" hidden="false" customHeight="false" outlineLevel="0" collapsed="false">
      <c r="A745" s="102"/>
      <c r="B745" s="103"/>
      <c r="C745" s="103"/>
      <c r="D745" s="104"/>
      <c r="E745" s="105"/>
      <c r="F745" s="103"/>
    </row>
    <row r="746" customFormat="false" ht="15" hidden="false" customHeight="false" outlineLevel="0" collapsed="false">
      <c r="A746" s="102"/>
      <c r="B746" s="103"/>
      <c r="C746" s="103"/>
      <c r="D746" s="104"/>
      <c r="E746" s="105"/>
      <c r="F746" s="103"/>
    </row>
    <row r="747" customFormat="false" ht="15" hidden="false" customHeight="false" outlineLevel="0" collapsed="false">
      <c r="A747" s="102"/>
      <c r="B747" s="103"/>
      <c r="C747" s="103"/>
      <c r="D747" s="104"/>
      <c r="E747" s="105"/>
      <c r="F747" s="103"/>
    </row>
    <row r="748" customFormat="false" ht="15" hidden="false" customHeight="false" outlineLevel="0" collapsed="false">
      <c r="A748" s="102"/>
      <c r="B748" s="103"/>
      <c r="C748" s="103"/>
      <c r="D748" s="104"/>
      <c r="E748" s="105"/>
      <c r="F748" s="103"/>
    </row>
    <row r="749" customFormat="false" ht="15" hidden="false" customHeight="false" outlineLevel="0" collapsed="false">
      <c r="A749" s="102"/>
      <c r="B749" s="103"/>
      <c r="C749" s="103"/>
      <c r="D749" s="104"/>
      <c r="E749" s="105"/>
      <c r="F749" s="103"/>
    </row>
    <row r="750" customFormat="false" ht="15" hidden="false" customHeight="false" outlineLevel="0" collapsed="false">
      <c r="A750" s="102"/>
      <c r="B750" s="103"/>
      <c r="C750" s="103"/>
      <c r="D750" s="104"/>
      <c r="E750" s="105"/>
      <c r="F750" s="103"/>
    </row>
    <row r="751" customFormat="false" ht="15" hidden="false" customHeight="false" outlineLevel="0" collapsed="false">
      <c r="A751" s="102"/>
      <c r="B751" s="103"/>
      <c r="C751" s="103"/>
      <c r="D751" s="104"/>
      <c r="E751" s="105"/>
      <c r="F751" s="103"/>
    </row>
    <row r="752" customFormat="false" ht="15" hidden="false" customHeight="false" outlineLevel="0" collapsed="false">
      <c r="A752" s="102"/>
      <c r="B752" s="103"/>
      <c r="C752" s="103"/>
      <c r="D752" s="104"/>
      <c r="E752" s="105"/>
      <c r="F752" s="103"/>
    </row>
    <row r="753" customFormat="false" ht="15" hidden="false" customHeight="false" outlineLevel="0" collapsed="false">
      <c r="A753" s="102"/>
      <c r="B753" s="103"/>
      <c r="C753" s="103"/>
      <c r="D753" s="104"/>
      <c r="E753" s="105"/>
      <c r="F753" s="103"/>
    </row>
    <row r="754" customFormat="false" ht="15" hidden="false" customHeight="false" outlineLevel="0" collapsed="false">
      <c r="A754" s="102"/>
      <c r="B754" s="103"/>
      <c r="C754" s="103"/>
      <c r="D754" s="104"/>
      <c r="E754" s="105"/>
      <c r="F754" s="103"/>
    </row>
    <row r="755" customFormat="false" ht="15" hidden="false" customHeight="false" outlineLevel="0" collapsed="false">
      <c r="A755" s="102"/>
      <c r="B755" s="103"/>
      <c r="C755" s="103"/>
      <c r="D755" s="104"/>
      <c r="E755" s="105"/>
      <c r="F755" s="103"/>
    </row>
    <row r="756" customFormat="false" ht="15" hidden="false" customHeight="false" outlineLevel="0" collapsed="false">
      <c r="A756" s="102"/>
      <c r="B756" s="103"/>
      <c r="C756" s="103"/>
      <c r="D756" s="104"/>
      <c r="E756" s="105"/>
      <c r="F756" s="103"/>
    </row>
    <row r="757" customFormat="false" ht="15" hidden="false" customHeight="false" outlineLevel="0" collapsed="false">
      <c r="A757" s="102"/>
      <c r="B757" s="103"/>
      <c r="C757" s="103"/>
      <c r="D757" s="104"/>
      <c r="E757" s="105"/>
      <c r="F757" s="103"/>
    </row>
    <row r="758" customFormat="false" ht="15" hidden="false" customHeight="false" outlineLevel="0" collapsed="false">
      <c r="A758" s="102"/>
      <c r="B758" s="103"/>
      <c r="C758" s="103"/>
      <c r="D758" s="104"/>
      <c r="E758" s="105"/>
      <c r="F758" s="103"/>
    </row>
    <row r="759" customFormat="false" ht="15" hidden="false" customHeight="false" outlineLevel="0" collapsed="false">
      <c r="A759" s="102"/>
      <c r="B759" s="103"/>
      <c r="C759" s="103"/>
      <c r="D759" s="104"/>
      <c r="E759" s="105"/>
      <c r="F759" s="103"/>
    </row>
    <row r="760" customFormat="false" ht="15" hidden="false" customHeight="false" outlineLevel="0" collapsed="false">
      <c r="A760" s="102"/>
      <c r="B760" s="103"/>
      <c r="C760" s="103"/>
      <c r="D760" s="104"/>
      <c r="E760" s="105"/>
      <c r="F760" s="103"/>
    </row>
    <row r="761" customFormat="false" ht="15" hidden="false" customHeight="false" outlineLevel="0" collapsed="false">
      <c r="A761" s="102"/>
      <c r="B761" s="103"/>
      <c r="C761" s="103"/>
      <c r="D761" s="104"/>
      <c r="E761" s="105"/>
      <c r="F761" s="103"/>
    </row>
    <row r="762" customFormat="false" ht="15" hidden="false" customHeight="false" outlineLevel="0" collapsed="false">
      <c r="A762" s="102"/>
      <c r="B762" s="103"/>
      <c r="C762" s="103"/>
      <c r="D762" s="104"/>
      <c r="E762" s="105"/>
      <c r="F762" s="103"/>
    </row>
    <row r="763" customFormat="false" ht="15" hidden="false" customHeight="false" outlineLevel="0" collapsed="false">
      <c r="A763" s="102"/>
      <c r="B763" s="103"/>
      <c r="C763" s="103"/>
      <c r="D763" s="104"/>
      <c r="E763" s="105"/>
      <c r="F763" s="103"/>
    </row>
    <row r="764" customFormat="false" ht="15" hidden="false" customHeight="false" outlineLevel="0" collapsed="false">
      <c r="A764" s="102"/>
      <c r="B764" s="103"/>
      <c r="C764" s="103"/>
      <c r="D764" s="104"/>
      <c r="E764" s="105"/>
      <c r="F764" s="103"/>
    </row>
    <row r="765" customFormat="false" ht="15" hidden="false" customHeight="false" outlineLevel="0" collapsed="false">
      <c r="A765" s="102"/>
      <c r="B765" s="103"/>
      <c r="C765" s="103"/>
      <c r="D765" s="104"/>
      <c r="E765" s="105"/>
      <c r="F765" s="103"/>
    </row>
    <row r="766" customFormat="false" ht="15" hidden="false" customHeight="false" outlineLevel="0" collapsed="false">
      <c r="A766" s="102"/>
      <c r="B766" s="103"/>
      <c r="C766" s="103"/>
      <c r="D766" s="104"/>
      <c r="E766" s="105"/>
      <c r="F766" s="103"/>
    </row>
    <row r="767" customFormat="false" ht="15" hidden="false" customHeight="false" outlineLevel="0" collapsed="false">
      <c r="A767" s="102"/>
      <c r="B767" s="103"/>
      <c r="C767" s="103"/>
      <c r="D767" s="104"/>
      <c r="E767" s="105"/>
      <c r="F767" s="103"/>
    </row>
    <row r="768" customFormat="false" ht="15" hidden="false" customHeight="false" outlineLevel="0" collapsed="false">
      <c r="A768" s="102"/>
      <c r="B768" s="103"/>
      <c r="C768" s="103"/>
      <c r="D768" s="104"/>
      <c r="E768" s="105"/>
      <c r="F768" s="103"/>
    </row>
    <row r="769" customFormat="false" ht="15" hidden="false" customHeight="false" outlineLevel="0" collapsed="false">
      <c r="A769" s="102"/>
      <c r="B769" s="103"/>
      <c r="C769" s="103"/>
      <c r="D769" s="104"/>
      <c r="E769" s="105"/>
      <c r="F769" s="103"/>
    </row>
    <row r="770" customFormat="false" ht="15" hidden="false" customHeight="false" outlineLevel="0" collapsed="false">
      <c r="A770" s="102"/>
      <c r="B770" s="103"/>
      <c r="C770" s="103"/>
      <c r="D770" s="104"/>
      <c r="E770" s="105"/>
      <c r="F770" s="103"/>
    </row>
    <row r="771" customFormat="false" ht="15" hidden="false" customHeight="false" outlineLevel="0" collapsed="false">
      <c r="A771" s="102"/>
      <c r="B771" s="103"/>
      <c r="C771" s="103"/>
      <c r="D771" s="104"/>
      <c r="E771" s="105"/>
      <c r="F771" s="103"/>
    </row>
    <row r="772" customFormat="false" ht="15" hidden="false" customHeight="false" outlineLevel="0" collapsed="false">
      <c r="A772" s="102"/>
      <c r="B772" s="103"/>
      <c r="C772" s="103"/>
      <c r="D772" s="104"/>
      <c r="E772" s="105"/>
      <c r="F772" s="103"/>
    </row>
    <row r="773" customFormat="false" ht="15" hidden="false" customHeight="false" outlineLevel="0" collapsed="false">
      <c r="A773" s="102"/>
      <c r="B773" s="103"/>
      <c r="C773" s="103"/>
      <c r="D773" s="104"/>
      <c r="E773" s="105"/>
      <c r="F773" s="103"/>
    </row>
    <row r="774" customFormat="false" ht="15" hidden="false" customHeight="false" outlineLevel="0" collapsed="false">
      <c r="A774" s="102"/>
      <c r="B774" s="103"/>
      <c r="C774" s="103"/>
      <c r="D774" s="104"/>
      <c r="E774" s="105"/>
      <c r="F774" s="103"/>
    </row>
    <row r="775" customFormat="false" ht="15" hidden="false" customHeight="false" outlineLevel="0" collapsed="false">
      <c r="A775" s="102"/>
      <c r="B775" s="103"/>
      <c r="C775" s="103"/>
      <c r="D775" s="104"/>
      <c r="E775" s="105"/>
      <c r="F775" s="103"/>
    </row>
    <row r="776" customFormat="false" ht="15" hidden="false" customHeight="false" outlineLevel="0" collapsed="false">
      <c r="A776" s="102"/>
      <c r="B776" s="103"/>
      <c r="C776" s="103"/>
      <c r="D776" s="104"/>
      <c r="E776" s="105"/>
      <c r="F776" s="103"/>
    </row>
    <row r="777" customFormat="false" ht="15" hidden="false" customHeight="false" outlineLevel="0" collapsed="false">
      <c r="A777" s="102"/>
      <c r="B777" s="103"/>
      <c r="C777" s="103"/>
      <c r="D777" s="104"/>
      <c r="E777" s="105"/>
      <c r="F777" s="103"/>
    </row>
    <row r="778" customFormat="false" ht="15" hidden="false" customHeight="false" outlineLevel="0" collapsed="false">
      <c r="A778" s="102"/>
      <c r="B778" s="103"/>
      <c r="C778" s="103"/>
      <c r="D778" s="104"/>
      <c r="E778" s="105"/>
      <c r="F778" s="103"/>
    </row>
    <row r="779" customFormat="false" ht="15" hidden="false" customHeight="false" outlineLevel="0" collapsed="false">
      <c r="A779" s="102"/>
      <c r="B779" s="103"/>
      <c r="C779" s="103"/>
      <c r="D779" s="104"/>
      <c r="E779" s="105"/>
      <c r="F779" s="103"/>
    </row>
    <row r="780" customFormat="false" ht="15" hidden="false" customHeight="false" outlineLevel="0" collapsed="false">
      <c r="A780" s="102"/>
      <c r="B780" s="103"/>
      <c r="C780" s="103"/>
      <c r="D780" s="104"/>
      <c r="E780" s="105"/>
      <c r="F780" s="103"/>
    </row>
    <row r="781" customFormat="false" ht="15" hidden="false" customHeight="false" outlineLevel="0" collapsed="false">
      <c r="A781" s="102"/>
      <c r="B781" s="103"/>
      <c r="C781" s="103"/>
      <c r="D781" s="104"/>
      <c r="E781" s="105"/>
      <c r="F781" s="103"/>
    </row>
    <row r="782" customFormat="false" ht="15" hidden="false" customHeight="false" outlineLevel="0" collapsed="false">
      <c r="A782" s="102"/>
      <c r="B782" s="103"/>
      <c r="C782" s="103"/>
      <c r="D782" s="104"/>
      <c r="E782" s="105"/>
      <c r="F782" s="103"/>
    </row>
    <row r="783" customFormat="false" ht="15" hidden="false" customHeight="false" outlineLevel="0" collapsed="false">
      <c r="A783" s="102"/>
      <c r="B783" s="103"/>
      <c r="C783" s="103"/>
      <c r="D783" s="104"/>
      <c r="E783" s="105"/>
      <c r="F783" s="103"/>
    </row>
    <row r="784" customFormat="false" ht="15" hidden="false" customHeight="false" outlineLevel="0" collapsed="false">
      <c r="A784" s="102"/>
      <c r="B784" s="103"/>
      <c r="C784" s="103"/>
      <c r="D784" s="104"/>
      <c r="E784" s="105"/>
      <c r="F784" s="103"/>
    </row>
    <row r="785" customFormat="false" ht="15" hidden="false" customHeight="false" outlineLevel="0" collapsed="false">
      <c r="A785" s="102"/>
      <c r="B785" s="103"/>
      <c r="C785" s="103"/>
      <c r="D785" s="104"/>
      <c r="E785" s="105"/>
      <c r="F785" s="103"/>
    </row>
    <row r="786" customFormat="false" ht="15" hidden="false" customHeight="false" outlineLevel="0" collapsed="false">
      <c r="A786" s="102"/>
      <c r="B786" s="103"/>
      <c r="C786" s="103"/>
      <c r="D786" s="104"/>
      <c r="E786" s="105"/>
      <c r="F786" s="103"/>
    </row>
    <row r="787" customFormat="false" ht="15" hidden="false" customHeight="false" outlineLevel="0" collapsed="false">
      <c r="A787" s="102"/>
      <c r="B787" s="103"/>
      <c r="C787" s="103"/>
      <c r="D787" s="104"/>
      <c r="E787" s="105"/>
      <c r="F787" s="103"/>
    </row>
    <row r="788" customFormat="false" ht="15" hidden="false" customHeight="false" outlineLevel="0" collapsed="false">
      <c r="A788" s="102"/>
      <c r="B788" s="103"/>
      <c r="C788" s="103"/>
      <c r="D788" s="104"/>
      <c r="E788" s="105"/>
      <c r="F788" s="103"/>
    </row>
    <row r="789" customFormat="false" ht="15" hidden="false" customHeight="false" outlineLevel="0" collapsed="false">
      <c r="A789" s="102"/>
      <c r="B789" s="103"/>
      <c r="C789" s="103"/>
      <c r="D789" s="104"/>
      <c r="E789" s="105"/>
      <c r="F789" s="103"/>
    </row>
    <row r="790" customFormat="false" ht="15" hidden="false" customHeight="false" outlineLevel="0" collapsed="false">
      <c r="A790" s="102"/>
      <c r="B790" s="103"/>
      <c r="C790" s="103"/>
      <c r="D790" s="104"/>
      <c r="E790" s="105"/>
      <c r="F790" s="103"/>
    </row>
    <row r="791" customFormat="false" ht="15" hidden="false" customHeight="false" outlineLevel="0" collapsed="false">
      <c r="A791" s="102"/>
      <c r="B791" s="103"/>
      <c r="C791" s="103"/>
      <c r="D791" s="104"/>
      <c r="E791" s="105"/>
      <c r="F791" s="103"/>
    </row>
    <row r="792" customFormat="false" ht="15" hidden="false" customHeight="false" outlineLevel="0" collapsed="false">
      <c r="A792" s="102"/>
      <c r="B792" s="103"/>
      <c r="C792" s="103"/>
      <c r="D792" s="104"/>
      <c r="E792" s="105"/>
      <c r="F792" s="103"/>
    </row>
    <row r="793" customFormat="false" ht="15" hidden="false" customHeight="false" outlineLevel="0" collapsed="false">
      <c r="A793" s="102"/>
      <c r="B793" s="103"/>
      <c r="C793" s="103"/>
      <c r="D793" s="104"/>
      <c r="E793" s="105"/>
      <c r="F793" s="103"/>
    </row>
    <row r="794" customFormat="false" ht="15" hidden="false" customHeight="false" outlineLevel="0" collapsed="false">
      <c r="A794" s="102"/>
      <c r="B794" s="103"/>
      <c r="C794" s="103"/>
      <c r="D794" s="104"/>
      <c r="E794" s="105"/>
      <c r="F794" s="103"/>
    </row>
    <row r="795" customFormat="false" ht="15" hidden="false" customHeight="false" outlineLevel="0" collapsed="false">
      <c r="A795" s="102"/>
      <c r="B795" s="103"/>
      <c r="C795" s="103"/>
      <c r="D795" s="104"/>
      <c r="E795" s="105"/>
      <c r="F795" s="103"/>
    </row>
    <row r="796" customFormat="false" ht="15" hidden="false" customHeight="false" outlineLevel="0" collapsed="false">
      <c r="A796" s="102"/>
      <c r="B796" s="103"/>
      <c r="C796" s="103"/>
      <c r="D796" s="104"/>
      <c r="E796" s="105"/>
      <c r="F796" s="103"/>
    </row>
    <row r="797" customFormat="false" ht="15" hidden="false" customHeight="false" outlineLevel="0" collapsed="false">
      <c r="A797" s="102"/>
      <c r="B797" s="103"/>
      <c r="C797" s="103"/>
      <c r="D797" s="104"/>
      <c r="E797" s="105"/>
      <c r="F797" s="103"/>
    </row>
    <row r="798" customFormat="false" ht="15" hidden="false" customHeight="false" outlineLevel="0" collapsed="false">
      <c r="A798" s="102"/>
      <c r="B798" s="103"/>
      <c r="C798" s="103"/>
      <c r="D798" s="104"/>
      <c r="E798" s="105"/>
      <c r="F798" s="103"/>
    </row>
    <row r="799" customFormat="false" ht="15" hidden="false" customHeight="false" outlineLevel="0" collapsed="false">
      <c r="A799" s="102"/>
      <c r="B799" s="103"/>
      <c r="C799" s="103"/>
      <c r="D799" s="104"/>
      <c r="E799" s="105"/>
      <c r="F799" s="103"/>
    </row>
    <row r="800" customFormat="false" ht="15" hidden="false" customHeight="false" outlineLevel="0" collapsed="false">
      <c r="A800" s="102"/>
      <c r="B800" s="103"/>
      <c r="C800" s="103"/>
      <c r="D800" s="104"/>
      <c r="E800" s="105"/>
      <c r="F800" s="103"/>
    </row>
    <row r="801" customFormat="false" ht="15" hidden="false" customHeight="false" outlineLevel="0" collapsed="false">
      <c r="A801" s="102"/>
      <c r="B801" s="103"/>
      <c r="C801" s="103"/>
      <c r="D801" s="104"/>
      <c r="E801" s="105"/>
      <c r="F801" s="103"/>
    </row>
    <row r="802" customFormat="false" ht="15" hidden="false" customHeight="false" outlineLevel="0" collapsed="false">
      <c r="A802" s="102"/>
      <c r="B802" s="103"/>
      <c r="C802" s="103"/>
      <c r="D802" s="104"/>
      <c r="E802" s="105"/>
      <c r="F802" s="103"/>
    </row>
    <row r="803" customFormat="false" ht="15" hidden="false" customHeight="false" outlineLevel="0" collapsed="false">
      <c r="A803" s="102"/>
      <c r="B803" s="103"/>
      <c r="C803" s="103"/>
      <c r="D803" s="104"/>
      <c r="E803" s="105"/>
      <c r="F803" s="103"/>
    </row>
    <row r="804" customFormat="false" ht="15" hidden="false" customHeight="false" outlineLevel="0" collapsed="false">
      <c r="A804" s="102"/>
      <c r="B804" s="103"/>
      <c r="C804" s="103"/>
      <c r="D804" s="104"/>
      <c r="E804" s="105"/>
      <c r="F804" s="103"/>
    </row>
    <row r="805" customFormat="false" ht="15" hidden="false" customHeight="false" outlineLevel="0" collapsed="false">
      <c r="A805" s="102"/>
      <c r="B805" s="103"/>
      <c r="C805" s="103"/>
      <c r="D805" s="104"/>
      <c r="E805" s="105"/>
      <c r="F805" s="103"/>
    </row>
    <row r="806" customFormat="false" ht="15" hidden="false" customHeight="false" outlineLevel="0" collapsed="false">
      <c r="A806" s="102"/>
      <c r="B806" s="103"/>
      <c r="C806" s="103"/>
      <c r="D806" s="104"/>
      <c r="E806" s="105"/>
      <c r="F806" s="103"/>
    </row>
    <row r="807" customFormat="false" ht="15" hidden="false" customHeight="false" outlineLevel="0" collapsed="false">
      <c r="A807" s="102"/>
      <c r="B807" s="103"/>
      <c r="C807" s="103"/>
      <c r="D807" s="104"/>
      <c r="E807" s="105"/>
      <c r="F807" s="103"/>
    </row>
    <row r="808" customFormat="false" ht="15" hidden="false" customHeight="false" outlineLevel="0" collapsed="false">
      <c r="A808" s="102"/>
      <c r="B808" s="103"/>
      <c r="C808" s="103"/>
      <c r="D808" s="104"/>
      <c r="E808" s="105"/>
      <c r="F808" s="103"/>
    </row>
    <row r="809" customFormat="false" ht="15" hidden="false" customHeight="false" outlineLevel="0" collapsed="false">
      <c r="A809" s="102"/>
      <c r="B809" s="103"/>
      <c r="C809" s="103"/>
      <c r="D809" s="104"/>
      <c r="E809" s="105"/>
      <c r="F809" s="103"/>
    </row>
    <row r="810" customFormat="false" ht="15" hidden="false" customHeight="false" outlineLevel="0" collapsed="false">
      <c r="A810" s="102"/>
      <c r="B810" s="103"/>
      <c r="C810" s="103"/>
      <c r="D810" s="104"/>
      <c r="E810" s="105"/>
      <c r="F810" s="103"/>
    </row>
    <row r="811" customFormat="false" ht="15" hidden="false" customHeight="false" outlineLevel="0" collapsed="false">
      <c r="A811" s="102"/>
      <c r="B811" s="103"/>
      <c r="C811" s="103"/>
      <c r="D811" s="104"/>
      <c r="E811" s="105"/>
      <c r="F811" s="103"/>
    </row>
    <row r="812" customFormat="false" ht="15" hidden="false" customHeight="false" outlineLevel="0" collapsed="false">
      <c r="A812" s="102"/>
      <c r="B812" s="103"/>
      <c r="C812" s="103"/>
      <c r="D812" s="104"/>
      <c r="E812" s="105"/>
      <c r="F812" s="103"/>
    </row>
    <row r="813" customFormat="false" ht="15" hidden="false" customHeight="false" outlineLevel="0" collapsed="false">
      <c r="A813" s="102"/>
      <c r="B813" s="103"/>
      <c r="C813" s="103"/>
      <c r="D813" s="104"/>
      <c r="E813" s="105"/>
      <c r="F813" s="103"/>
    </row>
    <row r="814" customFormat="false" ht="15" hidden="false" customHeight="false" outlineLevel="0" collapsed="false">
      <c r="A814" s="102"/>
      <c r="B814" s="103"/>
      <c r="C814" s="103"/>
      <c r="D814" s="104"/>
      <c r="E814" s="105"/>
      <c r="F814" s="103"/>
    </row>
    <row r="815" customFormat="false" ht="15" hidden="false" customHeight="false" outlineLevel="0" collapsed="false">
      <c r="A815" s="102"/>
      <c r="B815" s="103"/>
      <c r="C815" s="103"/>
      <c r="D815" s="104"/>
      <c r="E815" s="105"/>
      <c r="F815" s="103"/>
    </row>
    <row r="816" customFormat="false" ht="15" hidden="false" customHeight="false" outlineLevel="0" collapsed="false">
      <c r="A816" s="102"/>
      <c r="B816" s="103"/>
      <c r="C816" s="103"/>
      <c r="D816" s="104"/>
      <c r="E816" s="105"/>
      <c r="F816" s="103"/>
    </row>
    <row r="817" customFormat="false" ht="15" hidden="false" customHeight="false" outlineLevel="0" collapsed="false">
      <c r="A817" s="102"/>
      <c r="B817" s="103"/>
      <c r="C817" s="103"/>
      <c r="D817" s="104"/>
      <c r="E817" s="105"/>
      <c r="F817" s="103"/>
    </row>
    <row r="818" customFormat="false" ht="15" hidden="false" customHeight="false" outlineLevel="0" collapsed="false">
      <c r="A818" s="102"/>
      <c r="B818" s="103"/>
      <c r="C818" s="103"/>
      <c r="D818" s="104"/>
      <c r="E818" s="105"/>
      <c r="F818" s="103"/>
    </row>
    <row r="819" customFormat="false" ht="15" hidden="false" customHeight="false" outlineLevel="0" collapsed="false">
      <c r="A819" s="102"/>
      <c r="B819" s="103"/>
      <c r="C819" s="103"/>
      <c r="D819" s="104"/>
      <c r="E819" s="105"/>
      <c r="F819" s="103"/>
    </row>
    <row r="820" customFormat="false" ht="15" hidden="false" customHeight="false" outlineLevel="0" collapsed="false">
      <c r="A820" s="102"/>
      <c r="B820" s="103"/>
      <c r="C820" s="103"/>
      <c r="D820" s="104"/>
      <c r="E820" s="105"/>
      <c r="F820" s="103"/>
    </row>
    <row r="821" customFormat="false" ht="15" hidden="false" customHeight="false" outlineLevel="0" collapsed="false">
      <c r="A821" s="102"/>
      <c r="B821" s="103"/>
      <c r="C821" s="103"/>
      <c r="D821" s="104"/>
      <c r="E821" s="105"/>
      <c r="F821" s="103"/>
    </row>
    <row r="822" customFormat="false" ht="15" hidden="false" customHeight="false" outlineLevel="0" collapsed="false">
      <c r="A822" s="102"/>
      <c r="B822" s="103"/>
      <c r="C822" s="103"/>
      <c r="D822" s="104"/>
      <c r="E822" s="105"/>
      <c r="F822" s="103"/>
    </row>
    <row r="823" customFormat="false" ht="15" hidden="false" customHeight="false" outlineLevel="0" collapsed="false">
      <c r="A823" s="102"/>
      <c r="B823" s="103"/>
      <c r="C823" s="103"/>
      <c r="D823" s="104"/>
      <c r="E823" s="105"/>
      <c r="F823" s="103"/>
    </row>
    <row r="824" customFormat="false" ht="15" hidden="false" customHeight="false" outlineLevel="0" collapsed="false">
      <c r="A824" s="102"/>
      <c r="B824" s="103"/>
      <c r="C824" s="103"/>
      <c r="D824" s="104"/>
      <c r="E824" s="105"/>
      <c r="F824" s="103"/>
    </row>
    <row r="825" customFormat="false" ht="15" hidden="false" customHeight="false" outlineLevel="0" collapsed="false">
      <c r="A825" s="102"/>
      <c r="B825" s="103"/>
      <c r="C825" s="103"/>
      <c r="D825" s="104"/>
      <c r="E825" s="105"/>
      <c r="F825" s="103"/>
    </row>
    <row r="826" customFormat="false" ht="15" hidden="false" customHeight="false" outlineLevel="0" collapsed="false">
      <c r="A826" s="102"/>
      <c r="B826" s="103"/>
      <c r="C826" s="103"/>
      <c r="D826" s="104"/>
      <c r="E826" s="105"/>
      <c r="F826" s="103"/>
    </row>
    <row r="827" customFormat="false" ht="15" hidden="false" customHeight="false" outlineLevel="0" collapsed="false">
      <c r="A827" s="102"/>
      <c r="B827" s="103"/>
      <c r="C827" s="103"/>
      <c r="D827" s="104"/>
      <c r="E827" s="105"/>
      <c r="F827" s="103"/>
    </row>
    <row r="828" customFormat="false" ht="15" hidden="false" customHeight="false" outlineLevel="0" collapsed="false">
      <c r="A828" s="102"/>
      <c r="B828" s="103"/>
      <c r="C828" s="103"/>
      <c r="D828" s="104"/>
      <c r="E828" s="105"/>
      <c r="F828" s="103"/>
    </row>
    <row r="829" customFormat="false" ht="15" hidden="false" customHeight="false" outlineLevel="0" collapsed="false">
      <c r="A829" s="102"/>
      <c r="B829" s="103"/>
      <c r="C829" s="103"/>
      <c r="D829" s="104"/>
      <c r="E829" s="105"/>
      <c r="F829" s="103"/>
    </row>
    <row r="830" customFormat="false" ht="15" hidden="false" customHeight="false" outlineLevel="0" collapsed="false">
      <c r="A830" s="102"/>
      <c r="B830" s="103"/>
      <c r="C830" s="103"/>
      <c r="D830" s="104"/>
      <c r="E830" s="105"/>
      <c r="F830" s="103"/>
    </row>
    <row r="831" customFormat="false" ht="15" hidden="false" customHeight="false" outlineLevel="0" collapsed="false">
      <c r="A831" s="102"/>
      <c r="B831" s="103"/>
      <c r="C831" s="103"/>
      <c r="D831" s="104"/>
      <c r="E831" s="105"/>
      <c r="F831" s="103"/>
    </row>
    <row r="832" customFormat="false" ht="15" hidden="false" customHeight="false" outlineLevel="0" collapsed="false">
      <c r="A832" s="102"/>
      <c r="B832" s="103"/>
      <c r="C832" s="103"/>
      <c r="D832" s="104"/>
      <c r="E832" s="105"/>
      <c r="F832" s="103"/>
    </row>
    <row r="833" customFormat="false" ht="15" hidden="false" customHeight="false" outlineLevel="0" collapsed="false">
      <c r="A833" s="102"/>
      <c r="B833" s="103"/>
      <c r="C833" s="103"/>
      <c r="D833" s="104"/>
      <c r="E833" s="105"/>
      <c r="F833" s="103"/>
    </row>
    <row r="834" customFormat="false" ht="15" hidden="false" customHeight="false" outlineLevel="0" collapsed="false">
      <c r="A834" s="102"/>
      <c r="B834" s="103"/>
      <c r="C834" s="103"/>
      <c r="D834" s="104"/>
      <c r="E834" s="105"/>
      <c r="F834" s="103"/>
    </row>
    <row r="835" customFormat="false" ht="15" hidden="false" customHeight="false" outlineLevel="0" collapsed="false">
      <c r="A835" s="102"/>
      <c r="B835" s="103"/>
      <c r="C835" s="103"/>
      <c r="D835" s="104"/>
      <c r="E835" s="105"/>
      <c r="F835" s="103"/>
    </row>
    <row r="836" customFormat="false" ht="15" hidden="false" customHeight="false" outlineLevel="0" collapsed="false">
      <c r="A836" s="102"/>
      <c r="B836" s="103"/>
      <c r="C836" s="103"/>
      <c r="D836" s="104"/>
      <c r="E836" s="105"/>
      <c r="F836" s="103"/>
    </row>
    <row r="837" customFormat="false" ht="15" hidden="false" customHeight="false" outlineLevel="0" collapsed="false">
      <c r="A837" s="102"/>
      <c r="B837" s="103"/>
      <c r="C837" s="103"/>
      <c r="D837" s="104"/>
      <c r="E837" s="105"/>
      <c r="F837" s="103"/>
    </row>
    <row r="838" customFormat="false" ht="15" hidden="false" customHeight="false" outlineLevel="0" collapsed="false">
      <c r="A838" s="102"/>
      <c r="B838" s="103"/>
      <c r="C838" s="103"/>
      <c r="D838" s="104"/>
      <c r="E838" s="105"/>
      <c r="F838" s="103"/>
    </row>
    <row r="839" customFormat="false" ht="15" hidden="false" customHeight="false" outlineLevel="0" collapsed="false">
      <c r="A839" s="102"/>
      <c r="B839" s="103"/>
      <c r="C839" s="103"/>
      <c r="D839" s="104"/>
      <c r="E839" s="105"/>
      <c r="F839" s="103"/>
    </row>
    <row r="840" customFormat="false" ht="15" hidden="false" customHeight="false" outlineLevel="0" collapsed="false">
      <c r="A840" s="102"/>
      <c r="B840" s="103"/>
      <c r="C840" s="103"/>
      <c r="D840" s="104"/>
      <c r="E840" s="105"/>
      <c r="F840" s="103"/>
    </row>
    <row r="841" customFormat="false" ht="15" hidden="false" customHeight="false" outlineLevel="0" collapsed="false">
      <c r="A841" s="102"/>
      <c r="B841" s="103"/>
      <c r="C841" s="103"/>
      <c r="D841" s="104"/>
      <c r="E841" s="105"/>
      <c r="F841" s="103"/>
    </row>
    <row r="842" customFormat="false" ht="15" hidden="false" customHeight="false" outlineLevel="0" collapsed="false">
      <c r="A842" s="102"/>
      <c r="B842" s="103"/>
      <c r="C842" s="103"/>
      <c r="D842" s="104"/>
      <c r="E842" s="105"/>
      <c r="F842" s="103"/>
    </row>
    <row r="843" customFormat="false" ht="15" hidden="false" customHeight="false" outlineLevel="0" collapsed="false">
      <c r="A843" s="102"/>
      <c r="B843" s="103"/>
      <c r="C843" s="103"/>
      <c r="D843" s="104"/>
      <c r="E843" s="105"/>
      <c r="F843" s="103"/>
    </row>
    <row r="844" customFormat="false" ht="15" hidden="false" customHeight="false" outlineLevel="0" collapsed="false">
      <c r="A844" s="102"/>
      <c r="B844" s="103"/>
      <c r="C844" s="103"/>
      <c r="D844" s="104"/>
      <c r="E844" s="105"/>
      <c r="F844" s="103"/>
    </row>
    <row r="845" customFormat="false" ht="15" hidden="false" customHeight="false" outlineLevel="0" collapsed="false">
      <c r="A845" s="102"/>
      <c r="B845" s="103"/>
      <c r="C845" s="103"/>
      <c r="D845" s="104"/>
      <c r="E845" s="105"/>
      <c r="F845" s="103"/>
    </row>
    <row r="846" customFormat="false" ht="15" hidden="false" customHeight="false" outlineLevel="0" collapsed="false">
      <c r="A846" s="102"/>
      <c r="B846" s="103"/>
      <c r="C846" s="103"/>
      <c r="D846" s="104"/>
      <c r="E846" s="105"/>
      <c r="F846" s="103"/>
    </row>
    <row r="847" customFormat="false" ht="15" hidden="false" customHeight="false" outlineLevel="0" collapsed="false">
      <c r="A847" s="102"/>
      <c r="B847" s="103"/>
      <c r="C847" s="103"/>
      <c r="D847" s="104"/>
      <c r="E847" s="105"/>
      <c r="F847" s="103"/>
    </row>
    <row r="848" customFormat="false" ht="15" hidden="false" customHeight="false" outlineLevel="0" collapsed="false">
      <c r="A848" s="102"/>
      <c r="B848" s="103"/>
      <c r="C848" s="103"/>
      <c r="D848" s="104"/>
      <c r="E848" s="105"/>
      <c r="F848" s="103"/>
    </row>
    <row r="849" customFormat="false" ht="15" hidden="false" customHeight="false" outlineLevel="0" collapsed="false">
      <c r="A849" s="102"/>
      <c r="B849" s="103"/>
      <c r="C849" s="103"/>
      <c r="D849" s="104"/>
      <c r="E849" s="105"/>
      <c r="F849" s="103"/>
    </row>
    <row r="850" customFormat="false" ht="15" hidden="false" customHeight="false" outlineLevel="0" collapsed="false">
      <c r="A850" s="102"/>
      <c r="B850" s="103"/>
      <c r="C850" s="103"/>
      <c r="D850" s="104"/>
      <c r="E850" s="105"/>
      <c r="F850" s="103"/>
    </row>
    <row r="851" customFormat="false" ht="15" hidden="false" customHeight="false" outlineLevel="0" collapsed="false">
      <c r="A851" s="102"/>
      <c r="B851" s="103"/>
      <c r="C851" s="103"/>
      <c r="D851" s="104"/>
      <c r="E851" s="105"/>
      <c r="F851" s="103"/>
    </row>
    <row r="852" customFormat="false" ht="15" hidden="false" customHeight="false" outlineLevel="0" collapsed="false">
      <c r="A852" s="102"/>
      <c r="B852" s="103"/>
      <c r="C852" s="103"/>
      <c r="D852" s="104"/>
      <c r="E852" s="105"/>
      <c r="F852" s="103"/>
    </row>
    <row r="853" customFormat="false" ht="15" hidden="false" customHeight="false" outlineLevel="0" collapsed="false">
      <c r="A853" s="102"/>
      <c r="B853" s="103"/>
      <c r="C853" s="103"/>
      <c r="D853" s="104"/>
      <c r="E853" s="105"/>
      <c r="F853" s="103"/>
    </row>
    <row r="854" customFormat="false" ht="15" hidden="false" customHeight="false" outlineLevel="0" collapsed="false">
      <c r="A854" s="102"/>
      <c r="B854" s="103"/>
      <c r="C854" s="103"/>
      <c r="D854" s="104"/>
      <c r="E854" s="105"/>
      <c r="F854" s="103"/>
    </row>
    <row r="855" customFormat="false" ht="15" hidden="false" customHeight="false" outlineLevel="0" collapsed="false">
      <c r="A855" s="102"/>
      <c r="B855" s="103"/>
      <c r="C855" s="103"/>
      <c r="D855" s="104"/>
      <c r="E855" s="105"/>
      <c r="F855" s="103"/>
    </row>
    <row r="856" customFormat="false" ht="15" hidden="false" customHeight="false" outlineLevel="0" collapsed="false">
      <c r="A856" s="102"/>
      <c r="B856" s="103"/>
      <c r="C856" s="103"/>
      <c r="D856" s="104"/>
      <c r="E856" s="105"/>
      <c r="F856" s="103"/>
    </row>
    <row r="857" customFormat="false" ht="15" hidden="false" customHeight="false" outlineLevel="0" collapsed="false">
      <c r="A857" s="102"/>
      <c r="B857" s="103"/>
      <c r="C857" s="103"/>
      <c r="D857" s="104"/>
      <c r="E857" s="105"/>
      <c r="F857" s="103"/>
    </row>
    <row r="858" customFormat="false" ht="15" hidden="false" customHeight="false" outlineLevel="0" collapsed="false">
      <c r="A858" s="102"/>
      <c r="B858" s="103"/>
      <c r="C858" s="103"/>
      <c r="D858" s="104"/>
      <c r="E858" s="105"/>
      <c r="F858" s="103"/>
    </row>
    <row r="859" customFormat="false" ht="15" hidden="false" customHeight="false" outlineLevel="0" collapsed="false">
      <c r="A859" s="102"/>
      <c r="B859" s="103"/>
      <c r="C859" s="103"/>
      <c r="D859" s="104"/>
      <c r="E859" s="105"/>
      <c r="F859" s="103"/>
    </row>
    <row r="860" customFormat="false" ht="15" hidden="false" customHeight="false" outlineLevel="0" collapsed="false">
      <c r="A860" s="102"/>
      <c r="B860" s="103"/>
      <c r="C860" s="103"/>
      <c r="D860" s="104"/>
      <c r="E860" s="105"/>
      <c r="F860" s="103"/>
    </row>
    <row r="861" customFormat="false" ht="15" hidden="false" customHeight="false" outlineLevel="0" collapsed="false">
      <c r="A861" s="102"/>
      <c r="B861" s="103"/>
      <c r="C861" s="103"/>
      <c r="D861" s="104"/>
      <c r="E861" s="105"/>
      <c r="F861" s="103"/>
    </row>
    <row r="862" customFormat="false" ht="15" hidden="false" customHeight="false" outlineLevel="0" collapsed="false">
      <c r="A862" s="102"/>
      <c r="B862" s="103"/>
      <c r="C862" s="103"/>
      <c r="D862" s="104"/>
      <c r="E862" s="105"/>
      <c r="F862" s="103"/>
    </row>
    <row r="863" customFormat="false" ht="15" hidden="false" customHeight="false" outlineLevel="0" collapsed="false">
      <c r="A863" s="102"/>
      <c r="B863" s="103"/>
      <c r="C863" s="103"/>
      <c r="D863" s="104"/>
      <c r="E863" s="105"/>
      <c r="F863" s="103"/>
    </row>
    <row r="864" customFormat="false" ht="15" hidden="false" customHeight="false" outlineLevel="0" collapsed="false">
      <c r="A864" s="102"/>
      <c r="B864" s="103"/>
      <c r="C864" s="103"/>
      <c r="D864" s="104"/>
      <c r="E864" s="105"/>
      <c r="F864" s="103"/>
    </row>
    <row r="865" customFormat="false" ht="15" hidden="false" customHeight="false" outlineLevel="0" collapsed="false">
      <c r="A865" s="102"/>
      <c r="B865" s="103"/>
      <c r="C865" s="103"/>
      <c r="D865" s="104"/>
      <c r="E865" s="105"/>
      <c r="F865" s="103"/>
    </row>
    <row r="866" customFormat="false" ht="15" hidden="false" customHeight="false" outlineLevel="0" collapsed="false">
      <c r="A866" s="102"/>
      <c r="B866" s="103"/>
      <c r="C866" s="103"/>
      <c r="D866" s="104"/>
      <c r="E866" s="105"/>
      <c r="F866" s="103"/>
    </row>
    <row r="867" customFormat="false" ht="15" hidden="false" customHeight="false" outlineLevel="0" collapsed="false">
      <c r="A867" s="102"/>
      <c r="B867" s="103"/>
      <c r="C867" s="103"/>
      <c r="D867" s="104"/>
      <c r="E867" s="105"/>
      <c r="F867" s="103"/>
    </row>
    <row r="868" customFormat="false" ht="15" hidden="false" customHeight="false" outlineLevel="0" collapsed="false">
      <c r="A868" s="102"/>
      <c r="B868" s="103"/>
      <c r="C868" s="103"/>
      <c r="D868" s="104"/>
      <c r="E868" s="105"/>
      <c r="F868" s="103"/>
    </row>
    <row r="869" customFormat="false" ht="15" hidden="false" customHeight="false" outlineLevel="0" collapsed="false">
      <c r="A869" s="102"/>
      <c r="B869" s="103"/>
      <c r="C869" s="103"/>
      <c r="D869" s="104"/>
      <c r="E869" s="105"/>
      <c r="F869" s="103"/>
    </row>
    <row r="870" customFormat="false" ht="15" hidden="false" customHeight="false" outlineLevel="0" collapsed="false">
      <c r="A870" s="102"/>
      <c r="B870" s="103"/>
      <c r="C870" s="103"/>
      <c r="D870" s="104"/>
      <c r="E870" s="105"/>
      <c r="F870" s="103"/>
    </row>
    <row r="871" customFormat="false" ht="15" hidden="false" customHeight="false" outlineLevel="0" collapsed="false">
      <c r="A871" s="102"/>
      <c r="B871" s="103"/>
      <c r="C871" s="103"/>
      <c r="D871" s="104"/>
      <c r="E871" s="105"/>
      <c r="F871" s="103"/>
    </row>
    <row r="872" customFormat="false" ht="15" hidden="false" customHeight="false" outlineLevel="0" collapsed="false">
      <c r="A872" s="102"/>
      <c r="B872" s="103"/>
      <c r="C872" s="103"/>
      <c r="D872" s="104"/>
      <c r="E872" s="105"/>
      <c r="F872" s="103"/>
    </row>
    <row r="873" customFormat="false" ht="15" hidden="false" customHeight="false" outlineLevel="0" collapsed="false">
      <c r="A873" s="102"/>
      <c r="B873" s="103"/>
      <c r="C873" s="103"/>
      <c r="D873" s="104"/>
      <c r="E873" s="105"/>
      <c r="F873" s="103"/>
    </row>
    <row r="874" customFormat="false" ht="15" hidden="false" customHeight="false" outlineLevel="0" collapsed="false">
      <c r="A874" s="102"/>
      <c r="B874" s="103"/>
      <c r="C874" s="103"/>
      <c r="D874" s="104"/>
      <c r="E874" s="105"/>
      <c r="F874" s="103"/>
    </row>
    <row r="875" customFormat="false" ht="15" hidden="false" customHeight="false" outlineLevel="0" collapsed="false">
      <c r="A875" s="102"/>
      <c r="B875" s="103"/>
      <c r="C875" s="103"/>
      <c r="D875" s="104"/>
      <c r="E875" s="105"/>
      <c r="F875" s="103"/>
    </row>
    <row r="876" customFormat="false" ht="15" hidden="false" customHeight="false" outlineLevel="0" collapsed="false">
      <c r="A876" s="102"/>
      <c r="B876" s="103"/>
      <c r="C876" s="103"/>
      <c r="D876" s="104"/>
      <c r="E876" s="105"/>
      <c r="F876" s="103"/>
    </row>
    <row r="877" customFormat="false" ht="15" hidden="false" customHeight="false" outlineLevel="0" collapsed="false">
      <c r="A877" s="102"/>
      <c r="B877" s="103"/>
      <c r="C877" s="103"/>
      <c r="D877" s="104"/>
      <c r="E877" s="105"/>
      <c r="F877" s="103"/>
    </row>
    <row r="878" customFormat="false" ht="15" hidden="false" customHeight="false" outlineLevel="0" collapsed="false">
      <c r="A878" s="102"/>
      <c r="B878" s="103"/>
      <c r="C878" s="103"/>
      <c r="D878" s="104"/>
      <c r="E878" s="105"/>
      <c r="F878" s="103"/>
    </row>
    <row r="879" customFormat="false" ht="15" hidden="false" customHeight="false" outlineLevel="0" collapsed="false">
      <c r="A879" s="102"/>
      <c r="B879" s="103"/>
      <c r="C879" s="103"/>
      <c r="D879" s="104"/>
      <c r="E879" s="105"/>
      <c r="F879" s="103"/>
    </row>
    <row r="880" customFormat="false" ht="15" hidden="false" customHeight="false" outlineLevel="0" collapsed="false">
      <c r="A880" s="102"/>
      <c r="B880" s="103"/>
      <c r="C880" s="103"/>
      <c r="D880" s="104"/>
      <c r="E880" s="105"/>
      <c r="F880" s="103"/>
    </row>
    <row r="881" customFormat="false" ht="15" hidden="false" customHeight="false" outlineLevel="0" collapsed="false">
      <c r="A881" s="102"/>
      <c r="B881" s="103"/>
      <c r="C881" s="103"/>
      <c r="D881" s="104"/>
      <c r="E881" s="105"/>
      <c r="F881" s="103"/>
    </row>
    <row r="882" customFormat="false" ht="15" hidden="false" customHeight="false" outlineLevel="0" collapsed="false">
      <c r="A882" s="102"/>
      <c r="B882" s="103"/>
      <c r="C882" s="103"/>
      <c r="D882" s="104"/>
      <c r="E882" s="105"/>
      <c r="F882" s="103"/>
    </row>
    <row r="883" customFormat="false" ht="15" hidden="false" customHeight="false" outlineLevel="0" collapsed="false">
      <c r="A883" s="102"/>
      <c r="B883" s="103"/>
      <c r="C883" s="103"/>
      <c r="D883" s="104"/>
      <c r="E883" s="105"/>
      <c r="F883" s="103"/>
    </row>
    <row r="884" customFormat="false" ht="15" hidden="false" customHeight="false" outlineLevel="0" collapsed="false">
      <c r="A884" s="102"/>
      <c r="B884" s="103"/>
      <c r="C884" s="103"/>
      <c r="D884" s="104"/>
      <c r="E884" s="105"/>
      <c r="F884" s="103"/>
    </row>
    <row r="885" customFormat="false" ht="15" hidden="false" customHeight="false" outlineLevel="0" collapsed="false">
      <c r="A885" s="102"/>
      <c r="B885" s="103"/>
      <c r="C885" s="103"/>
      <c r="D885" s="104"/>
      <c r="E885" s="105"/>
      <c r="F885" s="103"/>
    </row>
    <row r="886" customFormat="false" ht="15" hidden="false" customHeight="false" outlineLevel="0" collapsed="false">
      <c r="A886" s="102"/>
      <c r="B886" s="103"/>
      <c r="C886" s="103"/>
      <c r="D886" s="104"/>
      <c r="E886" s="105"/>
      <c r="F886" s="103"/>
    </row>
    <row r="887" customFormat="false" ht="15" hidden="false" customHeight="false" outlineLevel="0" collapsed="false">
      <c r="A887" s="102"/>
      <c r="B887" s="103"/>
      <c r="C887" s="103"/>
      <c r="D887" s="104"/>
      <c r="E887" s="105"/>
      <c r="F887" s="103"/>
    </row>
    <row r="888" customFormat="false" ht="15" hidden="false" customHeight="false" outlineLevel="0" collapsed="false">
      <c r="A888" s="102"/>
      <c r="B888" s="103"/>
      <c r="C888" s="103"/>
      <c r="D888" s="104"/>
      <c r="E888" s="105"/>
      <c r="F888" s="103"/>
    </row>
    <row r="889" customFormat="false" ht="15" hidden="false" customHeight="false" outlineLevel="0" collapsed="false">
      <c r="A889" s="102"/>
      <c r="B889" s="103"/>
      <c r="C889" s="103"/>
      <c r="D889" s="104"/>
      <c r="E889" s="105"/>
      <c r="F889" s="103"/>
    </row>
    <row r="890" customFormat="false" ht="15" hidden="false" customHeight="false" outlineLevel="0" collapsed="false">
      <c r="A890" s="102"/>
      <c r="B890" s="103"/>
      <c r="C890" s="103"/>
      <c r="D890" s="104"/>
      <c r="E890" s="105"/>
      <c r="F890" s="103"/>
    </row>
    <row r="891" customFormat="false" ht="15" hidden="false" customHeight="false" outlineLevel="0" collapsed="false">
      <c r="A891" s="102"/>
      <c r="B891" s="103"/>
      <c r="C891" s="103"/>
      <c r="D891" s="104"/>
      <c r="E891" s="105"/>
      <c r="F891" s="103"/>
    </row>
    <row r="892" customFormat="false" ht="15" hidden="false" customHeight="false" outlineLevel="0" collapsed="false">
      <c r="A892" s="102"/>
      <c r="B892" s="103"/>
      <c r="C892" s="103"/>
      <c r="D892" s="104"/>
      <c r="E892" s="105"/>
      <c r="F892" s="103"/>
    </row>
    <row r="893" customFormat="false" ht="15" hidden="false" customHeight="false" outlineLevel="0" collapsed="false">
      <c r="A893" s="102"/>
      <c r="B893" s="103"/>
      <c r="C893" s="103"/>
      <c r="D893" s="104"/>
      <c r="E893" s="105"/>
      <c r="F893" s="103"/>
    </row>
    <row r="894" customFormat="false" ht="15" hidden="false" customHeight="false" outlineLevel="0" collapsed="false">
      <c r="A894" s="102"/>
      <c r="B894" s="103"/>
      <c r="C894" s="103"/>
      <c r="D894" s="104"/>
      <c r="E894" s="105"/>
      <c r="F894" s="103"/>
    </row>
    <row r="895" customFormat="false" ht="15" hidden="false" customHeight="false" outlineLevel="0" collapsed="false">
      <c r="A895" s="102"/>
      <c r="B895" s="103"/>
      <c r="C895" s="103"/>
      <c r="D895" s="104"/>
      <c r="E895" s="105"/>
      <c r="F895" s="103"/>
    </row>
    <row r="896" customFormat="false" ht="15" hidden="false" customHeight="false" outlineLevel="0" collapsed="false">
      <c r="A896" s="102"/>
      <c r="B896" s="103"/>
      <c r="C896" s="103"/>
      <c r="D896" s="104"/>
      <c r="E896" s="105"/>
      <c r="F896" s="103"/>
    </row>
    <row r="897" customFormat="false" ht="15" hidden="false" customHeight="false" outlineLevel="0" collapsed="false">
      <c r="A897" s="102"/>
      <c r="B897" s="103"/>
      <c r="C897" s="103"/>
      <c r="D897" s="104"/>
      <c r="E897" s="105"/>
      <c r="F897" s="103"/>
    </row>
    <row r="898" customFormat="false" ht="15" hidden="false" customHeight="false" outlineLevel="0" collapsed="false">
      <c r="A898" s="102"/>
      <c r="B898" s="103"/>
      <c r="C898" s="103"/>
      <c r="D898" s="104"/>
      <c r="E898" s="105"/>
      <c r="F898" s="103"/>
    </row>
    <row r="899" customFormat="false" ht="15" hidden="false" customHeight="false" outlineLevel="0" collapsed="false">
      <c r="A899" s="102"/>
      <c r="B899" s="103"/>
      <c r="C899" s="103"/>
      <c r="D899" s="104"/>
      <c r="E899" s="105"/>
      <c r="F899" s="103"/>
    </row>
    <row r="900" customFormat="false" ht="15" hidden="false" customHeight="false" outlineLevel="0" collapsed="false">
      <c r="A900" s="102"/>
      <c r="B900" s="103"/>
      <c r="C900" s="103"/>
      <c r="D900" s="104"/>
      <c r="E900" s="105"/>
      <c r="F900" s="103"/>
    </row>
    <row r="901" customFormat="false" ht="15" hidden="false" customHeight="false" outlineLevel="0" collapsed="false">
      <c r="A901" s="102"/>
      <c r="B901" s="103"/>
      <c r="C901" s="103"/>
      <c r="D901" s="104"/>
      <c r="E901" s="105"/>
      <c r="F901" s="103"/>
    </row>
    <row r="902" customFormat="false" ht="15" hidden="false" customHeight="false" outlineLevel="0" collapsed="false">
      <c r="A902" s="102"/>
      <c r="B902" s="103"/>
      <c r="C902" s="103"/>
      <c r="D902" s="104"/>
      <c r="E902" s="105"/>
      <c r="F902" s="103"/>
    </row>
    <row r="903" customFormat="false" ht="15" hidden="false" customHeight="false" outlineLevel="0" collapsed="false">
      <c r="A903" s="102"/>
      <c r="B903" s="103"/>
      <c r="C903" s="103"/>
      <c r="D903" s="104"/>
      <c r="E903" s="105"/>
      <c r="F903" s="103"/>
    </row>
    <row r="904" customFormat="false" ht="15" hidden="false" customHeight="false" outlineLevel="0" collapsed="false">
      <c r="A904" s="102"/>
      <c r="B904" s="103"/>
      <c r="C904" s="103"/>
      <c r="D904" s="104"/>
      <c r="E904" s="105"/>
      <c r="F904" s="103"/>
    </row>
    <row r="905" customFormat="false" ht="15" hidden="false" customHeight="false" outlineLevel="0" collapsed="false">
      <c r="A905" s="102"/>
      <c r="B905" s="103"/>
      <c r="C905" s="103"/>
      <c r="D905" s="104"/>
      <c r="E905" s="105"/>
      <c r="F905" s="103"/>
    </row>
    <row r="906" customFormat="false" ht="15" hidden="false" customHeight="false" outlineLevel="0" collapsed="false">
      <c r="A906" s="102"/>
      <c r="B906" s="103"/>
      <c r="C906" s="103"/>
      <c r="D906" s="104"/>
      <c r="E906" s="105"/>
      <c r="F906" s="103"/>
    </row>
    <row r="907" customFormat="false" ht="15" hidden="false" customHeight="false" outlineLevel="0" collapsed="false">
      <c r="A907" s="102"/>
      <c r="B907" s="103"/>
      <c r="C907" s="103"/>
      <c r="D907" s="104"/>
      <c r="E907" s="105"/>
      <c r="F907" s="103"/>
    </row>
    <row r="908" customFormat="false" ht="15" hidden="false" customHeight="false" outlineLevel="0" collapsed="false">
      <c r="A908" s="102"/>
      <c r="B908" s="103"/>
      <c r="C908" s="103"/>
      <c r="D908" s="104"/>
      <c r="E908" s="105"/>
      <c r="F908" s="103"/>
    </row>
    <row r="909" customFormat="false" ht="15" hidden="false" customHeight="false" outlineLevel="0" collapsed="false">
      <c r="A909" s="102"/>
      <c r="B909" s="103"/>
      <c r="C909" s="103"/>
      <c r="D909" s="104"/>
      <c r="E909" s="105"/>
      <c r="F909" s="103"/>
    </row>
    <row r="910" customFormat="false" ht="15" hidden="false" customHeight="false" outlineLevel="0" collapsed="false">
      <c r="A910" s="102"/>
      <c r="B910" s="103"/>
      <c r="C910" s="103"/>
      <c r="D910" s="104"/>
      <c r="E910" s="105"/>
      <c r="F910" s="103"/>
    </row>
    <row r="911" customFormat="false" ht="15" hidden="false" customHeight="false" outlineLevel="0" collapsed="false">
      <c r="A911" s="102"/>
      <c r="B911" s="103"/>
      <c r="C911" s="103"/>
      <c r="D911" s="104"/>
      <c r="E911" s="105"/>
      <c r="F911" s="103"/>
    </row>
    <row r="912" customFormat="false" ht="15" hidden="false" customHeight="false" outlineLevel="0" collapsed="false">
      <c r="A912" s="102"/>
      <c r="B912" s="103"/>
      <c r="C912" s="103"/>
      <c r="D912" s="104"/>
      <c r="E912" s="105"/>
      <c r="F912" s="103"/>
    </row>
    <row r="913" customFormat="false" ht="15" hidden="false" customHeight="false" outlineLevel="0" collapsed="false">
      <c r="A913" s="102"/>
      <c r="B913" s="103"/>
      <c r="C913" s="103"/>
      <c r="D913" s="104"/>
      <c r="E913" s="105"/>
      <c r="F913" s="103"/>
    </row>
    <row r="914" customFormat="false" ht="15" hidden="false" customHeight="false" outlineLevel="0" collapsed="false">
      <c r="A914" s="102"/>
      <c r="B914" s="103"/>
      <c r="C914" s="103"/>
      <c r="D914" s="104"/>
      <c r="E914" s="105"/>
      <c r="F914" s="103"/>
    </row>
    <row r="915" customFormat="false" ht="15" hidden="false" customHeight="false" outlineLevel="0" collapsed="false">
      <c r="A915" s="102"/>
      <c r="B915" s="103"/>
      <c r="C915" s="103"/>
      <c r="D915" s="104"/>
      <c r="E915" s="105"/>
      <c r="F915" s="103"/>
    </row>
    <row r="916" customFormat="false" ht="15" hidden="false" customHeight="false" outlineLevel="0" collapsed="false">
      <c r="A916" s="102"/>
      <c r="B916" s="103"/>
      <c r="C916" s="103"/>
      <c r="D916" s="104"/>
      <c r="E916" s="105"/>
      <c r="F916" s="103"/>
    </row>
    <row r="917" customFormat="false" ht="15" hidden="false" customHeight="false" outlineLevel="0" collapsed="false">
      <c r="A917" s="102"/>
      <c r="B917" s="103"/>
      <c r="C917" s="103"/>
      <c r="D917" s="104"/>
      <c r="E917" s="105"/>
      <c r="F917" s="103"/>
    </row>
    <row r="918" customFormat="false" ht="15" hidden="false" customHeight="false" outlineLevel="0" collapsed="false">
      <c r="A918" s="102"/>
      <c r="B918" s="103"/>
      <c r="C918" s="103"/>
      <c r="D918" s="104"/>
      <c r="E918" s="105"/>
      <c r="F918" s="103"/>
    </row>
    <row r="919" customFormat="false" ht="15" hidden="false" customHeight="false" outlineLevel="0" collapsed="false">
      <c r="A919" s="102"/>
      <c r="B919" s="103"/>
      <c r="C919" s="103"/>
      <c r="D919" s="104"/>
      <c r="E919" s="105"/>
      <c r="F919" s="103"/>
    </row>
    <row r="920" customFormat="false" ht="15" hidden="false" customHeight="false" outlineLevel="0" collapsed="false">
      <c r="A920" s="102"/>
      <c r="B920" s="103"/>
      <c r="C920" s="103"/>
      <c r="D920" s="104"/>
      <c r="E920" s="105"/>
      <c r="F920" s="103"/>
    </row>
    <row r="921" customFormat="false" ht="15" hidden="false" customHeight="false" outlineLevel="0" collapsed="false">
      <c r="A921" s="102"/>
      <c r="B921" s="103"/>
      <c r="C921" s="103"/>
      <c r="D921" s="104"/>
      <c r="E921" s="105"/>
      <c r="F921" s="103"/>
    </row>
    <row r="922" customFormat="false" ht="15" hidden="false" customHeight="false" outlineLevel="0" collapsed="false">
      <c r="A922" s="102"/>
      <c r="B922" s="103"/>
      <c r="C922" s="103"/>
      <c r="D922" s="104"/>
      <c r="E922" s="105"/>
      <c r="F922" s="103"/>
    </row>
    <row r="923" customFormat="false" ht="15" hidden="false" customHeight="false" outlineLevel="0" collapsed="false">
      <c r="A923" s="102"/>
      <c r="B923" s="103"/>
      <c r="C923" s="103"/>
      <c r="D923" s="104"/>
      <c r="E923" s="105"/>
      <c r="F923" s="103"/>
    </row>
    <row r="924" customFormat="false" ht="15" hidden="false" customHeight="false" outlineLevel="0" collapsed="false">
      <c r="A924" s="102"/>
      <c r="B924" s="103"/>
      <c r="C924" s="103"/>
      <c r="D924" s="104"/>
      <c r="E924" s="105"/>
      <c r="F924" s="103"/>
    </row>
    <row r="925" customFormat="false" ht="15" hidden="false" customHeight="false" outlineLevel="0" collapsed="false">
      <c r="A925" s="102"/>
      <c r="B925" s="103"/>
      <c r="C925" s="103"/>
      <c r="D925" s="104"/>
      <c r="E925" s="105"/>
      <c r="F925" s="103"/>
    </row>
    <row r="926" customFormat="false" ht="15" hidden="false" customHeight="false" outlineLevel="0" collapsed="false">
      <c r="A926" s="102"/>
      <c r="B926" s="103"/>
      <c r="C926" s="103"/>
      <c r="D926" s="104"/>
      <c r="E926" s="105"/>
      <c r="F926" s="103"/>
    </row>
    <row r="927" customFormat="false" ht="15" hidden="false" customHeight="false" outlineLevel="0" collapsed="false">
      <c r="A927" s="102"/>
      <c r="B927" s="103"/>
      <c r="C927" s="103"/>
      <c r="D927" s="104"/>
      <c r="E927" s="105"/>
      <c r="F927" s="103"/>
    </row>
    <row r="928" customFormat="false" ht="15" hidden="false" customHeight="false" outlineLevel="0" collapsed="false">
      <c r="A928" s="102"/>
      <c r="B928" s="103"/>
      <c r="C928" s="103"/>
      <c r="D928" s="104"/>
      <c r="E928" s="105"/>
      <c r="F928" s="103"/>
    </row>
    <row r="929" customFormat="false" ht="15" hidden="false" customHeight="false" outlineLevel="0" collapsed="false">
      <c r="A929" s="102"/>
      <c r="B929" s="103"/>
      <c r="C929" s="103"/>
      <c r="D929" s="104"/>
      <c r="E929" s="105"/>
      <c r="F929" s="103"/>
    </row>
    <row r="930" customFormat="false" ht="15" hidden="false" customHeight="false" outlineLevel="0" collapsed="false">
      <c r="A930" s="102"/>
      <c r="B930" s="103"/>
      <c r="C930" s="103"/>
      <c r="D930" s="104"/>
      <c r="E930" s="105"/>
      <c r="F930" s="103"/>
    </row>
    <row r="931" customFormat="false" ht="15" hidden="false" customHeight="false" outlineLevel="0" collapsed="false">
      <c r="A931" s="102"/>
      <c r="B931" s="103"/>
      <c r="C931" s="103"/>
      <c r="D931" s="104"/>
      <c r="E931" s="105"/>
      <c r="F931" s="103"/>
    </row>
    <row r="932" customFormat="false" ht="15" hidden="false" customHeight="false" outlineLevel="0" collapsed="false">
      <c r="A932" s="102"/>
      <c r="B932" s="103"/>
      <c r="C932" s="103"/>
      <c r="D932" s="104"/>
      <c r="E932" s="105"/>
      <c r="F932" s="103"/>
    </row>
    <row r="933" customFormat="false" ht="15" hidden="false" customHeight="false" outlineLevel="0" collapsed="false">
      <c r="A933" s="102"/>
      <c r="B933" s="103"/>
      <c r="C933" s="103"/>
      <c r="D933" s="104"/>
      <c r="E933" s="105"/>
      <c r="F933" s="103"/>
    </row>
    <row r="934" customFormat="false" ht="15" hidden="false" customHeight="false" outlineLevel="0" collapsed="false">
      <c r="A934" s="102"/>
      <c r="B934" s="103"/>
      <c r="C934" s="103"/>
      <c r="D934" s="104"/>
      <c r="E934" s="105"/>
      <c r="F934" s="103"/>
    </row>
    <row r="935" customFormat="false" ht="15" hidden="false" customHeight="false" outlineLevel="0" collapsed="false">
      <c r="A935" s="102"/>
      <c r="B935" s="103"/>
      <c r="C935" s="103"/>
      <c r="D935" s="104"/>
      <c r="E935" s="105"/>
      <c r="F935" s="103"/>
    </row>
    <row r="936" customFormat="false" ht="15" hidden="false" customHeight="false" outlineLevel="0" collapsed="false">
      <c r="A936" s="102"/>
      <c r="B936" s="103"/>
      <c r="C936" s="103"/>
      <c r="D936" s="104"/>
      <c r="E936" s="105"/>
      <c r="F936" s="103"/>
    </row>
    <row r="937" customFormat="false" ht="15" hidden="false" customHeight="false" outlineLevel="0" collapsed="false">
      <c r="A937" s="102"/>
      <c r="B937" s="103"/>
      <c r="C937" s="103"/>
      <c r="D937" s="104"/>
      <c r="E937" s="105"/>
      <c r="F937" s="103"/>
    </row>
    <row r="938" customFormat="false" ht="15" hidden="false" customHeight="false" outlineLevel="0" collapsed="false">
      <c r="A938" s="102"/>
      <c r="B938" s="103"/>
      <c r="C938" s="103"/>
      <c r="D938" s="104"/>
      <c r="E938" s="105"/>
      <c r="F938" s="103"/>
    </row>
    <row r="939" customFormat="false" ht="15" hidden="false" customHeight="false" outlineLevel="0" collapsed="false">
      <c r="A939" s="102"/>
      <c r="B939" s="103"/>
      <c r="C939" s="103"/>
      <c r="D939" s="104"/>
      <c r="E939" s="105"/>
      <c r="F939" s="103"/>
    </row>
    <row r="940" customFormat="false" ht="15" hidden="false" customHeight="false" outlineLevel="0" collapsed="false">
      <c r="A940" s="102"/>
      <c r="B940" s="103"/>
      <c r="C940" s="103"/>
      <c r="D940" s="104"/>
      <c r="E940" s="105"/>
      <c r="F940" s="103"/>
    </row>
    <row r="941" customFormat="false" ht="15" hidden="false" customHeight="false" outlineLevel="0" collapsed="false">
      <c r="A941" s="102"/>
      <c r="B941" s="103"/>
      <c r="C941" s="103"/>
      <c r="D941" s="104"/>
      <c r="E941" s="105"/>
      <c r="F941" s="103"/>
    </row>
    <row r="942" customFormat="false" ht="15" hidden="false" customHeight="false" outlineLevel="0" collapsed="false">
      <c r="A942" s="102"/>
      <c r="B942" s="103"/>
      <c r="C942" s="103"/>
      <c r="D942" s="104"/>
      <c r="E942" s="105"/>
      <c r="F942" s="103"/>
    </row>
    <row r="943" customFormat="false" ht="15" hidden="false" customHeight="false" outlineLevel="0" collapsed="false">
      <c r="A943" s="102"/>
      <c r="B943" s="103"/>
      <c r="C943" s="103"/>
      <c r="D943" s="104"/>
      <c r="E943" s="105"/>
      <c r="F943" s="103"/>
    </row>
    <row r="944" customFormat="false" ht="15" hidden="false" customHeight="false" outlineLevel="0" collapsed="false">
      <c r="A944" s="102"/>
      <c r="B944" s="103"/>
      <c r="C944" s="103"/>
      <c r="D944" s="104"/>
      <c r="E944" s="105"/>
      <c r="F944" s="103"/>
    </row>
    <row r="945" customFormat="false" ht="15" hidden="false" customHeight="false" outlineLevel="0" collapsed="false">
      <c r="A945" s="102"/>
      <c r="B945" s="103"/>
      <c r="C945" s="103"/>
      <c r="D945" s="104"/>
      <c r="E945" s="105"/>
      <c r="F945" s="103"/>
    </row>
    <row r="946" customFormat="false" ht="15" hidden="false" customHeight="false" outlineLevel="0" collapsed="false">
      <c r="A946" s="102"/>
      <c r="B946" s="103"/>
      <c r="C946" s="103"/>
      <c r="D946" s="104"/>
      <c r="E946" s="105"/>
      <c r="F946" s="103"/>
    </row>
    <row r="947" customFormat="false" ht="15" hidden="false" customHeight="false" outlineLevel="0" collapsed="false">
      <c r="A947" s="102"/>
      <c r="B947" s="103"/>
      <c r="C947" s="103"/>
      <c r="D947" s="104"/>
      <c r="E947" s="105"/>
      <c r="F947" s="103"/>
    </row>
    <row r="948" customFormat="false" ht="15" hidden="false" customHeight="false" outlineLevel="0" collapsed="false">
      <c r="A948" s="102"/>
      <c r="B948" s="103"/>
      <c r="C948" s="103"/>
      <c r="D948" s="104"/>
      <c r="E948" s="105"/>
      <c r="F948" s="103"/>
    </row>
    <row r="949" customFormat="false" ht="15" hidden="false" customHeight="false" outlineLevel="0" collapsed="false">
      <c r="A949" s="102"/>
      <c r="B949" s="103"/>
      <c r="C949" s="103"/>
      <c r="D949" s="104"/>
      <c r="E949" s="105"/>
      <c r="F949" s="103"/>
    </row>
    <row r="950" customFormat="false" ht="15" hidden="false" customHeight="false" outlineLevel="0" collapsed="false">
      <c r="A950" s="102"/>
      <c r="B950" s="103"/>
      <c r="C950" s="103"/>
      <c r="D950" s="104"/>
      <c r="E950" s="105"/>
      <c r="F950" s="103"/>
    </row>
    <row r="951" customFormat="false" ht="15" hidden="false" customHeight="false" outlineLevel="0" collapsed="false">
      <c r="A951" s="102"/>
      <c r="B951" s="103"/>
      <c r="C951" s="103"/>
      <c r="D951" s="104"/>
      <c r="E951" s="105"/>
      <c r="F951" s="103"/>
    </row>
    <row r="952" customFormat="false" ht="15" hidden="false" customHeight="false" outlineLevel="0" collapsed="false">
      <c r="A952" s="102"/>
      <c r="B952" s="103"/>
      <c r="C952" s="103"/>
      <c r="D952" s="104"/>
      <c r="E952" s="105"/>
      <c r="F952" s="103"/>
    </row>
    <row r="953" customFormat="false" ht="15" hidden="false" customHeight="false" outlineLevel="0" collapsed="false">
      <c r="A953" s="102"/>
      <c r="B953" s="103"/>
      <c r="C953" s="103"/>
      <c r="D953" s="104"/>
      <c r="E953" s="105"/>
      <c r="F953" s="103"/>
    </row>
    <row r="954" customFormat="false" ht="15" hidden="false" customHeight="false" outlineLevel="0" collapsed="false">
      <c r="A954" s="102"/>
      <c r="B954" s="103"/>
      <c r="C954" s="103"/>
      <c r="D954" s="104"/>
      <c r="E954" s="105"/>
      <c r="F954" s="103"/>
    </row>
    <row r="955" customFormat="false" ht="15" hidden="false" customHeight="false" outlineLevel="0" collapsed="false">
      <c r="A955" s="102"/>
      <c r="B955" s="103"/>
      <c r="C955" s="103"/>
      <c r="D955" s="104"/>
      <c r="E955" s="105"/>
      <c r="F955" s="103"/>
    </row>
    <row r="956" customFormat="false" ht="15" hidden="false" customHeight="false" outlineLevel="0" collapsed="false">
      <c r="A956" s="102"/>
      <c r="B956" s="103"/>
      <c r="C956" s="103"/>
      <c r="D956" s="104"/>
      <c r="E956" s="105"/>
      <c r="F956" s="103"/>
    </row>
    <row r="957" customFormat="false" ht="15" hidden="false" customHeight="false" outlineLevel="0" collapsed="false">
      <c r="A957" s="102"/>
      <c r="B957" s="103"/>
      <c r="C957" s="103"/>
      <c r="D957" s="104"/>
      <c r="E957" s="105"/>
      <c r="F957" s="103"/>
    </row>
    <row r="958" customFormat="false" ht="15" hidden="false" customHeight="false" outlineLevel="0" collapsed="false">
      <c r="A958" s="102"/>
      <c r="B958" s="103"/>
      <c r="C958" s="103"/>
      <c r="D958" s="104"/>
      <c r="E958" s="105"/>
      <c r="F958" s="103"/>
    </row>
    <row r="959" customFormat="false" ht="15" hidden="false" customHeight="false" outlineLevel="0" collapsed="false">
      <c r="A959" s="102"/>
      <c r="B959" s="103"/>
      <c r="C959" s="103"/>
      <c r="D959" s="104"/>
      <c r="E959" s="105"/>
      <c r="F959" s="103"/>
    </row>
    <row r="960" customFormat="false" ht="15" hidden="false" customHeight="false" outlineLevel="0" collapsed="false">
      <c r="A960" s="102"/>
      <c r="B960" s="103"/>
      <c r="C960" s="103"/>
      <c r="D960" s="104"/>
      <c r="E960" s="105"/>
      <c r="F960" s="103"/>
    </row>
    <row r="961" customFormat="false" ht="15" hidden="false" customHeight="false" outlineLevel="0" collapsed="false">
      <c r="A961" s="102"/>
      <c r="B961" s="103"/>
      <c r="C961" s="103"/>
      <c r="D961" s="104"/>
      <c r="E961" s="105"/>
      <c r="F961" s="103"/>
    </row>
    <row r="962" customFormat="false" ht="15" hidden="false" customHeight="false" outlineLevel="0" collapsed="false">
      <c r="A962" s="102"/>
      <c r="B962" s="103"/>
      <c r="C962" s="103"/>
      <c r="D962" s="104"/>
      <c r="E962" s="105"/>
      <c r="F962" s="103"/>
    </row>
    <row r="963" customFormat="false" ht="15" hidden="false" customHeight="false" outlineLevel="0" collapsed="false">
      <c r="A963" s="102"/>
      <c r="B963" s="103"/>
      <c r="C963" s="103"/>
      <c r="D963" s="104"/>
      <c r="E963" s="105"/>
      <c r="F963" s="103"/>
    </row>
    <row r="964" customFormat="false" ht="15" hidden="false" customHeight="false" outlineLevel="0" collapsed="false">
      <c r="A964" s="102"/>
      <c r="B964" s="103"/>
      <c r="C964" s="103"/>
      <c r="D964" s="104"/>
      <c r="E964" s="105"/>
      <c r="F964" s="103"/>
    </row>
    <row r="965" customFormat="false" ht="15" hidden="false" customHeight="false" outlineLevel="0" collapsed="false">
      <c r="A965" s="102"/>
      <c r="B965" s="103"/>
      <c r="C965" s="103"/>
      <c r="D965" s="104"/>
      <c r="E965" s="105"/>
      <c r="F965" s="103"/>
    </row>
    <row r="966" customFormat="false" ht="15" hidden="false" customHeight="false" outlineLevel="0" collapsed="false">
      <c r="A966" s="102"/>
      <c r="B966" s="103"/>
      <c r="C966" s="103"/>
      <c r="D966" s="104"/>
      <c r="E966" s="105"/>
      <c r="F966" s="103"/>
    </row>
    <row r="967" customFormat="false" ht="15" hidden="false" customHeight="false" outlineLevel="0" collapsed="false">
      <c r="A967" s="102"/>
      <c r="B967" s="103"/>
      <c r="C967" s="103"/>
      <c r="D967" s="104"/>
      <c r="E967" s="105"/>
      <c r="F967" s="103"/>
    </row>
    <row r="968" customFormat="false" ht="15" hidden="false" customHeight="false" outlineLevel="0" collapsed="false">
      <c r="A968" s="102"/>
      <c r="B968" s="103"/>
      <c r="C968" s="103"/>
      <c r="D968" s="104"/>
      <c r="E968" s="105"/>
      <c r="F968" s="103"/>
    </row>
    <row r="969" customFormat="false" ht="15" hidden="false" customHeight="false" outlineLevel="0" collapsed="false">
      <c r="A969" s="102"/>
      <c r="B969" s="103"/>
      <c r="C969" s="103"/>
      <c r="D969" s="104"/>
      <c r="E969" s="105"/>
      <c r="F969" s="103"/>
    </row>
    <row r="970" customFormat="false" ht="15" hidden="false" customHeight="false" outlineLevel="0" collapsed="false">
      <c r="A970" s="102"/>
      <c r="B970" s="103"/>
      <c r="C970" s="103"/>
      <c r="D970" s="104"/>
      <c r="E970" s="105"/>
      <c r="F970" s="103"/>
    </row>
    <row r="971" customFormat="false" ht="15" hidden="false" customHeight="false" outlineLevel="0" collapsed="false">
      <c r="A971" s="102"/>
      <c r="B971" s="103"/>
      <c r="C971" s="103"/>
      <c r="D971" s="104"/>
      <c r="E971" s="105"/>
      <c r="F971" s="103"/>
    </row>
    <row r="972" customFormat="false" ht="15" hidden="false" customHeight="false" outlineLevel="0" collapsed="false">
      <c r="A972" s="102"/>
      <c r="B972" s="103"/>
      <c r="C972" s="103"/>
      <c r="D972" s="104"/>
      <c r="E972" s="105"/>
      <c r="F972" s="103"/>
    </row>
    <row r="973" customFormat="false" ht="15" hidden="false" customHeight="false" outlineLevel="0" collapsed="false">
      <c r="A973" s="102"/>
      <c r="B973" s="103"/>
      <c r="C973" s="103"/>
      <c r="D973" s="104"/>
      <c r="E973" s="105"/>
      <c r="F973" s="103"/>
    </row>
    <row r="974" customFormat="false" ht="15" hidden="false" customHeight="false" outlineLevel="0" collapsed="false">
      <c r="A974" s="102"/>
      <c r="B974" s="103"/>
      <c r="C974" s="103"/>
      <c r="D974" s="104"/>
      <c r="E974" s="105"/>
      <c r="F974" s="103"/>
    </row>
    <row r="975" customFormat="false" ht="15" hidden="false" customHeight="false" outlineLevel="0" collapsed="false">
      <c r="A975" s="102"/>
      <c r="B975" s="103"/>
      <c r="C975" s="103"/>
      <c r="D975" s="104"/>
      <c r="E975" s="105"/>
      <c r="F975" s="103"/>
    </row>
    <row r="976" customFormat="false" ht="15" hidden="false" customHeight="false" outlineLevel="0" collapsed="false">
      <c r="A976" s="102"/>
      <c r="B976" s="103"/>
      <c r="C976" s="103"/>
      <c r="D976" s="104"/>
      <c r="E976" s="105"/>
      <c r="F976" s="103"/>
    </row>
    <row r="977" customFormat="false" ht="15" hidden="false" customHeight="false" outlineLevel="0" collapsed="false">
      <c r="A977" s="102"/>
      <c r="B977" s="103"/>
      <c r="C977" s="103"/>
      <c r="D977" s="104"/>
      <c r="E977" s="105"/>
      <c r="F977" s="103"/>
    </row>
    <row r="978" customFormat="false" ht="15" hidden="false" customHeight="false" outlineLevel="0" collapsed="false">
      <c r="A978" s="102"/>
      <c r="B978" s="103"/>
      <c r="C978" s="103"/>
      <c r="D978" s="104"/>
      <c r="E978" s="105"/>
      <c r="F978" s="103"/>
    </row>
    <row r="979" customFormat="false" ht="15" hidden="false" customHeight="false" outlineLevel="0" collapsed="false">
      <c r="A979" s="102"/>
      <c r="B979" s="103"/>
      <c r="C979" s="103"/>
      <c r="D979" s="104"/>
      <c r="E979" s="105"/>
      <c r="F979" s="103"/>
    </row>
    <row r="980" customFormat="false" ht="15" hidden="false" customHeight="false" outlineLevel="0" collapsed="false">
      <c r="A980" s="102"/>
      <c r="B980" s="103"/>
      <c r="C980" s="103"/>
      <c r="D980" s="104"/>
      <c r="E980" s="105"/>
      <c r="F980" s="103"/>
    </row>
    <row r="981" customFormat="false" ht="15" hidden="false" customHeight="false" outlineLevel="0" collapsed="false">
      <c r="A981" s="102"/>
      <c r="B981" s="103"/>
      <c r="C981" s="103"/>
      <c r="D981" s="104"/>
      <c r="E981" s="105"/>
      <c r="F981" s="103"/>
    </row>
    <row r="982" customFormat="false" ht="15" hidden="false" customHeight="false" outlineLevel="0" collapsed="false">
      <c r="A982" s="102"/>
      <c r="B982" s="103"/>
      <c r="C982" s="103"/>
      <c r="D982" s="104"/>
      <c r="E982" s="105"/>
      <c r="F982" s="103"/>
    </row>
    <row r="983" customFormat="false" ht="15" hidden="false" customHeight="false" outlineLevel="0" collapsed="false">
      <c r="A983" s="102"/>
      <c r="B983" s="103"/>
      <c r="C983" s="103"/>
      <c r="D983" s="104"/>
      <c r="E983" s="105"/>
      <c r="F983" s="103"/>
    </row>
    <row r="984" customFormat="false" ht="15" hidden="false" customHeight="false" outlineLevel="0" collapsed="false">
      <c r="A984" s="102"/>
      <c r="B984" s="103"/>
      <c r="C984" s="103"/>
      <c r="D984" s="104"/>
      <c r="E984" s="105"/>
      <c r="F984" s="103"/>
    </row>
    <row r="985" customFormat="false" ht="15" hidden="false" customHeight="false" outlineLevel="0" collapsed="false">
      <c r="A985" s="102"/>
      <c r="B985" s="103"/>
      <c r="C985" s="103"/>
      <c r="D985" s="104"/>
      <c r="E985" s="105"/>
      <c r="F985" s="103"/>
    </row>
    <row r="986" customFormat="false" ht="15" hidden="false" customHeight="false" outlineLevel="0" collapsed="false">
      <c r="A986" s="102"/>
      <c r="B986" s="103"/>
      <c r="C986" s="103"/>
      <c r="D986" s="104"/>
      <c r="E986" s="105"/>
      <c r="F986" s="103"/>
    </row>
    <row r="987" customFormat="false" ht="15" hidden="false" customHeight="false" outlineLevel="0" collapsed="false">
      <c r="A987" s="102"/>
      <c r="B987" s="103"/>
      <c r="C987" s="103"/>
      <c r="D987" s="104"/>
      <c r="E987" s="105"/>
      <c r="F987" s="103"/>
    </row>
    <row r="988" customFormat="false" ht="15" hidden="false" customHeight="false" outlineLevel="0" collapsed="false">
      <c r="A988" s="102"/>
      <c r="B988" s="103"/>
      <c r="C988" s="103"/>
      <c r="D988" s="104"/>
      <c r="E988" s="105"/>
      <c r="F988" s="103"/>
    </row>
    <row r="989" customFormat="false" ht="15" hidden="false" customHeight="false" outlineLevel="0" collapsed="false">
      <c r="A989" s="102"/>
      <c r="B989" s="103"/>
      <c r="C989" s="103"/>
      <c r="D989" s="104"/>
      <c r="E989" s="105"/>
      <c r="F989" s="103"/>
    </row>
    <row r="990" customFormat="false" ht="15" hidden="false" customHeight="false" outlineLevel="0" collapsed="false">
      <c r="A990" s="102"/>
      <c r="B990" s="103"/>
      <c r="C990" s="103"/>
      <c r="D990" s="104"/>
      <c r="E990" s="105"/>
      <c r="F990" s="103"/>
    </row>
    <row r="991" customFormat="false" ht="15" hidden="false" customHeight="false" outlineLevel="0" collapsed="false">
      <c r="A991" s="102"/>
      <c r="B991" s="103"/>
      <c r="C991" s="103"/>
      <c r="D991" s="104"/>
      <c r="E991" s="105"/>
      <c r="F991" s="103"/>
    </row>
    <row r="992" customFormat="false" ht="15" hidden="false" customHeight="false" outlineLevel="0" collapsed="false">
      <c r="A992" s="102"/>
      <c r="B992" s="103"/>
      <c r="C992" s="103"/>
      <c r="D992" s="104"/>
      <c r="E992" s="105"/>
      <c r="F992" s="103"/>
    </row>
    <row r="993" customFormat="false" ht="15" hidden="false" customHeight="false" outlineLevel="0" collapsed="false">
      <c r="A993" s="102"/>
      <c r="B993" s="103"/>
      <c r="C993" s="103"/>
      <c r="D993" s="104"/>
      <c r="E993" s="105"/>
      <c r="F993" s="103"/>
    </row>
    <row r="994" customFormat="false" ht="15" hidden="false" customHeight="false" outlineLevel="0" collapsed="false">
      <c r="A994" s="102"/>
      <c r="B994" s="103"/>
      <c r="C994" s="103"/>
      <c r="D994" s="104"/>
      <c r="E994" s="105"/>
      <c r="F994" s="103"/>
    </row>
    <row r="995" customFormat="false" ht="15" hidden="false" customHeight="false" outlineLevel="0" collapsed="false">
      <c r="A995" s="102"/>
      <c r="B995" s="103"/>
      <c r="C995" s="103"/>
      <c r="D995" s="104"/>
      <c r="E995" s="105"/>
      <c r="F995" s="103"/>
    </row>
    <row r="996" customFormat="false" ht="15" hidden="false" customHeight="false" outlineLevel="0" collapsed="false">
      <c r="A996" s="102"/>
      <c r="B996" s="103"/>
      <c r="C996" s="103"/>
      <c r="D996" s="104"/>
      <c r="E996" s="105"/>
      <c r="F996" s="103"/>
    </row>
    <row r="997" customFormat="false" ht="15" hidden="false" customHeight="false" outlineLevel="0" collapsed="false">
      <c r="A997" s="102"/>
      <c r="B997" s="103"/>
      <c r="C997" s="103"/>
      <c r="D997" s="104"/>
      <c r="E997" s="105"/>
      <c r="F997" s="103"/>
    </row>
    <row r="998" customFormat="false" ht="15" hidden="false" customHeight="false" outlineLevel="0" collapsed="false">
      <c r="A998" s="102"/>
      <c r="B998" s="103"/>
      <c r="C998" s="103"/>
      <c r="D998" s="104"/>
      <c r="E998" s="105"/>
      <c r="F998" s="103"/>
    </row>
    <row r="999" customFormat="false" ht="15" hidden="false" customHeight="false" outlineLevel="0" collapsed="false">
      <c r="A999" s="102"/>
      <c r="B999" s="103"/>
      <c r="C999" s="103"/>
      <c r="D999" s="104"/>
      <c r="E999" s="105"/>
      <c r="F999" s="103"/>
    </row>
    <row r="1000" customFormat="false" ht="15" hidden="false" customHeight="false" outlineLevel="0" collapsed="false">
      <c r="A1000" s="102"/>
      <c r="B1000" s="103"/>
      <c r="C1000" s="103"/>
      <c r="D1000" s="104"/>
      <c r="E1000" s="105"/>
      <c r="F1000" s="103"/>
    </row>
    <row r="1001" customFormat="false" ht="15" hidden="false" customHeight="false" outlineLevel="0" collapsed="false">
      <c r="A1001" s="102"/>
      <c r="B1001" s="103"/>
      <c r="C1001" s="103"/>
      <c r="D1001" s="104"/>
      <c r="E1001" s="105"/>
      <c r="F1001" s="103"/>
    </row>
    <row r="1002" customFormat="false" ht="15" hidden="false" customHeight="false" outlineLevel="0" collapsed="false">
      <c r="A1002" s="102"/>
      <c r="B1002" s="103"/>
      <c r="C1002" s="103"/>
      <c r="D1002" s="104"/>
      <c r="E1002" s="105"/>
      <c r="F1002" s="103"/>
    </row>
    <row r="1003" customFormat="false" ht="15" hidden="false" customHeight="false" outlineLevel="0" collapsed="false">
      <c r="A1003" s="102"/>
      <c r="B1003" s="103"/>
      <c r="C1003" s="103"/>
      <c r="D1003" s="104"/>
      <c r="E1003" s="105"/>
      <c r="F1003" s="103"/>
    </row>
    <row r="1004" customFormat="false" ht="15" hidden="false" customHeight="false" outlineLevel="0" collapsed="false">
      <c r="A1004" s="102"/>
      <c r="B1004" s="103"/>
      <c r="C1004" s="103"/>
      <c r="D1004" s="104"/>
      <c r="E1004" s="105"/>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1479</v>
      </c>
    </row>
    <row r="2" customFormat="false" ht="15" hidden="false" customHeight="false" outlineLevel="0" collapsed="false">
      <c r="A2" s="2" t="s">
        <v>1480</v>
      </c>
    </row>
    <row r="3" customFormat="false" ht="30" hidden="false" customHeight="true" outlineLevel="0" collapsed="false">
      <c r="B3" s="9" t="s">
        <v>1481</v>
      </c>
      <c r="G3" s="8" t="s">
        <v>1482</v>
      </c>
      <c r="H3" s="8"/>
      <c r="I3" s="8"/>
      <c r="J3" s="8"/>
      <c r="K3" s="8"/>
      <c r="L3" s="8"/>
      <c r="M3" s="8"/>
      <c r="N3" s="8"/>
      <c r="O3" s="8"/>
      <c r="P3" s="8"/>
    </row>
    <row r="4" customFormat="false" ht="15" hidden="false" customHeight="false" outlineLevel="0" collapsed="false">
      <c r="B4" s="30" t="s">
        <v>366</v>
      </c>
      <c r="C4" s="39" t="s">
        <v>1483</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1484</v>
      </c>
      <c r="C5" s="39" t="s">
        <v>1485</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1486</v>
      </c>
      <c r="C6" s="39" t="s">
        <v>1487</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1488</v>
      </c>
      <c r="C7" s="39" t="s">
        <v>1489</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1490</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366</v>
      </c>
      <c r="AG9" s="12" t="s">
        <v>324</v>
      </c>
      <c r="AH9" s="12" t="s">
        <v>1452</v>
      </c>
      <c r="AI9" s="12" t="s">
        <v>407</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1491</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1492</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1493</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1494</v>
      </c>
    </row>
    <row r="2" customFormat="false" ht="15" hidden="false" customHeight="false" outlineLevel="0" collapsed="false">
      <c r="A2" s="2" t="s">
        <v>1495</v>
      </c>
    </row>
    <row r="3" customFormat="false" ht="30" hidden="false" customHeight="true" outlineLevel="0" collapsed="false">
      <c r="A3" s="8" t="s">
        <v>1496</v>
      </c>
      <c r="B3" s="8"/>
      <c r="C3" s="8"/>
      <c r="D3" s="8"/>
      <c r="E3" s="8"/>
      <c r="F3" s="8"/>
      <c r="G3" s="8"/>
      <c r="H3" s="8"/>
      <c r="I3" s="8"/>
      <c r="AG3" s="84" t="s">
        <v>1497</v>
      </c>
    </row>
    <row r="4" customFormat="false" ht="30" hidden="false" customHeight="true" outlineLevel="0" collapsed="false">
      <c r="A4" s="12" t="s">
        <v>366</v>
      </c>
      <c r="B4" s="12" t="s">
        <v>1498</v>
      </c>
      <c r="C4" s="12" t="s">
        <v>1499</v>
      </c>
      <c r="D4" s="12" t="s">
        <v>1500</v>
      </c>
      <c r="E4" s="12" t="s">
        <v>1501</v>
      </c>
      <c r="F4" s="12" t="s">
        <v>1502</v>
      </c>
      <c r="G4" s="12" t="s">
        <v>1503</v>
      </c>
      <c r="H4" s="12" t="s">
        <v>1504</v>
      </c>
      <c r="I4" s="12" t="s">
        <v>1505</v>
      </c>
      <c r="T4" s="12" t="s">
        <v>1506</v>
      </c>
      <c r="U4" s="12" t="s">
        <v>1507</v>
      </c>
      <c r="V4" s="12" t="s">
        <v>1508</v>
      </c>
      <c r="W4" s="12" t="s">
        <v>1509</v>
      </c>
      <c r="X4" s="12" t="s">
        <v>1510</v>
      </c>
      <c r="Y4" s="12" t="s">
        <v>1511</v>
      </c>
      <c r="Z4" s="12" t="s">
        <v>1512</v>
      </c>
      <c r="AA4" s="12" t="s">
        <v>1513</v>
      </c>
      <c r="AB4" s="12" t="s">
        <v>1514</v>
      </c>
      <c r="AC4" s="12" t="s">
        <v>1515</v>
      </c>
      <c r="AD4" s="12" t="s">
        <v>1516</v>
      </c>
      <c r="AE4" s="12" t="s">
        <v>1517</v>
      </c>
      <c r="AG4" s="12" t="s">
        <v>231</v>
      </c>
      <c r="AH4" s="12" t="s">
        <v>1518</v>
      </c>
      <c r="AI4" s="12" t="s">
        <v>1519</v>
      </c>
    </row>
    <row r="5" customFormat="false" ht="15" hidden="false" customHeight="false" outlineLevel="0" collapsed="false">
      <c r="A5" s="102" t="n">
        <v>46366</v>
      </c>
      <c r="B5" s="104" t="s">
        <v>1520</v>
      </c>
      <c r="C5" s="103" t="s">
        <v>1521</v>
      </c>
      <c r="D5" s="103" t="s">
        <v>1522</v>
      </c>
      <c r="E5" s="104" t="s">
        <v>1523</v>
      </c>
      <c r="F5" s="103" t="n">
        <v>600</v>
      </c>
      <c r="G5" s="103"/>
      <c r="H5" s="104" t="s">
        <v>805</v>
      </c>
      <c r="I5" s="103" t="s">
        <v>1524</v>
      </c>
      <c r="T5" s="30" t="n">
        <f aca="false">IF(C5="","",IF(COUNTIFS(C$5:C5,C5,E$5:E5,E5)=1,1,0))</f>
        <v>1</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1</v>
      </c>
      <c r="AG5" s="7" t="s">
        <v>1525</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t="n">
        <v>46367</v>
      </c>
      <c r="B6" s="104" t="s">
        <v>1520</v>
      </c>
      <c r="C6" s="103" t="s">
        <v>1526</v>
      </c>
      <c r="D6" s="103" t="s">
        <v>1527</v>
      </c>
      <c r="E6" s="104" t="s">
        <v>1523</v>
      </c>
      <c r="F6" s="103" t="n">
        <v>600</v>
      </c>
      <c r="G6" s="103"/>
      <c r="H6" s="104" t="s">
        <v>805</v>
      </c>
      <c r="I6" s="103" t="s">
        <v>1528</v>
      </c>
      <c r="T6" s="30" t="n">
        <f aca="false">IF(C6="","",IF(COUNTIFS(C$5:C6,C6,E$5:E6,E6)=1,1,0))</f>
        <v>1</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1</v>
      </c>
      <c r="AG6" s="7" t="s">
        <v>1529</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c r="B7" s="104"/>
      <c r="C7" s="103"/>
      <c r="D7" s="103"/>
      <c r="E7" s="104"/>
      <c r="F7" s="103"/>
      <c r="G7" s="103"/>
      <c r="H7" s="104"/>
      <c r="I7" s="103"/>
      <c r="T7" s="30" t="str">
        <f aca="false">IF(C7="","",IF(COUNTIFS(C$5:C7,C7,E$5:E7,E7)=1,1,0))</f>
        <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0</v>
      </c>
      <c r="AG7" s="7" t="s">
        <v>1530</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c r="B8" s="104"/>
      <c r="C8" s="103"/>
      <c r="D8" s="103"/>
      <c r="E8" s="104"/>
      <c r="F8" s="103"/>
      <c r="G8" s="103"/>
      <c r="H8" s="104"/>
      <c r="I8" s="103"/>
      <c r="T8" s="30" t="str">
        <f aca="false">IF(C8="","",IF(COUNTIFS(C$5:C8,C8,E$5:E8,E8)=1,1,0))</f>
        <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1531</v>
      </c>
      <c r="AH8" s="22" t="n">
        <f aca="false">SUMIFS(Pipeline!$V$5:$V$1004,Pipeline!$A$5:$A$1004,"&lt;="&amp;Inputs!$C$11)</f>
        <v>0</v>
      </c>
      <c r="AI8" s="18" t="n">
        <f aca="false">Inputs!$C$11</f>
        <v>46339</v>
      </c>
    </row>
    <row r="9" customFormat="false" ht="15" hidden="false" customHeight="false" outlineLevel="0" collapsed="false">
      <c r="A9" s="102"/>
      <c r="B9" s="104"/>
      <c r="C9" s="103"/>
      <c r="D9" s="103"/>
      <c r="E9" s="104"/>
      <c r="F9" s="103"/>
      <c r="G9" s="103"/>
      <c r="H9" s="104"/>
      <c r="I9" s="103"/>
      <c r="T9" s="30" t="str">
        <f aca="false">IF(C9="","",IF(COUNTIFS(C$5:C9,C9,E$5:E9,E9)=1,1,0))</f>
        <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0</v>
      </c>
      <c r="AG9" s="7" t="s">
        <v>1532</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c r="B10" s="104"/>
      <c r="C10" s="103"/>
      <c r="D10" s="103"/>
      <c r="E10" s="104"/>
      <c r="F10" s="103"/>
      <c r="G10" s="103"/>
      <c r="H10" s="104"/>
      <c r="I10" s="103"/>
      <c r="T10" s="30" t="str">
        <f aca="false">IF(C10="","",IF(COUNTIFS(C$5:C10,C10,E$5:E10,E10)=1,1,0))</f>
        <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1533</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c r="B11" s="104"/>
      <c r="C11" s="103"/>
      <c r="D11" s="103"/>
      <c r="E11" s="104"/>
      <c r="F11" s="103"/>
      <c r="G11" s="103"/>
      <c r="H11" s="104"/>
      <c r="I11" s="103"/>
      <c r="T11" s="30" t="str">
        <f aca="false">IF(C11="","",IF(COUNTIFS(C$5:C11,C11,E$5:E11,E11)=1,1,0))</f>
        <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0</v>
      </c>
      <c r="AG11" s="7" t="s">
        <v>1534</v>
      </c>
      <c r="AH11" s="22" t="n">
        <f aca="false">SUMIFS(Pipeline!$AE$5:$AE$1004,Pipeline!$A$5:$A$1004,"&lt;="&amp;Inputs!$C$12)</f>
        <v>2</v>
      </c>
      <c r="AI11" s="18" t="n">
        <f aca="false">Inputs!$C$12</f>
        <v>46367</v>
      </c>
    </row>
    <row r="12" customFormat="false" ht="28.35" hidden="false" customHeight="false" outlineLevel="0" collapsed="false">
      <c r="A12" s="102"/>
      <c r="B12" s="104"/>
      <c r="C12" s="103"/>
      <c r="D12" s="103"/>
      <c r="E12" s="104"/>
      <c r="F12" s="103"/>
      <c r="G12" s="103"/>
      <c r="H12" s="104"/>
      <c r="I12" s="103"/>
      <c r="T12" s="30" t="str">
        <f aca="false">IF(C12="","",IF(COUNTIFS(C$5:C12,C12,E$5:E12,E12)=1,1,0))</f>
        <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1535</v>
      </c>
      <c r="AH12" s="22" t="n">
        <f aca="false">SUMIFS(Pipeline!$Z$5:$Z$1004,Pipeline!$A$5:$A$1004,"&lt;="&amp;Inputs!$C$14)</f>
        <v>0</v>
      </c>
      <c r="AI12" s="18" t="n">
        <f aca="false">Inputs!$C$14</f>
        <v>46458</v>
      </c>
    </row>
    <row r="13" customFormat="false" ht="15" hidden="false" customHeight="false" outlineLevel="0" collapsed="false">
      <c r="A13" s="102"/>
      <c r="B13" s="104"/>
      <c r="C13" s="103"/>
      <c r="D13" s="103"/>
      <c r="E13" s="104"/>
      <c r="F13" s="103"/>
      <c r="G13" s="103"/>
      <c r="H13" s="104"/>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1536</v>
      </c>
      <c r="AH13" s="22" t="n">
        <f aca="false">SUMIFS(Pipeline!$X$5:$X$1004,Pipeline!$A$5:$A$1004,"&lt;="&amp;Inputs!$C$17)</f>
        <v>0</v>
      </c>
      <c r="AI13" s="18" t="n">
        <f aca="false">Inputs!$C$17</f>
        <v>46430</v>
      </c>
    </row>
    <row r="14" customFormat="false" ht="15" hidden="false" customHeight="false" outlineLevel="0" collapsed="false">
      <c r="A14" s="102"/>
      <c r="B14" s="104"/>
      <c r="C14" s="103"/>
      <c r="D14" s="103"/>
      <c r="E14" s="104"/>
      <c r="F14" s="103"/>
      <c r="G14" s="103"/>
      <c r="H14" s="104"/>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1537</v>
      </c>
      <c r="AH14" s="22" t="n">
        <f aca="false">SUMIFS(Pipeline!$T$5:$T$1004,Pipeline!$B$5:$B$1004,"office",Pipeline!$E$5:$E$1004,"signed",Pipeline!$A$5:$A$1004,"&lt;="&amp;Inputs!$C$17)</f>
        <v>0</v>
      </c>
      <c r="AI14" s="18" t="n">
        <f aca="false">Inputs!$C$17</f>
        <v>46430</v>
      </c>
    </row>
    <row r="15" customFormat="false" ht="15" hidden="false" customHeight="false" outlineLevel="0" collapsed="false">
      <c r="A15" s="102"/>
      <c r="B15" s="104"/>
      <c r="C15" s="103"/>
      <c r="D15" s="103"/>
      <c r="E15" s="104"/>
      <c r="F15" s="103"/>
      <c r="G15" s="103"/>
      <c r="H15" s="104"/>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1538</v>
      </c>
      <c r="AH15" s="22" t="n">
        <f aca="false">SUMIFS(Pipeline!$T$5:$T$1004,Pipeline!$B$5:$B$1004,"office",Pipeline!$E$5:$E$1004,"opt_out",Pipeline!$A$5:$A$1004,"&lt;="&amp;Inputs!$C$17)</f>
        <v>0</v>
      </c>
      <c r="AI15" s="18" t="n">
        <f aca="false">Inputs!$C$17</f>
        <v>46430</v>
      </c>
    </row>
    <row r="16" customFormat="false" ht="15" hidden="false" customHeight="false" outlineLevel="0" collapsed="false">
      <c r="A16" s="102"/>
      <c r="B16" s="104"/>
      <c r="C16" s="103"/>
      <c r="D16" s="103"/>
      <c r="E16" s="104"/>
      <c r="F16" s="103"/>
      <c r="G16" s="103"/>
      <c r="H16" s="104"/>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1539</v>
      </c>
      <c r="AH16" s="22" t="n">
        <f aca="false">SUMIFS(Pipeline!$T$5:$T$1004,Pipeline!$B$5:$B$1004,"brand",Pipeline!$E$5:$E$1004,"paid",Pipeline!$A$5:$A$1004,"&lt;="&amp;Inputs!$C$17)</f>
        <v>2</v>
      </c>
      <c r="AI16" s="18" t="n">
        <f aca="false">Inputs!$C$17</f>
        <v>46430</v>
      </c>
    </row>
    <row r="17" customFormat="false" ht="15" hidden="false" customHeight="false" outlineLevel="0" collapsed="false">
      <c r="A17" s="102"/>
      <c r="B17" s="104"/>
      <c r="C17" s="103"/>
      <c r="D17" s="103"/>
      <c r="E17" s="104"/>
      <c r="F17" s="103"/>
      <c r="G17" s="103"/>
      <c r="H17" s="104"/>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1540</v>
      </c>
      <c r="AH17" s="22" t="n">
        <f aca="false">SUMIFS(Pipeline!$T$5:$T$1004,Pipeline!$B$5:$B$1004,"brand",Pipeline!$E$5:$E$1004,"conversation",Pipeline!$A$5:$A$1004,"&lt;="&amp;Inputs!$C$17)</f>
        <v>0</v>
      </c>
      <c r="AI17" s="18" t="n">
        <f aca="false">Inputs!$C$17</f>
        <v>46430</v>
      </c>
    </row>
    <row r="18" customFormat="false" ht="28.35" hidden="false" customHeight="false" outlineLevel="0" collapsed="false">
      <c r="A18" s="102"/>
      <c r="B18" s="104"/>
      <c r="C18" s="103"/>
      <c r="D18" s="103"/>
      <c r="E18" s="104"/>
      <c r="F18" s="103"/>
      <c r="G18" s="103"/>
      <c r="H18" s="104"/>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1541</v>
      </c>
      <c r="AH18" s="22" t="n">
        <f aca="false">COUNTIFS(Pipeline!$E$5:$E$1004,"outreach_sent",Pipeline!$A$5:$A$1004,"&lt;="&amp;Inputs!$C$17)</f>
        <v>0</v>
      </c>
      <c r="AI18" s="18" t="n">
        <f aca="false">Inputs!$C$17</f>
        <v>46430</v>
      </c>
    </row>
    <row r="19" customFormat="false" ht="28.35" hidden="false" customHeight="false" outlineLevel="0" collapsed="false">
      <c r="A19" s="102"/>
      <c r="B19" s="104"/>
      <c r="C19" s="103"/>
      <c r="D19" s="103"/>
      <c r="E19" s="104"/>
      <c r="F19" s="103"/>
      <c r="G19" s="103"/>
      <c r="H19" s="104"/>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1542</v>
      </c>
      <c r="AH19" s="37" t="str">
        <f aca="false">IF(COUNT(Pipeline!$AB$5:$AB$1004)&gt;0,MEDIAN(Pipeline!$AB$5:$AB$1004),"")</f>
        <v/>
      </c>
      <c r="AI19" s="18"/>
    </row>
    <row r="20" customFormat="false" ht="28.35" hidden="false" customHeight="false" outlineLevel="0" collapsed="false">
      <c r="A20" s="102"/>
      <c r="B20" s="104"/>
      <c r="C20" s="103"/>
      <c r="D20" s="103"/>
      <c r="E20" s="104"/>
      <c r="F20" s="103"/>
      <c r="G20" s="103"/>
      <c r="H20" s="104"/>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1543</v>
      </c>
      <c r="AH20" s="37" t="str">
        <f aca="false">IF(COUNT(Pipeline!$AC$5:$AC$1004)&gt;0,MEDIAN(Pipeline!$AC$5:$AC$1004),"")</f>
        <v/>
      </c>
      <c r="AI20" s="18"/>
    </row>
    <row r="21" customFormat="false" ht="28.35" hidden="false" customHeight="false" outlineLevel="0" collapsed="false">
      <c r="A21" s="102"/>
      <c r="B21" s="104"/>
      <c r="C21" s="103"/>
      <c r="D21" s="103"/>
      <c r="E21" s="104"/>
      <c r="F21" s="103"/>
      <c r="G21" s="103"/>
      <c r="H21" s="104"/>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1544</v>
      </c>
      <c r="AH21" s="37" t="str">
        <f aca="false">IF(COUNT(Pipeline!$AD$5:$AD$1004)&gt;0,MEDIAN(Pipeline!$AD$5:$AD$1004),"")</f>
        <v/>
      </c>
      <c r="AI21" s="18"/>
    </row>
    <row r="22" customFormat="false" ht="15" hidden="false" customHeight="false" outlineLevel="0" collapsed="false">
      <c r="A22" s="102"/>
      <c r="B22" s="104"/>
      <c r="C22" s="103"/>
      <c r="D22" s="103"/>
      <c r="E22" s="104"/>
      <c r="F22" s="103"/>
      <c r="G22" s="103"/>
      <c r="H22" s="104"/>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1545</v>
      </c>
      <c r="AH22" s="22" t="n">
        <f aca="false">COUNTA(Pipeline!$E$5:$E$1004)-SUMPRODUCT(COUNTIF(Pipeline!$E$5:$E$1004,Lists!$H$4:$H$11))</f>
        <v>0</v>
      </c>
      <c r="AI22" s="18"/>
    </row>
    <row r="23" customFormat="false" ht="15" hidden="false" customHeight="false" outlineLevel="0" collapsed="false">
      <c r="A23" s="102"/>
      <c r="B23" s="104"/>
      <c r="C23" s="103"/>
      <c r="D23" s="103"/>
      <c r="E23" s="104"/>
      <c r="F23" s="103"/>
      <c r="G23" s="103"/>
      <c r="H23" s="104"/>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1546</v>
      </c>
      <c r="AH23" s="22" t="n">
        <f aca="false">COUNTA(Pipeline!$B$5:$B$1004)-SUMPRODUCT(COUNTIF(Pipeline!$B$5:$B$1004,Lists!$G$4:$G$5))</f>
        <v>0</v>
      </c>
      <c r="AI23" s="18"/>
    </row>
    <row r="24" customFormat="false" ht="15" hidden="false" customHeight="false" outlineLevel="0" collapsed="false">
      <c r="A24" s="102"/>
      <c r="B24" s="104"/>
      <c r="C24" s="103"/>
      <c r="D24" s="103"/>
      <c r="E24" s="104"/>
      <c r="F24" s="103"/>
      <c r="G24" s="103"/>
      <c r="H24" s="104"/>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1547</v>
      </c>
      <c r="AH24" s="22" t="n">
        <f aca="false">Pipeline!$AH$14-Pipeline!$AH$15</f>
        <v>0</v>
      </c>
    </row>
    <row r="25" customFormat="false" ht="15" hidden="false" customHeight="false" outlineLevel="0" collapsed="false">
      <c r="A25" s="102"/>
      <c r="B25" s="104"/>
      <c r="C25" s="103"/>
      <c r="D25" s="103"/>
      <c r="E25" s="104"/>
      <c r="F25" s="103"/>
      <c r="G25" s="103"/>
      <c r="H25" s="104"/>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4"/>
      <c r="C26" s="103"/>
      <c r="D26" s="103"/>
      <c r="E26" s="104"/>
      <c r="F26" s="103"/>
      <c r="G26" s="103"/>
      <c r="H26" s="104"/>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4"/>
      <c r="C27" s="103"/>
      <c r="D27" s="103"/>
      <c r="E27" s="104"/>
      <c r="F27" s="103"/>
      <c r="G27" s="103"/>
      <c r="H27" s="104"/>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4"/>
      <c r="C28" s="103"/>
      <c r="D28" s="103"/>
      <c r="E28" s="104"/>
      <c r="F28" s="103"/>
      <c r="G28" s="103"/>
      <c r="H28" s="104"/>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4"/>
      <c r="C29" s="103"/>
      <c r="D29" s="103"/>
      <c r="E29" s="104"/>
      <c r="F29" s="103"/>
      <c r="G29" s="103"/>
      <c r="H29" s="104"/>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4"/>
      <c r="C30" s="103"/>
      <c r="D30" s="103"/>
      <c r="E30" s="104"/>
      <c r="F30" s="103"/>
      <c r="G30" s="103"/>
      <c r="H30" s="104"/>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4"/>
      <c r="C31" s="103"/>
      <c r="D31" s="103"/>
      <c r="E31" s="104"/>
      <c r="F31" s="103"/>
      <c r="G31" s="103"/>
      <c r="H31" s="104"/>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4"/>
      <c r="C32" s="103"/>
      <c r="D32" s="103"/>
      <c r="E32" s="104"/>
      <c r="F32" s="103"/>
      <c r="G32" s="103"/>
      <c r="H32" s="104"/>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4"/>
      <c r="C33" s="103"/>
      <c r="D33" s="103"/>
      <c r="E33" s="104"/>
      <c r="F33" s="103"/>
      <c r="G33" s="103"/>
      <c r="H33" s="104"/>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4"/>
      <c r="C34" s="103"/>
      <c r="D34" s="103"/>
      <c r="E34" s="104"/>
      <c r="F34" s="103"/>
      <c r="G34" s="103"/>
      <c r="H34" s="104"/>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4"/>
      <c r="C35" s="103"/>
      <c r="D35" s="103"/>
      <c r="E35" s="104"/>
      <c r="F35" s="103"/>
      <c r="G35" s="103"/>
      <c r="H35" s="104"/>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4"/>
      <c r="C36" s="103"/>
      <c r="D36" s="103"/>
      <c r="E36" s="104"/>
      <c r="F36" s="103"/>
      <c r="G36" s="103"/>
      <c r="H36" s="104"/>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4"/>
      <c r="C37" s="103"/>
      <c r="D37" s="103"/>
      <c r="E37" s="104"/>
      <c r="F37" s="103"/>
      <c r="G37" s="103"/>
      <c r="H37" s="104"/>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4"/>
      <c r="C38" s="103"/>
      <c r="D38" s="103"/>
      <c r="E38" s="104"/>
      <c r="F38" s="103"/>
      <c r="G38" s="103"/>
      <c r="H38" s="104"/>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4"/>
      <c r="C39" s="103"/>
      <c r="D39" s="103"/>
      <c r="E39" s="104"/>
      <c r="F39" s="103"/>
      <c r="G39" s="103"/>
      <c r="H39" s="104"/>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4"/>
      <c r="C40" s="103"/>
      <c r="D40" s="103"/>
      <c r="E40" s="104"/>
      <c r="F40" s="103"/>
      <c r="G40" s="103"/>
      <c r="H40" s="104"/>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4"/>
      <c r="C41" s="103"/>
      <c r="D41" s="103"/>
      <c r="E41" s="104"/>
      <c r="F41" s="103"/>
      <c r="G41" s="103"/>
      <c r="H41" s="104"/>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4"/>
      <c r="C42" s="103"/>
      <c r="D42" s="103"/>
      <c r="E42" s="104"/>
      <c r="F42" s="103"/>
      <c r="G42" s="103"/>
      <c r="H42" s="104"/>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4"/>
      <c r="C43" s="103"/>
      <c r="D43" s="103"/>
      <c r="E43" s="104"/>
      <c r="F43" s="103"/>
      <c r="G43" s="103"/>
      <c r="H43" s="104"/>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4"/>
      <c r="C44" s="103"/>
      <c r="D44" s="103"/>
      <c r="E44" s="104"/>
      <c r="F44" s="103"/>
      <c r="G44" s="103"/>
      <c r="H44" s="104"/>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4"/>
      <c r="C45" s="103"/>
      <c r="D45" s="103"/>
      <c r="E45" s="104"/>
      <c r="F45" s="103"/>
      <c r="G45" s="103"/>
      <c r="H45" s="104"/>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4"/>
      <c r="C46" s="103"/>
      <c r="D46" s="103"/>
      <c r="E46" s="104"/>
      <c r="F46" s="103"/>
      <c r="G46" s="103"/>
      <c r="H46" s="104"/>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4"/>
      <c r="C47" s="103"/>
      <c r="D47" s="103"/>
      <c r="E47" s="104"/>
      <c r="F47" s="103"/>
      <c r="G47" s="103"/>
      <c r="H47" s="104"/>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4"/>
      <c r="C48" s="103"/>
      <c r="D48" s="103"/>
      <c r="E48" s="104"/>
      <c r="F48" s="103"/>
      <c r="G48" s="103"/>
      <c r="H48" s="104"/>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4"/>
      <c r="C49" s="103"/>
      <c r="D49" s="103"/>
      <c r="E49" s="104"/>
      <c r="F49" s="103"/>
      <c r="G49" s="103"/>
      <c r="H49" s="104"/>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4"/>
      <c r="C50" s="103"/>
      <c r="D50" s="103"/>
      <c r="E50" s="104"/>
      <c r="F50" s="103"/>
      <c r="G50" s="103"/>
      <c r="H50" s="104"/>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4"/>
      <c r="C51" s="103"/>
      <c r="D51" s="103"/>
      <c r="E51" s="104"/>
      <c r="F51" s="103"/>
      <c r="G51" s="103"/>
      <c r="H51" s="104"/>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4"/>
      <c r="C52" s="103"/>
      <c r="D52" s="103"/>
      <c r="E52" s="104"/>
      <c r="F52" s="103"/>
      <c r="G52" s="103"/>
      <c r="H52" s="104"/>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4"/>
      <c r="C53" s="103"/>
      <c r="D53" s="103"/>
      <c r="E53" s="104"/>
      <c r="F53" s="103"/>
      <c r="G53" s="103"/>
      <c r="H53" s="104"/>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4"/>
      <c r="C54" s="103"/>
      <c r="D54" s="103"/>
      <c r="E54" s="104"/>
      <c r="F54" s="103"/>
      <c r="G54" s="103"/>
      <c r="H54" s="104"/>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4"/>
      <c r="C55" s="103"/>
      <c r="D55" s="103"/>
      <c r="E55" s="104"/>
      <c r="F55" s="103"/>
      <c r="G55" s="103"/>
      <c r="H55" s="104"/>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4"/>
      <c r="C56" s="103"/>
      <c r="D56" s="103"/>
      <c r="E56" s="104"/>
      <c r="F56" s="103"/>
      <c r="G56" s="103"/>
      <c r="H56" s="104"/>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4"/>
      <c r="C57" s="103"/>
      <c r="D57" s="103"/>
      <c r="E57" s="104"/>
      <c r="F57" s="103"/>
      <c r="G57" s="103"/>
      <c r="H57" s="104"/>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4"/>
      <c r="C58" s="103"/>
      <c r="D58" s="103"/>
      <c r="E58" s="104"/>
      <c r="F58" s="103"/>
      <c r="G58" s="103"/>
      <c r="H58" s="104"/>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4"/>
      <c r="C59" s="103"/>
      <c r="D59" s="103"/>
      <c r="E59" s="104"/>
      <c r="F59" s="103"/>
      <c r="G59" s="103"/>
      <c r="H59" s="104"/>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4"/>
      <c r="C60" s="103"/>
      <c r="D60" s="103"/>
      <c r="E60" s="104"/>
      <c r="F60" s="103"/>
      <c r="G60" s="103"/>
      <c r="H60" s="104"/>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4"/>
      <c r="C61" s="103"/>
      <c r="D61" s="103"/>
      <c r="E61" s="104"/>
      <c r="F61" s="103"/>
      <c r="G61" s="103"/>
      <c r="H61" s="104"/>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4"/>
      <c r="C62" s="103"/>
      <c r="D62" s="103"/>
      <c r="E62" s="104"/>
      <c r="F62" s="103"/>
      <c r="G62" s="103"/>
      <c r="H62" s="104"/>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4"/>
      <c r="C63" s="103"/>
      <c r="D63" s="103"/>
      <c r="E63" s="104"/>
      <c r="F63" s="103"/>
      <c r="G63" s="103"/>
      <c r="H63" s="104"/>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4"/>
      <c r="C64" s="103"/>
      <c r="D64" s="103"/>
      <c r="E64" s="104"/>
      <c r="F64" s="103"/>
      <c r="G64" s="103"/>
      <c r="H64" s="104"/>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4"/>
      <c r="C65" s="103"/>
      <c r="D65" s="103"/>
      <c r="E65" s="104"/>
      <c r="F65" s="103"/>
      <c r="G65" s="103"/>
      <c r="H65" s="104"/>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4"/>
      <c r="C66" s="103"/>
      <c r="D66" s="103"/>
      <c r="E66" s="104"/>
      <c r="F66" s="103"/>
      <c r="G66" s="103"/>
      <c r="H66" s="104"/>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4"/>
      <c r="C67" s="103"/>
      <c r="D67" s="103"/>
      <c r="E67" s="104"/>
      <c r="F67" s="103"/>
      <c r="G67" s="103"/>
      <c r="H67" s="104"/>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4"/>
      <c r="C68" s="103"/>
      <c r="D68" s="103"/>
      <c r="E68" s="104"/>
      <c r="F68" s="103"/>
      <c r="G68" s="103"/>
      <c r="H68" s="104"/>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4"/>
      <c r="C69" s="103"/>
      <c r="D69" s="103"/>
      <c r="E69" s="104"/>
      <c r="F69" s="103"/>
      <c r="G69" s="103"/>
      <c r="H69" s="104"/>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4"/>
      <c r="C70" s="103"/>
      <c r="D70" s="103"/>
      <c r="E70" s="104"/>
      <c r="F70" s="103"/>
      <c r="G70" s="103"/>
      <c r="H70" s="104"/>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4"/>
      <c r="C71" s="103"/>
      <c r="D71" s="103"/>
      <c r="E71" s="104"/>
      <c r="F71" s="103"/>
      <c r="G71" s="103"/>
      <c r="H71" s="104"/>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4"/>
      <c r="C72" s="103"/>
      <c r="D72" s="103"/>
      <c r="E72" s="104"/>
      <c r="F72" s="103"/>
      <c r="G72" s="103"/>
      <c r="H72" s="104"/>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4"/>
      <c r="C73" s="103"/>
      <c r="D73" s="103"/>
      <c r="E73" s="104"/>
      <c r="F73" s="103"/>
      <c r="G73" s="103"/>
      <c r="H73" s="104"/>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4"/>
      <c r="C74" s="103"/>
      <c r="D74" s="103"/>
      <c r="E74" s="104"/>
      <c r="F74" s="103"/>
      <c r="G74" s="103"/>
      <c r="H74" s="104"/>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4"/>
      <c r="C75" s="103"/>
      <c r="D75" s="103"/>
      <c r="E75" s="104"/>
      <c r="F75" s="103"/>
      <c r="G75" s="103"/>
      <c r="H75" s="104"/>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4"/>
      <c r="C76" s="103"/>
      <c r="D76" s="103"/>
      <c r="E76" s="104"/>
      <c r="F76" s="103"/>
      <c r="G76" s="103"/>
      <c r="H76" s="104"/>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4"/>
      <c r="C77" s="103"/>
      <c r="D77" s="103"/>
      <c r="E77" s="104"/>
      <c r="F77" s="103"/>
      <c r="G77" s="103"/>
      <c r="H77" s="104"/>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4"/>
      <c r="C78" s="103"/>
      <c r="D78" s="103"/>
      <c r="E78" s="104"/>
      <c r="F78" s="103"/>
      <c r="G78" s="103"/>
      <c r="H78" s="104"/>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4"/>
      <c r="C79" s="103"/>
      <c r="D79" s="103"/>
      <c r="E79" s="104"/>
      <c r="F79" s="103"/>
      <c r="G79" s="103"/>
      <c r="H79" s="104"/>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4"/>
      <c r="C80" s="103"/>
      <c r="D80" s="103"/>
      <c r="E80" s="104"/>
      <c r="F80" s="103"/>
      <c r="G80" s="103"/>
      <c r="H80" s="104"/>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4"/>
      <c r="C81" s="103"/>
      <c r="D81" s="103"/>
      <c r="E81" s="104"/>
      <c r="F81" s="103"/>
      <c r="G81" s="103"/>
      <c r="H81" s="104"/>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4"/>
      <c r="C82" s="103"/>
      <c r="D82" s="103"/>
      <c r="E82" s="104"/>
      <c r="F82" s="103"/>
      <c r="G82" s="103"/>
      <c r="H82" s="104"/>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4"/>
      <c r="C83" s="103"/>
      <c r="D83" s="103"/>
      <c r="E83" s="104"/>
      <c r="F83" s="103"/>
      <c r="G83" s="103"/>
      <c r="H83" s="104"/>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4"/>
      <c r="C84" s="103"/>
      <c r="D84" s="103"/>
      <c r="E84" s="104"/>
      <c r="F84" s="103"/>
      <c r="G84" s="103"/>
      <c r="H84" s="104"/>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4"/>
      <c r="C85" s="103"/>
      <c r="D85" s="103"/>
      <c r="E85" s="104"/>
      <c r="F85" s="103"/>
      <c r="G85" s="103"/>
      <c r="H85" s="104"/>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4"/>
      <c r="C86" s="103"/>
      <c r="D86" s="103"/>
      <c r="E86" s="104"/>
      <c r="F86" s="103"/>
      <c r="G86" s="103"/>
      <c r="H86" s="104"/>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4"/>
      <c r="C87" s="103"/>
      <c r="D87" s="103"/>
      <c r="E87" s="104"/>
      <c r="F87" s="103"/>
      <c r="G87" s="103"/>
      <c r="H87" s="104"/>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4"/>
      <c r="C88" s="103"/>
      <c r="D88" s="103"/>
      <c r="E88" s="104"/>
      <c r="F88" s="103"/>
      <c r="G88" s="103"/>
      <c r="H88" s="104"/>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4"/>
      <c r="C89" s="103"/>
      <c r="D89" s="103"/>
      <c r="E89" s="104"/>
      <c r="F89" s="103"/>
      <c r="G89" s="103"/>
      <c r="H89" s="104"/>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4"/>
      <c r="C90" s="103"/>
      <c r="D90" s="103"/>
      <c r="E90" s="104"/>
      <c r="F90" s="103"/>
      <c r="G90" s="103"/>
      <c r="H90" s="104"/>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4"/>
      <c r="C91" s="103"/>
      <c r="D91" s="103"/>
      <c r="E91" s="104"/>
      <c r="F91" s="103"/>
      <c r="G91" s="103"/>
      <c r="H91" s="104"/>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4"/>
      <c r="C92" s="103"/>
      <c r="D92" s="103"/>
      <c r="E92" s="104"/>
      <c r="F92" s="103"/>
      <c r="G92" s="103"/>
      <c r="H92" s="104"/>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4"/>
      <c r="C93" s="103"/>
      <c r="D93" s="103"/>
      <c r="E93" s="104"/>
      <c r="F93" s="103"/>
      <c r="G93" s="103"/>
      <c r="H93" s="104"/>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4"/>
      <c r="C94" s="103"/>
      <c r="D94" s="103"/>
      <c r="E94" s="104"/>
      <c r="F94" s="103"/>
      <c r="G94" s="103"/>
      <c r="H94" s="104"/>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4"/>
      <c r="C95" s="103"/>
      <c r="D95" s="103"/>
      <c r="E95" s="104"/>
      <c r="F95" s="103"/>
      <c r="G95" s="103"/>
      <c r="H95" s="104"/>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4"/>
      <c r="C96" s="103"/>
      <c r="D96" s="103"/>
      <c r="E96" s="104"/>
      <c r="F96" s="103"/>
      <c r="G96" s="103"/>
      <c r="H96" s="104"/>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4"/>
      <c r="C97" s="103"/>
      <c r="D97" s="103"/>
      <c r="E97" s="104"/>
      <c r="F97" s="103"/>
      <c r="G97" s="103"/>
      <c r="H97" s="104"/>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4"/>
      <c r="C98" s="103"/>
      <c r="D98" s="103"/>
      <c r="E98" s="104"/>
      <c r="F98" s="103"/>
      <c r="G98" s="103"/>
      <c r="H98" s="104"/>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4"/>
      <c r="C99" s="103"/>
      <c r="D99" s="103"/>
      <c r="E99" s="104"/>
      <c r="F99" s="103"/>
      <c r="G99" s="103"/>
      <c r="H99" s="104"/>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4"/>
      <c r="C100" s="103"/>
      <c r="D100" s="103"/>
      <c r="E100" s="104"/>
      <c r="F100" s="103"/>
      <c r="G100" s="103"/>
      <c r="H100" s="104"/>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4"/>
      <c r="C101" s="103"/>
      <c r="D101" s="103"/>
      <c r="E101" s="104"/>
      <c r="F101" s="103"/>
      <c r="G101" s="103"/>
      <c r="H101" s="104"/>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4"/>
      <c r="C102" s="103"/>
      <c r="D102" s="103"/>
      <c r="E102" s="104"/>
      <c r="F102" s="103"/>
      <c r="G102" s="103"/>
      <c r="H102" s="104"/>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4"/>
      <c r="C103" s="103"/>
      <c r="D103" s="103"/>
      <c r="E103" s="104"/>
      <c r="F103" s="103"/>
      <c r="G103" s="103"/>
      <c r="H103" s="104"/>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4"/>
      <c r="C104" s="103"/>
      <c r="D104" s="103"/>
      <c r="E104" s="104"/>
      <c r="F104" s="103"/>
      <c r="G104" s="103"/>
      <c r="H104" s="104"/>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4"/>
      <c r="C105" s="103"/>
      <c r="D105" s="103"/>
      <c r="E105" s="104"/>
      <c r="F105" s="103"/>
      <c r="G105" s="103"/>
      <c r="H105" s="104"/>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4"/>
      <c r="C106" s="103"/>
      <c r="D106" s="103"/>
      <c r="E106" s="104"/>
      <c r="F106" s="103"/>
      <c r="G106" s="103"/>
      <c r="H106" s="104"/>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4"/>
      <c r="C107" s="103"/>
      <c r="D107" s="103"/>
      <c r="E107" s="104"/>
      <c r="F107" s="103"/>
      <c r="G107" s="103"/>
      <c r="H107" s="104"/>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4"/>
      <c r="C108" s="103"/>
      <c r="D108" s="103"/>
      <c r="E108" s="104"/>
      <c r="F108" s="103"/>
      <c r="G108" s="103"/>
      <c r="H108" s="104"/>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4"/>
      <c r="C109" s="103"/>
      <c r="D109" s="103"/>
      <c r="E109" s="104"/>
      <c r="F109" s="103"/>
      <c r="G109" s="103"/>
      <c r="H109" s="104"/>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4"/>
      <c r="C110" s="103"/>
      <c r="D110" s="103"/>
      <c r="E110" s="104"/>
      <c r="F110" s="103"/>
      <c r="G110" s="103"/>
      <c r="H110" s="104"/>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4"/>
      <c r="C111" s="103"/>
      <c r="D111" s="103"/>
      <c r="E111" s="104"/>
      <c r="F111" s="103"/>
      <c r="G111" s="103"/>
      <c r="H111" s="104"/>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4"/>
      <c r="C112" s="103"/>
      <c r="D112" s="103"/>
      <c r="E112" s="104"/>
      <c r="F112" s="103"/>
      <c r="G112" s="103"/>
      <c r="H112" s="104"/>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4"/>
      <c r="C113" s="103"/>
      <c r="D113" s="103"/>
      <c r="E113" s="104"/>
      <c r="F113" s="103"/>
      <c r="G113" s="103"/>
      <c r="H113" s="104"/>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4"/>
      <c r="C114" s="103"/>
      <c r="D114" s="103"/>
      <c r="E114" s="104"/>
      <c r="F114" s="103"/>
      <c r="G114" s="103"/>
      <c r="H114" s="104"/>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4"/>
      <c r="C115" s="103"/>
      <c r="D115" s="103"/>
      <c r="E115" s="104"/>
      <c r="F115" s="103"/>
      <c r="G115" s="103"/>
      <c r="H115" s="104"/>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4"/>
      <c r="C116" s="103"/>
      <c r="D116" s="103"/>
      <c r="E116" s="104"/>
      <c r="F116" s="103"/>
      <c r="G116" s="103"/>
      <c r="H116" s="104"/>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4"/>
      <c r="C117" s="103"/>
      <c r="D117" s="103"/>
      <c r="E117" s="104"/>
      <c r="F117" s="103"/>
      <c r="G117" s="103"/>
      <c r="H117" s="104"/>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4"/>
      <c r="C118" s="103"/>
      <c r="D118" s="103"/>
      <c r="E118" s="104"/>
      <c r="F118" s="103"/>
      <c r="G118" s="103"/>
      <c r="H118" s="104"/>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4"/>
      <c r="C119" s="103"/>
      <c r="D119" s="103"/>
      <c r="E119" s="104"/>
      <c r="F119" s="103"/>
      <c r="G119" s="103"/>
      <c r="H119" s="104"/>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4"/>
      <c r="C120" s="103"/>
      <c r="D120" s="103"/>
      <c r="E120" s="104"/>
      <c r="F120" s="103"/>
      <c r="G120" s="103"/>
      <c r="H120" s="104"/>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4"/>
      <c r="C121" s="103"/>
      <c r="D121" s="103"/>
      <c r="E121" s="104"/>
      <c r="F121" s="103"/>
      <c r="G121" s="103"/>
      <c r="H121" s="104"/>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4"/>
      <c r="C122" s="103"/>
      <c r="D122" s="103"/>
      <c r="E122" s="104"/>
      <c r="F122" s="103"/>
      <c r="G122" s="103"/>
      <c r="H122" s="104"/>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4"/>
      <c r="C123" s="103"/>
      <c r="D123" s="103"/>
      <c r="E123" s="104"/>
      <c r="F123" s="103"/>
      <c r="G123" s="103"/>
      <c r="H123" s="104"/>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4"/>
      <c r="C124" s="103"/>
      <c r="D124" s="103"/>
      <c r="E124" s="104"/>
      <c r="F124" s="103"/>
      <c r="G124" s="103"/>
      <c r="H124" s="104"/>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4"/>
      <c r="C125" s="103"/>
      <c r="D125" s="103"/>
      <c r="E125" s="104"/>
      <c r="F125" s="103"/>
      <c r="G125" s="103"/>
      <c r="H125" s="104"/>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4"/>
      <c r="C126" s="103"/>
      <c r="D126" s="103"/>
      <c r="E126" s="104"/>
      <c r="F126" s="103"/>
      <c r="G126" s="103"/>
      <c r="H126" s="104"/>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4"/>
      <c r="C127" s="103"/>
      <c r="D127" s="103"/>
      <c r="E127" s="104"/>
      <c r="F127" s="103"/>
      <c r="G127" s="103"/>
      <c r="H127" s="104"/>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4"/>
      <c r="C128" s="103"/>
      <c r="D128" s="103"/>
      <c r="E128" s="104"/>
      <c r="F128" s="103"/>
      <c r="G128" s="103"/>
      <c r="H128" s="104"/>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4"/>
      <c r="C129" s="103"/>
      <c r="D129" s="103"/>
      <c r="E129" s="104"/>
      <c r="F129" s="103"/>
      <c r="G129" s="103"/>
      <c r="H129" s="104"/>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4"/>
      <c r="C130" s="103"/>
      <c r="D130" s="103"/>
      <c r="E130" s="104"/>
      <c r="F130" s="103"/>
      <c r="G130" s="103"/>
      <c r="H130" s="104"/>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4"/>
      <c r="C131" s="103"/>
      <c r="D131" s="103"/>
      <c r="E131" s="104"/>
      <c r="F131" s="103"/>
      <c r="G131" s="103"/>
      <c r="H131" s="104"/>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4"/>
      <c r="C132" s="103"/>
      <c r="D132" s="103"/>
      <c r="E132" s="104"/>
      <c r="F132" s="103"/>
      <c r="G132" s="103"/>
      <c r="H132" s="104"/>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4"/>
      <c r="C133" s="103"/>
      <c r="D133" s="103"/>
      <c r="E133" s="104"/>
      <c r="F133" s="103"/>
      <c r="G133" s="103"/>
      <c r="H133" s="104"/>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4"/>
      <c r="C134" s="103"/>
      <c r="D134" s="103"/>
      <c r="E134" s="104"/>
      <c r="F134" s="103"/>
      <c r="G134" s="103"/>
      <c r="H134" s="104"/>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4"/>
      <c r="C135" s="103"/>
      <c r="D135" s="103"/>
      <c r="E135" s="104"/>
      <c r="F135" s="103"/>
      <c r="G135" s="103"/>
      <c r="H135" s="104"/>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4"/>
      <c r="C136" s="103"/>
      <c r="D136" s="103"/>
      <c r="E136" s="104"/>
      <c r="F136" s="103"/>
      <c r="G136" s="103"/>
      <c r="H136" s="104"/>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4"/>
      <c r="C137" s="103"/>
      <c r="D137" s="103"/>
      <c r="E137" s="104"/>
      <c r="F137" s="103"/>
      <c r="G137" s="103"/>
      <c r="H137" s="104"/>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4"/>
      <c r="C138" s="103"/>
      <c r="D138" s="103"/>
      <c r="E138" s="104"/>
      <c r="F138" s="103"/>
      <c r="G138" s="103"/>
      <c r="H138" s="104"/>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4"/>
      <c r="C139" s="103"/>
      <c r="D139" s="103"/>
      <c r="E139" s="104"/>
      <c r="F139" s="103"/>
      <c r="G139" s="103"/>
      <c r="H139" s="104"/>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4"/>
      <c r="C140" s="103"/>
      <c r="D140" s="103"/>
      <c r="E140" s="104"/>
      <c r="F140" s="103"/>
      <c r="G140" s="103"/>
      <c r="H140" s="104"/>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4"/>
      <c r="C141" s="103"/>
      <c r="D141" s="103"/>
      <c r="E141" s="104"/>
      <c r="F141" s="103"/>
      <c r="G141" s="103"/>
      <c r="H141" s="104"/>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4"/>
      <c r="C142" s="103"/>
      <c r="D142" s="103"/>
      <c r="E142" s="104"/>
      <c r="F142" s="103"/>
      <c r="G142" s="103"/>
      <c r="H142" s="104"/>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4"/>
      <c r="C143" s="103"/>
      <c r="D143" s="103"/>
      <c r="E143" s="104"/>
      <c r="F143" s="103"/>
      <c r="G143" s="103"/>
      <c r="H143" s="104"/>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4"/>
      <c r="C144" s="103"/>
      <c r="D144" s="103"/>
      <c r="E144" s="104"/>
      <c r="F144" s="103"/>
      <c r="G144" s="103"/>
      <c r="H144" s="104"/>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4"/>
      <c r="C145" s="103"/>
      <c r="D145" s="103"/>
      <c r="E145" s="104"/>
      <c r="F145" s="103"/>
      <c r="G145" s="103"/>
      <c r="H145" s="104"/>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4"/>
      <c r="C146" s="103"/>
      <c r="D146" s="103"/>
      <c r="E146" s="104"/>
      <c r="F146" s="103"/>
      <c r="G146" s="103"/>
      <c r="H146" s="104"/>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4"/>
      <c r="C147" s="103"/>
      <c r="D147" s="103"/>
      <c r="E147" s="104"/>
      <c r="F147" s="103"/>
      <c r="G147" s="103"/>
      <c r="H147" s="104"/>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4"/>
      <c r="C148" s="103"/>
      <c r="D148" s="103"/>
      <c r="E148" s="104"/>
      <c r="F148" s="103"/>
      <c r="G148" s="103"/>
      <c r="H148" s="104"/>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4"/>
      <c r="C149" s="103"/>
      <c r="D149" s="103"/>
      <c r="E149" s="104"/>
      <c r="F149" s="103"/>
      <c r="G149" s="103"/>
      <c r="H149" s="104"/>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4"/>
      <c r="C150" s="103"/>
      <c r="D150" s="103"/>
      <c r="E150" s="104"/>
      <c r="F150" s="103"/>
      <c r="G150" s="103"/>
      <c r="H150" s="104"/>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4"/>
      <c r="C151" s="103"/>
      <c r="D151" s="103"/>
      <c r="E151" s="104"/>
      <c r="F151" s="103"/>
      <c r="G151" s="103"/>
      <c r="H151" s="104"/>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4"/>
      <c r="C152" s="103"/>
      <c r="D152" s="103"/>
      <c r="E152" s="104"/>
      <c r="F152" s="103"/>
      <c r="G152" s="103"/>
      <c r="H152" s="104"/>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4"/>
      <c r="C153" s="103"/>
      <c r="D153" s="103"/>
      <c r="E153" s="104"/>
      <c r="F153" s="103"/>
      <c r="G153" s="103"/>
      <c r="H153" s="104"/>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4"/>
      <c r="C154" s="103"/>
      <c r="D154" s="103"/>
      <c r="E154" s="104"/>
      <c r="F154" s="103"/>
      <c r="G154" s="103"/>
      <c r="H154" s="104"/>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4"/>
      <c r="C155" s="103"/>
      <c r="D155" s="103"/>
      <c r="E155" s="104"/>
      <c r="F155" s="103"/>
      <c r="G155" s="103"/>
      <c r="H155" s="104"/>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4"/>
      <c r="C156" s="103"/>
      <c r="D156" s="103"/>
      <c r="E156" s="104"/>
      <c r="F156" s="103"/>
      <c r="G156" s="103"/>
      <c r="H156" s="104"/>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4"/>
      <c r="C157" s="103"/>
      <c r="D157" s="103"/>
      <c r="E157" s="104"/>
      <c r="F157" s="103"/>
      <c r="G157" s="103"/>
      <c r="H157" s="104"/>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4"/>
      <c r="C158" s="103"/>
      <c r="D158" s="103"/>
      <c r="E158" s="104"/>
      <c r="F158" s="103"/>
      <c r="G158" s="103"/>
      <c r="H158" s="104"/>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4"/>
      <c r="C159" s="103"/>
      <c r="D159" s="103"/>
      <c r="E159" s="104"/>
      <c r="F159" s="103"/>
      <c r="G159" s="103"/>
      <c r="H159" s="104"/>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4"/>
      <c r="C160" s="103"/>
      <c r="D160" s="103"/>
      <c r="E160" s="104"/>
      <c r="F160" s="103"/>
      <c r="G160" s="103"/>
      <c r="H160" s="104"/>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4"/>
      <c r="C161" s="103"/>
      <c r="D161" s="103"/>
      <c r="E161" s="104"/>
      <c r="F161" s="103"/>
      <c r="G161" s="103"/>
      <c r="H161" s="104"/>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4"/>
      <c r="C162" s="103"/>
      <c r="D162" s="103"/>
      <c r="E162" s="104"/>
      <c r="F162" s="103"/>
      <c r="G162" s="103"/>
      <c r="H162" s="104"/>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4"/>
      <c r="C163" s="103"/>
      <c r="D163" s="103"/>
      <c r="E163" s="104"/>
      <c r="F163" s="103"/>
      <c r="G163" s="103"/>
      <c r="H163" s="104"/>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4"/>
      <c r="C164" s="103"/>
      <c r="D164" s="103"/>
      <c r="E164" s="104"/>
      <c r="F164" s="103"/>
      <c r="G164" s="103"/>
      <c r="H164" s="104"/>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4"/>
      <c r="C165" s="103"/>
      <c r="D165" s="103"/>
      <c r="E165" s="104"/>
      <c r="F165" s="103"/>
      <c r="G165" s="103"/>
      <c r="H165" s="104"/>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4"/>
      <c r="C166" s="103"/>
      <c r="D166" s="103"/>
      <c r="E166" s="104"/>
      <c r="F166" s="103"/>
      <c r="G166" s="103"/>
      <c r="H166" s="104"/>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4"/>
      <c r="C167" s="103"/>
      <c r="D167" s="103"/>
      <c r="E167" s="104"/>
      <c r="F167" s="103"/>
      <c r="G167" s="103"/>
      <c r="H167" s="104"/>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4"/>
      <c r="C168" s="103"/>
      <c r="D168" s="103"/>
      <c r="E168" s="104"/>
      <c r="F168" s="103"/>
      <c r="G168" s="103"/>
      <c r="H168" s="104"/>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4"/>
      <c r="C169" s="103"/>
      <c r="D169" s="103"/>
      <c r="E169" s="104"/>
      <c r="F169" s="103"/>
      <c r="G169" s="103"/>
      <c r="H169" s="104"/>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4"/>
      <c r="C170" s="103"/>
      <c r="D170" s="103"/>
      <c r="E170" s="104"/>
      <c r="F170" s="103"/>
      <c r="G170" s="103"/>
      <c r="H170" s="104"/>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4"/>
      <c r="C171" s="103"/>
      <c r="D171" s="103"/>
      <c r="E171" s="104"/>
      <c r="F171" s="103"/>
      <c r="G171" s="103"/>
      <c r="H171" s="104"/>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4"/>
      <c r="C172" s="103"/>
      <c r="D172" s="103"/>
      <c r="E172" s="104"/>
      <c r="F172" s="103"/>
      <c r="G172" s="103"/>
      <c r="H172" s="104"/>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4"/>
      <c r="C173" s="103"/>
      <c r="D173" s="103"/>
      <c r="E173" s="104"/>
      <c r="F173" s="103"/>
      <c r="G173" s="103"/>
      <c r="H173" s="104"/>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4"/>
      <c r="C174" s="103"/>
      <c r="D174" s="103"/>
      <c r="E174" s="104"/>
      <c r="F174" s="103"/>
      <c r="G174" s="103"/>
      <c r="H174" s="104"/>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4"/>
      <c r="C175" s="103"/>
      <c r="D175" s="103"/>
      <c r="E175" s="104"/>
      <c r="F175" s="103"/>
      <c r="G175" s="103"/>
      <c r="H175" s="104"/>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4"/>
      <c r="C176" s="103"/>
      <c r="D176" s="103"/>
      <c r="E176" s="104"/>
      <c r="F176" s="103"/>
      <c r="G176" s="103"/>
      <c r="H176" s="104"/>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4"/>
      <c r="C177" s="103"/>
      <c r="D177" s="103"/>
      <c r="E177" s="104"/>
      <c r="F177" s="103"/>
      <c r="G177" s="103"/>
      <c r="H177" s="104"/>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4"/>
      <c r="C178" s="103"/>
      <c r="D178" s="103"/>
      <c r="E178" s="104"/>
      <c r="F178" s="103"/>
      <c r="G178" s="103"/>
      <c r="H178" s="104"/>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4"/>
      <c r="C179" s="103"/>
      <c r="D179" s="103"/>
      <c r="E179" s="104"/>
      <c r="F179" s="103"/>
      <c r="G179" s="103"/>
      <c r="H179" s="104"/>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4"/>
      <c r="C180" s="103"/>
      <c r="D180" s="103"/>
      <c r="E180" s="104"/>
      <c r="F180" s="103"/>
      <c r="G180" s="103"/>
      <c r="H180" s="104"/>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4"/>
      <c r="C181" s="103"/>
      <c r="D181" s="103"/>
      <c r="E181" s="104"/>
      <c r="F181" s="103"/>
      <c r="G181" s="103"/>
      <c r="H181" s="104"/>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4"/>
      <c r="C182" s="103"/>
      <c r="D182" s="103"/>
      <c r="E182" s="104"/>
      <c r="F182" s="103"/>
      <c r="G182" s="103"/>
      <c r="H182" s="104"/>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4"/>
      <c r="C183" s="103"/>
      <c r="D183" s="103"/>
      <c r="E183" s="104"/>
      <c r="F183" s="103"/>
      <c r="G183" s="103"/>
      <c r="H183" s="104"/>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4"/>
      <c r="C184" s="103"/>
      <c r="D184" s="103"/>
      <c r="E184" s="104"/>
      <c r="F184" s="103"/>
      <c r="G184" s="103"/>
      <c r="H184" s="104"/>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4"/>
      <c r="C185" s="103"/>
      <c r="D185" s="103"/>
      <c r="E185" s="104"/>
      <c r="F185" s="103"/>
      <c r="G185" s="103"/>
      <c r="H185" s="104"/>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4"/>
      <c r="C186" s="103"/>
      <c r="D186" s="103"/>
      <c r="E186" s="104"/>
      <c r="F186" s="103"/>
      <c r="G186" s="103"/>
      <c r="H186" s="104"/>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4"/>
      <c r="C187" s="103"/>
      <c r="D187" s="103"/>
      <c r="E187" s="104"/>
      <c r="F187" s="103"/>
      <c r="G187" s="103"/>
      <c r="H187" s="104"/>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4"/>
      <c r="C188" s="103"/>
      <c r="D188" s="103"/>
      <c r="E188" s="104"/>
      <c r="F188" s="103"/>
      <c r="G188" s="103"/>
      <c r="H188" s="104"/>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4"/>
      <c r="C189" s="103"/>
      <c r="D189" s="103"/>
      <c r="E189" s="104"/>
      <c r="F189" s="103"/>
      <c r="G189" s="103"/>
      <c r="H189" s="104"/>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4"/>
      <c r="C190" s="103"/>
      <c r="D190" s="103"/>
      <c r="E190" s="104"/>
      <c r="F190" s="103"/>
      <c r="G190" s="103"/>
      <c r="H190" s="104"/>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4"/>
      <c r="C191" s="103"/>
      <c r="D191" s="103"/>
      <c r="E191" s="104"/>
      <c r="F191" s="103"/>
      <c r="G191" s="103"/>
      <c r="H191" s="104"/>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4"/>
      <c r="C192" s="103"/>
      <c r="D192" s="103"/>
      <c r="E192" s="104"/>
      <c r="F192" s="103"/>
      <c r="G192" s="103"/>
      <c r="H192" s="104"/>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4"/>
      <c r="C193" s="103"/>
      <c r="D193" s="103"/>
      <c r="E193" s="104"/>
      <c r="F193" s="103"/>
      <c r="G193" s="103"/>
      <c r="H193" s="104"/>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4"/>
      <c r="C194" s="103"/>
      <c r="D194" s="103"/>
      <c r="E194" s="104"/>
      <c r="F194" s="103"/>
      <c r="G194" s="103"/>
      <c r="H194" s="104"/>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4"/>
      <c r="C195" s="103"/>
      <c r="D195" s="103"/>
      <c r="E195" s="104"/>
      <c r="F195" s="103"/>
      <c r="G195" s="103"/>
      <c r="H195" s="104"/>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4"/>
      <c r="C196" s="103"/>
      <c r="D196" s="103"/>
      <c r="E196" s="104"/>
      <c r="F196" s="103"/>
      <c r="G196" s="103"/>
      <c r="H196" s="104"/>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4"/>
      <c r="C197" s="103"/>
      <c r="D197" s="103"/>
      <c r="E197" s="104"/>
      <c r="F197" s="103"/>
      <c r="G197" s="103"/>
      <c r="H197" s="104"/>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4"/>
      <c r="C198" s="103"/>
      <c r="D198" s="103"/>
      <c r="E198" s="104"/>
      <c r="F198" s="103"/>
      <c r="G198" s="103"/>
      <c r="H198" s="104"/>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4"/>
      <c r="C199" s="103"/>
      <c r="D199" s="103"/>
      <c r="E199" s="104"/>
      <c r="F199" s="103"/>
      <c r="G199" s="103"/>
      <c r="H199" s="104"/>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4"/>
      <c r="C200" s="103"/>
      <c r="D200" s="103"/>
      <c r="E200" s="104"/>
      <c r="F200" s="103"/>
      <c r="G200" s="103"/>
      <c r="H200" s="104"/>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4"/>
      <c r="C201" s="103"/>
      <c r="D201" s="103"/>
      <c r="E201" s="104"/>
      <c r="F201" s="103"/>
      <c r="G201" s="103"/>
      <c r="H201" s="104"/>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4"/>
      <c r="C202" s="103"/>
      <c r="D202" s="103"/>
      <c r="E202" s="104"/>
      <c r="F202" s="103"/>
      <c r="G202" s="103"/>
      <c r="H202" s="104"/>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4"/>
      <c r="C203" s="103"/>
      <c r="D203" s="103"/>
      <c r="E203" s="104"/>
      <c r="F203" s="103"/>
      <c r="G203" s="103"/>
      <c r="H203" s="104"/>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4"/>
      <c r="C204" s="103"/>
      <c r="D204" s="103"/>
      <c r="E204" s="104"/>
      <c r="F204" s="103"/>
      <c r="G204" s="103"/>
      <c r="H204" s="104"/>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4"/>
      <c r="C205" s="103"/>
      <c r="D205" s="103"/>
      <c r="E205" s="104"/>
      <c r="F205" s="103"/>
      <c r="G205" s="103"/>
      <c r="H205" s="104"/>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4"/>
      <c r="C206" s="103"/>
      <c r="D206" s="103"/>
      <c r="E206" s="104"/>
      <c r="F206" s="103"/>
      <c r="G206" s="103"/>
      <c r="H206" s="104"/>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4"/>
      <c r="C207" s="103"/>
      <c r="D207" s="103"/>
      <c r="E207" s="104"/>
      <c r="F207" s="103"/>
      <c r="G207" s="103"/>
      <c r="H207" s="104"/>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4"/>
      <c r="C208" s="103"/>
      <c r="D208" s="103"/>
      <c r="E208" s="104"/>
      <c r="F208" s="103"/>
      <c r="G208" s="103"/>
      <c r="H208" s="104"/>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4"/>
      <c r="C209" s="103"/>
      <c r="D209" s="103"/>
      <c r="E209" s="104"/>
      <c r="F209" s="103"/>
      <c r="G209" s="103"/>
      <c r="H209" s="104"/>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4"/>
      <c r="C210" s="103"/>
      <c r="D210" s="103"/>
      <c r="E210" s="104"/>
      <c r="F210" s="103"/>
      <c r="G210" s="103"/>
      <c r="H210" s="104"/>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4"/>
      <c r="C211" s="103"/>
      <c r="D211" s="103"/>
      <c r="E211" s="104"/>
      <c r="F211" s="103"/>
      <c r="G211" s="103"/>
      <c r="H211" s="104"/>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4"/>
      <c r="C212" s="103"/>
      <c r="D212" s="103"/>
      <c r="E212" s="104"/>
      <c r="F212" s="103"/>
      <c r="G212" s="103"/>
      <c r="H212" s="104"/>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4"/>
      <c r="C213" s="103"/>
      <c r="D213" s="103"/>
      <c r="E213" s="104"/>
      <c r="F213" s="103"/>
      <c r="G213" s="103"/>
      <c r="H213" s="104"/>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4"/>
      <c r="C214" s="103"/>
      <c r="D214" s="103"/>
      <c r="E214" s="104"/>
      <c r="F214" s="103"/>
      <c r="G214" s="103"/>
      <c r="H214" s="104"/>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4"/>
      <c r="C215" s="103"/>
      <c r="D215" s="103"/>
      <c r="E215" s="104"/>
      <c r="F215" s="103"/>
      <c r="G215" s="103"/>
      <c r="H215" s="104"/>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4"/>
      <c r="C216" s="103"/>
      <c r="D216" s="103"/>
      <c r="E216" s="104"/>
      <c r="F216" s="103"/>
      <c r="G216" s="103"/>
      <c r="H216" s="104"/>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4"/>
      <c r="C217" s="103"/>
      <c r="D217" s="103"/>
      <c r="E217" s="104"/>
      <c r="F217" s="103"/>
      <c r="G217" s="103"/>
      <c r="H217" s="104"/>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4"/>
      <c r="C218" s="103"/>
      <c r="D218" s="103"/>
      <c r="E218" s="104"/>
      <c r="F218" s="103"/>
      <c r="G218" s="103"/>
      <c r="H218" s="104"/>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4"/>
      <c r="C219" s="103"/>
      <c r="D219" s="103"/>
      <c r="E219" s="104"/>
      <c r="F219" s="103"/>
      <c r="G219" s="103"/>
      <c r="H219" s="104"/>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4"/>
      <c r="C220" s="103"/>
      <c r="D220" s="103"/>
      <c r="E220" s="104"/>
      <c r="F220" s="103"/>
      <c r="G220" s="103"/>
      <c r="H220" s="104"/>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4"/>
      <c r="C221" s="103"/>
      <c r="D221" s="103"/>
      <c r="E221" s="104"/>
      <c r="F221" s="103"/>
      <c r="G221" s="103"/>
      <c r="H221" s="104"/>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4"/>
      <c r="C222" s="103"/>
      <c r="D222" s="103"/>
      <c r="E222" s="104"/>
      <c r="F222" s="103"/>
      <c r="G222" s="103"/>
      <c r="H222" s="104"/>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4"/>
      <c r="C223" s="103"/>
      <c r="D223" s="103"/>
      <c r="E223" s="104"/>
      <c r="F223" s="103"/>
      <c r="G223" s="103"/>
      <c r="H223" s="104"/>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4"/>
      <c r="C224" s="103"/>
      <c r="D224" s="103"/>
      <c r="E224" s="104"/>
      <c r="F224" s="103"/>
      <c r="G224" s="103"/>
      <c r="H224" s="104"/>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4"/>
      <c r="C225" s="103"/>
      <c r="D225" s="103"/>
      <c r="E225" s="104"/>
      <c r="F225" s="103"/>
      <c r="G225" s="103"/>
      <c r="H225" s="104"/>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4"/>
      <c r="C226" s="103"/>
      <c r="D226" s="103"/>
      <c r="E226" s="104"/>
      <c r="F226" s="103"/>
      <c r="G226" s="103"/>
      <c r="H226" s="104"/>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4"/>
      <c r="C227" s="103"/>
      <c r="D227" s="103"/>
      <c r="E227" s="104"/>
      <c r="F227" s="103"/>
      <c r="G227" s="103"/>
      <c r="H227" s="104"/>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4"/>
      <c r="C228" s="103"/>
      <c r="D228" s="103"/>
      <c r="E228" s="104"/>
      <c r="F228" s="103"/>
      <c r="G228" s="103"/>
      <c r="H228" s="104"/>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4"/>
      <c r="C229" s="103"/>
      <c r="D229" s="103"/>
      <c r="E229" s="104"/>
      <c r="F229" s="103"/>
      <c r="G229" s="103"/>
      <c r="H229" s="104"/>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4"/>
      <c r="C230" s="103"/>
      <c r="D230" s="103"/>
      <c r="E230" s="104"/>
      <c r="F230" s="103"/>
      <c r="G230" s="103"/>
      <c r="H230" s="104"/>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4"/>
      <c r="C231" s="103"/>
      <c r="D231" s="103"/>
      <c r="E231" s="104"/>
      <c r="F231" s="103"/>
      <c r="G231" s="103"/>
      <c r="H231" s="104"/>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4"/>
      <c r="C232" s="103"/>
      <c r="D232" s="103"/>
      <c r="E232" s="104"/>
      <c r="F232" s="103"/>
      <c r="G232" s="103"/>
      <c r="H232" s="104"/>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4"/>
      <c r="C233" s="103"/>
      <c r="D233" s="103"/>
      <c r="E233" s="104"/>
      <c r="F233" s="103"/>
      <c r="G233" s="103"/>
      <c r="H233" s="104"/>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4"/>
      <c r="C234" s="103"/>
      <c r="D234" s="103"/>
      <c r="E234" s="104"/>
      <c r="F234" s="103"/>
      <c r="G234" s="103"/>
      <c r="H234" s="104"/>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4"/>
      <c r="C235" s="103"/>
      <c r="D235" s="103"/>
      <c r="E235" s="104"/>
      <c r="F235" s="103"/>
      <c r="G235" s="103"/>
      <c r="H235" s="104"/>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4"/>
      <c r="C236" s="103"/>
      <c r="D236" s="103"/>
      <c r="E236" s="104"/>
      <c r="F236" s="103"/>
      <c r="G236" s="103"/>
      <c r="H236" s="104"/>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4"/>
      <c r="C237" s="103"/>
      <c r="D237" s="103"/>
      <c r="E237" s="104"/>
      <c r="F237" s="103"/>
      <c r="G237" s="103"/>
      <c r="H237" s="104"/>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4"/>
      <c r="C238" s="103"/>
      <c r="D238" s="103"/>
      <c r="E238" s="104"/>
      <c r="F238" s="103"/>
      <c r="G238" s="103"/>
      <c r="H238" s="104"/>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4"/>
      <c r="C239" s="103"/>
      <c r="D239" s="103"/>
      <c r="E239" s="104"/>
      <c r="F239" s="103"/>
      <c r="G239" s="103"/>
      <c r="H239" s="104"/>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4"/>
      <c r="C240" s="103"/>
      <c r="D240" s="103"/>
      <c r="E240" s="104"/>
      <c r="F240" s="103"/>
      <c r="G240" s="103"/>
      <c r="H240" s="104"/>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4"/>
      <c r="C241" s="103"/>
      <c r="D241" s="103"/>
      <c r="E241" s="104"/>
      <c r="F241" s="103"/>
      <c r="G241" s="103"/>
      <c r="H241" s="104"/>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4"/>
      <c r="C242" s="103"/>
      <c r="D242" s="103"/>
      <c r="E242" s="104"/>
      <c r="F242" s="103"/>
      <c r="G242" s="103"/>
      <c r="H242" s="104"/>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4"/>
      <c r="C243" s="103"/>
      <c r="D243" s="103"/>
      <c r="E243" s="104"/>
      <c r="F243" s="103"/>
      <c r="G243" s="103"/>
      <c r="H243" s="104"/>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4"/>
      <c r="C244" s="103"/>
      <c r="D244" s="103"/>
      <c r="E244" s="104"/>
      <c r="F244" s="103"/>
      <c r="G244" s="103"/>
      <c r="H244" s="104"/>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4"/>
      <c r="C245" s="103"/>
      <c r="D245" s="103"/>
      <c r="E245" s="104"/>
      <c r="F245" s="103"/>
      <c r="G245" s="103"/>
      <c r="H245" s="104"/>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4"/>
      <c r="C246" s="103"/>
      <c r="D246" s="103"/>
      <c r="E246" s="104"/>
      <c r="F246" s="103"/>
      <c r="G246" s="103"/>
      <c r="H246" s="104"/>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4"/>
      <c r="C247" s="103"/>
      <c r="D247" s="103"/>
      <c r="E247" s="104"/>
      <c r="F247" s="103"/>
      <c r="G247" s="103"/>
      <c r="H247" s="104"/>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4"/>
      <c r="C248" s="103"/>
      <c r="D248" s="103"/>
      <c r="E248" s="104"/>
      <c r="F248" s="103"/>
      <c r="G248" s="103"/>
      <c r="H248" s="104"/>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4"/>
      <c r="C249" s="103"/>
      <c r="D249" s="103"/>
      <c r="E249" s="104"/>
      <c r="F249" s="103"/>
      <c r="G249" s="103"/>
      <c r="H249" s="104"/>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4"/>
      <c r="C250" s="103"/>
      <c r="D250" s="103"/>
      <c r="E250" s="104"/>
      <c r="F250" s="103"/>
      <c r="G250" s="103"/>
      <c r="H250" s="104"/>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4"/>
      <c r="C251" s="103"/>
      <c r="D251" s="103"/>
      <c r="E251" s="104"/>
      <c r="F251" s="103"/>
      <c r="G251" s="103"/>
      <c r="H251" s="104"/>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4"/>
      <c r="C252" s="103"/>
      <c r="D252" s="103"/>
      <c r="E252" s="104"/>
      <c r="F252" s="103"/>
      <c r="G252" s="103"/>
      <c r="H252" s="104"/>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4"/>
      <c r="C253" s="103"/>
      <c r="D253" s="103"/>
      <c r="E253" s="104"/>
      <c r="F253" s="103"/>
      <c r="G253" s="103"/>
      <c r="H253" s="104"/>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4"/>
      <c r="C254" s="103"/>
      <c r="D254" s="103"/>
      <c r="E254" s="104"/>
      <c r="F254" s="103"/>
      <c r="G254" s="103"/>
      <c r="H254" s="104"/>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4"/>
      <c r="C255" s="103"/>
      <c r="D255" s="103"/>
      <c r="E255" s="104"/>
      <c r="F255" s="103"/>
      <c r="G255" s="103"/>
      <c r="H255" s="104"/>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4"/>
      <c r="C256" s="103"/>
      <c r="D256" s="103"/>
      <c r="E256" s="104"/>
      <c r="F256" s="103"/>
      <c r="G256" s="103"/>
      <c r="H256" s="104"/>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4"/>
      <c r="C257" s="103"/>
      <c r="D257" s="103"/>
      <c r="E257" s="104"/>
      <c r="F257" s="103"/>
      <c r="G257" s="103"/>
      <c r="H257" s="104"/>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4"/>
      <c r="C258" s="103"/>
      <c r="D258" s="103"/>
      <c r="E258" s="104"/>
      <c r="F258" s="103"/>
      <c r="G258" s="103"/>
      <c r="H258" s="104"/>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4"/>
      <c r="C259" s="103"/>
      <c r="D259" s="103"/>
      <c r="E259" s="104"/>
      <c r="F259" s="103"/>
      <c r="G259" s="103"/>
      <c r="H259" s="104"/>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4"/>
      <c r="C260" s="103"/>
      <c r="D260" s="103"/>
      <c r="E260" s="104"/>
      <c r="F260" s="103"/>
      <c r="G260" s="103"/>
      <c r="H260" s="104"/>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4"/>
      <c r="C261" s="103"/>
      <c r="D261" s="103"/>
      <c r="E261" s="104"/>
      <c r="F261" s="103"/>
      <c r="G261" s="103"/>
      <c r="H261" s="104"/>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4"/>
      <c r="C262" s="103"/>
      <c r="D262" s="103"/>
      <c r="E262" s="104"/>
      <c r="F262" s="103"/>
      <c r="G262" s="103"/>
      <c r="H262" s="104"/>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4"/>
      <c r="C263" s="103"/>
      <c r="D263" s="103"/>
      <c r="E263" s="104"/>
      <c r="F263" s="103"/>
      <c r="G263" s="103"/>
      <c r="H263" s="104"/>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4"/>
      <c r="C264" s="103"/>
      <c r="D264" s="103"/>
      <c r="E264" s="104"/>
      <c r="F264" s="103"/>
      <c r="G264" s="103"/>
      <c r="H264" s="104"/>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4"/>
      <c r="C265" s="103"/>
      <c r="D265" s="103"/>
      <c r="E265" s="104"/>
      <c r="F265" s="103"/>
      <c r="G265" s="103"/>
      <c r="H265" s="104"/>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4"/>
      <c r="C266" s="103"/>
      <c r="D266" s="103"/>
      <c r="E266" s="104"/>
      <c r="F266" s="103"/>
      <c r="G266" s="103"/>
      <c r="H266" s="104"/>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4"/>
      <c r="C267" s="103"/>
      <c r="D267" s="103"/>
      <c r="E267" s="104"/>
      <c r="F267" s="103"/>
      <c r="G267" s="103"/>
      <c r="H267" s="104"/>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4"/>
      <c r="C268" s="103"/>
      <c r="D268" s="103"/>
      <c r="E268" s="104"/>
      <c r="F268" s="103"/>
      <c r="G268" s="103"/>
      <c r="H268" s="104"/>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4"/>
      <c r="C269" s="103"/>
      <c r="D269" s="103"/>
      <c r="E269" s="104"/>
      <c r="F269" s="103"/>
      <c r="G269" s="103"/>
      <c r="H269" s="104"/>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4"/>
      <c r="C270" s="103"/>
      <c r="D270" s="103"/>
      <c r="E270" s="104"/>
      <c r="F270" s="103"/>
      <c r="G270" s="103"/>
      <c r="H270" s="104"/>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4"/>
      <c r="C271" s="103"/>
      <c r="D271" s="103"/>
      <c r="E271" s="104"/>
      <c r="F271" s="103"/>
      <c r="G271" s="103"/>
      <c r="H271" s="104"/>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4"/>
      <c r="C272" s="103"/>
      <c r="D272" s="103"/>
      <c r="E272" s="104"/>
      <c r="F272" s="103"/>
      <c r="G272" s="103"/>
      <c r="H272" s="104"/>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4"/>
      <c r="C273" s="103"/>
      <c r="D273" s="103"/>
      <c r="E273" s="104"/>
      <c r="F273" s="103"/>
      <c r="G273" s="103"/>
      <c r="H273" s="104"/>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4"/>
      <c r="C274" s="103"/>
      <c r="D274" s="103"/>
      <c r="E274" s="104"/>
      <c r="F274" s="103"/>
      <c r="G274" s="103"/>
      <c r="H274" s="104"/>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4"/>
      <c r="C275" s="103"/>
      <c r="D275" s="103"/>
      <c r="E275" s="104"/>
      <c r="F275" s="103"/>
      <c r="G275" s="103"/>
      <c r="H275" s="104"/>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4"/>
      <c r="C276" s="103"/>
      <c r="D276" s="103"/>
      <c r="E276" s="104"/>
      <c r="F276" s="103"/>
      <c r="G276" s="103"/>
      <c r="H276" s="104"/>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4"/>
      <c r="C277" s="103"/>
      <c r="D277" s="103"/>
      <c r="E277" s="104"/>
      <c r="F277" s="103"/>
      <c r="G277" s="103"/>
      <c r="H277" s="104"/>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4"/>
      <c r="C278" s="103"/>
      <c r="D278" s="103"/>
      <c r="E278" s="104"/>
      <c r="F278" s="103"/>
      <c r="G278" s="103"/>
      <c r="H278" s="104"/>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4"/>
      <c r="C279" s="103"/>
      <c r="D279" s="103"/>
      <c r="E279" s="104"/>
      <c r="F279" s="103"/>
      <c r="G279" s="103"/>
      <c r="H279" s="104"/>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4"/>
      <c r="C280" s="103"/>
      <c r="D280" s="103"/>
      <c r="E280" s="104"/>
      <c r="F280" s="103"/>
      <c r="G280" s="103"/>
      <c r="H280" s="104"/>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4"/>
      <c r="C281" s="103"/>
      <c r="D281" s="103"/>
      <c r="E281" s="104"/>
      <c r="F281" s="103"/>
      <c r="G281" s="103"/>
      <c r="H281" s="104"/>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4"/>
      <c r="C282" s="103"/>
      <c r="D282" s="103"/>
      <c r="E282" s="104"/>
      <c r="F282" s="103"/>
      <c r="G282" s="103"/>
      <c r="H282" s="104"/>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4"/>
      <c r="C283" s="103"/>
      <c r="D283" s="103"/>
      <c r="E283" s="104"/>
      <c r="F283" s="103"/>
      <c r="G283" s="103"/>
      <c r="H283" s="104"/>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4"/>
      <c r="C284" s="103"/>
      <c r="D284" s="103"/>
      <c r="E284" s="104"/>
      <c r="F284" s="103"/>
      <c r="G284" s="103"/>
      <c r="H284" s="104"/>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4"/>
      <c r="C285" s="103"/>
      <c r="D285" s="103"/>
      <c r="E285" s="104"/>
      <c r="F285" s="103"/>
      <c r="G285" s="103"/>
      <c r="H285" s="104"/>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4"/>
      <c r="C286" s="103"/>
      <c r="D286" s="103"/>
      <c r="E286" s="104"/>
      <c r="F286" s="103"/>
      <c r="G286" s="103"/>
      <c r="H286" s="104"/>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4"/>
      <c r="C287" s="103"/>
      <c r="D287" s="103"/>
      <c r="E287" s="104"/>
      <c r="F287" s="103"/>
      <c r="G287" s="103"/>
      <c r="H287" s="104"/>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4"/>
      <c r="C288" s="103"/>
      <c r="D288" s="103"/>
      <c r="E288" s="104"/>
      <c r="F288" s="103"/>
      <c r="G288" s="103"/>
      <c r="H288" s="104"/>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4"/>
      <c r="C289" s="103"/>
      <c r="D289" s="103"/>
      <c r="E289" s="104"/>
      <c r="F289" s="103"/>
      <c r="G289" s="103"/>
      <c r="H289" s="104"/>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4"/>
      <c r="C290" s="103"/>
      <c r="D290" s="103"/>
      <c r="E290" s="104"/>
      <c r="F290" s="103"/>
      <c r="G290" s="103"/>
      <c r="H290" s="104"/>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4"/>
      <c r="C291" s="103"/>
      <c r="D291" s="103"/>
      <c r="E291" s="104"/>
      <c r="F291" s="103"/>
      <c r="G291" s="103"/>
      <c r="H291" s="104"/>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4"/>
      <c r="C292" s="103"/>
      <c r="D292" s="103"/>
      <c r="E292" s="104"/>
      <c r="F292" s="103"/>
      <c r="G292" s="103"/>
      <c r="H292" s="104"/>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4"/>
      <c r="C293" s="103"/>
      <c r="D293" s="103"/>
      <c r="E293" s="104"/>
      <c r="F293" s="103"/>
      <c r="G293" s="103"/>
      <c r="H293" s="104"/>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4"/>
      <c r="C294" s="103"/>
      <c r="D294" s="103"/>
      <c r="E294" s="104"/>
      <c r="F294" s="103"/>
      <c r="G294" s="103"/>
      <c r="H294" s="104"/>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4"/>
      <c r="C295" s="103"/>
      <c r="D295" s="103"/>
      <c r="E295" s="104"/>
      <c r="F295" s="103"/>
      <c r="G295" s="103"/>
      <c r="H295" s="104"/>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4"/>
      <c r="C296" s="103"/>
      <c r="D296" s="103"/>
      <c r="E296" s="104"/>
      <c r="F296" s="103"/>
      <c r="G296" s="103"/>
      <c r="H296" s="104"/>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4"/>
      <c r="C297" s="103"/>
      <c r="D297" s="103"/>
      <c r="E297" s="104"/>
      <c r="F297" s="103"/>
      <c r="G297" s="103"/>
      <c r="H297" s="104"/>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4"/>
      <c r="C298" s="103"/>
      <c r="D298" s="103"/>
      <c r="E298" s="104"/>
      <c r="F298" s="103"/>
      <c r="G298" s="103"/>
      <c r="H298" s="104"/>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4"/>
      <c r="C299" s="103"/>
      <c r="D299" s="103"/>
      <c r="E299" s="104"/>
      <c r="F299" s="103"/>
      <c r="G299" s="103"/>
      <c r="H299" s="104"/>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4"/>
      <c r="C300" s="103"/>
      <c r="D300" s="103"/>
      <c r="E300" s="104"/>
      <c r="F300" s="103"/>
      <c r="G300" s="103"/>
      <c r="H300" s="104"/>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4"/>
      <c r="C301" s="103"/>
      <c r="D301" s="103"/>
      <c r="E301" s="104"/>
      <c r="F301" s="103"/>
      <c r="G301" s="103"/>
      <c r="H301" s="104"/>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4"/>
      <c r="C302" s="103"/>
      <c r="D302" s="103"/>
      <c r="E302" s="104"/>
      <c r="F302" s="103"/>
      <c r="G302" s="103"/>
      <c r="H302" s="104"/>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4"/>
      <c r="C303" s="103"/>
      <c r="D303" s="103"/>
      <c r="E303" s="104"/>
      <c r="F303" s="103"/>
      <c r="G303" s="103"/>
      <c r="H303" s="104"/>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4"/>
      <c r="C304" s="103"/>
      <c r="D304" s="103"/>
      <c r="E304" s="104"/>
      <c r="F304" s="103"/>
      <c r="G304" s="103"/>
      <c r="H304" s="104"/>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4"/>
      <c r="C305" s="103"/>
      <c r="D305" s="103"/>
      <c r="E305" s="104"/>
      <c r="F305" s="103"/>
      <c r="G305" s="103"/>
      <c r="H305" s="104"/>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4"/>
      <c r="C306" s="103"/>
      <c r="D306" s="103"/>
      <c r="E306" s="104"/>
      <c r="F306" s="103"/>
      <c r="G306" s="103"/>
      <c r="H306" s="104"/>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4"/>
      <c r="C307" s="103"/>
      <c r="D307" s="103"/>
      <c r="E307" s="104"/>
      <c r="F307" s="103"/>
      <c r="G307" s="103"/>
      <c r="H307" s="104"/>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4"/>
      <c r="C308" s="103"/>
      <c r="D308" s="103"/>
      <c r="E308" s="104"/>
      <c r="F308" s="103"/>
      <c r="G308" s="103"/>
      <c r="H308" s="104"/>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4"/>
      <c r="C309" s="103"/>
      <c r="D309" s="103"/>
      <c r="E309" s="104"/>
      <c r="F309" s="103"/>
      <c r="G309" s="103"/>
      <c r="H309" s="104"/>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4"/>
      <c r="C310" s="103"/>
      <c r="D310" s="103"/>
      <c r="E310" s="104"/>
      <c r="F310" s="103"/>
      <c r="G310" s="103"/>
      <c r="H310" s="104"/>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4"/>
      <c r="C311" s="103"/>
      <c r="D311" s="103"/>
      <c r="E311" s="104"/>
      <c r="F311" s="103"/>
      <c r="G311" s="103"/>
      <c r="H311" s="104"/>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4"/>
      <c r="C312" s="103"/>
      <c r="D312" s="103"/>
      <c r="E312" s="104"/>
      <c r="F312" s="103"/>
      <c r="G312" s="103"/>
      <c r="H312" s="104"/>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4"/>
      <c r="C313" s="103"/>
      <c r="D313" s="103"/>
      <c r="E313" s="104"/>
      <c r="F313" s="103"/>
      <c r="G313" s="103"/>
      <c r="H313" s="104"/>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4"/>
      <c r="C314" s="103"/>
      <c r="D314" s="103"/>
      <c r="E314" s="104"/>
      <c r="F314" s="103"/>
      <c r="G314" s="103"/>
      <c r="H314" s="104"/>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4"/>
      <c r="C315" s="103"/>
      <c r="D315" s="103"/>
      <c r="E315" s="104"/>
      <c r="F315" s="103"/>
      <c r="G315" s="103"/>
      <c r="H315" s="104"/>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4"/>
      <c r="C316" s="103"/>
      <c r="D316" s="103"/>
      <c r="E316" s="104"/>
      <c r="F316" s="103"/>
      <c r="G316" s="103"/>
      <c r="H316" s="104"/>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4"/>
      <c r="C317" s="103"/>
      <c r="D317" s="103"/>
      <c r="E317" s="104"/>
      <c r="F317" s="103"/>
      <c r="G317" s="103"/>
      <c r="H317" s="104"/>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4"/>
      <c r="C318" s="103"/>
      <c r="D318" s="103"/>
      <c r="E318" s="104"/>
      <c r="F318" s="103"/>
      <c r="G318" s="103"/>
      <c r="H318" s="104"/>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4"/>
      <c r="C319" s="103"/>
      <c r="D319" s="103"/>
      <c r="E319" s="104"/>
      <c r="F319" s="103"/>
      <c r="G319" s="103"/>
      <c r="H319" s="104"/>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4"/>
      <c r="C320" s="103"/>
      <c r="D320" s="103"/>
      <c r="E320" s="104"/>
      <c r="F320" s="103"/>
      <c r="G320" s="103"/>
      <c r="H320" s="104"/>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4"/>
      <c r="C321" s="103"/>
      <c r="D321" s="103"/>
      <c r="E321" s="104"/>
      <c r="F321" s="103"/>
      <c r="G321" s="103"/>
      <c r="H321" s="104"/>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4"/>
      <c r="C322" s="103"/>
      <c r="D322" s="103"/>
      <c r="E322" s="104"/>
      <c r="F322" s="103"/>
      <c r="G322" s="103"/>
      <c r="H322" s="104"/>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4"/>
      <c r="C323" s="103"/>
      <c r="D323" s="103"/>
      <c r="E323" s="104"/>
      <c r="F323" s="103"/>
      <c r="G323" s="103"/>
      <c r="H323" s="104"/>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4"/>
      <c r="C324" s="103"/>
      <c r="D324" s="103"/>
      <c r="E324" s="104"/>
      <c r="F324" s="103"/>
      <c r="G324" s="103"/>
      <c r="H324" s="104"/>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4"/>
      <c r="C325" s="103"/>
      <c r="D325" s="103"/>
      <c r="E325" s="104"/>
      <c r="F325" s="103"/>
      <c r="G325" s="103"/>
      <c r="H325" s="104"/>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4"/>
      <c r="C326" s="103"/>
      <c r="D326" s="103"/>
      <c r="E326" s="104"/>
      <c r="F326" s="103"/>
      <c r="G326" s="103"/>
      <c r="H326" s="104"/>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4"/>
      <c r="C327" s="103"/>
      <c r="D327" s="103"/>
      <c r="E327" s="104"/>
      <c r="F327" s="103"/>
      <c r="G327" s="103"/>
      <c r="H327" s="104"/>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4"/>
      <c r="C328" s="103"/>
      <c r="D328" s="103"/>
      <c r="E328" s="104"/>
      <c r="F328" s="103"/>
      <c r="G328" s="103"/>
      <c r="H328" s="104"/>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4"/>
      <c r="C329" s="103"/>
      <c r="D329" s="103"/>
      <c r="E329" s="104"/>
      <c r="F329" s="103"/>
      <c r="G329" s="103"/>
      <c r="H329" s="104"/>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4"/>
      <c r="C330" s="103"/>
      <c r="D330" s="103"/>
      <c r="E330" s="104"/>
      <c r="F330" s="103"/>
      <c r="G330" s="103"/>
      <c r="H330" s="104"/>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4"/>
      <c r="C331" s="103"/>
      <c r="D331" s="103"/>
      <c r="E331" s="104"/>
      <c r="F331" s="103"/>
      <c r="G331" s="103"/>
      <c r="H331" s="104"/>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4"/>
      <c r="C332" s="103"/>
      <c r="D332" s="103"/>
      <c r="E332" s="104"/>
      <c r="F332" s="103"/>
      <c r="G332" s="103"/>
      <c r="H332" s="104"/>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4"/>
      <c r="C333" s="103"/>
      <c r="D333" s="103"/>
      <c r="E333" s="104"/>
      <c r="F333" s="103"/>
      <c r="G333" s="103"/>
      <c r="H333" s="104"/>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4"/>
      <c r="C334" s="103"/>
      <c r="D334" s="103"/>
      <c r="E334" s="104"/>
      <c r="F334" s="103"/>
      <c r="G334" s="103"/>
      <c r="H334" s="104"/>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4"/>
      <c r="C335" s="103"/>
      <c r="D335" s="103"/>
      <c r="E335" s="104"/>
      <c r="F335" s="103"/>
      <c r="G335" s="103"/>
      <c r="H335" s="104"/>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4"/>
      <c r="C336" s="103"/>
      <c r="D336" s="103"/>
      <c r="E336" s="104"/>
      <c r="F336" s="103"/>
      <c r="G336" s="103"/>
      <c r="H336" s="104"/>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4"/>
      <c r="C337" s="103"/>
      <c r="D337" s="103"/>
      <c r="E337" s="104"/>
      <c r="F337" s="103"/>
      <c r="G337" s="103"/>
      <c r="H337" s="104"/>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4"/>
      <c r="C338" s="103"/>
      <c r="D338" s="103"/>
      <c r="E338" s="104"/>
      <c r="F338" s="103"/>
      <c r="G338" s="103"/>
      <c r="H338" s="104"/>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4"/>
      <c r="C339" s="103"/>
      <c r="D339" s="103"/>
      <c r="E339" s="104"/>
      <c r="F339" s="103"/>
      <c r="G339" s="103"/>
      <c r="H339" s="104"/>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4"/>
      <c r="C340" s="103"/>
      <c r="D340" s="103"/>
      <c r="E340" s="104"/>
      <c r="F340" s="103"/>
      <c r="G340" s="103"/>
      <c r="H340" s="104"/>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4"/>
      <c r="C341" s="103"/>
      <c r="D341" s="103"/>
      <c r="E341" s="104"/>
      <c r="F341" s="103"/>
      <c r="G341" s="103"/>
      <c r="H341" s="104"/>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4"/>
      <c r="C342" s="103"/>
      <c r="D342" s="103"/>
      <c r="E342" s="104"/>
      <c r="F342" s="103"/>
      <c r="G342" s="103"/>
      <c r="H342" s="104"/>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4"/>
      <c r="C343" s="103"/>
      <c r="D343" s="103"/>
      <c r="E343" s="104"/>
      <c r="F343" s="103"/>
      <c r="G343" s="103"/>
      <c r="H343" s="104"/>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4"/>
      <c r="C344" s="103"/>
      <c r="D344" s="103"/>
      <c r="E344" s="104"/>
      <c r="F344" s="103"/>
      <c r="G344" s="103"/>
      <c r="H344" s="104"/>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4"/>
      <c r="C345" s="103"/>
      <c r="D345" s="103"/>
      <c r="E345" s="104"/>
      <c r="F345" s="103"/>
      <c r="G345" s="103"/>
      <c r="H345" s="104"/>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4"/>
      <c r="C346" s="103"/>
      <c r="D346" s="103"/>
      <c r="E346" s="104"/>
      <c r="F346" s="103"/>
      <c r="G346" s="103"/>
      <c r="H346" s="104"/>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4"/>
      <c r="C347" s="103"/>
      <c r="D347" s="103"/>
      <c r="E347" s="104"/>
      <c r="F347" s="103"/>
      <c r="G347" s="103"/>
      <c r="H347" s="104"/>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4"/>
      <c r="C348" s="103"/>
      <c r="D348" s="103"/>
      <c r="E348" s="104"/>
      <c r="F348" s="103"/>
      <c r="G348" s="103"/>
      <c r="H348" s="104"/>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4"/>
      <c r="C349" s="103"/>
      <c r="D349" s="103"/>
      <c r="E349" s="104"/>
      <c r="F349" s="103"/>
      <c r="G349" s="103"/>
      <c r="H349" s="104"/>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4"/>
      <c r="C350" s="103"/>
      <c r="D350" s="103"/>
      <c r="E350" s="104"/>
      <c r="F350" s="103"/>
      <c r="G350" s="103"/>
      <c r="H350" s="104"/>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4"/>
      <c r="C351" s="103"/>
      <c r="D351" s="103"/>
      <c r="E351" s="104"/>
      <c r="F351" s="103"/>
      <c r="G351" s="103"/>
      <c r="H351" s="104"/>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4"/>
      <c r="C352" s="103"/>
      <c r="D352" s="103"/>
      <c r="E352" s="104"/>
      <c r="F352" s="103"/>
      <c r="G352" s="103"/>
      <c r="H352" s="104"/>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4"/>
      <c r="C353" s="103"/>
      <c r="D353" s="103"/>
      <c r="E353" s="104"/>
      <c r="F353" s="103"/>
      <c r="G353" s="103"/>
      <c r="H353" s="104"/>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4"/>
      <c r="C354" s="103"/>
      <c r="D354" s="103"/>
      <c r="E354" s="104"/>
      <c r="F354" s="103"/>
      <c r="G354" s="103"/>
      <c r="H354" s="104"/>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4"/>
      <c r="C355" s="103"/>
      <c r="D355" s="103"/>
      <c r="E355" s="104"/>
      <c r="F355" s="103"/>
      <c r="G355" s="103"/>
      <c r="H355" s="104"/>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4"/>
      <c r="C356" s="103"/>
      <c r="D356" s="103"/>
      <c r="E356" s="104"/>
      <c r="F356" s="103"/>
      <c r="G356" s="103"/>
      <c r="H356" s="104"/>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4"/>
      <c r="C357" s="103"/>
      <c r="D357" s="103"/>
      <c r="E357" s="104"/>
      <c r="F357" s="103"/>
      <c r="G357" s="103"/>
      <c r="H357" s="104"/>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4"/>
      <c r="C358" s="103"/>
      <c r="D358" s="103"/>
      <c r="E358" s="104"/>
      <c r="F358" s="103"/>
      <c r="G358" s="103"/>
      <c r="H358" s="104"/>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4"/>
      <c r="C359" s="103"/>
      <c r="D359" s="103"/>
      <c r="E359" s="104"/>
      <c r="F359" s="103"/>
      <c r="G359" s="103"/>
      <c r="H359" s="104"/>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4"/>
      <c r="C360" s="103"/>
      <c r="D360" s="103"/>
      <c r="E360" s="104"/>
      <c r="F360" s="103"/>
      <c r="G360" s="103"/>
      <c r="H360" s="104"/>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4"/>
      <c r="C361" s="103"/>
      <c r="D361" s="103"/>
      <c r="E361" s="104"/>
      <c r="F361" s="103"/>
      <c r="G361" s="103"/>
      <c r="H361" s="104"/>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4"/>
      <c r="C362" s="103"/>
      <c r="D362" s="103"/>
      <c r="E362" s="104"/>
      <c r="F362" s="103"/>
      <c r="G362" s="103"/>
      <c r="H362" s="104"/>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4"/>
      <c r="C363" s="103"/>
      <c r="D363" s="103"/>
      <c r="E363" s="104"/>
      <c r="F363" s="103"/>
      <c r="G363" s="103"/>
      <c r="H363" s="104"/>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4"/>
      <c r="C364" s="103"/>
      <c r="D364" s="103"/>
      <c r="E364" s="104"/>
      <c r="F364" s="103"/>
      <c r="G364" s="103"/>
      <c r="H364" s="104"/>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4"/>
      <c r="C365" s="103"/>
      <c r="D365" s="103"/>
      <c r="E365" s="104"/>
      <c r="F365" s="103"/>
      <c r="G365" s="103"/>
      <c r="H365" s="104"/>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4"/>
      <c r="C366" s="103"/>
      <c r="D366" s="103"/>
      <c r="E366" s="104"/>
      <c r="F366" s="103"/>
      <c r="G366" s="103"/>
      <c r="H366" s="104"/>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4"/>
      <c r="C367" s="103"/>
      <c r="D367" s="103"/>
      <c r="E367" s="104"/>
      <c r="F367" s="103"/>
      <c r="G367" s="103"/>
      <c r="H367" s="104"/>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4"/>
      <c r="C368" s="103"/>
      <c r="D368" s="103"/>
      <c r="E368" s="104"/>
      <c r="F368" s="103"/>
      <c r="G368" s="103"/>
      <c r="H368" s="104"/>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4"/>
      <c r="C369" s="103"/>
      <c r="D369" s="103"/>
      <c r="E369" s="104"/>
      <c r="F369" s="103"/>
      <c r="G369" s="103"/>
      <c r="H369" s="104"/>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4"/>
      <c r="C370" s="103"/>
      <c r="D370" s="103"/>
      <c r="E370" s="104"/>
      <c r="F370" s="103"/>
      <c r="G370" s="103"/>
      <c r="H370" s="104"/>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4"/>
      <c r="C371" s="103"/>
      <c r="D371" s="103"/>
      <c r="E371" s="104"/>
      <c r="F371" s="103"/>
      <c r="G371" s="103"/>
      <c r="H371" s="104"/>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4"/>
      <c r="C372" s="103"/>
      <c r="D372" s="103"/>
      <c r="E372" s="104"/>
      <c r="F372" s="103"/>
      <c r="G372" s="103"/>
      <c r="H372" s="104"/>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4"/>
      <c r="C373" s="103"/>
      <c r="D373" s="103"/>
      <c r="E373" s="104"/>
      <c r="F373" s="103"/>
      <c r="G373" s="103"/>
      <c r="H373" s="104"/>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4"/>
      <c r="C374" s="103"/>
      <c r="D374" s="103"/>
      <c r="E374" s="104"/>
      <c r="F374" s="103"/>
      <c r="G374" s="103"/>
      <c r="H374" s="104"/>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4"/>
      <c r="C375" s="103"/>
      <c r="D375" s="103"/>
      <c r="E375" s="104"/>
      <c r="F375" s="103"/>
      <c r="G375" s="103"/>
      <c r="H375" s="104"/>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4"/>
      <c r="C376" s="103"/>
      <c r="D376" s="103"/>
      <c r="E376" s="104"/>
      <c r="F376" s="103"/>
      <c r="G376" s="103"/>
      <c r="H376" s="104"/>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4"/>
      <c r="C377" s="103"/>
      <c r="D377" s="103"/>
      <c r="E377" s="104"/>
      <c r="F377" s="103"/>
      <c r="G377" s="103"/>
      <c r="H377" s="104"/>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4"/>
      <c r="C378" s="103"/>
      <c r="D378" s="103"/>
      <c r="E378" s="104"/>
      <c r="F378" s="103"/>
      <c r="G378" s="103"/>
      <c r="H378" s="104"/>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4"/>
      <c r="C379" s="103"/>
      <c r="D379" s="103"/>
      <c r="E379" s="104"/>
      <c r="F379" s="103"/>
      <c r="G379" s="103"/>
      <c r="H379" s="104"/>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4"/>
      <c r="C380" s="103"/>
      <c r="D380" s="103"/>
      <c r="E380" s="104"/>
      <c r="F380" s="103"/>
      <c r="G380" s="103"/>
      <c r="H380" s="104"/>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4"/>
      <c r="C381" s="103"/>
      <c r="D381" s="103"/>
      <c r="E381" s="104"/>
      <c r="F381" s="103"/>
      <c r="G381" s="103"/>
      <c r="H381" s="104"/>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4"/>
      <c r="C382" s="103"/>
      <c r="D382" s="103"/>
      <c r="E382" s="104"/>
      <c r="F382" s="103"/>
      <c r="G382" s="103"/>
      <c r="H382" s="104"/>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4"/>
      <c r="C383" s="103"/>
      <c r="D383" s="103"/>
      <c r="E383" s="104"/>
      <c r="F383" s="103"/>
      <c r="G383" s="103"/>
      <c r="H383" s="104"/>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4"/>
      <c r="C384" s="103"/>
      <c r="D384" s="103"/>
      <c r="E384" s="104"/>
      <c r="F384" s="103"/>
      <c r="G384" s="103"/>
      <c r="H384" s="104"/>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4"/>
      <c r="C385" s="103"/>
      <c r="D385" s="103"/>
      <c r="E385" s="104"/>
      <c r="F385" s="103"/>
      <c r="G385" s="103"/>
      <c r="H385" s="104"/>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4"/>
      <c r="C386" s="103"/>
      <c r="D386" s="103"/>
      <c r="E386" s="104"/>
      <c r="F386" s="103"/>
      <c r="G386" s="103"/>
      <c r="H386" s="104"/>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4"/>
      <c r="C387" s="103"/>
      <c r="D387" s="103"/>
      <c r="E387" s="104"/>
      <c r="F387" s="103"/>
      <c r="G387" s="103"/>
      <c r="H387" s="104"/>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4"/>
      <c r="C388" s="103"/>
      <c r="D388" s="103"/>
      <c r="E388" s="104"/>
      <c r="F388" s="103"/>
      <c r="G388" s="103"/>
      <c r="H388" s="104"/>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4"/>
      <c r="C389" s="103"/>
      <c r="D389" s="103"/>
      <c r="E389" s="104"/>
      <c r="F389" s="103"/>
      <c r="G389" s="103"/>
      <c r="H389" s="104"/>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4"/>
      <c r="C390" s="103"/>
      <c r="D390" s="103"/>
      <c r="E390" s="104"/>
      <c r="F390" s="103"/>
      <c r="G390" s="103"/>
      <c r="H390" s="104"/>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4"/>
      <c r="C391" s="103"/>
      <c r="D391" s="103"/>
      <c r="E391" s="104"/>
      <c r="F391" s="103"/>
      <c r="G391" s="103"/>
      <c r="H391" s="104"/>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4"/>
      <c r="C392" s="103"/>
      <c r="D392" s="103"/>
      <c r="E392" s="104"/>
      <c r="F392" s="103"/>
      <c r="G392" s="103"/>
      <c r="H392" s="104"/>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4"/>
      <c r="C393" s="103"/>
      <c r="D393" s="103"/>
      <c r="E393" s="104"/>
      <c r="F393" s="103"/>
      <c r="G393" s="103"/>
      <c r="H393" s="104"/>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4"/>
      <c r="C394" s="103"/>
      <c r="D394" s="103"/>
      <c r="E394" s="104"/>
      <c r="F394" s="103"/>
      <c r="G394" s="103"/>
      <c r="H394" s="104"/>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4"/>
      <c r="C395" s="103"/>
      <c r="D395" s="103"/>
      <c r="E395" s="104"/>
      <c r="F395" s="103"/>
      <c r="G395" s="103"/>
      <c r="H395" s="104"/>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4"/>
      <c r="C396" s="103"/>
      <c r="D396" s="103"/>
      <c r="E396" s="104"/>
      <c r="F396" s="103"/>
      <c r="G396" s="103"/>
      <c r="H396" s="104"/>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4"/>
      <c r="C397" s="103"/>
      <c r="D397" s="103"/>
      <c r="E397" s="104"/>
      <c r="F397" s="103"/>
      <c r="G397" s="103"/>
      <c r="H397" s="104"/>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4"/>
      <c r="C398" s="103"/>
      <c r="D398" s="103"/>
      <c r="E398" s="104"/>
      <c r="F398" s="103"/>
      <c r="G398" s="103"/>
      <c r="H398" s="104"/>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4"/>
      <c r="C399" s="103"/>
      <c r="D399" s="103"/>
      <c r="E399" s="104"/>
      <c r="F399" s="103"/>
      <c r="G399" s="103"/>
      <c r="H399" s="104"/>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4"/>
      <c r="C400" s="103"/>
      <c r="D400" s="103"/>
      <c r="E400" s="104"/>
      <c r="F400" s="103"/>
      <c r="G400" s="103"/>
      <c r="H400" s="104"/>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4"/>
      <c r="C401" s="103"/>
      <c r="D401" s="103"/>
      <c r="E401" s="104"/>
      <c r="F401" s="103"/>
      <c r="G401" s="103"/>
      <c r="H401" s="104"/>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4"/>
      <c r="C402" s="103"/>
      <c r="D402" s="103"/>
      <c r="E402" s="104"/>
      <c r="F402" s="103"/>
      <c r="G402" s="103"/>
      <c r="H402" s="104"/>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4"/>
      <c r="C403" s="103"/>
      <c r="D403" s="103"/>
      <c r="E403" s="104"/>
      <c r="F403" s="103"/>
      <c r="G403" s="103"/>
      <c r="H403" s="104"/>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4"/>
      <c r="C404" s="103"/>
      <c r="D404" s="103"/>
      <c r="E404" s="104"/>
      <c r="F404" s="103"/>
      <c r="G404" s="103"/>
      <c r="H404" s="104"/>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4"/>
      <c r="C405" s="103"/>
      <c r="D405" s="103"/>
      <c r="E405" s="104"/>
      <c r="F405" s="103"/>
      <c r="G405" s="103"/>
      <c r="H405" s="104"/>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4"/>
      <c r="C406" s="103"/>
      <c r="D406" s="103"/>
      <c r="E406" s="104"/>
      <c r="F406" s="103"/>
      <c r="G406" s="103"/>
      <c r="H406" s="104"/>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4"/>
      <c r="C407" s="103"/>
      <c r="D407" s="103"/>
      <c r="E407" s="104"/>
      <c r="F407" s="103"/>
      <c r="G407" s="103"/>
      <c r="H407" s="104"/>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4"/>
      <c r="C408" s="103"/>
      <c r="D408" s="103"/>
      <c r="E408" s="104"/>
      <c r="F408" s="103"/>
      <c r="G408" s="103"/>
      <c r="H408" s="104"/>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4"/>
      <c r="C409" s="103"/>
      <c r="D409" s="103"/>
      <c r="E409" s="104"/>
      <c r="F409" s="103"/>
      <c r="G409" s="103"/>
      <c r="H409" s="104"/>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4"/>
      <c r="C410" s="103"/>
      <c r="D410" s="103"/>
      <c r="E410" s="104"/>
      <c r="F410" s="103"/>
      <c r="G410" s="103"/>
      <c r="H410" s="104"/>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4"/>
      <c r="C411" s="103"/>
      <c r="D411" s="103"/>
      <c r="E411" s="104"/>
      <c r="F411" s="103"/>
      <c r="G411" s="103"/>
      <c r="H411" s="104"/>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4"/>
      <c r="C412" s="103"/>
      <c r="D412" s="103"/>
      <c r="E412" s="104"/>
      <c r="F412" s="103"/>
      <c r="G412" s="103"/>
      <c r="H412" s="104"/>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4"/>
      <c r="C413" s="103"/>
      <c r="D413" s="103"/>
      <c r="E413" s="104"/>
      <c r="F413" s="103"/>
      <c r="G413" s="103"/>
      <c r="H413" s="104"/>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4"/>
      <c r="C414" s="103"/>
      <c r="D414" s="103"/>
      <c r="E414" s="104"/>
      <c r="F414" s="103"/>
      <c r="G414" s="103"/>
      <c r="H414" s="104"/>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4"/>
      <c r="C415" s="103"/>
      <c r="D415" s="103"/>
      <c r="E415" s="104"/>
      <c r="F415" s="103"/>
      <c r="G415" s="103"/>
      <c r="H415" s="104"/>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4"/>
      <c r="C416" s="103"/>
      <c r="D416" s="103"/>
      <c r="E416" s="104"/>
      <c r="F416" s="103"/>
      <c r="G416" s="103"/>
      <c r="H416" s="104"/>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4"/>
      <c r="C417" s="103"/>
      <c r="D417" s="103"/>
      <c r="E417" s="104"/>
      <c r="F417" s="103"/>
      <c r="G417" s="103"/>
      <c r="H417" s="104"/>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4"/>
      <c r="C418" s="103"/>
      <c r="D418" s="103"/>
      <c r="E418" s="104"/>
      <c r="F418" s="103"/>
      <c r="G418" s="103"/>
      <c r="H418" s="104"/>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4"/>
      <c r="C419" s="103"/>
      <c r="D419" s="103"/>
      <c r="E419" s="104"/>
      <c r="F419" s="103"/>
      <c r="G419" s="103"/>
      <c r="H419" s="104"/>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4"/>
      <c r="C420" s="103"/>
      <c r="D420" s="103"/>
      <c r="E420" s="104"/>
      <c r="F420" s="103"/>
      <c r="G420" s="103"/>
      <c r="H420" s="104"/>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4"/>
      <c r="C421" s="103"/>
      <c r="D421" s="103"/>
      <c r="E421" s="104"/>
      <c r="F421" s="103"/>
      <c r="G421" s="103"/>
      <c r="H421" s="104"/>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4"/>
      <c r="C422" s="103"/>
      <c r="D422" s="103"/>
      <c r="E422" s="104"/>
      <c r="F422" s="103"/>
      <c r="G422" s="103"/>
      <c r="H422" s="104"/>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4"/>
      <c r="C423" s="103"/>
      <c r="D423" s="103"/>
      <c r="E423" s="104"/>
      <c r="F423" s="103"/>
      <c r="G423" s="103"/>
      <c r="H423" s="104"/>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4"/>
      <c r="C424" s="103"/>
      <c r="D424" s="103"/>
      <c r="E424" s="104"/>
      <c r="F424" s="103"/>
      <c r="G424" s="103"/>
      <c r="H424" s="104"/>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4"/>
      <c r="C425" s="103"/>
      <c r="D425" s="103"/>
      <c r="E425" s="104"/>
      <c r="F425" s="103"/>
      <c r="G425" s="103"/>
      <c r="H425" s="104"/>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4"/>
      <c r="C426" s="103"/>
      <c r="D426" s="103"/>
      <c r="E426" s="104"/>
      <c r="F426" s="103"/>
      <c r="G426" s="103"/>
      <c r="H426" s="104"/>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4"/>
      <c r="C427" s="103"/>
      <c r="D427" s="103"/>
      <c r="E427" s="104"/>
      <c r="F427" s="103"/>
      <c r="G427" s="103"/>
      <c r="H427" s="104"/>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4"/>
      <c r="C428" s="103"/>
      <c r="D428" s="103"/>
      <c r="E428" s="104"/>
      <c r="F428" s="103"/>
      <c r="G428" s="103"/>
      <c r="H428" s="104"/>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4"/>
      <c r="C429" s="103"/>
      <c r="D429" s="103"/>
      <c r="E429" s="104"/>
      <c r="F429" s="103"/>
      <c r="G429" s="103"/>
      <c r="H429" s="104"/>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4"/>
      <c r="C430" s="103"/>
      <c r="D430" s="103"/>
      <c r="E430" s="104"/>
      <c r="F430" s="103"/>
      <c r="G430" s="103"/>
      <c r="H430" s="104"/>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4"/>
      <c r="C431" s="103"/>
      <c r="D431" s="103"/>
      <c r="E431" s="104"/>
      <c r="F431" s="103"/>
      <c r="G431" s="103"/>
      <c r="H431" s="104"/>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4"/>
      <c r="C432" s="103"/>
      <c r="D432" s="103"/>
      <c r="E432" s="104"/>
      <c r="F432" s="103"/>
      <c r="G432" s="103"/>
      <c r="H432" s="104"/>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4"/>
      <c r="C433" s="103"/>
      <c r="D433" s="103"/>
      <c r="E433" s="104"/>
      <c r="F433" s="103"/>
      <c r="G433" s="103"/>
      <c r="H433" s="104"/>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4"/>
      <c r="C434" s="103"/>
      <c r="D434" s="103"/>
      <c r="E434" s="104"/>
      <c r="F434" s="103"/>
      <c r="G434" s="103"/>
      <c r="H434" s="104"/>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4"/>
      <c r="C435" s="103"/>
      <c r="D435" s="103"/>
      <c r="E435" s="104"/>
      <c r="F435" s="103"/>
      <c r="G435" s="103"/>
      <c r="H435" s="104"/>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4"/>
      <c r="C436" s="103"/>
      <c r="D436" s="103"/>
      <c r="E436" s="104"/>
      <c r="F436" s="103"/>
      <c r="G436" s="103"/>
      <c r="H436" s="104"/>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4"/>
      <c r="C437" s="103"/>
      <c r="D437" s="103"/>
      <c r="E437" s="104"/>
      <c r="F437" s="103"/>
      <c r="G437" s="103"/>
      <c r="H437" s="104"/>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4"/>
      <c r="C438" s="103"/>
      <c r="D438" s="103"/>
      <c r="E438" s="104"/>
      <c r="F438" s="103"/>
      <c r="G438" s="103"/>
      <c r="H438" s="104"/>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4"/>
      <c r="C439" s="103"/>
      <c r="D439" s="103"/>
      <c r="E439" s="104"/>
      <c r="F439" s="103"/>
      <c r="G439" s="103"/>
      <c r="H439" s="104"/>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4"/>
      <c r="C440" s="103"/>
      <c r="D440" s="103"/>
      <c r="E440" s="104"/>
      <c r="F440" s="103"/>
      <c r="G440" s="103"/>
      <c r="H440" s="104"/>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4"/>
      <c r="C441" s="103"/>
      <c r="D441" s="103"/>
      <c r="E441" s="104"/>
      <c r="F441" s="103"/>
      <c r="G441" s="103"/>
      <c r="H441" s="104"/>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4"/>
      <c r="C442" s="103"/>
      <c r="D442" s="103"/>
      <c r="E442" s="104"/>
      <c r="F442" s="103"/>
      <c r="G442" s="103"/>
      <c r="H442" s="104"/>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4"/>
      <c r="C443" s="103"/>
      <c r="D443" s="103"/>
      <c r="E443" s="104"/>
      <c r="F443" s="103"/>
      <c r="G443" s="103"/>
      <c r="H443" s="104"/>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4"/>
      <c r="C444" s="103"/>
      <c r="D444" s="103"/>
      <c r="E444" s="104"/>
      <c r="F444" s="103"/>
      <c r="G444" s="103"/>
      <c r="H444" s="104"/>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4"/>
      <c r="C445" s="103"/>
      <c r="D445" s="103"/>
      <c r="E445" s="104"/>
      <c r="F445" s="103"/>
      <c r="G445" s="103"/>
      <c r="H445" s="104"/>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4"/>
      <c r="C446" s="103"/>
      <c r="D446" s="103"/>
      <c r="E446" s="104"/>
      <c r="F446" s="103"/>
      <c r="G446" s="103"/>
      <c r="H446" s="104"/>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4"/>
      <c r="C447" s="103"/>
      <c r="D447" s="103"/>
      <c r="E447" s="104"/>
      <c r="F447" s="103"/>
      <c r="G447" s="103"/>
      <c r="H447" s="104"/>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4"/>
      <c r="C448" s="103"/>
      <c r="D448" s="103"/>
      <c r="E448" s="104"/>
      <c r="F448" s="103"/>
      <c r="G448" s="103"/>
      <c r="H448" s="104"/>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4"/>
      <c r="C449" s="103"/>
      <c r="D449" s="103"/>
      <c r="E449" s="104"/>
      <c r="F449" s="103"/>
      <c r="G449" s="103"/>
      <c r="H449" s="104"/>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4"/>
      <c r="C450" s="103"/>
      <c r="D450" s="103"/>
      <c r="E450" s="104"/>
      <c r="F450" s="103"/>
      <c r="G450" s="103"/>
      <c r="H450" s="104"/>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4"/>
      <c r="C451" s="103"/>
      <c r="D451" s="103"/>
      <c r="E451" s="104"/>
      <c r="F451" s="103"/>
      <c r="G451" s="103"/>
      <c r="H451" s="104"/>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4"/>
      <c r="C452" s="103"/>
      <c r="D452" s="103"/>
      <c r="E452" s="104"/>
      <c r="F452" s="103"/>
      <c r="G452" s="103"/>
      <c r="H452" s="104"/>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4"/>
      <c r="C453" s="103"/>
      <c r="D453" s="103"/>
      <c r="E453" s="104"/>
      <c r="F453" s="103"/>
      <c r="G453" s="103"/>
      <c r="H453" s="104"/>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4"/>
      <c r="C454" s="103"/>
      <c r="D454" s="103"/>
      <c r="E454" s="104"/>
      <c r="F454" s="103"/>
      <c r="G454" s="103"/>
      <c r="H454" s="104"/>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4"/>
      <c r="C455" s="103"/>
      <c r="D455" s="103"/>
      <c r="E455" s="104"/>
      <c r="F455" s="103"/>
      <c r="G455" s="103"/>
      <c r="H455" s="104"/>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4"/>
      <c r="C456" s="103"/>
      <c r="D456" s="103"/>
      <c r="E456" s="104"/>
      <c r="F456" s="103"/>
      <c r="G456" s="103"/>
      <c r="H456" s="104"/>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4"/>
      <c r="C457" s="103"/>
      <c r="D457" s="103"/>
      <c r="E457" s="104"/>
      <c r="F457" s="103"/>
      <c r="G457" s="103"/>
      <c r="H457" s="104"/>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4"/>
      <c r="C458" s="103"/>
      <c r="D458" s="103"/>
      <c r="E458" s="104"/>
      <c r="F458" s="103"/>
      <c r="G458" s="103"/>
      <c r="H458" s="104"/>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4"/>
      <c r="C459" s="103"/>
      <c r="D459" s="103"/>
      <c r="E459" s="104"/>
      <c r="F459" s="103"/>
      <c r="G459" s="103"/>
      <c r="H459" s="104"/>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4"/>
      <c r="C460" s="103"/>
      <c r="D460" s="103"/>
      <c r="E460" s="104"/>
      <c r="F460" s="103"/>
      <c r="G460" s="103"/>
      <c r="H460" s="104"/>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4"/>
      <c r="C461" s="103"/>
      <c r="D461" s="103"/>
      <c r="E461" s="104"/>
      <c r="F461" s="103"/>
      <c r="G461" s="103"/>
      <c r="H461" s="104"/>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4"/>
      <c r="C462" s="103"/>
      <c r="D462" s="103"/>
      <c r="E462" s="104"/>
      <c r="F462" s="103"/>
      <c r="G462" s="103"/>
      <c r="H462" s="104"/>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4"/>
      <c r="C463" s="103"/>
      <c r="D463" s="103"/>
      <c r="E463" s="104"/>
      <c r="F463" s="103"/>
      <c r="G463" s="103"/>
      <c r="H463" s="104"/>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4"/>
      <c r="C464" s="103"/>
      <c r="D464" s="103"/>
      <c r="E464" s="104"/>
      <c r="F464" s="103"/>
      <c r="G464" s="103"/>
      <c r="H464" s="104"/>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4"/>
      <c r="C465" s="103"/>
      <c r="D465" s="103"/>
      <c r="E465" s="104"/>
      <c r="F465" s="103"/>
      <c r="G465" s="103"/>
      <c r="H465" s="104"/>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4"/>
      <c r="C466" s="103"/>
      <c r="D466" s="103"/>
      <c r="E466" s="104"/>
      <c r="F466" s="103"/>
      <c r="G466" s="103"/>
      <c r="H466" s="104"/>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4"/>
      <c r="C467" s="103"/>
      <c r="D467" s="103"/>
      <c r="E467" s="104"/>
      <c r="F467" s="103"/>
      <c r="G467" s="103"/>
      <c r="H467" s="104"/>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4"/>
      <c r="C468" s="103"/>
      <c r="D468" s="103"/>
      <c r="E468" s="104"/>
      <c r="F468" s="103"/>
      <c r="G468" s="103"/>
      <c r="H468" s="104"/>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4"/>
      <c r="C469" s="103"/>
      <c r="D469" s="103"/>
      <c r="E469" s="104"/>
      <c r="F469" s="103"/>
      <c r="G469" s="103"/>
      <c r="H469" s="104"/>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4"/>
      <c r="C470" s="103"/>
      <c r="D470" s="103"/>
      <c r="E470" s="104"/>
      <c r="F470" s="103"/>
      <c r="G470" s="103"/>
      <c r="H470" s="104"/>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4"/>
      <c r="C471" s="103"/>
      <c r="D471" s="103"/>
      <c r="E471" s="104"/>
      <c r="F471" s="103"/>
      <c r="G471" s="103"/>
      <c r="H471" s="104"/>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4"/>
      <c r="C472" s="103"/>
      <c r="D472" s="103"/>
      <c r="E472" s="104"/>
      <c r="F472" s="103"/>
      <c r="G472" s="103"/>
      <c r="H472" s="104"/>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4"/>
      <c r="C473" s="103"/>
      <c r="D473" s="103"/>
      <c r="E473" s="104"/>
      <c r="F473" s="103"/>
      <c r="G473" s="103"/>
      <c r="H473" s="104"/>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4"/>
      <c r="C474" s="103"/>
      <c r="D474" s="103"/>
      <c r="E474" s="104"/>
      <c r="F474" s="103"/>
      <c r="G474" s="103"/>
      <c r="H474" s="104"/>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4"/>
      <c r="C475" s="103"/>
      <c r="D475" s="103"/>
      <c r="E475" s="104"/>
      <c r="F475" s="103"/>
      <c r="G475" s="103"/>
      <c r="H475" s="104"/>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4"/>
      <c r="C476" s="103"/>
      <c r="D476" s="103"/>
      <c r="E476" s="104"/>
      <c r="F476" s="103"/>
      <c r="G476" s="103"/>
      <c r="H476" s="104"/>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4"/>
      <c r="C477" s="103"/>
      <c r="D477" s="103"/>
      <c r="E477" s="104"/>
      <c r="F477" s="103"/>
      <c r="G477" s="103"/>
      <c r="H477" s="104"/>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4"/>
      <c r="C478" s="103"/>
      <c r="D478" s="103"/>
      <c r="E478" s="104"/>
      <c r="F478" s="103"/>
      <c r="G478" s="103"/>
      <c r="H478" s="104"/>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4"/>
      <c r="C479" s="103"/>
      <c r="D479" s="103"/>
      <c r="E479" s="104"/>
      <c r="F479" s="103"/>
      <c r="G479" s="103"/>
      <c r="H479" s="104"/>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4"/>
      <c r="C480" s="103"/>
      <c r="D480" s="103"/>
      <c r="E480" s="104"/>
      <c r="F480" s="103"/>
      <c r="G480" s="103"/>
      <c r="H480" s="104"/>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4"/>
      <c r="C481" s="103"/>
      <c r="D481" s="103"/>
      <c r="E481" s="104"/>
      <c r="F481" s="103"/>
      <c r="G481" s="103"/>
      <c r="H481" s="104"/>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4"/>
      <c r="C482" s="103"/>
      <c r="D482" s="103"/>
      <c r="E482" s="104"/>
      <c r="F482" s="103"/>
      <c r="G482" s="103"/>
      <c r="H482" s="104"/>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4"/>
      <c r="C483" s="103"/>
      <c r="D483" s="103"/>
      <c r="E483" s="104"/>
      <c r="F483" s="103"/>
      <c r="G483" s="103"/>
      <c r="H483" s="104"/>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4"/>
      <c r="C484" s="103"/>
      <c r="D484" s="103"/>
      <c r="E484" s="104"/>
      <c r="F484" s="103"/>
      <c r="G484" s="103"/>
      <c r="H484" s="104"/>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4"/>
      <c r="C485" s="103"/>
      <c r="D485" s="103"/>
      <c r="E485" s="104"/>
      <c r="F485" s="103"/>
      <c r="G485" s="103"/>
      <c r="H485" s="104"/>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4"/>
      <c r="C486" s="103"/>
      <c r="D486" s="103"/>
      <c r="E486" s="104"/>
      <c r="F486" s="103"/>
      <c r="G486" s="103"/>
      <c r="H486" s="104"/>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4"/>
      <c r="C487" s="103"/>
      <c r="D487" s="103"/>
      <c r="E487" s="104"/>
      <c r="F487" s="103"/>
      <c r="G487" s="103"/>
      <c r="H487" s="104"/>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4"/>
      <c r="C488" s="103"/>
      <c r="D488" s="103"/>
      <c r="E488" s="104"/>
      <c r="F488" s="103"/>
      <c r="G488" s="103"/>
      <c r="H488" s="104"/>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4"/>
      <c r="C489" s="103"/>
      <c r="D489" s="103"/>
      <c r="E489" s="104"/>
      <c r="F489" s="103"/>
      <c r="G489" s="103"/>
      <c r="H489" s="104"/>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4"/>
      <c r="C490" s="103"/>
      <c r="D490" s="103"/>
      <c r="E490" s="104"/>
      <c r="F490" s="103"/>
      <c r="G490" s="103"/>
      <c r="H490" s="104"/>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4"/>
      <c r="C491" s="103"/>
      <c r="D491" s="103"/>
      <c r="E491" s="104"/>
      <c r="F491" s="103"/>
      <c r="G491" s="103"/>
      <c r="H491" s="104"/>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4"/>
      <c r="C492" s="103"/>
      <c r="D492" s="103"/>
      <c r="E492" s="104"/>
      <c r="F492" s="103"/>
      <c r="G492" s="103"/>
      <c r="H492" s="104"/>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4"/>
      <c r="C493" s="103"/>
      <c r="D493" s="103"/>
      <c r="E493" s="104"/>
      <c r="F493" s="103"/>
      <c r="G493" s="103"/>
      <c r="H493" s="104"/>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4"/>
      <c r="C494" s="103"/>
      <c r="D494" s="103"/>
      <c r="E494" s="104"/>
      <c r="F494" s="103"/>
      <c r="G494" s="103"/>
      <c r="H494" s="104"/>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4"/>
      <c r="C495" s="103"/>
      <c r="D495" s="103"/>
      <c r="E495" s="104"/>
      <c r="F495" s="103"/>
      <c r="G495" s="103"/>
      <c r="H495" s="104"/>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4"/>
      <c r="C496" s="103"/>
      <c r="D496" s="103"/>
      <c r="E496" s="104"/>
      <c r="F496" s="103"/>
      <c r="G496" s="103"/>
      <c r="H496" s="104"/>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4"/>
      <c r="C497" s="103"/>
      <c r="D497" s="103"/>
      <c r="E497" s="104"/>
      <c r="F497" s="103"/>
      <c r="G497" s="103"/>
      <c r="H497" s="104"/>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4"/>
      <c r="C498" s="103"/>
      <c r="D498" s="103"/>
      <c r="E498" s="104"/>
      <c r="F498" s="103"/>
      <c r="G498" s="103"/>
      <c r="H498" s="104"/>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4"/>
      <c r="C499" s="103"/>
      <c r="D499" s="103"/>
      <c r="E499" s="104"/>
      <c r="F499" s="103"/>
      <c r="G499" s="103"/>
      <c r="H499" s="104"/>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4"/>
      <c r="C500" s="103"/>
      <c r="D500" s="103"/>
      <c r="E500" s="104"/>
      <c r="F500" s="103"/>
      <c r="G500" s="103"/>
      <c r="H500" s="104"/>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4"/>
      <c r="C501" s="103"/>
      <c r="D501" s="103"/>
      <c r="E501" s="104"/>
      <c r="F501" s="103"/>
      <c r="G501" s="103"/>
      <c r="H501" s="104"/>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4"/>
      <c r="C502" s="103"/>
      <c r="D502" s="103"/>
      <c r="E502" s="104"/>
      <c r="F502" s="103"/>
      <c r="G502" s="103"/>
      <c r="H502" s="104"/>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4"/>
      <c r="C503" s="103"/>
      <c r="D503" s="103"/>
      <c r="E503" s="104"/>
      <c r="F503" s="103"/>
      <c r="G503" s="103"/>
      <c r="H503" s="104"/>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4"/>
      <c r="C504" s="103"/>
      <c r="D504" s="103"/>
      <c r="E504" s="104"/>
      <c r="F504" s="103"/>
      <c r="G504" s="103"/>
      <c r="H504" s="104"/>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4"/>
      <c r="C505" s="103"/>
      <c r="D505" s="103"/>
      <c r="E505" s="104"/>
      <c r="F505" s="103"/>
      <c r="G505" s="103"/>
      <c r="H505" s="104"/>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4"/>
      <c r="C506" s="103"/>
      <c r="D506" s="103"/>
      <c r="E506" s="104"/>
      <c r="F506" s="103"/>
      <c r="G506" s="103"/>
      <c r="H506" s="104"/>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4"/>
      <c r="C507" s="103"/>
      <c r="D507" s="103"/>
      <c r="E507" s="104"/>
      <c r="F507" s="103"/>
      <c r="G507" s="103"/>
      <c r="H507" s="104"/>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4"/>
      <c r="C508" s="103"/>
      <c r="D508" s="103"/>
      <c r="E508" s="104"/>
      <c r="F508" s="103"/>
      <c r="G508" s="103"/>
      <c r="H508" s="104"/>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4"/>
      <c r="C509" s="103"/>
      <c r="D509" s="103"/>
      <c r="E509" s="104"/>
      <c r="F509" s="103"/>
      <c r="G509" s="103"/>
      <c r="H509" s="104"/>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4"/>
      <c r="C510" s="103"/>
      <c r="D510" s="103"/>
      <c r="E510" s="104"/>
      <c r="F510" s="103"/>
      <c r="G510" s="103"/>
      <c r="H510" s="104"/>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4"/>
      <c r="C511" s="103"/>
      <c r="D511" s="103"/>
      <c r="E511" s="104"/>
      <c r="F511" s="103"/>
      <c r="G511" s="103"/>
      <c r="H511" s="104"/>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4"/>
      <c r="C512" s="103"/>
      <c r="D512" s="103"/>
      <c r="E512" s="104"/>
      <c r="F512" s="103"/>
      <c r="G512" s="103"/>
      <c r="H512" s="104"/>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4"/>
      <c r="C513" s="103"/>
      <c r="D513" s="103"/>
      <c r="E513" s="104"/>
      <c r="F513" s="103"/>
      <c r="G513" s="103"/>
      <c r="H513" s="104"/>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4"/>
      <c r="C514" s="103"/>
      <c r="D514" s="103"/>
      <c r="E514" s="104"/>
      <c r="F514" s="103"/>
      <c r="G514" s="103"/>
      <c r="H514" s="104"/>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4"/>
      <c r="C515" s="103"/>
      <c r="D515" s="103"/>
      <c r="E515" s="104"/>
      <c r="F515" s="103"/>
      <c r="G515" s="103"/>
      <c r="H515" s="104"/>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4"/>
      <c r="C516" s="103"/>
      <c r="D516" s="103"/>
      <c r="E516" s="104"/>
      <c r="F516" s="103"/>
      <c r="G516" s="103"/>
      <c r="H516" s="104"/>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4"/>
      <c r="C517" s="103"/>
      <c r="D517" s="103"/>
      <c r="E517" s="104"/>
      <c r="F517" s="103"/>
      <c r="G517" s="103"/>
      <c r="H517" s="104"/>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4"/>
      <c r="C518" s="103"/>
      <c r="D518" s="103"/>
      <c r="E518" s="104"/>
      <c r="F518" s="103"/>
      <c r="G518" s="103"/>
      <c r="H518" s="104"/>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4"/>
      <c r="C519" s="103"/>
      <c r="D519" s="103"/>
      <c r="E519" s="104"/>
      <c r="F519" s="103"/>
      <c r="G519" s="103"/>
      <c r="H519" s="104"/>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4"/>
      <c r="C520" s="103"/>
      <c r="D520" s="103"/>
      <c r="E520" s="104"/>
      <c r="F520" s="103"/>
      <c r="G520" s="103"/>
      <c r="H520" s="104"/>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4"/>
      <c r="C521" s="103"/>
      <c r="D521" s="103"/>
      <c r="E521" s="104"/>
      <c r="F521" s="103"/>
      <c r="G521" s="103"/>
      <c r="H521" s="104"/>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4"/>
      <c r="C522" s="103"/>
      <c r="D522" s="103"/>
      <c r="E522" s="104"/>
      <c r="F522" s="103"/>
      <c r="G522" s="103"/>
      <c r="H522" s="104"/>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4"/>
      <c r="C523" s="103"/>
      <c r="D523" s="103"/>
      <c r="E523" s="104"/>
      <c r="F523" s="103"/>
      <c r="G523" s="103"/>
      <c r="H523" s="104"/>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4"/>
      <c r="C524" s="103"/>
      <c r="D524" s="103"/>
      <c r="E524" s="104"/>
      <c r="F524" s="103"/>
      <c r="G524" s="103"/>
      <c r="H524" s="104"/>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4"/>
      <c r="C525" s="103"/>
      <c r="D525" s="103"/>
      <c r="E525" s="104"/>
      <c r="F525" s="103"/>
      <c r="G525" s="103"/>
      <c r="H525" s="104"/>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4"/>
      <c r="C526" s="103"/>
      <c r="D526" s="103"/>
      <c r="E526" s="104"/>
      <c r="F526" s="103"/>
      <c r="G526" s="103"/>
      <c r="H526" s="104"/>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4"/>
      <c r="C527" s="103"/>
      <c r="D527" s="103"/>
      <c r="E527" s="104"/>
      <c r="F527" s="103"/>
      <c r="G527" s="103"/>
      <c r="H527" s="104"/>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4"/>
      <c r="C528" s="103"/>
      <c r="D528" s="103"/>
      <c r="E528" s="104"/>
      <c r="F528" s="103"/>
      <c r="G528" s="103"/>
      <c r="H528" s="104"/>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4"/>
      <c r="C529" s="103"/>
      <c r="D529" s="103"/>
      <c r="E529" s="104"/>
      <c r="F529" s="103"/>
      <c r="G529" s="103"/>
      <c r="H529" s="104"/>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4"/>
      <c r="C530" s="103"/>
      <c r="D530" s="103"/>
      <c r="E530" s="104"/>
      <c r="F530" s="103"/>
      <c r="G530" s="103"/>
      <c r="H530" s="104"/>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4"/>
      <c r="C531" s="103"/>
      <c r="D531" s="103"/>
      <c r="E531" s="104"/>
      <c r="F531" s="103"/>
      <c r="G531" s="103"/>
      <c r="H531" s="104"/>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4"/>
      <c r="C532" s="103"/>
      <c r="D532" s="103"/>
      <c r="E532" s="104"/>
      <c r="F532" s="103"/>
      <c r="G532" s="103"/>
      <c r="H532" s="104"/>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4"/>
      <c r="C533" s="103"/>
      <c r="D533" s="103"/>
      <c r="E533" s="104"/>
      <c r="F533" s="103"/>
      <c r="G533" s="103"/>
      <c r="H533" s="104"/>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4"/>
      <c r="C534" s="103"/>
      <c r="D534" s="103"/>
      <c r="E534" s="104"/>
      <c r="F534" s="103"/>
      <c r="G534" s="103"/>
      <c r="H534" s="104"/>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4"/>
      <c r="C535" s="103"/>
      <c r="D535" s="103"/>
      <c r="E535" s="104"/>
      <c r="F535" s="103"/>
      <c r="G535" s="103"/>
      <c r="H535" s="104"/>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4"/>
      <c r="C536" s="103"/>
      <c r="D536" s="103"/>
      <c r="E536" s="104"/>
      <c r="F536" s="103"/>
      <c r="G536" s="103"/>
      <c r="H536" s="104"/>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4"/>
      <c r="C537" s="103"/>
      <c r="D537" s="103"/>
      <c r="E537" s="104"/>
      <c r="F537" s="103"/>
      <c r="G537" s="103"/>
      <c r="H537" s="104"/>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4"/>
      <c r="C538" s="103"/>
      <c r="D538" s="103"/>
      <c r="E538" s="104"/>
      <c r="F538" s="103"/>
      <c r="G538" s="103"/>
      <c r="H538" s="104"/>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4"/>
      <c r="C539" s="103"/>
      <c r="D539" s="103"/>
      <c r="E539" s="104"/>
      <c r="F539" s="103"/>
      <c r="G539" s="103"/>
      <c r="H539" s="104"/>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4"/>
      <c r="C540" s="103"/>
      <c r="D540" s="103"/>
      <c r="E540" s="104"/>
      <c r="F540" s="103"/>
      <c r="G540" s="103"/>
      <c r="H540" s="104"/>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4"/>
      <c r="C541" s="103"/>
      <c r="D541" s="103"/>
      <c r="E541" s="104"/>
      <c r="F541" s="103"/>
      <c r="G541" s="103"/>
      <c r="H541" s="104"/>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4"/>
      <c r="C542" s="103"/>
      <c r="D542" s="103"/>
      <c r="E542" s="104"/>
      <c r="F542" s="103"/>
      <c r="G542" s="103"/>
      <c r="H542" s="104"/>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4"/>
      <c r="C543" s="103"/>
      <c r="D543" s="103"/>
      <c r="E543" s="104"/>
      <c r="F543" s="103"/>
      <c r="G543" s="103"/>
      <c r="H543" s="104"/>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4"/>
      <c r="C544" s="103"/>
      <c r="D544" s="103"/>
      <c r="E544" s="104"/>
      <c r="F544" s="103"/>
      <c r="G544" s="103"/>
      <c r="H544" s="104"/>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4"/>
      <c r="C545" s="103"/>
      <c r="D545" s="103"/>
      <c r="E545" s="104"/>
      <c r="F545" s="103"/>
      <c r="G545" s="103"/>
      <c r="H545" s="104"/>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4"/>
      <c r="C546" s="103"/>
      <c r="D546" s="103"/>
      <c r="E546" s="104"/>
      <c r="F546" s="103"/>
      <c r="G546" s="103"/>
      <c r="H546" s="104"/>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4"/>
      <c r="C547" s="103"/>
      <c r="D547" s="103"/>
      <c r="E547" s="104"/>
      <c r="F547" s="103"/>
      <c r="G547" s="103"/>
      <c r="H547" s="104"/>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4"/>
      <c r="C548" s="103"/>
      <c r="D548" s="103"/>
      <c r="E548" s="104"/>
      <c r="F548" s="103"/>
      <c r="G548" s="103"/>
      <c r="H548" s="104"/>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4"/>
      <c r="C549" s="103"/>
      <c r="D549" s="103"/>
      <c r="E549" s="104"/>
      <c r="F549" s="103"/>
      <c r="G549" s="103"/>
      <c r="H549" s="104"/>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4"/>
      <c r="C550" s="103"/>
      <c r="D550" s="103"/>
      <c r="E550" s="104"/>
      <c r="F550" s="103"/>
      <c r="G550" s="103"/>
      <c r="H550" s="104"/>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4"/>
      <c r="C551" s="103"/>
      <c r="D551" s="103"/>
      <c r="E551" s="104"/>
      <c r="F551" s="103"/>
      <c r="G551" s="103"/>
      <c r="H551" s="104"/>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4"/>
      <c r="C552" s="103"/>
      <c r="D552" s="103"/>
      <c r="E552" s="104"/>
      <c r="F552" s="103"/>
      <c r="G552" s="103"/>
      <c r="H552" s="104"/>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4"/>
      <c r="C553" s="103"/>
      <c r="D553" s="103"/>
      <c r="E553" s="104"/>
      <c r="F553" s="103"/>
      <c r="G553" s="103"/>
      <c r="H553" s="104"/>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4"/>
      <c r="C554" s="103"/>
      <c r="D554" s="103"/>
      <c r="E554" s="104"/>
      <c r="F554" s="103"/>
      <c r="G554" s="103"/>
      <c r="H554" s="104"/>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4"/>
      <c r="C555" s="103"/>
      <c r="D555" s="103"/>
      <c r="E555" s="104"/>
      <c r="F555" s="103"/>
      <c r="G555" s="103"/>
      <c r="H555" s="104"/>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4"/>
      <c r="C556" s="103"/>
      <c r="D556" s="103"/>
      <c r="E556" s="104"/>
      <c r="F556" s="103"/>
      <c r="G556" s="103"/>
      <c r="H556" s="104"/>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4"/>
      <c r="C557" s="103"/>
      <c r="D557" s="103"/>
      <c r="E557" s="104"/>
      <c r="F557" s="103"/>
      <c r="G557" s="103"/>
      <c r="H557" s="104"/>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4"/>
      <c r="C558" s="103"/>
      <c r="D558" s="103"/>
      <c r="E558" s="104"/>
      <c r="F558" s="103"/>
      <c r="G558" s="103"/>
      <c r="H558" s="104"/>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4"/>
      <c r="C559" s="103"/>
      <c r="D559" s="103"/>
      <c r="E559" s="104"/>
      <c r="F559" s="103"/>
      <c r="G559" s="103"/>
      <c r="H559" s="104"/>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4"/>
      <c r="C560" s="103"/>
      <c r="D560" s="103"/>
      <c r="E560" s="104"/>
      <c r="F560" s="103"/>
      <c r="G560" s="103"/>
      <c r="H560" s="104"/>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4"/>
      <c r="C561" s="103"/>
      <c r="D561" s="103"/>
      <c r="E561" s="104"/>
      <c r="F561" s="103"/>
      <c r="G561" s="103"/>
      <c r="H561" s="104"/>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4"/>
      <c r="C562" s="103"/>
      <c r="D562" s="103"/>
      <c r="E562" s="104"/>
      <c r="F562" s="103"/>
      <c r="G562" s="103"/>
      <c r="H562" s="104"/>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4"/>
      <c r="C563" s="103"/>
      <c r="D563" s="103"/>
      <c r="E563" s="104"/>
      <c r="F563" s="103"/>
      <c r="G563" s="103"/>
      <c r="H563" s="104"/>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4"/>
      <c r="C564" s="103"/>
      <c r="D564" s="103"/>
      <c r="E564" s="104"/>
      <c r="F564" s="103"/>
      <c r="G564" s="103"/>
      <c r="H564" s="104"/>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4"/>
      <c r="C565" s="103"/>
      <c r="D565" s="103"/>
      <c r="E565" s="104"/>
      <c r="F565" s="103"/>
      <c r="G565" s="103"/>
      <c r="H565" s="104"/>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4"/>
      <c r="C566" s="103"/>
      <c r="D566" s="103"/>
      <c r="E566" s="104"/>
      <c r="F566" s="103"/>
      <c r="G566" s="103"/>
      <c r="H566" s="104"/>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4"/>
      <c r="C567" s="103"/>
      <c r="D567" s="103"/>
      <c r="E567" s="104"/>
      <c r="F567" s="103"/>
      <c r="G567" s="103"/>
      <c r="H567" s="104"/>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4"/>
      <c r="C568" s="103"/>
      <c r="D568" s="103"/>
      <c r="E568" s="104"/>
      <c r="F568" s="103"/>
      <c r="G568" s="103"/>
      <c r="H568" s="104"/>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4"/>
      <c r="C569" s="103"/>
      <c r="D569" s="103"/>
      <c r="E569" s="104"/>
      <c r="F569" s="103"/>
      <c r="G569" s="103"/>
      <c r="H569" s="104"/>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4"/>
      <c r="C570" s="103"/>
      <c r="D570" s="103"/>
      <c r="E570" s="104"/>
      <c r="F570" s="103"/>
      <c r="G570" s="103"/>
      <c r="H570" s="104"/>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4"/>
      <c r="C571" s="103"/>
      <c r="D571" s="103"/>
      <c r="E571" s="104"/>
      <c r="F571" s="103"/>
      <c r="G571" s="103"/>
      <c r="H571" s="104"/>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4"/>
      <c r="C572" s="103"/>
      <c r="D572" s="103"/>
      <c r="E572" s="104"/>
      <c r="F572" s="103"/>
      <c r="G572" s="103"/>
      <c r="H572" s="104"/>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4"/>
      <c r="C573" s="103"/>
      <c r="D573" s="103"/>
      <c r="E573" s="104"/>
      <c r="F573" s="103"/>
      <c r="G573" s="103"/>
      <c r="H573" s="104"/>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4"/>
      <c r="C574" s="103"/>
      <c r="D574" s="103"/>
      <c r="E574" s="104"/>
      <c r="F574" s="103"/>
      <c r="G574" s="103"/>
      <c r="H574" s="104"/>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4"/>
      <c r="C575" s="103"/>
      <c r="D575" s="103"/>
      <c r="E575" s="104"/>
      <c r="F575" s="103"/>
      <c r="G575" s="103"/>
      <c r="H575" s="104"/>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4"/>
      <c r="C576" s="103"/>
      <c r="D576" s="103"/>
      <c r="E576" s="104"/>
      <c r="F576" s="103"/>
      <c r="G576" s="103"/>
      <c r="H576" s="104"/>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4"/>
      <c r="C577" s="103"/>
      <c r="D577" s="103"/>
      <c r="E577" s="104"/>
      <c r="F577" s="103"/>
      <c r="G577" s="103"/>
      <c r="H577" s="104"/>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4"/>
      <c r="C578" s="103"/>
      <c r="D578" s="103"/>
      <c r="E578" s="104"/>
      <c r="F578" s="103"/>
      <c r="G578" s="103"/>
      <c r="H578" s="104"/>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4"/>
      <c r="C579" s="103"/>
      <c r="D579" s="103"/>
      <c r="E579" s="104"/>
      <c r="F579" s="103"/>
      <c r="G579" s="103"/>
      <c r="H579" s="104"/>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4"/>
      <c r="C580" s="103"/>
      <c r="D580" s="103"/>
      <c r="E580" s="104"/>
      <c r="F580" s="103"/>
      <c r="G580" s="103"/>
      <c r="H580" s="104"/>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4"/>
      <c r="C581" s="103"/>
      <c r="D581" s="103"/>
      <c r="E581" s="104"/>
      <c r="F581" s="103"/>
      <c r="G581" s="103"/>
      <c r="H581" s="104"/>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4"/>
      <c r="C582" s="103"/>
      <c r="D582" s="103"/>
      <c r="E582" s="104"/>
      <c r="F582" s="103"/>
      <c r="G582" s="103"/>
      <c r="H582" s="104"/>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4"/>
      <c r="C583" s="103"/>
      <c r="D583" s="103"/>
      <c r="E583" s="104"/>
      <c r="F583" s="103"/>
      <c r="G583" s="103"/>
      <c r="H583" s="104"/>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4"/>
      <c r="C584" s="103"/>
      <c r="D584" s="103"/>
      <c r="E584" s="104"/>
      <c r="F584" s="103"/>
      <c r="G584" s="103"/>
      <c r="H584" s="104"/>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4"/>
      <c r="C585" s="103"/>
      <c r="D585" s="103"/>
      <c r="E585" s="104"/>
      <c r="F585" s="103"/>
      <c r="G585" s="103"/>
      <c r="H585" s="104"/>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4"/>
      <c r="C586" s="103"/>
      <c r="D586" s="103"/>
      <c r="E586" s="104"/>
      <c r="F586" s="103"/>
      <c r="G586" s="103"/>
      <c r="H586" s="104"/>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4"/>
      <c r="C587" s="103"/>
      <c r="D587" s="103"/>
      <c r="E587" s="104"/>
      <c r="F587" s="103"/>
      <c r="G587" s="103"/>
      <c r="H587" s="104"/>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4"/>
      <c r="C588" s="103"/>
      <c r="D588" s="103"/>
      <c r="E588" s="104"/>
      <c r="F588" s="103"/>
      <c r="G588" s="103"/>
      <c r="H588" s="104"/>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4"/>
      <c r="C589" s="103"/>
      <c r="D589" s="103"/>
      <c r="E589" s="104"/>
      <c r="F589" s="103"/>
      <c r="G589" s="103"/>
      <c r="H589" s="104"/>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4"/>
      <c r="C590" s="103"/>
      <c r="D590" s="103"/>
      <c r="E590" s="104"/>
      <c r="F590" s="103"/>
      <c r="G590" s="103"/>
      <c r="H590" s="104"/>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4"/>
      <c r="C591" s="103"/>
      <c r="D591" s="103"/>
      <c r="E591" s="104"/>
      <c r="F591" s="103"/>
      <c r="G591" s="103"/>
      <c r="H591" s="104"/>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4"/>
      <c r="C592" s="103"/>
      <c r="D592" s="103"/>
      <c r="E592" s="104"/>
      <c r="F592" s="103"/>
      <c r="G592" s="103"/>
      <c r="H592" s="104"/>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4"/>
      <c r="C593" s="103"/>
      <c r="D593" s="103"/>
      <c r="E593" s="104"/>
      <c r="F593" s="103"/>
      <c r="G593" s="103"/>
      <c r="H593" s="104"/>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4"/>
      <c r="C594" s="103"/>
      <c r="D594" s="103"/>
      <c r="E594" s="104"/>
      <c r="F594" s="103"/>
      <c r="G594" s="103"/>
      <c r="H594" s="104"/>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4"/>
      <c r="C595" s="103"/>
      <c r="D595" s="103"/>
      <c r="E595" s="104"/>
      <c r="F595" s="103"/>
      <c r="G595" s="103"/>
      <c r="H595" s="104"/>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4"/>
      <c r="C596" s="103"/>
      <c r="D596" s="103"/>
      <c r="E596" s="104"/>
      <c r="F596" s="103"/>
      <c r="G596" s="103"/>
      <c r="H596" s="104"/>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4"/>
      <c r="C597" s="103"/>
      <c r="D597" s="103"/>
      <c r="E597" s="104"/>
      <c r="F597" s="103"/>
      <c r="G597" s="103"/>
      <c r="H597" s="104"/>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4"/>
      <c r="C598" s="103"/>
      <c r="D598" s="103"/>
      <c r="E598" s="104"/>
      <c r="F598" s="103"/>
      <c r="G598" s="103"/>
      <c r="H598" s="104"/>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4"/>
      <c r="C599" s="103"/>
      <c r="D599" s="103"/>
      <c r="E599" s="104"/>
      <c r="F599" s="103"/>
      <c r="G599" s="103"/>
      <c r="H599" s="104"/>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4"/>
      <c r="C600" s="103"/>
      <c r="D600" s="103"/>
      <c r="E600" s="104"/>
      <c r="F600" s="103"/>
      <c r="G600" s="103"/>
      <c r="H600" s="104"/>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4"/>
      <c r="C601" s="103"/>
      <c r="D601" s="103"/>
      <c r="E601" s="104"/>
      <c r="F601" s="103"/>
      <c r="G601" s="103"/>
      <c r="H601" s="104"/>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4"/>
      <c r="C602" s="103"/>
      <c r="D602" s="103"/>
      <c r="E602" s="104"/>
      <c r="F602" s="103"/>
      <c r="G602" s="103"/>
      <c r="H602" s="104"/>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4"/>
      <c r="C603" s="103"/>
      <c r="D603" s="103"/>
      <c r="E603" s="104"/>
      <c r="F603" s="103"/>
      <c r="G603" s="103"/>
      <c r="H603" s="104"/>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4"/>
      <c r="C604" s="103"/>
      <c r="D604" s="103"/>
      <c r="E604" s="104"/>
      <c r="F604" s="103"/>
      <c r="G604" s="103"/>
      <c r="H604" s="104"/>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4"/>
      <c r="C605" s="103"/>
      <c r="D605" s="103"/>
      <c r="E605" s="104"/>
      <c r="F605" s="103"/>
      <c r="G605" s="103"/>
      <c r="H605" s="104"/>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4"/>
      <c r="C606" s="103"/>
      <c r="D606" s="103"/>
      <c r="E606" s="104"/>
      <c r="F606" s="103"/>
      <c r="G606" s="103"/>
      <c r="H606" s="104"/>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4"/>
      <c r="C607" s="103"/>
      <c r="D607" s="103"/>
      <c r="E607" s="104"/>
      <c r="F607" s="103"/>
      <c r="G607" s="103"/>
      <c r="H607" s="104"/>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4"/>
      <c r="C608" s="103"/>
      <c r="D608" s="103"/>
      <c r="E608" s="104"/>
      <c r="F608" s="103"/>
      <c r="G608" s="103"/>
      <c r="H608" s="104"/>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4"/>
      <c r="C609" s="103"/>
      <c r="D609" s="103"/>
      <c r="E609" s="104"/>
      <c r="F609" s="103"/>
      <c r="G609" s="103"/>
      <c r="H609" s="104"/>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4"/>
      <c r="C610" s="103"/>
      <c r="D610" s="103"/>
      <c r="E610" s="104"/>
      <c r="F610" s="103"/>
      <c r="G610" s="103"/>
      <c r="H610" s="104"/>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4"/>
      <c r="C611" s="103"/>
      <c r="D611" s="103"/>
      <c r="E611" s="104"/>
      <c r="F611" s="103"/>
      <c r="G611" s="103"/>
      <c r="H611" s="104"/>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4"/>
      <c r="C612" s="103"/>
      <c r="D612" s="103"/>
      <c r="E612" s="104"/>
      <c r="F612" s="103"/>
      <c r="G612" s="103"/>
      <c r="H612" s="104"/>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4"/>
      <c r="C613" s="103"/>
      <c r="D613" s="103"/>
      <c r="E613" s="104"/>
      <c r="F613" s="103"/>
      <c r="G613" s="103"/>
      <c r="H613" s="104"/>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4"/>
      <c r="C614" s="103"/>
      <c r="D614" s="103"/>
      <c r="E614" s="104"/>
      <c r="F614" s="103"/>
      <c r="G614" s="103"/>
      <c r="H614" s="104"/>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4"/>
      <c r="C615" s="103"/>
      <c r="D615" s="103"/>
      <c r="E615" s="104"/>
      <c r="F615" s="103"/>
      <c r="G615" s="103"/>
      <c r="H615" s="104"/>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4"/>
      <c r="C616" s="103"/>
      <c r="D616" s="103"/>
      <c r="E616" s="104"/>
      <c r="F616" s="103"/>
      <c r="G616" s="103"/>
      <c r="H616" s="104"/>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4"/>
      <c r="C617" s="103"/>
      <c r="D617" s="103"/>
      <c r="E617" s="104"/>
      <c r="F617" s="103"/>
      <c r="G617" s="103"/>
      <c r="H617" s="104"/>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4"/>
      <c r="C618" s="103"/>
      <c r="D618" s="103"/>
      <c r="E618" s="104"/>
      <c r="F618" s="103"/>
      <c r="G618" s="103"/>
      <c r="H618" s="104"/>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4"/>
      <c r="C619" s="103"/>
      <c r="D619" s="103"/>
      <c r="E619" s="104"/>
      <c r="F619" s="103"/>
      <c r="G619" s="103"/>
      <c r="H619" s="104"/>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4"/>
      <c r="C620" s="103"/>
      <c r="D620" s="103"/>
      <c r="E620" s="104"/>
      <c r="F620" s="103"/>
      <c r="G620" s="103"/>
      <c r="H620" s="104"/>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4"/>
      <c r="C621" s="103"/>
      <c r="D621" s="103"/>
      <c r="E621" s="104"/>
      <c r="F621" s="103"/>
      <c r="G621" s="103"/>
      <c r="H621" s="104"/>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4"/>
      <c r="C622" s="103"/>
      <c r="D622" s="103"/>
      <c r="E622" s="104"/>
      <c r="F622" s="103"/>
      <c r="G622" s="103"/>
      <c r="H622" s="104"/>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4"/>
      <c r="C623" s="103"/>
      <c r="D623" s="103"/>
      <c r="E623" s="104"/>
      <c r="F623" s="103"/>
      <c r="G623" s="103"/>
      <c r="H623" s="104"/>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4"/>
      <c r="C624" s="103"/>
      <c r="D624" s="103"/>
      <c r="E624" s="104"/>
      <c r="F624" s="103"/>
      <c r="G624" s="103"/>
      <c r="H624" s="104"/>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4"/>
      <c r="C625" s="103"/>
      <c r="D625" s="103"/>
      <c r="E625" s="104"/>
      <c r="F625" s="103"/>
      <c r="G625" s="103"/>
      <c r="H625" s="104"/>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4"/>
      <c r="C626" s="103"/>
      <c r="D626" s="103"/>
      <c r="E626" s="104"/>
      <c r="F626" s="103"/>
      <c r="G626" s="103"/>
      <c r="H626" s="104"/>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4"/>
      <c r="C627" s="103"/>
      <c r="D627" s="103"/>
      <c r="E627" s="104"/>
      <c r="F627" s="103"/>
      <c r="G627" s="103"/>
      <c r="H627" s="104"/>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4"/>
      <c r="C628" s="103"/>
      <c r="D628" s="103"/>
      <c r="E628" s="104"/>
      <c r="F628" s="103"/>
      <c r="G628" s="103"/>
      <c r="H628" s="104"/>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4"/>
      <c r="C629" s="103"/>
      <c r="D629" s="103"/>
      <c r="E629" s="104"/>
      <c r="F629" s="103"/>
      <c r="G629" s="103"/>
      <c r="H629" s="104"/>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4"/>
      <c r="C630" s="103"/>
      <c r="D630" s="103"/>
      <c r="E630" s="104"/>
      <c r="F630" s="103"/>
      <c r="G630" s="103"/>
      <c r="H630" s="104"/>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4"/>
      <c r="C631" s="103"/>
      <c r="D631" s="103"/>
      <c r="E631" s="104"/>
      <c r="F631" s="103"/>
      <c r="G631" s="103"/>
      <c r="H631" s="104"/>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4"/>
      <c r="C632" s="103"/>
      <c r="D632" s="103"/>
      <c r="E632" s="104"/>
      <c r="F632" s="103"/>
      <c r="G632" s="103"/>
      <c r="H632" s="104"/>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4"/>
      <c r="C633" s="103"/>
      <c r="D633" s="103"/>
      <c r="E633" s="104"/>
      <c r="F633" s="103"/>
      <c r="G633" s="103"/>
      <c r="H633" s="104"/>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4"/>
      <c r="C634" s="103"/>
      <c r="D634" s="103"/>
      <c r="E634" s="104"/>
      <c r="F634" s="103"/>
      <c r="G634" s="103"/>
      <c r="H634" s="104"/>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4"/>
      <c r="C635" s="103"/>
      <c r="D635" s="103"/>
      <c r="E635" s="104"/>
      <c r="F635" s="103"/>
      <c r="G635" s="103"/>
      <c r="H635" s="104"/>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4"/>
      <c r="C636" s="103"/>
      <c r="D636" s="103"/>
      <c r="E636" s="104"/>
      <c r="F636" s="103"/>
      <c r="G636" s="103"/>
      <c r="H636" s="104"/>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4"/>
      <c r="C637" s="103"/>
      <c r="D637" s="103"/>
      <c r="E637" s="104"/>
      <c r="F637" s="103"/>
      <c r="G637" s="103"/>
      <c r="H637" s="104"/>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4"/>
      <c r="C638" s="103"/>
      <c r="D638" s="103"/>
      <c r="E638" s="104"/>
      <c r="F638" s="103"/>
      <c r="G638" s="103"/>
      <c r="H638" s="104"/>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4"/>
      <c r="C639" s="103"/>
      <c r="D639" s="103"/>
      <c r="E639" s="104"/>
      <c r="F639" s="103"/>
      <c r="G639" s="103"/>
      <c r="H639" s="104"/>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4"/>
      <c r="C640" s="103"/>
      <c r="D640" s="103"/>
      <c r="E640" s="104"/>
      <c r="F640" s="103"/>
      <c r="G640" s="103"/>
      <c r="H640" s="104"/>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4"/>
      <c r="C641" s="103"/>
      <c r="D641" s="103"/>
      <c r="E641" s="104"/>
      <c r="F641" s="103"/>
      <c r="G641" s="103"/>
      <c r="H641" s="104"/>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4"/>
      <c r="C642" s="103"/>
      <c r="D642" s="103"/>
      <c r="E642" s="104"/>
      <c r="F642" s="103"/>
      <c r="G642" s="103"/>
      <c r="H642" s="104"/>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4"/>
      <c r="C643" s="103"/>
      <c r="D643" s="103"/>
      <c r="E643" s="104"/>
      <c r="F643" s="103"/>
      <c r="G643" s="103"/>
      <c r="H643" s="104"/>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4"/>
      <c r="C644" s="103"/>
      <c r="D644" s="103"/>
      <c r="E644" s="104"/>
      <c r="F644" s="103"/>
      <c r="G644" s="103"/>
      <c r="H644" s="104"/>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4"/>
      <c r="C645" s="103"/>
      <c r="D645" s="103"/>
      <c r="E645" s="104"/>
      <c r="F645" s="103"/>
      <c r="G645" s="103"/>
      <c r="H645" s="104"/>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4"/>
      <c r="C646" s="103"/>
      <c r="D646" s="103"/>
      <c r="E646" s="104"/>
      <c r="F646" s="103"/>
      <c r="G646" s="103"/>
      <c r="H646" s="104"/>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4"/>
      <c r="C647" s="103"/>
      <c r="D647" s="103"/>
      <c r="E647" s="104"/>
      <c r="F647" s="103"/>
      <c r="G647" s="103"/>
      <c r="H647" s="104"/>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4"/>
      <c r="C648" s="103"/>
      <c r="D648" s="103"/>
      <c r="E648" s="104"/>
      <c r="F648" s="103"/>
      <c r="G648" s="103"/>
      <c r="H648" s="104"/>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4"/>
      <c r="C649" s="103"/>
      <c r="D649" s="103"/>
      <c r="E649" s="104"/>
      <c r="F649" s="103"/>
      <c r="G649" s="103"/>
      <c r="H649" s="104"/>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4"/>
      <c r="C650" s="103"/>
      <c r="D650" s="103"/>
      <c r="E650" s="104"/>
      <c r="F650" s="103"/>
      <c r="G650" s="103"/>
      <c r="H650" s="104"/>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4"/>
      <c r="C651" s="103"/>
      <c r="D651" s="103"/>
      <c r="E651" s="104"/>
      <c r="F651" s="103"/>
      <c r="G651" s="103"/>
      <c r="H651" s="104"/>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4"/>
      <c r="C652" s="103"/>
      <c r="D652" s="103"/>
      <c r="E652" s="104"/>
      <c r="F652" s="103"/>
      <c r="G652" s="103"/>
      <c r="H652" s="104"/>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4"/>
      <c r="C653" s="103"/>
      <c r="D653" s="103"/>
      <c r="E653" s="104"/>
      <c r="F653" s="103"/>
      <c r="G653" s="103"/>
      <c r="H653" s="104"/>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4"/>
      <c r="C654" s="103"/>
      <c r="D654" s="103"/>
      <c r="E654" s="104"/>
      <c r="F654" s="103"/>
      <c r="G654" s="103"/>
      <c r="H654" s="104"/>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4"/>
      <c r="C655" s="103"/>
      <c r="D655" s="103"/>
      <c r="E655" s="104"/>
      <c r="F655" s="103"/>
      <c r="G655" s="103"/>
      <c r="H655" s="104"/>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4"/>
      <c r="C656" s="103"/>
      <c r="D656" s="103"/>
      <c r="E656" s="104"/>
      <c r="F656" s="103"/>
      <c r="G656" s="103"/>
      <c r="H656" s="104"/>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4"/>
      <c r="C657" s="103"/>
      <c r="D657" s="103"/>
      <c r="E657" s="104"/>
      <c r="F657" s="103"/>
      <c r="G657" s="103"/>
      <c r="H657" s="104"/>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4"/>
      <c r="C658" s="103"/>
      <c r="D658" s="103"/>
      <c r="E658" s="104"/>
      <c r="F658" s="103"/>
      <c r="G658" s="103"/>
      <c r="H658" s="104"/>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4"/>
      <c r="C659" s="103"/>
      <c r="D659" s="103"/>
      <c r="E659" s="104"/>
      <c r="F659" s="103"/>
      <c r="G659" s="103"/>
      <c r="H659" s="104"/>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4"/>
      <c r="C660" s="103"/>
      <c r="D660" s="103"/>
      <c r="E660" s="104"/>
      <c r="F660" s="103"/>
      <c r="G660" s="103"/>
      <c r="H660" s="104"/>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4"/>
      <c r="C661" s="103"/>
      <c r="D661" s="103"/>
      <c r="E661" s="104"/>
      <c r="F661" s="103"/>
      <c r="G661" s="103"/>
      <c r="H661" s="104"/>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4"/>
      <c r="C662" s="103"/>
      <c r="D662" s="103"/>
      <c r="E662" s="104"/>
      <c r="F662" s="103"/>
      <c r="G662" s="103"/>
      <c r="H662" s="104"/>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4"/>
      <c r="C663" s="103"/>
      <c r="D663" s="103"/>
      <c r="E663" s="104"/>
      <c r="F663" s="103"/>
      <c r="G663" s="103"/>
      <c r="H663" s="104"/>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4"/>
      <c r="C664" s="103"/>
      <c r="D664" s="103"/>
      <c r="E664" s="104"/>
      <c r="F664" s="103"/>
      <c r="G664" s="103"/>
      <c r="H664" s="104"/>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4"/>
      <c r="C665" s="103"/>
      <c r="D665" s="103"/>
      <c r="E665" s="104"/>
      <c r="F665" s="103"/>
      <c r="G665" s="103"/>
      <c r="H665" s="104"/>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4"/>
      <c r="C666" s="103"/>
      <c r="D666" s="103"/>
      <c r="E666" s="104"/>
      <c r="F666" s="103"/>
      <c r="G666" s="103"/>
      <c r="H666" s="104"/>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4"/>
      <c r="C667" s="103"/>
      <c r="D667" s="103"/>
      <c r="E667" s="104"/>
      <c r="F667" s="103"/>
      <c r="G667" s="103"/>
      <c r="H667" s="104"/>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4"/>
      <c r="C668" s="103"/>
      <c r="D668" s="103"/>
      <c r="E668" s="104"/>
      <c r="F668" s="103"/>
      <c r="G668" s="103"/>
      <c r="H668" s="104"/>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4"/>
      <c r="C669" s="103"/>
      <c r="D669" s="103"/>
      <c r="E669" s="104"/>
      <c r="F669" s="103"/>
      <c r="G669" s="103"/>
      <c r="H669" s="104"/>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4"/>
      <c r="C670" s="103"/>
      <c r="D670" s="103"/>
      <c r="E670" s="104"/>
      <c r="F670" s="103"/>
      <c r="G670" s="103"/>
      <c r="H670" s="104"/>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4"/>
      <c r="C671" s="103"/>
      <c r="D671" s="103"/>
      <c r="E671" s="104"/>
      <c r="F671" s="103"/>
      <c r="G671" s="103"/>
      <c r="H671" s="104"/>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4"/>
      <c r="C672" s="103"/>
      <c r="D672" s="103"/>
      <c r="E672" s="104"/>
      <c r="F672" s="103"/>
      <c r="G672" s="103"/>
      <c r="H672" s="104"/>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4"/>
      <c r="C673" s="103"/>
      <c r="D673" s="103"/>
      <c r="E673" s="104"/>
      <c r="F673" s="103"/>
      <c r="G673" s="103"/>
      <c r="H673" s="104"/>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4"/>
      <c r="C674" s="103"/>
      <c r="D674" s="103"/>
      <c r="E674" s="104"/>
      <c r="F674" s="103"/>
      <c r="G674" s="103"/>
      <c r="H674" s="104"/>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4"/>
      <c r="C675" s="103"/>
      <c r="D675" s="103"/>
      <c r="E675" s="104"/>
      <c r="F675" s="103"/>
      <c r="G675" s="103"/>
      <c r="H675" s="104"/>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4"/>
      <c r="C676" s="103"/>
      <c r="D676" s="103"/>
      <c r="E676" s="104"/>
      <c r="F676" s="103"/>
      <c r="G676" s="103"/>
      <c r="H676" s="104"/>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4"/>
      <c r="C677" s="103"/>
      <c r="D677" s="103"/>
      <c r="E677" s="104"/>
      <c r="F677" s="103"/>
      <c r="G677" s="103"/>
      <c r="H677" s="104"/>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4"/>
      <c r="C678" s="103"/>
      <c r="D678" s="103"/>
      <c r="E678" s="104"/>
      <c r="F678" s="103"/>
      <c r="G678" s="103"/>
      <c r="H678" s="104"/>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4"/>
      <c r="C679" s="103"/>
      <c r="D679" s="103"/>
      <c r="E679" s="104"/>
      <c r="F679" s="103"/>
      <c r="G679" s="103"/>
      <c r="H679" s="104"/>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4"/>
      <c r="C680" s="103"/>
      <c r="D680" s="103"/>
      <c r="E680" s="104"/>
      <c r="F680" s="103"/>
      <c r="G680" s="103"/>
      <c r="H680" s="104"/>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4"/>
      <c r="C681" s="103"/>
      <c r="D681" s="103"/>
      <c r="E681" s="104"/>
      <c r="F681" s="103"/>
      <c r="G681" s="103"/>
      <c r="H681" s="104"/>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4"/>
      <c r="C682" s="103"/>
      <c r="D682" s="103"/>
      <c r="E682" s="104"/>
      <c r="F682" s="103"/>
      <c r="G682" s="103"/>
      <c r="H682" s="104"/>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4"/>
      <c r="C683" s="103"/>
      <c r="D683" s="103"/>
      <c r="E683" s="104"/>
      <c r="F683" s="103"/>
      <c r="G683" s="103"/>
      <c r="H683" s="104"/>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4"/>
      <c r="C684" s="103"/>
      <c r="D684" s="103"/>
      <c r="E684" s="104"/>
      <c r="F684" s="103"/>
      <c r="G684" s="103"/>
      <c r="H684" s="104"/>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4"/>
      <c r="C685" s="103"/>
      <c r="D685" s="103"/>
      <c r="E685" s="104"/>
      <c r="F685" s="103"/>
      <c r="G685" s="103"/>
      <c r="H685" s="104"/>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4"/>
      <c r="C686" s="103"/>
      <c r="D686" s="103"/>
      <c r="E686" s="104"/>
      <c r="F686" s="103"/>
      <c r="G686" s="103"/>
      <c r="H686" s="104"/>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4"/>
      <c r="C687" s="103"/>
      <c r="D687" s="103"/>
      <c r="E687" s="104"/>
      <c r="F687" s="103"/>
      <c r="G687" s="103"/>
      <c r="H687" s="104"/>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4"/>
      <c r="C688" s="103"/>
      <c r="D688" s="103"/>
      <c r="E688" s="104"/>
      <c r="F688" s="103"/>
      <c r="G688" s="103"/>
      <c r="H688" s="104"/>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4"/>
      <c r="C689" s="103"/>
      <c r="D689" s="103"/>
      <c r="E689" s="104"/>
      <c r="F689" s="103"/>
      <c r="G689" s="103"/>
      <c r="H689" s="104"/>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4"/>
      <c r="C690" s="103"/>
      <c r="D690" s="103"/>
      <c r="E690" s="104"/>
      <c r="F690" s="103"/>
      <c r="G690" s="103"/>
      <c r="H690" s="104"/>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4"/>
      <c r="C691" s="103"/>
      <c r="D691" s="103"/>
      <c r="E691" s="104"/>
      <c r="F691" s="103"/>
      <c r="G691" s="103"/>
      <c r="H691" s="104"/>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4"/>
      <c r="C692" s="103"/>
      <c r="D692" s="103"/>
      <c r="E692" s="104"/>
      <c r="F692" s="103"/>
      <c r="G692" s="103"/>
      <c r="H692" s="104"/>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4"/>
      <c r="C693" s="103"/>
      <c r="D693" s="103"/>
      <c r="E693" s="104"/>
      <c r="F693" s="103"/>
      <c r="G693" s="103"/>
      <c r="H693" s="104"/>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4"/>
      <c r="C694" s="103"/>
      <c r="D694" s="103"/>
      <c r="E694" s="104"/>
      <c r="F694" s="103"/>
      <c r="G694" s="103"/>
      <c r="H694" s="104"/>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4"/>
      <c r="C695" s="103"/>
      <c r="D695" s="103"/>
      <c r="E695" s="104"/>
      <c r="F695" s="103"/>
      <c r="G695" s="103"/>
      <c r="H695" s="104"/>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4"/>
      <c r="C696" s="103"/>
      <c r="D696" s="103"/>
      <c r="E696" s="104"/>
      <c r="F696" s="103"/>
      <c r="G696" s="103"/>
      <c r="H696" s="104"/>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4"/>
      <c r="C697" s="103"/>
      <c r="D697" s="103"/>
      <c r="E697" s="104"/>
      <c r="F697" s="103"/>
      <c r="G697" s="103"/>
      <c r="H697" s="104"/>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4"/>
      <c r="C698" s="103"/>
      <c r="D698" s="103"/>
      <c r="E698" s="104"/>
      <c r="F698" s="103"/>
      <c r="G698" s="103"/>
      <c r="H698" s="104"/>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4"/>
      <c r="C699" s="103"/>
      <c r="D699" s="103"/>
      <c r="E699" s="104"/>
      <c r="F699" s="103"/>
      <c r="G699" s="103"/>
      <c r="H699" s="104"/>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4"/>
      <c r="C700" s="103"/>
      <c r="D700" s="103"/>
      <c r="E700" s="104"/>
      <c r="F700" s="103"/>
      <c r="G700" s="103"/>
      <c r="H700" s="104"/>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4"/>
      <c r="C701" s="103"/>
      <c r="D701" s="103"/>
      <c r="E701" s="104"/>
      <c r="F701" s="103"/>
      <c r="G701" s="103"/>
      <c r="H701" s="104"/>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4"/>
      <c r="C702" s="103"/>
      <c r="D702" s="103"/>
      <c r="E702" s="104"/>
      <c r="F702" s="103"/>
      <c r="G702" s="103"/>
      <c r="H702" s="104"/>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4"/>
      <c r="C703" s="103"/>
      <c r="D703" s="103"/>
      <c r="E703" s="104"/>
      <c r="F703" s="103"/>
      <c r="G703" s="103"/>
      <c r="H703" s="104"/>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4"/>
      <c r="C704" s="103"/>
      <c r="D704" s="103"/>
      <c r="E704" s="104"/>
      <c r="F704" s="103"/>
      <c r="G704" s="103"/>
      <c r="H704" s="104"/>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4"/>
      <c r="C705" s="103"/>
      <c r="D705" s="103"/>
      <c r="E705" s="104"/>
      <c r="F705" s="103"/>
      <c r="G705" s="103"/>
      <c r="H705" s="104"/>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4"/>
      <c r="C706" s="103"/>
      <c r="D706" s="103"/>
      <c r="E706" s="104"/>
      <c r="F706" s="103"/>
      <c r="G706" s="103"/>
      <c r="H706" s="104"/>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4"/>
      <c r="C707" s="103"/>
      <c r="D707" s="103"/>
      <c r="E707" s="104"/>
      <c r="F707" s="103"/>
      <c r="G707" s="103"/>
      <c r="H707" s="104"/>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4"/>
      <c r="C708" s="103"/>
      <c r="D708" s="103"/>
      <c r="E708" s="104"/>
      <c r="F708" s="103"/>
      <c r="G708" s="103"/>
      <c r="H708" s="104"/>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4"/>
      <c r="C709" s="103"/>
      <c r="D709" s="103"/>
      <c r="E709" s="104"/>
      <c r="F709" s="103"/>
      <c r="G709" s="103"/>
      <c r="H709" s="104"/>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4"/>
      <c r="C710" s="103"/>
      <c r="D710" s="103"/>
      <c r="E710" s="104"/>
      <c r="F710" s="103"/>
      <c r="G710" s="103"/>
      <c r="H710" s="104"/>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4"/>
      <c r="C711" s="103"/>
      <c r="D711" s="103"/>
      <c r="E711" s="104"/>
      <c r="F711" s="103"/>
      <c r="G711" s="103"/>
      <c r="H711" s="104"/>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4"/>
      <c r="C712" s="103"/>
      <c r="D712" s="103"/>
      <c r="E712" s="104"/>
      <c r="F712" s="103"/>
      <c r="G712" s="103"/>
      <c r="H712" s="104"/>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4"/>
      <c r="C713" s="103"/>
      <c r="D713" s="103"/>
      <c r="E713" s="104"/>
      <c r="F713" s="103"/>
      <c r="G713" s="103"/>
      <c r="H713" s="104"/>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4"/>
      <c r="C714" s="103"/>
      <c r="D714" s="103"/>
      <c r="E714" s="104"/>
      <c r="F714" s="103"/>
      <c r="G714" s="103"/>
      <c r="H714" s="104"/>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4"/>
      <c r="C715" s="103"/>
      <c r="D715" s="103"/>
      <c r="E715" s="104"/>
      <c r="F715" s="103"/>
      <c r="G715" s="103"/>
      <c r="H715" s="104"/>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4"/>
      <c r="C716" s="103"/>
      <c r="D716" s="103"/>
      <c r="E716" s="104"/>
      <c r="F716" s="103"/>
      <c r="G716" s="103"/>
      <c r="H716" s="104"/>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4"/>
      <c r="C717" s="103"/>
      <c r="D717" s="103"/>
      <c r="E717" s="104"/>
      <c r="F717" s="103"/>
      <c r="G717" s="103"/>
      <c r="H717" s="104"/>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4"/>
      <c r="C718" s="103"/>
      <c r="D718" s="103"/>
      <c r="E718" s="104"/>
      <c r="F718" s="103"/>
      <c r="G718" s="103"/>
      <c r="H718" s="104"/>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4"/>
      <c r="C719" s="103"/>
      <c r="D719" s="103"/>
      <c r="E719" s="104"/>
      <c r="F719" s="103"/>
      <c r="G719" s="103"/>
      <c r="H719" s="104"/>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4"/>
      <c r="C720" s="103"/>
      <c r="D720" s="103"/>
      <c r="E720" s="104"/>
      <c r="F720" s="103"/>
      <c r="G720" s="103"/>
      <c r="H720" s="104"/>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4"/>
      <c r="C721" s="103"/>
      <c r="D721" s="103"/>
      <c r="E721" s="104"/>
      <c r="F721" s="103"/>
      <c r="G721" s="103"/>
      <c r="H721" s="104"/>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4"/>
      <c r="C722" s="103"/>
      <c r="D722" s="103"/>
      <c r="E722" s="104"/>
      <c r="F722" s="103"/>
      <c r="G722" s="103"/>
      <c r="H722" s="104"/>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4"/>
      <c r="C723" s="103"/>
      <c r="D723" s="103"/>
      <c r="E723" s="104"/>
      <c r="F723" s="103"/>
      <c r="G723" s="103"/>
      <c r="H723" s="104"/>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4"/>
      <c r="C724" s="103"/>
      <c r="D724" s="103"/>
      <c r="E724" s="104"/>
      <c r="F724" s="103"/>
      <c r="G724" s="103"/>
      <c r="H724" s="104"/>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4"/>
      <c r="C725" s="103"/>
      <c r="D725" s="103"/>
      <c r="E725" s="104"/>
      <c r="F725" s="103"/>
      <c r="G725" s="103"/>
      <c r="H725" s="104"/>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4"/>
      <c r="C726" s="103"/>
      <c r="D726" s="103"/>
      <c r="E726" s="104"/>
      <c r="F726" s="103"/>
      <c r="G726" s="103"/>
      <c r="H726" s="104"/>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4"/>
      <c r="C727" s="103"/>
      <c r="D727" s="103"/>
      <c r="E727" s="104"/>
      <c r="F727" s="103"/>
      <c r="G727" s="103"/>
      <c r="H727" s="104"/>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4"/>
      <c r="C728" s="103"/>
      <c r="D728" s="103"/>
      <c r="E728" s="104"/>
      <c r="F728" s="103"/>
      <c r="G728" s="103"/>
      <c r="H728" s="104"/>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4"/>
      <c r="C729" s="103"/>
      <c r="D729" s="103"/>
      <c r="E729" s="104"/>
      <c r="F729" s="103"/>
      <c r="G729" s="103"/>
      <c r="H729" s="104"/>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4"/>
      <c r="C730" s="103"/>
      <c r="D730" s="103"/>
      <c r="E730" s="104"/>
      <c r="F730" s="103"/>
      <c r="G730" s="103"/>
      <c r="H730" s="104"/>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4"/>
      <c r="C731" s="103"/>
      <c r="D731" s="103"/>
      <c r="E731" s="104"/>
      <c r="F731" s="103"/>
      <c r="G731" s="103"/>
      <c r="H731" s="104"/>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4"/>
      <c r="C732" s="103"/>
      <c r="D732" s="103"/>
      <c r="E732" s="104"/>
      <c r="F732" s="103"/>
      <c r="G732" s="103"/>
      <c r="H732" s="104"/>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4"/>
      <c r="C733" s="103"/>
      <c r="D733" s="103"/>
      <c r="E733" s="104"/>
      <c r="F733" s="103"/>
      <c r="G733" s="103"/>
      <c r="H733" s="104"/>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4"/>
      <c r="C734" s="103"/>
      <c r="D734" s="103"/>
      <c r="E734" s="104"/>
      <c r="F734" s="103"/>
      <c r="G734" s="103"/>
      <c r="H734" s="104"/>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4"/>
      <c r="C735" s="103"/>
      <c r="D735" s="103"/>
      <c r="E735" s="104"/>
      <c r="F735" s="103"/>
      <c r="G735" s="103"/>
      <c r="H735" s="104"/>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4"/>
      <c r="C736" s="103"/>
      <c r="D736" s="103"/>
      <c r="E736" s="104"/>
      <c r="F736" s="103"/>
      <c r="G736" s="103"/>
      <c r="H736" s="104"/>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4"/>
      <c r="C737" s="103"/>
      <c r="D737" s="103"/>
      <c r="E737" s="104"/>
      <c r="F737" s="103"/>
      <c r="G737" s="103"/>
      <c r="H737" s="104"/>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4"/>
      <c r="C738" s="103"/>
      <c r="D738" s="103"/>
      <c r="E738" s="104"/>
      <c r="F738" s="103"/>
      <c r="G738" s="103"/>
      <c r="H738" s="104"/>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4"/>
      <c r="C739" s="103"/>
      <c r="D739" s="103"/>
      <c r="E739" s="104"/>
      <c r="F739" s="103"/>
      <c r="G739" s="103"/>
      <c r="H739" s="104"/>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4"/>
      <c r="C740" s="103"/>
      <c r="D740" s="103"/>
      <c r="E740" s="104"/>
      <c r="F740" s="103"/>
      <c r="G740" s="103"/>
      <c r="H740" s="104"/>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4"/>
      <c r="C741" s="103"/>
      <c r="D741" s="103"/>
      <c r="E741" s="104"/>
      <c r="F741" s="103"/>
      <c r="G741" s="103"/>
      <c r="H741" s="104"/>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4"/>
      <c r="C742" s="103"/>
      <c r="D742" s="103"/>
      <c r="E742" s="104"/>
      <c r="F742" s="103"/>
      <c r="G742" s="103"/>
      <c r="H742" s="104"/>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4"/>
      <c r="C743" s="103"/>
      <c r="D743" s="103"/>
      <c r="E743" s="104"/>
      <c r="F743" s="103"/>
      <c r="G743" s="103"/>
      <c r="H743" s="104"/>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4"/>
      <c r="C744" s="103"/>
      <c r="D744" s="103"/>
      <c r="E744" s="104"/>
      <c r="F744" s="103"/>
      <c r="G744" s="103"/>
      <c r="H744" s="104"/>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4"/>
      <c r="C745" s="103"/>
      <c r="D745" s="103"/>
      <c r="E745" s="104"/>
      <c r="F745" s="103"/>
      <c r="G745" s="103"/>
      <c r="H745" s="104"/>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4"/>
      <c r="C746" s="103"/>
      <c r="D746" s="103"/>
      <c r="E746" s="104"/>
      <c r="F746" s="103"/>
      <c r="G746" s="103"/>
      <c r="H746" s="104"/>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4"/>
      <c r="C747" s="103"/>
      <c r="D747" s="103"/>
      <c r="E747" s="104"/>
      <c r="F747" s="103"/>
      <c r="G747" s="103"/>
      <c r="H747" s="104"/>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4"/>
      <c r="C748" s="103"/>
      <c r="D748" s="103"/>
      <c r="E748" s="104"/>
      <c r="F748" s="103"/>
      <c r="G748" s="103"/>
      <c r="H748" s="104"/>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4"/>
      <c r="C749" s="103"/>
      <c r="D749" s="103"/>
      <c r="E749" s="104"/>
      <c r="F749" s="103"/>
      <c r="G749" s="103"/>
      <c r="H749" s="104"/>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4"/>
      <c r="C750" s="103"/>
      <c r="D750" s="103"/>
      <c r="E750" s="104"/>
      <c r="F750" s="103"/>
      <c r="G750" s="103"/>
      <c r="H750" s="104"/>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4"/>
      <c r="C751" s="103"/>
      <c r="D751" s="103"/>
      <c r="E751" s="104"/>
      <c r="F751" s="103"/>
      <c r="G751" s="103"/>
      <c r="H751" s="104"/>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4"/>
      <c r="C752" s="103"/>
      <c r="D752" s="103"/>
      <c r="E752" s="104"/>
      <c r="F752" s="103"/>
      <c r="G752" s="103"/>
      <c r="H752" s="104"/>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4"/>
      <c r="C753" s="103"/>
      <c r="D753" s="103"/>
      <c r="E753" s="104"/>
      <c r="F753" s="103"/>
      <c r="G753" s="103"/>
      <c r="H753" s="104"/>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4"/>
      <c r="C754" s="103"/>
      <c r="D754" s="103"/>
      <c r="E754" s="104"/>
      <c r="F754" s="103"/>
      <c r="G754" s="103"/>
      <c r="H754" s="104"/>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4"/>
      <c r="C755" s="103"/>
      <c r="D755" s="103"/>
      <c r="E755" s="104"/>
      <c r="F755" s="103"/>
      <c r="G755" s="103"/>
      <c r="H755" s="104"/>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4"/>
      <c r="C756" s="103"/>
      <c r="D756" s="103"/>
      <c r="E756" s="104"/>
      <c r="F756" s="103"/>
      <c r="G756" s="103"/>
      <c r="H756" s="104"/>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4"/>
      <c r="C757" s="103"/>
      <c r="D757" s="103"/>
      <c r="E757" s="104"/>
      <c r="F757" s="103"/>
      <c r="G757" s="103"/>
      <c r="H757" s="104"/>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4"/>
      <c r="C758" s="103"/>
      <c r="D758" s="103"/>
      <c r="E758" s="104"/>
      <c r="F758" s="103"/>
      <c r="G758" s="103"/>
      <c r="H758" s="104"/>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4"/>
      <c r="C759" s="103"/>
      <c r="D759" s="103"/>
      <c r="E759" s="104"/>
      <c r="F759" s="103"/>
      <c r="G759" s="103"/>
      <c r="H759" s="104"/>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4"/>
      <c r="C760" s="103"/>
      <c r="D760" s="103"/>
      <c r="E760" s="104"/>
      <c r="F760" s="103"/>
      <c r="G760" s="103"/>
      <c r="H760" s="104"/>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4"/>
      <c r="C761" s="103"/>
      <c r="D761" s="103"/>
      <c r="E761" s="104"/>
      <c r="F761" s="103"/>
      <c r="G761" s="103"/>
      <c r="H761" s="104"/>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4"/>
      <c r="C762" s="103"/>
      <c r="D762" s="103"/>
      <c r="E762" s="104"/>
      <c r="F762" s="103"/>
      <c r="G762" s="103"/>
      <c r="H762" s="104"/>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4"/>
      <c r="C763" s="103"/>
      <c r="D763" s="103"/>
      <c r="E763" s="104"/>
      <c r="F763" s="103"/>
      <c r="G763" s="103"/>
      <c r="H763" s="104"/>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4"/>
      <c r="C764" s="103"/>
      <c r="D764" s="103"/>
      <c r="E764" s="104"/>
      <c r="F764" s="103"/>
      <c r="G764" s="103"/>
      <c r="H764" s="104"/>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4"/>
      <c r="C765" s="103"/>
      <c r="D765" s="103"/>
      <c r="E765" s="104"/>
      <c r="F765" s="103"/>
      <c r="G765" s="103"/>
      <c r="H765" s="104"/>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4"/>
      <c r="C766" s="103"/>
      <c r="D766" s="103"/>
      <c r="E766" s="104"/>
      <c r="F766" s="103"/>
      <c r="G766" s="103"/>
      <c r="H766" s="104"/>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4"/>
      <c r="C767" s="103"/>
      <c r="D767" s="103"/>
      <c r="E767" s="104"/>
      <c r="F767" s="103"/>
      <c r="G767" s="103"/>
      <c r="H767" s="104"/>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4"/>
      <c r="C768" s="103"/>
      <c r="D768" s="103"/>
      <c r="E768" s="104"/>
      <c r="F768" s="103"/>
      <c r="G768" s="103"/>
      <c r="H768" s="104"/>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4"/>
      <c r="C769" s="103"/>
      <c r="D769" s="103"/>
      <c r="E769" s="104"/>
      <c r="F769" s="103"/>
      <c r="G769" s="103"/>
      <c r="H769" s="104"/>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4"/>
      <c r="C770" s="103"/>
      <c r="D770" s="103"/>
      <c r="E770" s="104"/>
      <c r="F770" s="103"/>
      <c r="G770" s="103"/>
      <c r="H770" s="104"/>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4"/>
      <c r="C771" s="103"/>
      <c r="D771" s="103"/>
      <c r="E771" s="104"/>
      <c r="F771" s="103"/>
      <c r="G771" s="103"/>
      <c r="H771" s="104"/>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4"/>
      <c r="C772" s="103"/>
      <c r="D772" s="103"/>
      <c r="E772" s="104"/>
      <c r="F772" s="103"/>
      <c r="G772" s="103"/>
      <c r="H772" s="104"/>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4"/>
      <c r="C773" s="103"/>
      <c r="D773" s="103"/>
      <c r="E773" s="104"/>
      <c r="F773" s="103"/>
      <c r="G773" s="103"/>
      <c r="H773" s="104"/>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4"/>
      <c r="C774" s="103"/>
      <c r="D774" s="103"/>
      <c r="E774" s="104"/>
      <c r="F774" s="103"/>
      <c r="G774" s="103"/>
      <c r="H774" s="104"/>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4"/>
      <c r="C775" s="103"/>
      <c r="D775" s="103"/>
      <c r="E775" s="104"/>
      <c r="F775" s="103"/>
      <c r="G775" s="103"/>
      <c r="H775" s="104"/>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4"/>
      <c r="C776" s="103"/>
      <c r="D776" s="103"/>
      <c r="E776" s="104"/>
      <c r="F776" s="103"/>
      <c r="G776" s="103"/>
      <c r="H776" s="104"/>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4"/>
      <c r="C777" s="103"/>
      <c r="D777" s="103"/>
      <c r="E777" s="104"/>
      <c r="F777" s="103"/>
      <c r="G777" s="103"/>
      <c r="H777" s="104"/>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4"/>
      <c r="C778" s="103"/>
      <c r="D778" s="103"/>
      <c r="E778" s="104"/>
      <c r="F778" s="103"/>
      <c r="G778" s="103"/>
      <c r="H778" s="104"/>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4"/>
      <c r="C779" s="103"/>
      <c r="D779" s="103"/>
      <c r="E779" s="104"/>
      <c r="F779" s="103"/>
      <c r="G779" s="103"/>
      <c r="H779" s="104"/>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4"/>
      <c r="C780" s="103"/>
      <c r="D780" s="103"/>
      <c r="E780" s="104"/>
      <c r="F780" s="103"/>
      <c r="G780" s="103"/>
      <c r="H780" s="104"/>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4"/>
      <c r="C781" s="103"/>
      <c r="D781" s="103"/>
      <c r="E781" s="104"/>
      <c r="F781" s="103"/>
      <c r="G781" s="103"/>
      <c r="H781" s="104"/>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4"/>
      <c r="C782" s="103"/>
      <c r="D782" s="103"/>
      <c r="E782" s="104"/>
      <c r="F782" s="103"/>
      <c r="G782" s="103"/>
      <c r="H782" s="104"/>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4"/>
      <c r="C783" s="103"/>
      <c r="D783" s="103"/>
      <c r="E783" s="104"/>
      <c r="F783" s="103"/>
      <c r="G783" s="103"/>
      <c r="H783" s="104"/>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4"/>
      <c r="C784" s="103"/>
      <c r="D784" s="103"/>
      <c r="E784" s="104"/>
      <c r="F784" s="103"/>
      <c r="G784" s="103"/>
      <c r="H784" s="104"/>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4"/>
      <c r="C785" s="103"/>
      <c r="D785" s="103"/>
      <c r="E785" s="104"/>
      <c r="F785" s="103"/>
      <c r="G785" s="103"/>
      <c r="H785" s="104"/>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4"/>
      <c r="C786" s="103"/>
      <c r="D786" s="103"/>
      <c r="E786" s="104"/>
      <c r="F786" s="103"/>
      <c r="G786" s="103"/>
      <c r="H786" s="104"/>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4"/>
      <c r="C787" s="103"/>
      <c r="D787" s="103"/>
      <c r="E787" s="104"/>
      <c r="F787" s="103"/>
      <c r="G787" s="103"/>
      <c r="H787" s="104"/>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4"/>
      <c r="C788" s="103"/>
      <c r="D788" s="103"/>
      <c r="E788" s="104"/>
      <c r="F788" s="103"/>
      <c r="G788" s="103"/>
      <c r="H788" s="104"/>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4"/>
      <c r="C789" s="103"/>
      <c r="D789" s="103"/>
      <c r="E789" s="104"/>
      <c r="F789" s="103"/>
      <c r="G789" s="103"/>
      <c r="H789" s="104"/>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4"/>
      <c r="C790" s="103"/>
      <c r="D790" s="103"/>
      <c r="E790" s="104"/>
      <c r="F790" s="103"/>
      <c r="G790" s="103"/>
      <c r="H790" s="104"/>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4"/>
      <c r="C791" s="103"/>
      <c r="D791" s="103"/>
      <c r="E791" s="104"/>
      <c r="F791" s="103"/>
      <c r="G791" s="103"/>
      <c r="H791" s="104"/>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4"/>
      <c r="C792" s="103"/>
      <c r="D792" s="103"/>
      <c r="E792" s="104"/>
      <c r="F792" s="103"/>
      <c r="G792" s="103"/>
      <c r="H792" s="104"/>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4"/>
      <c r="C793" s="103"/>
      <c r="D793" s="103"/>
      <c r="E793" s="104"/>
      <c r="F793" s="103"/>
      <c r="G793" s="103"/>
      <c r="H793" s="104"/>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4"/>
      <c r="C794" s="103"/>
      <c r="D794" s="103"/>
      <c r="E794" s="104"/>
      <c r="F794" s="103"/>
      <c r="G794" s="103"/>
      <c r="H794" s="104"/>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4"/>
      <c r="C795" s="103"/>
      <c r="D795" s="103"/>
      <c r="E795" s="104"/>
      <c r="F795" s="103"/>
      <c r="G795" s="103"/>
      <c r="H795" s="104"/>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4"/>
      <c r="C796" s="103"/>
      <c r="D796" s="103"/>
      <c r="E796" s="104"/>
      <c r="F796" s="103"/>
      <c r="G796" s="103"/>
      <c r="H796" s="104"/>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4"/>
      <c r="C797" s="103"/>
      <c r="D797" s="103"/>
      <c r="E797" s="104"/>
      <c r="F797" s="103"/>
      <c r="G797" s="103"/>
      <c r="H797" s="104"/>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4"/>
      <c r="C798" s="103"/>
      <c r="D798" s="103"/>
      <c r="E798" s="104"/>
      <c r="F798" s="103"/>
      <c r="G798" s="103"/>
      <c r="H798" s="104"/>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4"/>
      <c r="C799" s="103"/>
      <c r="D799" s="103"/>
      <c r="E799" s="104"/>
      <c r="F799" s="103"/>
      <c r="G799" s="103"/>
      <c r="H799" s="104"/>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4"/>
      <c r="C800" s="103"/>
      <c r="D800" s="103"/>
      <c r="E800" s="104"/>
      <c r="F800" s="103"/>
      <c r="G800" s="103"/>
      <c r="H800" s="104"/>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4"/>
      <c r="C801" s="103"/>
      <c r="D801" s="103"/>
      <c r="E801" s="104"/>
      <c r="F801" s="103"/>
      <c r="G801" s="103"/>
      <c r="H801" s="104"/>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4"/>
      <c r="C802" s="103"/>
      <c r="D802" s="103"/>
      <c r="E802" s="104"/>
      <c r="F802" s="103"/>
      <c r="G802" s="103"/>
      <c r="H802" s="104"/>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4"/>
      <c r="C803" s="103"/>
      <c r="D803" s="103"/>
      <c r="E803" s="104"/>
      <c r="F803" s="103"/>
      <c r="G803" s="103"/>
      <c r="H803" s="104"/>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4"/>
      <c r="C804" s="103"/>
      <c r="D804" s="103"/>
      <c r="E804" s="104"/>
      <c r="F804" s="103"/>
      <c r="G804" s="103"/>
      <c r="H804" s="104"/>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4"/>
      <c r="C805" s="103"/>
      <c r="D805" s="103"/>
      <c r="E805" s="104"/>
      <c r="F805" s="103"/>
      <c r="G805" s="103"/>
      <c r="H805" s="104"/>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4"/>
      <c r="C806" s="103"/>
      <c r="D806" s="103"/>
      <c r="E806" s="104"/>
      <c r="F806" s="103"/>
      <c r="G806" s="103"/>
      <c r="H806" s="104"/>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4"/>
      <c r="C807" s="103"/>
      <c r="D807" s="103"/>
      <c r="E807" s="104"/>
      <c r="F807" s="103"/>
      <c r="G807" s="103"/>
      <c r="H807" s="104"/>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4"/>
      <c r="C808" s="103"/>
      <c r="D808" s="103"/>
      <c r="E808" s="104"/>
      <c r="F808" s="103"/>
      <c r="G808" s="103"/>
      <c r="H808" s="104"/>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4"/>
      <c r="C809" s="103"/>
      <c r="D809" s="103"/>
      <c r="E809" s="104"/>
      <c r="F809" s="103"/>
      <c r="G809" s="103"/>
      <c r="H809" s="104"/>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4"/>
      <c r="C810" s="103"/>
      <c r="D810" s="103"/>
      <c r="E810" s="104"/>
      <c r="F810" s="103"/>
      <c r="G810" s="103"/>
      <c r="H810" s="104"/>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4"/>
      <c r="C811" s="103"/>
      <c r="D811" s="103"/>
      <c r="E811" s="104"/>
      <c r="F811" s="103"/>
      <c r="G811" s="103"/>
      <c r="H811" s="104"/>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4"/>
      <c r="C812" s="103"/>
      <c r="D812" s="103"/>
      <c r="E812" s="104"/>
      <c r="F812" s="103"/>
      <c r="G812" s="103"/>
      <c r="H812" s="104"/>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4"/>
      <c r="C813" s="103"/>
      <c r="D813" s="103"/>
      <c r="E813" s="104"/>
      <c r="F813" s="103"/>
      <c r="G813" s="103"/>
      <c r="H813" s="104"/>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4"/>
      <c r="C814" s="103"/>
      <c r="D814" s="103"/>
      <c r="E814" s="104"/>
      <c r="F814" s="103"/>
      <c r="G814" s="103"/>
      <c r="H814" s="104"/>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4"/>
      <c r="C815" s="103"/>
      <c r="D815" s="103"/>
      <c r="E815" s="104"/>
      <c r="F815" s="103"/>
      <c r="G815" s="103"/>
      <c r="H815" s="104"/>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4"/>
      <c r="C816" s="103"/>
      <c r="D816" s="103"/>
      <c r="E816" s="104"/>
      <c r="F816" s="103"/>
      <c r="G816" s="103"/>
      <c r="H816" s="104"/>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4"/>
      <c r="C817" s="103"/>
      <c r="D817" s="103"/>
      <c r="E817" s="104"/>
      <c r="F817" s="103"/>
      <c r="G817" s="103"/>
      <c r="H817" s="104"/>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4"/>
      <c r="C818" s="103"/>
      <c r="D818" s="103"/>
      <c r="E818" s="104"/>
      <c r="F818" s="103"/>
      <c r="G818" s="103"/>
      <c r="H818" s="104"/>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4"/>
      <c r="C819" s="103"/>
      <c r="D819" s="103"/>
      <c r="E819" s="104"/>
      <c r="F819" s="103"/>
      <c r="G819" s="103"/>
      <c r="H819" s="104"/>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4"/>
      <c r="C820" s="103"/>
      <c r="D820" s="103"/>
      <c r="E820" s="104"/>
      <c r="F820" s="103"/>
      <c r="G820" s="103"/>
      <c r="H820" s="104"/>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4"/>
      <c r="C821" s="103"/>
      <c r="D821" s="103"/>
      <c r="E821" s="104"/>
      <c r="F821" s="103"/>
      <c r="G821" s="103"/>
      <c r="H821" s="104"/>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4"/>
      <c r="C822" s="103"/>
      <c r="D822" s="103"/>
      <c r="E822" s="104"/>
      <c r="F822" s="103"/>
      <c r="G822" s="103"/>
      <c r="H822" s="104"/>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4"/>
      <c r="C823" s="103"/>
      <c r="D823" s="103"/>
      <c r="E823" s="104"/>
      <c r="F823" s="103"/>
      <c r="G823" s="103"/>
      <c r="H823" s="104"/>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4"/>
      <c r="C824" s="103"/>
      <c r="D824" s="103"/>
      <c r="E824" s="104"/>
      <c r="F824" s="103"/>
      <c r="G824" s="103"/>
      <c r="H824" s="104"/>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4"/>
      <c r="C825" s="103"/>
      <c r="D825" s="103"/>
      <c r="E825" s="104"/>
      <c r="F825" s="103"/>
      <c r="G825" s="103"/>
      <c r="H825" s="104"/>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4"/>
      <c r="C826" s="103"/>
      <c r="D826" s="103"/>
      <c r="E826" s="104"/>
      <c r="F826" s="103"/>
      <c r="G826" s="103"/>
      <c r="H826" s="104"/>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4"/>
      <c r="C827" s="103"/>
      <c r="D827" s="103"/>
      <c r="E827" s="104"/>
      <c r="F827" s="103"/>
      <c r="G827" s="103"/>
      <c r="H827" s="104"/>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4"/>
      <c r="C828" s="103"/>
      <c r="D828" s="103"/>
      <c r="E828" s="104"/>
      <c r="F828" s="103"/>
      <c r="G828" s="103"/>
      <c r="H828" s="104"/>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4"/>
      <c r="C829" s="103"/>
      <c r="D829" s="103"/>
      <c r="E829" s="104"/>
      <c r="F829" s="103"/>
      <c r="G829" s="103"/>
      <c r="H829" s="104"/>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4"/>
      <c r="C830" s="103"/>
      <c r="D830" s="103"/>
      <c r="E830" s="104"/>
      <c r="F830" s="103"/>
      <c r="G830" s="103"/>
      <c r="H830" s="104"/>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4"/>
      <c r="C831" s="103"/>
      <c r="D831" s="103"/>
      <c r="E831" s="104"/>
      <c r="F831" s="103"/>
      <c r="G831" s="103"/>
      <c r="H831" s="104"/>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4"/>
      <c r="C832" s="103"/>
      <c r="D832" s="103"/>
      <c r="E832" s="104"/>
      <c r="F832" s="103"/>
      <c r="G832" s="103"/>
      <c r="H832" s="104"/>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4"/>
      <c r="C833" s="103"/>
      <c r="D833" s="103"/>
      <c r="E833" s="104"/>
      <c r="F833" s="103"/>
      <c r="G833" s="103"/>
      <c r="H833" s="104"/>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4"/>
      <c r="C834" s="103"/>
      <c r="D834" s="103"/>
      <c r="E834" s="104"/>
      <c r="F834" s="103"/>
      <c r="G834" s="103"/>
      <c r="H834" s="104"/>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4"/>
      <c r="C835" s="103"/>
      <c r="D835" s="103"/>
      <c r="E835" s="104"/>
      <c r="F835" s="103"/>
      <c r="G835" s="103"/>
      <c r="H835" s="104"/>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4"/>
      <c r="C836" s="103"/>
      <c r="D836" s="103"/>
      <c r="E836" s="104"/>
      <c r="F836" s="103"/>
      <c r="G836" s="103"/>
      <c r="H836" s="104"/>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4"/>
      <c r="C837" s="103"/>
      <c r="D837" s="103"/>
      <c r="E837" s="104"/>
      <c r="F837" s="103"/>
      <c r="G837" s="103"/>
      <c r="H837" s="104"/>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4"/>
      <c r="C838" s="103"/>
      <c r="D838" s="103"/>
      <c r="E838" s="104"/>
      <c r="F838" s="103"/>
      <c r="G838" s="103"/>
      <c r="H838" s="104"/>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4"/>
      <c r="C839" s="103"/>
      <c r="D839" s="103"/>
      <c r="E839" s="104"/>
      <c r="F839" s="103"/>
      <c r="G839" s="103"/>
      <c r="H839" s="104"/>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4"/>
      <c r="C840" s="103"/>
      <c r="D840" s="103"/>
      <c r="E840" s="104"/>
      <c r="F840" s="103"/>
      <c r="G840" s="103"/>
      <c r="H840" s="104"/>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4"/>
      <c r="C841" s="103"/>
      <c r="D841" s="103"/>
      <c r="E841" s="104"/>
      <c r="F841" s="103"/>
      <c r="G841" s="103"/>
      <c r="H841" s="104"/>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4"/>
      <c r="C842" s="103"/>
      <c r="D842" s="103"/>
      <c r="E842" s="104"/>
      <c r="F842" s="103"/>
      <c r="G842" s="103"/>
      <c r="H842" s="104"/>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4"/>
      <c r="C843" s="103"/>
      <c r="D843" s="103"/>
      <c r="E843" s="104"/>
      <c r="F843" s="103"/>
      <c r="G843" s="103"/>
      <c r="H843" s="104"/>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4"/>
      <c r="C844" s="103"/>
      <c r="D844" s="103"/>
      <c r="E844" s="104"/>
      <c r="F844" s="103"/>
      <c r="G844" s="103"/>
      <c r="H844" s="104"/>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4"/>
      <c r="C845" s="103"/>
      <c r="D845" s="103"/>
      <c r="E845" s="104"/>
      <c r="F845" s="103"/>
      <c r="G845" s="103"/>
      <c r="H845" s="104"/>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4"/>
      <c r="C846" s="103"/>
      <c r="D846" s="103"/>
      <c r="E846" s="104"/>
      <c r="F846" s="103"/>
      <c r="G846" s="103"/>
      <c r="H846" s="104"/>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4"/>
      <c r="C847" s="103"/>
      <c r="D847" s="103"/>
      <c r="E847" s="104"/>
      <c r="F847" s="103"/>
      <c r="G847" s="103"/>
      <c r="H847" s="104"/>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4"/>
      <c r="C848" s="103"/>
      <c r="D848" s="103"/>
      <c r="E848" s="104"/>
      <c r="F848" s="103"/>
      <c r="G848" s="103"/>
      <c r="H848" s="104"/>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4"/>
      <c r="C849" s="103"/>
      <c r="D849" s="103"/>
      <c r="E849" s="104"/>
      <c r="F849" s="103"/>
      <c r="G849" s="103"/>
      <c r="H849" s="104"/>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4"/>
      <c r="C850" s="103"/>
      <c r="D850" s="103"/>
      <c r="E850" s="104"/>
      <c r="F850" s="103"/>
      <c r="G850" s="103"/>
      <c r="H850" s="104"/>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4"/>
      <c r="C851" s="103"/>
      <c r="D851" s="103"/>
      <c r="E851" s="104"/>
      <c r="F851" s="103"/>
      <c r="G851" s="103"/>
      <c r="H851" s="104"/>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4"/>
      <c r="C852" s="103"/>
      <c r="D852" s="103"/>
      <c r="E852" s="104"/>
      <c r="F852" s="103"/>
      <c r="G852" s="103"/>
      <c r="H852" s="104"/>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4"/>
      <c r="C853" s="103"/>
      <c r="D853" s="103"/>
      <c r="E853" s="104"/>
      <c r="F853" s="103"/>
      <c r="G853" s="103"/>
      <c r="H853" s="104"/>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4"/>
      <c r="C854" s="103"/>
      <c r="D854" s="103"/>
      <c r="E854" s="104"/>
      <c r="F854" s="103"/>
      <c r="G854" s="103"/>
      <c r="H854" s="104"/>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4"/>
      <c r="C855" s="103"/>
      <c r="D855" s="103"/>
      <c r="E855" s="104"/>
      <c r="F855" s="103"/>
      <c r="G855" s="103"/>
      <c r="H855" s="104"/>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4"/>
      <c r="C856" s="103"/>
      <c r="D856" s="103"/>
      <c r="E856" s="104"/>
      <c r="F856" s="103"/>
      <c r="G856" s="103"/>
      <c r="H856" s="104"/>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4"/>
      <c r="C857" s="103"/>
      <c r="D857" s="103"/>
      <c r="E857" s="104"/>
      <c r="F857" s="103"/>
      <c r="G857" s="103"/>
      <c r="H857" s="104"/>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4"/>
      <c r="C858" s="103"/>
      <c r="D858" s="103"/>
      <c r="E858" s="104"/>
      <c r="F858" s="103"/>
      <c r="G858" s="103"/>
      <c r="H858" s="104"/>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4"/>
      <c r="C859" s="103"/>
      <c r="D859" s="103"/>
      <c r="E859" s="104"/>
      <c r="F859" s="103"/>
      <c r="G859" s="103"/>
      <c r="H859" s="104"/>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4"/>
      <c r="C860" s="103"/>
      <c r="D860" s="103"/>
      <c r="E860" s="104"/>
      <c r="F860" s="103"/>
      <c r="G860" s="103"/>
      <c r="H860" s="104"/>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4"/>
      <c r="C861" s="103"/>
      <c r="D861" s="103"/>
      <c r="E861" s="104"/>
      <c r="F861" s="103"/>
      <c r="G861" s="103"/>
      <c r="H861" s="104"/>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4"/>
      <c r="C862" s="103"/>
      <c r="D862" s="103"/>
      <c r="E862" s="104"/>
      <c r="F862" s="103"/>
      <c r="G862" s="103"/>
      <c r="H862" s="104"/>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4"/>
      <c r="C863" s="103"/>
      <c r="D863" s="103"/>
      <c r="E863" s="104"/>
      <c r="F863" s="103"/>
      <c r="G863" s="103"/>
      <c r="H863" s="104"/>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4"/>
      <c r="C864" s="103"/>
      <c r="D864" s="103"/>
      <c r="E864" s="104"/>
      <c r="F864" s="103"/>
      <c r="G864" s="103"/>
      <c r="H864" s="104"/>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4"/>
      <c r="C865" s="103"/>
      <c r="D865" s="103"/>
      <c r="E865" s="104"/>
      <c r="F865" s="103"/>
      <c r="G865" s="103"/>
      <c r="H865" s="104"/>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4"/>
      <c r="C866" s="103"/>
      <c r="D866" s="103"/>
      <c r="E866" s="104"/>
      <c r="F866" s="103"/>
      <c r="G866" s="103"/>
      <c r="H866" s="104"/>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4"/>
      <c r="C867" s="103"/>
      <c r="D867" s="103"/>
      <c r="E867" s="104"/>
      <c r="F867" s="103"/>
      <c r="G867" s="103"/>
      <c r="H867" s="104"/>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4"/>
      <c r="C868" s="103"/>
      <c r="D868" s="103"/>
      <c r="E868" s="104"/>
      <c r="F868" s="103"/>
      <c r="G868" s="103"/>
      <c r="H868" s="104"/>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4"/>
      <c r="C869" s="103"/>
      <c r="D869" s="103"/>
      <c r="E869" s="104"/>
      <c r="F869" s="103"/>
      <c r="G869" s="103"/>
      <c r="H869" s="104"/>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4"/>
      <c r="C870" s="103"/>
      <c r="D870" s="103"/>
      <c r="E870" s="104"/>
      <c r="F870" s="103"/>
      <c r="G870" s="103"/>
      <c r="H870" s="104"/>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4"/>
      <c r="C871" s="103"/>
      <c r="D871" s="103"/>
      <c r="E871" s="104"/>
      <c r="F871" s="103"/>
      <c r="G871" s="103"/>
      <c r="H871" s="104"/>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4"/>
      <c r="C872" s="103"/>
      <c r="D872" s="103"/>
      <c r="E872" s="104"/>
      <c r="F872" s="103"/>
      <c r="G872" s="103"/>
      <c r="H872" s="104"/>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4"/>
      <c r="C873" s="103"/>
      <c r="D873" s="103"/>
      <c r="E873" s="104"/>
      <c r="F873" s="103"/>
      <c r="G873" s="103"/>
      <c r="H873" s="104"/>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4"/>
      <c r="C874" s="103"/>
      <c r="D874" s="103"/>
      <c r="E874" s="104"/>
      <c r="F874" s="103"/>
      <c r="G874" s="103"/>
      <c r="H874" s="104"/>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4"/>
      <c r="C875" s="103"/>
      <c r="D875" s="103"/>
      <c r="E875" s="104"/>
      <c r="F875" s="103"/>
      <c r="G875" s="103"/>
      <c r="H875" s="104"/>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4"/>
      <c r="C876" s="103"/>
      <c r="D876" s="103"/>
      <c r="E876" s="104"/>
      <c r="F876" s="103"/>
      <c r="G876" s="103"/>
      <c r="H876" s="104"/>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4"/>
      <c r="C877" s="103"/>
      <c r="D877" s="103"/>
      <c r="E877" s="104"/>
      <c r="F877" s="103"/>
      <c r="G877" s="103"/>
      <c r="H877" s="104"/>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4"/>
      <c r="C878" s="103"/>
      <c r="D878" s="103"/>
      <c r="E878" s="104"/>
      <c r="F878" s="103"/>
      <c r="G878" s="103"/>
      <c r="H878" s="104"/>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4"/>
      <c r="C879" s="103"/>
      <c r="D879" s="103"/>
      <c r="E879" s="104"/>
      <c r="F879" s="103"/>
      <c r="G879" s="103"/>
      <c r="H879" s="104"/>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4"/>
      <c r="C880" s="103"/>
      <c r="D880" s="103"/>
      <c r="E880" s="104"/>
      <c r="F880" s="103"/>
      <c r="G880" s="103"/>
      <c r="H880" s="104"/>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4"/>
      <c r="C881" s="103"/>
      <c r="D881" s="103"/>
      <c r="E881" s="104"/>
      <c r="F881" s="103"/>
      <c r="G881" s="103"/>
      <c r="H881" s="104"/>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4"/>
      <c r="C882" s="103"/>
      <c r="D882" s="103"/>
      <c r="E882" s="104"/>
      <c r="F882" s="103"/>
      <c r="G882" s="103"/>
      <c r="H882" s="104"/>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4"/>
      <c r="C883" s="103"/>
      <c r="D883" s="103"/>
      <c r="E883" s="104"/>
      <c r="F883" s="103"/>
      <c r="G883" s="103"/>
      <c r="H883" s="104"/>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4"/>
      <c r="C884" s="103"/>
      <c r="D884" s="103"/>
      <c r="E884" s="104"/>
      <c r="F884" s="103"/>
      <c r="G884" s="103"/>
      <c r="H884" s="104"/>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4"/>
      <c r="C885" s="103"/>
      <c r="D885" s="103"/>
      <c r="E885" s="104"/>
      <c r="F885" s="103"/>
      <c r="G885" s="103"/>
      <c r="H885" s="104"/>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4"/>
      <c r="C886" s="103"/>
      <c r="D886" s="103"/>
      <c r="E886" s="104"/>
      <c r="F886" s="103"/>
      <c r="G886" s="103"/>
      <c r="H886" s="104"/>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4"/>
      <c r="C887" s="103"/>
      <c r="D887" s="103"/>
      <c r="E887" s="104"/>
      <c r="F887" s="103"/>
      <c r="G887" s="103"/>
      <c r="H887" s="104"/>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4"/>
      <c r="C888" s="103"/>
      <c r="D888" s="103"/>
      <c r="E888" s="104"/>
      <c r="F888" s="103"/>
      <c r="G888" s="103"/>
      <c r="H888" s="104"/>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4"/>
      <c r="C889" s="103"/>
      <c r="D889" s="103"/>
      <c r="E889" s="104"/>
      <c r="F889" s="103"/>
      <c r="G889" s="103"/>
      <c r="H889" s="104"/>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4"/>
      <c r="C890" s="103"/>
      <c r="D890" s="103"/>
      <c r="E890" s="104"/>
      <c r="F890" s="103"/>
      <c r="G890" s="103"/>
      <c r="H890" s="104"/>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4"/>
      <c r="C891" s="103"/>
      <c r="D891" s="103"/>
      <c r="E891" s="104"/>
      <c r="F891" s="103"/>
      <c r="G891" s="103"/>
      <c r="H891" s="104"/>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4"/>
      <c r="C892" s="103"/>
      <c r="D892" s="103"/>
      <c r="E892" s="104"/>
      <c r="F892" s="103"/>
      <c r="G892" s="103"/>
      <c r="H892" s="104"/>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4"/>
      <c r="C893" s="103"/>
      <c r="D893" s="103"/>
      <c r="E893" s="104"/>
      <c r="F893" s="103"/>
      <c r="G893" s="103"/>
      <c r="H893" s="104"/>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4"/>
      <c r="C894" s="103"/>
      <c r="D894" s="103"/>
      <c r="E894" s="104"/>
      <c r="F894" s="103"/>
      <c r="G894" s="103"/>
      <c r="H894" s="104"/>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4"/>
      <c r="C895" s="103"/>
      <c r="D895" s="103"/>
      <c r="E895" s="104"/>
      <c r="F895" s="103"/>
      <c r="G895" s="103"/>
      <c r="H895" s="104"/>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4"/>
      <c r="C896" s="103"/>
      <c r="D896" s="103"/>
      <c r="E896" s="104"/>
      <c r="F896" s="103"/>
      <c r="G896" s="103"/>
      <c r="H896" s="104"/>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4"/>
      <c r="C897" s="103"/>
      <c r="D897" s="103"/>
      <c r="E897" s="104"/>
      <c r="F897" s="103"/>
      <c r="G897" s="103"/>
      <c r="H897" s="104"/>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4"/>
      <c r="C898" s="103"/>
      <c r="D898" s="103"/>
      <c r="E898" s="104"/>
      <c r="F898" s="103"/>
      <c r="G898" s="103"/>
      <c r="H898" s="104"/>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4"/>
      <c r="C899" s="103"/>
      <c r="D899" s="103"/>
      <c r="E899" s="104"/>
      <c r="F899" s="103"/>
      <c r="G899" s="103"/>
      <c r="H899" s="104"/>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4"/>
      <c r="C900" s="103"/>
      <c r="D900" s="103"/>
      <c r="E900" s="104"/>
      <c r="F900" s="103"/>
      <c r="G900" s="103"/>
      <c r="H900" s="104"/>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4"/>
      <c r="C901" s="103"/>
      <c r="D901" s="103"/>
      <c r="E901" s="104"/>
      <c r="F901" s="103"/>
      <c r="G901" s="103"/>
      <c r="H901" s="104"/>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4"/>
      <c r="C902" s="103"/>
      <c r="D902" s="103"/>
      <c r="E902" s="104"/>
      <c r="F902" s="103"/>
      <c r="G902" s="103"/>
      <c r="H902" s="104"/>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4"/>
      <c r="C903" s="103"/>
      <c r="D903" s="103"/>
      <c r="E903" s="104"/>
      <c r="F903" s="103"/>
      <c r="G903" s="103"/>
      <c r="H903" s="104"/>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4"/>
      <c r="C904" s="103"/>
      <c r="D904" s="103"/>
      <c r="E904" s="104"/>
      <c r="F904" s="103"/>
      <c r="G904" s="103"/>
      <c r="H904" s="104"/>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4"/>
      <c r="C905" s="103"/>
      <c r="D905" s="103"/>
      <c r="E905" s="104"/>
      <c r="F905" s="103"/>
      <c r="G905" s="103"/>
      <c r="H905" s="104"/>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4"/>
      <c r="C906" s="103"/>
      <c r="D906" s="103"/>
      <c r="E906" s="104"/>
      <c r="F906" s="103"/>
      <c r="G906" s="103"/>
      <c r="H906" s="104"/>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4"/>
      <c r="C907" s="103"/>
      <c r="D907" s="103"/>
      <c r="E907" s="104"/>
      <c r="F907" s="103"/>
      <c r="G907" s="103"/>
      <c r="H907" s="104"/>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4"/>
      <c r="C908" s="103"/>
      <c r="D908" s="103"/>
      <c r="E908" s="104"/>
      <c r="F908" s="103"/>
      <c r="G908" s="103"/>
      <c r="H908" s="104"/>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4"/>
      <c r="C909" s="103"/>
      <c r="D909" s="103"/>
      <c r="E909" s="104"/>
      <c r="F909" s="103"/>
      <c r="G909" s="103"/>
      <c r="H909" s="104"/>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4"/>
      <c r="C910" s="103"/>
      <c r="D910" s="103"/>
      <c r="E910" s="104"/>
      <c r="F910" s="103"/>
      <c r="G910" s="103"/>
      <c r="H910" s="104"/>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4"/>
      <c r="C911" s="103"/>
      <c r="D911" s="103"/>
      <c r="E911" s="104"/>
      <c r="F911" s="103"/>
      <c r="G911" s="103"/>
      <c r="H911" s="104"/>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4"/>
      <c r="C912" s="103"/>
      <c r="D912" s="103"/>
      <c r="E912" s="104"/>
      <c r="F912" s="103"/>
      <c r="G912" s="103"/>
      <c r="H912" s="104"/>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4"/>
      <c r="C913" s="103"/>
      <c r="D913" s="103"/>
      <c r="E913" s="104"/>
      <c r="F913" s="103"/>
      <c r="G913" s="103"/>
      <c r="H913" s="104"/>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4"/>
      <c r="C914" s="103"/>
      <c r="D914" s="103"/>
      <c r="E914" s="104"/>
      <c r="F914" s="103"/>
      <c r="G914" s="103"/>
      <c r="H914" s="104"/>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4"/>
      <c r="C915" s="103"/>
      <c r="D915" s="103"/>
      <c r="E915" s="104"/>
      <c r="F915" s="103"/>
      <c r="G915" s="103"/>
      <c r="H915" s="104"/>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4"/>
      <c r="C916" s="103"/>
      <c r="D916" s="103"/>
      <c r="E916" s="104"/>
      <c r="F916" s="103"/>
      <c r="G916" s="103"/>
      <c r="H916" s="104"/>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4"/>
      <c r="C917" s="103"/>
      <c r="D917" s="103"/>
      <c r="E917" s="104"/>
      <c r="F917" s="103"/>
      <c r="G917" s="103"/>
      <c r="H917" s="104"/>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4"/>
      <c r="C918" s="103"/>
      <c r="D918" s="103"/>
      <c r="E918" s="104"/>
      <c r="F918" s="103"/>
      <c r="G918" s="103"/>
      <c r="H918" s="104"/>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4"/>
      <c r="C919" s="103"/>
      <c r="D919" s="103"/>
      <c r="E919" s="104"/>
      <c r="F919" s="103"/>
      <c r="G919" s="103"/>
      <c r="H919" s="104"/>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4"/>
      <c r="C920" s="103"/>
      <c r="D920" s="103"/>
      <c r="E920" s="104"/>
      <c r="F920" s="103"/>
      <c r="G920" s="103"/>
      <c r="H920" s="104"/>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4"/>
      <c r="C921" s="103"/>
      <c r="D921" s="103"/>
      <c r="E921" s="104"/>
      <c r="F921" s="103"/>
      <c r="G921" s="103"/>
      <c r="H921" s="104"/>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4"/>
      <c r="C922" s="103"/>
      <c r="D922" s="103"/>
      <c r="E922" s="104"/>
      <c r="F922" s="103"/>
      <c r="G922" s="103"/>
      <c r="H922" s="104"/>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4"/>
      <c r="C923" s="103"/>
      <c r="D923" s="103"/>
      <c r="E923" s="104"/>
      <c r="F923" s="103"/>
      <c r="G923" s="103"/>
      <c r="H923" s="104"/>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4"/>
      <c r="C924" s="103"/>
      <c r="D924" s="103"/>
      <c r="E924" s="104"/>
      <c r="F924" s="103"/>
      <c r="G924" s="103"/>
      <c r="H924" s="104"/>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4"/>
      <c r="C925" s="103"/>
      <c r="D925" s="103"/>
      <c r="E925" s="104"/>
      <c r="F925" s="103"/>
      <c r="G925" s="103"/>
      <c r="H925" s="104"/>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4"/>
      <c r="C926" s="103"/>
      <c r="D926" s="103"/>
      <c r="E926" s="104"/>
      <c r="F926" s="103"/>
      <c r="G926" s="103"/>
      <c r="H926" s="104"/>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4"/>
      <c r="C927" s="103"/>
      <c r="D927" s="103"/>
      <c r="E927" s="104"/>
      <c r="F927" s="103"/>
      <c r="G927" s="103"/>
      <c r="H927" s="104"/>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4"/>
      <c r="C928" s="103"/>
      <c r="D928" s="103"/>
      <c r="E928" s="104"/>
      <c r="F928" s="103"/>
      <c r="G928" s="103"/>
      <c r="H928" s="104"/>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4"/>
      <c r="C929" s="103"/>
      <c r="D929" s="103"/>
      <c r="E929" s="104"/>
      <c r="F929" s="103"/>
      <c r="G929" s="103"/>
      <c r="H929" s="104"/>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4"/>
      <c r="C930" s="103"/>
      <c r="D930" s="103"/>
      <c r="E930" s="104"/>
      <c r="F930" s="103"/>
      <c r="G930" s="103"/>
      <c r="H930" s="104"/>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4"/>
      <c r="C931" s="103"/>
      <c r="D931" s="103"/>
      <c r="E931" s="104"/>
      <c r="F931" s="103"/>
      <c r="G931" s="103"/>
      <c r="H931" s="104"/>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4"/>
      <c r="C932" s="103"/>
      <c r="D932" s="103"/>
      <c r="E932" s="104"/>
      <c r="F932" s="103"/>
      <c r="G932" s="103"/>
      <c r="H932" s="104"/>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4"/>
      <c r="C933" s="103"/>
      <c r="D933" s="103"/>
      <c r="E933" s="104"/>
      <c r="F933" s="103"/>
      <c r="G933" s="103"/>
      <c r="H933" s="104"/>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4"/>
      <c r="C934" s="103"/>
      <c r="D934" s="103"/>
      <c r="E934" s="104"/>
      <c r="F934" s="103"/>
      <c r="G934" s="103"/>
      <c r="H934" s="104"/>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4"/>
      <c r="C935" s="103"/>
      <c r="D935" s="103"/>
      <c r="E935" s="104"/>
      <c r="F935" s="103"/>
      <c r="G935" s="103"/>
      <c r="H935" s="104"/>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4"/>
      <c r="C936" s="103"/>
      <c r="D936" s="103"/>
      <c r="E936" s="104"/>
      <c r="F936" s="103"/>
      <c r="G936" s="103"/>
      <c r="H936" s="104"/>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4"/>
      <c r="C937" s="103"/>
      <c r="D937" s="103"/>
      <c r="E937" s="104"/>
      <c r="F937" s="103"/>
      <c r="G937" s="103"/>
      <c r="H937" s="104"/>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4"/>
      <c r="C938" s="103"/>
      <c r="D938" s="103"/>
      <c r="E938" s="104"/>
      <c r="F938" s="103"/>
      <c r="G938" s="103"/>
      <c r="H938" s="104"/>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4"/>
      <c r="C939" s="103"/>
      <c r="D939" s="103"/>
      <c r="E939" s="104"/>
      <c r="F939" s="103"/>
      <c r="G939" s="103"/>
      <c r="H939" s="104"/>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4"/>
      <c r="C940" s="103"/>
      <c r="D940" s="103"/>
      <c r="E940" s="104"/>
      <c r="F940" s="103"/>
      <c r="G940" s="103"/>
      <c r="H940" s="104"/>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4"/>
      <c r="C941" s="103"/>
      <c r="D941" s="103"/>
      <c r="E941" s="104"/>
      <c r="F941" s="103"/>
      <c r="G941" s="103"/>
      <c r="H941" s="104"/>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4"/>
      <c r="C942" s="103"/>
      <c r="D942" s="103"/>
      <c r="E942" s="104"/>
      <c r="F942" s="103"/>
      <c r="G942" s="103"/>
      <c r="H942" s="104"/>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4"/>
      <c r="C943" s="103"/>
      <c r="D943" s="103"/>
      <c r="E943" s="104"/>
      <c r="F943" s="103"/>
      <c r="G943" s="103"/>
      <c r="H943" s="104"/>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4"/>
      <c r="C944" s="103"/>
      <c r="D944" s="103"/>
      <c r="E944" s="104"/>
      <c r="F944" s="103"/>
      <c r="G944" s="103"/>
      <c r="H944" s="104"/>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4"/>
      <c r="C945" s="103"/>
      <c r="D945" s="103"/>
      <c r="E945" s="104"/>
      <c r="F945" s="103"/>
      <c r="G945" s="103"/>
      <c r="H945" s="104"/>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4"/>
      <c r="C946" s="103"/>
      <c r="D946" s="103"/>
      <c r="E946" s="104"/>
      <c r="F946" s="103"/>
      <c r="G946" s="103"/>
      <c r="H946" s="104"/>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4"/>
      <c r="C947" s="103"/>
      <c r="D947" s="103"/>
      <c r="E947" s="104"/>
      <c r="F947" s="103"/>
      <c r="G947" s="103"/>
      <c r="H947" s="104"/>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4"/>
      <c r="C948" s="103"/>
      <c r="D948" s="103"/>
      <c r="E948" s="104"/>
      <c r="F948" s="103"/>
      <c r="G948" s="103"/>
      <c r="H948" s="104"/>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4"/>
      <c r="C949" s="103"/>
      <c r="D949" s="103"/>
      <c r="E949" s="104"/>
      <c r="F949" s="103"/>
      <c r="G949" s="103"/>
      <c r="H949" s="104"/>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4"/>
      <c r="C950" s="103"/>
      <c r="D950" s="103"/>
      <c r="E950" s="104"/>
      <c r="F950" s="103"/>
      <c r="G950" s="103"/>
      <c r="H950" s="104"/>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4"/>
      <c r="C951" s="103"/>
      <c r="D951" s="103"/>
      <c r="E951" s="104"/>
      <c r="F951" s="103"/>
      <c r="G951" s="103"/>
      <c r="H951" s="104"/>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4"/>
      <c r="C952" s="103"/>
      <c r="D952" s="103"/>
      <c r="E952" s="104"/>
      <c r="F952" s="103"/>
      <c r="G952" s="103"/>
      <c r="H952" s="104"/>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4"/>
      <c r="C953" s="103"/>
      <c r="D953" s="103"/>
      <c r="E953" s="104"/>
      <c r="F953" s="103"/>
      <c r="G953" s="103"/>
      <c r="H953" s="104"/>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4"/>
      <c r="C954" s="103"/>
      <c r="D954" s="103"/>
      <c r="E954" s="104"/>
      <c r="F954" s="103"/>
      <c r="G954" s="103"/>
      <c r="H954" s="104"/>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4"/>
      <c r="C955" s="103"/>
      <c r="D955" s="103"/>
      <c r="E955" s="104"/>
      <c r="F955" s="103"/>
      <c r="G955" s="103"/>
      <c r="H955" s="104"/>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4"/>
      <c r="C956" s="103"/>
      <c r="D956" s="103"/>
      <c r="E956" s="104"/>
      <c r="F956" s="103"/>
      <c r="G956" s="103"/>
      <c r="H956" s="104"/>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4"/>
      <c r="C957" s="103"/>
      <c r="D957" s="103"/>
      <c r="E957" s="104"/>
      <c r="F957" s="103"/>
      <c r="G957" s="103"/>
      <c r="H957" s="104"/>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4"/>
      <c r="C958" s="103"/>
      <c r="D958" s="103"/>
      <c r="E958" s="104"/>
      <c r="F958" s="103"/>
      <c r="G958" s="103"/>
      <c r="H958" s="104"/>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4"/>
      <c r="C959" s="103"/>
      <c r="D959" s="103"/>
      <c r="E959" s="104"/>
      <c r="F959" s="103"/>
      <c r="G959" s="103"/>
      <c r="H959" s="104"/>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4"/>
      <c r="C960" s="103"/>
      <c r="D960" s="103"/>
      <c r="E960" s="104"/>
      <c r="F960" s="103"/>
      <c r="G960" s="103"/>
      <c r="H960" s="104"/>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4"/>
      <c r="C961" s="103"/>
      <c r="D961" s="103"/>
      <c r="E961" s="104"/>
      <c r="F961" s="103"/>
      <c r="G961" s="103"/>
      <c r="H961" s="104"/>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4"/>
      <c r="C962" s="103"/>
      <c r="D962" s="103"/>
      <c r="E962" s="104"/>
      <c r="F962" s="103"/>
      <c r="G962" s="103"/>
      <c r="H962" s="104"/>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4"/>
      <c r="C963" s="103"/>
      <c r="D963" s="103"/>
      <c r="E963" s="104"/>
      <c r="F963" s="103"/>
      <c r="G963" s="103"/>
      <c r="H963" s="104"/>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4"/>
      <c r="C964" s="103"/>
      <c r="D964" s="103"/>
      <c r="E964" s="104"/>
      <c r="F964" s="103"/>
      <c r="G964" s="103"/>
      <c r="H964" s="104"/>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4"/>
      <c r="C965" s="103"/>
      <c r="D965" s="103"/>
      <c r="E965" s="104"/>
      <c r="F965" s="103"/>
      <c r="G965" s="103"/>
      <c r="H965" s="104"/>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4"/>
      <c r="C966" s="103"/>
      <c r="D966" s="103"/>
      <c r="E966" s="104"/>
      <c r="F966" s="103"/>
      <c r="G966" s="103"/>
      <c r="H966" s="104"/>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4"/>
      <c r="C967" s="103"/>
      <c r="D967" s="103"/>
      <c r="E967" s="104"/>
      <c r="F967" s="103"/>
      <c r="G967" s="103"/>
      <c r="H967" s="104"/>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4"/>
      <c r="C968" s="103"/>
      <c r="D968" s="103"/>
      <c r="E968" s="104"/>
      <c r="F968" s="103"/>
      <c r="G968" s="103"/>
      <c r="H968" s="104"/>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4"/>
      <c r="C969" s="103"/>
      <c r="D969" s="103"/>
      <c r="E969" s="104"/>
      <c r="F969" s="103"/>
      <c r="G969" s="103"/>
      <c r="H969" s="104"/>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4"/>
      <c r="C970" s="103"/>
      <c r="D970" s="103"/>
      <c r="E970" s="104"/>
      <c r="F970" s="103"/>
      <c r="G970" s="103"/>
      <c r="H970" s="104"/>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4"/>
      <c r="C971" s="103"/>
      <c r="D971" s="103"/>
      <c r="E971" s="104"/>
      <c r="F971" s="103"/>
      <c r="G971" s="103"/>
      <c r="H971" s="104"/>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4"/>
      <c r="C972" s="103"/>
      <c r="D972" s="103"/>
      <c r="E972" s="104"/>
      <c r="F972" s="103"/>
      <c r="G972" s="103"/>
      <c r="H972" s="104"/>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4"/>
      <c r="C973" s="103"/>
      <c r="D973" s="103"/>
      <c r="E973" s="104"/>
      <c r="F973" s="103"/>
      <c r="G973" s="103"/>
      <c r="H973" s="104"/>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4"/>
      <c r="C974" s="103"/>
      <c r="D974" s="103"/>
      <c r="E974" s="104"/>
      <c r="F974" s="103"/>
      <c r="G974" s="103"/>
      <c r="H974" s="104"/>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4"/>
      <c r="C975" s="103"/>
      <c r="D975" s="103"/>
      <c r="E975" s="104"/>
      <c r="F975" s="103"/>
      <c r="G975" s="103"/>
      <c r="H975" s="104"/>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4"/>
      <c r="C976" s="103"/>
      <c r="D976" s="103"/>
      <c r="E976" s="104"/>
      <c r="F976" s="103"/>
      <c r="G976" s="103"/>
      <c r="H976" s="104"/>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4"/>
      <c r="C977" s="103"/>
      <c r="D977" s="103"/>
      <c r="E977" s="104"/>
      <c r="F977" s="103"/>
      <c r="G977" s="103"/>
      <c r="H977" s="104"/>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4"/>
      <c r="C978" s="103"/>
      <c r="D978" s="103"/>
      <c r="E978" s="104"/>
      <c r="F978" s="103"/>
      <c r="G978" s="103"/>
      <c r="H978" s="104"/>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4"/>
      <c r="C979" s="103"/>
      <c r="D979" s="103"/>
      <c r="E979" s="104"/>
      <c r="F979" s="103"/>
      <c r="G979" s="103"/>
      <c r="H979" s="104"/>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4"/>
      <c r="C980" s="103"/>
      <c r="D980" s="103"/>
      <c r="E980" s="104"/>
      <c r="F980" s="103"/>
      <c r="G980" s="103"/>
      <c r="H980" s="104"/>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4"/>
      <c r="C981" s="103"/>
      <c r="D981" s="103"/>
      <c r="E981" s="104"/>
      <c r="F981" s="103"/>
      <c r="G981" s="103"/>
      <c r="H981" s="104"/>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4"/>
      <c r="C982" s="103"/>
      <c r="D982" s="103"/>
      <c r="E982" s="104"/>
      <c r="F982" s="103"/>
      <c r="G982" s="103"/>
      <c r="H982" s="104"/>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4"/>
      <c r="C983" s="103"/>
      <c r="D983" s="103"/>
      <c r="E983" s="104"/>
      <c r="F983" s="103"/>
      <c r="G983" s="103"/>
      <c r="H983" s="104"/>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4"/>
      <c r="C984" s="103"/>
      <c r="D984" s="103"/>
      <c r="E984" s="104"/>
      <c r="F984" s="103"/>
      <c r="G984" s="103"/>
      <c r="H984" s="104"/>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4"/>
      <c r="C985" s="103"/>
      <c r="D985" s="103"/>
      <c r="E985" s="104"/>
      <c r="F985" s="103"/>
      <c r="G985" s="103"/>
      <c r="H985" s="104"/>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4"/>
      <c r="C986" s="103"/>
      <c r="D986" s="103"/>
      <c r="E986" s="104"/>
      <c r="F986" s="103"/>
      <c r="G986" s="103"/>
      <c r="H986" s="104"/>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4"/>
      <c r="C987" s="103"/>
      <c r="D987" s="103"/>
      <c r="E987" s="104"/>
      <c r="F987" s="103"/>
      <c r="G987" s="103"/>
      <c r="H987" s="104"/>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4"/>
      <c r="C988" s="103"/>
      <c r="D988" s="103"/>
      <c r="E988" s="104"/>
      <c r="F988" s="103"/>
      <c r="G988" s="103"/>
      <c r="H988" s="104"/>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4"/>
      <c r="C989" s="103"/>
      <c r="D989" s="103"/>
      <c r="E989" s="104"/>
      <c r="F989" s="103"/>
      <c r="G989" s="103"/>
      <c r="H989" s="104"/>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4"/>
      <c r="C990" s="103"/>
      <c r="D990" s="103"/>
      <c r="E990" s="104"/>
      <c r="F990" s="103"/>
      <c r="G990" s="103"/>
      <c r="H990" s="104"/>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4"/>
      <c r="C991" s="103"/>
      <c r="D991" s="103"/>
      <c r="E991" s="104"/>
      <c r="F991" s="103"/>
      <c r="G991" s="103"/>
      <c r="H991" s="104"/>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4"/>
      <c r="C992" s="103"/>
      <c r="D992" s="103"/>
      <c r="E992" s="104"/>
      <c r="F992" s="103"/>
      <c r="G992" s="103"/>
      <c r="H992" s="104"/>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4"/>
      <c r="C993" s="103"/>
      <c r="D993" s="103"/>
      <c r="E993" s="104"/>
      <c r="F993" s="103"/>
      <c r="G993" s="103"/>
      <c r="H993" s="104"/>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4"/>
      <c r="C994" s="103"/>
      <c r="D994" s="103"/>
      <c r="E994" s="104"/>
      <c r="F994" s="103"/>
      <c r="G994" s="103"/>
      <c r="H994" s="104"/>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4"/>
      <c r="C995" s="103"/>
      <c r="D995" s="103"/>
      <c r="E995" s="104"/>
      <c r="F995" s="103"/>
      <c r="G995" s="103"/>
      <c r="H995" s="104"/>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4"/>
      <c r="C996" s="103"/>
      <c r="D996" s="103"/>
      <c r="E996" s="104"/>
      <c r="F996" s="103"/>
      <c r="G996" s="103"/>
      <c r="H996" s="104"/>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4"/>
      <c r="C997" s="103"/>
      <c r="D997" s="103"/>
      <c r="E997" s="104"/>
      <c r="F997" s="103"/>
      <c r="G997" s="103"/>
      <c r="H997" s="104"/>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4"/>
      <c r="C998" s="103"/>
      <c r="D998" s="103"/>
      <c r="E998" s="104"/>
      <c r="F998" s="103"/>
      <c r="G998" s="103"/>
      <c r="H998" s="104"/>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4"/>
      <c r="C999" s="103"/>
      <c r="D999" s="103"/>
      <c r="E999" s="104"/>
      <c r="F999" s="103"/>
      <c r="G999" s="103"/>
      <c r="H999" s="104"/>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4"/>
      <c r="C1000" s="103"/>
      <c r="D1000" s="103"/>
      <c r="E1000" s="104"/>
      <c r="F1000" s="103"/>
      <c r="G1000" s="103"/>
      <c r="H1000" s="104"/>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4"/>
      <c r="C1001" s="103"/>
      <c r="D1001" s="103"/>
      <c r="E1001" s="104"/>
      <c r="F1001" s="103"/>
      <c r="G1001" s="103"/>
      <c r="H1001" s="104"/>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4"/>
      <c r="C1002" s="103"/>
      <c r="D1002" s="103"/>
      <c r="E1002" s="104"/>
      <c r="F1002" s="103"/>
      <c r="G1002" s="103"/>
      <c r="H1002" s="104"/>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4"/>
      <c r="C1003" s="103"/>
      <c r="D1003" s="103"/>
      <c r="E1003" s="104"/>
      <c r="F1003" s="103"/>
      <c r="G1003" s="103"/>
      <c r="H1003" s="104"/>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4"/>
      <c r="C1004" s="103"/>
      <c r="D1004" s="103"/>
      <c r="E1004" s="104"/>
      <c r="F1004" s="103"/>
      <c r="G1004" s="103"/>
      <c r="H1004" s="104"/>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1548</v>
      </c>
    </row>
    <row r="2" customFormat="false" ht="15" hidden="false" customHeight="false" outlineLevel="0" collapsed="false">
      <c r="A2" s="2" t="s">
        <v>1549</v>
      </c>
    </row>
    <row r="3" customFormat="false" ht="30" hidden="false" customHeight="true" outlineLevel="0" collapsed="false">
      <c r="A3" s="8" t="s">
        <v>1550</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1451</v>
      </c>
      <c r="B4" s="12" t="s">
        <v>324</v>
      </c>
      <c r="C4" s="12" t="s">
        <v>1551</v>
      </c>
      <c r="D4" s="12" t="s">
        <v>1552</v>
      </c>
      <c r="E4" s="12" t="s">
        <v>1553</v>
      </c>
      <c r="F4" s="12" t="s">
        <v>1554</v>
      </c>
      <c r="G4" s="12" t="s">
        <v>463</v>
      </c>
      <c r="H4" s="12" t="s">
        <v>1555</v>
      </c>
      <c r="I4" s="12" t="s">
        <v>1556</v>
      </c>
      <c r="J4" s="12" t="s">
        <v>1557</v>
      </c>
      <c r="K4" s="12" t="s">
        <v>1558</v>
      </c>
      <c r="L4" s="12" t="s">
        <v>1559</v>
      </c>
      <c r="M4" s="12" t="s">
        <v>1560</v>
      </c>
      <c r="N4" s="12" t="s">
        <v>1561</v>
      </c>
      <c r="O4" s="12" t="s">
        <v>1562</v>
      </c>
      <c r="P4" s="12" t="s">
        <v>1563</v>
      </c>
      <c r="Q4" s="12" t="s">
        <v>1564</v>
      </c>
      <c r="R4" s="12" t="s">
        <v>1565</v>
      </c>
      <c r="S4" s="12" t="s">
        <v>1566</v>
      </c>
      <c r="T4" s="12" t="s">
        <v>1567</v>
      </c>
      <c r="U4" s="12" t="s">
        <v>1568</v>
      </c>
      <c r="V4" s="12" t="s">
        <v>1569</v>
      </c>
      <c r="W4" s="12" t="s">
        <v>1570</v>
      </c>
      <c r="X4" s="12" t="s">
        <v>1571</v>
      </c>
      <c r="Y4" s="12" t="s">
        <v>1572</v>
      </c>
      <c r="Z4" s="12" t="s">
        <v>1573</v>
      </c>
      <c r="AL4" s="12" t="s">
        <v>1574</v>
      </c>
      <c r="AM4" s="12" t="s">
        <v>1575</v>
      </c>
      <c r="AN4" s="12" t="s">
        <v>1576</v>
      </c>
      <c r="AO4" s="12" t="s">
        <v>1577</v>
      </c>
      <c r="AP4" s="12" t="s">
        <v>1578</v>
      </c>
      <c r="AQ4" s="12" t="s">
        <v>1579</v>
      </c>
      <c r="AR4" s="12" t="s">
        <v>1580</v>
      </c>
    </row>
    <row r="5" customFormat="false" ht="15" hidden="false" customHeight="false" outlineLevel="0" collapsed="false">
      <c r="A5" s="103" t="s">
        <v>1455</v>
      </c>
      <c r="B5" s="103" t="s">
        <v>728</v>
      </c>
      <c r="C5" s="102" t="n">
        <v>46399</v>
      </c>
      <c r="D5" s="104" t="s">
        <v>672</v>
      </c>
      <c r="E5" s="104" t="s">
        <v>980</v>
      </c>
      <c r="F5" s="103" t="s">
        <v>1521</v>
      </c>
      <c r="G5" s="103" t="n">
        <v>5</v>
      </c>
      <c r="H5" s="103" t="n">
        <v>276</v>
      </c>
      <c r="I5" s="103" t="n">
        <v>250</v>
      </c>
      <c r="J5" s="103" t="n">
        <v>248</v>
      </c>
      <c r="K5" s="103" t="n">
        <v>198</v>
      </c>
      <c r="L5" s="103" t="n">
        <v>5</v>
      </c>
      <c r="M5" s="103" t="n">
        <v>200</v>
      </c>
      <c r="N5" s="103" t="n">
        <v>34</v>
      </c>
      <c r="O5" s="103" t="n">
        <v>25</v>
      </c>
      <c r="P5" s="103" t="n">
        <v>45</v>
      </c>
      <c r="Q5" s="103" t="n">
        <v>11</v>
      </c>
      <c r="R5" s="106" t="n">
        <v>480</v>
      </c>
      <c r="S5" s="102" t="n">
        <v>46366</v>
      </c>
      <c r="T5" s="106" t="n">
        <v>0</v>
      </c>
      <c r="U5" s="102" t="n">
        <v>46409</v>
      </c>
      <c r="V5" s="104" t="s">
        <v>1581</v>
      </c>
      <c r="W5" s="104" t="s">
        <v>805</v>
      </c>
      <c r="X5" s="106"/>
      <c r="Y5" s="102"/>
      <c r="Z5" s="103" t="n">
        <v>4</v>
      </c>
      <c r="AL5" s="30" t="str">
        <f aca="false">IF(B5="","",IFERROR(INDEX(Schedule!$N$7:$N$18,MATCH(B5,Schedule!$A$7:$A$18,0)),"not in schedule"))</f>
        <v>Y</v>
      </c>
      <c r="AM5" s="19" t="n">
        <f aca="false">IF(B5="","",N(R5)-N(X5))</f>
        <v>480</v>
      </c>
      <c r="AN5" s="95" t="n">
        <f aca="false">IF(B5="","",IF(Z5&lt;&gt;"",Z5,IF(N(G5)&gt;0,N(N5)/G5,"")))</f>
        <v>4</v>
      </c>
      <c r="AO5" s="18" t="n">
        <f aca="false">IF(OR(B5="",C5=""),"",WORKDAY(C5,Inputs!$C$132,Lists!$N$4:$N$30))</f>
        <v>46409</v>
      </c>
      <c r="AP5" s="30" t="str">
        <f aca="false">IF(B5="","",IF(U5="","missing",IF(U5&gt;AO5,"Y","N")))</f>
        <v>N</v>
      </c>
      <c r="AQ5" s="30" t="n">
        <f aca="false">IF(OR(W5="Y",W5="N"),IF(F5="",1,IF(COUNTIFS(F$5:F5,F5,W$5:W5,"Y")+COUNTIFS(F$5:F5,F5,W$5:W5,"N")=1,1,0)),0)</f>
        <v>1</v>
      </c>
      <c r="AR5" s="30" t="n">
        <f aca="false">IF(W5="Y",IF(F5="",1,IF(COUNTIFS(F$5:F5,F5,W$5:W5,"Y")=1,1,0)),0)</f>
        <v>1</v>
      </c>
    </row>
    <row r="6" customFormat="false" ht="15" hidden="false" customHeight="false" outlineLevel="0" collapsed="false">
      <c r="A6" s="103" t="s">
        <v>1457</v>
      </c>
      <c r="B6" s="103" t="s">
        <v>728</v>
      </c>
      <c r="C6" s="102" t="n">
        <v>46399</v>
      </c>
      <c r="D6" s="104" t="s">
        <v>672</v>
      </c>
      <c r="E6" s="104" t="s">
        <v>980</v>
      </c>
      <c r="F6" s="103" t="s">
        <v>1526</v>
      </c>
      <c r="G6" s="103" t="n">
        <v>5</v>
      </c>
      <c r="H6" s="103" t="n">
        <v>275</v>
      </c>
      <c r="I6" s="103" t="n">
        <v>250</v>
      </c>
      <c r="J6" s="103" t="n">
        <v>250</v>
      </c>
      <c r="K6" s="103" t="n">
        <v>250</v>
      </c>
      <c r="L6" s="103" t="n">
        <v>6</v>
      </c>
      <c r="M6" s="103" t="n">
        <v>238</v>
      </c>
      <c r="N6" s="103" t="n">
        <v>32</v>
      </c>
      <c r="O6" s="103" t="n">
        <v>21</v>
      </c>
      <c r="P6" s="103" t="n">
        <v>39</v>
      </c>
      <c r="Q6" s="103" t="n">
        <v>4</v>
      </c>
      <c r="R6" s="106" t="n">
        <v>600</v>
      </c>
      <c r="S6" s="102" t="n">
        <v>46367</v>
      </c>
      <c r="T6" s="106" t="n">
        <v>0</v>
      </c>
      <c r="U6" s="102" t="n">
        <v>46409</v>
      </c>
      <c r="V6" s="104" t="s">
        <v>1582</v>
      </c>
      <c r="W6" s="104" t="s">
        <v>822</v>
      </c>
      <c r="X6" s="106"/>
      <c r="Y6" s="102"/>
      <c r="Z6" s="103" t="n">
        <v>5</v>
      </c>
      <c r="AL6" s="30" t="str">
        <f aca="false">IF(B6="","",IFERROR(INDEX(Schedule!$N$7:$N$18,MATCH(B6,Schedule!$A$7:$A$18,0)),"not in schedule"))</f>
        <v>Y</v>
      </c>
      <c r="AM6" s="19" t="n">
        <f aca="false">IF(B6="","",N(R6)-N(X6))</f>
        <v>600</v>
      </c>
      <c r="AN6" s="95" t="n">
        <f aca="false">IF(B6="","",IF(Z6&lt;&gt;"",Z6,IF(N(G6)&gt;0,N(N6)/G6,"")))</f>
        <v>5</v>
      </c>
      <c r="AO6" s="18" t="n">
        <f aca="false">IF(OR(B6="",C6=""),"",WORKDAY(C6,Inputs!$C$132,Lists!$N$4:$N$30))</f>
        <v>46409</v>
      </c>
      <c r="AP6" s="30" t="str">
        <f aca="false">IF(B6="","",IF(U6="","missing",IF(U6&gt;AO6,"Y","N")))</f>
        <v>N</v>
      </c>
      <c r="AQ6" s="30" t="n">
        <f aca="false">IF(OR(W6="Y",W6="N"),IF(F6="",1,IF(COUNTIFS(F$5:F6,F6,W$5:W6,"Y")+COUNTIFS(F$5:F6,F6,W$5:W6,"N")=1,1,0)),0)</f>
        <v>1</v>
      </c>
      <c r="AR6" s="30" t="n">
        <f aca="false">IF(W6="Y",IF(F6="",1,IF(COUNTIFS(F$5:F6,F6,W$5:W6,"Y")=1,1,0)),0)</f>
        <v>0</v>
      </c>
    </row>
    <row r="7" customFormat="false" ht="15" hidden="false" customHeight="false" outlineLevel="0" collapsed="false">
      <c r="A7" s="103"/>
      <c r="B7" s="103"/>
      <c r="C7" s="102"/>
      <c r="D7" s="104"/>
      <c r="E7" s="104"/>
      <c r="F7" s="103"/>
      <c r="G7" s="103"/>
      <c r="H7" s="103"/>
      <c r="I7" s="103"/>
      <c r="J7" s="103"/>
      <c r="K7" s="103"/>
      <c r="L7" s="103"/>
      <c r="M7" s="103"/>
      <c r="N7" s="103"/>
      <c r="O7" s="103"/>
      <c r="P7" s="103"/>
      <c r="Q7" s="103"/>
      <c r="R7" s="106"/>
      <c r="S7" s="102"/>
      <c r="T7" s="106"/>
      <c r="U7" s="102"/>
      <c r="V7" s="104"/>
      <c r="W7" s="104"/>
      <c r="X7" s="106"/>
      <c r="Y7" s="102"/>
      <c r="Z7" s="103"/>
      <c r="AL7" s="30" t="str">
        <f aca="false">IF(B7="","",IFERROR(INDEX(Schedule!$N$7:$N$18,MATCH(B7,Schedule!$A$7:$A$18,0)),"not in schedule"))</f>
        <v/>
      </c>
      <c r="AM7" s="19" t="str">
        <f aca="false">IF(B7="","",N(R7)-N(X7))</f>
        <v/>
      </c>
      <c r="AN7" s="95" t="str">
        <f aca="false">IF(B7="","",IF(Z7&lt;&gt;"",Z7,IF(N(G7)&gt;0,N(N7)/G7,"")))</f>
        <v/>
      </c>
      <c r="AO7" s="18" t="str">
        <f aca="false">IF(OR(B7="",C7=""),"",WORKDAY(C7,Inputs!$C$132,Lists!$N$4:$N$30))</f>
        <v/>
      </c>
      <c r="AP7" s="30" t="str">
        <f aca="false">IF(B7="","",IF(U7="","missing",IF(U7&gt;AO7,"Y","N")))</f>
        <v/>
      </c>
      <c r="AQ7" s="30" t="n">
        <f aca="false">IF(OR(W7="Y",W7="N"),IF(F7="",1,IF(COUNTIFS(F$5:F7,F7,W$5:W7,"Y")+COUNTIFS(F$5:F7,F7,W$5:W7,"N")=1,1,0)),0)</f>
        <v>0</v>
      </c>
      <c r="AR7" s="30" t="n">
        <f aca="false">IF(W7="Y",IF(F7="",1,IF(COUNTIFS(F$5:F7,F7,W$5:W7,"Y")=1,1,0)),0)</f>
        <v>0</v>
      </c>
    </row>
    <row r="8" customFormat="false" ht="15" hidden="false" customHeight="false" outlineLevel="0" collapsed="false">
      <c r="A8" s="103"/>
      <c r="B8" s="103"/>
      <c r="C8" s="102"/>
      <c r="D8" s="104"/>
      <c r="E8" s="104"/>
      <c r="F8" s="103"/>
      <c r="G8" s="103"/>
      <c r="H8" s="103"/>
      <c r="I8" s="103"/>
      <c r="J8" s="103"/>
      <c r="K8" s="103"/>
      <c r="L8" s="103"/>
      <c r="M8" s="103"/>
      <c r="N8" s="103"/>
      <c r="O8" s="103"/>
      <c r="P8" s="103"/>
      <c r="Q8" s="103"/>
      <c r="R8" s="106"/>
      <c r="S8" s="102"/>
      <c r="T8" s="106"/>
      <c r="U8" s="102"/>
      <c r="V8" s="104"/>
      <c r="W8" s="104"/>
      <c r="X8" s="106"/>
      <c r="Y8" s="102"/>
      <c r="Z8" s="103"/>
      <c r="AL8" s="30" t="str">
        <f aca="false">IF(B8="","",IFERROR(INDEX(Schedule!$N$7:$N$18,MATCH(B8,Schedule!$A$7:$A$18,0)),"not in schedule"))</f>
        <v/>
      </c>
      <c r="AM8" s="19" t="str">
        <f aca="false">IF(B8="","",N(R8)-N(X8))</f>
        <v/>
      </c>
      <c r="AN8" s="95" t="str">
        <f aca="false">IF(B8="","",IF(Z8&lt;&gt;"",Z8,IF(N(G8)&gt;0,N(N8)/G8,"")))</f>
        <v/>
      </c>
      <c r="AO8" s="18" t="str">
        <f aca="false">IF(OR(B8="",C8=""),"",WORKDAY(C8,Inputs!$C$132,Lists!$N$4:$N$30))</f>
        <v/>
      </c>
      <c r="AP8" s="30" t="str">
        <f aca="false">IF(B8="","",IF(U8="","missing",IF(U8&gt;AO8,"Y","N")))</f>
        <v/>
      </c>
      <c r="AQ8" s="30" t="n">
        <f aca="false">IF(OR(W8="Y",W8="N"),IF(F8="",1,IF(COUNTIFS(F$5:F8,F8,W$5:W8,"Y")+COUNTIFS(F$5:F8,F8,W$5:W8,"N")=1,1,0)),0)</f>
        <v>0</v>
      </c>
      <c r="AR8" s="30" t="n">
        <f aca="false">IF(W8="Y",IF(F8="",1,IF(COUNTIFS(F$5:F8,F8,W$5:W8,"Y")=1,1,0)),0)</f>
        <v>0</v>
      </c>
    </row>
    <row r="9" customFormat="false" ht="15" hidden="false" customHeight="false" outlineLevel="0" collapsed="false">
      <c r="A9" s="103"/>
      <c r="B9" s="103"/>
      <c r="C9" s="102"/>
      <c r="D9" s="104"/>
      <c r="E9" s="104"/>
      <c r="F9" s="103"/>
      <c r="G9" s="103"/>
      <c r="H9" s="103"/>
      <c r="I9" s="103"/>
      <c r="J9" s="103"/>
      <c r="K9" s="103"/>
      <c r="L9" s="103"/>
      <c r="M9" s="103"/>
      <c r="N9" s="103"/>
      <c r="O9" s="103"/>
      <c r="P9" s="103"/>
      <c r="Q9" s="103"/>
      <c r="R9" s="106"/>
      <c r="S9" s="102"/>
      <c r="T9" s="106"/>
      <c r="U9" s="102"/>
      <c r="V9" s="104"/>
      <c r="W9" s="104"/>
      <c r="X9" s="106"/>
      <c r="Y9" s="102"/>
      <c r="Z9" s="103"/>
      <c r="AL9" s="30" t="str">
        <f aca="false">IF(B9="","",IFERROR(INDEX(Schedule!$N$7:$N$18,MATCH(B9,Schedule!$A$7:$A$18,0)),"not in schedule"))</f>
        <v/>
      </c>
      <c r="AM9" s="19" t="str">
        <f aca="false">IF(B9="","",N(R9)-N(X9))</f>
        <v/>
      </c>
      <c r="AN9" s="95" t="str">
        <f aca="false">IF(B9="","",IF(Z9&lt;&gt;"",Z9,IF(N(G9)&gt;0,N(N9)/G9,"")))</f>
        <v/>
      </c>
      <c r="AO9" s="18" t="str">
        <f aca="false">IF(OR(B9="",C9=""),"",WORKDAY(C9,Inputs!$C$132,Lists!$N$4:$N$30))</f>
        <v/>
      </c>
      <c r="AP9" s="30" t="str">
        <f aca="false">IF(B9="","",IF(U9="","missing",IF(U9&gt;AO9,"Y","N")))</f>
        <v/>
      </c>
      <c r="AQ9" s="30" t="n">
        <f aca="false">IF(OR(W9="Y",W9="N"),IF(F9="",1,IF(COUNTIFS(F$5:F9,F9,W$5:W9,"Y")+COUNTIFS(F$5:F9,F9,W$5:W9,"N")=1,1,0)),0)</f>
        <v>0</v>
      </c>
      <c r="AR9" s="30" t="n">
        <f aca="false">IF(W9="Y",IF(F9="",1,IF(COUNTIFS(F$5:F9,F9,W$5:W9,"Y")=1,1,0)),0)</f>
        <v>0</v>
      </c>
    </row>
    <row r="10" customFormat="false" ht="15" hidden="false" customHeight="false" outlineLevel="0" collapsed="false">
      <c r="A10" s="103"/>
      <c r="B10" s="103"/>
      <c r="C10" s="102"/>
      <c r="D10" s="104"/>
      <c r="E10" s="104"/>
      <c r="F10" s="103"/>
      <c r="G10" s="103"/>
      <c r="H10" s="103"/>
      <c r="I10" s="103"/>
      <c r="J10" s="103"/>
      <c r="K10" s="103"/>
      <c r="L10" s="103"/>
      <c r="M10" s="103"/>
      <c r="N10" s="103"/>
      <c r="O10" s="103"/>
      <c r="P10" s="103"/>
      <c r="Q10" s="103"/>
      <c r="R10" s="106"/>
      <c r="S10" s="102"/>
      <c r="T10" s="106"/>
      <c r="U10" s="102"/>
      <c r="V10" s="104"/>
      <c r="W10" s="104"/>
      <c r="X10" s="106"/>
      <c r="Y10" s="102"/>
      <c r="Z10" s="103"/>
      <c r="AL10" s="30" t="str">
        <f aca="false">IF(B10="","",IFERROR(INDEX(Schedule!$N$7:$N$18,MATCH(B10,Schedule!$A$7:$A$18,0)),"not in schedule"))</f>
        <v/>
      </c>
      <c r="AM10" s="19" t="str">
        <f aca="false">IF(B10="","",N(R10)-N(X10))</f>
        <v/>
      </c>
      <c r="AN10" s="95" t="str">
        <f aca="false">IF(B10="","",IF(Z10&lt;&gt;"",Z10,IF(N(G10)&gt;0,N(N10)/G10,"")))</f>
        <v/>
      </c>
      <c r="AO10" s="18" t="str">
        <f aca="false">IF(OR(B10="",C10=""),"",WORKDAY(C10,Inputs!$C$132,Lists!$N$4:$N$30))</f>
        <v/>
      </c>
      <c r="AP10" s="30" t="str">
        <f aca="false">IF(B10="","",IF(U10="","missing",IF(U10&gt;AO10,"Y","N")))</f>
        <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c r="B11" s="103"/>
      <c r="C11" s="102"/>
      <c r="D11" s="104"/>
      <c r="E11" s="104"/>
      <c r="F11" s="103"/>
      <c r="G11" s="103"/>
      <c r="H11" s="103"/>
      <c r="I11" s="103"/>
      <c r="J11" s="103"/>
      <c r="K11" s="103"/>
      <c r="L11" s="103"/>
      <c r="M11" s="103"/>
      <c r="N11" s="103"/>
      <c r="O11" s="103"/>
      <c r="P11" s="103"/>
      <c r="Q11" s="103"/>
      <c r="R11" s="106"/>
      <c r="S11" s="102"/>
      <c r="T11" s="106"/>
      <c r="U11" s="102"/>
      <c r="V11" s="104"/>
      <c r="W11" s="104"/>
      <c r="X11" s="106"/>
      <c r="Y11" s="102"/>
      <c r="Z11" s="103"/>
      <c r="AL11" s="30" t="str">
        <f aca="false">IF(B11="","",IFERROR(INDEX(Schedule!$N$7:$N$18,MATCH(B11,Schedule!$A$7:$A$18,0)),"not in schedule"))</f>
        <v/>
      </c>
      <c r="AM11" s="19" t="str">
        <f aca="false">IF(B11="","",N(R11)-N(X11))</f>
        <v/>
      </c>
      <c r="AN11" s="95" t="str">
        <f aca="false">IF(B11="","",IF(Z11&lt;&gt;"",Z11,IF(N(G11)&gt;0,N(N11)/G11,"")))</f>
        <v/>
      </c>
      <c r="AO11" s="18" t="str">
        <f aca="false">IF(OR(B11="",C11=""),"",WORKDAY(C11,Inputs!$C$132,Lists!$N$4:$N$30))</f>
        <v/>
      </c>
      <c r="AP11" s="30" t="str">
        <f aca="false">IF(B11="","",IF(U11="","missing",IF(U11&gt;AO11,"Y","N")))</f>
        <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c r="B12" s="103"/>
      <c r="C12" s="102"/>
      <c r="D12" s="104"/>
      <c r="E12" s="104"/>
      <c r="F12" s="103"/>
      <c r="G12" s="103"/>
      <c r="H12" s="103"/>
      <c r="I12" s="103"/>
      <c r="J12" s="103"/>
      <c r="K12" s="103"/>
      <c r="L12" s="103"/>
      <c r="M12" s="103"/>
      <c r="N12" s="103"/>
      <c r="O12" s="103"/>
      <c r="P12" s="103"/>
      <c r="Q12" s="103"/>
      <c r="R12" s="106"/>
      <c r="S12" s="102"/>
      <c r="T12" s="106"/>
      <c r="U12" s="102"/>
      <c r="V12" s="104"/>
      <c r="W12" s="104"/>
      <c r="X12" s="106"/>
      <c r="Y12" s="102"/>
      <c r="Z12" s="103"/>
      <c r="AL12" s="30" t="str">
        <f aca="false">IF(B12="","",IFERROR(INDEX(Schedule!$N$7:$N$18,MATCH(B12,Schedule!$A$7:$A$18,0)),"not in schedule"))</f>
        <v/>
      </c>
      <c r="AM12" s="19" t="str">
        <f aca="false">IF(B12="","",N(R12)-N(X12))</f>
        <v/>
      </c>
      <c r="AN12" s="95" t="str">
        <f aca="false">IF(B12="","",IF(Z12&lt;&gt;"",Z12,IF(N(G12)&gt;0,N(N12)/G12,"")))</f>
        <v/>
      </c>
      <c r="AO12" s="18" t="str">
        <f aca="false">IF(OR(B12="",C12=""),"",WORKDAY(C12,Inputs!$C$132,Lists!$N$4:$N$30))</f>
        <v/>
      </c>
      <c r="AP12" s="30" t="str">
        <f aca="false">IF(B12="","",IF(U12="","missing",IF(U12&gt;AO12,"Y","N")))</f>
        <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4"/>
      <c r="E13" s="104"/>
      <c r="F13" s="103"/>
      <c r="G13" s="103"/>
      <c r="H13" s="103"/>
      <c r="I13" s="103"/>
      <c r="J13" s="103"/>
      <c r="K13" s="103"/>
      <c r="L13" s="103"/>
      <c r="M13" s="103"/>
      <c r="N13" s="103"/>
      <c r="O13" s="103"/>
      <c r="P13" s="103"/>
      <c r="Q13" s="103"/>
      <c r="R13" s="106"/>
      <c r="S13" s="102"/>
      <c r="T13" s="106"/>
      <c r="U13" s="102"/>
      <c r="V13" s="104"/>
      <c r="W13" s="104"/>
      <c r="X13" s="106"/>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4"/>
      <c r="E14" s="104"/>
      <c r="F14" s="103"/>
      <c r="G14" s="103"/>
      <c r="H14" s="103"/>
      <c r="I14" s="103"/>
      <c r="J14" s="103"/>
      <c r="K14" s="103"/>
      <c r="L14" s="103"/>
      <c r="M14" s="103"/>
      <c r="N14" s="103"/>
      <c r="O14" s="103"/>
      <c r="P14" s="103"/>
      <c r="Q14" s="103"/>
      <c r="R14" s="106"/>
      <c r="S14" s="102"/>
      <c r="T14" s="106"/>
      <c r="U14" s="102"/>
      <c r="V14" s="104"/>
      <c r="W14" s="104"/>
      <c r="X14" s="106"/>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4"/>
      <c r="E15" s="104"/>
      <c r="F15" s="103"/>
      <c r="G15" s="103"/>
      <c r="H15" s="103"/>
      <c r="I15" s="103"/>
      <c r="J15" s="103"/>
      <c r="K15" s="103"/>
      <c r="L15" s="103"/>
      <c r="M15" s="103"/>
      <c r="N15" s="103"/>
      <c r="O15" s="103"/>
      <c r="P15" s="103"/>
      <c r="Q15" s="103"/>
      <c r="R15" s="106"/>
      <c r="S15" s="102"/>
      <c r="T15" s="106"/>
      <c r="U15" s="102"/>
      <c r="V15" s="104"/>
      <c r="W15" s="104"/>
      <c r="X15" s="106"/>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4"/>
      <c r="E16" s="104"/>
      <c r="F16" s="103"/>
      <c r="G16" s="103"/>
      <c r="H16" s="103"/>
      <c r="I16" s="103"/>
      <c r="J16" s="103"/>
      <c r="K16" s="103"/>
      <c r="L16" s="103"/>
      <c r="M16" s="103"/>
      <c r="N16" s="103"/>
      <c r="O16" s="103"/>
      <c r="P16" s="103"/>
      <c r="Q16" s="103"/>
      <c r="R16" s="106"/>
      <c r="S16" s="102"/>
      <c r="T16" s="106"/>
      <c r="U16" s="102"/>
      <c r="V16" s="104"/>
      <c r="W16" s="104"/>
      <c r="X16" s="106"/>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4"/>
      <c r="E17" s="104"/>
      <c r="F17" s="103"/>
      <c r="G17" s="103"/>
      <c r="H17" s="103"/>
      <c r="I17" s="103"/>
      <c r="J17" s="103"/>
      <c r="K17" s="103"/>
      <c r="L17" s="103"/>
      <c r="M17" s="103"/>
      <c r="N17" s="103"/>
      <c r="O17" s="103"/>
      <c r="P17" s="103"/>
      <c r="Q17" s="103"/>
      <c r="R17" s="106"/>
      <c r="S17" s="102"/>
      <c r="T17" s="106"/>
      <c r="U17" s="102"/>
      <c r="V17" s="104"/>
      <c r="W17" s="104"/>
      <c r="X17" s="106"/>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4"/>
      <c r="E18" s="104"/>
      <c r="F18" s="103"/>
      <c r="G18" s="103"/>
      <c r="H18" s="103"/>
      <c r="I18" s="103"/>
      <c r="J18" s="103"/>
      <c r="K18" s="103"/>
      <c r="L18" s="103"/>
      <c r="M18" s="103"/>
      <c r="N18" s="103"/>
      <c r="O18" s="103"/>
      <c r="P18" s="103"/>
      <c r="Q18" s="103"/>
      <c r="R18" s="106"/>
      <c r="S18" s="102"/>
      <c r="T18" s="106"/>
      <c r="U18" s="102"/>
      <c r="V18" s="104"/>
      <c r="W18" s="104"/>
      <c r="X18" s="106"/>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4"/>
      <c r="E19" s="104"/>
      <c r="F19" s="103"/>
      <c r="G19" s="103"/>
      <c r="H19" s="103"/>
      <c r="I19" s="103"/>
      <c r="J19" s="103"/>
      <c r="K19" s="103"/>
      <c r="L19" s="103"/>
      <c r="M19" s="103"/>
      <c r="N19" s="103"/>
      <c r="O19" s="103"/>
      <c r="P19" s="103"/>
      <c r="Q19" s="103"/>
      <c r="R19" s="106"/>
      <c r="S19" s="102"/>
      <c r="T19" s="106"/>
      <c r="U19" s="102"/>
      <c r="V19" s="104"/>
      <c r="W19" s="104"/>
      <c r="X19" s="106"/>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4"/>
      <c r="E20" s="104"/>
      <c r="F20" s="103"/>
      <c r="G20" s="103"/>
      <c r="H20" s="103"/>
      <c r="I20" s="103"/>
      <c r="J20" s="103"/>
      <c r="K20" s="103"/>
      <c r="L20" s="103"/>
      <c r="M20" s="103"/>
      <c r="N20" s="103"/>
      <c r="O20" s="103"/>
      <c r="P20" s="103"/>
      <c r="Q20" s="103"/>
      <c r="R20" s="106"/>
      <c r="S20" s="102"/>
      <c r="T20" s="106"/>
      <c r="U20" s="102"/>
      <c r="V20" s="104"/>
      <c r="W20" s="104"/>
      <c r="X20" s="106"/>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4"/>
      <c r="E21" s="104"/>
      <c r="F21" s="103"/>
      <c r="G21" s="103"/>
      <c r="H21" s="103"/>
      <c r="I21" s="103"/>
      <c r="J21" s="103"/>
      <c r="K21" s="103"/>
      <c r="L21" s="103"/>
      <c r="M21" s="103"/>
      <c r="N21" s="103"/>
      <c r="O21" s="103"/>
      <c r="P21" s="103"/>
      <c r="Q21" s="103"/>
      <c r="R21" s="106"/>
      <c r="S21" s="102"/>
      <c r="T21" s="106"/>
      <c r="U21" s="102"/>
      <c r="V21" s="104"/>
      <c r="W21" s="104"/>
      <c r="X21" s="106"/>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4"/>
      <c r="E22" s="104"/>
      <c r="F22" s="103"/>
      <c r="G22" s="103"/>
      <c r="H22" s="103"/>
      <c r="I22" s="103"/>
      <c r="J22" s="103"/>
      <c r="K22" s="103"/>
      <c r="L22" s="103"/>
      <c r="M22" s="103"/>
      <c r="N22" s="103"/>
      <c r="O22" s="103"/>
      <c r="P22" s="103"/>
      <c r="Q22" s="103"/>
      <c r="R22" s="106"/>
      <c r="S22" s="102"/>
      <c r="T22" s="106"/>
      <c r="U22" s="102"/>
      <c r="V22" s="104"/>
      <c r="W22" s="104"/>
      <c r="X22" s="106"/>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4"/>
      <c r="E23" s="104"/>
      <c r="F23" s="103"/>
      <c r="G23" s="103"/>
      <c r="H23" s="103"/>
      <c r="I23" s="103"/>
      <c r="J23" s="103"/>
      <c r="K23" s="103"/>
      <c r="L23" s="103"/>
      <c r="M23" s="103"/>
      <c r="N23" s="103"/>
      <c r="O23" s="103"/>
      <c r="P23" s="103"/>
      <c r="Q23" s="103"/>
      <c r="R23" s="106"/>
      <c r="S23" s="102"/>
      <c r="T23" s="106"/>
      <c r="U23" s="102"/>
      <c r="V23" s="104"/>
      <c r="W23" s="104"/>
      <c r="X23" s="106"/>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4"/>
      <c r="E24" s="104"/>
      <c r="F24" s="103"/>
      <c r="G24" s="103"/>
      <c r="H24" s="103"/>
      <c r="I24" s="103"/>
      <c r="J24" s="103"/>
      <c r="K24" s="103"/>
      <c r="L24" s="103"/>
      <c r="M24" s="103"/>
      <c r="N24" s="103"/>
      <c r="O24" s="103"/>
      <c r="P24" s="103"/>
      <c r="Q24" s="103"/>
      <c r="R24" s="106"/>
      <c r="S24" s="102"/>
      <c r="T24" s="106"/>
      <c r="U24" s="102"/>
      <c r="V24" s="104"/>
      <c r="W24" s="104"/>
      <c r="X24" s="106"/>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4"/>
      <c r="E25" s="104"/>
      <c r="F25" s="103"/>
      <c r="G25" s="103"/>
      <c r="H25" s="103"/>
      <c r="I25" s="103"/>
      <c r="J25" s="103"/>
      <c r="K25" s="103"/>
      <c r="L25" s="103"/>
      <c r="M25" s="103"/>
      <c r="N25" s="103"/>
      <c r="O25" s="103"/>
      <c r="P25" s="103"/>
      <c r="Q25" s="103"/>
      <c r="R25" s="106"/>
      <c r="S25" s="102"/>
      <c r="T25" s="106"/>
      <c r="U25" s="102"/>
      <c r="V25" s="104"/>
      <c r="W25" s="104"/>
      <c r="X25" s="106"/>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4"/>
      <c r="E26" s="104"/>
      <c r="F26" s="103"/>
      <c r="G26" s="103"/>
      <c r="H26" s="103"/>
      <c r="I26" s="103"/>
      <c r="J26" s="103"/>
      <c r="K26" s="103"/>
      <c r="L26" s="103"/>
      <c r="M26" s="103"/>
      <c r="N26" s="103"/>
      <c r="O26" s="103"/>
      <c r="P26" s="103"/>
      <c r="Q26" s="103"/>
      <c r="R26" s="106"/>
      <c r="S26" s="102"/>
      <c r="T26" s="106"/>
      <c r="U26" s="102"/>
      <c r="V26" s="104"/>
      <c r="W26" s="104"/>
      <c r="X26" s="106"/>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4"/>
      <c r="E27" s="104"/>
      <c r="F27" s="103"/>
      <c r="G27" s="103"/>
      <c r="H27" s="103"/>
      <c r="I27" s="103"/>
      <c r="J27" s="103"/>
      <c r="K27" s="103"/>
      <c r="L27" s="103"/>
      <c r="M27" s="103"/>
      <c r="N27" s="103"/>
      <c r="O27" s="103"/>
      <c r="P27" s="103"/>
      <c r="Q27" s="103"/>
      <c r="R27" s="106"/>
      <c r="S27" s="102"/>
      <c r="T27" s="106"/>
      <c r="U27" s="102"/>
      <c r="V27" s="104"/>
      <c r="W27" s="104"/>
      <c r="X27" s="106"/>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4"/>
      <c r="E28" s="104"/>
      <c r="F28" s="103"/>
      <c r="G28" s="103"/>
      <c r="H28" s="103"/>
      <c r="I28" s="103"/>
      <c r="J28" s="103"/>
      <c r="K28" s="103"/>
      <c r="L28" s="103"/>
      <c r="M28" s="103"/>
      <c r="N28" s="103"/>
      <c r="O28" s="103"/>
      <c r="P28" s="103"/>
      <c r="Q28" s="103"/>
      <c r="R28" s="106"/>
      <c r="S28" s="102"/>
      <c r="T28" s="106"/>
      <c r="U28" s="102"/>
      <c r="V28" s="104"/>
      <c r="W28" s="104"/>
      <c r="X28" s="106"/>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4"/>
      <c r="E29" s="104"/>
      <c r="F29" s="103"/>
      <c r="G29" s="103"/>
      <c r="H29" s="103"/>
      <c r="I29" s="103"/>
      <c r="J29" s="103"/>
      <c r="K29" s="103"/>
      <c r="L29" s="103"/>
      <c r="M29" s="103"/>
      <c r="N29" s="103"/>
      <c r="O29" s="103"/>
      <c r="P29" s="103"/>
      <c r="Q29" s="103"/>
      <c r="R29" s="106"/>
      <c r="S29" s="102"/>
      <c r="T29" s="106"/>
      <c r="U29" s="102"/>
      <c r="V29" s="104"/>
      <c r="W29" s="104"/>
      <c r="X29" s="106"/>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4"/>
      <c r="E30" s="104"/>
      <c r="F30" s="103"/>
      <c r="G30" s="103"/>
      <c r="H30" s="103"/>
      <c r="I30" s="103"/>
      <c r="J30" s="103"/>
      <c r="K30" s="103"/>
      <c r="L30" s="103"/>
      <c r="M30" s="103"/>
      <c r="N30" s="103"/>
      <c r="O30" s="103"/>
      <c r="P30" s="103"/>
      <c r="Q30" s="103"/>
      <c r="R30" s="106"/>
      <c r="S30" s="102"/>
      <c r="T30" s="106"/>
      <c r="U30" s="102"/>
      <c r="V30" s="104"/>
      <c r="W30" s="104"/>
      <c r="X30" s="106"/>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4"/>
      <c r="E31" s="104"/>
      <c r="F31" s="103"/>
      <c r="G31" s="103"/>
      <c r="H31" s="103"/>
      <c r="I31" s="103"/>
      <c r="J31" s="103"/>
      <c r="K31" s="103"/>
      <c r="L31" s="103"/>
      <c r="M31" s="103"/>
      <c r="N31" s="103"/>
      <c r="O31" s="103"/>
      <c r="P31" s="103"/>
      <c r="Q31" s="103"/>
      <c r="R31" s="106"/>
      <c r="S31" s="102"/>
      <c r="T31" s="106"/>
      <c r="U31" s="102"/>
      <c r="V31" s="104"/>
      <c r="W31" s="104"/>
      <c r="X31" s="106"/>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4"/>
      <c r="E32" s="104"/>
      <c r="F32" s="103"/>
      <c r="G32" s="103"/>
      <c r="H32" s="103"/>
      <c r="I32" s="103"/>
      <c r="J32" s="103"/>
      <c r="K32" s="103"/>
      <c r="L32" s="103"/>
      <c r="M32" s="103"/>
      <c r="N32" s="103"/>
      <c r="O32" s="103"/>
      <c r="P32" s="103"/>
      <c r="Q32" s="103"/>
      <c r="R32" s="106"/>
      <c r="S32" s="102"/>
      <c r="T32" s="106"/>
      <c r="U32" s="102"/>
      <c r="V32" s="104"/>
      <c r="W32" s="104"/>
      <c r="X32" s="106"/>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4"/>
      <c r="E33" s="104"/>
      <c r="F33" s="103"/>
      <c r="G33" s="103"/>
      <c r="H33" s="103"/>
      <c r="I33" s="103"/>
      <c r="J33" s="103"/>
      <c r="K33" s="103"/>
      <c r="L33" s="103"/>
      <c r="M33" s="103"/>
      <c r="N33" s="103"/>
      <c r="O33" s="103"/>
      <c r="P33" s="103"/>
      <c r="Q33" s="103"/>
      <c r="R33" s="106"/>
      <c r="S33" s="102"/>
      <c r="T33" s="106"/>
      <c r="U33" s="102"/>
      <c r="V33" s="104"/>
      <c r="W33" s="104"/>
      <c r="X33" s="106"/>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4"/>
      <c r="E34" s="104"/>
      <c r="F34" s="103"/>
      <c r="G34" s="103"/>
      <c r="H34" s="103"/>
      <c r="I34" s="103"/>
      <c r="J34" s="103"/>
      <c r="K34" s="103"/>
      <c r="L34" s="103"/>
      <c r="M34" s="103"/>
      <c r="N34" s="103"/>
      <c r="O34" s="103"/>
      <c r="P34" s="103"/>
      <c r="Q34" s="103"/>
      <c r="R34" s="106"/>
      <c r="S34" s="102"/>
      <c r="T34" s="106"/>
      <c r="U34" s="102"/>
      <c r="V34" s="104"/>
      <c r="W34" s="104"/>
      <c r="X34" s="106"/>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4"/>
      <c r="E35" s="104"/>
      <c r="F35" s="103"/>
      <c r="G35" s="103"/>
      <c r="H35" s="103"/>
      <c r="I35" s="103"/>
      <c r="J35" s="103"/>
      <c r="K35" s="103"/>
      <c r="L35" s="103"/>
      <c r="M35" s="103"/>
      <c r="N35" s="103"/>
      <c r="O35" s="103"/>
      <c r="P35" s="103"/>
      <c r="Q35" s="103"/>
      <c r="R35" s="106"/>
      <c r="S35" s="102"/>
      <c r="T35" s="106"/>
      <c r="U35" s="102"/>
      <c r="V35" s="104"/>
      <c r="W35" s="104"/>
      <c r="X35" s="106"/>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4"/>
      <c r="E36" s="104"/>
      <c r="F36" s="103"/>
      <c r="G36" s="103"/>
      <c r="H36" s="103"/>
      <c r="I36" s="103"/>
      <c r="J36" s="103"/>
      <c r="K36" s="103"/>
      <c r="L36" s="103"/>
      <c r="M36" s="103"/>
      <c r="N36" s="103"/>
      <c r="O36" s="103"/>
      <c r="P36" s="103"/>
      <c r="Q36" s="103"/>
      <c r="R36" s="106"/>
      <c r="S36" s="102"/>
      <c r="T36" s="106"/>
      <c r="U36" s="102"/>
      <c r="V36" s="104"/>
      <c r="W36" s="104"/>
      <c r="X36" s="106"/>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4"/>
      <c r="E37" s="104"/>
      <c r="F37" s="103"/>
      <c r="G37" s="103"/>
      <c r="H37" s="103"/>
      <c r="I37" s="103"/>
      <c r="J37" s="103"/>
      <c r="K37" s="103"/>
      <c r="L37" s="103"/>
      <c r="M37" s="103"/>
      <c r="N37" s="103"/>
      <c r="O37" s="103"/>
      <c r="P37" s="103"/>
      <c r="Q37" s="103"/>
      <c r="R37" s="106"/>
      <c r="S37" s="102"/>
      <c r="T37" s="106"/>
      <c r="U37" s="102"/>
      <c r="V37" s="104"/>
      <c r="W37" s="104"/>
      <c r="X37" s="106"/>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4"/>
      <c r="E38" s="104"/>
      <c r="F38" s="103"/>
      <c r="G38" s="103"/>
      <c r="H38" s="103"/>
      <c r="I38" s="103"/>
      <c r="J38" s="103"/>
      <c r="K38" s="103"/>
      <c r="L38" s="103"/>
      <c r="M38" s="103"/>
      <c r="N38" s="103"/>
      <c r="O38" s="103"/>
      <c r="P38" s="103"/>
      <c r="Q38" s="103"/>
      <c r="R38" s="106"/>
      <c r="S38" s="102"/>
      <c r="T38" s="106"/>
      <c r="U38" s="102"/>
      <c r="V38" s="104"/>
      <c r="W38" s="104"/>
      <c r="X38" s="106"/>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4"/>
      <c r="E39" s="104"/>
      <c r="F39" s="103"/>
      <c r="G39" s="103"/>
      <c r="H39" s="103"/>
      <c r="I39" s="103"/>
      <c r="J39" s="103"/>
      <c r="K39" s="103"/>
      <c r="L39" s="103"/>
      <c r="M39" s="103"/>
      <c r="N39" s="103"/>
      <c r="O39" s="103"/>
      <c r="P39" s="103"/>
      <c r="Q39" s="103"/>
      <c r="R39" s="106"/>
      <c r="S39" s="102"/>
      <c r="T39" s="106"/>
      <c r="U39" s="102"/>
      <c r="V39" s="104"/>
      <c r="W39" s="104"/>
      <c r="X39" s="106"/>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4"/>
      <c r="E40" s="104"/>
      <c r="F40" s="103"/>
      <c r="G40" s="103"/>
      <c r="H40" s="103"/>
      <c r="I40" s="103"/>
      <c r="J40" s="103"/>
      <c r="K40" s="103"/>
      <c r="L40" s="103"/>
      <c r="M40" s="103"/>
      <c r="N40" s="103"/>
      <c r="O40" s="103"/>
      <c r="P40" s="103"/>
      <c r="Q40" s="103"/>
      <c r="R40" s="106"/>
      <c r="S40" s="102"/>
      <c r="T40" s="106"/>
      <c r="U40" s="102"/>
      <c r="V40" s="104"/>
      <c r="W40" s="104"/>
      <c r="X40" s="106"/>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4"/>
      <c r="E41" s="104"/>
      <c r="F41" s="103"/>
      <c r="G41" s="103"/>
      <c r="H41" s="103"/>
      <c r="I41" s="103"/>
      <c r="J41" s="103"/>
      <c r="K41" s="103"/>
      <c r="L41" s="103"/>
      <c r="M41" s="103"/>
      <c r="N41" s="103"/>
      <c r="O41" s="103"/>
      <c r="P41" s="103"/>
      <c r="Q41" s="103"/>
      <c r="R41" s="106"/>
      <c r="S41" s="102"/>
      <c r="T41" s="106"/>
      <c r="U41" s="102"/>
      <c r="V41" s="104"/>
      <c r="W41" s="104"/>
      <c r="X41" s="106"/>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4"/>
      <c r="E42" s="104"/>
      <c r="F42" s="103"/>
      <c r="G42" s="103"/>
      <c r="H42" s="103"/>
      <c r="I42" s="103"/>
      <c r="J42" s="103"/>
      <c r="K42" s="103"/>
      <c r="L42" s="103"/>
      <c r="M42" s="103"/>
      <c r="N42" s="103"/>
      <c r="O42" s="103"/>
      <c r="P42" s="103"/>
      <c r="Q42" s="103"/>
      <c r="R42" s="106"/>
      <c r="S42" s="102"/>
      <c r="T42" s="106"/>
      <c r="U42" s="102"/>
      <c r="V42" s="104"/>
      <c r="W42" s="104"/>
      <c r="X42" s="106"/>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4"/>
      <c r="E43" s="104"/>
      <c r="F43" s="103"/>
      <c r="G43" s="103"/>
      <c r="H43" s="103"/>
      <c r="I43" s="103"/>
      <c r="J43" s="103"/>
      <c r="K43" s="103"/>
      <c r="L43" s="103"/>
      <c r="M43" s="103"/>
      <c r="N43" s="103"/>
      <c r="O43" s="103"/>
      <c r="P43" s="103"/>
      <c r="Q43" s="103"/>
      <c r="R43" s="106"/>
      <c r="S43" s="102"/>
      <c r="T43" s="106"/>
      <c r="U43" s="102"/>
      <c r="V43" s="104"/>
      <c r="W43" s="104"/>
      <c r="X43" s="106"/>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4"/>
      <c r="E44" s="104"/>
      <c r="F44" s="103"/>
      <c r="G44" s="103"/>
      <c r="H44" s="103"/>
      <c r="I44" s="103"/>
      <c r="J44" s="103"/>
      <c r="K44" s="103"/>
      <c r="L44" s="103"/>
      <c r="M44" s="103"/>
      <c r="N44" s="103"/>
      <c r="O44" s="103"/>
      <c r="P44" s="103"/>
      <c r="Q44" s="103"/>
      <c r="R44" s="106"/>
      <c r="S44" s="102"/>
      <c r="T44" s="106"/>
      <c r="U44" s="102"/>
      <c r="V44" s="104"/>
      <c r="W44" s="104"/>
      <c r="X44" s="106"/>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4"/>
      <c r="E45" s="104"/>
      <c r="F45" s="103"/>
      <c r="G45" s="103"/>
      <c r="H45" s="103"/>
      <c r="I45" s="103"/>
      <c r="J45" s="103"/>
      <c r="K45" s="103"/>
      <c r="L45" s="103"/>
      <c r="M45" s="103"/>
      <c r="N45" s="103"/>
      <c r="O45" s="103"/>
      <c r="P45" s="103"/>
      <c r="Q45" s="103"/>
      <c r="R45" s="106"/>
      <c r="S45" s="102"/>
      <c r="T45" s="106"/>
      <c r="U45" s="102"/>
      <c r="V45" s="104"/>
      <c r="W45" s="104"/>
      <c r="X45" s="106"/>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4"/>
      <c r="E46" s="104"/>
      <c r="F46" s="103"/>
      <c r="G46" s="103"/>
      <c r="H46" s="103"/>
      <c r="I46" s="103"/>
      <c r="J46" s="103"/>
      <c r="K46" s="103"/>
      <c r="L46" s="103"/>
      <c r="M46" s="103"/>
      <c r="N46" s="103"/>
      <c r="O46" s="103"/>
      <c r="P46" s="103"/>
      <c r="Q46" s="103"/>
      <c r="R46" s="106"/>
      <c r="S46" s="102"/>
      <c r="T46" s="106"/>
      <c r="U46" s="102"/>
      <c r="V46" s="104"/>
      <c r="W46" s="104"/>
      <c r="X46" s="106"/>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4"/>
      <c r="E47" s="104"/>
      <c r="F47" s="103"/>
      <c r="G47" s="103"/>
      <c r="H47" s="103"/>
      <c r="I47" s="103"/>
      <c r="J47" s="103"/>
      <c r="K47" s="103"/>
      <c r="L47" s="103"/>
      <c r="M47" s="103"/>
      <c r="N47" s="103"/>
      <c r="O47" s="103"/>
      <c r="P47" s="103"/>
      <c r="Q47" s="103"/>
      <c r="R47" s="106"/>
      <c r="S47" s="102"/>
      <c r="T47" s="106"/>
      <c r="U47" s="102"/>
      <c r="V47" s="104"/>
      <c r="W47" s="104"/>
      <c r="X47" s="106"/>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4"/>
      <c r="E48" s="104"/>
      <c r="F48" s="103"/>
      <c r="G48" s="103"/>
      <c r="H48" s="103"/>
      <c r="I48" s="103"/>
      <c r="J48" s="103"/>
      <c r="K48" s="103"/>
      <c r="L48" s="103"/>
      <c r="M48" s="103"/>
      <c r="N48" s="103"/>
      <c r="O48" s="103"/>
      <c r="P48" s="103"/>
      <c r="Q48" s="103"/>
      <c r="R48" s="106"/>
      <c r="S48" s="102"/>
      <c r="T48" s="106"/>
      <c r="U48" s="102"/>
      <c r="V48" s="104"/>
      <c r="W48" s="104"/>
      <c r="X48" s="106"/>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4"/>
      <c r="E49" s="104"/>
      <c r="F49" s="103"/>
      <c r="G49" s="103"/>
      <c r="H49" s="103"/>
      <c r="I49" s="103"/>
      <c r="J49" s="103"/>
      <c r="K49" s="103"/>
      <c r="L49" s="103"/>
      <c r="M49" s="103"/>
      <c r="N49" s="103"/>
      <c r="O49" s="103"/>
      <c r="P49" s="103"/>
      <c r="Q49" s="103"/>
      <c r="R49" s="106"/>
      <c r="S49" s="102"/>
      <c r="T49" s="106"/>
      <c r="U49" s="102"/>
      <c r="V49" s="104"/>
      <c r="W49" s="104"/>
      <c r="X49" s="106"/>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4"/>
      <c r="E50" s="104"/>
      <c r="F50" s="103"/>
      <c r="G50" s="103"/>
      <c r="H50" s="103"/>
      <c r="I50" s="103"/>
      <c r="J50" s="103"/>
      <c r="K50" s="103"/>
      <c r="L50" s="103"/>
      <c r="M50" s="103"/>
      <c r="N50" s="103"/>
      <c r="O50" s="103"/>
      <c r="P50" s="103"/>
      <c r="Q50" s="103"/>
      <c r="R50" s="106"/>
      <c r="S50" s="102"/>
      <c r="T50" s="106"/>
      <c r="U50" s="102"/>
      <c r="V50" s="104"/>
      <c r="W50" s="104"/>
      <c r="X50" s="106"/>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4"/>
      <c r="E51" s="104"/>
      <c r="F51" s="103"/>
      <c r="G51" s="103"/>
      <c r="H51" s="103"/>
      <c r="I51" s="103"/>
      <c r="J51" s="103"/>
      <c r="K51" s="103"/>
      <c r="L51" s="103"/>
      <c r="M51" s="103"/>
      <c r="N51" s="103"/>
      <c r="O51" s="103"/>
      <c r="P51" s="103"/>
      <c r="Q51" s="103"/>
      <c r="R51" s="106"/>
      <c r="S51" s="102"/>
      <c r="T51" s="106"/>
      <c r="U51" s="102"/>
      <c r="V51" s="104"/>
      <c r="W51" s="104"/>
      <c r="X51" s="106"/>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4"/>
      <c r="E52" s="104"/>
      <c r="F52" s="103"/>
      <c r="G52" s="103"/>
      <c r="H52" s="103"/>
      <c r="I52" s="103"/>
      <c r="J52" s="103"/>
      <c r="K52" s="103"/>
      <c r="L52" s="103"/>
      <c r="M52" s="103"/>
      <c r="N52" s="103"/>
      <c r="O52" s="103"/>
      <c r="P52" s="103"/>
      <c r="Q52" s="103"/>
      <c r="R52" s="106"/>
      <c r="S52" s="102"/>
      <c r="T52" s="106"/>
      <c r="U52" s="102"/>
      <c r="V52" s="104"/>
      <c r="W52" s="104"/>
      <c r="X52" s="106"/>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4"/>
      <c r="E53" s="104"/>
      <c r="F53" s="103"/>
      <c r="G53" s="103"/>
      <c r="H53" s="103"/>
      <c r="I53" s="103"/>
      <c r="J53" s="103"/>
      <c r="K53" s="103"/>
      <c r="L53" s="103"/>
      <c r="M53" s="103"/>
      <c r="N53" s="103"/>
      <c r="O53" s="103"/>
      <c r="P53" s="103"/>
      <c r="Q53" s="103"/>
      <c r="R53" s="106"/>
      <c r="S53" s="102"/>
      <c r="T53" s="106"/>
      <c r="U53" s="102"/>
      <c r="V53" s="104"/>
      <c r="W53" s="104"/>
      <c r="X53" s="106"/>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4"/>
      <c r="E54" s="104"/>
      <c r="F54" s="103"/>
      <c r="G54" s="103"/>
      <c r="H54" s="103"/>
      <c r="I54" s="103"/>
      <c r="J54" s="103"/>
      <c r="K54" s="103"/>
      <c r="L54" s="103"/>
      <c r="M54" s="103"/>
      <c r="N54" s="103"/>
      <c r="O54" s="103"/>
      <c r="P54" s="103"/>
      <c r="Q54" s="103"/>
      <c r="R54" s="106"/>
      <c r="S54" s="102"/>
      <c r="T54" s="106"/>
      <c r="U54" s="102"/>
      <c r="V54" s="104"/>
      <c r="W54" s="104"/>
      <c r="X54" s="106"/>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4"/>
      <c r="E55" s="104"/>
      <c r="F55" s="103"/>
      <c r="G55" s="103"/>
      <c r="H55" s="103"/>
      <c r="I55" s="103"/>
      <c r="J55" s="103"/>
      <c r="K55" s="103"/>
      <c r="L55" s="103"/>
      <c r="M55" s="103"/>
      <c r="N55" s="103"/>
      <c r="O55" s="103"/>
      <c r="P55" s="103"/>
      <c r="Q55" s="103"/>
      <c r="R55" s="106"/>
      <c r="S55" s="102"/>
      <c r="T55" s="106"/>
      <c r="U55" s="102"/>
      <c r="V55" s="104"/>
      <c r="W55" s="104"/>
      <c r="X55" s="106"/>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4"/>
      <c r="E56" s="104"/>
      <c r="F56" s="103"/>
      <c r="G56" s="103"/>
      <c r="H56" s="103"/>
      <c r="I56" s="103"/>
      <c r="J56" s="103"/>
      <c r="K56" s="103"/>
      <c r="L56" s="103"/>
      <c r="M56" s="103"/>
      <c r="N56" s="103"/>
      <c r="O56" s="103"/>
      <c r="P56" s="103"/>
      <c r="Q56" s="103"/>
      <c r="R56" s="106"/>
      <c r="S56" s="102"/>
      <c r="T56" s="106"/>
      <c r="U56" s="102"/>
      <c r="V56" s="104"/>
      <c r="W56" s="104"/>
      <c r="X56" s="106"/>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4"/>
      <c r="E57" s="104"/>
      <c r="F57" s="103"/>
      <c r="G57" s="103"/>
      <c r="H57" s="103"/>
      <c r="I57" s="103"/>
      <c r="J57" s="103"/>
      <c r="K57" s="103"/>
      <c r="L57" s="103"/>
      <c r="M57" s="103"/>
      <c r="N57" s="103"/>
      <c r="O57" s="103"/>
      <c r="P57" s="103"/>
      <c r="Q57" s="103"/>
      <c r="R57" s="106"/>
      <c r="S57" s="102"/>
      <c r="T57" s="106"/>
      <c r="U57" s="102"/>
      <c r="V57" s="104"/>
      <c r="W57" s="104"/>
      <c r="X57" s="106"/>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4"/>
      <c r="E58" s="104"/>
      <c r="F58" s="103"/>
      <c r="G58" s="103"/>
      <c r="H58" s="103"/>
      <c r="I58" s="103"/>
      <c r="J58" s="103"/>
      <c r="K58" s="103"/>
      <c r="L58" s="103"/>
      <c r="M58" s="103"/>
      <c r="N58" s="103"/>
      <c r="O58" s="103"/>
      <c r="P58" s="103"/>
      <c r="Q58" s="103"/>
      <c r="R58" s="106"/>
      <c r="S58" s="102"/>
      <c r="T58" s="106"/>
      <c r="U58" s="102"/>
      <c r="V58" s="104"/>
      <c r="W58" s="104"/>
      <c r="X58" s="106"/>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4"/>
      <c r="E59" s="104"/>
      <c r="F59" s="103"/>
      <c r="G59" s="103"/>
      <c r="H59" s="103"/>
      <c r="I59" s="103"/>
      <c r="J59" s="103"/>
      <c r="K59" s="103"/>
      <c r="L59" s="103"/>
      <c r="M59" s="103"/>
      <c r="N59" s="103"/>
      <c r="O59" s="103"/>
      <c r="P59" s="103"/>
      <c r="Q59" s="103"/>
      <c r="R59" s="106"/>
      <c r="S59" s="102"/>
      <c r="T59" s="106"/>
      <c r="U59" s="102"/>
      <c r="V59" s="104"/>
      <c r="W59" s="104"/>
      <c r="X59" s="106"/>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4"/>
      <c r="E60" s="104"/>
      <c r="F60" s="103"/>
      <c r="G60" s="103"/>
      <c r="H60" s="103"/>
      <c r="I60" s="103"/>
      <c r="J60" s="103"/>
      <c r="K60" s="103"/>
      <c r="L60" s="103"/>
      <c r="M60" s="103"/>
      <c r="N60" s="103"/>
      <c r="O60" s="103"/>
      <c r="P60" s="103"/>
      <c r="Q60" s="103"/>
      <c r="R60" s="106"/>
      <c r="S60" s="102"/>
      <c r="T60" s="106"/>
      <c r="U60" s="102"/>
      <c r="V60" s="104"/>
      <c r="W60" s="104"/>
      <c r="X60" s="106"/>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4"/>
      <c r="E61" s="104"/>
      <c r="F61" s="103"/>
      <c r="G61" s="103"/>
      <c r="H61" s="103"/>
      <c r="I61" s="103"/>
      <c r="J61" s="103"/>
      <c r="K61" s="103"/>
      <c r="L61" s="103"/>
      <c r="M61" s="103"/>
      <c r="N61" s="103"/>
      <c r="O61" s="103"/>
      <c r="P61" s="103"/>
      <c r="Q61" s="103"/>
      <c r="R61" s="106"/>
      <c r="S61" s="102"/>
      <c r="T61" s="106"/>
      <c r="U61" s="102"/>
      <c r="V61" s="104"/>
      <c r="W61" s="104"/>
      <c r="X61" s="106"/>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4"/>
      <c r="E62" s="104"/>
      <c r="F62" s="103"/>
      <c r="G62" s="103"/>
      <c r="H62" s="103"/>
      <c r="I62" s="103"/>
      <c r="J62" s="103"/>
      <c r="K62" s="103"/>
      <c r="L62" s="103"/>
      <c r="M62" s="103"/>
      <c r="N62" s="103"/>
      <c r="O62" s="103"/>
      <c r="P62" s="103"/>
      <c r="Q62" s="103"/>
      <c r="R62" s="106"/>
      <c r="S62" s="102"/>
      <c r="T62" s="106"/>
      <c r="U62" s="102"/>
      <c r="V62" s="104"/>
      <c r="W62" s="104"/>
      <c r="X62" s="106"/>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4"/>
      <c r="E63" s="104"/>
      <c r="F63" s="103"/>
      <c r="G63" s="103"/>
      <c r="H63" s="103"/>
      <c r="I63" s="103"/>
      <c r="J63" s="103"/>
      <c r="K63" s="103"/>
      <c r="L63" s="103"/>
      <c r="M63" s="103"/>
      <c r="N63" s="103"/>
      <c r="O63" s="103"/>
      <c r="P63" s="103"/>
      <c r="Q63" s="103"/>
      <c r="R63" s="106"/>
      <c r="S63" s="102"/>
      <c r="T63" s="106"/>
      <c r="U63" s="102"/>
      <c r="V63" s="104"/>
      <c r="W63" s="104"/>
      <c r="X63" s="106"/>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4"/>
      <c r="E64" s="104"/>
      <c r="F64" s="103"/>
      <c r="G64" s="103"/>
      <c r="H64" s="103"/>
      <c r="I64" s="103"/>
      <c r="J64" s="103"/>
      <c r="K64" s="103"/>
      <c r="L64" s="103"/>
      <c r="M64" s="103"/>
      <c r="N64" s="103"/>
      <c r="O64" s="103"/>
      <c r="P64" s="103"/>
      <c r="Q64" s="103"/>
      <c r="R64" s="106"/>
      <c r="S64" s="102"/>
      <c r="T64" s="106"/>
      <c r="U64" s="102"/>
      <c r="V64" s="104"/>
      <c r="W64" s="104"/>
      <c r="X64" s="106"/>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4"/>
      <c r="E65" s="104"/>
      <c r="F65" s="103"/>
      <c r="G65" s="103"/>
      <c r="H65" s="103"/>
      <c r="I65" s="103"/>
      <c r="J65" s="103"/>
      <c r="K65" s="103"/>
      <c r="L65" s="103"/>
      <c r="M65" s="103"/>
      <c r="N65" s="103"/>
      <c r="O65" s="103"/>
      <c r="P65" s="103"/>
      <c r="Q65" s="103"/>
      <c r="R65" s="106"/>
      <c r="S65" s="102"/>
      <c r="T65" s="106"/>
      <c r="U65" s="102"/>
      <c r="V65" s="104"/>
      <c r="W65" s="104"/>
      <c r="X65" s="106"/>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4"/>
      <c r="E66" s="104"/>
      <c r="F66" s="103"/>
      <c r="G66" s="103"/>
      <c r="H66" s="103"/>
      <c r="I66" s="103"/>
      <c r="J66" s="103"/>
      <c r="K66" s="103"/>
      <c r="L66" s="103"/>
      <c r="M66" s="103"/>
      <c r="N66" s="103"/>
      <c r="O66" s="103"/>
      <c r="P66" s="103"/>
      <c r="Q66" s="103"/>
      <c r="R66" s="106"/>
      <c r="S66" s="102"/>
      <c r="T66" s="106"/>
      <c r="U66" s="102"/>
      <c r="V66" s="104"/>
      <c r="W66" s="104"/>
      <c r="X66" s="106"/>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4"/>
      <c r="E67" s="104"/>
      <c r="F67" s="103"/>
      <c r="G67" s="103"/>
      <c r="H67" s="103"/>
      <c r="I67" s="103"/>
      <c r="J67" s="103"/>
      <c r="K67" s="103"/>
      <c r="L67" s="103"/>
      <c r="M67" s="103"/>
      <c r="N67" s="103"/>
      <c r="O67" s="103"/>
      <c r="P67" s="103"/>
      <c r="Q67" s="103"/>
      <c r="R67" s="106"/>
      <c r="S67" s="102"/>
      <c r="T67" s="106"/>
      <c r="U67" s="102"/>
      <c r="V67" s="104"/>
      <c r="W67" s="104"/>
      <c r="X67" s="106"/>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4"/>
      <c r="E68" s="104"/>
      <c r="F68" s="103"/>
      <c r="G68" s="103"/>
      <c r="H68" s="103"/>
      <c r="I68" s="103"/>
      <c r="J68" s="103"/>
      <c r="K68" s="103"/>
      <c r="L68" s="103"/>
      <c r="M68" s="103"/>
      <c r="N68" s="103"/>
      <c r="O68" s="103"/>
      <c r="P68" s="103"/>
      <c r="Q68" s="103"/>
      <c r="R68" s="106"/>
      <c r="S68" s="102"/>
      <c r="T68" s="106"/>
      <c r="U68" s="102"/>
      <c r="V68" s="104"/>
      <c r="W68" s="104"/>
      <c r="X68" s="106"/>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4"/>
      <c r="E69" s="104"/>
      <c r="F69" s="103"/>
      <c r="G69" s="103"/>
      <c r="H69" s="103"/>
      <c r="I69" s="103"/>
      <c r="J69" s="103"/>
      <c r="K69" s="103"/>
      <c r="L69" s="103"/>
      <c r="M69" s="103"/>
      <c r="N69" s="103"/>
      <c r="O69" s="103"/>
      <c r="P69" s="103"/>
      <c r="Q69" s="103"/>
      <c r="R69" s="106"/>
      <c r="S69" s="102"/>
      <c r="T69" s="106"/>
      <c r="U69" s="102"/>
      <c r="V69" s="104"/>
      <c r="W69" s="104"/>
      <c r="X69" s="106"/>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4"/>
      <c r="E70" s="104"/>
      <c r="F70" s="103"/>
      <c r="G70" s="103"/>
      <c r="H70" s="103"/>
      <c r="I70" s="103"/>
      <c r="J70" s="103"/>
      <c r="K70" s="103"/>
      <c r="L70" s="103"/>
      <c r="M70" s="103"/>
      <c r="N70" s="103"/>
      <c r="O70" s="103"/>
      <c r="P70" s="103"/>
      <c r="Q70" s="103"/>
      <c r="R70" s="106"/>
      <c r="S70" s="102"/>
      <c r="T70" s="106"/>
      <c r="U70" s="102"/>
      <c r="V70" s="104"/>
      <c r="W70" s="104"/>
      <c r="X70" s="106"/>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4"/>
      <c r="E71" s="104"/>
      <c r="F71" s="103"/>
      <c r="G71" s="103"/>
      <c r="H71" s="103"/>
      <c r="I71" s="103"/>
      <c r="J71" s="103"/>
      <c r="K71" s="103"/>
      <c r="L71" s="103"/>
      <c r="M71" s="103"/>
      <c r="N71" s="103"/>
      <c r="O71" s="103"/>
      <c r="P71" s="103"/>
      <c r="Q71" s="103"/>
      <c r="R71" s="106"/>
      <c r="S71" s="102"/>
      <c r="T71" s="106"/>
      <c r="U71" s="102"/>
      <c r="V71" s="104"/>
      <c r="W71" s="104"/>
      <c r="X71" s="106"/>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4"/>
      <c r="E72" s="104"/>
      <c r="F72" s="103"/>
      <c r="G72" s="103"/>
      <c r="H72" s="103"/>
      <c r="I72" s="103"/>
      <c r="J72" s="103"/>
      <c r="K72" s="103"/>
      <c r="L72" s="103"/>
      <c r="M72" s="103"/>
      <c r="N72" s="103"/>
      <c r="O72" s="103"/>
      <c r="P72" s="103"/>
      <c r="Q72" s="103"/>
      <c r="R72" s="106"/>
      <c r="S72" s="102"/>
      <c r="T72" s="106"/>
      <c r="U72" s="102"/>
      <c r="V72" s="104"/>
      <c r="W72" s="104"/>
      <c r="X72" s="106"/>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4"/>
      <c r="E73" s="104"/>
      <c r="F73" s="103"/>
      <c r="G73" s="103"/>
      <c r="H73" s="103"/>
      <c r="I73" s="103"/>
      <c r="J73" s="103"/>
      <c r="K73" s="103"/>
      <c r="L73" s="103"/>
      <c r="M73" s="103"/>
      <c r="N73" s="103"/>
      <c r="O73" s="103"/>
      <c r="P73" s="103"/>
      <c r="Q73" s="103"/>
      <c r="R73" s="106"/>
      <c r="S73" s="102"/>
      <c r="T73" s="106"/>
      <c r="U73" s="102"/>
      <c r="V73" s="104"/>
      <c r="W73" s="104"/>
      <c r="X73" s="106"/>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4"/>
      <c r="E74" s="104"/>
      <c r="F74" s="103"/>
      <c r="G74" s="103"/>
      <c r="H74" s="103"/>
      <c r="I74" s="103"/>
      <c r="J74" s="103"/>
      <c r="K74" s="103"/>
      <c r="L74" s="103"/>
      <c r="M74" s="103"/>
      <c r="N74" s="103"/>
      <c r="O74" s="103"/>
      <c r="P74" s="103"/>
      <c r="Q74" s="103"/>
      <c r="R74" s="106"/>
      <c r="S74" s="102"/>
      <c r="T74" s="106"/>
      <c r="U74" s="102"/>
      <c r="V74" s="104"/>
      <c r="W74" s="104"/>
      <c r="X74" s="106"/>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4"/>
      <c r="E75" s="104"/>
      <c r="F75" s="103"/>
      <c r="G75" s="103"/>
      <c r="H75" s="103"/>
      <c r="I75" s="103"/>
      <c r="J75" s="103"/>
      <c r="K75" s="103"/>
      <c r="L75" s="103"/>
      <c r="M75" s="103"/>
      <c r="N75" s="103"/>
      <c r="O75" s="103"/>
      <c r="P75" s="103"/>
      <c r="Q75" s="103"/>
      <c r="R75" s="106"/>
      <c r="S75" s="102"/>
      <c r="T75" s="106"/>
      <c r="U75" s="102"/>
      <c r="V75" s="104"/>
      <c r="W75" s="104"/>
      <c r="X75" s="106"/>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4"/>
      <c r="E76" s="104"/>
      <c r="F76" s="103"/>
      <c r="G76" s="103"/>
      <c r="H76" s="103"/>
      <c r="I76" s="103"/>
      <c r="J76" s="103"/>
      <c r="K76" s="103"/>
      <c r="L76" s="103"/>
      <c r="M76" s="103"/>
      <c r="N76" s="103"/>
      <c r="O76" s="103"/>
      <c r="P76" s="103"/>
      <c r="Q76" s="103"/>
      <c r="R76" s="106"/>
      <c r="S76" s="102"/>
      <c r="T76" s="106"/>
      <c r="U76" s="102"/>
      <c r="V76" s="104"/>
      <c r="W76" s="104"/>
      <c r="X76" s="106"/>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4"/>
      <c r="E77" s="104"/>
      <c r="F77" s="103"/>
      <c r="G77" s="103"/>
      <c r="H77" s="103"/>
      <c r="I77" s="103"/>
      <c r="J77" s="103"/>
      <c r="K77" s="103"/>
      <c r="L77" s="103"/>
      <c r="M77" s="103"/>
      <c r="N77" s="103"/>
      <c r="O77" s="103"/>
      <c r="P77" s="103"/>
      <c r="Q77" s="103"/>
      <c r="R77" s="106"/>
      <c r="S77" s="102"/>
      <c r="T77" s="106"/>
      <c r="U77" s="102"/>
      <c r="V77" s="104"/>
      <c r="W77" s="104"/>
      <c r="X77" s="106"/>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4"/>
      <c r="E78" s="104"/>
      <c r="F78" s="103"/>
      <c r="G78" s="103"/>
      <c r="H78" s="103"/>
      <c r="I78" s="103"/>
      <c r="J78" s="103"/>
      <c r="K78" s="103"/>
      <c r="L78" s="103"/>
      <c r="M78" s="103"/>
      <c r="N78" s="103"/>
      <c r="O78" s="103"/>
      <c r="P78" s="103"/>
      <c r="Q78" s="103"/>
      <c r="R78" s="106"/>
      <c r="S78" s="102"/>
      <c r="T78" s="106"/>
      <c r="U78" s="102"/>
      <c r="V78" s="104"/>
      <c r="W78" s="104"/>
      <c r="X78" s="106"/>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4"/>
      <c r="E79" s="104"/>
      <c r="F79" s="103"/>
      <c r="G79" s="103"/>
      <c r="H79" s="103"/>
      <c r="I79" s="103"/>
      <c r="J79" s="103"/>
      <c r="K79" s="103"/>
      <c r="L79" s="103"/>
      <c r="M79" s="103"/>
      <c r="N79" s="103"/>
      <c r="O79" s="103"/>
      <c r="P79" s="103"/>
      <c r="Q79" s="103"/>
      <c r="R79" s="106"/>
      <c r="S79" s="102"/>
      <c r="T79" s="106"/>
      <c r="U79" s="102"/>
      <c r="V79" s="104"/>
      <c r="W79" s="104"/>
      <c r="X79" s="106"/>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4"/>
      <c r="E80" s="104"/>
      <c r="F80" s="103"/>
      <c r="G80" s="103"/>
      <c r="H80" s="103"/>
      <c r="I80" s="103"/>
      <c r="J80" s="103"/>
      <c r="K80" s="103"/>
      <c r="L80" s="103"/>
      <c r="M80" s="103"/>
      <c r="N80" s="103"/>
      <c r="O80" s="103"/>
      <c r="P80" s="103"/>
      <c r="Q80" s="103"/>
      <c r="R80" s="106"/>
      <c r="S80" s="102"/>
      <c r="T80" s="106"/>
      <c r="U80" s="102"/>
      <c r="V80" s="104"/>
      <c r="W80" s="104"/>
      <c r="X80" s="106"/>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4"/>
      <c r="E81" s="104"/>
      <c r="F81" s="103"/>
      <c r="G81" s="103"/>
      <c r="H81" s="103"/>
      <c r="I81" s="103"/>
      <c r="J81" s="103"/>
      <c r="K81" s="103"/>
      <c r="L81" s="103"/>
      <c r="M81" s="103"/>
      <c r="N81" s="103"/>
      <c r="O81" s="103"/>
      <c r="P81" s="103"/>
      <c r="Q81" s="103"/>
      <c r="R81" s="106"/>
      <c r="S81" s="102"/>
      <c r="T81" s="106"/>
      <c r="U81" s="102"/>
      <c r="V81" s="104"/>
      <c r="W81" s="104"/>
      <c r="X81" s="106"/>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4"/>
      <c r="E82" s="104"/>
      <c r="F82" s="103"/>
      <c r="G82" s="103"/>
      <c r="H82" s="103"/>
      <c r="I82" s="103"/>
      <c r="J82" s="103"/>
      <c r="K82" s="103"/>
      <c r="L82" s="103"/>
      <c r="M82" s="103"/>
      <c r="N82" s="103"/>
      <c r="O82" s="103"/>
      <c r="P82" s="103"/>
      <c r="Q82" s="103"/>
      <c r="R82" s="106"/>
      <c r="S82" s="102"/>
      <c r="T82" s="106"/>
      <c r="U82" s="102"/>
      <c r="V82" s="104"/>
      <c r="W82" s="104"/>
      <c r="X82" s="106"/>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4"/>
      <c r="E83" s="104"/>
      <c r="F83" s="103"/>
      <c r="G83" s="103"/>
      <c r="H83" s="103"/>
      <c r="I83" s="103"/>
      <c r="J83" s="103"/>
      <c r="K83" s="103"/>
      <c r="L83" s="103"/>
      <c r="M83" s="103"/>
      <c r="N83" s="103"/>
      <c r="O83" s="103"/>
      <c r="P83" s="103"/>
      <c r="Q83" s="103"/>
      <c r="R83" s="106"/>
      <c r="S83" s="102"/>
      <c r="T83" s="106"/>
      <c r="U83" s="102"/>
      <c r="V83" s="104"/>
      <c r="W83" s="104"/>
      <c r="X83" s="106"/>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4"/>
      <c r="E84" s="104"/>
      <c r="F84" s="103"/>
      <c r="G84" s="103"/>
      <c r="H84" s="103"/>
      <c r="I84" s="103"/>
      <c r="J84" s="103"/>
      <c r="K84" s="103"/>
      <c r="L84" s="103"/>
      <c r="M84" s="103"/>
      <c r="N84" s="103"/>
      <c r="O84" s="103"/>
      <c r="P84" s="103"/>
      <c r="Q84" s="103"/>
      <c r="R84" s="106"/>
      <c r="S84" s="102"/>
      <c r="T84" s="106"/>
      <c r="U84" s="102"/>
      <c r="V84" s="104"/>
      <c r="W84" s="104"/>
      <c r="X84" s="106"/>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4"/>
      <c r="E85" s="104"/>
      <c r="F85" s="103"/>
      <c r="G85" s="103"/>
      <c r="H85" s="103"/>
      <c r="I85" s="103"/>
      <c r="J85" s="103"/>
      <c r="K85" s="103"/>
      <c r="L85" s="103"/>
      <c r="M85" s="103"/>
      <c r="N85" s="103"/>
      <c r="O85" s="103"/>
      <c r="P85" s="103"/>
      <c r="Q85" s="103"/>
      <c r="R85" s="106"/>
      <c r="S85" s="102"/>
      <c r="T85" s="106"/>
      <c r="U85" s="102"/>
      <c r="V85" s="104"/>
      <c r="W85" s="104"/>
      <c r="X85" s="106"/>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4"/>
      <c r="E86" s="104"/>
      <c r="F86" s="103"/>
      <c r="G86" s="103"/>
      <c r="H86" s="103"/>
      <c r="I86" s="103"/>
      <c r="J86" s="103"/>
      <c r="K86" s="103"/>
      <c r="L86" s="103"/>
      <c r="M86" s="103"/>
      <c r="N86" s="103"/>
      <c r="O86" s="103"/>
      <c r="P86" s="103"/>
      <c r="Q86" s="103"/>
      <c r="R86" s="106"/>
      <c r="S86" s="102"/>
      <c r="T86" s="106"/>
      <c r="U86" s="102"/>
      <c r="V86" s="104"/>
      <c r="W86" s="104"/>
      <c r="X86" s="106"/>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4"/>
      <c r="E87" s="104"/>
      <c r="F87" s="103"/>
      <c r="G87" s="103"/>
      <c r="H87" s="103"/>
      <c r="I87" s="103"/>
      <c r="J87" s="103"/>
      <c r="K87" s="103"/>
      <c r="L87" s="103"/>
      <c r="M87" s="103"/>
      <c r="N87" s="103"/>
      <c r="O87" s="103"/>
      <c r="P87" s="103"/>
      <c r="Q87" s="103"/>
      <c r="R87" s="106"/>
      <c r="S87" s="102"/>
      <c r="T87" s="106"/>
      <c r="U87" s="102"/>
      <c r="V87" s="104"/>
      <c r="W87" s="104"/>
      <c r="X87" s="106"/>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4"/>
      <c r="E88" s="104"/>
      <c r="F88" s="103"/>
      <c r="G88" s="103"/>
      <c r="H88" s="103"/>
      <c r="I88" s="103"/>
      <c r="J88" s="103"/>
      <c r="K88" s="103"/>
      <c r="L88" s="103"/>
      <c r="M88" s="103"/>
      <c r="N88" s="103"/>
      <c r="O88" s="103"/>
      <c r="P88" s="103"/>
      <c r="Q88" s="103"/>
      <c r="R88" s="106"/>
      <c r="S88" s="102"/>
      <c r="T88" s="106"/>
      <c r="U88" s="102"/>
      <c r="V88" s="104"/>
      <c r="W88" s="104"/>
      <c r="X88" s="106"/>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4"/>
      <c r="E89" s="104"/>
      <c r="F89" s="103"/>
      <c r="G89" s="103"/>
      <c r="H89" s="103"/>
      <c r="I89" s="103"/>
      <c r="J89" s="103"/>
      <c r="K89" s="103"/>
      <c r="L89" s="103"/>
      <c r="M89" s="103"/>
      <c r="N89" s="103"/>
      <c r="O89" s="103"/>
      <c r="P89" s="103"/>
      <c r="Q89" s="103"/>
      <c r="R89" s="106"/>
      <c r="S89" s="102"/>
      <c r="T89" s="106"/>
      <c r="U89" s="102"/>
      <c r="V89" s="104"/>
      <c r="W89" s="104"/>
      <c r="X89" s="106"/>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4"/>
      <c r="E90" s="104"/>
      <c r="F90" s="103"/>
      <c r="G90" s="103"/>
      <c r="H90" s="103"/>
      <c r="I90" s="103"/>
      <c r="J90" s="103"/>
      <c r="K90" s="103"/>
      <c r="L90" s="103"/>
      <c r="M90" s="103"/>
      <c r="N90" s="103"/>
      <c r="O90" s="103"/>
      <c r="P90" s="103"/>
      <c r="Q90" s="103"/>
      <c r="R90" s="106"/>
      <c r="S90" s="102"/>
      <c r="T90" s="106"/>
      <c r="U90" s="102"/>
      <c r="V90" s="104"/>
      <c r="W90" s="104"/>
      <c r="X90" s="106"/>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4"/>
      <c r="E91" s="104"/>
      <c r="F91" s="103"/>
      <c r="G91" s="103"/>
      <c r="H91" s="103"/>
      <c r="I91" s="103"/>
      <c r="J91" s="103"/>
      <c r="K91" s="103"/>
      <c r="L91" s="103"/>
      <c r="M91" s="103"/>
      <c r="N91" s="103"/>
      <c r="O91" s="103"/>
      <c r="P91" s="103"/>
      <c r="Q91" s="103"/>
      <c r="R91" s="106"/>
      <c r="S91" s="102"/>
      <c r="T91" s="106"/>
      <c r="U91" s="102"/>
      <c r="V91" s="104"/>
      <c r="W91" s="104"/>
      <c r="X91" s="106"/>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4"/>
      <c r="E92" s="104"/>
      <c r="F92" s="103"/>
      <c r="G92" s="103"/>
      <c r="H92" s="103"/>
      <c r="I92" s="103"/>
      <c r="J92" s="103"/>
      <c r="K92" s="103"/>
      <c r="L92" s="103"/>
      <c r="M92" s="103"/>
      <c r="N92" s="103"/>
      <c r="O92" s="103"/>
      <c r="P92" s="103"/>
      <c r="Q92" s="103"/>
      <c r="R92" s="106"/>
      <c r="S92" s="102"/>
      <c r="T92" s="106"/>
      <c r="U92" s="102"/>
      <c r="V92" s="104"/>
      <c r="W92" s="104"/>
      <c r="X92" s="106"/>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4"/>
      <c r="E93" s="104"/>
      <c r="F93" s="103"/>
      <c r="G93" s="103"/>
      <c r="H93" s="103"/>
      <c r="I93" s="103"/>
      <c r="J93" s="103"/>
      <c r="K93" s="103"/>
      <c r="L93" s="103"/>
      <c r="M93" s="103"/>
      <c r="N93" s="103"/>
      <c r="O93" s="103"/>
      <c r="P93" s="103"/>
      <c r="Q93" s="103"/>
      <c r="R93" s="106"/>
      <c r="S93" s="102"/>
      <c r="T93" s="106"/>
      <c r="U93" s="102"/>
      <c r="V93" s="104"/>
      <c r="W93" s="104"/>
      <c r="X93" s="106"/>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4"/>
      <c r="E94" s="104"/>
      <c r="F94" s="103"/>
      <c r="G94" s="103"/>
      <c r="H94" s="103"/>
      <c r="I94" s="103"/>
      <c r="J94" s="103"/>
      <c r="K94" s="103"/>
      <c r="L94" s="103"/>
      <c r="M94" s="103"/>
      <c r="N94" s="103"/>
      <c r="O94" s="103"/>
      <c r="P94" s="103"/>
      <c r="Q94" s="103"/>
      <c r="R94" s="106"/>
      <c r="S94" s="102"/>
      <c r="T94" s="106"/>
      <c r="U94" s="102"/>
      <c r="V94" s="104"/>
      <c r="W94" s="104"/>
      <c r="X94" s="106"/>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4"/>
      <c r="E95" s="104"/>
      <c r="F95" s="103"/>
      <c r="G95" s="103"/>
      <c r="H95" s="103"/>
      <c r="I95" s="103"/>
      <c r="J95" s="103"/>
      <c r="K95" s="103"/>
      <c r="L95" s="103"/>
      <c r="M95" s="103"/>
      <c r="N95" s="103"/>
      <c r="O95" s="103"/>
      <c r="P95" s="103"/>
      <c r="Q95" s="103"/>
      <c r="R95" s="106"/>
      <c r="S95" s="102"/>
      <c r="T95" s="106"/>
      <c r="U95" s="102"/>
      <c r="V95" s="104"/>
      <c r="W95" s="104"/>
      <c r="X95" s="106"/>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4"/>
      <c r="E96" s="104"/>
      <c r="F96" s="103"/>
      <c r="G96" s="103"/>
      <c r="H96" s="103"/>
      <c r="I96" s="103"/>
      <c r="J96" s="103"/>
      <c r="K96" s="103"/>
      <c r="L96" s="103"/>
      <c r="M96" s="103"/>
      <c r="N96" s="103"/>
      <c r="O96" s="103"/>
      <c r="P96" s="103"/>
      <c r="Q96" s="103"/>
      <c r="R96" s="106"/>
      <c r="S96" s="102"/>
      <c r="T96" s="106"/>
      <c r="U96" s="102"/>
      <c r="V96" s="104"/>
      <c r="W96" s="104"/>
      <c r="X96" s="106"/>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4"/>
      <c r="E97" s="104"/>
      <c r="F97" s="103"/>
      <c r="G97" s="103"/>
      <c r="H97" s="103"/>
      <c r="I97" s="103"/>
      <c r="J97" s="103"/>
      <c r="K97" s="103"/>
      <c r="L97" s="103"/>
      <c r="M97" s="103"/>
      <c r="N97" s="103"/>
      <c r="O97" s="103"/>
      <c r="P97" s="103"/>
      <c r="Q97" s="103"/>
      <c r="R97" s="106"/>
      <c r="S97" s="102"/>
      <c r="T97" s="106"/>
      <c r="U97" s="102"/>
      <c r="V97" s="104"/>
      <c r="W97" s="104"/>
      <c r="X97" s="106"/>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4"/>
      <c r="E98" s="104"/>
      <c r="F98" s="103"/>
      <c r="G98" s="103"/>
      <c r="H98" s="103"/>
      <c r="I98" s="103"/>
      <c r="J98" s="103"/>
      <c r="K98" s="103"/>
      <c r="L98" s="103"/>
      <c r="M98" s="103"/>
      <c r="N98" s="103"/>
      <c r="O98" s="103"/>
      <c r="P98" s="103"/>
      <c r="Q98" s="103"/>
      <c r="R98" s="106"/>
      <c r="S98" s="102"/>
      <c r="T98" s="106"/>
      <c r="U98" s="102"/>
      <c r="V98" s="104"/>
      <c r="W98" s="104"/>
      <c r="X98" s="106"/>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4"/>
      <c r="E99" s="104"/>
      <c r="F99" s="103"/>
      <c r="G99" s="103"/>
      <c r="H99" s="103"/>
      <c r="I99" s="103"/>
      <c r="J99" s="103"/>
      <c r="K99" s="103"/>
      <c r="L99" s="103"/>
      <c r="M99" s="103"/>
      <c r="N99" s="103"/>
      <c r="O99" s="103"/>
      <c r="P99" s="103"/>
      <c r="Q99" s="103"/>
      <c r="R99" s="106"/>
      <c r="S99" s="102"/>
      <c r="T99" s="106"/>
      <c r="U99" s="102"/>
      <c r="V99" s="104"/>
      <c r="W99" s="104"/>
      <c r="X99" s="106"/>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4"/>
      <c r="E100" s="104"/>
      <c r="F100" s="103"/>
      <c r="G100" s="103"/>
      <c r="H100" s="103"/>
      <c r="I100" s="103"/>
      <c r="J100" s="103"/>
      <c r="K100" s="103"/>
      <c r="L100" s="103"/>
      <c r="M100" s="103"/>
      <c r="N100" s="103"/>
      <c r="O100" s="103"/>
      <c r="P100" s="103"/>
      <c r="Q100" s="103"/>
      <c r="R100" s="106"/>
      <c r="S100" s="102"/>
      <c r="T100" s="106"/>
      <c r="U100" s="102"/>
      <c r="V100" s="104"/>
      <c r="W100" s="104"/>
      <c r="X100" s="106"/>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4"/>
      <c r="E101" s="104"/>
      <c r="F101" s="103"/>
      <c r="G101" s="103"/>
      <c r="H101" s="103"/>
      <c r="I101" s="103"/>
      <c r="J101" s="103"/>
      <c r="K101" s="103"/>
      <c r="L101" s="103"/>
      <c r="M101" s="103"/>
      <c r="N101" s="103"/>
      <c r="O101" s="103"/>
      <c r="P101" s="103"/>
      <c r="Q101" s="103"/>
      <c r="R101" s="106"/>
      <c r="S101" s="102"/>
      <c r="T101" s="106"/>
      <c r="U101" s="102"/>
      <c r="V101" s="104"/>
      <c r="W101" s="104"/>
      <c r="X101" s="106"/>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4"/>
      <c r="E102" s="104"/>
      <c r="F102" s="103"/>
      <c r="G102" s="103"/>
      <c r="H102" s="103"/>
      <c r="I102" s="103"/>
      <c r="J102" s="103"/>
      <c r="K102" s="103"/>
      <c r="L102" s="103"/>
      <c r="M102" s="103"/>
      <c r="N102" s="103"/>
      <c r="O102" s="103"/>
      <c r="P102" s="103"/>
      <c r="Q102" s="103"/>
      <c r="R102" s="106"/>
      <c r="S102" s="102"/>
      <c r="T102" s="106"/>
      <c r="U102" s="102"/>
      <c r="V102" s="104"/>
      <c r="W102" s="104"/>
      <c r="X102" s="106"/>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4"/>
      <c r="E103" s="104"/>
      <c r="F103" s="103"/>
      <c r="G103" s="103"/>
      <c r="H103" s="103"/>
      <c r="I103" s="103"/>
      <c r="J103" s="103"/>
      <c r="K103" s="103"/>
      <c r="L103" s="103"/>
      <c r="M103" s="103"/>
      <c r="N103" s="103"/>
      <c r="O103" s="103"/>
      <c r="P103" s="103"/>
      <c r="Q103" s="103"/>
      <c r="R103" s="106"/>
      <c r="S103" s="102"/>
      <c r="T103" s="106"/>
      <c r="U103" s="102"/>
      <c r="V103" s="104"/>
      <c r="W103" s="104"/>
      <c r="X103" s="106"/>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4"/>
      <c r="E104" s="104"/>
      <c r="F104" s="103"/>
      <c r="G104" s="103"/>
      <c r="H104" s="103"/>
      <c r="I104" s="103"/>
      <c r="J104" s="103"/>
      <c r="K104" s="103"/>
      <c r="L104" s="103"/>
      <c r="M104" s="103"/>
      <c r="N104" s="103"/>
      <c r="O104" s="103"/>
      <c r="P104" s="103"/>
      <c r="Q104" s="103"/>
      <c r="R104" s="106"/>
      <c r="S104" s="102"/>
      <c r="T104" s="106"/>
      <c r="U104" s="102"/>
      <c r="V104" s="104"/>
      <c r="W104" s="104"/>
      <c r="X104" s="106"/>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4"/>
      <c r="E105" s="104"/>
      <c r="F105" s="103"/>
      <c r="G105" s="103"/>
      <c r="H105" s="103"/>
      <c r="I105" s="103"/>
      <c r="J105" s="103"/>
      <c r="K105" s="103"/>
      <c r="L105" s="103"/>
      <c r="M105" s="103"/>
      <c r="N105" s="103"/>
      <c r="O105" s="103"/>
      <c r="P105" s="103"/>
      <c r="Q105" s="103"/>
      <c r="R105" s="106"/>
      <c r="S105" s="102"/>
      <c r="T105" s="106"/>
      <c r="U105" s="102"/>
      <c r="V105" s="104"/>
      <c r="W105" s="104"/>
      <c r="X105" s="106"/>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4"/>
      <c r="E106" s="104"/>
      <c r="F106" s="103"/>
      <c r="G106" s="103"/>
      <c r="H106" s="103"/>
      <c r="I106" s="103"/>
      <c r="J106" s="103"/>
      <c r="K106" s="103"/>
      <c r="L106" s="103"/>
      <c r="M106" s="103"/>
      <c r="N106" s="103"/>
      <c r="O106" s="103"/>
      <c r="P106" s="103"/>
      <c r="Q106" s="103"/>
      <c r="R106" s="106"/>
      <c r="S106" s="102"/>
      <c r="T106" s="106"/>
      <c r="U106" s="102"/>
      <c r="V106" s="104"/>
      <c r="W106" s="104"/>
      <c r="X106" s="106"/>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4"/>
      <c r="E107" s="104"/>
      <c r="F107" s="103"/>
      <c r="G107" s="103"/>
      <c r="H107" s="103"/>
      <c r="I107" s="103"/>
      <c r="J107" s="103"/>
      <c r="K107" s="103"/>
      <c r="L107" s="103"/>
      <c r="M107" s="103"/>
      <c r="N107" s="103"/>
      <c r="O107" s="103"/>
      <c r="P107" s="103"/>
      <c r="Q107" s="103"/>
      <c r="R107" s="106"/>
      <c r="S107" s="102"/>
      <c r="T107" s="106"/>
      <c r="U107" s="102"/>
      <c r="V107" s="104"/>
      <c r="W107" s="104"/>
      <c r="X107" s="106"/>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4"/>
      <c r="E108" s="104"/>
      <c r="F108" s="103"/>
      <c r="G108" s="103"/>
      <c r="H108" s="103"/>
      <c r="I108" s="103"/>
      <c r="J108" s="103"/>
      <c r="K108" s="103"/>
      <c r="L108" s="103"/>
      <c r="M108" s="103"/>
      <c r="N108" s="103"/>
      <c r="O108" s="103"/>
      <c r="P108" s="103"/>
      <c r="Q108" s="103"/>
      <c r="R108" s="106"/>
      <c r="S108" s="102"/>
      <c r="T108" s="106"/>
      <c r="U108" s="102"/>
      <c r="V108" s="104"/>
      <c r="W108" s="104"/>
      <c r="X108" s="106"/>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4"/>
      <c r="E109" s="104"/>
      <c r="F109" s="103"/>
      <c r="G109" s="103"/>
      <c r="H109" s="103"/>
      <c r="I109" s="103"/>
      <c r="J109" s="103"/>
      <c r="K109" s="103"/>
      <c r="L109" s="103"/>
      <c r="M109" s="103"/>
      <c r="N109" s="103"/>
      <c r="O109" s="103"/>
      <c r="P109" s="103"/>
      <c r="Q109" s="103"/>
      <c r="R109" s="106"/>
      <c r="S109" s="102"/>
      <c r="T109" s="106"/>
      <c r="U109" s="102"/>
      <c r="V109" s="104"/>
      <c r="W109" s="104"/>
      <c r="X109" s="106"/>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4"/>
      <c r="E110" s="104"/>
      <c r="F110" s="103"/>
      <c r="G110" s="103"/>
      <c r="H110" s="103"/>
      <c r="I110" s="103"/>
      <c r="J110" s="103"/>
      <c r="K110" s="103"/>
      <c r="L110" s="103"/>
      <c r="M110" s="103"/>
      <c r="N110" s="103"/>
      <c r="O110" s="103"/>
      <c r="P110" s="103"/>
      <c r="Q110" s="103"/>
      <c r="R110" s="106"/>
      <c r="S110" s="102"/>
      <c r="T110" s="106"/>
      <c r="U110" s="102"/>
      <c r="V110" s="104"/>
      <c r="W110" s="104"/>
      <c r="X110" s="106"/>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4"/>
      <c r="E111" s="104"/>
      <c r="F111" s="103"/>
      <c r="G111" s="103"/>
      <c r="H111" s="103"/>
      <c r="I111" s="103"/>
      <c r="J111" s="103"/>
      <c r="K111" s="103"/>
      <c r="L111" s="103"/>
      <c r="M111" s="103"/>
      <c r="N111" s="103"/>
      <c r="O111" s="103"/>
      <c r="P111" s="103"/>
      <c r="Q111" s="103"/>
      <c r="R111" s="106"/>
      <c r="S111" s="102"/>
      <c r="T111" s="106"/>
      <c r="U111" s="102"/>
      <c r="V111" s="104"/>
      <c r="W111" s="104"/>
      <c r="X111" s="106"/>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4"/>
      <c r="E112" s="104"/>
      <c r="F112" s="103"/>
      <c r="G112" s="103"/>
      <c r="H112" s="103"/>
      <c r="I112" s="103"/>
      <c r="J112" s="103"/>
      <c r="K112" s="103"/>
      <c r="L112" s="103"/>
      <c r="M112" s="103"/>
      <c r="N112" s="103"/>
      <c r="O112" s="103"/>
      <c r="P112" s="103"/>
      <c r="Q112" s="103"/>
      <c r="R112" s="106"/>
      <c r="S112" s="102"/>
      <c r="T112" s="106"/>
      <c r="U112" s="102"/>
      <c r="V112" s="104"/>
      <c r="W112" s="104"/>
      <c r="X112" s="106"/>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4"/>
      <c r="E113" s="104"/>
      <c r="F113" s="103"/>
      <c r="G113" s="103"/>
      <c r="H113" s="103"/>
      <c r="I113" s="103"/>
      <c r="J113" s="103"/>
      <c r="K113" s="103"/>
      <c r="L113" s="103"/>
      <c r="M113" s="103"/>
      <c r="N113" s="103"/>
      <c r="O113" s="103"/>
      <c r="P113" s="103"/>
      <c r="Q113" s="103"/>
      <c r="R113" s="106"/>
      <c r="S113" s="102"/>
      <c r="T113" s="106"/>
      <c r="U113" s="102"/>
      <c r="V113" s="104"/>
      <c r="W113" s="104"/>
      <c r="X113" s="106"/>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4"/>
      <c r="E114" s="104"/>
      <c r="F114" s="103"/>
      <c r="G114" s="103"/>
      <c r="H114" s="103"/>
      <c r="I114" s="103"/>
      <c r="J114" s="103"/>
      <c r="K114" s="103"/>
      <c r="L114" s="103"/>
      <c r="M114" s="103"/>
      <c r="N114" s="103"/>
      <c r="O114" s="103"/>
      <c r="P114" s="103"/>
      <c r="Q114" s="103"/>
      <c r="R114" s="106"/>
      <c r="S114" s="102"/>
      <c r="T114" s="106"/>
      <c r="U114" s="102"/>
      <c r="V114" s="104"/>
      <c r="W114" s="104"/>
      <c r="X114" s="106"/>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4"/>
      <c r="E115" s="104"/>
      <c r="F115" s="103"/>
      <c r="G115" s="103"/>
      <c r="H115" s="103"/>
      <c r="I115" s="103"/>
      <c r="J115" s="103"/>
      <c r="K115" s="103"/>
      <c r="L115" s="103"/>
      <c r="M115" s="103"/>
      <c r="N115" s="103"/>
      <c r="O115" s="103"/>
      <c r="P115" s="103"/>
      <c r="Q115" s="103"/>
      <c r="R115" s="106"/>
      <c r="S115" s="102"/>
      <c r="T115" s="106"/>
      <c r="U115" s="102"/>
      <c r="V115" s="104"/>
      <c r="W115" s="104"/>
      <c r="X115" s="106"/>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4"/>
      <c r="E116" s="104"/>
      <c r="F116" s="103"/>
      <c r="G116" s="103"/>
      <c r="H116" s="103"/>
      <c r="I116" s="103"/>
      <c r="J116" s="103"/>
      <c r="K116" s="103"/>
      <c r="L116" s="103"/>
      <c r="M116" s="103"/>
      <c r="N116" s="103"/>
      <c r="O116" s="103"/>
      <c r="P116" s="103"/>
      <c r="Q116" s="103"/>
      <c r="R116" s="106"/>
      <c r="S116" s="102"/>
      <c r="T116" s="106"/>
      <c r="U116" s="102"/>
      <c r="V116" s="104"/>
      <c r="W116" s="104"/>
      <c r="X116" s="106"/>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4"/>
      <c r="E117" s="104"/>
      <c r="F117" s="103"/>
      <c r="G117" s="103"/>
      <c r="H117" s="103"/>
      <c r="I117" s="103"/>
      <c r="J117" s="103"/>
      <c r="K117" s="103"/>
      <c r="L117" s="103"/>
      <c r="M117" s="103"/>
      <c r="N117" s="103"/>
      <c r="O117" s="103"/>
      <c r="P117" s="103"/>
      <c r="Q117" s="103"/>
      <c r="R117" s="106"/>
      <c r="S117" s="102"/>
      <c r="T117" s="106"/>
      <c r="U117" s="102"/>
      <c r="V117" s="104"/>
      <c r="W117" s="104"/>
      <c r="X117" s="106"/>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4"/>
      <c r="E118" s="104"/>
      <c r="F118" s="103"/>
      <c r="G118" s="103"/>
      <c r="H118" s="103"/>
      <c r="I118" s="103"/>
      <c r="J118" s="103"/>
      <c r="K118" s="103"/>
      <c r="L118" s="103"/>
      <c r="M118" s="103"/>
      <c r="N118" s="103"/>
      <c r="O118" s="103"/>
      <c r="P118" s="103"/>
      <c r="Q118" s="103"/>
      <c r="R118" s="106"/>
      <c r="S118" s="102"/>
      <c r="T118" s="106"/>
      <c r="U118" s="102"/>
      <c r="V118" s="104"/>
      <c r="W118" s="104"/>
      <c r="X118" s="106"/>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4"/>
      <c r="E119" s="104"/>
      <c r="F119" s="103"/>
      <c r="G119" s="103"/>
      <c r="H119" s="103"/>
      <c r="I119" s="103"/>
      <c r="J119" s="103"/>
      <c r="K119" s="103"/>
      <c r="L119" s="103"/>
      <c r="M119" s="103"/>
      <c r="N119" s="103"/>
      <c r="O119" s="103"/>
      <c r="P119" s="103"/>
      <c r="Q119" s="103"/>
      <c r="R119" s="106"/>
      <c r="S119" s="102"/>
      <c r="T119" s="106"/>
      <c r="U119" s="102"/>
      <c r="V119" s="104"/>
      <c r="W119" s="104"/>
      <c r="X119" s="106"/>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4"/>
      <c r="E120" s="104"/>
      <c r="F120" s="103"/>
      <c r="G120" s="103"/>
      <c r="H120" s="103"/>
      <c r="I120" s="103"/>
      <c r="J120" s="103"/>
      <c r="K120" s="103"/>
      <c r="L120" s="103"/>
      <c r="M120" s="103"/>
      <c r="N120" s="103"/>
      <c r="O120" s="103"/>
      <c r="P120" s="103"/>
      <c r="Q120" s="103"/>
      <c r="R120" s="106"/>
      <c r="S120" s="102"/>
      <c r="T120" s="106"/>
      <c r="U120" s="102"/>
      <c r="V120" s="104"/>
      <c r="W120" s="104"/>
      <c r="X120" s="106"/>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4"/>
      <c r="E121" s="104"/>
      <c r="F121" s="103"/>
      <c r="G121" s="103"/>
      <c r="H121" s="103"/>
      <c r="I121" s="103"/>
      <c r="J121" s="103"/>
      <c r="K121" s="103"/>
      <c r="L121" s="103"/>
      <c r="M121" s="103"/>
      <c r="N121" s="103"/>
      <c r="O121" s="103"/>
      <c r="P121" s="103"/>
      <c r="Q121" s="103"/>
      <c r="R121" s="106"/>
      <c r="S121" s="102"/>
      <c r="T121" s="106"/>
      <c r="U121" s="102"/>
      <c r="V121" s="104"/>
      <c r="W121" s="104"/>
      <c r="X121" s="106"/>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4"/>
      <c r="E122" s="104"/>
      <c r="F122" s="103"/>
      <c r="G122" s="103"/>
      <c r="H122" s="103"/>
      <c r="I122" s="103"/>
      <c r="J122" s="103"/>
      <c r="K122" s="103"/>
      <c r="L122" s="103"/>
      <c r="M122" s="103"/>
      <c r="N122" s="103"/>
      <c r="O122" s="103"/>
      <c r="P122" s="103"/>
      <c r="Q122" s="103"/>
      <c r="R122" s="106"/>
      <c r="S122" s="102"/>
      <c r="T122" s="106"/>
      <c r="U122" s="102"/>
      <c r="V122" s="104"/>
      <c r="W122" s="104"/>
      <c r="X122" s="106"/>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4"/>
      <c r="E123" s="104"/>
      <c r="F123" s="103"/>
      <c r="G123" s="103"/>
      <c r="H123" s="103"/>
      <c r="I123" s="103"/>
      <c r="J123" s="103"/>
      <c r="K123" s="103"/>
      <c r="L123" s="103"/>
      <c r="M123" s="103"/>
      <c r="N123" s="103"/>
      <c r="O123" s="103"/>
      <c r="P123" s="103"/>
      <c r="Q123" s="103"/>
      <c r="R123" s="106"/>
      <c r="S123" s="102"/>
      <c r="T123" s="106"/>
      <c r="U123" s="102"/>
      <c r="V123" s="104"/>
      <c r="W123" s="104"/>
      <c r="X123" s="106"/>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4"/>
      <c r="E124" s="104"/>
      <c r="F124" s="103"/>
      <c r="G124" s="103"/>
      <c r="H124" s="103"/>
      <c r="I124" s="103"/>
      <c r="J124" s="103"/>
      <c r="K124" s="103"/>
      <c r="L124" s="103"/>
      <c r="M124" s="103"/>
      <c r="N124" s="103"/>
      <c r="O124" s="103"/>
      <c r="P124" s="103"/>
      <c r="Q124" s="103"/>
      <c r="R124" s="106"/>
      <c r="S124" s="102"/>
      <c r="T124" s="106"/>
      <c r="U124" s="102"/>
      <c r="V124" s="104"/>
      <c r="W124" s="104"/>
      <c r="X124" s="106"/>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4"/>
      <c r="E125" s="104"/>
      <c r="F125" s="103"/>
      <c r="G125" s="103"/>
      <c r="H125" s="103"/>
      <c r="I125" s="103"/>
      <c r="J125" s="103"/>
      <c r="K125" s="103"/>
      <c r="L125" s="103"/>
      <c r="M125" s="103"/>
      <c r="N125" s="103"/>
      <c r="O125" s="103"/>
      <c r="P125" s="103"/>
      <c r="Q125" s="103"/>
      <c r="R125" s="106"/>
      <c r="S125" s="102"/>
      <c r="T125" s="106"/>
      <c r="U125" s="102"/>
      <c r="V125" s="104"/>
      <c r="W125" s="104"/>
      <c r="X125" s="106"/>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4"/>
      <c r="E126" s="104"/>
      <c r="F126" s="103"/>
      <c r="G126" s="103"/>
      <c r="H126" s="103"/>
      <c r="I126" s="103"/>
      <c r="J126" s="103"/>
      <c r="K126" s="103"/>
      <c r="L126" s="103"/>
      <c r="M126" s="103"/>
      <c r="N126" s="103"/>
      <c r="O126" s="103"/>
      <c r="P126" s="103"/>
      <c r="Q126" s="103"/>
      <c r="R126" s="106"/>
      <c r="S126" s="102"/>
      <c r="T126" s="106"/>
      <c r="U126" s="102"/>
      <c r="V126" s="104"/>
      <c r="W126" s="104"/>
      <c r="X126" s="106"/>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4"/>
      <c r="E127" s="104"/>
      <c r="F127" s="103"/>
      <c r="G127" s="103"/>
      <c r="H127" s="103"/>
      <c r="I127" s="103"/>
      <c r="J127" s="103"/>
      <c r="K127" s="103"/>
      <c r="L127" s="103"/>
      <c r="M127" s="103"/>
      <c r="N127" s="103"/>
      <c r="O127" s="103"/>
      <c r="P127" s="103"/>
      <c r="Q127" s="103"/>
      <c r="R127" s="106"/>
      <c r="S127" s="102"/>
      <c r="T127" s="106"/>
      <c r="U127" s="102"/>
      <c r="V127" s="104"/>
      <c r="W127" s="104"/>
      <c r="X127" s="106"/>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4"/>
      <c r="E128" s="104"/>
      <c r="F128" s="103"/>
      <c r="G128" s="103"/>
      <c r="H128" s="103"/>
      <c r="I128" s="103"/>
      <c r="J128" s="103"/>
      <c r="K128" s="103"/>
      <c r="L128" s="103"/>
      <c r="M128" s="103"/>
      <c r="N128" s="103"/>
      <c r="O128" s="103"/>
      <c r="P128" s="103"/>
      <c r="Q128" s="103"/>
      <c r="R128" s="106"/>
      <c r="S128" s="102"/>
      <c r="T128" s="106"/>
      <c r="U128" s="102"/>
      <c r="V128" s="104"/>
      <c r="W128" s="104"/>
      <c r="X128" s="106"/>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4"/>
      <c r="E129" s="104"/>
      <c r="F129" s="103"/>
      <c r="G129" s="103"/>
      <c r="H129" s="103"/>
      <c r="I129" s="103"/>
      <c r="J129" s="103"/>
      <c r="K129" s="103"/>
      <c r="L129" s="103"/>
      <c r="M129" s="103"/>
      <c r="N129" s="103"/>
      <c r="O129" s="103"/>
      <c r="P129" s="103"/>
      <c r="Q129" s="103"/>
      <c r="R129" s="106"/>
      <c r="S129" s="102"/>
      <c r="T129" s="106"/>
      <c r="U129" s="102"/>
      <c r="V129" s="104"/>
      <c r="W129" s="104"/>
      <c r="X129" s="106"/>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4"/>
      <c r="E130" s="104"/>
      <c r="F130" s="103"/>
      <c r="G130" s="103"/>
      <c r="H130" s="103"/>
      <c r="I130" s="103"/>
      <c r="J130" s="103"/>
      <c r="K130" s="103"/>
      <c r="L130" s="103"/>
      <c r="M130" s="103"/>
      <c r="N130" s="103"/>
      <c r="O130" s="103"/>
      <c r="P130" s="103"/>
      <c r="Q130" s="103"/>
      <c r="R130" s="106"/>
      <c r="S130" s="102"/>
      <c r="T130" s="106"/>
      <c r="U130" s="102"/>
      <c r="V130" s="104"/>
      <c r="W130" s="104"/>
      <c r="X130" s="106"/>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4"/>
      <c r="E131" s="104"/>
      <c r="F131" s="103"/>
      <c r="G131" s="103"/>
      <c r="H131" s="103"/>
      <c r="I131" s="103"/>
      <c r="J131" s="103"/>
      <c r="K131" s="103"/>
      <c r="L131" s="103"/>
      <c r="M131" s="103"/>
      <c r="N131" s="103"/>
      <c r="O131" s="103"/>
      <c r="P131" s="103"/>
      <c r="Q131" s="103"/>
      <c r="R131" s="106"/>
      <c r="S131" s="102"/>
      <c r="T131" s="106"/>
      <c r="U131" s="102"/>
      <c r="V131" s="104"/>
      <c r="W131" s="104"/>
      <c r="X131" s="106"/>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4"/>
      <c r="E132" s="104"/>
      <c r="F132" s="103"/>
      <c r="G132" s="103"/>
      <c r="H132" s="103"/>
      <c r="I132" s="103"/>
      <c r="J132" s="103"/>
      <c r="K132" s="103"/>
      <c r="L132" s="103"/>
      <c r="M132" s="103"/>
      <c r="N132" s="103"/>
      <c r="O132" s="103"/>
      <c r="P132" s="103"/>
      <c r="Q132" s="103"/>
      <c r="R132" s="106"/>
      <c r="S132" s="102"/>
      <c r="T132" s="106"/>
      <c r="U132" s="102"/>
      <c r="V132" s="104"/>
      <c r="W132" s="104"/>
      <c r="X132" s="106"/>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4"/>
      <c r="E133" s="104"/>
      <c r="F133" s="103"/>
      <c r="G133" s="103"/>
      <c r="H133" s="103"/>
      <c r="I133" s="103"/>
      <c r="J133" s="103"/>
      <c r="K133" s="103"/>
      <c r="L133" s="103"/>
      <c r="M133" s="103"/>
      <c r="N133" s="103"/>
      <c r="O133" s="103"/>
      <c r="P133" s="103"/>
      <c r="Q133" s="103"/>
      <c r="R133" s="106"/>
      <c r="S133" s="102"/>
      <c r="T133" s="106"/>
      <c r="U133" s="102"/>
      <c r="V133" s="104"/>
      <c r="W133" s="104"/>
      <c r="X133" s="106"/>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4"/>
      <c r="E134" s="104"/>
      <c r="F134" s="103"/>
      <c r="G134" s="103"/>
      <c r="H134" s="103"/>
      <c r="I134" s="103"/>
      <c r="J134" s="103"/>
      <c r="K134" s="103"/>
      <c r="L134" s="103"/>
      <c r="M134" s="103"/>
      <c r="N134" s="103"/>
      <c r="O134" s="103"/>
      <c r="P134" s="103"/>
      <c r="Q134" s="103"/>
      <c r="R134" s="106"/>
      <c r="S134" s="102"/>
      <c r="T134" s="106"/>
      <c r="U134" s="102"/>
      <c r="V134" s="104"/>
      <c r="W134" s="104"/>
      <c r="X134" s="106"/>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4"/>
      <c r="E135" s="104"/>
      <c r="F135" s="103"/>
      <c r="G135" s="103"/>
      <c r="H135" s="103"/>
      <c r="I135" s="103"/>
      <c r="J135" s="103"/>
      <c r="K135" s="103"/>
      <c r="L135" s="103"/>
      <c r="M135" s="103"/>
      <c r="N135" s="103"/>
      <c r="O135" s="103"/>
      <c r="P135" s="103"/>
      <c r="Q135" s="103"/>
      <c r="R135" s="106"/>
      <c r="S135" s="102"/>
      <c r="T135" s="106"/>
      <c r="U135" s="102"/>
      <c r="V135" s="104"/>
      <c r="W135" s="104"/>
      <c r="X135" s="106"/>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4"/>
      <c r="E136" s="104"/>
      <c r="F136" s="103"/>
      <c r="G136" s="103"/>
      <c r="H136" s="103"/>
      <c r="I136" s="103"/>
      <c r="J136" s="103"/>
      <c r="K136" s="103"/>
      <c r="L136" s="103"/>
      <c r="M136" s="103"/>
      <c r="N136" s="103"/>
      <c r="O136" s="103"/>
      <c r="P136" s="103"/>
      <c r="Q136" s="103"/>
      <c r="R136" s="106"/>
      <c r="S136" s="102"/>
      <c r="T136" s="106"/>
      <c r="U136" s="102"/>
      <c r="V136" s="104"/>
      <c r="W136" s="104"/>
      <c r="X136" s="106"/>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4"/>
      <c r="E137" s="104"/>
      <c r="F137" s="103"/>
      <c r="G137" s="103"/>
      <c r="H137" s="103"/>
      <c r="I137" s="103"/>
      <c r="J137" s="103"/>
      <c r="K137" s="103"/>
      <c r="L137" s="103"/>
      <c r="M137" s="103"/>
      <c r="N137" s="103"/>
      <c r="O137" s="103"/>
      <c r="P137" s="103"/>
      <c r="Q137" s="103"/>
      <c r="R137" s="106"/>
      <c r="S137" s="102"/>
      <c r="T137" s="106"/>
      <c r="U137" s="102"/>
      <c r="V137" s="104"/>
      <c r="W137" s="104"/>
      <c r="X137" s="106"/>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4"/>
      <c r="E138" s="104"/>
      <c r="F138" s="103"/>
      <c r="G138" s="103"/>
      <c r="H138" s="103"/>
      <c r="I138" s="103"/>
      <c r="J138" s="103"/>
      <c r="K138" s="103"/>
      <c r="L138" s="103"/>
      <c r="M138" s="103"/>
      <c r="N138" s="103"/>
      <c r="O138" s="103"/>
      <c r="P138" s="103"/>
      <c r="Q138" s="103"/>
      <c r="R138" s="106"/>
      <c r="S138" s="102"/>
      <c r="T138" s="106"/>
      <c r="U138" s="102"/>
      <c r="V138" s="104"/>
      <c r="W138" s="104"/>
      <c r="X138" s="106"/>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4"/>
      <c r="E139" s="104"/>
      <c r="F139" s="103"/>
      <c r="G139" s="103"/>
      <c r="H139" s="103"/>
      <c r="I139" s="103"/>
      <c r="J139" s="103"/>
      <c r="K139" s="103"/>
      <c r="L139" s="103"/>
      <c r="M139" s="103"/>
      <c r="N139" s="103"/>
      <c r="O139" s="103"/>
      <c r="P139" s="103"/>
      <c r="Q139" s="103"/>
      <c r="R139" s="106"/>
      <c r="S139" s="102"/>
      <c r="T139" s="106"/>
      <c r="U139" s="102"/>
      <c r="V139" s="104"/>
      <c r="W139" s="104"/>
      <c r="X139" s="106"/>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4"/>
      <c r="E140" s="104"/>
      <c r="F140" s="103"/>
      <c r="G140" s="103"/>
      <c r="H140" s="103"/>
      <c r="I140" s="103"/>
      <c r="J140" s="103"/>
      <c r="K140" s="103"/>
      <c r="L140" s="103"/>
      <c r="M140" s="103"/>
      <c r="N140" s="103"/>
      <c r="O140" s="103"/>
      <c r="P140" s="103"/>
      <c r="Q140" s="103"/>
      <c r="R140" s="106"/>
      <c r="S140" s="102"/>
      <c r="T140" s="106"/>
      <c r="U140" s="102"/>
      <c r="V140" s="104"/>
      <c r="W140" s="104"/>
      <c r="X140" s="106"/>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4"/>
      <c r="E141" s="104"/>
      <c r="F141" s="103"/>
      <c r="G141" s="103"/>
      <c r="H141" s="103"/>
      <c r="I141" s="103"/>
      <c r="J141" s="103"/>
      <c r="K141" s="103"/>
      <c r="L141" s="103"/>
      <c r="M141" s="103"/>
      <c r="N141" s="103"/>
      <c r="O141" s="103"/>
      <c r="P141" s="103"/>
      <c r="Q141" s="103"/>
      <c r="R141" s="106"/>
      <c r="S141" s="102"/>
      <c r="T141" s="106"/>
      <c r="U141" s="102"/>
      <c r="V141" s="104"/>
      <c r="W141" s="104"/>
      <c r="X141" s="106"/>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4"/>
      <c r="E142" s="104"/>
      <c r="F142" s="103"/>
      <c r="G142" s="103"/>
      <c r="H142" s="103"/>
      <c r="I142" s="103"/>
      <c r="J142" s="103"/>
      <c r="K142" s="103"/>
      <c r="L142" s="103"/>
      <c r="M142" s="103"/>
      <c r="N142" s="103"/>
      <c r="O142" s="103"/>
      <c r="P142" s="103"/>
      <c r="Q142" s="103"/>
      <c r="R142" s="106"/>
      <c r="S142" s="102"/>
      <c r="T142" s="106"/>
      <c r="U142" s="102"/>
      <c r="V142" s="104"/>
      <c r="W142" s="104"/>
      <c r="X142" s="106"/>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4"/>
      <c r="E143" s="104"/>
      <c r="F143" s="103"/>
      <c r="G143" s="103"/>
      <c r="H143" s="103"/>
      <c r="I143" s="103"/>
      <c r="J143" s="103"/>
      <c r="K143" s="103"/>
      <c r="L143" s="103"/>
      <c r="M143" s="103"/>
      <c r="N143" s="103"/>
      <c r="O143" s="103"/>
      <c r="P143" s="103"/>
      <c r="Q143" s="103"/>
      <c r="R143" s="106"/>
      <c r="S143" s="102"/>
      <c r="T143" s="106"/>
      <c r="U143" s="102"/>
      <c r="V143" s="104"/>
      <c r="W143" s="104"/>
      <c r="X143" s="106"/>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4"/>
      <c r="E144" s="104"/>
      <c r="F144" s="103"/>
      <c r="G144" s="103"/>
      <c r="H144" s="103"/>
      <c r="I144" s="103"/>
      <c r="J144" s="103"/>
      <c r="K144" s="103"/>
      <c r="L144" s="103"/>
      <c r="M144" s="103"/>
      <c r="N144" s="103"/>
      <c r="O144" s="103"/>
      <c r="P144" s="103"/>
      <c r="Q144" s="103"/>
      <c r="R144" s="106"/>
      <c r="S144" s="102"/>
      <c r="T144" s="106"/>
      <c r="U144" s="102"/>
      <c r="V144" s="104"/>
      <c r="W144" s="104"/>
      <c r="X144" s="106"/>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4"/>
      <c r="E145" s="104"/>
      <c r="F145" s="103"/>
      <c r="G145" s="103"/>
      <c r="H145" s="103"/>
      <c r="I145" s="103"/>
      <c r="J145" s="103"/>
      <c r="K145" s="103"/>
      <c r="L145" s="103"/>
      <c r="M145" s="103"/>
      <c r="N145" s="103"/>
      <c r="O145" s="103"/>
      <c r="P145" s="103"/>
      <c r="Q145" s="103"/>
      <c r="R145" s="106"/>
      <c r="S145" s="102"/>
      <c r="T145" s="106"/>
      <c r="U145" s="102"/>
      <c r="V145" s="104"/>
      <c r="W145" s="104"/>
      <c r="X145" s="106"/>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4"/>
      <c r="E146" s="104"/>
      <c r="F146" s="103"/>
      <c r="G146" s="103"/>
      <c r="H146" s="103"/>
      <c r="I146" s="103"/>
      <c r="J146" s="103"/>
      <c r="K146" s="103"/>
      <c r="L146" s="103"/>
      <c r="M146" s="103"/>
      <c r="N146" s="103"/>
      <c r="O146" s="103"/>
      <c r="P146" s="103"/>
      <c r="Q146" s="103"/>
      <c r="R146" s="106"/>
      <c r="S146" s="102"/>
      <c r="T146" s="106"/>
      <c r="U146" s="102"/>
      <c r="V146" s="104"/>
      <c r="W146" s="104"/>
      <c r="X146" s="106"/>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4"/>
      <c r="E147" s="104"/>
      <c r="F147" s="103"/>
      <c r="G147" s="103"/>
      <c r="H147" s="103"/>
      <c r="I147" s="103"/>
      <c r="J147" s="103"/>
      <c r="K147" s="103"/>
      <c r="L147" s="103"/>
      <c r="M147" s="103"/>
      <c r="N147" s="103"/>
      <c r="O147" s="103"/>
      <c r="P147" s="103"/>
      <c r="Q147" s="103"/>
      <c r="R147" s="106"/>
      <c r="S147" s="102"/>
      <c r="T147" s="106"/>
      <c r="U147" s="102"/>
      <c r="V147" s="104"/>
      <c r="W147" s="104"/>
      <c r="X147" s="106"/>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4"/>
      <c r="E148" s="104"/>
      <c r="F148" s="103"/>
      <c r="G148" s="103"/>
      <c r="H148" s="103"/>
      <c r="I148" s="103"/>
      <c r="J148" s="103"/>
      <c r="K148" s="103"/>
      <c r="L148" s="103"/>
      <c r="M148" s="103"/>
      <c r="N148" s="103"/>
      <c r="O148" s="103"/>
      <c r="P148" s="103"/>
      <c r="Q148" s="103"/>
      <c r="R148" s="106"/>
      <c r="S148" s="102"/>
      <c r="T148" s="106"/>
      <c r="U148" s="102"/>
      <c r="V148" s="104"/>
      <c r="W148" s="104"/>
      <c r="X148" s="106"/>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4"/>
      <c r="E149" s="104"/>
      <c r="F149" s="103"/>
      <c r="G149" s="103"/>
      <c r="H149" s="103"/>
      <c r="I149" s="103"/>
      <c r="J149" s="103"/>
      <c r="K149" s="103"/>
      <c r="L149" s="103"/>
      <c r="M149" s="103"/>
      <c r="N149" s="103"/>
      <c r="O149" s="103"/>
      <c r="P149" s="103"/>
      <c r="Q149" s="103"/>
      <c r="R149" s="106"/>
      <c r="S149" s="102"/>
      <c r="T149" s="106"/>
      <c r="U149" s="102"/>
      <c r="V149" s="104"/>
      <c r="W149" s="104"/>
      <c r="X149" s="106"/>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4"/>
      <c r="E150" s="104"/>
      <c r="F150" s="103"/>
      <c r="G150" s="103"/>
      <c r="H150" s="103"/>
      <c r="I150" s="103"/>
      <c r="J150" s="103"/>
      <c r="K150" s="103"/>
      <c r="L150" s="103"/>
      <c r="M150" s="103"/>
      <c r="N150" s="103"/>
      <c r="O150" s="103"/>
      <c r="P150" s="103"/>
      <c r="Q150" s="103"/>
      <c r="R150" s="106"/>
      <c r="S150" s="102"/>
      <c r="T150" s="106"/>
      <c r="U150" s="102"/>
      <c r="V150" s="104"/>
      <c r="W150" s="104"/>
      <c r="X150" s="106"/>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4"/>
      <c r="E151" s="104"/>
      <c r="F151" s="103"/>
      <c r="G151" s="103"/>
      <c r="H151" s="103"/>
      <c r="I151" s="103"/>
      <c r="J151" s="103"/>
      <c r="K151" s="103"/>
      <c r="L151" s="103"/>
      <c r="M151" s="103"/>
      <c r="N151" s="103"/>
      <c r="O151" s="103"/>
      <c r="P151" s="103"/>
      <c r="Q151" s="103"/>
      <c r="R151" s="106"/>
      <c r="S151" s="102"/>
      <c r="T151" s="106"/>
      <c r="U151" s="102"/>
      <c r="V151" s="104"/>
      <c r="W151" s="104"/>
      <c r="X151" s="106"/>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4"/>
      <c r="E152" s="104"/>
      <c r="F152" s="103"/>
      <c r="G152" s="103"/>
      <c r="H152" s="103"/>
      <c r="I152" s="103"/>
      <c r="J152" s="103"/>
      <c r="K152" s="103"/>
      <c r="L152" s="103"/>
      <c r="M152" s="103"/>
      <c r="N152" s="103"/>
      <c r="O152" s="103"/>
      <c r="P152" s="103"/>
      <c r="Q152" s="103"/>
      <c r="R152" s="106"/>
      <c r="S152" s="102"/>
      <c r="T152" s="106"/>
      <c r="U152" s="102"/>
      <c r="V152" s="104"/>
      <c r="W152" s="104"/>
      <c r="X152" s="106"/>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4"/>
      <c r="E153" s="104"/>
      <c r="F153" s="103"/>
      <c r="G153" s="103"/>
      <c r="H153" s="103"/>
      <c r="I153" s="103"/>
      <c r="J153" s="103"/>
      <c r="K153" s="103"/>
      <c r="L153" s="103"/>
      <c r="M153" s="103"/>
      <c r="N153" s="103"/>
      <c r="O153" s="103"/>
      <c r="P153" s="103"/>
      <c r="Q153" s="103"/>
      <c r="R153" s="106"/>
      <c r="S153" s="102"/>
      <c r="T153" s="106"/>
      <c r="U153" s="102"/>
      <c r="V153" s="104"/>
      <c r="W153" s="104"/>
      <c r="X153" s="106"/>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4"/>
      <c r="E154" s="104"/>
      <c r="F154" s="103"/>
      <c r="G154" s="103"/>
      <c r="H154" s="103"/>
      <c r="I154" s="103"/>
      <c r="J154" s="103"/>
      <c r="K154" s="103"/>
      <c r="L154" s="103"/>
      <c r="M154" s="103"/>
      <c r="N154" s="103"/>
      <c r="O154" s="103"/>
      <c r="P154" s="103"/>
      <c r="Q154" s="103"/>
      <c r="R154" s="106"/>
      <c r="S154" s="102"/>
      <c r="T154" s="106"/>
      <c r="U154" s="102"/>
      <c r="V154" s="104"/>
      <c r="W154" s="104"/>
      <c r="X154" s="106"/>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4"/>
      <c r="E155" s="104"/>
      <c r="F155" s="103"/>
      <c r="G155" s="103"/>
      <c r="H155" s="103"/>
      <c r="I155" s="103"/>
      <c r="J155" s="103"/>
      <c r="K155" s="103"/>
      <c r="L155" s="103"/>
      <c r="M155" s="103"/>
      <c r="N155" s="103"/>
      <c r="O155" s="103"/>
      <c r="P155" s="103"/>
      <c r="Q155" s="103"/>
      <c r="R155" s="106"/>
      <c r="S155" s="102"/>
      <c r="T155" s="106"/>
      <c r="U155" s="102"/>
      <c r="V155" s="104"/>
      <c r="W155" s="104"/>
      <c r="X155" s="106"/>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4"/>
      <c r="E156" s="104"/>
      <c r="F156" s="103"/>
      <c r="G156" s="103"/>
      <c r="H156" s="103"/>
      <c r="I156" s="103"/>
      <c r="J156" s="103"/>
      <c r="K156" s="103"/>
      <c r="L156" s="103"/>
      <c r="M156" s="103"/>
      <c r="N156" s="103"/>
      <c r="O156" s="103"/>
      <c r="P156" s="103"/>
      <c r="Q156" s="103"/>
      <c r="R156" s="106"/>
      <c r="S156" s="102"/>
      <c r="T156" s="106"/>
      <c r="U156" s="102"/>
      <c r="V156" s="104"/>
      <c r="W156" s="104"/>
      <c r="X156" s="106"/>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4"/>
      <c r="E157" s="104"/>
      <c r="F157" s="103"/>
      <c r="G157" s="103"/>
      <c r="H157" s="103"/>
      <c r="I157" s="103"/>
      <c r="J157" s="103"/>
      <c r="K157" s="103"/>
      <c r="L157" s="103"/>
      <c r="M157" s="103"/>
      <c r="N157" s="103"/>
      <c r="O157" s="103"/>
      <c r="P157" s="103"/>
      <c r="Q157" s="103"/>
      <c r="R157" s="106"/>
      <c r="S157" s="102"/>
      <c r="T157" s="106"/>
      <c r="U157" s="102"/>
      <c r="V157" s="104"/>
      <c r="W157" s="104"/>
      <c r="X157" s="106"/>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4"/>
      <c r="E158" s="104"/>
      <c r="F158" s="103"/>
      <c r="G158" s="103"/>
      <c r="H158" s="103"/>
      <c r="I158" s="103"/>
      <c r="J158" s="103"/>
      <c r="K158" s="103"/>
      <c r="L158" s="103"/>
      <c r="M158" s="103"/>
      <c r="N158" s="103"/>
      <c r="O158" s="103"/>
      <c r="P158" s="103"/>
      <c r="Q158" s="103"/>
      <c r="R158" s="106"/>
      <c r="S158" s="102"/>
      <c r="T158" s="106"/>
      <c r="U158" s="102"/>
      <c r="V158" s="104"/>
      <c r="W158" s="104"/>
      <c r="X158" s="106"/>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4"/>
      <c r="E159" s="104"/>
      <c r="F159" s="103"/>
      <c r="G159" s="103"/>
      <c r="H159" s="103"/>
      <c r="I159" s="103"/>
      <c r="J159" s="103"/>
      <c r="K159" s="103"/>
      <c r="L159" s="103"/>
      <c r="M159" s="103"/>
      <c r="N159" s="103"/>
      <c r="O159" s="103"/>
      <c r="P159" s="103"/>
      <c r="Q159" s="103"/>
      <c r="R159" s="106"/>
      <c r="S159" s="102"/>
      <c r="T159" s="106"/>
      <c r="U159" s="102"/>
      <c r="V159" s="104"/>
      <c r="W159" s="104"/>
      <c r="X159" s="106"/>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4"/>
      <c r="E160" s="104"/>
      <c r="F160" s="103"/>
      <c r="G160" s="103"/>
      <c r="H160" s="103"/>
      <c r="I160" s="103"/>
      <c r="J160" s="103"/>
      <c r="K160" s="103"/>
      <c r="L160" s="103"/>
      <c r="M160" s="103"/>
      <c r="N160" s="103"/>
      <c r="O160" s="103"/>
      <c r="P160" s="103"/>
      <c r="Q160" s="103"/>
      <c r="R160" s="106"/>
      <c r="S160" s="102"/>
      <c r="T160" s="106"/>
      <c r="U160" s="102"/>
      <c r="V160" s="104"/>
      <c r="W160" s="104"/>
      <c r="X160" s="106"/>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4"/>
      <c r="E161" s="104"/>
      <c r="F161" s="103"/>
      <c r="G161" s="103"/>
      <c r="H161" s="103"/>
      <c r="I161" s="103"/>
      <c r="J161" s="103"/>
      <c r="K161" s="103"/>
      <c r="L161" s="103"/>
      <c r="M161" s="103"/>
      <c r="N161" s="103"/>
      <c r="O161" s="103"/>
      <c r="P161" s="103"/>
      <c r="Q161" s="103"/>
      <c r="R161" s="106"/>
      <c r="S161" s="102"/>
      <c r="T161" s="106"/>
      <c r="U161" s="102"/>
      <c r="V161" s="104"/>
      <c r="W161" s="104"/>
      <c r="X161" s="106"/>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4"/>
      <c r="E162" s="104"/>
      <c r="F162" s="103"/>
      <c r="G162" s="103"/>
      <c r="H162" s="103"/>
      <c r="I162" s="103"/>
      <c r="J162" s="103"/>
      <c r="K162" s="103"/>
      <c r="L162" s="103"/>
      <c r="M162" s="103"/>
      <c r="N162" s="103"/>
      <c r="O162" s="103"/>
      <c r="P162" s="103"/>
      <c r="Q162" s="103"/>
      <c r="R162" s="106"/>
      <c r="S162" s="102"/>
      <c r="T162" s="106"/>
      <c r="U162" s="102"/>
      <c r="V162" s="104"/>
      <c r="W162" s="104"/>
      <c r="X162" s="106"/>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4"/>
      <c r="E163" s="104"/>
      <c r="F163" s="103"/>
      <c r="G163" s="103"/>
      <c r="H163" s="103"/>
      <c r="I163" s="103"/>
      <c r="J163" s="103"/>
      <c r="K163" s="103"/>
      <c r="L163" s="103"/>
      <c r="M163" s="103"/>
      <c r="N163" s="103"/>
      <c r="O163" s="103"/>
      <c r="P163" s="103"/>
      <c r="Q163" s="103"/>
      <c r="R163" s="106"/>
      <c r="S163" s="102"/>
      <c r="T163" s="106"/>
      <c r="U163" s="102"/>
      <c r="V163" s="104"/>
      <c r="W163" s="104"/>
      <c r="X163" s="106"/>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4"/>
      <c r="E164" s="104"/>
      <c r="F164" s="103"/>
      <c r="G164" s="103"/>
      <c r="H164" s="103"/>
      <c r="I164" s="103"/>
      <c r="J164" s="103"/>
      <c r="K164" s="103"/>
      <c r="L164" s="103"/>
      <c r="M164" s="103"/>
      <c r="N164" s="103"/>
      <c r="O164" s="103"/>
      <c r="P164" s="103"/>
      <c r="Q164" s="103"/>
      <c r="R164" s="106"/>
      <c r="S164" s="102"/>
      <c r="T164" s="106"/>
      <c r="U164" s="102"/>
      <c r="V164" s="104"/>
      <c r="W164" s="104"/>
      <c r="X164" s="106"/>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4"/>
      <c r="E165" s="104"/>
      <c r="F165" s="103"/>
      <c r="G165" s="103"/>
      <c r="H165" s="103"/>
      <c r="I165" s="103"/>
      <c r="J165" s="103"/>
      <c r="K165" s="103"/>
      <c r="L165" s="103"/>
      <c r="M165" s="103"/>
      <c r="N165" s="103"/>
      <c r="O165" s="103"/>
      <c r="P165" s="103"/>
      <c r="Q165" s="103"/>
      <c r="R165" s="106"/>
      <c r="S165" s="102"/>
      <c r="T165" s="106"/>
      <c r="U165" s="102"/>
      <c r="V165" s="104"/>
      <c r="W165" s="104"/>
      <c r="X165" s="106"/>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4"/>
      <c r="E166" s="104"/>
      <c r="F166" s="103"/>
      <c r="G166" s="103"/>
      <c r="H166" s="103"/>
      <c r="I166" s="103"/>
      <c r="J166" s="103"/>
      <c r="K166" s="103"/>
      <c r="L166" s="103"/>
      <c r="M166" s="103"/>
      <c r="N166" s="103"/>
      <c r="O166" s="103"/>
      <c r="P166" s="103"/>
      <c r="Q166" s="103"/>
      <c r="R166" s="106"/>
      <c r="S166" s="102"/>
      <c r="T166" s="106"/>
      <c r="U166" s="102"/>
      <c r="V166" s="104"/>
      <c r="W166" s="104"/>
      <c r="X166" s="106"/>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4"/>
      <c r="E167" s="104"/>
      <c r="F167" s="103"/>
      <c r="G167" s="103"/>
      <c r="H167" s="103"/>
      <c r="I167" s="103"/>
      <c r="J167" s="103"/>
      <c r="K167" s="103"/>
      <c r="L167" s="103"/>
      <c r="M167" s="103"/>
      <c r="N167" s="103"/>
      <c r="O167" s="103"/>
      <c r="P167" s="103"/>
      <c r="Q167" s="103"/>
      <c r="R167" s="106"/>
      <c r="S167" s="102"/>
      <c r="T167" s="106"/>
      <c r="U167" s="102"/>
      <c r="V167" s="104"/>
      <c r="W167" s="104"/>
      <c r="X167" s="106"/>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4"/>
      <c r="E168" s="104"/>
      <c r="F168" s="103"/>
      <c r="G168" s="103"/>
      <c r="H168" s="103"/>
      <c r="I168" s="103"/>
      <c r="J168" s="103"/>
      <c r="K168" s="103"/>
      <c r="L168" s="103"/>
      <c r="M168" s="103"/>
      <c r="N168" s="103"/>
      <c r="O168" s="103"/>
      <c r="P168" s="103"/>
      <c r="Q168" s="103"/>
      <c r="R168" s="106"/>
      <c r="S168" s="102"/>
      <c r="T168" s="106"/>
      <c r="U168" s="102"/>
      <c r="V168" s="104"/>
      <c r="W168" s="104"/>
      <c r="X168" s="106"/>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4"/>
      <c r="E169" s="104"/>
      <c r="F169" s="103"/>
      <c r="G169" s="103"/>
      <c r="H169" s="103"/>
      <c r="I169" s="103"/>
      <c r="J169" s="103"/>
      <c r="K169" s="103"/>
      <c r="L169" s="103"/>
      <c r="M169" s="103"/>
      <c r="N169" s="103"/>
      <c r="O169" s="103"/>
      <c r="P169" s="103"/>
      <c r="Q169" s="103"/>
      <c r="R169" s="106"/>
      <c r="S169" s="102"/>
      <c r="T169" s="106"/>
      <c r="U169" s="102"/>
      <c r="V169" s="104"/>
      <c r="W169" s="104"/>
      <c r="X169" s="106"/>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4"/>
      <c r="E170" s="104"/>
      <c r="F170" s="103"/>
      <c r="G170" s="103"/>
      <c r="H170" s="103"/>
      <c r="I170" s="103"/>
      <c r="J170" s="103"/>
      <c r="K170" s="103"/>
      <c r="L170" s="103"/>
      <c r="M170" s="103"/>
      <c r="N170" s="103"/>
      <c r="O170" s="103"/>
      <c r="P170" s="103"/>
      <c r="Q170" s="103"/>
      <c r="R170" s="106"/>
      <c r="S170" s="102"/>
      <c r="T170" s="106"/>
      <c r="U170" s="102"/>
      <c r="V170" s="104"/>
      <c r="W170" s="104"/>
      <c r="X170" s="106"/>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4"/>
      <c r="E171" s="104"/>
      <c r="F171" s="103"/>
      <c r="G171" s="103"/>
      <c r="H171" s="103"/>
      <c r="I171" s="103"/>
      <c r="J171" s="103"/>
      <c r="K171" s="103"/>
      <c r="L171" s="103"/>
      <c r="M171" s="103"/>
      <c r="N171" s="103"/>
      <c r="O171" s="103"/>
      <c r="P171" s="103"/>
      <c r="Q171" s="103"/>
      <c r="R171" s="106"/>
      <c r="S171" s="102"/>
      <c r="T171" s="106"/>
      <c r="U171" s="102"/>
      <c r="V171" s="104"/>
      <c r="W171" s="104"/>
      <c r="X171" s="106"/>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4"/>
      <c r="E172" s="104"/>
      <c r="F172" s="103"/>
      <c r="G172" s="103"/>
      <c r="H172" s="103"/>
      <c r="I172" s="103"/>
      <c r="J172" s="103"/>
      <c r="K172" s="103"/>
      <c r="L172" s="103"/>
      <c r="M172" s="103"/>
      <c r="N172" s="103"/>
      <c r="O172" s="103"/>
      <c r="P172" s="103"/>
      <c r="Q172" s="103"/>
      <c r="R172" s="106"/>
      <c r="S172" s="102"/>
      <c r="T172" s="106"/>
      <c r="U172" s="102"/>
      <c r="V172" s="104"/>
      <c r="W172" s="104"/>
      <c r="X172" s="106"/>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4"/>
      <c r="E173" s="104"/>
      <c r="F173" s="103"/>
      <c r="G173" s="103"/>
      <c r="H173" s="103"/>
      <c r="I173" s="103"/>
      <c r="J173" s="103"/>
      <c r="K173" s="103"/>
      <c r="L173" s="103"/>
      <c r="M173" s="103"/>
      <c r="N173" s="103"/>
      <c r="O173" s="103"/>
      <c r="P173" s="103"/>
      <c r="Q173" s="103"/>
      <c r="R173" s="106"/>
      <c r="S173" s="102"/>
      <c r="T173" s="106"/>
      <c r="U173" s="102"/>
      <c r="V173" s="104"/>
      <c r="W173" s="104"/>
      <c r="X173" s="106"/>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4"/>
      <c r="E174" s="104"/>
      <c r="F174" s="103"/>
      <c r="G174" s="103"/>
      <c r="H174" s="103"/>
      <c r="I174" s="103"/>
      <c r="J174" s="103"/>
      <c r="K174" s="103"/>
      <c r="L174" s="103"/>
      <c r="M174" s="103"/>
      <c r="N174" s="103"/>
      <c r="O174" s="103"/>
      <c r="P174" s="103"/>
      <c r="Q174" s="103"/>
      <c r="R174" s="106"/>
      <c r="S174" s="102"/>
      <c r="T174" s="106"/>
      <c r="U174" s="102"/>
      <c r="V174" s="104"/>
      <c r="W174" s="104"/>
      <c r="X174" s="106"/>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4"/>
      <c r="E175" s="104"/>
      <c r="F175" s="103"/>
      <c r="G175" s="103"/>
      <c r="H175" s="103"/>
      <c r="I175" s="103"/>
      <c r="J175" s="103"/>
      <c r="K175" s="103"/>
      <c r="L175" s="103"/>
      <c r="M175" s="103"/>
      <c r="N175" s="103"/>
      <c r="O175" s="103"/>
      <c r="P175" s="103"/>
      <c r="Q175" s="103"/>
      <c r="R175" s="106"/>
      <c r="S175" s="102"/>
      <c r="T175" s="106"/>
      <c r="U175" s="102"/>
      <c r="V175" s="104"/>
      <c r="W175" s="104"/>
      <c r="X175" s="106"/>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4"/>
      <c r="E176" s="104"/>
      <c r="F176" s="103"/>
      <c r="G176" s="103"/>
      <c r="H176" s="103"/>
      <c r="I176" s="103"/>
      <c r="J176" s="103"/>
      <c r="K176" s="103"/>
      <c r="L176" s="103"/>
      <c r="M176" s="103"/>
      <c r="N176" s="103"/>
      <c r="O176" s="103"/>
      <c r="P176" s="103"/>
      <c r="Q176" s="103"/>
      <c r="R176" s="106"/>
      <c r="S176" s="102"/>
      <c r="T176" s="106"/>
      <c r="U176" s="102"/>
      <c r="V176" s="104"/>
      <c r="W176" s="104"/>
      <c r="X176" s="106"/>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4"/>
      <c r="E177" s="104"/>
      <c r="F177" s="103"/>
      <c r="G177" s="103"/>
      <c r="H177" s="103"/>
      <c r="I177" s="103"/>
      <c r="J177" s="103"/>
      <c r="K177" s="103"/>
      <c r="L177" s="103"/>
      <c r="M177" s="103"/>
      <c r="N177" s="103"/>
      <c r="O177" s="103"/>
      <c r="P177" s="103"/>
      <c r="Q177" s="103"/>
      <c r="R177" s="106"/>
      <c r="S177" s="102"/>
      <c r="T177" s="106"/>
      <c r="U177" s="102"/>
      <c r="V177" s="104"/>
      <c r="W177" s="104"/>
      <c r="X177" s="106"/>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4"/>
      <c r="E178" s="104"/>
      <c r="F178" s="103"/>
      <c r="G178" s="103"/>
      <c r="H178" s="103"/>
      <c r="I178" s="103"/>
      <c r="J178" s="103"/>
      <c r="K178" s="103"/>
      <c r="L178" s="103"/>
      <c r="M178" s="103"/>
      <c r="N178" s="103"/>
      <c r="O178" s="103"/>
      <c r="P178" s="103"/>
      <c r="Q178" s="103"/>
      <c r="R178" s="106"/>
      <c r="S178" s="102"/>
      <c r="T178" s="106"/>
      <c r="U178" s="102"/>
      <c r="V178" s="104"/>
      <c r="W178" s="104"/>
      <c r="X178" s="106"/>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4"/>
      <c r="E179" s="104"/>
      <c r="F179" s="103"/>
      <c r="G179" s="103"/>
      <c r="H179" s="103"/>
      <c r="I179" s="103"/>
      <c r="J179" s="103"/>
      <c r="K179" s="103"/>
      <c r="L179" s="103"/>
      <c r="M179" s="103"/>
      <c r="N179" s="103"/>
      <c r="O179" s="103"/>
      <c r="P179" s="103"/>
      <c r="Q179" s="103"/>
      <c r="R179" s="106"/>
      <c r="S179" s="102"/>
      <c r="T179" s="106"/>
      <c r="U179" s="102"/>
      <c r="V179" s="104"/>
      <c r="W179" s="104"/>
      <c r="X179" s="106"/>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4"/>
      <c r="E180" s="104"/>
      <c r="F180" s="103"/>
      <c r="G180" s="103"/>
      <c r="H180" s="103"/>
      <c r="I180" s="103"/>
      <c r="J180" s="103"/>
      <c r="K180" s="103"/>
      <c r="L180" s="103"/>
      <c r="M180" s="103"/>
      <c r="N180" s="103"/>
      <c r="O180" s="103"/>
      <c r="P180" s="103"/>
      <c r="Q180" s="103"/>
      <c r="R180" s="106"/>
      <c r="S180" s="102"/>
      <c r="T180" s="106"/>
      <c r="U180" s="102"/>
      <c r="V180" s="104"/>
      <c r="W180" s="104"/>
      <c r="X180" s="106"/>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4"/>
      <c r="E181" s="104"/>
      <c r="F181" s="103"/>
      <c r="G181" s="103"/>
      <c r="H181" s="103"/>
      <c r="I181" s="103"/>
      <c r="J181" s="103"/>
      <c r="K181" s="103"/>
      <c r="L181" s="103"/>
      <c r="M181" s="103"/>
      <c r="N181" s="103"/>
      <c r="O181" s="103"/>
      <c r="P181" s="103"/>
      <c r="Q181" s="103"/>
      <c r="R181" s="106"/>
      <c r="S181" s="102"/>
      <c r="T181" s="106"/>
      <c r="U181" s="102"/>
      <c r="V181" s="104"/>
      <c r="W181" s="104"/>
      <c r="X181" s="106"/>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4"/>
      <c r="E182" s="104"/>
      <c r="F182" s="103"/>
      <c r="G182" s="103"/>
      <c r="H182" s="103"/>
      <c r="I182" s="103"/>
      <c r="J182" s="103"/>
      <c r="K182" s="103"/>
      <c r="L182" s="103"/>
      <c r="M182" s="103"/>
      <c r="N182" s="103"/>
      <c r="O182" s="103"/>
      <c r="P182" s="103"/>
      <c r="Q182" s="103"/>
      <c r="R182" s="106"/>
      <c r="S182" s="102"/>
      <c r="T182" s="106"/>
      <c r="U182" s="102"/>
      <c r="V182" s="104"/>
      <c r="W182" s="104"/>
      <c r="X182" s="106"/>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4"/>
      <c r="E183" s="104"/>
      <c r="F183" s="103"/>
      <c r="G183" s="103"/>
      <c r="H183" s="103"/>
      <c r="I183" s="103"/>
      <c r="J183" s="103"/>
      <c r="K183" s="103"/>
      <c r="L183" s="103"/>
      <c r="M183" s="103"/>
      <c r="N183" s="103"/>
      <c r="O183" s="103"/>
      <c r="P183" s="103"/>
      <c r="Q183" s="103"/>
      <c r="R183" s="106"/>
      <c r="S183" s="102"/>
      <c r="T183" s="106"/>
      <c r="U183" s="102"/>
      <c r="V183" s="104"/>
      <c r="W183" s="104"/>
      <c r="X183" s="106"/>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4"/>
      <c r="E184" s="104"/>
      <c r="F184" s="103"/>
      <c r="G184" s="103"/>
      <c r="H184" s="103"/>
      <c r="I184" s="103"/>
      <c r="J184" s="103"/>
      <c r="K184" s="103"/>
      <c r="L184" s="103"/>
      <c r="M184" s="103"/>
      <c r="N184" s="103"/>
      <c r="O184" s="103"/>
      <c r="P184" s="103"/>
      <c r="Q184" s="103"/>
      <c r="R184" s="106"/>
      <c r="S184" s="102"/>
      <c r="T184" s="106"/>
      <c r="U184" s="102"/>
      <c r="V184" s="104"/>
      <c r="W184" s="104"/>
      <c r="X184" s="106"/>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4"/>
      <c r="E185" s="104"/>
      <c r="F185" s="103"/>
      <c r="G185" s="103"/>
      <c r="H185" s="103"/>
      <c r="I185" s="103"/>
      <c r="J185" s="103"/>
      <c r="K185" s="103"/>
      <c r="L185" s="103"/>
      <c r="M185" s="103"/>
      <c r="N185" s="103"/>
      <c r="O185" s="103"/>
      <c r="P185" s="103"/>
      <c r="Q185" s="103"/>
      <c r="R185" s="106"/>
      <c r="S185" s="102"/>
      <c r="T185" s="106"/>
      <c r="U185" s="102"/>
      <c r="V185" s="104"/>
      <c r="W185" s="104"/>
      <c r="X185" s="106"/>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4"/>
      <c r="E186" s="104"/>
      <c r="F186" s="103"/>
      <c r="G186" s="103"/>
      <c r="H186" s="103"/>
      <c r="I186" s="103"/>
      <c r="J186" s="103"/>
      <c r="K186" s="103"/>
      <c r="L186" s="103"/>
      <c r="M186" s="103"/>
      <c r="N186" s="103"/>
      <c r="O186" s="103"/>
      <c r="P186" s="103"/>
      <c r="Q186" s="103"/>
      <c r="R186" s="106"/>
      <c r="S186" s="102"/>
      <c r="T186" s="106"/>
      <c r="U186" s="102"/>
      <c r="V186" s="104"/>
      <c r="W186" s="104"/>
      <c r="X186" s="106"/>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4"/>
      <c r="E187" s="104"/>
      <c r="F187" s="103"/>
      <c r="G187" s="103"/>
      <c r="H187" s="103"/>
      <c r="I187" s="103"/>
      <c r="J187" s="103"/>
      <c r="K187" s="103"/>
      <c r="L187" s="103"/>
      <c r="M187" s="103"/>
      <c r="N187" s="103"/>
      <c r="O187" s="103"/>
      <c r="P187" s="103"/>
      <c r="Q187" s="103"/>
      <c r="R187" s="106"/>
      <c r="S187" s="102"/>
      <c r="T187" s="106"/>
      <c r="U187" s="102"/>
      <c r="V187" s="104"/>
      <c r="W187" s="104"/>
      <c r="X187" s="106"/>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4"/>
      <c r="E188" s="104"/>
      <c r="F188" s="103"/>
      <c r="G188" s="103"/>
      <c r="H188" s="103"/>
      <c r="I188" s="103"/>
      <c r="J188" s="103"/>
      <c r="K188" s="103"/>
      <c r="L188" s="103"/>
      <c r="M188" s="103"/>
      <c r="N188" s="103"/>
      <c r="O188" s="103"/>
      <c r="P188" s="103"/>
      <c r="Q188" s="103"/>
      <c r="R188" s="106"/>
      <c r="S188" s="102"/>
      <c r="T188" s="106"/>
      <c r="U188" s="102"/>
      <c r="V188" s="104"/>
      <c r="W188" s="104"/>
      <c r="X188" s="106"/>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4"/>
      <c r="E189" s="104"/>
      <c r="F189" s="103"/>
      <c r="G189" s="103"/>
      <c r="H189" s="103"/>
      <c r="I189" s="103"/>
      <c r="J189" s="103"/>
      <c r="K189" s="103"/>
      <c r="L189" s="103"/>
      <c r="M189" s="103"/>
      <c r="N189" s="103"/>
      <c r="O189" s="103"/>
      <c r="P189" s="103"/>
      <c r="Q189" s="103"/>
      <c r="R189" s="106"/>
      <c r="S189" s="102"/>
      <c r="T189" s="106"/>
      <c r="U189" s="102"/>
      <c r="V189" s="104"/>
      <c r="W189" s="104"/>
      <c r="X189" s="106"/>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4"/>
      <c r="E190" s="104"/>
      <c r="F190" s="103"/>
      <c r="G190" s="103"/>
      <c r="H190" s="103"/>
      <c r="I190" s="103"/>
      <c r="J190" s="103"/>
      <c r="K190" s="103"/>
      <c r="L190" s="103"/>
      <c r="M190" s="103"/>
      <c r="N190" s="103"/>
      <c r="O190" s="103"/>
      <c r="P190" s="103"/>
      <c r="Q190" s="103"/>
      <c r="R190" s="106"/>
      <c r="S190" s="102"/>
      <c r="T190" s="106"/>
      <c r="U190" s="102"/>
      <c r="V190" s="104"/>
      <c r="W190" s="104"/>
      <c r="X190" s="106"/>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4"/>
      <c r="E191" s="104"/>
      <c r="F191" s="103"/>
      <c r="G191" s="103"/>
      <c r="H191" s="103"/>
      <c r="I191" s="103"/>
      <c r="J191" s="103"/>
      <c r="K191" s="103"/>
      <c r="L191" s="103"/>
      <c r="M191" s="103"/>
      <c r="N191" s="103"/>
      <c r="O191" s="103"/>
      <c r="P191" s="103"/>
      <c r="Q191" s="103"/>
      <c r="R191" s="106"/>
      <c r="S191" s="102"/>
      <c r="T191" s="106"/>
      <c r="U191" s="102"/>
      <c r="V191" s="104"/>
      <c r="W191" s="104"/>
      <c r="X191" s="106"/>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4"/>
      <c r="E192" s="104"/>
      <c r="F192" s="103"/>
      <c r="G192" s="103"/>
      <c r="H192" s="103"/>
      <c r="I192" s="103"/>
      <c r="J192" s="103"/>
      <c r="K192" s="103"/>
      <c r="L192" s="103"/>
      <c r="M192" s="103"/>
      <c r="N192" s="103"/>
      <c r="O192" s="103"/>
      <c r="P192" s="103"/>
      <c r="Q192" s="103"/>
      <c r="R192" s="106"/>
      <c r="S192" s="102"/>
      <c r="T192" s="106"/>
      <c r="U192" s="102"/>
      <c r="V192" s="104"/>
      <c r="W192" s="104"/>
      <c r="X192" s="106"/>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4"/>
      <c r="E193" s="104"/>
      <c r="F193" s="103"/>
      <c r="G193" s="103"/>
      <c r="H193" s="103"/>
      <c r="I193" s="103"/>
      <c r="J193" s="103"/>
      <c r="K193" s="103"/>
      <c r="L193" s="103"/>
      <c r="M193" s="103"/>
      <c r="N193" s="103"/>
      <c r="O193" s="103"/>
      <c r="P193" s="103"/>
      <c r="Q193" s="103"/>
      <c r="R193" s="106"/>
      <c r="S193" s="102"/>
      <c r="T193" s="106"/>
      <c r="U193" s="102"/>
      <c r="V193" s="104"/>
      <c r="W193" s="104"/>
      <c r="X193" s="106"/>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4"/>
      <c r="E194" s="104"/>
      <c r="F194" s="103"/>
      <c r="G194" s="103"/>
      <c r="H194" s="103"/>
      <c r="I194" s="103"/>
      <c r="J194" s="103"/>
      <c r="K194" s="103"/>
      <c r="L194" s="103"/>
      <c r="M194" s="103"/>
      <c r="N194" s="103"/>
      <c r="O194" s="103"/>
      <c r="P194" s="103"/>
      <c r="Q194" s="103"/>
      <c r="R194" s="106"/>
      <c r="S194" s="102"/>
      <c r="T194" s="106"/>
      <c r="U194" s="102"/>
      <c r="V194" s="104"/>
      <c r="W194" s="104"/>
      <c r="X194" s="106"/>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4"/>
      <c r="E195" s="104"/>
      <c r="F195" s="103"/>
      <c r="G195" s="103"/>
      <c r="H195" s="103"/>
      <c r="I195" s="103"/>
      <c r="J195" s="103"/>
      <c r="K195" s="103"/>
      <c r="L195" s="103"/>
      <c r="M195" s="103"/>
      <c r="N195" s="103"/>
      <c r="O195" s="103"/>
      <c r="P195" s="103"/>
      <c r="Q195" s="103"/>
      <c r="R195" s="106"/>
      <c r="S195" s="102"/>
      <c r="T195" s="106"/>
      <c r="U195" s="102"/>
      <c r="V195" s="104"/>
      <c r="W195" s="104"/>
      <c r="X195" s="106"/>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4"/>
      <c r="E196" s="104"/>
      <c r="F196" s="103"/>
      <c r="G196" s="103"/>
      <c r="H196" s="103"/>
      <c r="I196" s="103"/>
      <c r="J196" s="103"/>
      <c r="K196" s="103"/>
      <c r="L196" s="103"/>
      <c r="M196" s="103"/>
      <c r="N196" s="103"/>
      <c r="O196" s="103"/>
      <c r="P196" s="103"/>
      <c r="Q196" s="103"/>
      <c r="R196" s="106"/>
      <c r="S196" s="102"/>
      <c r="T196" s="106"/>
      <c r="U196" s="102"/>
      <c r="V196" s="104"/>
      <c r="W196" s="104"/>
      <c r="X196" s="106"/>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4"/>
      <c r="E197" s="104"/>
      <c r="F197" s="103"/>
      <c r="G197" s="103"/>
      <c r="H197" s="103"/>
      <c r="I197" s="103"/>
      <c r="J197" s="103"/>
      <c r="K197" s="103"/>
      <c r="L197" s="103"/>
      <c r="M197" s="103"/>
      <c r="N197" s="103"/>
      <c r="O197" s="103"/>
      <c r="P197" s="103"/>
      <c r="Q197" s="103"/>
      <c r="R197" s="106"/>
      <c r="S197" s="102"/>
      <c r="T197" s="106"/>
      <c r="U197" s="102"/>
      <c r="V197" s="104"/>
      <c r="W197" s="104"/>
      <c r="X197" s="106"/>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4"/>
      <c r="E198" s="104"/>
      <c r="F198" s="103"/>
      <c r="G198" s="103"/>
      <c r="H198" s="103"/>
      <c r="I198" s="103"/>
      <c r="J198" s="103"/>
      <c r="K198" s="103"/>
      <c r="L198" s="103"/>
      <c r="M198" s="103"/>
      <c r="N198" s="103"/>
      <c r="O198" s="103"/>
      <c r="P198" s="103"/>
      <c r="Q198" s="103"/>
      <c r="R198" s="106"/>
      <c r="S198" s="102"/>
      <c r="T198" s="106"/>
      <c r="U198" s="102"/>
      <c r="V198" s="104"/>
      <c r="W198" s="104"/>
      <c r="X198" s="106"/>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4"/>
      <c r="E199" s="104"/>
      <c r="F199" s="103"/>
      <c r="G199" s="103"/>
      <c r="H199" s="103"/>
      <c r="I199" s="103"/>
      <c r="J199" s="103"/>
      <c r="K199" s="103"/>
      <c r="L199" s="103"/>
      <c r="M199" s="103"/>
      <c r="N199" s="103"/>
      <c r="O199" s="103"/>
      <c r="P199" s="103"/>
      <c r="Q199" s="103"/>
      <c r="R199" s="106"/>
      <c r="S199" s="102"/>
      <c r="T199" s="106"/>
      <c r="U199" s="102"/>
      <c r="V199" s="104"/>
      <c r="W199" s="104"/>
      <c r="X199" s="106"/>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4"/>
      <c r="E200" s="104"/>
      <c r="F200" s="103"/>
      <c r="G200" s="103"/>
      <c r="H200" s="103"/>
      <c r="I200" s="103"/>
      <c r="J200" s="103"/>
      <c r="K200" s="103"/>
      <c r="L200" s="103"/>
      <c r="M200" s="103"/>
      <c r="N200" s="103"/>
      <c r="O200" s="103"/>
      <c r="P200" s="103"/>
      <c r="Q200" s="103"/>
      <c r="R200" s="106"/>
      <c r="S200" s="102"/>
      <c r="T200" s="106"/>
      <c r="U200" s="102"/>
      <c r="V200" s="104"/>
      <c r="W200" s="104"/>
      <c r="X200" s="106"/>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4"/>
      <c r="E201" s="104"/>
      <c r="F201" s="103"/>
      <c r="G201" s="103"/>
      <c r="H201" s="103"/>
      <c r="I201" s="103"/>
      <c r="J201" s="103"/>
      <c r="K201" s="103"/>
      <c r="L201" s="103"/>
      <c r="M201" s="103"/>
      <c r="N201" s="103"/>
      <c r="O201" s="103"/>
      <c r="P201" s="103"/>
      <c r="Q201" s="103"/>
      <c r="R201" s="106"/>
      <c r="S201" s="102"/>
      <c r="T201" s="106"/>
      <c r="U201" s="102"/>
      <c r="V201" s="104"/>
      <c r="W201" s="104"/>
      <c r="X201" s="106"/>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4"/>
      <c r="E202" s="104"/>
      <c r="F202" s="103"/>
      <c r="G202" s="103"/>
      <c r="H202" s="103"/>
      <c r="I202" s="103"/>
      <c r="J202" s="103"/>
      <c r="K202" s="103"/>
      <c r="L202" s="103"/>
      <c r="M202" s="103"/>
      <c r="N202" s="103"/>
      <c r="O202" s="103"/>
      <c r="P202" s="103"/>
      <c r="Q202" s="103"/>
      <c r="R202" s="106"/>
      <c r="S202" s="102"/>
      <c r="T202" s="106"/>
      <c r="U202" s="102"/>
      <c r="V202" s="104"/>
      <c r="W202" s="104"/>
      <c r="X202" s="106"/>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4"/>
      <c r="E203" s="104"/>
      <c r="F203" s="103"/>
      <c r="G203" s="103"/>
      <c r="H203" s="103"/>
      <c r="I203" s="103"/>
      <c r="J203" s="103"/>
      <c r="K203" s="103"/>
      <c r="L203" s="103"/>
      <c r="M203" s="103"/>
      <c r="N203" s="103"/>
      <c r="O203" s="103"/>
      <c r="P203" s="103"/>
      <c r="Q203" s="103"/>
      <c r="R203" s="106"/>
      <c r="S203" s="102"/>
      <c r="T203" s="106"/>
      <c r="U203" s="102"/>
      <c r="V203" s="104"/>
      <c r="W203" s="104"/>
      <c r="X203" s="106"/>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4"/>
      <c r="E204" s="104"/>
      <c r="F204" s="103"/>
      <c r="G204" s="103"/>
      <c r="H204" s="103"/>
      <c r="I204" s="103"/>
      <c r="J204" s="103"/>
      <c r="K204" s="103"/>
      <c r="L204" s="103"/>
      <c r="M204" s="103"/>
      <c r="N204" s="103"/>
      <c r="O204" s="103"/>
      <c r="P204" s="103"/>
      <c r="Q204" s="103"/>
      <c r="R204" s="106"/>
      <c r="S204" s="102"/>
      <c r="T204" s="106"/>
      <c r="U204" s="102"/>
      <c r="V204" s="104"/>
      <c r="W204" s="104"/>
      <c r="X204" s="106"/>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1583</v>
      </c>
    </row>
    <row r="2" customFormat="false" ht="15" hidden="false" customHeight="false" outlineLevel="0" collapsed="false">
      <c r="A2" s="2" t="s">
        <v>1584</v>
      </c>
    </row>
    <row r="4" customFormat="false" ht="31.5" hidden="false" customHeight="true" outlineLevel="0" collapsed="false">
      <c r="A4" s="12" t="s">
        <v>324</v>
      </c>
      <c r="B4" s="12" t="s">
        <v>1551</v>
      </c>
      <c r="C4" s="12" t="s">
        <v>1552</v>
      </c>
      <c r="D4" s="12" t="s">
        <v>463</v>
      </c>
      <c r="E4" s="12" t="s">
        <v>480</v>
      </c>
      <c r="F4" s="12" t="s">
        <v>1585</v>
      </c>
      <c r="G4" s="12" t="s">
        <v>1586</v>
      </c>
      <c r="H4" s="12" t="s">
        <v>1587</v>
      </c>
      <c r="I4" s="12" t="s">
        <v>1505</v>
      </c>
      <c r="U4" s="12" t="s">
        <v>1574</v>
      </c>
    </row>
    <row r="5" customFormat="false" ht="15" hidden="false" customHeight="false" outlineLevel="0" collapsed="false">
      <c r="A5" s="103" t="s">
        <v>728</v>
      </c>
      <c r="B5" s="102" t="n">
        <v>46399</v>
      </c>
      <c r="C5" s="104" t="s">
        <v>672</v>
      </c>
      <c r="D5" s="103" t="n">
        <v>5</v>
      </c>
      <c r="E5" s="103" t="n">
        <v>2</v>
      </c>
      <c r="F5" s="106" t="n">
        <v>80</v>
      </c>
      <c r="G5" s="106" t="n">
        <v>63</v>
      </c>
      <c r="H5" s="106" t="n">
        <v>9</v>
      </c>
      <c r="I5" s="103" t="s">
        <v>1588</v>
      </c>
      <c r="U5" s="30" t="str">
        <f aca="false">IF(A5="","",IFERROR(INDEX(Schedule!$N$7:$N$18,MATCH(A5,Schedule!$A$7:$A$18,0)),"not in schedule"))</f>
        <v>Y</v>
      </c>
    </row>
    <row r="6" customFormat="false" ht="15" hidden="false" customHeight="false" outlineLevel="0" collapsed="false">
      <c r="A6" s="103"/>
      <c r="B6" s="102"/>
      <c r="C6" s="104"/>
      <c r="D6" s="103"/>
      <c r="E6" s="103"/>
      <c r="F6" s="106"/>
      <c r="G6" s="106"/>
      <c r="H6" s="106"/>
      <c r="I6" s="103"/>
      <c r="U6" s="30" t="str">
        <f aca="false">IF(A6="","",IFERROR(INDEX(Schedule!$N$7:$N$18,MATCH(A6,Schedule!$A$7:$A$18,0)),"not in schedule"))</f>
        <v/>
      </c>
    </row>
    <row r="7" customFormat="false" ht="15" hidden="false" customHeight="false" outlineLevel="0" collapsed="false">
      <c r="A7" s="103"/>
      <c r="B7" s="102"/>
      <c r="C7" s="104"/>
      <c r="D7" s="103"/>
      <c r="E7" s="103"/>
      <c r="F7" s="106"/>
      <c r="G7" s="106"/>
      <c r="H7" s="106"/>
      <c r="I7" s="103"/>
      <c r="U7" s="30" t="str">
        <f aca="false">IF(A7="","",IFERROR(INDEX(Schedule!$N$7:$N$18,MATCH(A7,Schedule!$A$7:$A$18,0)),"not in schedule"))</f>
        <v/>
      </c>
    </row>
    <row r="8" customFormat="false" ht="15" hidden="false" customHeight="false" outlineLevel="0" collapsed="false">
      <c r="A8" s="103"/>
      <c r="B8" s="102"/>
      <c r="C8" s="104"/>
      <c r="D8" s="103"/>
      <c r="E8" s="103"/>
      <c r="F8" s="106"/>
      <c r="G8" s="106"/>
      <c r="H8" s="106"/>
      <c r="I8" s="103"/>
      <c r="U8" s="30" t="str">
        <f aca="false">IF(A8="","",IFERROR(INDEX(Schedule!$N$7:$N$18,MATCH(A8,Schedule!$A$7:$A$18,0)),"not in schedule"))</f>
        <v/>
      </c>
    </row>
    <row r="9" customFormat="false" ht="15" hidden="false" customHeight="false" outlineLevel="0" collapsed="false">
      <c r="A9" s="103"/>
      <c r="B9" s="102"/>
      <c r="C9" s="104"/>
      <c r="D9" s="103"/>
      <c r="E9" s="103"/>
      <c r="F9" s="106"/>
      <c r="G9" s="106"/>
      <c r="H9" s="106"/>
      <c r="I9" s="103"/>
      <c r="U9" s="30" t="str">
        <f aca="false">IF(A9="","",IFERROR(INDEX(Schedule!$N$7:$N$18,MATCH(A9,Schedule!$A$7:$A$18,0)),"not in schedule"))</f>
        <v/>
      </c>
    </row>
    <row r="10" customFormat="false" ht="15" hidden="false" customHeight="false" outlineLevel="0" collapsed="false">
      <c r="A10" s="103"/>
      <c r="B10" s="102"/>
      <c r="C10" s="104"/>
      <c r="D10" s="103"/>
      <c r="E10" s="103"/>
      <c r="F10" s="106"/>
      <c r="G10" s="106"/>
      <c r="H10" s="106"/>
      <c r="I10" s="103"/>
      <c r="U10" s="30" t="str">
        <f aca="false">IF(A10="","",IFERROR(INDEX(Schedule!$N$7:$N$18,MATCH(A10,Schedule!$A$7:$A$18,0)),"not in schedule"))</f>
        <v/>
      </c>
    </row>
    <row r="11" customFormat="false" ht="15" hidden="false" customHeight="false" outlineLevel="0" collapsed="false">
      <c r="A11" s="103"/>
      <c r="B11" s="102"/>
      <c r="C11" s="104"/>
      <c r="D11" s="103"/>
      <c r="E11" s="103"/>
      <c r="F11" s="106"/>
      <c r="G11" s="106"/>
      <c r="H11" s="106"/>
      <c r="I11" s="103"/>
      <c r="U11" s="30" t="str">
        <f aca="false">IF(A11="","",IFERROR(INDEX(Schedule!$N$7:$N$18,MATCH(A11,Schedule!$A$7:$A$18,0)),"not in schedule"))</f>
        <v/>
      </c>
    </row>
    <row r="12" customFormat="false" ht="15" hidden="false" customHeight="false" outlineLevel="0" collapsed="false">
      <c r="A12" s="103"/>
      <c r="B12" s="102"/>
      <c r="C12" s="104"/>
      <c r="D12" s="103"/>
      <c r="E12" s="103"/>
      <c r="F12" s="106"/>
      <c r="G12" s="106"/>
      <c r="H12" s="106"/>
      <c r="I12" s="103"/>
      <c r="U12" s="30" t="str">
        <f aca="false">IF(A12="","",IFERROR(INDEX(Schedule!$N$7:$N$18,MATCH(A12,Schedule!$A$7:$A$18,0)),"not in schedule"))</f>
        <v/>
      </c>
    </row>
    <row r="13" customFormat="false" ht="15" hidden="false" customHeight="false" outlineLevel="0" collapsed="false">
      <c r="A13" s="103"/>
      <c r="B13" s="102"/>
      <c r="C13" s="104"/>
      <c r="D13" s="103"/>
      <c r="E13" s="103"/>
      <c r="F13" s="106"/>
      <c r="G13" s="106"/>
      <c r="H13" s="106"/>
      <c r="I13" s="103"/>
      <c r="U13" s="30" t="str">
        <f aca="false">IF(A13="","",IFERROR(INDEX(Schedule!$N$7:$N$18,MATCH(A13,Schedule!$A$7:$A$18,0)),"not in schedule"))</f>
        <v/>
      </c>
    </row>
    <row r="14" customFormat="false" ht="15" hidden="false" customHeight="false" outlineLevel="0" collapsed="false">
      <c r="A14" s="103"/>
      <c r="B14" s="102"/>
      <c r="C14" s="104"/>
      <c r="D14" s="103"/>
      <c r="E14" s="103"/>
      <c r="F14" s="106"/>
      <c r="G14" s="106"/>
      <c r="H14" s="106"/>
      <c r="I14" s="103"/>
      <c r="U14" s="30" t="str">
        <f aca="false">IF(A14="","",IFERROR(INDEX(Schedule!$N$7:$N$18,MATCH(A14,Schedule!$A$7:$A$18,0)),"not in schedule"))</f>
        <v/>
      </c>
    </row>
    <row r="15" customFormat="false" ht="15" hidden="false" customHeight="false" outlineLevel="0" collapsed="false">
      <c r="A15" s="103"/>
      <c r="B15" s="102"/>
      <c r="C15" s="104"/>
      <c r="D15" s="103"/>
      <c r="E15" s="103"/>
      <c r="F15" s="106"/>
      <c r="G15" s="106"/>
      <c r="H15" s="106"/>
      <c r="I15" s="103"/>
      <c r="U15" s="30" t="str">
        <f aca="false">IF(A15="","",IFERROR(INDEX(Schedule!$N$7:$N$18,MATCH(A15,Schedule!$A$7:$A$18,0)),"not in schedule"))</f>
        <v/>
      </c>
    </row>
    <row r="16" customFormat="false" ht="15" hidden="false" customHeight="false" outlineLevel="0" collapsed="false">
      <c r="A16" s="103"/>
      <c r="B16" s="102"/>
      <c r="C16" s="104"/>
      <c r="D16" s="103"/>
      <c r="E16" s="103"/>
      <c r="F16" s="106"/>
      <c r="G16" s="106"/>
      <c r="H16" s="106"/>
      <c r="I16" s="103"/>
      <c r="U16" s="30" t="str">
        <f aca="false">IF(A16="","",IFERROR(INDEX(Schedule!$N$7:$N$18,MATCH(A16,Schedule!$A$7:$A$18,0)),"not in schedule"))</f>
        <v/>
      </c>
    </row>
    <row r="17" customFormat="false" ht="15" hidden="false" customHeight="false" outlineLevel="0" collapsed="false">
      <c r="A17" s="103"/>
      <c r="B17" s="102"/>
      <c r="C17" s="104"/>
      <c r="D17" s="103"/>
      <c r="E17" s="103"/>
      <c r="F17" s="106"/>
      <c r="G17" s="106"/>
      <c r="H17" s="106"/>
      <c r="I17" s="103"/>
      <c r="U17" s="30" t="str">
        <f aca="false">IF(A17="","",IFERROR(INDEX(Schedule!$N$7:$N$18,MATCH(A17,Schedule!$A$7:$A$18,0)),"not in schedule"))</f>
        <v/>
      </c>
    </row>
    <row r="18" customFormat="false" ht="15" hidden="false" customHeight="false" outlineLevel="0" collapsed="false">
      <c r="A18" s="103"/>
      <c r="B18" s="102"/>
      <c r="C18" s="104"/>
      <c r="D18" s="103"/>
      <c r="E18" s="103"/>
      <c r="F18" s="106"/>
      <c r="G18" s="106"/>
      <c r="H18" s="106"/>
      <c r="I18" s="103"/>
      <c r="U18" s="30" t="str">
        <f aca="false">IF(A18="","",IFERROR(INDEX(Schedule!$N$7:$N$18,MATCH(A18,Schedule!$A$7:$A$18,0)),"not in schedule"))</f>
        <v/>
      </c>
    </row>
    <row r="19" customFormat="false" ht="15" hidden="false" customHeight="false" outlineLevel="0" collapsed="false">
      <c r="A19" s="103"/>
      <c r="B19" s="102"/>
      <c r="C19" s="104"/>
      <c r="D19" s="103"/>
      <c r="E19" s="103"/>
      <c r="F19" s="106"/>
      <c r="G19" s="106"/>
      <c r="H19" s="106"/>
      <c r="I19" s="103"/>
      <c r="U19" s="30" t="str">
        <f aca="false">IF(A19="","",IFERROR(INDEX(Schedule!$N$7:$N$18,MATCH(A19,Schedule!$A$7:$A$18,0)),"not in schedule"))</f>
        <v/>
      </c>
    </row>
    <row r="20" customFormat="false" ht="15" hidden="false" customHeight="false" outlineLevel="0" collapsed="false">
      <c r="A20" s="103"/>
      <c r="B20" s="102"/>
      <c r="C20" s="104"/>
      <c r="D20" s="103"/>
      <c r="E20" s="103"/>
      <c r="F20" s="106"/>
      <c r="G20" s="106"/>
      <c r="H20" s="106"/>
      <c r="I20" s="103"/>
      <c r="U20" s="30" t="str">
        <f aca="false">IF(A20="","",IFERROR(INDEX(Schedule!$N$7:$N$18,MATCH(A20,Schedule!$A$7:$A$18,0)),"not in schedule"))</f>
        <v/>
      </c>
    </row>
    <row r="21" customFormat="false" ht="15" hidden="false" customHeight="false" outlineLevel="0" collapsed="false">
      <c r="A21" s="103"/>
      <c r="B21" s="102"/>
      <c r="C21" s="104"/>
      <c r="D21" s="103"/>
      <c r="E21" s="103"/>
      <c r="F21" s="106"/>
      <c r="G21" s="106"/>
      <c r="H21" s="106"/>
      <c r="I21" s="103"/>
      <c r="U21" s="30" t="str">
        <f aca="false">IF(A21="","",IFERROR(INDEX(Schedule!$N$7:$N$18,MATCH(A21,Schedule!$A$7:$A$18,0)),"not in schedule"))</f>
        <v/>
      </c>
    </row>
    <row r="22" customFormat="false" ht="15" hidden="false" customHeight="false" outlineLevel="0" collapsed="false">
      <c r="A22" s="103"/>
      <c r="B22" s="102"/>
      <c r="C22" s="104"/>
      <c r="D22" s="103"/>
      <c r="E22" s="103"/>
      <c r="F22" s="106"/>
      <c r="G22" s="106"/>
      <c r="H22" s="106"/>
      <c r="I22" s="103"/>
      <c r="U22" s="30" t="str">
        <f aca="false">IF(A22="","",IFERROR(INDEX(Schedule!$N$7:$N$18,MATCH(A22,Schedule!$A$7:$A$18,0)),"not in schedule"))</f>
        <v/>
      </c>
    </row>
    <row r="23" customFormat="false" ht="15" hidden="false" customHeight="false" outlineLevel="0" collapsed="false">
      <c r="A23" s="103"/>
      <c r="B23" s="102"/>
      <c r="C23" s="104"/>
      <c r="D23" s="103"/>
      <c r="E23" s="103"/>
      <c r="F23" s="106"/>
      <c r="G23" s="106"/>
      <c r="H23" s="106"/>
      <c r="I23" s="103"/>
      <c r="U23" s="30" t="str">
        <f aca="false">IF(A23="","",IFERROR(INDEX(Schedule!$N$7:$N$18,MATCH(A23,Schedule!$A$7:$A$18,0)),"not in schedule"))</f>
        <v/>
      </c>
    </row>
    <row r="24" customFormat="false" ht="15" hidden="false" customHeight="false" outlineLevel="0" collapsed="false">
      <c r="A24" s="103"/>
      <c r="B24" s="102"/>
      <c r="C24" s="104"/>
      <c r="D24" s="103"/>
      <c r="E24" s="103"/>
      <c r="F24" s="106"/>
      <c r="G24" s="106"/>
      <c r="H24" s="106"/>
      <c r="I24" s="103"/>
      <c r="U24" s="30" t="str">
        <f aca="false">IF(A24="","",IFERROR(INDEX(Schedule!$N$7:$N$18,MATCH(A24,Schedule!$A$7:$A$18,0)),"not in schedule"))</f>
        <v/>
      </c>
    </row>
    <row r="25" customFormat="false" ht="15" hidden="false" customHeight="false" outlineLevel="0" collapsed="false">
      <c r="A25" s="103"/>
      <c r="B25" s="102"/>
      <c r="C25" s="104"/>
      <c r="D25" s="103"/>
      <c r="E25" s="103"/>
      <c r="F25" s="106"/>
      <c r="G25" s="106"/>
      <c r="H25" s="106"/>
      <c r="I25" s="103"/>
      <c r="U25" s="30" t="str">
        <f aca="false">IF(A25="","",IFERROR(INDEX(Schedule!$N$7:$N$18,MATCH(A25,Schedule!$A$7:$A$18,0)),"not in schedule"))</f>
        <v/>
      </c>
    </row>
    <row r="26" customFormat="false" ht="15" hidden="false" customHeight="false" outlineLevel="0" collapsed="false">
      <c r="A26" s="103"/>
      <c r="B26" s="102"/>
      <c r="C26" s="104"/>
      <c r="D26" s="103"/>
      <c r="E26" s="103"/>
      <c r="F26" s="106"/>
      <c r="G26" s="106"/>
      <c r="H26" s="106"/>
      <c r="I26" s="103"/>
      <c r="U26" s="30" t="str">
        <f aca="false">IF(A26="","",IFERROR(INDEX(Schedule!$N$7:$N$18,MATCH(A26,Schedule!$A$7:$A$18,0)),"not in schedule"))</f>
        <v/>
      </c>
    </row>
    <row r="27" customFormat="false" ht="15" hidden="false" customHeight="false" outlineLevel="0" collapsed="false">
      <c r="A27" s="103"/>
      <c r="B27" s="102"/>
      <c r="C27" s="104"/>
      <c r="D27" s="103"/>
      <c r="E27" s="103"/>
      <c r="F27" s="106"/>
      <c r="G27" s="106"/>
      <c r="H27" s="106"/>
      <c r="I27" s="103"/>
      <c r="U27" s="30" t="str">
        <f aca="false">IF(A27="","",IFERROR(INDEX(Schedule!$N$7:$N$18,MATCH(A27,Schedule!$A$7:$A$18,0)),"not in schedule"))</f>
        <v/>
      </c>
    </row>
    <row r="28" customFormat="false" ht="15" hidden="false" customHeight="false" outlineLevel="0" collapsed="false">
      <c r="A28" s="103"/>
      <c r="B28" s="102"/>
      <c r="C28" s="104"/>
      <c r="D28" s="103"/>
      <c r="E28" s="103"/>
      <c r="F28" s="106"/>
      <c r="G28" s="106"/>
      <c r="H28" s="106"/>
      <c r="I28" s="103"/>
      <c r="U28" s="30" t="str">
        <f aca="false">IF(A28="","",IFERROR(INDEX(Schedule!$N$7:$N$18,MATCH(A28,Schedule!$A$7:$A$18,0)),"not in schedule"))</f>
        <v/>
      </c>
    </row>
    <row r="29" customFormat="false" ht="15" hidden="false" customHeight="false" outlineLevel="0" collapsed="false">
      <c r="A29" s="103"/>
      <c r="B29" s="102"/>
      <c r="C29" s="104"/>
      <c r="D29" s="103"/>
      <c r="E29" s="103"/>
      <c r="F29" s="106"/>
      <c r="G29" s="106"/>
      <c r="H29" s="106"/>
      <c r="I29" s="103"/>
      <c r="U29" s="30" t="str">
        <f aca="false">IF(A29="","",IFERROR(INDEX(Schedule!$N$7:$N$18,MATCH(A29,Schedule!$A$7:$A$18,0)),"not in schedule"))</f>
        <v/>
      </c>
    </row>
    <row r="30" customFormat="false" ht="15" hidden="false" customHeight="false" outlineLevel="0" collapsed="false">
      <c r="A30" s="103"/>
      <c r="B30" s="102"/>
      <c r="C30" s="104"/>
      <c r="D30" s="103"/>
      <c r="E30" s="103"/>
      <c r="F30" s="106"/>
      <c r="G30" s="106"/>
      <c r="H30" s="106"/>
      <c r="I30" s="103"/>
      <c r="U30" s="30" t="str">
        <f aca="false">IF(A30="","",IFERROR(INDEX(Schedule!$N$7:$N$18,MATCH(A30,Schedule!$A$7:$A$18,0)),"not in schedule"))</f>
        <v/>
      </c>
    </row>
    <row r="31" customFormat="false" ht="15" hidden="false" customHeight="false" outlineLevel="0" collapsed="false">
      <c r="A31" s="103"/>
      <c r="B31" s="102"/>
      <c r="C31" s="104"/>
      <c r="D31" s="103"/>
      <c r="E31" s="103"/>
      <c r="F31" s="106"/>
      <c r="G31" s="106"/>
      <c r="H31" s="106"/>
      <c r="I31" s="103"/>
      <c r="U31" s="30" t="str">
        <f aca="false">IF(A31="","",IFERROR(INDEX(Schedule!$N$7:$N$18,MATCH(A31,Schedule!$A$7:$A$18,0)),"not in schedule"))</f>
        <v/>
      </c>
    </row>
    <row r="32" customFormat="false" ht="15" hidden="false" customHeight="false" outlineLevel="0" collapsed="false">
      <c r="A32" s="103"/>
      <c r="B32" s="102"/>
      <c r="C32" s="104"/>
      <c r="D32" s="103"/>
      <c r="E32" s="103"/>
      <c r="F32" s="106"/>
      <c r="G32" s="106"/>
      <c r="H32" s="106"/>
      <c r="I32" s="103"/>
      <c r="U32" s="30" t="str">
        <f aca="false">IF(A32="","",IFERROR(INDEX(Schedule!$N$7:$N$18,MATCH(A32,Schedule!$A$7:$A$18,0)),"not in schedule"))</f>
        <v/>
      </c>
    </row>
    <row r="33" customFormat="false" ht="15" hidden="false" customHeight="false" outlineLevel="0" collapsed="false">
      <c r="A33" s="103"/>
      <c r="B33" s="102"/>
      <c r="C33" s="104"/>
      <c r="D33" s="103"/>
      <c r="E33" s="103"/>
      <c r="F33" s="106"/>
      <c r="G33" s="106"/>
      <c r="H33" s="106"/>
      <c r="I33" s="103"/>
      <c r="U33" s="30" t="str">
        <f aca="false">IF(A33="","",IFERROR(INDEX(Schedule!$N$7:$N$18,MATCH(A33,Schedule!$A$7:$A$18,0)),"not in schedule"))</f>
        <v/>
      </c>
    </row>
    <row r="34" customFormat="false" ht="15" hidden="false" customHeight="false" outlineLevel="0" collapsed="false">
      <c r="A34" s="103"/>
      <c r="B34" s="102"/>
      <c r="C34" s="104"/>
      <c r="D34" s="103"/>
      <c r="E34" s="103"/>
      <c r="F34" s="106"/>
      <c r="G34" s="106"/>
      <c r="H34" s="106"/>
      <c r="I34" s="103"/>
      <c r="U34" s="30" t="str">
        <f aca="false">IF(A34="","",IFERROR(INDEX(Schedule!$N$7:$N$18,MATCH(A34,Schedule!$A$7:$A$18,0)),"not in schedule"))</f>
        <v/>
      </c>
    </row>
    <row r="35" customFormat="false" ht="15" hidden="false" customHeight="false" outlineLevel="0" collapsed="false">
      <c r="A35" s="103"/>
      <c r="B35" s="102"/>
      <c r="C35" s="104"/>
      <c r="D35" s="103"/>
      <c r="E35" s="103"/>
      <c r="F35" s="106"/>
      <c r="G35" s="106"/>
      <c r="H35" s="106"/>
      <c r="I35" s="103"/>
      <c r="U35" s="30" t="str">
        <f aca="false">IF(A35="","",IFERROR(INDEX(Schedule!$N$7:$N$18,MATCH(A35,Schedule!$A$7:$A$18,0)),"not in schedule"))</f>
        <v/>
      </c>
    </row>
    <row r="36" customFormat="false" ht="15" hidden="false" customHeight="false" outlineLevel="0" collapsed="false">
      <c r="A36" s="103"/>
      <c r="B36" s="102"/>
      <c r="C36" s="104"/>
      <c r="D36" s="103"/>
      <c r="E36" s="103"/>
      <c r="F36" s="106"/>
      <c r="G36" s="106"/>
      <c r="H36" s="106"/>
      <c r="I36" s="103"/>
      <c r="U36" s="30" t="str">
        <f aca="false">IF(A36="","",IFERROR(INDEX(Schedule!$N$7:$N$18,MATCH(A36,Schedule!$A$7:$A$18,0)),"not in schedule"))</f>
        <v/>
      </c>
    </row>
    <row r="37" customFormat="false" ht="15" hidden="false" customHeight="false" outlineLevel="0" collapsed="false">
      <c r="A37" s="103"/>
      <c r="B37" s="102"/>
      <c r="C37" s="104"/>
      <c r="D37" s="103"/>
      <c r="E37" s="103"/>
      <c r="F37" s="106"/>
      <c r="G37" s="106"/>
      <c r="H37" s="106"/>
      <c r="I37" s="103"/>
      <c r="U37" s="30" t="str">
        <f aca="false">IF(A37="","",IFERROR(INDEX(Schedule!$N$7:$N$18,MATCH(A37,Schedule!$A$7:$A$18,0)),"not in schedule"))</f>
        <v/>
      </c>
    </row>
    <row r="38" customFormat="false" ht="15" hidden="false" customHeight="false" outlineLevel="0" collapsed="false">
      <c r="A38" s="103"/>
      <c r="B38" s="102"/>
      <c r="C38" s="104"/>
      <c r="D38" s="103"/>
      <c r="E38" s="103"/>
      <c r="F38" s="106"/>
      <c r="G38" s="106"/>
      <c r="H38" s="106"/>
      <c r="I38" s="103"/>
      <c r="U38" s="30" t="str">
        <f aca="false">IF(A38="","",IFERROR(INDEX(Schedule!$N$7:$N$18,MATCH(A38,Schedule!$A$7:$A$18,0)),"not in schedule"))</f>
        <v/>
      </c>
    </row>
    <row r="39" customFormat="false" ht="15" hidden="false" customHeight="false" outlineLevel="0" collapsed="false">
      <c r="A39" s="103"/>
      <c r="B39" s="102"/>
      <c r="C39" s="104"/>
      <c r="D39" s="103"/>
      <c r="E39" s="103"/>
      <c r="F39" s="106"/>
      <c r="G39" s="106"/>
      <c r="H39" s="106"/>
      <c r="I39" s="103"/>
      <c r="U39" s="30" t="str">
        <f aca="false">IF(A39="","",IFERROR(INDEX(Schedule!$N$7:$N$18,MATCH(A39,Schedule!$A$7:$A$18,0)),"not in schedule"))</f>
        <v/>
      </c>
    </row>
    <row r="40" customFormat="false" ht="15" hidden="false" customHeight="false" outlineLevel="0" collapsed="false">
      <c r="A40" s="103"/>
      <c r="B40" s="102"/>
      <c r="C40" s="104"/>
      <c r="D40" s="103"/>
      <c r="E40" s="103"/>
      <c r="F40" s="106"/>
      <c r="G40" s="106"/>
      <c r="H40" s="106"/>
      <c r="I40" s="103"/>
      <c r="U40" s="30" t="str">
        <f aca="false">IF(A40="","",IFERROR(INDEX(Schedule!$N$7:$N$18,MATCH(A40,Schedule!$A$7:$A$18,0)),"not in schedule"))</f>
        <v/>
      </c>
    </row>
    <row r="41" customFormat="false" ht="15" hidden="false" customHeight="false" outlineLevel="0" collapsed="false">
      <c r="A41" s="103"/>
      <c r="B41" s="102"/>
      <c r="C41" s="104"/>
      <c r="D41" s="103"/>
      <c r="E41" s="103"/>
      <c r="F41" s="106"/>
      <c r="G41" s="106"/>
      <c r="H41" s="106"/>
      <c r="I41" s="103"/>
      <c r="U41" s="30" t="str">
        <f aca="false">IF(A41="","",IFERROR(INDEX(Schedule!$N$7:$N$18,MATCH(A41,Schedule!$A$7:$A$18,0)),"not in schedule"))</f>
        <v/>
      </c>
    </row>
    <row r="42" customFormat="false" ht="15" hidden="false" customHeight="false" outlineLevel="0" collapsed="false">
      <c r="A42" s="103"/>
      <c r="B42" s="102"/>
      <c r="C42" s="104"/>
      <c r="D42" s="103"/>
      <c r="E42" s="103"/>
      <c r="F42" s="106"/>
      <c r="G42" s="106"/>
      <c r="H42" s="106"/>
      <c r="I42" s="103"/>
      <c r="U42" s="30" t="str">
        <f aca="false">IF(A42="","",IFERROR(INDEX(Schedule!$N$7:$N$18,MATCH(A42,Schedule!$A$7:$A$18,0)),"not in schedule"))</f>
        <v/>
      </c>
    </row>
    <row r="43" customFormat="false" ht="15" hidden="false" customHeight="false" outlineLevel="0" collapsed="false">
      <c r="A43" s="103"/>
      <c r="B43" s="102"/>
      <c r="C43" s="104"/>
      <c r="D43" s="103"/>
      <c r="E43" s="103"/>
      <c r="F43" s="106"/>
      <c r="G43" s="106"/>
      <c r="H43" s="106"/>
      <c r="I43" s="103"/>
      <c r="U43" s="30" t="str">
        <f aca="false">IF(A43="","",IFERROR(INDEX(Schedule!$N$7:$N$18,MATCH(A43,Schedule!$A$7:$A$18,0)),"not in schedule"))</f>
        <v/>
      </c>
    </row>
    <row r="44" customFormat="false" ht="15" hidden="false" customHeight="false" outlineLevel="0" collapsed="false">
      <c r="A44" s="103"/>
      <c r="B44" s="102"/>
      <c r="C44" s="104"/>
      <c r="D44" s="103"/>
      <c r="E44" s="103"/>
      <c r="F44" s="106"/>
      <c r="G44" s="106"/>
      <c r="H44" s="106"/>
      <c r="I44" s="103"/>
      <c r="U44" s="30" t="str">
        <f aca="false">IF(A44="","",IFERROR(INDEX(Schedule!$N$7:$N$18,MATCH(A44,Schedule!$A$7:$A$18,0)),"not in schedule"))</f>
        <v/>
      </c>
    </row>
    <row r="45" customFormat="false" ht="15" hidden="false" customHeight="false" outlineLevel="0" collapsed="false">
      <c r="A45" s="103"/>
      <c r="B45" s="102"/>
      <c r="C45" s="104"/>
      <c r="D45" s="103"/>
      <c r="E45" s="103"/>
      <c r="F45" s="106"/>
      <c r="G45" s="106"/>
      <c r="H45" s="106"/>
      <c r="I45" s="103"/>
      <c r="U45" s="30" t="str">
        <f aca="false">IF(A45="","",IFERROR(INDEX(Schedule!$N$7:$N$18,MATCH(A45,Schedule!$A$7:$A$18,0)),"not in schedule"))</f>
        <v/>
      </c>
    </row>
    <row r="46" customFormat="false" ht="15" hidden="false" customHeight="false" outlineLevel="0" collapsed="false">
      <c r="A46" s="103"/>
      <c r="B46" s="102"/>
      <c r="C46" s="104"/>
      <c r="D46" s="103"/>
      <c r="E46" s="103"/>
      <c r="F46" s="106"/>
      <c r="G46" s="106"/>
      <c r="H46" s="106"/>
      <c r="I46" s="103"/>
      <c r="U46" s="30" t="str">
        <f aca="false">IF(A46="","",IFERROR(INDEX(Schedule!$N$7:$N$18,MATCH(A46,Schedule!$A$7:$A$18,0)),"not in schedule"))</f>
        <v/>
      </c>
    </row>
    <row r="47" customFormat="false" ht="15" hidden="false" customHeight="false" outlineLevel="0" collapsed="false">
      <c r="A47" s="103"/>
      <c r="B47" s="102"/>
      <c r="C47" s="104"/>
      <c r="D47" s="103"/>
      <c r="E47" s="103"/>
      <c r="F47" s="106"/>
      <c r="G47" s="106"/>
      <c r="H47" s="106"/>
      <c r="I47" s="103"/>
      <c r="U47" s="30" t="str">
        <f aca="false">IF(A47="","",IFERROR(INDEX(Schedule!$N$7:$N$18,MATCH(A47,Schedule!$A$7:$A$18,0)),"not in schedule"))</f>
        <v/>
      </c>
    </row>
    <row r="48" customFormat="false" ht="15" hidden="false" customHeight="false" outlineLevel="0" collapsed="false">
      <c r="A48" s="103"/>
      <c r="B48" s="102"/>
      <c r="C48" s="104"/>
      <c r="D48" s="103"/>
      <c r="E48" s="103"/>
      <c r="F48" s="106"/>
      <c r="G48" s="106"/>
      <c r="H48" s="106"/>
      <c r="I48" s="103"/>
      <c r="U48" s="30" t="str">
        <f aca="false">IF(A48="","",IFERROR(INDEX(Schedule!$N$7:$N$18,MATCH(A48,Schedule!$A$7:$A$18,0)),"not in schedule"))</f>
        <v/>
      </c>
    </row>
    <row r="49" customFormat="false" ht="15" hidden="false" customHeight="false" outlineLevel="0" collapsed="false">
      <c r="A49" s="103"/>
      <c r="B49" s="102"/>
      <c r="C49" s="104"/>
      <c r="D49" s="103"/>
      <c r="E49" s="103"/>
      <c r="F49" s="106"/>
      <c r="G49" s="106"/>
      <c r="H49" s="106"/>
      <c r="I49" s="103"/>
      <c r="U49" s="30" t="str">
        <f aca="false">IF(A49="","",IFERROR(INDEX(Schedule!$N$7:$N$18,MATCH(A49,Schedule!$A$7:$A$18,0)),"not in schedule"))</f>
        <v/>
      </c>
    </row>
    <row r="50" customFormat="false" ht="15" hidden="false" customHeight="false" outlineLevel="0" collapsed="false">
      <c r="A50" s="103"/>
      <c r="B50" s="102"/>
      <c r="C50" s="104"/>
      <c r="D50" s="103"/>
      <c r="E50" s="103"/>
      <c r="F50" s="106"/>
      <c r="G50" s="106"/>
      <c r="H50" s="106"/>
      <c r="I50" s="103"/>
      <c r="U50" s="30" t="str">
        <f aca="false">IF(A50="","",IFERROR(INDEX(Schedule!$N$7:$N$18,MATCH(A50,Schedule!$A$7:$A$18,0)),"not in schedule"))</f>
        <v/>
      </c>
    </row>
    <row r="51" customFormat="false" ht="15" hidden="false" customHeight="false" outlineLevel="0" collapsed="false">
      <c r="A51" s="103"/>
      <c r="B51" s="102"/>
      <c r="C51" s="104"/>
      <c r="D51" s="103"/>
      <c r="E51" s="103"/>
      <c r="F51" s="106"/>
      <c r="G51" s="106"/>
      <c r="H51" s="106"/>
      <c r="I51" s="103"/>
      <c r="U51" s="30" t="str">
        <f aca="false">IF(A51="","",IFERROR(INDEX(Schedule!$N$7:$N$18,MATCH(A51,Schedule!$A$7:$A$18,0)),"not in schedule"))</f>
        <v/>
      </c>
    </row>
    <row r="52" customFormat="false" ht="15" hidden="false" customHeight="false" outlineLevel="0" collapsed="false">
      <c r="A52" s="103"/>
      <c r="B52" s="102"/>
      <c r="C52" s="104"/>
      <c r="D52" s="103"/>
      <c r="E52" s="103"/>
      <c r="F52" s="106"/>
      <c r="G52" s="106"/>
      <c r="H52" s="106"/>
      <c r="I52" s="103"/>
      <c r="U52" s="30" t="str">
        <f aca="false">IF(A52="","",IFERROR(INDEX(Schedule!$N$7:$N$18,MATCH(A52,Schedule!$A$7:$A$18,0)),"not in schedule"))</f>
        <v/>
      </c>
    </row>
    <row r="53" customFormat="false" ht="15" hidden="false" customHeight="false" outlineLevel="0" collapsed="false">
      <c r="A53" s="103"/>
      <c r="B53" s="102"/>
      <c r="C53" s="104"/>
      <c r="D53" s="103"/>
      <c r="E53" s="103"/>
      <c r="F53" s="106"/>
      <c r="G53" s="106"/>
      <c r="H53" s="106"/>
      <c r="I53" s="103"/>
      <c r="U53" s="30" t="str">
        <f aca="false">IF(A53="","",IFERROR(INDEX(Schedule!$N$7:$N$18,MATCH(A53,Schedule!$A$7:$A$18,0)),"not in schedule"))</f>
        <v/>
      </c>
    </row>
    <row r="54" customFormat="false" ht="15" hidden="false" customHeight="false" outlineLevel="0" collapsed="false">
      <c r="A54" s="103"/>
      <c r="B54" s="102"/>
      <c r="C54" s="104"/>
      <c r="D54" s="103"/>
      <c r="E54" s="103"/>
      <c r="F54" s="106"/>
      <c r="G54" s="106"/>
      <c r="H54" s="106"/>
      <c r="I54" s="103"/>
      <c r="U54" s="30" t="str">
        <f aca="false">IF(A54="","",IFERROR(INDEX(Schedule!$N$7:$N$18,MATCH(A54,Schedule!$A$7:$A$18,0)),"not in schedule"))</f>
        <v/>
      </c>
    </row>
    <row r="55" customFormat="false" ht="15" hidden="false" customHeight="false" outlineLevel="0" collapsed="false">
      <c r="A55" s="103"/>
      <c r="B55" s="102"/>
      <c r="C55" s="104"/>
      <c r="D55" s="103"/>
      <c r="E55" s="103"/>
      <c r="F55" s="106"/>
      <c r="G55" s="106"/>
      <c r="H55" s="106"/>
      <c r="I55" s="103"/>
      <c r="U55" s="30" t="str">
        <f aca="false">IF(A55="","",IFERROR(INDEX(Schedule!$N$7:$N$18,MATCH(A55,Schedule!$A$7:$A$18,0)),"not in schedule"))</f>
        <v/>
      </c>
    </row>
    <row r="56" customFormat="false" ht="15" hidden="false" customHeight="false" outlineLevel="0" collapsed="false">
      <c r="A56" s="103"/>
      <c r="B56" s="102"/>
      <c r="C56" s="104"/>
      <c r="D56" s="103"/>
      <c r="E56" s="103"/>
      <c r="F56" s="106"/>
      <c r="G56" s="106"/>
      <c r="H56" s="106"/>
      <c r="I56" s="103"/>
      <c r="U56" s="30" t="str">
        <f aca="false">IF(A56="","",IFERROR(INDEX(Schedule!$N$7:$N$18,MATCH(A56,Schedule!$A$7:$A$18,0)),"not in schedule"))</f>
        <v/>
      </c>
    </row>
    <row r="57" customFormat="false" ht="15" hidden="false" customHeight="false" outlineLevel="0" collapsed="false">
      <c r="A57" s="103"/>
      <c r="B57" s="102"/>
      <c r="C57" s="104"/>
      <c r="D57" s="103"/>
      <c r="E57" s="103"/>
      <c r="F57" s="106"/>
      <c r="G57" s="106"/>
      <c r="H57" s="106"/>
      <c r="I57" s="103"/>
      <c r="U57" s="30" t="str">
        <f aca="false">IF(A57="","",IFERROR(INDEX(Schedule!$N$7:$N$18,MATCH(A57,Schedule!$A$7:$A$18,0)),"not in schedule"))</f>
        <v/>
      </c>
    </row>
    <row r="58" customFormat="false" ht="15" hidden="false" customHeight="false" outlineLevel="0" collapsed="false">
      <c r="A58" s="103"/>
      <c r="B58" s="102"/>
      <c r="C58" s="104"/>
      <c r="D58" s="103"/>
      <c r="E58" s="103"/>
      <c r="F58" s="106"/>
      <c r="G58" s="106"/>
      <c r="H58" s="106"/>
      <c r="I58" s="103"/>
      <c r="U58" s="30" t="str">
        <f aca="false">IF(A58="","",IFERROR(INDEX(Schedule!$N$7:$N$18,MATCH(A58,Schedule!$A$7:$A$18,0)),"not in schedule"))</f>
        <v/>
      </c>
    </row>
    <row r="59" customFormat="false" ht="15" hidden="false" customHeight="false" outlineLevel="0" collapsed="false">
      <c r="A59" s="103"/>
      <c r="B59" s="102"/>
      <c r="C59" s="104"/>
      <c r="D59" s="103"/>
      <c r="E59" s="103"/>
      <c r="F59" s="106"/>
      <c r="G59" s="106"/>
      <c r="H59" s="106"/>
      <c r="I59" s="103"/>
      <c r="U59" s="30" t="str">
        <f aca="false">IF(A59="","",IFERROR(INDEX(Schedule!$N$7:$N$18,MATCH(A59,Schedule!$A$7:$A$18,0)),"not in schedule"))</f>
        <v/>
      </c>
    </row>
    <row r="60" customFormat="false" ht="15" hidden="false" customHeight="false" outlineLevel="0" collapsed="false">
      <c r="A60" s="103"/>
      <c r="B60" s="102"/>
      <c r="C60" s="104"/>
      <c r="D60" s="103"/>
      <c r="E60" s="103"/>
      <c r="F60" s="106"/>
      <c r="G60" s="106"/>
      <c r="H60" s="106"/>
      <c r="I60" s="103"/>
      <c r="U60" s="30" t="str">
        <f aca="false">IF(A60="","",IFERROR(INDEX(Schedule!$N$7:$N$18,MATCH(A60,Schedule!$A$7:$A$18,0)),"not in schedule"))</f>
        <v/>
      </c>
    </row>
    <row r="61" customFormat="false" ht="15" hidden="false" customHeight="false" outlineLevel="0" collapsed="false">
      <c r="A61" s="103"/>
      <c r="B61" s="102"/>
      <c r="C61" s="104"/>
      <c r="D61" s="103"/>
      <c r="E61" s="103"/>
      <c r="F61" s="106"/>
      <c r="G61" s="106"/>
      <c r="H61" s="106"/>
      <c r="I61" s="103"/>
      <c r="U61" s="30" t="str">
        <f aca="false">IF(A61="","",IFERROR(INDEX(Schedule!$N$7:$N$18,MATCH(A61,Schedule!$A$7:$A$18,0)),"not in schedule"))</f>
        <v/>
      </c>
    </row>
    <row r="62" customFormat="false" ht="15" hidden="false" customHeight="false" outlineLevel="0" collapsed="false">
      <c r="A62" s="103"/>
      <c r="B62" s="102"/>
      <c r="C62" s="104"/>
      <c r="D62" s="103"/>
      <c r="E62" s="103"/>
      <c r="F62" s="106"/>
      <c r="G62" s="106"/>
      <c r="H62" s="106"/>
      <c r="I62" s="103"/>
      <c r="U62" s="30" t="str">
        <f aca="false">IF(A62="","",IFERROR(INDEX(Schedule!$N$7:$N$18,MATCH(A62,Schedule!$A$7:$A$18,0)),"not in schedule"))</f>
        <v/>
      </c>
    </row>
    <row r="63" customFormat="false" ht="15" hidden="false" customHeight="false" outlineLevel="0" collapsed="false">
      <c r="A63" s="103"/>
      <c r="B63" s="102"/>
      <c r="C63" s="104"/>
      <c r="D63" s="103"/>
      <c r="E63" s="103"/>
      <c r="F63" s="106"/>
      <c r="G63" s="106"/>
      <c r="H63" s="106"/>
      <c r="I63" s="103"/>
      <c r="U63" s="30" t="str">
        <f aca="false">IF(A63="","",IFERROR(INDEX(Schedule!$N$7:$N$18,MATCH(A63,Schedule!$A$7:$A$18,0)),"not in schedule"))</f>
        <v/>
      </c>
    </row>
    <row r="64" customFormat="false" ht="15" hidden="false" customHeight="false" outlineLevel="0" collapsed="false">
      <c r="A64" s="103"/>
      <c r="B64" s="102"/>
      <c r="C64" s="104"/>
      <c r="D64" s="103"/>
      <c r="E64" s="103"/>
      <c r="F64" s="106"/>
      <c r="G64" s="106"/>
      <c r="H64" s="106"/>
      <c r="I64" s="103"/>
      <c r="U64" s="30" t="str">
        <f aca="false">IF(A64="","",IFERROR(INDEX(Schedule!$N$7:$N$18,MATCH(A64,Schedule!$A$7:$A$18,0)),"not in schedule"))</f>
        <v/>
      </c>
    </row>
    <row r="65" customFormat="false" ht="15" hidden="false" customHeight="false" outlineLevel="0" collapsed="false">
      <c r="A65" s="103"/>
      <c r="B65" s="102"/>
      <c r="C65" s="104"/>
      <c r="D65" s="103"/>
      <c r="E65" s="103"/>
      <c r="F65" s="106"/>
      <c r="G65" s="106"/>
      <c r="H65" s="106"/>
      <c r="I65" s="103"/>
      <c r="U65" s="30" t="str">
        <f aca="false">IF(A65="","",IFERROR(INDEX(Schedule!$N$7:$N$18,MATCH(A65,Schedule!$A$7:$A$18,0)),"not in schedule"))</f>
        <v/>
      </c>
    </row>
    <row r="66" customFormat="false" ht="15" hidden="false" customHeight="false" outlineLevel="0" collapsed="false">
      <c r="A66" s="103"/>
      <c r="B66" s="102"/>
      <c r="C66" s="104"/>
      <c r="D66" s="103"/>
      <c r="E66" s="103"/>
      <c r="F66" s="106"/>
      <c r="G66" s="106"/>
      <c r="H66" s="106"/>
      <c r="I66" s="103"/>
      <c r="U66" s="30" t="str">
        <f aca="false">IF(A66="","",IFERROR(INDEX(Schedule!$N$7:$N$18,MATCH(A66,Schedule!$A$7:$A$18,0)),"not in schedule"))</f>
        <v/>
      </c>
    </row>
    <row r="67" customFormat="false" ht="15" hidden="false" customHeight="false" outlineLevel="0" collapsed="false">
      <c r="A67" s="103"/>
      <c r="B67" s="102"/>
      <c r="C67" s="104"/>
      <c r="D67" s="103"/>
      <c r="E67" s="103"/>
      <c r="F67" s="106"/>
      <c r="G67" s="106"/>
      <c r="H67" s="106"/>
      <c r="I67" s="103"/>
      <c r="U67" s="30" t="str">
        <f aca="false">IF(A67="","",IFERROR(INDEX(Schedule!$N$7:$N$18,MATCH(A67,Schedule!$A$7:$A$18,0)),"not in schedule"))</f>
        <v/>
      </c>
    </row>
    <row r="68" customFormat="false" ht="15" hidden="false" customHeight="false" outlineLevel="0" collapsed="false">
      <c r="A68" s="103"/>
      <c r="B68" s="102"/>
      <c r="C68" s="104"/>
      <c r="D68" s="103"/>
      <c r="E68" s="103"/>
      <c r="F68" s="106"/>
      <c r="G68" s="106"/>
      <c r="H68" s="106"/>
      <c r="I68" s="103"/>
      <c r="U68" s="30" t="str">
        <f aca="false">IF(A68="","",IFERROR(INDEX(Schedule!$N$7:$N$18,MATCH(A68,Schedule!$A$7:$A$18,0)),"not in schedule"))</f>
        <v/>
      </c>
    </row>
    <row r="69" customFormat="false" ht="15" hidden="false" customHeight="false" outlineLevel="0" collapsed="false">
      <c r="A69" s="103"/>
      <c r="B69" s="102"/>
      <c r="C69" s="104"/>
      <c r="D69" s="103"/>
      <c r="E69" s="103"/>
      <c r="F69" s="106"/>
      <c r="G69" s="106"/>
      <c r="H69" s="106"/>
      <c r="I69" s="103"/>
      <c r="U69" s="30" t="str">
        <f aca="false">IF(A69="","",IFERROR(INDEX(Schedule!$N$7:$N$18,MATCH(A69,Schedule!$A$7:$A$18,0)),"not in schedule"))</f>
        <v/>
      </c>
    </row>
    <row r="70" customFormat="false" ht="15" hidden="false" customHeight="false" outlineLevel="0" collapsed="false">
      <c r="A70" s="103"/>
      <c r="B70" s="102"/>
      <c r="C70" s="104"/>
      <c r="D70" s="103"/>
      <c r="E70" s="103"/>
      <c r="F70" s="106"/>
      <c r="G70" s="106"/>
      <c r="H70" s="106"/>
      <c r="I70" s="103"/>
      <c r="U70" s="30" t="str">
        <f aca="false">IF(A70="","",IFERROR(INDEX(Schedule!$N$7:$N$18,MATCH(A70,Schedule!$A$7:$A$18,0)),"not in schedule"))</f>
        <v/>
      </c>
    </row>
    <row r="71" customFormat="false" ht="15" hidden="false" customHeight="false" outlineLevel="0" collapsed="false">
      <c r="A71" s="103"/>
      <c r="B71" s="102"/>
      <c r="C71" s="104"/>
      <c r="D71" s="103"/>
      <c r="E71" s="103"/>
      <c r="F71" s="106"/>
      <c r="G71" s="106"/>
      <c r="H71" s="106"/>
      <c r="I71" s="103"/>
      <c r="U71" s="30" t="str">
        <f aca="false">IF(A71="","",IFERROR(INDEX(Schedule!$N$7:$N$18,MATCH(A71,Schedule!$A$7:$A$18,0)),"not in schedule"))</f>
        <v/>
      </c>
    </row>
    <row r="72" customFormat="false" ht="15" hidden="false" customHeight="false" outlineLevel="0" collapsed="false">
      <c r="A72" s="103"/>
      <c r="B72" s="102"/>
      <c r="C72" s="104"/>
      <c r="D72" s="103"/>
      <c r="E72" s="103"/>
      <c r="F72" s="106"/>
      <c r="G72" s="106"/>
      <c r="H72" s="106"/>
      <c r="I72" s="103"/>
      <c r="U72" s="30" t="str">
        <f aca="false">IF(A72="","",IFERROR(INDEX(Schedule!$N$7:$N$18,MATCH(A72,Schedule!$A$7:$A$18,0)),"not in schedule"))</f>
        <v/>
      </c>
    </row>
    <row r="73" customFormat="false" ht="15" hidden="false" customHeight="false" outlineLevel="0" collapsed="false">
      <c r="A73" s="103"/>
      <c r="B73" s="102"/>
      <c r="C73" s="104"/>
      <c r="D73" s="103"/>
      <c r="E73" s="103"/>
      <c r="F73" s="106"/>
      <c r="G73" s="106"/>
      <c r="H73" s="106"/>
      <c r="I73" s="103"/>
      <c r="U73" s="30" t="str">
        <f aca="false">IF(A73="","",IFERROR(INDEX(Schedule!$N$7:$N$18,MATCH(A73,Schedule!$A$7:$A$18,0)),"not in schedule"))</f>
        <v/>
      </c>
    </row>
    <row r="74" customFormat="false" ht="15" hidden="false" customHeight="false" outlineLevel="0" collapsed="false">
      <c r="A74" s="103"/>
      <c r="B74" s="102"/>
      <c r="C74" s="104"/>
      <c r="D74" s="103"/>
      <c r="E74" s="103"/>
      <c r="F74" s="106"/>
      <c r="G74" s="106"/>
      <c r="H74" s="106"/>
      <c r="I74" s="103"/>
      <c r="U74" s="30" t="str">
        <f aca="false">IF(A74="","",IFERROR(INDEX(Schedule!$N$7:$N$18,MATCH(A74,Schedule!$A$7:$A$18,0)),"not in schedule"))</f>
        <v/>
      </c>
    </row>
    <row r="75" customFormat="false" ht="15" hidden="false" customHeight="false" outlineLevel="0" collapsed="false">
      <c r="A75" s="103"/>
      <c r="B75" s="102"/>
      <c r="C75" s="104"/>
      <c r="D75" s="103"/>
      <c r="E75" s="103"/>
      <c r="F75" s="106"/>
      <c r="G75" s="106"/>
      <c r="H75" s="106"/>
      <c r="I75" s="103"/>
      <c r="U75" s="30" t="str">
        <f aca="false">IF(A75="","",IFERROR(INDEX(Schedule!$N$7:$N$18,MATCH(A75,Schedule!$A$7:$A$18,0)),"not in schedule"))</f>
        <v/>
      </c>
    </row>
    <row r="76" customFormat="false" ht="15" hidden="false" customHeight="false" outlineLevel="0" collapsed="false">
      <c r="A76" s="103"/>
      <c r="B76" s="102"/>
      <c r="C76" s="104"/>
      <c r="D76" s="103"/>
      <c r="E76" s="103"/>
      <c r="F76" s="106"/>
      <c r="G76" s="106"/>
      <c r="H76" s="106"/>
      <c r="I76" s="103"/>
      <c r="U76" s="30" t="str">
        <f aca="false">IF(A76="","",IFERROR(INDEX(Schedule!$N$7:$N$18,MATCH(A76,Schedule!$A$7:$A$18,0)),"not in schedule"))</f>
        <v/>
      </c>
    </row>
    <row r="77" customFormat="false" ht="15" hidden="false" customHeight="false" outlineLevel="0" collapsed="false">
      <c r="A77" s="103"/>
      <c r="B77" s="102"/>
      <c r="C77" s="104"/>
      <c r="D77" s="103"/>
      <c r="E77" s="103"/>
      <c r="F77" s="106"/>
      <c r="G77" s="106"/>
      <c r="H77" s="106"/>
      <c r="I77" s="103"/>
      <c r="U77" s="30" t="str">
        <f aca="false">IF(A77="","",IFERROR(INDEX(Schedule!$N$7:$N$18,MATCH(A77,Schedule!$A$7:$A$18,0)),"not in schedule"))</f>
        <v/>
      </c>
    </row>
    <row r="78" customFormat="false" ht="15" hidden="false" customHeight="false" outlineLevel="0" collapsed="false">
      <c r="A78" s="103"/>
      <c r="B78" s="102"/>
      <c r="C78" s="104"/>
      <c r="D78" s="103"/>
      <c r="E78" s="103"/>
      <c r="F78" s="106"/>
      <c r="G78" s="106"/>
      <c r="H78" s="106"/>
      <c r="I78" s="103"/>
      <c r="U78" s="30" t="str">
        <f aca="false">IF(A78="","",IFERROR(INDEX(Schedule!$N$7:$N$18,MATCH(A78,Schedule!$A$7:$A$18,0)),"not in schedule"))</f>
        <v/>
      </c>
    </row>
    <row r="79" customFormat="false" ht="15" hidden="false" customHeight="false" outlineLevel="0" collapsed="false">
      <c r="A79" s="103"/>
      <c r="B79" s="102"/>
      <c r="C79" s="104"/>
      <c r="D79" s="103"/>
      <c r="E79" s="103"/>
      <c r="F79" s="106"/>
      <c r="G79" s="106"/>
      <c r="H79" s="106"/>
      <c r="I79" s="103"/>
      <c r="U79" s="30" t="str">
        <f aca="false">IF(A79="","",IFERROR(INDEX(Schedule!$N$7:$N$18,MATCH(A79,Schedule!$A$7:$A$18,0)),"not in schedule"))</f>
        <v/>
      </c>
    </row>
    <row r="80" customFormat="false" ht="15" hidden="false" customHeight="false" outlineLevel="0" collapsed="false">
      <c r="A80" s="103"/>
      <c r="B80" s="102"/>
      <c r="C80" s="104"/>
      <c r="D80" s="103"/>
      <c r="E80" s="103"/>
      <c r="F80" s="106"/>
      <c r="G80" s="106"/>
      <c r="H80" s="106"/>
      <c r="I80" s="103"/>
      <c r="U80" s="30" t="str">
        <f aca="false">IF(A80="","",IFERROR(INDEX(Schedule!$N$7:$N$18,MATCH(A80,Schedule!$A$7:$A$18,0)),"not in schedule"))</f>
        <v/>
      </c>
    </row>
    <row r="81" customFormat="false" ht="15" hidden="false" customHeight="false" outlineLevel="0" collapsed="false">
      <c r="A81" s="103"/>
      <c r="B81" s="102"/>
      <c r="C81" s="104"/>
      <c r="D81" s="103"/>
      <c r="E81" s="103"/>
      <c r="F81" s="106"/>
      <c r="G81" s="106"/>
      <c r="H81" s="106"/>
      <c r="I81" s="103"/>
      <c r="U81" s="30" t="str">
        <f aca="false">IF(A81="","",IFERROR(INDEX(Schedule!$N$7:$N$18,MATCH(A81,Schedule!$A$7:$A$18,0)),"not in schedule"))</f>
        <v/>
      </c>
    </row>
    <row r="82" customFormat="false" ht="15" hidden="false" customHeight="false" outlineLevel="0" collapsed="false">
      <c r="A82" s="103"/>
      <c r="B82" s="102"/>
      <c r="C82" s="104"/>
      <c r="D82" s="103"/>
      <c r="E82" s="103"/>
      <c r="F82" s="106"/>
      <c r="G82" s="106"/>
      <c r="H82" s="106"/>
      <c r="I82" s="103"/>
      <c r="U82" s="30" t="str">
        <f aca="false">IF(A82="","",IFERROR(INDEX(Schedule!$N$7:$N$18,MATCH(A82,Schedule!$A$7:$A$18,0)),"not in schedule"))</f>
        <v/>
      </c>
    </row>
    <row r="83" customFormat="false" ht="15" hidden="false" customHeight="false" outlineLevel="0" collapsed="false">
      <c r="A83" s="103"/>
      <c r="B83" s="102"/>
      <c r="C83" s="104"/>
      <c r="D83" s="103"/>
      <c r="E83" s="103"/>
      <c r="F83" s="106"/>
      <c r="G83" s="106"/>
      <c r="H83" s="106"/>
      <c r="I83" s="103"/>
      <c r="U83" s="30" t="str">
        <f aca="false">IF(A83="","",IFERROR(INDEX(Schedule!$N$7:$N$18,MATCH(A83,Schedule!$A$7:$A$18,0)),"not in schedule"))</f>
        <v/>
      </c>
    </row>
    <row r="84" customFormat="false" ht="15" hidden="false" customHeight="false" outlineLevel="0" collapsed="false">
      <c r="A84" s="103"/>
      <c r="B84" s="102"/>
      <c r="C84" s="104"/>
      <c r="D84" s="103"/>
      <c r="E84" s="103"/>
      <c r="F84" s="106"/>
      <c r="G84" s="106"/>
      <c r="H84" s="106"/>
      <c r="I84" s="103"/>
      <c r="U84" s="30" t="str">
        <f aca="false">IF(A84="","",IFERROR(INDEX(Schedule!$N$7:$N$18,MATCH(A84,Schedule!$A$7:$A$18,0)),"not in schedule"))</f>
        <v/>
      </c>
    </row>
    <row r="85" customFormat="false" ht="15" hidden="false" customHeight="false" outlineLevel="0" collapsed="false">
      <c r="A85" s="103"/>
      <c r="B85" s="102"/>
      <c r="C85" s="104"/>
      <c r="D85" s="103"/>
      <c r="E85" s="103"/>
      <c r="F85" s="106"/>
      <c r="G85" s="106"/>
      <c r="H85" s="106"/>
      <c r="I85" s="103"/>
      <c r="U85" s="30" t="str">
        <f aca="false">IF(A85="","",IFERROR(INDEX(Schedule!$N$7:$N$18,MATCH(A85,Schedule!$A$7:$A$18,0)),"not in schedule"))</f>
        <v/>
      </c>
    </row>
    <row r="86" customFormat="false" ht="15" hidden="false" customHeight="false" outlineLevel="0" collapsed="false">
      <c r="A86" s="103"/>
      <c r="B86" s="102"/>
      <c r="C86" s="104"/>
      <c r="D86" s="103"/>
      <c r="E86" s="103"/>
      <c r="F86" s="106"/>
      <c r="G86" s="106"/>
      <c r="H86" s="106"/>
      <c r="I86" s="103"/>
      <c r="U86" s="30" t="str">
        <f aca="false">IF(A86="","",IFERROR(INDEX(Schedule!$N$7:$N$18,MATCH(A86,Schedule!$A$7:$A$18,0)),"not in schedule"))</f>
        <v/>
      </c>
    </row>
    <row r="87" customFormat="false" ht="15" hidden="false" customHeight="false" outlineLevel="0" collapsed="false">
      <c r="A87" s="103"/>
      <c r="B87" s="102"/>
      <c r="C87" s="104"/>
      <c r="D87" s="103"/>
      <c r="E87" s="103"/>
      <c r="F87" s="106"/>
      <c r="G87" s="106"/>
      <c r="H87" s="106"/>
      <c r="I87" s="103"/>
      <c r="U87" s="30" t="str">
        <f aca="false">IF(A87="","",IFERROR(INDEX(Schedule!$N$7:$N$18,MATCH(A87,Schedule!$A$7:$A$18,0)),"not in schedule"))</f>
        <v/>
      </c>
    </row>
    <row r="88" customFormat="false" ht="15" hidden="false" customHeight="false" outlineLevel="0" collapsed="false">
      <c r="A88" s="103"/>
      <c r="B88" s="102"/>
      <c r="C88" s="104"/>
      <c r="D88" s="103"/>
      <c r="E88" s="103"/>
      <c r="F88" s="106"/>
      <c r="G88" s="106"/>
      <c r="H88" s="106"/>
      <c r="I88" s="103"/>
      <c r="U88" s="30" t="str">
        <f aca="false">IF(A88="","",IFERROR(INDEX(Schedule!$N$7:$N$18,MATCH(A88,Schedule!$A$7:$A$18,0)),"not in schedule"))</f>
        <v/>
      </c>
    </row>
    <row r="89" customFormat="false" ht="15" hidden="false" customHeight="false" outlineLevel="0" collapsed="false">
      <c r="A89" s="103"/>
      <c r="B89" s="102"/>
      <c r="C89" s="104"/>
      <c r="D89" s="103"/>
      <c r="E89" s="103"/>
      <c r="F89" s="106"/>
      <c r="G89" s="106"/>
      <c r="H89" s="106"/>
      <c r="I89" s="103"/>
      <c r="U89" s="30" t="str">
        <f aca="false">IF(A89="","",IFERROR(INDEX(Schedule!$N$7:$N$18,MATCH(A89,Schedule!$A$7:$A$18,0)),"not in schedule"))</f>
        <v/>
      </c>
    </row>
    <row r="90" customFormat="false" ht="15" hidden="false" customHeight="false" outlineLevel="0" collapsed="false">
      <c r="A90" s="103"/>
      <c r="B90" s="102"/>
      <c r="C90" s="104"/>
      <c r="D90" s="103"/>
      <c r="E90" s="103"/>
      <c r="F90" s="106"/>
      <c r="G90" s="106"/>
      <c r="H90" s="106"/>
      <c r="I90" s="103"/>
      <c r="U90" s="30" t="str">
        <f aca="false">IF(A90="","",IFERROR(INDEX(Schedule!$N$7:$N$18,MATCH(A90,Schedule!$A$7:$A$18,0)),"not in schedule"))</f>
        <v/>
      </c>
    </row>
    <row r="91" customFormat="false" ht="15" hidden="false" customHeight="false" outlineLevel="0" collapsed="false">
      <c r="A91" s="103"/>
      <c r="B91" s="102"/>
      <c r="C91" s="104"/>
      <c r="D91" s="103"/>
      <c r="E91" s="103"/>
      <c r="F91" s="106"/>
      <c r="G91" s="106"/>
      <c r="H91" s="106"/>
      <c r="I91" s="103"/>
      <c r="U91" s="30" t="str">
        <f aca="false">IF(A91="","",IFERROR(INDEX(Schedule!$N$7:$N$18,MATCH(A91,Schedule!$A$7:$A$18,0)),"not in schedule"))</f>
        <v/>
      </c>
    </row>
    <row r="92" customFormat="false" ht="15" hidden="false" customHeight="false" outlineLevel="0" collapsed="false">
      <c r="A92" s="103"/>
      <c r="B92" s="102"/>
      <c r="C92" s="104"/>
      <c r="D92" s="103"/>
      <c r="E92" s="103"/>
      <c r="F92" s="106"/>
      <c r="G92" s="106"/>
      <c r="H92" s="106"/>
      <c r="I92" s="103"/>
      <c r="U92" s="30" t="str">
        <f aca="false">IF(A92="","",IFERROR(INDEX(Schedule!$N$7:$N$18,MATCH(A92,Schedule!$A$7:$A$18,0)),"not in schedule"))</f>
        <v/>
      </c>
    </row>
    <row r="93" customFormat="false" ht="15" hidden="false" customHeight="false" outlineLevel="0" collapsed="false">
      <c r="A93" s="103"/>
      <c r="B93" s="102"/>
      <c r="C93" s="104"/>
      <c r="D93" s="103"/>
      <c r="E93" s="103"/>
      <c r="F93" s="106"/>
      <c r="G93" s="106"/>
      <c r="H93" s="106"/>
      <c r="I93" s="103"/>
      <c r="U93" s="30" t="str">
        <f aca="false">IF(A93="","",IFERROR(INDEX(Schedule!$N$7:$N$18,MATCH(A93,Schedule!$A$7:$A$18,0)),"not in schedule"))</f>
        <v/>
      </c>
    </row>
    <row r="94" customFormat="false" ht="15" hidden="false" customHeight="false" outlineLevel="0" collapsed="false">
      <c r="A94" s="103"/>
      <c r="B94" s="102"/>
      <c r="C94" s="104"/>
      <c r="D94" s="103"/>
      <c r="E94" s="103"/>
      <c r="F94" s="106"/>
      <c r="G94" s="106"/>
      <c r="H94" s="106"/>
      <c r="I94" s="103"/>
      <c r="U94" s="30" t="str">
        <f aca="false">IF(A94="","",IFERROR(INDEX(Schedule!$N$7:$N$18,MATCH(A94,Schedule!$A$7:$A$18,0)),"not in schedule"))</f>
        <v/>
      </c>
    </row>
    <row r="95" customFormat="false" ht="15" hidden="false" customHeight="false" outlineLevel="0" collapsed="false">
      <c r="A95" s="103"/>
      <c r="B95" s="102"/>
      <c r="C95" s="104"/>
      <c r="D95" s="103"/>
      <c r="E95" s="103"/>
      <c r="F95" s="106"/>
      <c r="G95" s="106"/>
      <c r="H95" s="106"/>
      <c r="I95" s="103"/>
      <c r="U95" s="30" t="str">
        <f aca="false">IF(A95="","",IFERROR(INDEX(Schedule!$N$7:$N$18,MATCH(A95,Schedule!$A$7:$A$18,0)),"not in schedule"))</f>
        <v/>
      </c>
    </row>
    <row r="96" customFormat="false" ht="15" hidden="false" customHeight="false" outlineLevel="0" collapsed="false">
      <c r="A96" s="103"/>
      <c r="B96" s="102"/>
      <c r="C96" s="104"/>
      <c r="D96" s="103"/>
      <c r="E96" s="103"/>
      <c r="F96" s="106"/>
      <c r="G96" s="106"/>
      <c r="H96" s="106"/>
      <c r="I96" s="103"/>
      <c r="U96" s="30" t="str">
        <f aca="false">IF(A96="","",IFERROR(INDEX(Schedule!$N$7:$N$18,MATCH(A96,Schedule!$A$7:$A$18,0)),"not in schedule"))</f>
        <v/>
      </c>
    </row>
    <row r="97" customFormat="false" ht="15" hidden="false" customHeight="false" outlineLevel="0" collapsed="false">
      <c r="A97" s="103"/>
      <c r="B97" s="102"/>
      <c r="C97" s="104"/>
      <c r="D97" s="103"/>
      <c r="E97" s="103"/>
      <c r="F97" s="106"/>
      <c r="G97" s="106"/>
      <c r="H97" s="106"/>
      <c r="I97" s="103"/>
      <c r="U97" s="30" t="str">
        <f aca="false">IF(A97="","",IFERROR(INDEX(Schedule!$N$7:$N$18,MATCH(A97,Schedule!$A$7:$A$18,0)),"not in schedule"))</f>
        <v/>
      </c>
    </row>
    <row r="98" customFormat="false" ht="15" hidden="false" customHeight="false" outlineLevel="0" collapsed="false">
      <c r="A98" s="103"/>
      <c r="B98" s="102"/>
      <c r="C98" s="104"/>
      <c r="D98" s="103"/>
      <c r="E98" s="103"/>
      <c r="F98" s="106"/>
      <c r="G98" s="106"/>
      <c r="H98" s="106"/>
      <c r="I98" s="103"/>
      <c r="U98" s="30" t="str">
        <f aca="false">IF(A98="","",IFERROR(INDEX(Schedule!$N$7:$N$18,MATCH(A98,Schedule!$A$7:$A$18,0)),"not in schedule"))</f>
        <v/>
      </c>
    </row>
    <row r="99" customFormat="false" ht="15" hidden="false" customHeight="false" outlineLevel="0" collapsed="false">
      <c r="A99" s="103"/>
      <c r="B99" s="102"/>
      <c r="C99" s="104"/>
      <c r="D99" s="103"/>
      <c r="E99" s="103"/>
      <c r="F99" s="106"/>
      <c r="G99" s="106"/>
      <c r="H99" s="106"/>
      <c r="I99" s="103"/>
      <c r="U99" s="30" t="str">
        <f aca="false">IF(A99="","",IFERROR(INDEX(Schedule!$N$7:$N$18,MATCH(A99,Schedule!$A$7:$A$18,0)),"not in schedule"))</f>
        <v/>
      </c>
    </row>
    <row r="100" customFormat="false" ht="15" hidden="false" customHeight="false" outlineLevel="0" collapsed="false">
      <c r="A100" s="103"/>
      <c r="B100" s="102"/>
      <c r="C100" s="104"/>
      <c r="D100" s="103"/>
      <c r="E100" s="103"/>
      <c r="F100" s="106"/>
      <c r="G100" s="106"/>
      <c r="H100" s="106"/>
      <c r="I100" s="103"/>
      <c r="U100" s="30" t="str">
        <f aca="false">IF(A100="","",IFERROR(INDEX(Schedule!$N$7:$N$18,MATCH(A100,Schedule!$A$7:$A$18,0)),"not in schedule"))</f>
        <v/>
      </c>
    </row>
    <row r="101" customFormat="false" ht="15" hidden="false" customHeight="false" outlineLevel="0" collapsed="false">
      <c r="A101" s="103"/>
      <c r="B101" s="102"/>
      <c r="C101" s="104"/>
      <c r="D101" s="103"/>
      <c r="E101" s="103"/>
      <c r="F101" s="106"/>
      <c r="G101" s="106"/>
      <c r="H101" s="106"/>
      <c r="I101" s="103"/>
      <c r="U101" s="30" t="str">
        <f aca="false">IF(A101="","",IFERROR(INDEX(Schedule!$N$7:$N$18,MATCH(A101,Schedule!$A$7:$A$18,0)),"not in schedule"))</f>
        <v/>
      </c>
    </row>
    <row r="102" customFormat="false" ht="15" hidden="false" customHeight="false" outlineLevel="0" collapsed="false">
      <c r="A102" s="103"/>
      <c r="B102" s="102"/>
      <c r="C102" s="104"/>
      <c r="D102" s="103"/>
      <c r="E102" s="103"/>
      <c r="F102" s="106"/>
      <c r="G102" s="106"/>
      <c r="H102" s="106"/>
      <c r="I102" s="103"/>
      <c r="U102" s="30" t="str">
        <f aca="false">IF(A102="","",IFERROR(INDEX(Schedule!$N$7:$N$18,MATCH(A102,Schedule!$A$7:$A$18,0)),"not in schedule"))</f>
        <v/>
      </c>
    </row>
    <row r="103" customFormat="false" ht="15" hidden="false" customHeight="false" outlineLevel="0" collapsed="false">
      <c r="A103" s="103"/>
      <c r="B103" s="102"/>
      <c r="C103" s="104"/>
      <c r="D103" s="103"/>
      <c r="E103" s="103"/>
      <c r="F103" s="106"/>
      <c r="G103" s="106"/>
      <c r="H103" s="106"/>
      <c r="I103" s="103"/>
      <c r="U103" s="30" t="str">
        <f aca="false">IF(A103="","",IFERROR(INDEX(Schedule!$N$7:$N$18,MATCH(A103,Schedule!$A$7:$A$18,0)),"not in schedule"))</f>
        <v/>
      </c>
    </row>
    <row r="104" customFormat="false" ht="15" hidden="false" customHeight="false" outlineLevel="0" collapsed="false">
      <c r="A104" s="103"/>
      <c r="B104" s="102"/>
      <c r="C104" s="104"/>
      <c r="D104" s="103"/>
      <c r="E104" s="103"/>
      <c r="F104" s="106"/>
      <c r="G104" s="106"/>
      <c r="H104" s="106"/>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1589</v>
      </c>
    </row>
    <row r="2" customFormat="false" ht="15" hidden="false" customHeight="false" outlineLevel="0" collapsed="false">
      <c r="A2" s="2" t="s">
        <v>1590</v>
      </c>
    </row>
    <row r="3" customFormat="false" ht="30" hidden="false" customHeight="true" outlineLevel="0" collapsed="false">
      <c r="A3" s="8" t="s">
        <v>1591</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324</v>
      </c>
      <c r="B6" s="12" t="s">
        <v>326</v>
      </c>
      <c r="C6" s="12" t="s">
        <v>1070</v>
      </c>
      <c r="D6" s="12" t="s">
        <v>331</v>
      </c>
      <c r="E6" s="12" t="s">
        <v>1018</v>
      </c>
      <c r="F6" s="12" t="s">
        <v>1015</v>
      </c>
      <c r="G6" s="12" t="s">
        <v>1017</v>
      </c>
      <c r="H6" s="12" t="s">
        <v>1592</v>
      </c>
      <c r="I6" s="12" t="s">
        <v>1593</v>
      </c>
      <c r="J6" s="12" t="s">
        <v>332</v>
      </c>
      <c r="K6" s="12" t="s">
        <v>1026</v>
      </c>
      <c r="L6" s="12" t="s">
        <v>1027</v>
      </c>
      <c r="M6" s="12" t="s">
        <v>1028</v>
      </c>
      <c r="N6" s="12" t="s">
        <v>1029</v>
      </c>
      <c r="O6" s="12" t="s">
        <v>1030</v>
      </c>
      <c r="P6" s="12" t="s">
        <v>1031</v>
      </c>
      <c r="Q6" s="12" t="s">
        <v>1032</v>
      </c>
      <c r="R6" s="12" t="s">
        <v>333</v>
      </c>
      <c r="S6" s="12" t="s">
        <v>334</v>
      </c>
      <c r="T6" s="12" t="s">
        <v>1033</v>
      </c>
      <c r="U6" s="12" t="s">
        <v>1555</v>
      </c>
      <c r="V6" s="12" t="s">
        <v>1556</v>
      </c>
      <c r="W6" s="12" t="s">
        <v>1557</v>
      </c>
      <c r="X6" s="12" t="s">
        <v>1558</v>
      </c>
      <c r="Y6" s="12" t="s">
        <v>1559</v>
      </c>
      <c r="Z6" s="12" t="s">
        <v>1560</v>
      </c>
      <c r="AA6" s="12" t="s">
        <v>1561</v>
      </c>
      <c r="AB6" s="12" t="s">
        <v>1562</v>
      </c>
      <c r="AC6" s="12" t="s">
        <v>1563</v>
      </c>
      <c r="AD6" s="12" t="s">
        <v>1564</v>
      </c>
      <c r="AE6" s="12" t="s">
        <v>1594</v>
      </c>
      <c r="AF6" s="12" t="s">
        <v>1595</v>
      </c>
      <c r="AG6" s="12" t="s">
        <v>1596</v>
      </c>
      <c r="AH6" s="12" t="s">
        <v>1597</v>
      </c>
      <c r="AI6" s="12" t="s">
        <v>1598</v>
      </c>
      <c r="AJ6" s="12" t="s">
        <v>1599</v>
      </c>
      <c r="AK6" s="12" t="s">
        <v>1600</v>
      </c>
      <c r="AL6" s="12" t="s">
        <v>1601</v>
      </c>
      <c r="AM6" s="12" t="s">
        <v>1602</v>
      </c>
    </row>
    <row r="7" customFormat="false" ht="15" hidden="false" customHeight="false" outlineLevel="0" collapsed="false">
      <c r="A7" s="30" t="str">
        <f aca="false">Drop_PnL!A7</f>
        <v>DRP-001</v>
      </c>
      <c r="B7" s="18" t="n">
        <f aca="false">Drop_PnL!B7</f>
        <v>46399</v>
      </c>
      <c r="C7" s="30" t="str">
        <f aca="false">Drop_PnL!AZ7</f>
        <v>Y</v>
      </c>
      <c r="D7" s="19" t="n">
        <f aca="false">SUMIFS(Actuals_Campaigns!$R$5:$R$204,Actuals_Campaigns!$B$5:$B$204,A7)</f>
        <v>1080</v>
      </c>
      <c r="E7" s="19" t="n">
        <f aca="false">SUMIFS(Actuals_Campaigns!$T$5:$T$204,Actuals_Campaigns!$B$5:$B$204,A7)</f>
        <v>0</v>
      </c>
      <c r="F7" s="19" t="n">
        <f aca="false">SUMIFS(Actuals_DropCosts!$F$5:$F$104,Actuals_DropCosts!$A$5:$A$104,A7)</f>
        <v>80</v>
      </c>
      <c r="G7" s="19" t="n">
        <f aca="false">SUMIFS(Actuals_DropCosts!$G$5:$G$104,Actuals_DropCosts!$A$5:$A$104,A7)</f>
        <v>63</v>
      </c>
      <c r="H7" s="19" t="n">
        <f aca="false">SUMIFS(Actuals_DropCosts!$H$5:$H$104,Actuals_DropCosts!$A$5:$A$104,A7)</f>
        <v>9</v>
      </c>
      <c r="I7" s="19" t="n">
        <f aca="false">IF(OR(C7="Y",AF7&gt;0,F7+G7+H7&gt;0),Drop_PnL!AM7,0)</f>
        <v>80</v>
      </c>
      <c r="J7" s="37" t="n">
        <f aca="false">SUM(E7:I7)</f>
        <v>232</v>
      </c>
      <c r="K7" s="36" t="n">
        <f aca="false">Hours_Log!R5</f>
        <v>20</v>
      </c>
      <c r="L7" s="36" t="n">
        <f aca="false">Hours_Log!S5</f>
        <v>20</v>
      </c>
      <c r="M7" s="36" t="n">
        <f aca="false">Hours_Log!T5</f>
        <v>3</v>
      </c>
      <c r="N7" s="36" t="n">
        <f aca="false">Hours_Log!U5</f>
        <v>5</v>
      </c>
      <c r="O7" s="36" t="n">
        <f aca="false">Hours_Log!V5</f>
        <v>3</v>
      </c>
      <c r="P7" s="36" t="n">
        <f aca="false">Hours_Log!W5</f>
        <v>4</v>
      </c>
      <c r="Q7" s="36" t="n">
        <f aca="false">Hours_Log!X5</f>
        <v>2</v>
      </c>
      <c r="R7" s="38" t="n">
        <f aca="false">SUM(K7:Q7)</f>
        <v>57</v>
      </c>
      <c r="S7" s="37" t="n">
        <f aca="false">IF(AND(NOT(OR(C7="Y",AF7&gt;0,F7+G7+H7&gt;0)),R7=0),"",D7-J7)</f>
        <v>848</v>
      </c>
      <c r="T7" s="29" t="n">
        <f aca="false">IF(S7="","",IF(R7&gt;0,S7/R7,"n/a"))</f>
        <v>14.8771929824561</v>
      </c>
      <c r="U7" s="24" t="n">
        <f aca="false">SUMIFS(Actuals_Campaigns!$H$5:$H$204,Actuals_Campaigns!$B$5:$B$204,A7)</f>
        <v>551</v>
      </c>
      <c r="V7" s="24" t="n">
        <f aca="false">SUMIFS(Actuals_Campaigns!$I$5:$I$204,Actuals_Campaigns!$B$5:$B$204,A7)</f>
        <v>500</v>
      </c>
      <c r="W7" s="24" t="n">
        <f aca="false">SUMIFS(Actuals_Campaigns!$J$5:$J$204,Actuals_Campaigns!$B$5:$B$204,A7)</f>
        <v>498</v>
      </c>
      <c r="X7" s="24" t="n">
        <f aca="false">SUMIFS(Actuals_Campaigns!$K$5:$K$204,Actuals_Campaigns!$B$5:$B$204,A7)</f>
        <v>448</v>
      </c>
      <c r="Y7" s="24" t="n">
        <f aca="false">SUMIFS(Actuals_Campaigns!$L$5:$L$204,Actuals_Campaigns!$B$5:$B$204,A7)</f>
        <v>11</v>
      </c>
      <c r="Z7" s="24" t="n">
        <f aca="false">SUMIFS(Actuals_Campaigns!$M$5:$M$204,Actuals_Campaigns!$B$5:$B$204,A7)</f>
        <v>438</v>
      </c>
      <c r="AA7" s="24" t="n">
        <f aca="false">SUMIFS(Actuals_Campaigns!$N$5:$N$204,Actuals_Campaigns!$B$5:$B$204,A7)</f>
        <v>66</v>
      </c>
      <c r="AB7" s="24" t="n">
        <f aca="false">SUMIFS(Actuals_Campaigns!$O$5:$O$204,Actuals_Campaigns!$B$5:$B$204,A7)</f>
        <v>46</v>
      </c>
      <c r="AC7" s="24" t="n">
        <f aca="false">SUMIFS(Actuals_Campaigns!$P$5:$P$204,Actuals_Campaigns!$B$5:$B$204,A7)</f>
        <v>84</v>
      </c>
      <c r="AD7" s="24" t="n">
        <f aca="false">SUMIFS(Actuals_Campaigns!$Q$5:$Q$204,Actuals_Campaigns!$B$5:$B$204,A7)</f>
        <v>15</v>
      </c>
      <c r="AE7" s="32" t="s">
        <v>1603</v>
      </c>
      <c r="AF7" s="21" t="n">
        <f aca="false">COUNTIF(Actuals_Campaigns!$B$5:$B$204,A7)</f>
        <v>2</v>
      </c>
      <c r="AG7" s="26" t="n">
        <f aca="false">IF(V7&gt;0,X7/V7,"")</f>
        <v>0.896</v>
      </c>
      <c r="AH7" s="21" t="n">
        <f aca="false">IF(AF7=0,"",COUNTIFS(Actuals_Campaigns!$B$5:$B$204,A7,Actuals_Campaigns!$AN$5:$AN$204,"&lt;"&amp;Inputs!$C$131))</f>
        <v>1</v>
      </c>
      <c r="AI7" s="21" t="n">
        <f aca="false">IF(AF7=0,"",COUNTIFS(Actuals_Campaigns!$B$5:$B$204,A7,Actuals_Campaigns!$AP$5:$AP$204,"Y")+COUNTIFS(Actuals_Campaigns!$B$5:$B$204,A7,Actuals_Campaigns!$AP$5:$AP$204,"missing"))</f>
        <v>0</v>
      </c>
      <c r="AJ7" s="21" t="n">
        <f aca="false">IF(AF7=0,"",COUNTIFS(Actuals_Campaigns!$B$5:$B$204,A7,Actuals_Campaigns!$V$5:$V$204,"yes"))</f>
        <v>1</v>
      </c>
      <c r="AK7" s="21" t="n">
        <f aca="false">COUNTIFS(Actuals_Campaigns!$B$5:$B$204,A7,Actuals_Campaigns!$W$5:$W$204,"Y")</f>
        <v>1</v>
      </c>
      <c r="AL7" s="21" t="n">
        <f aca="false">COUNTIFS(Actuals_Campaigns!$B$5:$B$204,A7,Actuals_Campaigns!$W$5:$W$204,"N")</f>
        <v>1</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928</v>
      </c>
    </row>
    <row r="8" customFormat="false" ht="15" hidden="false" customHeight="false" outlineLevel="0" collapsed="false">
      <c r="A8" s="30" t="str">
        <f aca="false">Drop_PnL!A8</f>
        <v>DRP-002</v>
      </c>
      <c r="B8" s="18" t="n">
        <f aca="false">Drop_PnL!B8</f>
        <v>46427</v>
      </c>
      <c r="C8" s="30" t="str">
        <f aca="false">Drop_PnL!AZ8</f>
        <v>N</v>
      </c>
      <c r="D8" s="19" t="n">
        <f aca="false">SUMIFS(Actuals_Campaigns!$R$5:$R$204,Actuals_Campaigns!$B$5:$B$204,A8)</f>
        <v>0</v>
      </c>
      <c r="E8" s="19" t="n">
        <f aca="false">SUMIFS(Actuals_Campaigns!$T$5:$T$204,Actuals_Campaigns!$B$5:$B$204,A8)</f>
        <v>0</v>
      </c>
      <c r="F8" s="19" t="n">
        <f aca="false">SUMIFS(Actuals_DropCosts!$F$5:$F$104,Actuals_DropCosts!$A$5:$A$104,A8)</f>
        <v>0</v>
      </c>
      <c r="G8" s="19" t="n">
        <f aca="false">SUMIFS(Actuals_DropCosts!$G$5:$G$104,Actuals_DropCosts!$A$5:$A$104,A8)</f>
        <v>0</v>
      </c>
      <c r="H8" s="19" t="n">
        <f aca="false">SUMIFS(Actuals_DropCosts!$H$5:$H$104,Actuals_DropCosts!$A$5:$A$104,A8)</f>
        <v>0</v>
      </c>
      <c r="I8" s="19" t="n">
        <f aca="false">IF(OR(C8="Y",AF8&gt;0,F8+G8+H8&gt;0),Drop_PnL!AM8,0)</f>
        <v>0</v>
      </c>
      <c r="J8" s="37" t="n">
        <f aca="false">SUM(E8:I8)</f>
        <v>0</v>
      </c>
      <c r="K8" s="36" t="n">
        <f aca="false">Hours_Log!R6</f>
        <v>0</v>
      </c>
      <c r="L8" s="36" t="n">
        <f aca="false">Hours_Log!S6</f>
        <v>0</v>
      </c>
      <c r="M8" s="36" t="n">
        <f aca="false">Hours_Log!T6</f>
        <v>0</v>
      </c>
      <c r="N8" s="36" t="n">
        <f aca="false">Hours_Log!U6</f>
        <v>0</v>
      </c>
      <c r="O8" s="36" t="n">
        <f aca="false">Hours_Log!V6</f>
        <v>0</v>
      </c>
      <c r="P8" s="36" t="n">
        <f aca="false">Hours_Log!W6</f>
        <v>0</v>
      </c>
      <c r="Q8" s="36" t="n">
        <f aca="false">Hours_Log!X6</f>
        <v>0</v>
      </c>
      <c r="R8" s="38" t="n">
        <f aca="false">SUM(K8:Q8)</f>
        <v>0</v>
      </c>
      <c r="S8" s="37" t="str">
        <f aca="false">IF(AND(NOT(OR(C8="Y",AF8&gt;0,F8+G8+H8&gt;0)),R8=0),"",D8-J8)</f>
        <v/>
      </c>
      <c r="T8" s="29" t="str">
        <f aca="false">IF(S8="","",IF(R8&gt;0,S8/R8,"n/a"))</f>
        <v/>
      </c>
      <c r="U8" s="24" t="n">
        <f aca="false">SUMIFS(Actuals_Campaigns!$H$5:$H$204,Actuals_Campaigns!$B$5:$B$204,A8)</f>
        <v>0</v>
      </c>
      <c r="V8" s="24" t="n">
        <f aca="false">SUMIFS(Actuals_Campaigns!$I$5:$I$204,Actuals_Campaigns!$B$5:$B$204,A8)</f>
        <v>0</v>
      </c>
      <c r="W8" s="24" t="n">
        <f aca="false">SUMIFS(Actuals_Campaigns!$J$5:$J$204,Actuals_Campaigns!$B$5:$B$204,A8)</f>
        <v>0</v>
      </c>
      <c r="X8" s="24" t="n">
        <f aca="false">SUMIFS(Actuals_Campaigns!$K$5:$K$204,Actuals_Campaigns!$B$5:$B$204,A8)</f>
        <v>0</v>
      </c>
      <c r="Y8" s="24" t="n">
        <f aca="false">SUMIFS(Actuals_Campaigns!$L$5:$L$204,Actuals_Campaigns!$B$5:$B$204,A8)</f>
        <v>0</v>
      </c>
      <c r="Z8" s="24" t="n">
        <f aca="false">SUMIFS(Actuals_Campaigns!$M$5:$M$204,Actuals_Campaigns!$B$5:$B$204,A8)</f>
        <v>0</v>
      </c>
      <c r="AA8" s="24" t="n">
        <f aca="false">SUMIFS(Actuals_Campaigns!$N$5:$N$204,Actuals_Campaigns!$B$5:$B$204,A8)</f>
        <v>0</v>
      </c>
      <c r="AB8" s="24" t="n">
        <f aca="false">SUMIFS(Actuals_Campaigns!$O$5:$O$204,Actuals_Campaigns!$B$5:$B$204,A8)</f>
        <v>0</v>
      </c>
      <c r="AC8" s="24" t="n">
        <f aca="false">SUMIFS(Actuals_Campaigns!$P$5:$P$204,Actuals_Campaigns!$B$5:$B$204,A8)</f>
        <v>0</v>
      </c>
      <c r="AD8" s="24" t="n">
        <f aca="false">SUMIFS(Actuals_Campaigns!$Q$5:$Q$204,Actuals_Campaigns!$B$5:$B$204,A8)</f>
        <v>0</v>
      </c>
      <c r="AE8" s="32" t="s">
        <v>1603</v>
      </c>
      <c r="AF8" s="21" t="n">
        <f aca="false">COUNTIF(Actuals_Campaigns!$B$5:$B$204,A8)</f>
        <v>0</v>
      </c>
      <c r="AG8" s="26" t="str">
        <f aca="false">IF(V8&gt;0,X8/V8,"")</f>
        <v/>
      </c>
      <c r="AH8" s="21" t="str">
        <f aca="false">IF(AF8=0,"",COUNTIFS(Actuals_Campaigns!$B$5:$B$204,A8,Actuals_Campaigns!$AN$5:$AN$204,"&lt;"&amp;Inputs!$C$131))</f>
        <v/>
      </c>
      <c r="AI8" s="21" t="str">
        <f aca="false">IF(AF8=0,"",COUNTIFS(Actuals_Campaigns!$B$5:$B$204,A8,Actuals_Campaigns!$AP$5:$AP$204,"Y")+COUNTIFS(Actuals_Campaigns!$B$5:$B$204,A8,Actuals_Campaigns!$AP$5:$AP$204,"missing"))</f>
        <v/>
      </c>
      <c r="AJ8" s="21" t="str">
        <f aca="false">IF(AF8=0,"",COUNTIFS(Actuals_Campaigns!$B$5:$B$204,A8,Actuals_Campaigns!$V$5:$V$204,"yes"))</f>
        <v/>
      </c>
      <c r="AK8" s="21" t="n">
        <f aca="false">COUNTIFS(Actuals_Campaigns!$B$5:$B$204,A8,Actuals_Campaigns!$W$5:$W$204,"Y")</f>
        <v>0</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0</v>
      </c>
    </row>
    <row r="9" customFormat="false" ht="15" hidden="false" customHeight="false" outlineLevel="0" collapsed="false">
      <c r="A9" s="30" t="str">
        <f aca="false">Drop_PnL!A9</f>
        <v>DRP-003</v>
      </c>
      <c r="B9" s="18" t="n">
        <f aca="false">Drop_PnL!B9</f>
        <v>46441</v>
      </c>
      <c r="C9" s="30" t="str">
        <f aca="false">Drop_PnL!AZ9</f>
        <v>N</v>
      </c>
      <c r="D9" s="19" t="n">
        <f aca="false">SUMIFS(Actuals_Campaigns!$R$5:$R$204,Actuals_Campaigns!$B$5:$B$204,A9)</f>
        <v>0</v>
      </c>
      <c r="E9" s="19" t="n">
        <f aca="false">SUMIFS(Actuals_Campaigns!$T$5:$T$204,Actuals_Campaigns!$B$5:$B$204,A9)</f>
        <v>0</v>
      </c>
      <c r="F9" s="19" t="n">
        <f aca="false">SUMIFS(Actuals_DropCosts!$F$5:$F$104,Actuals_DropCosts!$A$5:$A$104,A9)</f>
        <v>0</v>
      </c>
      <c r="G9" s="19" t="n">
        <f aca="false">SUMIFS(Actuals_DropCosts!$G$5:$G$104,Actuals_DropCosts!$A$5:$A$104,A9)</f>
        <v>0</v>
      </c>
      <c r="H9" s="19" t="n">
        <f aca="false">SUMIFS(Actuals_DropCosts!$H$5:$H$104,Actuals_DropCosts!$A$5:$A$104,A9)</f>
        <v>0</v>
      </c>
      <c r="I9" s="19" t="n">
        <f aca="false">IF(OR(C9="Y",AF9&gt;0,F9+G9+H9&gt;0),Drop_PnL!AM9,0)</f>
        <v>0</v>
      </c>
      <c r="J9" s="37" t="n">
        <f aca="false">SUM(E9:I9)</f>
        <v>0</v>
      </c>
      <c r="K9" s="36" t="n">
        <f aca="false">Hours_Log!R7</f>
        <v>0</v>
      </c>
      <c r="L9" s="36" t="n">
        <f aca="false">Hours_Log!S7</f>
        <v>0</v>
      </c>
      <c r="M9" s="36" t="n">
        <f aca="false">Hours_Log!T7</f>
        <v>0</v>
      </c>
      <c r="N9" s="36" t="n">
        <f aca="false">Hours_Log!U7</f>
        <v>0</v>
      </c>
      <c r="O9" s="36" t="n">
        <f aca="false">Hours_Log!V7</f>
        <v>0</v>
      </c>
      <c r="P9" s="36" t="n">
        <f aca="false">Hours_Log!W7</f>
        <v>0</v>
      </c>
      <c r="Q9" s="36" t="n">
        <f aca="false">Hours_Log!X7</f>
        <v>0</v>
      </c>
      <c r="R9" s="38" t="n">
        <f aca="false">SUM(K9:Q9)</f>
        <v>0</v>
      </c>
      <c r="S9" s="37" t="str">
        <f aca="false">IF(AND(NOT(OR(C9="Y",AF9&gt;0,F9+G9+H9&gt;0)),R9=0),"",D9-J9)</f>
        <v/>
      </c>
      <c r="T9" s="29" t="str">
        <f aca="false">IF(S9="","",IF(R9&gt;0,S9/R9,"n/a"))</f>
        <v/>
      </c>
      <c r="U9" s="24" t="n">
        <f aca="false">SUMIFS(Actuals_Campaigns!$H$5:$H$204,Actuals_Campaigns!$B$5:$B$204,A9)</f>
        <v>0</v>
      </c>
      <c r="V9" s="24" t="n">
        <f aca="false">SUMIFS(Actuals_Campaigns!$I$5:$I$204,Actuals_Campaigns!$B$5:$B$204,A9)</f>
        <v>0</v>
      </c>
      <c r="W9" s="24" t="n">
        <f aca="false">SUMIFS(Actuals_Campaigns!$J$5:$J$204,Actuals_Campaigns!$B$5:$B$204,A9)</f>
        <v>0</v>
      </c>
      <c r="X9" s="24" t="n">
        <f aca="false">SUMIFS(Actuals_Campaigns!$K$5:$K$204,Actuals_Campaigns!$B$5:$B$204,A9)</f>
        <v>0</v>
      </c>
      <c r="Y9" s="24" t="n">
        <f aca="false">SUMIFS(Actuals_Campaigns!$L$5:$L$204,Actuals_Campaigns!$B$5:$B$204,A9)</f>
        <v>0</v>
      </c>
      <c r="Z9" s="24" t="n">
        <f aca="false">SUMIFS(Actuals_Campaigns!$M$5:$M$204,Actuals_Campaigns!$B$5:$B$204,A9)</f>
        <v>0</v>
      </c>
      <c r="AA9" s="24" t="n">
        <f aca="false">SUMIFS(Actuals_Campaigns!$N$5:$N$204,Actuals_Campaigns!$B$5:$B$204,A9)</f>
        <v>0</v>
      </c>
      <c r="AB9" s="24" t="n">
        <f aca="false">SUMIFS(Actuals_Campaigns!$O$5:$O$204,Actuals_Campaigns!$B$5:$B$204,A9)</f>
        <v>0</v>
      </c>
      <c r="AC9" s="24" t="n">
        <f aca="false">SUMIFS(Actuals_Campaigns!$P$5:$P$204,Actuals_Campaigns!$B$5:$B$204,A9)</f>
        <v>0</v>
      </c>
      <c r="AD9" s="24" t="n">
        <f aca="false">SUMIFS(Actuals_Campaigns!$Q$5:$Q$204,Actuals_Campaigns!$B$5:$B$204,A9)</f>
        <v>0</v>
      </c>
      <c r="AE9" s="32" t="s">
        <v>1603</v>
      </c>
      <c r="AF9" s="21" t="n">
        <f aca="false">COUNTIF(Actuals_Campaigns!$B$5:$B$204,A9)</f>
        <v>0</v>
      </c>
      <c r="AG9" s="26" t="str">
        <f aca="false">IF(V9&gt;0,X9/V9,"")</f>
        <v/>
      </c>
      <c r="AH9" s="21" t="str">
        <f aca="false">IF(AF9=0,"",COUNTIFS(Actuals_Campaigns!$B$5:$B$204,A9,Actuals_Campaigns!$AN$5:$AN$204,"&lt;"&amp;Inputs!$C$131))</f>
        <v/>
      </c>
      <c r="AI9" s="21" t="str">
        <f aca="false">IF(AF9=0,"",COUNTIFS(Actuals_Campaigns!$B$5:$B$204,A9,Actuals_Campaigns!$AP$5:$AP$204,"Y")+COUNTIFS(Actuals_Campaigns!$B$5:$B$204,A9,Actuals_Campaigns!$AP$5:$AP$204,"missing"))</f>
        <v/>
      </c>
      <c r="AJ9" s="21" t="str">
        <f aca="false">IF(AF9=0,"",COUNTIFS(Actuals_Campaigns!$B$5:$B$204,A9,Actuals_Campaigns!$V$5:$V$204,"yes"))</f>
        <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0</v>
      </c>
    </row>
    <row r="10" customFormat="false" ht="15" hidden="false" customHeight="false" outlineLevel="0" collapsed="false">
      <c r="A10" s="30" t="str">
        <f aca="false">Drop_PnL!A10</f>
        <v>DRP-004</v>
      </c>
      <c r="B10" s="18" t="n">
        <f aca="false">Drop_PnL!B10</f>
        <v>46469</v>
      </c>
      <c r="C10" s="30" t="str">
        <f aca="false">Drop_PnL!AZ10</f>
        <v>N</v>
      </c>
      <c r="D10" s="19" t="n">
        <f aca="false">SUMIFS(Actuals_Campaigns!$R$5:$R$204,Actuals_Campaigns!$B$5:$B$204,A10)</f>
        <v>0</v>
      </c>
      <c r="E10" s="19" t="n">
        <f aca="false">SUMIFS(Actuals_Campaigns!$T$5:$T$204,Actuals_Campaigns!$B$5:$B$204,A10)</f>
        <v>0</v>
      </c>
      <c r="F10" s="19" t="n">
        <f aca="false">SUMIFS(Actuals_DropCosts!$F$5:$F$104,Actuals_DropCosts!$A$5:$A$104,A10)</f>
        <v>0</v>
      </c>
      <c r="G10" s="19" t="n">
        <f aca="false">SUMIFS(Actuals_DropCosts!$G$5:$G$104,Actuals_DropCosts!$A$5:$A$104,A10)</f>
        <v>0</v>
      </c>
      <c r="H10" s="19" t="n">
        <f aca="false">SUMIFS(Actuals_DropCosts!$H$5:$H$104,Actuals_DropCosts!$A$5:$A$104,A10)</f>
        <v>0</v>
      </c>
      <c r="I10" s="19" t="n">
        <f aca="false">IF(OR(C10="Y",AF10&gt;0,F10+G10+H10&gt;0),Drop_PnL!AM10,0)</f>
        <v>0</v>
      </c>
      <c r="J10" s="37" t="n">
        <f aca="false">SUM(E10:I10)</f>
        <v>0</v>
      </c>
      <c r="K10" s="36" t="n">
        <f aca="false">Hours_Log!R8</f>
        <v>0</v>
      </c>
      <c r="L10" s="36" t="n">
        <f aca="false">Hours_Log!S8</f>
        <v>0</v>
      </c>
      <c r="M10" s="36" t="n">
        <f aca="false">Hours_Log!T8</f>
        <v>0</v>
      </c>
      <c r="N10" s="36" t="n">
        <f aca="false">Hours_Log!U8</f>
        <v>0</v>
      </c>
      <c r="O10" s="36" t="n">
        <f aca="false">Hours_Log!V8</f>
        <v>0</v>
      </c>
      <c r="P10" s="36" t="n">
        <f aca="false">Hours_Log!W8</f>
        <v>0</v>
      </c>
      <c r="Q10" s="36" t="n">
        <f aca="false">Hours_Log!X8</f>
        <v>0</v>
      </c>
      <c r="R10" s="38" t="n">
        <f aca="false">SUM(K10:Q10)</f>
        <v>0</v>
      </c>
      <c r="S10" s="37" t="str">
        <f aca="false">IF(AND(NOT(OR(C10="Y",AF10&gt;0,F10+G10+H10&gt;0)),R10=0),"",D10-J10)</f>
        <v/>
      </c>
      <c r="T10" s="29" t="str">
        <f aca="false">IF(S10="","",IF(R10&gt;0,S10/R10,"n/a"))</f>
        <v/>
      </c>
      <c r="U10" s="24" t="n">
        <f aca="false">SUMIFS(Actuals_Campaigns!$H$5:$H$204,Actuals_Campaigns!$B$5:$B$204,A10)</f>
        <v>0</v>
      </c>
      <c r="V10" s="24" t="n">
        <f aca="false">SUMIFS(Actuals_Campaigns!$I$5:$I$204,Actuals_Campaigns!$B$5:$B$204,A10)</f>
        <v>0</v>
      </c>
      <c r="W10" s="24" t="n">
        <f aca="false">SUMIFS(Actuals_Campaigns!$J$5:$J$204,Actuals_Campaigns!$B$5:$B$204,A10)</f>
        <v>0</v>
      </c>
      <c r="X10" s="24" t="n">
        <f aca="false">SUMIFS(Actuals_Campaigns!$K$5:$K$204,Actuals_Campaigns!$B$5:$B$204,A10)</f>
        <v>0</v>
      </c>
      <c r="Y10" s="24" t="n">
        <f aca="false">SUMIFS(Actuals_Campaigns!$L$5:$L$204,Actuals_Campaigns!$B$5:$B$204,A10)</f>
        <v>0</v>
      </c>
      <c r="Z10" s="24" t="n">
        <f aca="false">SUMIFS(Actuals_Campaigns!$M$5:$M$204,Actuals_Campaigns!$B$5:$B$204,A10)</f>
        <v>0</v>
      </c>
      <c r="AA10" s="24" t="n">
        <f aca="false">SUMIFS(Actuals_Campaigns!$N$5:$N$204,Actuals_Campaigns!$B$5:$B$204,A10)</f>
        <v>0</v>
      </c>
      <c r="AB10" s="24" t="n">
        <f aca="false">SUMIFS(Actuals_Campaigns!$O$5:$O$204,Actuals_Campaigns!$B$5:$B$204,A10)</f>
        <v>0</v>
      </c>
      <c r="AC10" s="24" t="n">
        <f aca="false">SUMIFS(Actuals_Campaigns!$P$5:$P$204,Actuals_Campaigns!$B$5:$B$204,A10)</f>
        <v>0</v>
      </c>
      <c r="AD10" s="24" t="n">
        <f aca="false">SUMIFS(Actuals_Campaigns!$Q$5:$Q$204,Actuals_Campaigns!$B$5:$B$204,A10)</f>
        <v>0</v>
      </c>
      <c r="AE10" s="32" t="s">
        <v>1603</v>
      </c>
      <c r="AF10" s="21" t="n">
        <f aca="false">COUNTIF(Actuals_Campaigns!$B$5:$B$204,A10)</f>
        <v>0</v>
      </c>
      <c r="AG10" s="26" t="str">
        <f aca="false">IF(V10&gt;0,X10/V10,"")</f>
        <v/>
      </c>
      <c r="AH10" s="21" t="str">
        <f aca="false">IF(AF10=0,"",COUNTIFS(Actuals_Campaigns!$B$5:$B$204,A10,Actuals_Campaigns!$AN$5:$AN$204,"&lt;"&amp;Inputs!$C$131))</f>
        <v/>
      </c>
      <c r="AI10" s="21" t="str">
        <f aca="false">IF(AF10=0,"",COUNTIFS(Actuals_Campaigns!$B$5:$B$204,A10,Actuals_Campaigns!$AP$5:$AP$204,"Y")+COUNTIFS(Actuals_Campaigns!$B$5:$B$204,A10,Actuals_Campaigns!$AP$5:$AP$204,"missing"))</f>
        <v/>
      </c>
      <c r="AJ10" s="21" t="str">
        <f aca="false">IF(AF10=0,"",COUNTIFS(Actuals_Campaigns!$B$5:$B$204,A10,Actuals_Campaigns!$V$5:$V$204,"yes"))</f>
        <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0</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1603</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1603</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1603</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1603</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1603</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1603</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1603</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1603</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1604</v>
      </c>
    </row>
    <row r="2" customFormat="false" ht="15" hidden="false" customHeight="false" outlineLevel="0" collapsed="false">
      <c r="A2" s="2" t="s">
        <v>1605</v>
      </c>
    </row>
    <row r="3" customFormat="false" ht="30" hidden="false" customHeight="true" outlineLevel="0" collapsed="false">
      <c r="A3" s="8" t="s">
        <v>1606</v>
      </c>
      <c r="B3" s="8"/>
      <c r="C3" s="8"/>
      <c r="D3" s="8"/>
      <c r="E3" s="8"/>
    </row>
    <row r="4" customFormat="false" ht="30" hidden="false" customHeight="true" outlineLevel="0" collapsed="false">
      <c r="A4" s="12" t="s">
        <v>1607</v>
      </c>
      <c r="B4" s="12" t="s">
        <v>1608</v>
      </c>
      <c r="C4" s="12" t="s">
        <v>366</v>
      </c>
      <c r="D4" s="12" t="s">
        <v>1609</v>
      </c>
      <c r="E4" s="12" t="s">
        <v>1610</v>
      </c>
    </row>
    <row r="5" customFormat="false" ht="15" hidden="false" customHeight="false" outlineLevel="0" collapsed="false">
      <c r="A5" s="30" t="s">
        <v>1611</v>
      </c>
      <c r="B5" s="30" t="n">
        <v>1</v>
      </c>
      <c r="C5" s="18" t="n">
        <f aca="false">EDATE(Inputs!$C$80,B5-1)</f>
        <v>46321</v>
      </c>
      <c r="D5" s="19" t="n">
        <f aca="false">IF(AND(C5&gt;=Inputs!$C$10,C5&lt;=Cash_Flow!$AB$6),Inputs!$C$79,0)</f>
        <v>60</v>
      </c>
      <c r="E5" s="32" t="s">
        <v>1612</v>
      </c>
    </row>
    <row r="6" customFormat="false" ht="15" hidden="false" customHeight="false" outlineLevel="0" collapsed="false">
      <c r="A6" s="30" t="s">
        <v>1611</v>
      </c>
      <c r="B6" s="30" t="n">
        <v>2</v>
      </c>
      <c r="C6" s="18" t="n">
        <f aca="false">EDATE(Inputs!$C$80,B6-1)</f>
        <v>46352</v>
      </c>
      <c r="D6" s="19" t="n">
        <f aca="false">IF(AND(C6&gt;=Inputs!$C$10,C6&lt;=Cash_Flow!$AB$6),Inputs!$C$79,0)</f>
        <v>60</v>
      </c>
      <c r="E6" s="32" t="s">
        <v>1612</v>
      </c>
    </row>
    <row r="7" customFormat="false" ht="15" hidden="false" customHeight="false" outlineLevel="0" collapsed="false">
      <c r="A7" s="30" t="s">
        <v>1611</v>
      </c>
      <c r="B7" s="30" t="n">
        <v>3</v>
      </c>
      <c r="C7" s="18" t="n">
        <f aca="false">EDATE(Inputs!$C$80,B7-1)</f>
        <v>46382</v>
      </c>
      <c r="D7" s="19" t="n">
        <f aca="false">IF(AND(C7&gt;=Inputs!$C$10,C7&lt;=Cash_Flow!$AB$6),Inputs!$C$79,0)</f>
        <v>60</v>
      </c>
      <c r="E7" s="32" t="s">
        <v>1612</v>
      </c>
    </row>
    <row r="8" customFormat="false" ht="15" hidden="false" customHeight="false" outlineLevel="0" collapsed="false">
      <c r="A8" s="30" t="s">
        <v>1611</v>
      </c>
      <c r="B8" s="30" t="n">
        <v>4</v>
      </c>
      <c r="C8" s="18" t="n">
        <f aca="false">EDATE(Inputs!$C$80,B8-1)</f>
        <v>46413</v>
      </c>
      <c r="D8" s="19" t="n">
        <f aca="false">IF(AND(C8&gt;=Inputs!$C$10,C8&lt;=Cash_Flow!$AB$6),Inputs!$C$79,0)</f>
        <v>60</v>
      </c>
      <c r="E8" s="32" t="s">
        <v>1612</v>
      </c>
    </row>
    <row r="9" customFormat="false" ht="15" hidden="false" customHeight="false" outlineLevel="0" collapsed="false">
      <c r="A9" s="30" t="s">
        <v>1611</v>
      </c>
      <c r="B9" s="30" t="n">
        <v>5</v>
      </c>
      <c r="C9" s="18" t="n">
        <f aca="false">EDATE(Inputs!$C$80,B9-1)</f>
        <v>46444</v>
      </c>
      <c r="D9" s="19" t="n">
        <f aca="false">IF(AND(C9&gt;=Inputs!$C$10,C9&lt;=Cash_Flow!$AB$6),Inputs!$C$79,0)</f>
        <v>60</v>
      </c>
      <c r="E9" s="32" t="s">
        <v>1612</v>
      </c>
    </row>
    <row r="10" customFormat="false" ht="15" hidden="false" customHeight="false" outlineLevel="0" collapsed="false">
      <c r="A10" s="30" t="s">
        <v>1611</v>
      </c>
      <c r="B10" s="30" t="n">
        <v>6</v>
      </c>
      <c r="C10" s="18" t="n">
        <f aca="false">EDATE(Inputs!$C$80,B10-1)</f>
        <v>46472</v>
      </c>
      <c r="D10" s="19" t="n">
        <f aca="false">IF(AND(C10&gt;=Inputs!$C$10,C10&lt;=Cash_Flow!$AB$6),Inputs!$C$79,0)</f>
        <v>60</v>
      </c>
      <c r="E10" s="32" t="s">
        <v>1612</v>
      </c>
    </row>
    <row r="11" customFormat="false" ht="15" hidden="false" customHeight="false" outlineLevel="0" collapsed="false">
      <c r="A11" s="30" t="s">
        <v>1611</v>
      </c>
      <c r="B11" s="30" t="n">
        <v>7</v>
      </c>
      <c r="C11" s="18" t="n">
        <f aca="false">EDATE(Inputs!$C$80,B11-1)</f>
        <v>46503</v>
      </c>
      <c r="D11" s="19" t="n">
        <f aca="false">IF(AND(C11&gt;=Inputs!$C$10,C11&lt;=Cash_Flow!$AB$6),Inputs!$C$79,0)</f>
        <v>0</v>
      </c>
      <c r="E11" s="32" t="s">
        <v>1612</v>
      </c>
    </row>
    <row r="12" customFormat="false" ht="15" hidden="false" customHeight="false" outlineLevel="0" collapsed="false">
      <c r="A12" s="30" t="s">
        <v>1611</v>
      </c>
      <c r="B12" s="30" t="n">
        <v>8</v>
      </c>
      <c r="C12" s="18" t="n">
        <f aca="false">EDATE(Inputs!$C$80,B12-1)</f>
        <v>46533</v>
      </c>
      <c r="D12" s="19" t="n">
        <f aca="false">IF(AND(C12&gt;=Inputs!$C$10,C12&lt;=Cash_Flow!$AB$6),Inputs!$C$79,0)</f>
        <v>0</v>
      </c>
      <c r="E12" s="32" t="s">
        <v>1612</v>
      </c>
    </row>
    <row r="13" customFormat="false" ht="15" hidden="false" customHeight="false" outlineLevel="0" collapsed="false">
      <c r="A13" s="30" t="s">
        <v>1611</v>
      </c>
      <c r="B13" s="30" t="n">
        <v>9</v>
      </c>
      <c r="C13" s="18" t="n">
        <f aca="false">EDATE(Inputs!$C$80,B13-1)</f>
        <v>46564</v>
      </c>
      <c r="D13" s="19" t="n">
        <f aca="false">IF(AND(C13&gt;=Inputs!$C$10,C13&lt;=Cash_Flow!$AB$6),Inputs!$C$79,0)</f>
        <v>0</v>
      </c>
      <c r="E13" s="32" t="s">
        <v>1612</v>
      </c>
    </row>
    <row r="14" customFormat="false" ht="15" hidden="false" customHeight="false" outlineLevel="0" collapsed="false">
      <c r="A14" s="30" t="s">
        <v>1611</v>
      </c>
      <c r="B14" s="30" t="n">
        <v>10</v>
      </c>
      <c r="C14" s="18" t="n">
        <f aca="false">EDATE(Inputs!$C$80,B14-1)</f>
        <v>46594</v>
      </c>
      <c r="D14" s="19" t="n">
        <f aca="false">IF(AND(C14&gt;=Inputs!$C$10,C14&lt;=Cash_Flow!$AB$6),Inputs!$C$79,0)</f>
        <v>0</v>
      </c>
      <c r="E14" s="32" t="s">
        <v>1612</v>
      </c>
    </row>
    <row r="15" customFormat="false" ht="15" hidden="false" customHeight="false" outlineLevel="0" collapsed="false">
      <c r="A15" s="30" t="s">
        <v>1611</v>
      </c>
      <c r="B15" s="30" t="n">
        <v>11</v>
      </c>
      <c r="C15" s="18" t="n">
        <f aca="false">EDATE(Inputs!$C$80,B15-1)</f>
        <v>46625</v>
      </c>
      <c r="D15" s="19" t="n">
        <f aca="false">IF(AND(C15&gt;=Inputs!$C$10,C15&lt;=Cash_Flow!$AB$6),Inputs!$C$79,0)</f>
        <v>0</v>
      </c>
      <c r="E15" s="32" t="s">
        <v>1612</v>
      </c>
    </row>
    <row r="16" customFormat="false" ht="15" hidden="false" customHeight="false" outlineLevel="0" collapsed="false">
      <c r="A16" s="30" t="s">
        <v>1611</v>
      </c>
      <c r="B16" s="30" t="n">
        <v>12</v>
      </c>
      <c r="C16" s="18" t="n">
        <f aca="false">EDATE(Inputs!$C$80,B16-1)</f>
        <v>46656</v>
      </c>
      <c r="D16" s="19" t="n">
        <f aca="false">IF(AND(C16&gt;=Inputs!$C$10,C16&lt;=Cash_Flow!$AB$6),Inputs!$C$79,0)</f>
        <v>0</v>
      </c>
      <c r="E16" s="32" t="s">
        <v>1612</v>
      </c>
    </row>
    <row r="17" customFormat="false" ht="15" hidden="false" customHeight="false" outlineLevel="0" collapsed="false">
      <c r="A17" s="30" t="s">
        <v>1613</v>
      </c>
      <c r="B17" s="30" t="n">
        <v>1</v>
      </c>
      <c r="C17" s="18" t="n">
        <f aca="false">IF(Inputs!$C$77="","",EDATE(Inputs!$C$77,B17-1))</f>
        <v>46419</v>
      </c>
      <c r="D17" s="19" t="n">
        <f aca="false">IF(C17="",0,IF(AND(Inputs!$C$75="unit",C17&lt;=Cash_Flow!$AB$6,OR(Inputs!$C$78="",C17&lt;=Inputs!$C$78)),Inputs!$C$76,0))</f>
        <v>150</v>
      </c>
      <c r="E17" s="32" t="s">
        <v>1614</v>
      </c>
    </row>
    <row r="18" customFormat="false" ht="15" hidden="false" customHeight="false" outlineLevel="0" collapsed="false">
      <c r="A18" s="30" t="s">
        <v>1613</v>
      </c>
      <c r="B18" s="30" t="n">
        <v>2</v>
      </c>
      <c r="C18" s="18" t="n">
        <f aca="false">IF(Inputs!$C$77="","",EDATE(Inputs!$C$77,B18-1))</f>
        <v>46447</v>
      </c>
      <c r="D18" s="19" t="n">
        <f aca="false">IF(C18="",0,IF(AND(Inputs!$C$75="unit",C18&lt;=Cash_Flow!$AB$6,OR(Inputs!$C$78="",C18&lt;=Inputs!$C$78)),Inputs!$C$76,0))</f>
        <v>150</v>
      </c>
      <c r="E18" s="32" t="s">
        <v>1614</v>
      </c>
    </row>
    <row r="19" customFormat="false" ht="15" hidden="false" customHeight="false" outlineLevel="0" collapsed="false">
      <c r="A19" s="30" t="s">
        <v>1613</v>
      </c>
      <c r="B19" s="30" t="n">
        <v>3</v>
      </c>
      <c r="C19" s="18" t="n">
        <f aca="false">IF(Inputs!$C$77="","",EDATE(Inputs!$C$77,B19-1))</f>
        <v>46478</v>
      </c>
      <c r="D19" s="19" t="n">
        <f aca="false">IF(C19="",0,IF(AND(Inputs!$C$75="unit",C19&lt;=Cash_Flow!$AB$6,OR(Inputs!$C$78="",C19&lt;=Inputs!$C$78)),Inputs!$C$76,0))</f>
        <v>150</v>
      </c>
      <c r="E19" s="32" t="s">
        <v>1614</v>
      </c>
    </row>
    <row r="20" customFormat="false" ht="15" hidden="false" customHeight="false" outlineLevel="0" collapsed="false">
      <c r="A20" s="30" t="s">
        <v>1613</v>
      </c>
      <c r="B20" s="30" t="n">
        <v>4</v>
      </c>
      <c r="C20" s="18" t="n">
        <f aca="false">IF(Inputs!$C$77="","",EDATE(Inputs!$C$77,B20-1))</f>
        <v>46508</v>
      </c>
      <c r="D20" s="19" t="n">
        <f aca="false">IF(C20="",0,IF(AND(Inputs!$C$75="unit",C20&lt;=Cash_Flow!$AB$6,OR(Inputs!$C$78="",C20&lt;=Inputs!$C$78)),Inputs!$C$76,0))</f>
        <v>0</v>
      </c>
      <c r="E20" s="32" t="s">
        <v>1614</v>
      </c>
    </row>
    <row r="21" customFormat="false" ht="15" hidden="false" customHeight="false" outlineLevel="0" collapsed="false">
      <c r="A21" s="30" t="s">
        <v>1613</v>
      </c>
      <c r="B21" s="30" t="n">
        <v>5</v>
      </c>
      <c r="C21" s="18" t="n">
        <f aca="false">IF(Inputs!$C$77="","",EDATE(Inputs!$C$77,B21-1))</f>
        <v>46539</v>
      </c>
      <c r="D21" s="19" t="n">
        <f aca="false">IF(C21="",0,IF(AND(Inputs!$C$75="unit",C21&lt;=Cash_Flow!$AB$6,OR(Inputs!$C$78="",C21&lt;=Inputs!$C$78)),Inputs!$C$76,0))</f>
        <v>0</v>
      </c>
      <c r="E21" s="32" t="s">
        <v>1614</v>
      </c>
    </row>
    <row r="22" customFormat="false" ht="15" hidden="false" customHeight="false" outlineLevel="0" collapsed="false">
      <c r="A22" s="30" t="s">
        <v>1613</v>
      </c>
      <c r="B22" s="30" t="n">
        <v>6</v>
      </c>
      <c r="C22" s="18" t="n">
        <f aca="false">IF(Inputs!$C$77="","",EDATE(Inputs!$C$77,B22-1))</f>
        <v>46569</v>
      </c>
      <c r="D22" s="19" t="n">
        <f aca="false">IF(C22="",0,IF(AND(Inputs!$C$75="unit",C22&lt;=Cash_Flow!$AB$6,OR(Inputs!$C$78="",C22&lt;=Inputs!$C$78)),Inputs!$C$76,0))</f>
        <v>0</v>
      </c>
      <c r="E22" s="32" t="s">
        <v>1614</v>
      </c>
    </row>
    <row r="23" customFormat="false" ht="15" hidden="false" customHeight="false" outlineLevel="0" collapsed="false">
      <c r="A23" s="30" t="s">
        <v>1613</v>
      </c>
      <c r="B23" s="30" t="n">
        <v>7</v>
      </c>
      <c r="C23" s="18" t="n">
        <f aca="false">IF(Inputs!$C$77="","",EDATE(Inputs!$C$77,B23-1))</f>
        <v>46600</v>
      </c>
      <c r="D23" s="19" t="n">
        <f aca="false">IF(C23="",0,IF(AND(Inputs!$C$75="unit",C23&lt;=Cash_Flow!$AB$6,OR(Inputs!$C$78="",C23&lt;=Inputs!$C$78)),Inputs!$C$76,0))</f>
        <v>0</v>
      </c>
      <c r="E23" s="32" t="s">
        <v>1614</v>
      </c>
    </row>
    <row r="24" customFormat="false" ht="15" hidden="false" customHeight="false" outlineLevel="0" collapsed="false">
      <c r="A24" s="30" t="s">
        <v>1613</v>
      </c>
      <c r="B24" s="30" t="n">
        <v>8</v>
      </c>
      <c r="C24" s="18" t="n">
        <f aca="false">IF(Inputs!$C$77="","",EDATE(Inputs!$C$77,B24-1))</f>
        <v>46631</v>
      </c>
      <c r="D24" s="19" t="n">
        <f aca="false">IF(C24="",0,IF(AND(Inputs!$C$75="unit",C24&lt;=Cash_Flow!$AB$6,OR(Inputs!$C$78="",C24&lt;=Inputs!$C$78)),Inputs!$C$76,0))</f>
        <v>0</v>
      </c>
      <c r="E24" s="32" t="s">
        <v>1614</v>
      </c>
    </row>
    <row r="25" customFormat="false" ht="15" hidden="false" customHeight="false" outlineLevel="0" collapsed="false">
      <c r="A25" s="30" t="s">
        <v>1613</v>
      </c>
      <c r="B25" s="30" t="n">
        <v>9</v>
      </c>
      <c r="C25" s="18" t="n">
        <f aca="false">IF(Inputs!$C$77="","",EDATE(Inputs!$C$77,B25-1))</f>
        <v>46661</v>
      </c>
      <c r="D25" s="19" t="n">
        <f aca="false">IF(C25="",0,IF(AND(Inputs!$C$75="unit",C25&lt;=Cash_Flow!$AB$6,OR(Inputs!$C$78="",C25&lt;=Inputs!$C$78)),Inputs!$C$76,0))</f>
        <v>0</v>
      </c>
      <c r="E25" s="32" t="s">
        <v>1614</v>
      </c>
    </row>
    <row r="26" customFormat="false" ht="15" hidden="false" customHeight="false" outlineLevel="0" collapsed="false">
      <c r="A26" s="30" t="s">
        <v>1613</v>
      </c>
      <c r="B26" s="30" t="n">
        <v>10</v>
      </c>
      <c r="C26" s="18" t="n">
        <f aca="false">IF(Inputs!$C$77="","",EDATE(Inputs!$C$77,B26-1))</f>
        <v>46692</v>
      </c>
      <c r="D26" s="19" t="n">
        <f aca="false">IF(C26="",0,IF(AND(Inputs!$C$75="unit",C26&lt;=Cash_Flow!$AB$6,OR(Inputs!$C$78="",C26&lt;=Inputs!$C$78)),Inputs!$C$76,0))</f>
        <v>0</v>
      </c>
      <c r="E26" s="32" t="s">
        <v>1614</v>
      </c>
    </row>
    <row r="27" customFormat="false" ht="15" hidden="false" customHeight="false" outlineLevel="0" collapsed="false">
      <c r="A27" s="30" t="s">
        <v>1613</v>
      </c>
      <c r="B27" s="30" t="n">
        <v>11</v>
      </c>
      <c r="C27" s="18" t="n">
        <f aca="false">IF(Inputs!$C$77="","",EDATE(Inputs!$C$77,B27-1))</f>
        <v>46722</v>
      </c>
      <c r="D27" s="19" t="n">
        <f aca="false">IF(C27="",0,IF(AND(Inputs!$C$75="unit",C27&lt;=Cash_Flow!$AB$6,OR(Inputs!$C$78="",C27&lt;=Inputs!$C$78)),Inputs!$C$76,0))</f>
        <v>0</v>
      </c>
      <c r="E27" s="32" t="s">
        <v>1614</v>
      </c>
    </row>
    <row r="28" customFormat="false" ht="15" hidden="false" customHeight="false" outlineLevel="0" collapsed="false">
      <c r="A28" s="30" t="s">
        <v>1613</v>
      </c>
      <c r="B28" s="30" t="n">
        <v>12</v>
      </c>
      <c r="C28" s="18" t="n">
        <f aca="false">IF(Inputs!$C$77="","",EDATE(Inputs!$C$77,B28-1))</f>
        <v>46753</v>
      </c>
      <c r="D28" s="19" t="n">
        <f aca="false">IF(C28="",0,IF(AND(Inputs!$C$75="unit",C28&lt;=Cash_Flow!$AB$6,OR(Inputs!$C$78="",C28&lt;=Inputs!$C$78)),Inputs!$C$76,0))</f>
        <v>0</v>
      </c>
      <c r="E28" s="32" t="s">
        <v>1614</v>
      </c>
    </row>
    <row r="29" customFormat="false" ht="15" hidden="false" customHeight="false" outlineLevel="0" collapsed="false">
      <c r="A29" s="30" t="s">
        <v>1615</v>
      </c>
      <c r="B29" s="30" t="n">
        <v>1</v>
      </c>
      <c r="C29" s="18" t="n">
        <f aca="false">EDATE(Inputs!$C$83,B29-1)</f>
        <v>46367</v>
      </c>
      <c r="D29" s="19" t="n">
        <f aca="false">IF(AND(Inputs!$C$82="monthly",C29&lt;=Cash_Flow!$AB$6),Inputs!$C$81,0)</f>
        <v>0</v>
      </c>
      <c r="E29" s="32" t="s">
        <v>1616</v>
      </c>
    </row>
    <row r="30" customFormat="false" ht="15" hidden="false" customHeight="false" outlineLevel="0" collapsed="false">
      <c r="A30" s="30" t="s">
        <v>1615</v>
      </c>
      <c r="B30" s="30" t="n">
        <v>2</v>
      </c>
      <c r="C30" s="18" t="n">
        <f aca="false">EDATE(Inputs!$C$83,B30-1)</f>
        <v>46398</v>
      </c>
      <c r="D30" s="19" t="n">
        <f aca="false">IF(AND(Inputs!$C$82="monthly",C30&lt;=Cash_Flow!$AB$6),Inputs!$C$81,0)</f>
        <v>0</v>
      </c>
      <c r="E30" s="32" t="s">
        <v>1616</v>
      </c>
    </row>
    <row r="31" customFormat="false" ht="15" hidden="false" customHeight="false" outlineLevel="0" collapsed="false">
      <c r="A31" s="30" t="s">
        <v>1615</v>
      </c>
      <c r="B31" s="30" t="n">
        <v>3</v>
      </c>
      <c r="C31" s="18" t="n">
        <f aca="false">EDATE(Inputs!$C$83,B31-1)</f>
        <v>46429</v>
      </c>
      <c r="D31" s="19" t="n">
        <f aca="false">IF(AND(Inputs!$C$82="monthly",C31&lt;=Cash_Flow!$AB$6),Inputs!$C$81,0)</f>
        <v>0</v>
      </c>
      <c r="E31" s="32" t="s">
        <v>1616</v>
      </c>
    </row>
    <row r="32" customFormat="false" ht="15" hidden="false" customHeight="false" outlineLevel="0" collapsed="false">
      <c r="A32" s="30" t="s">
        <v>1615</v>
      </c>
      <c r="B32" s="30" t="n">
        <v>4</v>
      </c>
      <c r="C32" s="18" t="n">
        <f aca="false">EDATE(Inputs!$C$83,B32-1)</f>
        <v>46457</v>
      </c>
      <c r="D32" s="19" t="n">
        <f aca="false">IF(AND(Inputs!$C$82="monthly",C32&lt;=Cash_Flow!$AB$6),Inputs!$C$81,0)</f>
        <v>0</v>
      </c>
      <c r="E32" s="32" t="s">
        <v>1616</v>
      </c>
    </row>
    <row r="33" customFormat="false" ht="15" hidden="false" customHeight="false" outlineLevel="0" collapsed="false">
      <c r="A33" s="30" t="s">
        <v>1615</v>
      </c>
      <c r="B33" s="30" t="n">
        <v>5</v>
      </c>
      <c r="C33" s="18" t="n">
        <f aca="false">EDATE(Inputs!$C$83,B33-1)</f>
        <v>46488</v>
      </c>
      <c r="D33" s="19" t="n">
        <f aca="false">IF(AND(Inputs!$C$82="monthly",C33&lt;=Cash_Flow!$AB$6),Inputs!$C$81,0)</f>
        <v>0</v>
      </c>
      <c r="E33" s="32" t="s">
        <v>1616</v>
      </c>
    </row>
    <row r="34" customFormat="false" ht="15" hidden="false" customHeight="false" outlineLevel="0" collapsed="false">
      <c r="A34" s="30" t="s">
        <v>1615</v>
      </c>
      <c r="B34" s="30" t="n">
        <v>6</v>
      </c>
      <c r="C34" s="18" t="n">
        <f aca="false">EDATE(Inputs!$C$83,B34-1)</f>
        <v>46518</v>
      </c>
      <c r="D34" s="19" t="n">
        <f aca="false">IF(AND(Inputs!$C$82="monthly",C34&lt;=Cash_Flow!$AB$6),Inputs!$C$81,0)</f>
        <v>0</v>
      </c>
      <c r="E34" s="32" t="s">
        <v>1616</v>
      </c>
    </row>
    <row r="35" customFormat="false" ht="15" hidden="false" customHeight="false" outlineLevel="0" collapsed="false">
      <c r="A35" s="30" t="s">
        <v>1615</v>
      </c>
      <c r="B35" s="30" t="n">
        <v>7</v>
      </c>
      <c r="C35" s="18" t="n">
        <f aca="false">EDATE(Inputs!$C$83,B35-1)</f>
        <v>46549</v>
      </c>
      <c r="D35" s="19" t="n">
        <f aca="false">IF(AND(Inputs!$C$82="monthly",C35&lt;=Cash_Flow!$AB$6),Inputs!$C$81,0)</f>
        <v>0</v>
      </c>
      <c r="E35" s="32" t="s">
        <v>1616</v>
      </c>
    </row>
    <row r="36" customFormat="false" ht="15" hidden="false" customHeight="false" outlineLevel="0" collapsed="false">
      <c r="A36" s="30" t="s">
        <v>1615</v>
      </c>
      <c r="B36" s="30" t="n">
        <v>8</v>
      </c>
      <c r="C36" s="18" t="n">
        <f aca="false">EDATE(Inputs!$C$83,B36-1)</f>
        <v>46579</v>
      </c>
      <c r="D36" s="19" t="n">
        <f aca="false">IF(AND(Inputs!$C$82="monthly",C36&lt;=Cash_Flow!$AB$6),Inputs!$C$81,0)</f>
        <v>0</v>
      </c>
      <c r="E36" s="32" t="s">
        <v>1616</v>
      </c>
    </row>
    <row r="37" customFormat="false" ht="15" hidden="false" customHeight="false" outlineLevel="0" collapsed="false">
      <c r="A37" s="30" t="s">
        <v>1615</v>
      </c>
      <c r="B37" s="30" t="n">
        <v>9</v>
      </c>
      <c r="C37" s="18" t="n">
        <f aca="false">EDATE(Inputs!$C$83,B37-1)</f>
        <v>46610</v>
      </c>
      <c r="D37" s="19" t="n">
        <f aca="false">IF(AND(Inputs!$C$82="monthly",C37&lt;=Cash_Flow!$AB$6),Inputs!$C$81,0)</f>
        <v>0</v>
      </c>
      <c r="E37" s="32" t="s">
        <v>1616</v>
      </c>
    </row>
    <row r="38" customFormat="false" ht="15" hidden="false" customHeight="false" outlineLevel="0" collapsed="false">
      <c r="A38" s="30" t="s">
        <v>1615</v>
      </c>
      <c r="B38" s="30" t="n">
        <v>10</v>
      </c>
      <c r="C38" s="18" t="n">
        <f aca="false">EDATE(Inputs!$C$83,B38-1)</f>
        <v>46641</v>
      </c>
      <c r="D38" s="19" t="n">
        <f aca="false">IF(AND(Inputs!$C$82="monthly",C38&lt;=Cash_Flow!$AB$6),Inputs!$C$81,0)</f>
        <v>0</v>
      </c>
      <c r="E38" s="32" t="s">
        <v>1616</v>
      </c>
    </row>
    <row r="39" customFormat="false" ht="15" hidden="false" customHeight="false" outlineLevel="0" collapsed="false">
      <c r="A39" s="30" t="s">
        <v>1615</v>
      </c>
      <c r="B39" s="30" t="n">
        <v>11</v>
      </c>
      <c r="C39" s="18" t="n">
        <f aca="false">EDATE(Inputs!$C$83,B39-1)</f>
        <v>46671</v>
      </c>
      <c r="D39" s="19" t="n">
        <f aca="false">IF(AND(Inputs!$C$82="monthly",C39&lt;=Cash_Flow!$AB$6),Inputs!$C$81,0)</f>
        <v>0</v>
      </c>
      <c r="E39" s="32" t="s">
        <v>1616</v>
      </c>
    </row>
    <row r="40" customFormat="false" ht="15" hidden="false" customHeight="false" outlineLevel="0" collapsed="false">
      <c r="A40" s="30" t="s">
        <v>1615</v>
      </c>
      <c r="B40" s="30" t="n">
        <v>12</v>
      </c>
      <c r="C40" s="18" t="n">
        <f aca="false">EDATE(Inputs!$C$83,B40-1)</f>
        <v>46702</v>
      </c>
      <c r="D40" s="19" t="n">
        <f aca="false">IF(AND(Inputs!$C$82="monthly",C40&lt;=Cash_Flow!$AB$6),Inputs!$C$81,0)</f>
        <v>0</v>
      </c>
      <c r="E40" s="32" t="s">
        <v>1616</v>
      </c>
    </row>
    <row r="41" customFormat="false" ht="15" hidden="false" customHeight="false" outlineLevel="0" collapsed="false">
      <c r="A41" s="30" t="s">
        <v>1615</v>
      </c>
      <c r="B41" s="30" t="s">
        <v>601</v>
      </c>
      <c r="C41" s="18" t="n">
        <f aca="false">Inputs!$C$83</f>
        <v>46367</v>
      </c>
      <c r="D41" s="19" t="n">
        <f aca="false">IF(AND(Inputs!$C$82="annual",C41&lt;=Cash_Flow!$AB$6),Inputs!$C$81*Inputs!$C$20,0)</f>
        <v>1200</v>
      </c>
      <c r="E41" s="32" t="s">
        <v>1617</v>
      </c>
    </row>
    <row r="42" customFormat="false" ht="15" hidden="false" customHeight="false" outlineLevel="0" collapsed="false">
      <c r="A42" s="30" t="s">
        <v>1618</v>
      </c>
      <c r="B42" s="30" t="n">
        <v>1</v>
      </c>
      <c r="C42" s="18" t="n">
        <f aca="false">EDATE(Inputs!$C$10,B42-1)</f>
        <v>46321</v>
      </c>
      <c r="D42" s="19" t="n">
        <f aca="false">IF(C42&lt;=Cash_Flow!$AB$6,Inputs!$C$84,0)</f>
        <v>0</v>
      </c>
      <c r="E42" s="32" t="s">
        <v>1619</v>
      </c>
    </row>
    <row r="43" customFormat="false" ht="15" hidden="false" customHeight="false" outlineLevel="0" collapsed="false">
      <c r="A43" s="30" t="s">
        <v>1618</v>
      </c>
      <c r="B43" s="30" t="n">
        <v>2</v>
      </c>
      <c r="C43" s="18" t="n">
        <f aca="false">EDATE(Inputs!$C$10,B43-1)</f>
        <v>46352</v>
      </c>
      <c r="D43" s="19" t="n">
        <f aca="false">IF(C43&lt;=Cash_Flow!$AB$6,Inputs!$C$84,0)</f>
        <v>0</v>
      </c>
      <c r="E43" s="32" t="s">
        <v>1619</v>
      </c>
    </row>
    <row r="44" customFormat="false" ht="15" hidden="false" customHeight="false" outlineLevel="0" collapsed="false">
      <c r="A44" s="30" t="s">
        <v>1618</v>
      </c>
      <c r="B44" s="30" t="n">
        <v>3</v>
      </c>
      <c r="C44" s="18" t="n">
        <f aca="false">EDATE(Inputs!$C$10,B44-1)</f>
        <v>46382</v>
      </c>
      <c r="D44" s="19" t="n">
        <f aca="false">IF(C44&lt;=Cash_Flow!$AB$6,Inputs!$C$84,0)</f>
        <v>0</v>
      </c>
      <c r="E44" s="32" t="s">
        <v>1619</v>
      </c>
    </row>
    <row r="45" customFormat="false" ht="15" hidden="false" customHeight="false" outlineLevel="0" collapsed="false">
      <c r="A45" s="30" t="s">
        <v>1618</v>
      </c>
      <c r="B45" s="30" t="n">
        <v>4</v>
      </c>
      <c r="C45" s="18" t="n">
        <f aca="false">EDATE(Inputs!$C$10,B45-1)</f>
        <v>46413</v>
      </c>
      <c r="D45" s="19" t="n">
        <f aca="false">IF(C45&lt;=Cash_Flow!$AB$6,Inputs!$C$84,0)</f>
        <v>0</v>
      </c>
      <c r="E45" s="32" t="s">
        <v>1619</v>
      </c>
    </row>
    <row r="46" customFormat="false" ht="15" hidden="false" customHeight="false" outlineLevel="0" collapsed="false">
      <c r="A46" s="30" t="s">
        <v>1618</v>
      </c>
      <c r="B46" s="30" t="n">
        <v>5</v>
      </c>
      <c r="C46" s="18" t="n">
        <f aca="false">EDATE(Inputs!$C$10,B46-1)</f>
        <v>46444</v>
      </c>
      <c r="D46" s="19" t="n">
        <f aca="false">IF(C46&lt;=Cash_Flow!$AB$6,Inputs!$C$84,0)</f>
        <v>0</v>
      </c>
      <c r="E46" s="32" t="s">
        <v>1619</v>
      </c>
    </row>
    <row r="47" customFormat="false" ht="15" hidden="false" customHeight="false" outlineLevel="0" collapsed="false">
      <c r="A47" s="30" t="s">
        <v>1618</v>
      </c>
      <c r="B47" s="30" t="n">
        <v>6</v>
      </c>
      <c r="C47" s="18" t="n">
        <f aca="false">EDATE(Inputs!$C$10,B47-1)</f>
        <v>46472</v>
      </c>
      <c r="D47" s="19" t="n">
        <f aca="false">IF(C47&lt;=Cash_Flow!$AB$6,Inputs!$C$84,0)</f>
        <v>0</v>
      </c>
      <c r="E47" s="32" t="s">
        <v>1619</v>
      </c>
    </row>
    <row r="48" customFormat="false" ht="15" hidden="false" customHeight="false" outlineLevel="0" collapsed="false">
      <c r="A48" s="30" t="s">
        <v>1618</v>
      </c>
      <c r="B48" s="30" t="n">
        <v>7</v>
      </c>
      <c r="C48" s="18" t="n">
        <f aca="false">EDATE(Inputs!$C$10,B48-1)</f>
        <v>46503</v>
      </c>
      <c r="D48" s="19" t="n">
        <f aca="false">IF(C48&lt;=Cash_Flow!$AB$6,Inputs!$C$84,0)</f>
        <v>0</v>
      </c>
      <c r="E48" s="32" t="s">
        <v>1619</v>
      </c>
    </row>
    <row r="49" customFormat="false" ht="15" hidden="false" customHeight="false" outlineLevel="0" collapsed="false">
      <c r="A49" s="30" t="s">
        <v>1618</v>
      </c>
      <c r="B49" s="30" t="n">
        <v>8</v>
      </c>
      <c r="C49" s="18" t="n">
        <f aca="false">EDATE(Inputs!$C$10,B49-1)</f>
        <v>46533</v>
      </c>
      <c r="D49" s="19" t="n">
        <f aca="false">IF(C49&lt;=Cash_Flow!$AB$6,Inputs!$C$84,0)</f>
        <v>0</v>
      </c>
      <c r="E49" s="32" t="s">
        <v>1619</v>
      </c>
    </row>
    <row r="50" customFormat="false" ht="15" hidden="false" customHeight="false" outlineLevel="0" collapsed="false">
      <c r="A50" s="30" t="s">
        <v>1618</v>
      </c>
      <c r="B50" s="30" t="n">
        <v>9</v>
      </c>
      <c r="C50" s="18" t="n">
        <f aca="false">EDATE(Inputs!$C$10,B50-1)</f>
        <v>46564</v>
      </c>
      <c r="D50" s="19" t="n">
        <f aca="false">IF(C50&lt;=Cash_Flow!$AB$6,Inputs!$C$84,0)</f>
        <v>0</v>
      </c>
      <c r="E50" s="32" t="s">
        <v>1619</v>
      </c>
    </row>
    <row r="51" customFormat="false" ht="15" hidden="false" customHeight="false" outlineLevel="0" collapsed="false">
      <c r="A51" s="30" t="s">
        <v>1618</v>
      </c>
      <c r="B51" s="30" t="n">
        <v>10</v>
      </c>
      <c r="C51" s="18" t="n">
        <f aca="false">EDATE(Inputs!$C$10,B51-1)</f>
        <v>46594</v>
      </c>
      <c r="D51" s="19" t="n">
        <f aca="false">IF(C51&lt;=Cash_Flow!$AB$6,Inputs!$C$84,0)</f>
        <v>0</v>
      </c>
      <c r="E51" s="32" t="s">
        <v>1619</v>
      </c>
    </row>
    <row r="52" customFormat="false" ht="15" hidden="false" customHeight="false" outlineLevel="0" collapsed="false">
      <c r="A52" s="30" t="s">
        <v>1618</v>
      </c>
      <c r="B52" s="30" t="n">
        <v>11</v>
      </c>
      <c r="C52" s="18" t="n">
        <f aca="false">EDATE(Inputs!$C$10,B52-1)</f>
        <v>46625</v>
      </c>
      <c r="D52" s="19" t="n">
        <f aca="false">IF(C52&lt;=Cash_Flow!$AB$6,Inputs!$C$84,0)</f>
        <v>0</v>
      </c>
      <c r="E52" s="32" t="s">
        <v>1619</v>
      </c>
    </row>
    <row r="53" customFormat="false" ht="15" hidden="false" customHeight="false" outlineLevel="0" collapsed="false">
      <c r="A53" s="30" t="s">
        <v>1618</v>
      </c>
      <c r="B53" s="30" t="n">
        <v>12</v>
      </c>
      <c r="C53" s="18" t="n">
        <f aca="false">EDATE(Inputs!$C$10,B53-1)</f>
        <v>46656</v>
      </c>
      <c r="D53" s="19" t="n">
        <f aca="false">IF(C53&lt;=Cash_Flow!$AB$6,Inputs!$C$84,0)</f>
        <v>0</v>
      </c>
      <c r="E53" s="32" t="s">
        <v>1619</v>
      </c>
    </row>
    <row r="55" customFormat="false" ht="15" hidden="false" customHeight="false" outlineLevel="0" collapsed="false">
      <c r="A55" s="9" t="s">
        <v>1620</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1621</v>
      </c>
    </row>
    <row r="2" customFormat="false" ht="15" hidden="false" customHeight="false" outlineLevel="0" collapsed="false">
      <c r="A2" s="2" t="s">
        <v>1622</v>
      </c>
    </row>
    <row r="3" customFormat="false" ht="15" hidden="false" customHeight="false" outlineLevel="0" collapsed="false">
      <c r="C3" s="9" t="s">
        <v>1623</v>
      </c>
      <c r="D3" s="107" t="n">
        <v>0.01</v>
      </c>
    </row>
    <row r="4" customFormat="false" ht="30" hidden="false" customHeight="true" outlineLevel="0" collapsed="false">
      <c r="A4" s="12" t="s">
        <v>1315</v>
      </c>
      <c r="B4" s="12" t="s">
        <v>1624</v>
      </c>
      <c r="C4" s="12" t="s">
        <v>1625</v>
      </c>
      <c r="D4" s="12" t="s">
        <v>232</v>
      </c>
      <c r="E4" s="12" t="s">
        <v>1626</v>
      </c>
      <c r="F4" s="12" t="s">
        <v>1627</v>
      </c>
    </row>
    <row r="5" customFormat="false" ht="15" hidden="false" customHeight="false" outlineLevel="0" collapsed="false">
      <c r="A5" s="30" t="n">
        <v>1</v>
      </c>
      <c r="B5" s="30" t="s">
        <v>1628</v>
      </c>
      <c r="C5" s="7" t="s">
        <v>1629</v>
      </c>
      <c r="D5" s="108"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1630</v>
      </c>
    </row>
    <row r="6" customFormat="false" ht="15" hidden="false" customHeight="false" outlineLevel="0" collapsed="false">
      <c r="A6" s="30" t="n">
        <v>2</v>
      </c>
      <c r="B6" s="30" t="s">
        <v>1628</v>
      </c>
      <c r="C6" s="7" t="s">
        <v>1631</v>
      </c>
      <c r="D6" s="108" t="n">
        <f aca="false">Cash_Flow!$C$69</f>
        <v>0</v>
      </c>
      <c r="E6" s="22" t="n">
        <f aca="false">IF(ABS(D6)&lt;=$D$3,1,0)</f>
        <v>1</v>
      </c>
      <c r="F6" s="7" t="s">
        <v>1632</v>
      </c>
    </row>
    <row r="7" customFormat="false" ht="15" hidden="false" customHeight="false" outlineLevel="0" collapsed="false">
      <c r="A7" s="30" t="n">
        <v>3</v>
      </c>
      <c r="B7" s="30" t="s">
        <v>1628</v>
      </c>
      <c r="C7" s="7" t="s">
        <v>1633</v>
      </c>
      <c r="D7" s="108" t="n">
        <f aca="false">Cash_Flow!$C$71-Cash_Ledger!$D$55</f>
        <v>0</v>
      </c>
      <c r="E7" s="22" t="n">
        <f aca="false">IF(ABS(D7)&lt;=$D$3,1,0)</f>
        <v>1</v>
      </c>
      <c r="F7" s="7" t="s">
        <v>1634</v>
      </c>
    </row>
    <row r="8" customFormat="false" ht="15" hidden="false" customHeight="false" outlineLevel="0" collapsed="false">
      <c r="A8" s="30" t="n">
        <v>4</v>
      </c>
      <c r="B8" s="30" t="s">
        <v>1628</v>
      </c>
      <c r="C8" s="7" t="s">
        <v>1635</v>
      </c>
      <c r="D8" s="108"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1628</v>
      </c>
      <c r="C9" s="7" t="s">
        <v>1636</v>
      </c>
      <c r="D9" s="108" t="n">
        <f aca="false">SUM(Drop_PnL!$AP$7:$AP$18)+SUM(Drop_PnL!$AR$7:$AR$18)+SUM(Drop_PnL!$AT$7:$AT$18)-SUM(Drop_PnL!$S$7:$S$18)</f>
        <v>0</v>
      </c>
      <c r="E9" s="22" t="n">
        <f aca="false">IF(ABS(D9)&lt;=$D$3,1,0)</f>
        <v>1</v>
      </c>
      <c r="F9" s="7"/>
    </row>
    <row r="10" customFormat="false" ht="15" hidden="false" customHeight="false" outlineLevel="0" collapsed="false">
      <c r="A10" s="30" t="n">
        <v>6</v>
      </c>
      <c r="B10" s="30" t="s">
        <v>1628</v>
      </c>
      <c r="C10" s="7" t="s">
        <v>1637</v>
      </c>
      <c r="D10" s="108" t="n">
        <f aca="false">SUM(Drop_PnL!$AU$7:$AU$18)+SUM(Drop_PnL!$AV$7:$AV$18)+SUM(Drop_PnL!$AW$7:$AW$18)-SUM(Drop_PnL!$W$7:$W$18)</f>
        <v>0</v>
      </c>
      <c r="E10" s="22" t="n">
        <f aca="false">IF(ABS(D10)&lt;=$D$3,1,0)</f>
        <v>1</v>
      </c>
      <c r="F10" s="7"/>
    </row>
    <row r="11" customFormat="false" ht="15" hidden="false" customHeight="false" outlineLevel="0" collapsed="false">
      <c r="A11" s="30" t="n">
        <v>7</v>
      </c>
      <c r="B11" s="30" t="s">
        <v>1628</v>
      </c>
      <c r="C11" s="7" t="s">
        <v>1638</v>
      </c>
      <c r="D11" s="108" t="n">
        <f aca="false">Capital!$G$33</f>
        <v>-152</v>
      </c>
      <c r="E11" s="22" t="n">
        <f aca="false">IF(OR(ABS(D11)&lt;=$D$3,COUNTIF(Schedule!$N$7:$N$18,"Y")&gt;0),1,0)</f>
        <v>1</v>
      </c>
      <c r="F11" s="7" t="s">
        <v>1639</v>
      </c>
    </row>
    <row r="12" customFormat="false" ht="15" hidden="false" customHeight="false" outlineLevel="0" collapsed="false">
      <c r="A12" s="30" t="n">
        <v>8</v>
      </c>
      <c r="B12" s="30" t="s">
        <v>1628</v>
      </c>
      <c r="C12" s="7" t="s">
        <v>1640</v>
      </c>
      <c r="D12" s="108" t="n">
        <f aca="false">Sensitivity!$G$9</f>
        <v>0</v>
      </c>
      <c r="E12" s="22" t="n">
        <f aca="false">IF(ABS(D12)&lt;=$D$3,1,0)</f>
        <v>1</v>
      </c>
      <c r="F12" s="7"/>
    </row>
    <row r="13" customFormat="false" ht="15" hidden="false" customHeight="false" outlineLevel="0" collapsed="false">
      <c r="A13" s="30" t="n">
        <v>9</v>
      </c>
      <c r="B13" s="30" t="s">
        <v>1628</v>
      </c>
      <c r="C13" s="7" t="s">
        <v>1641</v>
      </c>
      <c r="D13" s="108" t="n">
        <f aca="false">Sensitivity!$C$71</f>
        <v>0</v>
      </c>
      <c r="E13" s="22" t="n">
        <f aca="false">IF(D13=0,1,0)</f>
        <v>1</v>
      </c>
      <c r="F13" s="7"/>
    </row>
    <row r="14" customFormat="false" ht="15" hidden="false" customHeight="false" outlineLevel="0" collapsed="false">
      <c r="A14" s="30" t="n">
        <v>10</v>
      </c>
      <c r="B14" s="30" t="s">
        <v>1628</v>
      </c>
      <c r="C14" s="7" t="s">
        <v>1642</v>
      </c>
      <c r="D14" s="108" t="n">
        <f aca="false">Sensitivity!$C$72</f>
        <v>0</v>
      </c>
      <c r="E14" s="22" t="n">
        <f aca="false">IF(D14=0,1,0)</f>
        <v>1</v>
      </c>
      <c r="F14" s="7"/>
    </row>
    <row r="15" customFormat="false" ht="15" hidden="false" customHeight="false" outlineLevel="0" collapsed="false">
      <c r="A15" s="30" t="n">
        <v>11</v>
      </c>
      <c r="B15" s="30" t="s">
        <v>1628</v>
      </c>
      <c r="C15" s="7" t="s">
        <v>1643</v>
      </c>
      <c r="D15" s="108" t="n">
        <f aca="false">Sensitivity!$C$73</f>
        <v>0</v>
      </c>
      <c r="E15" s="22" t="n">
        <f aca="false">IF(D15=0,1,0)</f>
        <v>1</v>
      </c>
      <c r="F15" s="7"/>
    </row>
    <row r="16" customFormat="false" ht="15" hidden="false" customHeight="false" outlineLevel="0" collapsed="false">
      <c r="A16" s="30" t="n">
        <v>12</v>
      </c>
      <c r="B16" s="30" t="s">
        <v>1628</v>
      </c>
      <c r="C16" s="7" t="s">
        <v>1644</v>
      </c>
      <c r="D16" s="108" t="n">
        <f aca="false">ABS(Plan_Check!S14)+ABS(Plan_Check!AA14)+ABS(Plan_Check!AI14)+IF(Plan_Check!AK14="n/a",0,1)</f>
        <v>0</v>
      </c>
      <c r="E16" s="22" t="n">
        <f aca="false">IF(D16=0,1,0)</f>
        <v>1</v>
      </c>
      <c r="F16" s="7"/>
    </row>
    <row r="17" customFormat="false" ht="15" hidden="false" customHeight="false" outlineLevel="0" collapsed="false">
      <c r="A17" s="30" t="n">
        <v>13</v>
      </c>
      <c r="B17" s="30" t="s">
        <v>1628</v>
      </c>
      <c r="C17" s="7" t="s">
        <v>1645</v>
      </c>
      <c r="D17" s="108" t="n">
        <f aca="false">IF(ISNUMBER(Plan_Check!AK15),0,1)</f>
        <v>0</v>
      </c>
      <c r="E17" s="22" t="n">
        <f aca="false">IF(D17=0,1,0)</f>
        <v>1</v>
      </c>
      <c r="F17" s="7"/>
    </row>
    <row r="18" customFormat="false" ht="15" hidden="false" customHeight="false" outlineLevel="0" collapsed="false">
      <c r="A18" s="30" t="n">
        <v>14</v>
      </c>
      <c r="B18" s="30" t="s">
        <v>1628</v>
      </c>
      <c r="C18" s="7" t="s">
        <v>1646</v>
      </c>
      <c r="D18" s="108" t="n">
        <f aca="false">Plan_Check!AB16-Plan_Check!G16*Inputs!$C$94</f>
        <v>0</v>
      </c>
      <c r="E18" s="22" t="n">
        <f aca="false">IF(ABS(D18)&lt;=$D$3,1,0)</f>
        <v>1</v>
      </c>
      <c r="F18" s="7"/>
    </row>
    <row r="19" customFormat="false" ht="28.35" hidden="false" customHeight="false" outlineLevel="0" collapsed="false">
      <c r="A19" s="30" t="n">
        <v>15</v>
      </c>
      <c r="B19" s="30" t="s">
        <v>1628</v>
      </c>
      <c r="C19" s="7" t="s">
        <v>1647</v>
      </c>
      <c r="D19" s="108" t="n">
        <f aca="false">Steady_State!$C$50-IF(Inputs!$C$62&gt;0,(Inputs!$C$62*(Inputs!$C$39*Sensitivity!$C$9+Sensitivity!$C$8)*Sensitivity!$C$7-Sensitivity!$C$10-Sensitivity!$C$11*MAX(Inputs!$C$62-1,0))/Inputs!$C$62,0)</f>
        <v>0</v>
      </c>
      <c r="E19" s="22" t="n">
        <f aca="false">IF(ABS(D19)&lt;=$D$3,1,0)</f>
        <v>1</v>
      </c>
      <c r="F19" s="7" t="s">
        <v>1648</v>
      </c>
    </row>
    <row r="20" customFormat="false" ht="28.35" hidden="false" customHeight="false" outlineLevel="0" collapsed="false">
      <c r="A20" s="30" t="n">
        <v>16</v>
      </c>
      <c r="B20" s="30" t="s">
        <v>1628</v>
      </c>
      <c r="C20" s="7" t="s">
        <v>1649</v>
      </c>
      <c r="D20" s="108" t="n">
        <f aca="false">SUM(Drop_PnL!$BI$7:$BI$18)-(Cash_Flow!$AC$11+Cash_Flow!$AC$18)</f>
        <v>0</v>
      </c>
      <c r="E20" s="22" t="n">
        <f aca="false">IF(ABS(D20)&lt;=$D$3,1,0)</f>
        <v>1</v>
      </c>
      <c r="F20" s="7" t="s">
        <v>1650</v>
      </c>
    </row>
    <row r="21" customFormat="false" ht="15" hidden="false" customHeight="false" outlineLevel="0" collapsed="false">
      <c r="A21" s="30" t="n">
        <v>17</v>
      </c>
      <c r="B21" s="30" t="s">
        <v>30</v>
      </c>
      <c r="C21" s="7" t="s">
        <v>1651</v>
      </c>
      <c r="D21" s="108" t="n">
        <f aca="false">COUNTIF(Schedule!$T$7:$T$18,"check")+COUNTIF(Schedule!$T$7:$T$18,"date missing")</f>
        <v>0</v>
      </c>
      <c r="E21" s="22" t="n">
        <f aca="false">IF(D21=0,1,0)</f>
        <v>1</v>
      </c>
      <c r="F21" s="7" t="s">
        <v>1652</v>
      </c>
    </row>
    <row r="22" customFormat="false" ht="55.2" hidden="false" customHeight="false" outlineLevel="0" collapsed="false">
      <c r="A22" s="30" t="n">
        <v>18</v>
      </c>
      <c r="B22" s="30" t="s">
        <v>1653</v>
      </c>
      <c r="C22" s="7" t="s">
        <v>1654</v>
      </c>
      <c r="D22" s="108"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9" t="s">
        <v>279</v>
      </c>
      <c r="F22" s="7" t="s">
        <v>1655</v>
      </c>
    </row>
    <row r="23" customFormat="false" ht="41.75" hidden="false" customHeight="false" outlineLevel="0" collapsed="false">
      <c r="A23" s="30" t="n">
        <v>19</v>
      </c>
      <c r="B23" s="30" t="s">
        <v>30</v>
      </c>
      <c r="C23" s="7" t="s">
        <v>1656</v>
      </c>
      <c r="D23" s="108" t="n">
        <f aca="false">IF(AND(Inputs!$C$10&amp;""&lt;&gt;Inputs!$J$10&amp;"",Inputs!$C$11&amp;""=Inputs!$J$11&amp;"",Inputs!$C$12&amp;""=Inputs!$J$12&amp;"",Inputs!$C$14&amp;""=Inputs!$J$14&amp;"",Inputs!$C$15&amp;""=Inputs!$J$15&amp;"",Schedule!$E$7&amp;""=Schedule!$AL$7&amp;""),1,0)</f>
        <v>0</v>
      </c>
      <c r="E23" s="22" t="n">
        <f aca="false">IF(D23=0,1,0)</f>
        <v>1</v>
      </c>
      <c r="F23" s="7" t="s">
        <v>1657</v>
      </c>
    </row>
    <row r="24" customFormat="false" ht="15" hidden="false" customHeight="false" outlineLevel="0" collapsed="false">
      <c r="A24" s="30" t="n">
        <v>20</v>
      </c>
      <c r="B24" s="30" t="s">
        <v>30</v>
      </c>
      <c r="C24" s="7" t="s">
        <v>1658</v>
      </c>
      <c r="D24" s="108" t="n">
        <f aca="false">MAX(0,SUMPRODUCT((Drop_PnL!D7:D18="founding")*Drop_PnL!O7:O18)-Inputs!$C$46)</f>
        <v>0</v>
      </c>
      <c r="E24" s="22" t="n">
        <f aca="false">IF(D24=0,1,0)</f>
        <v>1</v>
      </c>
      <c r="F24" s="7" t="s">
        <v>1659</v>
      </c>
    </row>
    <row r="25" customFormat="false" ht="15" hidden="false" customHeight="false" outlineLevel="0" collapsed="false">
      <c r="A25" s="30" t="n">
        <v>21</v>
      </c>
      <c r="B25" s="30" t="s">
        <v>30</v>
      </c>
      <c r="C25" s="7" t="s">
        <v>1660</v>
      </c>
      <c r="D25" s="108"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1661</v>
      </c>
      <c r="D26" s="108" t="n">
        <f aca="false">IF(ISNUMBER(MATCH(Inputs!$C$129,Schedule!$A$7:$A$18,0)),0,1)</f>
        <v>0</v>
      </c>
      <c r="E26" s="22" t="n">
        <f aca="false">IF(D26=0,1,0)</f>
        <v>1</v>
      </c>
      <c r="F26" s="7"/>
    </row>
    <row r="27" customFormat="false" ht="15" hidden="false" customHeight="false" outlineLevel="0" collapsed="false">
      <c r="A27" s="30" t="n">
        <v>23</v>
      </c>
      <c r="B27" s="30" t="s">
        <v>1662</v>
      </c>
      <c r="C27" s="7" t="s">
        <v>1663</v>
      </c>
      <c r="D27" s="108" t="n">
        <f aca="false">Hours_Log!$Z$50</f>
        <v>0</v>
      </c>
      <c r="E27" s="22" t="n">
        <f aca="false">IF(D27=0,1,0)</f>
        <v>1</v>
      </c>
      <c r="F27" s="7"/>
    </row>
    <row r="28" customFormat="false" ht="15" hidden="false" customHeight="false" outlineLevel="0" collapsed="false">
      <c r="A28" s="30" t="n">
        <v>24</v>
      </c>
      <c r="B28" s="30" t="s">
        <v>1662</v>
      </c>
      <c r="C28" s="7" t="s">
        <v>1664</v>
      </c>
      <c r="D28" s="108" t="n">
        <f aca="false">Hours_Log!$Z$51</f>
        <v>0</v>
      </c>
      <c r="E28" s="22" t="n">
        <f aca="false">IF(D28=0,1,0)</f>
        <v>1</v>
      </c>
      <c r="F28" s="7"/>
    </row>
    <row r="29" customFormat="false" ht="15" hidden="false" customHeight="false" outlineLevel="0" collapsed="false">
      <c r="A29" s="30" t="n">
        <v>25</v>
      </c>
      <c r="B29" s="30" t="s">
        <v>1662</v>
      </c>
      <c r="C29" s="7" t="s">
        <v>1665</v>
      </c>
      <c r="D29" s="108" t="n">
        <f aca="false">Toggl_Import!$AL$10+Toggl_Import!$AL$11</f>
        <v>0</v>
      </c>
      <c r="E29" s="22" t="n">
        <f aca="false">IF(D29=0,1,0)</f>
        <v>1</v>
      </c>
      <c r="F29" s="7"/>
    </row>
    <row r="30" customFormat="false" ht="15" hidden="false" customHeight="false" outlineLevel="0" collapsed="false">
      <c r="A30" s="30" t="n">
        <v>26</v>
      </c>
      <c r="B30" s="30" t="s">
        <v>1662</v>
      </c>
      <c r="C30" s="7" t="s">
        <v>1666</v>
      </c>
      <c r="D30" s="108" t="n">
        <f aca="false">Pipeline!$AH$22+Pipeline!$AH$23</f>
        <v>0</v>
      </c>
      <c r="E30" s="22" t="n">
        <f aca="false">IF(D30=0,1,0)</f>
        <v>1</v>
      </c>
      <c r="F30" s="7"/>
    </row>
    <row r="31" customFormat="false" ht="15" hidden="false" customHeight="false" outlineLevel="0" collapsed="false">
      <c r="A31" s="30" t="n">
        <v>27</v>
      </c>
      <c r="B31" s="30" t="s">
        <v>1662</v>
      </c>
      <c r="C31" s="7" t="s">
        <v>1667</v>
      </c>
      <c r="D31" s="108" t="n">
        <f aca="false">COUNTIF(Actuals_Campaigns!$AL$5:$AL$204,"not in schedule")</f>
        <v>0</v>
      </c>
      <c r="E31" s="22" t="n">
        <f aca="false">IF(D31=0,1,0)</f>
        <v>1</v>
      </c>
      <c r="F31" s="7"/>
    </row>
    <row r="32" customFormat="false" ht="15" hidden="false" customHeight="false" outlineLevel="0" collapsed="false">
      <c r="A32" s="30" t="n">
        <v>28</v>
      </c>
      <c r="B32" s="30" t="s">
        <v>1662</v>
      </c>
      <c r="C32" s="7" t="s">
        <v>1668</v>
      </c>
      <c r="D32" s="108" t="n">
        <f aca="false">COUNTIF(Actuals_DropCosts!$U$5:$U$104,"not in schedule")</f>
        <v>0</v>
      </c>
      <c r="E32" s="22" t="n">
        <f aca="false">IF(D32=0,1,0)</f>
        <v>1</v>
      </c>
      <c r="F32" s="7"/>
    </row>
    <row r="33" customFormat="false" ht="28.35" hidden="false" customHeight="false" outlineLevel="0" collapsed="false">
      <c r="A33" s="30" t="n">
        <v>29</v>
      </c>
      <c r="B33" s="30" t="s">
        <v>1662</v>
      </c>
      <c r="C33" s="7" t="s">
        <v>1669</v>
      </c>
      <c r="D33" s="108" t="n">
        <f aca="false">SUMPRODUCT((Actuals_Campaigns!$A$4:$Z$4&lt;&gt;Lists!$B$34:$AA$34)*1)+COUNTA(Actuals_Campaigns!$AA$4:$AK$204)</f>
        <v>0</v>
      </c>
      <c r="E33" s="22" t="n">
        <f aca="false">IF(D33=0,1,0)</f>
        <v>1</v>
      </c>
      <c r="F33" s="7" t="s">
        <v>1670</v>
      </c>
    </row>
    <row r="34" customFormat="false" ht="28.35" hidden="false" customHeight="false" outlineLevel="0" collapsed="false">
      <c r="A34" s="30" t="n">
        <v>30</v>
      </c>
      <c r="B34" s="30" t="s">
        <v>1662</v>
      </c>
      <c r="C34" s="7" t="s">
        <v>1671</v>
      </c>
      <c r="D34" s="108"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1662</v>
      </c>
      <c r="C35" s="7" t="s">
        <v>1672</v>
      </c>
      <c r="D35" s="108" t="n">
        <f aca="false">SUMPRODUCT((Hours_Log!$A$4:$F$4&lt;&gt;Lists!$B$36:$G$36)*1)+COUNTA(Hours_Log!$G$4:$P$1004)</f>
        <v>0</v>
      </c>
      <c r="E35" s="22" t="n">
        <f aca="false">IF(D35=0,1,0)</f>
        <v>1</v>
      </c>
      <c r="F35" s="7"/>
    </row>
    <row r="36" customFormat="false" ht="28.35" hidden="false" customHeight="false" outlineLevel="0" collapsed="false">
      <c r="A36" s="30" t="n">
        <v>32</v>
      </c>
      <c r="B36" s="30" t="s">
        <v>1662</v>
      </c>
      <c r="C36" s="7" t="s">
        <v>1673</v>
      </c>
      <c r="D36" s="108" t="n">
        <f aca="false">SUMPRODUCT((Pipeline!$A$4:$I$4&lt;&gt;Lists!$B$37:$J$37)*1)+COUNTA(Pipeline!$J$4:$S$1004)</f>
        <v>0</v>
      </c>
      <c r="E36" s="22" t="n">
        <f aca="false">IF(D36=0,1,0)</f>
        <v>1</v>
      </c>
      <c r="F36" s="7"/>
    </row>
    <row r="37" customFormat="false" ht="41.75" hidden="false" customHeight="false" outlineLevel="0" collapsed="false">
      <c r="A37" s="30" t="n">
        <v>33</v>
      </c>
      <c r="B37" s="30" t="s">
        <v>1662</v>
      </c>
      <c r="C37" s="7" t="s">
        <v>1674</v>
      </c>
      <c r="D37" s="108" t="n">
        <f aca="false">COUNTA(Actuals_Campaigns!$C$5:$C$204)-COUNT(Actuals_Campaigns!$C$5:$C$204)+COUNTA(Actuals_Campaigns!$G$5:$U$204)-COUNT(Actuals_Campaigns!$G$5:$U$204)+COUNTA(Actuals_Campaigns!$X$5:$Z$204)-COUNT(Actuals_Campaigns!$X$5:$Z$204)</f>
        <v>0</v>
      </c>
      <c r="E37" s="22" t="n">
        <f aca="false">IF(D37=0,1,0)</f>
        <v>1</v>
      </c>
      <c r="F37" s="7" t="s">
        <v>1675</v>
      </c>
    </row>
    <row r="38" customFormat="false" ht="15" hidden="false" customHeight="false" outlineLevel="0" collapsed="false">
      <c r="A38" s="30" t="n">
        <v>34</v>
      </c>
      <c r="B38" s="30" t="s">
        <v>1662</v>
      </c>
      <c r="C38" s="7" t="s">
        <v>1676</v>
      </c>
      <c r="D38" s="108"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1662</v>
      </c>
      <c r="C39" s="7" t="s">
        <v>1677</v>
      </c>
      <c r="D39" s="108"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1662</v>
      </c>
      <c r="C40" s="7" t="s">
        <v>1678</v>
      </c>
      <c r="D40" s="108"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1679</v>
      </c>
      <c r="C41" s="7" t="s">
        <v>1680</v>
      </c>
      <c r="D41" s="108" t="n">
        <f aca="false">COUNTIF(Plan_Check!$AX$7:$AX$13,"differs")</f>
        <v>0</v>
      </c>
      <c r="E41" s="22" t="n">
        <f aca="false">IF(D41=0,1,0)</f>
        <v>1</v>
      </c>
      <c r="F41" s="7" t="s">
        <v>1681</v>
      </c>
    </row>
    <row r="42" customFormat="false" ht="15" hidden="false" customHeight="false" outlineLevel="0" collapsed="false">
      <c r="A42" s="30" t="n">
        <v>38</v>
      </c>
      <c r="B42" s="30" t="s">
        <v>1679</v>
      </c>
      <c r="C42" s="7" t="s">
        <v>1682</v>
      </c>
      <c r="D42" s="108" t="n">
        <f aca="false">COUNTIF(Plan_Check!$J$22:$J$29,"no")</f>
        <v>0</v>
      </c>
      <c r="E42" s="22" t="n">
        <f aca="false">IF(D42=0,1,0)</f>
        <v>1</v>
      </c>
      <c r="F42" s="7" t="s">
        <v>1681</v>
      </c>
    </row>
    <row r="43" customFormat="false" ht="28.35" hidden="false" customHeight="false" outlineLevel="0" collapsed="false">
      <c r="A43" s="30" t="n">
        <v>39</v>
      </c>
      <c r="B43" s="30" t="s">
        <v>1679</v>
      </c>
      <c r="C43" s="7" t="s">
        <v>1683</v>
      </c>
      <c r="D43" s="108" t="n">
        <f aca="false">COUNTIF(Plan_Check!$G$34:$G$58,"differs: see reason")-COUNTIF(Plan_Check!G43:G43,"differs: see reason")-COUNTIF(Plan_Check!G58:G58,"differs: see reason")</f>
        <v>0</v>
      </c>
      <c r="E43" s="22" t="n">
        <f aca="false">IF(D43=0,1,0)</f>
        <v>1</v>
      </c>
      <c r="F43" s="7" t="s">
        <v>1684</v>
      </c>
    </row>
    <row r="45" customFormat="false" ht="15" hidden="false" customHeight="false" outlineLevel="0" collapsed="false">
      <c r="C45" s="9" t="s">
        <v>1685</v>
      </c>
      <c r="D45" s="22" t="n">
        <f aca="false">COUNTIFS(B5:B43,"Integrity",E5:E43,0)+COUNTIFS(B5:B43,"Schedule",E5:E43,0)</f>
        <v>0</v>
      </c>
    </row>
    <row r="46" customFormat="false" ht="15" hidden="false" customHeight="false" outlineLevel="0" collapsed="false">
      <c r="C46" s="9" t="s">
        <v>1686</v>
      </c>
      <c r="D46" s="22" t="n">
        <f aca="false">COUNTIFS(B5:B43,"Data",E5:E43,0)</f>
        <v>0</v>
      </c>
    </row>
    <row r="47" customFormat="false" ht="15" hidden="false" customHeight="false" outlineLevel="0" collapsed="false">
      <c r="C47" s="9" t="s">
        <v>1687</v>
      </c>
      <c r="D47" s="22" t="n">
        <f aca="false">COUNTIFS(B5:B43,"Plan",E5:E43,0)</f>
        <v>0</v>
      </c>
    </row>
    <row r="48" customFormat="false" ht="15" hidden="false" customHeight="false" outlineLevel="0" collapsed="false">
      <c r="C48" s="9" t="s">
        <v>1688</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1689</v>
      </c>
    </row>
    <row r="3" customFormat="false" ht="30" hidden="false" customHeight="true" outlineLevel="0" collapsed="false">
      <c r="A3" s="93" t="s">
        <v>1552</v>
      </c>
      <c r="B3" s="93" t="s">
        <v>1553</v>
      </c>
      <c r="C3" s="93" t="s">
        <v>1452</v>
      </c>
      <c r="D3" s="93" t="s">
        <v>1690</v>
      </c>
      <c r="E3" s="93" t="s">
        <v>1691</v>
      </c>
      <c r="F3" s="93" t="s">
        <v>1692</v>
      </c>
      <c r="G3" s="93" t="s">
        <v>1498</v>
      </c>
      <c r="H3" s="93" t="s">
        <v>1501</v>
      </c>
      <c r="I3" s="93" t="s">
        <v>1693</v>
      </c>
      <c r="J3" s="93" t="s">
        <v>1570</v>
      </c>
      <c r="K3" s="93" t="s">
        <v>570</v>
      </c>
      <c r="L3" s="93" t="s">
        <v>599</v>
      </c>
      <c r="N3" s="93" t="s">
        <v>1694</v>
      </c>
      <c r="O3" s="93" t="s">
        <v>1695</v>
      </c>
      <c r="Q3" s="93" t="s">
        <v>1696</v>
      </c>
      <c r="R3" s="93" t="s">
        <v>1697</v>
      </c>
      <c r="S3" s="93" t="s">
        <v>1698</v>
      </c>
      <c r="U3" s="93" t="s">
        <v>1699</v>
      </c>
      <c r="X3" s="93" t="s">
        <v>1700</v>
      </c>
    </row>
    <row r="4" customFormat="false" ht="15" hidden="false" customHeight="false" outlineLevel="0" collapsed="false">
      <c r="A4" s="30" t="s">
        <v>672</v>
      </c>
      <c r="B4" s="30" t="s">
        <v>980</v>
      </c>
      <c r="C4" s="30" t="s">
        <v>1306</v>
      </c>
      <c r="D4" s="30" t="s">
        <v>1701</v>
      </c>
      <c r="E4" s="30" t="s">
        <v>805</v>
      </c>
      <c r="F4" s="30" t="s">
        <v>451</v>
      </c>
      <c r="G4" s="30" t="s">
        <v>1702</v>
      </c>
      <c r="H4" s="30" t="s">
        <v>1703</v>
      </c>
      <c r="I4" s="30" t="s">
        <v>1581</v>
      </c>
      <c r="J4" s="30" t="s">
        <v>805</v>
      </c>
      <c r="K4" s="30" t="s">
        <v>572</v>
      </c>
      <c r="L4" s="30" t="s">
        <v>601</v>
      </c>
      <c r="N4" s="18" t="n">
        <v>46337</v>
      </c>
      <c r="O4" s="30" t="s">
        <v>1704</v>
      </c>
      <c r="Q4" s="18" t="n">
        <v>46374</v>
      </c>
      <c r="R4" s="18" t="n">
        <v>46387</v>
      </c>
      <c r="S4" s="30" t="s">
        <v>1705</v>
      </c>
      <c r="U4" s="30" t="s">
        <v>1706</v>
      </c>
      <c r="V4" s="30" t="n">
        <v>3</v>
      </c>
      <c r="X4" s="30" t="s">
        <v>1707</v>
      </c>
      <c r="Y4" s="32" t="s">
        <v>1708</v>
      </c>
    </row>
    <row r="5" customFormat="false" ht="15" hidden="false" customHeight="false" outlineLevel="0" collapsed="false">
      <c r="A5" s="30" t="s">
        <v>674</v>
      </c>
      <c r="B5" s="30" t="s">
        <v>984</v>
      </c>
      <c r="C5" s="30" t="s">
        <v>1307</v>
      </c>
      <c r="D5" s="30" t="s">
        <v>1709</v>
      </c>
      <c r="E5" s="30" t="s">
        <v>822</v>
      </c>
      <c r="F5" s="30" t="s">
        <v>879</v>
      </c>
      <c r="G5" s="30" t="s">
        <v>1520</v>
      </c>
      <c r="H5" s="30" t="s">
        <v>1710</v>
      </c>
      <c r="I5" s="30" t="s">
        <v>1582</v>
      </c>
      <c r="J5" s="30" t="s">
        <v>822</v>
      </c>
      <c r="K5" s="30" t="s">
        <v>1711</v>
      </c>
      <c r="L5" s="30" t="s">
        <v>1712</v>
      </c>
      <c r="N5" s="18" t="n">
        <v>46352</v>
      </c>
      <c r="O5" s="30" t="s">
        <v>1713</v>
      </c>
      <c r="Q5" s="18" t="n">
        <v>46573</v>
      </c>
      <c r="R5" s="18" t="n">
        <v>46577</v>
      </c>
      <c r="S5" s="30" t="s">
        <v>1714</v>
      </c>
      <c r="U5" s="30" t="s">
        <v>1715</v>
      </c>
      <c r="V5" s="30" t="n">
        <v>4</v>
      </c>
    </row>
    <row r="6" customFormat="false" ht="15" hidden="false" customHeight="false" outlineLevel="0" collapsed="false">
      <c r="A6" s="30" t="s">
        <v>676</v>
      </c>
      <c r="C6" s="30" t="s">
        <v>1308</v>
      </c>
      <c r="D6" s="30" t="s">
        <v>1716</v>
      </c>
      <c r="F6" s="30" t="s">
        <v>880</v>
      </c>
      <c r="H6" s="30" t="s">
        <v>1717</v>
      </c>
      <c r="I6" s="30" t="s">
        <v>1718</v>
      </c>
      <c r="J6" s="30" t="s">
        <v>1719</v>
      </c>
      <c r="N6" s="18" t="n">
        <v>46381</v>
      </c>
      <c r="O6" s="30" t="s">
        <v>1720</v>
      </c>
      <c r="Q6" s="18" t="n">
        <v>46617</v>
      </c>
      <c r="R6" s="18" t="n">
        <v>46630</v>
      </c>
      <c r="S6" s="30" t="s">
        <v>1721</v>
      </c>
    </row>
    <row r="7" customFormat="false" ht="15" hidden="false" customHeight="false" outlineLevel="0" collapsed="false">
      <c r="C7" s="30" t="s">
        <v>1309</v>
      </c>
      <c r="D7" s="30" t="s">
        <v>1722</v>
      </c>
      <c r="F7" s="30" t="s">
        <v>881</v>
      </c>
      <c r="H7" s="30" t="s">
        <v>1723</v>
      </c>
      <c r="N7" s="18" t="n">
        <v>46388</v>
      </c>
      <c r="O7" s="30" t="s">
        <v>1724</v>
      </c>
      <c r="Q7" s="18" t="n">
        <v>46739</v>
      </c>
      <c r="R7" s="18" t="n">
        <v>46752</v>
      </c>
      <c r="S7" s="30" t="s">
        <v>1725</v>
      </c>
    </row>
    <row r="8" customFormat="false" ht="15" hidden="false" customHeight="false" outlineLevel="0" collapsed="false">
      <c r="C8" s="30" t="s">
        <v>1310</v>
      </c>
      <c r="D8" s="30" t="s">
        <v>1726</v>
      </c>
      <c r="F8" s="30" t="s">
        <v>882</v>
      </c>
      <c r="H8" s="30" t="s">
        <v>1523</v>
      </c>
      <c r="N8" s="18" t="n">
        <v>46405</v>
      </c>
      <c r="O8" s="30" t="s">
        <v>1727</v>
      </c>
      <c r="Q8" s="57"/>
      <c r="R8" s="57"/>
    </row>
    <row r="9" customFormat="false" ht="15" hidden="false" customHeight="false" outlineLevel="0" collapsed="false">
      <c r="C9" s="30" t="s">
        <v>1311</v>
      </c>
      <c r="D9" s="30" t="s">
        <v>1728</v>
      </c>
      <c r="H9" s="30" t="s">
        <v>1729</v>
      </c>
      <c r="N9" s="18" t="n">
        <v>46433</v>
      </c>
      <c r="O9" s="30" t="s">
        <v>1730</v>
      </c>
      <c r="Q9" s="57"/>
      <c r="R9" s="57"/>
    </row>
    <row r="10" customFormat="false" ht="15" hidden="false" customHeight="false" outlineLevel="0" collapsed="false">
      <c r="C10" s="30" t="s">
        <v>1312</v>
      </c>
      <c r="D10" s="30" t="s">
        <v>1731</v>
      </c>
      <c r="H10" s="30" t="s">
        <v>1732</v>
      </c>
      <c r="N10" s="18" t="n">
        <v>46538</v>
      </c>
      <c r="O10" s="30" t="s">
        <v>1733</v>
      </c>
      <c r="Q10" s="57"/>
      <c r="R10" s="57"/>
    </row>
    <row r="11" customFormat="false" ht="15" hidden="false" customHeight="false" outlineLevel="0" collapsed="false">
      <c r="H11" s="30" t="s">
        <v>1734</v>
      </c>
      <c r="N11" s="18" t="n">
        <v>46556</v>
      </c>
      <c r="O11" s="30" t="s">
        <v>1735</v>
      </c>
      <c r="Q11" s="57"/>
      <c r="R11" s="57"/>
    </row>
    <row r="12" customFormat="false" ht="15" hidden="false" customHeight="false" outlineLevel="0" collapsed="false">
      <c r="N12" s="18" t="n">
        <v>46573</v>
      </c>
      <c r="O12" s="30" t="s">
        <v>1736</v>
      </c>
      <c r="Q12" s="57"/>
      <c r="R12" s="57"/>
    </row>
    <row r="13" customFormat="false" ht="15" hidden="false" customHeight="false" outlineLevel="0" collapsed="false">
      <c r="N13" s="18" t="n">
        <v>46636</v>
      </c>
      <c r="O13" s="30" t="s">
        <v>1737</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1738</v>
      </c>
    </row>
    <row r="34" customFormat="false" ht="15" hidden="false" customHeight="false" outlineLevel="0" collapsed="false">
      <c r="A34" s="9" t="s">
        <v>1739</v>
      </c>
      <c r="B34" s="32" t="s">
        <v>1451</v>
      </c>
      <c r="C34" s="32" t="s">
        <v>324</v>
      </c>
      <c r="D34" s="32" t="s">
        <v>1551</v>
      </c>
      <c r="E34" s="32" t="s">
        <v>1552</v>
      </c>
      <c r="F34" s="32" t="s">
        <v>1553</v>
      </c>
      <c r="G34" s="32" t="s">
        <v>1554</v>
      </c>
      <c r="H34" s="32" t="s">
        <v>463</v>
      </c>
      <c r="I34" s="32" t="s">
        <v>1555</v>
      </c>
      <c r="J34" s="32" t="s">
        <v>1556</v>
      </c>
      <c r="K34" s="32" t="s">
        <v>1557</v>
      </c>
      <c r="L34" s="32" t="s">
        <v>1558</v>
      </c>
      <c r="M34" s="32" t="s">
        <v>1559</v>
      </c>
      <c r="N34" s="32" t="s">
        <v>1560</v>
      </c>
      <c r="O34" s="32" t="s">
        <v>1561</v>
      </c>
      <c r="P34" s="32" t="s">
        <v>1562</v>
      </c>
      <c r="Q34" s="32" t="s">
        <v>1563</v>
      </c>
      <c r="R34" s="32" t="s">
        <v>1564</v>
      </c>
      <c r="S34" s="32" t="s">
        <v>1565</v>
      </c>
      <c r="T34" s="32" t="s">
        <v>1566</v>
      </c>
      <c r="U34" s="32" t="s">
        <v>1567</v>
      </c>
      <c r="V34" s="32" t="s">
        <v>1568</v>
      </c>
      <c r="W34" s="32" t="s">
        <v>1569</v>
      </c>
      <c r="X34" s="32" t="s">
        <v>1570</v>
      </c>
      <c r="Y34" s="32" t="s">
        <v>1571</v>
      </c>
      <c r="Z34" s="32" t="s">
        <v>1572</v>
      </c>
      <c r="AA34" s="32" t="s">
        <v>1573</v>
      </c>
    </row>
    <row r="35" customFormat="false" ht="15" hidden="false" customHeight="false" outlineLevel="0" collapsed="false">
      <c r="A35" s="9" t="s">
        <v>1740</v>
      </c>
      <c r="B35" s="32" t="s">
        <v>324</v>
      </c>
      <c r="C35" s="32" t="s">
        <v>1551</v>
      </c>
      <c r="D35" s="32" t="s">
        <v>1552</v>
      </c>
      <c r="E35" s="32" t="s">
        <v>463</v>
      </c>
      <c r="F35" s="32" t="s">
        <v>480</v>
      </c>
      <c r="G35" s="32" t="s">
        <v>1585</v>
      </c>
      <c r="H35" s="32" t="s">
        <v>1586</v>
      </c>
      <c r="I35" s="32" t="s">
        <v>1587</v>
      </c>
      <c r="J35" s="32" t="s">
        <v>1505</v>
      </c>
    </row>
    <row r="36" customFormat="false" ht="15" hidden="false" customHeight="false" outlineLevel="0" collapsed="false">
      <c r="A36" s="9" t="s">
        <v>1741</v>
      </c>
      <c r="B36" s="32" t="s">
        <v>366</v>
      </c>
      <c r="C36" s="32" t="s">
        <v>324</v>
      </c>
      <c r="D36" s="32" t="s">
        <v>1451</v>
      </c>
      <c r="E36" s="32" t="s">
        <v>1452</v>
      </c>
      <c r="F36" s="32" t="s">
        <v>407</v>
      </c>
      <c r="G36" s="32" t="s">
        <v>1453</v>
      </c>
    </row>
    <row r="37" customFormat="false" ht="15" hidden="false" customHeight="false" outlineLevel="0" collapsed="false">
      <c r="A37" s="9" t="s">
        <v>1742</v>
      </c>
      <c r="B37" s="32" t="s">
        <v>366</v>
      </c>
      <c r="C37" s="32" t="s">
        <v>1498</v>
      </c>
      <c r="D37" s="32" t="s">
        <v>1499</v>
      </c>
      <c r="E37" s="32" t="s">
        <v>1500</v>
      </c>
      <c r="F37" s="32" t="s">
        <v>1501</v>
      </c>
      <c r="G37" s="32" t="s">
        <v>1502</v>
      </c>
      <c r="H37" s="32" t="s">
        <v>1503</v>
      </c>
      <c r="I37" s="32" t="s">
        <v>1504</v>
      </c>
      <c r="J37" s="32" t="s">
        <v>1505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2026-10-24T09:27:05Z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