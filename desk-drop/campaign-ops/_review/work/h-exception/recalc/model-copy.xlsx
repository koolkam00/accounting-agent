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<sst xmlns="http://schemas.openxmlformats.org/spreadsheetml/2006/main" count="3163" uniqueCount="1760">
  <si>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</si>
  <si>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</si>
  <si>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</si>
  <si>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</si>
  <si>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</si>
  <si>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</si>
  <si>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</si>
  <si>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</si>
  <si>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</si>
  <si>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</si>
  <si>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</si>
  <si>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</si>
  <si>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</si>
  <si>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</si>
  <si>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</si>
  <si>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</si>
  <si>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</si>
  <si>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</si>
  <si>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</si>
  <si>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</si>
  <si>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</si>
  <si>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</si>
  <si>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</si>
  <si>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</si>
  <si>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</si>
  <si>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</si>
  <si>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</si>
  <si>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</si>
  <si>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</si>
  <si>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</si>
  <si>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</si>
  <si>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</si>
  <si>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</si>
  <si>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</si>
  <si>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</si>
  <si>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</si>
  <si>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</si>
  <si>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</si>
  <si>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</si>
  <si>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</si>
  <si>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</si>
  <si>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</si>
  <si>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</si>
  <si>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</si>
  <si>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</si>
  <si>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</si>
  <si>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</si>
  <si>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</si>
  <si>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</si>
  <si>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</si>
  <si>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</si>
  <si>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</si>
  <si>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</si>
  <si>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</si>
  <si>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</si>
  <si>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</si>
  <si>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</si>
  <si>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</si>
  <si>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</si>
  <si>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</si>
  <si>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</si>
  <si>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</si>
  <si>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</si>
  <si>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</si>
  <si>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</si>
  <si>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</si>
  <si>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</si>
  <si>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</si>
  <si>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</si>
  <si>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</si>
  <si>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</si>
  <si>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</si>
  <si>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</si>
  <si>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</si>
  <si>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</si>
  <si>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</si>
  <si>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</si>
  <si>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</si>
  <si>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</si>
  <si>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</si>
  <si>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</si>
  <si>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</si>
  <si>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</si>
  <si>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</si>
  <si>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</si>
  <si>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</si>
  <si>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</si>
  <si>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</si>
  <si>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</si>
  <si>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</si>
  <si>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</si>
  <si>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</si>
  <si>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</si>
  <si>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</si>
  <si>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</si>
  <si>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</si>
  <si>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</si>
  <si>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</si>
  <si>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</si>
  <si>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</si>
  <si>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</si>
  <si>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</si>
  <si>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</si>
  <si>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</si>
  <si>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</si>
  <si>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</si>
  <si>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</si>
  <si>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</si>
  <si>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</si>
  <si>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</si>
  <si>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</si>
  <si>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</si>
  <si>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</si>
  <si>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</si>
  <si>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</si>
  <si>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</si>
  <si>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</si>
  <si>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</si>
  <si>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</si>
  <si>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</si>
  <si>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</si>
  <si>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</si>
  <si>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</si>
  <si>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</si>
  <si>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</si>
  <si>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</si>
  <si>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</si>
  <si>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</si>
  <si>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</si>
  <si>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</si>
  <si>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</si>
  <si>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</si>
  <si>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</si>
  <si>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</si>
  <si>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</si>
  <si>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</si>
  <si>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</si>
  <si>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</si>
  <si>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</si>
  <si>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</si>
  <si>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</si>
  <si>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</si>
  <si>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</si>
  <si>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</si>
  <si>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</si>
  <si>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</si>
  <si>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</si>
  <si>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</si>
  <si>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</si>
  <si>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</si>
  <si>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</si>
  <si>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</si>
  <si>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</si>
  <si>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</si>
  <si>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</si>
  <si>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</si>
  <si>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</si>
  <si>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</si>
  <si>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</si>
  <si>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</si>
  <si>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</si>
  <si>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</si>
  <si>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</si>
  <si>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</si>
  <si>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</si>
  <si>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</si>
  <si>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</si>
  <si>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</si>
  <si>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</si>
  <si>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</si>
  <si>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</si>
  <si>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</si>
  <si>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</si>
  <si>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</si>
  <si>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</si>
  <si>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</si>
  <si>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</si>
  <si>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</si>
  <si>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</si>
  <si>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</si>
  <si>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</si>
  <si>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</si>
  <si>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</si>
  <si>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</si>
  <si>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</si>
  <si>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</si>
  <si>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</si>
  <si>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</si>
  <si>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</si>
  <si>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</si>
  <si>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</si>
  <si>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</si>
  <si>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</si>
  <si>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</si>
  <si>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</si>
  <si>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</si>
  <si>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</si>
  <si>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</si>
  <si>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</si>
  <si>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</si>
  <si>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</si>
  <si>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</si>
  <si>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</si>
  <si>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</si>
  <si>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</si>
  <si>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</si>
  <si>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</si>
  <si>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</si>
  <si>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</si>
  <si>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</si>
  <si>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</si>
  <si>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</si>
  <si>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</si>
  <si>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</si>
  <si>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</si>
  <si>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</si>
  <si>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</si>
  <si>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</si>
  <si>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</si>
  <si>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</si>
  <si>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</si>
  <si>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</si>
  <si>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</si>
  <si>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</si>
  <si>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</si>
  <si>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</si>
  <si>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</si>
  <si>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</si>
  <si>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</si>
  <si>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</si>
  <si>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</si>
  <si>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</si>
  <si>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</si>
  <si>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</si>
  <si>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</si>
  <si>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</si>
  <si>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</si>
  <si>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</si>
  <si>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</si>
  <si>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</si>
  <si>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</si>
  <si>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</si>
  <si>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</si>
  <si>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</si>
  <si>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</si>
  <si>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</si>
  <si>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</si>
  <si>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</si>
  <si>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</si>
  <si>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</si>
  <si>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</si>
  <si>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</si>
  <si>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</si>
  <si>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</si>
  <si>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</si>
  <si>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</si>
  <si>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</si>
  <si>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</si>
  <si>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</si>
  <si>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</si>
  <si>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</si>
  <si>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</si>
  <si>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</si>
  <si>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</si>
  <si>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</si>
  <si>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</si>
  <si>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</si>
  <si>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</si>
  <si>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</si>
  <si>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</si>
  <si>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</si>
  <si>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</si>
  <si>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</si>
  <si>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</si>
  <si>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</si>
  <si>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</si>
  <si>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</si>
  <si>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</si>
  <si>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</si>
  <si>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</si>
  <si>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</si>
  <si>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</si>
  <si>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</si>
  <si>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</si>
  <si>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</si>
  <si>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</si>
  <si>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</si>
  <si>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</si>
  <si>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</si>
  <si>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</si>
  <si>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</si>
  <si>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</si>
  <si>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</si>
  <si>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</si>
  <si>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</si>
  <si>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</si>
  <si>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</si>
  <si>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</si>
  <si>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</si>
  <si>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</si>
  <si>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</si>
  <si>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</si>
  <si>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</si>
  <si>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</si>
  <si>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</si>
  <si>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</si>
  <si>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</si>
  <si>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</si>
  <si>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</si>
  <si>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</si>
  <si>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</si>
  <si>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</si>
  <si>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</si>
  <si>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</si>
  <si>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</si>
  <si>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</si>
  <si>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</si>
  <si>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</si>
  <si>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</si>
  <si>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</si>
  <si>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</si>
  <si>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</si>
  <si>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</si>
  <si>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</si>
  <si>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</si>
  <si>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</si>
  <si>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</si>
  <si>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</si>
  <si>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</si>
  <si>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</si>
  <si>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</si>
  <si>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</si>
  <si>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</si>
  <si>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</si>
  <si>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</si>
  <si>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</si>
  <si>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</si>
  <si>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</si>
  <si>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</si>
  <si>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</si>
  <si>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</si>
  <si>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</si>
  <si>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</si>
  <si>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</si>
  <si>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</si>
  <si>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</si>
  <si>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</si>
  <si>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</si>
  <si>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</si>
  <si>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</si>
  <si>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</si>
  <si>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</si>
  <si>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</si>
  <si>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</si>
  <si>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</si>
  <si>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</si>
  <si>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</si>
  <si>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</si>
  <si>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</si>
  <si>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</si>
  <si>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</si>
  <si>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</si>
  <si>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</si>
  <si>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</si>
  <si>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</si>
  <si>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</si>
  <si>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</si>
  <si>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</si>
  <si>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</si>
  <si>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</si>
  <si>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</si>
  <si>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</si>
  <si>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</si>
  <si>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</si>
  <si>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</si>
  <si>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</si>
  <si>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</si>
  <si>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</si>
  <si>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</si>
  <si>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</si>
  <si>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</si>
  <si>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</si>
  <si>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</si>
  <si>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</si>
  <si>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</si>
  <si>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</si>
  <si>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</si>
  <si>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</si>
  <si>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</si>
  <si>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</si>
  <si>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</si>
  <si>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</si>
  <si>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</si>
  <si>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</si>
  <si>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</si>
  <si>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</si>
  <si>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</si>
  <si>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</si>
  <si>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</si>
  <si>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</si>
  <si>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</si>
  <si>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</si>
  <si>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</si>
  <si>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</si>
  <si>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</si>
  <si>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</si>
  <si>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</si>
  <si>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</si>
  <si>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</si>
  <si>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</si>
  <si>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</si>
  <si>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</si>
  <si>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</si>
  <si>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</si>
  <si>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</si>
  <si>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</si>
  <si>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</si>
  <si>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</si>
  <si>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</si>
  <si>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</si>
  <si>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</si>
  <si>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</si>
  <si>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</si>
  <si>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</si>
  <si>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</si>
  <si>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</si>
  <si>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</si>
  <si>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</si>
  <si>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</si>
  <si>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</si>
  <si>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</si>
  <si>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</si>
  <si>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</si>
  <si>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</si>
  <si>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</si>
  <si>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</si>
  <si>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</si>
  <si>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</si>
  <si>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</si>
  <si>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</si>
  <si>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</si>
  <si>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</si>
  <si>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</si>
  <si>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</si>
  <si>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</si>
  <si>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</si>
  <si>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</si>
  <si>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</si>
  <si>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</si>
  <si>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</si>
  <si>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</si>
  <si>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</si>
  <si>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</si>
  <si>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</si>
  <si>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</si>
  <si>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</si>
  <si>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</si>
  <si>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</si>
  <si>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</si>
  <si>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</si>
  <si>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</si>
  <si>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</si>
  <si>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</si>
  <si>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</si>
  <si>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</si>
  <si>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</si>
  <si>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</si>
  <si>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</si>
  <si>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</si>
  <si>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</si>
  <si>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</si>
  <si>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</si>
  <si>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</si>
  <si>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</si>
  <si>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</si>
  <si>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</si>
  <si>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</si>
  <si>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</si>
  <si>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</si>
  <si>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</si>
  <si>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</si>
  <si>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</si>
  <si>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</si>
  <si>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</si>
  <si>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</si>
  <si>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</si>
  <si>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</si>
  <si>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</si>
  <si>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</si>
  <si>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</si>
  <si>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</si>
  <si>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</si>
  <si>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</si>
  <si>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</si>
  <si>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</si>
  <si>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</si>
  <si>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</si>
  <si>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</si>
  <si>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</si>
  <si>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</si>
  <si>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</si>
  <si>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</si>
  <si>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</si>
  <si>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</si>
  <si>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</si>
  <si>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</si>
  <si>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</si>
  <si>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</si>
  <si>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</si>
  <si>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</si>
  <si>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</si>
  <si>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</si>
  <si>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</si>
  <si>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</si>
  <si>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</si>
  <si>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</si>
  <si>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</si>
  <si>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</si>
  <si>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</si>
  <si>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</si>
  <si>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</si>
  <si>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</si>
  <si>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</si>
  <si>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</si>
  <si>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</si>
  <si>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</si>
  <si>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</si>
  <si>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</si>
  <si>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</si>
  <si>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</si>
  <si>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</si>
  <si>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</si>
  <si>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</si>
  <si>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</si>
  <si>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</si>
  <si>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</si>
  <si>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</si>
  <si>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</si>
  <si>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</si>
  <si>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</si>
  <si>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</si>
  <si>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</si>
  <si>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</si>
  <si>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</si>
  <si>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</si>
  <si>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</si>
  <si>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</si>
  <si>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</si>
  <si>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</si>
  <si>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</si>
  <si>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</si>
  <si>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</si>
  <si>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</si>
  <si>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</si>
  <si>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</si>
  <si>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</si>
  <si>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</si>
  <si>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</si>
  <si>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</si>
  <si>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</si>
  <si>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</si>
  <si>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</si>
  <si>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</si>
  <si>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</si>
  <si>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</si>
  <si>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</si>
  <si>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</si>
  <si>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</si>
  <si>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</si>
  <si>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</si>
  <si>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</si>
  <si>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</si>
  <si>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</si>
  <si>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</si>
  <si>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</si>
  <si>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</si>
  <si>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</si>
  <si>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</si>
  <si>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</si>
  <si>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</si>
  <si>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</si>
  <si>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</si>
  <si>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</si>
  <si>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</si>
  <si>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</si>
  <si>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</si>
  <si>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</si>
  <si>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</si>
  <si>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</si>
  <si>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</si>
  <si>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</si>
  <si>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</si>
  <si>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</si>
  <si>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</si>
  <si>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</si>
  <si>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</si>
  <si>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</si>
  <si>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</si>
  <si>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</si>
  <si>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</si>
  <si>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</si>
  <si>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</si>
  <si>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</si>
  <si>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</si>
  <si>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</si>
  <si>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</si>
  <si>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</si>
  <si>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</si>
  <si>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</si>
  <si>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</si>
  <si>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</si>
  <si>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</si>
  <si>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</si>
  <si>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</si>
  <si>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</si>
  <si>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</si>
  <si>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</si>
  <si>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</si>
  <si>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</si>
  <si>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</si>
  <si>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</si>
  <si>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</si>
  <si>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</si>
  <si>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</si>
  <si>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</si>
  <si>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</si>
  <si>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</si>
  <si>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</si>
  <si>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</si>
  <si>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</si>
  <si>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</si>
  <si>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</si>
  <si>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</si>
  <si>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</si>
  <si>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</si>
  <si>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</si>
  <si>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</si>
  <si>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</si>
  <si>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</si>
  <si>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</si>
  <si>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</si>
  <si>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</si>
  <si>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</si>
  <si>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</si>
  <si>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</si>
  <si>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</si>
  <si>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</si>
  <si>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</si>
  <si>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</si>
  <si>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</si>
  <si>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</si>
  <si>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</si>
  <si>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</si>
  <si>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</si>
  <si>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</si>
  <si>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</si>
  <si>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</si>
  <si>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</si>
  <si>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</si>
  <si>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</si>
  <si>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</si>
  <si>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</si>
  <si>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</si>
  <si>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</si>
  <si>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</si>
  <si>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</si>
  <si>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</si>
  <si>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</si>
  <si>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</si>
  <si>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</si>
  <si>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</si>
  <si>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</si>
  <si>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</si>
  <si>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</si>
  <si>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</si>
  <si>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</si>
  <si>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</si>
  <si>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</si>
  <si>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</si>
  <si>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</si>
  <si>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</si>
  <si>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</si>
  <si>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</si>
  <si>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</si>
  <si>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</si>
  <si>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</si>
  <si>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</si>
  <si>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</si>
  <si>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</si>
  <si>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</si>
  <si>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</si>
  <si>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</si>
  <si>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</si>
  <si>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</si>
  <si>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</si>
  <si>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</si>
  <si>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</si>
  <si>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</si>
  <si>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</si>
  <si>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</si>
  <si>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</si>
  <si>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</si>
  <si>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</si>
  <si>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</si>
  <si>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</si>
  <si>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</si>
  <si>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</si>
  <si>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</si>
  <si>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</si>
  <si>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</si>
  <si>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</si>
  <si>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</si>
  <si>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</si>
  <si>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</si>
  <si>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</si>
  <si>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</si>
  <si>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</si>
  <si>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</si>
  <si>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</si>
  <si>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</si>
  <si>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</si>
  <si>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</si>
  <si>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</si>
  <si>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</si>
  <si>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</si>
  <si>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</si>
  <si>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</si>
  <si>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</si>
  <si>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</si>
  <si>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</si>
  <si>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</si>
  <si>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</si>
  <si>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</si>
  <si>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</si>
  <si>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</si>
  <si>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</si>
  <si>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</si>
  <si>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</si>
  <si>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</si>
  <si>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</si>
  <si>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</si>
  <si>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</si>
  <si>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</si>
  <si>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</si>
  <si>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</si>
  <si>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</si>
  <si>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</si>
  <si>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</si>
  <si>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</si>
  <si>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</si>
  <si>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</si>
  <si>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</si>
  <si>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</si>
  <si>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</si>
  <si>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</si>
  <si>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</si>
  <si>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</si>
  <si>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</si>
  <si>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</si>
  <si>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</si>
  <si>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</si>
  <si>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</si>
  <si>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</si>
  <si>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</si>
  <si>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</si>
  <si>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</si>
  <si>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</si>
  <si>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</si>
  <si>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</si>
  <si>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</si>
  <si>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</si>
  <si>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</si>
  <si>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</si>
  <si>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</si>
  <si>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</si>
  <si>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</si>
  <si>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</si>
  <si>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</si>
  <si>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</si>
  <si>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</si>
  <si>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</si>
  <si>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</si>
  <si>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</si>
  <si>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</si>
  <si>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</si>
  <si>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</si>
  <si>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</si>
  <si>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</si>
  <si>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</si>
  <si>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</si>
  <si>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</si>
  <si>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</si>
  <si>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</si>
  <si>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</si>
  <si>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</si>
  <si>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</si>
  <si>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</si>
  <si>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</si>
  <si>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</si>
  <si>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</si>
  <si>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</si>
  <si>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</si>
  <si>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</si>
  <si>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</si>
  <si>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</si>
  <si>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</si>
  <si>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</si>
  <si>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</si>
  <si>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</si>
  <si>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</si>
  <si>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</si>
  <si>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</si>
  <si>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</si>
  <si>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</si>
  <si>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</si>
  <si>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</si>
  <si>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</si>
  <si>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</si>
  <si>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</si>
  <si>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</si>
  <si>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</si>
  <si>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</si>
  <si>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</si>
  <si>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</si>
  <si>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</si>
  <si>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</si>
  <si>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</si>
  <si>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</si>
  <si>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</si>
  <si>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</si>
  <si>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</si>
  <si>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</si>
  <si>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</si>
  <si>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</si>
  <si>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</si>
  <si>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</si>
  <si>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</si>
  <si>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</si>
  <si>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</si>
  <si>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</si>
  <si>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</si>
  <si>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</si>
  <si>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</si>
  <si>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</si>
  <si>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</si>
  <si>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</si>
  <si>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</si>
  <si>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</si>
  <si>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</si>
  <si>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</si>
  <si>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</si>
  <si>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</si>
  <si>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</si>
  <si>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</si>
  <si>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</si>
  <si>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</si>
  <si>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</si>
  <si>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</si>
  <si>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</si>
  <si>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</si>
  <si>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</si>
  <si>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</si>
  <si>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</si>
  <si>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</si>
  <si>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</si>
  <si>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</si>
  <si>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</si>
  <si>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</si>
  <si>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</si>
  <si>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</si>
  <si>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</si>
  <si>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</si>
  <si>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</si>
  <si>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</si>
  <si>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</si>
  <si>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</si>
  <si>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</si>
  <si>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</si>
  <si>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</si>
  <si>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</si>
  <si>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</si>
  <si>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</si>
  <si>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</si>
  <si>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</si>
  <si>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</si>
  <si>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</si>
  <si>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</si>
  <si>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</si>
  <si>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</si>
  <si>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</si>
  <si>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</si>
  <si>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</si>
  <si>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</si>
  <si>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</si>
  <si>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</si>
  <si>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</si>
  <si>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</si>
  <si>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</si>
  <si>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</si>
  <si>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</si>
  <si>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</si>
  <si>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</si>
  <si>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</si>
  <si>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</si>
  <si>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</si>
  <si>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</si>
  <si>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</si>
  <si>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</si>
  <si>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</si>
  <si>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</si>
  <si>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</si>
  <si>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</si>
  <si>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</si>
  <si>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</si>
  <si>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</si>
  <si>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</si>
  <si>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</si>
  <si>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</si>
  <si>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</si>
  <si>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</si>
  <si>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</si>
  <si>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</si>
  <si>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</si>
  <si>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</si>
  <si>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</si>
  <si>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</si>
  <si>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</si>
  <si>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</si>
  <si>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</si>
  <si>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</si>
  <si>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</si>
  <si>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</si>
  <si>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</si>
  <si>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</si>
  <si>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</si>
  <si>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</si>
  <si>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</si>
  <si>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</si>
  <si>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</si>
  <si>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</si>
  <si>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</si>
  <si>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</si>
  <si>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</si>
  <si>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</si>
  <si>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</si>
  <si>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</si>
  <si>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</si>
  <si>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</si>
  <si>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</si>
  <si>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</si>
  <si>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</si>
  <si>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</si>
  <si>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</si>
  <si>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</si>
  <si>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</si>
  <si>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</si>
  <si>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</si>
  <si>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</si>
  <si>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</si>
  <si>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</si>
  <si>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</si>
  <si>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</si>
  <si>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</si>
  <si>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</si>
  <si>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</si>
  <si>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</si>
  <si>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</si>
  <si>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</si>
  <si>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</si>
  <si>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</si>
  <si>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</si>
  <si>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</si>
  <si>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</si>
  <si>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</si>
  <si>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</si>
  <si>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</si>
  <si>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</si>
  <si>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</si>
  <si>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</si>
  <si>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</si>
  <si>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</si>
  <si>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</si>
  <si>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</si>
  <si>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</si>
  <si>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</si>
  <si>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</si>
  <si>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</si>
  <si>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</si>
  <si>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</si>
  <si>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</si>
  <si>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</si>
  <si>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</si>
  <si>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</si>
  <si>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</si>
  <si>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</si>
  <si>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</si>
  <si>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</si>
  <si>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</si>
  <si>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</si>
  <si>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</si>
  <si>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</si>
  <si>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</si>
  <si>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</si>
  <si>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</si>
  <si>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</si>
  <si>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</si>
  <si>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</si>
  <si>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</si>
  <si>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</si>
  <si>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</si>
  <si>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</si>
  <si>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</si>
  <si>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</si>
  <si>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</si>
  <si>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</si>
  <si>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</si>
  <si>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</si>
  <si>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</si>
  <si>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</si>
  <si>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</si>
  <si>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</si>
  <si>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</si>
  <si>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</si>
  <si>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</si>
  <si>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</si>
  <si>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</si>
  <si>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</si>
  <si>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</si>
  <si>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</si>
  <si>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</si>
  <si>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</si>
  <si>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</si>
  <si>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</si>
  <si>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</si>
  <si>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</si>
  <si>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</si>
  <si>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</si>
  <si>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</si>
  <si>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</si>
  <si>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</si>
  <si>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</si>
  <si>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</si>
  <si>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</si>
  <si>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</si>
  <si>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</si>
  <si>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</si>
  <si>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</si>
  <si>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</si>
  <si>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</si>
  <si>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</si>
  <si>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</si>
  <si>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</si>
  <si>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</si>
  <si>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</si>
  <si>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</si>
  <si>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</si>
  <si>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</si>
  <si>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</si>
  <si>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</si>
  <si>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</si>
  <si>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</si>
  <si>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</si>
  <si>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</si>
  <si>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</si>
  <si>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</si>
  <si>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</si>
  <si>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</si>
  <si>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</si>
  <si>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</si>
  <si>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</si>
  <si>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</si>
  <si>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</si>
  <si>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</si>
  <si>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</si>
  <si>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</si>
  <si>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</si>
  <si>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</si>
  <si>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</si>
  <si>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</si>
  <si>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</si>
  <si>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</si>
  <si>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</si>
  <si>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</si>
  <si>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</si>
  <si>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</si>
  <si>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</si>
  <si>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</si>
  <si>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</si>
  <si>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</si>
  <si>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</si>
  <si>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</si>
  <si>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</si>
  <si>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</si>
  <si>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</si>
  <si>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</si>
  <si>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</si>
  <si>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</si>
  <si>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</si>
  <si>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</si>
  <si>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</si>
  <si>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</si>
  <si>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</si>
  <si>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</si>
  <si>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</si>
  <si>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</si>
  <si>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</si>
  <si>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</si>
  <si>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</si>
  <si>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</si>
  <si>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</si>
  <si>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</si>
  <si>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</si>
  <si>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</si>
  <si>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</si>
  <si>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</si>
  <si>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</si>
  <si>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</si>
  <si>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</si>
  <si>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</si>
  <si>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</si>
  <si>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</si>
  <si>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</si>
  <si>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</si>
  <si>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</si>
  <si>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</si>
  <si>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</si>
  <si>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</si>
  <si>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</si>
  <si>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</si>
  <si>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</si>
  <si>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</si>
  <si>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</si>
  <si>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</si>
  <si>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</si>
  <si>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</si>
  <si>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</si>
  <si>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</si>
  <si>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</si>
  <si>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</si>
  <si>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</si>
  <si>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</si>
  <si>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</si>
  <si>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</si>
  <si>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</si>
  <si>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</si>
  <si>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</si>
  <si>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</si>
  <si>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</si>
  <si>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</si>
  <si>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</si>
  <si>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</si>
  <si>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</si>
  <si>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</si>
  <si>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</si>
  <si>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</si>
  <si>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</si>
  <si>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</si>
  <si>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</si>
  <si>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</si>
  <si>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</si>
  <si>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</si>
  <si>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</si>
  <si>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</si>
  <si>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</si>
  <si>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</si>
  <si>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</si>
  <si>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</si>
  <si>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</si>
  <si>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</si>
  <si>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</si>
  <si>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</si>
  <si>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</si>
  <si>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</si>
  <si>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</si>
  <si>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</si>
  <si>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</si>
  <si>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</si>
  <si>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</si>
  <si>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</si>
  <si>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</si>
  <si>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</si>
  <si>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</si>
  <si>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</si>
  <si>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</si>
  <si>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</si>
  <si>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</si>
  <si>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</si>
  <si>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</si>
  <si>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</si>
  <si>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</si>
  <si>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</si>
  <si>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</si>
  <si>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</si>
  <si>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</si>
  <si>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</si>
  <si>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</si>
  <si>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</si>
  <si>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</si>
  <si>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</si>
  <si>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</si>
  <si>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</si>
  <si>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</si>
  <si>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</si>
  <si>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</si>
  <si>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</si>
  <si>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</si>
  <si>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</si>
  <si>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</si>
  <si>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</si>
  <si>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</si>
  <si>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</si>
  <si>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</si>
  <si>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</si>
  <si>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</si>
  <si>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</si>
  <si>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</si>
  <si>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</si>
  <si>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</si>
  <si>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</si>
  <si>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</si>
  <si>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</si>
  <si>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</si>
  <si>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</si>
  <si>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</si>
  <si>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</si>
  <si>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</si>
  <si>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</si>
  <si>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</si>
  <si>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</si>
  <si>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</si>
  <si>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</si>
  <si>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</si>
  <si>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</si>
  <si>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</si>
  <si>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</si>
  <si>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</si>
  <si>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</si>
  <si>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</si>
  <si>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</si>
  <si>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</si>
  <si>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</si>
  <si>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</si>
  <si>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</si>
  <si>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</si>
  <si>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</si>
  <si>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</si>
  <si>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</si>
  <si>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</si>
  <si>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</si>
  <si>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</si>
  <si>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</si>
  <si>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</si>
  <si>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</si>
  <si>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</si>
  <si>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</si>
  <si>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</si>
  <si>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</si>
  <si>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</si>
  <si>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</si>
  <si>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</si>
  <si>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</si>
  <si>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</si>
  <si>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</si>
  <si>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</si>
  <si>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</si>
  <si>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</si>
  <si>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</si>
  <si>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</si>
  <si>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</si>
  <si>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</si>
  <si>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</si>
  <si>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</si>
  <si>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</si>
  <si>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</si>
  <si>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</si>
  <si>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</si>
  <si>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</si>
  <si>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</si>
  <si>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</si>
  <si>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</si>
  <si>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</si>
  <si>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</si>
  <si>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</si>
  <si>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</si>
  <si>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</si>
  <si>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</si>
  <si>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</si>
  <si>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</si>
  <si>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</si>
  <si>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</si>
  <si>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</si>
  <si>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</si>
  <si>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</si>
  <si>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</si>
  <si>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</si>
  <si>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</si>
  <si>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</si>
  <si>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</si>
  <si>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</si>
  <si>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</si>
  <si>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</si>
  <si>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</si>
  <si>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</si>
  <si>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</si>
  <si>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</si>
  <si>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</si>
  <si>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</si>
  <si>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</si>
  <si>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</si>
  <si>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</si>
  <si>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</si>
  <si>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</si>
  <si>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</si>
  <si>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</si>
  <si>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</si>
  <si>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</si>
  <si>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</si>
  <si>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</si>
  <si>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</si>
  <si>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</si>
  <si>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</si>
  <si>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</si>
  <si>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</si>
  <si>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</si>
  <si>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</si>
  <si>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</si>
  <si>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</si>
  <si>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</si>
  <si>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</si>
  <si>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</si>
  <si>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</si>
  <si>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</si>
  <si>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</si>
  <si>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</si>
  <si>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</si>
  <si>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</si>
  <si>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</si>
  <si>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</si>
  <si>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</si>
  <si>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</si>
  <si>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</si>
  <si>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</si>
  <si>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</si>
  <si>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</si>
  <si>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</si>
  <si>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</si>
  <si>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</si>
  <si>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</si>
  <si>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</si>
  <si>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</si>
  <si>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</si>
  <si>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</si>
  <si>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</si>
  <si>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</si>
  <si>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</si>
  <si>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</si>
  <si>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</si>
  <si>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</si>
  <si>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</si>
  <si>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</si>
  <si>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</si>
  <si>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</si>
  <si>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</si>
  <si>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</si>
  <si>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</si>
  <si>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</si>
  <si>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</si>
  <si>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</si>
  <si>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</si>
  <si>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</si>
  <si>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</si>
  <si>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</si>
  <si>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</si>
  <si>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</si>
  <si>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</si>
  <si>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</si>
  <si>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</si>
  <si>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</si>
  <si>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</si>
  <si>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</si>
  <si>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</si>
  <si>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</si>
  <si>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</si>
  <si>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</si>
  <si>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</si>
  <si>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</si>
  <si>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</si>
  <si>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</si>
  <si>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</si>
  <si>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</si>
  <si>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</si>
  <si>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</si>
  <si>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</si>
  <si>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</si>
  <si>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</si>
  <si>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</si>
  <si>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</si>
  <si>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</si>
  <si>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</si>
  <si>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</si>
  <si>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</si>
  <si>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</si>
  <si>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</si>
  <si>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</si>
  <si>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</si>
  <si>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</si>
  <si>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</si>
  <si>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</si>
  <si>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</si>
  <si>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</si>
  <si>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</si>
  <si>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</si>
  <si>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</si>
  <si>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</si>
  <si>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</si>
  <si>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</si>
  <si>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</si>
  <si>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</si>
  <si>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</si>
  <si>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</si>
  <si>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</si>
  <si>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</si>
  <si>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</si>
  <si>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</si>
  <si>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</si>
  <si>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</si>
  <si>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</si>
  <si>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</si>
  <si>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</si>
  <si>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</si>
  <si>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</si>
  <si>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</si>
  <si>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</si>
  <si>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</si>
  <si>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</si>
  <si>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</si>
  <si>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</si>
  <si>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</si>
  <si>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</si>
  <si>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</si>
  <si>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</si>
  <si>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</si>
  <si>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</si>
  <si>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</si>
  <si>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</si>
  <si>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</si>
  <si>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</si>
  <si>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</si>
  <si>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</si>
  <si>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</si>
  <si>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</si>
  <si>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</si>
  <si>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</si>
  <si>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</si>
  <si>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CMP-001</t>
  </si>
  <si>
    <t xml:space="preserve">SAMPLE qualifying, proposal, agreement</t>
  </si>
  <si>
    <t xml:space="preserv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</si>
  <si>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</si>
  <si>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</si>
  <si>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</si>
  <si>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</si>
  <si>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</si>
  <si>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</si>
  <si>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</si>
  <si>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</si>
  <si>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</si>
  <si>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</si>
  <si>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</si>
  <si>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</si>
  <si>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</si>
  <si>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</si>
  <si>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</si>
  <si>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</si>
  <si>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</si>
  <si>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CMP-003</t>
  </si>
  <si>
    <t xml:space="preserve">SAMPLE calls, proposal, agreement</t>
  </si>
  <si>
    <t xml:space="preserve">SAMPLE debrief and renewal proposal</t>
  </si>
  <si>
    <t xml:space="preserve">CMP-004</t>
  </si>
  <si>
    <t xml:space="preserve">Invalid activity keys in the hand log (should be 0)</t>
  </si>
  <si>
    <t xml:space="preserve">Rows whose drop_id is not on Schedule (should be 0)</t>
  </si>
  <si>
    <t xml:space="preserve">CMP-005</t>
  </si>
  <si>
    <t xml:space="preserve">Hours outside the 26 weeks (dated before week 1 or after week 26)</t>
  </si>
  <si>
    <t xml:space="preserve">Hours inside the 26 weeks not linked to a drop (feeds the Dashboard's six-month all-in rate)</t>
  </si>
  <si>
    <t xml:space="preserve">SAMPLE signing a new office</t>
  </si>
  <si>
    <t xml:space="preserve">SAMPLE approvals, windows, certificates</t>
  </si>
  <si>
    <t xml:space="preserve">SAMPLE meet the courier at five first-drop offices</t>
  </si>
  <si>
    <t xml:space="preserve">SAMPLE redeliver office SAMPLE-O-009</t>
  </si>
  <si>
    <t xml:space="preserve">CMP-006</t>
  </si>
  <si>
    <t xml:space="preserve">SAMPLE approvals</t>
  </si>
  <si>
    <t xml:space="preserve">SAMPLE receive, count, short shipment email</t>
  </si>
  <si>
    <t xml:space="preserve">SAMPLE pack nine cases plus one</t>
  </si>
  <si>
    <t xml:space="preserve">SAMPLE courier route; founder on call</t>
  </si>
  <si>
    <t xml:space="preserve">SAMPLE debrief</t>
  </si>
  <si>
    <t xml:space="preserve">SAMPLE balance and credit note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</si>
  <si>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</si>
  <si>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</si>
  <si>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</si>
  <si>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</si>
  <si>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</si>
  <si>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</si>
  <si>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</si>
  <si>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</si>
  <si>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</si>
  <si>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</si>
  <si>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</si>
  <si>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</si>
  <si>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</si>
  <si>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</si>
  <si>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</si>
  <si>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</si>
  <si>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</si>
  <si>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</si>
  <si>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</si>
  <si>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</si>
  <si>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</si>
  <si>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</si>
  <si>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</si>
  <si>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</si>
  <si>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</si>
  <si>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</si>
  <si>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</si>
  <si>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</si>
  <si>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</si>
  <si>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</si>
  <si>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</si>
  <si>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</si>
  <si>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</si>
  <si>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</si>
  <si>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</si>
  <si>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</si>
  <si>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</si>
  <si>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</si>
  <si>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</si>
  <si>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</si>
  <si>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</si>
  <si>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</si>
  <si>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</si>
  <si>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</si>
  <si>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</si>
  <si>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</si>
  <si>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</si>
  <si>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</si>
  <si>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</si>
  <si>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</si>
  <si>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</si>
  <si>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</si>
  <si>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</si>
  <si>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</si>
  <si>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</si>
  <si>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</si>
  <si>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</si>
  <si>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</si>
  <si>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</si>
  <si>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</si>
  <si>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</si>
  <si>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</si>
  <si>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</si>
  <si>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</si>
  <si>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</si>
  <si>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</si>
  <si>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</si>
  <si>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</si>
  <si>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</si>
  <si>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</si>
  <si>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</si>
  <si>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</si>
  <si>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</si>
  <si>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</si>
  <si>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</si>
  <si>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</si>
  <si>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</si>
  <si>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</si>
  <si>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</si>
  <si>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</si>
  <si>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</si>
  <si>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</si>
  <si>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</si>
  <si>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</si>
  <si>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</si>
  <si>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</si>
  <si>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</si>
  <si>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</si>
  <si>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</si>
  <si>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</si>
  <si>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</si>
  <si>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</si>
  <si>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</si>
  <si>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</si>
  <si>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BR-001</t>
  </si>
  <si>
    <t xml:space="preserve">yes</t>
  </si>
  <si>
    <t xml:space="preserve">BR-002</t>
  </si>
  <si>
    <t xml:space="preserve">maybe</t>
  </si>
  <si>
    <t xml:space="preserve">BR-003</t>
  </si>
  <si>
    <t xml:space="preserve">BR-004</t>
  </si>
  <si>
    <t xml:space="preserve">pending</t>
  </si>
  <si>
    <t xml:space="preserve">BR-005</t>
  </si>
  <si>
    <t xml:space="preserve">BR-006</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</si>
  <si>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</si>
  <si>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</si>
  <si>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</si>
  <si>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</si>
  <si>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</si>
  <si>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</si>
  <si>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SAMPLE first standard run</t>
  </si>
  <si>
    <t xml:space="preserve">SAMPLE second standard run (reviewer exception run)</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</si>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</sst>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-1612</c:v>
                </c:pt>
                <c:pt idx="14">
                  <c:v>-1762</c:v>
                </c:pt>
                <c:pt idx="15">
                  <c:v>-1602</c:v>
                </c:pt>
                <c:pt idx="16">
                  <c:v>-252</c:v>
                </c:pt>
                <c:pt idx="17">
                  <c:v>-92</c:v>
                </c:pt>
                <c:pt idx="18">
                  <c:v>-242</c:v>
                </c:pt>
                <c:pt idx="19">
                  <c:v>1940.5</c:v>
                </c:pt>
                <c:pt idx="20">
                  <c:v>1835.5</c:v>
                </c:pt>
                <c:pt idx="21">
                  <c:v>6140.5</c:v>
                </c:pt>
                <c:pt idx="22">
                  <c:v>5910.5</c:v>
                </c:pt>
                <c:pt idx="23">
                  <c:v>8093</c:v>
                </c:pt>
                <c:pt idx="24">
                  <c:v>8093</c:v>
                </c:pt>
                <c:pt idx="25">
                  <c:v>8093</c:v>
                </c:pt>
              </c:numCache>
            </c:numRef>
          </c:val>
          <c:smooth val="0"/>
        </c:ser>
        <c:hiLowLines>
          <c:spPr>
            <a:ln w="0">
              <a:noFill/>
            </a:ln>
          </c:spPr>
        </c:hiLowLines>
        <c:marker val="0"/>
        <c:axId val="96196298"/>
        <c:axId val="34823488"/>
      </c:lineChart>
      <c:catAx>
        <c:axId val="9619629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4823488"/>
        <c:crosses val="autoZero"/>
        <c:auto val="1"/>
        <c:lblAlgn val="ctr"/>
        <c:lblOffset val="100"/>
        <c:noMultiLvlLbl val="0"/>
      </c:catAx>
      <c:valAx>
        <c:axId val="3482348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1962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-1612</c:v>
                </c:pt>
                <c:pt idx="14">
                  <c:v>-1762</c:v>
                </c:pt>
                <c:pt idx="15">
                  <c:v>-1602</c:v>
                </c:pt>
                <c:pt idx="16">
                  <c:v>-252</c:v>
                </c:pt>
                <c:pt idx="17">
                  <c:v>-92</c:v>
                </c:pt>
                <c:pt idx="18">
                  <c:v>-242</c:v>
                </c:pt>
                <c:pt idx="19">
                  <c:v>1940.5</c:v>
                </c:pt>
                <c:pt idx="20">
                  <c:v>1835.5</c:v>
                </c:pt>
                <c:pt idx="21">
                  <c:v>6140.5</c:v>
                </c:pt>
                <c:pt idx="22">
                  <c:v>5910.5</c:v>
                </c:pt>
                <c:pt idx="23">
                  <c:v>8093</c:v>
                </c:pt>
                <c:pt idx="24">
                  <c:v>8093</c:v>
                </c:pt>
                <c:pt idx="25">
                  <c:v>8093</c:v>
                </c:pt>
              </c:numCache>
            </c:numRef>
          </c:val>
          <c:smooth val="0"/>
        </c:ser>
        <c:hiLowLines>
          <c:spPr>
            <a:ln w="0">
              <a:noFill/>
            </a:ln>
          </c:spPr>
        </c:hiLowLines>
        <c:marker val="0"/>
        <c:axId val="48911028"/>
        <c:axId val="3561223"/>
      </c:lineChart>
      <c:catAx>
        <c:axId val="4891102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561223"/>
        <c:crosses val="autoZero"/>
        <c:auto val="1"/>
        <c:lblAlgn val="ctr"/>
        <c:lblOffset val="100"/>
        <c:noMultiLvlLbl val="0"/>
      </c:catAx>
      <c:valAx>
        <c:axId val="35612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9110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5" customFormat="false" ht="30" hidden="false" customHeight="true" outlineLevel="0" collapsed="false">
      <c r="B5" s="9" t="s">
        <v>227</v>
      </c>
      <c r="C5" s="10" t="n">
        <f aca="false">Inputs!$C$17</f>
        <v>46319</v>
      </c>
      <c r="D5" s="9" t="s">
        <v>228</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229</v>
      </c>
      <c r="B7" s="4"/>
      <c r="C7" s="4"/>
      <c r="D7" s="4"/>
      <c r="E7" s="4"/>
      <c r="F7" s="4"/>
      <c r="G7" s="4"/>
      <c r="H7" s="4"/>
      <c r="I7" s="4"/>
    </row>
    <row r="8" customFormat="false" ht="21.75" hidden="false" customHeight="true" outlineLevel="0" collapsed="false">
      <c r="B8" s="12" t="s">
        <v>230</v>
      </c>
      <c r="C8" s="12" t="s">
        <v>231</v>
      </c>
      <c r="D8" s="12" t="s">
        <v>232</v>
      </c>
    </row>
    <row r="9" customFormat="false" ht="30" hidden="false" customHeight="true" outlineLevel="0" collapsed="false">
      <c r="B9" s="7" t="s">
        <v>233</v>
      </c>
      <c r="C9" s="13" t="str">
        <f aca="false">IFERROR(INDEX(Drop_PnL!$A$7:$A$18,MATCH(MIN(Drop_PnL!$BJ$7:$BJ$18),Drop_PnL!$BJ$7:$BJ$18,0)),"none scheduled")</f>
        <v>DRP-001</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2027-01-12, founder, 2 brand(s), 5 offices, founding tier</v>
      </c>
      <c r="E9" s="14"/>
      <c r="F9" s="14"/>
      <c r="G9" s="14"/>
      <c r="H9" s="14"/>
      <c r="I9" s="14"/>
    </row>
    <row r="10" customFormat="false" ht="30" hidden="false" customHeight="true" outlineLevel="0" collapsed="false">
      <c r="B10" s="7" t="s">
        <v>234</v>
      </c>
      <c r="C10" s="15" t="n">
        <f aca="false">IFERROR(INDEX(Drop_PnL!$AK$7:$AK$18,MATCH(MIN(Drop_PnL!$BJ$7:$BJ$18),Drop_PnL!$BJ$7:$BJ$18,0)),"n/a")</f>
        <v>16.2105263157895</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$1,200, 57 founder hours; campaign zero is at the founding rate, so the standard price does not move it</v>
      </c>
      <c r="E10" s="14"/>
      <c r="F10" s="14"/>
      <c r="G10" s="14"/>
      <c r="H10" s="14"/>
      <c r="I10" s="14"/>
    </row>
    <row r="11" customFormat="false" ht="30" hidden="false" customHeight="true" outlineLevel="0" collapsed="false">
      <c r="B11" s="7" t="s">
        <v>235</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236</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237</v>
      </c>
      <c r="C13" s="15" t="n">
        <f aca="false">IF(E54="","n/a",E54)</f>
        <v>61.28</v>
      </c>
      <c r="D13" s="14" t="str">
        <f aca="false">"actual: "&amp;IF(F54="","not yet",TEXT(F54,"$#,##0.0"))&amp;" ("&amp;F55&amp;" of "&amp;D55&amp;" standard runs with actuals in); target "&amp;TEXT(Inputs!$C$136,"$#,##0")</f>
        <v>actual: $61.0 (2 of 2 standard runs with actuals in); target $50</v>
      </c>
      <c r="E13" s="14"/>
      <c r="F13" s="14"/>
      <c r="G13" s="14"/>
      <c r="H13" s="14"/>
      <c r="I13" s="14"/>
    </row>
    <row r="14" customFormat="false" ht="30" hidden="false" customHeight="true" outlineLevel="0" collapsed="false">
      <c r="B14" s="7" t="s">
        <v>238</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239</v>
      </c>
      <c r="C15" s="16" t="n">
        <f aca="false">Cash_Flow!$C$34</f>
        <v>-4000</v>
      </c>
      <c r="D15" s="14" t="str">
        <f aca="false">"in week "&amp;Cash_Flow!$C$35&amp;", starting "&amp;TEXT(Cash_Flow!$C$36,"ddd yyyy-mm-dd")</f>
        <v>in week 9, starting Mon 2026-12-21</v>
      </c>
      <c r="E15" s="14"/>
      <c r="F15" s="14"/>
      <c r="G15" s="14"/>
      <c r="H15" s="14"/>
      <c r="I15" s="14"/>
    </row>
    <row r="16" customFormat="false" ht="30" hidden="false" customHeight="true" outlineLevel="0" collapsed="false">
      <c r="B16" s="7" t="s">
        <v>240</v>
      </c>
      <c r="C16" s="16" t="n">
        <f aca="false">Cash_Flow!$C$39</f>
        <v>5000</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241</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242</v>
      </c>
      <c r="C18" s="16" t="n">
        <f aca="false">Cash_Flow!$C$41</f>
        <v>1510</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243</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244</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245</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24.9169054441261</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$1.3 per hour</v>
      </c>
      <c r="E21" s="14"/>
      <c r="F21" s="14"/>
      <c r="G21" s="14"/>
      <c r="H21" s="14"/>
      <c r="I21" s="14"/>
    </row>
    <row r="22" customFormat="false" ht="30" hidden="false" customHeight="true" outlineLevel="0" collapsed="false">
      <c r="B22" s="7" t="s">
        <v>246</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50.3625730994152</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$34.3 per hour</v>
      </c>
      <c r="E22" s="14"/>
      <c r="F22" s="14"/>
      <c r="G22" s="14"/>
      <c r="H22" s="14"/>
      <c r="I22" s="14"/>
    </row>
    <row r="23" customFormat="false" ht="30" hidden="false" customHeight="true" outlineLevel="0" collapsed="false">
      <c r="B23" s="7" t="s">
        <v>247</v>
      </c>
      <c r="C23" s="16" t="n">
        <f aca="false">Cash_Flow!$C$44-SUMIFS(Drop_PnL!$BI$7:$BI$18,Drop_PnL!$B$7:$B$18,"&gt;"&amp;Inputs!$C$14)</f>
        <v>-477</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248</v>
      </c>
      <c r="C24" s="16" t="n">
        <f aca="false">Cash_Flow!$C$44</f>
        <v>8093</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249</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250</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251</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252</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253</v>
      </c>
      <c r="C29" s="17" t="n">
        <f aca="false">Inputs!$C$174</f>
        <v>0</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254</v>
      </c>
      <c r="B31" s="4"/>
      <c r="C31" s="4"/>
      <c r="D31" s="4"/>
      <c r="E31" s="4"/>
      <c r="F31" s="4"/>
      <c r="G31" s="4"/>
      <c r="H31" s="4"/>
      <c r="I31" s="4"/>
    </row>
    <row r="32" customFormat="false" ht="69.75" hidden="false" customHeight="true" outlineLevel="0" collapsed="false">
      <c r="B32" s="12" t="s">
        <v>255</v>
      </c>
      <c r="C32" s="12" t="s">
        <v>256</v>
      </c>
      <c r="D32" s="12" t="s">
        <v>257</v>
      </c>
      <c r="E32" s="12" t="s">
        <v>258</v>
      </c>
      <c r="F32" s="12" t="s">
        <v>259</v>
      </c>
      <c r="G32" s="12" t="s">
        <v>260</v>
      </c>
      <c r="H32" s="12" t="s">
        <v>261</v>
      </c>
    </row>
    <row r="33" customFormat="false" ht="18" hidden="false" customHeight="true" outlineLevel="0" collapsed="false">
      <c r="B33" s="9" t="s">
        <v>262</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263</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264</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3330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2250</v>
      </c>
      <c r="G35" s="16" t="n">
        <f aca="false">D35+E35-F35</f>
        <v>-4202</v>
      </c>
      <c r="H35" s="19" t="n">
        <f aca="false">SUMIFS(Cash_Flow!$C$26:$AB$26,Cash_Flow!$C$5:$AB$5,"&lt;="&amp;Inputs!$C$13)</f>
        <v>-2302</v>
      </c>
    </row>
    <row r="36" customFormat="false" ht="18" hidden="false" customHeight="true" outlineLevel="0" collapsed="false">
      <c r="B36" s="9" t="s">
        <v>265</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-7089.5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9030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-309.5</v>
      </c>
      <c r="H36" s="19" t="n">
        <f aca="false">SUMIFS(Cash_Flow!$C$26:$AB$26,Cash_Flow!$C$5:$AB$5,"&lt;="&amp;Inputs!$C$14)</f>
        <v>1940.5</v>
      </c>
    </row>
    <row r="37" customFormat="false" ht="18" hidden="false" customHeight="true" outlineLevel="0" collapsed="false">
      <c r="B37" s="9" t="s">
        <v>266</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-7687</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15780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8093</v>
      </c>
      <c r="H37" s="19" t="n">
        <f aca="false">SUMIFS(Cash_Flow!$C$26:$AB$26,Cash_Flow!$C$5:$AB$5,"&lt;="&amp;Inputs!$C$15)</f>
        <v>8093</v>
      </c>
    </row>
    <row r="38" customFormat="false" ht="57.75" hidden="false" customHeight="true" outlineLevel="0" collapsed="false">
      <c r="B38" s="20" t="s">
        <v>267</v>
      </c>
      <c r="C38" s="20"/>
      <c r="D38" s="20"/>
      <c r="E38" s="20"/>
      <c r="F38" s="20"/>
      <c r="G38" s="20"/>
      <c r="H38" s="20"/>
      <c r="I38" s="20"/>
    </row>
    <row r="40" customFormat="false" ht="15" hidden="false" customHeight="false" outlineLevel="0" collapsed="false">
      <c r="A40" s="3" t="s">
        <v>268</v>
      </c>
      <c r="B40" s="4"/>
      <c r="C40" s="4"/>
      <c r="D40" s="4"/>
      <c r="E40" s="4"/>
      <c r="F40" s="4"/>
      <c r="G40" s="4"/>
      <c r="H40" s="4"/>
      <c r="I40" s="4"/>
    </row>
    <row r="41" customFormat="false" ht="30" hidden="false" customHeight="true" outlineLevel="0" collapsed="false">
      <c r="A41" s="12" t="s">
        <v>269</v>
      </c>
      <c r="B41" s="12" t="s">
        <v>270</v>
      </c>
      <c r="C41" s="12" t="s">
        <v>271</v>
      </c>
      <c r="D41" s="12" t="s">
        <v>272</v>
      </c>
      <c r="E41" s="12" t="s">
        <v>273</v>
      </c>
      <c r="F41" s="12" t="s">
        <v>274</v>
      </c>
      <c r="G41" s="12" t="s">
        <v>275</v>
      </c>
      <c r="H41" s="12" t="s">
        <v>276</v>
      </c>
      <c r="I41" s="12"/>
      <c r="J41" s="12"/>
      <c r="K41" s="12"/>
    </row>
    <row r="42" customFormat="false" ht="30" hidden="false" customHeight="true" outlineLevel="0" collapsed="false">
      <c r="A42" s="9" t="s">
        <v>262</v>
      </c>
      <c r="B42" s="7" t="s">
        <v>277</v>
      </c>
      <c r="C42" s="18" t="n">
        <f aca="false">Inputs!$C$11</f>
        <v>46339</v>
      </c>
      <c r="D42" s="21" t="n">
        <f aca="false">Inputs!$C$122</f>
        <v>15</v>
      </c>
      <c r="E42" s="21"/>
      <c r="F42" s="22" t="n">
        <f aca="false">Pipeline!$AH$5</f>
        <v>0</v>
      </c>
      <c r="G42" s="23" t="s">
        <v>278</v>
      </c>
      <c r="H42" s="20"/>
      <c r="I42" s="20"/>
      <c r="J42" s="20"/>
      <c r="K42" s="20"/>
    </row>
    <row r="43" customFormat="false" ht="30" hidden="false" customHeight="true" outlineLevel="0" collapsed="false">
      <c r="A43" s="9" t="s">
        <v>262</v>
      </c>
      <c r="B43" s="7" t="s">
        <v>279</v>
      </c>
      <c r="C43" s="18" t="n">
        <f aca="false">Inputs!$C$11</f>
        <v>46339</v>
      </c>
      <c r="D43" s="21" t="n">
        <f aca="false">Inputs!$C$121</f>
        <v>5</v>
      </c>
      <c r="E43" s="21"/>
      <c r="F43" s="22" t="n">
        <f aca="false">Pipeline!$AH$6</f>
        <v>0</v>
      </c>
      <c r="G43" s="23" t="str">
        <f aca="false">IF(F43="",IF(Inputs!$C$17&gt;C43,"miss","not yet"),IF(F43&gt;=D43,"pass",IF(Inputs!$C$17&gt;C43,"miss","not yet")))</f>
        <v>not yet</v>
      </c>
      <c r="H43" s="20" t="s">
        <v>280</v>
      </c>
      <c r="I43" s="20"/>
      <c r="J43" s="20"/>
      <c r="K43" s="20"/>
    </row>
    <row r="44" customFormat="false" ht="30" hidden="false" customHeight="true" outlineLevel="0" collapsed="false">
      <c r="A44" s="9" t="s">
        <v>262</v>
      </c>
      <c r="B44" s="7" t="s">
        <v>281</v>
      </c>
      <c r="C44" s="18" t="n">
        <f aca="false">Inputs!$C$11</f>
        <v>46339</v>
      </c>
      <c r="D44" s="21" t="n">
        <f aca="false">Inputs!$C$125</f>
        <v>15</v>
      </c>
      <c r="E44" s="21"/>
      <c r="F44" s="22" t="n">
        <f aca="false">Pipeline!$AH$7</f>
        <v>0</v>
      </c>
      <c r="G44" s="23" t="s">
        <v>278</v>
      </c>
      <c r="H44" s="20"/>
      <c r="I44" s="20"/>
      <c r="J44" s="20"/>
      <c r="K44" s="20"/>
    </row>
    <row r="45" customFormat="false" ht="30" hidden="false" customHeight="true" outlineLevel="0" collapsed="false">
      <c r="A45" s="9" t="s">
        <v>262</v>
      </c>
      <c r="B45" s="7" t="s">
        <v>282</v>
      </c>
      <c r="C45" s="18" t="n">
        <f aca="false">Inputs!$C$11</f>
        <v>46339</v>
      </c>
      <c r="D45" s="21" t="n">
        <f aca="false">Inputs!$C$123</f>
        <v>3</v>
      </c>
      <c r="E45" s="21"/>
      <c r="F45" s="22" t="n">
        <f aca="false">Pipeline!$AH$8</f>
        <v>0</v>
      </c>
      <c r="G45" s="23" t="str">
        <f aca="false">IF(F45="",IF(Inputs!$C$17&gt;C45,"miss","not yet"),IF(F45&gt;=D45,"pass",IF(Inputs!$C$17&gt;C45,"miss","not yet")))</f>
        <v>not yet</v>
      </c>
      <c r="H45" s="20" t="s">
        <v>283</v>
      </c>
      <c r="I45" s="20"/>
      <c r="J45" s="20"/>
      <c r="K45" s="20"/>
    </row>
    <row r="46" customFormat="false" ht="30" hidden="false" customHeight="true" outlineLevel="0" collapsed="false">
      <c r="A46" s="9" t="s">
        <v>263</v>
      </c>
      <c r="B46" s="7" t="s">
        <v>284</v>
      </c>
      <c r="C46" s="18" t="n">
        <f aca="false">Inputs!$C$12</f>
        <v>46367</v>
      </c>
      <c r="D46" s="21" t="n">
        <f aca="false">Inputs!$C$126</f>
        <v>5</v>
      </c>
      <c r="E46" s="21" t="n">
        <f aca="false">Drop_PnL!E7</f>
        <v>5</v>
      </c>
      <c r="F46" s="22" t="n">
        <f aca="false">Pipeline!$AH$9</f>
        <v>0</v>
      </c>
      <c r="G46" s="23" t="str">
        <f aca="false">IF(F46="",IF(Inputs!$C$17&gt;C46,"miss","not yet"),IF(F46&gt;=D46,"pass",IF(Inputs!$C$17&gt;C46,"miss","not yet")))</f>
        <v>not yet</v>
      </c>
      <c r="H46" s="20" t="s">
        <v>285</v>
      </c>
      <c r="I46" s="20"/>
      <c r="J46" s="20"/>
      <c r="K46" s="20"/>
    </row>
    <row r="47" customFormat="false" ht="30" hidden="false" customHeight="true" outlineLevel="0" collapsed="false">
      <c r="A47" s="9" t="s">
        <v>263</v>
      </c>
      <c r="B47" s="7" t="s">
        <v>286</v>
      </c>
      <c r="C47" s="18" t="n">
        <f aca="false">Inputs!$C$12</f>
        <v>46367</v>
      </c>
      <c r="D47" s="24" t="n">
        <f aca="false">Inputs!$C$127</f>
        <v>350</v>
      </c>
      <c r="E47" s="24"/>
      <c r="F47" s="25" t="n">
        <f aca="false">Pipeline!$AH$10</f>
        <v>0</v>
      </c>
      <c r="G47" s="23" t="str">
        <f aca="false">IF(F47="",IF(Inputs!$C$17&gt;C47,"miss","not yet"),IF(F47&gt;=D47,"pass",IF(Inputs!$C$17&gt;C47,"miss","not yet")))</f>
        <v>not yet</v>
      </c>
      <c r="H47" s="20"/>
      <c r="I47" s="20"/>
      <c r="J47" s="20"/>
      <c r="K47" s="20"/>
    </row>
    <row r="48" customFormat="false" ht="30" hidden="false" customHeight="true" outlineLevel="0" collapsed="false">
      <c r="A48" s="9" t="s">
        <v>263</v>
      </c>
      <c r="B48" s="7" t="s">
        <v>287</v>
      </c>
      <c r="C48" s="18" t="n">
        <f aca="false">Inputs!$C$12</f>
        <v>46367</v>
      </c>
      <c r="D48" s="21" t="n">
        <f aca="false">Inputs!$C$128</f>
        <v>2</v>
      </c>
      <c r="E48" s="21" t="n">
        <f aca="false">Drop_PnL!G7</f>
        <v>2</v>
      </c>
      <c r="F48" s="22" t="n">
        <f aca="false">Pipeline!$AH$11</f>
        <v>0</v>
      </c>
      <c r="G48" s="23" t="str">
        <f aca="false">IF(F48="",IF(Inputs!$C$17&gt;C48,"miss","not yet"),IF(F48&gt;=D48,"pass",IF(Inputs!$C$17&gt;C48,"miss","not yet")))</f>
        <v>not yet</v>
      </c>
      <c r="H48" s="20" t="s">
        <v>288</v>
      </c>
      <c r="I48" s="20"/>
      <c r="J48" s="20"/>
      <c r="K48" s="20"/>
    </row>
    <row r="49" customFormat="false" ht="30" hidden="false" customHeight="true" outlineLevel="0" collapsed="false">
      <c r="A49" s="9" t="s">
        <v>264</v>
      </c>
      <c r="B49" s="7" t="s">
        <v>289</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290</v>
      </c>
      <c r="I49" s="20"/>
      <c r="J49" s="20"/>
      <c r="K49" s="20"/>
    </row>
    <row r="50" customFormat="false" ht="30" hidden="false" customHeight="true" outlineLevel="0" collapsed="false">
      <c r="A50" s="9" t="s">
        <v>264</v>
      </c>
      <c r="B50" s="7" t="s">
        <v>291</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not yet</v>
      </c>
      <c r="H50" s="20"/>
      <c r="I50" s="20"/>
      <c r="J50" s="20"/>
      <c r="K50" s="20"/>
    </row>
    <row r="51" customFormat="false" ht="30" hidden="false" customHeight="true" outlineLevel="0" collapsed="false">
      <c r="A51" s="9" t="s">
        <v>264</v>
      </c>
      <c r="B51" s="7" t="s">
        <v>292</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264</v>
      </c>
      <c r="B52" s="7" t="s">
        <v>293</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265</v>
      </c>
      <c r="B53" s="7" t="s">
        <v>294</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295</v>
      </c>
      <c r="I53" s="20"/>
      <c r="J53" s="20"/>
      <c r="K53" s="20"/>
    </row>
    <row r="54" customFormat="false" ht="48" hidden="false" customHeight="true" outlineLevel="0" collapsed="false">
      <c r="A54" s="9" t="s">
        <v>265</v>
      </c>
      <c r="B54" s="7" t="s">
        <v>296</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n">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60.9655172413793</v>
      </c>
      <c r="G54" s="23" t="str">
        <f aca="false">IF(AND(D55&gt;0,F55&lt;D55),"not yet: "&amp;(D55-F55)&amp;" standard run(s) without actuals",IF(F54="",IF(Inputs!$C$17&gt;C54,"miss","not yet"),IF(F54&gt;=D54,"pass",IF(Inputs!$C$17&gt;C54,"miss","not yet"))))</f>
        <v>pass</v>
      </c>
      <c r="H54" s="20" t="s">
        <v>297</v>
      </c>
      <c r="I54" s="20"/>
      <c r="J54" s="20"/>
      <c r="K54" s="20"/>
    </row>
    <row r="55" customFormat="false" ht="48" hidden="false" customHeight="true" outlineLevel="0" collapsed="false">
      <c r="A55" s="9" t="s">
        <v>265</v>
      </c>
      <c r="B55" s="7" t="s">
        <v>298</v>
      </c>
      <c r="C55" s="18" t="n">
        <f aca="false">Inputs!$C$14</f>
        <v>46458</v>
      </c>
      <c r="D55" s="21" t="n">
        <f aca="false">COUNTIFS(Drop_PnL!$D$7:$D$18,"standard",Drop_PnL!$B$7:$B$18,"&lt;="&amp;Inputs!$C$14,Drop_PnL!$N$7:$N$18,1)</f>
        <v>2</v>
      </c>
      <c r="E55" s="21"/>
      <c r="F55" s="22" t="n">
        <f aca="false">COUNTIFS(Drop_PnL!$D$7:$D$18,"standard",Drop_PnL!$B$7:$B$18,"&lt;="&amp;Inputs!$C$14,Drop_PnL!$N$7:$N$18,1,Drop_PnL!$AZ$7:$AZ$18,"Y")</f>
        <v>2</v>
      </c>
      <c r="G55" s="23" t="str">
        <f aca="false">IF(D55=0,"",IF(F55&gt;=D55,"complete",(D55-F55)&amp;" without actuals"))</f>
        <v>complete</v>
      </c>
      <c r="H55" s="20" t="s">
        <v>299</v>
      </c>
      <c r="I55" s="20"/>
      <c r="J55" s="20"/>
      <c r="K55" s="20"/>
    </row>
    <row r="57" customFormat="false" ht="21.75" hidden="false" customHeight="true" outlineLevel="0" collapsed="false">
      <c r="A57" s="12" t="s">
        <v>269</v>
      </c>
      <c r="B57" s="12" t="s">
        <v>271</v>
      </c>
      <c r="C57" s="12" t="s">
        <v>300</v>
      </c>
    </row>
    <row r="58" customFormat="false" ht="15" hidden="false" customHeight="false" outlineLevel="0" collapsed="false">
      <c r="A58" s="9" t="s">
        <v>262</v>
      </c>
      <c r="B58" s="18" t="n">
        <f aca="false">C42</f>
        <v>46339</v>
      </c>
      <c r="C58" s="9" t="str">
        <f aca="false">IF(IF(G43="miss",1,0)+IF(G45="miss",1,0)&gt;0,"miss",IF(IF(LEFT(G43,LEN("not yet"))="not yet",1,0)+IF(LEFT(G45,LEN("not yet"))="not yet",1,0)&gt;0,"not yet","pass"))</f>
        <v>not yet</v>
      </c>
    </row>
    <row r="59" customFormat="false" ht="15" hidden="false" customHeight="false" outlineLevel="0" collapsed="false">
      <c r="A59" s="9" t="s">
        <v>263</v>
      </c>
      <c r="B59" s="18" t="n">
        <f aca="false">C46</f>
        <v>46367</v>
      </c>
      <c r="C59" s="9" t="str">
        <f aca="false">IF(IF(G46="miss",1,0)+IF(G47="miss",1,0)+IF(G48="miss",1,0)&gt;0,"miss",IF(IF(LEFT(G46,LEN("not yet"))="not yet",1,0)+IF(LEFT(G47,LEN("not yet"))="not yet",1,0)+IF(LEFT(G48,LEN("not yet"))="not yet",1,0)&gt;0,"not yet","pass"))</f>
        <v>not yet</v>
      </c>
    </row>
    <row r="60" customFormat="false" ht="15" hidden="false" customHeight="false" outlineLevel="0" collapsed="false">
      <c r="A60" s="9" t="s">
        <v>264</v>
      </c>
      <c r="B60" s="18" t="n">
        <f aca="false">C49</f>
        <v>46409</v>
      </c>
      <c r="C60" s="9" t="str">
        <f aca="false">IF(IF(G49="miss",1,0)+IF(G50="miss",1,0)+IF(G51="miss",1,0)+IF(G52="miss",1,0)&gt;0,"miss",IF(IF(LEFT(G49,LEN("not yet"))="not yet",1,0)+IF(LEFT(G50,LEN("not yet"))="not yet",1,0)+IF(LEFT(G51,LEN("not yet"))="not yet",1,0)+IF(LEFT(G52,LEN("not yet"))="not yet",1,0)&gt;0,"not yet","pass"))</f>
        <v>not yet</v>
      </c>
    </row>
    <row r="61" customFormat="false" ht="15" hidden="false" customHeight="false" outlineLevel="0" collapsed="false">
      <c r="A61" s="9" t="s">
        <v>265</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301</v>
      </c>
      <c r="B63" s="4"/>
      <c r="C63" s="4"/>
      <c r="D63" s="4"/>
      <c r="E63" s="4"/>
      <c r="F63" s="4"/>
      <c r="G63" s="4"/>
      <c r="H63" s="4"/>
      <c r="I63" s="4"/>
    </row>
    <row r="64" customFormat="false" ht="15" hidden="false" customHeight="false" outlineLevel="0" collapsed="false">
      <c r="B64" s="30" t="s">
        <v>302</v>
      </c>
      <c r="C64" s="27" t="n">
        <f aca="false">IF(SUM(Actuals_Campaigns!$AQ$5:$AQ$204)=0,"",SUM(Actuals_Campaigns!$AR$5:$AR$204)/SUM(Actuals_Campaigns!$AQ$5:$AQ$204))</f>
        <v>0.666666666666667</v>
      </c>
    </row>
    <row r="65" customFormat="false" ht="15" hidden="false" customHeight="false" outlineLevel="0" collapsed="false">
      <c r="B65" s="30" t="s">
        <v>303</v>
      </c>
      <c r="C65" s="22" t="n">
        <f aca="false">Pipeline!$AH$13</f>
        <v>0</v>
      </c>
    </row>
    <row r="66" customFormat="false" ht="15" hidden="false" customHeight="false" outlineLevel="0" collapsed="false">
      <c r="B66" s="30" t="s">
        <v>304</v>
      </c>
      <c r="C66" s="22" t="n">
        <f aca="false">COUNTIFS(Drop_PnL!$B$7:$B$18,"&gt;"&amp;Inputs!$C$14,Drop_PnL!$AZ$7:$AZ$18,"Y",Drop_PnL!$N$7:$N$18,1)</f>
        <v>0</v>
      </c>
    </row>
    <row r="67" customFormat="false" ht="15" hidden="false" customHeight="false" outlineLevel="0" collapsed="false">
      <c r="B67" s="30" t="s">
        <v>265</v>
      </c>
      <c r="C67" s="9" t="str">
        <f aca="false">Dashboard!$C$61</f>
        <v>not yet</v>
      </c>
    </row>
    <row r="68" customFormat="false" ht="15" hidden="false" customHeight="false" outlineLevel="0" collapsed="false">
      <c r="B68" s="9" t="s">
        <v>305</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renewal clears the scale bar; Gate 3 is still open</v>
      </c>
      <c r="D68" s="31"/>
      <c r="E68" s="31"/>
      <c r="F68" s="31"/>
      <c r="G68" s="31"/>
      <c r="H68" s="31"/>
      <c r="I68" s="31"/>
    </row>
    <row r="69" customFormat="false" ht="30" hidden="false" customHeight="true" outlineLevel="0" collapsed="false">
      <c r="B69" s="32" t="s">
        <v>306</v>
      </c>
      <c r="C69" s="20" t="s">
        <v>307</v>
      </c>
      <c r="D69" s="20"/>
      <c r="E69" s="20"/>
      <c r="F69" s="20"/>
      <c r="G69" s="20"/>
      <c r="H69" s="20"/>
      <c r="I69" s="20"/>
    </row>
    <row r="71" customFormat="false" ht="15" hidden="false" customHeight="false" outlineLevel="0" collapsed="false">
      <c r="B71" s="30" t="s">
        <v>308</v>
      </c>
      <c r="C71" s="27" t="n">
        <f aca="false">IF(SUMIFS(Drop_Actuals!$V$7:$V$18,Drop_PnL!$AZ$7:$AZ$18,"Y")=0,"",SUMIFS(Drop_Actuals!$X$7:$X$18,Drop_PnL!$AZ$7:$AZ$18,"Y")/SUMIFS(Drop_Actuals!$V$7:$V$18,Drop_PnL!$AZ$7:$AZ$18,"Y"))</f>
        <v>0.978151260504202</v>
      </c>
    </row>
    <row r="72" customFormat="false" ht="15" hidden="false" customHeight="false" outlineLevel="0" collapsed="false">
      <c r="B72" s="30" t="s">
        <v>309</v>
      </c>
      <c r="C72" s="22" t="n">
        <f aca="false">COUNTIFS(Drop_PnL!$AZ$7:$AZ$18,"Y",Drop_Actuals!$AG$7:$AG$18,"&lt;"&amp;Inputs!$C$130)</f>
        <v>0</v>
      </c>
    </row>
    <row r="73" customFormat="false" ht="15" hidden="false" customHeight="false" outlineLevel="0" collapsed="false">
      <c r="B73" s="30" t="s">
        <v>310</v>
      </c>
      <c r="C73" s="29" t="n">
        <f aca="false">IF(SUMIFS(Drop_Actuals!$R$7:$R$18,Drop_PnL!$AZ$7:$AZ$18,"Y")&gt;0,SUMIFS(Drop_Actuals!$S$7:$S$18,Drop_PnL!$AZ$7:$AZ$18,"Y")/SUMIFS(Drop_Actuals!$R$7:$R$18,Drop_PnL!$AZ$7:$AZ$18,"Y"),"")</f>
        <v>40.6795366795367</v>
      </c>
    </row>
    <row r="74" customFormat="false" ht="15" hidden="false" customHeight="false" outlineLevel="0" collapsed="false">
      <c r="B74" s="30" t="s">
        <v>311</v>
      </c>
      <c r="C74" s="9" t="str">
        <f aca="false">COUNTIFS(Schedule!$AF$7:$AF$18,"&lt;="&amp;Inputs!$C$17,Schedule!$N$7:$N$18,"Y")&amp;" of "&amp;COUNTIFS(Schedule!$AF$7:$AF$18,"&lt;="&amp;Inputs!$C$17)</f>
        <v>0 of 0</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every drop whose results are due is in</v>
      </c>
      <c r="E74" s="33"/>
      <c r="F74" s="33"/>
      <c r="G74" s="33"/>
      <c r="H74" s="33"/>
      <c r="I74" s="33"/>
    </row>
    <row r="75" customFormat="false" ht="15" hidden="false" customHeight="false" outlineLevel="0" collapsed="false">
      <c r="B75" s="9" t="s">
        <v>312</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v>
      </c>
      <c r="D75" s="31"/>
      <c r="E75" s="31"/>
      <c r="F75" s="31"/>
      <c r="G75" s="31"/>
      <c r="H75" s="31"/>
      <c r="I75" s="31"/>
    </row>
    <row r="78" customFormat="false" ht="15" hidden="false" customHeight="false" outlineLevel="0" collapsed="false">
      <c r="A78" s="3" t="s">
        <v>313</v>
      </c>
      <c r="B78" s="4"/>
      <c r="C78" s="4"/>
      <c r="D78" s="4"/>
      <c r="E78" s="4"/>
      <c r="F78" s="4"/>
      <c r="G78" s="4"/>
      <c r="H78" s="4"/>
      <c r="I78" s="4"/>
    </row>
    <row r="79" customFormat="false" ht="21.75" hidden="false" customHeight="true" outlineLevel="0" collapsed="false">
      <c r="B79" s="12" t="s">
        <v>314</v>
      </c>
      <c r="C79" s="12" t="s">
        <v>315</v>
      </c>
      <c r="D79" s="12" t="s">
        <v>316</v>
      </c>
      <c r="E79" s="12" t="s">
        <v>317</v>
      </c>
      <c r="F79" s="12" t="s">
        <v>275</v>
      </c>
    </row>
    <row r="80" customFormat="false" ht="15" hidden="false" customHeight="false" outlineLevel="0" collapsed="false">
      <c r="B80" s="30" t="s">
        <v>318</v>
      </c>
      <c r="C80" s="21" t="n">
        <f aca="false">Inputs!$C$143</f>
        <v>6</v>
      </c>
      <c r="D80" s="21" t="n">
        <f aca="false">SUMIFS(Drop_PnL!$G$7:$G$18,Drop_PnL!$B$7:$B$18,"&lt;="&amp;Cash_Flow!$AB$6)</f>
        <v>14</v>
      </c>
      <c r="E80" s="22" t="n">
        <f aca="false">COUNTIF(Actuals_Campaigns!$R$5:$R$204,"&gt;0")</f>
        <v>6</v>
      </c>
      <c r="F80" s="6" t="str">
        <f aca="false">IF(E80="",IF(Inputs!$C$17&gt;Inputs!$C$15,"miss","not yet"),IF(E80&gt;=C80,"pass",IF(Inputs!$C$17&gt;Inputs!$C$15,"miss","not yet")))</f>
        <v>pass</v>
      </c>
    </row>
    <row r="81" customFormat="false" ht="15" hidden="false" customHeight="false" outlineLevel="0" collapsed="false">
      <c r="B81" s="30" t="s">
        <v>319</v>
      </c>
      <c r="C81" s="21" t="n">
        <f aca="false">Inputs!$C$144</f>
        <v>2</v>
      </c>
      <c r="D81" s="21" t="n">
        <f aca="false">SUMIFS(Drop_PnL!$H$7:$H$18,Drop_PnL!$B$7:$B$18,"&lt;="&amp;Cash_Flow!$AB$6)</f>
        <v>2</v>
      </c>
      <c r="E81" s="22" t="n">
        <f aca="false">COUNTIF(Actuals_Campaigns!$W$5:$W$204,"Y")</f>
        <v>2</v>
      </c>
      <c r="F81" s="6" t="str">
        <f aca="false">IF(E81="",IF(Inputs!$C$17&gt;Inputs!$C$15,"miss","not yet"),IF(E81&gt;=C81,"pass",IF(Inputs!$C$17&gt;Inputs!$C$15,"miss","not yet")))</f>
        <v>pass</v>
      </c>
    </row>
    <row r="82" customFormat="false" ht="15" hidden="false" customHeight="false" outlineLevel="0" collapsed="false">
      <c r="B82" s="30" t="s">
        <v>320</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296</v>
      </c>
      <c r="C83" s="28" t="n">
        <f aca="false">Inputs!$C$136</f>
        <v>50</v>
      </c>
      <c r="D83" s="28" t="n">
        <f aca="false">E54</f>
        <v>61.28</v>
      </c>
      <c r="E83" s="29" t="n">
        <f aca="false">F54</f>
        <v>60.9655172413793</v>
      </c>
      <c r="F83" s="6" t="str">
        <f aca="false">IF(AND(D55&gt;0,F55&lt;D55),"not yet: "&amp;(D55-F55)&amp;" standard run(s) without actuals",IF(E83="",IF(Inputs!$C$17&gt;Inputs!$C$15,"miss","not yet"),IF(E83&gt;=C83,"pass",IF(Inputs!$C$17&gt;Inputs!$C$15,"miss","not yet"))))</f>
        <v>pass</v>
      </c>
    </row>
    <row r="86" customFormat="false" ht="15" hidden="false" customHeight="false" outlineLevel="0" collapsed="false">
      <c r="A86" s="3" t="s">
        <v>321</v>
      </c>
      <c r="B86" s="4"/>
      <c r="C86" s="4"/>
      <c r="D86" s="4"/>
      <c r="E86" s="4"/>
      <c r="F86" s="4"/>
      <c r="G86" s="4"/>
      <c r="H86" s="4"/>
      <c r="I86" s="4"/>
      <c r="J86" s="34" t="s">
        <v>322</v>
      </c>
      <c r="K86" s="4"/>
      <c r="L86" s="35" t="n">
        <f aca="false">Inputs!$C$136</f>
        <v>50</v>
      </c>
    </row>
    <row r="87" customFormat="false" ht="30" hidden="false" customHeight="true" outlineLevel="0" collapsed="false">
      <c r="A87" s="12" t="s">
        <v>323</v>
      </c>
      <c r="B87" s="12" t="s">
        <v>324</v>
      </c>
      <c r="C87" s="12" t="s">
        <v>325</v>
      </c>
      <c r="D87" s="12" t="s">
        <v>326</v>
      </c>
      <c r="E87" s="12" t="s">
        <v>327</v>
      </c>
      <c r="F87" s="12" t="s">
        <v>328</v>
      </c>
      <c r="G87" s="12" t="s">
        <v>329</v>
      </c>
      <c r="H87" s="12" t="s">
        <v>330</v>
      </c>
      <c r="I87" s="12" t="s">
        <v>331</v>
      </c>
      <c r="J87" s="12" t="s">
        <v>332</v>
      </c>
      <c r="K87" s="12" t="s">
        <v>333</v>
      </c>
      <c r="L87" s="12" t="s">
        <v>334</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actual</v>
      </c>
      <c r="E89" s="30" t="str">
        <f aca="false">IF(Drop_PnL!B8="","",Drop_PnL!C8)</f>
        <v>courier</v>
      </c>
      <c r="F89" s="30" t="n">
        <f aca="false">IF(Drop_PnL!B8="","",Drop_PnL!G8)</f>
        <v>3</v>
      </c>
      <c r="G89" s="21" t="n">
        <f aca="false">IF(Drop_PnL!B8="","",Drop_PnL!E8)</f>
        <v>10</v>
      </c>
      <c r="H89" s="19" t="n">
        <f aca="false">IF(Drop_PnL!B8="","",Drop_PnL!BA8)</f>
        <v>4350</v>
      </c>
      <c r="I89" s="19" t="n">
        <f aca="false">IF(Drop_PnL!B8="","",Drop_PnL!BB8)</f>
        <v>745</v>
      </c>
      <c r="J89" s="36" t="n">
        <f aca="false">IF(Drop_PnL!B8="","",Drop_PnL!BC8)</f>
        <v>52</v>
      </c>
      <c r="K89" s="19" t="n">
        <f aca="false">IF(Drop_PnL!B8="","",Drop_PnL!BD8)</f>
        <v>3605</v>
      </c>
      <c r="L89" s="29" t="n">
        <f aca="false">IF(Drop_PnL!B8="","",Drop_PnL!BE8)</f>
        <v>69.3269230769231</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actual</v>
      </c>
      <c r="E90" s="30" t="str">
        <f aca="false">IF(Drop_PnL!B9="","",Drop_PnL!C9)</f>
        <v>courier</v>
      </c>
      <c r="F90" s="30" t="n">
        <f aca="false">IF(Drop_PnL!B9="","",Drop_PnL!G9)</f>
        <v>3</v>
      </c>
      <c r="G90" s="21" t="n">
        <f aca="false">IF(Drop_PnL!B9="","",Drop_PnL!E9)</f>
        <v>10</v>
      </c>
      <c r="H90" s="19" t="n">
        <f aca="false">IF(Drop_PnL!B9="","",Drop_PnL!BA9)</f>
        <v>1350</v>
      </c>
      <c r="I90" s="19" t="n">
        <f aca="false">IF(Drop_PnL!B9="","",Drop_PnL!BB9)</f>
        <v>535</v>
      </c>
      <c r="J90" s="36" t="n">
        <f aca="false">IF(Drop_PnL!B9="","",Drop_PnL!BC9)</f>
        <v>20.5</v>
      </c>
      <c r="K90" s="19" t="n">
        <f aca="false">IF(Drop_PnL!B9="","",Drop_PnL!BD9)</f>
        <v>815</v>
      </c>
      <c r="L90" s="29" t="n">
        <f aca="false">IF(Drop_PnL!B9="","",Drop_PnL!BE9)</f>
        <v>39.7560975609756</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335</v>
      </c>
      <c r="F100" s="9" t="n">
        <f aca="false">SUM(F88:F99)</f>
        <v>14</v>
      </c>
      <c r="G100" s="22" t="n">
        <f aca="false">SUM(G88:G99)</f>
        <v>45</v>
      </c>
      <c r="H100" s="37" t="n">
        <f aca="false">SUM(H88:H99)</f>
        <v>15780</v>
      </c>
      <c r="I100" s="37" t="n">
        <f aca="false">SUM(I88:I99)</f>
        <v>2252</v>
      </c>
      <c r="J100" s="38" t="n">
        <f aca="false">SUM(J88:J99)</f>
        <v>211.5</v>
      </c>
      <c r="K100" s="37" t="n">
        <f aca="false">SUM(K88:K99)</f>
        <v>13528</v>
      </c>
      <c r="L100" s="29" t="n">
        <f aca="false">IF(J100&gt;0,K100/J100,"n/a")</f>
        <v>63.9621749408983</v>
      </c>
    </row>
    <row r="102" customFormat="false" ht="15" hidden="false" customHeight="false" outlineLevel="0" collapsed="false">
      <c r="A102" s="32" t="s">
        <v>336</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337</v>
      </c>
    </row>
    <row r="3" customFormat="false" ht="30" hidden="false" customHeight="true" outlineLevel="0" collapsed="false">
      <c r="A3" s="8" t="s">
        <v>338</v>
      </c>
      <c r="B3" s="8"/>
      <c r="C3" s="8"/>
      <c r="D3" s="8"/>
      <c r="E3" s="8"/>
      <c r="F3" s="8"/>
      <c r="G3" s="8"/>
      <c r="H3" s="8"/>
      <c r="I3" s="8"/>
      <c r="J3" s="8"/>
      <c r="K3" s="8"/>
    </row>
    <row r="6" customFormat="false" ht="15" hidden="false" customHeight="false" outlineLevel="0" collapsed="false">
      <c r="A6" s="3" t="s">
        <v>339</v>
      </c>
      <c r="B6" s="4"/>
      <c r="C6" s="4"/>
      <c r="D6" s="4"/>
      <c r="E6" s="4"/>
      <c r="F6" s="4"/>
      <c r="G6" s="4"/>
      <c r="H6" s="4"/>
      <c r="I6" s="4"/>
      <c r="J6" s="4"/>
      <c r="K6" s="4"/>
    </row>
    <row r="7" customFormat="false" ht="28.35" hidden="false" customHeight="false" outlineLevel="0" collapsed="false">
      <c r="A7" s="12" t="s">
        <v>340</v>
      </c>
      <c r="B7" s="12" t="s">
        <v>341</v>
      </c>
      <c r="C7" s="12" t="s">
        <v>231</v>
      </c>
      <c r="D7" s="12" t="s">
        <v>342</v>
      </c>
      <c r="E7" s="12" t="s">
        <v>343</v>
      </c>
      <c r="F7" s="12" t="s">
        <v>344</v>
      </c>
      <c r="G7" s="12" t="s">
        <v>275</v>
      </c>
      <c r="H7" s="12" t="s">
        <v>345</v>
      </c>
      <c r="I7" s="12" t="s">
        <v>346</v>
      </c>
      <c r="J7" s="12" t="s">
        <v>347</v>
      </c>
      <c r="K7" s="12" t="s">
        <v>348</v>
      </c>
    </row>
    <row r="8" customFormat="false" ht="28.35" hidden="false" customHeight="false" outlineLevel="0" collapsed="false">
      <c r="A8" s="32" t="s">
        <v>349</v>
      </c>
      <c r="B8" s="7" t="s">
        <v>350</v>
      </c>
      <c r="C8" s="39" t="s">
        <v>351</v>
      </c>
      <c r="D8" s="30" t="s">
        <v>352</v>
      </c>
      <c r="E8" s="30"/>
      <c r="F8" s="30"/>
      <c r="G8" s="30" t="s">
        <v>353</v>
      </c>
      <c r="H8" s="7" t="s">
        <v>354</v>
      </c>
      <c r="I8" s="7" t="s">
        <v>355</v>
      </c>
      <c r="J8" s="32" t="s">
        <v>356</v>
      </c>
      <c r="K8" s="40" t="str">
        <f aca="false">IF(C8="","missing","")</f>
        <v/>
      </c>
    </row>
    <row r="9" customFormat="false" ht="15" hidden="false" customHeight="false" outlineLevel="0" collapsed="false">
      <c r="A9" s="32" t="s">
        <v>357</v>
      </c>
      <c r="B9" s="7" t="s">
        <v>358</v>
      </c>
      <c r="C9" s="39" t="s">
        <v>359</v>
      </c>
      <c r="D9" s="30" t="s">
        <v>352</v>
      </c>
      <c r="E9" s="30"/>
      <c r="F9" s="30"/>
      <c r="G9" s="30" t="s">
        <v>360</v>
      </c>
      <c r="H9" s="7" t="s">
        <v>361</v>
      </c>
      <c r="I9" s="7" t="s">
        <v>362</v>
      </c>
      <c r="J9" s="32" t="s">
        <v>356</v>
      </c>
      <c r="K9" s="40" t="str">
        <f aca="false">IF(C9="","missing","")</f>
        <v/>
      </c>
    </row>
    <row r="10" customFormat="false" ht="68.65" hidden="false" customHeight="false" outlineLevel="0" collapsed="false">
      <c r="A10" s="32" t="s">
        <v>363</v>
      </c>
      <c r="B10" s="7" t="s">
        <v>364</v>
      </c>
      <c r="C10" s="41" t="n">
        <v>46321</v>
      </c>
      <c r="D10" s="30" t="s">
        <v>365</v>
      </c>
      <c r="E10" s="30"/>
      <c r="F10" s="30"/>
      <c r="G10" s="30" t="s">
        <v>366</v>
      </c>
      <c r="H10" s="7" t="s">
        <v>367</v>
      </c>
      <c r="I10" s="7" t="s">
        <v>368</v>
      </c>
      <c r="J10" s="42" t="n">
        <v>46321</v>
      </c>
      <c r="K10" s="40" t="str">
        <f aca="false">IF(C10&amp;""=J10&amp;"","","changed")</f>
        <v/>
      </c>
    </row>
    <row r="11" customFormat="false" ht="15" hidden="false" customHeight="false" outlineLevel="0" collapsed="false">
      <c r="A11" s="32" t="s">
        <v>369</v>
      </c>
      <c r="B11" s="7" t="s">
        <v>370</v>
      </c>
      <c r="C11" s="41" t="n">
        <v>46339</v>
      </c>
      <c r="D11" s="30" t="s">
        <v>365</v>
      </c>
      <c r="E11" s="30"/>
      <c r="F11" s="30"/>
      <c r="G11" s="30" t="s">
        <v>366</v>
      </c>
      <c r="H11" s="7" t="s">
        <v>367</v>
      </c>
      <c r="I11" s="7"/>
      <c r="J11" s="42" t="n">
        <v>46339</v>
      </c>
      <c r="K11" s="40" t="str">
        <f aca="false">IF(C11&amp;""=J11&amp;"","","changed")</f>
        <v/>
      </c>
    </row>
    <row r="12" customFormat="false" ht="15" hidden="false" customHeight="false" outlineLevel="0" collapsed="false">
      <c r="A12" s="32" t="s">
        <v>371</v>
      </c>
      <c r="B12" s="7" t="s">
        <v>372</v>
      </c>
      <c r="C12" s="41" t="n">
        <v>46367</v>
      </c>
      <c r="D12" s="30" t="s">
        <v>365</v>
      </c>
      <c r="E12" s="30"/>
      <c r="F12" s="30"/>
      <c r="G12" s="30" t="s">
        <v>366</v>
      </c>
      <c r="H12" s="7" t="s">
        <v>367</v>
      </c>
      <c r="I12" s="7"/>
      <c r="J12" s="42" t="n">
        <v>46367</v>
      </c>
      <c r="K12" s="40" t="str">
        <f aca="false">IF(C12&amp;""=J12&amp;"","","changed")</f>
        <v/>
      </c>
    </row>
    <row r="13" customFormat="false" ht="41.75" hidden="false" customHeight="false" outlineLevel="0" collapsed="false">
      <c r="A13" s="32" t="s">
        <v>373</v>
      </c>
      <c r="B13" s="7" t="s">
        <v>374</v>
      </c>
      <c r="C13" s="43" t="n">
        <f aca="false">IFERROR(WORKDAY(INDEX(Schedule!$E$7:$E$18,MATCH(Inputs!$C$129,Schedule!$A$7:$A$18,0)),Inputs!$C$132,Lists!$N$4:$N$30),"")</f>
        <v>46409</v>
      </c>
      <c r="D13" s="30" t="s">
        <v>365</v>
      </c>
      <c r="E13" s="30"/>
      <c r="F13" s="30"/>
      <c r="G13" s="30" t="s">
        <v>366</v>
      </c>
      <c r="H13" s="7" t="s">
        <v>367</v>
      </c>
      <c r="I13" s="7" t="s">
        <v>375</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376</v>
      </c>
      <c r="B14" s="7" t="s">
        <v>377</v>
      </c>
      <c r="C14" s="41" t="n">
        <v>46458</v>
      </c>
      <c r="D14" s="30" t="s">
        <v>365</v>
      </c>
      <c r="E14" s="30"/>
      <c r="F14" s="30"/>
      <c r="G14" s="30" t="s">
        <v>366</v>
      </c>
      <c r="H14" s="7" t="s">
        <v>367</v>
      </c>
      <c r="I14" s="7" t="s">
        <v>378</v>
      </c>
      <c r="J14" s="42" t="n">
        <v>46458</v>
      </c>
      <c r="K14" s="40" t="str">
        <f aca="false">IF(C14&amp;""=J14&amp;"","","changed")</f>
        <v/>
      </c>
    </row>
    <row r="15" customFormat="false" ht="15" hidden="false" customHeight="false" outlineLevel="0" collapsed="false">
      <c r="A15" s="32" t="s">
        <v>379</v>
      </c>
      <c r="B15" s="7" t="s">
        <v>380</v>
      </c>
      <c r="C15" s="41" t="n">
        <v>46486</v>
      </c>
      <c r="D15" s="30" t="s">
        <v>365</v>
      </c>
      <c r="E15" s="30"/>
      <c r="F15" s="30"/>
      <c r="G15" s="30" t="s">
        <v>366</v>
      </c>
      <c r="H15" s="7" t="s">
        <v>367</v>
      </c>
      <c r="I15" s="7"/>
      <c r="J15" s="42" t="n">
        <v>46486</v>
      </c>
      <c r="K15" s="40" t="str">
        <f aca="false">IF(C15&amp;""=J15&amp;"","","changed")</f>
        <v/>
      </c>
    </row>
    <row r="16" customFormat="false" ht="28.35" hidden="false" customHeight="false" outlineLevel="0" collapsed="false">
      <c r="A16" s="32" t="s">
        <v>381</v>
      </c>
      <c r="B16" s="7" t="s">
        <v>382</v>
      </c>
      <c r="C16" s="41"/>
      <c r="D16" s="30" t="s">
        <v>365</v>
      </c>
      <c r="E16" s="30"/>
      <c r="F16" s="30"/>
      <c r="G16" s="30" t="s">
        <v>383</v>
      </c>
      <c r="H16" s="7" t="s">
        <v>384</v>
      </c>
      <c r="I16" s="7" t="s">
        <v>385</v>
      </c>
      <c r="J16" s="42"/>
      <c r="K16" s="40" t="str">
        <f aca="false">IF(C16&amp;""=J16&amp;"","","changed")</f>
        <v/>
      </c>
    </row>
    <row r="17" customFormat="false" ht="15" hidden="false" customHeight="false" outlineLevel="0" collapsed="false">
      <c r="A17" s="32" t="s">
        <v>386</v>
      </c>
      <c r="B17" s="7" t="s">
        <v>387</v>
      </c>
      <c r="C17" s="44" t="n">
        <f aca="true">IF(C16="",TODAY(),C16)</f>
        <v>46319</v>
      </c>
      <c r="D17" s="30" t="s">
        <v>365</v>
      </c>
      <c r="E17" s="30"/>
      <c r="F17" s="30"/>
      <c r="G17" s="30" t="s">
        <v>388</v>
      </c>
      <c r="H17" s="7" t="s">
        <v>389</v>
      </c>
      <c r="I17" s="7"/>
      <c r="J17" s="30"/>
      <c r="K17" s="30"/>
    </row>
    <row r="18" customFormat="false" ht="15" hidden="false" customHeight="false" outlineLevel="0" collapsed="false">
      <c r="A18" s="32" t="s">
        <v>390</v>
      </c>
      <c r="B18" s="7" t="s">
        <v>391</v>
      </c>
      <c r="C18" s="39" t="n">
        <v>7</v>
      </c>
      <c r="D18" s="30" t="s">
        <v>392</v>
      </c>
      <c r="E18" s="30"/>
      <c r="F18" s="30"/>
      <c r="G18" s="30" t="s">
        <v>393</v>
      </c>
      <c r="H18" s="7" t="s">
        <v>394</v>
      </c>
      <c r="I18" s="7"/>
      <c r="J18" s="32" t="n">
        <v>7</v>
      </c>
      <c r="K18" s="40" t="str">
        <f aca="false">IF(C18&amp;""=J18&amp;"","","changed")</f>
        <v/>
      </c>
    </row>
    <row r="19" customFormat="false" ht="15" hidden="false" customHeight="false" outlineLevel="0" collapsed="false">
      <c r="A19" s="32" t="s">
        <v>395</v>
      </c>
      <c r="B19" s="7" t="s">
        <v>396</v>
      </c>
      <c r="C19" s="39" t="n">
        <v>52</v>
      </c>
      <c r="D19" s="30" t="s">
        <v>397</v>
      </c>
      <c r="E19" s="30"/>
      <c r="F19" s="30"/>
      <c r="G19" s="30" t="s">
        <v>393</v>
      </c>
      <c r="H19" s="7" t="s">
        <v>394</v>
      </c>
      <c r="I19" s="7"/>
      <c r="J19" s="32" t="n">
        <v>52</v>
      </c>
      <c r="K19" s="40" t="str">
        <f aca="false">IF(C19&amp;""=J19&amp;"","","changed")</f>
        <v/>
      </c>
    </row>
    <row r="20" customFormat="false" ht="15" hidden="false" customHeight="false" outlineLevel="0" collapsed="false">
      <c r="A20" s="32" t="s">
        <v>398</v>
      </c>
      <c r="B20" s="7" t="s">
        <v>399</v>
      </c>
      <c r="C20" s="39" t="n">
        <v>12</v>
      </c>
      <c r="D20" s="30" t="s">
        <v>400</v>
      </c>
      <c r="E20" s="30"/>
      <c r="F20" s="30"/>
      <c r="G20" s="30" t="s">
        <v>393</v>
      </c>
      <c r="H20" s="7" t="s">
        <v>394</v>
      </c>
      <c r="I20" s="7"/>
      <c r="J20" s="32" t="n">
        <v>12</v>
      </c>
      <c r="K20" s="40" t="str">
        <f aca="false">IF(C20&amp;""=J20&amp;"","","changed")</f>
        <v/>
      </c>
    </row>
    <row r="21" customFormat="false" ht="15" hidden="false" customHeight="false" outlineLevel="0" collapsed="false">
      <c r="A21" s="32" t="s">
        <v>401</v>
      </c>
      <c r="B21" s="7" t="s">
        <v>402</v>
      </c>
      <c r="C21" s="45" t="n">
        <f aca="false">Inputs!$C$19/Inputs!$C$20</f>
        <v>4.33333333333333</v>
      </c>
      <c r="D21" s="30" t="s">
        <v>397</v>
      </c>
      <c r="E21" s="30"/>
      <c r="F21" s="30"/>
      <c r="G21" s="30" t="s">
        <v>388</v>
      </c>
      <c r="H21" s="7" t="s">
        <v>403</v>
      </c>
      <c r="I21" s="7"/>
      <c r="J21" s="30"/>
      <c r="K21" s="30"/>
    </row>
    <row r="22" customFormat="false" ht="15" hidden="false" customHeight="false" outlineLevel="0" collapsed="false">
      <c r="A22" s="32" t="s">
        <v>404</v>
      </c>
      <c r="B22" s="7" t="s">
        <v>405</v>
      </c>
      <c r="C22" s="39" t="n">
        <v>24</v>
      </c>
      <c r="D22" s="30" t="s">
        <v>406</v>
      </c>
      <c r="E22" s="30"/>
      <c r="F22" s="30"/>
      <c r="G22" s="30" t="s">
        <v>393</v>
      </c>
      <c r="H22" s="7" t="s">
        <v>394</v>
      </c>
      <c r="I22" s="7"/>
      <c r="J22" s="32" t="n">
        <v>24</v>
      </c>
      <c r="K22" s="40" t="str">
        <f aca="false">IF(C22&amp;""=J22&amp;"","","changed")</f>
        <v/>
      </c>
    </row>
    <row r="23" customFormat="false" ht="15" hidden="false" customHeight="false" outlineLevel="0" collapsed="false">
      <c r="A23" s="32" t="s">
        <v>407</v>
      </c>
      <c r="B23" s="7" t="s">
        <v>408</v>
      </c>
      <c r="C23" s="39" t="n">
        <v>5</v>
      </c>
      <c r="D23" s="30" t="s">
        <v>409</v>
      </c>
      <c r="E23" s="30"/>
      <c r="F23" s="30"/>
      <c r="G23" s="30" t="s">
        <v>410</v>
      </c>
      <c r="H23" s="7" t="s">
        <v>411</v>
      </c>
      <c r="I23" s="7" t="s">
        <v>412</v>
      </c>
      <c r="J23" s="32" t="n">
        <v>5</v>
      </c>
      <c r="K23" s="40" t="str">
        <f aca="false">IF(C23&amp;""=J23&amp;"","","changed")</f>
        <v/>
      </c>
    </row>
    <row r="24" customFormat="false" ht="28.35" hidden="false" customHeight="false" outlineLevel="0" collapsed="false">
      <c r="A24" s="32" t="s">
        <v>413</v>
      </c>
      <c r="B24" s="7" t="s">
        <v>414</v>
      </c>
      <c r="C24" s="39" t="n">
        <v>10</v>
      </c>
      <c r="D24" s="30" t="s">
        <v>409</v>
      </c>
      <c r="E24" s="30"/>
      <c r="F24" s="30"/>
      <c r="G24" s="30" t="s">
        <v>410</v>
      </c>
      <c r="H24" s="7" t="s">
        <v>415</v>
      </c>
      <c r="I24" s="7" t="s">
        <v>416</v>
      </c>
      <c r="J24" s="32" t="n">
        <v>10</v>
      </c>
      <c r="K24" s="40" t="str">
        <f aca="false">IF(C24&amp;""=J24&amp;"","","changed")</f>
        <v/>
      </c>
    </row>
    <row r="25" customFormat="false" ht="41.75" hidden="false" customHeight="false" outlineLevel="0" collapsed="false">
      <c r="A25" s="32" t="s">
        <v>417</v>
      </c>
      <c r="B25" s="7" t="s">
        <v>418</v>
      </c>
      <c r="C25" s="39" t="n">
        <v>4</v>
      </c>
      <c r="D25" s="30" t="s">
        <v>409</v>
      </c>
      <c r="E25" s="30"/>
      <c r="F25" s="30"/>
      <c r="G25" s="30" t="s">
        <v>366</v>
      </c>
      <c r="H25" s="7" t="s">
        <v>419</v>
      </c>
      <c r="I25" s="7" t="s">
        <v>420</v>
      </c>
      <c r="J25" s="32" t="n">
        <v>4</v>
      </c>
      <c r="K25" s="40" t="str">
        <f aca="false">IF(C25&amp;""=J25&amp;"","","changed")</f>
        <v/>
      </c>
    </row>
    <row r="26" customFormat="false" ht="55.2" hidden="false" customHeight="false" outlineLevel="0" collapsed="false">
      <c r="A26" s="32" t="s">
        <v>421</v>
      </c>
      <c r="B26" s="7" t="s">
        <v>422</v>
      </c>
      <c r="C26" s="39" t="n">
        <v>3</v>
      </c>
      <c r="D26" s="30" t="s">
        <v>409</v>
      </c>
      <c r="E26" s="30"/>
      <c r="F26" s="30"/>
      <c r="G26" s="30" t="s">
        <v>366</v>
      </c>
      <c r="H26" s="7" t="s">
        <v>423</v>
      </c>
      <c r="I26" s="7" t="s">
        <v>424</v>
      </c>
      <c r="J26" s="32" t="n">
        <v>3</v>
      </c>
      <c r="K26" s="40" t="str">
        <f aca="false">IF(C26&amp;""=J26&amp;"","","changed")</f>
        <v/>
      </c>
    </row>
    <row r="27" customFormat="false" ht="41.75" hidden="false" customHeight="false" outlineLevel="0" collapsed="false">
      <c r="A27" s="32" t="s">
        <v>425</v>
      </c>
      <c r="B27" s="7" t="s">
        <v>426</v>
      </c>
      <c r="C27" s="39" t="n">
        <v>5</v>
      </c>
      <c r="D27" s="30" t="s">
        <v>409</v>
      </c>
      <c r="E27" s="30"/>
      <c r="F27" s="30"/>
      <c r="G27" s="30" t="s">
        <v>366</v>
      </c>
      <c r="H27" s="7" t="s">
        <v>427</v>
      </c>
      <c r="I27" s="7" t="s">
        <v>428</v>
      </c>
      <c r="J27" s="32" t="n">
        <v>5</v>
      </c>
      <c r="K27" s="40" t="str">
        <f aca="false">IF(C27&amp;""=J27&amp;"","","changed")</f>
        <v/>
      </c>
    </row>
    <row r="28" customFormat="false" ht="41.75" hidden="false" customHeight="false" outlineLevel="0" collapsed="false">
      <c r="A28" s="32" t="s">
        <v>429</v>
      </c>
      <c r="B28" s="7" t="s">
        <v>430</v>
      </c>
      <c r="C28" s="39" t="n">
        <v>10</v>
      </c>
      <c r="D28" s="30" t="s">
        <v>409</v>
      </c>
      <c r="E28" s="30"/>
      <c r="F28" s="30"/>
      <c r="G28" s="30" t="s">
        <v>366</v>
      </c>
      <c r="H28" s="7" t="s">
        <v>431</v>
      </c>
      <c r="I28" s="7" t="s">
        <v>432</v>
      </c>
      <c r="J28" s="32" t="n">
        <v>10</v>
      </c>
      <c r="K28" s="40" t="str">
        <f aca="false">IF(C28&amp;""=J28&amp;"","","changed")</f>
        <v/>
      </c>
    </row>
    <row r="29" customFormat="false" ht="28.35" hidden="false" customHeight="false" outlineLevel="0" collapsed="false">
      <c r="A29" s="32" t="s">
        <v>433</v>
      </c>
      <c r="B29" s="7" t="s">
        <v>434</v>
      </c>
      <c r="C29" s="39" t="n">
        <v>6</v>
      </c>
      <c r="D29" s="30" t="s">
        <v>397</v>
      </c>
      <c r="E29" s="30"/>
      <c r="F29" s="30"/>
      <c r="G29" s="30" t="s">
        <v>410</v>
      </c>
      <c r="H29" s="7" t="s">
        <v>435</v>
      </c>
      <c r="I29" s="7" t="s">
        <v>436</v>
      </c>
      <c r="J29" s="32" t="n">
        <v>6</v>
      </c>
      <c r="K29" s="40" t="str">
        <f aca="false">IF(C29&amp;""=J29&amp;"","","changed")</f>
        <v/>
      </c>
    </row>
    <row r="30" customFormat="false" ht="15" hidden="false" customHeight="false" outlineLevel="0" collapsed="false">
      <c r="A30" s="32" t="s">
        <v>437</v>
      </c>
      <c r="B30" s="7" t="s">
        <v>438</v>
      </c>
      <c r="C30" s="39" t="s">
        <v>439</v>
      </c>
      <c r="D30" s="30" t="s">
        <v>352</v>
      </c>
      <c r="E30" s="30"/>
      <c r="F30" s="30"/>
      <c r="G30" s="30" t="s">
        <v>440</v>
      </c>
      <c r="H30" s="7" t="s">
        <v>441</v>
      </c>
      <c r="I30" s="7" t="s">
        <v>442</v>
      </c>
      <c r="J30" s="32" t="s">
        <v>439</v>
      </c>
      <c r="K30" s="40" t="str">
        <f aca="false">IF(C30&amp;""=J30&amp;"","","changed")</f>
        <v/>
      </c>
    </row>
    <row r="31" customFormat="false" ht="28.35" hidden="false" customHeight="false" outlineLevel="0" collapsed="false">
      <c r="A31" s="32" t="s">
        <v>443</v>
      </c>
      <c r="B31" s="7" t="s">
        <v>444</v>
      </c>
      <c r="C31" s="39" t="n">
        <v>28</v>
      </c>
      <c r="D31" s="30" t="s">
        <v>392</v>
      </c>
      <c r="E31" s="30"/>
      <c r="F31" s="30"/>
      <c r="G31" s="30" t="s">
        <v>366</v>
      </c>
      <c r="H31" s="7" t="s">
        <v>445</v>
      </c>
      <c r="I31" s="7" t="s">
        <v>446</v>
      </c>
      <c r="J31" s="32" t="n">
        <v>28</v>
      </c>
      <c r="K31" s="40" t="str">
        <f aca="false">IF(C31&amp;""=J31&amp;"","","changed")</f>
        <v/>
      </c>
    </row>
    <row r="33" customFormat="false" ht="15" hidden="false" customHeight="false" outlineLevel="0" collapsed="false">
      <c r="A33" s="3" t="s">
        <v>447</v>
      </c>
      <c r="B33" s="4"/>
      <c r="C33" s="4"/>
      <c r="D33" s="4"/>
      <c r="E33" s="4"/>
      <c r="F33" s="4"/>
      <c r="G33" s="4"/>
      <c r="H33" s="4"/>
      <c r="I33" s="4"/>
      <c r="J33" s="4"/>
      <c r="K33" s="4"/>
    </row>
    <row r="34" customFormat="false" ht="28.35" hidden="false" customHeight="false" outlineLevel="0" collapsed="false">
      <c r="A34" s="12" t="s">
        <v>340</v>
      </c>
      <c r="B34" s="12" t="s">
        <v>341</v>
      </c>
      <c r="C34" s="12" t="s">
        <v>231</v>
      </c>
      <c r="D34" s="12" t="s">
        <v>342</v>
      </c>
      <c r="E34" s="12" t="s">
        <v>343</v>
      </c>
      <c r="F34" s="12" t="s">
        <v>344</v>
      </c>
      <c r="G34" s="12" t="s">
        <v>275</v>
      </c>
      <c r="H34" s="12" t="s">
        <v>345</v>
      </c>
      <c r="I34" s="12" t="s">
        <v>346</v>
      </c>
      <c r="J34" s="12" t="s">
        <v>347</v>
      </c>
      <c r="K34" s="12" t="s">
        <v>348</v>
      </c>
    </row>
    <row r="35" customFormat="false" ht="28.35" hidden="false" customHeight="false" outlineLevel="0" collapsed="false">
      <c r="A35" s="32" t="s">
        <v>448</v>
      </c>
      <c r="B35" s="7" t="s">
        <v>449</v>
      </c>
      <c r="C35" s="39" t="s">
        <v>450</v>
      </c>
      <c r="D35" s="30" t="s">
        <v>451</v>
      </c>
      <c r="E35" s="30"/>
      <c r="F35" s="30"/>
      <c r="G35" s="30" t="s">
        <v>383</v>
      </c>
      <c r="H35" s="7" t="s">
        <v>452</v>
      </c>
      <c r="I35" s="7" t="s">
        <v>453</v>
      </c>
      <c r="J35" s="32" t="s">
        <v>450</v>
      </c>
      <c r="K35" s="40" t="str">
        <f aca="false">IF(C35&amp;""=J35&amp;"","","changed")</f>
        <v/>
      </c>
    </row>
    <row r="37" customFormat="false" ht="15" hidden="false" customHeight="false" outlineLevel="0" collapsed="false">
      <c r="A37" s="3" t="s">
        <v>454</v>
      </c>
      <c r="B37" s="4"/>
      <c r="C37" s="4"/>
      <c r="D37" s="4"/>
      <c r="E37" s="4"/>
      <c r="F37" s="4"/>
      <c r="G37" s="4"/>
      <c r="H37" s="4"/>
      <c r="I37" s="4"/>
      <c r="J37" s="4"/>
      <c r="K37" s="4"/>
    </row>
    <row r="38" customFormat="false" ht="28.35" hidden="false" customHeight="false" outlineLevel="0" collapsed="false">
      <c r="A38" s="12" t="s">
        <v>340</v>
      </c>
      <c r="B38" s="12" t="s">
        <v>341</v>
      </c>
      <c r="C38" s="12" t="s">
        <v>231</v>
      </c>
      <c r="D38" s="12" t="s">
        <v>342</v>
      </c>
      <c r="E38" s="12" t="s">
        <v>343</v>
      </c>
      <c r="F38" s="12" t="s">
        <v>344</v>
      </c>
      <c r="G38" s="12" t="s">
        <v>275</v>
      </c>
      <c r="H38" s="12" t="s">
        <v>345</v>
      </c>
      <c r="I38" s="12" t="s">
        <v>346</v>
      </c>
      <c r="J38" s="12" t="s">
        <v>347</v>
      </c>
      <c r="K38" s="12" t="s">
        <v>348</v>
      </c>
    </row>
    <row r="39" customFormat="false" ht="15" hidden="false" customHeight="false" outlineLevel="0" collapsed="false">
      <c r="A39" s="32" t="s">
        <v>455</v>
      </c>
      <c r="B39" s="7" t="s">
        <v>456</v>
      </c>
      <c r="C39" s="46" t="n">
        <v>150</v>
      </c>
      <c r="D39" s="30" t="s">
        <v>457</v>
      </c>
      <c r="E39" s="30"/>
      <c r="F39" s="30"/>
      <c r="G39" s="30" t="s">
        <v>410</v>
      </c>
      <c r="H39" s="7" t="s">
        <v>458</v>
      </c>
      <c r="I39" s="7" t="s">
        <v>459</v>
      </c>
      <c r="J39" s="47" t="n">
        <v>150</v>
      </c>
      <c r="K39" s="40" t="str">
        <f aca="false">IF(C39&amp;""=J39&amp;"","","changed")</f>
        <v/>
      </c>
    </row>
    <row r="40" customFormat="false" ht="15" hidden="false" customHeight="false" outlineLevel="0" collapsed="false">
      <c r="A40" s="32" t="s">
        <v>460</v>
      </c>
      <c r="B40" s="7" t="s">
        <v>461</v>
      </c>
      <c r="C40" s="39" t="n">
        <v>10</v>
      </c>
      <c r="D40" s="30" t="s">
        <v>462</v>
      </c>
      <c r="E40" s="30"/>
      <c r="F40" s="30"/>
      <c r="G40" s="30" t="s">
        <v>410</v>
      </c>
      <c r="H40" s="7" t="s">
        <v>458</v>
      </c>
      <c r="I40" s="7"/>
      <c r="J40" s="32" t="n">
        <v>10</v>
      </c>
      <c r="K40" s="40" t="str">
        <f aca="false">IF(C40&amp;""=J40&amp;"","","changed")</f>
        <v/>
      </c>
    </row>
    <row r="41" customFormat="false" ht="15" hidden="false" customHeight="false" outlineLevel="0" collapsed="false">
      <c r="A41" s="32" t="s">
        <v>463</v>
      </c>
      <c r="B41" s="7" t="s">
        <v>464</v>
      </c>
      <c r="C41" s="48" t="n">
        <f aca="false">Inputs!$C$39*Inputs!$C$40</f>
        <v>1500</v>
      </c>
      <c r="D41" s="30" t="s">
        <v>465</v>
      </c>
      <c r="E41" s="30"/>
      <c r="F41" s="30"/>
      <c r="G41" s="30" t="s">
        <v>388</v>
      </c>
      <c r="H41" s="7" t="s">
        <v>466</v>
      </c>
      <c r="I41" s="7"/>
      <c r="J41" s="30"/>
      <c r="K41" s="30"/>
    </row>
    <row r="42" customFormat="false" ht="28.35" hidden="false" customHeight="false" outlineLevel="0" collapsed="false">
      <c r="A42" s="32" t="s">
        <v>467</v>
      </c>
      <c r="B42" s="7" t="s">
        <v>468</v>
      </c>
      <c r="C42" s="46" t="n">
        <v>120</v>
      </c>
      <c r="D42" s="30" t="s">
        <v>457</v>
      </c>
      <c r="E42" s="19" t="n">
        <v>120</v>
      </c>
      <c r="F42" s="19" t="n">
        <v>180</v>
      </c>
      <c r="G42" s="30" t="s">
        <v>410</v>
      </c>
      <c r="H42" s="7" t="s">
        <v>458</v>
      </c>
      <c r="I42" s="7" t="s">
        <v>469</v>
      </c>
      <c r="J42" s="47" t="n">
        <v>120</v>
      </c>
      <c r="K42" s="40" t="str">
        <f aca="false">IF(C42&amp;""=J42&amp;"","","changed")</f>
        <v/>
      </c>
    </row>
    <row r="43" customFormat="false" ht="15" hidden="false" customHeight="false" outlineLevel="0" collapsed="false">
      <c r="A43" s="32" t="s">
        <v>470</v>
      </c>
      <c r="B43" s="7" t="s">
        <v>471</v>
      </c>
      <c r="C43" s="39" t="n">
        <v>5</v>
      </c>
      <c r="D43" s="30" t="s">
        <v>462</v>
      </c>
      <c r="E43" s="30"/>
      <c r="F43" s="30"/>
      <c r="G43" s="30" t="s">
        <v>410</v>
      </c>
      <c r="H43" s="7" t="s">
        <v>458</v>
      </c>
      <c r="I43" s="7"/>
      <c r="J43" s="32" t="n">
        <v>5</v>
      </c>
      <c r="K43" s="40" t="str">
        <f aca="false">IF(C43&amp;""=J43&amp;"","","changed")</f>
        <v/>
      </c>
    </row>
    <row r="44" customFormat="false" ht="15" hidden="false" customHeight="false" outlineLevel="0" collapsed="false">
      <c r="A44" s="32" t="s">
        <v>472</v>
      </c>
      <c r="B44" s="7" t="s">
        <v>473</v>
      </c>
      <c r="C44" s="48" t="n">
        <f aca="false">Inputs!$C$42*Inputs!$C$43</f>
        <v>600</v>
      </c>
      <c r="D44" s="30" t="s">
        <v>465</v>
      </c>
      <c r="E44" s="30"/>
      <c r="F44" s="30"/>
      <c r="G44" s="30" t="s">
        <v>388</v>
      </c>
      <c r="H44" s="7" t="s">
        <v>466</v>
      </c>
      <c r="I44" s="7"/>
      <c r="J44" s="30"/>
      <c r="K44" s="30"/>
    </row>
    <row r="45" customFormat="false" ht="28.35" hidden="false" customHeight="false" outlineLevel="0" collapsed="false">
      <c r="A45" s="32" t="s">
        <v>474</v>
      </c>
      <c r="B45" s="7" t="s">
        <v>475</v>
      </c>
      <c r="C45" s="46" t="n">
        <v>150</v>
      </c>
      <c r="D45" s="30" t="s">
        <v>457</v>
      </c>
      <c r="E45" s="30"/>
      <c r="F45" s="30"/>
      <c r="G45" s="30" t="s">
        <v>410</v>
      </c>
      <c r="H45" s="7" t="s">
        <v>458</v>
      </c>
      <c r="I45" s="7" t="s">
        <v>476</v>
      </c>
      <c r="J45" s="47" t="n">
        <v>150</v>
      </c>
      <c r="K45" s="40" t="str">
        <f aca="false">IF(C45&amp;""=J45&amp;"","","changed")</f>
        <v/>
      </c>
    </row>
    <row r="46" customFormat="false" ht="15" hidden="false" customHeight="false" outlineLevel="0" collapsed="false">
      <c r="A46" s="32" t="s">
        <v>477</v>
      </c>
      <c r="B46" s="7" t="s">
        <v>478</v>
      </c>
      <c r="C46" s="39" t="n">
        <v>3</v>
      </c>
      <c r="D46" s="30" t="s">
        <v>479</v>
      </c>
      <c r="E46" s="30"/>
      <c r="F46" s="30"/>
      <c r="G46" s="30" t="s">
        <v>410</v>
      </c>
      <c r="H46" s="7" t="s">
        <v>458</v>
      </c>
      <c r="I46" s="7" t="s">
        <v>480</v>
      </c>
      <c r="J46" s="32" t="n">
        <v>3</v>
      </c>
      <c r="K46" s="40" t="str">
        <f aca="false">IF(C46&amp;""=J46&amp;"","","changed")</f>
        <v/>
      </c>
    </row>
    <row r="47" customFormat="false" ht="15" hidden="false" customHeight="false" outlineLevel="0" collapsed="false">
      <c r="A47" s="32" t="s">
        <v>481</v>
      </c>
      <c r="B47" s="7" t="s">
        <v>482</v>
      </c>
      <c r="C47" s="39" t="n">
        <v>2</v>
      </c>
      <c r="D47" s="30" t="s">
        <v>483</v>
      </c>
      <c r="E47" s="30"/>
      <c r="F47" s="30"/>
      <c r="G47" s="30" t="s">
        <v>410</v>
      </c>
      <c r="H47" s="7" t="s">
        <v>458</v>
      </c>
      <c r="I47" s="7"/>
      <c r="J47" s="32" t="n">
        <v>2</v>
      </c>
      <c r="K47" s="40" t="str">
        <f aca="false">IF(C47&amp;""=J47&amp;"","","changed")</f>
        <v/>
      </c>
    </row>
    <row r="48" customFormat="false" ht="15" hidden="false" customHeight="false" outlineLevel="0" collapsed="false">
      <c r="A48" s="32" t="s">
        <v>484</v>
      </c>
      <c r="B48" s="7" t="s">
        <v>485</v>
      </c>
      <c r="C48" s="49" t="n">
        <v>1</v>
      </c>
      <c r="D48" s="30" t="s">
        <v>486</v>
      </c>
      <c r="E48" s="30"/>
      <c r="F48" s="30"/>
      <c r="G48" s="30" t="s">
        <v>410</v>
      </c>
      <c r="H48" s="7" t="s">
        <v>458</v>
      </c>
      <c r="I48" s="7" t="s">
        <v>487</v>
      </c>
      <c r="J48" s="50" t="n">
        <v>1</v>
      </c>
      <c r="K48" s="40" t="str">
        <f aca="false">IF(C48&amp;""=J48&amp;"","","changed")</f>
        <v/>
      </c>
    </row>
    <row r="49" customFormat="false" ht="28.35" hidden="false" customHeight="false" outlineLevel="0" collapsed="false">
      <c r="A49" s="32" t="s">
        <v>488</v>
      </c>
      <c r="B49" s="7" t="s">
        <v>489</v>
      </c>
      <c r="C49" s="39" t="n">
        <v>20</v>
      </c>
      <c r="D49" s="30" t="s">
        <v>409</v>
      </c>
      <c r="E49" s="30"/>
      <c r="F49" s="30"/>
      <c r="G49" s="30" t="s">
        <v>366</v>
      </c>
      <c r="H49" s="7" t="s">
        <v>367</v>
      </c>
      <c r="I49" s="7" t="s">
        <v>490</v>
      </c>
      <c r="J49" s="32" t="n">
        <v>20</v>
      </c>
      <c r="K49" s="40" t="str">
        <f aca="false">IF(C49&amp;""=J49&amp;"","","changed")</f>
        <v/>
      </c>
    </row>
    <row r="50" customFormat="false" ht="15" hidden="false" customHeight="false" outlineLevel="0" collapsed="false">
      <c r="A50" s="32" t="s">
        <v>491</v>
      </c>
      <c r="B50" s="7" t="s">
        <v>492</v>
      </c>
      <c r="C50" s="49" t="n">
        <v>0.5</v>
      </c>
      <c r="D50" s="30" t="s">
        <v>486</v>
      </c>
      <c r="E50" s="30"/>
      <c r="F50" s="30"/>
      <c r="G50" s="30" t="s">
        <v>410</v>
      </c>
      <c r="H50" s="7" t="s">
        <v>458</v>
      </c>
      <c r="I50" s="7" t="s">
        <v>493</v>
      </c>
      <c r="J50" s="50" t="n">
        <v>0.5</v>
      </c>
      <c r="K50" s="40" t="str">
        <f aca="false">IF(C50&amp;""=J50&amp;"","","changed")</f>
        <v/>
      </c>
    </row>
    <row r="51" customFormat="false" ht="41.75" hidden="false" customHeight="false" outlineLevel="0" collapsed="false">
      <c r="A51" s="32" t="s">
        <v>494</v>
      </c>
      <c r="B51" s="7" t="s">
        <v>495</v>
      </c>
      <c r="C51" s="39" t="n">
        <v>10</v>
      </c>
      <c r="D51" s="30" t="s">
        <v>409</v>
      </c>
      <c r="E51" s="30"/>
      <c r="F51" s="30"/>
      <c r="G51" s="30" t="s">
        <v>366</v>
      </c>
      <c r="H51" s="7" t="s">
        <v>496</v>
      </c>
      <c r="I51" s="7" t="s">
        <v>497</v>
      </c>
      <c r="J51" s="32" t="n">
        <v>10</v>
      </c>
      <c r="K51" s="40" t="str">
        <f aca="false">IF(C51&amp;""=J51&amp;"","","changed")</f>
        <v/>
      </c>
    </row>
    <row r="52" customFormat="false" ht="28.35" hidden="false" customHeight="false" outlineLevel="0" collapsed="false">
      <c r="A52" s="32" t="s">
        <v>498</v>
      </c>
      <c r="B52" s="7" t="s">
        <v>499</v>
      </c>
      <c r="C52" s="39" t="n">
        <v>1</v>
      </c>
      <c r="D52" s="30" t="s">
        <v>409</v>
      </c>
      <c r="E52" s="30"/>
      <c r="F52" s="30"/>
      <c r="G52" s="30" t="s">
        <v>366</v>
      </c>
      <c r="H52" s="7" t="s">
        <v>500</v>
      </c>
      <c r="I52" s="7" t="s">
        <v>501</v>
      </c>
      <c r="J52" s="32" t="n">
        <v>1</v>
      </c>
      <c r="K52" s="40" t="str">
        <f aca="false">IF(C52&amp;""=J52&amp;"","","changed")</f>
        <v/>
      </c>
    </row>
    <row r="53" customFormat="false" ht="28.35" hidden="false" customHeight="false" outlineLevel="0" collapsed="false">
      <c r="A53" s="32" t="s">
        <v>502</v>
      </c>
      <c r="B53" s="7" t="s">
        <v>503</v>
      </c>
      <c r="C53" s="39"/>
      <c r="D53" s="30" t="s">
        <v>504</v>
      </c>
      <c r="E53" s="30"/>
      <c r="F53" s="30"/>
      <c r="G53" s="30" t="s">
        <v>505</v>
      </c>
      <c r="H53" s="7" t="s">
        <v>506</v>
      </c>
      <c r="I53" s="7" t="s">
        <v>507</v>
      </c>
      <c r="J53" s="32"/>
      <c r="K53" s="40" t="str">
        <f aca="false">IF(C53&amp;""=J53&amp;"","","changed")</f>
        <v/>
      </c>
    </row>
    <row r="54" customFormat="false" ht="15" hidden="false" customHeight="false" outlineLevel="0" collapsed="false">
      <c r="A54" s="32" t="s">
        <v>508</v>
      </c>
      <c r="B54" s="7" t="s">
        <v>509</v>
      </c>
      <c r="C54" s="51" t="n">
        <v>0.03</v>
      </c>
      <c r="D54" s="30" t="s">
        <v>510</v>
      </c>
      <c r="E54" s="30"/>
      <c r="F54" s="30"/>
      <c r="G54" s="30" t="s">
        <v>410</v>
      </c>
      <c r="H54" s="7" t="s">
        <v>511</v>
      </c>
      <c r="I54" s="7" t="s">
        <v>512</v>
      </c>
      <c r="J54" s="52" t="n">
        <v>0.03</v>
      </c>
      <c r="K54" s="40" t="str">
        <f aca="false">IF(C54&amp;""=J54&amp;"","","changed")</f>
        <v/>
      </c>
    </row>
    <row r="55" customFormat="false" ht="41.75" hidden="false" customHeight="false" outlineLevel="0" collapsed="false">
      <c r="A55" s="32" t="s">
        <v>513</v>
      </c>
      <c r="B55" s="7" t="s">
        <v>514</v>
      </c>
      <c r="C55" s="39" t="n">
        <v>1</v>
      </c>
      <c r="D55" s="30" t="s">
        <v>515</v>
      </c>
      <c r="E55" s="30" t="n">
        <v>0</v>
      </c>
      <c r="F55" s="30" t="n">
        <v>1</v>
      </c>
      <c r="G55" s="30" t="s">
        <v>383</v>
      </c>
      <c r="H55" s="7" t="s">
        <v>511</v>
      </c>
      <c r="I55" s="7" t="s">
        <v>516</v>
      </c>
      <c r="J55" s="32" t="n">
        <v>1</v>
      </c>
      <c r="K55" s="40" t="str">
        <f aca="false">IF(C55&amp;""=J55&amp;"","","changed")</f>
        <v/>
      </c>
    </row>
    <row r="57" customFormat="false" ht="15" hidden="false" customHeight="false" outlineLevel="0" collapsed="false">
      <c r="A57" s="3" t="s">
        <v>517</v>
      </c>
      <c r="B57" s="4"/>
      <c r="C57" s="4"/>
      <c r="D57" s="4"/>
      <c r="E57" s="4"/>
      <c r="F57" s="4"/>
      <c r="G57" s="4"/>
      <c r="H57" s="4"/>
      <c r="I57" s="4"/>
      <c r="J57" s="4"/>
      <c r="K57" s="4"/>
    </row>
    <row r="58" customFormat="false" ht="28.35" hidden="false" customHeight="false" outlineLevel="0" collapsed="false">
      <c r="A58" s="12" t="s">
        <v>340</v>
      </c>
      <c r="B58" s="12" t="s">
        <v>341</v>
      </c>
      <c r="C58" s="12" t="s">
        <v>231</v>
      </c>
      <c r="D58" s="12" t="s">
        <v>342</v>
      </c>
      <c r="E58" s="12" t="s">
        <v>343</v>
      </c>
      <c r="F58" s="12" t="s">
        <v>344</v>
      </c>
      <c r="G58" s="12" t="s">
        <v>275</v>
      </c>
      <c r="H58" s="12" t="s">
        <v>345</v>
      </c>
      <c r="I58" s="12" t="s">
        <v>346</v>
      </c>
      <c r="J58" s="12" t="s">
        <v>347</v>
      </c>
      <c r="K58" s="12" t="s">
        <v>348</v>
      </c>
    </row>
    <row r="59" customFormat="false" ht="28.35" hidden="false" customHeight="false" outlineLevel="0" collapsed="false">
      <c r="A59" s="32" t="s">
        <v>518</v>
      </c>
      <c r="B59" s="7" t="s">
        <v>519</v>
      </c>
      <c r="C59" s="39" t="n">
        <v>5</v>
      </c>
      <c r="D59" s="30" t="s">
        <v>462</v>
      </c>
      <c r="E59" s="30"/>
      <c r="F59" s="30"/>
      <c r="G59" s="30" t="s">
        <v>410</v>
      </c>
      <c r="H59" s="7" t="s">
        <v>520</v>
      </c>
      <c r="I59" s="7"/>
      <c r="J59" s="32" t="n">
        <v>5</v>
      </c>
      <c r="K59" s="40" t="str">
        <f aca="false">IF(C59&amp;""=J59&amp;"","","changed")</f>
        <v/>
      </c>
    </row>
    <row r="60" customFormat="false" ht="28.35" hidden="false" customHeight="false" outlineLevel="0" collapsed="false">
      <c r="A60" s="32" t="s">
        <v>521</v>
      </c>
      <c r="B60" s="7" t="s">
        <v>522</v>
      </c>
      <c r="C60" s="39" t="n">
        <v>2</v>
      </c>
      <c r="D60" s="30" t="s">
        <v>479</v>
      </c>
      <c r="E60" s="30"/>
      <c r="F60" s="30"/>
      <c r="G60" s="30" t="s">
        <v>410</v>
      </c>
      <c r="H60" s="7" t="s">
        <v>523</v>
      </c>
      <c r="I60" s="7"/>
      <c r="J60" s="32" t="n">
        <v>2</v>
      </c>
      <c r="K60" s="40" t="str">
        <f aca="false">IF(C60&amp;""=J60&amp;"","","changed")</f>
        <v/>
      </c>
    </row>
    <row r="61" customFormat="false" ht="28.35" hidden="false" customHeight="false" outlineLevel="0" collapsed="false">
      <c r="A61" s="32" t="s">
        <v>524</v>
      </c>
      <c r="B61" s="7" t="s">
        <v>525</v>
      </c>
      <c r="C61" s="39" t="n">
        <v>10</v>
      </c>
      <c r="D61" s="30" t="s">
        <v>462</v>
      </c>
      <c r="E61" s="30"/>
      <c r="F61" s="30"/>
      <c r="G61" s="30" t="s">
        <v>410</v>
      </c>
      <c r="H61" s="7" t="s">
        <v>526</v>
      </c>
      <c r="I61" s="7"/>
      <c r="J61" s="32" t="n">
        <v>10</v>
      </c>
      <c r="K61" s="40" t="str">
        <f aca="false">IF(C61&amp;""=J61&amp;"","","changed")</f>
        <v/>
      </c>
    </row>
    <row r="62" customFormat="false" ht="28.35" hidden="false" customHeight="false" outlineLevel="0" collapsed="false">
      <c r="A62" s="32" t="s">
        <v>527</v>
      </c>
      <c r="B62" s="7" t="s">
        <v>528</v>
      </c>
      <c r="C62" s="39" t="n">
        <v>3</v>
      </c>
      <c r="D62" s="30" t="s">
        <v>479</v>
      </c>
      <c r="E62" s="30"/>
      <c r="F62" s="30"/>
      <c r="G62" s="30" t="s">
        <v>410</v>
      </c>
      <c r="H62" s="7" t="s">
        <v>529</v>
      </c>
      <c r="I62" s="7" t="s">
        <v>530</v>
      </c>
      <c r="J62" s="32" t="n">
        <v>3</v>
      </c>
      <c r="K62" s="40" t="str">
        <f aca="false">IF(C62&amp;""=J62&amp;"","","changed")</f>
        <v/>
      </c>
    </row>
    <row r="63" customFormat="false" ht="15" hidden="false" customHeight="false" outlineLevel="0" collapsed="false">
      <c r="A63" s="32" t="s">
        <v>531</v>
      </c>
      <c r="B63" s="7" t="s">
        <v>532</v>
      </c>
      <c r="C63" s="39" t="n">
        <v>50</v>
      </c>
      <c r="D63" s="30" t="s">
        <v>533</v>
      </c>
      <c r="E63" s="30"/>
      <c r="F63" s="30"/>
      <c r="G63" s="30" t="s">
        <v>410</v>
      </c>
      <c r="H63" s="7" t="s">
        <v>534</v>
      </c>
      <c r="I63" s="7" t="s">
        <v>535</v>
      </c>
      <c r="J63" s="32" t="n">
        <v>50</v>
      </c>
      <c r="K63" s="40" t="str">
        <f aca="false">IF(C63&amp;""=J63&amp;"","","changed")</f>
        <v/>
      </c>
    </row>
    <row r="64" customFormat="false" ht="15" hidden="false" customHeight="false" outlineLevel="0" collapsed="false">
      <c r="A64" s="32" t="s">
        <v>536</v>
      </c>
      <c r="B64" s="7" t="s">
        <v>537</v>
      </c>
      <c r="C64" s="49" t="n">
        <v>0.1</v>
      </c>
      <c r="D64" s="30" t="s">
        <v>486</v>
      </c>
      <c r="E64" s="30"/>
      <c r="F64" s="30"/>
      <c r="G64" s="30" t="s">
        <v>410</v>
      </c>
      <c r="H64" s="7" t="s">
        <v>534</v>
      </c>
      <c r="I64" s="7"/>
      <c r="J64" s="50" t="n">
        <v>0.1</v>
      </c>
      <c r="K64" s="40" t="str">
        <f aca="false">IF(C64&amp;""=J64&amp;"","","changed")</f>
        <v/>
      </c>
    </row>
    <row r="66" customFormat="false" ht="15" hidden="false" customHeight="false" outlineLevel="0" collapsed="false">
      <c r="A66" s="3" t="s">
        <v>538</v>
      </c>
      <c r="B66" s="4"/>
      <c r="C66" s="4"/>
      <c r="D66" s="4"/>
      <c r="E66" s="4"/>
      <c r="F66" s="4"/>
      <c r="G66" s="4"/>
      <c r="H66" s="4"/>
      <c r="I66" s="4"/>
      <c r="J66" s="4"/>
      <c r="K66" s="4"/>
    </row>
    <row r="67" customFormat="false" ht="28.35" hidden="false" customHeight="false" outlineLevel="0" collapsed="false">
      <c r="A67" s="12" t="s">
        <v>340</v>
      </c>
      <c r="B67" s="12" t="s">
        <v>341</v>
      </c>
      <c r="C67" s="12" t="s">
        <v>231</v>
      </c>
      <c r="D67" s="12" t="s">
        <v>342</v>
      </c>
      <c r="E67" s="12" t="s">
        <v>343</v>
      </c>
      <c r="F67" s="12" t="s">
        <v>344</v>
      </c>
      <c r="G67" s="12" t="s">
        <v>275</v>
      </c>
      <c r="H67" s="12" t="s">
        <v>345</v>
      </c>
      <c r="I67" s="12" t="s">
        <v>346</v>
      </c>
      <c r="J67" s="12" t="s">
        <v>347</v>
      </c>
      <c r="K67" s="12" t="s">
        <v>348</v>
      </c>
    </row>
    <row r="68" customFormat="false" ht="28.35" hidden="false" customHeight="false" outlineLevel="0" collapsed="false">
      <c r="A68" s="32" t="s">
        <v>539</v>
      </c>
      <c r="B68" s="7" t="s">
        <v>540</v>
      </c>
      <c r="C68" s="46" t="n">
        <v>8</v>
      </c>
      <c r="D68" s="30" t="s">
        <v>541</v>
      </c>
      <c r="E68" s="30"/>
      <c r="F68" s="30"/>
      <c r="G68" s="30" t="s">
        <v>410</v>
      </c>
      <c r="H68" s="7" t="s">
        <v>511</v>
      </c>
      <c r="I68" s="7" t="s">
        <v>542</v>
      </c>
      <c r="J68" s="47" t="n">
        <v>8</v>
      </c>
      <c r="K68" s="40" t="str">
        <f aca="false">IF(C68&amp;""=J68&amp;"","","changed")</f>
        <v/>
      </c>
    </row>
    <row r="69" customFormat="false" ht="28.35" hidden="false" customHeight="false" outlineLevel="0" collapsed="false">
      <c r="A69" s="32" t="s">
        <v>543</v>
      </c>
      <c r="B69" s="7" t="s">
        <v>544</v>
      </c>
      <c r="C69" s="46"/>
      <c r="D69" s="30" t="s">
        <v>545</v>
      </c>
      <c r="E69" s="19" t="n">
        <v>1</v>
      </c>
      <c r="F69" s="19" t="n">
        <v>2</v>
      </c>
      <c r="G69" s="30" t="s">
        <v>505</v>
      </c>
      <c r="H69" s="7" t="s">
        <v>546</v>
      </c>
      <c r="I69" s="7" t="s">
        <v>547</v>
      </c>
      <c r="J69" s="47"/>
      <c r="K69" s="40" t="str">
        <f aca="false">IF(C69&amp;""=J69&amp;"","","changed")</f>
        <v/>
      </c>
    </row>
    <row r="70" customFormat="false" ht="15" hidden="false" customHeight="false" outlineLevel="0" collapsed="false">
      <c r="A70" s="32" t="s">
        <v>548</v>
      </c>
      <c r="B70" s="7" t="s">
        <v>549</v>
      </c>
      <c r="C70" s="46" t="n">
        <v>120</v>
      </c>
      <c r="D70" s="30" t="s">
        <v>550</v>
      </c>
      <c r="E70" s="30"/>
      <c r="F70" s="30"/>
      <c r="G70" s="30" t="s">
        <v>410</v>
      </c>
      <c r="H70" s="7" t="s">
        <v>511</v>
      </c>
      <c r="I70" s="7" t="s">
        <v>551</v>
      </c>
      <c r="J70" s="47" t="n">
        <v>120</v>
      </c>
      <c r="K70" s="40" t="str">
        <f aca="false">IF(C70&amp;""=J70&amp;"","","changed")</f>
        <v/>
      </c>
    </row>
    <row r="71" customFormat="false" ht="28.35" hidden="false" customHeight="false" outlineLevel="0" collapsed="false">
      <c r="A71" s="32" t="s">
        <v>552</v>
      </c>
      <c r="B71" s="7" t="s">
        <v>553</v>
      </c>
      <c r="C71" s="46" t="n">
        <v>30</v>
      </c>
      <c r="D71" s="30" t="s">
        <v>554</v>
      </c>
      <c r="E71" s="19" t="n">
        <v>25</v>
      </c>
      <c r="F71" s="19" t="n">
        <v>40</v>
      </c>
      <c r="G71" s="30" t="s">
        <v>555</v>
      </c>
      <c r="H71" s="7" t="s">
        <v>511</v>
      </c>
      <c r="I71" s="7" t="s">
        <v>556</v>
      </c>
      <c r="J71" s="47" t="n">
        <v>30</v>
      </c>
      <c r="K71" s="40" t="str">
        <f aca="false">IF(C71&amp;""=J71&amp;"","","changed")</f>
        <v/>
      </c>
    </row>
    <row r="72" customFormat="false" ht="15" hidden="false" customHeight="false" outlineLevel="0" collapsed="false">
      <c r="A72" s="32" t="s">
        <v>557</v>
      </c>
      <c r="B72" s="7" t="s">
        <v>558</v>
      </c>
      <c r="C72" s="46" t="n">
        <v>0</v>
      </c>
      <c r="D72" s="30" t="s">
        <v>550</v>
      </c>
      <c r="E72" s="30"/>
      <c r="F72" s="30"/>
      <c r="G72" s="30" t="s">
        <v>410</v>
      </c>
      <c r="H72" s="7" t="s">
        <v>559</v>
      </c>
      <c r="I72" s="7" t="s">
        <v>560</v>
      </c>
      <c r="J72" s="47" t="n">
        <v>0</v>
      </c>
      <c r="K72" s="40" t="str">
        <f aca="false">IF(C72&amp;""=J72&amp;"","","changed")</f>
        <v/>
      </c>
    </row>
    <row r="73" customFormat="false" ht="28.35" hidden="false" customHeight="false" outlineLevel="0" collapsed="false">
      <c r="A73" s="32" t="s">
        <v>561</v>
      </c>
      <c r="B73" s="7" t="s">
        <v>562</v>
      </c>
      <c r="C73" s="46"/>
      <c r="D73" s="30" t="s">
        <v>457</v>
      </c>
      <c r="E73" s="30"/>
      <c r="F73" s="30"/>
      <c r="G73" s="30" t="s">
        <v>563</v>
      </c>
      <c r="H73" s="7" t="s">
        <v>564</v>
      </c>
      <c r="I73" s="7" t="s">
        <v>565</v>
      </c>
      <c r="J73" s="47"/>
      <c r="K73" s="40" t="str">
        <f aca="false">IF(C73&amp;""=J73&amp;"","","changed")</f>
        <v/>
      </c>
    </row>
    <row r="74" customFormat="false" ht="15" hidden="false" customHeight="false" outlineLevel="0" collapsed="false">
      <c r="A74" s="32" t="s">
        <v>566</v>
      </c>
      <c r="B74" s="7" t="s">
        <v>567</v>
      </c>
      <c r="C74" s="39" t="n">
        <v>3</v>
      </c>
      <c r="D74" s="30" t="s">
        <v>409</v>
      </c>
      <c r="E74" s="30"/>
      <c r="F74" s="30"/>
      <c r="G74" s="30" t="s">
        <v>410</v>
      </c>
      <c r="H74" s="7" t="s">
        <v>568</v>
      </c>
      <c r="I74" s="7"/>
      <c r="J74" s="32" t="n">
        <v>3</v>
      </c>
      <c r="K74" s="40" t="str">
        <f aca="false">IF(C74&amp;""=J74&amp;"","","changed")</f>
        <v/>
      </c>
    </row>
    <row r="75" customFormat="false" ht="15" hidden="false" customHeight="false" outlineLevel="0" collapsed="false">
      <c r="A75" s="32" t="s">
        <v>569</v>
      </c>
      <c r="B75" s="7" t="s">
        <v>570</v>
      </c>
      <c r="C75" s="39" t="s">
        <v>571</v>
      </c>
      <c r="D75" s="30" t="s">
        <v>451</v>
      </c>
      <c r="E75" s="30"/>
      <c r="F75" s="30"/>
      <c r="G75" s="30" t="s">
        <v>383</v>
      </c>
      <c r="H75" s="7" t="s">
        <v>511</v>
      </c>
      <c r="I75" s="7" t="s">
        <v>572</v>
      </c>
      <c r="J75" s="32" t="s">
        <v>571</v>
      </c>
      <c r="K75" s="40" t="str">
        <f aca="false">IF(C75&amp;""=J75&amp;"","","changed")</f>
        <v/>
      </c>
    </row>
    <row r="76" customFormat="false" ht="15" hidden="false" customHeight="false" outlineLevel="0" collapsed="false">
      <c r="A76" s="32" t="s">
        <v>573</v>
      </c>
      <c r="B76" s="7" t="s">
        <v>574</v>
      </c>
      <c r="C76" s="46" t="n">
        <v>150</v>
      </c>
      <c r="D76" s="30" t="s">
        <v>575</v>
      </c>
      <c r="E76" s="30"/>
      <c r="F76" s="30"/>
      <c r="G76" s="30" t="s">
        <v>410</v>
      </c>
      <c r="H76" s="7" t="s">
        <v>511</v>
      </c>
      <c r="I76" s="7" t="s">
        <v>576</v>
      </c>
      <c r="J76" s="47" t="n">
        <v>150</v>
      </c>
      <c r="K76" s="40" t="str">
        <f aca="false">IF(C76&amp;""=J76&amp;"","","changed")</f>
        <v/>
      </c>
    </row>
    <row r="77" customFormat="false" ht="41.75" hidden="false" customHeight="false" outlineLevel="0" collapsed="false">
      <c r="A77" s="32" t="s">
        <v>577</v>
      </c>
      <c r="B77" s="7" t="s">
        <v>578</v>
      </c>
      <c r="C77" s="43" t="n">
        <f aca="false">IF(COUNT(Schedule!$AJ$7:$AJ$18)=0,"",EOMONTH(MIN(Schedule!$AJ$7:$AJ$18),-1)+1)</f>
        <v>46419</v>
      </c>
      <c r="D77" s="30" t="s">
        <v>365</v>
      </c>
      <c r="E77" s="30"/>
      <c r="F77" s="30"/>
      <c r="G77" s="30" t="s">
        <v>366</v>
      </c>
      <c r="H77" s="7" t="s">
        <v>579</v>
      </c>
      <c r="I77" s="7" t="s">
        <v>580</v>
      </c>
      <c r="J77" s="42" t="n">
        <f aca="false">IF(COUNT(Schedule!$AJ$7:$AJ$18)=0,"",EOMONTH(MIN(Schedule!$AJ$7:$AJ$18),-1)+1)</f>
        <v>46419</v>
      </c>
      <c r="K77" s="40" t="str">
        <f aca="false">IF(C77&amp;""=J77&amp;"","","changed")</f>
        <v/>
      </c>
    </row>
    <row r="78" customFormat="false" ht="28.35" hidden="false" customHeight="false" outlineLevel="0" collapsed="false">
      <c r="A78" s="32" t="s">
        <v>581</v>
      </c>
      <c r="B78" s="7" t="s">
        <v>582</v>
      </c>
      <c r="C78" s="41"/>
      <c r="D78" s="30" t="s">
        <v>365</v>
      </c>
      <c r="E78" s="30"/>
      <c r="F78" s="30"/>
      <c r="G78" s="30" t="s">
        <v>383</v>
      </c>
      <c r="H78" s="7" t="s">
        <v>583</v>
      </c>
      <c r="I78" s="7" t="s">
        <v>584</v>
      </c>
      <c r="J78" s="42"/>
      <c r="K78" s="40" t="str">
        <f aca="false">IF(C78&amp;""=J78&amp;"","","changed")</f>
        <v/>
      </c>
    </row>
    <row r="79" customFormat="false" ht="28.35" hidden="false" customHeight="false" outlineLevel="0" collapsed="false">
      <c r="A79" s="32" t="s">
        <v>585</v>
      </c>
      <c r="B79" s="7" t="s">
        <v>586</v>
      </c>
      <c r="C79" s="46" t="n">
        <v>60</v>
      </c>
      <c r="D79" s="30" t="s">
        <v>575</v>
      </c>
      <c r="E79" s="19" t="n">
        <v>7</v>
      </c>
      <c r="F79" s="19" t="n">
        <v>81</v>
      </c>
      <c r="G79" s="30" t="s">
        <v>410</v>
      </c>
      <c r="H79" s="7" t="s">
        <v>587</v>
      </c>
      <c r="I79" s="7" t="s">
        <v>588</v>
      </c>
      <c r="J79" s="47" t="n">
        <v>60</v>
      </c>
      <c r="K79" s="40" t="str">
        <f aca="false">IF(C79&amp;""=J79&amp;"","","changed")</f>
        <v/>
      </c>
    </row>
    <row r="80" customFormat="false" ht="15" hidden="false" customHeight="false" outlineLevel="0" collapsed="false">
      <c r="A80" s="32" t="s">
        <v>589</v>
      </c>
      <c r="B80" s="7" t="s">
        <v>590</v>
      </c>
      <c r="C80" s="43" t="n">
        <f aca="false">Inputs!$C$10</f>
        <v>46321</v>
      </c>
      <c r="D80" s="30" t="s">
        <v>365</v>
      </c>
      <c r="E80" s="30"/>
      <c r="F80" s="30"/>
      <c r="G80" s="30" t="s">
        <v>366</v>
      </c>
      <c r="H80" s="7" t="s">
        <v>591</v>
      </c>
      <c r="I80" s="7" t="s">
        <v>592</v>
      </c>
      <c r="J80" s="42" t="n">
        <f aca="false">Inputs!$C$10</f>
        <v>46321</v>
      </c>
      <c r="K80" s="40" t="str">
        <f aca="false">IF(C80&amp;""=J80&amp;"","","changed")</f>
        <v/>
      </c>
    </row>
    <row r="81" customFormat="false" ht="41.75" hidden="false" customHeight="false" outlineLevel="0" collapsed="false">
      <c r="A81" s="32" t="s">
        <v>593</v>
      </c>
      <c r="B81" s="7" t="s">
        <v>594</v>
      </c>
      <c r="C81" s="46" t="n">
        <v>100</v>
      </c>
      <c r="D81" s="30" t="s">
        <v>575</v>
      </c>
      <c r="E81" s="19" t="n">
        <v>41.6666666666667</v>
      </c>
      <c r="F81" s="19" t="n">
        <v>125</v>
      </c>
      <c r="G81" s="30" t="s">
        <v>595</v>
      </c>
      <c r="H81" s="7" t="s">
        <v>596</v>
      </c>
      <c r="I81" s="7" t="s">
        <v>597</v>
      </c>
      <c r="J81" s="47" t="n">
        <v>100</v>
      </c>
      <c r="K81" s="40" t="str">
        <f aca="false">IF(C81&amp;""=J81&amp;"","","changed")</f>
        <v/>
      </c>
    </row>
    <row r="82" customFormat="false" ht="15" hidden="false" customHeight="false" outlineLevel="0" collapsed="false">
      <c r="A82" s="32" t="s">
        <v>598</v>
      </c>
      <c r="B82" s="7" t="s">
        <v>599</v>
      </c>
      <c r="C82" s="39" t="s">
        <v>600</v>
      </c>
      <c r="D82" s="30" t="s">
        <v>451</v>
      </c>
      <c r="E82" s="30"/>
      <c r="F82" s="30"/>
      <c r="G82" s="30" t="s">
        <v>383</v>
      </c>
      <c r="H82" s="7" t="s">
        <v>601</v>
      </c>
      <c r="I82" s="7" t="s">
        <v>602</v>
      </c>
      <c r="J82" s="32" t="s">
        <v>600</v>
      </c>
      <c r="K82" s="40" t="str">
        <f aca="false">IF(C82&amp;""=J82&amp;"","","changed")</f>
        <v/>
      </c>
    </row>
    <row r="83" customFormat="false" ht="28.35" hidden="false" customHeight="false" outlineLevel="0" collapsed="false">
      <c r="A83" s="32" t="s">
        <v>603</v>
      </c>
      <c r="B83" s="7" t="s">
        <v>604</v>
      </c>
      <c r="C83" s="43" t="n">
        <f aca="false">Inputs!$C$12</f>
        <v>46367</v>
      </c>
      <c r="D83" s="30" t="s">
        <v>365</v>
      </c>
      <c r="E83" s="30"/>
      <c r="F83" s="30"/>
      <c r="G83" s="30" t="s">
        <v>366</v>
      </c>
      <c r="H83" s="7" t="s">
        <v>605</v>
      </c>
      <c r="I83" s="7" t="s">
        <v>606</v>
      </c>
      <c r="J83" s="42" t="n">
        <f aca="false">Inputs!$C$12</f>
        <v>46367</v>
      </c>
      <c r="K83" s="40" t="str">
        <f aca="false">IF(C83&amp;""=J83&amp;"","","changed")</f>
        <v/>
      </c>
    </row>
    <row r="84" customFormat="false" ht="15" hidden="false" customHeight="false" outlineLevel="0" collapsed="false">
      <c r="A84" s="32" t="s">
        <v>607</v>
      </c>
      <c r="B84" s="7" t="s">
        <v>608</v>
      </c>
      <c r="C84" s="46" t="n">
        <v>0</v>
      </c>
      <c r="D84" s="30" t="s">
        <v>575</v>
      </c>
      <c r="E84" s="30"/>
      <c r="F84" s="30"/>
      <c r="G84" s="30" t="s">
        <v>410</v>
      </c>
      <c r="H84" s="7" t="s">
        <v>609</v>
      </c>
      <c r="I84" s="7"/>
      <c r="J84" s="47" t="n">
        <v>0</v>
      </c>
      <c r="K84" s="40" t="str">
        <f aca="false">IF(C84&amp;""=J84&amp;"","","changed")</f>
        <v/>
      </c>
    </row>
    <row r="85" customFormat="false" ht="28.35" hidden="false" customHeight="false" outlineLevel="0" collapsed="false">
      <c r="A85" s="32" t="s">
        <v>610</v>
      </c>
      <c r="B85" s="7" t="s">
        <v>611</v>
      </c>
      <c r="C85" s="39" t="n">
        <v>2</v>
      </c>
      <c r="D85" s="30" t="s">
        <v>612</v>
      </c>
      <c r="E85" s="30"/>
      <c r="F85" s="30"/>
      <c r="G85" s="30" t="s">
        <v>410</v>
      </c>
      <c r="H85" s="7" t="s">
        <v>511</v>
      </c>
      <c r="I85" s="7" t="s">
        <v>613</v>
      </c>
      <c r="J85" s="32" t="n">
        <v>2</v>
      </c>
      <c r="K85" s="40" t="str">
        <f aca="false">IF(C85&amp;""=J85&amp;"","","changed")</f>
        <v/>
      </c>
    </row>
    <row r="87" customFormat="false" ht="15" hidden="false" customHeight="false" outlineLevel="0" collapsed="false">
      <c r="A87" s="3" t="s">
        <v>614</v>
      </c>
      <c r="B87" s="4"/>
      <c r="C87" s="4"/>
      <c r="D87" s="4"/>
      <c r="E87" s="4"/>
      <c r="F87" s="4"/>
      <c r="G87" s="4"/>
      <c r="H87" s="4"/>
      <c r="I87" s="4"/>
      <c r="J87" s="4"/>
      <c r="K87" s="4"/>
    </row>
    <row r="88" customFormat="false" ht="28.35" hidden="false" customHeight="false" outlineLevel="0" collapsed="false">
      <c r="A88" s="12" t="s">
        <v>340</v>
      </c>
      <c r="B88" s="12" t="s">
        <v>341</v>
      </c>
      <c r="C88" s="12" t="s">
        <v>231</v>
      </c>
      <c r="D88" s="12" t="s">
        <v>342</v>
      </c>
      <c r="E88" s="12" t="s">
        <v>343</v>
      </c>
      <c r="F88" s="12" t="s">
        <v>344</v>
      </c>
      <c r="G88" s="12" t="s">
        <v>275</v>
      </c>
      <c r="H88" s="12" t="s">
        <v>345</v>
      </c>
      <c r="I88" s="12" t="s">
        <v>346</v>
      </c>
      <c r="J88" s="12" t="s">
        <v>347</v>
      </c>
      <c r="K88" s="12" t="s">
        <v>348</v>
      </c>
    </row>
    <row r="89" customFormat="false" ht="15" hidden="false" customHeight="false" outlineLevel="0" collapsed="false">
      <c r="A89" s="32" t="s">
        <v>615</v>
      </c>
      <c r="B89" s="7" t="s">
        <v>616</v>
      </c>
      <c r="C89" s="39" t="n">
        <v>10</v>
      </c>
      <c r="D89" s="30" t="s">
        <v>617</v>
      </c>
      <c r="E89" s="30"/>
      <c r="F89" s="30"/>
      <c r="G89" s="30" t="s">
        <v>410</v>
      </c>
      <c r="H89" s="7" t="s">
        <v>618</v>
      </c>
      <c r="I89" s="7" t="s">
        <v>619</v>
      </c>
      <c r="J89" s="32" t="n">
        <v>10</v>
      </c>
      <c r="K89" s="40" t="str">
        <f aca="false">IF(C89&amp;""=J89&amp;"","","changed")</f>
        <v/>
      </c>
    </row>
    <row r="90" customFormat="false" ht="15" hidden="false" customHeight="false" outlineLevel="0" collapsed="false">
      <c r="A90" s="32" t="s">
        <v>620</v>
      </c>
      <c r="B90" s="7" t="s">
        <v>621</v>
      </c>
      <c r="C90" s="49" t="n">
        <v>0.2</v>
      </c>
      <c r="D90" s="30" t="s">
        <v>486</v>
      </c>
      <c r="E90" s="30"/>
      <c r="F90" s="30"/>
      <c r="G90" s="30" t="s">
        <v>410</v>
      </c>
      <c r="H90" s="7" t="s">
        <v>622</v>
      </c>
      <c r="I90" s="7" t="s">
        <v>623</v>
      </c>
      <c r="J90" s="50" t="n">
        <v>0.2</v>
      </c>
      <c r="K90" s="40" t="str">
        <f aca="false">IF(C90&amp;""=J90&amp;"","","changed")</f>
        <v/>
      </c>
    </row>
    <row r="91" customFormat="false" ht="15" hidden="false" customHeight="false" outlineLevel="0" collapsed="false">
      <c r="A91" s="32" t="s">
        <v>624</v>
      </c>
      <c r="B91" s="7" t="s">
        <v>625</v>
      </c>
      <c r="C91" s="39" t="n">
        <v>0.75</v>
      </c>
      <c r="D91" s="30" t="s">
        <v>406</v>
      </c>
      <c r="E91" s="30"/>
      <c r="F91" s="30"/>
      <c r="G91" s="30" t="s">
        <v>410</v>
      </c>
      <c r="H91" s="7" t="s">
        <v>626</v>
      </c>
      <c r="I91" s="7"/>
      <c r="J91" s="32" t="n">
        <v>0.75</v>
      </c>
      <c r="K91" s="40" t="str">
        <f aca="false">IF(C91&amp;""=J91&amp;"","","changed")</f>
        <v/>
      </c>
    </row>
    <row r="92" customFormat="false" ht="28.35" hidden="false" customHeight="false" outlineLevel="0" collapsed="false">
      <c r="A92" s="32" t="s">
        <v>627</v>
      </c>
      <c r="B92" s="7" t="s">
        <v>628</v>
      </c>
      <c r="C92" s="39" t="n">
        <v>2.25</v>
      </c>
      <c r="D92" s="30" t="s">
        <v>406</v>
      </c>
      <c r="E92" s="30"/>
      <c r="F92" s="30"/>
      <c r="G92" s="30" t="s">
        <v>366</v>
      </c>
      <c r="H92" s="7" t="s">
        <v>618</v>
      </c>
      <c r="I92" s="7" t="s">
        <v>629</v>
      </c>
      <c r="J92" s="32" t="n">
        <v>2.25</v>
      </c>
      <c r="K92" s="40" t="str">
        <f aca="false">IF(C92&amp;""=J92&amp;"","","changed")</f>
        <v/>
      </c>
    </row>
    <row r="93" customFormat="false" ht="15" hidden="false" customHeight="false" outlineLevel="0" collapsed="false">
      <c r="A93" s="32" t="s">
        <v>630</v>
      </c>
      <c r="B93" s="7" t="s">
        <v>631</v>
      </c>
      <c r="C93" s="53" t="n">
        <f aca="false">1/Inputs!$C$90*Inputs!$C$91+Inputs!$C$92</f>
        <v>6</v>
      </c>
      <c r="D93" s="30" t="s">
        <v>617</v>
      </c>
      <c r="E93" s="30"/>
      <c r="F93" s="30"/>
      <c r="G93" s="30" t="s">
        <v>388</v>
      </c>
      <c r="H93" s="7" t="s">
        <v>632</v>
      </c>
      <c r="I93" s="7" t="s">
        <v>633</v>
      </c>
      <c r="J93" s="30"/>
      <c r="K93" s="30"/>
    </row>
    <row r="94" customFormat="false" ht="28.35" hidden="false" customHeight="false" outlineLevel="0" collapsed="false">
      <c r="A94" s="32" t="s">
        <v>634</v>
      </c>
      <c r="B94" s="7" t="s">
        <v>635</v>
      </c>
      <c r="C94" s="39" t="n">
        <v>2</v>
      </c>
      <c r="D94" s="30" t="s">
        <v>636</v>
      </c>
      <c r="E94" s="30"/>
      <c r="F94" s="30"/>
      <c r="G94" s="30" t="s">
        <v>410</v>
      </c>
      <c r="H94" s="7" t="s">
        <v>637</v>
      </c>
      <c r="I94" s="7"/>
      <c r="J94" s="32" t="n">
        <v>2</v>
      </c>
      <c r="K94" s="40" t="str">
        <f aca="false">IF(C94&amp;""=J94&amp;"","","changed")</f>
        <v/>
      </c>
    </row>
    <row r="95" customFormat="false" ht="15" hidden="false" customHeight="false" outlineLevel="0" collapsed="false">
      <c r="A95" s="32" t="s">
        <v>638</v>
      </c>
      <c r="B95" s="7" t="s">
        <v>639</v>
      </c>
      <c r="C95" s="39" t="n">
        <v>4</v>
      </c>
      <c r="D95" s="30" t="s">
        <v>640</v>
      </c>
      <c r="E95" s="30"/>
      <c r="F95" s="30"/>
      <c r="G95" s="30" t="s">
        <v>410</v>
      </c>
      <c r="H95" s="7" t="s">
        <v>618</v>
      </c>
      <c r="I95" s="7" t="s">
        <v>641</v>
      </c>
      <c r="J95" s="32" t="n">
        <v>4</v>
      </c>
      <c r="K95" s="40" t="str">
        <f aca="false">IF(C95&amp;""=J95&amp;"","","changed")</f>
        <v/>
      </c>
    </row>
    <row r="96" customFormat="false" ht="15" hidden="false" customHeight="false" outlineLevel="0" collapsed="false">
      <c r="A96" s="32" t="s">
        <v>642</v>
      </c>
      <c r="B96" s="7" t="s">
        <v>643</v>
      </c>
      <c r="C96" s="39" t="n">
        <v>1</v>
      </c>
      <c r="D96" s="30" t="s">
        <v>640</v>
      </c>
      <c r="E96" s="30"/>
      <c r="F96" s="30"/>
      <c r="G96" s="30" t="s">
        <v>410</v>
      </c>
      <c r="H96" s="7" t="s">
        <v>618</v>
      </c>
      <c r="I96" s="7" t="s">
        <v>644</v>
      </c>
      <c r="J96" s="32" t="n">
        <v>1</v>
      </c>
      <c r="K96" s="40" t="str">
        <f aca="false">IF(C96&amp;""=J96&amp;"","","changed")</f>
        <v/>
      </c>
    </row>
    <row r="97" customFormat="false" ht="15" hidden="false" customHeight="false" outlineLevel="0" collapsed="false">
      <c r="A97" s="32" t="s">
        <v>645</v>
      </c>
      <c r="B97" s="7" t="s">
        <v>646</v>
      </c>
      <c r="C97" s="39" t="n">
        <v>0.5</v>
      </c>
      <c r="D97" s="30" t="s">
        <v>617</v>
      </c>
      <c r="E97" s="30"/>
      <c r="F97" s="30"/>
      <c r="G97" s="30" t="s">
        <v>366</v>
      </c>
      <c r="H97" s="7" t="s">
        <v>618</v>
      </c>
      <c r="I97" s="7" t="s">
        <v>647</v>
      </c>
      <c r="J97" s="32" t="n">
        <v>0.5</v>
      </c>
      <c r="K97" s="40" t="str">
        <f aca="false">IF(C97&amp;""=J97&amp;"","","changed")</f>
        <v/>
      </c>
    </row>
    <row r="98" customFormat="false" ht="15" hidden="false" customHeight="false" outlineLevel="0" collapsed="false">
      <c r="A98" s="32" t="s">
        <v>648</v>
      </c>
      <c r="B98" s="7" t="s">
        <v>649</v>
      </c>
      <c r="C98" s="39" t="n">
        <v>2</v>
      </c>
      <c r="D98" s="30" t="s">
        <v>617</v>
      </c>
      <c r="E98" s="30"/>
      <c r="F98" s="30"/>
      <c r="G98" s="30" t="s">
        <v>410</v>
      </c>
      <c r="H98" s="7" t="s">
        <v>618</v>
      </c>
      <c r="I98" s="7" t="s">
        <v>650</v>
      </c>
      <c r="J98" s="32" t="n">
        <v>2</v>
      </c>
      <c r="K98" s="40" t="str">
        <f aca="false">IF(C98&amp;""=J98&amp;"","","changed")</f>
        <v/>
      </c>
    </row>
    <row r="99" customFormat="false" ht="15" hidden="false" customHeight="false" outlineLevel="0" collapsed="false">
      <c r="A99" s="32" t="s">
        <v>651</v>
      </c>
      <c r="B99" s="7" t="s">
        <v>652</v>
      </c>
      <c r="C99" s="39" t="n">
        <v>2</v>
      </c>
      <c r="D99" s="30" t="s">
        <v>653</v>
      </c>
      <c r="E99" s="30"/>
      <c r="F99" s="30"/>
      <c r="G99" s="30" t="s">
        <v>410</v>
      </c>
      <c r="H99" s="7" t="s">
        <v>618</v>
      </c>
      <c r="I99" s="7"/>
      <c r="J99" s="32" t="n">
        <v>2</v>
      </c>
      <c r="K99" s="40" t="str">
        <f aca="false">IF(C99&amp;""=J99&amp;"","","changed")</f>
        <v/>
      </c>
    </row>
    <row r="100" customFormat="false" ht="28.35" hidden="false" customHeight="false" outlineLevel="0" collapsed="false">
      <c r="A100" s="32" t="s">
        <v>654</v>
      </c>
      <c r="B100" s="7" t="s">
        <v>655</v>
      </c>
      <c r="C100" s="39" t="n">
        <v>15</v>
      </c>
      <c r="D100" s="30" t="s">
        <v>656</v>
      </c>
      <c r="E100" s="30" t="n">
        <v>10</v>
      </c>
      <c r="F100" s="30" t="n">
        <v>15</v>
      </c>
      <c r="G100" s="30" t="s">
        <v>410</v>
      </c>
      <c r="H100" s="7" t="s">
        <v>657</v>
      </c>
      <c r="I100" s="7" t="s">
        <v>658</v>
      </c>
      <c r="J100" s="32" t="n">
        <v>15</v>
      </c>
      <c r="K100" s="40" t="str">
        <f aca="false">IF(C100&amp;""=J100&amp;"","","changed")</f>
        <v/>
      </c>
    </row>
    <row r="101" customFormat="false" ht="15" hidden="false" customHeight="false" outlineLevel="0" collapsed="false">
      <c r="A101" s="32" t="s">
        <v>659</v>
      </c>
      <c r="B101" s="7" t="s">
        <v>660</v>
      </c>
      <c r="C101" s="39" t="n">
        <v>3</v>
      </c>
      <c r="D101" s="30" t="s">
        <v>397</v>
      </c>
      <c r="E101" s="30"/>
      <c r="F101" s="30"/>
      <c r="G101" s="30" t="s">
        <v>410</v>
      </c>
      <c r="H101" s="7" t="s">
        <v>661</v>
      </c>
      <c r="I101" s="7"/>
      <c r="J101" s="32" t="n">
        <v>3</v>
      </c>
      <c r="K101" s="40" t="str">
        <f aca="false">IF(C101&amp;""=J101&amp;"","","changed")</f>
        <v/>
      </c>
    </row>
    <row r="103" customFormat="false" ht="15" hidden="false" customHeight="false" outlineLevel="0" collapsed="false">
      <c r="A103" s="3" t="s">
        <v>662</v>
      </c>
      <c r="B103" s="4"/>
      <c r="C103" s="4"/>
      <c r="D103" s="4"/>
      <c r="E103" s="4"/>
      <c r="F103" s="4"/>
      <c r="G103" s="4"/>
      <c r="H103" s="4"/>
      <c r="I103" s="4"/>
      <c r="J103" s="4"/>
      <c r="K103" s="4"/>
    </row>
    <row r="104" customFormat="false" ht="45" hidden="false" customHeight="true" outlineLevel="0" collapsed="false">
      <c r="A104" s="12" t="s">
        <v>340</v>
      </c>
      <c r="B104" s="12" t="s">
        <v>327</v>
      </c>
      <c r="C104" s="12" t="s">
        <v>663</v>
      </c>
      <c r="D104" s="12" t="s">
        <v>664</v>
      </c>
      <c r="E104" s="12" t="s">
        <v>665</v>
      </c>
      <c r="F104" s="12" t="s">
        <v>666</v>
      </c>
      <c r="G104" s="12" t="s">
        <v>667</v>
      </c>
      <c r="H104" s="12" t="s">
        <v>668</v>
      </c>
      <c r="I104" s="12" t="s">
        <v>669</v>
      </c>
      <c r="J104" s="12"/>
      <c r="K104" s="12"/>
    </row>
    <row r="105" customFormat="false" ht="28.35" hidden="false" customHeight="false" outlineLevel="0" collapsed="false">
      <c r="A105" s="32" t="s">
        <v>670</v>
      </c>
      <c r="B105" s="9" t="s">
        <v>671</v>
      </c>
      <c r="C105" s="48" t="n">
        <f aca="false">Inputs!$C$70</f>
        <v>120</v>
      </c>
      <c r="D105" s="46" t="n">
        <v>0</v>
      </c>
      <c r="E105" s="46" t="n">
        <v>0</v>
      </c>
      <c r="F105" s="54" t="n">
        <v>2</v>
      </c>
      <c r="G105" s="54" t="n">
        <v>1</v>
      </c>
      <c r="H105" s="54" t="n">
        <v>0.6</v>
      </c>
      <c r="I105" s="7" t="s">
        <v>672</v>
      </c>
    </row>
    <row r="106" customFormat="false" ht="28.35" hidden="false" customHeight="false" outlineLevel="0" collapsed="false">
      <c r="A106" s="32" t="s">
        <v>670</v>
      </c>
      <c r="B106" s="9" t="s">
        <v>673</v>
      </c>
      <c r="C106" s="46" t="n">
        <v>0</v>
      </c>
      <c r="D106" s="48" t="n">
        <f aca="false">Inputs!$C$71</f>
        <v>30</v>
      </c>
      <c r="E106" s="46" t="n">
        <v>0</v>
      </c>
      <c r="F106" s="54" t="n">
        <v>2.5</v>
      </c>
      <c r="G106" s="54" t="n">
        <v>0.8</v>
      </c>
      <c r="H106" s="54" t="n">
        <v>0.4</v>
      </c>
      <c r="I106" s="7" t="s">
        <v>674</v>
      </c>
    </row>
    <row r="107" customFormat="false" ht="28.35" hidden="false" customHeight="false" outlineLevel="0" collapsed="false">
      <c r="A107" s="32" t="s">
        <v>670</v>
      </c>
      <c r="B107" s="9" t="s">
        <v>675</v>
      </c>
      <c r="C107" s="48" t="n">
        <f aca="false">Inputs!$C$72</f>
        <v>0</v>
      </c>
      <c r="D107" s="46" t="n">
        <v>0</v>
      </c>
      <c r="E107" s="48" t="n">
        <f aca="false">Inputs!$C$73</f>
        <v>0</v>
      </c>
      <c r="F107" s="54" t="n">
        <v>0.5</v>
      </c>
      <c r="G107" s="54" t="n">
        <v>0.3</v>
      </c>
      <c r="H107" s="54" t="n">
        <v>0.4</v>
      </c>
      <c r="I107" s="7" t="s">
        <v>676</v>
      </c>
    </row>
    <row r="109" customFormat="false" ht="15" hidden="false" customHeight="false" outlineLevel="0" collapsed="false">
      <c r="A109" s="3" t="s">
        <v>677</v>
      </c>
      <c r="B109" s="4"/>
      <c r="C109" s="4"/>
      <c r="D109" s="4"/>
      <c r="E109" s="4"/>
      <c r="F109" s="4"/>
      <c r="G109" s="4"/>
      <c r="H109" s="4"/>
      <c r="I109" s="4"/>
      <c r="J109" s="4"/>
      <c r="K109" s="4"/>
    </row>
    <row r="110" customFormat="false" ht="28.35" hidden="false" customHeight="false" outlineLevel="0" collapsed="false">
      <c r="A110" s="12" t="s">
        <v>340</v>
      </c>
      <c r="B110" s="12" t="s">
        <v>341</v>
      </c>
      <c r="C110" s="12" t="s">
        <v>231</v>
      </c>
      <c r="D110" s="12" t="s">
        <v>342</v>
      </c>
      <c r="E110" s="12" t="s">
        <v>343</v>
      </c>
      <c r="F110" s="12" t="s">
        <v>344</v>
      </c>
      <c r="G110" s="12" t="s">
        <v>275</v>
      </c>
      <c r="H110" s="12" t="s">
        <v>345</v>
      </c>
      <c r="I110" s="12" t="s">
        <v>346</v>
      </c>
      <c r="J110" s="12" t="s">
        <v>347</v>
      </c>
      <c r="K110" s="12" t="s">
        <v>348</v>
      </c>
    </row>
    <row r="111" customFormat="false" ht="28.35" hidden="false" customHeight="false" outlineLevel="0" collapsed="false">
      <c r="A111" s="32" t="s">
        <v>678</v>
      </c>
      <c r="B111" s="7" t="s">
        <v>679</v>
      </c>
      <c r="C111" s="49" t="n">
        <v>0.4</v>
      </c>
      <c r="D111" s="30" t="s">
        <v>486</v>
      </c>
      <c r="E111" s="30"/>
      <c r="F111" s="30"/>
      <c r="G111" s="30" t="s">
        <v>410</v>
      </c>
      <c r="H111" s="7" t="s">
        <v>680</v>
      </c>
      <c r="I111" s="7" t="s">
        <v>681</v>
      </c>
      <c r="J111" s="50" t="n">
        <v>0.4</v>
      </c>
      <c r="K111" s="40" t="str">
        <f aca="false">IF(C111&amp;""=J111&amp;"","","changed")</f>
        <v/>
      </c>
    </row>
    <row r="112" customFormat="false" ht="15" hidden="false" customHeight="false" outlineLevel="0" collapsed="false">
      <c r="A112" s="32" t="s">
        <v>682</v>
      </c>
      <c r="B112" s="7" t="s">
        <v>683</v>
      </c>
      <c r="C112" s="39" t="n">
        <v>2</v>
      </c>
      <c r="D112" s="30" t="s">
        <v>612</v>
      </c>
      <c r="E112" s="30"/>
      <c r="F112" s="30"/>
      <c r="G112" s="30" t="s">
        <v>410</v>
      </c>
      <c r="H112" s="7" t="s">
        <v>684</v>
      </c>
      <c r="I112" s="7"/>
      <c r="J112" s="32" t="n">
        <v>2</v>
      </c>
      <c r="K112" s="40" t="str">
        <f aca="false">IF(C112&amp;""=J112&amp;"","","changed")</f>
        <v/>
      </c>
    </row>
    <row r="113" customFormat="false" ht="28.35" hidden="false" customHeight="false" outlineLevel="0" collapsed="false">
      <c r="A113" s="32" t="s">
        <v>685</v>
      </c>
      <c r="B113" s="7" t="s">
        <v>686</v>
      </c>
      <c r="C113" s="39" t="s">
        <v>673</v>
      </c>
      <c r="D113" s="30" t="s">
        <v>451</v>
      </c>
      <c r="E113" s="30"/>
      <c r="F113" s="30"/>
      <c r="G113" s="30" t="s">
        <v>383</v>
      </c>
      <c r="H113" s="7" t="s">
        <v>687</v>
      </c>
      <c r="I113" s="7" t="s">
        <v>688</v>
      </c>
      <c r="J113" s="32" t="s">
        <v>673</v>
      </c>
      <c r="K113" s="40" t="str">
        <f aca="false">IF(C113&amp;""=J113&amp;"","","changed")</f>
        <v/>
      </c>
    </row>
    <row r="114" customFormat="false" ht="15" hidden="false" customHeight="false" outlineLevel="0" collapsed="false">
      <c r="A114" s="32" t="s">
        <v>689</v>
      </c>
      <c r="B114" s="7" t="s">
        <v>690</v>
      </c>
      <c r="C114" s="55" t="n">
        <f aca="false">Inputs!$C$61</f>
        <v>10</v>
      </c>
      <c r="D114" s="30" t="s">
        <v>462</v>
      </c>
      <c r="E114" s="30"/>
      <c r="F114" s="30"/>
      <c r="G114" s="30" t="s">
        <v>388</v>
      </c>
      <c r="H114" s="7" t="s">
        <v>691</v>
      </c>
      <c r="I114" s="7"/>
      <c r="J114" s="30"/>
      <c r="K114" s="30"/>
    </row>
    <row r="115" customFormat="false" ht="15" hidden="false" customHeight="false" outlineLevel="0" collapsed="false">
      <c r="A115" s="32" t="s">
        <v>692</v>
      </c>
      <c r="B115" s="7" t="s">
        <v>693</v>
      </c>
      <c r="C115" s="46"/>
      <c r="D115" s="30" t="s">
        <v>694</v>
      </c>
      <c r="E115" s="30"/>
      <c r="F115" s="30"/>
      <c r="G115" s="30" t="s">
        <v>505</v>
      </c>
      <c r="H115" s="7" t="s">
        <v>695</v>
      </c>
      <c r="I115" s="7" t="s">
        <v>696</v>
      </c>
      <c r="J115" s="47"/>
      <c r="K115" s="40" t="str">
        <f aca="false">IF(C115&amp;""=J115&amp;"","","changed")</f>
        <v/>
      </c>
    </row>
    <row r="116" customFormat="false" ht="15" hidden="false" customHeight="false" outlineLevel="0" collapsed="false">
      <c r="A116" s="32" t="s">
        <v>697</v>
      </c>
      <c r="B116" s="7" t="s">
        <v>698</v>
      </c>
      <c r="C116" s="43" t="n">
        <f aca="false">Inputs!$C$10</f>
        <v>46321</v>
      </c>
      <c r="D116" s="30" t="s">
        <v>365</v>
      </c>
      <c r="E116" s="30"/>
      <c r="F116" s="30"/>
      <c r="G116" s="30" t="s">
        <v>383</v>
      </c>
      <c r="H116" s="7" t="s">
        <v>384</v>
      </c>
      <c r="I116" s="7" t="s">
        <v>592</v>
      </c>
      <c r="J116" s="42" t="n">
        <f aca="false">Inputs!$C$10</f>
        <v>46321</v>
      </c>
      <c r="K116" s="40" t="str">
        <f aca="false">IF(C116&amp;""=J116&amp;"","","changed")</f>
        <v/>
      </c>
    </row>
    <row r="117" customFormat="false" ht="15" hidden="false" customHeight="false" outlineLevel="0" collapsed="false">
      <c r="A117" s="32" t="s">
        <v>699</v>
      </c>
      <c r="B117" s="7" t="s">
        <v>700</v>
      </c>
      <c r="C117" s="46" t="n">
        <v>1000</v>
      </c>
      <c r="D117" s="30" t="s">
        <v>694</v>
      </c>
      <c r="E117" s="30"/>
      <c r="F117" s="30"/>
      <c r="G117" s="30" t="s">
        <v>410</v>
      </c>
      <c r="H117" s="7" t="s">
        <v>601</v>
      </c>
      <c r="I117" s="7"/>
      <c r="J117" s="47" t="n">
        <v>1000</v>
      </c>
      <c r="K117" s="40" t="str">
        <f aca="false">IF(C117&amp;""=J117&amp;"","","changed")</f>
        <v/>
      </c>
    </row>
    <row r="119" customFormat="false" ht="15" hidden="false" customHeight="false" outlineLevel="0" collapsed="false">
      <c r="A119" s="3" t="s">
        <v>701</v>
      </c>
      <c r="B119" s="4"/>
      <c r="C119" s="4"/>
      <c r="D119" s="4"/>
      <c r="E119" s="4"/>
      <c r="F119" s="4"/>
      <c r="G119" s="4"/>
      <c r="H119" s="4"/>
      <c r="I119" s="4"/>
      <c r="J119" s="4"/>
      <c r="K119" s="4"/>
    </row>
    <row r="120" customFormat="false" ht="28.35" hidden="false" customHeight="false" outlineLevel="0" collapsed="false">
      <c r="A120" s="12" t="s">
        <v>340</v>
      </c>
      <c r="B120" s="12" t="s">
        <v>341</v>
      </c>
      <c r="C120" s="12" t="s">
        <v>231</v>
      </c>
      <c r="D120" s="12" t="s">
        <v>342</v>
      </c>
      <c r="E120" s="12" t="s">
        <v>343</v>
      </c>
      <c r="F120" s="12" t="s">
        <v>344</v>
      </c>
      <c r="G120" s="12" t="s">
        <v>275</v>
      </c>
      <c r="H120" s="12" t="s">
        <v>345</v>
      </c>
      <c r="I120" s="12" t="s">
        <v>346</v>
      </c>
      <c r="J120" s="12" t="s">
        <v>347</v>
      </c>
      <c r="K120" s="12" t="s">
        <v>348</v>
      </c>
    </row>
    <row r="121" customFormat="false" ht="28.35" hidden="false" customHeight="false" outlineLevel="0" collapsed="false">
      <c r="A121" s="32" t="s">
        <v>702</v>
      </c>
      <c r="B121" s="7" t="s">
        <v>703</v>
      </c>
      <c r="C121" s="39" t="n">
        <v>5</v>
      </c>
      <c r="D121" s="30" t="s">
        <v>462</v>
      </c>
      <c r="E121" s="30"/>
      <c r="F121" s="30"/>
      <c r="G121" s="30" t="s">
        <v>410</v>
      </c>
      <c r="H121" s="7" t="s">
        <v>704</v>
      </c>
      <c r="I121" s="7" t="s">
        <v>705</v>
      </c>
      <c r="J121" s="32" t="n">
        <v>5</v>
      </c>
      <c r="K121" s="40" t="str">
        <f aca="false">IF(C121&amp;""=J121&amp;"","","changed")</f>
        <v/>
      </c>
    </row>
    <row r="122" customFormat="false" ht="15" hidden="false" customHeight="false" outlineLevel="0" collapsed="false">
      <c r="A122" s="32" t="s">
        <v>706</v>
      </c>
      <c r="B122" s="7" t="s">
        <v>707</v>
      </c>
      <c r="C122" s="39" t="n">
        <v>15</v>
      </c>
      <c r="D122" s="30" t="s">
        <v>708</v>
      </c>
      <c r="E122" s="30"/>
      <c r="F122" s="30"/>
      <c r="G122" s="30" t="s">
        <v>410</v>
      </c>
      <c r="H122" s="7" t="s">
        <v>709</v>
      </c>
      <c r="I122" s="7"/>
      <c r="J122" s="32" t="n">
        <v>15</v>
      </c>
      <c r="K122" s="40" t="str">
        <f aca="false">IF(C122&amp;""=J122&amp;"","","changed")</f>
        <v/>
      </c>
    </row>
    <row r="123" customFormat="false" ht="28.35" hidden="false" customHeight="false" outlineLevel="0" collapsed="false">
      <c r="A123" s="32" t="s">
        <v>710</v>
      </c>
      <c r="B123" s="7" t="s">
        <v>711</v>
      </c>
      <c r="C123" s="39" t="n">
        <v>3</v>
      </c>
      <c r="D123" s="30" t="s">
        <v>479</v>
      </c>
      <c r="E123" s="30"/>
      <c r="F123" s="30"/>
      <c r="G123" s="30" t="s">
        <v>410</v>
      </c>
      <c r="H123" s="7" t="s">
        <v>704</v>
      </c>
      <c r="I123" s="7"/>
      <c r="J123" s="32" t="n">
        <v>3</v>
      </c>
      <c r="K123" s="40" t="str">
        <f aca="false">IF(C123&amp;""=J123&amp;"","","changed")</f>
        <v/>
      </c>
    </row>
    <row r="124" customFormat="false" ht="15" hidden="false" customHeight="false" outlineLevel="0" collapsed="false">
      <c r="A124" s="32" t="s">
        <v>712</v>
      </c>
      <c r="B124" s="7" t="s">
        <v>713</v>
      </c>
      <c r="C124" s="46" t="n">
        <v>500</v>
      </c>
      <c r="D124" s="30" t="s">
        <v>714</v>
      </c>
      <c r="E124" s="30"/>
      <c r="F124" s="30"/>
      <c r="G124" s="30" t="s">
        <v>410</v>
      </c>
      <c r="H124" s="7" t="s">
        <v>704</v>
      </c>
      <c r="I124" s="7"/>
      <c r="J124" s="47" t="n">
        <v>500</v>
      </c>
      <c r="K124" s="40" t="str">
        <f aca="false">IF(C124&amp;""=J124&amp;"","","changed")</f>
        <v/>
      </c>
    </row>
    <row r="125" customFormat="false" ht="15" hidden="false" customHeight="false" outlineLevel="0" collapsed="false">
      <c r="A125" s="32" t="s">
        <v>715</v>
      </c>
      <c r="B125" s="7" t="s">
        <v>716</v>
      </c>
      <c r="C125" s="39" t="n">
        <v>15</v>
      </c>
      <c r="D125" s="30" t="s">
        <v>708</v>
      </c>
      <c r="E125" s="30"/>
      <c r="F125" s="30"/>
      <c r="G125" s="30" t="s">
        <v>410</v>
      </c>
      <c r="H125" s="7" t="s">
        <v>709</v>
      </c>
      <c r="I125" s="7"/>
      <c r="J125" s="32" t="n">
        <v>15</v>
      </c>
      <c r="K125" s="40" t="str">
        <f aca="false">IF(C125&amp;""=J125&amp;"","","changed")</f>
        <v/>
      </c>
    </row>
    <row r="126" customFormat="false" ht="15" hidden="false" customHeight="false" outlineLevel="0" collapsed="false">
      <c r="A126" s="32" t="s">
        <v>717</v>
      </c>
      <c r="B126" s="7" t="s">
        <v>718</v>
      </c>
      <c r="C126" s="39" t="n">
        <v>5</v>
      </c>
      <c r="D126" s="30" t="s">
        <v>462</v>
      </c>
      <c r="E126" s="30"/>
      <c r="F126" s="30"/>
      <c r="G126" s="30" t="s">
        <v>410</v>
      </c>
      <c r="H126" s="7" t="s">
        <v>719</v>
      </c>
      <c r="I126" s="7"/>
      <c r="J126" s="32" t="n">
        <v>5</v>
      </c>
      <c r="K126" s="40" t="str">
        <f aca="false">IF(C126&amp;""=J126&amp;"","","changed")</f>
        <v/>
      </c>
    </row>
    <row r="127" customFormat="false" ht="15" hidden="false" customHeight="false" outlineLevel="0" collapsed="false">
      <c r="A127" s="32" t="s">
        <v>720</v>
      </c>
      <c r="B127" s="7" t="s">
        <v>721</v>
      </c>
      <c r="C127" s="39" t="n">
        <v>350</v>
      </c>
      <c r="D127" s="30" t="s">
        <v>722</v>
      </c>
      <c r="E127" s="30"/>
      <c r="F127" s="30"/>
      <c r="G127" s="30" t="s">
        <v>410</v>
      </c>
      <c r="H127" s="7" t="s">
        <v>719</v>
      </c>
      <c r="I127" s="7"/>
      <c r="J127" s="32" t="n">
        <v>350</v>
      </c>
      <c r="K127" s="40" t="str">
        <f aca="false">IF(C127&amp;""=J127&amp;"","","changed")</f>
        <v/>
      </c>
    </row>
    <row r="128" customFormat="false" ht="15" hidden="false" customHeight="false" outlineLevel="0" collapsed="false">
      <c r="A128" s="32" t="s">
        <v>723</v>
      </c>
      <c r="B128" s="7" t="s">
        <v>724</v>
      </c>
      <c r="C128" s="39" t="n">
        <v>2</v>
      </c>
      <c r="D128" s="30" t="s">
        <v>479</v>
      </c>
      <c r="E128" s="30"/>
      <c r="F128" s="30"/>
      <c r="G128" s="30" t="s">
        <v>410</v>
      </c>
      <c r="H128" s="7" t="s">
        <v>719</v>
      </c>
      <c r="I128" s="7"/>
      <c r="J128" s="32" t="n">
        <v>2</v>
      </c>
      <c r="K128" s="40" t="str">
        <f aca="false">IF(C128&amp;""=J128&amp;"","","changed")</f>
        <v/>
      </c>
    </row>
    <row r="129" customFormat="false" ht="15" hidden="false" customHeight="false" outlineLevel="0" collapsed="false">
      <c r="A129" s="32" t="s">
        <v>725</v>
      </c>
      <c r="B129" s="7" t="s">
        <v>726</v>
      </c>
      <c r="C129" s="39" t="s">
        <v>727</v>
      </c>
      <c r="D129" s="30" t="s">
        <v>323</v>
      </c>
      <c r="E129" s="30"/>
      <c r="F129" s="30"/>
      <c r="G129" s="30" t="s">
        <v>383</v>
      </c>
      <c r="H129" s="7" t="s">
        <v>728</v>
      </c>
      <c r="I129" s="7"/>
      <c r="J129" s="32" t="s">
        <v>727</v>
      </c>
      <c r="K129" s="40" t="str">
        <f aca="false">IF(C129&amp;""=J129&amp;"","","changed")</f>
        <v/>
      </c>
    </row>
    <row r="130" customFormat="false" ht="15" hidden="false" customHeight="false" outlineLevel="0" collapsed="false">
      <c r="A130" s="32" t="s">
        <v>729</v>
      </c>
      <c r="B130" s="7" t="s">
        <v>730</v>
      </c>
      <c r="C130" s="49" t="n">
        <v>0.8</v>
      </c>
      <c r="D130" s="30" t="s">
        <v>731</v>
      </c>
      <c r="E130" s="30"/>
      <c r="F130" s="30"/>
      <c r="G130" s="30" t="s">
        <v>410</v>
      </c>
      <c r="H130" s="7" t="s">
        <v>728</v>
      </c>
      <c r="I130" s="7"/>
      <c r="J130" s="50" t="n">
        <v>0.8</v>
      </c>
      <c r="K130" s="40" t="str">
        <f aca="false">IF(C130&amp;""=J130&amp;"","","changed")</f>
        <v/>
      </c>
    </row>
    <row r="131" customFormat="false" ht="15" hidden="false" customHeight="false" outlineLevel="0" collapsed="false">
      <c r="A131" s="32" t="s">
        <v>732</v>
      </c>
      <c r="B131" s="7" t="s">
        <v>733</v>
      </c>
      <c r="C131" s="39" t="n">
        <v>5</v>
      </c>
      <c r="D131" s="30" t="s">
        <v>734</v>
      </c>
      <c r="E131" s="30"/>
      <c r="F131" s="30"/>
      <c r="G131" s="30" t="s">
        <v>410</v>
      </c>
      <c r="H131" s="7" t="s">
        <v>728</v>
      </c>
      <c r="I131" s="7"/>
      <c r="J131" s="32" t="n">
        <v>5</v>
      </c>
      <c r="K131" s="40" t="str">
        <f aca="false">IF(C131&amp;""=J131&amp;"","","changed")</f>
        <v/>
      </c>
    </row>
    <row r="132" customFormat="false" ht="15" hidden="false" customHeight="false" outlineLevel="0" collapsed="false">
      <c r="A132" s="32" t="s">
        <v>735</v>
      </c>
      <c r="B132" s="7" t="s">
        <v>736</v>
      </c>
      <c r="C132" s="39" t="n">
        <v>7</v>
      </c>
      <c r="D132" s="30" t="s">
        <v>409</v>
      </c>
      <c r="E132" s="30"/>
      <c r="F132" s="30"/>
      <c r="G132" s="30" t="s">
        <v>410</v>
      </c>
      <c r="H132" s="7" t="s">
        <v>737</v>
      </c>
      <c r="I132" s="7"/>
      <c r="J132" s="32" t="n">
        <v>7</v>
      </c>
      <c r="K132" s="40" t="str">
        <f aca="false">IF(C132&amp;""=J132&amp;"","","changed")</f>
        <v/>
      </c>
    </row>
    <row r="133" customFormat="false" ht="15" hidden="false" customHeight="false" outlineLevel="0" collapsed="false">
      <c r="A133" s="32" t="s">
        <v>738</v>
      </c>
      <c r="B133" s="7" t="s">
        <v>739</v>
      </c>
      <c r="C133" s="39" t="n">
        <v>1</v>
      </c>
      <c r="D133" s="30" t="s">
        <v>479</v>
      </c>
      <c r="E133" s="30"/>
      <c r="F133" s="30"/>
      <c r="G133" s="30" t="s">
        <v>410</v>
      </c>
      <c r="H133" s="7" t="s">
        <v>728</v>
      </c>
      <c r="I133" s="7"/>
      <c r="J133" s="32" t="n">
        <v>1</v>
      </c>
      <c r="K133" s="40" t="str">
        <f aca="false">IF(C133&amp;""=J133&amp;"","","changed")</f>
        <v/>
      </c>
    </row>
    <row r="134" customFormat="false" ht="15" hidden="false" customHeight="false" outlineLevel="0" collapsed="false">
      <c r="A134" s="32" t="s">
        <v>740</v>
      </c>
      <c r="B134" s="7" t="s">
        <v>741</v>
      </c>
      <c r="C134" s="39" t="n">
        <v>1</v>
      </c>
      <c r="D134" s="30" t="s">
        <v>742</v>
      </c>
      <c r="E134" s="30"/>
      <c r="F134" s="30"/>
      <c r="G134" s="30" t="s">
        <v>410</v>
      </c>
      <c r="H134" s="7" t="s">
        <v>743</v>
      </c>
      <c r="I134" s="7"/>
      <c r="J134" s="32" t="n">
        <v>1</v>
      </c>
      <c r="K134" s="40" t="str">
        <f aca="false">IF(C134&amp;""=J134&amp;"","","changed")</f>
        <v/>
      </c>
    </row>
    <row r="135" customFormat="false" ht="15" hidden="false" customHeight="false" outlineLevel="0" collapsed="false">
      <c r="A135" s="32" t="s">
        <v>744</v>
      </c>
      <c r="B135" s="7" t="s">
        <v>745</v>
      </c>
      <c r="C135" s="46" t="n">
        <v>1500</v>
      </c>
      <c r="D135" s="30" t="s">
        <v>694</v>
      </c>
      <c r="E135" s="30"/>
      <c r="F135" s="30"/>
      <c r="G135" s="30" t="s">
        <v>410</v>
      </c>
      <c r="H135" s="7" t="s">
        <v>743</v>
      </c>
      <c r="I135" s="7"/>
      <c r="J135" s="47" t="n">
        <v>1500</v>
      </c>
      <c r="K135" s="40" t="str">
        <f aca="false">IF(C135&amp;""=J135&amp;"","","changed")</f>
        <v/>
      </c>
    </row>
    <row r="136" customFormat="false" ht="15" hidden="false" customHeight="false" outlineLevel="0" collapsed="false">
      <c r="A136" s="32" t="s">
        <v>746</v>
      </c>
      <c r="B136" s="7" t="s">
        <v>747</v>
      </c>
      <c r="C136" s="46" t="n">
        <v>50</v>
      </c>
      <c r="D136" s="30" t="s">
        <v>748</v>
      </c>
      <c r="E136" s="30"/>
      <c r="F136" s="30"/>
      <c r="G136" s="30" t="s">
        <v>410</v>
      </c>
      <c r="H136" s="7" t="s">
        <v>743</v>
      </c>
      <c r="I136" s="7"/>
      <c r="J136" s="47" t="n">
        <v>50</v>
      </c>
      <c r="K136" s="40" t="str">
        <f aca="false">IF(C136&amp;""=J136&amp;"","","changed")</f>
        <v/>
      </c>
    </row>
    <row r="137" customFormat="false" ht="15" hidden="false" customHeight="false" outlineLevel="0" collapsed="false">
      <c r="A137" s="32" t="s">
        <v>749</v>
      </c>
      <c r="B137" s="7" t="s">
        <v>750</v>
      </c>
      <c r="C137" s="49" t="n">
        <v>0.4</v>
      </c>
      <c r="D137" s="30" t="s">
        <v>486</v>
      </c>
      <c r="E137" s="30"/>
      <c r="F137" s="30"/>
      <c r="G137" s="30" t="s">
        <v>410</v>
      </c>
      <c r="H137" s="7" t="s">
        <v>751</v>
      </c>
      <c r="I137" s="7"/>
      <c r="J137" s="50" t="n">
        <v>0.4</v>
      </c>
      <c r="K137" s="40" t="str">
        <f aca="false">IF(C137&amp;""=J137&amp;"","","changed")</f>
        <v/>
      </c>
    </row>
    <row r="138" customFormat="false" ht="15" hidden="false" customHeight="false" outlineLevel="0" collapsed="false">
      <c r="A138" s="32" t="s">
        <v>752</v>
      </c>
      <c r="B138" s="7" t="s">
        <v>753</v>
      </c>
      <c r="C138" s="39" t="n">
        <v>5</v>
      </c>
      <c r="D138" s="30" t="s">
        <v>462</v>
      </c>
      <c r="E138" s="30"/>
      <c r="F138" s="30"/>
      <c r="G138" s="30" t="s">
        <v>410</v>
      </c>
      <c r="H138" s="7" t="s">
        <v>751</v>
      </c>
      <c r="I138" s="7"/>
      <c r="J138" s="32" t="n">
        <v>5</v>
      </c>
      <c r="K138" s="40" t="str">
        <f aca="false">IF(C138&amp;""=J138&amp;"","","changed")</f>
        <v/>
      </c>
    </row>
    <row r="139" customFormat="false" ht="15" hidden="false" customHeight="false" outlineLevel="0" collapsed="false">
      <c r="A139" s="32" t="s">
        <v>754</v>
      </c>
      <c r="B139" s="7" t="s">
        <v>755</v>
      </c>
      <c r="C139" s="46" t="n">
        <v>100</v>
      </c>
      <c r="D139" s="30" t="s">
        <v>575</v>
      </c>
      <c r="E139" s="30"/>
      <c r="F139" s="30"/>
      <c r="G139" s="30" t="s">
        <v>410</v>
      </c>
      <c r="H139" s="7" t="s">
        <v>751</v>
      </c>
      <c r="I139" s="7"/>
      <c r="J139" s="47" t="n">
        <v>100</v>
      </c>
      <c r="K139" s="40" t="str">
        <f aca="false">IF(C139&amp;""=J139&amp;"","","changed")</f>
        <v/>
      </c>
    </row>
    <row r="140" customFormat="false" ht="15" hidden="false" customHeight="false" outlineLevel="0" collapsed="false">
      <c r="A140" s="32" t="s">
        <v>756</v>
      </c>
      <c r="B140" s="7" t="s">
        <v>757</v>
      </c>
      <c r="C140" s="49" t="n">
        <v>0.3</v>
      </c>
      <c r="D140" s="30" t="s">
        <v>486</v>
      </c>
      <c r="E140" s="30"/>
      <c r="F140" s="30"/>
      <c r="G140" s="30" t="s">
        <v>410</v>
      </c>
      <c r="H140" s="7" t="s">
        <v>751</v>
      </c>
      <c r="I140" s="7"/>
      <c r="J140" s="50" t="n">
        <v>0.3</v>
      </c>
      <c r="K140" s="40" t="str">
        <f aca="false">IF(C140&amp;""=J140&amp;"","","changed")</f>
        <v/>
      </c>
    </row>
    <row r="141" customFormat="false" ht="15" hidden="false" customHeight="false" outlineLevel="0" collapsed="false">
      <c r="A141" s="32" t="s">
        <v>758</v>
      </c>
      <c r="B141" s="7" t="s">
        <v>759</v>
      </c>
      <c r="C141" s="39" t="n">
        <v>2</v>
      </c>
      <c r="D141" s="30" t="s">
        <v>760</v>
      </c>
      <c r="E141" s="30"/>
      <c r="F141" s="30"/>
      <c r="G141" s="30" t="s">
        <v>410</v>
      </c>
      <c r="H141" s="7" t="s">
        <v>751</v>
      </c>
      <c r="I141" s="7"/>
      <c r="J141" s="32" t="n">
        <v>2</v>
      </c>
      <c r="K141" s="40" t="str">
        <f aca="false">IF(C141&amp;""=J141&amp;"","","changed")</f>
        <v/>
      </c>
    </row>
    <row r="142" customFormat="false" ht="28.35" hidden="false" customHeight="false" outlineLevel="0" collapsed="false">
      <c r="A142" s="32" t="s">
        <v>761</v>
      </c>
      <c r="B142" s="7" t="s">
        <v>762</v>
      </c>
      <c r="C142" s="39" t="n">
        <v>2</v>
      </c>
      <c r="D142" s="30" t="s">
        <v>760</v>
      </c>
      <c r="E142" s="30"/>
      <c r="F142" s="30"/>
      <c r="G142" s="30" t="s">
        <v>410</v>
      </c>
      <c r="H142" s="7" t="s">
        <v>763</v>
      </c>
      <c r="I142" s="7"/>
      <c r="J142" s="32" t="n">
        <v>2</v>
      </c>
      <c r="K142" s="40" t="str">
        <f aca="false">IF(C142&amp;""=J142&amp;"","","changed")</f>
        <v/>
      </c>
    </row>
    <row r="143" customFormat="false" ht="15" hidden="false" customHeight="false" outlineLevel="0" collapsed="false">
      <c r="A143" s="32" t="s">
        <v>764</v>
      </c>
      <c r="B143" s="7" t="s">
        <v>765</v>
      </c>
      <c r="C143" s="39" t="n">
        <v>6</v>
      </c>
      <c r="D143" s="30" t="s">
        <v>766</v>
      </c>
      <c r="E143" s="30"/>
      <c r="F143" s="30"/>
      <c r="G143" s="30" t="s">
        <v>410</v>
      </c>
      <c r="H143" s="7" t="s">
        <v>767</v>
      </c>
      <c r="I143" s="7"/>
      <c r="J143" s="32" t="n">
        <v>6</v>
      </c>
      <c r="K143" s="40" t="str">
        <f aca="false">IF(C143&amp;""=J143&amp;"","","changed")</f>
        <v/>
      </c>
    </row>
    <row r="144" customFormat="false" ht="15" hidden="false" customHeight="false" outlineLevel="0" collapsed="false">
      <c r="A144" s="32" t="s">
        <v>768</v>
      </c>
      <c r="B144" s="7" t="s">
        <v>769</v>
      </c>
      <c r="C144" s="39" t="n">
        <v>2</v>
      </c>
      <c r="D144" s="30" t="s">
        <v>742</v>
      </c>
      <c r="E144" s="30"/>
      <c r="F144" s="30"/>
      <c r="G144" s="30" t="s">
        <v>410</v>
      </c>
      <c r="H144" s="7" t="s">
        <v>767</v>
      </c>
      <c r="I144" s="7"/>
      <c r="J144" s="32" t="n">
        <v>2</v>
      </c>
      <c r="K144" s="40" t="str">
        <f aca="false">IF(C144&amp;""=J144&amp;"","","changed")</f>
        <v/>
      </c>
    </row>
    <row r="145" customFormat="false" ht="15" hidden="false" customHeight="false" outlineLevel="0" collapsed="false">
      <c r="A145" s="32" t="s">
        <v>770</v>
      </c>
      <c r="B145" s="7" t="s">
        <v>771</v>
      </c>
      <c r="C145" s="39" t="n">
        <v>12</v>
      </c>
      <c r="D145" s="30" t="s">
        <v>462</v>
      </c>
      <c r="E145" s="30"/>
      <c r="F145" s="30"/>
      <c r="G145" s="30" t="s">
        <v>410</v>
      </c>
      <c r="H145" s="7" t="s">
        <v>767</v>
      </c>
      <c r="I145" s="7"/>
      <c r="J145" s="32" t="n">
        <v>12</v>
      </c>
      <c r="K145" s="40" t="str">
        <f aca="false">IF(C145&amp;""=J145&amp;"","","changed")</f>
        <v/>
      </c>
    </row>
    <row r="147" customFormat="false" ht="15" hidden="false" customHeight="false" outlineLevel="0" collapsed="false">
      <c r="A147" s="3" t="s">
        <v>772</v>
      </c>
      <c r="B147" s="4"/>
      <c r="C147" s="4"/>
      <c r="D147" s="4"/>
      <c r="E147" s="4"/>
      <c r="F147" s="4"/>
      <c r="G147" s="4"/>
      <c r="H147" s="4"/>
      <c r="I147" s="4"/>
      <c r="J147" s="4"/>
      <c r="K147" s="4"/>
    </row>
    <row r="148" customFormat="false" ht="28.35" hidden="false" customHeight="false" outlineLevel="0" collapsed="false">
      <c r="A148" s="12" t="s">
        <v>340</v>
      </c>
      <c r="B148" s="12" t="s">
        <v>341</v>
      </c>
      <c r="C148" s="12" t="s">
        <v>231</v>
      </c>
      <c r="D148" s="12" t="s">
        <v>342</v>
      </c>
      <c r="E148" s="12" t="s">
        <v>343</v>
      </c>
      <c r="F148" s="12" t="s">
        <v>344</v>
      </c>
      <c r="G148" s="12" t="s">
        <v>275</v>
      </c>
      <c r="H148" s="12" t="s">
        <v>345</v>
      </c>
      <c r="I148" s="12" t="s">
        <v>346</v>
      </c>
      <c r="J148" s="12" t="s">
        <v>347</v>
      </c>
      <c r="K148" s="12" t="s">
        <v>348</v>
      </c>
    </row>
    <row r="149" customFormat="false" ht="15" hidden="false" customHeight="false" outlineLevel="0" collapsed="false">
      <c r="A149" s="32" t="s">
        <v>773</v>
      </c>
      <c r="B149" s="7" t="s">
        <v>774</v>
      </c>
      <c r="C149" s="46" t="n">
        <v>100</v>
      </c>
      <c r="D149" s="30" t="s">
        <v>457</v>
      </c>
      <c r="E149" s="30"/>
      <c r="F149" s="30"/>
      <c r="G149" s="30" t="s">
        <v>383</v>
      </c>
      <c r="H149" s="7" t="s">
        <v>384</v>
      </c>
      <c r="I149" s="7"/>
      <c r="J149" s="47" t="n">
        <v>100</v>
      </c>
      <c r="K149" s="40" t="str">
        <f aca="false">IF(C149&amp;""=J149&amp;"","","changed")</f>
        <v/>
      </c>
    </row>
    <row r="150" customFormat="false" ht="15" hidden="false" customHeight="false" outlineLevel="0" collapsed="false">
      <c r="A150" s="32" t="s">
        <v>775</v>
      </c>
      <c r="B150" s="7" t="s">
        <v>776</v>
      </c>
      <c r="C150" s="46" t="n">
        <v>25</v>
      </c>
      <c r="D150" s="30" t="s">
        <v>457</v>
      </c>
      <c r="E150" s="30"/>
      <c r="F150" s="30"/>
      <c r="G150" s="30" t="s">
        <v>383</v>
      </c>
      <c r="H150" s="7" t="s">
        <v>384</v>
      </c>
      <c r="I150" s="7"/>
      <c r="J150" s="47" t="n">
        <v>25</v>
      </c>
      <c r="K150" s="40" t="str">
        <f aca="false">IF(C150&amp;""=J150&amp;"","","changed")</f>
        <v/>
      </c>
    </row>
    <row r="151" customFormat="false" ht="15" hidden="false" customHeight="false" outlineLevel="0" collapsed="false">
      <c r="A151" s="32" t="s">
        <v>777</v>
      </c>
      <c r="B151" s="7" t="s">
        <v>778</v>
      </c>
      <c r="C151" s="39" t="n">
        <v>1</v>
      </c>
      <c r="D151" s="30" t="s">
        <v>479</v>
      </c>
      <c r="E151" s="30"/>
      <c r="F151" s="30"/>
      <c r="G151" s="30" t="s">
        <v>383</v>
      </c>
      <c r="H151" s="7" t="s">
        <v>384</v>
      </c>
      <c r="I151" s="7"/>
      <c r="J151" s="32" t="n">
        <v>1</v>
      </c>
      <c r="K151" s="40" t="str">
        <f aca="false">IF(C151&amp;""=J151&amp;"","","changed")</f>
        <v/>
      </c>
    </row>
    <row r="152" customFormat="false" ht="15" hidden="false" customHeight="false" outlineLevel="0" collapsed="false">
      <c r="A152" s="32" t="s">
        <v>779</v>
      </c>
      <c r="B152" s="7" t="s">
        <v>780</v>
      </c>
      <c r="C152" s="39" t="n">
        <v>1</v>
      </c>
      <c r="D152" s="30" t="s">
        <v>479</v>
      </c>
      <c r="E152" s="30"/>
      <c r="F152" s="30"/>
      <c r="G152" s="30" t="s">
        <v>383</v>
      </c>
      <c r="H152" s="7" t="s">
        <v>384</v>
      </c>
      <c r="I152" s="7"/>
      <c r="J152" s="32" t="n">
        <v>1</v>
      </c>
      <c r="K152" s="40" t="str">
        <f aca="false">IF(C152&amp;""=J152&amp;"","","changed")</f>
        <v/>
      </c>
    </row>
    <row r="153" customFormat="false" ht="15" hidden="false" customHeight="false" outlineLevel="0" collapsed="false">
      <c r="A153" s="32" t="s">
        <v>781</v>
      </c>
      <c r="B153" s="7" t="s">
        <v>782</v>
      </c>
      <c r="C153" s="49" t="n">
        <v>0</v>
      </c>
      <c r="D153" s="30" t="s">
        <v>486</v>
      </c>
      <c r="E153" s="30"/>
      <c r="F153" s="30"/>
      <c r="G153" s="30" t="s">
        <v>383</v>
      </c>
      <c r="H153" s="7" t="s">
        <v>384</v>
      </c>
      <c r="I153" s="7"/>
      <c r="J153" s="50" t="n">
        <v>0</v>
      </c>
      <c r="K153" s="40" t="str">
        <f aca="false">IF(C153&amp;""=J153&amp;"","","changed")</f>
        <v/>
      </c>
    </row>
    <row r="154" customFormat="false" ht="15" hidden="false" customHeight="false" outlineLevel="0" collapsed="false">
      <c r="A154" s="32" t="s">
        <v>783</v>
      </c>
      <c r="B154" s="7" t="s">
        <v>784</v>
      </c>
      <c r="C154" s="49" t="n">
        <v>0.1</v>
      </c>
      <c r="D154" s="30" t="s">
        <v>486</v>
      </c>
      <c r="E154" s="30"/>
      <c r="F154" s="30"/>
      <c r="G154" s="30" t="s">
        <v>383</v>
      </c>
      <c r="H154" s="7" t="s">
        <v>384</v>
      </c>
      <c r="I154" s="7"/>
      <c r="J154" s="50" t="n">
        <v>0.1</v>
      </c>
      <c r="K154" s="40" t="str">
        <f aca="false">IF(C154&amp;""=J154&amp;"","","changed")</f>
        <v/>
      </c>
    </row>
    <row r="156" customFormat="false" ht="15" hidden="false" customHeight="false" outlineLevel="0" collapsed="false">
      <c r="A156" s="3" t="s">
        <v>785</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340</v>
      </c>
      <c r="B157" s="12" t="s">
        <v>786</v>
      </c>
      <c r="C157" s="12" t="s">
        <v>787</v>
      </c>
      <c r="D157" s="12" t="s">
        <v>342</v>
      </c>
      <c r="E157" s="12" t="s">
        <v>343</v>
      </c>
      <c r="F157" s="12" t="s">
        <v>344</v>
      </c>
      <c r="G157" s="12" t="s">
        <v>275</v>
      </c>
      <c r="H157" s="12" t="s">
        <v>345</v>
      </c>
      <c r="I157" s="12" t="s">
        <v>346</v>
      </c>
      <c r="J157" s="12" t="s">
        <v>347</v>
      </c>
      <c r="K157" s="12" t="s">
        <v>348</v>
      </c>
      <c r="L157" s="12" t="s">
        <v>788</v>
      </c>
      <c r="M157" s="12" t="s">
        <v>789</v>
      </c>
      <c r="N157" s="12" t="s">
        <v>790</v>
      </c>
      <c r="O157" s="12" t="s">
        <v>791</v>
      </c>
      <c r="P157" s="12" t="s">
        <v>792</v>
      </c>
      <c r="Q157" s="12" t="s">
        <v>793</v>
      </c>
      <c r="R157" s="12" t="s">
        <v>794</v>
      </c>
      <c r="S157" s="12" t="s">
        <v>795</v>
      </c>
      <c r="T157" s="12" t="s">
        <v>796</v>
      </c>
    </row>
    <row r="158" customFormat="false" ht="55.2" hidden="false" customHeight="false" outlineLevel="0" collapsed="false">
      <c r="A158" s="32" t="s">
        <v>797</v>
      </c>
      <c r="B158" s="7" t="s">
        <v>798</v>
      </c>
      <c r="C158" s="46" t="n">
        <v>200</v>
      </c>
      <c r="D158" s="30" t="s">
        <v>799</v>
      </c>
      <c r="E158" s="19" t="n">
        <v>200</v>
      </c>
      <c r="F158" s="19" t="n">
        <v>200</v>
      </c>
      <c r="G158" s="30" t="s">
        <v>800</v>
      </c>
      <c r="H158" s="7" t="s">
        <v>801</v>
      </c>
      <c r="I158" s="7" t="s">
        <v>802</v>
      </c>
      <c r="J158" s="47" t="n">
        <v>200</v>
      </c>
      <c r="K158" s="40" t="str">
        <f aca="false">IF(AND(C158&amp;""=J158&amp;"",N158&amp;""=S158&amp;"",L158&amp;""=T158&amp;""),"","changed")</f>
        <v/>
      </c>
      <c r="L158" s="43" t="n">
        <f aca="false">WORKDAY(Inputs!$C$11,Inputs!$C$25,Lists!$N$4:$N$30)</f>
        <v>46345</v>
      </c>
      <c r="M158" s="7" t="s">
        <v>803</v>
      </c>
      <c r="N158" s="39" t="s">
        <v>804</v>
      </c>
      <c r="O158" s="56"/>
      <c r="P158" s="57"/>
      <c r="Q158" s="58" t="n">
        <f aca="false">IF(P158&lt;&gt;"",N(O158),IF(N158="Y",N(C158),0))</f>
        <v>200</v>
      </c>
      <c r="R158" s="59" t="n">
        <f aca="false">IF(P158&lt;&gt;"",P158,L158)</f>
        <v>46345</v>
      </c>
      <c r="S158" s="32" t="s">
        <v>804</v>
      </c>
      <c r="T158" s="42" t="n">
        <f aca="false">WORKDAY(Inputs!$C$11,Inputs!$C$25,Lists!$N$4:$N$30)</f>
        <v>46345</v>
      </c>
    </row>
    <row r="159" customFormat="false" ht="55.2" hidden="false" customHeight="false" outlineLevel="0" collapsed="false">
      <c r="A159" s="32" t="s">
        <v>805</v>
      </c>
      <c r="B159" s="7" t="s">
        <v>806</v>
      </c>
      <c r="C159" s="46" t="n">
        <v>50</v>
      </c>
      <c r="D159" s="30" t="s">
        <v>799</v>
      </c>
      <c r="E159" s="19" t="n">
        <v>50</v>
      </c>
      <c r="F159" s="19" t="n">
        <v>50</v>
      </c>
      <c r="G159" s="30" t="s">
        <v>800</v>
      </c>
      <c r="H159" s="7" t="s">
        <v>807</v>
      </c>
      <c r="I159" s="7"/>
      <c r="J159" s="47" t="n">
        <v>50</v>
      </c>
      <c r="K159" s="40" t="str">
        <f aca="false">IF(AND(C159&amp;""=J159&amp;"",N159&amp;""=S159&amp;"",L159&amp;""=T159&amp;""),"","changed")</f>
        <v/>
      </c>
      <c r="L159" s="43" t="n">
        <f aca="false">L160+Inputs!$C$29*Inputs!$C$18</f>
        <v>46402</v>
      </c>
      <c r="M159" s="7" t="s">
        <v>808</v>
      </c>
      <c r="N159" s="39" t="s">
        <v>804</v>
      </c>
      <c r="O159" s="56"/>
      <c r="P159" s="57"/>
      <c r="Q159" s="58" t="n">
        <f aca="false">IF(P159&lt;&gt;"",N(O159),IF(N159="Y",N(C159),0))</f>
        <v>50</v>
      </c>
      <c r="R159" s="59" t="n">
        <f aca="false">IF(P159&lt;&gt;"",P159,L159)</f>
        <v>46402</v>
      </c>
      <c r="S159" s="32" t="s">
        <v>804</v>
      </c>
      <c r="T159" s="42" t="n">
        <f aca="false">L160+Inputs!$C$29*Inputs!$C$18</f>
        <v>46402</v>
      </c>
    </row>
    <row r="160" customFormat="false" ht="68.65" hidden="false" customHeight="false" outlineLevel="0" collapsed="false">
      <c r="A160" s="32" t="s">
        <v>809</v>
      </c>
      <c r="B160" s="7" t="s">
        <v>810</v>
      </c>
      <c r="C160" s="46" t="n">
        <v>2000</v>
      </c>
      <c r="D160" s="30" t="s">
        <v>799</v>
      </c>
      <c r="E160" s="19" t="n">
        <v>250</v>
      </c>
      <c r="F160" s="19" t="n">
        <v>2000</v>
      </c>
      <c r="G160" s="30" t="s">
        <v>811</v>
      </c>
      <c r="H160" s="7" t="s">
        <v>812</v>
      </c>
      <c r="I160" s="7" t="s">
        <v>813</v>
      </c>
      <c r="J160" s="47" t="n">
        <v>2000</v>
      </c>
      <c r="K160" s="40" t="str">
        <f aca="false">IF(AND(C160&amp;""=J160&amp;"",N160&amp;""=S160&amp;"",L160&amp;""=T160&amp;""),"","changed")</f>
        <v/>
      </c>
      <c r="L160" s="43" t="n">
        <f aca="false">WORKDAY(L158,Inputs!$C$28,Lists!$N$4:$N$30)</f>
        <v>46360</v>
      </c>
      <c r="M160" s="7" t="s">
        <v>814</v>
      </c>
      <c r="N160" s="39" t="s">
        <v>804</v>
      </c>
      <c r="O160" s="56"/>
      <c r="P160" s="57"/>
      <c r="Q160" s="58" t="n">
        <f aca="false">IF(P160&lt;&gt;"",N(O160),IF(N160="Y",N(C160),0))</f>
        <v>2000</v>
      </c>
      <c r="R160" s="59" t="n">
        <f aca="false">IF(P160&lt;&gt;"",P160,L160)</f>
        <v>46360</v>
      </c>
      <c r="S160" s="32" t="s">
        <v>804</v>
      </c>
      <c r="T160" s="42" t="n">
        <f aca="false">WORKDAY(L158,Inputs!$C$28,Lists!$N$4:$N$30)</f>
        <v>46360</v>
      </c>
    </row>
    <row r="161" customFormat="false" ht="68.65" hidden="false" customHeight="false" outlineLevel="0" collapsed="false">
      <c r="A161" s="32" t="s">
        <v>815</v>
      </c>
      <c r="B161" s="7" t="s">
        <v>816</v>
      </c>
      <c r="C161" s="56"/>
      <c r="D161" s="30" t="s">
        <v>799</v>
      </c>
      <c r="E161" s="60"/>
      <c r="F161" s="60"/>
      <c r="G161" s="30" t="s">
        <v>817</v>
      </c>
      <c r="H161" s="7" t="s">
        <v>818</v>
      </c>
      <c r="I161" s="7" t="s">
        <v>819</v>
      </c>
      <c r="J161" s="61"/>
      <c r="K161" s="40" t="str">
        <f aca="false">IF(AND(C161&amp;""=J161&amp;"",N161&amp;""=S161&amp;"",L161&amp;""=T161&amp;""),"","changed")</f>
        <v/>
      </c>
      <c r="L161" s="43" t="n">
        <f aca="false">L158</f>
        <v>46345</v>
      </c>
      <c r="M161" s="7" t="s">
        <v>820</v>
      </c>
      <c r="N161" s="39" t="s">
        <v>821</v>
      </c>
      <c r="O161" s="56"/>
      <c r="P161" s="57"/>
      <c r="Q161" s="58" t="n">
        <f aca="false">IF(P161&lt;&gt;"",N(O161),IF(N161="Y",N(C161),0))</f>
        <v>0</v>
      </c>
      <c r="R161" s="59" t="n">
        <f aca="false">IF(P161&lt;&gt;"",P161,L161)</f>
        <v>46345</v>
      </c>
      <c r="S161" s="32" t="s">
        <v>821</v>
      </c>
      <c r="T161" s="42" t="n">
        <f aca="false">L158</f>
        <v>46345</v>
      </c>
    </row>
    <row r="162" customFormat="false" ht="55.2" hidden="false" customHeight="false" outlineLevel="0" collapsed="false">
      <c r="A162" s="32" t="s">
        <v>822</v>
      </c>
      <c r="B162" s="7" t="s">
        <v>823</v>
      </c>
      <c r="C162" s="46" t="n">
        <v>400</v>
      </c>
      <c r="D162" s="30" t="s">
        <v>799</v>
      </c>
      <c r="E162" s="19" t="n">
        <v>0</v>
      </c>
      <c r="F162" s="19" t="n">
        <v>400</v>
      </c>
      <c r="G162" s="30" t="s">
        <v>824</v>
      </c>
      <c r="H162" s="7" t="s">
        <v>825</v>
      </c>
      <c r="I162" s="7" t="s">
        <v>826</v>
      </c>
      <c r="J162" s="47" t="n">
        <v>400</v>
      </c>
      <c r="K162" s="40" t="str">
        <f aca="false">IF(AND(C162&amp;""=J162&amp;"",N162&amp;""=S162&amp;"",L162&amp;""=T162&amp;""),"","changed")</f>
        <v/>
      </c>
      <c r="L162" s="43" t="n">
        <f aca="false">Inputs!$C$12</f>
        <v>46367</v>
      </c>
      <c r="M162" s="7" t="s">
        <v>827</v>
      </c>
      <c r="N162" s="39" t="s">
        <v>804</v>
      </c>
      <c r="O162" s="56"/>
      <c r="P162" s="57"/>
      <c r="Q162" s="58" t="n">
        <f aca="false">IF(P162&lt;&gt;"",N(O162),IF(N162="Y",N(C162),0))</f>
        <v>400</v>
      </c>
      <c r="R162" s="59" t="n">
        <f aca="false">IF(P162&lt;&gt;"",P162,L162)</f>
        <v>46367</v>
      </c>
      <c r="S162" s="32" t="s">
        <v>804</v>
      </c>
      <c r="T162" s="42" t="n">
        <f aca="false">Inputs!$C$12</f>
        <v>46367</v>
      </c>
    </row>
    <row r="163" customFormat="false" ht="41.75" hidden="false" customHeight="false" outlineLevel="0" collapsed="false">
      <c r="A163" s="32" t="s">
        <v>828</v>
      </c>
      <c r="B163" s="7" t="s">
        <v>829</v>
      </c>
      <c r="C163" s="46" t="n">
        <v>300</v>
      </c>
      <c r="D163" s="30" t="s">
        <v>799</v>
      </c>
      <c r="E163" s="19" t="n">
        <v>300</v>
      </c>
      <c r="F163" s="19" t="n">
        <v>300</v>
      </c>
      <c r="G163" s="30" t="s">
        <v>410</v>
      </c>
      <c r="H163" s="7" t="s">
        <v>601</v>
      </c>
      <c r="I163" s="7" t="s">
        <v>830</v>
      </c>
      <c r="J163" s="47" t="n">
        <v>300</v>
      </c>
      <c r="K163" s="40" t="str">
        <f aca="false">IF(AND(C163&amp;""=J163&amp;"",N163&amp;""=S163&amp;"",L163&amp;""=T163&amp;""),"","changed")</f>
        <v/>
      </c>
      <c r="L163" s="43" t="n">
        <f aca="false">Inputs!$C$12</f>
        <v>46367</v>
      </c>
      <c r="M163" s="7" t="s">
        <v>831</v>
      </c>
      <c r="N163" s="39" t="s">
        <v>804</v>
      </c>
      <c r="O163" s="56"/>
      <c r="P163" s="57"/>
      <c r="Q163" s="58" t="n">
        <f aca="false">IF(P163&lt;&gt;"",N(O163),IF(N163="Y",N(C163),0))</f>
        <v>300</v>
      </c>
      <c r="R163" s="59" t="n">
        <f aca="false">IF(P163&lt;&gt;"",P163,L163)</f>
        <v>46367</v>
      </c>
      <c r="S163" s="32" t="s">
        <v>804</v>
      </c>
      <c r="T163" s="42" t="n">
        <f aca="false">Inputs!$C$12</f>
        <v>46367</v>
      </c>
    </row>
    <row r="164" customFormat="false" ht="15" hidden="false" customHeight="false" outlineLevel="0" collapsed="false">
      <c r="A164" s="32" t="s">
        <v>832</v>
      </c>
      <c r="B164" s="7" t="s">
        <v>833</v>
      </c>
      <c r="C164" s="46" t="n">
        <v>100</v>
      </c>
      <c r="D164" s="30" t="s">
        <v>799</v>
      </c>
      <c r="E164" s="19" t="n">
        <v>100</v>
      </c>
      <c r="F164" s="19" t="n">
        <v>100</v>
      </c>
      <c r="G164" s="30" t="s">
        <v>410</v>
      </c>
      <c r="H164" s="7" t="s">
        <v>601</v>
      </c>
      <c r="I164" s="7"/>
      <c r="J164" s="47" t="n">
        <v>100</v>
      </c>
      <c r="K164" s="40" t="str">
        <f aca="false">IF(AND(C164&amp;""=J164&amp;"",N164&amp;""=S164&amp;"",L164&amp;""=T164&amp;""),"","changed")</f>
        <v/>
      </c>
      <c r="L164" s="43" t="n">
        <f aca="false">Inputs!$C$10</f>
        <v>46321</v>
      </c>
      <c r="M164" s="7" t="s">
        <v>834</v>
      </c>
      <c r="N164" s="39" t="s">
        <v>804</v>
      </c>
      <c r="O164" s="56"/>
      <c r="P164" s="57"/>
      <c r="Q164" s="58" t="n">
        <f aca="false">IF(P164&lt;&gt;"",N(O164),IF(N164="Y",N(C164),0))</f>
        <v>100</v>
      </c>
      <c r="R164" s="59" t="n">
        <f aca="false">IF(P164&lt;&gt;"",P164,L164)</f>
        <v>46321</v>
      </c>
      <c r="S164" s="32" t="s">
        <v>804</v>
      </c>
      <c r="T164" s="42" t="n">
        <f aca="false">Inputs!$C$10</f>
        <v>46321</v>
      </c>
    </row>
    <row r="165" customFormat="false" ht="68.65" hidden="false" customHeight="false" outlineLevel="0" collapsed="false">
      <c r="A165" s="32" t="s">
        <v>835</v>
      </c>
      <c r="B165" s="7" t="s">
        <v>836</v>
      </c>
      <c r="C165" s="56"/>
      <c r="D165" s="30" t="s">
        <v>799</v>
      </c>
      <c r="E165" s="60"/>
      <c r="F165" s="60"/>
      <c r="G165" s="30" t="s">
        <v>817</v>
      </c>
      <c r="H165" s="7" t="s">
        <v>837</v>
      </c>
      <c r="I165" s="7" t="s">
        <v>838</v>
      </c>
      <c r="J165" s="61"/>
      <c r="K165" s="40" t="str">
        <f aca="false">IF(AND(C165&amp;""=J165&amp;"",N165&amp;""=S165&amp;"",L165&amp;""=T165&amp;""),"","changed")</f>
        <v/>
      </c>
      <c r="L165" s="43" t="n">
        <f aca="false">Inputs!$C$10</f>
        <v>46321</v>
      </c>
      <c r="M165" s="7" t="s">
        <v>839</v>
      </c>
      <c r="N165" s="39" t="s">
        <v>804</v>
      </c>
      <c r="O165" s="56"/>
      <c r="P165" s="57"/>
      <c r="Q165" s="58" t="n">
        <f aca="false">IF(P165&lt;&gt;"",N(O165),IF(N165="Y",N(C165),0))</f>
        <v>0</v>
      </c>
      <c r="R165" s="59" t="n">
        <f aca="false">IF(P165&lt;&gt;"",P165,L165)</f>
        <v>46321</v>
      </c>
      <c r="S165" s="32" t="s">
        <v>804</v>
      </c>
      <c r="T165" s="42" t="n">
        <f aca="false">Inputs!$C$10</f>
        <v>46321</v>
      </c>
    </row>
    <row r="166" customFormat="false" ht="28.35" hidden="false" customHeight="false" outlineLevel="0" collapsed="false">
      <c r="A166" s="32" t="s">
        <v>840</v>
      </c>
      <c r="B166" s="7" t="s">
        <v>841</v>
      </c>
      <c r="C166" s="46" t="n">
        <v>400</v>
      </c>
      <c r="D166" s="30" t="s">
        <v>799</v>
      </c>
      <c r="E166" s="19" t="n">
        <v>300</v>
      </c>
      <c r="F166" s="19" t="n">
        <v>500</v>
      </c>
      <c r="G166" s="30" t="s">
        <v>842</v>
      </c>
      <c r="H166" s="7" t="s">
        <v>843</v>
      </c>
      <c r="I166" s="7" t="s">
        <v>844</v>
      </c>
      <c r="J166" s="47" t="n">
        <v>400</v>
      </c>
      <c r="K166" s="40" t="str">
        <f aca="false">IF(AND(C166&amp;""=J166&amp;"",N166&amp;""=S166&amp;"",L166&amp;""=T166&amp;""),"","changed")</f>
        <v/>
      </c>
      <c r="L166" s="43" t="n">
        <f aca="false">WORKDAY(Inputs!$C$11,Inputs!$C$26,Lists!$N$4:$N$30)</f>
        <v>46344</v>
      </c>
      <c r="M166" s="7" t="s">
        <v>845</v>
      </c>
      <c r="N166" s="39" t="s">
        <v>804</v>
      </c>
      <c r="O166" s="56"/>
      <c r="P166" s="57"/>
      <c r="Q166" s="58" t="n">
        <f aca="false">IF(P166&lt;&gt;"",N(O166),IF(N166="Y",N(C166),0))</f>
        <v>400</v>
      </c>
      <c r="R166" s="59" t="n">
        <f aca="false">IF(P166&lt;&gt;"",P166,L166)</f>
        <v>46344</v>
      </c>
      <c r="S166" s="32" t="s">
        <v>804</v>
      </c>
      <c r="T166" s="42" t="n">
        <f aca="false">WORKDAY(Inputs!$C$11,Inputs!$C$26,Lists!$N$4:$N$30)</f>
        <v>46344</v>
      </c>
    </row>
    <row r="167" customFormat="false" ht="28.35" hidden="false" customHeight="false" outlineLevel="0" collapsed="false">
      <c r="A167" s="32" t="s">
        <v>846</v>
      </c>
      <c r="B167" s="7" t="s">
        <v>847</v>
      </c>
      <c r="C167" s="46" t="n">
        <v>300</v>
      </c>
      <c r="D167" s="30" t="s">
        <v>799</v>
      </c>
      <c r="E167" s="19" t="n">
        <v>200</v>
      </c>
      <c r="F167" s="19" t="n">
        <v>400</v>
      </c>
      <c r="G167" s="30" t="s">
        <v>842</v>
      </c>
      <c r="H167" s="7" t="s">
        <v>843</v>
      </c>
      <c r="I167" s="7" t="s">
        <v>848</v>
      </c>
      <c r="J167" s="47" t="n">
        <v>300</v>
      </c>
      <c r="K167" s="40" t="str">
        <f aca="false">IF(AND(C167&amp;""=J167&amp;"",N167&amp;""=S167&amp;"",L167&amp;""=T167&amp;""),"","changed")</f>
        <v/>
      </c>
      <c r="L167" s="43" t="n">
        <f aca="false">WORKDAY(Inputs!$C$11,Inputs!$C$27,Lists!$N$4:$N$30)</f>
        <v>46346</v>
      </c>
      <c r="M167" s="7" t="s">
        <v>849</v>
      </c>
      <c r="N167" s="39" t="s">
        <v>804</v>
      </c>
      <c r="O167" s="56"/>
      <c r="P167" s="57"/>
      <c r="Q167" s="58" t="n">
        <f aca="false">IF(P167&lt;&gt;"",N(O167),IF(N167="Y",N(C167),0))</f>
        <v>300</v>
      </c>
      <c r="R167" s="59" t="n">
        <f aca="false">IF(P167&lt;&gt;"",P167,L167)</f>
        <v>46346</v>
      </c>
      <c r="S167" s="32" t="s">
        <v>804</v>
      </c>
      <c r="T167" s="42" t="n">
        <f aca="false">WORKDAY(Inputs!$C$11,Inputs!$C$27,Lists!$N$4:$N$30)</f>
        <v>46346</v>
      </c>
    </row>
    <row r="168" customFormat="false" ht="55.2" hidden="false" customHeight="false" outlineLevel="0" collapsed="false">
      <c r="A168" s="32" t="s">
        <v>850</v>
      </c>
      <c r="B168" s="7" t="s">
        <v>851</v>
      </c>
      <c r="C168" s="46" t="n">
        <v>25</v>
      </c>
      <c r="D168" s="30" t="s">
        <v>799</v>
      </c>
      <c r="E168" s="19" t="n">
        <v>25</v>
      </c>
      <c r="F168" s="19" t="n">
        <v>25</v>
      </c>
      <c r="G168" s="30" t="s">
        <v>800</v>
      </c>
      <c r="H168" s="7" t="s">
        <v>852</v>
      </c>
      <c r="I168" s="7" t="s">
        <v>853</v>
      </c>
      <c r="J168" s="47" t="n">
        <v>25</v>
      </c>
      <c r="K168" s="40" t="str">
        <f aca="false">IF(AND(C168&amp;""=J168&amp;"",N168&amp;""=S168&amp;"",L168&amp;""=T168&amp;""),"","changed")</f>
        <v/>
      </c>
      <c r="L168" s="41" t="n">
        <v>46461</v>
      </c>
      <c r="M168" s="7" t="s">
        <v>854</v>
      </c>
      <c r="N168" s="39" t="s">
        <v>804</v>
      </c>
      <c r="O168" s="56"/>
      <c r="P168" s="57"/>
      <c r="Q168" s="58" t="n">
        <f aca="false">IF(P168&lt;&gt;"",N(O168),IF(N168="Y",N(C168),0))</f>
        <v>25</v>
      </c>
      <c r="R168" s="59" t="n">
        <f aca="false">IF(P168&lt;&gt;"",P168,L168)</f>
        <v>46461</v>
      </c>
      <c r="S168" s="32" t="s">
        <v>804</v>
      </c>
      <c r="T168" s="42" t="n">
        <v>46461</v>
      </c>
    </row>
    <row r="169" customFormat="false" ht="41.75" hidden="false" customHeight="false" outlineLevel="0" collapsed="false">
      <c r="A169" s="32" t="s">
        <v>855</v>
      </c>
      <c r="B169" s="7" t="s">
        <v>856</v>
      </c>
      <c r="C169" s="56"/>
      <c r="D169" s="30" t="s">
        <v>799</v>
      </c>
      <c r="E169" s="60"/>
      <c r="F169" s="60"/>
      <c r="G169" s="30" t="s">
        <v>817</v>
      </c>
      <c r="H169" s="7" t="s">
        <v>857</v>
      </c>
      <c r="I169" s="7" t="s">
        <v>858</v>
      </c>
      <c r="J169" s="61"/>
      <c r="K169" s="40" t="str">
        <f aca="false">IF(AND(C169&amp;""=J169&amp;"",N169&amp;""=S169&amp;"",L169&amp;""=T169&amp;""),"","changed")</f>
        <v/>
      </c>
      <c r="L169" s="43" t="n">
        <f aca="false">Inputs!$C$83</f>
        <v>46367</v>
      </c>
      <c r="M169" s="7" t="s">
        <v>859</v>
      </c>
      <c r="N169" s="39" t="s">
        <v>804</v>
      </c>
      <c r="O169" s="56"/>
      <c r="P169" s="57"/>
      <c r="Q169" s="58" t="n">
        <f aca="false">IF(P169&lt;&gt;"",N(O169),IF(N169="Y",N(C169),0))</f>
        <v>0</v>
      </c>
      <c r="R169" s="59" t="n">
        <f aca="false">IF(P169&lt;&gt;"",P169,L169)</f>
        <v>46367</v>
      </c>
      <c r="S169" s="32" t="s">
        <v>804</v>
      </c>
      <c r="T169" s="42" t="n">
        <f aca="false">Inputs!$C$83</f>
        <v>46367</v>
      </c>
    </row>
    <row r="170" customFormat="false" ht="41.75" hidden="false" customHeight="false" outlineLevel="0" collapsed="false">
      <c r="A170" s="32" t="s">
        <v>860</v>
      </c>
      <c r="B170" s="7" t="s">
        <v>861</v>
      </c>
      <c r="C170" s="56"/>
      <c r="D170" s="30" t="s">
        <v>799</v>
      </c>
      <c r="E170" s="60"/>
      <c r="F170" s="60"/>
      <c r="G170" s="30" t="s">
        <v>817</v>
      </c>
      <c r="H170" s="7" t="s">
        <v>862</v>
      </c>
      <c r="I170" s="7" t="s">
        <v>863</v>
      </c>
      <c r="J170" s="61"/>
      <c r="K170" s="40" t="str">
        <f aca="false">IF(AND(C170&amp;""=J170&amp;"",N170&amp;""=S170&amp;"",L170&amp;""=T170&amp;""),"","changed")</f>
        <v/>
      </c>
      <c r="L170" s="43" t="n">
        <f aca="false">Inputs!$C$83</f>
        <v>46367</v>
      </c>
      <c r="M170" s="7" t="s">
        <v>864</v>
      </c>
      <c r="N170" s="39" t="s">
        <v>804</v>
      </c>
      <c r="O170" s="56"/>
      <c r="P170" s="57"/>
      <c r="Q170" s="58" t="n">
        <f aca="false">IF(P170&lt;&gt;"",N(O170),IF(N170="Y",N(C170),0))</f>
        <v>0</v>
      </c>
      <c r="R170" s="59" t="n">
        <f aca="false">IF(P170&lt;&gt;"",P170,L170)</f>
        <v>46367</v>
      </c>
      <c r="S170" s="32" t="s">
        <v>804</v>
      </c>
      <c r="T170" s="42" t="n">
        <f aca="false">Inputs!$C$83</f>
        <v>46367</v>
      </c>
    </row>
    <row r="171" customFormat="false" ht="95.5" hidden="false" customHeight="false" outlineLevel="0" collapsed="false">
      <c r="A171" s="32" t="s">
        <v>865</v>
      </c>
      <c r="B171" s="7" t="s">
        <v>866</v>
      </c>
      <c r="C171" s="46" t="n">
        <v>350</v>
      </c>
      <c r="D171" s="30" t="s">
        <v>799</v>
      </c>
      <c r="E171" s="19" t="n">
        <v>350</v>
      </c>
      <c r="F171" s="19" t="n">
        <v>850</v>
      </c>
      <c r="G171" s="30" t="s">
        <v>800</v>
      </c>
      <c r="H171" s="7" t="s">
        <v>867</v>
      </c>
      <c r="I171" s="7" t="s">
        <v>868</v>
      </c>
      <c r="J171" s="47" t="n">
        <v>350</v>
      </c>
      <c r="K171" s="40" t="str">
        <f aca="false">IF(AND(C171&amp;""=J171&amp;"",N171&amp;""=S171&amp;"",L171&amp;""=T171&amp;""),"","changed")</f>
        <v/>
      </c>
      <c r="L171" s="43" t="n">
        <f aca="false">Inputs!$C$13</f>
        <v>46409</v>
      </c>
      <c r="M171" s="7" t="s">
        <v>869</v>
      </c>
      <c r="N171" s="39" t="s">
        <v>804</v>
      </c>
      <c r="O171" s="56"/>
      <c r="P171" s="57"/>
      <c r="Q171" s="58" t="n">
        <f aca="false">IF(P171&lt;&gt;"",N(O171),IF(N171="Y",N(C171),0))</f>
        <v>350</v>
      </c>
      <c r="R171" s="59" t="n">
        <f aca="false">IF(P171&lt;&gt;"",P171,L171)</f>
        <v>46409</v>
      </c>
      <c r="S171" s="32" t="s">
        <v>804</v>
      </c>
      <c r="T171" s="42" t="n">
        <f aca="false">Inputs!$C$13</f>
        <v>46409</v>
      </c>
    </row>
    <row r="172" customFormat="false" ht="15" hidden="false" customHeight="false" outlineLevel="0" collapsed="false">
      <c r="B172" s="9" t="s">
        <v>870</v>
      </c>
      <c r="Q172" s="37" t="n">
        <f aca="false">SUM(Q158:Q171)</f>
        <v>4125</v>
      </c>
    </row>
    <row r="174" customFormat="false" ht="15" hidden="false" customHeight="false" outlineLevel="0" collapsed="false">
      <c r="B174" s="9" t="s">
        <v>253</v>
      </c>
      <c r="C174" s="22" t="n">
        <f aca="false">COUNTIF(K5:K171,"changed")+COUNTIF(Scenarios!$Q$10:$Q$21,"changed")</f>
        <v>0</v>
      </c>
      <c r="D174" s="32" t="s">
        <v>871</v>
      </c>
    </row>
    <row r="175" customFormat="false" ht="41.75" hidden="false" customHeight="false" outlineLevel="0" collapsed="false">
      <c r="B175" s="6" t="s">
        <v>872</v>
      </c>
      <c r="C175" s="22" t="n">
        <f aca="false">SUMPRODUCT((LEFT(G158:G171,LEN("needs"))="needs")*(C158:C171="")*(N158:N171="Y"))+IF(Inputs!$C$69="",1,0)+IF(Inputs!$C$73="",1,0)</f>
        <v>5</v>
      </c>
      <c r="D175" s="32" t="s">
        <v>873</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874</v>
      </c>
    </row>
    <row r="2" customFormat="false" ht="15" hidden="false" customHeight="false" outlineLevel="0" collapsed="false">
      <c r="A2" s="2" t="s">
        <v>875</v>
      </c>
    </row>
    <row r="3" customFormat="false" ht="30" hidden="false" customHeight="true" outlineLevel="0" collapsed="false">
      <c r="A3" s="8" t="s">
        <v>876</v>
      </c>
      <c r="B3" s="8"/>
      <c r="C3" s="8"/>
      <c r="D3" s="8"/>
      <c r="E3" s="8"/>
      <c r="F3" s="8"/>
      <c r="G3" s="8"/>
      <c r="H3" s="8"/>
      <c r="I3" s="8"/>
      <c r="J3" s="8"/>
    </row>
    <row r="5" customFormat="false" ht="30" hidden="false" customHeight="true" outlineLevel="0" collapsed="false">
      <c r="B5" s="12" t="s">
        <v>877</v>
      </c>
      <c r="C5" s="12" t="s">
        <v>450</v>
      </c>
      <c r="D5" s="12" t="s">
        <v>878</v>
      </c>
      <c r="E5" s="12" t="s">
        <v>879</v>
      </c>
      <c r="F5" s="12" t="s">
        <v>880</v>
      </c>
      <c r="G5" s="12" t="s">
        <v>881</v>
      </c>
      <c r="H5" s="12" t="s">
        <v>882</v>
      </c>
      <c r="I5" s="12" t="s">
        <v>342</v>
      </c>
      <c r="J5" s="12" t="s">
        <v>883</v>
      </c>
      <c r="L5" s="12" t="s">
        <v>884</v>
      </c>
      <c r="M5" s="12" t="s">
        <v>885</v>
      </c>
      <c r="N5" s="12" t="s">
        <v>886</v>
      </c>
      <c r="O5" s="12" t="s">
        <v>887</v>
      </c>
      <c r="P5" s="12" t="s">
        <v>888</v>
      </c>
      <c r="Q5" s="12" t="s">
        <v>348</v>
      </c>
      <c r="R5" s="12" t="s">
        <v>889</v>
      </c>
    </row>
    <row r="6" customFormat="false" ht="31.5" hidden="false" customHeight="true" outlineLevel="0" collapsed="false">
      <c r="B6" s="9" t="s">
        <v>890</v>
      </c>
      <c r="C6" s="6" t="s">
        <v>891</v>
      </c>
      <c r="D6" s="6" t="s">
        <v>892</v>
      </c>
      <c r="E6" s="6" t="s">
        <v>893</v>
      </c>
      <c r="F6" s="6" t="s">
        <v>894</v>
      </c>
      <c r="G6" s="6" t="s">
        <v>895</v>
      </c>
    </row>
    <row r="7" customFormat="false" ht="61.5" hidden="false" customHeight="true" outlineLevel="0" collapsed="false">
      <c r="B7" s="9" t="s">
        <v>896</v>
      </c>
      <c r="C7" s="7" t="s">
        <v>897</v>
      </c>
      <c r="D7" s="7" t="s">
        <v>898</v>
      </c>
      <c r="E7" s="7" t="s">
        <v>899</v>
      </c>
      <c r="F7" s="7" t="s">
        <v>900</v>
      </c>
      <c r="G7" s="7" t="s">
        <v>901</v>
      </c>
    </row>
    <row r="8" customFormat="false" ht="91.5" hidden="false" customHeight="true" outlineLevel="0" collapsed="false">
      <c r="B8" s="9" t="s">
        <v>902</v>
      </c>
      <c r="C8" s="7" t="s">
        <v>903</v>
      </c>
      <c r="D8" s="7" t="s">
        <v>904</v>
      </c>
      <c r="E8" s="7" t="s">
        <v>905</v>
      </c>
      <c r="F8" s="7" t="s">
        <v>906</v>
      </c>
      <c r="G8" s="7" t="s">
        <v>907</v>
      </c>
    </row>
    <row r="10" customFormat="false" ht="30" hidden="false" customHeight="true" outlineLevel="0" collapsed="false">
      <c r="B10" s="7" t="s">
        <v>908</v>
      </c>
      <c r="C10" s="62" t="n">
        <v>2</v>
      </c>
      <c r="D10" s="62" t="n">
        <v>2</v>
      </c>
      <c r="E10" s="62" t="n">
        <v>2</v>
      </c>
      <c r="F10" s="62" t="n">
        <v>1</v>
      </c>
      <c r="G10" s="62" t="n">
        <v>0</v>
      </c>
      <c r="H10" s="63" t="n">
        <f aca="false">INDEX(C10:G10,1,MATCH(Inputs!$C$35,$C$5:$G$5,0))</f>
        <v>2</v>
      </c>
      <c r="I10" s="30" t="s">
        <v>760</v>
      </c>
      <c r="J10" s="7" t="s">
        <v>909</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910</v>
      </c>
      <c r="C11" s="65" t="n">
        <f aca="false">Inputs!$C$62</f>
        <v>3</v>
      </c>
      <c r="D11" s="65" t="n">
        <f aca="false">$C11</f>
        <v>3</v>
      </c>
      <c r="E11" s="65" t="n">
        <f aca="false">$C11</f>
        <v>3</v>
      </c>
      <c r="F11" s="65" t="n">
        <f aca="false">$C11</f>
        <v>3</v>
      </c>
      <c r="G11" s="62" t="n">
        <v>0</v>
      </c>
      <c r="H11" s="63" t="n">
        <f aca="false">INDEX(C11:G11,1,MATCH(Inputs!$C$35,$C$5:$G$5,0))</f>
        <v>3</v>
      </c>
      <c r="I11" s="30" t="s">
        <v>479</v>
      </c>
      <c r="J11" s="7" t="s">
        <v>911</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912</v>
      </c>
      <c r="C12" s="66" t="n">
        <f aca="false">Inputs!$C$111</f>
        <v>0.4</v>
      </c>
      <c r="D12" s="49" t="n">
        <v>0.4</v>
      </c>
      <c r="E12" s="49" t="n">
        <v>0</v>
      </c>
      <c r="F12" s="66" t="n">
        <f aca="false">C12</f>
        <v>0.4</v>
      </c>
      <c r="G12" s="49" t="n">
        <v>0</v>
      </c>
      <c r="H12" s="67" t="n">
        <f aca="false">INDEX(C12:G12,1,MATCH(Inputs!$C$35,$C$5:$G$5,0))</f>
        <v>0.4</v>
      </c>
      <c r="I12" s="30" t="s">
        <v>486</v>
      </c>
      <c r="J12" s="7" t="s">
        <v>913</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914</v>
      </c>
      <c r="C13" s="62" t="n">
        <v>0</v>
      </c>
      <c r="D13" s="62" t="n">
        <v>4</v>
      </c>
      <c r="E13" s="62" t="n">
        <v>0</v>
      </c>
      <c r="F13" s="68"/>
      <c r="G13" s="62" t="n">
        <v>0</v>
      </c>
      <c r="H13" s="63" t="n">
        <f aca="false">INDEX(C13:G13,1,MATCH(Inputs!$C$35,$C$5:$G$5,0))</f>
        <v>0</v>
      </c>
      <c r="I13" s="30" t="s">
        <v>462</v>
      </c>
      <c r="J13" s="7" t="s">
        <v>915</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916</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457</v>
      </c>
      <c r="J14" s="7" t="s">
        <v>917</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918</v>
      </c>
      <c r="C15" s="65" t="n">
        <f aca="false">Inputs!$C$112</f>
        <v>2</v>
      </c>
      <c r="D15" s="65" t="n">
        <f aca="false">$C15</f>
        <v>2</v>
      </c>
      <c r="E15" s="65" t="n">
        <f aca="false">$C15</f>
        <v>2</v>
      </c>
      <c r="F15" s="65" t="n">
        <f aca="false">$C15</f>
        <v>2</v>
      </c>
      <c r="G15" s="62" t="n">
        <v>0</v>
      </c>
      <c r="H15" s="63" t="n">
        <f aca="false">INDEX(C15:G15,1,MATCH(Inputs!$C$35,$C$5:$G$5,0))</f>
        <v>2</v>
      </c>
      <c r="I15" s="30" t="s">
        <v>612</v>
      </c>
      <c r="J15" s="7" t="s">
        <v>919</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920</v>
      </c>
      <c r="C16" s="65" t="n">
        <f aca="false">Inputs!$C$62</f>
        <v>3</v>
      </c>
      <c r="D16" s="65" t="n">
        <f aca="false">$C16</f>
        <v>3</v>
      </c>
      <c r="E16" s="65" t="n">
        <f aca="false">$C16</f>
        <v>3</v>
      </c>
      <c r="F16" s="65" t="n">
        <f aca="false">$C16</f>
        <v>3</v>
      </c>
      <c r="G16" s="62" t="n">
        <v>0</v>
      </c>
      <c r="H16" s="63" t="n">
        <f aca="false">INDEX(C16:G16,1,MATCH(Inputs!$C$35,$C$5:$G$5,0))</f>
        <v>3</v>
      </c>
      <c r="I16" s="30" t="s">
        <v>479</v>
      </c>
      <c r="J16" s="7" t="s">
        <v>921</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922</v>
      </c>
      <c r="C17" s="62" t="n">
        <v>0</v>
      </c>
      <c r="D17" s="62" t="n">
        <v>0</v>
      </c>
      <c r="E17" s="62" t="n">
        <v>5</v>
      </c>
      <c r="F17" s="62" t="n">
        <v>0</v>
      </c>
      <c r="G17" s="62" t="n">
        <v>0</v>
      </c>
      <c r="H17" s="63" t="n">
        <f aca="false">INDEX(C17:G17,1,MATCH(Inputs!$C$35,$C$5:$G$5,0))</f>
        <v>0</v>
      </c>
      <c r="I17" s="30" t="s">
        <v>462</v>
      </c>
      <c r="J17" s="7" t="s">
        <v>923</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924</v>
      </c>
      <c r="C18" s="56"/>
      <c r="D18" s="56"/>
      <c r="E18" s="46" t="n">
        <v>100</v>
      </c>
      <c r="F18" s="56"/>
      <c r="G18" s="56"/>
      <c r="H18" s="71" t="n">
        <f aca="false">INDEX(C18:G18,1,MATCH(Inputs!$C$35,$C$5:$G$5,0))</f>
        <v>0</v>
      </c>
      <c r="I18" s="30" t="s">
        <v>575</v>
      </c>
      <c r="J18" s="7" t="s">
        <v>925</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926</v>
      </c>
      <c r="C19" s="56"/>
      <c r="D19" s="56"/>
      <c r="E19" s="56"/>
      <c r="F19" s="56"/>
      <c r="G19" s="56"/>
      <c r="H19" s="71" t="n">
        <f aca="false">INDEX(C19:G19,1,MATCH(Inputs!$C$35,$C$5:$G$5,0))</f>
        <v>0</v>
      </c>
      <c r="I19" s="30" t="s">
        <v>575</v>
      </c>
      <c r="J19" s="7" t="s">
        <v>927</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928</v>
      </c>
      <c r="C20" s="46" t="n">
        <v>25</v>
      </c>
      <c r="D20" s="46" t="n">
        <v>25</v>
      </c>
      <c r="E20" s="56"/>
      <c r="F20" s="56"/>
      <c r="G20" s="56"/>
      <c r="H20" s="71" t="n">
        <f aca="false">INDEX(C20:G20,1,MATCH(Inputs!$C$35,$C$5:$G$5,0))</f>
        <v>25</v>
      </c>
      <c r="I20" s="30" t="s">
        <v>748</v>
      </c>
      <c r="J20" s="7" t="s">
        <v>929</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930</v>
      </c>
      <c r="C21" s="62" t="n">
        <v>2</v>
      </c>
      <c r="D21" s="65" t="n">
        <f aca="false">$C21</f>
        <v>2</v>
      </c>
      <c r="E21" s="65" t="n">
        <f aca="false">$C21</f>
        <v>2</v>
      </c>
      <c r="F21" s="65" t="n">
        <f aca="false">$C21</f>
        <v>2</v>
      </c>
      <c r="G21" s="65" t="n">
        <f aca="false">$C21</f>
        <v>2</v>
      </c>
      <c r="H21" s="63" t="n">
        <f aca="false">INDEX(C21:G21,1,MATCH(Inputs!$C$35,$C$5:$G$5,0))</f>
        <v>2</v>
      </c>
      <c r="I21" s="30" t="s">
        <v>612</v>
      </c>
      <c r="J21" s="7" t="s">
        <v>931</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932</v>
      </c>
    </row>
    <row r="24" customFormat="false" ht="61.5" hidden="false" customHeight="true" outlineLevel="0" collapsed="false">
      <c r="B24" s="5" t="s">
        <v>933</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934</v>
      </c>
    </row>
    <row r="2" customFormat="false" ht="15" hidden="false" customHeight="false" outlineLevel="0" collapsed="false">
      <c r="A2" s="2" t="s">
        <v>935</v>
      </c>
    </row>
    <row r="3" customFormat="false" ht="30" hidden="false" customHeight="true" outlineLevel="0" collapsed="false">
      <c r="A3" s="8" t="s">
        <v>936</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937</v>
      </c>
    </row>
    <row r="5" customFormat="false" ht="15" hidden="false" customHeight="false" outlineLevel="0" collapsed="false">
      <c r="Y5" s="9" t="s">
        <v>938</v>
      </c>
      <c r="AF5" s="9" t="s">
        <v>939</v>
      </c>
      <c r="AL5" s="32" t="s">
        <v>940</v>
      </c>
    </row>
    <row r="6" customFormat="false" ht="69.75" hidden="false" customHeight="true" outlineLevel="0" collapsed="false">
      <c r="A6" s="12" t="s">
        <v>323</v>
      </c>
      <c r="B6" s="12" t="s">
        <v>324</v>
      </c>
      <c r="C6" s="12" t="s">
        <v>326</v>
      </c>
      <c r="D6" s="12" t="s">
        <v>941</v>
      </c>
      <c r="E6" s="12" t="s">
        <v>325</v>
      </c>
      <c r="F6" s="12" t="s">
        <v>942</v>
      </c>
      <c r="G6" s="12" t="s">
        <v>327</v>
      </c>
      <c r="H6" s="12" t="s">
        <v>943</v>
      </c>
      <c r="I6" s="12" t="s">
        <v>329</v>
      </c>
      <c r="J6" s="12" t="s">
        <v>944</v>
      </c>
      <c r="K6" s="12" t="s">
        <v>328</v>
      </c>
      <c r="L6" s="12" t="s">
        <v>945</v>
      </c>
      <c r="M6" s="12" t="s">
        <v>946</v>
      </c>
      <c r="N6" s="12" t="s">
        <v>947</v>
      </c>
      <c r="O6" s="12" t="s">
        <v>346</v>
      </c>
      <c r="P6" s="12" t="s">
        <v>948</v>
      </c>
      <c r="Q6" s="12" t="s">
        <v>949</v>
      </c>
      <c r="R6" s="12" t="s">
        <v>950</v>
      </c>
      <c r="S6" s="12" t="s">
        <v>951</v>
      </c>
      <c r="T6" s="12" t="s">
        <v>952</v>
      </c>
      <c r="U6" s="12" t="s">
        <v>953</v>
      </c>
      <c r="V6" s="12" t="s">
        <v>954</v>
      </c>
      <c r="W6" s="12" t="s">
        <v>955</v>
      </c>
      <c r="X6" s="12" t="s">
        <v>956</v>
      </c>
      <c r="Y6" s="12" t="s">
        <v>957</v>
      </c>
      <c r="Z6" s="12" t="s">
        <v>958</v>
      </c>
      <c r="AA6" s="12" t="s">
        <v>959</v>
      </c>
      <c r="AB6" s="12" t="s">
        <v>960</v>
      </c>
      <c r="AC6" s="12" t="s">
        <v>961</v>
      </c>
      <c r="AD6" s="12" t="s">
        <v>962</v>
      </c>
      <c r="AE6" s="12" t="s">
        <v>963</v>
      </c>
      <c r="AF6" s="12" t="s">
        <v>964</v>
      </c>
      <c r="AG6" s="12" t="s">
        <v>965</v>
      </c>
      <c r="AH6" s="12" t="s">
        <v>966</v>
      </c>
      <c r="AI6" s="12" t="s">
        <v>967</v>
      </c>
      <c r="AJ6" s="12" t="s">
        <v>968</v>
      </c>
      <c r="AL6" s="12" t="s">
        <v>969</v>
      </c>
      <c r="AM6" s="12" t="s">
        <v>970</v>
      </c>
      <c r="AN6" s="12" t="s">
        <v>971</v>
      </c>
      <c r="AO6" s="12" t="s">
        <v>972</v>
      </c>
      <c r="AP6" s="12" t="s">
        <v>973</v>
      </c>
      <c r="AQ6" s="12" t="s">
        <v>974</v>
      </c>
      <c r="AR6" s="12" t="s">
        <v>975</v>
      </c>
      <c r="AS6" s="12" t="s">
        <v>976</v>
      </c>
    </row>
    <row r="7" customFormat="false" ht="55.5" hidden="false" customHeight="true" outlineLevel="0" collapsed="false">
      <c r="A7" s="72" t="s">
        <v>727</v>
      </c>
      <c r="B7" s="72" t="s">
        <v>977</v>
      </c>
      <c r="C7" s="72" t="s">
        <v>978</v>
      </c>
      <c r="D7" s="72"/>
      <c r="E7" s="73" t="n">
        <v>46399</v>
      </c>
      <c r="F7" s="7" t="str">
        <f aca="false">IF(E7="","",TEXT(E7,"ddd"))</f>
        <v>Tue</v>
      </c>
      <c r="G7" s="72" t="s">
        <v>671</v>
      </c>
      <c r="H7" s="72" t="s">
        <v>979</v>
      </c>
      <c r="I7" s="74" t="n">
        <f aca="false">Inputs!$C$59</f>
        <v>5</v>
      </c>
      <c r="J7" s="74" t="n">
        <f aca="false">IF(N(K7)=0,0,I7)</f>
        <v>5</v>
      </c>
      <c r="K7" s="74" t="n">
        <f aca="false">Inputs!$C$60</f>
        <v>2</v>
      </c>
      <c r="L7" s="72" t="n">
        <v>0</v>
      </c>
      <c r="M7" s="72" t="n">
        <v>0</v>
      </c>
      <c r="N7" s="72" t="s">
        <v>804</v>
      </c>
      <c r="O7" s="72" t="s">
        <v>980</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671</v>
      </c>
      <c r="AN7" s="32" t="s">
        <v>979</v>
      </c>
      <c r="AO7" s="32" t="n">
        <f aca="false">Inputs!$C$59</f>
        <v>5</v>
      </c>
      <c r="AP7" s="32" t="n">
        <f aca="false">IF(N(K7)=0,0,I7)</f>
        <v>5</v>
      </c>
      <c r="AQ7" s="32" t="n">
        <f aca="false">Inputs!$C$60</f>
        <v>2</v>
      </c>
      <c r="AR7" s="32" t="n">
        <v>0</v>
      </c>
      <c r="AS7" s="32" t="n">
        <v>0</v>
      </c>
    </row>
    <row r="8" customFormat="false" ht="55.5" hidden="false" customHeight="true" outlineLevel="0" collapsed="false">
      <c r="A8" s="72" t="s">
        <v>981</v>
      </c>
      <c r="B8" s="72" t="s">
        <v>982</v>
      </c>
      <c r="C8" s="72" t="s">
        <v>978</v>
      </c>
      <c r="D8" s="72"/>
      <c r="E8" s="73" t="n">
        <v>46427</v>
      </c>
      <c r="F8" s="7" t="str">
        <f aca="false">IF(E8="","",TEXT(E8,"ddd"))</f>
        <v>Tue</v>
      </c>
      <c r="G8" s="72" t="s">
        <v>673</v>
      </c>
      <c r="H8" s="72" t="s">
        <v>983</v>
      </c>
      <c r="I8" s="74" t="n">
        <f aca="false">Inputs!$C$61</f>
        <v>10</v>
      </c>
      <c r="J8" s="74" t="n">
        <f aca="false">IF(N(K8)=0,0,MAX(0,I8-SUM(J$7:J7)))</f>
        <v>5</v>
      </c>
      <c r="K8" s="74" t="n">
        <f aca="false">Inputs!$C$62</f>
        <v>3</v>
      </c>
      <c r="L8" s="72" t="n">
        <v>0</v>
      </c>
      <c r="M8" s="72" t="n">
        <v>0</v>
      </c>
      <c r="N8" s="72" t="s">
        <v>804</v>
      </c>
      <c r="O8" s="72" t="s">
        <v>984</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673</v>
      </c>
      <c r="AN8" s="32" t="s">
        <v>983</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985</v>
      </c>
      <c r="B9" s="72" t="s">
        <v>986</v>
      </c>
      <c r="C9" s="72" t="s">
        <v>978</v>
      </c>
      <c r="D9" s="72"/>
      <c r="E9" s="73" t="n">
        <v>46441</v>
      </c>
      <c r="F9" s="7" t="str">
        <f aca="false">IF(E9="","",TEXT(E9,"ddd"))</f>
        <v>Tue</v>
      </c>
      <c r="G9" s="72" t="s">
        <v>673</v>
      </c>
      <c r="H9" s="72" t="s">
        <v>983</v>
      </c>
      <c r="I9" s="74" t="n">
        <f aca="false">Inputs!$C$61</f>
        <v>10</v>
      </c>
      <c r="J9" s="74" t="n">
        <f aca="false">IF(N(K9)=0,0,MAX(0,MIN(I9,Inputs!$C$145-SUM(J$7:J8))))</f>
        <v>2</v>
      </c>
      <c r="K9" s="74" t="n">
        <f aca="false">Inputs!$C$62</f>
        <v>3</v>
      </c>
      <c r="L9" s="72" t="n">
        <v>0</v>
      </c>
      <c r="M9" s="72" t="n">
        <v>0</v>
      </c>
      <c r="N9" s="72" t="s">
        <v>804</v>
      </c>
      <c r="O9" s="72" t="s">
        <v>987</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673</v>
      </c>
      <c r="AN9" s="32" t="s">
        <v>983</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988</v>
      </c>
      <c r="B10" s="72" t="s">
        <v>989</v>
      </c>
      <c r="C10" s="72" t="s">
        <v>990</v>
      </c>
      <c r="D10" s="72" t="n">
        <v>1</v>
      </c>
      <c r="E10" s="73" t="n">
        <v>46469</v>
      </c>
      <c r="F10" s="7" t="str">
        <f aca="false">IF(E10="","",TEXT(E10,"ddd"))</f>
        <v>Tue</v>
      </c>
      <c r="G10" s="72" t="s">
        <v>675</v>
      </c>
      <c r="H10" s="72" t="s">
        <v>983</v>
      </c>
      <c r="I10" s="74" t="n">
        <f aca="false">Inputs!$C$61</f>
        <v>10</v>
      </c>
      <c r="J10" s="74" t="n">
        <f aca="false">IF(K10&gt;0,N(Scenarios!$H$13),0)</f>
        <v>0</v>
      </c>
      <c r="K10" s="81" t="n">
        <f aca="false">IF(D10&lt;=Scenarios!$H$10,Scenarios!$H$11,0)</f>
        <v>3</v>
      </c>
      <c r="L10" s="74" t="n">
        <f aca="false">ROUND(Scenarios!$H$12*K10,0)</f>
        <v>1</v>
      </c>
      <c r="M10" s="72" t="n">
        <v>0</v>
      </c>
      <c r="N10" s="72" t="s">
        <v>821</v>
      </c>
      <c r="O10" s="72" t="s">
        <v>991</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675</v>
      </c>
      <c r="AN10" s="32" t="s">
        <v>983</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992</v>
      </c>
      <c r="B11" s="72" t="s">
        <v>993</v>
      </c>
      <c r="C11" s="72" t="s">
        <v>990</v>
      </c>
      <c r="D11" s="72" t="n">
        <v>2</v>
      </c>
      <c r="E11" s="73" t="n">
        <v>46483</v>
      </c>
      <c r="F11" s="7" t="str">
        <f aca="false">IF(E11="","",TEXT(E11,"ddd"))</f>
        <v>Tue</v>
      </c>
      <c r="G11" s="72" t="s">
        <v>675</v>
      </c>
      <c r="H11" s="72" t="s">
        <v>983</v>
      </c>
      <c r="I11" s="74" t="n">
        <f aca="false">Inputs!$C$61</f>
        <v>10</v>
      </c>
      <c r="J11" s="74" t="n">
        <f aca="false">IF(K11&gt;0,N(Scenarios!$H$13),0)</f>
        <v>0</v>
      </c>
      <c r="K11" s="81" t="n">
        <f aca="false">IF(D11&lt;=Scenarios!$H$10,Scenarios!$H$11,0)</f>
        <v>3</v>
      </c>
      <c r="L11" s="74" t="n">
        <f aca="false">ROUND(Scenarios!$H$12*K11,0)</f>
        <v>1</v>
      </c>
      <c r="M11" s="72" t="n">
        <v>0</v>
      </c>
      <c r="N11" s="72" t="s">
        <v>821</v>
      </c>
      <c r="O11" s="72" t="s">
        <v>994</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675</v>
      </c>
      <c r="AN11" s="32" t="s">
        <v>983</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995</v>
      </c>
      <c r="B12" s="72"/>
      <c r="C12" s="72" t="s">
        <v>996</v>
      </c>
      <c r="D12" s="72"/>
      <c r="E12" s="73"/>
      <c r="F12" s="7" t="str">
        <f aca="false">IF(E12="","",TEXT(E12,"ddd"))</f>
        <v/>
      </c>
      <c r="G12" s="72"/>
      <c r="H12" s="72"/>
      <c r="I12" s="72"/>
      <c r="J12" s="72"/>
      <c r="K12" s="72"/>
      <c r="L12" s="72"/>
      <c r="M12" s="72"/>
      <c r="N12" s="72" t="s">
        <v>821</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997</v>
      </c>
      <c r="B13" s="72"/>
      <c r="C13" s="72" t="s">
        <v>996</v>
      </c>
      <c r="D13" s="72"/>
      <c r="E13" s="73"/>
      <c r="F13" s="7" t="str">
        <f aca="false">IF(E13="","",TEXT(E13,"ddd"))</f>
        <v/>
      </c>
      <c r="G13" s="72"/>
      <c r="H13" s="72"/>
      <c r="I13" s="72"/>
      <c r="J13" s="72"/>
      <c r="K13" s="72"/>
      <c r="L13" s="72"/>
      <c r="M13" s="72"/>
      <c r="N13" s="72" t="s">
        <v>821</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998</v>
      </c>
      <c r="B14" s="72"/>
      <c r="C14" s="72" t="s">
        <v>996</v>
      </c>
      <c r="D14" s="72"/>
      <c r="E14" s="73"/>
      <c r="F14" s="7" t="str">
        <f aca="false">IF(E14="","",TEXT(E14,"ddd"))</f>
        <v/>
      </c>
      <c r="G14" s="72"/>
      <c r="H14" s="72"/>
      <c r="I14" s="72"/>
      <c r="J14" s="72"/>
      <c r="K14" s="72"/>
      <c r="L14" s="72"/>
      <c r="M14" s="72"/>
      <c r="N14" s="72" t="s">
        <v>821</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999</v>
      </c>
      <c r="B15" s="72"/>
      <c r="C15" s="72" t="s">
        <v>996</v>
      </c>
      <c r="D15" s="72"/>
      <c r="E15" s="73"/>
      <c r="F15" s="7" t="str">
        <f aca="false">IF(E15="","",TEXT(E15,"ddd"))</f>
        <v/>
      </c>
      <c r="G15" s="72"/>
      <c r="H15" s="72"/>
      <c r="I15" s="72"/>
      <c r="J15" s="72"/>
      <c r="K15" s="72"/>
      <c r="L15" s="72"/>
      <c r="M15" s="72"/>
      <c r="N15" s="72" t="s">
        <v>821</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1000</v>
      </c>
      <c r="B16" s="72"/>
      <c r="C16" s="72" t="s">
        <v>996</v>
      </c>
      <c r="D16" s="72"/>
      <c r="E16" s="73"/>
      <c r="F16" s="7" t="str">
        <f aca="false">IF(E16="","",TEXT(E16,"ddd"))</f>
        <v/>
      </c>
      <c r="G16" s="72"/>
      <c r="H16" s="72"/>
      <c r="I16" s="72"/>
      <c r="J16" s="72"/>
      <c r="K16" s="72"/>
      <c r="L16" s="72"/>
      <c r="M16" s="72"/>
      <c r="N16" s="72" t="s">
        <v>821</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1001</v>
      </c>
      <c r="B17" s="72"/>
      <c r="C17" s="72" t="s">
        <v>996</v>
      </c>
      <c r="D17" s="72"/>
      <c r="E17" s="73"/>
      <c r="F17" s="7" t="str">
        <f aca="false">IF(E17="","",TEXT(E17,"ddd"))</f>
        <v/>
      </c>
      <c r="G17" s="72"/>
      <c r="H17" s="72"/>
      <c r="I17" s="72"/>
      <c r="J17" s="72"/>
      <c r="K17" s="72"/>
      <c r="L17" s="72"/>
      <c r="M17" s="72"/>
      <c r="N17" s="72" t="s">
        <v>821</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1002</v>
      </c>
      <c r="B18" s="72"/>
      <c r="C18" s="72" t="s">
        <v>996</v>
      </c>
      <c r="D18" s="72"/>
      <c r="E18" s="73"/>
      <c r="F18" s="7" t="str">
        <f aca="false">IF(E18="","",TEXT(E18,"ddd"))</f>
        <v/>
      </c>
      <c r="G18" s="72"/>
      <c r="H18" s="72"/>
      <c r="I18" s="72"/>
      <c r="J18" s="72"/>
      <c r="K18" s="72"/>
      <c r="L18" s="72"/>
      <c r="M18" s="72"/>
      <c r="N18" s="72" t="s">
        <v>821</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1003</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1004</v>
      </c>
      <c r="C21" s="5"/>
      <c r="D21" s="5"/>
      <c r="E21" s="5"/>
      <c r="F21" s="5"/>
      <c r="G21" s="5"/>
      <c r="H21" s="5"/>
      <c r="I21" s="5"/>
      <c r="J21" s="5"/>
      <c r="K21" s="5"/>
      <c r="L21" s="5"/>
      <c r="M21" s="5"/>
      <c r="N21" s="5"/>
      <c r="O21" s="5"/>
    </row>
    <row r="22" customFormat="false" ht="60" hidden="false" customHeight="true" outlineLevel="0" collapsed="false">
      <c r="B22" s="5" t="s">
        <v>1005</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1006</v>
      </c>
    </row>
    <row r="2" customFormat="false" ht="15" hidden="false" customHeight="false" outlineLevel="0" collapsed="false">
      <c r="A2" s="2" t="s">
        <v>1007</v>
      </c>
    </row>
    <row r="3" customFormat="false" ht="30" hidden="false" customHeight="true" outlineLevel="0" collapsed="false">
      <c r="A3" s="8" t="s">
        <v>1008</v>
      </c>
      <c r="B3" s="8"/>
      <c r="C3" s="8"/>
      <c r="D3" s="8"/>
      <c r="E3" s="8"/>
      <c r="F3" s="8"/>
    </row>
    <row r="5" customFormat="false" ht="15" hidden="false" customHeight="false" outlineLevel="0" collapsed="false">
      <c r="B5" s="84" t="s">
        <v>1009</v>
      </c>
      <c r="E5" s="84" t="s">
        <v>1010</v>
      </c>
    </row>
    <row r="6" customFormat="false" ht="30" hidden="false" customHeight="true" outlineLevel="0" collapsed="false">
      <c r="B6" s="30" t="s">
        <v>943</v>
      </c>
      <c r="C6" s="39" t="s">
        <v>983</v>
      </c>
      <c r="E6" s="12" t="s">
        <v>1011</v>
      </c>
      <c r="F6" s="12" t="s">
        <v>1012</v>
      </c>
      <c r="G6" s="12" t="s">
        <v>1013</v>
      </c>
    </row>
    <row r="7" customFormat="false" ht="15" hidden="false" customHeight="false" outlineLevel="0" collapsed="false">
      <c r="B7" s="30" t="s">
        <v>327</v>
      </c>
      <c r="C7" s="39" t="s">
        <v>673</v>
      </c>
      <c r="E7" s="9" t="s">
        <v>330</v>
      </c>
      <c r="F7" s="37" t="n">
        <f aca="false">S40</f>
        <v>4500</v>
      </c>
      <c r="G7" s="19" t="n">
        <f aca="false">IF(G40&gt;0,F7/G40,"")</f>
        <v>1500</v>
      </c>
    </row>
    <row r="8" customFormat="false" ht="15" hidden="false" customHeight="false" outlineLevel="0" collapsed="false">
      <c r="B8" s="30" t="s">
        <v>329</v>
      </c>
      <c r="C8" s="39" t="n">
        <v>10</v>
      </c>
      <c r="E8" s="30" t="s">
        <v>1014</v>
      </c>
      <c r="F8" s="19" t="n">
        <f aca="false">T40</f>
        <v>80</v>
      </c>
      <c r="G8" s="19" t="n">
        <f aca="false">IF(G40&gt;0,F8/G40,"")</f>
        <v>26.6666666666667</v>
      </c>
    </row>
    <row r="9" customFormat="false" ht="15" hidden="false" customHeight="false" outlineLevel="0" collapsed="false">
      <c r="B9" s="30" t="s">
        <v>1015</v>
      </c>
      <c r="C9" s="39" t="n">
        <v>0</v>
      </c>
      <c r="E9" s="30" t="s">
        <v>1016</v>
      </c>
      <c r="F9" s="19" t="n">
        <f aca="false">U40</f>
        <v>300</v>
      </c>
      <c r="G9" s="19" t="n">
        <f aca="false">IF(G40&gt;0,F9/G40,"")</f>
        <v>100</v>
      </c>
    </row>
    <row r="10" customFormat="false" ht="15" hidden="false" customHeight="false" outlineLevel="0" collapsed="false">
      <c r="B10" s="30" t="s">
        <v>328</v>
      </c>
      <c r="C10" s="39" t="n">
        <v>3</v>
      </c>
      <c r="E10" s="30" t="s">
        <v>193</v>
      </c>
      <c r="F10" s="19" t="n">
        <f aca="false">V40</f>
        <v>0</v>
      </c>
      <c r="G10" s="19" t="n">
        <f aca="false">IF(G40&gt;0,F10/G40,"")</f>
        <v>0</v>
      </c>
    </row>
    <row r="11" customFormat="false" ht="15" hidden="false" customHeight="false" outlineLevel="0" collapsed="false">
      <c r="B11" s="30" t="s">
        <v>945</v>
      </c>
      <c r="C11" s="39" t="n">
        <v>0</v>
      </c>
      <c r="E11" s="30" t="s">
        <v>1017</v>
      </c>
      <c r="F11" s="19" t="n">
        <f aca="false">W40</f>
        <v>135</v>
      </c>
      <c r="G11" s="19" t="n">
        <f aca="false">IF(G40&gt;0,F11/G40,"")</f>
        <v>45</v>
      </c>
    </row>
    <row r="12" customFormat="false" ht="15" hidden="false" customHeight="false" outlineLevel="0" collapsed="false">
      <c r="B12" s="30" t="s">
        <v>946</v>
      </c>
      <c r="C12" s="39" t="n">
        <v>0</v>
      </c>
      <c r="E12" s="30" t="s">
        <v>1018</v>
      </c>
      <c r="F12" s="19" t="n">
        <f aca="false">X40</f>
        <v>75</v>
      </c>
      <c r="G12" s="19" t="n">
        <f aca="false">IF(G40&gt;0,F12/G40,"")</f>
        <v>25</v>
      </c>
    </row>
    <row r="13" customFormat="false" ht="15" hidden="false" customHeight="false" outlineLevel="0" collapsed="false">
      <c r="B13" s="30" t="s">
        <v>1019</v>
      </c>
      <c r="C13" s="56"/>
      <c r="E13" s="30" t="s">
        <v>1020</v>
      </c>
      <c r="F13" s="19" t="n">
        <f aca="false">Y40</f>
        <v>30</v>
      </c>
      <c r="G13" s="19" t="n">
        <f aca="false">IF(G40&gt;0,F13/G40,"")</f>
        <v>10</v>
      </c>
    </row>
    <row r="14" customFormat="false" ht="15" hidden="false" customHeight="false" outlineLevel="0" collapsed="false">
      <c r="B14" s="30" t="s">
        <v>1021</v>
      </c>
      <c r="C14" s="56"/>
      <c r="E14" s="30" t="s">
        <v>1022</v>
      </c>
      <c r="F14" s="19" t="n">
        <f aca="false">Z40</f>
        <v>50</v>
      </c>
      <c r="G14" s="19" t="n">
        <f aca="false">IF(G40&gt;0,F14/G40,"")</f>
        <v>16.6666666666667</v>
      </c>
    </row>
    <row r="15" customFormat="false" ht="15" hidden="false" customHeight="false" outlineLevel="0" collapsed="false">
      <c r="B15" s="30" t="s">
        <v>1023</v>
      </c>
      <c r="C15" s="85"/>
      <c r="E15" s="9" t="s">
        <v>331</v>
      </c>
      <c r="F15" s="37" t="n">
        <f aca="false">AA40</f>
        <v>670</v>
      </c>
      <c r="G15" s="19" t="n">
        <f aca="false">IF(G40&gt;0,F15/G40,"")</f>
        <v>223.333333333333</v>
      </c>
    </row>
    <row r="16" customFormat="false" ht="15" hidden="false" customHeight="false" outlineLevel="0" collapsed="false">
      <c r="B16" s="30" t="s">
        <v>1024</v>
      </c>
      <c r="C16" s="85"/>
      <c r="E16" s="9" t="s">
        <v>333</v>
      </c>
      <c r="F16" s="37" t="n">
        <f aca="false">AJ40</f>
        <v>3830</v>
      </c>
      <c r="G16" s="19" t="n">
        <f aca="false">IF(G40&gt;0,F16/G40,"")</f>
        <v>1276.66666666667</v>
      </c>
    </row>
    <row r="17" customFormat="false" ht="15" hidden="false" customHeight="false" outlineLevel="0" collapsed="false">
      <c r="E17" s="30" t="s">
        <v>1025</v>
      </c>
      <c r="F17" s="36" t="n">
        <f aca="false">AB40</f>
        <v>18</v>
      </c>
      <c r="G17" s="36" t="n">
        <f aca="false">IF(G40&gt;0,F17/G40,"")</f>
        <v>6</v>
      </c>
    </row>
    <row r="18" customFormat="false" ht="15" hidden="false" customHeight="false" outlineLevel="0" collapsed="false">
      <c r="E18" s="30" t="s">
        <v>1026</v>
      </c>
      <c r="F18" s="36" t="n">
        <f aca="false">AC40</f>
        <v>10</v>
      </c>
      <c r="G18" s="36" t="n">
        <f aca="false">IF(G40&gt;0,F18/G40,"")</f>
        <v>3.33333333333333</v>
      </c>
    </row>
    <row r="19" customFormat="false" ht="15" hidden="false" customHeight="false" outlineLevel="0" collapsed="false">
      <c r="E19" s="30" t="s">
        <v>1027</v>
      </c>
      <c r="F19" s="36" t="n">
        <f aca="false">AD40</f>
        <v>4</v>
      </c>
      <c r="G19" s="36" t="n">
        <f aca="false">IF(G40&gt;0,F19/G40,"")</f>
        <v>1.33333333333333</v>
      </c>
    </row>
    <row r="20" customFormat="false" ht="15" hidden="false" customHeight="false" outlineLevel="0" collapsed="false">
      <c r="E20" s="30" t="s">
        <v>1028</v>
      </c>
      <c r="F20" s="36" t="n">
        <f aca="false">AE40</f>
        <v>8</v>
      </c>
      <c r="G20" s="36" t="n">
        <f aca="false">IF(G40&gt;0,F20/G40,"")</f>
        <v>2.66666666666667</v>
      </c>
    </row>
    <row r="21" customFormat="false" ht="15" hidden="false" customHeight="false" outlineLevel="0" collapsed="false">
      <c r="E21" s="30" t="s">
        <v>1029</v>
      </c>
      <c r="F21" s="36" t="n">
        <f aca="false">AF40</f>
        <v>4</v>
      </c>
      <c r="G21" s="36" t="n">
        <f aca="false">IF(G40&gt;0,F21/G40,"")</f>
        <v>1.33333333333333</v>
      </c>
    </row>
    <row r="22" customFormat="false" ht="15" hidden="false" customHeight="false" outlineLevel="0" collapsed="false">
      <c r="E22" s="30" t="s">
        <v>1030</v>
      </c>
      <c r="F22" s="36" t="n">
        <f aca="false">AG40</f>
        <v>6</v>
      </c>
      <c r="G22" s="36" t="n">
        <f aca="false">IF(G40&gt;0,F22/G40,"")</f>
        <v>2</v>
      </c>
    </row>
    <row r="23" customFormat="false" ht="15" hidden="false" customHeight="false" outlineLevel="0" collapsed="false">
      <c r="E23" s="30" t="s">
        <v>1031</v>
      </c>
      <c r="F23" s="36" t="n">
        <f aca="false">AH40</f>
        <v>2</v>
      </c>
      <c r="G23" s="36" t="n">
        <f aca="false">IF(G40&gt;0,F23/G40,"")</f>
        <v>0.666666666666667</v>
      </c>
    </row>
    <row r="24" customFormat="false" ht="15" hidden="false" customHeight="false" outlineLevel="0" collapsed="false">
      <c r="E24" s="9" t="s">
        <v>332</v>
      </c>
      <c r="F24" s="38" t="n">
        <f aca="false">AI40</f>
        <v>52</v>
      </c>
      <c r="G24" s="36" t="n">
        <f aca="false">IF(G40&gt;0,F24/G40,"")</f>
        <v>17.3333333333333</v>
      </c>
    </row>
    <row r="25" customFormat="false" ht="15" hidden="false" customHeight="false" outlineLevel="0" collapsed="false">
      <c r="E25" s="9" t="s">
        <v>1032</v>
      </c>
      <c r="F25" s="15" t="n">
        <f aca="false">AK40</f>
        <v>73.6538461538462</v>
      </c>
      <c r="G25" s="28" t="n">
        <f aca="false">F25</f>
        <v>73.6538461538462</v>
      </c>
    </row>
    <row r="26" customFormat="false" ht="15" hidden="false" customHeight="false" outlineLevel="0" collapsed="false">
      <c r="E26" s="30" t="s">
        <v>1033</v>
      </c>
      <c r="F26" s="9" t="str">
        <f aca="false">IF(ISNUMBER(F25),IF(F25&gt;=Inputs!$C$136,"at or above target","below target"),"n/a")</f>
        <v>at or above target</v>
      </c>
    </row>
    <row r="27" customFormat="false" ht="15" hidden="false" customHeight="false" outlineLevel="0" collapsed="false">
      <c r="E27" s="30" t="s">
        <v>1034</v>
      </c>
      <c r="F27" s="24" t="n">
        <f aca="false">E40*Inputs!$C$63*(1+Inputs!$C$64)</f>
        <v>550</v>
      </c>
    </row>
    <row r="29" customFormat="false" ht="60" hidden="false" customHeight="true" outlineLevel="0" collapsed="false">
      <c r="E29" s="5" t="s">
        <v>1035</v>
      </c>
      <c r="F29" s="5"/>
      <c r="G29" s="5"/>
    </row>
    <row r="37" customFormat="false" ht="15" hidden="false" customHeight="false" outlineLevel="0" collapsed="false">
      <c r="A37" s="84" t="s">
        <v>1036</v>
      </c>
    </row>
    <row r="39" customFormat="false" ht="57.75" hidden="false" customHeight="true" outlineLevel="0" collapsed="false">
      <c r="A39" s="12" t="s">
        <v>1037</v>
      </c>
      <c r="B39" s="12" t="s">
        <v>325</v>
      </c>
      <c r="C39" s="12" t="s">
        <v>327</v>
      </c>
      <c r="D39" s="12" t="s">
        <v>943</v>
      </c>
      <c r="E39" s="12" t="s">
        <v>329</v>
      </c>
      <c r="F39" s="12" t="s">
        <v>944</v>
      </c>
      <c r="G39" s="12" t="s">
        <v>328</v>
      </c>
      <c r="H39" s="12" t="s">
        <v>945</v>
      </c>
      <c r="I39" s="12" t="s">
        <v>946</v>
      </c>
      <c r="J39" s="12" t="s">
        <v>456</v>
      </c>
      <c r="K39" s="12" t="s">
        <v>468</v>
      </c>
      <c r="L39" s="12" t="s">
        <v>1038</v>
      </c>
      <c r="M39" s="12" t="s">
        <v>1039</v>
      </c>
      <c r="N39" s="12" t="s">
        <v>1040</v>
      </c>
      <c r="O39" s="12" t="s">
        <v>1041</v>
      </c>
      <c r="P39" s="12" t="s">
        <v>1042</v>
      </c>
      <c r="Q39" s="12" t="s">
        <v>1043</v>
      </c>
      <c r="R39" s="12" t="s">
        <v>1044</v>
      </c>
      <c r="S39" s="12" t="s">
        <v>330</v>
      </c>
      <c r="T39" s="12" t="s">
        <v>1014</v>
      </c>
      <c r="U39" s="12" t="s">
        <v>1016</v>
      </c>
      <c r="V39" s="12" t="s">
        <v>193</v>
      </c>
      <c r="W39" s="12" t="s">
        <v>1017</v>
      </c>
      <c r="X39" s="12" t="s">
        <v>1018</v>
      </c>
      <c r="Y39" s="12" t="s">
        <v>1020</v>
      </c>
      <c r="Z39" s="12" t="s">
        <v>1022</v>
      </c>
      <c r="AA39" s="12" t="s">
        <v>331</v>
      </c>
      <c r="AB39" s="12" t="s">
        <v>1025</v>
      </c>
      <c r="AC39" s="12" t="s">
        <v>1026</v>
      </c>
      <c r="AD39" s="12" t="s">
        <v>1027</v>
      </c>
      <c r="AE39" s="12" t="s">
        <v>1028</v>
      </c>
      <c r="AF39" s="12" t="s">
        <v>1029</v>
      </c>
      <c r="AG39" s="12" t="s">
        <v>1030</v>
      </c>
      <c r="AH39" s="12" t="s">
        <v>1031</v>
      </c>
      <c r="AI39" s="12" t="s">
        <v>332</v>
      </c>
      <c r="AJ39" s="12" t="s">
        <v>333</v>
      </c>
      <c r="AK39" s="12" t="s">
        <v>1032</v>
      </c>
      <c r="AL39" s="12" t="s">
        <v>1045</v>
      </c>
      <c r="AM39" s="12" t="s">
        <v>1046</v>
      </c>
    </row>
    <row r="40" customFormat="false" ht="15" hidden="false" customHeight="false" outlineLevel="0" collapsed="false">
      <c r="A40" s="30" t="s">
        <v>1047</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1048</v>
      </c>
    </row>
    <row r="2" customFormat="false" ht="15" hidden="false" customHeight="false" outlineLevel="0" collapsed="false">
      <c r="A2" s="2" t="s">
        <v>1049</v>
      </c>
    </row>
    <row r="3" customFormat="false" ht="30" hidden="false" customHeight="true" outlineLevel="0" collapsed="false">
      <c r="A3" s="8" t="s">
        <v>1050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1051</v>
      </c>
      <c r="B5" s="87"/>
      <c r="C5" s="87"/>
      <c r="E5" s="87" t="s">
        <v>1052</v>
      </c>
      <c r="F5" s="87"/>
      <c r="G5" s="87"/>
      <c r="H5" s="87"/>
      <c r="I5" s="87"/>
      <c r="J5" s="87"/>
      <c r="K5" s="87"/>
      <c r="L5" s="87"/>
      <c r="M5" s="87"/>
      <c r="N5" s="87" t="s">
        <v>330</v>
      </c>
      <c r="O5" s="87"/>
      <c r="P5" s="87"/>
      <c r="Q5" s="87"/>
      <c r="R5" s="87"/>
      <c r="S5" s="87"/>
      <c r="T5" s="87" t="s">
        <v>331</v>
      </c>
      <c r="U5" s="87"/>
      <c r="V5" s="87"/>
      <c r="W5" s="87"/>
      <c r="X5" s="87"/>
      <c r="Y5" s="87"/>
      <c r="Z5" s="87"/>
      <c r="AA5" s="87"/>
      <c r="AB5" s="87" t="s">
        <v>1053</v>
      </c>
      <c r="AC5" s="87"/>
      <c r="AD5" s="87"/>
      <c r="AE5" s="87"/>
      <c r="AF5" s="87"/>
      <c r="AG5" s="87"/>
      <c r="AH5" s="87"/>
      <c r="AI5" s="87"/>
      <c r="AJ5" s="87" t="s">
        <v>1010</v>
      </c>
      <c r="AK5" s="87"/>
      <c r="AL5" s="87" t="s">
        <v>1054</v>
      </c>
      <c r="AM5" s="87"/>
      <c r="AO5" s="87" t="s">
        <v>1055</v>
      </c>
      <c r="AP5" s="87"/>
      <c r="AQ5" s="87"/>
      <c r="AR5" s="87"/>
      <c r="AS5" s="87"/>
      <c r="AT5" s="87"/>
      <c r="AU5" s="87"/>
      <c r="AV5" s="87"/>
      <c r="AW5" s="87"/>
      <c r="AX5" s="87"/>
      <c r="AY5" s="87"/>
      <c r="AZ5" s="87" t="s">
        <v>1056</v>
      </c>
      <c r="BA5" s="87"/>
      <c r="BB5" s="87"/>
      <c r="BC5" s="87"/>
      <c r="BD5" s="87"/>
      <c r="BE5" s="87"/>
      <c r="BF5" s="87"/>
      <c r="BG5" s="87"/>
      <c r="BH5" s="87" t="s">
        <v>1057</v>
      </c>
      <c r="BI5" s="87"/>
    </row>
    <row r="6" customFormat="false" ht="57.75" hidden="false" customHeight="true" outlineLevel="0" collapsed="false">
      <c r="A6" s="12" t="s">
        <v>1037</v>
      </c>
      <c r="B6" s="12" t="s">
        <v>325</v>
      </c>
      <c r="C6" s="12" t="s">
        <v>327</v>
      </c>
      <c r="D6" s="12" t="s">
        <v>943</v>
      </c>
      <c r="E6" s="12" t="s">
        <v>329</v>
      </c>
      <c r="F6" s="12" t="s">
        <v>944</v>
      </c>
      <c r="G6" s="12" t="s">
        <v>328</v>
      </c>
      <c r="H6" s="12" t="s">
        <v>945</v>
      </c>
      <c r="I6" s="12" t="s">
        <v>946</v>
      </c>
      <c r="J6" s="12" t="s">
        <v>456</v>
      </c>
      <c r="K6" s="12" t="s">
        <v>468</v>
      </c>
      <c r="L6" s="12" t="s">
        <v>1038</v>
      </c>
      <c r="M6" s="12" t="s">
        <v>1039</v>
      </c>
      <c r="N6" s="12" t="s">
        <v>1040</v>
      </c>
      <c r="O6" s="12" t="s">
        <v>1041</v>
      </c>
      <c r="P6" s="12" t="s">
        <v>1042</v>
      </c>
      <c r="Q6" s="12" t="s">
        <v>1043</v>
      </c>
      <c r="R6" s="12" t="s">
        <v>1044</v>
      </c>
      <c r="S6" s="12" t="s">
        <v>330</v>
      </c>
      <c r="T6" s="12" t="s">
        <v>1014</v>
      </c>
      <c r="U6" s="12" t="s">
        <v>1016</v>
      </c>
      <c r="V6" s="12" t="s">
        <v>193</v>
      </c>
      <c r="W6" s="12" t="s">
        <v>1017</v>
      </c>
      <c r="X6" s="12" t="s">
        <v>1018</v>
      </c>
      <c r="Y6" s="12" t="s">
        <v>1020</v>
      </c>
      <c r="Z6" s="12" t="s">
        <v>1022</v>
      </c>
      <c r="AA6" s="12" t="s">
        <v>331</v>
      </c>
      <c r="AB6" s="12" t="s">
        <v>1025</v>
      </c>
      <c r="AC6" s="12" t="s">
        <v>1026</v>
      </c>
      <c r="AD6" s="12" t="s">
        <v>1027</v>
      </c>
      <c r="AE6" s="12" t="s">
        <v>1028</v>
      </c>
      <c r="AF6" s="12" t="s">
        <v>1029</v>
      </c>
      <c r="AG6" s="12" t="s">
        <v>1030</v>
      </c>
      <c r="AH6" s="12" t="s">
        <v>1031</v>
      </c>
      <c r="AI6" s="12" t="s">
        <v>332</v>
      </c>
      <c r="AJ6" s="12" t="s">
        <v>333</v>
      </c>
      <c r="AK6" s="12" t="s">
        <v>1032</v>
      </c>
      <c r="AL6" s="12" t="s">
        <v>1045</v>
      </c>
      <c r="AM6" s="12" t="s">
        <v>1046</v>
      </c>
      <c r="AO6" s="12" t="s">
        <v>1058</v>
      </c>
      <c r="AP6" s="12" t="s">
        <v>1059</v>
      </c>
      <c r="AQ6" s="12" t="s">
        <v>1060</v>
      </c>
      <c r="AR6" s="12" t="s">
        <v>1061</v>
      </c>
      <c r="AS6" s="12" t="s">
        <v>1062</v>
      </c>
      <c r="AT6" s="12" t="s">
        <v>1063</v>
      </c>
      <c r="AU6" s="12" t="s">
        <v>1064</v>
      </c>
      <c r="AV6" s="12" t="s">
        <v>1065</v>
      </c>
      <c r="AW6" s="12" t="s">
        <v>1066</v>
      </c>
      <c r="AX6" s="12" t="s">
        <v>1067</v>
      </c>
      <c r="AY6" s="12" t="s">
        <v>1068</v>
      </c>
      <c r="AZ6" s="12" t="s">
        <v>1069</v>
      </c>
      <c r="BA6" s="12" t="s">
        <v>1070</v>
      </c>
      <c r="BB6" s="12" t="s">
        <v>1071</v>
      </c>
      <c r="BC6" s="12" t="s">
        <v>1072</v>
      </c>
      <c r="BD6" s="12" t="s">
        <v>1073</v>
      </c>
      <c r="BE6" s="12" t="s">
        <v>1074</v>
      </c>
      <c r="BF6" s="12" t="s">
        <v>326</v>
      </c>
      <c r="BG6" s="12" t="s">
        <v>1075</v>
      </c>
      <c r="BH6" s="12" t="s">
        <v>1076</v>
      </c>
      <c r="BI6" s="12" t="s">
        <v>1077</v>
      </c>
      <c r="BJ6" s="12" t="s">
        <v>1078</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1</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n">
        <f aca="false">IF(BG7=1,B7,"")</f>
        <v>46399</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Y</v>
      </c>
      <c r="BA8" s="19" t="n">
        <f aca="false">IF(AZ8="Y",Drop_Actuals!D8,S8)</f>
        <v>4350</v>
      </c>
      <c r="BB8" s="19" t="n">
        <f aca="false">IF(AZ8="Y",Drop_Actuals!J8,AA8)</f>
        <v>745</v>
      </c>
      <c r="BC8" s="36" t="n">
        <f aca="false">IF(AZ8="Y",Drop_Actuals!R8,AI8)</f>
        <v>52</v>
      </c>
      <c r="BD8" s="19" t="n">
        <f aca="false">BA8-BB8</f>
        <v>3605</v>
      </c>
      <c r="BE8" s="28" t="n">
        <f aca="false">IF(BC8&gt;0,BD8/BC8,"n/a")</f>
        <v>69.3269230769231</v>
      </c>
      <c r="BF8" s="30" t="str">
        <f aca="false">IF(AND(N8=0,AZ8="N"),"",IF(AZ8="Y","actual","plan"))</f>
        <v>actual</v>
      </c>
      <c r="BG8" s="21" t="n">
        <f aca="false">IF(AND(N8=1,B8&gt;=Inputs!$C$17),1,0)</f>
        <v>1</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3760</v>
      </c>
      <c r="BJ8" s="18" t="n">
        <f aca="false">IF(BG8=1,B8,"")</f>
        <v>46427</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Y</v>
      </c>
      <c r="BA9" s="19" t="n">
        <f aca="false">IF(AZ9="Y",Drop_Actuals!D9,S9)</f>
        <v>1350</v>
      </c>
      <c r="BB9" s="19" t="n">
        <f aca="false">IF(AZ9="Y",Drop_Actuals!J9,AA9)</f>
        <v>535</v>
      </c>
      <c r="BC9" s="36" t="n">
        <f aca="false">IF(AZ9="Y",Drop_Actuals!R9,AI9)</f>
        <v>20.5</v>
      </c>
      <c r="BD9" s="19" t="n">
        <f aca="false">BA9-BB9</f>
        <v>815</v>
      </c>
      <c r="BE9" s="28" t="n">
        <f aca="false">IF(BC9&gt;0,BD9/BC9,"n/a")</f>
        <v>39.7560975609756</v>
      </c>
      <c r="BF9" s="30" t="str">
        <f aca="false">IF(AND(N9=0,AZ9="N"),"",IF(AZ9="Y","actual","plan"))</f>
        <v>actual</v>
      </c>
      <c r="BG9" s="21" t="n">
        <f aca="false">IF(AND(N9=1,B9&gt;=Inputs!$C$17),1,0)</f>
        <v>1</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970</v>
      </c>
      <c r="BJ9" s="18" t="n">
        <f aca="false">IF(BG9=1,B9,"")</f>
        <v>46441</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1079</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15780</v>
      </c>
      <c r="BB19" s="37" t="n">
        <f aca="false">SUM(BB7:BB18)</f>
        <v>2252</v>
      </c>
      <c r="BC19" s="38" t="n">
        <f aca="false">SUM(BC7:BC18)</f>
        <v>211.5</v>
      </c>
      <c r="BD19" s="37" t="n">
        <f aca="false">SUM(BD7:BD18)</f>
        <v>13528</v>
      </c>
      <c r="BE19" s="29" t="n">
        <f aca="false">IF(BC19&gt;0,BD19/BC19,"n/a")</f>
        <v>63.9621749408983</v>
      </c>
      <c r="BH19" s="37" t="n">
        <f aca="false">SUM(BH7:BH18)</f>
        <v>17544</v>
      </c>
      <c r="BI19" s="37" t="n">
        <f aca="false">SUM(BI7:BI18)</f>
        <v>14228</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1080</v>
      </c>
    </row>
    <row r="2" customFormat="false" ht="15" hidden="false" customHeight="false" outlineLevel="0" collapsed="false">
      <c r="A2" s="2" t="s">
        <v>1081</v>
      </c>
    </row>
    <row r="3" customFormat="false" ht="30" hidden="false" customHeight="true" outlineLevel="0" collapsed="false">
      <c r="A3" s="8" t="s">
        <v>1082</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1083</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1084</v>
      </c>
    </row>
    <row r="5" customFormat="false" ht="15" hidden="false" customHeight="false" outlineLevel="0" collapsed="false">
      <c r="B5" s="9" t="s">
        <v>1085</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1086</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1087</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1088</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1089</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9000</v>
      </c>
    </row>
    <row r="10" customFormat="false" ht="15" hidden="false" customHeight="false" outlineLevel="0" collapsed="false">
      <c r="B10" s="30" t="s">
        <v>1090</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750</v>
      </c>
      <c r="N10" s="19" t="n">
        <f aca="false">SUMIFS(Actuals_Campaigns!$X$5:$X$204,Actuals_Campaigns!$Y$5:$Y$204,"&gt;="&amp;N$5,Actuals_Campaigns!$Y$5:$Y$204,"&lt;="&amp;N$6,Actuals_Campaigns!$AL$5:$AL$204,"Y")+SUMIFS(Actuals_Campaigns!$AM$5:$AM$204,Actuals_Campaigns!$S$5:$S$204,"&gt;="&amp;N$5,Actuals_Campaigns!$S$5:$S$204,"&lt;="&amp;N$6,Actuals_Campaigns!$AL$5:$AL$204,"Y")</f>
        <v>1500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750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750</v>
      </c>
      <c r="S10" s="19" t="n">
        <f aca="false">SUMIFS(Actuals_Campaigns!$X$5:$X$204,Actuals_Campaigns!$Y$5:$Y$204,"&gt;="&amp;S$5,Actuals_Campaigns!$Y$5:$Y$204,"&lt;="&amp;S$6,Actuals_Campaigns!$AL$5:$AL$204,"Y")+SUMIFS(Actuals_Campaigns!$AM$5:$AM$204,Actuals_Campaigns!$S$5:$S$204,"&gt;="&amp;S$5,Actuals_Campaigns!$S$5:$S$204,"&lt;="&amp;S$6,Actuals_Campaigns!$AL$5:$AL$204,"Y")</f>
        <v>1350</v>
      </c>
      <c r="T10" s="19" t="n">
        <f aca="false">SUMIFS(Actuals_Campaigns!$X$5:$X$204,Actuals_Campaigns!$Y$5:$Y$204,"&gt;="&amp;T$5,Actuals_Campaigns!$Y$5:$Y$204,"&lt;="&amp;T$6,Actuals_Campaigns!$AL$5:$AL$204,"Y")+SUMIFS(Actuals_Campaigns!$AM$5:$AM$204,Actuals_Campaigns!$S$5:$S$204,"&gt;="&amp;T$5,Actuals_Campaigns!$S$5:$S$204,"&lt;="&amp;T$6,Actuals_Campaigns!$AL$5:$AL$204,"Y")</f>
        <v>600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6780</v>
      </c>
    </row>
    <row r="11" customFormat="false" ht="15" hidden="false" customHeight="false" outlineLevel="0" collapsed="false">
      <c r="B11" s="9" t="s">
        <v>1091</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750</v>
      </c>
      <c r="N11" s="37" t="n">
        <f aca="false">SUM(N9:N10)</f>
        <v>1500</v>
      </c>
      <c r="O11" s="37" t="n">
        <f aca="false">SUM(O9:O10)</f>
        <v>0</v>
      </c>
      <c r="P11" s="37" t="n">
        <f aca="false">SUM(P9:P10)</f>
        <v>750</v>
      </c>
      <c r="Q11" s="37" t="n">
        <f aca="false">SUM(Q9:Q10)</f>
        <v>0</v>
      </c>
      <c r="R11" s="37" t="n">
        <f aca="false">SUM(R9:R10)</f>
        <v>750</v>
      </c>
      <c r="S11" s="37" t="n">
        <f aca="false">SUM(S9:S10)</f>
        <v>1350</v>
      </c>
      <c r="T11" s="37" t="n">
        <f aca="false">SUM(T9:T10)</f>
        <v>600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15780</v>
      </c>
    </row>
    <row r="12" customFormat="false" ht="15" hidden="false" customHeight="false" outlineLevel="0" collapsed="false">
      <c r="A12" s="3" t="s">
        <v>1092</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1093</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-0</v>
      </c>
      <c r="R13" s="19" t="n">
        <f aca="false">-SUMIFS(Drop_PnL!$T$7:$T$18,Drop_PnL!$AX$7:$AX$18,"&gt;="&amp;R$5,Drop_PnL!$AX$7:$AX$18,"&lt;="&amp;R$6,Drop_PnL!$AZ$7:$AZ$18,"N")</f>
        <v>-0</v>
      </c>
      <c r="S13" s="19" t="n">
        <f aca="false">-SUMIFS(Drop_PnL!$T$7:$T$18,Drop_PnL!$AX$7:$AX$18,"&gt;="&amp;S$5,Drop_PnL!$AX$7:$AX$18,"&lt;="&amp;S$6,Drop_PnL!$AZ$7:$AZ$18,"N")</f>
        <v>-0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-160</v>
      </c>
    </row>
    <row r="14" customFormat="false" ht="15" hidden="false" customHeight="false" outlineLevel="0" collapsed="false">
      <c r="B14" s="30" t="s">
        <v>1094</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-0</v>
      </c>
      <c r="S14" s="19" t="n">
        <f aca="false">-SUMIFS(Drop_PnL!$U$7:$U$18,Drop_PnL!$AY$7:$AY$18,"&gt;="&amp;S$5,Drop_PnL!$AY$7:$AY$18,"&lt;="&amp;S$6,Drop_PnL!$AZ$7:$AZ$18,"N")</f>
        <v>-0</v>
      </c>
      <c r="T14" s="19" t="n">
        <f aca="false">-SUMIFS(Drop_PnL!$U$7:$U$18,Drop_PnL!$AY$7:$AY$18,"&gt;="&amp;T$5,Drop_PnL!$AY$7:$AY$18,"&lt;="&amp;T$6,Drop_PnL!$AZ$7:$AZ$18,"N")</f>
        <v>-0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0</v>
      </c>
    </row>
    <row r="15" customFormat="false" ht="15" hidden="false" customHeight="false" outlineLevel="0" collapsed="false">
      <c r="B15" s="30" t="s">
        <v>1095</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1096</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-0</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-0</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-0</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-270</v>
      </c>
    </row>
    <row r="17" customFormat="false" ht="15" hidden="false" customHeight="false" outlineLevel="0" collapsed="false">
      <c r="B17" s="30" t="s">
        <v>1097</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-590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-380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-1122</v>
      </c>
    </row>
    <row r="18" customFormat="false" ht="15" hidden="false" customHeight="false" outlineLevel="0" collapsed="false">
      <c r="B18" s="9" t="s">
        <v>1098</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0</v>
      </c>
      <c r="Q18" s="37" t="n">
        <f aca="false">SUM(Q13:Q17)</f>
        <v>0</v>
      </c>
      <c r="R18" s="37" t="n">
        <f aca="false">SUM(R13:R17)</f>
        <v>-590</v>
      </c>
      <c r="S18" s="37" t="n">
        <f aca="false">SUM(S13:S17)</f>
        <v>0</v>
      </c>
      <c r="T18" s="37" t="n">
        <f aca="false">SUM(T13:T17)</f>
        <v>-380</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-1552</v>
      </c>
    </row>
    <row r="19" customFormat="false" ht="15" hidden="false" customHeight="false" outlineLevel="0" collapsed="false">
      <c r="A19" s="3" t="s">
        <v>1099</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1100</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570</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1101</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1102</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1103</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1104</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750</v>
      </c>
      <c r="N26" s="90" t="n">
        <f aca="false">N11+N18+N24+N25</f>
        <v>1298</v>
      </c>
      <c r="O26" s="90" t="n">
        <f aca="false">O11+O18+O24+O25</f>
        <v>-350</v>
      </c>
      <c r="P26" s="90" t="n">
        <f aca="false">P11+P18+P24+P25</f>
        <v>690</v>
      </c>
      <c r="Q26" s="90" t="n">
        <f aca="false">Q11+Q18+Q24+Q25</f>
        <v>-150</v>
      </c>
      <c r="R26" s="90" t="n">
        <f aca="false">R11+R18+R24+R25</f>
        <v>160</v>
      </c>
      <c r="S26" s="90" t="n">
        <f aca="false">S11+S18+S24+S25</f>
        <v>1350</v>
      </c>
      <c r="T26" s="90" t="n">
        <f aca="false">T11+T18+T24+T25</f>
        <v>160</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8093</v>
      </c>
    </row>
    <row r="27" customFormat="false" ht="15" hidden="false" customHeight="false" outlineLevel="0" collapsed="false">
      <c r="B27" s="9" t="s">
        <v>1105</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-3250</v>
      </c>
      <c r="N27" s="90" t="n">
        <f aca="false">M27+N26</f>
        <v>-1952</v>
      </c>
      <c r="O27" s="90" t="n">
        <f aca="false">N27+O26</f>
        <v>-2302</v>
      </c>
      <c r="P27" s="90" t="n">
        <f aca="false">O27+P26</f>
        <v>-1612</v>
      </c>
      <c r="Q27" s="90" t="n">
        <f aca="false">P27+Q26</f>
        <v>-1762</v>
      </c>
      <c r="R27" s="90" t="n">
        <f aca="false">Q27+R26</f>
        <v>-1602</v>
      </c>
      <c r="S27" s="90" t="n">
        <f aca="false">R27+S26</f>
        <v>-252</v>
      </c>
      <c r="T27" s="90" t="n">
        <f aca="false">S27+T26</f>
        <v>-92</v>
      </c>
      <c r="U27" s="90" t="n">
        <f aca="false">T27+U26</f>
        <v>-242</v>
      </c>
      <c r="V27" s="90" t="n">
        <f aca="false">U27+V26</f>
        <v>1940.5</v>
      </c>
      <c r="W27" s="90" t="n">
        <f aca="false">V27+W26</f>
        <v>1835.5</v>
      </c>
      <c r="X27" s="90" t="n">
        <f aca="false">W27+X26</f>
        <v>6140.5</v>
      </c>
      <c r="Y27" s="90" t="n">
        <f aca="false">X27+Y26</f>
        <v>5910.5</v>
      </c>
      <c r="Z27" s="90" t="n">
        <f aca="false">Y27+Z26</f>
        <v>8093</v>
      </c>
      <c r="AA27" s="90" t="n">
        <f aca="false">Z27+AA26</f>
        <v>8093</v>
      </c>
      <c r="AB27" s="90" t="n">
        <f aca="false">AA27+AB26</f>
        <v>8093</v>
      </c>
      <c r="AC27" s="90" t="n">
        <f aca="false">AB27</f>
        <v>8093</v>
      </c>
    </row>
    <row r="28" customFormat="false" ht="15" hidden="false" customHeight="false" outlineLevel="0" collapsed="false">
      <c r="B28" s="9" t="s">
        <v>1106</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1107</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-3250</v>
      </c>
      <c r="N29" s="90" t="n">
        <f aca="false">N27+SUM($C28:N28)</f>
        <v>-1952</v>
      </c>
      <c r="O29" s="90" t="n">
        <f aca="false">O27+SUM($C28:O28)</f>
        <v>-2302</v>
      </c>
      <c r="P29" s="90" t="n">
        <f aca="false">P27+SUM($C28:P28)</f>
        <v>-1612</v>
      </c>
      <c r="Q29" s="90" t="n">
        <f aca="false">Q27+SUM($C28:Q28)</f>
        <v>-1762</v>
      </c>
      <c r="R29" s="90" t="n">
        <f aca="false">R27+SUM($C28:R28)</f>
        <v>-1602</v>
      </c>
      <c r="S29" s="90" t="n">
        <f aca="false">S27+SUM($C28:S28)</f>
        <v>-252</v>
      </c>
      <c r="T29" s="90" t="n">
        <f aca="false">T27+SUM($C28:T28)</f>
        <v>-92</v>
      </c>
      <c r="U29" s="90" t="n">
        <f aca="false">U27+SUM($C28:U28)</f>
        <v>-242</v>
      </c>
      <c r="V29" s="90" t="n">
        <f aca="false">V27+SUM($C28:V28)</f>
        <v>1940.5</v>
      </c>
      <c r="W29" s="90" t="n">
        <f aca="false">W27+SUM($C28:W28)</f>
        <v>1835.5</v>
      </c>
      <c r="X29" s="90" t="n">
        <f aca="false">X27+SUM($C28:X28)</f>
        <v>6140.5</v>
      </c>
      <c r="Y29" s="90" t="n">
        <f aca="false">Y27+SUM($C28:Y28)</f>
        <v>5910.5</v>
      </c>
      <c r="Z29" s="90" t="n">
        <f aca="false">Z27+SUM($C28:Z28)</f>
        <v>8093</v>
      </c>
      <c r="AA29" s="90" t="n">
        <f aca="false">AA27+SUM($C28:AA28)</f>
        <v>8093</v>
      </c>
      <c r="AB29" s="90" t="n">
        <f aca="false">AB27+SUM($C28:AB28)</f>
        <v>8093</v>
      </c>
      <c r="AC29" s="90" t="n">
        <f aca="false">AB29</f>
        <v>8093</v>
      </c>
    </row>
    <row r="30" customFormat="false" ht="15" hidden="false" customHeight="false" outlineLevel="0" collapsed="false">
      <c r="B30" s="9" t="s">
        <v>1108</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1109</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1110</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1111</v>
      </c>
      <c r="C34" s="16" t="n">
        <f aca="false">MIN(C27:AB27)</f>
        <v>-4000</v>
      </c>
    </row>
    <row r="35" customFormat="false" ht="15" hidden="false" customHeight="false" outlineLevel="0" collapsed="false">
      <c r="B35" s="30" t="s">
        <v>1112</v>
      </c>
      <c r="C35" s="22" t="n">
        <f aca="false">INDEX(C4:AB4,1,MATCH(C34,C27:AB27,0))</f>
        <v>9</v>
      </c>
    </row>
    <row r="36" customFormat="false" ht="15" hidden="false" customHeight="false" outlineLevel="0" collapsed="false">
      <c r="B36" s="30" t="s">
        <v>1113</v>
      </c>
      <c r="C36" s="91" t="n">
        <f aca="false">INDEX(C5:AB5,1,MATCH(C34,C27:AB27,0))</f>
        <v>46377</v>
      </c>
    </row>
    <row r="37" customFormat="false" ht="15" hidden="false" customHeight="false" outlineLevel="0" collapsed="false">
      <c r="B37" s="30" t="s">
        <v>1114</v>
      </c>
      <c r="C37" s="37" t="n">
        <f aca="false">-MIN(0,C34)</f>
        <v>4000</v>
      </c>
    </row>
    <row r="38" customFormat="false" ht="15" hidden="false" customHeight="false" outlineLevel="0" collapsed="false">
      <c r="B38" s="30" t="s">
        <v>1115</v>
      </c>
      <c r="C38" s="37" t="n">
        <f aca="false">Inputs!$C$117</f>
        <v>1000</v>
      </c>
    </row>
    <row r="39" customFormat="false" ht="15" hidden="false" customHeight="false" outlineLevel="0" collapsed="false">
      <c r="B39" s="30" t="s">
        <v>1116</v>
      </c>
      <c r="C39" s="16" t="n">
        <f aca="false">C37+C38</f>
        <v>5000</v>
      </c>
    </row>
    <row r="40" customFormat="false" ht="15" hidden="false" customHeight="false" outlineLevel="0" collapsed="false">
      <c r="B40" s="30" t="s">
        <v>1117</v>
      </c>
      <c r="C40" s="37" t="n">
        <f aca="false">Capital!D14</f>
        <v>6510</v>
      </c>
    </row>
    <row r="41" customFormat="false" ht="15" hidden="false" customHeight="false" outlineLevel="0" collapsed="false">
      <c r="B41" s="30" t="s">
        <v>1118</v>
      </c>
      <c r="C41" s="16" t="n">
        <f aca="false">C40-C39</f>
        <v>1510</v>
      </c>
    </row>
    <row r="42" customFormat="false" ht="15" hidden="false" customHeight="false" outlineLevel="0" collapsed="false">
      <c r="B42" s="30" t="s">
        <v>1119</v>
      </c>
      <c r="C42" s="37" t="str">
        <f aca="false">IF(Inputs!$C$115="","not set",Inputs!$C$115)</f>
        <v>not set</v>
      </c>
    </row>
    <row r="43" customFormat="false" ht="15" hidden="false" customHeight="false" outlineLevel="0" collapsed="false">
      <c r="B43" s="30" t="s">
        <v>1120</v>
      </c>
      <c r="C43" s="37" t="n">
        <f aca="false">MIN(C29:AB29)</f>
        <v>-4000</v>
      </c>
    </row>
    <row r="44" customFormat="false" ht="15" hidden="false" customHeight="false" outlineLevel="0" collapsed="false">
      <c r="B44" s="30" t="s">
        <v>1121</v>
      </c>
      <c r="C44" s="37" t="n">
        <f aca="false">AB27</f>
        <v>8093</v>
      </c>
    </row>
    <row r="45" customFormat="false" ht="15" hidden="false" customHeight="false" outlineLevel="0" collapsed="false">
      <c r="B45" s="30" t="s">
        <v>1122</v>
      </c>
      <c r="C45" s="22" t="str">
        <f aca="false">IF(COUNT(C30:AB30)=0,"",SUMPRODUCT(MAX((C30:AB30&lt;&gt;"")*C4:AB4)))</f>
        <v/>
      </c>
    </row>
    <row r="46" customFormat="false" ht="15" hidden="false" customHeight="false" outlineLevel="0" collapsed="false">
      <c r="B46" s="30" t="s">
        <v>1123</v>
      </c>
      <c r="C46" s="37" t="str">
        <f aca="false">IF(C45="","",INDEX(C31:AB31,1,C45))</f>
        <v/>
      </c>
    </row>
    <row r="48" customFormat="false" ht="15" hidden="false" customHeight="false" outlineLevel="0" collapsed="false">
      <c r="A48" s="3" t="s">
        <v>1124</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1125</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1084</v>
      </c>
    </row>
    <row r="50" customFormat="false" ht="15" hidden="false" customHeight="false" outlineLevel="0" collapsed="false">
      <c r="B50" s="9" t="s">
        <v>1126</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1127</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1089</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9000</v>
      </c>
    </row>
    <row r="53" customFormat="false" ht="15" hidden="false" customHeight="false" outlineLevel="0" collapsed="false">
      <c r="B53" s="30" t="s">
        <v>1090</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3000</v>
      </c>
      <c r="G53" s="19" t="n">
        <f aca="false">SUMIFS(Actuals_Campaigns!$X$5:$X$204,Actuals_Campaigns!$Y$5:$Y$204,"&gt;="&amp;G$50,Actuals_Campaigns!$Y$5:$Y$204,"&lt;="&amp;G$51,Actuals_Campaigns!$AL$5:$AL$204,"Y")+SUMIFS(Actuals_Campaigns!$AM$5:$AM$204,Actuals_Campaigns!$S$5:$S$204,"&gt;="&amp;G$50,Actuals_Campaigns!$S$5:$S$204,"&lt;="&amp;G$51,Actuals_Campaigns!$AL$5:$AL$204,"Y")</f>
        <v>2700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6780</v>
      </c>
    </row>
    <row r="54" customFormat="false" ht="15" hidden="false" customHeight="false" outlineLevel="0" collapsed="false">
      <c r="B54" s="9" t="s">
        <v>1091</v>
      </c>
      <c r="C54" s="37" t="n">
        <f aca="false">C52+C53</f>
        <v>0</v>
      </c>
      <c r="D54" s="37" t="n">
        <f aca="false">D52+D53</f>
        <v>0</v>
      </c>
      <c r="E54" s="37" t="n">
        <f aca="false">E52+E53</f>
        <v>1080</v>
      </c>
      <c r="F54" s="37" t="n">
        <f aca="false">F52+F53</f>
        <v>3000</v>
      </c>
      <c r="G54" s="37" t="n">
        <f aca="false">G52+G53</f>
        <v>2700</v>
      </c>
      <c r="H54" s="37" t="n">
        <f aca="false">H52+H53</f>
        <v>6750</v>
      </c>
      <c r="I54" s="37" t="n">
        <f aca="false">I52+I53</f>
        <v>2250</v>
      </c>
      <c r="J54" s="37" t="n">
        <f aca="false">SUM(C54:I54)</f>
        <v>15780</v>
      </c>
    </row>
    <row r="55" customFormat="false" ht="15" hidden="false" customHeight="false" outlineLevel="0" collapsed="false">
      <c r="B55" s="30" t="s">
        <v>1093</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-0</v>
      </c>
      <c r="H55" s="19" t="n">
        <f aca="false">-SUMIFS(Drop_PnL!$T$7:$T$18,Drop_PnL!$AX$7:$AX$18,"&gt;="&amp;H$50,Drop_PnL!$AX$7:$AX$18,"&lt;="&amp;H$51,Drop_PnL!$AZ$7:$AZ$18,"N")</f>
        <v>-80</v>
      </c>
      <c r="I55" s="19" t="n">
        <f aca="false">-SUMIFS(Drop_PnL!$T$7:$T$18,Drop_PnL!$AX$7:$AX$18,"&gt;="&amp;I$50,Drop_PnL!$AX$7:$AX$18,"&lt;="&amp;I$51,Drop_PnL!$AZ$7:$AZ$18,"N")</f>
        <v>-80</v>
      </c>
      <c r="J55" s="37" t="n">
        <f aca="false">SUM(C55:I55)</f>
        <v>-160</v>
      </c>
    </row>
    <row r="56" customFormat="false" ht="15" hidden="false" customHeight="false" outlineLevel="0" collapsed="false">
      <c r="B56" s="30" t="s">
        <v>1094</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-0</v>
      </c>
      <c r="H56" s="19" t="n">
        <f aca="false">-SUMIFS(Drop_PnL!$U$7:$U$18,Drop_PnL!$AY$7:$AY$18,"&gt;="&amp;H$50,Drop_PnL!$AY$7:$AY$18,"&lt;="&amp;H$51,Drop_PnL!$AZ$7:$AZ$18,"N")</f>
        <v>-0</v>
      </c>
      <c r="I56" s="19" t="n">
        <f aca="false">-SUMIFS(Drop_PnL!$U$7:$U$18,Drop_PnL!$AY$7:$AY$18,"&gt;="&amp;I$50,Drop_PnL!$AY$7:$AY$18,"&lt;="&amp;I$51,Drop_PnL!$AZ$7:$AZ$18,"N")</f>
        <v>-0</v>
      </c>
      <c r="J56" s="37" t="n">
        <f aca="false">SUM(C56:I56)</f>
        <v>0</v>
      </c>
    </row>
    <row r="57" customFormat="false" ht="15" hidden="false" customHeight="false" outlineLevel="0" collapsed="false">
      <c r="B57" s="30" t="s">
        <v>1095</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1096</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-0</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-0</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-270</v>
      </c>
    </row>
    <row r="59" customFormat="false" ht="15" hidden="false" customHeight="false" outlineLevel="0" collapsed="false">
      <c r="B59" s="30" t="s">
        <v>1097</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-970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-1122</v>
      </c>
    </row>
    <row r="60" customFormat="false" ht="15" hidden="false" customHeight="false" outlineLevel="0" collapsed="false">
      <c r="B60" s="9" t="s">
        <v>1098</v>
      </c>
      <c r="C60" s="37" t="n">
        <f aca="false">C55+C56+C57+C58+C59</f>
        <v>-0</v>
      </c>
      <c r="D60" s="37" t="n">
        <f aca="false">D55+D56+D57+D58+D59</f>
        <v>-0</v>
      </c>
      <c r="E60" s="37" t="n">
        <f aca="false">E55+E56+E57+E58+E59</f>
        <v>-0</v>
      </c>
      <c r="F60" s="37" t="n">
        <f aca="false">F55+F56+F57+F58+F59</f>
        <v>-152</v>
      </c>
      <c r="G60" s="37" t="n">
        <f aca="false">G55+G56+G57+G58+G59</f>
        <v>-970</v>
      </c>
      <c r="H60" s="37" t="n">
        <f aca="false">H55+H56+H57+H58+H59</f>
        <v>-282.5</v>
      </c>
      <c r="I60" s="37" t="n">
        <f aca="false">I55+I56+I57+I58+I59</f>
        <v>-147.5</v>
      </c>
      <c r="J60" s="37" t="n">
        <f aca="false">SUM(C60:I60)</f>
        <v>-1552</v>
      </c>
    </row>
    <row r="61" customFormat="false" ht="15" hidden="false" customHeight="false" outlineLevel="0" collapsed="false">
      <c r="B61" s="30" t="s">
        <v>1100</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570</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1101</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1102</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1103</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1104</v>
      </c>
      <c r="C67" s="37" t="n">
        <f aca="false">C54+C60+C65+C66</f>
        <v>-160</v>
      </c>
      <c r="D67" s="37" t="n">
        <f aca="false">D54+D60+D65+D66</f>
        <v>-960</v>
      </c>
      <c r="E67" s="37" t="n">
        <f aca="false">E54+E60+E65+E66</f>
        <v>-2880</v>
      </c>
      <c r="F67" s="37" t="n">
        <f aca="false">F54+F60+F65+F66</f>
        <v>2388</v>
      </c>
      <c r="G67" s="37" t="n">
        <f aca="false">G54+G60+G65+G66</f>
        <v>1520</v>
      </c>
      <c r="H67" s="37" t="n">
        <f aca="false">H54+H60+H65+H66</f>
        <v>6232.5</v>
      </c>
      <c r="I67" s="37" t="n">
        <f aca="false">I54+I60+I65+I66</f>
        <v>1952.5</v>
      </c>
      <c r="J67" s="37" t="n">
        <f aca="false">SUM(C67:I67)</f>
        <v>8093</v>
      </c>
    </row>
    <row r="69" customFormat="false" ht="15" hidden="false" customHeight="false" outlineLevel="0" collapsed="false">
      <c r="B69" s="9" t="s">
        <v>1128</v>
      </c>
      <c r="C69" s="94" t="n">
        <f aca="false">J67-AC26</f>
        <v>0</v>
      </c>
    </row>
    <row r="70" customFormat="false" ht="15" hidden="false" customHeight="false" outlineLevel="0" collapsed="false">
      <c r="B70" s="30" t="s">
        <v>1129</v>
      </c>
      <c r="C70" s="19" t="n">
        <f aca="false">SUMIFS(Drop_PnL!$AM$7:$AM$18,Drop_PnL!$B$7:$B$18,"&gt;="&amp;Inputs!$C$10,Drop_PnL!$B$7:$B$18,"&lt;="&amp;Cash_Flow!$AB$6)</f>
        <v>700</v>
      </c>
    </row>
    <row r="71" customFormat="false" ht="15" hidden="false" customHeight="false" outlineLevel="0" collapsed="false">
      <c r="B71" s="30" t="s">
        <v>1130</v>
      </c>
      <c r="C71" s="19" t="n">
        <f aca="false">-AC24</f>
        <v>2010</v>
      </c>
    </row>
    <row r="72" customFormat="false" ht="15" hidden="false" customHeight="false" outlineLevel="0" collapsed="false">
      <c r="B72" s="30" t="s">
        <v>1131</v>
      </c>
      <c r="C72" s="37" t="n">
        <f aca="false">C71-C70</f>
        <v>1310</v>
      </c>
    </row>
    <row r="73" customFormat="false" ht="15" hidden="false" customHeight="false" outlineLevel="0" collapsed="false">
      <c r="B73" s="30" t="s">
        <v>1132</v>
      </c>
      <c r="C73" s="21" t="n">
        <f aca="false">COUNTIFS(Cash_Ledger!$A$5:$A$53,"insurance",Cash_Ledger!$B$5:$B$53,"&gt;0",Cash_Ledger!$C$5:$C$53,"&gt;="&amp;Inputs!$C$10,Cash_Ledger!$C$5:$C$53,"&lt;="&amp;Cash_Flow!$AB$6)</f>
        <v>5</v>
      </c>
    </row>
    <row r="74" customFormat="false" ht="15" hidden="false" customHeight="false" outlineLevel="0" collapsed="false">
      <c r="B74" s="30" t="s">
        <v>1133</v>
      </c>
      <c r="C74" s="19" t="n">
        <f aca="false">C73*Inputs!$C$81</f>
        <v>500</v>
      </c>
    </row>
    <row r="75" customFormat="false" ht="15" hidden="false" customHeight="false" outlineLevel="0" collapsed="false">
      <c r="B75" s="30" t="s">
        <v>1134</v>
      </c>
      <c r="C75" s="19" t="n">
        <f aca="false">MAX(0,-AC21-C74)</f>
        <v>700</v>
      </c>
    </row>
    <row r="76" customFormat="false" ht="15" hidden="false" customHeight="false" outlineLevel="0" collapsed="false">
      <c r="B76" s="30" t="s">
        <v>1135</v>
      </c>
      <c r="C76" s="19" t="n">
        <f aca="false">C71-C75</f>
        <v>1310</v>
      </c>
    </row>
    <row r="77" customFormat="false" ht="15" hidden="false" customHeight="false" outlineLevel="0" collapsed="false">
      <c r="B77" s="30" t="s">
        <v>1136</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1137</v>
      </c>
    </row>
    <row r="2" customFormat="false" ht="15" hidden="false" customHeight="false" outlineLevel="0" collapsed="false">
      <c r="A2" s="2" t="s">
        <v>1138</v>
      </c>
    </row>
    <row r="3" customFormat="false" ht="30" hidden="false" customHeight="true" outlineLevel="0" collapsed="false">
      <c r="A3" s="8" t="s">
        <v>1139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1051</v>
      </c>
      <c r="B5" s="87"/>
      <c r="C5" s="87"/>
      <c r="E5" s="87" t="s">
        <v>1052</v>
      </c>
      <c r="F5" s="87"/>
      <c r="G5" s="87"/>
      <c r="H5" s="87"/>
      <c r="I5" s="87"/>
      <c r="J5" s="87"/>
      <c r="K5" s="87"/>
      <c r="L5" s="87"/>
      <c r="M5" s="87"/>
      <c r="N5" s="87" t="s">
        <v>330</v>
      </c>
      <c r="O5" s="87"/>
      <c r="P5" s="87"/>
      <c r="Q5" s="87"/>
      <c r="R5" s="87"/>
      <c r="S5" s="87"/>
      <c r="T5" s="87" t="s">
        <v>331</v>
      </c>
      <c r="U5" s="87"/>
      <c r="V5" s="87"/>
      <c r="W5" s="87"/>
      <c r="X5" s="87"/>
      <c r="Y5" s="87"/>
      <c r="Z5" s="87"/>
      <c r="AA5" s="87"/>
      <c r="AB5" s="87" t="s">
        <v>1053</v>
      </c>
      <c r="AC5" s="87"/>
      <c r="AD5" s="87"/>
      <c r="AE5" s="87"/>
      <c r="AF5" s="87"/>
      <c r="AG5" s="87"/>
      <c r="AH5" s="87"/>
      <c r="AI5" s="87"/>
      <c r="AJ5" s="87" t="s">
        <v>1010</v>
      </c>
      <c r="AK5" s="87"/>
      <c r="AL5" s="87" t="s">
        <v>1054</v>
      </c>
      <c r="AM5" s="87"/>
    </row>
    <row r="6" customFormat="false" ht="57.75" hidden="false" customHeight="true" outlineLevel="0" collapsed="false">
      <c r="A6" s="12" t="s">
        <v>1037</v>
      </c>
      <c r="B6" s="12" t="s">
        <v>325</v>
      </c>
      <c r="C6" s="12" t="s">
        <v>327</v>
      </c>
      <c r="D6" s="12" t="s">
        <v>943</v>
      </c>
      <c r="E6" s="12" t="s">
        <v>329</v>
      </c>
      <c r="F6" s="12" t="s">
        <v>944</v>
      </c>
      <c r="G6" s="12" t="s">
        <v>328</v>
      </c>
      <c r="H6" s="12" t="s">
        <v>945</v>
      </c>
      <c r="I6" s="12" t="s">
        <v>946</v>
      </c>
      <c r="J6" s="12" t="s">
        <v>456</v>
      </c>
      <c r="K6" s="12" t="s">
        <v>468</v>
      </c>
      <c r="L6" s="12" t="s">
        <v>1038</v>
      </c>
      <c r="M6" s="12" t="s">
        <v>1039</v>
      </c>
      <c r="N6" s="12" t="s">
        <v>1040</v>
      </c>
      <c r="O6" s="12" t="s">
        <v>1041</v>
      </c>
      <c r="P6" s="12" t="s">
        <v>1042</v>
      </c>
      <c r="Q6" s="12" t="s">
        <v>1043</v>
      </c>
      <c r="R6" s="12" t="s">
        <v>1044</v>
      </c>
      <c r="S6" s="12" t="s">
        <v>330</v>
      </c>
      <c r="T6" s="12" t="s">
        <v>1014</v>
      </c>
      <c r="U6" s="12" t="s">
        <v>1016</v>
      </c>
      <c r="V6" s="12" t="s">
        <v>193</v>
      </c>
      <c r="W6" s="12" t="s">
        <v>1017</v>
      </c>
      <c r="X6" s="12" t="s">
        <v>1018</v>
      </c>
      <c r="Y6" s="12" t="s">
        <v>1020</v>
      </c>
      <c r="Z6" s="12" t="s">
        <v>1022</v>
      </c>
      <c r="AA6" s="12" t="s">
        <v>331</v>
      </c>
      <c r="AB6" s="12" t="s">
        <v>1025</v>
      </c>
      <c r="AC6" s="12" t="s">
        <v>1026</v>
      </c>
      <c r="AD6" s="12" t="s">
        <v>1027</v>
      </c>
      <c r="AE6" s="12" t="s">
        <v>1028</v>
      </c>
      <c r="AF6" s="12" t="s">
        <v>1029</v>
      </c>
      <c r="AG6" s="12" t="s">
        <v>1030</v>
      </c>
      <c r="AH6" s="12" t="s">
        <v>1031</v>
      </c>
      <c r="AI6" s="12" t="s">
        <v>332</v>
      </c>
      <c r="AJ6" s="12" t="s">
        <v>333</v>
      </c>
      <c r="AK6" s="12" t="s">
        <v>1032</v>
      </c>
      <c r="AL6" s="12" t="s">
        <v>1045</v>
      </c>
      <c r="AM6" s="12" t="s">
        <v>1046</v>
      </c>
    </row>
    <row r="7" customFormat="false" ht="15" hidden="false" customHeight="false" outlineLevel="0" collapsed="false">
      <c r="A7" s="32" t="s">
        <v>1140</v>
      </c>
      <c r="B7" s="82"/>
      <c r="C7" s="32" t="s">
        <v>673</v>
      </c>
      <c r="D7" s="32" t="s">
        <v>983</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1141</v>
      </c>
      <c r="B8" s="86"/>
      <c r="C8" s="30" t="str">
        <f aca="false">Inputs!$C$113</f>
        <v>courier</v>
      </c>
      <c r="D8" s="30" t="s">
        <v>983</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1142</v>
      </c>
      <c r="B9" s="86"/>
      <c r="C9" s="30" t="str">
        <f aca="false">Inputs!$C$113</f>
        <v>courier</v>
      </c>
      <c r="D9" s="30" t="s">
        <v>983</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1143</v>
      </c>
      <c r="B10" s="86"/>
      <c r="C10" s="30" t="str">
        <f aca="false">Inputs!$C$113</f>
        <v>courier</v>
      </c>
      <c r="D10" s="30" t="s">
        <v>983</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1144</v>
      </c>
      <c r="B11" s="86"/>
      <c r="C11" s="30" t="str">
        <f aca="false">Inputs!$C$113</f>
        <v>courier</v>
      </c>
      <c r="D11" s="30" t="s">
        <v>983</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1145</v>
      </c>
      <c r="B12" s="86"/>
      <c r="C12" s="30" t="str">
        <f aca="false">Inputs!$C$113</f>
        <v>courier</v>
      </c>
      <c r="D12" s="30" t="s">
        <v>983</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1146</v>
      </c>
      <c r="B13" s="86"/>
      <c r="C13" s="30" t="str">
        <f aca="false">Inputs!$C$113</f>
        <v>courier</v>
      </c>
      <c r="D13" s="30" t="s">
        <v>983</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1147</v>
      </c>
      <c r="B14" s="86"/>
      <c r="C14" s="30" t="str">
        <f aca="false">Inputs!$C$113</f>
        <v>courier</v>
      </c>
      <c r="D14" s="30" t="s">
        <v>983</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1148</v>
      </c>
      <c r="B15" s="86"/>
      <c r="C15" s="30" t="s">
        <v>675</v>
      </c>
      <c r="D15" s="30" t="s">
        <v>983</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1149</v>
      </c>
      <c r="B16" s="86"/>
      <c r="C16" s="30" t="s">
        <v>675</v>
      </c>
      <c r="D16" s="30" t="s">
        <v>983</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1150</v>
      </c>
      <c r="B17" s="86"/>
      <c r="C17" s="30" t="str">
        <f aca="false">Inputs!$C$113</f>
        <v>courier</v>
      </c>
      <c r="D17" s="30" t="s">
        <v>983</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1151</v>
      </c>
      <c r="B18" s="86"/>
      <c r="C18" s="30" t="str">
        <f aca="false">Inputs!$C$113</f>
        <v>courier</v>
      </c>
      <c r="D18" s="30" t="s">
        <v>983</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1152</v>
      </c>
      <c r="B21" s="4"/>
      <c r="C21" s="4"/>
      <c r="D21" s="4"/>
      <c r="E21" s="4"/>
      <c r="F21" s="4"/>
    </row>
    <row r="22" customFormat="false" ht="30" hidden="false" customHeight="true" outlineLevel="0" collapsed="false">
      <c r="B22" s="12" t="s">
        <v>1011</v>
      </c>
      <c r="C22" s="12" t="s">
        <v>687</v>
      </c>
      <c r="D22" s="12" t="s">
        <v>1153</v>
      </c>
      <c r="E22" s="12" t="s">
        <v>342</v>
      </c>
      <c r="F22" s="12" t="s">
        <v>1154</v>
      </c>
    </row>
    <row r="23" customFormat="false" ht="15" hidden="false" customHeight="false" outlineLevel="0" collapsed="false">
      <c r="B23" s="30" t="s">
        <v>1155</v>
      </c>
      <c r="C23" s="21" t="n">
        <f aca="false">Inputs!$C$112</f>
        <v>2</v>
      </c>
      <c r="D23" s="21" t="n">
        <f aca="false">Scenarios!$H$15</f>
        <v>2</v>
      </c>
      <c r="E23" s="30" t="s">
        <v>760</v>
      </c>
      <c r="F23" s="32" t="s">
        <v>1156</v>
      </c>
    </row>
    <row r="24" customFormat="false" ht="15" hidden="false" customHeight="false" outlineLevel="0" collapsed="false">
      <c r="B24" s="30" t="s">
        <v>330</v>
      </c>
      <c r="C24" s="19" t="n">
        <f aca="false">C23*S7</f>
        <v>9000</v>
      </c>
      <c r="D24" s="19" t="n">
        <f aca="false">D23*S9</f>
        <v>9000</v>
      </c>
      <c r="E24" s="30" t="s">
        <v>575</v>
      </c>
      <c r="F24" s="32" t="s">
        <v>1157</v>
      </c>
    </row>
    <row r="25" customFormat="false" ht="15" hidden="false" customHeight="false" outlineLevel="0" collapsed="false">
      <c r="B25" s="30" t="s">
        <v>1158</v>
      </c>
      <c r="C25" s="19" t="n">
        <f aca="false">C23*AA7</f>
        <v>1340</v>
      </c>
      <c r="D25" s="19" t="n">
        <f aca="false">D23*AA9</f>
        <v>1340</v>
      </c>
      <c r="E25" s="30" t="s">
        <v>575</v>
      </c>
      <c r="F25" s="32" t="s">
        <v>1157</v>
      </c>
    </row>
    <row r="26" customFormat="false" ht="15" hidden="false" customHeight="false" outlineLevel="0" collapsed="false">
      <c r="B26" s="30" t="s">
        <v>332</v>
      </c>
      <c r="C26" s="36" t="n">
        <f aca="false">C23*AI7</f>
        <v>104</v>
      </c>
      <c r="D26" s="36" t="n">
        <f aca="false">D23*AI9</f>
        <v>94.4</v>
      </c>
      <c r="E26" s="30" t="s">
        <v>1159</v>
      </c>
      <c r="F26" s="32" t="s">
        <v>1157</v>
      </c>
    </row>
    <row r="27" customFormat="false" ht="15" hidden="false" customHeight="false" outlineLevel="0" collapsed="false">
      <c r="B27" s="30" t="s">
        <v>1160</v>
      </c>
      <c r="C27" s="37" t="n">
        <f aca="false">C24-C25</f>
        <v>7660</v>
      </c>
      <c r="D27" s="37" t="n">
        <f aca="false">D24-D25</f>
        <v>7660</v>
      </c>
      <c r="E27" s="30" t="s">
        <v>575</v>
      </c>
      <c r="F27" s="32" t="s">
        <v>1161</v>
      </c>
    </row>
    <row r="28" customFormat="false" ht="15" hidden="false" customHeight="false" outlineLevel="0" collapsed="false">
      <c r="B28" s="30" t="s">
        <v>1032</v>
      </c>
      <c r="C28" s="29" t="n">
        <f aca="false">IF(C26&gt;0,C27/C26,"n/a")</f>
        <v>73.6538461538462</v>
      </c>
      <c r="D28" s="29" t="n">
        <f aca="false">IF(D26&gt;0,D27/D26,"n/a")</f>
        <v>81.1440677966102</v>
      </c>
      <c r="E28" s="30" t="s">
        <v>748</v>
      </c>
      <c r="F28" s="32"/>
    </row>
    <row r="29" customFormat="false" ht="15" hidden="false" customHeight="false" outlineLevel="0" collapsed="false">
      <c r="B29" s="30" t="s">
        <v>1162</v>
      </c>
      <c r="C29" s="19" t="n">
        <f aca="false">C27*Inputs!$C$20</f>
        <v>91920</v>
      </c>
      <c r="D29" s="19" t="n">
        <f aca="false">D27*Inputs!$C$20</f>
        <v>91920</v>
      </c>
      <c r="E29" s="30" t="s">
        <v>1163</v>
      </c>
      <c r="F29" s="32" t="s">
        <v>1164</v>
      </c>
    </row>
    <row r="30" customFormat="false" ht="15" hidden="false" customHeight="false" outlineLevel="0" collapsed="false">
      <c r="B30" s="30" t="s">
        <v>1165</v>
      </c>
      <c r="C30" s="36" t="n">
        <f aca="false">C26/Inputs!$C$21</f>
        <v>24</v>
      </c>
      <c r="D30" s="36" t="n">
        <f aca="false">D26/Inputs!$C$21</f>
        <v>21.7846153846154</v>
      </c>
      <c r="E30" s="30" t="s">
        <v>656</v>
      </c>
      <c r="F30" s="32" t="s">
        <v>1166</v>
      </c>
    </row>
    <row r="31" customFormat="false" ht="15" hidden="false" customHeight="false" outlineLevel="0" collapsed="false">
      <c r="B31" s="30" t="s">
        <v>1167</v>
      </c>
      <c r="C31" s="19" t="n">
        <f aca="false">(Inputs!$C$79+Inputs!$C$81+Inputs!$C$84+Inputs!$C$76*IF(Inputs!$C$75="unit",1,0))</f>
        <v>310</v>
      </c>
      <c r="D31" s="19" t="n">
        <f aca="false">(Inputs!$C$79+Inputs!$C$81+Inputs!$C$84+Inputs!$C$76*IF(Inputs!$C$75="unit",1,0))</f>
        <v>310</v>
      </c>
      <c r="E31" s="30" t="s">
        <v>575</v>
      </c>
      <c r="F31" s="32" t="s">
        <v>1168</v>
      </c>
    </row>
    <row r="32" customFormat="false" ht="15" hidden="false" customHeight="false" outlineLevel="0" collapsed="false">
      <c r="B32" s="30" t="s">
        <v>1169</v>
      </c>
      <c r="C32" s="19" t="n">
        <f aca="false">C23*AM7</f>
        <v>310</v>
      </c>
      <c r="D32" s="19" t="n">
        <f aca="false">D23*AM9</f>
        <v>310</v>
      </c>
      <c r="E32" s="30" t="s">
        <v>575</v>
      </c>
      <c r="F32" s="32" t="s">
        <v>1170</v>
      </c>
    </row>
    <row r="33" customFormat="false" ht="15" hidden="false" customHeight="false" outlineLevel="0" collapsed="false">
      <c r="B33" s="30" t="s">
        <v>1171</v>
      </c>
      <c r="C33" s="19" t="n">
        <f aca="false">C31-C32</f>
        <v>0</v>
      </c>
      <c r="D33" s="19" t="n">
        <f aca="false">D31-D32</f>
        <v>0</v>
      </c>
      <c r="E33" s="30" t="s">
        <v>575</v>
      </c>
      <c r="F33" s="32" t="s">
        <v>1172</v>
      </c>
    </row>
    <row r="34" customFormat="false" ht="15" hidden="false" customHeight="false" outlineLevel="0" collapsed="false">
      <c r="B34" s="30" t="s">
        <v>1173</v>
      </c>
      <c r="C34" s="19" t="n">
        <v>0</v>
      </c>
      <c r="D34" s="19" t="n">
        <f aca="false">Scenarios!$H$17*N(Scenarios!$H$18)</f>
        <v>0</v>
      </c>
      <c r="E34" s="30" t="s">
        <v>575</v>
      </c>
      <c r="F34" s="32" t="s">
        <v>1174</v>
      </c>
    </row>
    <row r="35" customFormat="false" ht="15" hidden="false" customHeight="false" outlineLevel="0" collapsed="false">
      <c r="B35" s="30" t="s">
        <v>1175</v>
      </c>
      <c r="C35" s="19" t="n">
        <v>0</v>
      </c>
      <c r="D35" s="19" t="n">
        <f aca="false">Scenarios!$H$17*N(Scenarios!$H$19)</f>
        <v>0</v>
      </c>
      <c r="E35" s="30" t="s">
        <v>575</v>
      </c>
      <c r="F35" s="32" t="s">
        <v>1176</v>
      </c>
    </row>
    <row r="36" customFormat="false" ht="15" hidden="false" customHeight="false" outlineLevel="0" collapsed="false">
      <c r="B36" s="30" t="s">
        <v>1177</v>
      </c>
      <c r="C36" s="30" t="s">
        <v>1178</v>
      </c>
      <c r="D36" s="30" t="str">
        <f aca="false">IF(N(Scenarios!$H$17)=0,"no office-paid tier",IF(Scenarios!$R$19=1,"no: cost to serve needs quote","yes"))</f>
        <v>no office-paid tier</v>
      </c>
      <c r="E36" s="30"/>
      <c r="F36" s="32" t="s">
        <v>1179</v>
      </c>
    </row>
    <row r="37" customFormat="false" ht="15" hidden="false" customHeight="false" outlineLevel="0" collapsed="false">
      <c r="B37" s="30" t="s">
        <v>1180</v>
      </c>
      <c r="C37" s="36" t="n">
        <v>0</v>
      </c>
      <c r="D37" s="36" t="n">
        <f aca="false">IF(D23&gt;Scenarios!$H$21,D23*AE9,0)</f>
        <v>0</v>
      </c>
      <c r="E37" s="30" t="s">
        <v>1159</v>
      </c>
      <c r="F37" s="32" t="s">
        <v>1181</v>
      </c>
    </row>
    <row r="38" customFormat="false" ht="15" hidden="false" customHeight="false" outlineLevel="0" collapsed="false">
      <c r="B38" s="30" t="s">
        <v>1182</v>
      </c>
      <c r="C38" s="19" t="n">
        <v>0</v>
      </c>
      <c r="D38" s="19" t="n">
        <f aca="false">D37*N(Scenarios!$H$20)</f>
        <v>0</v>
      </c>
      <c r="E38" s="30" t="s">
        <v>575</v>
      </c>
      <c r="F38" s="32"/>
    </row>
    <row r="39" customFormat="false" ht="15" hidden="false" customHeight="false" outlineLevel="0" collapsed="false">
      <c r="B39" s="30" t="s">
        <v>1183</v>
      </c>
      <c r="C39" s="37" t="n">
        <f aca="false">C27-C33+C34-C35-C38</f>
        <v>7660</v>
      </c>
      <c r="D39" s="37" t="n">
        <f aca="false">D27-D33+IF(D36="yes",D34-D35,0)-D38</f>
        <v>7660</v>
      </c>
      <c r="E39" s="30" t="s">
        <v>575</v>
      </c>
      <c r="F39" s="32" t="s">
        <v>1184</v>
      </c>
    </row>
    <row r="40" customFormat="false" ht="15" hidden="false" customHeight="false" outlineLevel="0" collapsed="false">
      <c r="B40" s="30" t="s">
        <v>1185</v>
      </c>
      <c r="C40" s="36" t="n">
        <f aca="false">C26-C37</f>
        <v>104</v>
      </c>
      <c r="D40" s="36" t="n">
        <f aca="false">D26-D37</f>
        <v>94.4</v>
      </c>
      <c r="E40" s="30" t="s">
        <v>1159</v>
      </c>
      <c r="F40" s="32"/>
    </row>
    <row r="41" customFormat="false" ht="15" hidden="false" customHeight="false" outlineLevel="0" collapsed="false">
      <c r="B41" s="30" t="s">
        <v>1186</v>
      </c>
      <c r="C41" s="29" t="n">
        <f aca="false">IF(C40&gt;0,C39/C40,"n/a")</f>
        <v>73.6538461538462</v>
      </c>
      <c r="D41" s="29" t="n">
        <f aca="false">IF(D40&gt;0,D39/D40,"n/a")</f>
        <v>81.1440677966102</v>
      </c>
      <c r="E41" s="30" t="s">
        <v>748</v>
      </c>
      <c r="F41" s="32"/>
    </row>
    <row r="42" customFormat="false" ht="15" hidden="false" customHeight="false" outlineLevel="0" collapsed="false">
      <c r="B42" s="30" t="s">
        <v>1187</v>
      </c>
      <c r="C42" s="95" t="n">
        <f aca="false">C23*(G7-H7)</f>
        <v>6</v>
      </c>
      <c r="D42" s="95" t="n">
        <f aca="false">D23*(G9-H9)</f>
        <v>3.6</v>
      </c>
      <c r="E42" s="30" t="s">
        <v>1188</v>
      </c>
      <c r="F42" s="32" t="s">
        <v>1189</v>
      </c>
    </row>
    <row r="43" customFormat="false" ht="15" hidden="false" customHeight="false" outlineLevel="0" collapsed="false">
      <c r="B43" s="30" t="s">
        <v>1190</v>
      </c>
      <c r="C43" s="21" t="n">
        <f aca="false">C42/Inputs!$C$90</f>
        <v>30</v>
      </c>
      <c r="D43" s="21" t="n">
        <f aca="false">D42/Inputs!$C$90</f>
        <v>18</v>
      </c>
      <c r="E43" s="30" t="s">
        <v>708</v>
      </c>
      <c r="F43" s="32" t="s">
        <v>1191</v>
      </c>
    </row>
    <row r="44" customFormat="false" ht="15" hidden="false" customHeight="false" outlineLevel="0" collapsed="false">
      <c r="B44" s="30" t="s">
        <v>1192</v>
      </c>
      <c r="C44" s="21" t="n">
        <f aca="false">C23*E7</f>
        <v>20</v>
      </c>
      <c r="D44" s="21" t="n">
        <f aca="false">D23*E9</f>
        <v>20</v>
      </c>
      <c r="E44" s="30" t="s">
        <v>462</v>
      </c>
      <c r="F44" s="32" t="s">
        <v>1193</v>
      </c>
    </row>
    <row r="46" customFormat="false" ht="15" hidden="false" customHeight="false" outlineLevel="0" collapsed="false">
      <c r="A46" s="3" t="s">
        <v>1194</v>
      </c>
      <c r="B46" s="4"/>
      <c r="C46" s="4"/>
      <c r="D46" s="4"/>
      <c r="E46" s="4"/>
      <c r="F46" s="4"/>
    </row>
    <row r="47" customFormat="false" ht="30" hidden="false" customHeight="true" outlineLevel="0" collapsed="false">
      <c r="B47" s="12" t="s">
        <v>230</v>
      </c>
      <c r="C47" s="12" t="s">
        <v>231</v>
      </c>
      <c r="D47" s="12"/>
      <c r="E47" s="12" t="s">
        <v>342</v>
      </c>
      <c r="F47" s="12" t="s">
        <v>1154</v>
      </c>
    </row>
    <row r="48" customFormat="false" ht="28.35" hidden="false" customHeight="false" outlineLevel="0" collapsed="false">
      <c r="B48" s="7" t="s">
        <v>1195</v>
      </c>
      <c r="C48" s="37" t="n">
        <f aca="false">Inputs!$Q$172</f>
        <v>4125</v>
      </c>
      <c r="E48" s="30" t="s">
        <v>694</v>
      </c>
      <c r="F48" s="32" t="s">
        <v>1196</v>
      </c>
    </row>
    <row r="49" customFormat="false" ht="15" hidden="false" customHeight="false" outlineLevel="0" collapsed="false">
      <c r="B49" s="7" t="s">
        <v>1197</v>
      </c>
      <c r="C49" s="37" t="n">
        <f aca="false">AJ10</f>
        <v>920</v>
      </c>
      <c r="E49" s="30" t="s">
        <v>714</v>
      </c>
      <c r="F49" s="32" t="s">
        <v>1198</v>
      </c>
    </row>
    <row r="50" customFormat="false" ht="28.35" hidden="false" customHeight="false" outlineLevel="0" collapsed="false">
      <c r="B50" s="7" t="s">
        <v>1199</v>
      </c>
      <c r="C50" s="37" t="n">
        <f aca="false">IF(G8&gt;0,AJ8/G8,0)</f>
        <v>1276.66666666667</v>
      </c>
      <c r="E50" s="30" t="s">
        <v>714</v>
      </c>
      <c r="F50" s="32" t="s">
        <v>1200</v>
      </c>
    </row>
    <row r="51" customFormat="false" ht="15" hidden="false" customHeight="false" outlineLevel="0" collapsed="false">
      <c r="B51" s="7" t="s">
        <v>1201</v>
      </c>
      <c r="C51" s="22" t="n">
        <f aca="false">IF(C49&gt;0,ROUNDUP(C48/C49,0),"never")</f>
        <v>5</v>
      </c>
      <c r="E51" s="30" t="s">
        <v>766</v>
      </c>
      <c r="F51" s="32" t="s">
        <v>1202</v>
      </c>
    </row>
    <row r="52" customFormat="false" ht="28.35" hidden="false" customHeight="false" outlineLevel="0" collapsed="false">
      <c r="B52" s="7" t="s">
        <v>1203</v>
      </c>
      <c r="C52" s="22" t="n">
        <f aca="false">IF(C50&gt;0,ROUNDUP(C48/C50,0),"never")</f>
        <v>4</v>
      </c>
      <c r="E52" s="30" t="s">
        <v>1204</v>
      </c>
      <c r="F52" s="32" t="s">
        <v>1205</v>
      </c>
    </row>
    <row r="53" customFormat="false" ht="28.35" hidden="false" customHeight="false" outlineLevel="0" collapsed="false">
      <c r="B53" s="7" t="s">
        <v>1206</v>
      </c>
      <c r="C53" s="22" t="n">
        <f aca="false">IF(AJ8&gt;0,ROUNDUP(C48/AJ8,0),"never")</f>
        <v>2</v>
      </c>
      <c r="E53" s="30" t="s">
        <v>760</v>
      </c>
      <c r="F53" s="32" t="s">
        <v>1207</v>
      </c>
    </row>
    <row r="54" customFormat="false" ht="28.35" hidden="false" customHeight="false" outlineLevel="0" collapsed="false">
      <c r="B54" s="7" t="s">
        <v>1208</v>
      </c>
      <c r="C54" s="37" t="n">
        <f aca="false">AJ10+AM10</f>
        <v>1075</v>
      </c>
      <c r="E54" s="30" t="s">
        <v>714</v>
      </c>
      <c r="F54" s="32" t="s">
        <v>1209</v>
      </c>
    </row>
    <row r="55" customFormat="false" ht="15" hidden="false" customHeight="false" outlineLevel="0" collapsed="false">
      <c r="B55" s="7" t="s">
        <v>1167</v>
      </c>
      <c r="C55" s="37" t="n">
        <f aca="false">Steady_State!$D$31</f>
        <v>310</v>
      </c>
      <c r="E55" s="30" t="s">
        <v>575</v>
      </c>
      <c r="F55" s="32" t="s">
        <v>1152</v>
      </c>
    </row>
    <row r="56" customFormat="false" ht="15" hidden="false" customHeight="false" outlineLevel="0" collapsed="false">
      <c r="B56" s="7" t="s">
        <v>1210</v>
      </c>
      <c r="C56" s="22" t="n">
        <f aca="false">IF(C54&gt;0,ROUNDUP(C55/C54,0),"never")</f>
        <v>1</v>
      </c>
      <c r="E56" s="30" t="s">
        <v>1211</v>
      </c>
      <c r="F56" s="32" t="s">
        <v>1212</v>
      </c>
    </row>
    <row r="57" customFormat="false" ht="28.35" hidden="false" customHeight="false" outlineLevel="0" collapsed="false">
      <c r="B57" s="7" t="s">
        <v>1213</v>
      </c>
      <c r="C57" s="96" t="n">
        <f aca="false">IF((AJ12-AJ11)-Inputs!$C$136*(AI12-AI11)&lt;=0,"never",MAX(0,1+(Inputs!$C$136*AI11-AJ11)/((AJ12-AJ11)-Inputs!$C$136*(AI12-AI11))))</f>
        <v>1.80582524271845</v>
      </c>
      <c r="E57" s="30" t="s">
        <v>1214</v>
      </c>
      <c r="F57" s="32" t="s">
        <v>1215</v>
      </c>
    </row>
    <row r="58" customFormat="false" ht="15" hidden="false" customHeight="false" outlineLevel="0" collapsed="false">
      <c r="B58" s="7" t="s">
        <v>1216</v>
      </c>
      <c r="C58" s="22" t="n">
        <f aca="false">IF(ISNUMBER(C57),ROUNDUP(C57,0),"never")</f>
        <v>2</v>
      </c>
      <c r="E58" s="30" t="s">
        <v>1214</v>
      </c>
      <c r="F58" s="32"/>
    </row>
    <row r="59" customFormat="false" ht="15" hidden="false" customHeight="false" outlineLevel="0" collapsed="false">
      <c r="B59" s="7" t="s">
        <v>1217</v>
      </c>
      <c r="C59" s="96" t="n">
        <f aca="false">IF((AJ14-AJ13)-Inputs!$C$136*(AI14-AI13)&lt;=0,"never",MAX(0,1+(Inputs!$C$136*AI13-AJ13)/((AJ14-AJ13)-Inputs!$C$136*(AI14-AI13))))</f>
        <v>1.67567567567568</v>
      </c>
      <c r="E59" s="30" t="s">
        <v>1214</v>
      </c>
      <c r="F59" s="32" t="s">
        <v>1218</v>
      </c>
    </row>
    <row r="60" customFormat="false" ht="15" hidden="false" customHeight="false" outlineLevel="0" collapsed="false">
      <c r="B60" s="7" t="s">
        <v>1219</v>
      </c>
      <c r="C60" s="96" t="n">
        <f aca="false">IF((AJ16-AJ15)-Inputs!$C$136*(AI16-AI15)&lt;=0,"never",MAX(0,1+(Inputs!$C$136*AI15-AJ15)/((AJ16-AJ15)-Inputs!$C$136*(AI16-AI15))))</f>
        <v>1.1747572815534</v>
      </c>
      <c r="E60" s="30" t="s">
        <v>1214</v>
      </c>
      <c r="F60" s="32" t="s">
        <v>1220</v>
      </c>
    </row>
    <row r="61" customFormat="false" ht="28.35" hidden="false" customHeight="false" outlineLevel="0" collapsed="false">
      <c r="B61" s="7" t="s">
        <v>1221</v>
      </c>
      <c r="C61" s="94" t="n">
        <f aca="false">IF(S18=S17,"never",J17+(Inputs!$C$136*AI17-AJ17)*(J18-J17)/(AJ18-AJ17))</f>
        <v>107.731958762887</v>
      </c>
      <c r="E61" s="30" t="s">
        <v>457</v>
      </c>
      <c r="F61" s="32" t="s">
        <v>1222</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1223</v>
      </c>
    </row>
    <row r="2" customFormat="false" ht="15" hidden="false" customHeight="false" outlineLevel="0" collapsed="false">
      <c r="A2" s="2" t="s">
        <v>1224</v>
      </c>
    </row>
    <row r="3" customFormat="false" ht="30" hidden="false" customHeight="true" outlineLevel="0" collapsed="false">
      <c r="A3" s="8" t="s">
        <v>1225</v>
      </c>
      <c r="B3" s="8"/>
      <c r="C3" s="8"/>
      <c r="D3" s="8"/>
      <c r="E3" s="8"/>
      <c r="F3" s="8"/>
      <c r="G3" s="8"/>
      <c r="H3" s="8"/>
      <c r="I3" s="8"/>
      <c r="J3" s="8"/>
      <c r="K3" s="8"/>
      <c r="L3" s="8"/>
    </row>
    <row r="5" customFormat="false" ht="15" hidden="false" customHeight="false" outlineLevel="0" collapsed="false">
      <c r="B5" s="84" t="s">
        <v>1226</v>
      </c>
      <c r="E5" s="84" t="s">
        <v>1227</v>
      </c>
    </row>
    <row r="6" customFormat="false" ht="15" hidden="false" customHeight="false" outlineLevel="0" collapsed="false">
      <c r="B6" s="30" t="s">
        <v>1228</v>
      </c>
      <c r="C6" s="21" t="n">
        <f aca="false">Inputs!$C$114</f>
        <v>10</v>
      </c>
      <c r="E6" s="30" t="s">
        <v>1229</v>
      </c>
      <c r="G6" s="39" t="n">
        <v>3</v>
      </c>
    </row>
    <row r="7" customFormat="false" ht="15" hidden="false" customHeight="false" outlineLevel="0" collapsed="false">
      <c r="B7" s="30" t="s">
        <v>1230</v>
      </c>
      <c r="C7" s="97" t="n">
        <f aca="false">1-Inputs!$C$54*Inputs!$C$55</f>
        <v>0.97</v>
      </c>
      <c r="E7" s="30" t="s">
        <v>1231</v>
      </c>
      <c r="G7" s="28" t="n">
        <f aca="false">IF(($C$12+$G$6*((1-Scenarios!$H$12)*$C$13+Scenarios!$H$12*$C$14))&gt;0,($G$6*(Inputs!$C$39*$C$9+$C$8)*$C$7-$C$10-$C$11*MAX($G$6-1,0))/($C$12+$G$6*((1-Scenarios!$H$12)*$C$13+Scenarios!$H$12*$C$14)),"n/a")</f>
        <v>81.1440677966102</v>
      </c>
    </row>
    <row r="8" customFormat="false" ht="15" hidden="false" customHeight="false" outlineLevel="0" collapsed="false">
      <c r="B8" s="30" t="s">
        <v>1232</v>
      </c>
      <c r="C8" s="19" t="n">
        <f aca="false">Inputs!$C$45*MAX(C6-Inputs!$C$40,0)</f>
        <v>0</v>
      </c>
      <c r="E8" s="30" t="s">
        <v>1233</v>
      </c>
      <c r="G8" s="28" t="n">
        <f aca="false">AK77</f>
        <v>81.1440677966102</v>
      </c>
    </row>
    <row r="9" customFormat="false" ht="15" hidden="false" customHeight="false" outlineLevel="0" collapsed="false">
      <c r="B9" s="30" t="s">
        <v>1234</v>
      </c>
      <c r="C9" s="21" t="n">
        <f aca="false">MIN(C6,Inputs!$C$40)</f>
        <v>10</v>
      </c>
      <c r="E9" s="30" t="s">
        <v>1235</v>
      </c>
      <c r="G9" s="98" t="n">
        <f aca="false">G7-G8</f>
        <v>0</v>
      </c>
    </row>
    <row r="10" customFormat="false" ht="15" hidden="false" customHeight="false" outlineLevel="0" collapsed="false">
      <c r="B10" s="30" t="s">
        <v>1236</v>
      </c>
      <c r="C10" s="19" t="n">
        <f aca="false">C6*Inputs!$C$68+INDEX(Inputs!$C$105:$C$107,MATCH(Inputs!$C$113,Inputs!$B$105:$B$107,0))+INDEX(Inputs!$D$105:$D$107,MATCH(Inputs!$C$113,Inputs!$B$105:$B$107,0))*C6+INDEX(Inputs!$E$105:$E$107,MATCH(Inputs!$C$113,Inputs!$B$105:$B$107,0))*C6+(IF(Inputs!$C$75="unit",1,0)*Inputs!$C$76+Inputs!$C$79+Inputs!$C$81)/Inputs!$C$85</f>
        <v>535</v>
      </c>
      <c r="E10" s="30" t="s">
        <v>1237</v>
      </c>
      <c r="G10" s="19" t="n">
        <f aca="false">Inputs!$C$136</f>
        <v>50</v>
      </c>
    </row>
    <row r="11" customFormat="false" ht="15" hidden="false" customHeight="false" outlineLevel="0" collapsed="false">
      <c r="B11" s="30" t="s">
        <v>1238</v>
      </c>
      <c r="C11" s="19" t="n">
        <f aca="false">C6*N(Inputs!$C$69)</f>
        <v>0</v>
      </c>
    </row>
    <row r="12" customFormat="false" ht="15" hidden="false" customHeight="false" outlineLevel="0" collapsed="false">
      <c r="B12" s="30" t="s">
        <v>1239</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1240</v>
      </c>
      <c r="C13" s="36" t="n">
        <f aca="false">Inputs!$C$93+Inputs!$C$97+Inputs!$C$98</f>
        <v>8.5</v>
      </c>
    </row>
    <row r="14" customFormat="false" ht="15" hidden="false" customHeight="false" outlineLevel="0" collapsed="false">
      <c r="B14" s="30" t="s">
        <v>1241</v>
      </c>
      <c r="C14" s="36" t="n">
        <f aca="false">Inputs!$C$94+Inputs!$C$97+Inputs!$C$98</f>
        <v>4.5</v>
      </c>
    </row>
    <row r="16" customFormat="false" ht="15" hidden="false" customHeight="false" outlineLevel="0" collapsed="false">
      <c r="B16" s="84" t="s">
        <v>1242</v>
      </c>
    </row>
    <row r="17" customFormat="false" ht="15" hidden="false" customHeight="false" outlineLevel="0" collapsed="false">
      <c r="B17" s="93" t="s">
        <v>1243</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1244</v>
      </c>
    </row>
    <row r="29" customFormat="false" ht="15" hidden="false" customHeight="false" outlineLevel="0" collapsed="false">
      <c r="B29" s="93" t="s">
        <v>1245</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1246</v>
      </c>
    </row>
    <row r="44" customFormat="false" ht="45" hidden="false" customHeight="true" outlineLevel="0" collapsed="false">
      <c r="B44" s="12" t="s">
        <v>1247</v>
      </c>
      <c r="C44" s="12" t="s">
        <v>1248</v>
      </c>
      <c r="D44" s="12" t="s">
        <v>1249</v>
      </c>
      <c r="E44" s="12" t="s">
        <v>1250</v>
      </c>
      <c r="F44" s="12" t="s">
        <v>1251</v>
      </c>
      <c r="G44" s="12" t="s">
        <v>1032</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1252</v>
      </c>
    </row>
    <row r="59" customFormat="false" ht="45" hidden="false" customHeight="true" outlineLevel="0" collapsed="false">
      <c r="B59" s="12" t="s">
        <v>1253</v>
      </c>
      <c r="C59" s="12" t="s">
        <v>1254</v>
      </c>
      <c r="D59" s="12" t="s">
        <v>1251</v>
      </c>
      <c r="E59" s="12" t="s">
        <v>1250</v>
      </c>
      <c r="F59" s="12" t="s">
        <v>1032</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1255</v>
      </c>
    </row>
    <row r="71" customFormat="false" ht="15" hidden="false" customHeight="false" outlineLevel="0" collapsed="false">
      <c r="B71" s="30" t="s">
        <v>1256</v>
      </c>
      <c r="C71" s="22" t="n">
        <f aca="false">SUMPRODUCT((C19:C25-C18:C24&lt;=0)*1)+SUMPRODUCT((D19:D25-D18:D24&lt;=0)*1)+SUMPRODUCT((E19:E25-E18:E24&lt;=0)*1)+SUMPRODUCT((F19:F25-F18:F24&lt;=0)*1)+SUMPRODUCT((G19:G25-G18:G24&lt;=0)*1)</f>
        <v>0</v>
      </c>
    </row>
    <row r="72" customFormat="false" ht="15" hidden="false" customHeight="false" outlineLevel="0" collapsed="false">
      <c r="B72" s="30" t="s">
        <v>1257</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1258</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1259</v>
      </c>
    </row>
    <row r="76" customFormat="false" ht="57.75" hidden="false" customHeight="true" outlineLevel="0" collapsed="false">
      <c r="A76" s="12" t="s">
        <v>1037</v>
      </c>
      <c r="B76" s="12" t="s">
        <v>325</v>
      </c>
      <c r="C76" s="12" t="s">
        <v>327</v>
      </c>
      <c r="D76" s="12" t="s">
        <v>943</v>
      </c>
      <c r="E76" s="12" t="s">
        <v>329</v>
      </c>
      <c r="F76" s="12" t="s">
        <v>944</v>
      </c>
      <c r="G76" s="12" t="s">
        <v>328</v>
      </c>
      <c r="H76" s="12" t="s">
        <v>945</v>
      </c>
      <c r="I76" s="12" t="s">
        <v>946</v>
      </c>
      <c r="J76" s="12" t="s">
        <v>456</v>
      </c>
      <c r="K76" s="12" t="s">
        <v>468</v>
      </c>
      <c r="L76" s="12" t="s">
        <v>1038</v>
      </c>
      <c r="M76" s="12" t="s">
        <v>1039</v>
      </c>
      <c r="N76" s="12" t="s">
        <v>1040</v>
      </c>
      <c r="O76" s="12" t="s">
        <v>1041</v>
      </c>
      <c r="P76" s="12" t="s">
        <v>1042</v>
      </c>
      <c r="Q76" s="12" t="s">
        <v>1043</v>
      </c>
      <c r="R76" s="12" t="s">
        <v>1044</v>
      </c>
      <c r="S76" s="12" t="s">
        <v>330</v>
      </c>
      <c r="T76" s="12" t="s">
        <v>1014</v>
      </c>
      <c r="U76" s="12" t="s">
        <v>1016</v>
      </c>
      <c r="V76" s="12" t="s">
        <v>193</v>
      </c>
      <c r="W76" s="12" t="s">
        <v>1017</v>
      </c>
      <c r="X76" s="12" t="s">
        <v>1018</v>
      </c>
      <c r="Y76" s="12" t="s">
        <v>1020</v>
      </c>
      <c r="Z76" s="12" t="s">
        <v>1022</v>
      </c>
      <c r="AA76" s="12" t="s">
        <v>331</v>
      </c>
      <c r="AB76" s="12" t="s">
        <v>1025</v>
      </c>
      <c r="AC76" s="12" t="s">
        <v>1026</v>
      </c>
      <c r="AD76" s="12" t="s">
        <v>1027</v>
      </c>
      <c r="AE76" s="12" t="s">
        <v>1028</v>
      </c>
      <c r="AF76" s="12" t="s">
        <v>1029</v>
      </c>
      <c r="AG76" s="12" t="s">
        <v>1030</v>
      </c>
      <c r="AH76" s="12" t="s">
        <v>1031</v>
      </c>
      <c r="AI76" s="12" t="s">
        <v>332</v>
      </c>
      <c r="AJ76" s="12" t="s">
        <v>333</v>
      </c>
      <c r="AK76" s="12" t="s">
        <v>1032</v>
      </c>
      <c r="AL76" s="12" t="s">
        <v>1045</v>
      </c>
      <c r="AM76" s="12" t="s">
        <v>1046</v>
      </c>
    </row>
    <row r="77" customFormat="false" ht="15" hidden="false" customHeight="false" outlineLevel="0" collapsed="false">
      <c r="A77" s="30" t="s">
        <v>1260</v>
      </c>
      <c r="B77" s="86"/>
      <c r="C77" s="30" t="str">
        <f aca="false">Inputs!$C$113</f>
        <v>courier</v>
      </c>
      <c r="D77" s="30" t="s">
        <v>983</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1261</v>
      </c>
    </row>
    <row r="2" customFormat="false" ht="15" hidden="false" customHeight="false" outlineLevel="0" collapsed="false">
      <c r="A2" s="2" t="s">
        <v>1262</v>
      </c>
    </row>
    <row r="3" customFormat="false" ht="30" hidden="false" customHeight="true" outlineLevel="0" collapsed="false">
      <c r="A3" s="8" t="s">
        <v>1263</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1051</v>
      </c>
      <c r="B5" s="87"/>
      <c r="C5" s="87"/>
      <c r="E5" s="87" t="s">
        <v>1052</v>
      </c>
      <c r="F5" s="87"/>
      <c r="G5" s="87"/>
      <c r="H5" s="87"/>
      <c r="I5" s="87"/>
      <c r="J5" s="87"/>
      <c r="K5" s="87"/>
      <c r="L5" s="87"/>
      <c r="M5" s="87"/>
      <c r="N5" s="87" t="s">
        <v>330</v>
      </c>
      <c r="O5" s="87"/>
      <c r="P5" s="87"/>
      <c r="Q5" s="87"/>
      <c r="R5" s="87"/>
      <c r="S5" s="87"/>
      <c r="T5" s="87" t="s">
        <v>331</v>
      </c>
      <c r="U5" s="87"/>
      <c r="V5" s="87"/>
      <c r="W5" s="87"/>
      <c r="X5" s="87"/>
      <c r="Y5" s="87"/>
      <c r="Z5" s="87"/>
      <c r="AA5" s="87"/>
      <c r="AB5" s="87" t="s">
        <v>1053</v>
      </c>
      <c r="AC5" s="87"/>
      <c r="AD5" s="87"/>
      <c r="AE5" s="87"/>
      <c r="AF5" s="87"/>
      <c r="AG5" s="87"/>
      <c r="AH5" s="87"/>
      <c r="AI5" s="87"/>
      <c r="AJ5" s="87" t="s">
        <v>1010</v>
      </c>
      <c r="AK5" s="87"/>
      <c r="AL5" s="87" t="s">
        <v>1054</v>
      </c>
      <c r="AM5" s="87"/>
    </row>
    <row r="6" customFormat="false" ht="57.75" hidden="false" customHeight="true" outlineLevel="0" collapsed="false">
      <c r="A6" s="12" t="s">
        <v>1037</v>
      </c>
      <c r="B6" s="12" t="s">
        <v>325</v>
      </c>
      <c r="C6" s="12" t="s">
        <v>327</v>
      </c>
      <c r="D6" s="12" t="s">
        <v>943</v>
      </c>
      <c r="E6" s="12" t="s">
        <v>329</v>
      </c>
      <c r="F6" s="12" t="s">
        <v>944</v>
      </c>
      <c r="G6" s="12" t="s">
        <v>328</v>
      </c>
      <c r="H6" s="12" t="s">
        <v>945</v>
      </c>
      <c r="I6" s="12" t="s">
        <v>946</v>
      </c>
      <c r="J6" s="12" t="s">
        <v>456</v>
      </c>
      <c r="K6" s="12" t="s">
        <v>468</v>
      </c>
      <c r="L6" s="12" t="s">
        <v>1038</v>
      </c>
      <c r="M6" s="12" t="s">
        <v>1039</v>
      </c>
      <c r="N6" s="12" t="s">
        <v>1040</v>
      </c>
      <c r="O6" s="12" t="s">
        <v>1041</v>
      </c>
      <c r="P6" s="12" t="s">
        <v>1042</v>
      </c>
      <c r="Q6" s="12" t="s">
        <v>1043</v>
      </c>
      <c r="R6" s="12" t="s">
        <v>1044</v>
      </c>
      <c r="S6" s="12" t="s">
        <v>330</v>
      </c>
      <c r="T6" s="12" t="s">
        <v>1014</v>
      </c>
      <c r="U6" s="12" t="s">
        <v>1016</v>
      </c>
      <c r="V6" s="12" t="s">
        <v>193</v>
      </c>
      <c r="W6" s="12" t="s">
        <v>1017</v>
      </c>
      <c r="X6" s="12" t="s">
        <v>1018</v>
      </c>
      <c r="Y6" s="12" t="s">
        <v>1020</v>
      </c>
      <c r="Z6" s="12" t="s">
        <v>1022</v>
      </c>
      <c r="AA6" s="12" t="s">
        <v>331</v>
      </c>
      <c r="AB6" s="12" t="s">
        <v>1025</v>
      </c>
      <c r="AC6" s="12" t="s">
        <v>1026</v>
      </c>
      <c r="AD6" s="12" t="s">
        <v>1027</v>
      </c>
      <c r="AE6" s="12" t="s">
        <v>1028</v>
      </c>
      <c r="AF6" s="12" t="s">
        <v>1029</v>
      </c>
      <c r="AG6" s="12" t="s">
        <v>1030</v>
      </c>
      <c r="AH6" s="12" t="s">
        <v>1031</v>
      </c>
      <c r="AI6" s="12" t="s">
        <v>332</v>
      </c>
      <c r="AJ6" s="12" t="s">
        <v>333</v>
      </c>
      <c r="AK6" s="12" t="s">
        <v>1032</v>
      </c>
      <c r="AL6" s="12" t="s">
        <v>1045</v>
      </c>
      <c r="AM6" s="12" t="s">
        <v>1046</v>
      </c>
      <c r="AO6" s="12" t="s">
        <v>1264</v>
      </c>
      <c r="AP6" s="12" t="s">
        <v>1265</v>
      </c>
      <c r="AQ6" s="12" t="s">
        <v>1266</v>
      </c>
      <c r="AR6" s="12" t="s">
        <v>1267</v>
      </c>
      <c r="AS6" s="12" t="s">
        <v>1268</v>
      </c>
      <c r="AT6" s="12" t="s">
        <v>1269</v>
      </c>
      <c r="AU6" s="12" t="s">
        <v>1270</v>
      </c>
      <c r="AV6" s="12" t="s">
        <v>1271</v>
      </c>
      <c r="AW6" s="12" t="s">
        <v>1272</v>
      </c>
      <c r="AX6" s="12" t="s">
        <v>275</v>
      </c>
      <c r="AY6" s="12" t="s">
        <v>1273</v>
      </c>
    </row>
    <row r="7" customFormat="false" ht="30" hidden="false" customHeight="true" outlineLevel="0" collapsed="false">
      <c r="A7" s="39" t="s">
        <v>1274</v>
      </c>
      <c r="B7" s="57"/>
      <c r="C7" s="39" t="s">
        <v>671</v>
      </c>
      <c r="D7" s="39" t="s">
        <v>979</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1275</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1276</v>
      </c>
    </row>
    <row r="8" customFormat="false" ht="30" hidden="false" customHeight="true" outlineLevel="0" collapsed="false">
      <c r="A8" s="39" t="s">
        <v>1277</v>
      </c>
      <c r="B8" s="57"/>
      <c r="C8" s="39" t="s">
        <v>673</v>
      </c>
      <c r="D8" s="39" t="s">
        <v>983</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1275</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1278</v>
      </c>
      <c r="B9" s="57"/>
      <c r="C9" s="39" t="s">
        <v>673</v>
      </c>
      <c r="D9" s="39" t="s">
        <v>983</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1275</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1279</v>
      </c>
    </row>
    <row r="10" customFormat="false" ht="30" hidden="false" customHeight="true" outlineLevel="0" collapsed="false">
      <c r="A10" s="39" t="s">
        <v>1280</v>
      </c>
      <c r="B10" s="57"/>
      <c r="C10" s="39" t="s">
        <v>675</v>
      </c>
      <c r="D10" s="39" t="s">
        <v>983</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1275</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1281</v>
      </c>
    </row>
    <row r="11" customFormat="false" ht="30" hidden="false" customHeight="true" outlineLevel="0" collapsed="false">
      <c r="A11" s="39" t="s">
        <v>1282</v>
      </c>
      <c r="B11" s="57"/>
      <c r="C11" s="39" t="s">
        <v>673</v>
      </c>
      <c r="D11" s="39" t="s">
        <v>983</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1275</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1283</v>
      </c>
      <c r="B12" s="57"/>
      <c r="C12" s="39" t="s">
        <v>673</v>
      </c>
      <c r="D12" s="39" t="s">
        <v>983</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1275</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1284</v>
      </c>
    </row>
    <row r="13" customFormat="false" ht="30" hidden="false" customHeight="true" outlineLevel="0" collapsed="false">
      <c r="A13" s="39" t="s">
        <v>1285</v>
      </c>
      <c r="B13" s="57"/>
      <c r="C13" s="39" t="s">
        <v>673</v>
      </c>
      <c r="D13" s="39" t="s">
        <v>983</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1286</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1287</v>
      </c>
    </row>
    <row r="14" customFormat="false" ht="30" hidden="false" customHeight="true" outlineLevel="0" collapsed="false">
      <c r="A14" s="39" t="s">
        <v>1288</v>
      </c>
      <c r="B14" s="57"/>
      <c r="C14" s="39" t="s">
        <v>673</v>
      </c>
      <c r="D14" s="39" t="s">
        <v>983</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1289</v>
      </c>
      <c r="AX14" s="9" t="str">
        <f aca="false">IF(AND(IF(AO14="",TRUE(),ABS(S14-AO14)&lt;=AT14),IF(AP14="",TRUE(),ABS(AA14-AP14)&lt;=AT14),IF(AR14="",TRUE(),ABS(AJ14-AR14)&lt;=AT14),IF(AQ14="",TRUE(),ABS(AI14-AQ14)&lt;=AU14),IF(AS14="",TRUE(),IF(ISNUMBER(AK14),ABS(AK14-AS14)&lt;=AV14,FALSE()))),"behaves","check")</f>
        <v>behaves</v>
      </c>
      <c r="AY14" s="7" t="s">
        <v>1290</v>
      </c>
    </row>
    <row r="15" customFormat="false" ht="30" hidden="false" customHeight="true" outlineLevel="0" collapsed="false">
      <c r="A15" s="39" t="s">
        <v>1291</v>
      </c>
      <c r="B15" s="57"/>
      <c r="C15" s="39" t="s">
        <v>673</v>
      </c>
      <c r="D15" s="39" t="s">
        <v>983</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1289</v>
      </c>
      <c r="AX15" s="9" t="str">
        <f aca="false">IF(AND(IF(AO15="",TRUE(),ABS(S15-AO15)&lt;=AT15),IF(AP15="",TRUE(),ABS(AA15-AP15)&lt;=AT15),IF(AR15="",TRUE(),ABS(AJ15-AR15)&lt;=AT15),IF(AQ15="",TRUE(),ABS(AI15-AQ15)&lt;=AU15),IF(AS15="",TRUE(),IF(ISNUMBER(AK15),ABS(AK15-AS15)&lt;=AV15,FALSE()))),"behaves","check")</f>
        <v>behaves</v>
      </c>
      <c r="AY15" s="7" t="s">
        <v>1292</v>
      </c>
    </row>
    <row r="16" customFormat="false" ht="30" hidden="false" customHeight="true" outlineLevel="0" collapsed="false">
      <c r="A16" s="39" t="s">
        <v>1293</v>
      </c>
      <c r="B16" s="57"/>
      <c r="C16" s="39" t="s">
        <v>673</v>
      </c>
      <c r="D16" s="39" t="s">
        <v>983</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1289</v>
      </c>
      <c r="AX16" s="9" t="str">
        <f aca="false">IF(AND(IF(AO16="",TRUE(),ABS(S16-AO16)&lt;=AT16),IF(AP16="",TRUE(),ABS(AA16-AP16)&lt;=AT16),IF(AR16="",TRUE(),ABS(AJ16-AR16)&lt;=AT16),IF(AQ16="",TRUE(),ABS(AI16-AQ16)&lt;=AU16),IF(AS16="",TRUE(),IF(ISNUMBER(AK16),ABS(AK16-AS16)&lt;=AV16,FALSE()))),"behaves","check")</f>
        <v>behaves</v>
      </c>
      <c r="AY16" s="7" t="s">
        <v>1294</v>
      </c>
    </row>
    <row r="17" customFormat="false" ht="30" hidden="false" customHeight="true" outlineLevel="0" collapsed="false">
      <c r="A17" s="39" t="s">
        <v>1295</v>
      </c>
      <c r="B17" s="57"/>
      <c r="C17" s="39" t="s">
        <v>673</v>
      </c>
      <c r="D17" s="39" t="s">
        <v>979</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1289</v>
      </c>
      <c r="AX17" s="9" t="str">
        <f aca="false">IF(AND(IF(AO17="",TRUE(),ABS(S17-AO17)&lt;=AT17),IF(AP17="",TRUE(),ABS(AA17-AP17)&lt;=AT17),IF(AR17="",TRUE(),ABS(AJ17-AR17)&lt;=AT17),IF(AQ17="",TRUE(),ABS(AI17-AQ17)&lt;=AU17),IF(AS17="",TRUE(),IF(ISNUMBER(AK17),ABS(AK17-AS17)&lt;=AV17,FALSE()))),"behaves","check")</f>
        <v>behaves</v>
      </c>
      <c r="AY17" s="7" t="s">
        <v>1296</v>
      </c>
    </row>
    <row r="20" customFormat="false" ht="15" hidden="false" customHeight="false" outlineLevel="0" collapsed="false">
      <c r="A20" s="3" t="s">
        <v>1297</v>
      </c>
      <c r="B20" s="4"/>
      <c r="C20" s="4"/>
      <c r="D20" s="4"/>
      <c r="E20" s="4"/>
      <c r="F20" s="4"/>
      <c r="G20" s="4"/>
      <c r="H20" s="4"/>
      <c r="I20" s="4"/>
      <c r="J20" s="4"/>
      <c r="K20" s="4"/>
      <c r="L20" s="4"/>
    </row>
    <row r="21" customFormat="false" ht="39.75" hidden="false" customHeight="true" outlineLevel="0" collapsed="false">
      <c r="A21" s="12" t="s">
        <v>1298</v>
      </c>
      <c r="B21" s="12" t="s">
        <v>1299</v>
      </c>
      <c r="C21" s="12" t="s">
        <v>389</v>
      </c>
      <c r="D21" s="12" t="s">
        <v>1300</v>
      </c>
      <c r="E21" s="12" t="s">
        <v>389</v>
      </c>
      <c r="F21" s="12" t="s">
        <v>1301</v>
      </c>
      <c r="G21" s="12" t="s">
        <v>389</v>
      </c>
      <c r="H21" s="12" t="s">
        <v>1302</v>
      </c>
      <c r="I21" s="12" t="s">
        <v>389</v>
      </c>
      <c r="J21" s="12" t="s">
        <v>1303</v>
      </c>
      <c r="K21" s="9" t="s">
        <v>1304</v>
      </c>
      <c r="L21" s="101" t="n">
        <v>0.01</v>
      </c>
    </row>
    <row r="22" customFormat="false" ht="15" hidden="false" customHeight="false" outlineLevel="0" collapsed="false">
      <c r="A22" s="30" t="s">
        <v>1305</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1306</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1307</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1308</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1309</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1310</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1311</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1312</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1313</v>
      </c>
      <c r="B32" s="4"/>
      <c r="C32" s="4"/>
      <c r="D32" s="4"/>
      <c r="E32" s="4"/>
      <c r="F32" s="4"/>
      <c r="G32" s="4"/>
      <c r="H32" s="4"/>
      <c r="I32" s="4"/>
      <c r="J32" s="4"/>
      <c r="K32" s="4"/>
      <c r="L32" s="4"/>
    </row>
    <row r="33" customFormat="false" ht="31.5" hidden="false" customHeight="true" outlineLevel="0" collapsed="false">
      <c r="A33" s="12" t="s">
        <v>1314</v>
      </c>
      <c r="B33" s="12" t="s">
        <v>1315</v>
      </c>
      <c r="C33" s="12" t="s">
        <v>1316</v>
      </c>
      <c r="D33" s="12" t="s">
        <v>1317</v>
      </c>
      <c r="E33" s="12" t="s">
        <v>1318</v>
      </c>
      <c r="F33" s="12" t="s">
        <v>1319</v>
      </c>
      <c r="G33" s="12" t="s">
        <v>275</v>
      </c>
      <c r="H33" s="12" t="s">
        <v>1320</v>
      </c>
    </row>
    <row r="34" customFormat="false" ht="30" hidden="false" customHeight="true" outlineLevel="0" collapsed="false">
      <c r="A34" s="30" t="n">
        <v>1</v>
      </c>
      <c r="B34" s="7" t="s">
        <v>1321</v>
      </c>
      <c r="C34" s="19" t="n">
        <v>280</v>
      </c>
      <c r="D34" s="19" t="n">
        <f aca="false">AA7</f>
        <v>276</v>
      </c>
      <c r="E34" s="19" t="n">
        <f aca="false">D34-C34</f>
        <v>-4</v>
      </c>
      <c r="F34" s="19" t="n">
        <v>5</v>
      </c>
      <c r="G34" s="9" t="str">
        <f aca="false">IF(ABS(E34)&lt;=F34,"within tolerance","differs: see reason")</f>
        <v>within tolerance</v>
      </c>
      <c r="H34" s="5" t="s">
        <v>1322</v>
      </c>
      <c r="I34" s="5"/>
      <c r="J34" s="5"/>
      <c r="K34" s="5"/>
      <c r="L34" s="5"/>
      <c r="M34" s="5"/>
      <c r="N34" s="5"/>
    </row>
    <row r="35" customFormat="false" ht="30" hidden="false" customHeight="true" outlineLevel="0" collapsed="false">
      <c r="A35" s="30" t="n">
        <v>2</v>
      </c>
      <c r="B35" s="7" t="s">
        <v>1323</v>
      </c>
      <c r="C35" s="19" t="n">
        <v>920</v>
      </c>
      <c r="D35" s="19" t="n">
        <f aca="false">AJ7</f>
        <v>924</v>
      </c>
      <c r="E35" s="19" t="n">
        <f aca="false">D35-C35</f>
        <v>4</v>
      </c>
      <c r="F35" s="19" t="n">
        <v>5</v>
      </c>
      <c r="G35" s="9" t="str">
        <f aca="false">IF(ABS(E35)&lt;=F35,"within tolerance","differs: see reason")</f>
        <v>within tolerance</v>
      </c>
      <c r="H35" s="5" t="s">
        <v>1324</v>
      </c>
      <c r="I35" s="5"/>
      <c r="J35" s="5"/>
      <c r="K35" s="5"/>
      <c r="L35" s="5"/>
      <c r="M35" s="5"/>
      <c r="N35" s="5"/>
    </row>
    <row r="36" customFormat="false" ht="30" hidden="false" customHeight="true" outlineLevel="0" collapsed="false">
      <c r="A36" s="30" t="n">
        <v>3</v>
      </c>
      <c r="B36" s="7" t="s">
        <v>1325</v>
      </c>
      <c r="C36" s="28" t="n">
        <v>16</v>
      </c>
      <c r="D36" s="28" t="n">
        <f aca="false">AK7</f>
        <v>16.2105263157895</v>
      </c>
      <c r="E36" s="28" t="n">
        <f aca="false">D36-C36</f>
        <v>0.210526315789473</v>
      </c>
      <c r="F36" s="28" t="n">
        <v>0.5</v>
      </c>
      <c r="G36" s="9" t="str">
        <f aca="false">IF(ABS(E36)&lt;=F36,"within tolerance","differs: see reason")</f>
        <v>within tolerance</v>
      </c>
      <c r="H36" s="5" t="s">
        <v>1326</v>
      </c>
      <c r="I36" s="5"/>
      <c r="J36" s="5"/>
      <c r="K36" s="5"/>
      <c r="L36" s="5"/>
      <c r="M36" s="5"/>
      <c r="N36" s="5"/>
    </row>
    <row r="37" customFormat="false" ht="30" hidden="false" customHeight="true" outlineLevel="0" collapsed="false">
      <c r="A37" s="30" t="n">
        <v>4</v>
      </c>
      <c r="B37" s="7" t="s">
        <v>1327</v>
      </c>
      <c r="C37" s="19" t="n">
        <v>670</v>
      </c>
      <c r="D37" s="19" t="n">
        <f aca="false">AA9</f>
        <v>670</v>
      </c>
      <c r="E37" s="19" t="n">
        <f aca="false">D37-C37</f>
        <v>0</v>
      </c>
      <c r="F37" s="19" t="n">
        <v>5</v>
      </c>
      <c r="G37" s="9" t="str">
        <f aca="false">IF(ABS(E37)&lt;=F37,"within tolerance","differs: see reason")</f>
        <v>within tolerance</v>
      </c>
      <c r="H37" s="5" t="s">
        <v>1328</v>
      </c>
      <c r="I37" s="5"/>
      <c r="J37" s="5"/>
      <c r="K37" s="5"/>
      <c r="L37" s="5"/>
      <c r="M37" s="5"/>
      <c r="N37" s="5"/>
    </row>
    <row r="38" customFormat="false" ht="30" hidden="false" customHeight="true" outlineLevel="0" collapsed="false">
      <c r="A38" s="30" t="n">
        <v>5</v>
      </c>
      <c r="B38" s="7" t="s">
        <v>1329</v>
      </c>
      <c r="C38" s="28" t="n">
        <v>74</v>
      </c>
      <c r="D38" s="28" t="n">
        <f aca="false">AK9</f>
        <v>73.6538461538462</v>
      </c>
      <c r="E38" s="28" t="n">
        <f aca="false">D38-C38</f>
        <v>-0.34615384615384</v>
      </c>
      <c r="F38" s="28" t="n">
        <v>0.5</v>
      </c>
      <c r="G38" s="9" t="str">
        <f aca="false">IF(ABS(E38)&lt;=F38,"within tolerance","differs: see reason")</f>
        <v>within tolerance</v>
      </c>
      <c r="H38" s="5" t="s">
        <v>1330</v>
      </c>
      <c r="I38" s="5"/>
      <c r="J38" s="5"/>
      <c r="K38" s="5"/>
      <c r="L38" s="5"/>
      <c r="M38" s="5"/>
      <c r="N38" s="5"/>
    </row>
    <row r="39" customFormat="false" ht="30" hidden="false" customHeight="true" outlineLevel="0" collapsed="false">
      <c r="A39" s="30" t="n">
        <v>6</v>
      </c>
      <c r="B39" s="7" t="s">
        <v>1331</v>
      </c>
      <c r="C39" s="28" t="n">
        <v>26</v>
      </c>
      <c r="D39" s="28" t="n">
        <f aca="false">AK8</f>
        <v>26.2857142857143</v>
      </c>
      <c r="E39" s="28" t="n">
        <f aca="false">D39-C39</f>
        <v>0.285714285714285</v>
      </c>
      <c r="F39" s="28" t="n">
        <v>0.5</v>
      </c>
      <c r="G39" s="9" t="str">
        <f aca="false">IF(ABS(E39)&lt;=F39,"within tolerance","differs: see reason")</f>
        <v>within tolerance</v>
      </c>
      <c r="H39" s="5" t="s">
        <v>1332</v>
      </c>
      <c r="I39" s="5"/>
      <c r="J39" s="5"/>
      <c r="K39" s="5"/>
      <c r="L39" s="5"/>
      <c r="M39" s="5"/>
      <c r="N39" s="5"/>
    </row>
    <row r="40" customFormat="false" ht="30" hidden="false" customHeight="true" outlineLevel="0" collapsed="false">
      <c r="A40" s="30" t="n">
        <v>7</v>
      </c>
      <c r="B40" s="7" t="s">
        <v>1333</v>
      </c>
      <c r="C40" s="19" t="n">
        <v>370</v>
      </c>
      <c r="D40" s="19" t="n">
        <f aca="false">AA10</f>
        <v>370</v>
      </c>
      <c r="E40" s="19" t="n">
        <f aca="false">D40-C40</f>
        <v>0</v>
      </c>
      <c r="F40" s="19" t="n">
        <v>5</v>
      </c>
      <c r="G40" s="9" t="str">
        <f aca="false">IF(ABS(E40)&lt;=F40,"within tolerance","differs: see reason")</f>
        <v>within tolerance</v>
      </c>
      <c r="H40" s="5" t="s">
        <v>1334</v>
      </c>
      <c r="I40" s="5"/>
      <c r="J40" s="5"/>
      <c r="K40" s="5"/>
      <c r="L40" s="5"/>
      <c r="M40" s="5"/>
      <c r="N40" s="5"/>
    </row>
    <row r="41" customFormat="false" ht="30" hidden="false" customHeight="true" outlineLevel="0" collapsed="false">
      <c r="A41" s="30" t="n">
        <v>8</v>
      </c>
      <c r="B41" s="7" t="s">
        <v>1335</v>
      </c>
      <c r="C41" s="28" t="n">
        <v>102</v>
      </c>
      <c r="D41" s="28" t="n">
        <f aca="false">AK11</f>
        <v>101.634615384615</v>
      </c>
      <c r="E41" s="28" t="n">
        <f aca="false">D41-C41</f>
        <v>-0.365384615384613</v>
      </c>
      <c r="F41" s="28" t="n">
        <v>0.5</v>
      </c>
      <c r="G41" s="9" t="str">
        <f aca="false">IF(ABS(E41)&lt;=F41,"within tolerance","differs: see reason")</f>
        <v>within tolerance</v>
      </c>
      <c r="H41" s="5" t="s">
        <v>1336</v>
      </c>
      <c r="I41" s="5"/>
      <c r="J41" s="5"/>
      <c r="K41" s="5"/>
      <c r="L41" s="5"/>
      <c r="M41" s="5"/>
      <c r="N41" s="5"/>
    </row>
    <row r="42" customFormat="false" ht="30" hidden="false" customHeight="true" outlineLevel="0" collapsed="false">
      <c r="A42" s="30" t="n">
        <v>9</v>
      </c>
      <c r="B42" s="7" t="s">
        <v>1337</v>
      </c>
      <c r="C42" s="28" t="n">
        <v>47</v>
      </c>
      <c r="D42" s="28" t="n">
        <f aca="false">AK12</f>
        <v>47.4038461538462</v>
      </c>
      <c r="E42" s="28" t="n">
        <f aca="false">D42-C42</f>
        <v>0.403846153846153</v>
      </c>
      <c r="F42" s="28" t="n">
        <v>0.5</v>
      </c>
      <c r="G42" s="9" t="str">
        <f aca="false">IF(ABS(E42)&lt;=F42,"within tolerance","differs: see reason")</f>
        <v>within tolerance</v>
      </c>
      <c r="H42" s="5" t="s">
        <v>1338</v>
      </c>
      <c r="I42" s="5"/>
      <c r="J42" s="5"/>
      <c r="K42" s="5"/>
      <c r="L42" s="5"/>
      <c r="M42" s="5"/>
      <c r="N42" s="5"/>
    </row>
    <row r="43" customFormat="false" ht="30" hidden="false" customHeight="true" outlineLevel="0" collapsed="false">
      <c r="A43" s="30" t="n">
        <v>10</v>
      </c>
      <c r="B43" s="7" t="s">
        <v>1339</v>
      </c>
      <c r="C43" s="28" t="n">
        <v>47</v>
      </c>
      <c r="D43" s="28" t="n">
        <f aca="false">AK13</f>
        <v>45.6730769230769</v>
      </c>
      <c r="E43" s="28" t="n">
        <f aca="false">D43-C43</f>
        <v>-1.32692307692308</v>
      </c>
      <c r="F43" s="28" t="n">
        <v>0.5</v>
      </c>
      <c r="G43" s="9" t="str">
        <f aca="false">IF(ABS(E43)&lt;=F43,"within tolerance","differs: see reason")</f>
        <v>differs: see reason</v>
      </c>
      <c r="H43" s="5" t="s">
        <v>1340</v>
      </c>
      <c r="I43" s="5"/>
      <c r="J43" s="5"/>
      <c r="K43" s="5"/>
      <c r="L43" s="5"/>
      <c r="M43" s="5"/>
      <c r="N43" s="5"/>
    </row>
    <row r="44" customFormat="false" ht="30" hidden="false" customHeight="true" outlineLevel="0" collapsed="false">
      <c r="A44" s="30" t="n">
        <v>11</v>
      </c>
      <c r="B44" s="7" t="s">
        <v>1341</v>
      </c>
      <c r="C44" s="19" t="n">
        <v>9000</v>
      </c>
      <c r="D44" s="19" t="n">
        <f aca="false">Steady_State!$C$24</f>
        <v>9000</v>
      </c>
      <c r="E44" s="19" t="n">
        <f aca="false">D44-C44</f>
        <v>0</v>
      </c>
      <c r="F44" s="19" t="n">
        <v>25</v>
      </c>
      <c r="G44" s="9" t="str">
        <f aca="false">IF(ABS(E44)&lt;=F44,"within tolerance","differs: see reason")</f>
        <v>within tolerance</v>
      </c>
      <c r="H44" s="5" t="s">
        <v>1342</v>
      </c>
      <c r="I44" s="5"/>
      <c r="J44" s="5"/>
      <c r="K44" s="5"/>
      <c r="L44" s="5"/>
      <c r="M44" s="5"/>
      <c r="N44" s="5"/>
    </row>
    <row r="45" customFormat="false" ht="30" hidden="false" customHeight="true" outlineLevel="0" collapsed="false">
      <c r="A45" s="30" t="n">
        <v>12</v>
      </c>
      <c r="B45" s="7" t="s">
        <v>1343</v>
      </c>
      <c r="C45" s="19" t="n">
        <v>1350</v>
      </c>
      <c r="D45" s="19" t="n">
        <f aca="false">Steady_State!$C$25</f>
        <v>1340</v>
      </c>
      <c r="E45" s="19" t="n">
        <f aca="false">D45-C45</f>
        <v>-10</v>
      </c>
      <c r="F45" s="19" t="n">
        <v>25</v>
      </c>
      <c r="G45" s="9" t="str">
        <f aca="false">IF(ABS(E45)&lt;=F45,"within tolerance","differs: see reason")</f>
        <v>within tolerance</v>
      </c>
      <c r="H45" s="5" t="s">
        <v>1344</v>
      </c>
      <c r="I45" s="5"/>
      <c r="J45" s="5"/>
      <c r="K45" s="5"/>
      <c r="L45" s="5"/>
      <c r="M45" s="5"/>
      <c r="N45" s="5"/>
    </row>
    <row r="46" customFormat="false" ht="30" hidden="false" customHeight="true" outlineLevel="0" collapsed="false">
      <c r="A46" s="30" t="n">
        <v>13</v>
      </c>
      <c r="B46" s="7" t="s">
        <v>1345</v>
      </c>
      <c r="C46" s="36" t="n">
        <v>104</v>
      </c>
      <c r="D46" s="36" t="n">
        <f aca="false">Steady_State!$C$26</f>
        <v>104</v>
      </c>
      <c r="E46" s="36" t="n">
        <f aca="false">D46-C46</f>
        <v>0</v>
      </c>
      <c r="F46" s="36" t="n">
        <v>0.01</v>
      </c>
      <c r="G46" s="9" t="str">
        <f aca="false">IF(ABS(E46)&lt;=F46,"within tolerance","differs: see reason")</f>
        <v>within tolerance</v>
      </c>
      <c r="H46" s="5" t="s">
        <v>1346</v>
      </c>
      <c r="I46" s="5"/>
      <c r="J46" s="5"/>
      <c r="K46" s="5"/>
      <c r="L46" s="5"/>
      <c r="M46" s="5"/>
      <c r="N46" s="5"/>
    </row>
    <row r="47" customFormat="false" ht="30" hidden="false" customHeight="true" outlineLevel="0" collapsed="false">
      <c r="A47" s="30" t="n">
        <v>14</v>
      </c>
      <c r="B47" s="7" t="s">
        <v>1347</v>
      </c>
      <c r="C47" s="19" t="n">
        <v>7650</v>
      </c>
      <c r="D47" s="19" t="n">
        <f aca="false">Steady_State!$C$27</f>
        <v>7660</v>
      </c>
      <c r="E47" s="19" t="n">
        <f aca="false">D47-C47</f>
        <v>10</v>
      </c>
      <c r="F47" s="19" t="n">
        <v>25</v>
      </c>
      <c r="G47" s="9" t="str">
        <f aca="false">IF(ABS(E47)&lt;=F47,"within tolerance","differs: see reason")</f>
        <v>within tolerance</v>
      </c>
      <c r="H47" s="5" t="s">
        <v>1348</v>
      </c>
      <c r="I47" s="5"/>
      <c r="J47" s="5"/>
      <c r="K47" s="5"/>
      <c r="L47" s="5"/>
      <c r="M47" s="5"/>
      <c r="N47" s="5"/>
    </row>
    <row r="48" customFormat="false" ht="30" hidden="false" customHeight="true" outlineLevel="0" collapsed="false">
      <c r="A48" s="30" t="n">
        <v>15</v>
      </c>
      <c r="B48" s="7" t="s">
        <v>1349</v>
      </c>
      <c r="C48" s="19" t="n">
        <v>90000</v>
      </c>
      <c r="D48" s="19" t="n">
        <f aca="false">Steady_State!$C$29</f>
        <v>91920</v>
      </c>
      <c r="E48" s="19" t="n">
        <f aca="false">D48-C48</f>
        <v>1920</v>
      </c>
      <c r="F48" s="19" t="n">
        <v>5000</v>
      </c>
      <c r="G48" s="9" t="str">
        <f aca="false">IF(ABS(E48)&lt;=F48,"within tolerance","differs: see reason")</f>
        <v>within tolerance</v>
      </c>
      <c r="H48" s="5" t="s">
        <v>1350</v>
      </c>
      <c r="I48" s="5"/>
      <c r="J48" s="5"/>
      <c r="K48" s="5"/>
      <c r="L48" s="5"/>
      <c r="M48" s="5"/>
      <c r="N48" s="5"/>
    </row>
    <row r="49" customFormat="false" ht="30" hidden="false" customHeight="true" outlineLevel="0" collapsed="false">
      <c r="A49" s="30" t="n">
        <v>16</v>
      </c>
      <c r="B49" s="7" t="s">
        <v>1351</v>
      </c>
      <c r="C49" s="95" t="n">
        <v>6</v>
      </c>
      <c r="D49" s="95" t="n">
        <f aca="false">Steady_State!$C$42</f>
        <v>6</v>
      </c>
      <c r="E49" s="95" t="n">
        <f aca="false">D49-C49</f>
        <v>0</v>
      </c>
      <c r="F49" s="95" t="n">
        <v>0.01</v>
      </c>
      <c r="G49" s="9" t="str">
        <f aca="false">IF(ABS(E49)&lt;=F49,"within tolerance","differs: see reason")</f>
        <v>within tolerance</v>
      </c>
      <c r="H49" s="5" t="s">
        <v>1352</v>
      </c>
      <c r="I49" s="5"/>
      <c r="J49" s="5"/>
      <c r="K49" s="5"/>
      <c r="L49" s="5"/>
      <c r="M49" s="5"/>
      <c r="N49" s="5"/>
    </row>
    <row r="50" customFormat="false" ht="30" hidden="false" customHeight="true" outlineLevel="0" collapsed="false">
      <c r="A50" s="30" t="n">
        <v>17</v>
      </c>
      <c r="B50" s="7" t="s">
        <v>1353</v>
      </c>
      <c r="C50" s="21" t="n">
        <v>30</v>
      </c>
      <c r="D50" s="21" t="n">
        <f aca="false">Steady_State!$C$43</f>
        <v>30</v>
      </c>
      <c r="E50" s="21" t="n">
        <f aca="false">D50-C50</f>
        <v>0</v>
      </c>
      <c r="F50" s="21" t="n">
        <v>0.01</v>
      </c>
      <c r="G50" s="9" t="str">
        <f aca="false">IF(ABS(E50)&lt;=F50,"within tolerance","differs: see reason")</f>
        <v>within tolerance</v>
      </c>
      <c r="H50" s="5" t="s">
        <v>1354</v>
      </c>
      <c r="I50" s="5"/>
      <c r="J50" s="5"/>
      <c r="K50" s="5"/>
      <c r="L50" s="5"/>
      <c r="M50" s="5"/>
      <c r="N50" s="5"/>
    </row>
    <row r="51" customFormat="false" ht="30" hidden="false" customHeight="true" outlineLevel="0" collapsed="false">
      <c r="A51" s="30" t="n">
        <v>18</v>
      </c>
      <c r="B51" s="7" t="s">
        <v>1355</v>
      </c>
      <c r="C51" s="21" t="n">
        <v>20</v>
      </c>
      <c r="D51" s="21" t="n">
        <f aca="false">Steady_State!$C$44</f>
        <v>20</v>
      </c>
      <c r="E51" s="21" t="n">
        <f aca="false">D51-C51</f>
        <v>0</v>
      </c>
      <c r="F51" s="21" t="n">
        <v>0.01</v>
      </c>
      <c r="G51" s="9" t="str">
        <f aca="false">IF(ABS(E51)&lt;=F51,"within tolerance","differs: see reason")</f>
        <v>within tolerance</v>
      </c>
      <c r="H51" s="5" t="s">
        <v>1356</v>
      </c>
      <c r="I51" s="5"/>
      <c r="J51" s="5"/>
      <c r="K51" s="5"/>
      <c r="L51" s="5"/>
      <c r="M51" s="5"/>
      <c r="N51" s="5"/>
    </row>
    <row r="52" customFormat="false" ht="30" hidden="false" customHeight="true" outlineLevel="0" collapsed="false">
      <c r="A52" s="30" t="n">
        <v>19</v>
      </c>
      <c r="B52" s="7" t="s">
        <v>1357</v>
      </c>
      <c r="C52" s="19" t="n">
        <v>275</v>
      </c>
      <c r="D52" s="19" t="n">
        <f aca="false">Steady_State!$C$31</f>
        <v>310</v>
      </c>
      <c r="E52" s="19" t="n">
        <f aca="false">D52-C52</f>
        <v>35</v>
      </c>
      <c r="F52" s="19" t="n">
        <v>75</v>
      </c>
      <c r="G52" s="9" t="str">
        <f aca="false">IF(ABS(E52)&lt;=F52,"within tolerance","differs: see reason")</f>
        <v>within tolerance</v>
      </c>
      <c r="H52" s="5" t="s">
        <v>1358</v>
      </c>
      <c r="I52" s="5"/>
      <c r="J52" s="5"/>
      <c r="K52" s="5"/>
      <c r="L52" s="5"/>
      <c r="M52" s="5"/>
      <c r="N52" s="5"/>
    </row>
    <row r="53" customFormat="false" ht="30" hidden="false" customHeight="true" outlineLevel="0" collapsed="false">
      <c r="A53" s="30" t="n">
        <v>20</v>
      </c>
      <c r="B53" s="7" t="s">
        <v>1359</v>
      </c>
      <c r="C53" s="21" t="n">
        <v>1</v>
      </c>
      <c r="D53" s="21" t="n">
        <f aca="false">Steady_State!$C$56</f>
        <v>1</v>
      </c>
      <c r="E53" s="21" t="n">
        <f aca="false">D53-C53</f>
        <v>0</v>
      </c>
      <c r="F53" s="21" t="n">
        <v>0.01</v>
      </c>
      <c r="G53" s="9" t="str">
        <f aca="false">IF(ABS(E53)&lt;=F53,"within tolerance","differs: see reason")</f>
        <v>within tolerance</v>
      </c>
      <c r="H53" s="5" t="s">
        <v>1360</v>
      </c>
      <c r="I53" s="5"/>
      <c r="J53" s="5"/>
      <c r="K53" s="5"/>
      <c r="L53" s="5"/>
      <c r="M53" s="5"/>
      <c r="N53" s="5"/>
    </row>
    <row r="54" customFormat="false" ht="30" hidden="false" customHeight="true" outlineLevel="0" collapsed="false">
      <c r="A54" s="30" t="n">
        <v>21</v>
      </c>
      <c r="B54" s="7" t="s">
        <v>1361</v>
      </c>
      <c r="C54" s="36" t="n">
        <v>6</v>
      </c>
      <c r="D54" s="36" t="n">
        <f aca="false">Inputs!$C$93</f>
        <v>6</v>
      </c>
      <c r="E54" s="36" t="n">
        <f aca="false">D54-C54</f>
        <v>0</v>
      </c>
      <c r="F54" s="36" t="n">
        <v>0.01</v>
      </c>
      <c r="G54" s="9" t="str">
        <f aca="false">IF(ABS(E54)&lt;=F54,"within tolerance","differs: see reason")</f>
        <v>within tolerance</v>
      </c>
      <c r="H54" s="5" t="s">
        <v>1362</v>
      </c>
      <c r="I54" s="5"/>
      <c r="J54" s="5"/>
      <c r="K54" s="5"/>
      <c r="L54" s="5"/>
      <c r="M54" s="5"/>
      <c r="N54" s="5"/>
    </row>
    <row r="55" customFormat="false" ht="30" hidden="false" customHeight="true" outlineLevel="0" collapsed="false">
      <c r="A55" s="30" t="n">
        <v>22</v>
      </c>
      <c r="B55" s="7" t="s">
        <v>1363</v>
      </c>
      <c r="C55" s="19" t="n">
        <v>3360</v>
      </c>
      <c r="D55" s="19" t="n">
        <f aca="false">Capital!$C$14</f>
        <v>3360</v>
      </c>
      <c r="E55" s="19" t="n">
        <f aca="false">D55-C55</f>
        <v>0</v>
      </c>
      <c r="F55" s="19" t="n">
        <v>0.01</v>
      </c>
      <c r="G55" s="9" t="str">
        <f aca="false">IF(ABS(E55)&lt;=F55,"within tolerance","differs: see reason")</f>
        <v>within tolerance</v>
      </c>
      <c r="H55" s="5" t="s">
        <v>1364</v>
      </c>
      <c r="I55" s="5"/>
      <c r="J55" s="5"/>
      <c r="K55" s="5"/>
      <c r="L55" s="5"/>
      <c r="M55" s="5"/>
      <c r="N55" s="5"/>
    </row>
    <row r="56" customFormat="false" ht="30" hidden="false" customHeight="true" outlineLevel="0" collapsed="false">
      <c r="A56" s="30" t="n">
        <v>23</v>
      </c>
      <c r="B56" s="7" t="s">
        <v>1365</v>
      </c>
      <c r="C56" s="19" t="n">
        <v>6510</v>
      </c>
      <c r="D56" s="19" t="n">
        <f aca="false">Capital!$D$14</f>
        <v>6510</v>
      </c>
      <c r="E56" s="19" t="n">
        <f aca="false">D56-C56</f>
        <v>0</v>
      </c>
      <c r="F56" s="19" t="n">
        <v>0.01</v>
      </c>
      <c r="G56" s="9" t="str">
        <f aca="false">IF(ABS(E56)&lt;=F56,"within tolerance","differs: see reason")</f>
        <v>within tolerance</v>
      </c>
      <c r="H56" s="5" t="s">
        <v>1366</v>
      </c>
      <c r="I56" s="5"/>
      <c r="J56" s="5"/>
      <c r="K56" s="5"/>
      <c r="L56" s="5"/>
      <c r="M56" s="5"/>
      <c r="N56" s="5"/>
    </row>
    <row r="57" customFormat="false" ht="30" hidden="false" customHeight="true" outlineLevel="0" collapsed="false">
      <c r="A57" s="30" t="n">
        <v>24</v>
      </c>
      <c r="B57" s="7" t="s">
        <v>1367</v>
      </c>
      <c r="C57" s="19" t="n">
        <v>360</v>
      </c>
      <c r="D57" s="19" t="n">
        <f aca="false">Capital!G10</f>
        <v>360</v>
      </c>
      <c r="E57" s="19" t="n">
        <f aca="false">D57-C57</f>
        <v>0</v>
      </c>
      <c r="F57" s="19" t="n">
        <v>0.01</v>
      </c>
      <c r="G57" s="9" t="str">
        <f aca="false">IF(ABS(E57)&lt;=F57,"within tolerance","differs: see reason")</f>
        <v>within tolerance</v>
      </c>
      <c r="H57" s="5" t="s">
        <v>1368</v>
      </c>
      <c r="I57" s="5"/>
      <c r="J57" s="5"/>
      <c r="K57" s="5"/>
      <c r="L57" s="5"/>
      <c r="M57" s="5"/>
      <c r="N57" s="5"/>
    </row>
    <row r="58" customFormat="false" ht="30" hidden="false" customHeight="true" outlineLevel="0" collapsed="false">
      <c r="A58" s="30" t="n">
        <v>25</v>
      </c>
      <c r="B58" s="7" t="s">
        <v>1369</v>
      </c>
      <c r="C58" s="19" t="n">
        <v>600</v>
      </c>
      <c r="D58" s="19" t="n">
        <f aca="false">Capital!G11</f>
        <v>720</v>
      </c>
      <c r="E58" s="19" t="n">
        <f aca="false">D58-C58</f>
        <v>120</v>
      </c>
      <c r="F58" s="19" t="n">
        <v>0.01</v>
      </c>
      <c r="G58" s="9" t="str">
        <f aca="false">IF(ABS(E58)&lt;=F58,"within tolerance","differs: see reason")</f>
        <v>differs: see reason</v>
      </c>
      <c r="H58" s="5" t="s">
        <v>1370</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1371</v>
      </c>
    </row>
    <row r="2" customFormat="false" ht="15" hidden="false" customHeight="false" outlineLevel="0" collapsed="false">
      <c r="A2" s="2" t="s">
        <v>1372</v>
      </c>
    </row>
    <row r="3" customFormat="false" ht="30" hidden="false" customHeight="true" outlineLevel="0" collapsed="false">
      <c r="B3" s="8" t="s">
        <v>1373</v>
      </c>
      <c r="C3" s="8"/>
      <c r="D3" s="8"/>
      <c r="E3" s="8"/>
      <c r="F3" s="8"/>
      <c r="G3" s="8"/>
      <c r="H3" s="8"/>
      <c r="I3" s="8"/>
      <c r="J3" s="8"/>
    </row>
    <row r="4" customFormat="false" ht="45" hidden="false" customHeight="true" outlineLevel="0" collapsed="false">
      <c r="B4" s="12" t="s">
        <v>1374</v>
      </c>
      <c r="C4" s="12" t="s">
        <v>1375</v>
      </c>
      <c r="D4" s="12" t="s">
        <v>1376</v>
      </c>
      <c r="E4" s="12" t="s">
        <v>1377</v>
      </c>
      <c r="F4" s="12" t="s">
        <v>1378</v>
      </c>
      <c r="G4" s="12" t="s">
        <v>1379</v>
      </c>
      <c r="H4" s="12" t="s">
        <v>1380</v>
      </c>
      <c r="I4" s="12" t="s">
        <v>1381</v>
      </c>
      <c r="J4" s="12" t="s">
        <v>1382</v>
      </c>
    </row>
    <row r="5" customFormat="false" ht="31.5" hidden="false" customHeight="true" outlineLevel="0" collapsed="false">
      <c r="B5" s="7" t="s">
        <v>1383</v>
      </c>
      <c r="C5" s="19" t="n">
        <v>250</v>
      </c>
      <c r="D5" s="19" t="n">
        <v>250</v>
      </c>
      <c r="E5" s="19" t="n">
        <f aca="false">Inputs!$C$158+Inputs!$C$159</f>
        <v>250</v>
      </c>
      <c r="F5" s="7" t="s">
        <v>1384</v>
      </c>
      <c r="G5" s="19" t="n">
        <f aca="false">Inputs!$Q$158+Inputs!$Q$159</f>
        <v>250</v>
      </c>
      <c r="H5" s="19" t="n">
        <f aca="false">G5-D5</f>
        <v>0</v>
      </c>
      <c r="I5" s="7" t="s">
        <v>1385</v>
      </c>
      <c r="J5" s="7" t="s">
        <v>1386</v>
      </c>
    </row>
    <row r="6" customFormat="false" ht="48" hidden="false" customHeight="true" outlineLevel="0" collapsed="false">
      <c r="B6" s="7" t="s">
        <v>1387</v>
      </c>
      <c r="C6" s="19" t="n">
        <v>250</v>
      </c>
      <c r="D6" s="19" t="n">
        <v>2000</v>
      </c>
      <c r="E6" s="19" t="n">
        <f aca="false">Inputs!$C$160</f>
        <v>2000</v>
      </c>
      <c r="F6" s="7" t="s">
        <v>1384</v>
      </c>
      <c r="G6" s="19" t="n">
        <f aca="false">Inputs!$Q$160</f>
        <v>2000</v>
      </c>
      <c r="H6" s="19" t="n">
        <f aca="false">G6-D6</f>
        <v>0</v>
      </c>
      <c r="I6" s="7" t="s">
        <v>1388</v>
      </c>
      <c r="J6" s="7" t="s">
        <v>1389</v>
      </c>
    </row>
    <row r="7" customFormat="false" ht="31.5" hidden="false" customHeight="true" outlineLevel="0" collapsed="false">
      <c r="B7" s="7" t="s">
        <v>1390</v>
      </c>
      <c r="C7" s="19" t="n">
        <v>500</v>
      </c>
      <c r="D7" s="19" t="n">
        <v>1500</v>
      </c>
      <c r="E7" s="19" t="n">
        <f aca="false">Inputs!$C$81*Inputs!$C$20</f>
        <v>1200</v>
      </c>
      <c r="F7" s="7" t="s">
        <v>1391</v>
      </c>
      <c r="G7" s="19" t="n">
        <f aca="false">SUMIFS(Cash_Ledger!$D$5:$D$53,Cash_Ledger!$A$5:$A$53,"insurance",Cash_Ledger!$C$5:$C$53,"&gt;="&amp;Inputs!$C$10,Cash_Ledger!$C$5:$C$53,"&lt;="&amp;Cash_Flow!$AB$6)</f>
        <v>1200</v>
      </c>
      <c r="H7" s="19" t="n">
        <f aca="false">G7-D7</f>
        <v>-300</v>
      </c>
      <c r="I7" s="7" t="s">
        <v>1392</v>
      </c>
      <c r="J7" s="7" t="s">
        <v>1393</v>
      </c>
    </row>
    <row r="8" customFormat="false" ht="31.5" hidden="false" customHeight="true" outlineLevel="0" collapsed="false">
      <c r="B8" s="7" t="s">
        <v>1394</v>
      </c>
      <c r="C8" s="19" t="n">
        <v>0</v>
      </c>
      <c r="D8" s="19" t="n">
        <v>400</v>
      </c>
      <c r="E8" s="19" t="n">
        <f aca="false">Inputs!$C$162</f>
        <v>400</v>
      </c>
      <c r="F8" s="7" t="s">
        <v>1384</v>
      </c>
      <c r="G8" s="19" t="n">
        <f aca="false">Inputs!$Q$162</f>
        <v>400</v>
      </c>
      <c r="H8" s="19" t="n">
        <f aca="false">G8-D8</f>
        <v>0</v>
      </c>
      <c r="I8" s="7" t="s">
        <v>1395</v>
      </c>
      <c r="J8" s="7" t="s">
        <v>1396</v>
      </c>
    </row>
    <row r="9" customFormat="false" ht="31.5" hidden="false" customHeight="true" outlineLevel="0" collapsed="false">
      <c r="B9" s="7" t="s">
        <v>1397</v>
      </c>
      <c r="C9" s="19" t="n">
        <v>300</v>
      </c>
      <c r="D9" s="19" t="n">
        <v>300</v>
      </c>
      <c r="E9" s="19" t="n">
        <f aca="false">Inputs!$C$163</f>
        <v>300</v>
      </c>
      <c r="F9" s="7" t="s">
        <v>1384</v>
      </c>
      <c r="G9" s="19" t="n">
        <f aca="false">Inputs!$Q$163</f>
        <v>300</v>
      </c>
      <c r="H9" s="19" t="n">
        <f aca="false">G9-D9</f>
        <v>0</v>
      </c>
      <c r="I9" s="7" t="s">
        <v>1398</v>
      </c>
      <c r="J9" s="7" t="s">
        <v>1399</v>
      </c>
    </row>
    <row r="10" customFormat="false" ht="31.5" hidden="false" customHeight="true" outlineLevel="0" collapsed="false">
      <c r="B10" s="7" t="s">
        <v>1367</v>
      </c>
      <c r="C10" s="19" t="n">
        <v>360</v>
      </c>
      <c r="D10" s="19" t="n">
        <v>360</v>
      </c>
      <c r="E10" s="19" t="n">
        <f aca="false">Inputs!$C$79*COUNTIFS(Cash_Ledger!$A$5:$A$53,"software",Cash_Ledger!$D$5:$D$53,"&gt;0")</f>
        <v>360</v>
      </c>
      <c r="F10" s="7" t="s">
        <v>1400</v>
      </c>
      <c r="G10" s="19" t="n">
        <f aca="false">SUMIFS(Cash_Ledger!$D$5:$D$53,Cash_Ledger!$A$5:$A$53,"software",Cash_Ledger!$C$5:$C$53,"&gt;="&amp;Inputs!$C$10,Cash_Ledger!$C$5:$C$53,"&lt;="&amp;Cash_Flow!$AB$6)</f>
        <v>360</v>
      </c>
      <c r="H10" s="19" t="n">
        <f aca="false">G10-D10</f>
        <v>0</v>
      </c>
      <c r="I10" s="7" t="s">
        <v>1401</v>
      </c>
      <c r="J10" s="7" t="s">
        <v>1399</v>
      </c>
    </row>
    <row r="11" customFormat="false" ht="48" hidden="false" customHeight="true" outlineLevel="0" collapsed="false">
      <c r="B11" s="7" t="s">
        <v>1369</v>
      </c>
      <c r="C11" s="19" t="n">
        <v>600</v>
      </c>
      <c r="D11" s="19" t="n">
        <v>600</v>
      </c>
      <c r="E11" s="19" t="n">
        <f aca="false">SUM(Drop_PnL!U7:U9)</f>
        <v>720</v>
      </c>
      <c r="F11" s="7" t="s">
        <v>1402</v>
      </c>
      <c r="G11" s="19" t="n">
        <f aca="false">SUM(Drop_PnL!U7:U9)</f>
        <v>720</v>
      </c>
      <c r="H11" s="19" t="n">
        <f aca="false">G11-D11</f>
        <v>120</v>
      </c>
      <c r="I11" s="7" t="s">
        <v>1403</v>
      </c>
      <c r="J11" s="7" t="s">
        <v>1399</v>
      </c>
    </row>
    <row r="12" customFormat="false" ht="31.5" hidden="false" customHeight="true" outlineLevel="0" collapsed="false">
      <c r="B12" s="7" t="s">
        <v>1404</v>
      </c>
      <c r="C12" s="19" t="n">
        <v>100</v>
      </c>
      <c r="D12" s="19" t="n">
        <v>100</v>
      </c>
      <c r="E12" s="19" t="n">
        <f aca="false">Inputs!$C$164</f>
        <v>100</v>
      </c>
      <c r="F12" s="7" t="s">
        <v>1384</v>
      </c>
      <c r="G12" s="19" t="n">
        <f aca="false">Inputs!$Q$164</f>
        <v>100</v>
      </c>
      <c r="H12" s="19" t="n">
        <f aca="false">G12-D12</f>
        <v>0</v>
      </c>
      <c r="I12" s="7" t="s">
        <v>1385</v>
      </c>
      <c r="J12" s="7" t="s">
        <v>1399</v>
      </c>
    </row>
    <row r="13" customFormat="false" ht="31.5" hidden="false" customHeight="true" outlineLevel="0" collapsed="false">
      <c r="B13" s="7" t="s">
        <v>1405</v>
      </c>
      <c r="C13" s="19" t="n">
        <v>1000</v>
      </c>
      <c r="D13" s="19" t="n">
        <v>1000</v>
      </c>
      <c r="E13" s="19" t="n">
        <f aca="false">Inputs!$C$117</f>
        <v>1000</v>
      </c>
      <c r="F13" s="7" t="s">
        <v>1406</v>
      </c>
      <c r="G13" s="60"/>
      <c r="H13" s="60"/>
      <c r="I13" s="7" t="s">
        <v>1407</v>
      </c>
      <c r="J13" s="7" t="s">
        <v>1399</v>
      </c>
    </row>
    <row r="14" customFormat="false" ht="15" hidden="false" customHeight="false" outlineLevel="0" collapsed="false">
      <c r="B14" s="9" t="s">
        <v>1408</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1409</v>
      </c>
      <c r="B16" s="4"/>
      <c r="C16" s="4"/>
      <c r="D16" s="4"/>
      <c r="E16" s="4"/>
      <c r="F16" s="4"/>
      <c r="G16" s="4"/>
      <c r="H16" s="4"/>
      <c r="I16" s="4"/>
      <c r="J16" s="4"/>
    </row>
    <row r="17" customFormat="false" ht="28.35" hidden="false" customHeight="false" outlineLevel="0" collapsed="false">
      <c r="B17" s="7" t="s">
        <v>1410</v>
      </c>
      <c r="C17" s="19" t="n">
        <v>300</v>
      </c>
      <c r="D17" s="19" t="n">
        <v>500</v>
      </c>
      <c r="E17" s="19" t="n">
        <f aca="false">Inputs!$C$166</f>
        <v>400</v>
      </c>
      <c r="F17" s="7" t="s">
        <v>1384</v>
      </c>
      <c r="G17" s="19" t="n">
        <f aca="false">Inputs!$Q$166</f>
        <v>400</v>
      </c>
      <c r="I17" s="7" t="s">
        <v>1411</v>
      </c>
    </row>
    <row r="18" customFormat="false" ht="15" hidden="false" customHeight="false" outlineLevel="0" collapsed="false">
      <c r="B18" s="7" t="s">
        <v>1412</v>
      </c>
      <c r="C18" s="19" t="n">
        <v>200</v>
      </c>
      <c r="D18" s="19" t="n">
        <v>400</v>
      </c>
      <c r="E18" s="19" t="n">
        <f aca="false">Inputs!$C$167</f>
        <v>300</v>
      </c>
      <c r="F18" s="7" t="s">
        <v>1384</v>
      </c>
      <c r="G18" s="19" t="n">
        <f aca="false">Inputs!$Q$167</f>
        <v>300</v>
      </c>
      <c r="I18" s="7" t="s">
        <v>1413</v>
      </c>
    </row>
    <row r="19" customFormat="false" ht="28.35" hidden="false" customHeight="false" outlineLevel="0" collapsed="false">
      <c r="B19" s="7" t="s">
        <v>1414</v>
      </c>
      <c r="C19" s="19" t="n">
        <v>25</v>
      </c>
      <c r="D19" s="19" t="n">
        <v>25</v>
      </c>
      <c r="E19" s="19" t="n">
        <f aca="false">Inputs!$C$168</f>
        <v>25</v>
      </c>
      <c r="F19" s="7" t="s">
        <v>1384</v>
      </c>
      <c r="G19" s="19" t="n">
        <f aca="false">Inputs!$Q$168</f>
        <v>25</v>
      </c>
      <c r="I19" s="7" t="s">
        <v>1415</v>
      </c>
    </row>
    <row r="20" customFormat="false" ht="28.35" hidden="false" customHeight="false" outlineLevel="0" collapsed="false">
      <c r="B20" s="7" t="s">
        <v>1416</v>
      </c>
      <c r="C20" s="60"/>
      <c r="D20" s="60"/>
      <c r="E20" s="19" t="n">
        <f aca="false">Inputs!$C$169</f>
        <v>0</v>
      </c>
      <c r="F20" s="7" t="s">
        <v>1384</v>
      </c>
      <c r="G20" s="19" t="n">
        <f aca="false">Inputs!$Q$169</f>
        <v>0</v>
      </c>
      <c r="I20" s="7" t="s">
        <v>1417</v>
      </c>
    </row>
    <row r="21" customFormat="false" ht="41.75" hidden="false" customHeight="false" outlineLevel="0" collapsed="false">
      <c r="B21" s="7" t="s">
        <v>1418</v>
      </c>
      <c r="C21" s="60"/>
      <c r="D21" s="60"/>
      <c r="E21" s="19" t="n">
        <f aca="false">Inputs!$C$170</f>
        <v>0</v>
      </c>
      <c r="F21" s="7" t="s">
        <v>1384</v>
      </c>
      <c r="G21" s="19" t="n">
        <f aca="false">Inputs!$Q$170</f>
        <v>0</v>
      </c>
      <c r="I21" s="7" t="s">
        <v>1419</v>
      </c>
    </row>
    <row r="22" customFormat="false" ht="28.35" hidden="false" customHeight="false" outlineLevel="0" collapsed="false">
      <c r="B22" s="7" t="s">
        <v>1420</v>
      </c>
      <c r="C22" s="60"/>
      <c r="D22" s="60"/>
      <c r="E22" s="19" t="n">
        <f aca="false">Inputs!$C$165</f>
        <v>0</v>
      </c>
      <c r="F22" s="7" t="s">
        <v>1384</v>
      </c>
      <c r="G22" s="19" t="n">
        <f aca="false">Inputs!$Q$165</f>
        <v>0</v>
      </c>
      <c r="I22" s="7" t="s">
        <v>1421</v>
      </c>
    </row>
    <row r="23" customFormat="false" ht="28.35" hidden="false" customHeight="false" outlineLevel="0" collapsed="false">
      <c r="B23" s="7" t="s">
        <v>1422</v>
      </c>
      <c r="C23" s="60"/>
      <c r="D23" s="60"/>
      <c r="E23" s="19" t="n">
        <f aca="false">Inputs!$C$161</f>
        <v>0</v>
      </c>
      <c r="F23" s="7" t="s">
        <v>1423</v>
      </c>
      <c r="G23" s="19" t="n">
        <f aca="false">Inputs!$Q$161</f>
        <v>0</v>
      </c>
      <c r="I23" s="7" t="s">
        <v>1424</v>
      </c>
    </row>
    <row r="24" customFormat="false" ht="55.2" hidden="false" customHeight="false" outlineLevel="0" collapsed="false">
      <c r="B24" s="7" t="s">
        <v>1425</v>
      </c>
      <c r="C24" s="19" t="n">
        <v>350</v>
      </c>
      <c r="D24" s="19" t="n">
        <v>850</v>
      </c>
      <c r="E24" s="19" t="n">
        <f aca="false">Inputs!$C$171</f>
        <v>350</v>
      </c>
      <c r="F24" s="7" t="s">
        <v>1426</v>
      </c>
      <c r="G24" s="19" t="n">
        <f aca="false">Inputs!$Q$171</f>
        <v>350</v>
      </c>
      <c r="I24" s="7" t="s">
        <v>1427</v>
      </c>
    </row>
    <row r="25" customFormat="false" ht="15" hidden="false" customHeight="false" outlineLevel="0" collapsed="false">
      <c r="B25" s="7" t="s">
        <v>1428</v>
      </c>
      <c r="C25" s="60"/>
      <c r="D25" s="60"/>
      <c r="E25" s="60"/>
      <c r="F25" s="7" t="s">
        <v>1429</v>
      </c>
      <c r="G25" s="19" t="n">
        <f aca="false">SUMIFS(Cash_Ledger!$D$5:$D$53,Cash_Ledger!$A$5:$A$53,"storage",Cash_Ledger!$C$5:$C$53,"&gt;="&amp;Inputs!$C$10,Cash_Ledger!$C$5:$C$53,"&lt;="&amp;Cash_Flow!$AB$6)</f>
        <v>450</v>
      </c>
      <c r="I25" s="7" t="s">
        <v>1430</v>
      </c>
    </row>
    <row r="26" customFormat="false" ht="15" hidden="false" customHeight="false" outlineLevel="0" collapsed="false">
      <c r="B26" s="7" t="s">
        <v>1431</v>
      </c>
      <c r="C26" s="60"/>
      <c r="D26" s="60"/>
      <c r="E26" s="60"/>
      <c r="F26" s="7" t="s">
        <v>1432</v>
      </c>
      <c r="G26" s="19" t="n">
        <f aca="false">-Cash_Flow!$AC$13</f>
        <v>160</v>
      </c>
      <c r="I26" s="7" t="s">
        <v>1433</v>
      </c>
    </row>
    <row r="27" customFormat="false" ht="15" hidden="false" customHeight="false" outlineLevel="0" collapsed="false">
      <c r="B27" s="7" t="s">
        <v>1434</v>
      </c>
      <c r="C27" s="60"/>
      <c r="D27" s="60"/>
      <c r="E27" s="60"/>
      <c r="F27" s="7" t="s">
        <v>1432</v>
      </c>
      <c r="G27" s="19" t="n">
        <f aca="false">-Cash_Flow!$AC$14-G11</f>
        <v>-720</v>
      </c>
      <c r="I27" s="7" t="s">
        <v>1435</v>
      </c>
    </row>
    <row r="28" customFormat="false" ht="15" hidden="false" customHeight="false" outlineLevel="0" collapsed="false">
      <c r="B28" s="7" t="s">
        <v>1017</v>
      </c>
      <c r="C28" s="60"/>
      <c r="D28" s="60"/>
      <c r="E28" s="60"/>
      <c r="F28" s="7" t="s">
        <v>1436</v>
      </c>
      <c r="G28" s="19" t="n">
        <f aca="false">-Cash_Flow!$AC$16</f>
        <v>270</v>
      </c>
      <c r="I28" s="7" t="s">
        <v>1437</v>
      </c>
    </row>
    <row r="29" customFormat="false" ht="15" hidden="false" customHeight="false" outlineLevel="0" collapsed="false">
      <c r="B29" s="7" t="s">
        <v>1438</v>
      </c>
      <c r="C29" s="60"/>
      <c r="D29" s="60"/>
      <c r="E29" s="60"/>
      <c r="F29" s="7" t="s">
        <v>1432</v>
      </c>
      <c r="G29" s="19" t="n">
        <f aca="false">-Cash_Flow!$AC$15</f>
        <v>-0</v>
      </c>
      <c r="I29" s="7" t="s">
        <v>1439</v>
      </c>
    </row>
    <row r="30" customFormat="false" ht="15" hidden="false" customHeight="false" outlineLevel="0" collapsed="false">
      <c r="B30" s="7" t="s">
        <v>1101</v>
      </c>
      <c r="C30" s="60"/>
      <c r="D30" s="60"/>
      <c r="E30" s="60"/>
      <c r="F30" s="7" t="s">
        <v>1440</v>
      </c>
      <c r="G30" s="19" t="n">
        <f aca="false">SUMIFS(Cash_Ledger!$D$5:$D$53,Cash_Ledger!$A$5:$A$53,"phone",Cash_Ledger!$C$5:$C$53,"&gt;="&amp;Inputs!$C$10,Cash_Ledger!$C$5:$C$53,"&lt;="&amp;Cash_Flow!$AB$6)</f>
        <v>0</v>
      </c>
      <c r="I30" s="7" t="s">
        <v>1441</v>
      </c>
    </row>
    <row r="31" customFormat="false" ht="15" hidden="false" customHeight="false" outlineLevel="0" collapsed="false">
      <c r="B31" s="9" t="s">
        <v>1442</v>
      </c>
      <c r="G31" s="37" t="n">
        <f aca="false">SUM(G5:G13)+SUM(G17:G30)</f>
        <v>6565</v>
      </c>
    </row>
    <row r="32" customFormat="false" ht="15" hidden="false" customHeight="false" outlineLevel="0" collapsed="false">
      <c r="B32" s="9" t="s">
        <v>1443</v>
      </c>
      <c r="G32" s="37" t="n">
        <f aca="false">-(Cash_Flow!$AC$26-Cash_Flow!$AC$9-Cash_Flow!$AC$10)</f>
        <v>7687</v>
      </c>
    </row>
    <row r="33" customFormat="false" ht="15" hidden="false" customHeight="false" outlineLevel="0" collapsed="false">
      <c r="B33" s="9" t="s">
        <v>1444</v>
      </c>
      <c r="G33" s="94" t="n">
        <f aca="false">G31-G32</f>
        <v>-1122</v>
      </c>
    </row>
    <row r="35" customFormat="false" ht="45" hidden="false" customHeight="true" outlineLevel="0" collapsed="false">
      <c r="B35" s="5" t="s">
        <v>1445</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1446</v>
      </c>
    </row>
    <row r="2" customFormat="false" ht="15" hidden="false" customHeight="false" outlineLevel="0" collapsed="false">
      <c r="A2" s="2" t="s">
        <v>1447</v>
      </c>
    </row>
    <row r="3" customFormat="false" ht="30" hidden="false" customHeight="true" outlineLevel="0" collapsed="false">
      <c r="A3" s="8" t="s">
        <v>1448</v>
      </c>
      <c r="B3" s="8"/>
      <c r="C3" s="8"/>
      <c r="D3" s="8"/>
      <c r="E3" s="8"/>
      <c r="F3" s="8"/>
      <c r="Q3" s="84" t="s">
        <v>1449</v>
      </c>
    </row>
    <row r="4" customFormat="false" ht="30" hidden="false" customHeight="true" outlineLevel="0" collapsed="false">
      <c r="A4" s="12" t="s">
        <v>365</v>
      </c>
      <c r="B4" s="12" t="s">
        <v>323</v>
      </c>
      <c r="C4" s="12" t="s">
        <v>1450</v>
      </c>
      <c r="D4" s="12" t="s">
        <v>1451</v>
      </c>
      <c r="E4" s="12" t="s">
        <v>406</v>
      </c>
      <c r="F4" s="12" t="s">
        <v>1452</v>
      </c>
      <c r="Q4" s="12" t="s">
        <v>323</v>
      </c>
      <c r="R4" s="12" t="s">
        <v>1305</v>
      </c>
      <c r="S4" s="12" t="s">
        <v>1306</v>
      </c>
      <c r="T4" s="12" t="s">
        <v>1307</v>
      </c>
      <c r="U4" s="12" t="s">
        <v>1308</v>
      </c>
      <c r="V4" s="12" t="s">
        <v>1309</v>
      </c>
      <c r="W4" s="12" t="s">
        <v>1310</v>
      </c>
      <c r="X4" s="12" t="s">
        <v>1311</v>
      </c>
      <c r="Y4" s="12" t="s">
        <v>1312</v>
      </c>
    </row>
    <row r="5" customFormat="false" ht="15" hidden="false" customHeight="false" outlineLevel="0" collapsed="false">
      <c r="A5" s="102" t="n">
        <v>46322</v>
      </c>
      <c r="B5" s="103"/>
      <c r="C5" s="103"/>
      <c r="D5" s="104" t="s">
        <v>1306</v>
      </c>
      <c r="E5" s="105" t="n">
        <v>1.5</v>
      </c>
      <c r="F5" s="103" t="s">
        <v>1453</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1305</v>
      </c>
      <c r="E6" s="105" t="n">
        <v>1.5</v>
      </c>
      <c r="F6" s="103" t="s">
        <v>1453</v>
      </c>
      <c r="Q6" s="30" t="str">
        <f aca="false">Schedule!A8</f>
        <v>DRP-002</v>
      </c>
      <c r="R6" s="36" t="n">
        <f aca="false">SUMIFS(Hours_Log!$E$5:$E$1004,Hours_Log!$B$5:$B$1004,$Q6,Hours_Log!$D$5:$D$1004,R$4)+SUMIFS(Toggl_Import!$AI$10:$AI$509,Toggl_Import!$AG$10:$AG$509,$Q6,Toggl_Import!$AH$10:$AH$509,R$4)</f>
        <v>18</v>
      </c>
      <c r="S6" s="36" t="n">
        <f aca="false">SUMIFS(Hours_Log!$E$5:$E$1004,Hours_Log!$B$5:$B$1004,$Q6,Hours_Log!$D$5:$D$1004,S$4)+SUMIFS(Toggl_Import!$AI$10:$AI$509,Toggl_Import!$AG$10:$AG$509,$Q6,Toggl_Import!$AH$10:$AH$509,S$4)</f>
        <v>10</v>
      </c>
      <c r="T6" s="36" t="n">
        <f aca="false">SUMIFS(Hours_Log!$E$5:$E$1004,Hours_Log!$B$5:$B$1004,$Q6,Hours_Log!$D$5:$D$1004,T$4)+SUMIFS(Toggl_Import!$AI$10:$AI$509,Toggl_Import!$AG$10:$AG$509,$Q6,Toggl_Import!$AH$10:$AH$509,T$4)</f>
        <v>4</v>
      </c>
      <c r="U6" s="36" t="n">
        <f aca="false">SUMIFS(Hours_Log!$E$5:$E$1004,Hours_Log!$B$5:$B$1004,$Q6,Hours_Log!$D$5:$D$1004,U$4)+SUMIFS(Toggl_Import!$AI$10:$AI$509,Toggl_Import!$AG$10:$AG$509,$Q6,Toggl_Import!$AH$10:$AH$509,U$4)</f>
        <v>8</v>
      </c>
      <c r="V6" s="36" t="n">
        <f aca="false">SUMIFS(Hours_Log!$E$5:$E$1004,Hours_Log!$B$5:$B$1004,$Q6,Hours_Log!$D$5:$D$1004,V$4)+SUMIFS(Toggl_Import!$AI$10:$AI$509,Toggl_Import!$AG$10:$AG$509,$Q6,Toggl_Import!$AH$10:$AH$509,V$4)</f>
        <v>4</v>
      </c>
      <c r="W6" s="36" t="n">
        <f aca="false">SUMIFS(Hours_Log!$E$5:$E$1004,Hours_Log!$B$5:$B$1004,$Q6,Hours_Log!$D$5:$D$1004,W$4)+SUMIFS(Toggl_Import!$AI$10:$AI$509,Toggl_Import!$AG$10:$AG$509,$Q6,Toggl_Import!$AH$10:$AH$509,W$4)</f>
        <v>6</v>
      </c>
      <c r="X6" s="36" t="n">
        <f aca="false">SUMIFS(Hours_Log!$E$5:$E$1004,Hours_Log!$B$5:$B$1004,$Q6,Hours_Log!$D$5:$D$1004,X$4)+SUMIFS(Toggl_Import!$AI$10:$AI$509,Toggl_Import!$AG$10:$AG$509,$Q6,Toggl_Import!$AH$10:$AH$509,X$4)</f>
        <v>2</v>
      </c>
      <c r="Y6" s="38" t="n">
        <f aca="false">SUM(R6:X6)</f>
        <v>52</v>
      </c>
    </row>
    <row r="7" customFormat="false" ht="15" hidden="false" customHeight="false" outlineLevel="0" collapsed="false">
      <c r="A7" s="102" t="n">
        <v>46324</v>
      </c>
      <c r="B7" s="103"/>
      <c r="C7" s="103"/>
      <c r="D7" s="104" t="s">
        <v>1306</v>
      </c>
      <c r="E7" s="105" t="n">
        <v>1.5</v>
      </c>
      <c r="F7" s="103" t="s">
        <v>1453</v>
      </c>
      <c r="Q7" s="30" t="str">
        <f aca="false">Schedule!A9</f>
        <v>DRP-003</v>
      </c>
      <c r="R7" s="36" t="n">
        <f aca="false">SUMIFS(Hours_Log!$E$5:$E$1004,Hours_Log!$B$5:$B$1004,$Q7,Hours_Log!$D$5:$D$1004,R$4)+SUMIFS(Toggl_Import!$AI$10:$AI$509,Toggl_Import!$AG$10:$AG$509,$Q7,Toggl_Import!$AH$10:$AH$509,R$4)</f>
        <v>6</v>
      </c>
      <c r="S7" s="36" t="n">
        <f aca="false">SUMIFS(Hours_Log!$E$5:$E$1004,Hours_Log!$B$5:$B$1004,$Q7,Hours_Log!$D$5:$D$1004,S$4)+SUMIFS(Toggl_Import!$AI$10:$AI$509,Toggl_Import!$AG$10:$AG$509,$Q7,Toggl_Import!$AH$10:$AH$509,S$4)</f>
        <v>1.5</v>
      </c>
      <c r="T7" s="36" t="n">
        <f aca="false">SUMIFS(Hours_Log!$E$5:$E$1004,Hours_Log!$B$5:$B$1004,$Q7,Hours_Log!$D$5:$D$1004,T$4)+SUMIFS(Toggl_Import!$AI$10:$AI$509,Toggl_Import!$AG$10:$AG$509,$Q7,Toggl_Import!$AH$10:$AH$509,T$4)</f>
        <v>3</v>
      </c>
      <c r="U7" s="36" t="n">
        <f aca="false">SUMIFS(Hours_Log!$E$5:$E$1004,Hours_Log!$B$5:$B$1004,$Q7,Hours_Log!$D$5:$D$1004,U$4)+SUMIFS(Toggl_Import!$AI$10:$AI$509,Toggl_Import!$AG$10:$AG$509,$Q7,Toggl_Import!$AH$10:$AH$509,U$4)</f>
        <v>4</v>
      </c>
      <c r="V7" s="36" t="n">
        <f aca="false">SUMIFS(Hours_Log!$E$5:$E$1004,Hours_Log!$B$5:$B$1004,$Q7,Hours_Log!$D$5:$D$1004,V$4)+SUMIFS(Toggl_Import!$AI$10:$AI$509,Toggl_Import!$AG$10:$AG$509,$Q7,Toggl_Import!$AH$10:$AH$509,V$4)</f>
        <v>3</v>
      </c>
      <c r="W7" s="36" t="n">
        <f aca="false">SUMIFS(Hours_Log!$E$5:$E$1004,Hours_Log!$B$5:$B$1004,$Q7,Hours_Log!$D$5:$D$1004,W$4)+SUMIFS(Toggl_Import!$AI$10:$AI$509,Toggl_Import!$AG$10:$AG$509,$Q7,Toggl_Import!$AH$10:$AH$509,W$4)</f>
        <v>2</v>
      </c>
      <c r="X7" s="36" t="n">
        <f aca="false">SUMIFS(Hours_Log!$E$5:$E$1004,Hours_Log!$B$5:$B$1004,$Q7,Hours_Log!$D$5:$D$1004,X$4)+SUMIFS(Toggl_Import!$AI$10:$AI$509,Toggl_Import!$AG$10:$AG$509,$Q7,Toggl_Import!$AH$10:$AH$509,X$4)</f>
        <v>1</v>
      </c>
      <c r="Y7" s="38" t="n">
        <f aca="false">SUM(R7:X7)</f>
        <v>20.5</v>
      </c>
    </row>
    <row r="8" customFormat="false" ht="15" hidden="false" customHeight="false" outlineLevel="0" collapsed="false">
      <c r="A8" s="102" t="n">
        <v>46324</v>
      </c>
      <c r="B8" s="103"/>
      <c r="C8" s="103"/>
      <c r="D8" s="104" t="s">
        <v>1305</v>
      </c>
      <c r="E8" s="105" t="n">
        <v>1.5</v>
      </c>
      <c r="F8" s="103" t="s">
        <v>1453</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1306</v>
      </c>
      <c r="E9" s="105" t="n">
        <v>1.5</v>
      </c>
      <c r="F9" s="103" t="s">
        <v>1453</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1305</v>
      </c>
      <c r="E10" s="105" t="n">
        <v>1.5</v>
      </c>
      <c r="F10" s="103" t="s">
        <v>1453</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1306</v>
      </c>
      <c r="E11" s="105" t="n">
        <v>1.5</v>
      </c>
      <c r="F11" s="103" t="s">
        <v>1453</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1305</v>
      </c>
      <c r="E12" s="105" t="n">
        <v>1.5</v>
      </c>
      <c r="F12" s="103" t="s">
        <v>1453</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1306</v>
      </c>
      <c r="E13" s="105" t="n">
        <v>1.5</v>
      </c>
      <c r="F13" s="103" t="s">
        <v>1453</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1305</v>
      </c>
      <c r="E14" s="105" t="n">
        <v>1.5</v>
      </c>
      <c r="F14" s="103" t="s">
        <v>1453</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727</v>
      </c>
      <c r="C15" s="103" t="s">
        <v>1454</v>
      </c>
      <c r="D15" s="104" t="s">
        <v>1305</v>
      </c>
      <c r="E15" s="105" t="n">
        <v>2</v>
      </c>
      <c r="F15" s="103" t="s">
        <v>1455</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727</v>
      </c>
      <c r="C16" s="103" t="s">
        <v>1456</v>
      </c>
      <c r="D16" s="104" t="s">
        <v>1305</v>
      </c>
      <c r="E16" s="105" t="n">
        <v>2</v>
      </c>
      <c r="F16" s="103" t="s">
        <v>1455</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727</v>
      </c>
      <c r="C17" s="103" t="s">
        <v>1454</v>
      </c>
      <c r="D17" s="104" t="s">
        <v>1305</v>
      </c>
      <c r="E17" s="105" t="n">
        <v>2</v>
      </c>
      <c r="F17" s="103" t="s">
        <v>1455</v>
      </c>
      <c r="Q17" s="30" t="s">
        <v>1457</v>
      </c>
      <c r="R17" s="36" t="n">
        <f aca="false">SUMIFS(Hours_Log!$E$5:$E$1004,Hours_Log!$D$5:$D$1004,R$4)+SUMIFS(Toggl_Import!$AI$10:$AI$509,Toggl_Import!$AH$10:$AH$509,R$4)</f>
        <v>51.5</v>
      </c>
      <c r="S17" s="36" t="n">
        <f aca="false">SUMIFS(Hours_Log!$E$5:$E$1004,Hours_Log!$D$5:$D$1004,S$4)+SUMIFS(Toggl_Import!$AI$10:$AI$509,Toggl_Import!$AH$10:$AH$509,S$4)</f>
        <v>39</v>
      </c>
      <c r="T17" s="36" t="n">
        <f aca="false">SUMIFS(Hours_Log!$E$5:$E$1004,Hours_Log!$D$5:$D$1004,T$4)+SUMIFS(Toggl_Import!$AI$10:$AI$509,Toggl_Import!$AH$10:$AH$509,T$4)</f>
        <v>10</v>
      </c>
      <c r="U17" s="36" t="n">
        <f aca="false">SUMIFS(Hours_Log!$E$5:$E$1004,Hours_Log!$D$5:$D$1004,U$4)+SUMIFS(Toggl_Import!$AI$10:$AI$509,Toggl_Import!$AH$10:$AH$509,U$4)</f>
        <v>17</v>
      </c>
      <c r="V17" s="36" t="n">
        <f aca="false">SUMIFS(Hours_Log!$E$5:$E$1004,Hours_Log!$D$5:$D$1004,V$4)+SUMIFS(Toggl_Import!$AI$10:$AI$509,Toggl_Import!$AH$10:$AH$509,V$4)</f>
        <v>10</v>
      </c>
      <c r="W17" s="36" t="n">
        <f aca="false">SUMIFS(Hours_Log!$E$5:$E$1004,Hours_Log!$D$5:$D$1004,W$4)+SUMIFS(Toggl_Import!$AI$10:$AI$509,Toggl_Import!$AH$10:$AH$509,W$4)</f>
        <v>12</v>
      </c>
      <c r="X17" s="36" t="n">
        <f aca="false">SUMIFS(Hours_Log!$E$5:$E$1004,Hours_Log!$D$5:$D$1004,X$4)+SUMIFS(Toggl_Import!$AI$10:$AI$509,Toggl_Import!$AH$10:$AH$509,X$4)</f>
        <v>5</v>
      </c>
      <c r="Y17" s="38" t="n">
        <f aca="false">SUM(R17:X17)</f>
        <v>144.5</v>
      </c>
    </row>
    <row r="18" customFormat="false" ht="15" hidden="false" customHeight="false" outlineLevel="0" collapsed="false">
      <c r="A18" s="102" t="n">
        <v>46351</v>
      </c>
      <c r="B18" s="103" t="s">
        <v>727</v>
      </c>
      <c r="C18" s="103" t="s">
        <v>1456</v>
      </c>
      <c r="D18" s="104" t="s">
        <v>1305</v>
      </c>
      <c r="E18" s="105" t="n">
        <v>2</v>
      </c>
      <c r="F18" s="103" t="s">
        <v>1455</v>
      </c>
      <c r="Q18" s="30" t="s">
        <v>1458</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727</v>
      </c>
      <c r="C19" s="103" t="s">
        <v>1454</v>
      </c>
      <c r="D19" s="104" t="s">
        <v>1305</v>
      </c>
      <c r="E19" s="105" t="n">
        <v>2</v>
      </c>
      <c r="F19" s="103" t="s">
        <v>1455</v>
      </c>
    </row>
    <row r="20" customFormat="false" ht="15" hidden="false" customHeight="false" outlineLevel="0" collapsed="false">
      <c r="A20" s="102" t="n">
        <v>46358</v>
      </c>
      <c r="B20" s="103" t="s">
        <v>727</v>
      </c>
      <c r="C20" s="103" t="s">
        <v>1456</v>
      </c>
      <c r="D20" s="104" t="s">
        <v>1305</v>
      </c>
      <c r="E20" s="105" t="n">
        <v>2</v>
      </c>
      <c r="F20" s="103" t="s">
        <v>1455</v>
      </c>
      <c r="Q20" s="84" t="s">
        <v>1459</v>
      </c>
    </row>
    <row r="21" customFormat="false" ht="30" hidden="false" customHeight="true" outlineLevel="0" collapsed="false">
      <c r="A21" s="102" t="n">
        <v>46360</v>
      </c>
      <c r="B21" s="103" t="s">
        <v>727</v>
      </c>
      <c r="C21" s="103" t="s">
        <v>1454</v>
      </c>
      <c r="D21" s="104" t="s">
        <v>1305</v>
      </c>
      <c r="E21" s="105" t="n">
        <v>2</v>
      </c>
      <c r="F21" s="103" t="s">
        <v>1455</v>
      </c>
      <c r="Q21" s="12" t="s">
        <v>1460</v>
      </c>
      <c r="R21" s="12" t="s">
        <v>1461</v>
      </c>
      <c r="S21" s="12" t="s">
        <v>1305</v>
      </c>
      <c r="T21" s="12" t="s">
        <v>1306</v>
      </c>
      <c r="U21" s="12" t="s">
        <v>1307</v>
      </c>
      <c r="V21" s="12" t="s">
        <v>1308</v>
      </c>
      <c r="W21" s="12" t="s">
        <v>1309</v>
      </c>
      <c r="X21" s="12" t="s">
        <v>1310</v>
      </c>
      <c r="Y21" s="12" t="s">
        <v>1311</v>
      </c>
      <c r="Z21" s="12" t="s">
        <v>1312</v>
      </c>
      <c r="AA21" s="12" t="s">
        <v>1462</v>
      </c>
    </row>
    <row r="22" customFormat="false" ht="15" hidden="false" customHeight="false" outlineLevel="0" collapsed="false">
      <c r="A22" s="102" t="n">
        <v>46363</v>
      </c>
      <c r="B22" s="103" t="s">
        <v>727</v>
      </c>
      <c r="C22" s="103" t="s">
        <v>1456</v>
      </c>
      <c r="D22" s="104" t="s">
        <v>1305</v>
      </c>
      <c r="E22" s="105" t="n">
        <v>2</v>
      </c>
      <c r="F22" s="103" t="s">
        <v>1455</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727</v>
      </c>
      <c r="C23" s="103" t="s">
        <v>1454</v>
      </c>
      <c r="D23" s="104" t="s">
        <v>1305</v>
      </c>
      <c r="E23" s="105" t="n">
        <v>2</v>
      </c>
      <c r="F23" s="103" t="s">
        <v>1455</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727</v>
      </c>
      <c r="C24" s="103" t="s">
        <v>1456</v>
      </c>
      <c r="D24" s="104" t="s">
        <v>1305</v>
      </c>
      <c r="E24" s="105" t="n">
        <v>2</v>
      </c>
      <c r="F24" s="103" t="s">
        <v>1455</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727</v>
      </c>
      <c r="C25" s="103"/>
      <c r="D25" s="104" t="s">
        <v>1306</v>
      </c>
      <c r="E25" s="105" t="n">
        <v>4</v>
      </c>
      <c r="F25" s="103" t="s">
        <v>1463</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727</v>
      </c>
      <c r="C26" s="103"/>
      <c r="D26" s="104" t="s">
        <v>1306</v>
      </c>
      <c r="E26" s="105" t="n">
        <v>4</v>
      </c>
      <c r="F26" s="103" t="s">
        <v>1463</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727</v>
      </c>
      <c r="C27" s="103"/>
      <c r="D27" s="104" t="s">
        <v>1306</v>
      </c>
      <c r="E27" s="105" t="n">
        <v>4</v>
      </c>
      <c r="F27" s="103" t="s">
        <v>1463</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727</v>
      </c>
      <c r="C28" s="103"/>
      <c r="D28" s="104" t="s">
        <v>1306</v>
      </c>
      <c r="E28" s="105" t="n">
        <v>4</v>
      </c>
      <c r="F28" s="103" t="s">
        <v>1463</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727</v>
      </c>
      <c r="C29" s="103"/>
      <c r="D29" s="104" t="s">
        <v>1306</v>
      </c>
      <c r="E29" s="105" t="n">
        <v>4</v>
      </c>
      <c r="F29" s="103" t="s">
        <v>1463</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2</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2</v>
      </c>
      <c r="AA29" s="36" t="n">
        <f aca="false">SUMIFS(Hours_Log!$E$5:$E$1004,Hours_Log!$A$5:$A$1004,"&gt;="&amp;$R29,Hours_Log!$A$5:$A$1004,"&lt;"&amp;$R29+Inputs!$C$18,Hours_Log!$B$5:$B$1004,Inputs!$C$30&amp;"*")+SUMIFS(Toggl_Import!$AI$10:$AI$509,Toggl_Import!$AF$10:$AF$509,"&gt;="&amp;$R29,Toggl_Import!$AF$10:$AF$509,"&lt;"&amp;$R29+Inputs!$C$18,Toggl_Import!$AG$10:$AG$509,Inputs!$C$30&amp;"*")</f>
        <v>2</v>
      </c>
    </row>
    <row r="30" customFormat="false" ht="15" hidden="false" customHeight="false" outlineLevel="0" collapsed="false">
      <c r="A30" s="102" t="n">
        <v>46384</v>
      </c>
      <c r="B30" s="103" t="s">
        <v>727</v>
      </c>
      <c r="C30" s="103"/>
      <c r="D30" s="104" t="s">
        <v>1307</v>
      </c>
      <c r="E30" s="105" t="n">
        <v>1</v>
      </c>
      <c r="F30" s="103" t="s">
        <v>1464</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6</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6</v>
      </c>
      <c r="AA30" s="36" t="n">
        <f aca="false">SUMIFS(Hours_Log!$E$5:$E$1004,Hours_Log!$A$5:$A$1004,"&gt;="&amp;$R30,Hours_Log!$A$5:$A$1004,"&lt;"&amp;$R30+Inputs!$C$18,Hours_Log!$B$5:$B$1004,Inputs!$C$30&amp;"*")+SUMIFS(Toggl_Import!$AI$10:$AI$509,Toggl_Import!$AF$10:$AF$509,"&gt;="&amp;$R30,Toggl_Import!$AF$10:$AF$509,"&lt;"&amp;$R30+Inputs!$C$18,Toggl_Import!$AG$10:$AG$509,Inputs!$C$30&amp;"*")</f>
        <v>6</v>
      </c>
    </row>
    <row r="31" customFormat="false" ht="15" hidden="false" customHeight="false" outlineLevel="0" collapsed="false">
      <c r="A31" s="102" t="n">
        <v>46386</v>
      </c>
      <c r="B31" s="103" t="s">
        <v>727</v>
      </c>
      <c r="C31" s="103"/>
      <c r="D31" s="104" t="s">
        <v>1307</v>
      </c>
      <c r="E31" s="105" t="n">
        <v>1</v>
      </c>
      <c r="F31" s="103" t="s">
        <v>1465</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4</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6</v>
      </c>
      <c r="AA31" s="36" t="n">
        <f aca="false">SUMIFS(Hours_Log!$E$5:$E$1004,Hours_Log!$A$5:$A$1004,"&gt;="&amp;$R31,Hours_Log!$A$5:$A$1004,"&lt;"&amp;$R31+Inputs!$C$18,Hours_Log!$B$5:$B$1004,Inputs!$C$30&amp;"*")+SUMIFS(Toggl_Import!$AI$10:$AI$509,Toggl_Import!$AF$10:$AF$509,"&gt;="&amp;$R31,Toggl_Import!$AF$10:$AF$509,"&lt;"&amp;$R31+Inputs!$C$18,Toggl_Import!$AG$10:$AG$509,Inputs!$C$30&amp;"*")</f>
        <v>6</v>
      </c>
    </row>
    <row r="32" customFormat="false" ht="15" hidden="false" customHeight="false" outlineLevel="0" collapsed="false">
      <c r="A32" s="102" t="n">
        <v>46398</v>
      </c>
      <c r="B32" s="103" t="s">
        <v>727</v>
      </c>
      <c r="C32" s="103"/>
      <c r="D32" s="104" t="s">
        <v>1307</v>
      </c>
      <c r="E32" s="105" t="n">
        <v>1</v>
      </c>
      <c r="F32" s="103" t="s">
        <v>1466</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6</v>
      </c>
      <c r="T32" s="36" t="n">
        <f aca="false">SUMIFS(Hours_Log!$E$5:$E$1004,Hours_Log!$A$5:$A$1004,"&gt;="&amp;$R32,Hours_Log!$A$5:$A$1004,"&lt;"&amp;$R32+Inputs!$C$18,Hours_Log!$D$5:$D$1004,T$21)+SUMIFS(Toggl_Import!$AI$10:$AI$509,Toggl_Import!$AF$10:$AF$509,"&gt;="&amp;$R32,Toggl_Import!$AF$10:$AF$509,"&lt;"&amp;$R32+Inputs!$C$18,Toggl_Import!$AH$10:$AH$509,T$21)</f>
        <v>6</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1</v>
      </c>
      <c r="Z32" s="38" t="n">
        <f aca="false">SUM(S32:Y32)</f>
        <v>13</v>
      </c>
      <c r="AA32" s="36" t="n">
        <f aca="false">SUMIFS(Hours_Log!$E$5:$E$1004,Hours_Log!$A$5:$A$1004,"&gt;="&amp;$R32,Hours_Log!$A$5:$A$1004,"&lt;"&amp;$R32+Inputs!$C$18,Hours_Log!$B$5:$B$1004,Inputs!$C$30&amp;"*")+SUMIFS(Toggl_Import!$AI$10:$AI$509,Toggl_Import!$AF$10:$AF$509,"&gt;="&amp;$R32,Toggl_Import!$AF$10:$AF$509,"&lt;"&amp;$R32+Inputs!$C$18,Toggl_Import!$AG$10:$AG$509,Inputs!$C$30&amp;"*")</f>
        <v>13</v>
      </c>
    </row>
    <row r="33" customFormat="false" ht="15" hidden="false" customHeight="false" outlineLevel="0" collapsed="false">
      <c r="A33" s="102" t="n">
        <v>46399</v>
      </c>
      <c r="B33" s="103" t="s">
        <v>727</v>
      </c>
      <c r="C33" s="103"/>
      <c r="D33" s="104" t="s">
        <v>1308</v>
      </c>
      <c r="E33" s="105" t="n">
        <v>5</v>
      </c>
      <c r="F33" s="103" t="s">
        <v>1467</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2</v>
      </c>
      <c r="T33" s="36" t="n">
        <f aca="false">SUMIFS(Hours_Log!$E$5:$E$1004,Hours_Log!$A$5:$A$1004,"&gt;="&amp;$R33,Hours_Log!$A$5:$A$1004,"&lt;"&amp;$R33+Inputs!$C$18,Hours_Log!$D$5:$D$1004,T$21)+SUMIFS(Toggl_Import!$AI$10:$AI$509,Toggl_Import!$AF$10:$AF$509,"&gt;="&amp;$R33,Toggl_Import!$AF$10:$AF$509,"&lt;"&amp;$R33+Inputs!$C$18,Toggl_Import!$AH$10:$AH$509,T$21)</f>
        <v>1.5</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12</v>
      </c>
      <c r="AA33" s="36" t="n">
        <f aca="false">SUMIFS(Hours_Log!$E$5:$E$1004,Hours_Log!$A$5:$A$1004,"&gt;="&amp;$R33,Hours_Log!$A$5:$A$1004,"&lt;"&amp;$R33+Inputs!$C$18,Hours_Log!$B$5:$B$1004,Inputs!$C$30&amp;"*")+SUMIFS(Toggl_Import!$AI$10:$AI$509,Toggl_Import!$AF$10:$AF$509,"&gt;="&amp;$R33,Toggl_Import!$AF$10:$AF$509,"&lt;"&amp;$R33+Inputs!$C$18,Toggl_Import!$AG$10:$AG$509,Inputs!$C$30&amp;"*")</f>
        <v>12</v>
      </c>
    </row>
    <row r="34" customFormat="false" ht="15" hidden="false" customHeight="false" outlineLevel="0" collapsed="false">
      <c r="A34" s="102" t="n">
        <v>46401</v>
      </c>
      <c r="B34" s="103" t="s">
        <v>727</v>
      </c>
      <c r="C34" s="103"/>
      <c r="D34" s="104" t="s">
        <v>1309</v>
      </c>
      <c r="E34" s="105" t="n">
        <v>1.5</v>
      </c>
      <c r="F34" s="103" t="s">
        <v>1468</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2</v>
      </c>
      <c r="T34" s="36" t="n">
        <f aca="false">SUMIFS(Hours_Log!$E$5:$E$1004,Hours_Log!$A$5:$A$1004,"&gt;="&amp;$R34,Hours_Log!$A$5:$A$1004,"&lt;"&amp;$R34+Inputs!$C$18,Hours_Log!$D$5:$D$1004,T$21)+SUMIFS(Toggl_Import!$AI$10:$AI$509,Toggl_Import!$AF$10:$AF$509,"&gt;="&amp;$R34,Toggl_Import!$AF$10:$AF$509,"&lt;"&amp;$R34+Inputs!$C$18,Toggl_Import!$AH$10:$AH$509,T$21)</f>
        <v>1.25</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7.75</v>
      </c>
      <c r="AA34" s="36" t="n">
        <f aca="false">SUMIFS(Hours_Log!$E$5:$E$1004,Hours_Log!$A$5:$A$1004,"&gt;="&amp;$R34,Hours_Log!$A$5:$A$1004,"&lt;"&amp;$R34+Inputs!$C$18,Hours_Log!$B$5:$B$1004,Inputs!$C$30&amp;"*")+SUMIFS(Toggl_Import!$AI$10:$AI$509,Toggl_Import!$AF$10:$AF$509,"&gt;="&amp;$R34,Toggl_Import!$AF$10:$AF$509,"&lt;"&amp;$R34+Inputs!$C$18,Toggl_Import!$AG$10:$AG$509,Inputs!$C$30&amp;"*")</f>
        <v>7.75</v>
      </c>
    </row>
    <row r="35" customFormat="false" ht="15" hidden="false" customHeight="false" outlineLevel="0" collapsed="false">
      <c r="A35" s="102" t="n">
        <v>46406</v>
      </c>
      <c r="B35" s="103" t="s">
        <v>727</v>
      </c>
      <c r="C35" s="103"/>
      <c r="D35" s="104" t="s">
        <v>1309</v>
      </c>
      <c r="E35" s="105" t="n">
        <v>1.5</v>
      </c>
      <c r="F35" s="103" t="s">
        <v>1469</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2</v>
      </c>
      <c r="T35" s="36" t="n">
        <f aca="false">SUMIFS(Hours_Log!$E$5:$E$1004,Hours_Log!$A$5:$A$1004,"&gt;="&amp;$R35,Hours_Log!$A$5:$A$1004,"&lt;"&amp;$R35+Inputs!$C$18,Hours_Log!$D$5:$D$1004,T$21)+SUMIFS(Toggl_Import!$AI$10:$AI$509,Toggl_Import!$AF$10:$AF$509,"&gt;="&amp;$R35,Toggl_Import!$AF$10:$AF$509,"&lt;"&amp;$R35+Inputs!$C$18,Toggl_Import!$AH$10:$AH$509,T$21)</f>
        <v>1.5</v>
      </c>
      <c r="U35" s="36" t="n">
        <f aca="false">SUMIFS(Hours_Log!$E$5:$E$1004,Hours_Log!$A$5:$A$1004,"&gt;="&amp;$R35,Hours_Log!$A$5:$A$1004,"&lt;"&amp;$R35+Inputs!$C$18,Hours_Log!$D$5:$D$1004,U$21)+SUMIFS(Toggl_Import!$AI$10:$AI$509,Toggl_Import!$AF$10:$AF$509,"&gt;="&amp;$R35,Toggl_Import!$AF$10:$AF$509,"&lt;"&amp;$R35+Inputs!$C$18,Toggl_Import!$AH$10:$AH$509,U$21)</f>
        <v>1</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5.5</v>
      </c>
      <c r="AA35" s="36" t="n">
        <f aca="false">SUMIFS(Hours_Log!$E$5:$E$1004,Hours_Log!$A$5:$A$1004,"&gt;="&amp;$R35,Hours_Log!$A$5:$A$1004,"&lt;"&amp;$R35+Inputs!$C$18,Hours_Log!$B$5:$B$1004,Inputs!$C$30&amp;"*")+SUMIFS(Toggl_Import!$AI$10:$AI$509,Toggl_Import!$AF$10:$AF$509,"&gt;="&amp;$R35,Toggl_Import!$AF$10:$AF$509,"&lt;"&amp;$R35+Inputs!$C$18,Toggl_Import!$AG$10:$AG$509,Inputs!$C$30&amp;"*")</f>
        <v>5.5</v>
      </c>
    </row>
    <row r="36" customFormat="false" ht="15" hidden="false" customHeight="false" outlineLevel="0" collapsed="false">
      <c r="A36" s="102" t="n">
        <v>46409</v>
      </c>
      <c r="B36" s="103" t="s">
        <v>727</v>
      </c>
      <c r="C36" s="103" t="s">
        <v>1454</v>
      </c>
      <c r="D36" s="104" t="s">
        <v>1310</v>
      </c>
      <c r="E36" s="105" t="n">
        <v>1.5</v>
      </c>
      <c r="F36" s="103" t="s">
        <v>1470</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1.25</v>
      </c>
      <c r="U36" s="36" t="n">
        <f aca="false">SUMIFS(Hours_Log!$E$5:$E$1004,Hours_Log!$A$5:$A$1004,"&gt;="&amp;$R36,Hours_Log!$A$5:$A$1004,"&lt;"&amp;$R36+Inputs!$C$18,Hours_Log!$D$5:$D$1004,U$21)+SUMIFS(Toggl_Import!$AI$10:$AI$509,Toggl_Import!$AF$10:$AF$509,"&gt;="&amp;$R36,Toggl_Import!$AF$10:$AF$509,"&lt;"&amp;$R36+Inputs!$C$18,Toggl_Import!$AH$10:$AH$509,U$21)</f>
        <v>1</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2.25</v>
      </c>
      <c r="AA36" s="36" t="n">
        <f aca="false">SUMIFS(Hours_Log!$E$5:$E$1004,Hours_Log!$A$5:$A$1004,"&gt;="&amp;$R36,Hours_Log!$A$5:$A$1004,"&lt;"&amp;$R36+Inputs!$C$18,Hours_Log!$B$5:$B$1004,Inputs!$C$30&amp;"*")+SUMIFS(Toggl_Import!$AI$10:$AI$509,Toggl_Import!$AF$10:$AF$509,"&gt;="&amp;$R36,Toggl_Import!$AF$10:$AF$509,"&lt;"&amp;$R36+Inputs!$C$18,Toggl_Import!$AG$10:$AG$509,Inputs!$C$30&amp;"*")</f>
        <v>2.25</v>
      </c>
    </row>
    <row r="37" customFormat="false" ht="15" hidden="false" customHeight="false" outlineLevel="0" collapsed="false">
      <c r="A37" s="102" t="n">
        <v>46409</v>
      </c>
      <c r="B37" s="103" t="s">
        <v>727</v>
      </c>
      <c r="C37" s="103" t="s">
        <v>1456</v>
      </c>
      <c r="D37" s="104" t="s">
        <v>1310</v>
      </c>
      <c r="E37" s="105" t="n">
        <v>1.5</v>
      </c>
      <c r="F37" s="103" t="s">
        <v>1470</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3.5</v>
      </c>
      <c r="V37" s="36" t="n">
        <f aca="false">SUMIFS(Hours_Log!$E$5:$E$1004,Hours_Log!$A$5:$A$1004,"&gt;="&amp;$R37,Hours_Log!$A$5:$A$1004,"&lt;"&amp;$R37+Inputs!$C$18,Hours_Log!$D$5:$D$1004,V$21)+SUMIFS(Toggl_Import!$AI$10:$AI$509,Toggl_Import!$AF$10:$AF$509,"&gt;="&amp;$R37,Toggl_Import!$AF$10:$AF$509,"&lt;"&amp;$R37+Inputs!$C$18,Toggl_Import!$AH$10:$AH$509,V$21)</f>
        <v>8</v>
      </c>
      <c r="W37" s="36" t="n">
        <f aca="false">SUMIFS(Hours_Log!$E$5:$E$1004,Hours_Log!$A$5:$A$1004,"&gt;="&amp;$R37,Hours_Log!$A$5:$A$1004,"&lt;"&amp;$R37+Inputs!$C$18,Hours_Log!$D$5:$D$1004,W$21)+SUMIFS(Toggl_Import!$AI$10:$AI$509,Toggl_Import!$AF$10:$AF$509,"&gt;="&amp;$R37,Toggl_Import!$AF$10:$AF$509,"&lt;"&amp;$R37+Inputs!$C$18,Toggl_Import!$AH$10:$AH$509,W$21)</f>
        <v>2</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1</v>
      </c>
      <c r="Z37" s="38" t="n">
        <f aca="false">SUM(S37:Y37)</f>
        <v>14.5</v>
      </c>
      <c r="AA37" s="36" t="n">
        <f aca="false">SUMIFS(Hours_Log!$E$5:$E$1004,Hours_Log!$A$5:$A$1004,"&gt;="&amp;$R37,Hours_Log!$A$5:$A$1004,"&lt;"&amp;$R37+Inputs!$C$18,Hours_Log!$B$5:$B$1004,Inputs!$C$30&amp;"*")+SUMIFS(Toggl_Import!$AI$10:$AI$509,Toggl_Import!$AF$10:$AF$509,"&gt;="&amp;$R37,Toggl_Import!$AF$10:$AF$509,"&lt;"&amp;$R37+Inputs!$C$18,Toggl_Import!$AG$10:$AG$509,Inputs!$C$30&amp;"*")</f>
        <v>14.5</v>
      </c>
    </row>
    <row r="38" customFormat="false" ht="15" hidden="false" customHeight="false" outlineLevel="0" collapsed="false">
      <c r="A38" s="102" t="n">
        <v>46414</v>
      </c>
      <c r="B38" s="103" t="s">
        <v>727</v>
      </c>
      <c r="C38" s="103" t="s">
        <v>1454</v>
      </c>
      <c r="D38" s="104" t="s">
        <v>1310</v>
      </c>
      <c r="E38" s="105" t="n">
        <v>0.5</v>
      </c>
      <c r="F38" s="103" t="s">
        <v>1471</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2</v>
      </c>
      <c r="X38" s="36" t="n">
        <f aca="false">SUMIFS(Hours_Log!$E$5:$E$1004,Hours_Log!$A$5:$A$1004,"&gt;="&amp;$R38,Hours_Log!$A$5:$A$1004,"&lt;"&amp;$R38+Inputs!$C$18,Hours_Log!$D$5:$D$1004,X$21)+SUMIFS(Toggl_Import!$AI$10:$AI$509,Toggl_Import!$AF$10:$AF$509,"&gt;="&amp;$R38,Toggl_Import!$AF$10:$AF$509,"&lt;"&amp;$R38+Inputs!$C$18,Toggl_Import!$AH$10:$AH$509,X$21)</f>
        <v>4.5</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6.5</v>
      </c>
      <c r="AA38" s="36" t="n">
        <f aca="false">SUMIFS(Hours_Log!$E$5:$E$1004,Hours_Log!$A$5:$A$1004,"&gt;="&amp;$R38,Hours_Log!$A$5:$A$1004,"&lt;"&amp;$R38+Inputs!$C$18,Hours_Log!$B$5:$B$1004,Inputs!$C$30&amp;"*")+SUMIFS(Toggl_Import!$AI$10:$AI$509,Toggl_Import!$AF$10:$AF$509,"&gt;="&amp;$R38,Toggl_Import!$AF$10:$AF$509,"&lt;"&amp;$R38+Inputs!$C$18,Toggl_Import!$AG$10:$AG$509,Inputs!$C$30&amp;"*")</f>
        <v>6.5</v>
      </c>
    </row>
    <row r="39" customFormat="false" ht="15" hidden="false" customHeight="false" outlineLevel="0" collapsed="false">
      <c r="A39" s="102" t="n">
        <v>46414</v>
      </c>
      <c r="B39" s="103" t="s">
        <v>727</v>
      </c>
      <c r="C39" s="103" t="s">
        <v>1456</v>
      </c>
      <c r="D39" s="104" t="s">
        <v>1310</v>
      </c>
      <c r="E39" s="105" t="n">
        <v>0.5</v>
      </c>
      <c r="F39" s="103" t="s">
        <v>1471</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1.5</v>
      </c>
      <c r="V39" s="36" t="n">
        <f aca="false">SUMIFS(Hours_Log!$E$5:$E$1004,Hours_Log!$A$5:$A$1004,"&gt;="&amp;$R39,Hours_Log!$A$5:$A$1004,"&lt;"&amp;$R39+Inputs!$C$18,Hours_Log!$D$5:$D$1004,V$21)+SUMIFS(Toggl_Import!$AI$10:$AI$509,Toggl_Import!$AF$10:$AF$509,"&gt;="&amp;$R39,Toggl_Import!$AF$10:$AF$509,"&lt;"&amp;$R39+Inputs!$C$18,Toggl_Import!$AH$10:$AH$509,V$21)</f>
        <v>4</v>
      </c>
      <c r="W39" s="36" t="n">
        <f aca="false">SUMIFS(Hours_Log!$E$5:$E$1004,Hours_Log!$A$5:$A$1004,"&gt;="&amp;$R39,Hours_Log!$A$5:$A$1004,"&lt;"&amp;$R39+Inputs!$C$18,Hours_Log!$D$5:$D$1004,W$21)+SUMIFS(Toggl_Import!$AI$10:$AI$509,Toggl_Import!$AF$10:$AF$509,"&gt;="&amp;$R39,Toggl_Import!$AF$10:$AF$509,"&lt;"&amp;$R39+Inputs!$C$18,Toggl_Import!$AH$10:$AH$509,W$21)</f>
        <v>1.5</v>
      </c>
      <c r="X39" s="36" t="n">
        <f aca="false">SUMIFS(Hours_Log!$E$5:$E$1004,Hours_Log!$A$5:$A$1004,"&gt;="&amp;$R39,Hours_Log!$A$5:$A$1004,"&lt;"&amp;$R39+Inputs!$C$18,Hours_Log!$D$5:$D$1004,X$21)+SUMIFS(Toggl_Import!$AI$10:$AI$509,Toggl_Import!$AF$10:$AF$509,"&gt;="&amp;$R39,Toggl_Import!$AF$10:$AF$509,"&lt;"&amp;$R39+Inputs!$C$18,Toggl_Import!$AH$10:$AH$509,X$21)</f>
        <v>1.5</v>
      </c>
      <c r="Y39" s="36" t="n">
        <f aca="false">SUMIFS(Hours_Log!$E$5:$E$1004,Hours_Log!$A$5:$A$1004,"&gt;="&amp;$R39,Hours_Log!$A$5:$A$1004,"&lt;"&amp;$R39+Inputs!$C$18,Hours_Log!$D$5:$D$1004,Y$21)+SUMIFS(Toggl_Import!$AI$10:$AI$509,Toggl_Import!$AF$10:$AF$509,"&gt;="&amp;$R39,Toggl_Import!$AF$10:$AF$509,"&lt;"&amp;$R39+Inputs!$C$18,Toggl_Import!$AH$10:$AH$509,Y$21)</f>
        <v>1</v>
      </c>
      <c r="Z39" s="38" t="n">
        <f aca="false">SUM(S39:Y39)</f>
        <v>9.5</v>
      </c>
      <c r="AA39" s="36" t="n">
        <f aca="false">SUMIFS(Hours_Log!$E$5:$E$1004,Hours_Log!$A$5:$A$1004,"&gt;="&amp;$R39,Hours_Log!$A$5:$A$1004,"&lt;"&amp;$R39+Inputs!$C$18,Hours_Log!$B$5:$B$1004,Inputs!$C$30&amp;"*")+SUMIFS(Toggl_Import!$AI$10:$AI$509,Toggl_Import!$AF$10:$AF$509,"&gt;="&amp;$R39,Toggl_Import!$AF$10:$AF$509,"&lt;"&amp;$R39+Inputs!$C$18,Toggl_Import!$AG$10:$AG$509,Inputs!$C$30&amp;"*")</f>
        <v>9.5</v>
      </c>
    </row>
    <row r="40" customFormat="false" ht="15" hidden="false" customHeight="false" outlineLevel="0" collapsed="false">
      <c r="A40" s="102" t="n">
        <v>46363</v>
      </c>
      <c r="B40" s="103" t="s">
        <v>727</v>
      </c>
      <c r="C40" s="103"/>
      <c r="D40" s="104" t="s">
        <v>1311</v>
      </c>
      <c r="E40" s="105" t="n">
        <v>1</v>
      </c>
      <c r="F40" s="103" t="s">
        <v>1472</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1.5</v>
      </c>
      <c r="X40" s="36" t="n">
        <f aca="false">SUMIFS(Hours_Log!$E$5:$E$1004,Hours_Log!$A$5:$A$1004,"&gt;="&amp;$R40,Hours_Log!$A$5:$A$1004,"&lt;"&amp;$R40+Inputs!$C$18,Hours_Log!$D$5:$D$1004,X$21)+SUMIFS(Toggl_Import!$AI$10:$AI$509,Toggl_Import!$AF$10:$AF$509,"&gt;="&amp;$R40,Toggl_Import!$AF$10:$AF$509,"&lt;"&amp;$R40+Inputs!$C$18,Toggl_Import!$AH$10:$AH$509,X$21)</f>
        <v>1.5</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3</v>
      </c>
      <c r="AA40" s="36" t="n">
        <f aca="false">SUMIFS(Hours_Log!$E$5:$E$1004,Hours_Log!$A$5:$A$1004,"&gt;="&amp;$R40,Hours_Log!$A$5:$A$1004,"&lt;"&amp;$R40+Inputs!$C$18,Hours_Log!$B$5:$B$1004,Inputs!$C$30&amp;"*")+SUMIFS(Toggl_Import!$AI$10:$AI$509,Toggl_Import!$AF$10:$AF$509,"&gt;="&amp;$R40,Toggl_Import!$AF$10:$AF$509,"&lt;"&amp;$R40+Inputs!$C$18,Toggl_Import!$AG$10:$AG$509,Inputs!$C$30&amp;"*")</f>
        <v>3</v>
      </c>
    </row>
    <row r="41" customFormat="false" ht="15" hidden="false" customHeight="false" outlineLevel="0" collapsed="false">
      <c r="A41" s="102" t="n">
        <v>46402</v>
      </c>
      <c r="B41" s="103" t="s">
        <v>727</v>
      </c>
      <c r="C41" s="103"/>
      <c r="D41" s="104" t="s">
        <v>1311</v>
      </c>
      <c r="E41" s="105" t="n">
        <v>1</v>
      </c>
      <c r="F41" s="103" t="s">
        <v>1473</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0.5</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0.5</v>
      </c>
      <c r="AA41" s="36" t="n">
        <f aca="false">SUMIFS(Hours_Log!$E$5:$E$1004,Hours_Log!$A$5:$A$1004,"&gt;="&amp;$R41,Hours_Log!$A$5:$A$1004,"&lt;"&amp;$R41+Inputs!$C$18,Hours_Log!$B$5:$B$1004,Inputs!$C$30&amp;"*")+SUMIFS(Toggl_Import!$AI$10:$AI$509,Toggl_Import!$AF$10:$AF$509,"&gt;="&amp;$R41,Toggl_Import!$AF$10:$AF$509,"&lt;"&amp;$R41+Inputs!$C$18,Toggl_Import!$AG$10:$AG$509,Inputs!$C$30&amp;"*")</f>
        <v>0.5</v>
      </c>
    </row>
    <row r="42" customFormat="false" ht="15" hidden="false" customHeight="false" outlineLevel="0" collapsed="false">
      <c r="A42" s="102" t="n">
        <v>46391</v>
      </c>
      <c r="B42" s="103" t="s">
        <v>981</v>
      </c>
      <c r="C42" s="103" t="s">
        <v>1474</v>
      </c>
      <c r="D42" s="104" t="s">
        <v>1305</v>
      </c>
      <c r="E42" s="105" t="n">
        <v>2</v>
      </c>
      <c r="F42" s="103" t="s">
        <v>1475</v>
      </c>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t="n">
        <v>46380</v>
      </c>
      <c r="B43" s="103" t="s">
        <v>981</v>
      </c>
      <c r="C43" s="103" t="s">
        <v>1474</v>
      </c>
      <c r="D43" s="104" t="s">
        <v>1305</v>
      </c>
      <c r="E43" s="105" t="n">
        <v>2</v>
      </c>
      <c r="F43" s="103" t="s">
        <v>1475</v>
      </c>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t="n">
        <v>46373</v>
      </c>
      <c r="B44" s="103" t="s">
        <v>981</v>
      </c>
      <c r="C44" s="103" t="s">
        <v>1474</v>
      </c>
      <c r="D44" s="104" t="s">
        <v>1305</v>
      </c>
      <c r="E44" s="105" t="n">
        <v>2</v>
      </c>
      <c r="F44" s="103" t="s">
        <v>1475</v>
      </c>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t="n">
        <v>46437</v>
      </c>
      <c r="B45" s="103" t="s">
        <v>981</v>
      </c>
      <c r="C45" s="103" t="s">
        <v>1474</v>
      </c>
      <c r="D45" s="104" t="s">
        <v>1310</v>
      </c>
      <c r="E45" s="105" t="n">
        <v>1.5</v>
      </c>
      <c r="F45" s="103" t="s">
        <v>1470</v>
      </c>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t="n">
        <v>46442</v>
      </c>
      <c r="B46" s="103" t="s">
        <v>981</v>
      </c>
      <c r="C46" s="103" t="s">
        <v>1474</v>
      </c>
      <c r="D46" s="104" t="s">
        <v>1310</v>
      </c>
      <c r="E46" s="105" t="n">
        <v>0.5</v>
      </c>
      <c r="F46" s="103" t="s">
        <v>1476</v>
      </c>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t="n">
        <v>46393</v>
      </c>
      <c r="B47" s="103" t="s">
        <v>981</v>
      </c>
      <c r="C47" s="103" t="s">
        <v>1477</v>
      </c>
      <c r="D47" s="104" t="s">
        <v>1305</v>
      </c>
      <c r="E47" s="105" t="n">
        <v>2</v>
      </c>
      <c r="F47" s="103" t="s">
        <v>1475</v>
      </c>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t="n">
        <v>46385</v>
      </c>
      <c r="B48" s="103" t="s">
        <v>981</v>
      </c>
      <c r="C48" s="103" t="s">
        <v>1477</v>
      </c>
      <c r="D48" s="104" t="s">
        <v>1305</v>
      </c>
      <c r="E48" s="105" t="n">
        <v>2</v>
      </c>
      <c r="F48" s="103" t="s">
        <v>1475</v>
      </c>
      <c r="Q48" s="30" t="s">
        <v>1084</v>
      </c>
      <c r="S48" s="38" t="n">
        <f aca="false">SUM(S22:S47)</f>
        <v>51.5</v>
      </c>
      <c r="T48" s="38" t="n">
        <f aca="false">SUM(T22:T47)</f>
        <v>39</v>
      </c>
      <c r="U48" s="38" t="n">
        <f aca="false">SUM(U22:U47)</f>
        <v>10</v>
      </c>
      <c r="V48" s="38" t="n">
        <f aca="false">SUM(V22:V47)</f>
        <v>17</v>
      </c>
      <c r="W48" s="38" t="n">
        <f aca="false">SUM(W22:W47)</f>
        <v>10</v>
      </c>
      <c r="X48" s="38" t="n">
        <f aca="false">SUM(X22:X47)</f>
        <v>12</v>
      </c>
      <c r="Y48" s="38" t="n">
        <f aca="false">SUM(Y22:Y47)</f>
        <v>5</v>
      </c>
      <c r="Z48" s="38" t="n">
        <f aca="false">SUM(Z22:Z47)</f>
        <v>144.5</v>
      </c>
      <c r="AA48" s="38" t="n">
        <f aca="false">SUM(AA22:AA47)</f>
        <v>129.5</v>
      </c>
    </row>
    <row r="49" customFormat="false" ht="15" hidden="false" customHeight="false" outlineLevel="0" collapsed="false">
      <c r="A49" s="102" t="n">
        <v>46377</v>
      </c>
      <c r="B49" s="103" t="s">
        <v>981</v>
      </c>
      <c r="C49" s="103" t="s">
        <v>1477</v>
      </c>
      <c r="D49" s="104" t="s">
        <v>1305</v>
      </c>
      <c r="E49" s="105" t="n">
        <v>2</v>
      </c>
      <c r="F49" s="103" t="s">
        <v>1475</v>
      </c>
    </row>
    <row r="50" customFormat="false" ht="15" hidden="false" customHeight="false" outlineLevel="0" collapsed="false">
      <c r="A50" s="102" t="n">
        <v>46437</v>
      </c>
      <c r="B50" s="103" t="s">
        <v>981</v>
      </c>
      <c r="C50" s="103" t="s">
        <v>1477</v>
      </c>
      <c r="D50" s="104" t="s">
        <v>1310</v>
      </c>
      <c r="E50" s="105" t="n">
        <v>1.5</v>
      </c>
      <c r="F50" s="103" t="s">
        <v>1470</v>
      </c>
      <c r="Q50" s="30" t="s">
        <v>1478</v>
      </c>
      <c r="Z50" s="22" t="n">
        <f aca="false">COUNTA(Hours_Log!$D$5:$D$1004)-SUMPRODUCT(COUNTIF(Hours_Log!$D$5:$D$1004,Lists!$C$4:$C$10))</f>
        <v>0</v>
      </c>
    </row>
    <row r="51" customFormat="false" ht="15" hidden="false" customHeight="false" outlineLevel="0" collapsed="false">
      <c r="A51" s="102" t="n">
        <v>46442</v>
      </c>
      <c r="B51" s="103" t="s">
        <v>981</v>
      </c>
      <c r="C51" s="103" t="s">
        <v>1477</v>
      </c>
      <c r="D51" s="104" t="s">
        <v>1310</v>
      </c>
      <c r="E51" s="105" t="n">
        <v>0.5</v>
      </c>
      <c r="F51" s="103" t="s">
        <v>1476</v>
      </c>
      <c r="Q51" s="30" t="s">
        <v>1479</v>
      </c>
      <c r="Z51" s="22" t="n">
        <f aca="false">SUMPRODUCT((Hours_Log!$B$5:$B$1004&lt;&gt;"")*(COUNTIF(Schedule!$A$7:$A$18,Hours_Log!$B$5:$B$1004)=0))</f>
        <v>0</v>
      </c>
    </row>
    <row r="52" customFormat="false" ht="15" hidden="false" customHeight="false" outlineLevel="0" collapsed="false">
      <c r="A52" s="102" t="n">
        <v>46395</v>
      </c>
      <c r="B52" s="103" t="s">
        <v>981</v>
      </c>
      <c r="C52" s="103" t="s">
        <v>1480</v>
      </c>
      <c r="D52" s="104" t="s">
        <v>1305</v>
      </c>
      <c r="E52" s="105" t="n">
        <v>2</v>
      </c>
      <c r="F52" s="103" t="s">
        <v>1475</v>
      </c>
      <c r="Q52" s="30" t="s">
        <v>1481</v>
      </c>
      <c r="Z52" s="38" t="n">
        <f aca="false">Y17-Z48</f>
        <v>0</v>
      </c>
    </row>
    <row r="53" customFormat="false" ht="15" hidden="false" customHeight="false" outlineLevel="0" collapsed="false">
      <c r="A53" s="102" t="n">
        <v>46387</v>
      </c>
      <c r="B53" s="103" t="s">
        <v>981</v>
      </c>
      <c r="C53" s="103" t="s">
        <v>1480</v>
      </c>
      <c r="D53" s="104" t="s">
        <v>1305</v>
      </c>
      <c r="E53" s="105" t="n">
        <v>2</v>
      </c>
      <c r="F53" s="103" t="s">
        <v>1475</v>
      </c>
      <c r="Q53" s="30" t="s">
        <v>1482</v>
      </c>
      <c r="Z53" s="38" t="n">
        <f aca="false">Z48-AA48</f>
        <v>15</v>
      </c>
    </row>
    <row r="54" customFormat="false" ht="15" hidden="false" customHeight="false" outlineLevel="0" collapsed="false">
      <c r="A54" s="102" t="n">
        <v>46379</v>
      </c>
      <c r="B54" s="103" t="s">
        <v>981</v>
      </c>
      <c r="C54" s="103" t="s">
        <v>1480</v>
      </c>
      <c r="D54" s="104" t="s">
        <v>1305</v>
      </c>
      <c r="E54" s="105" t="n">
        <v>2</v>
      </c>
      <c r="F54" s="103" t="s">
        <v>1475</v>
      </c>
    </row>
    <row r="55" customFormat="false" ht="15" hidden="false" customHeight="false" outlineLevel="0" collapsed="false">
      <c r="A55" s="102" t="n">
        <v>46437</v>
      </c>
      <c r="B55" s="103" t="s">
        <v>981</v>
      </c>
      <c r="C55" s="103" t="s">
        <v>1480</v>
      </c>
      <c r="D55" s="104" t="s">
        <v>1310</v>
      </c>
      <c r="E55" s="105" t="n">
        <v>1.5</v>
      </c>
      <c r="F55" s="103" t="s">
        <v>1470</v>
      </c>
    </row>
    <row r="56" customFormat="false" ht="15" hidden="false" customHeight="false" outlineLevel="0" collapsed="false">
      <c r="A56" s="102" t="n">
        <v>46442</v>
      </c>
      <c r="B56" s="103" t="s">
        <v>981</v>
      </c>
      <c r="C56" s="103" t="s">
        <v>1480</v>
      </c>
      <c r="D56" s="104" t="s">
        <v>1310</v>
      </c>
      <c r="E56" s="105" t="n">
        <v>0.5</v>
      </c>
      <c r="F56" s="103" t="s">
        <v>1476</v>
      </c>
    </row>
    <row r="57" customFormat="false" ht="15" hidden="false" customHeight="false" outlineLevel="0" collapsed="false">
      <c r="A57" s="102" t="n">
        <v>46392</v>
      </c>
      <c r="B57" s="103" t="s">
        <v>981</v>
      </c>
      <c r="C57" s="103"/>
      <c r="D57" s="104" t="s">
        <v>1306</v>
      </c>
      <c r="E57" s="105" t="n">
        <v>1.5</v>
      </c>
      <c r="F57" s="103" t="s">
        <v>1483</v>
      </c>
    </row>
    <row r="58" customFormat="false" ht="15" hidden="false" customHeight="false" outlineLevel="0" collapsed="false">
      <c r="A58" s="102" t="n">
        <v>46393</v>
      </c>
      <c r="B58" s="103" t="s">
        <v>981</v>
      </c>
      <c r="C58" s="103"/>
      <c r="D58" s="104" t="s">
        <v>1306</v>
      </c>
      <c r="E58" s="105" t="n">
        <v>1.5</v>
      </c>
      <c r="F58" s="103" t="s">
        <v>1483</v>
      </c>
    </row>
    <row r="59" customFormat="false" ht="15" hidden="false" customHeight="false" outlineLevel="0" collapsed="false">
      <c r="A59" s="102" t="n">
        <v>46394</v>
      </c>
      <c r="B59" s="103" t="s">
        <v>981</v>
      </c>
      <c r="C59" s="103"/>
      <c r="D59" s="104" t="s">
        <v>1306</v>
      </c>
      <c r="E59" s="105" t="n">
        <v>1.5</v>
      </c>
      <c r="F59" s="103" t="s">
        <v>1483</v>
      </c>
    </row>
    <row r="60" customFormat="false" ht="15" hidden="false" customHeight="false" outlineLevel="0" collapsed="false">
      <c r="A60" s="102" t="n">
        <v>46395</v>
      </c>
      <c r="B60" s="103" t="s">
        <v>981</v>
      </c>
      <c r="C60" s="103"/>
      <c r="D60" s="104" t="s">
        <v>1306</v>
      </c>
      <c r="E60" s="105" t="n">
        <v>1.5</v>
      </c>
      <c r="F60" s="103" t="s">
        <v>1483</v>
      </c>
    </row>
    <row r="61" customFormat="false" ht="15" hidden="false" customHeight="false" outlineLevel="0" collapsed="false">
      <c r="A61" s="102" t="n">
        <v>46400</v>
      </c>
      <c r="B61" s="103" t="s">
        <v>981</v>
      </c>
      <c r="C61" s="103"/>
      <c r="D61" s="104" t="s">
        <v>1306</v>
      </c>
      <c r="E61" s="105" t="n">
        <v>1.5</v>
      </c>
      <c r="F61" s="103" t="s">
        <v>1483</v>
      </c>
    </row>
    <row r="62" customFormat="false" ht="15" hidden="false" customHeight="false" outlineLevel="0" collapsed="false">
      <c r="A62" s="102" t="n">
        <v>46407</v>
      </c>
      <c r="B62" s="103" t="s">
        <v>981</v>
      </c>
      <c r="C62" s="103"/>
      <c r="D62" s="104" t="s">
        <v>1306</v>
      </c>
      <c r="E62" s="105" t="n">
        <v>1.25</v>
      </c>
      <c r="F62" s="103" t="s">
        <v>1484</v>
      </c>
    </row>
    <row r="63" customFormat="false" ht="15" hidden="false" customHeight="false" outlineLevel="0" collapsed="false">
      <c r="A63" s="102" t="n">
        <v>46419</v>
      </c>
      <c r="B63" s="103" t="s">
        <v>981</v>
      </c>
      <c r="C63" s="103"/>
      <c r="D63" s="104" t="s">
        <v>1306</v>
      </c>
      <c r="E63" s="105" t="n">
        <v>1.25</v>
      </c>
      <c r="F63" s="103" t="s">
        <v>1484</v>
      </c>
    </row>
    <row r="64" customFormat="false" ht="15" hidden="false" customHeight="false" outlineLevel="0" collapsed="false">
      <c r="A64" s="102" t="n">
        <v>46416</v>
      </c>
      <c r="B64" s="103" t="s">
        <v>981</v>
      </c>
      <c r="C64" s="103"/>
      <c r="D64" s="104" t="s">
        <v>1307</v>
      </c>
      <c r="E64" s="105" t="n">
        <v>1</v>
      </c>
      <c r="F64" s="103"/>
    </row>
    <row r="65" customFormat="false" ht="15" hidden="false" customHeight="false" outlineLevel="0" collapsed="false">
      <c r="A65" s="102" t="n">
        <v>46419</v>
      </c>
      <c r="B65" s="103" t="s">
        <v>981</v>
      </c>
      <c r="C65" s="103"/>
      <c r="D65" s="104" t="s">
        <v>1307</v>
      </c>
      <c r="E65" s="105" t="n">
        <v>1</v>
      </c>
      <c r="F65" s="103"/>
    </row>
    <row r="66" customFormat="false" ht="15" hidden="false" customHeight="false" outlineLevel="0" collapsed="false">
      <c r="A66" s="102" t="n">
        <v>46426</v>
      </c>
      <c r="B66" s="103" t="s">
        <v>981</v>
      </c>
      <c r="C66" s="103"/>
      <c r="D66" s="104" t="s">
        <v>1307</v>
      </c>
      <c r="E66" s="105" t="n">
        <v>2</v>
      </c>
      <c r="F66" s="103"/>
    </row>
    <row r="67" customFormat="false" ht="15" hidden="false" customHeight="false" outlineLevel="0" collapsed="false">
      <c r="A67" s="102" t="n">
        <v>46427</v>
      </c>
      <c r="B67" s="103" t="s">
        <v>981</v>
      </c>
      <c r="C67" s="103"/>
      <c r="D67" s="104" t="s">
        <v>1308</v>
      </c>
      <c r="E67" s="105" t="n">
        <v>6.5</v>
      </c>
      <c r="F67" s="103" t="s">
        <v>1485</v>
      </c>
    </row>
    <row r="68" customFormat="false" ht="15" hidden="false" customHeight="false" outlineLevel="0" collapsed="false">
      <c r="A68" s="102" t="n">
        <v>46428</v>
      </c>
      <c r="B68" s="103" t="s">
        <v>981</v>
      </c>
      <c r="C68" s="103"/>
      <c r="D68" s="104" t="s">
        <v>1308</v>
      </c>
      <c r="E68" s="105" t="n">
        <v>1.5</v>
      </c>
      <c r="F68" s="103" t="s">
        <v>1486</v>
      </c>
    </row>
    <row r="69" customFormat="false" ht="15" hidden="false" customHeight="false" outlineLevel="0" collapsed="false">
      <c r="A69" s="102" t="n">
        <v>46429</v>
      </c>
      <c r="B69" s="103" t="s">
        <v>981</v>
      </c>
      <c r="C69" s="103"/>
      <c r="D69" s="104" t="s">
        <v>1309</v>
      </c>
      <c r="E69" s="105" t="n">
        <v>2</v>
      </c>
      <c r="F69" s="103"/>
    </row>
    <row r="70" customFormat="false" ht="15" hidden="false" customHeight="false" outlineLevel="0" collapsed="false">
      <c r="A70" s="102" t="n">
        <v>46434</v>
      </c>
      <c r="B70" s="103" t="s">
        <v>981</v>
      </c>
      <c r="C70" s="103"/>
      <c r="D70" s="104" t="s">
        <v>1309</v>
      </c>
      <c r="E70" s="105" t="n">
        <v>2</v>
      </c>
      <c r="F70" s="103"/>
    </row>
    <row r="71" customFormat="false" ht="15" hidden="false" customHeight="false" outlineLevel="0" collapsed="false">
      <c r="A71" s="102" t="n">
        <v>46391</v>
      </c>
      <c r="B71" s="103" t="s">
        <v>981</v>
      </c>
      <c r="C71" s="103"/>
      <c r="D71" s="104" t="s">
        <v>1311</v>
      </c>
      <c r="E71" s="105" t="n">
        <v>1</v>
      </c>
      <c r="F71" s="103"/>
    </row>
    <row r="72" customFormat="false" ht="15" hidden="false" customHeight="false" outlineLevel="0" collapsed="false">
      <c r="A72" s="102" t="n">
        <v>46428</v>
      </c>
      <c r="B72" s="103" t="s">
        <v>981</v>
      </c>
      <c r="C72" s="103"/>
      <c r="D72" s="104" t="s">
        <v>1311</v>
      </c>
      <c r="E72" s="105" t="n">
        <v>1</v>
      </c>
      <c r="F72" s="103"/>
    </row>
    <row r="73" customFormat="false" ht="15" hidden="false" customHeight="false" outlineLevel="0" collapsed="false">
      <c r="A73" s="102" t="n">
        <v>46412</v>
      </c>
      <c r="B73" s="103" t="s">
        <v>985</v>
      </c>
      <c r="C73" s="103" t="s">
        <v>1487</v>
      </c>
      <c r="D73" s="104" t="s">
        <v>1305</v>
      </c>
      <c r="E73" s="105" t="n">
        <v>2</v>
      </c>
      <c r="F73" s="103" t="s">
        <v>1475</v>
      </c>
    </row>
    <row r="74" customFormat="false" ht="15" hidden="false" customHeight="false" outlineLevel="0" collapsed="false">
      <c r="A74" s="102" t="n">
        <v>46407</v>
      </c>
      <c r="B74" s="103" t="s">
        <v>985</v>
      </c>
      <c r="C74" s="103" t="s">
        <v>1487</v>
      </c>
      <c r="D74" s="104" t="s">
        <v>1305</v>
      </c>
      <c r="E74" s="105" t="n">
        <v>2</v>
      </c>
      <c r="F74" s="103" t="s">
        <v>1475</v>
      </c>
    </row>
    <row r="75" customFormat="false" ht="15" hidden="false" customHeight="false" outlineLevel="0" collapsed="false">
      <c r="A75" s="102" t="n">
        <v>46401</v>
      </c>
      <c r="B75" s="103" t="s">
        <v>985</v>
      </c>
      <c r="C75" s="103" t="s">
        <v>1487</v>
      </c>
      <c r="D75" s="104" t="s">
        <v>1305</v>
      </c>
      <c r="E75" s="105" t="n">
        <v>2</v>
      </c>
      <c r="F75" s="103" t="s">
        <v>1475</v>
      </c>
    </row>
    <row r="76" customFormat="false" ht="15" hidden="false" customHeight="false" outlineLevel="0" collapsed="false">
      <c r="A76" s="102" t="n">
        <v>46413</v>
      </c>
      <c r="B76" s="103" t="s">
        <v>985</v>
      </c>
      <c r="C76" s="103"/>
      <c r="D76" s="104" t="s">
        <v>1306</v>
      </c>
      <c r="E76" s="105" t="n">
        <v>1.5</v>
      </c>
      <c r="F76" s="103" t="s">
        <v>1488</v>
      </c>
    </row>
    <row r="77" customFormat="false" ht="15" hidden="false" customHeight="false" outlineLevel="0" collapsed="false">
      <c r="A77" s="102" t="n">
        <v>46430</v>
      </c>
      <c r="B77" s="103" t="s">
        <v>985</v>
      </c>
      <c r="C77" s="103"/>
      <c r="D77" s="104" t="s">
        <v>1307</v>
      </c>
      <c r="E77" s="105" t="n">
        <v>1.5</v>
      </c>
      <c r="F77" s="103" t="s">
        <v>1489</v>
      </c>
    </row>
    <row r="78" customFormat="false" ht="15" hidden="false" customHeight="false" outlineLevel="0" collapsed="false">
      <c r="A78" s="102" t="n">
        <v>46440</v>
      </c>
      <c r="B78" s="103" t="s">
        <v>985</v>
      </c>
      <c r="C78" s="103"/>
      <c r="D78" s="104" t="s">
        <v>1307</v>
      </c>
      <c r="E78" s="105" t="n">
        <v>1.5</v>
      </c>
      <c r="F78" s="103" t="s">
        <v>1490</v>
      </c>
    </row>
    <row r="79" customFormat="false" ht="15" hidden="false" customHeight="false" outlineLevel="0" collapsed="false">
      <c r="A79" s="102" t="n">
        <v>46441</v>
      </c>
      <c r="B79" s="103" t="s">
        <v>985</v>
      </c>
      <c r="C79" s="103"/>
      <c r="D79" s="104" t="s">
        <v>1308</v>
      </c>
      <c r="E79" s="105" t="n">
        <v>4</v>
      </c>
      <c r="F79" s="103" t="s">
        <v>1491</v>
      </c>
    </row>
    <row r="80" customFormat="false" ht="15" hidden="false" customHeight="false" outlineLevel="0" collapsed="false">
      <c r="A80" s="102" t="n">
        <v>46443</v>
      </c>
      <c r="B80" s="103" t="s">
        <v>985</v>
      </c>
      <c r="C80" s="103"/>
      <c r="D80" s="104" t="s">
        <v>1309</v>
      </c>
      <c r="E80" s="105" t="n">
        <v>1.5</v>
      </c>
      <c r="F80" s="103"/>
    </row>
    <row r="81" customFormat="false" ht="15" hidden="false" customHeight="false" outlineLevel="0" collapsed="false">
      <c r="A81" s="102" t="n">
        <v>46447</v>
      </c>
      <c r="B81" s="103" t="s">
        <v>985</v>
      </c>
      <c r="C81" s="103"/>
      <c r="D81" s="104" t="s">
        <v>1309</v>
      </c>
      <c r="E81" s="105" t="n">
        <v>1.5</v>
      </c>
      <c r="F81" s="103"/>
    </row>
    <row r="82" customFormat="false" ht="15" hidden="false" customHeight="false" outlineLevel="0" collapsed="false">
      <c r="A82" s="102" t="n">
        <v>46450</v>
      </c>
      <c r="B82" s="103" t="s">
        <v>985</v>
      </c>
      <c r="C82" s="103" t="s">
        <v>1487</v>
      </c>
      <c r="D82" s="104" t="s">
        <v>1310</v>
      </c>
      <c r="E82" s="105" t="n">
        <v>1.5</v>
      </c>
      <c r="F82" s="103" t="s">
        <v>1470</v>
      </c>
    </row>
    <row r="83" customFormat="false" ht="15" hidden="false" customHeight="false" outlineLevel="0" collapsed="false">
      <c r="A83" s="102" t="n">
        <v>46455</v>
      </c>
      <c r="B83" s="103" t="s">
        <v>985</v>
      </c>
      <c r="C83" s="103" t="s">
        <v>1487</v>
      </c>
      <c r="D83" s="104" t="s">
        <v>1310</v>
      </c>
      <c r="E83" s="105" t="n">
        <v>0.5</v>
      </c>
      <c r="F83" s="103" t="s">
        <v>1492</v>
      </c>
    </row>
    <row r="84" customFormat="false" ht="15" hidden="false" customHeight="false" outlineLevel="0" collapsed="false">
      <c r="A84" s="102" t="n">
        <v>46442</v>
      </c>
      <c r="B84" s="103" t="s">
        <v>985</v>
      </c>
      <c r="C84" s="103"/>
      <c r="D84" s="104" t="s">
        <v>1311</v>
      </c>
      <c r="E84" s="105" t="n">
        <v>1</v>
      </c>
      <c r="F84" s="103" t="s">
        <v>1493</v>
      </c>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1494</v>
      </c>
    </row>
    <row r="2" customFormat="false" ht="15" hidden="false" customHeight="false" outlineLevel="0" collapsed="false">
      <c r="A2" s="2" t="s">
        <v>1495</v>
      </c>
    </row>
    <row r="3" customFormat="false" ht="30" hidden="false" customHeight="true" outlineLevel="0" collapsed="false">
      <c r="B3" s="9" t="s">
        <v>1496</v>
      </c>
      <c r="G3" s="8" t="s">
        <v>1497</v>
      </c>
      <c r="H3" s="8"/>
      <c r="I3" s="8"/>
      <c r="J3" s="8"/>
      <c r="K3" s="8"/>
      <c r="L3" s="8"/>
      <c r="M3" s="8"/>
      <c r="N3" s="8"/>
      <c r="O3" s="8"/>
      <c r="P3" s="8"/>
    </row>
    <row r="4" customFormat="false" ht="15" hidden="false" customHeight="false" outlineLevel="0" collapsed="false">
      <c r="B4" s="30" t="s">
        <v>365</v>
      </c>
      <c r="C4" s="39" t="s">
        <v>1498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1499</v>
      </c>
      <c r="C5" s="39" t="s">
        <v>1500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1501</v>
      </c>
      <c r="C6" s="39" t="s">
        <v>1502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1503</v>
      </c>
      <c r="C7" s="39" t="s">
        <v>1504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1505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365</v>
      </c>
      <c r="AG9" s="12" t="s">
        <v>323</v>
      </c>
      <c r="AH9" s="12" t="s">
        <v>1451</v>
      </c>
      <c r="AI9" s="12" t="s">
        <v>406</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1506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1507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1508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1509</v>
      </c>
    </row>
    <row r="2" customFormat="false" ht="15" hidden="false" customHeight="false" outlineLevel="0" collapsed="false">
      <c r="A2" s="2" t="s">
        <v>1510</v>
      </c>
    </row>
    <row r="3" customFormat="false" ht="30" hidden="false" customHeight="true" outlineLevel="0" collapsed="false">
      <c r="A3" s="8" t="s">
        <v>1511</v>
      </c>
      <c r="B3" s="8"/>
      <c r="C3" s="8"/>
      <c r="D3" s="8"/>
      <c r="E3" s="8"/>
      <c r="F3" s="8"/>
      <c r="G3" s="8"/>
      <c r="H3" s="8"/>
      <c r="I3" s="8"/>
      <c r="AG3" s="84" t="s">
        <v>1512</v>
      </c>
    </row>
    <row r="4" customFormat="false" ht="30" hidden="false" customHeight="true" outlineLevel="0" collapsed="false">
      <c r="A4" s="12" t="s">
        <v>365</v>
      </c>
      <c r="B4" s="12" t="s">
        <v>1513</v>
      </c>
      <c r="C4" s="12" t="s">
        <v>1514</v>
      </c>
      <c r="D4" s="12" t="s">
        <v>1515</v>
      </c>
      <c r="E4" s="12" t="s">
        <v>1516</v>
      </c>
      <c r="F4" s="12" t="s">
        <v>1517</v>
      </c>
      <c r="G4" s="12" t="s">
        <v>1518</v>
      </c>
      <c r="H4" s="12" t="s">
        <v>1519</v>
      </c>
      <c r="I4" s="12" t="s">
        <v>1520</v>
      </c>
      <c r="T4" s="12" t="s">
        <v>1521</v>
      </c>
      <c r="U4" s="12" t="s">
        <v>1522</v>
      </c>
      <c r="V4" s="12" t="s">
        <v>1523</v>
      </c>
      <c r="W4" s="12" t="s">
        <v>1524</v>
      </c>
      <c r="X4" s="12" t="s">
        <v>1525</v>
      </c>
      <c r="Y4" s="12" t="s">
        <v>1526</v>
      </c>
      <c r="Z4" s="12" t="s">
        <v>1527</v>
      </c>
      <c r="AA4" s="12" t="s">
        <v>1528</v>
      </c>
      <c r="AB4" s="12" t="s">
        <v>1529</v>
      </c>
      <c r="AC4" s="12" t="s">
        <v>1530</v>
      </c>
      <c r="AD4" s="12" t="s">
        <v>1531</v>
      </c>
      <c r="AE4" s="12" t="s">
        <v>1532</v>
      </c>
      <c r="AG4" s="12" t="s">
        <v>230</v>
      </c>
      <c r="AH4" s="12" t="s">
        <v>1533</v>
      </c>
      <c r="AI4" s="12" t="s">
        <v>1534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1535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1536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1537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1538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1539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1540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1541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1542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1543</v>
      </c>
      <c r="AH13" s="22" t="n">
        <f aca="false">SUMIFS(Pipeline!$X$5:$X$1004,Pipeline!$A$5:$A$1004,"&lt;="&amp;Inputs!$C$17)</f>
        <v>0</v>
      </c>
      <c r="AI13" s="18" t="n">
        <f aca="false">Inputs!$C$17</f>
        <v>46319</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1544</v>
      </c>
      <c r="AH14" s="22" t="n">
        <f aca="false">SUMIFS(Pipeline!$T$5:$T$1004,Pipeline!$B$5:$B$1004,"office",Pipeline!$E$5:$E$1004,"signed",Pipeline!$A$5:$A$1004,"&lt;="&amp;Inputs!$C$17)</f>
        <v>0</v>
      </c>
      <c r="AI14" s="18" t="n">
        <f aca="false">Inputs!$C$17</f>
        <v>46319</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1545</v>
      </c>
      <c r="AH15" s="22" t="n">
        <f aca="false">SUMIFS(Pipeline!$T$5:$T$1004,Pipeline!$B$5:$B$1004,"office",Pipeline!$E$5:$E$1004,"opt_out",Pipeline!$A$5:$A$1004,"&lt;="&amp;Inputs!$C$17)</f>
        <v>0</v>
      </c>
      <c r="AI15" s="18" t="n">
        <f aca="false">Inputs!$C$17</f>
        <v>46319</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1546</v>
      </c>
      <c r="AH16" s="22" t="n">
        <f aca="false">SUMIFS(Pipeline!$T$5:$T$1004,Pipeline!$B$5:$B$1004,"brand",Pipeline!$E$5:$E$1004,"paid",Pipeline!$A$5:$A$1004,"&lt;="&amp;Inputs!$C$17)</f>
        <v>0</v>
      </c>
      <c r="AI16" s="18" t="n">
        <f aca="false">Inputs!$C$17</f>
        <v>46319</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1547</v>
      </c>
      <c r="AH17" s="22" t="n">
        <f aca="false">SUMIFS(Pipeline!$T$5:$T$1004,Pipeline!$B$5:$B$1004,"brand",Pipeline!$E$5:$E$1004,"conversation",Pipeline!$A$5:$A$1004,"&lt;="&amp;Inputs!$C$17)</f>
        <v>0</v>
      </c>
      <c r="AI17" s="18" t="n">
        <f aca="false">Inputs!$C$17</f>
        <v>46319</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1548</v>
      </c>
      <c r="AH18" s="22" t="n">
        <f aca="false">COUNTIFS(Pipeline!$E$5:$E$1004,"outreach_sent",Pipeline!$A$5:$A$1004,"&lt;="&amp;Inputs!$C$17)</f>
        <v>0</v>
      </c>
      <c r="AI18" s="18" t="n">
        <f aca="false">Inputs!$C$17</f>
        <v>46319</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1549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1550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1551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1552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1553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1554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1555</v>
      </c>
    </row>
    <row r="2" customFormat="false" ht="15" hidden="false" customHeight="false" outlineLevel="0" collapsed="false">
      <c r="A2" s="2" t="s">
        <v>1556</v>
      </c>
    </row>
    <row r="3" customFormat="false" ht="30" hidden="false" customHeight="true" outlineLevel="0" collapsed="false">
      <c r="A3" s="8" t="s">
        <v>1557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1450</v>
      </c>
      <c r="B4" s="12" t="s">
        <v>323</v>
      </c>
      <c r="C4" s="12" t="s">
        <v>1558</v>
      </c>
      <c r="D4" s="12" t="s">
        <v>1559</v>
      </c>
      <c r="E4" s="12" t="s">
        <v>1560</v>
      </c>
      <c r="F4" s="12" t="s">
        <v>1561</v>
      </c>
      <c r="G4" s="12" t="s">
        <v>462</v>
      </c>
      <c r="H4" s="12" t="s">
        <v>1562</v>
      </c>
      <c r="I4" s="12" t="s">
        <v>1563</v>
      </c>
      <c r="J4" s="12" t="s">
        <v>1564</v>
      </c>
      <c r="K4" s="12" t="s">
        <v>1565</v>
      </c>
      <c r="L4" s="12" t="s">
        <v>1566</v>
      </c>
      <c r="M4" s="12" t="s">
        <v>1567</v>
      </c>
      <c r="N4" s="12" t="s">
        <v>1568</v>
      </c>
      <c r="O4" s="12" t="s">
        <v>1569</v>
      </c>
      <c r="P4" s="12" t="s">
        <v>1570</v>
      </c>
      <c r="Q4" s="12" t="s">
        <v>1571</v>
      </c>
      <c r="R4" s="12" t="s">
        <v>1572</v>
      </c>
      <c r="S4" s="12" t="s">
        <v>1573</v>
      </c>
      <c r="T4" s="12" t="s">
        <v>1574</v>
      </c>
      <c r="U4" s="12" t="s">
        <v>1575</v>
      </c>
      <c r="V4" s="12" t="s">
        <v>1576</v>
      </c>
      <c r="W4" s="12" t="s">
        <v>1577</v>
      </c>
      <c r="X4" s="12" t="s">
        <v>1578</v>
      </c>
      <c r="Y4" s="12" t="s">
        <v>1579</v>
      </c>
      <c r="Z4" s="12" t="s">
        <v>1580</v>
      </c>
      <c r="AL4" s="12" t="s">
        <v>1581</v>
      </c>
      <c r="AM4" s="12" t="s">
        <v>1582</v>
      </c>
      <c r="AN4" s="12" t="s">
        <v>1583</v>
      </c>
      <c r="AO4" s="12" t="s">
        <v>1584</v>
      </c>
      <c r="AP4" s="12" t="s">
        <v>1585</v>
      </c>
      <c r="AQ4" s="12" t="s">
        <v>1586</v>
      </c>
      <c r="AR4" s="12" t="s">
        <v>1587</v>
      </c>
    </row>
    <row r="5" customFormat="false" ht="15" hidden="false" customHeight="false" outlineLevel="0" collapsed="false">
      <c r="A5" s="103" t="s">
        <v>1454</v>
      </c>
      <c r="B5" s="103" t="s">
        <v>727</v>
      </c>
      <c r="C5" s="102" t="n">
        <v>46399</v>
      </c>
      <c r="D5" s="104" t="s">
        <v>671</v>
      </c>
      <c r="E5" s="104" t="s">
        <v>979</v>
      </c>
      <c r="F5" s="103" t="s">
        <v>1588</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1589</v>
      </c>
      <c r="W5" s="104" t="s">
        <v>804</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1456</v>
      </c>
      <c r="B6" s="103" t="s">
        <v>727</v>
      </c>
      <c r="C6" s="102" t="n">
        <v>46399</v>
      </c>
      <c r="D6" s="104" t="s">
        <v>671</v>
      </c>
      <c r="E6" s="104" t="s">
        <v>979</v>
      </c>
      <c r="F6" s="103" t="s">
        <v>1590</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1591</v>
      </c>
      <c r="W6" s="104" t="s">
        <v>821</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t="s">
        <v>1474</v>
      </c>
      <c r="B7" s="103" t="s">
        <v>981</v>
      </c>
      <c r="C7" s="102" t="n">
        <v>46427</v>
      </c>
      <c r="D7" s="104" t="s">
        <v>673</v>
      </c>
      <c r="E7" s="104" t="s">
        <v>983</v>
      </c>
      <c r="F7" s="103" t="s">
        <v>1592</v>
      </c>
      <c r="G7" s="103" t="n">
        <v>10</v>
      </c>
      <c r="H7" s="103" t="n">
        <v>510</v>
      </c>
      <c r="I7" s="103" t="n">
        <v>485</v>
      </c>
      <c r="J7" s="103" t="n">
        <v>485</v>
      </c>
      <c r="K7" s="103" t="n">
        <v>485</v>
      </c>
      <c r="L7" s="103" t="n">
        <v>0</v>
      </c>
      <c r="M7" s="103" t="n">
        <v>443</v>
      </c>
      <c r="N7" s="103" t="n">
        <v>76</v>
      </c>
      <c r="O7" s="103" t="n">
        <v>54</v>
      </c>
      <c r="P7" s="103" t="n">
        <v>83</v>
      </c>
      <c r="Q7" s="103" t="n">
        <v>17</v>
      </c>
      <c r="R7" s="106" t="n">
        <v>1500</v>
      </c>
      <c r="S7" s="102" t="n">
        <v>46434</v>
      </c>
      <c r="T7" s="106" t="n">
        <v>0</v>
      </c>
      <c r="U7" s="102" t="n">
        <v>46437</v>
      </c>
      <c r="V7" s="104" t="s">
        <v>1589</v>
      </c>
      <c r="W7" s="104" t="s">
        <v>804</v>
      </c>
      <c r="X7" s="106" t="n">
        <v>750</v>
      </c>
      <c r="Y7" s="102" t="n">
        <v>46394</v>
      </c>
      <c r="Z7" s="103" t="n">
        <v>6</v>
      </c>
      <c r="AL7" s="30" t="str">
        <f aca="false">IF(B7="","",IFERROR(INDEX(Schedule!$N$7:$N$18,MATCH(B7,Schedule!$A$7:$A$18,0)),"not in schedule"))</f>
        <v>Y</v>
      </c>
      <c r="AM7" s="19" t="n">
        <f aca="false">IF(B7="","",N(R7)-N(X7))</f>
        <v>750</v>
      </c>
      <c r="AN7" s="95" t="n">
        <f aca="false">IF(B7="","",IF(Z7&lt;&gt;"",Z7,IF(N(G7)&gt;0,N(N7)/G7,"")))</f>
        <v>6</v>
      </c>
      <c r="AO7" s="18" t="n">
        <f aca="false">IF(OR(B7="",C7=""),"",WORKDAY(C7,Inputs!$C$132,Lists!$N$4:$N$30))</f>
        <v>46437</v>
      </c>
      <c r="AP7" s="30" t="str">
        <f aca="false">IF(B7="","",IF(U7="","missing",IF(U7&gt;AO7,"Y","N")))</f>
        <v>N</v>
      </c>
      <c r="AQ7" s="30" t="n">
        <f aca="false">IF(OR(W7="Y",W7="N"),IF(F7="",1,IF(COUNTIFS(F$5:F7,F7,W$5:W7,"Y")+COUNTIFS(F$5:F7,F7,W$5:W7,"N")=1,1,0)),0)</f>
        <v>1</v>
      </c>
      <c r="AR7" s="30" t="n">
        <f aca="false">IF(W7="Y",IF(F7="",1,IF(COUNTIFS(F$5:F7,F7,W$5:W7,"Y")=1,1,0)),0)</f>
        <v>1</v>
      </c>
    </row>
    <row r="8" customFormat="false" ht="15" hidden="false" customHeight="false" outlineLevel="0" collapsed="false">
      <c r="A8" s="103" t="s">
        <v>1477</v>
      </c>
      <c r="B8" s="103" t="s">
        <v>981</v>
      </c>
      <c r="C8" s="102" t="n">
        <v>46427</v>
      </c>
      <c r="D8" s="104" t="s">
        <v>673</v>
      </c>
      <c r="E8" s="104" t="s">
        <v>983</v>
      </c>
      <c r="F8" s="103" t="s">
        <v>1593</v>
      </c>
      <c r="G8" s="103" t="n">
        <v>9</v>
      </c>
      <c r="H8" s="103" t="n">
        <v>501</v>
      </c>
      <c r="I8" s="103" t="n">
        <v>455</v>
      </c>
      <c r="J8" s="103" t="n">
        <v>455</v>
      </c>
      <c r="K8" s="103" t="n">
        <v>455</v>
      </c>
      <c r="L8" s="103" t="n">
        <v>6</v>
      </c>
      <c r="M8" s="103" t="n">
        <v>428</v>
      </c>
      <c r="N8" s="103" t="n">
        <v>71</v>
      </c>
      <c r="O8" s="103" t="n">
        <v>55</v>
      </c>
      <c r="P8" s="103" t="n">
        <v>71</v>
      </c>
      <c r="Q8" s="103" t="n">
        <v>8</v>
      </c>
      <c r="R8" s="106" t="n">
        <v>1350</v>
      </c>
      <c r="S8" s="102" t="n">
        <v>46435</v>
      </c>
      <c r="T8" s="106" t="n">
        <v>0</v>
      </c>
      <c r="U8" s="102" t="n">
        <v>46437</v>
      </c>
      <c r="V8" s="104" t="s">
        <v>1591</v>
      </c>
      <c r="W8" s="104" t="s">
        <v>1594</v>
      </c>
      <c r="X8" s="106" t="n">
        <v>750</v>
      </c>
      <c r="Y8" s="102" t="n">
        <v>46398</v>
      </c>
      <c r="Z8" s="103" t="n">
        <v>6</v>
      </c>
      <c r="AL8" s="30" t="str">
        <f aca="false">IF(B8="","",IFERROR(INDEX(Schedule!$N$7:$N$18,MATCH(B8,Schedule!$A$7:$A$18,0)),"not in schedule"))</f>
        <v>Y</v>
      </c>
      <c r="AM8" s="19" t="n">
        <f aca="false">IF(B8="","",N(R8)-N(X8))</f>
        <v>600</v>
      </c>
      <c r="AN8" s="95" t="n">
        <f aca="false">IF(B8="","",IF(Z8&lt;&gt;"",Z8,IF(N(G8)&gt;0,N(N8)/G8,"")))</f>
        <v>6</v>
      </c>
      <c r="AO8" s="18" t="n">
        <f aca="false">IF(OR(B8="",C8=""),"",WORKDAY(C8,Inputs!$C$132,Lists!$N$4:$N$30))</f>
        <v>46437</v>
      </c>
      <c r="AP8" s="30" t="str">
        <f aca="false">IF(B8="","",IF(U8="","missing",IF(U8&gt;AO8,"Y","N")))</f>
        <v>N</v>
      </c>
      <c r="AQ8" s="30" t="n">
        <f aca="false">IF(OR(W8="Y",W8="N"),IF(F8="",1,IF(COUNTIFS(F$5:F8,F8,W$5:W8,"Y")+COUNTIFS(F$5:F8,F8,W$5:W8,"N")=1,1,0)),0)</f>
        <v>0</v>
      </c>
      <c r="AR8" s="30" t="n">
        <f aca="false">IF(W8="Y",IF(F8="",1,IF(COUNTIFS(F$5:F8,F8,W$5:W8,"Y")=1,1,0)),0)</f>
        <v>0</v>
      </c>
    </row>
    <row r="9" customFormat="false" ht="15" hidden="false" customHeight="false" outlineLevel="0" collapsed="false">
      <c r="A9" s="103" t="s">
        <v>1480</v>
      </c>
      <c r="B9" s="103" t="s">
        <v>981</v>
      </c>
      <c r="C9" s="102" t="n">
        <v>46427</v>
      </c>
      <c r="D9" s="104" t="s">
        <v>673</v>
      </c>
      <c r="E9" s="104" t="s">
        <v>983</v>
      </c>
      <c r="F9" s="103" t="s">
        <v>1595</v>
      </c>
      <c r="G9" s="103" t="n">
        <v>10</v>
      </c>
      <c r="H9" s="103" t="n">
        <v>567</v>
      </c>
      <c r="I9" s="103" t="n">
        <v>515</v>
      </c>
      <c r="J9" s="103" t="n">
        <v>515</v>
      </c>
      <c r="K9" s="103" t="n">
        <v>515</v>
      </c>
      <c r="L9" s="103" t="n">
        <v>12</v>
      </c>
      <c r="M9" s="103" t="n">
        <v>474</v>
      </c>
      <c r="N9" s="103" t="n">
        <v>77</v>
      </c>
      <c r="O9" s="103" t="n">
        <v>51</v>
      </c>
      <c r="P9" s="103" t="n">
        <v>79</v>
      </c>
      <c r="Q9" s="103" t="n">
        <v>21</v>
      </c>
      <c r="R9" s="106" t="n">
        <v>1500</v>
      </c>
      <c r="S9" s="102" t="n">
        <v>46430</v>
      </c>
      <c r="T9" s="106" t="n">
        <v>0</v>
      </c>
      <c r="U9" s="102" t="n">
        <v>46437</v>
      </c>
      <c r="V9" s="104" t="s">
        <v>1589</v>
      </c>
      <c r="W9" s="104" t="s">
        <v>1594</v>
      </c>
      <c r="X9" s="106" t="n">
        <v>750</v>
      </c>
      <c r="Y9" s="102" t="n">
        <v>46399</v>
      </c>
      <c r="Z9" s="103" t="n">
        <v>4</v>
      </c>
      <c r="AL9" s="30" t="str">
        <f aca="false">IF(B9="","",IFERROR(INDEX(Schedule!$N$7:$N$18,MATCH(B9,Schedule!$A$7:$A$18,0)),"not in schedule"))</f>
        <v>Y</v>
      </c>
      <c r="AM9" s="19" t="n">
        <f aca="false">IF(B9="","",N(R9)-N(X9))</f>
        <v>750</v>
      </c>
      <c r="AN9" s="95" t="n">
        <f aca="false">IF(B9="","",IF(Z9&lt;&gt;"",Z9,IF(N(G9)&gt;0,N(N9)/G9,"")))</f>
        <v>4</v>
      </c>
      <c r="AO9" s="18" t="n">
        <f aca="false">IF(OR(B9="",C9=""),"",WORKDAY(C9,Inputs!$C$132,Lists!$N$4:$N$30))</f>
        <v>46437</v>
      </c>
      <c r="AP9" s="30" t="str">
        <f aca="false">IF(B9="","",IF(U9="","missing",IF(U9&gt;AO9,"Y","N")))</f>
        <v>N</v>
      </c>
      <c r="AQ9" s="30" t="n">
        <f aca="false">IF(OR(W9="Y",W9="N"),IF(F9="",1,IF(COUNTIFS(F$5:F9,F9,W$5:W9,"Y")+COUNTIFS(F$5:F9,F9,W$5:W9,"N")=1,1,0)),0)</f>
        <v>0</v>
      </c>
      <c r="AR9" s="30" t="n">
        <f aca="false">IF(W9="Y",IF(F9="",1,IF(COUNTIFS(F$5:F9,F9,W$5:W9,"Y")=1,1,0)),0)</f>
        <v>0</v>
      </c>
    </row>
    <row r="10" customFormat="false" ht="15" hidden="false" customHeight="false" outlineLevel="0" collapsed="false">
      <c r="A10" s="103" t="s">
        <v>1487</v>
      </c>
      <c r="B10" s="103" t="s">
        <v>985</v>
      </c>
      <c r="C10" s="102" t="n">
        <v>46441</v>
      </c>
      <c r="D10" s="104" t="s">
        <v>673</v>
      </c>
      <c r="E10" s="104" t="s">
        <v>983</v>
      </c>
      <c r="F10" s="103" t="s">
        <v>1596</v>
      </c>
      <c r="G10" s="103" t="n">
        <v>10</v>
      </c>
      <c r="H10" s="103" t="n">
        <v>480</v>
      </c>
      <c r="I10" s="103" t="n">
        <v>425</v>
      </c>
      <c r="J10" s="103" t="n">
        <v>425</v>
      </c>
      <c r="K10" s="103" t="n">
        <v>425</v>
      </c>
      <c r="L10" s="103" t="n">
        <v>12</v>
      </c>
      <c r="M10" s="103"/>
      <c r="N10" s="103" t="n">
        <v>62</v>
      </c>
      <c r="O10" s="103" t="n">
        <v>49</v>
      </c>
      <c r="P10" s="103" t="n">
        <v>71</v>
      </c>
      <c r="Q10" s="103" t="n">
        <v>13</v>
      </c>
      <c r="R10" s="106" t="n">
        <v>1350</v>
      </c>
      <c r="S10" s="102" t="n">
        <v>46444</v>
      </c>
      <c r="T10" s="106" t="n">
        <v>0</v>
      </c>
      <c r="U10" s="102" t="n">
        <v>46450</v>
      </c>
      <c r="V10" s="104" t="s">
        <v>1589</v>
      </c>
      <c r="W10" s="104" t="s">
        <v>1594</v>
      </c>
      <c r="X10" s="106" t="n">
        <v>750</v>
      </c>
      <c r="Y10" s="102" t="n">
        <v>46415</v>
      </c>
      <c r="Z10" s="103" t="n">
        <v>0</v>
      </c>
      <c r="AL10" s="30" t="str">
        <f aca="false">IF(B10="","",IFERROR(INDEX(Schedule!$N$7:$N$18,MATCH(B10,Schedule!$A$7:$A$18,0)),"not in schedule"))</f>
        <v>Y</v>
      </c>
      <c r="AM10" s="19" t="n">
        <f aca="false">IF(B10="","",N(R10)-N(X10))</f>
        <v>600</v>
      </c>
      <c r="AN10" s="95" t="n">
        <f aca="false">IF(B10="","",IF(Z10&lt;&gt;"",Z10,IF(N(G10)&gt;0,N(N10)/G10,"")))</f>
        <v>0</v>
      </c>
      <c r="AO10" s="18" t="n">
        <f aca="false">IF(OR(B10="",C10=""),"",WORKDAY(C10,Inputs!$C$132,Lists!$N$4:$N$30))</f>
        <v>46450</v>
      </c>
      <c r="AP10" s="30" t="str">
        <f aca="false">IF(B10="","",IF(U10="","missing",IF(U10&gt;AO10,"Y","N")))</f>
        <v>N</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1597</v>
      </c>
    </row>
    <row r="2" customFormat="false" ht="15" hidden="false" customHeight="false" outlineLevel="0" collapsed="false">
      <c r="A2" s="2" t="s">
        <v>1598</v>
      </c>
    </row>
    <row r="4" customFormat="false" ht="31.5" hidden="false" customHeight="true" outlineLevel="0" collapsed="false">
      <c r="A4" s="12" t="s">
        <v>323</v>
      </c>
      <c r="B4" s="12" t="s">
        <v>1558</v>
      </c>
      <c r="C4" s="12" t="s">
        <v>1559</v>
      </c>
      <c r="D4" s="12" t="s">
        <v>462</v>
      </c>
      <c r="E4" s="12" t="s">
        <v>479</v>
      </c>
      <c r="F4" s="12" t="s">
        <v>1599</v>
      </c>
      <c r="G4" s="12" t="s">
        <v>1600</v>
      </c>
      <c r="H4" s="12" t="s">
        <v>1601</v>
      </c>
      <c r="I4" s="12" t="s">
        <v>1520</v>
      </c>
      <c r="U4" s="12" t="s">
        <v>1581</v>
      </c>
    </row>
    <row r="5" customFormat="false" ht="15" hidden="false" customHeight="false" outlineLevel="0" collapsed="false">
      <c r="A5" s="103" t="s">
        <v>727</v>
      </c>
      <c r="B5" s="102" t="n">
        <v>46399</v>
      </c>
      <c r="C5" s="104" t="s">
        <v>671</v>
      </c>
      <c r="D5" s="103" t="n">
        <v>5</v>
      </c>
      <c r="E5" s="103" t="n">
        <v>2</v>
      </c>
      <c r="F5" s="106" t="n">
        <v>80</v>
      </c>
      <c r="G5" s="106" t="n">
        <v>63</v>
      </c>
      <c r="H5" s="106" t="n">
        <v>9</v>
      </c>
      <c r="I5" s="103" t="s">
        <v>1602</v>
      </c>
      <c r="U5" s="30" t="str">
        <f aca="false">IF(A5="","",IFERROR(INDEX(Schedule!$N$7:$N$18,MATCH(A5,Schedule!$A$7:$A$18,0)),"not in schedule"))</f>
        <v>Y</v>
      </c>
    </row>
    <row r="6" customFormat="false" ht="15" hidden="false" customHeight="false" outlineLevel="0" collapsed="false">
      <c r="A6" s="103" t="s">
        <v>981</v>
      </c>
      <c r="B6" s="102" t="n">
        <v>46427</v>
      </c>
      <c r="C6" s="104" t="s">
        <v>673</v>
      </c>
      <c r="D6" s="103" t="n">
        <v>10</v>
      </c>
      <c r="E6" s="103" t="n">
        <v>3</v>
      </c>
      <c r="F6" s="106" t="n">
        <v>232</v>
      </c>
      <c r="G6" s="106" t="n">
        <v>358</v>
      </c>
      <c r="H6" s="106" t="n">
        <v>0</v>
      </c>
      <c r="I6" s="103" t="s">
        <v>1603</v>
      </c>
      <c r="U6" s="30" t="str">
        <f aca="false">IF(A6="","",IFERROR(INDEX(Schedule!$N$7:$N$18,MATCH(A6,Schedule!$A$7:$A$18,0)),"not in schedule"))</f>
        <v>Y</v>
      </c>
    </row>
    <row r="7" customFormat="false" ht="15" hidden="false" customHeight="false" outlineLevel="0" collapsed="false">
      <c r="A7" s="103" t="s">
        <v>985</v>
      </c>
      <c r="B7" s="102" t="n">
        <v>46441</v>
      </c>
      <c r="C7" s="104" t="s">
        <v>673</v>
      </c>
      <c r="D7" s="103" t="n">
        <v>10</v>
      </c>
      <c r="E7" s="103" t="n">
        <v>1</v>
      </c>
      <c r="F7" s="106" t="n">
        <v>80</v>
      </c>
      <c r="G7" s="106" t="n">
        <v>300</v>
      </c>
      <c r="H7" s="106" t="n">
        <v>0</v>
      </c>
      <c r="I7" s="103" t="s">
        <v>1604</v>
      </c>
      <c r="U7" s="30" t="str">
        <f aca="false">IF(A7="","",IFERROR(INDEX(Schedule!$N$7:$N$18,MATCH(A7,Schedule!$A$7:$A$18,0)),"not in schedule"))</f>
        <v>Y</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1605</v>
      </c>
    </row>
    <row r="2" customFormat="false" ht="15" hidden="false" customHeight="false" outlineLevel="0" collapsed="false">
      <c r="A2" s="2" t="s">
        <v>1606</v>
      </c>
    </row>
    <row r="3" customFormat="false" ht="30" hidden="false" customHeight="true" outlineLevel="0" collapsed="false">
      <c r="A3" s="8" t="s">
        <v>1607</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323</v>
      </c>
      <c r="B6" s="12" t="s">
        <v>325</v>
      </c>
      <c r="C6" s="12" t="s">
        <v>1069</v>
      </c>
      <c r="D6" s="12" t="s">
        <v>330</v>
      </c>
      <c r="E6" s="12" t="s">
        <v>1017</v>
      </c>
      <c r="F6" s="12" t="s">
        <v>1014</v>
      </c>
      <c r="G6" s="12" t="s">
        <v>1016</v>
      </c>
      <c r="H6" s="12" t="s">
        <v>1608</v>
      </c>
      <c r="I6" s="12" t="s">
        <v>1609</v>
      </c>
      <c r="J6" s="12" t="s">
        <v>331</v>
      </c>
      <c r="K6" s="12" t="s">
        <v>1025</v>
      </c>
      <c r="L6" s="12" t="s">
        <v>1026</v>
      </c>
      <c r="M6" s="12" t="s">
        <v>1027</v>
      </c>
      <c r="N6" s="12" t="s">
        <v>1028</v>
      </c>
      <c r="O6" s="12" t="s">
        <v>1029</v>
      </c>
      <c r="P6" s="12" t="s">
        <v>1030</v>
      </c>
      <c r="Q6" s="12" t="s">
        <v>1031</v>
      </c>
      <c r="R6" s="12" t="s">
        <v>332</v>
      </c>
      <c r="S6" s="12" t="s">
        <v>333</v>
      </c>
      <c r="T6" s="12" t="s">
        <v>1032</v>
      </c>
      <c r="U6" s="12" t="s">
        <v>1562</v>
      </c>
      <c r="V6" s="12" t="s">
        <v>1563</v>
      </c>
      <c r="W6" s="12" t="s">
        <v>1564</v>
      </c>
      <c r="X6" s="12" t="s">
        <v>1565</v>
      </c>
      <c r="Y6" s="12" t="s">
        <v>1566</v>
      </c>
      <c r="Z6" s="12" t="s">
        <v>1567</v>
      </c>
      <c r="AA6" s="12" t="s">
        <v>1568</v>
      </c>
      <c r="AB6" s="12" t="s">
        <v>1569</v>
      </c>
      <c r="AC6" s="12" t="s">
        <v>1570</v>
      </c>
      <c r="AD6" s="12" t="s">
        <v>1571</v>
      </c>
      <c r="AE6" s="12" t="s">
        <v>1610</v>
      </c>
      <c r="AF6" s="12" t="s">
        <v>1611</v>
      </c>
      <c r="AG6" s="12" t="s">
        <v>1612</v>
      </c>
      <c r="AH6" s="12" t="s">
        <v>1613</v>
      </c>
      <c r="AI6" s="12" t="s">
        <v>1614</v>
      </c>
      <c r="AJ6" s="12" t="s">
        <v>1615</v>
      </c>
      <c r="AK6" s="12" t="s">
        <v>1616</v>
      </c>
      <c r="AL6" s="12" t="s">
        <v>1617</v>
      </c>
      <c r="AM6" s="12" t="s">
        <v>1618</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1619</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Y</v>
      </c>
      <c r="D8" s="19" t="n">
        <f aca="false">SUMIFS(Actuals_Campaigns!$R$5:$R$204,Actuals_Campaigns!$B$5:$B$204,A8)</f>
        <v>4350</v>
      </c>
      <c r="E8" s="19" t="n">
        <f aca="false">SUMIFS(Actuals_Campaigns!$T$5:$T$204,Actuals_Campaigns!$B$5:$B$204,A8)</f>
        <v>0</v>
      </c>
      <c r="F8" s="19" t="n">
        <f aca="false">SUMIFS(Actuals_DropCosts!$F$5:$F$104,Actuals_DropCosts!$A$5:$A$104,A8)</f>
        <v>232</v>
      </c>
      <c r="G8" s="19" t="n">
        <f aca="false">SUMIFS(Actuals_DropCosts!$G$5:$G$104,Actuals_DropCosts!$A$5:$A$104,A8)</f>
        <v>358</v>
      </c>
      <c r="H8" s="19" t="n">
        <f aca="false">SUMIFS(Actuals_DropCosts!$H$5:$H$104,Actuals_DropCosts!$A$5:$A$104,A8)</f>
        <v>0</v>
      </c>
      <c r="I8" s="19" t="n">
        <f aca="false">IF(OR(C8="Y",AF8&gt;0,F8+G8+H8&gt;0),Drop_PnL!AM8,0)</f>
        <v>155</v>
      </c>
      <c r="J8" s="37" t="n">
        <f aca="false">SUM(E8:I8)</f>
        <v>745</v>
      </c>
      <c r="K8" s="36" t="n">
        <f aca="false">Hours_Log!R6</f>
        <v>18</v>
      </c>
      <c r="L8" s="36" t="n">
        <f aca="false">Hours_Log!S6</f>
        <v>10</v>
      </c>
      <c r="M8" s="36" t="n">
        <f aca="false">Hours_Log!T6</f>
        <v>4</v>
      </c>
      <c r="N8" s="36" t="n">
        <f aca="false">Hours_Log!U6</f>
        <v>8</v>
      </c>
      <c r="O8" s="36" t="n">
        <f aca="false">Hours_Log!V6</f>
        <v>4</v>
      </c>
      <c r="P8" s="36" t="n">
        <f aca="false">Hours_Log!W6</f>
        <v>6</v>
      </c>
      <c r="Q8" s="36" t="n">
        <f aca="false">Hours_Log!X6</f>
        <v>2</v>
      </c>
      <c r="R8" s="38" t="n">
        <f aca="false">SUM(K8:Q8)</f>
        <v>52</v>
      </c>
      <c r="S8" s="37" t="n">
        <f aca="false">IF(AND(NOT(OR(C8="Y",AF8&gt;0,F8+G8+H8&gt;0)),R8=0),"",D8-J8)</f>
        <v>3605</v>
      </c>
      <c r="T8" s="29" t="n">
        <f aca="false">IF(S8="","",IF(R8&gt;0,S8/R8,"n/a"))</f>
        <v>69.3269230769231</v>
      </c>
      <c r="U8" s="24" t="n">
        <f aca="false">SUMIFS(Actuals_Campaigns!$H$5:$H$204,Actuals_Campaigns!$B$5:$B$204,A8)</f>
        <v>1578</v>
      </c>
      <c r="V8" s="24" t="n">
        <f aca="false">SUMIFS(Actuals_Campaigns!$I$5:$I$204,Actuals_Campaigns!$B$5:$B$204,A8)</f>
        <v>1455</v>
      </c>
      <c r="W8" s="24" t="n">
        <f aca="false">SUMIFS(Actuals_Campaigns!$J$5:$J$204,Actuals_Campaigns!$B$5:$B$204,A8)</f>
        <v>1455</v>
      </c>
      <c r="X8" s="24" t="n">
        <f aca="false">SUMIFS(Actuals_Campaigns!$K$5:$K$204,Actuals_Campaigns!$B$5:$B$204,A8)</f>
        <v>1455</v>
      </c>
      <c r="Y8" s="24" t="n">
        <f aca="false">SUMIFS(Actuals_Campaigns!$L$5:$L$204,Actuals_Campaigns!$B$5:$B$204,A8)</f>
        <v>18</v>
      </c>
      <c r="Z8" s="24" t="n">
        <f aca="false">SUMIFS(Actuals_Campaigns!$M$5:$M$204,Actuals_Campaigns!$B$5:$B$204,A8)</f>
        <v>1345</v>
      </c>
      <c r="AA8" s="24" t="n">
        <f aca="false">SUMIFS(Actuals_Campaigns!$N$5:$N$204,Actuals_Campaigns!$B$5:$B$204,A8)</f>
        <v>224</v>
      </c>
      <c r="AB8" s="24" t="n">
        <f aca="false">SUMIFS(Actuals_Campaigns!$O$5:$O$204,Actuals_Campaigns!$B$5:$B$204,A8)</f>
        <v>160</v>
      </c>
      <c r="AC8" s="24" t="n">
        <f aca="false">SUMIFS(Actuals_Campaigns!$P$5:$P$204,Actuals_Campaigns!$B$5:$B$204,A8)</f>
        <v>233</v>
      </c>
      <c r="AD8" s="24" t="n">
        <f aca="false">SUMIFS(Actuals_Campaigns!$Q$5:$Q$204,Actuals_Campaigns!$B$5:$B$204,A8)</f>
        <v>46</v>
      </c>
      <c r="AE8" s="32" t="s">
        <v>1619</v>
      </c>
      <c r="AF8" s="21" t="n">
        <f aca="false">COUNTIF(Actuals_Campaigns!$B$5:$B$204,A8)</f>
        <v>3</v>
      </c>
      <c r="AG8" s="26" t="n">
        <f aca="false">IF(V8&gt;0,X8/V8,"")</f>
        <v>1</v>
      </c>
      <c r="AH8" s="21" t="n">
        <f aca="false">IF(AF8=0,"",COUNTIFS(Actuals_Campaigns!$B$5:$B$204,A8,Actuals_Campaigns!$AN$5:$AN$204,"&lt;"&amp;Inputs!$C$131))</f>
        <v>1</v>
      </c>
      <c r="AI8" s="21" t="n">
        <f aca="false">IF(AF8=0,"",COUNTIFS(Actuals_Campaigns!$B$5:$B$204,A8,Actuals_Campaigns!$AP$5:$AP$204,"Y")+COUNTIFS(Actuals_Campaigns!$B$5:$B$204,A8,Actuals_Campaigns!$AP$5:$AP$204,"missing"))</f>
        <v>0</v>
      </c>
      <c r="AJ8" s="21" t="n">
        <f aca="false">IF(AF8=0,"",COUNTIFS(Actuals_Campaigns!$B$5:$B$204,A8,Actuals_Campaigns!$V$5:$V$204,"yes"))</f>
        <v>2</v>
      </c>
      <c r="AK8" s="21" t="n">
        <f aca="false">COUNTIFS(Actuals_Campaigns!$B$5:$B$204,A8,Actuals_Campaigns!$W$5:$W$204,"Y")</f>
        <v>1</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3760</v>
      </c>
    </row>
    <row r="9" customFormat="false" ht="15" hidden="false" customHeight="false" outlineLevel="0" collapsed="false">
      <c r="A9" s="30" t="str">
        <f aca="false">Drop_PnL!A9</f>
        <v>DRP-003</v>
      </c>
      <c r="B9" s="18" t="n">
        <f aca="false">Drop_PnL!B9</f>
        <v>46441</v>
      </c>
      <c r="C9" s="30" t="str">
        <f aca="false">Drop_PnL!AZ9</f>
        <v>Y</v>
      </c>
      <c r="D9" s="19" t="n">
        <f aca="false">SUMIFS(Actuals_Campaigns!$R$5:$R$204,Actuals_Campaigns!$B$5:$B$204,A9)</f>
        <v>1350</v>
      </c>
      <c r="E9" s="19" t="n">
        <f aca="false">SUMIFS(Actuals_Campaigns!$T$5:$T$204,Actuals_Campaigns!$B$5:$B$204,A9)</f>
        <v>0</v>
      </c>
      <c r="F9" s="19" t="n">
        <f aca="false">SUMIFS(Actuals_DropCosts!$F$5:$F$104,Actuals_DropCosts!$A$5:$A$104,A9)</f>
        <v>80</v>
      </c>
      <c r="G9" s="19" t="n">
        <f aca="false">SUMIFS(Actuals_DropCosts!$G$5:$G$104,Actuals_DropCosts!$A$5:$A$104,A9)</f>
        <v>300</v>
      </c>
      <c r="H9" s="19" t="n">
        <f aca="false">SUMIFS(Actuals_DropCosts!$H$5:$H$104,Actuals_DropCosts!$A$5:$A$104,A9)</f>
        <v>0</v>
      </c>
      <c r="I9" s="19" t="n">
        <f aca="false">IF(OR(C9="Y",AF9&gt;0,F9+G9+H9&gt;0),Drop_PnL!AM9,0)</f>
        <v>155</v>
      </c>
      <c r="J9" s="37" t="n">
        <f aca="false">SUM(E9:I9)</f>
        <v>535</v>
      </c>
      <c r="K9" s="36" t="n">
        <f aca="false">Hours_Log!R7</f>
        <v>6</v>
      </c>
      <c r="L9" s="36" t="n">
        <f aca="false">Hours_Log!S7</f>
        <v>1.5</v>
      </c>
      <c r="M9" s="36" t="n">
        <f aca="false">Hours_Log!T7</f>
        <v>3</v>
      </c>
      <c r="N9" s="36" t="n">
        <f aca="false">Hours_Log!U7</f>
        <v>4</v>
      </c>
      <c r="O9" s="36" t="n">
        <f aca="false">Hours_Log!V7</f>
        <v>3</v>
      </c>
      <c r="P9" s="36" t="n">
        <f aca="false">Hours_Log!W7</f>
        <v>2</v>
      </c>
      <c r="Q9" s="36" t="n">
        <f aca="false">Hours_Log!X7</f>
        <v>1</v>
      </c>
      <c r="R9" s="38" t="n">
        <f aca="false">SUM(K9:Q9)</f>
        <v>20.5</v>
      </c>
      <c r="S9" s="37" t="n">
        <f aca="false">IF(AND(NOT(OR(C9="Y",AF9&gt;0,F9+G9+H9&gt;0)),R9=0),"",D9-J9)</f>
        <v>815</v>
      </c>
      <c r="T9" s="29" t="n">
        <f aca="false">IF(S9="","",IF(R9&gt;0,S9/R9,"n/a"))</f>
        <v>39.7560975609756</v>
      </c>
      <c r="U9" s="24" t="n">
        <f aca="false">SUMIFS(Actuals_Campaigns!$H$5:$H$204,Actuals_Campaigns!$B$5:$B$204,A9)</f>
        <v>480</v>
      </c>
      <c r="V9" s="24" t="n">
        <f aca="false">SUMIFS(Actuals_Campaigns!$I$5:$I$204,Actuals_Campaigns!$B$5:$B$204,A9)</f>
        <v>425</v>
      </c>
      <c r="W9" s="24" t="n">
        <f aca="false">SUMIFS(Actuals_Campaigns!$J$5:$J$204,Actuals_Campaigns!$B$5:$B$204,A9)</f>
        <v>425</v>
      </c>
      <c r="X9" s="24" t="n">
        <f aca="false">SUMIFS(Actuals_Campaigns!$K$5:$K$204,Actuals_Campaigns!$B$5:$B$204,A9)</f>
        <v>425</v>
      </c>
      <c r="Y9" s="24" t="n">
        <f aca="false">SUMIFS(Actuals_Campaigns!$L$5:$L$204,Actuals_Campaigns!$B$5:$B$204,A9)</f>
        <v>12</v>
      </c>
      <c r="Z9" s="24" t="n">
        <f aca="false">SUMIFS(Actuals_Campaigns!$M$5:$M$204,Actuals_Campaigns!$B$5:$B$204,A9)</f>
        <v>0</v>
      </c>
      <c r="AA9" s="24" t="n">
        <f aca="false">SUMIFS(Actuals_Campaigns!$N$5:$N$204,Actuals_Campaigns!$B$5:$B$204,A9)</f>
        <v>62</v>
      </c>
      <c r="AB9" s="24" t="n">
        <f aca="false">SUMIFS(Actuals_Campaigns!$O$5:$O$204,Actuals_Campaigns!$B$5:$B$204,A9)</f>
        <v>49</v>
      </c>
      <c r="AC9" s="24" t="n">
        <f aca="false">SUMIFS(Actuals_Campaigns!$P$5:$P$204,Actuals_Campaigns!$B$5:$B$204,A9)</f>
        <v>71</v>
      </c>
      <c r="AD9" s="24" t="n">
        <f aca="false">SUMIFS(Actuals_Campaigns!$Q$5:$Q$204,Actuals_Campaigns!$B$5:$B$204,A9)</f>
        <v>13</v>
      </c>
      <c r="AE9" s="32" t="s">
        <v>1619</v>
      </c>
      <c r="AF9" s="21" t="n">
        <f aca="false">COUNTIF(Actuals_Campaigns!$B$5:$B$204,A9)</f>
        <v>1</v>
      </c>
      <c r="AG9" s="26" t="n">
        <f aca="false">IF(V9&gt;0,X9/V9,"")</f>
        <v>1</v>
      </c>
      <c r="AH9" s="21" t="n">
        <f aca="false">IF(AF9=0,"",COUNTIFS(Actuals_Campaigns!$B$5:$B$204,A9,Actuals_Campaigns!$AN$5:$AN$204,"&lt;"&amp;Inputs!$C$131))</f>
        <v>1</v>
      </c>
      <c r="AI9" s="21" t="n">
        <f aca="false">IF(AF9=0,"",COUNTIFS(Actuals_Campaigns!$B$5:$B$204,A9,Actuals_Campaigns!$AP$5:$AP$204,"Y")+COUNTIFS(Actuals_Campaigns!$B$5:$B$204,A9,Actuals_Campaigns!$AP$5:$AP$204,"missing"))</f>
        <v>0</v>
      </c>
      <c r="AJ9" s="21" t="n">
        <f aca="false">IF(AF9=0,"",COUNTIFS(Actuals_Campaigns!$B$5:$B$204,A9,Actuals_Campaigns!$V$5:$V$204,"yes"))</f>
        <v>1</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970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1619</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1619</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1619</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1619</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1619</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1619</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1619</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1619</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1619</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1620</v>
      </c>
    </row>
    <row r="2" customFormat="false" ht="15" hidden="false" customHeight="false" outlineLevel="0" collapsed="false">
      <c r="A2" s="2" t="s">
        <v>1621</v>
      </c>
    </row>
    <row r="3" customFormat="false" ht="30" hidden="false" customHeight="true" outlineLevel="0" collapsed="false">
      <c r="A3" s="8" t="s">
        <v>1622</v>
      </c>
      <c r="B3" s="8"/>
      <c r="C3" s="8"/>
      <c r="D3" s="8"/>
      <c r="E3" s="8"/>
    </row>
    <row r="4" customFormat="false" ht="30" hidden="false" customHeight="true" outlineLevel="0" collapsed="false">
      <c r="A4" s="12" t="s">
        <v>1623</v>
      </c>
      <c r="B4" s="12" t="s">
        <v>1624</v>
      </c>
      <c r="C4" s="12" t="s">
        <v>365</v>
      </c>
      <c r="D4" s="12" t="s">
        <v>1625</v>
      </c>
      <c r="E4" s="12" t="s">
        <v>1626</v>
      </c>
    </row>
    <row r="5" customFormat="false" ht="15" hidden="false" customHeight="false" outlineLevel="0" collapsed="false">
      <c r="A5" s="30" t="s">
        <v>1627</v>
      </c>
      <c r="B5" s="30" t="n">
        <v>1</v>
      </c>
      <c r="C5" s="18" t="n">
        <f aca="false">EDATE(Inputs!$C$80,B5-1)</f>
        <v>46321</v>
      </c>
      <c r="D5" s="19" t="n">
        <f aca="false">IF(AND(C5&gt;=Inputs!$C$10,C5&lt;=Cash_Flow!$AB$6),Inputs!$C$79,0)</f>
        <v>60</v>
      </c>
      <c r="E5" s="32" t="s">
        <v>1628</v>
      </c>
    </row>
    <row r="6" customFormat="false" ht="15" hidden="false" customHeight="false" outlineLevel="0" collapsed="false">
      <c r="A6" s="30" t="s">
        <v>1627</v>
      </c>
      <c r="B6" s="30" t="n">
        <v>2</v>
      </c>
      <c r="C6" s="18" t="n">
        <f aca="false">EDATE(Inputs!$C$80,B6-1)</f>
        <v>46352</v>
      </c>
      <c r="D6" s="19" t="n">
        <f aca="false">IF(AND(C6&gt;=Inputs!$C$10,C6&lt;=Cash_Flow!$AB$6),Inputs!$C$79,0)</f>
        <v>60</v>
      </c>
      <c r="E6" s="32" t="s">
        <v>1628</v>
      </c>
    </row>
    <row r="7" customFormat="false" ht="15" hidden="false" customHeight="false" outlineLevel="0" collapsed="false">
      <c r="A7" s="30" t="s">
        <v>1627</v>
      </c>
      <c r="B7" s="30" t="n">
        <v>3</v>
      </c>
      <c r="C7" s="18" t="n">
        <f aca="false">EDATE(Inputs!$C$80,B7-1)</f>
        <v>46382</v>
      </c>
      <c r="D7" s="19" t="n">
        <f aca="false">IF(AND(C7&gt;=Inputs!$C$10,C7&lt;=Cash_Flow!$AB$6),Inputs!$C$79,0)</f>
        <v>60</v>
      </c>
      <c r="E7" s="32" t="s">
        <v>1628</v>
      </c>
    </row>
    <row r="8" customFormat="false" ht="15" hidden="false" customHeight="false" outlineLevel="0" collapsed="false">
      <c r="A8" s="30" t="s">
        <v>1627</v>
      </c>
      <c r="B8" s="30" t="n">
        <v>4</v>
      </c>
      <c r="C8" s="18" t="n">
        <f aca="false">EDATE(Inputs!$C$80,B8-1)</f>
        <v>46413</v>
      </c>
      <c r="D8" s="19" t="n">
        <f aca="false">IF(AND(C8&gt;=Inputs!$C$10,C8&lt;=Cash_Flow!$AB$6),Inputs!$C$79,0)</f>
        <v>60</v>
      </c>
      <c r="E8" s="32" t="s">
        <v>1628</v>
      </c>
    </row>
    <row r="9" customFormat="false" ht="15" hidden="false" customHeight="false" outlineLevel="0" collapsed="false">
      <c r="A9" s="30" t="s">
        <v>1627</v>
      </c>
      <c r="B9" s="30" t="n">
        <v>5</v>
      </c>
      <c r="C9" s="18" t="n">
        <f aca="false">EDATE(Inputs!$C$80,B9-1)</f>
        <v>46444</v>
      </c>
      <c r="D9" s="19" t="n">
        <f aca="false">IF(AND(C9&gt;=Inputs!$C$10,C9&lt;=Cash_Flow!$AB$6),Inputs!$C$79,0)</f>
        <v>60</v>
      </c>
      <c r="E9" s="32" t="s">
        <v>1628</v>
      </c>
    </row>
    <row r="10" customFormat="false" ht="15" hidden="false" customHeight="false" outlineLevel="0" collapsed="false">
      <c r="A10" s="30" t="s">
        <v>1627</v>
      </c>
      <c r="B10" s="30" t="n">
        <v>6</v>
      </c>
      <c r="C10" s="18" t="n">
        <f aca="false">EDATE(Inputs!$C$80,B10-1)</f>
        <v>46472</v>
      </c>
      <c r="D10" s="19" t="n">
        <f aca="false">IF(AND(C10&gt;=Inputs!$C$10,C10&lt;=Cash_Flow!$AB$6),Inputs!$C$79,0)</f>
        <v>60</v>
      </c>
      <c r="E10" s="32" t="s">
        <v>1628</v>
      </c>
    </row>
    <row r="11" customFormat="false" ht="15" hidden="false" customHeight="false" outlineLevel="0" collapsed="false">
      <c r="A11" s="30" t="s">
        <v>1627</v>
      </c>
      <c r="B11" s="30" t="n">
        <v>7</v>
      </c>
      <c r="C11" s="18" t="n">
        <f aca="false">EDATE(Inputs!$C$80,B11-1)</f>
        <v>46503</v>
      </c>
      <c r="D11" s="19" t="n">
        <f aca="false">IF(AND(C11&gt;=Inputs!$C$10,C11&lt;=Cash_Flow!$AB$6),Inputs!$C$79,0)</f>
        <v>0</v>
      </c>
      <c r="E11" s="32" t="s">
        <v>1628</v>
      </c>
    </row>
    <row r="12" customFormat="false" ht="15" hidden="false" customHeight="false" outlineLevel="0" collapsed="false">
      <c r="A12" s="30" t="s">
        <v>1627</v>
      </c>
      <c r="B12" s="30" t="n">
        <v>8</v>
      </c>
      <c r="C12" s="18" t="n">
        <f aca="false">EDATE(Inputs!$C$80,B12-1)</f>
        <v>46533</v>
      </c>
      <c r="D12" s="19" t="n">
        <f aca="false">IF(AND(C12&gt;=Inputs!$C$10,C12&lt;=Cash_Flow!$AB$6),Inputs!$C$79,0)</f>
        <v>0</v>
      </c>
      <c r="E12" s="32" t="s">
        <v>1628</v>
      </c>
    </row>
    <row r="13" customFormat="false" ht="15" hidden="false" customHeight="false" outlineLevel="0" collapsed="false">
      <c r="A13" s="30" t="s">
        <v>1627</v>
      </c>
      <c r="B13" s="30" t="n">
        <v>9</v>
      </c>
      <c r="C13" s="18" t="n">
        <f aca="false">EDATE(Inputs!$C$80,B13-1)</f>
        <v>46564</v>
      </c>
      <c r="D13" s="19" t="n">
        <f aca="false">IF(AND(C13&gt;=Inputs!$C$10,C13&lt;=Cash_Flow!$AB$6),Inputs!$C$79,0)</f>
        <v>0</v>
      </c>
      <c r="E13" s="32" t="s">
        <v>1628</v>
      </c>
    </row>
    <row r="14" customFormat="false" ht="15" hidden="false" customHeight="false" outlineLevel="0" collapsed="false">
      <c r="A14" s="30" t="s">
        <v>1627</v>
      </c>
      <c r="B14" s="30" t="n">
        <v>10</v>
      </c>
      <c r="C14" s="18" t="n">
        <f aca="false">EDATE(Inputs!$C$80,B14-1)</f>
        <v>46594</v>
      </c>
      <c r="D14" s="19" t="n">
        <f aca="false">IF(AND(C14&gt;=Inputs!$C$10,C14&lt;=Cash_Flow!$AB$6),Inputs!$C$79,0)</f>
        <v>0</v>
      </c>
      <c r="E14" s="32" t="s">
        <v>1628</v>
      </c>
    </row>
    <row r="15" customFormat="false" ht="15" hidden="false" customHeight="false" outlineLevel="0" collapsed="false">
      <c r="A15" s="30" t="s">
        <v>1627</v>
      </c>
      <c r="B15" s="30" t="n">
        <v>11</v>
      </c>
      <c r="C15" s="18" t="n">
        <f aca="false">EDATE(Inputs!$C$80,B15-1)</f>
        <v>46625</v>
      </c>
      <c r="D15" s="19" t="n">
        <f aca="false">IF(AND(C15&gt;=Inputs!$C$10,C15&lt;=Cash_Flow!$AB$6),Inputs!$C$79,0)</f>
        <v>0</v>
      </c>
      <c r="E15" s="32" t="s">
        <v>1628</v>
      </c>
    </row>
    <row r="16" customFormat="false" ht="15" hidden="false" customHeight="false" outlineLevel="0" collapsed="false">
      <c r="A16" s="30" t="s">
        <v>1627</v>
      </c>
      <c r="B16" s="30" t="n">
        <v>12</v>
      </c>
      <c r="C16" s="18" t="n">
        <f aca="false">EDATE(Inputs!$C$80,B16-1)</f>
        <v>46656</v>
      </c>
      <c r="D16" s="19" t="n">
        <f aca="false">IF(AND(C16&gt;=Inputs!$C$10,C16&lt;=Cash_Flow!$AB$6),Inputs!$C$79,0)</f>
        <v>0</v>
      </c>
      <c r="E16" s="32" t="s">
        <v>1628</v>
      </c>
    </row>
    <row r="17" customFormat="false" ht="15" hidden="false" customHeight="false" outlineLevel="0" collapsed="false">
      <c r="A17" s="30" t="s">
        <v>1629</v>
      </c>
      <c r="B17" s="30" t="n">
        <v>1</v>
      </c>
      <c r="C17" s="18" t="n">
        <f aca="false">IF(Inputs!$C$77="","",EDATE(Inputs!$C$77,B17-1))</f>
        <v>46419</v>
      </c>
      <c r="D17" s="19" t="n">
        <f aca="false">IF(C17="",0,IF(AND(Inputs!$C$75="unit",C17&lt;=Cash_Flow!$AB$6,OR(Inputs!$C$78="",C17&lt;=Inputs!$C$78)),Inputs!$C$76,0))</f>
        <v>150</v>
      </c>
      <c r="E17" s="32" t="s">
        <v>1630</v>
      </c>
    </row>
    <row r="18" customFormat="false" ht="15" hidden="false" customHeight="false" outlineLevel="0" collapsed="false">
      <c r="A18" s="30" t="s">
        <v>1629</v>
      </c>
      <c r="B18" s="30" t="n">
        <v>2</v>
      </c>
      <c r="C18" s="18" t="n">
        <f aca="false">IF(Inputs!$C$77="","",EDATE(Inputs!$C$77,B18-1))</f>
        <v>46447</v>
      </c>
      <c r="D18" s="19" t="n">
        <f aca="false">IF(C18="",0,IF(AND(Inputs!$C$75="unit",C18&lt;=Cash_Flow!$AB$6,OR(Inputs!$C$78="",C18&lt;=Inputs!$C$78)),Inputs!$C$76,0))</f>
        <v>150</v>
      </c>
      <c r="E18" s="32" t="s">
        <v>1630</v>
      </c>
    </row>
    <row r="19" customFormat="false" ht="15" hidden="false" customHeight="false" outlineLevel="0" collapsed="false">
      <c r="A19" s="30" t="s">
        <v>1629</v>
      </c>
      <c r="B19" s="30" t="n">
        <v>3</v>
      </c>
      <c r="C19" s="18" t="n">
        <f aca="false">IF(Inputs!$C$77="","",EDATE(Inputs!$C$77,B19-1))</f>
        <v>46478</v>
      </c>
      <c r="D19" s="19" t="n">
        <f aca="false">IF(C19="",0,IF(AND(Inputs!$C$75="unit",C19&lt;=Cash_Flow!$AB$6,OR(Inputs!$C$78="",C19&lt;=Inputs!$C$78)),Inputs!$C$76,0))</f>
        <v>150</v>
      </c>
      <c r="E19" s="32" t="s">
        <v>1630</v>
      </c>
    </row>
    <row r="20" customFormat="false" ht="15" hidden="false" customHeight="false" outlineLevel="0" collapsed="false">
      <c r="A20" s="30" t="s">
        <v>1629</v>
      </c>
      <c r="B20" s="30" t="n">
        <v>4</v>
      </c>
      <c r="C20" s="18" t="n">
        <f aca="false">IF(Inputs!$C$77="","",EDATE(Inputs!$C$77,B20-1))</f>
        <v>46508</v>
      </c>
      <c r="D20" s="19" t="n">
        <f aca="false">IF(C20="",0,IF(AND(Inputs!$C$75="unit",C20&lt;=Cash_Flow!$AB$6,OR(Inputs!$C$78="",C20&lt;=Inputs!$C$78)),Inputs!$C$76,0))</f>
        <v>0</v>
      </c>
      <c r="E20" s="32" t="s">
        <v>1630</v>
      </c>
    </row>
    <row r="21" customFormat="false" ht="15" hidden="false" customHeight="false" outlineLevel="0" collapsed="false">
      <c r="A21" s="30" t="s">
        <v>1629</v>
      </c>
      <c r="B21" s="30" t="n">
        <v>5</v>
      </c>
      <c r="C21" s="18" t="n">
        <f aca="false">IF(Inputs!$C$77="","",EDATE(Inputs!$C$77,B21-1))</f>
        <v>46539</v>
      </c>
      <c r="D21" s="19" t="n">
        <f aca="false">IF(C21="",0,IF(AND(Inputs!$C$75="unit",C21&lt;=Cash_Flow!$AB$6,OR(Inputs!$C$78="",C21&lt;=Inputs!$C$78)),Inputs!$C$76,0))</f>
        <v>0</v>
      </c>
      <c r="E21" s="32" t="s">
        <v>1630</v>
      </c>
    </row>
    <row r="22" customFormat="false" ht="15" hidden="false" customHeight="false" outlineLevel="0" collapsed="false">
      <c r="A22" s="30" t="s">
        <v>1629</v>
      </c>
      <c r="B22" s="30" t="n">
        <v>6</v>
      </c>
      <c r="C22" s="18" t="n">
        <f aca="false">IF(Inputs!$C$77="","",EDATE(Inputs!$C$77,B22-1))</f>
        <v>46569</v>
      </c>
      <c r="D22" s="19" t="n">
        <f aca="false">IF(C22="",0,IF(AND(Inputs!$C$75="unit",C22&lt;=Cash_Flow!$AB$6,OR(Inputs!$C$78="",C22&lt;=Inputs!$C$78)),Inputs!$C$76,0))</f>
        <v>0</v>
      </c>
      <c r="E22" s="32" t="s">
        <v>1630</v>
      </c>
    </row>
    <row r="23" customFormat="false" ht="15" hidden="false" customHeight="false" outlineLevel="0" collapsed="false">
      <c r="A23" s="30" t="s">
        <v>1629</v>
      </c>
      <c r="B23" s="30" t="n">
        <v>7</v>
      </c>
      <c r="C23" s="18" t="n">
        <f aca="false">IF(Inputs!$C$77="","",EDATE(Inputs!$C$77,B23-1))</f>
        <v>46600</v>
      </c>
      <c r="D23" s="19" t="n">
        <f aca="false">IF(C23="",0,IF(AND(Inputs!$C$75="unit",C23&lt;=Cash_Flow!$AB$6,OR(Inputs!$C$78="",C23&lt;=Inputs!$C$78)),Inputs!$C$76,0))</f>
        <v>0</v>
      </c>
      <c r="E23" s="32" t="s">
        <v>1630</v>
      </c>
    </row>
    <row r="24" customFormat="false" ht="15" hidden="false" customHeight="false" outlineLevel="0" collapsed="false">
      <c r="A24" s="30" t="s">
        <v>1629</v>
      </c>
      <c r="B24" s="30" t="n">
        <v>8</v>
      </c>
      <c r="C24" s="18" t="n">
        <f aca="false">IF(Inputs!$C$77="","",EDATE(Inputs!$C$77,B24-1))</f>
        <v>46631</v>
      </c>
      <c r="D24" s="19" t="n">
        <f aca="false">IF(C24="",0,IF(AND(Inputs!$C$75="unit",C24&lt;=Cash_Flow!$AB$6,OR(Inputs!$C$78="",C24&lt;=Inputs!$C$78)),Inputs!$C$76,0))</f>
        <v>0</v>
      </c>
      <c r="E24" s="32" t="s">
        <v>1630</v>
      </c>
    </row>
    <row r="25" customFormat="false" ht="15" hidden="false" customHeight="false" outlineLevel="0" collapsed="false">
      <c r="A25" s="30" t="s">
        <v>1629</v>
      </c>
      <c r="B25" s="30" t="n">
        <v>9</v>
      </c>
      <c r="C25" s="18" t="n">
        <f aca="false">IF(Inputs!$C$77="","",EDATE(Inputs!$C$77,B25-1))</f>
        <v>46661</v>
      </c>
      <c r="D25" s="19" t="n">
        <f aca="false">IF(C25="",0,IF(AND(Inputs!$C$75="unit",C25&lt;=Cash_Flow!$AB$6,OR(Inputs!$C$78="",C25&lt;=Inputs!$C$78)),Inputs!$C$76,0))</f>
        <v>0</v>
      </c>
      <c r="E25" s="32" t="s">
        <v>1630</v>
      </c>
    </row>
    <row r="26" customFormat="false" ht="15" hidden="false" customHeight="false" outlineLevel="0" collapsed="false">
      <c r="A26" s="30" t="s">
        <v>1629</v>
      </c>
      <c r="B26" s="30" t="n">
        <v>10</v>
      </c>
      <c r="C26" s="18" t="n">
        <f aca="false">IF(Inputs!$C$77="","",EDATE(Inputs!$C$77,B26-1))</f>
        <v>46692</v>
      </c>
      <c r="D26" s="19" t="n">
        <f aca="false">IF(C26="",0,IF(AND(Inputs!$C$75="unit",C26&lt;=Cash_Flow!$AB$6,OR(Inputs!$C$78="",C26&lt;=Inputs!$C$78)),Inputs!$C$76,0))</f>
        <v>0</v>
      </c>
      <c r="E26" s="32" t="s">
        <v>1630</v>
      </c>
    </row>
    <row r="27" customFormat="false" ht="15" hidden="false" customHeight="false" outlineLevel="0" collapsed="false">
      <c r="A27" s="30" t="s">
        <v>1629</v>
      </c>
      <c r="B27" s="30" t="n">
        <v>11</v>
      </c>
      <c r="C27" s="18" t="n">
        <f aca="false">IF(Inputs!$C$77="","",EDATE(Inputs!$C$77,B27-1))</f>
        <v>46722</v>
      </c>
      <c r="D27" s="19" t="n">
        <f aca="false">IF(C27="",0,IF(AND(Inputs!$C$75="unit",C27&lt;=Cash_Flow!$AB$6,OR(Inputs!$C$78="",C27&lt;=Inputs!$C$78)),Inputs!$C$76,0))</f>
        <v>0</v>
      </c>
      <c r="E27" s="32" t="s">
        <v>1630</v>
      </c>
    </row>
    <row r="28" customFormat="false" ht="15" hidden="false" customHeight="false" outlineLevel="0" collapsed="false">
      <c r="A28" s="30" t="s">
        <v>1629</v>
      </c>
      <c r="B28" s="30" t="n">
        <v>12</v>
      </c>
      <c r="C28" s="18" t="n">
        <f aca="false">IF(Inputs!$C$77="","",EDATE(Inputs!$C$77,B28-1))</f>
        <v>46753</v>
      </c>
      <c r="D28" s="19" t="n">
        <f aca="false">IF(C28="",0,IF(AND(Inputs!$C$75="unit",C28&lt;=Cash_Flow!$AB$6,OR(Inputs!$C$78="",C28&lt;=Inputs!$C$78)),Inputs!$C$76,0))</f>
        <v>0</v>
      </c>
      <c r="E28" s="32" t="s">
        <v>1630</v>
      </c>
    </row>
    <row r="29" customFormat="false" ht="15" hidden="false" customHeight="false" outlineLevel="0" collapsed="false">
      <c r="A29" s="30" t="s">
        <v>1631</v>
      </c>
      <c r="B29" s="30" t="n">
        <v>1</v>
      </c>
      <c r="C29" s="18" t="n">
        <f aca="false">EDATE(Inputs!$C$83,B29-1)</f>
        <v>46367</v>
      </c>
      <c r="D29" s="19" t="n">
        <f aca="false">IF(AND(Inputs!$C$82="monthly",C29&lt;=Cash_Flow!$AB$6),Inputs!$C$81,0)</f>
        <v>0</v>
      </c>
      <c r="E29" s="32" t="s">
        <v>1632</v>
      </c>
    </row>
    <row r="30" customFormat="false" ht="15" hidden="false" customHeight="false" outlineLevel="0" collapsed="false">
      <c r="A30" s="30" t="s">
        <v>1631</v>
      </c>
      <c r="B30" s="30" t="n">
        <v>2</v>
      </c>
      <c r="C30" s="18" t="n">
        <f aca="false">EDATE(Inputs!$C$83,B30-1)</f>
        <v>46398</v>
      </c>
      <c r="D30" s="19" t="n">
        <f aca="false">IF(AND(Inputs!$C$82="monthly",C30&lt;=Cash_Flow!$AB$6),Inputs!$C$81,0)</f>
        <v>0</v>
      </c>
      <c r="E30" s="32" t="s">
        <v>1632</v>
      </c>
    </row>
    <row r="31" customFormat="false" ht="15" hidden="false" customHeight="false" outlineLevel="0" collapsed="false">
      <c r="A31" s="30" t="s">
        <v>1631</v>
      </c>
      <c r="B31" s="30" t="n">
        <v>3</v>
      </c>
      <c r="C31" s="18" t="n">
        <f aca="false">EDATE(Inputs!$C$83,B31-1)</f>
        <v>46429</v>
      </c>
      <c r="D31" s="19" t="n">
        <f aca="false">IF(AND(Inputs!$C$82="monthly",C31&lt;=Cash_Flow!$AB$6),Inputs!$C$81,0)</f>
        <v>0</v>
      </c>
      <c r="E31" s="32" t="s">
        <v>1632</v>
      </c>
    </row>
    <row r="32" customFormat="false" ht="15" hidden="false" customHeight="false" outlineLevel="0" collapsed="false">
      <c r="A32" s="30" t="s">
        <v>1631</v>
      </c>
      <c r="B32" s="30" t="n">
        <v>4</v>
      </c>
      <c r="C32" s="18" t="n">
        <f aca="false">EDATE(Inputs!$C$83,B32-1)</f>
        <v>46457</v>
      </c>
      <c r="D32" s="19" t="n">
        <f aca="false">IF(AND(Inputs!$C$82="monthly",C32&lt;=Cash_Flow!$AB$6),Inputs!$C$81,0)</f>
        <v>0</v>
      </c>
      <c r="E32" s="32" t="s">
        <v>1632</v>
      </c>
    </row>
    <row r="33" customFormat="false" ht="15" hidden="false" customHeight="false" outlineLevel="0" collapsed="false">
      <c r="A33" s="30" t="s">
        <v>1631</v>
      </c>
      <c r="B33" s="30" t="n">
        <v>5</v>
      </c>
      <c r="C33" s="18" t="n">
        <f aca="false">EDATE(Inputs!$C$83,B33-1)</f>
        <v>46488</v>
      </c>
      <c r="D33" s="19" t="n">
        <f aca="false">IF(AND(Inputs!$C$82="monthly",C33&lt;=Cash_Flow!$AB$6),Inputs!$C$81,0)</f>
        <v>0</v>
      </c>
      <c r="E33" s="32" t="s">
        <v>1632</v>
      </c>
    </row>
    <row r="34" customFormat="false" ht="15" hidden="false" customHeight="false" outlineLevel="0" collapsed="false">
      <c r="A34" s="30" t="s">
        <v>1631</v>
      </c>
      <c r="B34" s="30" t="n">
        <v>6</v>
      </c>
      <c r="C34" s="18" t="n">
        <f aca="false">EDATE(Inputs!$C$83,B34-1)</f>
        <v>46518</v>
      </c>
      <c r="D34" s="19" t="n">
        <f aca="false">IF(AND(Inputs!$C$82="monthly",C34&lt;=Cash_Flow!$AB$6),Inputs!$C$81,0)</f>
        <v>0</v>
      </c>
      <c r="E34" s="32" t="s">
        <v>1632</v>
      </c>
    </row>
    <row r="35" customFormat="false" ht="15" hidden="false" customHeight="false" outlineLevel="0" collapsed="false">
      <c r="A35" s="30" t="s">
        <v>1631</v>
      </c>
      <c r="B35" s="30" t="n">
        <v>7</v>
      </c>
      <c r="C35" s="18" t="n">
        <f aca="false">EDATE(Inputs!$C$83,B35-1)</f>
        <v>46549</v>
      </c>
      <c r="D35" s="19" t="n">
        <f aca="false">IF(AND(Inputs!$C$82="monthly",C35&lt;=Cash_Flow!$AB$6),Inputs!$C$81,0)</f>
        <v>0</v>
      </c>
      <c r="E35" s="32" t="s">
        <v>1632</v>
      </c>
    </row>
    <row r="36" customFormat="false" ht="15" hidden="false" customHeight="false" outlineLevel="0" collapsed="false">
      <c r="A36" s="30" t="s">
        <v>1631</v>
      </c>
      <c r="B36" s="30" t="n">
        <v>8</v>
      </c>
      <c r="C36" s="18" t="n">
        <f aca="false">EDATE(Inputs!$C$83,B36-1)</f>
        <v>46579</v>
      </c>
      <c r="D36" s="19" t="n">
        <f aca="false">IF(AND(Inputs!$C$82="monthly",C36&lt;=Cash_Flow!$AB$6),Inputs!$C$81,0)</f>
        <v>0</v>
      </c>
      <c r="E36" s="32" t="s">
        <v>1632</v>
      </c>
    </row>
    <row r="37" customFormat="false" ht="15" hidden="false" customHeight="false" outlineLevel="0" collapsed="false">
      <c r="A37" s="30" t="s">
        <v>1631</v>
      </c>
      <c r="B37" s="30" t="n">
        <v>9</v>
      </c>
      <c r="C37" s="18" t="n">
        <f aca="false">EDATE(Inputs!$C$83,B37-1)</f>
        <v>46610</v>
      </c>
      <c r="D37" s="19" t="n">
        <f aca="false">IF(AND(Inputs!$C$82="monthly",C37&lt;=Cash_Flow!$AB$6),Inputs!$C$81,0)</f>
        <v>0</v>
      </c>
      <c r="E37" s="32" t="s">
        <v>1632</v>
      </c>
    </row>
    <row r="38" customFormat="false" ht="15" hidden="false" customHeight="false" outlineLevel="0" collapsed="false">
      <c r="A38" s="30" t="s">
        <v>1631</v>
      </c>
      <c r="B38" s="30" t="n">
        <v>10</v>
      </c>
      <c r="C38" s="18" t="n">
        <f aca="false">EDATE(Inputs!$C$83,B38-1)</f>
        <v>46641</v>
      </c>
      <c r="D38" s="19" t="n">
        <f aca="false">IF(AND(Inputs!$C$82="monthly",C38&lt;=Cash_Flow!$AB$6),Inputs!$C$81,0)</f>
        <v>0</v>
      </c>
      <c r="E38" s="32" t="s">
        <v>1632</v>
      </c>
    </row>
    <row r="39" customFormat="false" ht="15" hidden="false" customHeight="false" outlineLevel="0" collapsed="false">
      <c r="A39" s="30" t="s">
        <v>1631</v>
      </c>
      <c r="B39" s="30" t="n">
        <v>11</v>
      </c>
      <c r="C39" s="18" t="n">
        <f aca="false">EDATE(Inputs!$C$83,B39-1)</f>
        <v>46671</v>
      </c>
      <c r="D39" s="19" t="n">
        <f aca="false">IF(AND(Inputs!$C$82="monthly",C39&lt;=Cash_Flow!$AB$6),Inputs!$C$81,0)</f>
        <v>0</v>
      </c>
      <c r="E39" s="32" t="s">
        <v>1632</v>
      </c>
    </row>
    <row r="40" customFormat="false" ht="15" hidden="false" customHeight="false" outlineLevel="0" collapsed="false">
      <c r="A40" s="30" t="s">
        <v>1631</v>
      </c>
      <c r="B40" s="30" t="n">
        <v>12</v>
      </c>
      <c r="C40" s="18" t="n">
        <f aca="false">EDATE(Inputs!$C$83,B40-1)</f>
        <v>46702</v>
      </c>
      <c r="D40" s="19" t="n">
        <f aca="false">IF(AND(Inputs!$C$82="monthly",C40&lt;=Cash_Flow!$AB$6),Inputs!$C$81,0)</f>
        <v>0</v>
      </c>
      <c r="E40" s="32" t="s">
        <v>1632</v>
      </c>
    </row>
    <row r="41" customFormat="false" ht="15" hidden="false" customHeight="false" outlineLevel="0" collapsed="false">
      <c r="A41" s="30" t="s">
        <v>1631</v>
      </c>
      <c r="B41" s="30" t="s">
        <v>600</v>
      </c>
      <c r="C41" s="18" t="n">
        <f aca="false">Inputs!$C$83</f>
        <v>46367</v>
      </c>
      <c r="D41" s="19" t="n">
        <f aca="false">IF(AND(Inputs!$C$82="annual",C41&lt;=Cash_Flow!$AB$6),Inputs!$C$81*Inputs!$C$20,0)</f>
        <v>1200</v>
      </c>
      <c r="E41" s="32" t="s">
        <v>1633</v>
      </c>
    </row>
    <row r="42" customFormat="false" ht="15" hidden="false" customHeight="false" outlineLevel="0" collapsed="false">
      <c r="A42" s="30" t="s">
        <v>1634</v>
      </c>
      <c r="B42" s="30" t="n">
        <v>1</v>
      </c>
      <c r="C42" s="18" t="n">
        <f aca="false">EDATE(Inputs!$C$10,B42-1)</f>
        <v>46321</v>
      </c>
      <c r="D42" s="19" t="n">
        <f aca="false">IF(C42&lt;=Cash_Flow!$AB$6,Inputs!$C$84,0)</f>
        <v>0</v>
      </c>
      <c r="E42" s="32" t="s">
        <v>1635</v>
      </c>
    </row>
    <row r="43" customFormat="false" ht="15" hidden="false" customHeight="false" outlineLevel="0" collapsed="false">
      <c r="A43" s="30" t="s">
        <v>1634</v>
      </c>
      <c r="B43" s="30" t="n">
        <v>2</v>
      </c>
      <c r="C43" s="18" t="n">
        <f aca="false">EDATE(Inputs!$C$10,B43-1)</f>
        <v>46352</v>
      </c>
      <c r="D43" s="19" t="n">
        <f aca="false">IF(C43&lt;=Cash_Flow!$AB$6,Inputs!$C$84,0)</f>
        <v>0</v>
      </c>
      <c r="E43" s="32" t="s">
        <v>1635</v>
      </c>
    </row>
    <row r="44" customFormat="false" ht="15" hidden="false" customHeight="false" outlineLevel="0" collapsed="false">
      <c r="A44" s="30" t="s">
        <v>1634</v>
      </c>
      <c r="B44" s="30" t="n">
        <v>3</v>
      </c>
      <c r="C44" s="18" t="n">
        <f aca="false">EDATE(Inputs!$C$10,B44-1)</f>
        <v>46382</v>
      </c>
      <c r="D44" s="19" t="n">
        <f aca="false">IF(C44&lt;=Cash_Flow!$AB$6,Inputs!$C$84,0)</f>
        <v>0</v>
      </c>
      <c r="E44" s="32" t="s">
        <v>1635</v>
      </c>
    </row>
    <row r="45" customFormat="false" ht="15" hidden="false" customHeight="false" outlineLevel="0" collapsed="false">
      <c r="A45" s="30" t="s">
        <v>1634</v>
      </c>
      <c r="B45" s="30" t="n">
        <v>4</v>
      </c>
      <c r="C45" s="18" t="n">
        <f aca="false">EDATE(Inputs!$C$10,B45-1)</f>
        <v>46413</v>
      </c>
      <c r="D45" s="19" t="n">
        <f aca="false">IF(C45&lt;=Cash_Flow!$AB$6,Inputs!$C$84,0)</f>
        <v>0</v>
      </c>
      <c r="E45" s="32" t="s">
        <v>1635</v>
      </c>
    </row>
    <row r="46" customFormat="false" ht="15" hidden="false" customHeight="false" outlineLevel="0" collapsed="false">
      <c r="A46" s="30" t="s">
        <v>1634</v>
      </c>
      <c r="B46" s="30" t="n">
        <v>5</v>
      </c>
      <c r="C46" s="18" t="n">
        <f aca="false">EDATE(Inputs!$C$10,B46-1)</f>
        <v>46444</v>
      </c>
      <c r="D46" s="19" t="n">
        <f aca="false">IF(C46&lt;=Cash_Flow!$AB$6,Inputs!$C$84,0)</f>
        <v>0</v>
      </c>
      <c r="E46" s="32" t="s">
        <v>1635</v>
      </c>
    </row>
    <row r="47" customFormat="false" ht="15" hidden="false" customHeight="false" outlineLevel="0" collapsed="false">
      <c r="A47" s="30" t="s">
        <v>1634</v>
      </c>
      <c r="B47" s="30" t="n">
        <v>6</v>
      </c>
      <c r="C47" s="18" t="n">
        <f aca="false">EDATE(Inputs!$C$10,B47-1)</f>
        <v>46472</v>
      </c>
      <c r="D47" s="19" t="n">
        <f aca="false">IF(C47&lt;=Cash_Flow!$AB$6,Inputs!$C$84,0)</f>
        <v>0</v>
      </c>
      <c r="E47" s="32" t="s">
        <v>1635</v>
      </c>
    </row>
    <row r="48" customFormat="false" ht="15" hidden="false" customHeight="false" outlineLevel="0" collapsed="false">
      <c r="A48" s="30" t="s">
        <v>1634</v>
      </c>
      <c r="B48" s="30" t="n">
        <v>7</v>
      </c>
      <c r="C48" s="18" t="n">
        <f aca="false">EDATE(Inputs!$C$10,B48-1)</f>
        <v>46503</v>
      </c>
      <c r="D48" s="19" t="n">
        <f aca="false">IF(C48&lt;=Cash_Flow!$AB$6,Inputs!$C$84,0)</f>
        <v>0</v>
      </c>
      <c r="E48" s="32" t="s">
        <v>1635</v>
      </c>
    </row>
    <row r="49" customFormat="false" ht="15" hidden="false" customHeight="false" outlineLevel="0" collapsed="false">
      <c r="A49" s="30" t="s">
        <v>1634</v>
      </c>
      <c r="B49" s="30" t="n">
        <v>8</v>
      </c>
      <c r="C49" s="18" t="n">
        <f aca="false">EDATE(Inputs!$C$10,B49-1)</f>
        <v>46533</v>
      </c>
      <c r="D49" s="19" t="n">
        <f aca="false">IF(C49&lt;=Cash_Flow!$AB$6,Inputs!$C$84,0)</f>
        <v>0</v>
      </c>
      <c r="E49" s="32" t="s">
        <v>1635</v>
      </c>
    </row>
    <row r="50" customFormat="false" ht="15" hidden="false" customHeight="false" outlineLevel="0" collapsed="false">
      <c r="A50" s="30" t="s">
        <v>1634</v>
      </c>
      <c r="B50" s="30" t="n">
        <v>9</v>
      </c>
      <c r="C50" s="18" t="n">
        <f aca="false">EDATE(Inputs!$C$10,B50-1)</f>
        <v>46564</v>
      </c>
      <c r="D50" s="19" t="n">
        <f aca="false">IF(C50&lt;=Cash_Flow!$AB$6,Inputs!$C$84,0)</f>
        <v>0</v>
      </c>
      <c r="E50" s="32" t="s">
        <v>1635</v>
      </c>
    </row>
    <row r="51" customFormat="false" ht="15" hidden="false" customHeight="false" outlineLevel="0" collapsed="false">
      <c r="A51" s="30" t="s">
        <v>1634</v>
      </c>
      <c r="B51" s="30" t="n">
        <v>10</v>
      </c>
      <c r="C51" s="18" t="n">
        <f aca="false">EDATE(Inputs!$C$10,B51-1)</f>
        <v>46594</v>
      </c>
      <c r="D51" s="19" t="n">
        <f aca="false">IF(C51&lt;=Cash_Flow!$AB$6,Inputs!$C$84,0)</f>
        <v>0</v>
      </c>
      <c r="E51" s="32" t="s">
        <v>1635</v>
      </c>
    </row>
    <row r="52" customFormat="false" ht="15" hidden="false" customHeight="false" outlineLevel="0" collapsed="false">
      <c r="A52" s="30" t="s">
        <v>1634</v>
      </c>
      <c r="B52" s="30" t="n">
        <v>11</v>
      </c>
      <c r="C52" s="18" t="n">
        <f aca="false">EDATE(Inputs!$C$10,B52-1)</f>
        <v>46625</v>
      </c>
      <c r="D52" s="19" t="n">
        <f aca="false">IF(C52&lt;=Cash_Flow!$AB$6,Inputs!$C$84,0)</f>
        <v>0</v>
      </c>
      <c r="E52" s="32" t="s">
        <v>1635</v>
      </c>
    </row>
    <row r="53" customFormat="false" ht="15" hidden="false" customHeight="false" outlineLevel="0" collapsed="false">
      <c r="A53" s="30" t="s">
        <v>1634</v>
      </c>
      <c r="B53" s="30" t="n">
        <v>12</v>
      </c>
      <c r="C53" s="18" t="n">
        <f aca="false">EDATE(Inputs!$C$10,B53-1)</f>
        <v>46656</v>
      </c>
      <c r="D53" s="19" t="n">
        <f aca="false">IF(C53&lt;=Cash_Flow!$AB$6,Inputs!$C$84,0)</f>
        <v>0</v>
      </c>
      <c r="E53" s="32" t="s">
        <v>1635</v>
      </c>
    </row>
    <row r="55" customFormat="false" ht="15" hidden="false" customHeight="false" outlineLevel="0" collapsed="false">
      <c r="A55" s="9" t="s">
        <v>1636</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1637</v>
      </c>
    </row>
    <row r="2" customFormat="false" ht="15" hidden="false" customHeight="false" outlineLevel="0" collapsed="false">
      <c r="A2" s="2" t="s">
        <v>1638</v>
      </c>
    </row>
    <row r="3" customFormat="false" ht="15" hidden="false" customHeight="false" outlineLevel="0" collapsed="false">
      <c r="C3" s="9" t="s">
        <v>1639</v>
      </c>
      <c r="D3" s="107" t="n">
        <v>0.01</v>
      </c>
    </row>
    <row r="4" customFormat="false" ht="30" hidden="false" customHeight="true" outlineLevel="0" collapsed="false">
      <c r="A4" s="12" t="s">
        <v>1314</v>
      </c>
      <c r="B4" s="12" t="s">
        <v>1640</v>
      </c>
      <c r="C4" s="12" t="s">
        <v>1641</v>
      </c>
      <c r="D4" s="12" t="s">
        <v>231</v>
      </c>
      <c r="E4" s="12" t="s">
        <v>1642</v>
      </c>
      <c r="F4" s="12" t="s">
        <v>1643</v>
      </c>
    </row>
    <row r="5" customFormat="false" ht="15" hidden="false" customHeight="false" outlineLevel="0" collapsed="false">
      <c r="A5" s="30" t="n">
        <v>1</v>
      </c>
      <c r="B5" s="30" t="s">
        <v>1644</v>
      </c>
      <c r="C5" s="7" t="s">
        <v>1645</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1646</v>
      </c>
    </row>
    <row r="6" customFormat="false" ht="15" hidden="false" customHeight="false" outlineLevel="0" collapsed="false">
      <c r="A6" s="30" t="n">
        <v>2</v>
      </c>
      <c r="B6" s="30" t="s">
        <v>1644</v>
      </c>
      <c r="C6" s="7" t="s">
        <v>1647</v>
      </c>
      <c r="D6" s="108" t="n">
        <f aca="false">Cash_Flow!$C$69</f>
        <v>0</v>
      </c>
      <c r="E6" s="22" t="n">
        <f aca="false">IF(ABS(D6)&lt;=$D$3,1,0)</f>
        <v>1</v>
      </c>
      <c r="F6" s="7" t="s">
        <v>1648</v>
      </c>
    </row>
    <row r="7" customFormat="false" ht="15" hidden="false" customHeight="false" outlineLevel="0" collapsed="false">
      <c r="A7" s="30" t="n">
        <v>3</v>
      </c>
      <c r="B7" s="30" t="s">
        <v>1644</v>
      </c>
      <c r="C7" s="7" t="s">
        <v>1649</v>
      </c>
      <c r="D7" s="108" t="n">
        <f aca="false">Cash_Flow!$C$71-Cash_Ledger!$D$55</f>
        <v>0</v>
      </c>
      <c r="E7" s="22" t="n">
        <f aca="false">IF(ABS(D7)&lt;=$D$3,1,0)</f>
        <v>1</v>
      </c>
      <c r="F7" s="7" t="s">
        <v>1650</v>
      </c>
    </row>
    <row r="8" customFormat="false" ht="15" hidden="false" customHeight="false" outlineLevel="0" collapsed="false">
      <c r="A8" s="30" t="n">
        <v>4</v>
      </c>
      <c r="B8" s="30" t="s">
        <v>1644</v>
      </c>
      <c r="C8" s="7" t="s">
        <v>1651</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1644</v>
      </c>
      <c r="C9" s="7" t="s">
        <v>1652</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1644</v>
      </c>
      <c r="C10" s="7" t="s">
        <v>1653</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1644</v>
      </c>
      <c r="C11" s="7" t="s">
        <v>1654</v>
      </c>
      <c r="D11" s="108" t="n">
        <f aca="false">Capital!$G$33</f>
        <v>-1122</v>
      </c>
      <c r="E11" s="22" t="n">
        <f aca="false">IF(OR(ABS(D11)&lt;=$D$3,COUNTIF(Schedule!$N$7:$N$18,"Y")&gt;0),1,0)</f>
        <v>1</v>
      </c>
      <c r="F11" s="7" t="s">
        <v>1655</v>
      </c>
    </row>
    <row r="12" customFormat="false" ht="15" hidden="false" customHeight="false" outlineLevel="0" collapsed="false">
      <c r="A12" s="30" t="n">
        <v>8</v>
      </c>
      <c r="B12" s="30" t="s">
        <v>1644</v>
      </c>
      <c r="C12" s="7" t="s">
        <v>1656</v>
      </c>
      <c r="D12" s="108" t="n">
        <f aca="false">Sensitivity!$G$9</f>
        <v>0</v>
      </c>
      <c r="E12" s="22" t="n">
        <f aca="false">IF(ABS(D12)&lt;=$D$3,1,0)</f>
        <v>1</v>
      </c>
      <c r="F12" s="7"/>
    </row>
    <row r="13" customFormat="false" ht="15" hidden="false" customHeight="false" outlineLevel="0" collapsed="false">
      <c r="A13" s="30" t="n">
        <v>9</v>
      </c>
      <c r="B13" s="30" t="s">
        <v>1644</v>
      </c>
      <c r="C13" s="7" t="s">
        <v>1657</v>
      </c>
      <c r="D13" s="108" t="n">
        <f aca="false">Sensitivity!$C$71</f>
        <v>0</v>
      </c>
      <c r="E13" s="22" t="n">
        <f aca="false">IF(D13=0,1,0)</f>
        <v>1</v>
      </c>
      <c r="F13" s="7"/>
    </row>
    <row r="14" customFormat="false" ht="15" hidden="false" customHeight="false" outlineLevel="0" collapsed="false">
      <c r="A14" s="30" t="n">
        <v>10</v>
      </c>
      <c r="B14" s="30" t="s">
        <v>1644</v>
      </c>
      <c r="C14" s="7" t="s">
        <v>1658</v>
      </c>
      <c r="D14" s="108" t="n">
        <f aca="false">Sensitivity!$C$72</f>
        <v>0</v>
      </c>
      <c r="E14" s="22" t="n">
        <f aca="false">IF(D14=0,1,0)</f>
        <v>1</v>
      </c>
      <c r="F14" s="7"/>
    </row>
    <row r="15" customFormat="false" ht="15" hidden="false" customHeight="false" outlineLevel="0" collapsed="false">
      <c r="A15" s="30" t="n">
        <v>11</v>
      </c>
      <c r="B15" s="30" t="s">
        <v>1644</v>
      </c>
      <c r="C15" s="7" t="s">
        <v>1659</v>
      </c>
      <c r="D15" s="108" t="n">
        <f aca="false">Sensitivity!$C$73</f>
        <v>0</v>
      </c>
      <c r="E15" s="22" t="n">
        <f aca="false">IF(D15=0,1,0)</f>
        <v>1</v>
      </c>
      <c r="F15" s="7"/>
    </row>
    <row r="16" customFormat="false" ht="15" hidden="false" customHeight="false" outlineLevel="0" collapsed="false">
      <c r="A16" s="30" t="n">
        <v>12</v>
      </c>
      <c r="B16" s="30" t="s">
        <v>1644</v>
      </c>
      <c r="C16" s="7" t="s">
        <v>1660</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1644</v>
      </c>
      <c r="C17" s="7" t="s">
        <v>1661</v>
      </c>
      <c r="D17" s="108" t="n">
        <f aca="false">IF(ISNUMBER(Plan_Check!AK15),0,1)</f>
        <v>0</v>
      </c>
      <c r="E17" s="22" t="n">
        <f aca="false">IF(D17=0,1,0)</f>
        <v>1</v>
      </c>
      <c r="F17" s="7"/>
    </row>
    <row r="18" customFormat="false" ht="15" hidden="false" customHeight="false" outlineLevel="0" collapsed="false">
      <c r="A18" s="30" t="n">
        <v>14</v>
      </c>
      <c r="B18" s="30" t="s">
        <v>1644</v>
      </c>
      <c r="C18" s="7" t="s">
        <v>1662</v>
      </c>
      <c r="D18" s="108" t="n">
        <f aca="false">Plan_Check!AB16-Plan_Check!G16*Inputs!$C$94</f>
        <v>0</v>
      </c>
      <c r="E18" s="22" t="n">
        <f aca="false">IF(ABS(D18)&lt;=$D$3,1,0)</f>
        <v>1</v>
      </c>
      <c r="F18" s="7"/>
    </row>
    <row r="19" customFormat="false" ht="28.35" hidden="false" customHeight="false" outlineLevel="0" collapsed="false">
      <c r="A19" s="30" t="n">
        <v>15</v>
      </c>
      <c r="B19" s="30" t="s">
        <v>1644</v>
      </c>
      <c r="C19" s="7" t="s">
        <v>1663</v>
      </c>
      <c r="D19" s="108" t="n">
        <f aca="false">Steady_State!$C$50-IF(Inputs!$C$62&gt;0,(Inputs!$C$62*(Inputs!$C$39*Sensitivity!$C$9+Sensitivity!$C$8)*Sensitivity!$C$7-Sensitivity!$C$10-Sensitivity!$C$11*MAX(Inputs!$C$62-1,0))/Inputs!$C$62,0)</f>
        <v>0</v>
      </c>
      <c r="E19" s="22" t="n">
        <f aca="false">IF(ABS(D19)&lt;=$D$3,1,0)</f>
        <v>1</v>
      </c>
      <c r="F19" s="7" t="s">
        <v>1664</v>
      </c>
    </row>
    <row r="20" customFormat="false" ht="28.35" hidden="false" customHeight="false" outlineLevel="0" collapsed="false">
      <c r="A20" s="30" t="n">
        <v>16</v>
      </c>
      <c r="B20" s="30" t="s">
        <v>1644</v>
      </c>
      <c r="C20" s="7" t="s">
        <v>1665</v>
      </c>
      <c r="D20" s="108" t="n">
        <f aca="false">SUM(Drop_PnL!$BI$7:$BI$18)-(Cash_Flow!$AC$11+Cash_Flow!$AC$18)</f>
        <v>0</v>
      </c>
      <c r="E20" s="22" t="n">
        <f aca="false">IF(ABS(D20)&lt;=$D$3,1,0)</f>
        <v>1</v>
      </c>
      <c r="F20" s="7" t="s">
        <v>1666</v>
      </c>
    </row>
    <row r="21" customFormat="false" ht="15" hidden="false" customHeight="false" outlineLevel="0" collapsed="false">
      <c r="A21" s="30" t="n">
        <v>17</v>
      </c>
      <c r="B21" s="30" t="s">
        <v>30</v>
      </c>
      <c r="C21" s="7" t="s">
        <v>1667</v>
      </c>
      <c r="D21" s="108" t="n">
        <f aca="false">COUNTIF(Schedule!$T$7:$T$18,"check")+COUNTIF(Schedule!$T$7:$T$18,"date missing")</f>
        <v>0</v>
      </c>
      <c r="E21" s="22" t="n">
        <f aca="false">IF(D21=0,1,0)</f>
        <v>1</v>
      </c>
      <c r="F21" s="7" t="s">
        <v>1668</v>
      </c>
    </row>
    <row r="22" customFormat="false" ht="55.2" hidden="false" customHeight="false" outlineLevel="0" collapsed="false">
      <c r="A22" s="30" t="n">
        <v>18</v>
      </c>
      <c r="B22" s="30" t="s">
        <v>1669</v>
      </c>
      <c r="C22" s="7" t="s">
        <v>1670</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278</v>
      </c>
      <c r="F22" s="7" t="s">
        <v>1671</v>
      </c>
    </row>
    <row r="23" customFormat="false" ht="41.75" hidden="false" customHeight="false" outlineLevel="0" collapsed="false">
      <c r="A23" s="30" t="n">
        <v>19</v>
      </c>
      <c r="B23" s="30" t="s">
        <v>30</v>
      </c>
      <c r="C23" s="7" t="s">
        <v>1672</v>
      </c>
      <c r="D23" s="108" t="n">
        <f aca="false">IF(AND(Inputs!$C$10&amp;""&lt;&gt;Inputs!$J$10&amp;"",Inputs!$C$11&amp;""=Inputs!$J$11&amp;"",Inputs!$C$12&amp;""=Inputs!$J$12&amp;"",Inputs!$C$14&amp;""=Inputs!$J$14&amp;"",Inputs!$C$15&amp;""=Inputs!$J$15&amp;"",Schedule!$E$7&amp;""=Schedule!$AL$7&amp;""),1,0)</f>
        <v>0</v>
      </c>
      <c r="E23" s="22" t="n">
        <f aca="false">IF(D23=0,1,0)</f>
        <v>1</v>
      </c>
      <c r="F23" s="7" t="s">
        <v>1673</v>
      </c>
    </row>
    <row r="24" customFormat="false" ht="15" hidden="false" customHeight="false" outlineLevel="0" collapsed="false">
      <c r="A24" s="30" t="n">
        <v>20</v>
      </c>
      <c r="B24" s="30" t="s">
        <v>30</v>
      </c>
      <c r="C24" s="7" t="s">
        <v>1674</v>
      </c>
      <c r="D24" s="108" t="n">
        <f aca="false">MAX(0,SUMPRODUCT((Drop_PnL!D7:D18="founding")*Drop_PnL!O7:O18)-Inputs!$C$46)</f>
        <v>0</v>
      </c>
      <c r="E24" s="22" t="n">
        <f aca="false">IF(D24=0,1,0)</f>
        <v>1</v>
      </c>
      <c r="F24" s="7" t="s">
        <v>1675</v>
      </c>
    </row>
    <row r="25" customFormat="false" ht="15" hidden="false" customHeight="false" outlineLevel="0" collapsed="false">
      <c r="A25" s="30" t="n">
        <v>21</v>
      </c>
      <c r="B25" s="30" t="s">
        <v>30</v>
      </c>
      <c r="C25" s="7" t="s">
        <v>1676</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1677</v>
      </c>
      <c r="D26" s="108" t="n">
        <f aca="false">IF(ISNUMBER(MATCH(Inputs!$C$129,Schedule!$A$7:$A$18,0)),0,1)</f>
        <v>0</v>
      </c>
      <c r="E26" s="22" t="n">
        <f aca="false">IF(D26=0,1,0)</f>
        <v>1</v>
      </c>
      <c r="F26" s="7"/>
    </row>
    <row r="27" customFormat="false" ht="15" hidden="false" customHeight="false" outlineLevel="0" collapsed="false">
      <c r="A27" s="30" t="n">
        <v>23</v>
      </c>
      <c r="B27" s="30" t="s">
        <v>1678</v>
      </c>
      <c r="C27" s="7" t="s">
        <v>1679</v>
      </c>
      <c r="D27" s="108" t="n">
        <f aca="false">Hours_Log!$Z$50</f>
        <v>0</v>
      </c>
      <c r="E27" s="22" t="n">
        <f aca="false">IF(D27=0,1,0)</f>
        <v>1</v>
      </c>
      <c r="F27" s="7"/>
    </row>
    <row r="28" customFormat="false" ht="15" hidden="false" customHeight="false" outlineLevel="0" collapsed="false">
      <c r="A28" s="30" t="n">
        <v>24</v>
      </c>
      <c r="B28" s="30" t="s">
        <v>1678</v>
      </c>
      <c r="C28" s="7" t="s">
        <v>1680</v>
      </c>
      <c r="D28" s="108" t="n">
        <f aca="false">Hours_Log!$Z$51</f>
        <v>0</v>
      </c>
      <c r="E28" s="22" t="n">
        <f aca="false">IF(D28=0,1,0)</f>
        <v>1</v>
      </c>
      <c r="F28" s="7"/>
    </row>
    <row r="29" customFormat="false" ht="15" hidden="false" customHeight="false" outlineLevel="0" collapsed="false">
      <c r="A29" s="30" t="n">
        <v>25</v>
      </c>
      <c r="B29" s="30" t="s">
        <v>1678</v>
      </c>
      <c r="C29" s="7" t="s">
        <v>1681</v>
      </c>
      <c r="D29" s="108" t="n">
        <f aca="false">Toggl_Import!$AL$10+Toggl_Import!$AL$11</f>
        <v>0</v>
      </c>
      <c r="E29" s="22" t="n">
        <f aca="false">IF(D29=0,1,0)</f>
        <v>1</v>
      </c>
      <c r="F29" s="7"/>
    </row>
    <row r="30" customFormat="false" ht="15" hidden="false" customHeight="false" outlineLevel="0" collapsed="false">
      <c r="A30" s="30" t="n">
        <v>26</v>
      </c>
      <c r="B30" s="30" t="s">
        <v>1678</v>
      </c>
      <c r="C30" s="7" t="s">
        <v>1682</v>
      </c>
      <c r="D30" s="108" t="n">
        <f aca="false">Pipeline!$AH$22+Pipeline!$AH$23</f>
        <v>0</v>
      </c>
      <c r="E30" s="22" t="n">
        <f aca="false">IF(D30=0,1,0)</f>
        <v>1</v>
      </c>
      <c r="F30" s="7"/>
    </row>
    <row r="31" customFormat="false" ht="15" hidden="false" customHeight="false" outlineLevel="0" collapsed="false">
      <c r="A31" s="30" t="n">
        <v>27</v>
      </c>
      <c r="B31" s="30" t="s">
        <v>1678</v>
      </c>
      <c r="C31" s="7" t="s">
        <v>1683</v>
      </c>
      <c r="D31" s="108" t="n">
        <f aca="false">COUNTIF(Actuals_Campaigns!$AL$5:$AL$204,"not in schedule")</f>
        <v>0</v>
      </c>
      <c r="E31" s="22" t="n">
        <f aca="false">IF(D31=0,1,0)</f>
        <v>1</v>
      </c>
      <c r="F31" s="7"/>
    </row>
    <row r="32" customFormat="false" ht="15" hidden="false" customHeight="false" outlineLevel="0" collapsed="false">
      <c r="A32" s="30" t="n">
        <v>28</v>
      </c>
      <c r="B32" s="30" t="s">
        <v>1678</v>
      </c>
      <c r="C32" s="7" t="s">
        <v>1684</v>
      </c>
      <c r="D32" s="108" t="n">
        <f aca="false">COUNTIF(Actuals_DropCosts!$U$5:$U$104,"not in schedule")</f>
        <v>0</v>
      </c>
      <c r="E32" s="22" t="n">
        <f aca="false">IF(D32=0,1,0)</f>
        <v>1</v>
      </c>
      <c r="F32" s="7"/>
    </row>
    <row r="33" customFormat="false" ht="28.35" hidden="false" customHeight="false" outlineLevel="0" collapsed="false">
      <c r="A33" s="30" t="n">
        <v>29</v>
      </c>
      <c r="B33" s="30" t="s">
        <v>1678</v>
      </c>
      <c r="C33" s="7" t="s">
        <v>1685</v>
      </c>
      <c r="D33" s="108" t="n">
        <f aca="false">SUMPRODUCT((Actuals_Campaigns!$A$4:$Z$4&lt;&gt;Lists!$B$34:$AA$34)*1)+COUNTA(Actuals_Campaigns!$AA$4:$AK$204)</f>
        <v>0</v>
      </c>
      <c r="E33" s="22" t="n">
        <f aca="false">IF(D33=0,1,0)</f>
        <v>1</v>
      </c>
      <c r="F33" s="7" t="s">
        <v>1686</v>
      </c>
    </row>
    <row r="34" customFormat="false" ht="28.35" hidden="false" customHeight="false" outlineLevel="0" collapsed="false">
      <c r="A34" s="30" t="n">
        <v>30</v>
      </c>
      <c r="B34" s="30" t="s">
        <v>1678</v>
      </c>
      <c r="C34" s="7" t="s">
        <v>1687</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1678</v>
      </c>
      <c r="C35" s="7" t="s">
        <v>1688</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1678</v>
      </c>
      <c r="C36" s="7" t="s">
        <v>1689</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1678</v>
      </c>
      <c r="C37" s="7" t="s">
        <v>1690</v>
      </c>
      <c r="D37" s="108" t="n">
        <f aca="false">COUNTA(Actuals_Campaigns!$C$5:$C$204)-COUNT(Actuals_Campaigns!$C$5:$C$204)+COUNTA(Actuals_Campaigns!$G$5:$U$204)-COUNT(Actuals_Campaigns!$G$5:$U$204)+COUNTA(Actuals_Campaigns!$X$5:$Z$204)-COUNT(Actuals_Campaigns!$X$5:$Z$204)</f>
        <v>0</v>
      </c>
      <c r="E37" s="22" t="n">
        <f aca="false">IF(D37=0,1,0)</f>
        <v>1</v>
      </c>
      <c r="F37" s="7" t="s">
        <v>1691</v>
      </c>
    </row>
    <row r="38" customFormat="false" ht="15" hidden="false" customHeight="false" outlineLevel="0" collapsed="false">
      <c r="A38" s="30" t="n">
        <v>34</v>
      </c>
      <c r="B38" s="30" t="s">
        <v>1678</v>
      </c>
      <c r="C38" s="7" t="s">
        <v>1692</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1678</v>
      </c>
      <c r="C39" s="7" t="s">
        <v>1693</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1678</v>
      </c>
      <c r="C40" s="7" t="s">
        <v>1694</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1695</v>
      </c>
      <c r="C41" s="7" t="s">
        <v>1696</v>
      </c>
      <c r="D41" s="108" t="n">
        <f aca="false">COUNTIF(Plan_Check!$AX$7:$AX$13,"differs")</f>
        <v>0</v>
      </c>
      <c r="E41" s="22" t="n">
        <f aca="false">IF(D41=0,1,0)</f>
        <v>1</v>
      </c>
      <c r="F41" s="7" t="s">
        <v>1697</v>
      </c>
    </row>
    <row r="42" customFormat="false" ht="15" hidden="false" customHeight="false" outlineLevel="0" collapsed="false">
      <c r="A42" s="30" t="n">
        <v>38</v>
      </c>
      <c r="B42" s="30" t="s">
        <v>1695</v>
      </c>
      <c r="C42" s="7" t="s">
        <v>1698</v>
      </c>
      <c r="D42" s="108" t="n">
        <f aca="false">COUNTIF(Plan_Check!$J$22:$J$29,"no")</f>
        <v>0</v>
      </c>
      <c r="E42" s="22" t="n">
        <f aca="false">IF(D42=0,1,0)</f>
        <v>1</v>
      </c>
      <c r="F42" s="7" t="s">
        <v>1697</v>
      </c>
    </row>
    <row r="43" customFormat="false" ht="28.35" hidden="false" customHeight="false" outlineLevel="0" collapsed="false">
      <c r="A43" s="30" t="n">
        <v>39</v>
      </c>
      <c r="B43" s="30" t="s">
        <v>1695</v>
      </c>
      <c r="C43" s="7" t="s">
        <v>1699</v>
      </c>
      <c r="D43" s="108" t="n">
        <f aca="false">COUNTIF(Plan_Check!$G$34:$G$58,"differs: see reason")-COUNTIF(Plan_Check!G43:G43,"differs: see reason")-COUNTIF(Plan_Check!G58:G58,"differs: see reason")</f>
        <v>0</v>
      </c>
      <c r="E43" s="22" t="n">
        <f aca="false">IF(D43=0,1,0)</f>
        <v>1</v>
      </c>
      <c r="F43" s="7" t="s">
        <v>1700</v>
      </c>
    </row>
    <row r="45" customFormat="false" ht="15" hidden="false" customHeight="false" outlineLevel="0" collapsed="false">
      <c r="C45" s="9" t="s">
        <v>1701</v>
      </c>
      <c r="D45" s="22" t="n">
        <f aca="false">COUNTIFS(B5:B43,"Integrity",E5:E43,0)+COUNTIFS(B5:B43,"Schedule",E5:E43,0)</f>
        <v>0</v>
      </c>
    </row>
    <row r="46" customFormat="false" ht="15" hidden="false" customHeight="false" outlineLevel="0" collapsed="false">
      <c r="C46" s="9" t="s">
        <v>1702</v>
      </c>
      <c r="D46" s="22" t="n">
        <f aca="false">COUNTIFS(B5:B43,"Data",E5:E43,0)</f>
        <v>0</v>
      </c>
    </row>
    <row r="47" customFormat="false" ht="15" hidden="false" customHeight="false" outlineLevel="0" collapsed="false">
      <c r="C47" s="9" t="s">
        <v>1703</v>
      </c>
      <c r="D47" s="22" t="n">
        <f aca="false">COUNTIFS(B5:B43,"Plan",E5:E43,0)</f>
        <v>0</v>
      </c>
    </row>
    <row r="48" customFormat="false" ht="15" hidden="false" customHeight="false" outlineLevel="0" collapsed="false">
      <c r="C48" s="9" t="s">
        <v>1704</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1705</v>
      </c>
    </row>
    <row r="3" customFormat="false" ht="30" hidden="false" customHeight="true" outlineLevel="0" collapsed="false">
      <c r="A3" s="93" t="s">
        <v>1559</v>
      </c>
      <c r="B3" s="93" t="s">
        <v>1560</v>
      </c>
      <c r="C3" s="93" t="s">
        <v>1451</v>
      </c>
      <c r="D3" s="93" t="s">
        <v>1706</v>
      </c>
      <c r="E3" s="93" t="s">
        <v>1707</v>
      </c>
      <c r="F3" s="93" t="s">
        <v>1708</v>
      </c>
      <c r="G3" s="93" t="s">
        <v>1513</v>
      </c>
      <c r="H3" s="93" t="s">
        <v>1516</v>
      </c>
      <c r="I3" s="93" t="s">
        <v>1709</v>
      </c>
      <c r="J3" s="93" t="s">
        <v>1577</v>
      </c>
      <c r="K3" s="93" t="s">
        <v>569</v>
      </c>
      <c r="L3" s="93" t="s">
        <v>598</v>
      </c>
      <c r="N3" s="93" t="s">
        <v>1710</v>
      </c>
      <c r="O3" s="93" t="s">
        <v>1711</v>
      </c>
      <c r="Q3" s="93" t="s">
        <v>1712</v>
      </c>
      <c r="R3" s="93" t="s">
        <v>1713</v>
      </c>
      <c r="S3" s="93" t="s">
        <v>1714</v>
      </c>
      <c r="U3" s="93" t="s">
        <v>1715</v>
      </c>
      <c r="X3" s="93" t="s">
        <v>1716</v>
      </c>
    </row>
    <row r="4" customFormat="false" ht="15" hidden="false" customHeight="false" outlineLevel="0" collapsed="false">
      <c r="A4" s="30" t="s">
        <v>671</v>
      </c>
      <c r="B4" s="30" t="s">
        <v>979</v>
      </c>
      <c r="C4" s="30" t="s">
        <v>1305</v>
      </c>
      <c r="D4" s="30" t="s">
        <v>1717</v>
      </c>
      <c r="E4" s="30" t="s">
        <v>804</v>
      </c>
      <c r="F4" s="30" t="s">
        <v>450</v>
      </c>
      <c r="G4" s="30" t="s">
        <v>1718</v>
      </c>
      <c r="H4" s="30" t="s">
        <v>1719</v>
      </c>
      <c r="I4" s="30" t="s">
        <v>1589</v>
      </c>
      <c r="J4" s="30" t="s">
        <v>804</v>
      </c>
      <c r="K4" s="30" t="s">
        <v>571</v>
      </c>
      <c r="L4" s="30" t="s">
        <v>600</v>
      </c>
      <c r="N4" s="18" t="n">
        <v>46337</v>
      </c>
      <c r="O4" s="30" t="s">
        <v>1720</v>
      </c>
      <c r="Q4" s="18" t="n">
        <v>46374</v>
      </c>
      <c r="R4" s="18" t="n">
        <v>46387</v>
      </c>
      <c r="S4" s="30" t="s">
        <v>1721</v>
      </c>
      <c r="U4" s="30" t="s">
        <v>1722</v>
      </c>
      <c r="V4" s="30" t="n">
        <v>3</v>
      </c>
      <c r="X4" s="30" t="s">
        <v>1723</v>
      </c>
      <c r="Y4" s="32" t="s">
        <v>1724</v>
      </c>
    </row>
    <row r="5" customFormat="false" ht="15" hidden="false" customHeight="false" outlineLevel="0" collapsed="false">
      <c r="A5" s="30" t="s">
        <v>673</v>
      </c>
      <c r="B5" s="30" t="s">
        <v>983</v>
      </c>
      <c r="C5" s="30" t="s">
        <v>1306</v>
      </c>
      <c r="D5" s="30" t="s">
        <v>1725</v>
      </c>
      <c r="E5" s="30" t="s">
        <v>821</v>
      </c>
      <c r="F5" s="30" t="s">
        <v>878</v>
      </c>
      <c r="G5" s="30" t="s">
        <v>1726</v>
      </c>
      <c r="H5" s="30" t="s">
        <v>1727</v>
      </c>
      <c r="I5" s="30" t="s">
        <v>1591</v>
      </c>
      <c r="J5" s="30" t="s">
        <v>821</v>
      </c>
      <c r="K5" s="30" t="s">
        <v>1728</v>
      </c>
      <c r="L5" s="30" t="s">
        <v>1729</v>
      </c>
      <c r="N5" s="18" t="n">
        <v>46352</v>
      </c>
      <c r="O5" s="30" t="s">
        <v>1730</v>
      </c>
      <c r="Q5" s="18" t="n">
        <v>46573</v>
      </c>
      <c r="R5" s="18" t="n">
        <v>46577</v>
      </c>
      <c r="S5" s="30" t="s">
        <v>1731</v>
      </c>
      <c r="U5" s="30" t="s">
        <v>1732</v>
      </c>
      <c r="V5" s="30" t="n">
        <v>4</v>
      </c>
    </row>
    <row r="6" customFormat="false" ht="15" hidden="false" customHeight="false" outlineLevel="0" collapsed="false">
      <c r="A6" s="30" t="s">
        <v>675</v>
      </c>
      <c r="C6" s="30" t="s">
        <v>1307</v>
      </c>
      <c r="D6" s="30" t="s">
        <v>1733</v>
      </c>
      <c r="F6" s="30" t="s">
        <v>879</v>
      </c>
      <c r="H6" s="30" t="s">
        <v>1734</v>
      </c>
      <c r="I6" s="30" t="s">
        <v>1735</v>
      </c>
      <c r="J6" s="30" t="s">
        <v>1594</v>
      </c>
      <c r="N6" s="18" t="n">
        <v>46381</v>
      </c>
      <c r="O6" s="30" t="s">
        <v>1736</v>
      </c>
      <c r="Q6" s="18" t="n">
        <v>46617</v>
      </c>
      <c r="R6" s="18" t="n">
        <v>46630</v>
      </c>
      <c r="S6" s="30" t="s">
        <v>1737</v>
      </c>
    </row>
    <row r="7" customFormat="false" ht="15" hidden="false" customHeight="false" outlineLevel="0" collapsed="false">
      <c r="C7" s="30" t="s">
        <v>1308</v>
      </c>
      <c r="D7" s="30" t="s">
        <v>1738</v>
      </c>
      <c r="F7" s="30" t="s">
        <v>880</v>
      </c>
      <c r="H7" s="30" t="s">
        <v>1739</v>
      </c>
      <c r="N7" s="18" t="n">
        <v>46388</v>
      </c>
      <c r="O7" s="30" t="s">
        <v>1740</v>
      </c>
      <c r="Q7" s="18" t="n">
        <v>46739</v>
      </c>
      <c r="R7" s="18" t="n">
        <v>46752</v>
      </c>
      <c r="S7" s="30" t="s">
        <v>1741</v>
      </c>
    </row>
    <row r="8" customFormat="false" ht="15" hidden="false" customHeight="false" outlineLevel="0" collapsed="false">
      <c r="C8" s="30" t="s">
        <v>1309</v>
      </c>
      <c r="D8" s="30" t="s">
        <v>1742</v>
      </c>
      <c r="F8" s="30" t="s">
        <v>881</v>
      </c>
      <c r="H8" s="30" t="s">
        <v>1743</v>
      </c>
      <c r="N8" s="18" t="n">
        <v>46405</v>
      </c>
      <c r="O8" s="30" t="s">
        <v>1744</v>
      </c>
      <c r="Q8" s="57"/>
      <c r="R8" s="57"/>
    </row>
    <row r="9" customFormat="false" ht="15" hidden="false" customHeight="false" outlineLevel="0" collapsed="false">
      <c r="C9" s="30" t="s">
        <v>1310</v>
      </c>
      <c r="D9" s="30" t="s">
        <v>1745</v>
      </c>
      <c r="H9" s="30" t="s">
        <v>1746</v>
      </c>
      <c r="N9" s="18" t="n">
        <v>46433</v>
      </c>
      <c r="O9" s="30" t="s">
        <v>1747</v>
      </c>
      <c r="Q9" s="57"/>
      <c r="R9" s="57"/>
    </row>
    <row r="10" customFormat="false" ht="15" hidden="false" customHeight="false" outlineLevel="0" collapsed="false">
      <c r="C10" s="30" t="s">
        <v>1311</v>
      </c>
      <c r="D10" s="30" t="s">
        <v>1748</v>
      </c>
      <c r="H10" s="30" t="s">
        <v>1749</v>
      </c>
      <c r="N10" s="18" t="n">
        <v>46538</v>
      </c>
      <c r="O10" s="30" t="s">
        <v>1750</v>
      </c>
      <c r="Q10" s="57"/>
      <c r="R10" s="57"/>
    </row>
    <row r="11" customFormat="false" ht="15" hidden="false" customHeight="false" outlineLevel="0" collapsed="false">
      <c r="H11" s="30" t="s">
        <v>1751</v>
      </c>
      <c r="N11" s="18" t="n">
        <v>46556</v>
      </c>
      <c r="O11" s="30" t="s">
        <v>1752</v>
      </c>
      <c r="Q11" s="57"/>
      <c r="R11" s="57"/>
    </row>
    <row r="12" customFormat="false" ht="15" hidden="false" customHeight="false" outlineLevel="0" collapsed="false">
      <c r="N12" s="18" t="n">
        <v>46573</v>
      </c>
      <c r="O12" s="30" t="s">
        <v>1753</v>
      </c>
      <c r="Q12" s="57"/>
      <c r="R12" s="57"/>
    </row>
    <row r="13" customFormat="false" ht="15" hidden="false" customHeight="false" outlineLevel="0" collapsed="false">
      <c r="N13" s="18" t="n">
        <v>46636</v>
      </c>
      <c r="O13" s="30" t="s">
        <v>1754</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1755</v>
      </c>
    </row>
    <row r="34" customFormat="false" ht="15" hidden="false" customHeight="false" outlineLevel="0" collapsed="false">
      <c r="A34" s="9" t="s">
        <v>1756</v>
      </c>
      <c r="B34" s="32" t="s">
        <v>1450</v>
      </c>
      <c r="C34" s="32" t="s">
        <v>323</v>
      </c>
      <c r="D34" s="32" t="s">
        <v>1558</v>
      </c>
      <c r="E34" s="32" t="s">
        <v>1559</v>
      </c>
      <c r="F34" s="32" t="s">
        <v>1560</v>
      </c>
      <c r="G34" s="32" t="s">
        <v>1561</v>
      </c>
      <c r="H34" s="32" t="s">
        <v>462</v>
      </c>
      <c r="I34" s="32" t="s">
        <v>1562</v>
      </c>
      <c r="J34" s="32" t="s">
        <v>1563</v>
      </c>
      <c r="K34" s="32" t="s">
        <v>1564</v>
      </c>
      <c r="L34" s="32" t="s">
        <v>1565</v>
      </c>
      <c r="M34" s="32" t="s">
        <v>1566</v>
      </c>
      <c r="N34" s="32" t="s">
        <v>1567</v>
      </c>
      <c r="O34" s="32" t="s">
        <v>1568</v>
      </c>
      <c r="P34" s="32" t="s">
        <v>1569</v>
      </c>
      <c r="Q34" s="32" t="s">
        <v>1570</v>
      </c>
      <c r="R34" s="32" t="s">
        <v>1571</v>
      </c>
      <c r="S34" s="32" t="s">
        <v>1572</v>
      </c>
      <c r="T34" s="32" t="s">
        <v>1573</v>
      </c>
      <c r="U34" s="32" t="s">
        <v>1574</v>
      </c>
      <c r="V34" s="32" t="s">
        <v>1575</v>
      </c>
      <c r="W34" s="32" t="s">
        <v>1576</v>
      </c>
      <c r="X34" s="32" t="s">
        <v>1577</v>
      </c>
      <c r="Y34" s="32" t="s">
        <v>1578</v>
      </c>
      <c r="Z34" s="32" t="s">
        <v>1579</v>
      </c>
      <c r="AA34" s="32" t="s">
        <v>1580</v>
      </c>
    </row>
    <row r="35" customFormat="false" ht="15" hidden="false" customHeight="false" outlineLevel="0" collapsed="false">
      <c r="A35" s="9" t="s">
        <v>1757</v>
      </c>
      <c r="B35" s="32" t="s">
        <v>323</v>
      </c>
      <c r="C35" s="32" t="s">
        <v>1558</v>
      </c>
      <c r="D35" s="32" t="s">
        <v>1559</v>
      </c>
      <c r="E35" s="32" t="s">
        <v>462</v>
      </c>
      <c r="F35" s="32" t="s">
        <v>479</v>
      </c>
      <c r="G35" s="32" t="s">
        <v>1599</v>
      </c>
      <c r="H35" s="32" t="s">
        <v>1600</v>
      </c>
      <c r="I35" s="32" t="s">
        <v>1601</v>
      </c>
      <c r="J35" s="32" t="s">
        <v>1520</v>
      </c>
    </row>
    <row r="36" customFormat="false" ht="15" hidden="false" customHeight="false" outlineLevel="0" collapsed="false">
      <c r="A36" s="9" t="s">
        <v>1758</v>
      </c>
      <c r="B36" s="32" t="s">
        <v>365</v>
      </c>
      <c r="C36" s="32" t="s">
        <v>323</v>
      </c>
      <c r="D36" s="32" t="s">
        <v>1450</v>
      </c>
      <c r="E36" s="32" t="s">
        <v>1451</v>
      </c>
      <c r="F36" s="32" t="s">
        <v>406</v>
      </c>
      <c r="G36" s="32" t="s">
        <v>1452</v>
      </c>
    </row>
    <row r="37" customFormat="false" ht="15" hidden="false" customHeight="false" outlineLevel="0" collapsed="false">
      <c r="A37" s="9" t="s">
        <v>1759</v>
      </c>
      <c r="B37" s="32" t="s">
        <v>365</v>
      </c>
      <c r="C37" s="32" t="s">
        <v>1513</v>
      </c>
      <c r="D37" s="32" t="s">
        <v>1514</v>
      </c>
      <c r="E37" s="32" t="s">
        <v>1515</v>
      </c>
      <c r="F37" s="32" t="s">
        <v>1516</v>
      </c>
      <c r="G37" s="32" t="s">
        <v>1517</v>
      </c>
      <c r="H37" s="32" t="s">
        <v>1518</v>
      </c>
      <c r="I37" s="32" t="s">
        <v>1519</v>
      </c>
      <c r="J37" s="32" t="s">
        <v>1520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2026-10-24T09:51:50Z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