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8.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_rels/drawing2.xml.rels" ContentType="application/vnd.openxmlformats-package.relationship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1"/>
  </bookViews>
  <sheets>
    <sheet name="README" sheetId="1" state="visible" r:id="rId3"/>
    <sheet name="Dashboard" sheetId="2" state="visible" r:id="rId4"/>
    <sheet name="Inputs" sheetId="3" state="visible" r:id="rId5"/>
    <sheet name="Scenarios" sheetId="4" state="visible" r:id="rId6"/>
    <sheet name="Schedule" sheetId="5" state="visible" r:id="rId7"/>
    <sheet name="Calculator" sheetId="6" state="visible" r:id="rId8"/>
    <sheet name="Drop_PnL" sheetId="7" state="visible" r:id="rId9"/>
    <sheet name="Cash_Flow" sheetId="8" state="visible" r:id="rId10"/>
    <sheet name="Steady_State" sheetId="9" state="visible" r:id="rId11"/>
    <sheet name="Sensitivity" sheetId="10" state="visible" r:id="rId12"/>
    <sheet name="Plan_Check" sheetId="11" state="visible" r:id="rId13"/>
    <sheet name="Capital" sheetId="12" state="visible" r:id="rId14"/>
    <sheet name="Hours_Log" sheetId="13" state="visible" r:id="rId15"/>
    <sheet name="Toggl_Import" sheetId="14" state="visible" r:id="rId16"/>
    <sheet name="Pipeline" sheetId="15" state="visible" r:id="rId17"/>
    <sheet name="Actuals_Campaigns" sheetId="16" state="visible" r:id="rId18"/>
    <sheet name="Actuals_DropCosts" sheetId="17" state="visible" r:id="rId19"/>
    <sheet name="Drop_Actuals" sheetId="18" state="visible" r:id="rId20"/>
    <sheet name="Cash_Ledger" sheetId="19" state="visible" r:id="rId21"/>
    <sheet name="Checks" sheetId="20" state="visible" r:id="rId22"/>
    <sheet name="Lists" sheetId="21" state="visible" r:id="rId2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<sst xmlns="http://schemas.openxmlformats.org/spreadsheetml/2006/main" count="2858" uniqueCount="1721">
  <si>
    <t xml:space="preserve">Version 1, built 2026-10-23 to 2026-10-24. The company name lives in one cell (Inputs, section 1, 'Company name'); rename it there only.</t>
  </si>
  <si>
    <t xml:space="preserve">What this workbook is</t>
  </si>
  <si>
    <t xml:space="preserve">The workbook you open every week for six months to see whether the business is working. It answers three questions: what each drop earns per founder hour, how low cumulative cash goes and when, and which gate or decision scenario the real numbers point to.</t>
  </si>
  <si>
    <t xml:space="preserve">Every number is a planning estimate from plan.md or the legal pack, never a forecast; fees the legal pack verified say 'verified' and the date on Inputs. Every assumption sits in one labeled cell on Inputs with its unit and source. Every other number is a formula. Change one input and every output moves. The only typed figures outside Inputs are the plan's own numbers, kept for comparison on purpose: the Plan_Check cases, the plan columns on Capital, and the 'Plan reading (e), fixed for comparison' row on Steady_State.</t>
  </si>
  <si>
    <t xml:space="preserve">Your weekly routine (about ten minutes)</t>
  </si>
  <si>
    <t xml:space="preserve">1. Log hours</t>
  </si>
  <si>
    <t xml:space="preserve">Add the week's hours on Hours_Log (one row per entry: date, drop_id or blank, activity key, hours). If you use a paid Toggl plan, paste its export on Toggl_Import instead.</t>
  </si>
  <si>
    <t xml:space="preserve">2. Log the pipeline</t>
  </si>
  <si>
    <t xml:space="preserve">Paste or type outreach events on Pipeline: conversations, yeses, signed offices with Tuesday headcount, paid brands, budget-probe answers, renewal answers.</t>
  </si>
  <si>
    <t xml:space="preserve">3. After each drop</t>
  </si>
  <si>
    <t xml:space="preserve">Paste the campaign actuals and drop costs from the operations exports into Actuals_Campaigns and Actuals_DropCosts. Set 'Actuals in' to Y for that drop on Schedule once revenue, payments, direct costs and hours are final (by T+10, the debrief). code_redemptions_day30 (T+30) and renewal answers can be filled in later: they move no money or hours. The Gate 3 rate stays 'not yet' until every standard run dated by the review has actuals in. Dates must arrive as real dates and amounts as numbers: if Checks says 'stored as text', see 'Dates and amounts' below.</t>
  </si>
  <si>
    <t xml:space="preserve">4. Read the Dashboard</t>
  </si>
  <si>
    <t xml:space="preserve">Next to 'Checks' it should say 'all integrity and data checks pass'; if not, open Checks first, because a failing data check means pasted rows are being ignored. Gates show pass, miss or not yet against real numbers only. The headline shows the next drop's contribution per hour, the price in force, the lowest point of cash and the gap to the plan's $6,510.</t>
  </si>
  <si>
    <t xml:space="preserve">5. Check against the bank (optional)</t>
  </si>
  <si>
    <t xml:space="preserve">Type your actual bank balance at the end of the week on Cash_Flow, row 30. Row 31 shows the variance against the model; the summary shows the latest week.</t>
  </si>
  <si>
    <t xml:space="preserve">6. Keep the plan current</t>
  </si>
  <si>
    <t xml:space="preserve">Edit Schedule when a date, delivery model or brand count changes. Edit Inputs when a quote comes in. The 'Changed?' column records every edit against the plan default.</t>
  </si>
  <si>
    <t xml:space="preserve">Change the price and read the result in under a minute</t>
  </si>
  <si>
    <t xml:space="preserve">Whole model</t>
  </si>
  <si>
    <t xml:space="preserve">One drop only</t>
  </si>
  <si>
    <t xml:space="preserve">Calculator: type a price in 'Standard price per office'. The result column shows revenue, costs, hours and contribution per founder hour. Nothing else changes.</t>
  </si>
  <si>
    <t xml:space="preserve">Many prices at once</t>
  </si>
  <si>
    <t xml:space="preserve">Sensitivity, Table 1: contribution per founder hour for eight prices and one to five brands. Green cells clear the $50 Gate 3 target.</t>
  </si>
  <si>
    <t xml:space="preserve">Tabs, in the order you use them</t>
  </si>
  <si>
    <t xml:space="preserve">Dashboard</t>
  </si>
  <si>
    <t xml:space="preserve">Headline numbers; cash at each stop point (paid out, brand cash received, refunds owed on campaigns not yet run, and the net if you stop at each gate); every gate threshold beside its live value with pass, miss or not yet; the decision rule, the scenario the numbers point to, six-month goals, and contribution per hour on each drop.</t>
  </si>
  <si>
    <t xml:space="preserve">Inputs</t>
  </si>
  <si>
    <t xml:space="preserve">Every assumption: prices, payment terms and lags, the processing toggle, units, every hard-cost line, monthly overhead, hours by activity, the delivery-model table, renewal, gates, startup outlays with timing, the start date. Yellow cells are inputs.</t>
  </si>
  <si>
    <t xml:space="preserve">Scenarios</t>
  </si>
  <si>
    <t xml:space="preserve">The plan's decision situations A to D as assumption sets, beside the plan base. Pick one on Inputs. It drives the two decision-window drops and the steady state.</t>
  </si>
  <si>
    <t xml:space="preserve">Schedule</t>
  </si>
  <si>
    <t xml:space="preserve">The editable drop schedule: date, delivery model, tier, offices, new offices, brands, renewals, and the switch to actuals. Checks Tuesday or Wednesday and every blackout. Columns Y to AE show the brand wins and qualified conversations each drop needs, cumulated to its sign-by date, beside the Pipeline's actual counts; AF to AH flag a decision-window drop whose debrief lands after the decision date; AI shows the offices to add so no office gets two drops within four weeks. A drop you add takes the next spare drop_id (DRP-006 onward) and may sit out of date order: that is fine, because every total, the cash flow and the Dashboard's next drop read dates, not row order. Never re-sort the rows: the drop_id is the key every actuals file uses.</t>
  </si>
  <si>
    <t xml:space="preserve">Calculator</t>
  </si>
  <si>
    <t xml:space="preserve">A single drop of any tier, brand count, office count and delivery model, run through the same engine.</t>
  </si>
  <si>
    <t xml:space="preserve">Drop_PnL</t>
  </si>
  <si>
    <t xml:space="preserve">Per-drop P&amp;L on the plan basis for every scheduled drop, with hours by activity, contribution per founder hour, cash timing on the plan's terms, and live values (actual where in).</t>
  </si>
  <si>
    <t xml:space="preserve">Cash_Flow</t>
  </si>
  <si>
    <t xml:space="preserve">Weekly cash flow for 26 weeks with a monthly cross-check: brand receipts, direct costs, overhead paid once, startup outlays at their timing, cumulative cash and its lowest point. Row 30 takes your actual bank balance; row 31 shows the variance. Below the monthly view: overhead not absorbed, and insurance prepaid beyond the six months.</t>
  </si>
  <si>
    <t xml:space="preserve">Steady_State</t>
  </si>
  <si>
    <t xml:space="preserve">The plan's monthly picture reproduced (row 7, fixed for comparison), a standard drop on today's Inputs (row 8), the scenario in force at steady state, and break-even: campaigns to recover startup cash, campaigns a month to cover overhead, the brand count and price where contribution per hour crosses $50. Every break-even line follows Inputs.</t>
  </si>
  <si>
    <t xml:space="preserve">Sensitivity</t>
  </si>
  <si>
    <t xml:space="preserve">Four plain-formula tables: price x brands, renewal x brands, renewal against the monthly steady state, price against the monthly steady state. Direction checks at the bottom.</t>
  </si>
  <si>
    <t xml:space="preserve">Plan_Check</t>
  </si>
  <si>
    <t xml:space="preserve">The plan's five scenario rows, the $1,000 reading, edge cases, the founder-hour table cell by cell, and a reconciliation of every plan figure: plan, model, difference, reason.</t>
  </si>
  <si>
    <t xml:space="preserve">Capital</t>
  </si>
  <si>
    <t xml:space="preserve">The plan's capital table line by line, where the model pays each line, and the cash the plan's table leaves out.</t>
  </si>
  <si>
    <t xml:space="preserve">Hours_Log</t>
  </si>
  <si>
    <t xml:space="preserve">The hand-filled hours log by the seven activity keys, with totals per drop and per week.</t>
  </si>
  <si>
    <t xml:space="preserve">Toggl_Import</t>
  </si>
  <si>
    <t xml:space="preserve">Optional paste area for a Toggl export. Toggl says CSV export is a paid-plan feature; do not upgrade without a written yes.</t>
  </si>
  <si>
    <t xml:space="preserve">Pipeline</t>
  </si>
  <si>
    <t xml:space="preserve">The event log from outreach, with distinct counts for every gate. Layout matches desk-drop-outreach/exports/pipeline_log.csv. Gate 1 counts a brand as paid in full once its payments add up to the founding package price. A brand's budget_probe answer given after hearing $1,500 carries notes = after_1500; medians use one answer per organisation.</t>
  </si>
  <si>
    <t xml:space="preserve">Actuals_Campaigns, Actuals_DropCosts</t>
  </si>
  <si>
    <t xml:space="preserve">Paste areas for campaign-ops/exports/campaign_actuals.csv and drop_costs.csv: exactly the HANDOFF columns, in order. Ten or more blank columns separate each paste area from its helpers; Checks flags a header that differs or anything pasted in the blank columns.</t>
  </si>
  <si>
    <t xml:space="preserve">Drop_Actuals</t>
  </si>
  <si>
    <t xml:space="preserve">Actuals rolled up per drop: revenue, costs, hours, and the measurement ladder in separate columns. Read-only.</t>
  </si>
  <si>
    <t xml:space="preserve">Cash_Ledger</t>
  </si>
  <si>
    <t xml:space="preserve">The monthly overhead payment schedule the cash flow reads. Read-only.</t>
  </si>
  <si>
    <t xml:space="preserve">Checks</t>
  </si>
  <si>
    <t xml:space="preserve">Integrity, schedule, data and plan-reproduction checks. The Dashboard shows the integrity count.</t>
  </si>
  <si>
    <t xml:space="preserve">Lists</t>
  </si>
  <si>
    <t xml:space="preserve">Fixed keys (delivery model, tier, activities, events), federal holidays and blackouts. Add holidays or blackouts in the blank yellow rows.</t>
  </si>
  <si>
    <t xml:space="preserve">Colours and conventions</t>
  </si>
  <si>
    <t xml:space="preserve">Yellow cell, blue text</t>
  </si>
  <si>
    <t xml:space="preserve">An input. Type here.</t>
  </si>
  <si>
    <t xml:space="preserve">Blue cell</t>
  </si>
  <si>
    <t xml:space="preserve">An input whose default follows another cell (a gate date, Inputs or the scenario in force). Type over it to replace; the 'Changed' flag records it.</t>
  </si>
  <si>
    <t xml:space="preserve">Grey cell</t>
  </si>
  <si>
    <t xml:space="preserve">Calculated on the Inputs tab. Do not type over it.</t>
  </si>
  <si>
    <t xml:space="preserve">Green cell</t>
  </si>
  <si>
    <t xml:space="preserve">A key output.</t>
  </si>
  <si>
    <t xml:space="preserve">Formulas</t>
  </si>
  <si>
    <t xml:space="preserve">No numeric literal other than 0 or 1 appears in any formula; conversions such as days per week sit in input cells. _work/audit_formulas.py checks this.</t>
  </si>
  <si>
    <t xml:space="preserve">Signs</t>
  </si>
  <si>
    <t xml:space="preserve">Cash outflows are negative on Cash_Flow. Costs are positive on the P&amp;L tabs.</t>
  </si>
  <si>
    <t xml:space="preserve">Dates</t>
  </si>
  <si>
    <t xml:space="preserve">YYYY-MM-DD. Week 1 starts Monday 2026-10-26 (CONTRACTS section 3). Moving week 1 does not move the gate or drop dates, which are typed CONTRACTS dates: move them too (Checks flags week 1 moved on its own).</t>
  </si>
  <si>
    <t xml:space="preserve">Dates and amounts must be real dates and numbers</t>
  </si>
  <si>
    <t xml:space="preserve">Every date window and every amount is a SUMIFS, so a date or amount stored as text drops out of the cash flow and the gates with no error. Checks has one 'stored as text' line per paste tab, and the Dashboard banner turns red. To avoid it: bring the CSV in with File, Import, 'Replace data starting at selected cell', with cell A4 of the tab selected (support.google.com/docs/answer/40608, opened 2026-10-24); if the dialog offers to convert text to numbers and dates, leave it on (unverified, founder to confirm). To fix a column that is already text: put =DATEVALUE(cell) for a date or =VALUE(cell) for an amount in a spare column, copy it, paste it back over the original column as values only, and clear the spare column. A format change alone may leave stored text as text, so read the Checks line again after the fix.</t>
  </si>
  <si>
    <t xml:space="preserve">Plan readings (each verified by Plan_Check; none is a fudge)</t>
  </si>
  <si>
    <t xml:space="preserve">(a) Display kit</t>
  </si>
  <si>
    <t xml:space="preserve">$8 per office per drop, not per brand. Only this reproduces the scenario hard costs: a three-brand courier drop is $80 + $300 + $75 + $30 + $50 + $135 = $670. Per brand it would be $830.</t>
  </si>
  <si>
    <t xml:space="preserve">(b) Campaign zero</t>
  </si>
  <si>
    <t xml:space="preserve">Reproduces with storage at $0 (sealed cases at home), transport $120 and processing at 3%: $40 + $120 + $0 + $30 + $50 + $36 = $276, which the plan rounds to $280. Contribution is $924 against the plan's $920, and $16.2 per hour.</t>
  </si>
  <si>
    <t xml:space="preserve">(c) Direct-ship row</t>
  </si>
  <si>
    <t xml:space="preserve">The three-brand direct-ship row ($370) keeps the $75 storage allocation and $0 transport.</t>
  </si>
  <si>
    <t xml:space="preserve">(d) The $1,000 price</t>
  </si>
  <si>
    <t xml:space="preserve">'At $1,000 the three-brand drop drops to about $47 an hour' assumes no card processing: $2,465 / 52 h = $47.4. With processing at 3% it is $45.7.</t>
  </si>
  <si>
    <t xml:space="preserve">(e) Monthly steady state</t>
  </si>
  <si>
    <t xml:space="preserve">$9,000 revenue, about $1,350 hard costs and 104 hours is two three-brand courier drops: $1,340 in hard costs and $7,660 contribution. The plan rounds these.</t>
  </si>
  <si>
    <t xml:space="preserve">(f) Fixed overhead</t>
  </si>
  <si>
    <t xml:space="preserve">$60 software + $100 insurance + $150 storage + $0 phone = $310 a month, inside the plan's $200 to $350. With home storage it is $160.</t>
  </si>
  <si>
    <t xml:space="preserve">(g) Transport lump</t>
  </si>
  <si>
    <t xml:space="preserve">The plan's capital line 'Transport, campaigns zero to two: $600' does not reconcile to its own rates ($120 + $300 + $300 = $720). The model pays transport per drop at the rates; the capital table is reproduced as printed.</t>
  </si>
  <si>
    <t xml:space="preserve">(h) Hours per win</t>
  </si>
  <si>
    <t xml:space="preserve">Six hours per standard brand win = five qualified conversations of 45 minutes (20% close rate) plus 2.25 hours of proposal and paperwork. The close rate on Inputs moves it.</t>
  </si>
  <si>
    <t xml:space="preserve">How the model counts money (no double counting)</t>
  </si>
  <si>
    <t xml:space="preserve">Contribution follows the plan: revenue less hard costs, where hard costs include per-drop allocations of storage ($75), software ($30) and insurance ($50). Those allocations are views of monthly costs (monthly cost / two drops a month). The cash flow never reads them; it pays software, storage, insurance and phone once, from the Cash_Ledger schedule. Cash_Flow shows how much overhead the drops did not absorb in months with fewer than two drops. The six-month all-in rate on the Dashboard charges overhead on an expensed basis: the annual insurance premium paid at bind covers about a year, so the part that covers months after the six months ($700 at defaults) is shown as prepaid and left out of the rate. The cash flow still pays the full premium at bind.</t>
  </si>
  <si>
    <t xml:space="preserve">Startup outlays (formation, publication, licence, printing, domain, professional hours, trademark) are paid once at their timing. Per-drop direct costs (kits, transport, kit mailing, card processing) are paid on the drop's dates. The plan's capital table is reproduced on Capital for comparison only; the cash flow does not read it.</t>
  </si>
  <si>
    <t xml:space="preserve">Brand cash follows the plan's terms: founding brands pay in full before product ships (20 business days before the drop, so campaign zero's money lands at Gate 1); standard brands pay 50% at signature (at the latest, T-10) and 50% at placement confirmation (T+1). The invoice-to-cash lag is blank because the plan has none.</t>
  </si>
  <si>
    <t xml:space="preserve">How shared drop costs split across brands</t>
  </si>
  <si>
    <t xml:space="preserve">A drop's shared costs (display kits, transport, kit mailing, overhead allocations) and shared hours (office coordination, the base of receiving, drop day, checks, admin) are split equally across the brands on the drop wherever a per-brand figure is shown (Calculator, break-even). Revenue, card processing, brand sales hours, per-brand kitting and reporting hours belong to each brand. No figure in the model depends on the split except those per-brand views.</t>
  </si>
  <si>
    <t xml:space="preserve">Assumptions (numbered)</t>
  </si>
  <si>
    <t xml:space="preserve">1</t>
  </si>
  <si>
    <t xml:space="preserve">Prices are per office at the tier rate: $150 standard, $120 founding. Offices beyond the package (10 or 5) pay the $150 extra-office price. Founding-rate renewals pay $120 per office for any office count. A drop smaller than the package is priced pro rata; founder to confirm any minimum.</t>
  </si>
  <si>
    <t xml:space="preserve">2</t>
  </si>
  <si>
    <t xml:space="preserve">A drop with zero brands does not run: no cost, no hours.</t>
  </si>
  <si>
    <t xml:space="preserve">3</t>
  </si>
  <si>
    <t xml:space="preserve">Founder hours decompose the plan's table into rates: 10 hours per first (founding) brand, 6 per standard win, 2 per renewal, 4 per new office, 1 per existing office, 2 reporting per brand, 2 admin per drop, and logistics by delivery model (Inputs section 7). The rates reproduce all four columns exactly.</t>
  </si>
  <si>
    <t xml:space="preserve">4</t>
  </si>
  <si>
    <t xml:space="preserve">A renewal fills a brand slot on a later drop at that brand's tier price and costs 2 hours of brand sales instead of 6. In the decision-window drops, renewals = renewal rate x brands, rounded. In the steady state they are not rounded (expected values).</t>
  </si>
  <si>
    <t xml:space="preserve">5</t>
  </si>
  <si>
    <t xml:space="preserve">Card processing applies to every receipt while the toggle is 1 (high end of the 0% to 3% range). Set it to 0 to model bank transfer, the plan's preferred invoicing.</t>
  </si>
  <si>
    <t xml:space="preserve">6</t>
  </si>
  <si>
    <t xml:space="preserve">General liability insurance is $100 a month (the plan's working figure and the legal pack's $1,200 a year), paid as one annual premium at bind on Gate 1, inside the legal pack's latest bind date of 2026-12-21. Needs three quotes. For the all-in rate, each month of cover is expensed in the month it starts: five months fall inside the window, so $700 of the premium is prepaid beyond it.</t>
  </si>
  <si>
    <t xml:space="preserve">7</t>
  </si>
  <si>
    <t xml:space="preserve">Storage: home for campaign zero, a $150-a-month unit from 2027-02-01 through the six months. Software $60 a month from week 1. Phone $0.</t>
  </si>
  <si>
    <t xml:space="preserve">8</t>
  </si>
  <si>
    <t xml:space="preserve">Courier transport is $30 a stop ($300 for ten stops; range $25 to $40). Founder delivery is $120 a drop. Direct-ship transport is $0; mailing the kit ahead needs a quote.</t>
  </si>
  <si>
    <t xml:space="preserve">9</t>
  </si>
  <si>
    <t xml:space="preserve">Formation, licence, professional-hour and filing figures come from the legal pack (desk-drop-legal-pack/figures.csv, read 2026-10-24 and re-read after its 01:52 and 02:33 updates the same day): Articles $200 and Certificate of Publication $50 (verified 2026-10-23); licence $400 (fee verified, whether required unknown); attorney $400 and accountant $300 (plan estimates that keep the plan's 'about $700' for both hours); IT-204-LL $25 (verified). Newspaper publication is the plan's high end, $2,000 (range $250 to $2,000, no working figure in the plan), because the legal pack's figure is not yet verified: its working $1,745 for New York County and $345 for Albany County both still need a quote. Printing ($300) and domain ($100) are plan estimates.</t>
  </si>
  <si>
    <t xml:space="preserve">10</t>
  </si>
  <si>
    <t xml:space="preserve">The trademark application ($350 per class, verified) is in the six months, paid on the Gate 2 day if campaign zero passes: the plan's setup checklist lists 'Trademark application, if the campaign was a pass' after campaign zero, and the legal pack now times it from about Mon 2027-01-25, inside the six months. The plan's capital table has no line for it. The Gate 2 day is the earliest and most cautious date. USPTO refused a prior DESK-DROP application as merely descriptive: set Include = N if the attorney advises against filing.</t>
  </si>
  <si>
    <t xml:space="preserve">11</t>
  </si>
  <si>
    <t xml:space="preserve">Hired and non-owned auto cover and building additional-insured endorsements are blank (needs quote, legal pack). Campaign zero's car rides need the auto add-on. A mailing address (PO box or private mailbox, only if you will not use a home address) and a registered agent (Albany County route only, Include = N) are blank too; the legal pack invents no figure for either.</t>
  </si>
  <si>
    <t xml:space="preserve">12</t>
  </si>
  <si>
    <t xml:space="preserve">Gate tests use real numbers only: the pipeline log for Gates 0 and 1, campaign actuals for Gates 2 and 3. A gate is 'not yet' until its review date passes, then 'miss' if the threshold is not met.</t>
  </si>
  <si>
    <t xml:space="preserve">13</t>
  </si>
  <si>
    <t xml:space="preserve">Gate 2 tests five responses per office per brand campaign using survey_responses_min_office when operations supplies it, otherwise the average per office.</t>
  </si>
  <si>
    <t xml:space="preserve">14</t>
  </si>
  <si>
    <t xml:space="preserve">The steady state uses the courier model, as the plan's monthly picture does; direct-ship raises contribution per hour.</t>
  </si>
  <si>
    <t xml:space="preserve">15</t>
  </si>
  <si>
    <t xml:space="preserve">Not modeled: sales tax and income tax (the accountant hour decides), brand cancellations and refunds, late or unpaid balances, and the founder's own pay. Every scheduled brand pays in full on the plan's terms. Brands supply product and prepaid inbound freight, so there is no product cost. Two brand terms from the legal pack's brand agreement (10, sections 3 and 8) are not modeled either: a founding price is due within five business days of the invoice and before shipping, which fits D4 if the invoice goes out by Fri 2026-12-04; and a brand may cancel for a full refund if outside events move a drop more than once or by more than three weeks in all. An office not placed by T+1 is refunded or credited ($150 standard, $120 founding).</t>
  </si>
  <si>
    <t xml:space="preserve">16</t>
  </si>
  <si>
    <t xml:space="preserve">The six-month all-in view adds the hours that belong to no drop: 45 planned discovery hours (15 a week for weeks 1 to 3, the high end of the plan's 10 to 15), or the hours logged inside the 26 weeks with a blank drop_id once there are more of them. Weeks 4 to 7 of selling and recruiting already sit in campaign zero's 57 hours, so log them against DRP-001.</t>
  </si>
  <si>
    <t xml:space="preserve">17</t>
  </si>
  <si>
    <t xml:space="preserve">Office fatigue is a warning, not a check: the plan wants one drop per office a month, but the CONTRACTS calendar puts standard runs two weeks apart with a 12-office roster. The Dashboard shows its cost: with a roster big enough for one drop per office a month, standard runs to Gate 3 earn $51.4 an hour instead of $61.3, just above the $50 bar.</t>
  </si>
  <si>
    <t xml:space="preserve">18</t>
  </si>
  <si>
    <t xml:space="preserve">No founding-rate renewal is scheduled by default. Campaign zero's report lands 2027-01-22 and its debrief 2027-01-27: after run 1's latest signature (2027-01-26), and for run 2 a founding renewal would have to pay in full by 2027-01-25 (20 business days ahead), before its debrief. The decision-window renewals (renewal rate x brands, rounded) are priced at the standard rate. If one is a founding brand, enter it under 'of which founding-rate renewals': each one costs $300 of revenue against a standard renewal (10 offices x $30) and saves no hours; against a new standard brand it costs $300 and saves 4 hours.</t>
  </si>
  <si>
    <t xml:space="preserve">19</t>
  </si>
  <si>
    <t xml:space="preserve">A renewal counts toward Gate 3 only when the pipeline's renewal_answer says yes and commits $1,500 or more, and each brand counts once, however many rows repeat it.</t>
  </si>
  <si>
    <t xml:space="preserve">20</t>
  </si>
  <si>
    <t xml:space="preserve">Pasted files carry exactly the HANDOFF columns, in order. Each paste area has ten or more blank columns before its helpers, and Checks flags a header that differs or anything pasted in the blank columns. Extra fields go in a separate file.</t>
  </si>
  <si>
    <t xml:space="preserve">21</t>
  </si>
  <si>
    <t xml:space="preserve">Scenario B's office-paid revenue ($500 a month) is shown but left out of the steady-state net until its cost to serve is quoted, so an unpriced cost never makes B look better than the plan base.</t>
  </si>
  <si>
    <t xml:space="preserve">22</t>
  </si>
  <si>
    <t xml:space="preserve">The capital table's $300 'printing and materials' is read as startup supplies (hand truck, supplies, first card run). Campaign zero also pays $40 of display kits on its drop. If the first card run is those kits, $40 is counted twice; the model keeps both plan figures (conservative by $40).</t>
  </si>
  <si>
    <t xml:space="preserve">23</t>
  </si>
  <si>
    <t xml:space="preserve">The decision rule says Stop only when both tests have failed. While renewal is under 30% and fewer than two drops after Gate 3 have actuals, it says the switch test is still running, because the plan's situation B is 'run two more drops' first.</t>
  </si>
  <si>
    <t xml:space="preserve">24</t>
  </si>
  <si>
    <t xml:space="preserve">Gate 1 counts a brand as 'paid in full' once its paid rows by the review date add up to the founding package price ($600 at defaults). A deposit or part payment alone does not count. Each payment is its own row, in date order.</t>
  </si>
  <si>
    <t xml:space="preserve">25</t>
  </si>
  <si>
    <t xml:space="preserve">A brand's budget_probe value is the number it named before hearing $1,500. An answer given after hearing $1,500 is a second budget_probe row with notes = after_1500. Gate 0 counts a brand if any of its answers is $500 or more and it controls the budget. Each median uses one answer per organisation: its first numeric answer before the anchor (brands also get a separate after-anchor median).</t>
  </si>
  <si>
    <t xml:space="preserve">26</t>
  </si>
  <si>
    <t xml:space="preserve">The Gate 3 rate passes only when every standard run that runs and is dated by the review date has actuals in. Until then its status reads 'not yet: N standard run(s) without actuals', whatever the date. The all-drops rate and the scenario pointer say how many drops with results due (T+10 by the as-of date) are still missing.</t>
  </si>
  <si>
    <t xml:space="preserve">27</t>
  </si>
  <si>
    <t xml:space="preserve">The storage unit is rented from the first day of the month of the first standard drop that runs. With no standard drop scheduled, no unit is rented.</t>
  </si>
  <si>
    <t xml:space="preserve">28</t>
  </si>
  <si>
    <t xml:space="preserve">The brand renewal rate counts brands, not campaigns, as the plan's test does ('40% of brands renew'): brands with at least one renewed = Y, over brands with any Y or N answer, each brand_id once. So brand_id must stay the same across a brand's campaigns.</t>
  </si>
  <si>
    <t xml:space="preserve">29</t>
  </si>
  <si>
    <t xml:space="preserve">Cost lines with no figure yet (needs quote or needs founder decision) count as $0 in the cash flow. The Dashboard's capital-to-commit line says how many: 5 at defaults (mailing address, hired and non-owned auto, building endorsements, kit mailing, extra tent cards).</t>
  </si>
  <si>
    <t xml:space="preserve">30</t>
  </si>
  <si>
    <t xml:space="preserve">Cash at each stop point: 'paid out' is gross, with no brand money. 'Net if you stop here' adds brand cash received by the review day and takes off refunds of payments for campaigns whose drop has not run (at Gate 3, the decision-window deposits). Card fees on refunded payments are not recovered.</t>
  </si>
  <si>
    <t xml:space="preserve">Derived items (founder to confirm)</t>
  </si>
  <si>
    <t xml:space="preserve">D1</t>
  </si>
  <si>
    <t xml:space="preserve">Calendar from CONTRACTS section 3: week 1 2026-10-26; Gate 0 2026-11-13; Gate 1 2026-12-11; campaign zero Tue 2027-01-12 (moved by the December blackout); Gate 2 2027-01-22; standard drops Tue 2027-02-09 and Tue 2027-02-23; Gate 3 Fri 2027-03-12; decision 2027-04-09.</t>
  </si>
  <si>
    <t xml:space="preserve">D2</t>
  </si>
  <si>
    <t xml:space="preserve">Two decision-window drops, Tue 2027-03-23 and Tue 2027-04-06, direct-ship, three brands each. They are not in the plan's roadmap table (campaign zero and two standard runs, 8 paid campaigns against the goal of 6). They come from the decision rule ('after two extra drops'), scenario B ('run two more drops') and scenario A (two drops a month). They carry the schedule's two renewals. The Dashboard shows the six-month all-in rate and week-26 cash with and without them: at defaults $33.8 an hour and $2,839 for the roadmap alone, $52.5 and $11,409 with them. The schedule needs 12 new brand wins by 2027-03-23 (about 60 qualified conversations at a 20% close rate); Schedule columns Y to AE show them by sign-by date beside the Pipeline's actual counts.</t>
  </si>
  <si>
    <t xml:space="preserve">D3</t>
  </si>
  <si>
    <t xml:space="preserve">New offices: five in campaign zero; standard run 1 fills its ten (five new); run 2 adds the two that reach the goal of 12 active offices. These are formulas of Inputs, so changing the drop size or the goal moves them.</t>
  </si>
  <si>
    <t xml:space="preserve">D4</t>
  </si>
  <si>
    <t xml:space="preserve">Founding payment 20 business days before the drop (campaign zero's money at Gate 1). Standard signature at T-10 (the latest that still lets a brand ship). Balance at T+1.</t>
  </si>
  <si>
    <t xml:space="preserve">D5</t>
  </si>
  <si>
    <t xml:space="preserve">Startup timing, each a formula of the date it depends on (legal pack timing, re-read 2026-10-24 after its 02:33 update): domain and any mailbox in week 1; attorney hour Wed 2026-11-18 and accountant hour Fri 2026-11-20 (3 and 5 business days after Gate 0); LLC filing Thu 2026-11-19 (4 business days after Gate 0, the day after the attorney hour); publication 10 business days after filing (Fri 2026-12-04, skipping Thanksgiving); insurance, its add-ons, licence and printing at Gate 1; Certificate of Publication after the sixth weekly run (2027-01-15); trademark at Gate 2; IT-204-LL on its statutory date, 2027-03-15. If Gate 0 or Gate 1 slips, these move with it.</t>
  </si>
  <si>
    <t xml:space="preserve">D6</t>
  </si>
  <si>
    <t xml:space="preserve">Hour rates for receiving and kitting, drop day and checks by delivery model, derived from the plan's table (Inputs section 7).</t>
  </si>
  <si>
    <t xml:space="preserve">D7</t>
  </si>
  <si>
    <t xml:space="preserve">Scenario levers the plan does not name follow the plan base by formula (blue cells on Scenarios), so an Inputs edit reaches every scenario. Scenario B's renewal is 0%, the low end of 'under 30%'. Scenario A's post-decision price is $180, the low end of $1,800 to $2,000. Scenario A recruits 4 new offices on each decision-window drop, taking the 12-office roster to 20, the low end of 'grow the roster to 20 to 30 offices'.</t>
  </si>
  <si>
    <t xml:space="preserve">D8</t>
  </si>
  <si>
    <t xml:space="preserve">One drop per office every 28 days counts as 'one a month' for the office-fatigue warning.</t>
  </si>
  <si>
    <t xml:space="preserve">D9</t>
  </si>
  <si>
    <t xml:space="preserve">Courier $30 a stop is the plan's $300 route divided by ten stops. Proposal and paperwork 2.25 hours make the plan's six hours per win at a 20% close rate.</t>
  </si>
  <si>
    <t xml:space="preserve">D10</t>
  </si>
  <si>
    <t xml:space="preserve">Gate 2 follows its drop on Schedule: the campaign-zero date plus seven business days (2027-01-22). The storage unit starts on the first day of the month of the first standard drop that runs (2027-02-01).</t>
  </si>
  <si>
    <t xml:space="preserve">D11</t>
  </si>
  <si>
    <t xml:space="preserve">DRP-005's debrief (T+10) is Tue 2027-04-20, after the canonical decision date of Fri 2027-04-09 (CONTRACTS section 3). The model keeps the canonical date and warns on the Dashboard; REPORT.md asks whether to move the review to 2027-04-20.</t>
  </si>
  <si>
    <t xml:space="preserve">Needs a quote or a founder decision (blank or flagged)</t>
  </si>
  <si>
    <t xml:space="preserve">Courier</t>
  </si>
  <si>
    <t xml:space="preserve">Three quotes for a ten-stop route. Default $30 a stop.</t>
  </si>
  <si>
    <t xml:space="preserve">Insurance</t>
  </si>
  <si>
    <t xml:space="preserve">Three general liability quotes, plus hired and non-owned auto and any building endorsements. Default $100 a month; add-ons blank.</t>
  </si>
  <si>
    <t xml:space="preserve">Publication</t>
  </si>
  <si>
    <t xml:space="preserve">A quote once the county named in the Articles is settled. Default $2,000, the plan's high end, until then. The legal pack's working figures: New York County $1,745, Albany County $345 if the attorney confirms it fits.</t>
  </si>
  <si>
    <t xml:space="preserve">Kit mailing</t>
  </si>
  <si>
    <t xml:space="preserve">Postage to mail a display kit ahead of a direct-ship drop. Blank.</t>
  </si>
  <si>
    <t xml:space="preserve">Extra tent cards</t>
  </si>
  <si>
    <t xml:space="preserve">Whether each brand on a drop needs its own card ($1 to $2 each). Blank, per reading (a).</t>
  </si>
  <si>
    <t xml:space="preserve">Payment lag</t>
  </si>
  <si>
    <t xml:space="preserve">Your invoice terms. Blank = paid the day invoiced.</t>
  </si>
  <si>
    <t xml:space="preserve">Founder cash</t>
  </si>
  <si>
    <t xml:space="preserve">What you commit to the six months (plan question 7). Blank.</t>
  </si>
  <si>
    <t xml:space="preserve">Office-paid cost</t>
  </si>
  <si>
    <t xml:space="preserve">Cost to serve an office-paid office (scenario B). Blank.</t>
  </si>
  <si>
    <t xml:space="preserve">Mailing address</t>
  </si>
  <si>
    <t xml:space="preserve">A PO box or private mailbox for email footers and the LLC notice, only if you will not use a home address (legal pack, CAN-SPAM). Blank; Include = Y, so a quote flows in when typed.</t>
  </si>
  <si>
    <t xml:space="preserve">Registered agent</t>
  </si>
  <si>
    <t xml:space="preserve">Only if the attorney confirms the Albany County route for the Articles (legal pack). Blank; Include = N.</t>
  </si>
  <si>
    <t xml:space="preserve">Measurement honesty</t>
  </si>
  <si>
    <t xml:space="preserve">The ladder stays in separate columns everywhere: delivered, placed, depleted, responded (tried is a survey answer), scanned, purchased (code redemptions). Incremental purchases are not measured, and the column says so. There is no field for sales lift, conversions or ROI.</t>
  </si>
  <si>
    <t xml:space="preserve">Google Sheets</t>
  </si>
  <si>
    <t xml:space="preserve">Built to open in Google Sheets with formulas intact: no macros, scripts, data tables, array formulas, named ranges or add-ons. Every function used (38) appears in Google's Sheets function list (support.google.com/docs/table/25273, opened 2026-10-23 and 2026-10-24). Every INDEX over a single row names its row and column (INDEX(range, 1, column)), because Google documents INDEX's second argument as the row. Import: open a blank spreadsheet in Google Sheets, then File, Import, choose the .xlsx, 'Replace spreadsheet', Import (support.google.com/docs/answer/40608, opened 2026-10-24). A live import was not possible from the build environment, so check after the first import (unverified, founder to confirm): the Dashboard says 'all integrity and data checks pass', Checks shows 0 failing, Scenarios!H10 shows 2 and Cash_Flow!C35 shows 13 (not #REF!).</t>
  </si>
  <si>
    <t xml:space="preserve">Changelog</t>
  </si>
  <si>
    <t xml:space="preserve">Round 1</t>
  </si>
  <si>
    <t xml:space="preserve">Draft: built every tab on one shared drop engine; plan rows, hour table, capital table and steady state reproduce. The audit found one numeric literal (a '2' in the scenario pointer), a ROW() call, the company name inside a source quote, and a circular reference between the error scan and Dashboard cells that read Checks. All fixed; 28 of 28 checks pass.</t>
  </si>
  <si>
    <t xml:space="preserve">Round 2</t>
  </si>
  <si>
    <t xml:space="preserve">Pulled the legal pack's figures.csv (publication $1,745, attorney $400 and accountant $300, IT-204-LL $25, trademark out of the six months, two needs-quote insurance add-ons). Added office-fatigue warnings, change tracking on Scenarios and Schedule, overhead-not-absorbed and six-month all-in views, Gate 3 planned renewals counted by signature date, and tolerance cells instead of exact equality. Re-laid the Dashboard after a visual check.</t>
  </si>
  <si>
    <t xml:space="preserve">Round 3</t>
  </si>
  <si>
    <t xml:space="preserve">Moved offices and brands per drop onto Inputs and made the derived Schedule rows formulas of them (new offices backed out from the 12-office goal). Unsmoothed the cash chart, top-aligned every cell, blanked unused drop rows. Behaviour tests cover a SAMPLE actuals run through every gate.</t>
  </si>
  <si>
    <t xml:space="preserve">Round 4</t>
  </si>
  <si>
    <t xml:space="preserve">Final review: verified the last three functions (DATEVALUE, TIMEVALUE, FIND) on Google's Sheets list, made every plan-row tolerance the same, wrote HANDOFF, README and REPORT, and regenerated the CSV snapshots. Audit 0 literals; 28 of 28 checks; 54 of 54 tests.</t>
  </si>
  <si>
    <t xml:space="preserve">Round 5</t>
  </si>
  <si>
    <t xml:space="preserve">Independent review round 1 (2026-10-24): publication at the plan's high end ($2,000); break-even and a new Dashboard row follow Inputs; decision rule no longer says Stop while the switch test runs, with a warning that DRP-005 reports after the decision date; paste areas buffered and header-checked; all-in and week-26 cash shown with and without the decision-window drops, insurance expensed by month; Gate 3 renewals need a yes and count once; zero-brand drops recruit no offices; office-paid revenue left out until costed; timing defaults follow their gates; planning-estimate labels on every tab; clean CSV exports. Audit 0 literals; 34 of 34 checks; tests in _work/test_log.txt.</t>
  </si>
  <si>
    <t xml:space="preserve">Round 6</t>
  </si>
  <si>
    <t xml:space="preserve">Independent review round 2 (2026-10-24): every INDEX over one row now names row 1 and its column, and the audit fails any that does not (Google Sheets reads INDEX's second argument as the row); the Gate 3 rate cannot pass until every standard run dated by the review has actuals in, and the all-drops rate and pointer show how many drops with results due are missing; the six-month all-in rate counts hours logged outside a drop once they exceed the planned 45; Gate 1 counts a brand only once its payments reach the founding package price; budget-probe medians use one before-anchor answer per organisation (after-anchor answers marked after_1500); the storage unit starts with the first standard drop that runs; legal-pack update (mailbox and registered-agent lines, filing Thu 2026-11-19, attorney 11-18, accountant 11-20, insurance status plan estimate); Dashboard block with cash at each stop point; the README price text is live; break-even shows standard drops as well as brand campaigns; Cash_Ledger banner. Audit and tests in _work/audit_log.txt and _work/test_log.txt.</t>
  </si>
  <si>
    <t xml:space="preserve">Round 7</t>
  </si>
  <si>
    <t xml:space="preserve">Independent review round 3 (2026-10-24): Checks counts dates and amounts stored as text on every paste tab, and the Dashboard banner now names data failures; the trademark ($350) is in the six months at Gate 2, as the plan's setup checklist and the legal pack's 02:33 update time it (low point -$4,476 in week 13, capital to commit $5,476); the next scheduled drop is the earliest upcoming date, and drop rows out of date order are information, not a failure; levers a scenario does not name follow the plan base by formula, and scenario A grows the roster to 20; the stop-point block adds refunds owed and the net if you stop; the capital line counts unpriced lines; the renewal rate counts each brand once; a check flags week 1 moved on its own; polish (Drop_Actuals label, one import route, 'n/a' rates).</t>
  </si>
  <si>
    <t xml:space="preserve">Planning estimates, not a forecast. Gates count real numbers only (pipeline log and actuals). Change assumptions on Inputs; type real numbers into the logs.</t>
  </si>
  <si>
    <t xml:space="preserve">SAMPLE DATA. Untouched scratch copy, as-of date set only.</t>
  </si>
  <si>
    <t xml:space="preserve">As of</t>
  </si>
  <si>
    <t xml:space="preserve">Scenario</t>
  </si>
  <si>
    <t xml:space="preserve">Headline</t>
  </si>
  <si>
    <t xml:space="preserve">Measure</t>
  </si>
  <si>
    <t xml:space="preserve">Value</t>
  </si>
  <si>
    <t xml:space="preserve">Detail</t>
  </si>
  <si>
    <t xml:space="preserve">Next scheduled drop</t>
  </si>
  <si>
    <t xml:space="preserve">Its contribution per founder hour (plan)</t>
  </si>
  <si>
    <t xml:space="preserve">Price in force: standard price per office (Inputs, section 3)</t>
  </si>
  <si>
    <t xml:space="preserve">A standard drop at that price: contribution per founder hour</t>
  </si>
  <si>
    <t xml:space="preserve">Standard runs to Gate 3: contribution per founder hour, plan</t>
  </si>
  <si>
    <t xml:space="preserve">Same, if the roster grows so no office gets two drops within four weeks</t>
  </si>
  <si>
    <t xml:space="preserve">Lowest point of cumulative cash (before founder cash)</t>
  </si>
  <si>
    <t xml:space="preserve">Capital to commit: lowest point plus the reserve</t>
  </si>
  <si>
    <t xml:space="preserve">Plan capital figure (high end of the plan's table)</t>
  </si>
  <si>
    <t xml:space="preserve">Gap to the plan capital figure (positive = headroom)</t>
  </si>
  <si>
    <t xml:space="preserve">Founder cash committed</t>
  </si>
  <si>
    <t xml:space="preserve">Overhead paid but not absorbed by drops, six months (cash)</t>
  </si>
  <si>
    <t xml:space="preserve">Six months all-in per founder hour: roadmap drops only (to Gate 3)</t>
  </si>
  <si>
    <t xml:space="preserve">Six months all-in per founder hour: with the decision-window drops (derived, not in the plan's roadmap)</t>
  </si>
  <si>
    <t xml:space="preserve">Cumulative cash at week 26: roadmap drops only</t>
  </si>
  <si>
    <t xml:space="preserve">Cumulative cash at week 26: with the decision-window drops (derived)</t>
  </si>
  <si>
    <t xml:space="preserve">Steady state, scenario in force: contribution per month</t>
  </si>
  <si>
    <t xml:space="preserve">Office-fatigue warnings on Schedule</t>
  </si>
  <si>
    <t xml:space="preserve">Decision-window drops whose debrief (T+10) lands after the decision date</t>
  </si>
  <si>
    <t xml:space="preserve">Schedule rows changed or added since the derived default</t>
  </si>
  <si>
    <t xml:space="preserve">Inputs changed from plan defaults</t>
  </si>
  <si>
    <t xml:space="preserve">Cash at each stop point (before founder cash)</t>
  </si>
  <si>
    <t xml:space="preserve">Review</t>
  </si>
  <si>
    <t xml:space="preserve">Date</t>
  </si>
  <si>
    <t xml:space="preserve">Paid out before the review day (gross; no brand money)</t>
  </si>
  <si>
    <t xml:space="preserve">Brand cash received by the review day</t>
  </si>
  <si>
    <t xml:space="preserve">Refunds owed if you stop: payments received for drops not yet run</t>
  </si>
  <si>
    <t xml:space="preserve">Net if you stop here: paid out + received - refunds</t>
  </si>
  <si>
    <t xml:space="preserve">Cumulative net cash at the end of that week, if every gate passes</t>
  </si>
  <si>
    <t xml:space="preserve">Gate 0</t>
  </si>
  <si>
    <t xml:space="preserve">Gate 1</t>
  </si>
  <si>
    <t xml:space="preserve">Gate 2</t>
  </si>
  <si>
    <t xml:space="preserve">Gate 3</t>
  </si>
  <si>
    <t xml:space="preserve">Six-month decision</t>
  </si>
  <si>
    <t xml:space="preserve">Paid out counts every outflow dated before the review day (startup outlays, overhead, drop costs, card fees) and no brand money: at Gate 1 it is what you are out if no brand pays. Spending the plan makes on the review day itself is left out, because you make it only if the gate passes (at Gate 1: insurance, the licence and printing; at Gate 2: the trademark). Net if you stop here adds the brand cash received by that day and takes off what you would refund: payments for campaigns whose drop has not run yet (founding payments, deposits). Card fees on refunded payments are not recovered. Founding brands pay on Gate 1 day by default.</t>
  </si>
  <si>
    <t xml:space="preserve">Gate dashboard (live values are actuals only)</t>
  </si>
  <si>
    <t xml:space="preserve">Gate</t>
  </si>
  <si>
    <t xml:space="preserve">Test</t>
  </si>
  <si>
    <t xml:space="preserve">Review date</t>
  </si>
  <si>
    <t xml:space="preserve">Threshold</t>
  </si>
  <si>
    <t xml:space="preserve">Model assumes</t>
  </si>
  <si>
    <t xml:space="preserve">Live value</t>
  </si>
  <si>
    <t xml:space="preserve">Status</t>
  </si>
  <si>
    <t xml:space="preserve">If it fails (plan)</t>
  </si>
  <si>
    <t xml:space="preserve">Office conversations held (context)</t>
  </si>
  <si>
    <t xml:space="preserve">info</t>
  </si>
  <si>
    <t xml:space="preserve">Offices yes in principle, with owner and receiving window</t>
  </si>
  <si>
    <t xml:space="preserve">Fewer than 5 offices: change the cluster or office size band, not the model.</t>
  </si>
  <si>
    <t xml:space="preserve">Brand conversations held (context)</t>
  </si>
  <si>
    <t xml:space="preserve">Brands that would pay $500 or more and control the budget</t>
  </si>
  <si>
    <t xml:space="preserve">Fewer than 3: test the office-paid version for three more weeks before deciding.</t>
  </si>
  <si>
    <t xml:space="preserve">Offices signed</t>
  </si>
  <si>
    <t xml:space="preserve">Offices sign but no brand pays even $600: pivot to office-paid or stop. No free campaign.</t>
  </si>
  <si>
    <t xml:space="preserve">Combined Tuesday headcount of signed offices</t>
  </si>
  <si>
    <t xml:space="preserve">Brands paid in full</t>
  </si>
  <si>
    <t xml:space="preserve">One paid brand is a soft pass: run it, make the second sale first.</t>
  </si>
  <si>
    <t xml:space="preserve">Units placed within one business day (share of delivered)</t>
  </si>
  <si>
    <t xml:space="preserve">Fix the procedure once (card, handoff, Slack post). A second miss is a stop signal.</t>
  </si>
  <si>
    <t xml:space="preserve">Brand campaigns under 5 survey responses per office (must be 0)</t>
  </si>
  <si>
    <t xml:space="preserve">Reports late (after T+7) or missing (must be 0)</t>
  </si>
  <si>
    <t xml:space="preserve">Brands that would buy again</t>
  </si>
  <si>
    <t xml:space="preserve">Renewals at $1,500 or more, signed by the review date</t>
  </si>
  <si>
    <t xml:space="preserve">No renewal: redesign the evidence (velocity, redemptions), run one more drop. A second miss is a stop.</t>
  </si>
  <si>
    <t xml:space="preserve">Contribution per founder hour, standard runs</t>
  </si>
  <si>
    <t xml:space="preserve">Not yet until every standard run dated by the review date has actuals in (next row).</t>
  </si>
  <si>
    <t xml:space="preserve">Standard runs dated by the review date with actuals in (the rate above uses only these; threshold = all of them)</t>
  </si>
  <si>
    <t xml:space="preserve">Set Actuals in = Y by T+10; code_redemptions_day30 can follow later (HANDOFF 2.4).</t>
  </si>
  <si>
    <t xml:space="preserve">Overall</t>
  </si>
  <si>
    <t xml:space="preserve">Decision rule (plan): scale, switch to office-paid, or stop</t>
  </si>
  <si>
    <t xml:space="preserve">Brand renewal rate, each brand once (renewed Y / answered Y or N)</t>
  </si>
  <si>
    <t xml:space="preserve">Offices that named $100 a month or more</t>
  </si>
  <si>
    <t xml:space="preserve">Drops after Gate 3 with actuals in</t>
  </si>
  <si>
    <t xml:space="preserve">The rule says</t>
  </si>
  <si>
    <t xml:space="preserve">Stated once (plan)</t>
  </si>
  <si>
    <t xml:space="preserve">Scale if Gate 3 passed and renewal is 40% or more. Switch to office-paid if at least five offices named $100 a month or more and brand renewal is under 30% after two extra drops. Stop if both fail.</t>
  </si>
  <si>
    <t xml:space="preserve">Placement within one business day, all drops with actuals</t>
  </si>
  <si>
    <t xml:space="preserve">Drops with actuals below the placement threshold</t>
  </si>
  <si>
    <t xml:space="preserve">Contribution per founder hour, all drops with actuals</t>
  </si>
  <si>
    <t xml:space="preserve">Drops whose results are due (debrief T+10 by the as-of date) with actuals in</t>
  </si>
  <si>
    <t xml:space="preserve">Scenario the real numbers point to</t>
  </si>
  <si>
    <t xml:space="preserve">Six-month goals (plan): planned by the schedule against actual</t>
  </si>
  <si>
    <t xml:space="preserve">Goal</t>
  </si>
  <si>
    <t xml:space="preserve">Target</t>
  </si>
  <si>
    <t xml:space="preserve">Planned (Schedule)</t>
  </si>
  <si>
    <t xml:space="preserve">Actual</t>
  </si>
  <si>
    <t xml:space="preserve">Paid campaigns</t>
  </si>
  <si>
    <t xml:space="preserve">Renewals</t>
  </si>
  <si>
    <t xml:space="preserve">Active offices</t>
  </si>
  <si>
    <t xml:space="preserve">Contribution per founder hour on each drop (live: actual where in, otherwise plan)</t>
  </si>
  <si>
    <t xml:space="preserve">Target per founder hour</t>
  </si>
  <si>
    <t xml:space="preserve">drop_id</t>
  </si>
  <si>
    <t xml:space="preserve">Label</t>
  </si>
  <si>
    <t xml:space="preserve">Drop date</t>
  </si>
  <si>
    <t xml:space="preserve">Basis</t>
  </si>
  <si>
    <t xml:space="preserve">Delivery model</t>
  </si>
  <si>
    <t xml:space="preserve">Brands</t>
  </si>
  <si>
    <t xml:space="preserve">Offices</t>
  </si>
  <si>
    <t xml:space="preserve">Revenue</t>
  </si>
  <si>
    <t xml:space="preserve">Hard costs</t>
  </si>
  <si>
    <t xml:space="preserve">Founder hours</t>
  </si>
  <si>
    <t xml:space="preserve">Contribution</t>
  </si>
  <si>
    <t xml:space="preserve">Per founder hour</t>
  </si>
  <si>
    <t xml:space="preserve">Total</t>
  </si>
  <si>
    <t xml:space="preserve">Green: at or above the Gate 3 target per founder hour. Orange: below it. Campaign zero is expected to be below; the plan's own figure for it is $16. The total row is per founder hour across all scheduled drops, before overhead that drops do not absorb. Rows follow Schedule's row order, so a drop you add sits at the bottom whatever its date.</t>
  </si>
  <si>
    <t xml:space="preserve">Every assumption in one labeled cell. Yellow cells are inputs. Blue cells are inputs that follow another cell by default; type over them to replace. Grey cells are calculated; do not type over them.</t>
  </si>
  <si>
    <t xml:space="preserve">All defaults are planning estimates from plan.md, never forecasts. 'Plan default' keeps the original figure; 'Changed' flags any cell you edit.</t>
  </si>
  <si>
    <t xml:space="preserve">1. Company and calendar</t>
  </si>
  <si>
    <t xml:space="preserve">key</t>
  </si>
  <si>
    <t xml:space="preserve">Assumption</t>
  </si>
  <si>
    <t xml:space="preserve">Unit</t>
  </si>
  <si>
    <t xml:space="preserve">Low</t>
  </si>
  <si>
    <t xml:space="preserve">High</t>
  </si>
  <si>
    <t xml:space="preserve">Source</t>
  </si>
  <si>
    <t xml:space="preserve">Notes</t>
  </si>
  <si>
    <t xml:space="preserve">Plan default</t>
  </si>
  <si>
    <t xml:space="preserve">Changed?</t>
  </si>
  <si>
    <t xml:space="preserve">company_name</t>
  </si>
  <si>
    <t xml:space="preserve">Company name (working name, not yet cleared)</t>
  </si>
  <si>
    <t xml:space="preserve">Desk Drop</t>
  </si>
  <si>
    <t xml:space="preserve">text</t>
  </si>
  <si>
    <t xml:space="preserve">working name</t>
  </si>
  <si>
    <t xml:space="preserve">Prompt; CONTRACTS s2 rename-ability</t>
  </si>
  <si>
    <t xml:space="preserve">The only cell that holds the company name. Rename here and every tab follows. Not counted as a change.</t>
  </si>
  <si>
    <t xml:space="preserve">not tracked</t>
  </si>
  <si>
    <t xml:space="preserve">tagline</t>
  </si>
  <si>
    <t xml:space="preserve">Tagline (working, may change)</t>
  </si>
  <si>
    <t xml:space="preserve">Emerging brands. Delivered to your workday.</t>
  </si>
  <si>
    <t xml:space="preserve">working</t>
  </si>
  <si>
    <t xml:space="preserve">Prompt; CONTRACTS s2</t>
  </si>
  <si>
    <t xml:space="preserve">The only cell that holds the tagline.</t>
  </si>
  <si>
    <t xml:space="preserve">week1_start</t>
  </si>
  <si>
    <t xml:space="preserve">Week 1 starts (Monday)</t>
  </si>
  <si>
    <t xml:space="preserve">date</t>
  </si>
  <si>
    <t xml:space="preserve">derived, founder to confirm</t>
  </si>
  <si>
    <t xml:space="preserve">CONTRACTS.md section 3 (canonical calendar)</t>
  </si>
  <si>
    <t xml:space="preserve">Week n starts on this date plus 7 x (n - 1) days. Moving it moves the cash-flow weeks, software, the domain and any mailbox only. The gate dates below and the drop dates on Schedule are typed CONTRACTS dates: move them too. Checks flags week 1 moved on its own (review R3-09).</t>
  </si>
  <si>
    <t xml:space="preserve">gate0_date</t>
  </si>
  <si>
    <t xml:space="preserve">Gate 0 review (end of week 3)</t>
  </si>
  <si>
    <t xml:space="preserve">gate1_date</t>
  </si>
  <si>
    <t xml:space="preserve">Gate 1 review (end of week 7)</t>
  </si>
  <si>
    <t xml:space="preserve">gate2_date</t>
  </si>
  <si>
    <t xml:space="preserve">Gate 2 review (campaign zero report, T+7)</t>
  </si>
  <si>
    <t xml:space="preserve">Follows the Gate 2 drop on Schedule: its date plus the report deadline (T+7, 2027-01-22 by default). Moved from the plan's week 9 because campaign zero moved to 2027-01-12 (December blackout collision).</t>
  </si>
  <si>
    <t xml:space="preserve">gate3_date</t>
  </si>
  <si>
    <t xml:space="preserve">Gate 3 review</t>
  </si>
  <si>
    <t xml:space="preserve">Week 20; replaces the plan's week 16.</t>
  </si>
  <si>
    <t xml:space="preserve">decision_date</t>
  </si>
  <si>
    <t xml:space="preserve">Six-month decision (end of week 24)</t>
  </si>
  <si>
    <t xml:space="preserve">as_of_override</t>
  </si>
  <si>
    <t xml:space="preserve">As-of date override (blank = today)</t>
  </si>
  <si>
    <t xml:space="preserve">setting</t>
  </si>
  <si>
    <t xml:space="preserve">Model setting</t>
  </si>
  <si>
    <t xml:space="preserve">Leave blank to use today's date. Type a date to see gates and the next drop as of that day.</t>
  </si>
  <si>
    <t xml:space="preserve">as_of</t>
  </si>
  <si>
    <t xml:space="preserve">As-of date in use</t>
  </si>
  <si>
    <t xml:space="preserve">calculated</t>
  </si>
  <si>
    <t xml:space="preserve">Model</t>
  </si>
  <si>
    <t xml:space="preserve">days_per_week</t>
  </si>
  <si>
    <t xml:space="preserve">Days per week</t>
  </si>
  <si>
    <t xml:space="preserve">days</t>
  </si>
  <si>
    <t xml:space="preserve">conversion</t>
  </si>
  <si>
    <t xml:space="preserve">Calendar</t>
  </si>
  <si>
    <t xml:space="preserve">weeks_per_year</t>
  </si>
  <si>
    <t xml:space="preserve">Weeks per year</t>
  </si>
  <si>
    <t xml:space="preserve">weeks</t>
  </si>
  <si>
    <t xml:space="preserve">months_per_year</t>
  </si>
  <si>
    <t xml:space="preserve">Months per year</t>
  </si>
  <si>
    <t xml:space="preserve">months</t>
  </si>
  <si>
    <t xml:space="preserve">weeks_per_month</t>
  </si>
  <si>
    <t xml:space="preserve">Weeks per month</t>
  </si>
  <si>
    <t xml:space="preserve">Weeks per year / months per year</t>
  </si>
  <si>
    <t xml:space="preserve">hours_per_day</t>
  </si>
  <si>
    <t xml:space="preserve">Hours per day (converts Toggl durations)</t>
  </si>
  <si>
    <t xml:space="preserve">hours</t>
  </si>
  <si>
    <t xml:space="preserve">window_bd</t>
  </si>
  <si>
    <t xml:space="preserve">Campaign window</t>
  </si>
  <si>
    <t xml:space="preserve">business days</t>
  </si>
  <si>
    <t xml:space="preserve">planning estimate</t>
  </si>
  <si>
    <t xml:space="preserve">plan.md, What brands buy: 'Five business days'</t>
  </si>
  <si>
    <t xml:space="preserve">T is day 1; the window closes at T+4.</t>
  </si>
  <si>
    <t xml:space="preserve">debrief_bd</t>
  </si>
  <si>
    <t xml:space="preserve">Debrief this many business days after the drop (T+10)</t>
  </si>
  <si>
    <t xml:space="preserve">CONTRACTS.md section 3 (canonical calendar) (debrief at T+10)</t>
  </si>
  <si>
    <t xml:space="preserve">Used to flag a decision-window drop whose results land after the decision date (Schedule, Dashboard).</t>
  </si>
  <si>
    <t xml:space="preserve">llc_filing_bd</t>
  </si>
  <si>
    <t xml:space="preserve">LLC Articles filed this many business days after Gate 0</t>
  </si>
  <si>
    <t xml:space="preserve">desk-drop-legal-pack/figures.csv (re-read 2026-10-24, after its 02:33 update), Articles timing: 'never before the attorney hour; earliest Thu 2026-11-19'</t>
  </si>
  <si>
    <t xml:space="preserve">Sets the filing date in section 11: Fri 2026-11-13 plus 4 business days is Thu 2026-11-19, the day after the attorney hour.</t>
  </si>
  <si>
    <t xml:space="preserve">attorney_bd</t>
  </si>
  <si>
    <t xml:space="preserve">Attorney hour held this many business days after Gate 0</t>
  </si>
  <si>
    <t xml:space="preserve">desk-drop-legal-pack/figures.csv (re-read 2026-10-24, after its 02:33 update), attorney_hour timing: 'booked at Gate 0 ... held early in week 4, by Wed 2026-11-18'</t>
  </si>
  <si>
    <t xml:space="preserve">Sets the attorney payment date in section 11 (Wed 2026-11-18).</t>
  </si>
  <si>
    <t xml:space="preserve">accountant_bd</t>
  </si>
  <si>
    <t xml:space="preserve">Accountant hour held this many business days after Gate 0</t>
  </si>
  <si>
    <t xml:space="preserve">desk-drop-legal-pack/figures.csv (re-read 2026-10-24, after its 02:33 update), accountant_hour timing: 'held in week 4, by Fri 2026-11-20'</t>
  </si>
  <si>
    <t xml:space="preserve">Sets the accountant payment date in section 11 (Fri 2026-11-20).</t>
  </si>
  <si>
    <t xml:space="preserve">pub_order_bd</t>
  </si>
  <si>
    <t xml:space="preserve">Newspaper publication ordered this many business days after the LLC filing</t>
  </si>
  <si>
    <t xml:space="preserve">desk-drop-legal-pack/figures.csv (re-read 2026-10-24, after its 02:33 update), publication timing: 'Order within 10 business days of filing'</t>
  </si>
  <si>
    <t xml:space="preserve">Sets the publication payment date in section 11 (Fri 2026-12-04, skipping Thanksgiving).</t>
  </si>
  <si>
    <t xml:space="preserve">pub_weeks</t>
  </si>
  <si>
    <t xml:space="preserve">Weekly newspaper runs before the Certificate of Publication is filed</t>
  </si>
  <si>
    <t xml:space="preserve">plan.md, Legal table: 'publish in two newspapers for six weeks'</t>
  </si>
  <si>
    <t xml:space="preserve">Sets the certificate's payment date in section 11.</t>
  </si>
  <si>
    <t xml:space="preserve">drop_prefix</t>
  </si>
  <si>
    <t xml:space="preserve">Drop ID prefix</t>
  </si>
  <si>
    <t xml:space="preserve">DRP-</t>
  </si>
  <si>
    <t xml:space="preserve">convention</t>
  </si>
  <si>
    <t xml:space="preserve">CONTRACTS s6.5 (DRP-###)</t>
  </si>
  <si>
    <t xml:space="preserve">Toggl projects named DRP-001 etc. map to drops.</t>
  </si>
  <si>
    <t xml:space="preserve">office_window_days</t>
  </si>
  <si>
    <t xml:space="preserve">An office should get at most one drop in this many days</t>
  </si>
  <si>
    <t xml:space="preserve">plan.md, What has to be true #4: 'Offices accept one drop a month'</t>
  </si>
  <si>
    <t xml:space="preserve">Four weeks counts as monthly, so drops 28 days apart do not flag. Used for the office-fatigue warning on Schedule.</t>
  </si>
  <si>
    <t xml:space="preserve">2. Scenario in force</t>
  </si>
  <si>
    <t xml:space="preserve">active_scenario</t>
  </si>
  <si>
    <t xml:space="preserve">Scenario applied to drops after Gate 3 and to the steady state</t>
  </si>
  <si>
    <t xml:space="preserve">Plan base</t>
  </si>
  <si>
    <t xml:space="preserve">list</t>
  </si>
  <si>
    <t xml:space="preserve">plan.md, After the first standard runs: decision scenarios</t>
  </si>
  <si>
    <t xml:space="preserve">Plan base = the plan's 'What has to be true'. A to D = the plan's four decision situations. See the Scenarios tab.</t>
  </si>
  <si>
    <t xml:space="preserve">3. Prices and payment terms</t>
  </si>
  <si>
    <t xml:space="preserve">price_std_office</t>
  </si>
  <si>
    <t xml:space="preserve">Standard price per office</t>
  </si>
  <si>
    <t xml:space="preserve">USD per office</t>
  </si>
  <si>
    <t xml:space="preserve">plan.md, Revised model: Price table</t>
  </si>
  <si>
    <t xml:space="preserve">$1,500 for 10 offices. Change this cell to test a price.</t>
  </si>
  <si>
    <t xml:space="preserve">std_pkg_offices</t>
  </si>
  <si>
    <t xml:space="preserve">Standard package size</t>
  </si>
  <si>
    <t xml:space="preserve">offices</t>
  </si>
  <si>
    <t xml:space="preserve">std_pkg_price</t>
  </si>
  <si>
    <t xml:space="preserve">Standard package price</t>
  </si>
  <si>
    <t xml:space="preserve">USD per brand</t>
  </si>
  <si>
    <t xml:space="preserve">Price per office x package offices</t>
  </si>
  <si>
    <t xml:space="preserve">price_fnd_office</t>
  </si>
  <si>
    <t xml:space="preserve">Founding price per office</t>
  </si>
  <si>
    <t xml:space="preserve">$600 for 5 offices. The plan's summary table once said $600 to $900; the decided price is $600 (low end shown as default).</t>
  </si>
  <si>
    <t xml:space="preserve">fnd_pkg_offices</t>
  </si>
  <si>
    <t xml:space="preserve">Founding package size</t>
  </si>
  <si>
    <t xml:space="preserve">fnd_pkg_price</t>
  </si>
  <si>
    <t xml:space="preserve">Founding package price</t>
  </si>
  <si>
    <t xml:space="preserve">extra_office_price</t>
  </si>
  <si>
    <t xml:space="preserve">Extra office beyond the package</t>
  </si>
  <si>
    <t xml:space="preserve">Applies to offices beyond 5 (founding) or 10 (standard). Founding renewals stay at the founding rate per office for any office count.</t>
  </si>
  <si>
    <t xml:space="preserve">founding_cap</t>
  </si>
  <si>
    <t xml:space="preserve">Founding tier closes after</t>
  </si>
  <si>
    <t xml:space="preserve">brands</t>
  </si>
  <si>
    <t xml:space="preserve">'First three brands only'.</t>
  </si>
  <si>
    <t xml:space="preserve">founding_lock</t>
  </si>
  <si>
    <t xml:space="preserve">Founding price locked for</t>
  </si>
  <si>
    <t xml:space="preserve">further campaigns</t>
  </si>
  <si>
    <t xml:space="preserve">fnd_upfront_share</t>
  </si>
  <si>
    <t xml:space="preserve">Founding: share paid before product ships</t>
  </si>
  <si>
    <t xml:space="preserve">share</t>
  </si>
  <si>
    <t xml:space="preserve">'Paid in full before product ships'.</t>
  </si>
  <si>
    <t xml:space="preserve">fnd_pay_lead_bd</t>
  </si>
  <si>
    <t xml:space="preserve">Founding: payment lands this many business days before the drop</t>
  </si>
  <si>
    <t xml:space="preserve">Campaign zero's payment at Gate 1 (Fri 2026-12-11) is 20 business days before the Tue 2027-01-12 drop.</t>
  </si>
  <si>
    <t xml:space="preserve">std_deposit_share</t>
  </si>
  <si>
    <t xml:space="preserve">Standard: share invoiced at signature</t>
  </si>
  <si>
    <t xml:space="preserve">50% at signature, 50% at placement confirmation.</t>
  </si>
  <si>
    <t xml:space="preserve">std_sign_lead_bd</t>
  </si>
  <si>
    <t xml:space="preserve">Standard: signature (deposit) this many business days before the drop</t>
  </si>
  <si>
    <t xml:space="preserve">plan.md, campaign calendar (brand ships at T-10)</t>
  </si>
  <si>
    <t xml:space="preserve">The latest signature that still lets the brand ship at T-10. Later cash is the conservative reading; the plan proposes drop dates three to four weeks out.</t>
  </si>
  <si>
    <t xml:space="preserve">balance_lag_bd</t>
  </si>
  <si>
    <t xml:space="preserve">Standard: balance invoiced this many business days after the drop</t>
  </si>
  <si>
    <t xml:space="preserve">plan.md, What brands buy: placement within one business day</t>
  </si>
  <si>
    <t xml:space="preserve">Placement confirmation at T+1.</t>
  </si>
  <si>
    <t xml:space="preserve">payment_lag_days</t>
  </si>
  <si>
    <t xml:space="preserve">Days from invoice to cash</t>
  </si>
  <si>
    <t xml:space="preserve">calendar days</t>
  </si>
  <si>
    <t xml:space="preserve">needs founder decision</t>
  </si>
  <si>
    <t xml:space="preserve">Not in the plan</t>
  </si>
  <si>
    <t xml:space="preserve">The plan states no invoice-to-cash lag. Blank = cash lands the day it is invoiced. Enter your invoice terms, for example 15.</t>
  </si>
  <si>
    <t xml:space="preserve">processing_rate</t>
  </si>
  <si>
    <t xml:space="preserve">Card processing rate</t>
  </si>
  <si>
    <t xml:space="preserve">share of revenue</t>
  </si>
  <si>
    <t xml:space="preserve">plan.md, Economics: hard-cost table</t>
  </si>
  <si>
    <t xml:space="preserve">Card fees. Zero by bank transfer.</t>
  </si>
  <si>
    <t xml:space="preserve">processing_on</t>
  </si>
  <si>
    <t xml:space="preserve">Brands pay by card? 1 = yes, 0 = bank transfer</t>
  </si>
  <si>
    <t xml:space="preserve">toggle</t>
  </si>
  <si>
    <t xml:space="preserve">1 is the high end of the plan's 0% to 3% range and matches its scenario rows. 0 is the plan's preferred invoicing (Wave, bank transfer).</t>
  </si>
  <si>
    <t xml:space="preserve">4. Drop size defaults (feed the derived Schedule rows) and units</t>
  </si>
  <si>
    <t xml:space="preserve">c0_offices</t>
  </si>
  <si>
    <t xml:space="preserve">Offices on campaign zero</t>
  </si>
  <si>
    <t xml:space="preserve">plan.md, scenario table: 'Campaign zero: 2 founding brands, 5 offices'</t>
  </si>
  <si>
    <t xml:space="preserve">c0_brands</t>
  </si>
  <si>
    <t xml:space="preserve">Brands on campaign zero</t>
  </si>
  <si>
    <t xml:space="preserve">plan.md, scenario table and Gate 1 ('2 brands paid')</t>
  </si>
  <si>
    <t xml:space="preserve">std_offices_drop</t>
  </si>
  <si>
    <t xml:space="preserve">Offices per standard drop</t>
  </si>
  <si>
    <t xml:space="preserve">plan.md, 'Standard runs of 10 offices and 3 brands per drop'</t>
  </si>
  <si>
    <t xml:space="preserve">std_brands_drop</t>
  </si>
  <si>
    <t xml:space="preserve">Brands per standard drop</t>
  </si>
  <si>
    <t xml:space="preserve">plan.md, What has to be true #1: 'Three brands per drop'</t>
  </si>
  <si>
    <t xml:space="preserve">Feeds the standard Schedule rows and the plan-base scenario.</t>
  </si>
  <si>
    <t xml:space="preserve">units_per_office</t>
  </si>
  <si>
    <t xml:space="preserve">Units per office per brand</t>
  </si>
  <si>
    <t xml:space="preserve">units</t>
  </si>
  <si>
    <t xml:space="preserve">plan.md, What brands buy</t>
  </si>
  <si>
    <t xml:space="preserve">Sized to Tuesday headcount (floor 30, ceiling 80).</t>
  </si>
  <si>
    <t xml:space="preserve">reserve_share</t>
  </si>
  <si>
    <t xml:space="preserve">Reserve the brand ships on top</t>
  </si>
  <si>
    <t xml:space="preserve">5. Hard costs and monthly overhead</t>
  </si>
  <si>
    <t xml:space="preserve">kit_per_office</t>
  </si>
  <si>
    <t xml:space="preserve">Display kit per office per drop (card, allergen line, case label)</t>
  </si>
  <si>
    <t xml:space="preserve">USD per office per drop</t>
  </si>
  <si>
    <t xml:space="preserve">Plan reading (a): per office per drop, not per brand. Only this reproduces the scenario hard costs.</t>
  </si>
  <si>
    <t xml:space="preserve">card_extra</t>
  </si>
  <si>
    <t xml:space="preserve">Extra tent card per additional brand per office</t>
  </si>
  <si>
    <t xml:space="preserve">USD per card</t>
  </si>
  <si>
    <t xml:space="preserve">plan.md, Hardware: tent cards roughly $1 to $2 each</t>
  </si>
  <si>
    <t xml:space="preserve">Reading (a) keeps one $8 kit per office even on a three-brand drop. If each brand needs its own card, enter $1 to $2.</t>
  </si>
  <si>
    <t xml:space="preserve">founder_transport</t>
  </si>
  <si>
    <t xml:space="preserve">Founder delivery (car rides) per drop</t>
  </si>
  <si>
    <t xml:space="preserve">USD per drop</t>
  </si>
  <si>
    <t xml:space="preserve">'You delivering costs about $120 in car rides.'</t>
  </si>
  <si>
    <t xml:space="preserve">courier_per_stop</t>
  </si>
  <si>
    <t xml:space="preserve">Courier per stop</t>
  </si>
  <si>
    <t xml:space="preserve">USD per stop</t>
  </si>
  <si>
    <t xml:space="preserve">planning estimate, needs quote</t>
  </si>
  <si>
    <t xml:space="preserve">$300 for a ten-stop route is $30 a stop; plan range $25 to $40. No reliable published rate; get three quotes.</t>
  </si>
  <si>
    <t xml:space="preserve">direct_transport</t>
  </si>
  <si>
    <t xml:space="preserve">Transport when brands ship direct</t>
  </si>
  <si>
    <t xml:space="preserve">plan.md, scenario table, direct-ship row</t>
  </si>
  <si>
    <t xml:space="preserve">Plan reading (c): the $370 direct-ship row carries $0 transport.</t>
  </si>
  <si>
    <t xml:space="preserve">kit_mail_per_office</t>
  </si>
  <si>
    <t xml:space="preserve">Mailing the display kit ahead (direct-ship)</t>
  </si>
  <si>
    <t xml:space="preserve">needs quote</t>
  </si>
  <si>
    <t xml:space="preserve">plan.md, Delivery by phase: '... mails the display kit ahead'</t>
  </si>
  <si>
    <t xml:space="preserve">The plan gives no figure. Blank counts as $0.</t>
  </si>
  <si>
    <t xml:space="preserve">kit_print_bd</t>
  </si>
  <si>
    <t xml:space="preserve">Kits printed this many business days before the drop</t>
  </si>
  <si>
    <t xml:space="preserve">plan.md, campaign calendar: T minus 3</t>
  </si>
  <si>
    <t xml:space="preserve">storage_choice</t>
  </si>
  <si>
    <t xml:space="preserve">Storage</t>
  </si>
  <si>
    <t xml:space="preserve">unit</t>
  </si>
  <si>
    <t xml:space="preserve">unit = small storage unit; home = sealed cases at home, $0.</t>
  </si>
  <si>
    <t xml:space="preserve">storage_monthly</t>
  </si>
  <si>
    <t xml:space="preserve">Storage unit per month</t>
  </si>
  <si>
    <t xml:space="preserve">USD per month</t>
  </si>
  <si>
    <t xml:space="preserve">Allocation is half: $75 a drop at two drops a month.</t>
  </si>
  <si>
    <t xml:space="preserve">storage_start</t>
  </si>
  <si>
    <t xml:space="preserve">Storage unit rented from</t>
  </si>
  <si>
    <t xml:space="preserve">Plan reading (b)</t>
  </si>
  <si>
    <t xml:space="preserve">Follows Schedule: the first day of the month of the first standard drop that runs (2027-02-01 by default). Blank when no standard drop runs. Campaign zero stays at home, which is how its $280 reproduces.</t>
  </si>
  <si>
    <t xml:space="preserve">storage_end</t>
  </si>
  <si>
    <t xml:space="preserve">Storage unit released (blank = keep)</t>
  </si>
  <si>
    <t xml:space="preserve">Plan reading (c)</t>
  </si>
  <si>
    <t xml:space="preserve">Blank keeps the unit through the window, as the plan's direct-ship row keeps the $75.</t>
  </si>
  <si>
    <t xml:space="preserve">software_monthly</t>
  </si>
  <si>
    <t xml:space="preserve">Software per month</t>
  </si>
  <si>
    <t xml:space="preserve">plan.md, Economics: Capital to the first six months; Tools table</t>
  </si>
  <si>
    <t xml:space="preserve">$360 for six months. Tools table sums to $7 to $81; the plan caps software under $60.</t>
  </si>
  <si>
    <t xml:space="preserve">software_start</t>
  </si>
  <si>
    <t xml:space="preserve">Software paid from</t>
  </si>
  <si>
    <t xml:space="preserve">plan.md, Week 1 setup</t>
  </si>
  <si>
    <t xml:space="preserve">Follows week 1.</t>
  </si>
  <si>
    <t xml:space="preserve">insurance_monthly</t>
  </si>
  <si>
    <t xml:space="preserve">General liability insurance per month</t>
  </si>
  <si>
    <t xml:space="preserve">plan estimate (legal pack); three quotes before binding</t>
  </si>
  <si>
    <t xml:space="preserve">plan.md, Economics: hard-cost table; desk-drop-legal-pack/figures.csv (re-read 2026-10-24, after its 02:33 update)</t>
  </si>
  <si>
    <t xml:space="preserve">'Roughly $100 a month'. Capital table range $500 to $1,500 a year, shown here per month. The legal pack carries $1,200 a year as a plan estimate and asks for a quote before binding.</t>
  </si>
  <si>
    <t xml:space="preserve">insurance_billing</t>
  </si>
  <si>
    <t xml:space="preserve">Insurance billing</t>
  </si>
  <si>
    <t xml:space="preserve">annual</t>
  </si>
  <si>
    <t xml:space="preserve">plan.md, Economics: Capital to the first six months</t>
  </si>
  <si>
    <t xml:space="preserve">annual = one year's premium paid at bind (capital table 'one year').</t>
  </si>
  <si>
    <t xml:space="preserve">insurance_bind</t>
  </si>
  <si>
    <t xml:space="preserve">Insurance bound on</t>
  </si>
  <si>
    <t xml:space="preserve">plan.md, setup checklist: 'At Gate 1 pass: Insurance bound'</t>
  </si>
  <si>
    <t xml:space="preserve">Follows Gate 1. The legal pack's latest bind date is 2026-12-21.</t>
  </si>
  <si>
    <t xml:space="preserve">phone_monthly</t>
  </si>
  <si>
    <t xml:space="preserve">Phone per month</t>
  </si>
  <si>
    <t xml:space="preserve">plan.md, Tools: 'Your phone', Google Voice $0</t>
  </si>
  <si>
    <t xml:space="preserve">alloc_drops_month</t>
  </si>
  <si>
    <t xml:space="preserve">Drops per month used to allocate overhead to a drop</t>
  </si>
  <si>
    <t xml:space="preserve">drops per month</t>
  </si>
  <si>
    <t xml:space="preserve">Insurance $100 a month over two drops = $50; software $60 = $30; storage $150 = $75.</t>
  </si>
  <si>
    <t xml:space="preserve">6. Founder hours (rates; the plan's table is reproduced on Plan_Check)</t>
  </si>
  <si>
    <t xml:space="preserve">h_first_brand</t>
  </si>
  <si>
    <t xml:space="preserve">Brand sales per first (founding) brand</t>
  </si>
  <si>
    <t xml:space="preserve">hours per brand</t>
  </si>
  <si>
    <t xml:space="preserve">plan.md, Economics: founder-hour table</t>
  </si>
  <si>
    <t xml:space="preserve">'20 (10 per brand, first ones)'.</t>
  </si>
  <si>
    <t xml:space="preserve">close_rate</t>
  </si>
  <si>
    <t xml:space="preserve">Close rate on qualified brand conversations</t>
  </si>
  <si>
    <t xml:space="preserve">plan.md, What has to be true #2</t>
  </si>
  <si>
    <t xml:space="preserve">One close from five.</t>
  </si>
  <si>
    <t xml:space="preserve">h_per_conv</t>
  </si>
  <si>
    <t xml:space="preserve">Hours per qualified conversation</t>
  </si>
  <si>
    <t xml:space="preserve">plan.md, Economics: 'conversations of 45 minutes'</t>
  </si>
  <si>
    <t xml:space="preserve">h_paperwork</t>
  </si>
  <si>
    <t xml:space="preserve">Proposal and paperwork per win</t>
  </si>
  <si>
    <t xml:space="preserve">6 - 5 x 0.75, so the plan's six hours per win reproduces at a 20% close rate.</t>
  </si>
  <si>
    <t xml:space="preserve">h_win</t>
  </si>
  <si>
    <t xml:space="preserve">Brand sales per standard win</t>
  </si>
  <si>
    <t xml:space="preserve">Conversations per win x hours each + paperwork</t>
  </si>
  <si>
    <t xml:space="preserve">6.0 at plan inputs. Falls as the close rate rises.</t>
  </si>
  <si>
    <t xml:space="preserve">h_renewal</t>
  </si>
  <si>
    <t xml:space="preserve">Brand sales per renewal</t>
  </si>
  <si>
    <t xml:space="preserve">hours per renewal</t>
  </si>
  <si>
    <t xml:space="preserve">plan.md, Economics: 'A renewal takes about two hours'</t>
  </si>
  <si>
    <t xml:space="preserve">h_new_office</t>
  </si>
  <si>
    <t xml:space="preserve">Office recruiting per new office</t>
  </si>
  <si>
    <t xml:space="preserve">hours per office</t>
  </si>
  <si>
    <t xml:space="preserve">'20 (4 per new office)'.</t>
  </si>
  <si>
    <t xml:space="preserve">h_existing_office</t>
  </si>
  <si>
    <t xml:space="preserve">Office coordination per existing office</t>
  </si>
  <si>
    <t xml:space="preserve">'10 (1 per existing office)'.</t>
  </si>
  <si>
    <t xml:space="preserve">rk_per_brand</t>
  </si>
  <si>
    <t xml:space="preserve">Receiving and kitting per brand</t>
  </si>
  <si>
    <t xml:space="preserve">(4 - 3) / (3 - 1): 1-brand drop 3 h, 3-brand drop 4 h.</t>
  </si>
  <si>
    <t xml:space="preserve">rep_per_brand</t>
  </si>
  <si>
    <t xml:space="preserve">Reporting and debriefs per brand</t>
  </si>
  <si>
    <t xml:space="preserve">'6 (2 per brand)'.</t>
  </si>
  <si>
    <t xml:space="preserve">admin_per_drop</t>
  </si>
  <si>
    <t xml:space="preserve">Admin and invoicing per drop</t>
  </si>
  <si>
    <t xml:space="preserve">hours per drop</t>
  </si>
  <si>
    <t xml:space="preserve">discovery_hours_week</t>
  </si>
  <si>
    <t xml:space="preserve">Discovery hours per week, weeks 1 to 3 (not tied to a drop)</t>
  </si>
  <si>
    <t xml:space="preserve">hours per week</t>
  </si>
  <si>
    <t xml:space="preserve">plan.md, Time budget: 'Phases 0 and 1 need 10 to 15 hours a week'</t>
  </si>
  <si>
    <t xml:space="preserve">High end. Weeks 4 to 7 selling and recruiting already sit in campaign zero's 57 hours. Used only in the six-month all-in view.</t>
  </si>
  <si>
    <t xml:space="preserve">discovery_weeks</t>
  </si>
  <si>
    <t xml:space="preserve">Discovery weeks</t>
  </si>
  <si>
    <t xml:space="preserve">plan.md, Phase 0 (weeks 1 to 3)</t>
  </si>
  <si>
    <t xml:space="preserve">7. Costs and hours that depend on the delivery model</t>
  </si>
  <si>
    <t xml:space="preserve">Transport per drop (USD)</t>
  </si>
  <si>
    <t xml:space="preserve">Transport per stop (USD)</t>
  </si>
  <si>
    <t xml:space="preserve">Kit mailing per office (USD)</t>
  </si>
  <si>
    <t xml:space="preserve">Receiving and kitting base (h)</t>
  </si>
  <si>
    <t xml:space="preserve">Drop day per office (h)</t>
  </si>
  <si>
    <t xml:space="preserve">Checks and pickup per office (h)</t>
  </si>
  <si>
    <t xml:space="preserve">Derivation from the plan's hour table</t>
  </si>
  <si>
    <t xml:space="preserve">model_table</t>
  </si>
  <si>
    <t xml:space="preserve">founder</t>
  </si>
  <si>
    <t xml:space="preserve">Campaign zero column (2 brands, 5 offices): receiving 3 = 2.0 + 0.5 x 2; drop day 5 h / 5 offices; checks 3 h / 5 offices.</t>
  </si>
  <si>
    <t xml:space="preserve">courier</t>
  </si>
  <si>
    <t xml:space="preserve">1-brand and 3-brand columns (10 offices): receiving 3 = 2.5 + 0.5 x 1 and 4 = 2.5 + 0.5 x 3; drop day 8 h / 10; checks 4 h / 10.</t>
  </si>
  <si>
    <t xml:space="preserve">direct-ship</t>
  </si>
  <si>
    <t xml:space="preserve">Direct-ship column (3 brands, 10 offices): receiving 2 = 0.5 + 0.5 x 3; drop day 3 h / 10; checks 4 h / 10.</t>
  </si>
  <si>
    <t xml:space="preserve">8. Renewal, steady state and founder capital</t>
  </si>
  <si>
    <t xml:space="preserve">renewal_rate_base</t>
  </si>
  <si>
    <t xml:space="preserve">Brands that renew within 90 days</t>
  </si>
  <si>
    <t xml:space="preserve">plan.md, What has to be true #3</t>
  </si>
  <si>
    <t xml:space="preserve">Used by the 'Plan base' scenario. Renewals cost 2 hours instead of 6, which is why they matter more than price.</t>
  </si>
  <si>
    <t xml:space="preserve">plan_ss_drops</t>
  </si>
  <si>
    <t xml:space="preserve">Drops per month in the plan's monthly picture</t>
  </si>
  <si>
    <t xml:space="preserve">plan.md, Monthly picture at steady state</t>
  </si>
  <si>
    <t xml:space="preserve">ss_model</t>
  </si>
  <si>
    <t xml:space="preserve">Steady-state delivery model</t>
  </si>
  <si>
    <t xml:space="preserve">Plan reading (e)</t>
  </si>
  <si>
    <t xml:space="preserve">The plan's monthly picture is two three-brand courier drops. Direct-ship lifts contribution per hour.</t>
  </si>
  <si>
    <t xml:space="preserve">ss_offices</t>
  </si>
  <si>
    <t xml:space="preserve">Steady-state offices per drop</t>
  </si>
  <si>
    <t xml:space="preserve">Offices per standard drop (section 4)</t>
  </si>
  <si>
    <t xml:space="preserve">founder_cash</t>
  </si>
  <si>
    <t xml:space="preserve">Cash the founder commits to the first six months</t>
  </si>
  <si>
    <t xml:space="preserve">USD</t>
  </si>
  <si>
    <t xml:space="preserve">plan.md, What I need from you #7</t>
  </si>
  <si>
    <t xml:space="preserve">Blank until you decide. The plan's range is $3,360 to $6,510.</t>
  </si>
  <si>
    <t xml:space="preserve">founder_cash_date</t>
  </si>
  <si>
    <t xml:space="preserve">Founder cash goes in on</t>
  </si>
  <si>
    <t xml:space="preserve">reserve_usd</t>
  </si>
  <si>
    <t xml:space="preserve">Reserve held back (not spent)</t>
  </si>
  <si>
    <t xml:space="preserve">9. Gate thresholds, decision rule and six-month goals</t>
  </si>
  <si>
    <t xml:space="preserve">g0_office_yes</t>
  </si>
  <si>
    <t xml:space="preserve">Gate 0: offices yes in principle</t>
  </si>
  <si>
    <t xml:space="preserve">plan.md, Gate 0</t>
  </si>
  <si>
    <t xml:space="preserve">Of 15 conversations, with a pantry owner and receiving window named.</t>
  </si>
  <si>
    <t xml:space="preserve">g0_office_conv</t>
  </si>
  <si>
    <t xml:space="preserve">Gate 0: office conversations planned</t>
  </si>
  <si>
    <t xml:space="preserve">conversations</t>
  </si>
  <si>
    <t xml:space="preserve">plan.md, Phase 0</t>
  </si>
  <si>
    <t xml:space="preserve">g0_brand_yes</t>
  </si>
  <si>
    <t xml:space="preserve">Gate 0: brands that would pay the threshold and control the budget</t>
  </si>
  <si>
    <t xml:space="preserve">g0_brand_usd</t>
  </si>
  <si>
    <t xml:space="preserve">Gate 0: brand willingness-to-pay threshold</t>
  </si>
  <si>
    <t xml:space="preserve">USD per campaign</t>
  </si>
  <si>
    <t xml:space="preserve">g0_brand_conv</t>
  </si>
  <si>
    <t xml:space="preserve">Gate 0: brand conversations planned</t>
  </si>
  <si>
    <t xml:space="preserve">g1_offices</t>
  </si>
  <si>
    <t xml:space="preserve">Gate 1: signed offices</t>
  </si>
  <si>
    <t xml:space="preserve">plan.md, Gate 1</t>
  </si>
  <si>
    <t xml:space="preserve">g1_headcount</t>
  </si>
  <si>
    <t xml:space="preserve">Gate 1: combined Tuesday headcount of signed offices</t>
  </si>
  <si>
    <t xml:space="preserve">people</t>
  </si>
  <si>
    <t xml:space="preserve">g1_brands_paid</t>
  </si>
  <si>
    <t xml:space="preserve">Gate 1: brands paid in full</t>
  </si>
  <si>
    <t xml:space="preserve">g2_drop_id</t>
  </si>
  <si>
    <t xml:space="preserve">Gate 2: drop tested (campaign zero)</t>
  </si>
  <si>
    <t xml:space="preserve">DRP-001</t>
  </si>
  <si>
    <t xml:space="preserve">plan.md, Gate 2</t>
  </si>
  <si>
    <t xml:space="preserve">g2_placed</t>
  </si>
  <si>
    <t xml:space="preserve">Gate 2: units placed within one business day</t>
  </si>
  <si>
    <t xml:space="preserve">share of delivered</t>
  </si>
  <si>
    <t xml:space="preserve">g2_responses</t>
  </si>
  <si>
    <t xml:space="preserve">Gate 2: survey responses per office</t>
  </si>
  <si>
    <t xml:space="preserve">responses</t>
  </si>
  <si>
    <t xml:space="preserve">g2_report_bd</t>
  </si>
  <si>
    <t xml:space="preserve">Gate 2: report delivered within</t>
  </si>
  <si>
    <t xml:space="preserve">plan.md, Gate 2; CONTRACTS s3 (T+7)</t>
  </si>
  <si>
    <t xml:space="preserve">g2_rebuy</t>
  </si>
  <si>
    <t xml:space="preserve">Gate 2: brands that would buy again</t>
  </si>
  <si>
    <t xml:space="preserve">g3_renewals</t>
  </si>
  <si>
    <t xml:space="preserve">Gate 3: renewals at the threshold price</t>
  </si>
  <si>
    <t xml:space="preserve">renewals</t>
  </si>
  <si>
    <t xml:space="preserve">plan.md, Gate 3</t>
  </si>
  <si>
    <t xml:space="preserve">g3_renewal_usd</t>
  </si>
  <si>
    <t xml:space="preserve">Gate 3: renewal price threshold</t>
  </si>
  <si>
    <t xml:space="preserve">g3_per_hour</t>
  </si>
  <si>
    <t xml:space="preserve">Gate 3: contribution per founder hour</t>
  </si>
  <si>
    <t xml:space="preserve">USD per hour</t>
  </si>
  <si>
    <t xml:space="preserve">dr_scale_renewal</t>
  </si>
  <si>
    <t xml:space="preserve">Decision rule: scale if renewal at least</t>
  </si>
  <si>
    <t xml:space="preserve">plan.md, decision rule</t>
  </si>
  <si>
    <t xml:space="preserve">dr_switch_offices</t>
  </si>
  <si>
    <t xml:space="preserve">Decision rule: offices that named the office-paid threshold</t>
  </si>
  <si>
    <t xml:space="preserve">dr_switch_usd</t>
  </si>
  <si>
    <t xml:space="preserve">Decision rule: office-paid threshold</t>
  </si>
  <si>
    <t xml:space="preserve">dr_switch_renewal</t>
  </si>
  <si>
    <t xml:space="preserve">Decision rule: switch if renewal under</t>
  </si>
  <si>
    <t xml:space="preserve">dr_extra_drops</t>
  </si>
  <si>
    <t xml:space="preserve">Decision rule: extra drops before switching</t>
  </si>
  <si>
    <t xml:space="preserve">drops</t>
  </si>
  <si>
    <t xml:space="preserve">sc_c_misses</t>
  </si>
  <si>
    <t xml:space="preserve">Scenario C signal: drops with placement under the threshold</t>
  </si>
  <si>
    <t xml:space="preserve">plan.md, scenario C: 'Placement under 80% twice'</t>
  </si>
  <si>
    <t xml:space="preserve">goal_campaigns</t>
  </si>
  <si>
    <t xml:space="preserve">Six-month goal: paid campaigns</t>
  </si>
  <si>
    <t xml:space="preserve">campaigns</t>
  </si>
  <si>
    <t xml:space="preserve">plan.md, business on one page</t>
  </si>
  <si>
    <t xml:space="preserve">goal_renewals</t>
  </si>
  <si>
    <t xml:space="preserve">Six-month goal: renewals</t>
  </si>
  <si>
    <t xml:space="preserve">goal_offices</t>
  </si>
  <si>
    <t xml:space="preserve">Six-month goal: active offices</t>
  </si>
  <si>
    <t xml:space="preserve">10. Sensitivity axes</t>
  </si>
  <si>
    <t xml:space="preserve">sens_price_start</t>
  </si>
  <si>
    <t xml:space="preserve">Price per office: first row</t>
  </si>
  <si>
    <t xml:space="preserve">sens_price_step</t>
  </si>
  <si>
    <t xml:space="preserve">Price per office: step</t>
  </si>
  <si>
    <t xml:space="preserve">sens_brands_start</t>
  </si>
  <si>
    <t xml:space="preserve">Brands per drop: first column</t>
  </si>
  <si>
    <t xml:space="preserve">sens_brands_step</t>
  </si>
  <si>
    <t xml:space="preserve">Brands per drop: step</t>
  </si>
  <si>
    <t xml:space="preserve">sens_renew_start</t>
  </si>
  <si>
    <t xml:space="preserve">Renewal rate: first row</t>
  </si>
  <si>
    <t xml:space="preserve">sens_renew_step</t>
  </si>
  <si>
    <t xml:space="preserve">Renewal rate: step</t>
  </si>
  <si>
    <t xml:space="preserve">11. Startup outlays (one-time, paid at their timing in the cash flow). Formation, publication, licence, professional and filing figures come from the legal pack.</t>
  </si>
  <si>
    <t xml:space="preserve">Item</t>
  </si>
  <si>
    <t xml:space="preserve">Working (USD)</t>
  </si>
  <si>
    <t xml:space="preserve">Timing (date)</t>
  </si>
  <si>
    <t xml:space="preserve">Timing basis</t>
  </si>
  <si>
    <t xml:space="preserve">Include (Y/N)</t>
  </si>
  <si>
    <t xml:space="preserve">Actual paid (USD)</t>
  </si>
  <si>
    <t xml:space="preserve">Actual paid date</t>
  </si>
  <si>
    <t xml:space="preserve">Cash amount used</t>
  </si>
  <si>
    <t xml:space="preserve">Cash date used</t>
  </si>
  <si>
    <t xml:space="preserve">Default include</t>
  </si>
  <si>
    <t xml:space="preserve">Default timing</t>
  </si>
  <si>
    <t xml:space="preserve">su_llc</t>
  </si>
  <si>
    <t xml:space="preserve">LLC Articles of Organization (state filing fee)</t>
  </si>
  <si>
    <t xml:space="preserve">USD one-time</t>
  </si>
  <si>
    <t xml:space="preserve">verified 2026-10-23 (legal pack)</t>
  </si>
  <si>
    <t xml:space="preserve">desk-drop-legal-pack/figures.csv (re-read 2026-10-24, after its 02:33 update); https://dos.ny.gov/limited-liability-company-articles-organization</t>
  </si>
  <si>
    <t xml:space="preserve">Plan capital table: $200 plus $50.</t>
  </si>
  <si>
    <t xml:space="preserve">Follows Gate 0: earliest Thu 2026-11-19, never before the attorney hour (legal pack). Day 0 = first verbal brand yes</t>
  </si>
  <si>
    <t xml:space="preserve">Y</t>
  </si>
  <si>
    <t xml:space="preserve">su_cert</t>
  </si>
  <si>
    <t xml:space="preserve">Certificate of Publication filing</t>
  </si>
  <si>
    <t xml:space="preserve">desk-drop-legal-pack/figures.csv (re-read 2026-10-24, after its 02:33 update); https://dos.ny.gov/certificate-publication-domestic-limited-liability-company-0</t>
  </si>
  <si>
    <t xml:space="preserve">Follows publication: after the sixth weekly run (2027-01-15 by default; legal limit day 120)</t>
  </si>
  <si>
    <t xml:space="preserve">su_pub</t>
  </si>
  <si>
    <t xml:space="preserve">Newspaper publication (two papers, six weeks), county not chosen</t>
  </si>
  <si>
    <t xml:space="preserve">needs quote (plan high end until quoted)</t>
  </si>
  <si>
    <t xml:space="preserve">plan.md, Economics: Capital table ($250 to $2,000, no working figure); desk-drop-legal-pack/figures.csv (re-read 2026-10-24, after its 02:33 update); https://www.llcpublishers.com/pricing</t>
  </si>
  <si>
    <t xml:space="preserve">Default = the plan's high end, because the plan gives a range and no working figure; it stays until a quote or a verified figure arrives. Alternative: the legal pack's working figure $1,745 for New York County (LLC Publishers $1,795 all-in less the $50 state fee; needs quote), or $345 if the attorney confirms Albany County.</t>
  </si>
  <si>
    <t xml:space="preserve">Follows the LLC filing: ordered within 10 business days (legal pack), 2026-12-04 by default</t>
  </si>
  <si>
    <t xml:space="preserve">su_reg_agent</t>
  </si>
  <si>
    <t xml:space="preserve">Registered agent, only if the Articles name Albany County</t>
  </si>
  <si>
    <t xml:space="preserve">needs quote (legal pack)</t>
  </si>
  <si>
    <t xml:space="preserve">desk-drop-legal-pack/figures.csv (re-read 2026-10-24, after its 02:33 update) (registered_agent_albany_if_used)</t>
  </si>
  <si>
    <t xml:space="preserve">Optional in New York, where the Secretary of State is the agent for service of process. The legal pack adds it only on the Albany County route and invents no figure. Include = N; if the attorney confirms Albany, type the quote and set Y. Yearly; the model books the first year.</t>
  </si>
  <si>
    <t xml:space="preserve">Follows the LLC filing (the Articles name the agent)</t>
  </si>
  <si>
    <t xml:space="preserve">N</t>
  </si>
  <si>
    <t xml:space="preserve">su_license</t>
  </si>
  <si>
    <t xml:space="preserve">Food warehouse license (Article 28-D, two years), if required</t>
  </si>
  <si>
    <t xml:space="preserve">fee verified 2026-10-23; need unknown (legal pack)</t>
  </si>
  <si>
    <t xml:space="preserve">desk-drop-legal-pack/figures.csv (re-read 2026-10-24, after its 02:33 update); https://www.nysenate.gov/legislation/laws/AGM/500-B</t>
  </si>
  <si>
    <t xml:space="preserve">Zero if the state says sealed cases at home need no license, or if brands ship direct.</t>
  </si>
  <si>
    <t xml:space="preserve">Follows Gate 1. Before any brand ships (legal pack: latest 2026-12-21)</t>
  </si>
  <si>
    <t xml:space="preserve">su_print</t>
  </si>
  <si>
    <t xml:space="preserve">Printing and materials (hand truck, supplies, first card runs)</t>
  </si>
  <si>
    <t xml:space="preserve">Read as startup supplies; per-drop kits are the $8 per office line. Campaign zero also pays $40 of kits on its drop: if the first card run is those kits, $40 is counted twice (conservative). Both are plan figures.</t>
  </si>
  <si>
    <t xml:space="preserve">Follows Gate 1: hand truck, supplies and first card run (plan setup checklist)</t>
  </si>
  <si>
    <t xml:space="preserve">su_domain</t>
  </si>
  <si>
    <t xml:space="preserve">Domain and email setup</t>
  </si>
  <si>
    <t xml:space="preserve">Follows week 1: days 1 and 2 (plan)</t>
  </si>
  <si>
    <t xml:space="preserve">su_mailbox</t>
  </si>
  <si>
    <t xml:space="preserve">Mailing address for email footers and the LLC notice (PO box or private mailbox), first year</t>
  </si>
  <si>
    <t xml:space="preserve">desk-drop-legal-pack/figures.csv (re-read 2026-10-24, after its 02:33 update) (mailing_address_mailbox_annual); https://www.ftc.gov/business-guidance/resources/can-spam-act-compliance-guide-business</t>
  </si>
  <si>
    <t xml:space="preserve">CAN-SPAM needs a postal address in every commercial email, and the LLC's newspaper notice prints one. Needed only if you will not use a home address. The legal pack did not research the cost and invents no figure. Blank counts as $0.</t>
  </si>
  <si>
    <t xml:space="preserve">Follows week 1: before the first outreach email (legal pack)</t>
  </si>
  <si>
    <t xml:space="preserve">su_attorney</t>
  </si>
  <si>
    <t xml:space="preserve">Attorney hour (both agreements, name and formation questions)</t>
  </si>
  <si>
    <t xml:space="preserve">plan estimate (legal pack)</t>
  </si>
  <si>
    <t xml:space="preserve">desk-drop-legal-pack/figures.csv (re-read 2026-10-24, after its 02:33 update); plan.md Legal table</t>
  </si>
  <si>
    <t xml:space="preserve">Not in the plan's capital table. Plan question 8 puts both hours at about $700; $400 plus the accountant's $300 keeps that figure.</t>
  </si>
  <si>
    <t xml:space="preserve">Follows Gate 0: booked then, held by Wed 2026-11-18, before the filing (legal pack)</t>
  </si>
  <si>
    <t xml:space="preserve">su_accountant</t>
  </si>
  <si>
    <t xml:space="preserve">Accountant hour (sales tax, UBT, estimates)</t>
  </si>
  <si>
    <t xml:space="preserve">Not in the plan's capital table. See the attorney line for the $700 pair.</t>
  </si>
  <si>
    <t xml:space="preserve">Follows Gate 0: booked then, held by Fri 2026-11-20, before the first invoice (legal pack)</t>
  </si>
  <si>
    <t xml:space="preserve">su_it204</t>
  </si>
  <si>
    <t xml:space="preserve">NYS LLC annual filing fee (IT-204-LL), single-member</t>
  </si>
  <si>
    <t xml:space="preserve">desk-drop-legal-pack/figures.csv (re-read 2026-10-24, after its 02:33 update); https://www.tax.ny.gov/pdf/current_forms/it/it204lli.pdf</t>
  </si>
  <si>
    <t xml:space="preserve">Accountant confirms whether 2026 is owed. Not in the plan.</t>
  </si>
  <si>
    <t xml:space="preserve">Statutory date: first possibly Mon 2027-03-15 for 2026 (legal pack)</t>
  </si>
  <si>
    <t xml:space="preserve">su_hnoa</t>
  </si>
  <si>
    <t xml:space="preserve">Hired and non-owned auto add-on to the liability policy</t>
  </si>
  <si>
    <t xml:space="preserve">desk-drop-legal-pack/figures.csv (re-read 2026-10-24, after its 02:33 update); plan.md Legal table ('Small add-on. Ask the carrier.')</t>
  </si>
  <si>
    <t xml:space="preserve">Needed if car rides, a car service or a rented van carry product (campaign zero does). Blank counts as $0.</t>
  </si>
  <si>
    <t xml:space="preserve">Follows the insurance bind date</t>
  </si>
  <si>
    <t xml:space="preserve">su_addl_insured</t>
  </si>
  <si>
    <t xml:space="preserve">Additional-insured endorsements for buildings that require them</t>
  </si>
  <si>
    <t xml:space="preserve">desk-drop-legal-pack/figures.csv (re-read 2026-10-24, after its 02:33 update)</t>
  </si>
  <si>
    <t xml:space="preserve">The legal pack expects one per building that requires it, because there is no contract with any building; zero only if the carrier confirms its blanket endorsement covers buildings. Blank counts as $0.</t>
  </si>
  <si>
    <t xml:space="preserve">Follows the insurance bind date; before each such building's first drop</t>
  </si>
  <si>
    <t xml:space="preserve">su_tm</t>
  </si>
  <si>
    <t xml:space="preserve">Federal trademark application (one class)</t>
  </si>
  <si>
    <t xml:space="preserve">desk-drop-legal-pack/figures.csv (re-read 2026-10-24, after its 02:33 update); plan.md setup checklist, 'After campaign zero: Trademark application, if the campaign was a pass'; https://www.uspto.gov/learning-and-resources/fees-and-payment/uspto-fee-schedule</t>
  </si>
  <si>
    <t xml:space="preserve">In the six months at Gate 2 pass (review R3-02): the plan's setup checklist files it after campaign zero if it was a pass, and the legal pack now times it from about Mon 2027-01-25, inside the six months. The plan's capital table has no line for it. The model books it on the Gate 2 day, the earliest and most cautious date. USPTO refused a prior DESK-DROP application as merely descriptive: set Include = N if the attorney advises against filing.</t>
  </si>
  <si>
    <t xml:space="preserve">Follows Gate 2: after campaign zero passes (plan setup checklist; legal pack: from about Mon 2027-01-25); attorney advises first</t>
  </si>
  <si>
    <t xml:space="preserve">Total startup outlays (cash amounts used)</t>
  </si>
  <si>
    <t xml:space="preserve">cells here and on Scenarios (the delivery-model rates in section 7 are not flagged; Plan_Check shows whether they still reproduce the plan)</t>
  </si>
  <si>
    <t xml:space="preserve">Unpriced cost lines counted as $0 (status 'needs quote' or 'needs founder decision', value blank, included)</t>
  </si>
  <si>
    <t xml:space="preserve">startup lines in section 11 plus extra tent cards and kit mailing (section 5). Each adds $0 to the low point and the capital to commit until you type a figure.</t>
  </si>
  <si>
    <t xml:space="preserve">Scenarios A to D</t>
  </si>
  <si>
    <t xml:space="preserve">The plan's four decision situations as assumption sets. Pick one on Inputs ('Scenario in force'). The Active column feeds drops after Gate 3 and the steady state.</t>
  </si>
  <si>
    <t xml:space="preserve">Planning estimates. Where a scenario does not name a figure, it follows the plan base (blue cells) and says so. Nothing here is a forecast of which scenario will happen.</t>
  </si>
  <si>
    <t xml:space="preserve">Lever</t>
  </si>
  <si>
    <t xml:space="preserve">A</t>
  </si>
  <si>
    <t xml:space="preserve">B</t>
  </si>
  <si>
    <t xml:space="preserve">C</t>
  </si>
  <si>
    <t xml:space="preserve">D</t>
  </si>
  <si>
    <t xml:space="preserve">Active (in force)</t>
  </si>
  <si>
    <t xml:space="preserve">Source and reading</t>
  </si>
  <si>
    <t xml:space="preserve">default: Plan base</t>
  </si>
  <si>
    <t xml:space="preserve">default: A</t>
  </si>
  <si>
    <t xml:space="preserve">default: B</t>
  </si>
  <si>
    <t xml:space="preserve">default: C</t>
  </si>
  <si>
    <t xml:space="preserve">default: D</t>
  </si>
  <si>
    <t xml:space="preserve">Blank in force? (1 = needs a figure)</t>
  </si>
  <si>
    <t xml:space="preserve">Situation</t>
  </si>
  <si>
    <t xml:space="preserve">What has to be true</t>
  </si>
  <si>
    <t xml:space="preserve">Both sides work</t>
  </si>
  <si>
    <t xml:space="preserve">Brands pay once, offices love it</t>
  </si>
  <si>
    <t xml:space="preserve">Brands willing, offices unreliable</t>
  </si>
  <si>
    <t xml:space="preserve">Neither converts</t>
  </si>
  <si>
    <t xml:space="preserve">What the numbers show</t>
  </si>
  <si>
    <t xml:space="preserve">Three brands per drop, six hours or less per win, 40% renew, $1,500 holds</t>
  </si>
  <si>
    <t xml:space="preserve">40% or more of brands renew; placement above 80%; contribution above $50 an hour</t>
  </si>
  <si>
    <t xml:space="preserve">Renewal under 30%; offices asking when the next drop is</t>
  </si>
  <si>
    <t xml:space="preserve">Placement under 80% twice; photos missing; responses under five</t>
  </si>
  <si>
    <t xml:space="preserve">No renewal, weak placement</t>
  </si>
  <si>
    <t xml:space="preserve">What to do next (plan)</t>
  </si>
  <si>
    <t xml:space="preserve">Run the plan</t>
  </si>
  <si>
    <t xml:space="preserve">Scale: second cluster, roster 20 to 30, price to $1,800 to $2,000, part-time delivery at about $25 an hour above two drops a month, launch-partner tier</t>
  </si>
  <si>
    <t xml:space="preserve">Fix the evidence, run two more drops; if renewal is still under 30%, switch to office-paid for offices that named $100 a month or more</t>
  </si>
  <si>
    <t xml:space="preserve">Replace the weakest offices, raise the commitment bar; if a third drop misses, stop</t>
  </si>
  <si>
    <t xml:space="preserve">Stop; write the post-mortem; keep office relationships warm</t>
  </si>
  <si>
    <t xml:space="preserve">Post-Gate-3 drops that run in the six months (of the two scheduled)</t>
  </si>
  <si>
    <t xml:space="preserve">Base and A: two drops a month. B: 'run two more drops'. C: 'if a third drop misses, stop', so one more. D: 'Stop'.</t>
  </si>
  <si>
    <t xml:space="preserve">Brands per drop after Gate 3</t>
  </si>
  <si>
    <t xml:space="preserve">Plan: three brands per drop (Inputs, 'Brands per standard drop'). A, B and C do not name a figure, so they follow the plan base. D stops.</t>
  </si>
  <si>
    <t xml:space="preserve">Renewal rate (share of brand slots that are renewals)</t>
  </si>
  <si>
    <t xml:space="preserve">A: '40% or more', low end. B: 'under 30%' and 'brands pay once': 0%, the low end of 0% to 29%. C: not named, plan base. D: 'No renewal'.</t>
  </si>
  <si>
    <t xml:space="preserve">New offices recruited per post-Gate-3 drop</t>
  </si>
  <si>
    <t xml:space="preserve">A: 'Grow the roster to 20 to 30 offices': 4 new offices on each of the two decision-window drops take the 12-office roster to 20, the low end (derived, founder to confirm; review R3-08). C: 'replace the weakest offices'; the plan gives no count. Blank = 0; founder to set.</t>
  </si>
  <si>
    <t xml:space="preserve">Standard price per office for drops after the decision date</t>
  </si>
  <si>
    <t xml:space="preserve">A: 'raise the standard price to $1,800 to $2,000' = $180 to $200 per office; low end.</t>
  </si>
  <si>
    <t xml:space="preserve">Steady-state drops per month</t>
  </si>
  <si>
    <t xml:space="preserve">Plan monthly picture: two drops a month (Inputs section 8). A, B and C follow the plan base. D stops.</t>
  </si>
  <si>
    <t xml:space="preserve">Steady-state brands per drop</t>
  </si>
  <si>
    <t xml:space="preserve">Plan monthly picture: three-brand drops (Inputs, 'Brands per standard drop'). A, B and C follow the plan base. D stops.</t>
  </si>
  <si>
    <t xml:space="preserve">Offices on an office-paid tier (steady state)</t>
  </si>
  <si>
    <t xml:space="preserve">B: offices that named $100 a month or more; at least five.</t>
  </si>
  <si>
    <t xml:space="preserve">Office-paid fee per office per month</t>
  </si>
  <si>
    <t xml:space="preserve">B: $100 to $200 a month; low end.</t>
  </si>
  <si>
    <t xml:space="preserve">Cost to serve one office-paid office per month</t>
  </si>
  <si>
    <t xml:space="preserve">Needs quote. The plan prices no cost for guaranteed twice-monthly curated drops.</t>
  </si>
  <si>
    <t xml:space="preserve">Part-time delivery hire</t>
  </si>
  <si>
    <t xml:space="preserve">A: 'about $25 an hour once you run more than two drops a month'. It replaces drop-day hours (model reading).</t>
  </si>
  <si>
    <t xml:space="preserve">Hire once steady-state drops per month exceed</t>
  </si>
  <si>
    <t xml:space="preserve">Plan: 'more than two drops a month'. One rule for every scenario, so A to D follow the plan base.</t>
  </si>
  <si>
    <t xml:space="preserve">How it works</t>
  </si>
  <si>
    <t xml:space="preserve">The two decision-window drops on Schedule (DRP-004, DRP-005) take brands, renewals and new offices from the Active column. Type over those Schedule cells to replace the scenario with real plans. The steady-state view and the sensitivity tables use the Active column too. Drops before Gate 3 do not change with the scenario. A lever left blank in the scenario in force counts as zero, and column R flags it: scenario B's office-paid revenue is left out of the steady-state net until its cost to serve is quoted.</t>
  </si>
  <si>
    <t xml:space="preserve">Drop schedule</t>
  </si>
  <si>
    <t xml:space="preserve">One row per drop. Edit dates, delivery model, offices, brands and renewals. Rows marked derived are the simplest schedule that meets the plan; founder to confirm.</t>
  </si>
  <si>
    <t xml:space="preserve">Planning estimates, not a forecast. Drop days are Tuesday or Wednesday only; no window may overlap a blackout (Lists). Set 'Actuals in' to Y once a drop's actuals are pasted, and the model switches that drop from plan to actual.</t>
  </si>
  <si>
    <t xml:space="preserve">Yellow = your input. Blue = follows Inputs or the scenario in force; type over it to replace. Red 'changed' = the row no longer matches the derived default.</t>
  </si>
  <si>
    <t xml:space="preserve">Brand wins the schedule needs, beside the pipeline's actual counts</t>
  </si>
  <si>
    <t xml:space="preserve">Results against the decision date</t>
  </si>
  <si>
    <t xml:space="preserve">Derived defaults (for the 'Changed' flag; do not edit)</t>
  </si>
  <si>
    <t xml:space="preserve">Post-Gate-3 sequence</t>
  </si>
  <si>
    <t xml:space="preserve">Day</t>
  </si>
  <si>
    <t xml:space="preserve">Tier</t>
  </si>
  <si>
    <t xml:space="preserve">New offices</t>
  </si>
  <si>
    <t xml:space="preserve">of which renewals</t>
  </si>
  <si>
    <t xml:space="preserve">of which founding-rate renewals</t>
  </si>
  <si>
    <t xml:space="preserve">Actuals in (Y/N)</t>
  </si>
  <si>
    <t xml:space="preserve">Tue or Wed?</t>
  </si>
  <si>
    <t xml:space="preserve">Window closes (T+4)</t>
  </si>
  <si>
    <t xml:space="preserve">Blackout clash?</t>
  </si>
  <si>
    <t xml:space="preserve">Units brands ship (incl. reserve)</t>
  </si>
  <si>
    <t xml:space="preserve">Row check</t>
  </si>
  <si>
    <t xml:space="preserve">Office slots on drops in the last four weeks</t>
  </si>
  <si>
    <t xml:space="preserve">Roster to date (new offices so far)</t>
  </si>
  <si>
    <t xml:space="preserve">Office fatigue</t>
  </si>
  <si>
    <t xml:space="preserve">Changed from the derived default?</t>
  </si>
  <si>
    <t xml:space="preserve">Sign by (latest deposit or full payment)</t>
  </si>
  <si>
    <t xml:space="preserve">New brand wins needed (brands less renewals)</t>
  </si>
  <si>
    <t xml:space="preserve">Qualified brand conversations implied (wins / close rate)</t>
  </si>
  <si>
    <t xml:space="preserve">Wins needed, cumulative to this sign-by date</t>
  </si>
  <si>
    <t xml:space="preserve">Conversations implied, cumulative</t>
  </si>
  <si>
    <t xml:space="preserve">Actual: brands paid by this sign-by date (Pipeline)</t>
  </si>
  <si>
    <t xml:space="preserve">Actual: brand conversations by this sign-by date (Pipeline)</t>
  </si>
  <si>
    <t xml:space="preserve">Debrief (T+10)</t>
  </si>
  <si>
    <t xml:space="preserve">Results after the decision date?</t>
  </si>
  <si>
    <t xml:space="preserve">Debrief date, if after the decision</t>
  </si>
  <si>
    <t xml:space="preserve">Offices to add so none gets two drops within four weeks</t>
  </si>
  <si>
    <t xml:space="preserve">Standard drop that runs: its date (sets the storage start)</t>
  </si>
  <si>
    <t xml:space="preserve">default date</t>
  </si>
  <si>
    <t xml:space="preserve">default model</t>
  </si>
  <si>
    <t xml:space="preserve">default tier</t>
  </si>
  <si>
    <t xml:space="preserve">default offices</t>
  </si>
  <si>
    <t xml:space="preserve">default new offices</t>
  </si>
  <si>
    <t xml:space="preserve">default brands</t>
  </si>
  <si>
    <t xml:space="preserve">default renewals</t>
  </si>
  <si>
    <t xml:space="preserve">default founding renewals</t>
  </si>
  <si>
    <t xml:space="preserve">Campaign zero (founding)</t>
  </si>
  <si>
    <t xml:space="preserve">derived: CONTRACTS s3</t>
  </si>
  <si>
    <t xml:space="preserve">founding</t>
  </si>
  <si>
    <t xml:space="preserve">Stretch option Tue 2026-12-08 only if both brands pay by 2026-11-20. Brands asked to ship by 2026-12-22.</t>
  </si>
  <si>
    <t xml:space="preserve">DRP-002</t>
  </si>
  <si>
    <t xml:space="preserve">Standard run 1</t>
  </si>
  <si>
    <t xml:space="preserve">standard</t>
  </si>
  <si>
    <t xml:space="preserve">Campaigns one and two: founder plus courier (plan). New offices fill the drop: five take the roster from 5 to 10. No founding renewal: its latest signature (T-10, 2027-01-26) is two business days after the campaign-zero report.</t>
  </si>
  <si>
    <t xml:space="preserve">DRP-003</t>
  </si>
  <si>
    <t xml:space="preserve">Standard run 2</t>
  </si>
  <si>
    <t xml:space="preserve">New offices reach the six-month goal of 12 active offices (two). Two weeks after run 1, so most offices get two drops in February. No founding renewal by default (README assumption 18).</t>
  </si>
  <si>
    <t xml:space="preserve">DRP-004</t>
  </si>
  <si>
    <t xml:space="preserve">Decision window drop 1</t>
  </si>
  <si>
    <t xml:space="preserve">derived: scenario</t>
  </si>
  <si>
    <t xml:space="preserve">Campaign three onward: brands ship direct (plan). Brands, renewals and new offices follow the scenario in force. Not in the plan's roadmap table; derived from the decision rule's 'two extra drops'.</t>
  </si>
  <si>
    <t xml:space="preserve">DRP-005</t>
  </si>
  <si>
    <t xml:space="preserve">Decision window drop 2</t>
  </si>
  <si>
    <t xml:space="preserve">Second extra drop (scenario B's 'two more drops'; two drops a month in the base). Its debrief (T+10) lands after the 2027-04-09 decision: see REPORT.md, question 1.</t>
  </si>
  <si>
    <t xml:space="preserve">DRP-006</t>
  </si>
  <si>
    <t xml:space="preserve">founder entry</t>
  </si>
  <si>
    <t xml:space="preserve">DRP-007</t>
  </si>
  <si>
    <t xml:space="preserve">DRP-008</t>
  </si>
  <si>
    <t xml:space="preserve">DRP-009</t>
  </si>
  <si>
    <t xml:space="preserve">DRP-010</t>
  </si>
  <si>
    <t xml:space="preserve">DRP-011</t>
  </si>
  <si>
    <t xml:space="preserve">DRP-012</t>
  </si>
  <si>
    <t xml:space="preserve">Totals</t>
  </si>
  <si>
    <t xml:space="preserve">Offices column counts every office on the drop; New offices counts the ones visiting for the first time (4 hours each instead of 1). Brands counts brand campaigns on the drop; renewals are part of that count (2 hours each instead of 6 or 10). Tier sets the price of the new brands; founding-rate renewals pay the founding rate per office.</t>
  </si>
  <si>
    <t xml:space="preserve">Columns Y to AE: the new brand wins each drop needs and the qualified conversations they imply at the close rate on Inputs, cumulated to each drop's sign-by date, beside the Pipeline's actual distinct brands paid and brand conversations by that date. Columns AF to AH: each drop's debrief date; a drop in the decision window whose debrief lands after the decision date is flagged, because its results cannot count toward the decision rule. Column AI: offices to add so no office gets a second drop within four weeks (the Dashboard shows the Gate 3 rate with them). Column AJ: the date of each standard drop that runs; the storage unit is rented from the first of the month of the earliest one.</t>
  </si>
  <si>
    <t xml:space="preserve">Drop calculator</t>
  </si>
  <si>
    <t xml:space="preserve">Pick any tier, delivery model, office count and brand count. It runs the same engine as the drops and does not change the model.</t>
  </si>
  <si>
    <t xml:space="preserve">Planning estimates, not a forecast. To test a price: type it in 'Standard price per office' below (or on Inputs to move the whole model). Read 'Contribution per founder hour'.</t>
  </si>
  <si>
    <t xml:space="preserve">Your drop</t>
  </si>
  <si>
    <t xml:space="preserve">Result</t>
  </si>
  <si>
    <t xml:space="preserve">Line</t>
  </si>
  <si>
    <t xml:space="preserve">Whole drop</t>
  </si>
  <si>
    <t xml:space="preserve">Per brand (equal split of shared costs)</t>
  </si>
  <si>
    <t xml:space="preserve">Display kits</t>
  </si>
  <si>
    <t xml:space="preserve">of which new offices</t>
  </si>
  <si>
    <t xml:space="preserve">Transport</t>
  </si>
  <si>
    <t xml:space="preserve">Card processing</t>
  </si>
  <si>
    <t xml:space="preserve">Storage allocation</t>
  </si>
  <si>
    <t xml:space="preserve">Standard price per office (blank = Inputs)</t>
  </si>
  <si>
    <t xml:space="preserve">Software allocation</t>
  </si>
  <si>
    <t xml:space="preserve">Founding price per office (blank = Inputs)</t>
  </si>
  <si>
    <t xml:space="preserve">Insurance allocation</t>
  </si>
  <si>
    <t xml:space="preserve">Storage allocated? Y/N (blank = Inputs choice)</t>
  </si>
  <si>
    <t xml:space="preserve">Card processing? Y/N (blank = Inputs toggle)</t>
  </si>
  <si>
    <t xml:space="preserve">brand_sales (h)</t>
  </si>
  <si>
    <t xml:space="preserve">office_coordination (h)</t>
  </si>
  <si>
    <t xml:space="preserve">receiving_kitting (h)</t>
  </si>
  <si>
    <t xml:space="preserve">drop_day (h)</t>
  </si>
  <si>
    <t xml:space="preserve">checks_pickup (h)</t>
  </si>
  <si>
    <t xml:space="preserve">reporting_debriefs (h)</t>
  </si>
  <si>
    <t xml:space="preserve">admin_invoicing (h)</t>
  </si>
  <si>
    <t xml:space="preserve">Contribution per founder hour</t>
  </si>
  <si>
    <t xml:space="preserve">Against the Gate 3 target</t>
  </si>
  <si>
    <t xml:space="preserve">Units each brand ships (incl. reserve)</t>
  </si>
  <si>
    <t xml:space="preserve">Per-brand column: revenue and processing are averaged across brands, and shared costs and hours (kits, transport, allocations, office and drop-day time) are split equally. Brand sales and reporting hours are per brand already.</t>
  </si>
  <si>
    <t xml:space="preserve">Engine row: the same formulas as every row on Drop_PnL. Read-only; the result table above reads it.</t>
  </si>
  <si>
    <t xml:space="preserve">Drop or case</t>
  </si>
  <si>
    <t xml:space="preserve">Storage allocated (1/0)</t>
  </si>
  <si>
    <t xml:space="preserve">Card processing (1/0)</t>
  </si>
  <si>
    <t xml:space="preserve">Drop runs (1/0)</t>
  </si>
  <si>
    <t xml:space="preserve">New founding brands</t>
  </si>
  <si>
    <t xml:space="preserve">New standard brands</t>
  </si>
  <si>
    <t xml:space="preserve">Revenue at founding rate</t>
  </si>
  <si>
    <t xml:space="preserve">Revenue at standard rate</t>
  </si>
  <si>
    <t xml:space="preserve">Direct costs (kits, transport, mailing, processing)</t>
  </si>
  <si>
    <t xml:space="preserve">Overhead allocations (views of monthly costs)</t>
  </si>
  <si>
    <t xml:space="preserve">Calculator drop</t>
  </si>
  <si>
    <t xml:space="preserve">Per-drop P&amp;L (plan basis) with cash timing</t>
  </si>
  <si>
    <t xml:space="preserve">One row per Schedule row. Contribution = revenue minus hard costs, as the plan defines it. Overhead allocations are views; the cash flow pays overhead once.</t>
  </si>
  <si>
    <t xml:space="preserve">Planning estimates. The 'Live' columns switch to actuals when Schedule says 'Actuals in = Y'. Shared drop costs are split equally across the drop's brands where a per-brand figure is shown.</t>
  </si>
  <si>
    <t xml:space="preserve">Case</t>
  </si>
  <si>
    <t xml:space="preserve">Inputs to the engine</t>
  </si>
  <si>
    <t xml:space="preserve">Founder hours by activity</t>
  </si>
  <si>
    <t xml:space="preserve">Split</t>
  </si>
  <si>
    <t xml:space="preserve">Cash timing on the plan's terms (feeds Cash_Flow)</t>
  </si>
  <si>
    <t xml:space="preserve">Live: actual where Actuals in = Y, otherwise plan</t>
  </si>
  <si>
    <t xml:space="preserve">Per-drop cash inside the 26 weeks</t>
  </si>
  <si>
    <t xml:space="preserve">Founding payment date</t>
  </si>
  <si>
    <t xml:space="preserve">Founding payment</t>
  </si>
  <si>
    <t xml:space="preserve">Standard deposit date</t>
  </si>
  <si>
    <t xml:space="preserve">Standard deposit</t>
  </si>
  <si>
    <t xml:space="preserve">Balance date</t>
  </si>
  <si>
    <t xml:space="preserve">Balance</t>
  </si>
  <si>
    <t xml:space="preserve">Processing on founding payment</t>
  </si>
  <si>
    <t xml:space="preserve">Processing on deposit</t>
  </si>
  <si>
    <t xml:space="preserve">Processing on balance</t>
  </si>
  <si>
    <t xml:space="preserve">Kits printed (and mailed)</t>
  </si>
  <si>
    <t xml:space="preserve">Transport paid</t>
  </si>
  <si>
    <t xml:space="preserve">Actuals in</t>
  </si>
  <si>
    <t xml:space="preserve">Live revenue</t>
  </si>
  <si>
    <t xml:space="preserve">Live hard costs</t>
  </si>
  <si>
    <t xml:space="preserve">Live founder hours</t>
  </si>
  <si>
    <t xml:space="preserve">Live contribution</t>
  </si>
  <si>
    <t xml:space="preserve">Live contribution per founder hour</t>
  </si>
  <si>
    <t xml:space="preserve">Upcoming drop (1/0)</t>
  </si>
  <si>
    <t xml:space="preserve">Net cash inside the six months, plan (receipts less direct costs)</t>
  </si>
  <si>
    <t xml:space="preserve">Net cash inside the six months, live</t>
  </si>
  <si>
    <t xml:space="preserve">Upcoming drop: its date (the Dashboard takes the earliest)</t>
  </si>
  <si>
    <t xml:space="preserve">Totals (all scheduled drops)</t>
  </si>
  <si>
    <t xml:space="preserve">Six-month cash flow, weekly</t>
  </si>
  <si>
    <t xml:space="preserve">Startup outlays at their timing, brand cash on the plan's terms, overhead paid once from Cash_Ledger. Outflows are negative.</t>
  </si>
  <si>
    <t xml:space="preserve">Planning estimates, not a forecast. Drops switch to actual cash when Schedule says Actuals in = Y.</t>
  </si>
  <si>
    <t xml:space="preserve">Week</t>
  </si>
  <si>
    <t xml:space="preserve">Six months</t>
  </si>
  <si>
    <t xml:space="preserve">Week starts</t>
  </si>
  <si>
    <t xml:space="preserve">Week ends</t>
  </si>
  <si>
    <t xml:space="preserve">Month</t>
  </si>
  <si>
    <t xml:space="preserve">Receipts</t>
  </si>
  <si>
    <t xml:space="preserve">Brand receipts, plan (drops without actuals)</t>
  </si>
  <si>
    <t xml:space="preserve">Brand receipts, actual (drops with actuals)</t>
  </si>
  <si>
    <t xml:space="preserve">Total receipts</t>
  </si>
  <si>
    <t xml:space="preserve">Direct drop costs</t>
  </si>
  <si>
    <t xml:space="preserve">Display kits, plan</t>
  </si>
  <si>
    <t xml:space="preserve">Transport, plan</t>
  </si>
  <si>
    <t xml:space="preserve">Kit mailing, plan (needs quote)</t>
  </si>
  <si>
    <t xml:space="preserve">Card processing, plan</t>
  </si>
  <si>
    <t xml:space="preserve">Direct costs and processing, actual</t>
  </si>
  <si>
    <t xml:space="preserve">Total direct costs</t>
  </si>
  <si>
    <t xml:space="preserve">Overhead, paid once here (drop allocations are views of these lines)</t>
  </si>
  <si>
    <t xml:space="preserve">Software</t>
  </si>
  <si>
    <t xml:space="preserve">Phone</t>
  </si>
  <si>
    <t xml:space="preserve">Total overhead</t>
  </si>
  <si>
    <t xml:space="preserve">Startup outlays (Inputs section 11)</t>
  </si>
  <si>
    <t xml:space="preserve">Net cash flow</t>
  </si>
  <si>
    <t xml:space="preserve">Cumulative net cash flow, before founder cash</t>
  </si>
  <si>
    <t xml:space="preserve">Founder cash in</t>
  </si>
  <si>
    <t xml:space="preserve">Cash balance with founder cash</t>
  </si>
  <si>
    <t xml:space="preserve">Actual bank balance at week end (optional; type it)</t>
  </si>
  <si>
    <t xml:space="preserve">Variance: actual less the model balance with founder cash</t>
  </si>
  <si>
    <t xml:space="preserve">Lowest point and capital</t>
  </si>
  <si>
    <t xml:space="preserve">Lowest cumulative net cash flow (before founder cash)</t>
  </si>
  <si>
    <t xml:space="preserve">Week of the lowest point</t>
  </si>
  <si>
    <t xml:space="preserve">That week starts</t>
  </si>
  <si>
    <t xml:space="preserve">Peak cash need (the lowest point, as a positive number)</t>
  </si>
  <si>
    <t xml:space="preserve">Reserve held back (plan)</t>
  </si>
  <si>
    <t xml:space="preserve">Capital to commit: peak need plus reserve</t>
  </si>
  <si>
    <t xml:space="preserve">Plan capital figure, high end (Capital tab)</t>
  </si>
  <si>
    <t xml:space="preserve">Gap: plan capital figure minus capital to commit (positive = headroom)</t>
  </si>
  <si>
    <t xml:space="preserve">Founder cash committed (Inputs)</t>
  </si>
  <si>
    <t xml:space="preserve">Lowest cash balance with founder cash</t>
  </si>
  <si>
    <t xml:space="preserve">Cumulative net cash at the end of week 26</t>
  </si>
  <si>
    <t xml:space="preserve">Latest week with an actual bank balance typed (row 30)</t>
  </si>
  <si>
    <t xml:space="preserve">Variance that week (actual less model)</t>
  </si>
  <si>
    <t xml:space="preserve">Monthly view (computed directly from the same sources, as a cross-check of the weekly grid)</t>
  </si>
  <si>
    <t xml:space="preserve">Month starts</t>
  </si>
  <si>
    <t xml:space="preserve">Counted from</t>
  </si>
  <si>
    <t xml:space="preserve">Counted to</t>
  </si>
  <si>
    <t xml:space="preserve">Check: monthly six-month net less weekly six-month net</t>
  </si>
  <si>
    <t xml:space="preserve">Overhead allocated to drops in the six months (a view, not paid)</t>
  </si>
  <si>
    <t xml:space="preserve">Overhead paid in the six months (Cash_Ledger)</t>
  </si>
  <si>
    <t xml:space="preserve">Overhead not absorbed by drops (paid less allocated)</t>
  </si>
  <si>
    <t xml:space="preserve">Insurance cover months starting inside the six months</t>
  </si>
  <si>
    <t xml:space="preserve">Insurance expensed in the six months (months x premium)</t>
  </si>
  <si>
    <t xml:space="preserve">Insurance prepaid beyond the six months (paid less expensed)</t>
  </si>
  <si>
    <t xml:space="preserve">Overhead expensed in the six months (paid less prepaid)</t>
  </si>
  <si>
    <t xml:space="preserve">Overhead not absorbed by drops, expensed basis</t>
  </si>
  <si>
    <t xml:space="preserve">Monthly steady state and break-even</t>
  </si>
  <si>
    <t xml:space="preserve">Engine rows below compute one drop; the monthly view multiplies by drops per month and pays overhead once.</t>
  </si>
  <si>
    <t xml:space="preserve">Planning estimates, not a forecast. Row 7, 'Plan reading (e), fixed for comparison', holds the plan's own figures and does not move with Inputs. Every other row, the 'Active scenario' column and every break-even line follow Inputs.</t>
  </si>
  <si>
    <t xml:space="preserve">Plan reading (e), fixed for comparison: one three-brand courier drop at the plan's figures</t>
  </si>
  <si>
    <t xml:space="preserve">Standard drop on Inputs today: brands per drop, steady-state model and offices, all new brands</t>
  </si>
  <si>
    <t xml:space="preserve">Active scenario: one steady-state drop</t>
  </si>
  <si>
    <t xml:space="preserve">Break-even: one-brand standard drop, new brand (steady-state model)</t>
  </si>
  <si>
    <t xml:space="preserve">Crossing: 1 new brand</t>
  </si>
  <si>
    <t xml:space="preserve">Crossing: 2 new brands</t>
  </si>
  <si>
    <t xml:space="preserve">Crossing at the active renewal rate, 1 brand</t>
  </si>
  <si>
    <t xml:space="preserve">Crossing at the active renewal rate, 2 brands</t>
  </si>
  <si>
    <t xml:space="preserve">Crossing: direct-ship, 1 new brand</t>
  </si>
  <si>
    <t xml:space="preserve">Crossing: direct-ship, 2 new brands</t>
  </si>
  <si>
    <t xml:space="preserve">Price crossing: standard drop at the first sensitivity price</t>
  </si>
  <si>
    <t xml:space="preserve">Price crossing: standard drop at the first price plus one step</t>
  </si>
  <si>
    <t xml:space="preserve">Monthly steady state</t>
  </si>
  <si>
    <t xml:space="preserve">Active scenario</t>
  </si>
  <si>
    <t xml:space="preserve">How it is built</t>
  </si>
  <si>
    <t xml:space="preserve">Drops per month</t>
  </si>
  <si>
    <t xml:space="preserve">Inputs / Scenarios</t>
  </si>
  <si>
    <t xml:space="preserve">drops x one drop</t>
  </si>
  <si>
    <t xml:space="preserve">Hard costs (incl. overhead allocations)</t>
  </si>
  <si>
    <t xml:space="preserve">hours per month</t>
  </si>
  <si>
    <t xml:space="preserve">Contribution (plan definition)</t>
  </si>
  <si>
    <t xml:space="preserve">revenue less hard costs</t>
  </si>
  <si>
    <t xml:space="preserve">Contribution per year at this rate</t>
  </si>
  <si>
    <t xml:space="preserve">USD per year</t>
  </si>
  <si>
    <t xml:space="preserve">before overhead not absorbed and before tax</t>
  </si>
  <si>
    <t xml:space="preserve">Founder hours per week</t>
  </si>
  <si>
    <t xml:space="preserve">monthly hours / weeks per month</t>
  </si>
  <si>
    <t xml:space="preserve">Overhead paid per month</t>
  </si>
  <si>
    <t xml:space="preserve">software + insurance + phone + storage if unit</t>
  </si>
  <si>
    <t xml:space="preserve">Overhead allocated to drops per month</t>
  </si>
  <si>
    <t xml:space="preserve">drops x allocation per drop</t>
  </si>
  <si>
    <t xml:space="preserve">Overhead not absorbed by drops</t>
  </si>
  <si>
    <t xml:space="preserve">paid less allocated; zero at two drops a month</t>
  </si>
  <si>
    <t xml:space="preserve">Office-paid tier revenue (gross)</t>
  </si>
  <si>
    <t xml:space="preserve">scenario B only</t>
  </si>
  <si>
    <t xml:space="preserve">Office-paid tier cost to serve (needs quote)</t>
  </si>
  <si>
    <t xml:space="preserve">blank until quoted</t>
  </si>
  <si>
    <t xml:space="preserve">Office-paid tier counted in the net?</t>
  </si>
  <si>
    <t xml:space="preserve">no office-paid tier</t>
  </si>
  <si>
    <t xml:space="preserve">left out until its cost to serve is quoted, so an unpriced cost never flatters the net</t>
  </si>
  <si>
    <t xml:space="preserve">Drop-day hours handed to a hire</t>
  </si>
  <si>
    <t xml:space="preserve">scenario A rule: hire above two drops a month</t>
  </si>
  <si>
    <t xml:space="preserve">Delivery hire cost</t>
  </si>
  <si>
    <t xml:space="preserve">Net monthly contribution after overhead, office tier and hire</t>
  </si>
  <si>
    <t xml:space="preserve">office tier only when 'counted in the net' says yes</t>
  </si>
  <si>
    <t xml:space="preserve">Founder hours net of the hire</t>
  </si>
  <si>
    <t xml:space="preserve">Net contribution per founder hour</t>
  </si>
  <si>
    <t xml:space="preserve">New brand wins needed per month</t>
  </si>
  <si>
    <t xml:space="preserve">wins</t>
  </si>
  <si>
    <t xml:space="preserve">brand slots less renewals</t>
  </si>
  <si>
    <t xml:space="preserve">Qualified brand conversations per month</t>
  </si>
  <si>
    <t xml:space="preserve">wins / close rate</t>
  </si>
  <si>
    <t xml:space="preserve">Office roster so no office gets more than one drop a month</t>
  </si>
  <si>
    <t xml:space="preserve">drops x offices per drop</t>
  </si>
  <si>
    <t xml:space="preserve">Break-even (every line follows Inputs)</t>
  </si>
  <si>
    <t xml:space="preserve">Startup outlays to recover (one-time cash, Inputs section 11)</t>
  </si>
  <si>
    <t xml:space="preserve">sum of startup cash amounts</t>
  </si>
  <si>
    <t xml:space="preserve">Contribution of a one-brand standard drop</t>
  </si>
  <si>
    <t xml:space="preserve">engine row 10</t>
  </si>
  <si>
    <t xml:space="preserve">Contribution per brand on a standard drop (price, brands per drop and delivery model on Inputs)</t>
  </si>
  <si>
    <t xml:space="preserve">engine row 8 / its brands; shared costs split equally</t>
  </si>
  <si>
    <t xml:space="preserve">Campaigns to recover startup cash, one-brand drops</t>
  </si>
  <si>
    <t xml:space="preserve">startup / contribution, rounded up</t>
  </si>
  <si>
    <t xml:space="preserve">Brand campaigns on standard drops to recover startup cash (brands per drop on Inputs)</t>
  </si>
  <si>
    <t xml:space="preserve">brand campaigns</t>
  </si>
  <si>
    <t xml:space="preserve">startup / contribution per brand, rounded up</t>
  </si>
  <si>
    <t xml:space="preserve">Standard drops to recover startup cash (brands per drop on Inputs)</t>
  </si>
  <si>
    <t xml:space="preserve">startup / contribution of the whole standard drop (engine row 8), rounded up</t>
  </si>
  <si>
    <t xml:space="preserve">One-brand standard drop: contribution before overhead allocations</t>
  </si>
  <si>
    <t xml:space="preserve">revenue less direct costs</t>
  </si>
  <si>
    <t xml:space="preserve">Standard campaigns a month to cover overhead</t>
  </si>
  <si>
    <t xml:space="preserve">campaigns per month</t>
  </si>
  <si>
    <t xml:space="preserve">overhead / contribution before allocations, rounded up</t>
  </si>
  <si>
    <t xml:space="preserve">Brands per drop where contribution per hour reaches the Gate 3 target, new brands</t>
  </si>
  <si>
    <t xml:space="preserve">brands per drop</t>
  </si>
  <si>
    <t xml:space="preserve">linear in brands: solved from engine rows 11 and 12</t>
  </si>
  <si>
    <t xml:space="preserve">Smallest whole number of brands that clears it</t>
  </si>
  <si>
    <t xml:space="preserve">Same, at the active renewal rate</t>
  </si>
  <si>
    <t xml:space="preserve">engine rows 13 and 14</t>
  </si>
  <si>
    <t xml:space="preserve">Same, brands ship direct</t>
  </si>
  <si>
    <t xml:space="preserve">engine rows 15 and 16</t>
  </si>
  <si>
    <t xml:space="preserve">Standard price per office where a standard drop reaches the target (brands per drop on Inputs)</t>
  </si>
  <si>
    <t xml:space="preserve">linear in price: engine rows 17 and 18</t>
  </si>
  <si>
    <t xml:space="preserve">Sensitivity tables</t>
  </si>
  <si>
    <t xml:space="preserve">Plain formulas, no data tables. Reference drop: standard tier, steady-state delivery model and offices, storage and processing as set on Inputs.</t>
  </si>
  <si>
    <t xml:space="preserve">Planning estimates, not a forecast. Each cell recomputes contribution per founder hour from the inputs. Axis starts and steps are on Inputs section 10. A check cell compares the shortcut with the full engine.</t>
  </si>
  <si>
    <t xml:space="preserve">Reference-drop components (from Inputs)</t>
  </si>
  <si>
    <t xml:space="preserve">Cross-check with the full engine (current price, active renewal rate)</t>
  </si>
  <si>
    <t xml:space="preserve">Offices per drop</t>
  </si>
  <si>
    <t xml:space="preserve">Brands used for the check</t>
  </si>
  <si>
    <t xml:space="preserve">Revenue kept after card processing</t>
  </si>
  <si>
    <t xml:space="preserve">Shortcut formula</t>
  </si>
  <si>
    <t xml:space="preserve">Revenue per brand from offices beyond the package</t>
  </si>
  <si>
    <t xml:space="preserve">Full engine (row 77)</t>
  </si>
  <si>
    <t xml:space="preserve">Package offices priced at the per-office rate</t>
  </si>
  <si>
    <t xml:space="preserve">Difference (should be 0)</t>
  </si>
  <si>
    <t xml:space="preserve">Fixed cost per drop (kits, transport, mailing, allocations)</t>
  </si>
  <si>
    <t xml:space="preserve">Gate 3 target per founder hour (colours below)</t>
  </si>
  <si>
    <t xml:space="preserve">Extra card cost per brand beyond the first</t>
  </si>
  <si>
    <t xml:space="preserve">Fixed hours per drop (existing offices, logistics, admin)</t>
  </si>
  <si>
    <t xml:space="preserve">Hours per new brand</t>
  </si>
  <si>
    <t xml:space="preserve">Hours per renewing brand</t>
  </si>
  <si>
    <t xml:space="preserve">Table 1. Contribution per founder hour: price per office (rows) x brands per drop (columns), all brands new</t>
  </si>
  <si>
    <t xml:space="preserve">Price per office \ brands</t>
  </si>
  <si>
    <t xml:space="preserve">Table 2. Contribution per founder hour: renewal rate (rows) x brands per drop (columns), at the standard price on Inputs</t>
  </si>
  <si>
    <t xml:space="preserve">Renewal rate \ brands</t>
  </si>
  <si>
    <t xml:space="preserve">Table 3. Renewal rate and the monthly steady state (scenario drops per month, brands per drop and post-decision price)</t>
  </si>
  <si>
    <t xml:space="preserve">Renewal rate</t>
  </si>
  <si>
    <t xml:space="preserve">New brand wins per month</t>
  </si>
  <si>
    <t xml:space="preserve">Qualified conversations per month</t>
  </si>
  <si>
    <t xml:space="preserve">Founder hours per month</t>
  </si>
  <si>
    <t xml:space="preserve">Contribution per month</t>
  </si>
  <si>
    <t xml:space="preserve">Table 4. Price per office and the monthly steady state (scenario drops per month, brands per drop and renewal rate)</t>
  </si>
  <si>
    <t xml:space="preserve">Price per office</t>
  </si>
  <si>
    <t xml:space="preserve">Revenue per month</t>
  </si>
  <si>
    <t xml:space="preserve">Direction checks (each should be 0)</t>
  </si>
  <si>
    <t xml:space="preserve">Table 1: cells where a higher price does not raise contribution per hour</t>
  </si>
  <si>
    <t xml:space="preserve">Table 1: cells where one more brand does not raise contribution per hour</t>
  </si>
  <si>
    <t xml:space="preserve">Table 2: cells where a higher renewal rate lowers a positive contribution per hour</t>
  </si>
  <si>
    <t xml:space="preserve">Full-engine row used by the cross-check above</t>
  </si>
  <si>
    <t xml:space="preserve">Check: steady-state model, current price, active renewal rate</t>
  </si>
  <si>
    <t xml:space="preserve">Plan check: the plan's figures reproduced by the model</t>
  </si>
  <si>
    <t xml:space="preserve">Each case runs through the same engine as the drops. Plan figures are typed from plan.md for comparison only.</t>
  </si>
  <si>
    <t xml:space="preserve">Planning estimates, not a forecast. Reproduction holds while inputs equal the plan defaults (Inputs 'Changed' column). If you change an input, a 'differs' here is expected and is not an error.</t>
  </si>
  <si>
    <t xml:space="preserve">Plan revenue</t>
  </si>
  <si>
    <t xml:space="preserve">Plan hard costs</t>
  </si>
  <si>
    <t xml:space="preserve">Plan founder hours</t>
  </si>
  <si>
    <t xml:space="preserve">Plan contribution</t>
  </si>
  <si>
    <t xml:space="preserve">Plan per founder hour</t>
  </si>
  <si>
    <t xml:space="preserve">Money tolerance</t>
  </si>
  <si>
    <t xml:space="preserve">Hours tolerance</t>
  </si>
  <si>
    <t xml:space="preserve">Per-hour tolerance</t>
  </si>
  <si>
    <t xml:space="preserve">Kind</t>
  </si>
  <si>
    <t xml:space="preserve">Plan reading</t>
  </si>
  <si>
    <t xml:space="preserve">1. Campaign zero: 2 founding brands, 5 offices, you deliver</t>
  </si>
  <si>
    <t xml:space="preserve">reproduce</t>
  </si>
  <si>
    <t xml:space="preserve">(b) storage $0 at home, transport $120, processing 3%: $276, which the plan rounds to $280.</t>
  </si>
  <si>
    <t xml:space="preserve">2. Standard drop, 1 brand, 10 offices, courier</t>
  </si>
  <si>
    <t xml:space="preserve">3. Standard drop, 3 brands, 10 offices, courier</t>
  </si>
  <si>
    <t xml:space="preserve">(a) kit $8 per office per drop. Per brand it would be $830.</t>
  </si>
  <si>
    <t xml:space="preserve">4. Standard drop, 3 brands, brands ship direct</t>
  </si>
  <si>
    <t xml:space="preserve">(c) keeps the $75 storage allocation and $0 transport.</t>
  </si>
  <si>
    <t xml:space="preserve">5. Standard drop, 3 brands at $2,000 each</t>
  </si>
  <si>
    <t xml:space="preserve">6. Three-brand drop at $1,000 each, no processing</t>
  </si>
  <si>
    <t xml:space="preserve">(d) $2,465 / 52 h = $47.4. The plan's 'about $47' assumes no card processing.</t>
  </si>
  <si>
    <t xml:space="preserve">6b. Same at $1,000 each with 3% processing</t>
  </si>
  <si>
    <t xml:space="preserve">contrast</t>
  </si>
  <si>
    <t xml:space="preserve">(d) with processing it is $45.7, so the plan's $47 is the no-processing reading.</t>
  </si>
  <si>
    <t xml:space="preserve">Edge: zero brands</t>
  </si>
  <si>
    <t xml:space="preserve">edge</t>
  </si>
  <si>
    <t xml:space="preserve">A drop with no brand does not run: no cost, no hours, per hour 'n/a'.</t>
  </si>
  <si>
    <t xml:space="preserve">Edge: one office, one brand, courier</t>
  </si>
  <si>
    <t xml:space="preserve">Expected values worked by hand: $8 kit + $30 courier + $4.50 processing + $155 allocations; 15.2 hours. Finite, negative per hour.</t>
  </si>
  <si>
    <t xml:space="preserve">Edge: 100% renewal, 3 brands</t>
  </si>
  <si>
    <t xml:space="preserve">Expected by hand: brand sales 3 x 2 h = 6 h instead of 18 h, so 40 hours.</t>
  </si>
  <si>
    <t xml:space="preserve">Edge: new founding brand on a 10-office drop</t>
  </si>
  <si>
    <t xml:space="preserve">$600 for 5 offices plus 5 extra offices at $150.</t>
  </si>
  <si>
    <t xml:space="preserve">The plan's founder-hour table, activity by activity</t>
  </si>
  <si>
    <t xml:space="preserve">Activity</t>
  </si>
  <si>
    <t xml:space="preserve">Plan: campaign zero</t>
  </si>
  <si>
    <t xml:space="preserve">Plan: 1-brand drop</t>
  </si>
  <si>
    <t xml:space="preserve">Plan: 3-brand drop</t>
  </si>
  <si>
    <t xml:space="preserve">Plan: 3-brand, direct ship</t>
  </si>
  <si>
    <t xml:space="preserve">All match?</t>
  </si>
  <si>
    <t xml:space="preserve">Tolerance (h)</t>
  </si>
  <si>
    <t xml:space="preserve">brand_sales</t>
  </si>
  <si>
    <t xml:space="preserve">office_coordination</t>
  </si>
  <si>
    <t xml:space="preserve">receiving_kitting</t>
  </si>
  <si>
    <t xml:space="preserve">drop_day</t>
  </si>
  <si>
    <t xml:space="preserve">checks_pickup</t>
  </si>
  <si>
    <t xml:space="preserve">reporting_debriefs</t>
  </si>
  <si>
    <t xml:space="preserve">admin_invoicing</t>
  </si>
  <si>
    <t xml:space="preserve">total</t>
  </si>
  <si>
    <t xml:space="preserve">Reconciliation: plan figure, model figure, difference, reason</t>
  </si>
  <si>
    <t xml:space="preserve">#</t>
  </si>
  <si>
    <t xml:space="preserve">Plan statement (plan.md)</t>
  </si>
  <si>
    <t xml:space="preserve">Plan figure</t>
  </si>
  <si>
    <t xml:space="preserve">Model figure</t>
  </si>
  <si>
    <t xml:space="preserve">Difference</t>
  </si>
  <si>
    <t xml:space="preserve">Tolerance</t>
  </si>
  <si>
    <t xml:space="preserve">Reason (plan reading, not a fudge)</t>
  </si>
  <si>
    <t xml:space="preserve">Campaign zero hard costs</t>
  </si>
  <si>
    <t xml:space="preserve">(b) $40 kits + $120 transport + $0 storage + $30 software + $50 insurance + $36 processing = $276; the plan rounds to $280.</t>
  </si>
  <si>
    <t xml:space="preserve">Campaign zero contribution</t>
  </si>
  <si>
    <t xml:space="preserve">(b) $1,200 - $276 = $924.</t>
  </si>
  <si>
    <t xml:space="preserve">Campaign zero per founder hour</t>
  </si>
  <si>
    <t xml:space="preserve">(b) $924 / 57 h = $16.2.</t>
  </si>
  <si>
    <t xml:space="preserve">Three-brand courier hard costs</t>
  </si>
  <si>
    <t xml:space="preserve">(a) one $8 kit per office per drop: $80, not $240.</t>
  </si>
  <si>
    <t xml:space="preserve">Three-brand courier per founder hour ('about $74')</t>
  </si>
  <si>
    <t xml:space="preserve">$3,830 / 52 h = $73.7.</t>
  </si>
  <si>
    <t xml:space="preserve">One-brand drop per founder hour ('about $26')</t>
  </si>
  <si>
    <t xml:space="preserve">$920 / 35 h = $26.3.</t>
  </si>
  <si>
    <t xml:space="preserve">Direct-ship hard costs</t>
  </si>
  <si>
    <t xml:space="preserve">(c) keeps $75 storage, $0 transport.</t>
  </si>
  <si>
    <t xml:space="preserve">$2,000 each per founder hour</t>
  </si>
  <si>
    <t xml:space="preserve">$5,285 / 52 h = $101.6.</t>
  </si>
  <si>
    <t xml:space="preserve">At $1,000 'about $47 an hour'</t>
  </si>
  <si>
    <t xml:space="preserve">(d) no card processing: $2,465 / 52 h = $47.4.</t>
  </si>
  <si>
    <t xml:space="preserve">At $1,000 with processing</t>
  </si>
  <si>
    <t xml:space="preserve">(d) with 3% processing: $2,375 / 52 h = $45.7. Shown as a contrast; differs by design.</t>
  </si>
  <si>
    <t xml:space="preserve">Monthly revenue at steady state</t>
  </si>
  <si>
    <t xml:space="preserve">(e) 2 x the three-brand courier drop.</t>
  </si>
  <si>
    <t xml:space="preserve">Monthly hard costs ('about $1,350')</t>
  </si>
  <si>
    <t xml:space="preserve">(e) 2 x $670 = $1,340; the plan rounds to $1,350.</t>
  </si>
  <si>
    <t xml:space="preserve">Monthly founder hours ('about 104')</t>
  </si>
  <si>
    <t xml:space="preserve">(e) 2 x 52 h.</t>
  </si>
  <si>
    <t xml:space="preserve">Monthly contribution ('roughly $7,650')</t>
  </si>
  <si>
    <t xml:space="preserve">(e) $9,000 - $1,340 = $7,660; the plan rounds to $7,650.</t>
  </si>
  <si>
    <t xml:space="preserve">A year at that rate ('about $90,000')</t>
  </si>
  <si>
    <t xml:space="preserve">$7,660 x 12 = $91,920, before overhead and tax.</t>
  </si>
  <si>
    <t xml:space="preserve">Brand wins a month ('six')</t>
  </si>
  <si>
    <t xml:space="preserve">All brands new in the plan's picture.</t>
  </si>
  <si>
    <t xml:space="preserve">Qualified conversations a month ('about 30')</t>
  </si>
  <si>
    <t xml:space="preserve">6 wins / 20% close rate.</t>
  </si>
  <si>
    <t xml:space="preserve">Roster ('about 20 offices')</t>
  </si>
  <si>
    <t xml:space="preserve">2 drops x 10 offices, one drop per office a month.</t>
  </si>
  <si>
    <t xml:space="preserve">Fixed overhead a month ('$200 to $350'): midpoint, tolerance half the range</t>
  </si>
  <si>
    <t xml:space="preserve">$60 software + $100 insurance + $150 storage + $0 phone = $310, inside the range. With home storage: $160, below it.</t>
  </si>
  <si>
    <t xml:space="preserve">Standard campaigns a month to cover overhead ('one')</t>
  </si>
  <si>
    <t xml:space="preserve">$310 / $1,075 contribution before allocations, rounded up.</t>
  </si>
  <si>
    <t xml:space="preserve">Hours per brand win ('six')</t>
  </si>
  <si>
    <t xml:space="preserve">5 conversations x 0.75 h + 2.25 h paperwork at a 20% close rate.</t>
  </si>
  <si>
    <t xml:space="preserve">Capital, low end</t>
  </si>
  <si>
    <t xml:space="preserve">Sum of the plan's low column.</t>
  </si>
  <si>
    <t xml:space="preserve">Capital, high end</t>
  </si>
  <si>
    <t xml:space="preserve">Sum of the plan's high column.</t>
  </si>
  <si>
    <t xml:space="preserve">Software, six months</t>
  </si>
  <si>
    <t xml:space="preserve">Six $60 payments inside the window.</t>
  </si>
  <si>
    <t xml:space="preserve">Transport, campaigns zero to two</t>
  </si>
  <si>
    <t xml:space="preserve">Per-drop rates give $720; the plan's lump does not reconcile to its own rates. The model keeps the rates (more conservative by $120).</t>
  </si>
  <si>
    <t xml:space="preserve">Capital to the first six months</t>
  </si>
  <si>
    <t xml:space="preserve">The plan's capital table reproduced line by line, and where the model pays each line. The cash flow never reads this tab, so nothing here is counted twice.</t>
  </si>
  <si>
    <t xml:space="preserve">Planning estimates, not a forecast. Plan columns are typed from plan.md for comparison; model columns follow Inputs.</t>
  </si>
  <si>
    <t xml:space="preserve">Item (plan capital table)</t>
  </si>
  <si>
    <t xml:space="preserve">Plan low</t>
  </si>
  <si>
    <t xml:space="preserve">Plan high</t>
  </si>
  <si>
    <t xml:space="preserve">Model working figure</t>
  </si>
  <si>
    <t xml:space="preserve">Where the model pays it</t>
  </si>
  <si>
    <t xml:space="preserve">Model cash inside the six months</t>
  </si>
  <si>
    <t xml:space="preserve">Model less plan high</t>
  </si>
  <si>
    <t xml:space="preserve">Reading</t>
  </si>
  <si>
    <t xml:space="preserve">Legal pack status</t>
  </si>
  <si>
    <t xml:space="preserve">LLC filing and certificate of publication</t>
  </si>
  <si>
    <t xml:space="preserve">Startup outlays</t>
  </si>
  <si>
    <t xml:space="preserve">Reproduces.</t>
  </si>
  <si>
    <t xml:space="preserve">verified 2026-10-23 ($200 and $50, dos.ny.gov)</t>
  </si>
  <si>
    <t xml:space="preserve">Newspaper publication</t>
  </si>
  <si>
    <t xml:space="preserve">Plan high end until quoted; the plan gives no working figure. Legal pack working figures: $1,745 New York County, $345 Albany County.</t>
  </si>
  <si>
    <t xml:space="preserve">needs quote: legal pack range $200 to $2,000, working $1,745</t>
  </si>
  <si>
    <t xml:space="preserve">General liability insurance, one year</t>
  </si>
  <si>
    <t xml:space="preserve">Overhead (Cash_Ledger, insurance)</t>
  </si>
  <si>
    <t xml:space="preserve">The plan's own working figure, about $100 a month, sits inside the range.</t>
  </si>
  <si>
    <t xml:space="preserve">plan estimate in the legal pack: $500 to $1,500, working $1,200; three quotes before binding, latest 2026-12-21</t>
  </si>
  <si>
    <t xml:space="preserve">Food warehouse license, if required</t>
  </si>
  <si>
    <t xml:space="preserve">High end until the state answers.</t>
  </si>
  <si>
    <t xml:space="preserve">fee verified 2026-10-23; whether required is unknown</t>
  </si>
  <si>
    <t xml:space="preserve">Printing and materials</t>
  </si>
  <si>
    <t xml:space="preserve">Startup supplies; per-drop kits are separate.</t>
  </si>
  <si>
    <t xml:space="preserve">plan estimate</t>
  </si>
  <si>
    <t xml:space="preserve">Overhead (Cash_Ledger, software)</t>
  </si>
  <si>
    <t xml:space="preserve">Six monthly payments inside the window.</t>
  </si>
  <si>
    <t xml:space="preserve">Per drop (Drop_PnL transport, first three drops)</t>
  </si>
  <si>
    <t xml:space="preserve">Per-drop rates give $120 + $300 + $300 = $720; the plan's $600 lump does not reconcile to its own rates.</t>
  </si>
  <si>
    <t xml:space="preserve">Domain and email</t>
  </si>
  <si>
    <t xml:space="preserve">Reserve</t>
  </si>
  <si>
    <t xml:space="preserve">Not spent; added to capital to commit</t>
  </si>
  <si>
    <t xml:space="preserve">Held back, not an outflow.</t>
  </si>
  <si>
    <t xml:space="preserve">Total (model cash excludes the reserve)</t>
  </si>
  <si>
    <t xml:space="preserve">Cash the model spends that the plan's capital table leaves out</t>
  </si>
  <si>
    <t xml:space="preserve">Attorney hour</t>
  </si>
  <si>
    <t xml:space="preserve">Legal pack plan estimate. The plan asks for both hours (about $700) before the first invoice.</t>
  </si>
  <si>
    <t xml:space="preserve">Accountant hour</t>
  </si>
  <si>
    <t xml:space="preserve">Legal pack plan estimate.</t>
  </si>
  <si>
    <t xml:space="preserve">NYS LLC annual filing fee (IT-204-LL)</t>
  </si>
  <si>
    <t xml:space="preserve">Legal pack, verified 2026-10-23; accountant confirms whether 2026 is owed.</t>
  </si>
  <si>
    <t xml:space="preserve">Hired and non-owned auto add-on (needs quote)</t>
  </si>
  <si>
    <t xml:space="preserve">Legal pack: unknown until quoted. Campaign zero's car rides need it.</t>
  </si>
  <si>
    <t xml:space="preserve">Additional-insured endorsements (needs quote)</t>
  </si>
  <si>
    <t xml:space="preserve">Legal pack: expect one per building that requires it; zero only if the carrier confirms its blanket endorsement covers buildings.</t>
  </si>
  <si>
    <t xml:space="preserve">Mailing address, PO box or private mailbox (needs quote)</t>
  </si>
  <si>
    <t xml:space="preserve">Legal pack: only if you will not use a home address in email footers and the LLC notice (CAN-SPAM).</t>
  </si>
  <si>
    <t xml:space="preserve">Registered agent, Albany County route only (needs quote)</t>
  </si>
  <si>
    <t xml:space="preserve">Startup outlays (Include = N)</t>
  </si>
  <si>
    <t xml:space="preserve">Legal pack: optional in New York; only if the Articles name Albany County.</t>
  </si>
  <si>
    <t xml:space="preserve">Trademark application, one class</t>
  </si>
  <si>
    <t xml:space="preserve">Startup outlays (at Gate 2)</t>
  </si>
  <si>
    <t xml:space="preserve">Plan setup checklist and legal pack: after campaign zero, if it was a pass, inside the six months. The plan's capital table has no line for it. Include = N if the attorney advises against filing.</t>
  </si>
  <si>
    <t xml:space="preserve">Storage unit, months inside the window</t>
  </si>
  <si>
    <t xml:space="preserve">Overhead (Cash_Ledger, storage)</t>
  </si>
  <si>
    <t xml:space="preserve">Plan's standard drops carry a $75 storage allocation.</t>
  </si>
  <si>
    <t xml:space="preserve">Display kits on scheduled drops</t>
  </si>
  <si>
    <t xml:space="preserve">Per drop</t>
  </si>
  <si>
    <t xml:space="preserve">$8 per office per drop.</t>
  </si>
  <si>
    <t xml:space="preserve">Transport on drops after the first three</t>
  </si>
  <si>
    <t xml:space="preserve">Direct-ship drops carry $0.</t>
  </si>
  <si>
    <t xml:space="preserve">Per receipt</t>
  </si>
  <si>
    <t xml:space="preserve">3% while the processing toggle is on.</t>
  </si>
  <si>
    <t xml:space="preserve">Kit mailing (needs quote)</t>
  </si>
  <si>
    <t xml:space="preserve">Blank until quoted.</t>
  </si>
  <si>
    <t xml:space="preserve">Overhead (Cash_Ledger, phone)</t>
  </si>
  <si>
    <t xml:space="preserve">$0 in the plan (your own phone).</t>
  </si>
  <si>
    <t xml:space="preserve">Total model outflows inside the six months (both tables, excluding the reserve)</t>
  </si>
  <si>
    <t xml:space="preserve">Same total read from Cash_Flow (all outflows, plan basis)</t>
  </si>
  <si>
    <t xml:space="preserve">Difference (should be 0 while no drop has actuals)</t>
  </si>
  <si>
    <t xml:space="preserve">The plan's $3,360 to $6,510 is a budget to commit, not the model's cash need. The model's need is the lowest point of cumulative cash plus the reserve (Cash_Flow and Dashboard), because brand cash arrives before most drop costs.</t>
  </si>
  <si>
    <t xml:space="preserve">Founder hours log</t>
  </si>
  <si>
    <t xml:space="preserve">Type one row per entry, or paste campaign-ops/exports/hours_log.csv (header in row 4: exactly these 6 columns, A to F). Leave drop_id blank for time that is not for a drop. Totals per drop and per week start in column Q.</t>
  </si>
  <si>
    <t xml:space="preserve">Activity must be one of the seven keys (Lists). Toggl entries add in from the Toggl_Import tab.</t>
  </si>
  <si>
    <t xml:space="preserve">Totals per drop (hand log plus Toggl)</t>
  </si>
  <si>
    <t xml:space="preserve">campaign_id</t>
  </si>
  <si>
    <t xml:space="preserve">activity</t>
  </si>
  <si>
    <t xml:space="preserve">note</t>
  </si>
  <si>
    <t xml:space="preserve">All hours</t>
  </si>
  <si>
    <t xml:space="preserve">Not linked to a scheduled drop</t>
  </si>
  <si>
    <t xml:space="preserve">Totals per week (hand log plus Toggl)</t>
  </si>
  <si>
    <t xml:space="preserve">week</t>
  </si>
  <si>
    <t xml:space="preserve">week starts</t>
  </si>
  <si>
    <t xml:space="preserve">linked to a drop</t>
  </si>
  <si>
    <t xml:space="preserve">Invalid activity keys in the hand log (should be 0)</t>
  </si>
  <si>
    <t xml:space="preserve">Rows whose drop_id is not on Schedule (should be 0)</t>
  </si>
  <si>
    <t xml:space="preserve">Hours outside the 26 weeks (dated before week 1 or after week 26)</t>
  </si>
  <si>
    <t xml:space="preserve">Hours inside the 26 weeks not linked to a drop (feeds the Dashboard's six-month all-in rate)</t>
  </si>
  <si>
    <t xml:space="preserve">Toggl import (optional)</t>
  </si>
  <si>
    <t xml:space="preserve">Paste a Toggl time-entry export with its header row in row 9, columns A to AD. Name each Toggl project after the drop (DRP-001) and tag each entry with one activity key.</t>
  </si>
  <si>
    <t xml:space="preserve">Header text in your export for:</t>
  </si>
  <si>
    <t xml:space="preserve">Toggl's own help says CSV and Excel exports are a paid-plan feature (Starter from $9 per license a month; support.toggl.com, opened 2026-10-23). Do not upgrade without a written yes. On the free plan, type hours into Hours_Log instead. The header names in C4:C7 are unverified; edit them to match your export.</t>
  </si>
  <si>
    <t xml:space="preserve">Start date</t>
  </si>
  <si>
    <t xml:space="preserve">duration (hh:mm:ss)</t>
  </si>
  <si>
    <t xml:space="preserve">Duration</t>
  </si>
  <si>
    <t xml:space="preserve">project (drop_id)</t>
  </si>
  <si>
    <t xml:space="preserve">Project</t>
  </si>
  <si>
    <t xml:space="preserve">activity key</t>
  </si>
  <si>
    <t xml:space="preserve">Tags</t>
  </si>
  <si>
    <t xml:space="preserve">Paste area (row 9 = Toggl header)</t>
  </si>
  <si>
    <t xml:space="preserve">Rows with a date but zero hours</t>
  </si>
  <si>
    <t xml:space="preserve">Rows whose activity is not one of the seven keys</t>
  </si>
  <si>
    <t xml:space="preserve">Total Toggl hours read</t>
  </si>
  <si>
    <t xml:space="preserve">Pipeline log</t>
  </si>
  <si>
    <t xml:space="preserve">One row per event. Paste desk-drop-outreach/exports/pipeline_log.csv with its header in row 4 (exactly these 9 columns, A to I), or type rows. Keep rows in date order. Columns J to S stay blank; helpers start in column T.</t>
  </si>
  <si>
    <t xml:space="preserve">value_number: headcount for signed; USD received in this payment for paid (Gate 1 counts a brand once its payments add up to the founding package price); USD per month for an office budget_probe; USD per campaign for a brand budget_probe, named before hearing $1,500 (log a later answer as a second row with notes = after_1500); USD committed for a renewal_answer, with value_text yes, maybe or no.</t>
  </si>
  <si>
    <t xml:space="preserve">Summary (distinct organisations)</t>
  </si>
  <si>
    <t xml:space="preserve">side</t>
  </si>
  <si>
    <t xml:space="preserve">org_id</t>
  </si>
  <si>
    <t xml:space="preserve">org_name</t>
  </si>
  <si>
    <t xml:space="preserve">event</t>
  </si>
  <si>
    <t xml:space="preserve">value_number</t>
  </si>
  <si>
    <t xml:space="preserve">value_text</t>
  </si>
  <si>
    <t xml:space="preserve">controls_budget</t>
  </si>
  <si>
    <t xml:space="preserve">notes</t>
  </si>
  <si>
    <t xml:space="preserve">first of this org and event</t>
  </si>
  <si>
    <t xml:space="preserve">brand would pay threshold, controls budget</t>
  </si>
  <si>
    <t xml:space="preserve">first such brand</t>
  </si>
  <si>
    <t xml:space="preserve">office named office-paid threshold</t>
  </si>
  <si>
    <t xml:space="preserve">first such office</t>
  </si>
  <si>
    <t xml:space="preserve">renewal 'yes' at threshold price</t>
  </si>
  <si>
    <t xml:space="preserve">first such renewing brand</t>
  </si>
  <si>
    <t xml:space="preserve">budget_probe with a number, before the $1,500 anchor</t>
  </si>
  <si>
    <t xml:space="preserve">office probe value (first per office)</t>
  </si>
  <si>
    <t xml:space="preserve">brand probe value before $1,500 (first per brand)</t>
  </si>
  <si>
    <t xml:space="preserve">brand probe value after $1,500 (first per brand)</t>
  </si>
  <si>
    <t xml:space="preserve">brand paid in full on this row (payments reach the founding package price)</t>
  </si>
  <si>
    <t xml:space="preserve">Count</t>
  </si>
  <si>
    <t xml:space="preserve">Cut-off</t>
  </si>
  <si>
    <t xml:space="preserve">Office conversations by Gate 0</t>
  </si>
  <si>
    <t xml:space="preserve">Offices yes in principle by Gate 0</t>
  </si>
  <si>
    <t xml:space="preserve">Brand conversations by Gate 0</t>
  </si>
  <si>
    <t xml:space="preserve">Brands that would pay the threshold and control the budget, by Gate 0</t>
  </si>
  <si>
    <t xml:space="preserve">Offices signed by Gate 1</t>
  </si>
  <si>
    <t xml:space="preserve">Combined Tuesday headcount of offices signed by Gate 1</t>
  </si>
  <si>
    <t xml:space="preserve">Brands paid in full by Gate 1 (payments add up to the founding package price)</t>
  </si>
  <si>
    <t xml:space="preserve">Brands that renewed at the threshold price (answer yes), by Gate 3</t>
  </si>
  <si>
    <t xml:space="preserve">Offices that named the office-paid threshold, to date</t>
  </si>
  <si>
    <t xml:space="preserve">Offices signed, to date</t>
  </si>
  <si>
    <t xml:space="preserve">Offices opted out, to date</t>
  </si>
  <si>
    <t xml:space="preserve">Brands with any payment, to date</t>
  </si>
  <si>
    <t xml:space="preserve">Brand conversations, to date</t>
  </si>
  <si>
    <t xml:space="preserve">Outreach messages sent, to date (events, not distinct)</t>
  </si>
  <si>
    <t xml:space="preserve">Median office budget probe (USD per month; first answer per office)</t>
  </si>
  <si>
    <t xml:space="preserve">Median brand willingness to pay before hearing $1,500 (USD per campaign; first answer per brand)</t>
  </si>
  <si>
    <t xml:space="preserve">Median brand answer after hearing $1,500 (notes = after_1500; first per brand)</t>
  </si>
  <si>
    <t xml:space="preserve">Rows with an event not in the list (should be 0)</t>
  </si>
  <si>
    <t xml:space="preserve">Rows with a side not in the list (should be 0)</t>
  </si>
  <si>
    <t xml:space="preserve">Active offices, to date (signed less opted out)</t>
  </si>
  <si>
    <t xml:space="preserve">Actuals: one row per brand campaign</t>
  </si>
  <si>
    <t xml:space="preserve">Paste campaign-ops/exports/campaign_actuals.csv with its header in row 4: exactly these 26 columns, A to Z. Columns AA to AK stay blank (Checks flags anything pasted there). Columns AL onward are model helpers; do not paste over them.</t>
  </si>
  <si>
    <t xml:space="preserve">Ladder rungs stay separate: delivered, placed, depleted, responded (tried is a survey answer), scanned, purchased (code redemptions). Incremental is not measured. There is no field for sales lift.</t>
  </si>
  <si>
    <t xml:space="preserve">drop_date</t>
  </si>
  <si>
    <t xml:space="preserve">delivery_model</t>
  </si>
  <si>
    <t xml:space="preserve">tier</t>
  </si>
  <si>
    <t xml:space="preserve">brand_id</t>
  </si>
  <si>
    <t xml:space="preserve">units_received</t>
  </si>
  <si>
    <t xml:space="preserve">units_delivered</t>
  </si>
  <si>
    <t xml:space="preserve">units_placed</t>
  </si>
  <si>
    <t xml:space="preserve">units_placed_within_1bd</t>
  </si>
  <si>
    <t xml:space="preserve">units_topped_up</t>
  </si>
  <si>
    <t xml:space="preserve">units_depleted_day5</t>
  </si>
  <si>
    <t xml:space="preserve">survey_responses</t>
  </si>
  <si>
    <t xml:space="preserve">survey_tried_yes</t>
  </si>
  <si>
    <t xml:space="preserve">qr_scans</t>
  </si>
  <si>
    <t xml:space="preserve">code_redemptions_day30</t>
  </si>
  <si>
    <t xml:space="preserve">revenue_usd</t>
  </si>
  <si>
    <t xml:space="preserve">invoice_paid_date</t>
  </si>
  <si>
    <t xml:space="preserve">processing_fee_usd</t>
  </si>
  <si>
    <t xml:space="preserve">report_delivered_date</t>
  </si>
  <si>
    <t xml:space="preserve">brand_would_buy_again</t>
  </si>
  <si>
    <t xml:space="preserve">renewed</t>
  </si>
  <si>
    <t xml:space="preserve">deposit_usd</t>
  </si>
  <si>
    <t xml:space="preserve">deposit_paid_date</t>
  </si>
  <si>
    <t xml:space="preserve">survey_responses_min_office</t>
  </si>
  <si>
    <t xml:space="preserve">drop actuals in?</t>
  </si>
  <si>
    <t xml:space="preserve">balance_usd (revenue less deposit)</t>
  </si>
  <si>
    <t xml:space="preserve">responses per office used</t>
  </si>
  <si>
    <t xml:space="preserve">report due (T+7)</t>
  </si>
  <si>
    <t xml:space="preserve">report late?</t>
  </si>
  <si>
    <t xml:space="preserve">brand's first Y or N renewal answer (1/0)</t>
  </si>
  <si>
    <t xml:space="preserve">brand's first Y renewal answer (1/0)</t>
  </si>
  <si>
    <t xml:space="preserve">Actuals: one row per drop, direct costs only</t>
  </si>
  <si>
    <t xml:space="preserve">Paste campaign-ops/exports/drop_costs.csv with its header in row 4: exactly these 9 columns, A to I. Columns J to T stay blank. Monthly overhead is not here; Cash_Flow pays it once.</t>
  </si>
  <si>
    <t xml:space="preserve">kit_cost_usd</t>
  </si>
  <si>
    <t xml:space="preserve">transport_cost_usd</t>
  </si>
  <si>
    <t xml:space="preserve">other_direct_cost_usd</t>
  </si>
  <si>
    <t xml:space="preserve">Actuals rolled up per drop</t>
  </si>
  <si>
    <t xml:space="preserve">Read-only. Sums Actuals_Campaigns, Actuals_DropCosts and the hours logs by drop_id. Ladder rungs stay in separate columns.</t>
  </si>
  <si>
    <t xml:space="preserve">Actual figures, except the overhead allocations in column I, which are planning estimates (the same views as the plan). Incremental purchases are not measured; the column says so. No column measures sales lift. A drop with no actual data shows no allocation and a blank contribution.</t>
  </si>
  <si>
    <t xml:space="preserve">Other direct</t>
  </si>
  <si>
    <t xml:space="preserve">Overhead allocations (same views as plan; shown once the drop has actual data)</t>
  </si>
  <si>
    <t xml:space="preserve">incremental</t>
  </si>
  <si>
    <t xml:space="preserve">Brand campaigns</t>
  </si>
  <si>
    <t xml:space="preserve">Placed within 1 business day (share of delivered)</t>
  </si>
  <si>
    <t xml:space="preserve">Campaigns under the responses-per-office threshold</t>
  </si>
  <si>
    <t xml:space="preserve">Reports late or missing</t>
  </si>
  <si>
    <t xml:space="preserve">Brands that would buy again (yes)</t>
  </si>
  <si>
    <t xml:space="preserve">Renewed Y</t>
  </si>
  <si>
    <t xml:space="preserve">Renewed N</t>
  </si>
  <si>
    <t xml:space="preserve">Actual cash inside the six months (receipts less direct costs)</t>
  </si>
  <si>
    <t xml:space="preserve">not measured</t>
  </si>
  <si>
    <t xml:space="preserve">Overhead payment schedule</t>
  </si>
  <si>
    <t xml:space="preserve">Monthly costs as they are paid. Cash_Flow reads only these rows for overhead; per-drop allocations never reach the cash flow, so nothing is counted twice.</t>
  </si>
  <si>
    <t xml:space="preserve">Planning estimates, not a forecast. Every amount and start date follows Inputs section 5 (software, storage, insurance, phone).</t>
  </si>
  <si>
    <t xml:space="preserve">line</t>
  </si>
  <si>
    <t xml:space="preserve">payment number</t>
  </si>
  <si>
    <t xml:space="preserve">amount (USD)</t>
  </si>
  <si>
    <t xml:space="preserve">rule</t>
  </si>
  <si>
    <t xml:space="preserve">software</t>
  </si>
  <si>
    <t xml:space="preserve">monthly from 'Software paid from'</t>
  </si>
  <si>
    <t xml:space="preserve">storage</t>
  </si>
  <si>
    <t xml:space="preserve">monthly while Storage = unit, from the rental date to the release date</t>
  </si>
  <si>
    <t xml:space="preserve">insurance</t>
  </si>
  <si>
    <t xml:space="preserve">monthly when billing = monthly</t>
  </si>
  <si>
    <t xml:space="preserve">one year's premium at bind when billing = annual</t>
  </si>
  <si>
    <t xml:space="preserve">phone</t>
  </si>
  <si>
    <t xml:space="preserve">monthly from week 1</t>
  </si>
  <si>
    <t xml:space="preserve">Total inside the six months</t>
  </si>
  <si>
    <t xml:space="preserve">Model checks</t>
  </si>
  <si>
    <t xml:space="preserve">Integrity checks must always pass. Plan-reproduction checks pass while inputs equal the plan defaults. Data checks flag bad rows in the logs.</t>
  </si>
  <si>
    <t xml:space="preserve">Tolerance used by the checks below (rounding)</t>
  </si>
  <si>
    <t xml:space="preserve">Area</t>
  </si>
  <si>
    <t xml:space="preserve">Check</t>
  </si>
  <si>
    <t xml:space="preserve">Pass (1/0)</t>
  </si>
  <si>
    <t xml:space="preserve">Note</t>
  </si>
  <si>
    <t xml:space="preserve">Integrity</t>
  </si>
  <si>
    <t xml:space="preserve">No formula errors anywhere in the model's output ranges</t>
  </si>
  <si>
    <t xml:space="preserve">Counts #N/A, #VALUE!, #DIV/0! and other errors.</t>
  </si>
  <si>
    <t xml:space="preserve">Weekly and monthly cash flows agree (difference)</t>
  </si>
  <si>
    <t xml:space="preserve">Two independent SUMIFS passes over the same sources.</t>
  </si>
  <si>
    <t xml:space="preserve">Overhead paid in the cash flow equals the overhead ledger</t>
  </si>
  <si>
    <t xml:space="preserve">Allocations never reach the cash flow.</t>
  </si>
  <si>
    <t xml:space="preserve">Planned receipts in the cash flow equal the drops' payments inside the window</t>
  </si>
  <si>
    <t xml:space="preserve">Every scheduled drop is paid in full: payments equal revenue</t>
  </si>
  <si>
    <t xml:space="preserve">Processing on payments equals processing on revenue</t>
  </si>
  <si>
    <t xml:space="preserve">Capital tab outflows equal Cash_Flow outflows</t>
  </si>
  <si>
    <t xml:space="preserve">Holds while no drop has actuals.</t>
  </si>
  <si>
    <t xml:space="preserve">Sensitivity shortcut equals the full engine</t>
  </si>
  <si>
    <t xml:space="preserve">Sensitivity: higher price never lowers contribution per hour</t>
  </si>
  <si>
    <t xml:space="preserve">Sensitivity: one more brand always raises contribution per hour</t>
  </si>
  <si>
    <t xml:space="preserve">Sensitivity: higher renewal never lowers a positive contribution per hour</t>
  </si>
  <si>
    <t xml:space="preserve">Edge: zero brands gives zero revenue, cost and hours, and 'n/a'</t>
  </si>
  <si>
    <t xml:space="preserve">Edge: one office gives a finite result</t>
  </si>
  <si>
    <t xml:space="preserve">Edge: 100% renewal charges renewal hours only</t>
  </si>
  <si>
    <t xml:space="preserve">Break-even per-brand contribution follows Inputs: engine row equals the shortcut at today's price and brands per drop</t>
  </si>
  <si>
    <t xml:space="preserve">Review R1-03: the break-even lines no longer read the fixed plan row.</t>
  </si>
  <si>
    <t xml:space="preserve">Per-drop cash inside the six months adds up to the cash flow's receipts and direct costs</t>
  </si>
  <si>
    <t xml:space="preserve">Feeds the Dashboard's week-26 cash with and without the decision-window drops.</t>
  </si>
  <si>
    <t xml:space="preserve">Rows failing the schedule rules (Tue/Wed, blackouts, counts)</t>
  </si>
  <si>
    <t xml:space="preserve">See Schedule, Row check.</t>
  </si>
  <si>
    <t xml:space="preserve">Info</t>
  </si>
  <si>
    <t xml:space="preserve">Drop rows out of date order (information only; not counted)</t>
  </si>
  <si>
    <t xml:space="preserve">Fine: an added drop takes the next spare drop_id, and every total, the cash flow and the Dashboard's next drop read dates, not row order. The Dashboard's drop table lists rows in Schedule order.</t>
  </si>
  <si>
    <t xml:space="preserve">Week 1 moved but no gate date and not campaign zero's date moved with it</t>
  </si>
  <si>
    <t xml:space="preserve">The gate dates on Inputs and the drop dates on Schedule are typed CONTRACTS dates. Move them with week 1, or the gate labels ('end of week 3') no longer hold.</t>
  </si>
  <si>
    <t xml:space="preserve">New founding brands beyond the founding cap</t>
  </si>
  <si>
    <t xml:space="preserve">Founding tier: first three brands only.</t>
  </si>
  <si>
    <t xml:space="preserve">Founding-rate renewals beyond the two-campaign lock</t>
  </si>
  <si>
    <t xml:space="preserve">Gate 2 drop exists on Schedule</t>
  </si>
  <si>
    <t xml:space="preserve">Data</t>
  </si>
  <si>
    <t xml:space="preserve">Hours_Log: invalid activity keys</t>
  </si>
  <si>
    <t xml:space="preserve">Hours_Log: drop_ids not on Schedule</t>
  </si>
  <si>
    <t xml:space="preserve">Toggl_Import: rows with zero hours or a bad activity</t>
  </si>
  <si>
    <t xml:space="preserve">Pipeline: rows with a bad event or side</t>
  </si>
  <si>
    <t xml:space="preserve">Actuals_Campaigns: rows whose drop_id is not on Schedule</t>
  </si>
  <si>
    <t xml:space="preserve">Actuals_DropCosts: rows whose drop_id is not on Schedule</t>
  </si>
  <si>
    <t xml:space="preserve">Actuals_Campaigns: header row differs from HANDOFF, or something is pasted in the blank buffer columns</t>
  </si>
  <si>
    <t xml:space="preserve">Paste exactly the HANDOFF columns in order; extra fields go in a separate file.</t>
  </si>
  <si>
    <t xml:space="preserve">Actuals_DropCosts: header row differs from HANDOFF, or something is pasted in the blank buffer columns</t>
  </si>
  <si>
    <t xml:space="preserve">Hours_Log: header row differs from HANDOFF, or something is pasted in the blank buffer columns</t>
  </si>
  <si>
    <t xml:space="preserve">Pipeline: header row differs from HANDOFF, or something is pasted in the blank buffer columns</t>
  </si>
  <si>
    <t xml:space="preserve">Actuals_Campaigns: dates or numbers stored as text (columns C, G to U, X to Z)</t>
  </si>
  <si>
    <t xml:space="preserve">Text drops out of the cash flow and the gates with no error. Fix: README tab, 'Dates and amounts must be real dates and numbers'.</t>
  </si>
  <si>
    <t xml:space="preserve">Actuals_DropCosts: dates or numbers stored as text (columns B, D to H)</t>
  </si>
  <si>
    <t xml:space="preserve">Hours_Log: dates or hours stored as text (columns A and E)</t>
  </si>
  <si>
    <t xml:space="preserve">Pipeline: dates or value_number stored as text (columns A and F)</t>
  </si>
  <si>
    <t xml:space="preserve">Plan</t>
  </si>
  <si>
    <t xml:space="preserve">Plan scenario rows 1 to 6 reproduce</t>
  </si>
  <si>
    <t xml:space="preserve">Expected only at plan defaults.</t>
  </si>
  <si>
    <t xml:space="preserve">Plan hour table reproduces cell by cell</t>
  </si>
  <si>
    <t xml:space="preserve">Reconciliation rows within tolerance (the two documented differences excluded)</t>
  </si>
  <si>
    <t xml:space="preserve">Row 10 (processing contrast) and row 25 (transport lump) differ by design.</t>
  </si>
  <si>
    <t xml:space="preserve">Integrity and schedule checks failing</t>
  </si>
  <si>
    <t xml:space="preserve">Data checks failing</t>
  </si>
  <si>
    <t xml:space="preserve">Plan-reproduction checks failing</t>
  </si>
  <si>
    <t xml:space="preserve">Checks in total (the information row is not a check)</t>
  </si>
  <si>
    <t xml:space="preserve">Fixed enumerations (CONTRACTS section 4), holidays and blackouts (section 3). Add rows in the blank cells; do not rename keys.</t>
  </si>
  <si>
    <t xml:space="preserve">activity label</t>
  </si>
  <si>
    <t xml:space="preserve">yes_no</t>
  </si>
  <si>
    <t xml:space="preserve">scenario</t>
  </si>
  <si>
    <t xml:space="preserve">would_buy_again</t>
  </si>
  <si>
    <t xml:space="preserve">us_federal_holiday</t>
  </si>
  <si>
    <t xml:space="preserve">holiday note</t>
  </si>
  <si>
    <t xml:space="preserve">blackout_start</t>
  </si>
  <si>
    <t xml:space="preserve">blackout_end</t>
  </si>
  <si>
    <t xml:space="preserve">blackout note</t>
  </si>
  <si>
    <t xml:space="preserve">weekday (WEEKDAY, Sunday = 1)</t>
  </si>
  <si>
    <t xml:space="preserve">budget_probe notes marker</t>
  </si>
  <si>
    <t xml:space="preserve">Brand sales to signature</t>
  </si>
  <si>
    <t xml:space="preserve">office</t>
  </si>
  <si>
    <t xml:space="preserve">outreach_sent</t>
  </si>
  <si>
    <t xml:space="preserve">yes</t>
  </si>
  <si>
    <t xml:space="preserve">Veterans Day (CONTRACTS s3)</t>
  </si>
  <si>
    <t xml:space="preserve">Last two weeks of December 2026 (CONTRACTS s3)</t>
  </si>
  <si>
    <t xml:space="preserve">Tuesday</t>
  </si>
  <si>
    <t xml:space="preserve">after_1500</t>
  </si>
  <si>
    <t xml:space="preserve">notes value on a budget_probe row given after hearing $1,500 (HANDOFF section 3)</t>
  </si>
  <si>
    <t xml:space="preserve">Office recruiting or coordination</t>
  </si>
  <si>
    <t xml:space="preserve">brand</t>
  </si>
  <si>
    <t xml:space="preserve">conversation</t>
  </si>
  <si>
    <t xml:space="preserve">maybe</t>
  </si>
  <si>
    <t xml:space="preserve">home</t>
  </si>
  <si>
    <t xml:space="preserve">monthly</t>
  </si>
  <si>
    <t xml:space="preserve">Thanksgiving (CONTRACTS s3)</t>
  </si>
  <si>
    <t xml:space="preserve">Week of July 4 2027 observed holiday (CONTRACTS s3 rule, derived)</t>
  </si>
  <si>
    <t xml:space="preserve">Wednesday</t>
  </si>
  <si>
    <t xml:space="preserve">Receiving and kitting</t>
  </si>
  <si>
    <t xml:space="preserve">yes_in_principle</t>
  </si>
  <si>
    <t xml:space="preserve">no</t>
  </si>
  <si>
    <t xml:space="preserve">pending</t>
  </si>
  <si>
    <t xml:space="preserve">Christmas (CONTRACTS s3)</t>
  </si>
  <si>
    <t xml:space="preserve">Last two weeks of August 2027 (CONTRACTS s3 rule)</t>
  </si>
  <si>
    <t xml:space="preserve">Drop day</t>
  </si>
  <si>
    <t xml:space="preserve">signed</t>
  </si>
  <si>
    <t xml:space="preserve">New Year's Day (CONTRACTS s3)</t>
  </si>
  <si>
    <t xml:space="preserve">Last two weeks of December 2027 (CONTRACTS s3 rule)</t>
  </si>
  <si>
    <t xml:space="preserve">Day 3 and day 5 checks, pickup</t>
  </si>
  <si>
    <t xml:space="preserve">paid</t>
  </si>
  <si>
    <t xml:space="preserve">MLK Day (CONTRACTS s3)</t>
  </si>
  <si>
    <t xml:space="preserve">Reporting and debriefs</t>
  </si>
  <si>
    <t xml:space="preserve">budget_probe</t>
  </si>
  <si>
    <t xml:space="preserve">Presidents Day (CONTRACTS s3)</t>
  </si>
  <si>
    <t xml:space="preserve">Admin and invoicing</t>
  </si>
  <si>
    <t xml:space="preserve">renewal_answer</t>
  </si>
  <si>
    <t xml:space="preserve">Memorial Day (CONTRACTS s3)</t>
  </si>
  <si>
    <t xml:space="preserve">opt_out</t>
  </si>
  <si>
    <t xml:space="preserve">Juneteenth (observed) (CONTRACTS s3)</t>
  </si>
  <si>
    <t xml:space="preserve">Independence Day (observed) (CONTRACTS s3)</t>
  </si>
  <si>
    <t xml:space="preserve">Labor Day (CONTRACTS s3)</t>
  </si>
  <si>
    <t xml:space="preserve">Expected header row of each pasted file (HANDOFF.md). Checks compares row 4 of each paste tab with these. Do not edit.</t>
  </si>
  <si>
    <t xml:space="preserve">campaign_actuals.csv</t>
  </si>
  <si>
    <t xml:space="preserve">drop_costs.csv</t>
  </si>
  <si>
    <t xml:space="preserve">hours_log.csv</t>
  </si>
  <si>
    <t xml:space="preserve">pipeline_log.csv</t>
  </si>
</sst>
</file>

<file path=xl/styles.xml><?xml version="1.0" encoding="utf-8"?>
<styleSheet xmlns="http://schemas.openxmlformats.org/spreadsheetml/2006/main">
  <numFmts count="18">
    <numFmt numFmtId="164" formatCode="General"/>
    <numFmt numFmtId="165" formatCode="ddd\ yyyy\-mm\-dd"/>
    <numFmt numFmtId="166" formatCode="General"/>
    <numFmt numFmtId="167" formatCode="\$#,##0.0;&quot;($&quot;#,##0.0\);\$0.0"/>
    <numFmt numFmtId="168" formatCode="\$#,##0;&quot;($&quot;#,##0\);\$0"/>
    <numFmt numFmtId="169" formatCode="0"/>
    <numFmt numFmtId="170" formatCode="yyyy\-mm\-dd"/>
    <numFmt numFmtId="171" formatCode="#,##0"/>
    <numFmt numFmtId="172" formatCode="0%"/>
    <numFmt numFmtId="173" formatCode="0.0#"/>
    <numFmt numFmtId="174" formatCode="0.00"/>
    <numFmt numFmtId="175" formatCode="0.0%"/>
    <numFmt numFmtId="176" formatCode="mmm\ d"/>
    <numFmt numFmtId="177" formatCode="mmm\ yy"/>
    <numFmt numFmtId="178" formatCode="\$#,##0.00;&quot;($&quot;#,##0.00\);\$0.00"/>
    <numFmt numFmtId="179" formatCode="0.0"/>
    <numFmt numFmtId="180" formatCode="0.000000"/>
    <numFmt numFmtId="181" formatCode="#,##0.00"/>
  </numFmts>
  <fonts count="16">
    <font>
      <sz val="11"/>
      <color theme="1"/>
      <name val="Calibri"/>
      <family val="2"/>
      <charset val="1"/>
    </font>
    <font>
      <sz val="10"/>
      <name val="Arial"/>
      <family val="0"/>
    </font>
    <font>
      <sz val="10"/>
      <name val="Arial"/>
      <family val="0"/>
    </font>
    <font>
      <sz val="10"/>
      <name val="Arial"/>
      <family val="0"/>
    </font>
    <font>
      <b val="true"/>
      <sz val="15"/>
      <color rgb="FF1F3A44"/>
      <name val="Cambria"/>
      <family val="0"/>
      <charset val="1"/>
    </font>
    <font>
      <i val="true"/>
      <sz val="11"/>
      <color rgb="FF4A5A60"/>
      <name val="Cambria"/>
      <family val="0"/>
      <charset val="1"/>
    </font>
    <font>
      <b val="true"/>
      <sz val="12"/>
      <color rgb="FF1F3A44"/>
      <name val="Cambria"/>
      <family val="0"/>
      <charset val="1"/>
    </font>
    <font>
      <b val="true"/>
      <sz val="11"/>
      <name val="Cambria"/>
      <family val="0"/>
      <charset val="1"/>
    </font>
    <font>
      <b val="true"/>
      <sz val="11"/>
      <color rgb="FF7A3A10"/>
      <name val="Cambria"/>
      <family val="0"/>
      <charset val="1"/>
    </font>
    <font>
      <b val="true"/>
      <sz val="11"/>
      <color rgb="FFFFFFFF"/>
      <name val="Cambria"/>
      <family val="0"/>
      <charset val="1"/>
    </font>
    <font>
      <i val="true"/>
      <sz val="9"/>
      <color rgb="FF5A5A5A"/>
      <name val="Cambria"/>
      <family val="0"/>
      <charset val="1"/>
    </font>
    <font>
      <b val="true"/>
      <sz val="18"/>
      <color rgb="FF000000"/>
      <name val="Calibri"/>
      <family val="2"/>
    </font>
    <font>
      <sz val="10"/>
      <color rgb="FF000000"/>
      <name val="Calibri"/>
      <family val="2"/>
    </font>
    <font>
      <b val="true"/>
      <sz val="10"/>
      <color rgb="FF000000"/>
      <name val="Calibri"/>
      <family val="2"/>
    </font>
    <font>
      <sz val="11"/>
      <color rgb="FF1A3FB5"/>
      <name val="Cambria"/>
      <family val="0"/>
      <charset val="1"/>
    </font>
    <font>
      <b val="true"/>
      <sz val="11"/>
      <color rgb="FF9C0006"/>
      <name val="Cambria"/>
      <family val="0"/>
      <charset val="1"/>
    </font>
  </fonts>
  <fills count="9">
    <fill>
      <patternFill patternType="none"/>
    </fill>
    <fill>
      <patternFill patternType="gray125"/>
    </fill>
    <fill>
      <patternFill patternType="solid">
        <fgColor rgb="FFDCE8EB"/>
        <bgColor rgb="FFDDEBF7"/>
      </patternFill>
    </fill>
    <fill>
      <patternFill patternType="solid">
        <fgColor rgb="FFFCE4D6"/>
        <bgColor rgb="FFFFF4CC"/>
      </patternFill>
    </fill>
    <fill>
      <patternFill patternType="solid">
        <fgColor rgb="FF2E5E6B"/>
        <bgColor rgb="FF4A5A60"/>
      </patternFill>
    </fill>
    <fill>
      <patternFill patternType="solid">
        <fgColor rgb="FFE2F0D9"/>
        <bgColor rgb="FFDCE8EB"/>
      </patternFill>
    </fill>
    <fill>
      <patternFill patternType="solid">
        <fgColor rgb="FFFFF4CC"/>
        <bgColor rgb="FFFCE4D6"/>
      </patternFill>
    </fill>
    <fill>
      <patternFill patternType="solid">
        <fgColor rgb="FFDDEBF7"/>
        <bgColor rgb="FFDCE8EB"/>
      </patternFill>
    </fill>
    <fill>
      <patternFill patternType="solid">
        <fgColor rgb="FFF3F3F3"/>
        <bgColor rgb="FFEDEDED"/>
      </patternFill>
    </fill>
  </fills>
  <borders count="3">
    <border diagonalUp="false" diagonalDown="false">
      <left/>
      <right/>
      <top/>
      <bottom/>
      <diagonal/>
    </border>
    <border diagonalUp="false" diagonalDown="false">
      <left style="thin">
        <color rgb="FFB7C4C8"/>
      </left>
      <right style="thin">
        <color rgb="FFB7C4C8"/>
      </right>
      <top style="thin">
        <color rgb="FFB7C4C8"/>
      </top>
      <bottom style="thin">
        <color rgb="FFB7C4C8"/>
      </bottom>
      <diagonal/>
    </border>
    <border diagonalUp="false" diagonalDown="false">
      <left/>
      <right/>
      <top style="thin">
        <color rgb="FFB7C4C8"/>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6" fillId="2" borderId="0" xfId="0" applyFont="true" applyBorder="false" applyAlignment="true" applyProtection="false">
      <alignment horizontal="general" vertical="top"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8" fillId="3" borderId="0" xfId="0" applyFont="true" applyBorder="true" applyAlignment="true" applyProtection="false">
      <alignment horizontal="general" vertical="center" textRotation="0" wrapText="true" indent="0" shrinkToFit="false"/>
      <protection locked="true" hidden="false"/>
    </xf>
    <xf numFmtId="164" fontId="7" fillId="0" borderId="0" xfId="0" applyFont="true" applyBorder="false" applyAlignment="true" applyProtection="false">
      <alignment horizontal="general" vertical="top" textRotation="0" wrapText="false" indent="0" shrinkToFit="false"/>
      <protection locked="true" hidden="false"/>
    </xf>
    <xf numFmtId="165" fontId="7" fillId="0" borderId="0" xfId="0" applyFont="true" applyBorder="false" applyAlignment="true" applyProtection="false">
      <alignment horizontal="general" vertical="top" textRotation="0" wrapText="false" indent="0" shrinkToFit="false"/>
      <protection locked="true" hidden="false"/>
    </xf>
    <xf numFmtId="166" fontId="7" fillId="0" borderId="0" xfId="0" applyFont="true" applyBorder="true" applyAlignment="true" applyProtection="false">
      <alignment horizontal="general" vertical="top" textRotation="0" wrapText="true" indent="0" shrinkToFit="false"/>
      <protection locked="true" hidden="false"/>
    </xf>
    <xf numFmtId="164" fontId="9" fillId="4" borderId="1" xfId="0" applyFont="true" applyBorder="true" applyAlignment="true" applyProtection="false">
      <alignment horizontal="center" vertical="center" textRotation="0" wrapText="true" indent="0" shrinkToFit="false"/>
      <protection locked="true" hidden="false"/>
    </xf>
    <xf numFmtId="164" fontId="7" fillId="5" borderId="0" xfId="0" applyFont="true" applyBorder="false" applyAlignment="true" applyProtection="false">
      <alignment horizontal="general" vertical="top" textRotation="0" wrapText="false" indent="0" shrinkToFit="false"/>
      <protection locked="true" hidden="false"/>
    </xf>
    <xf numFmtId="166" fontId="0" fillId="0" borderId="0" xfId="0" applyFont="false" applyBorder="true" applyAlignment="true" applyProtection="false">
      <alignment horizontal="general" vertical="top" textRotation="0" wrapText="true" indent="0" shrinkToFit="false"/>
      <protection locked="true" hidden="false"/>
    </xf>
    <xf numFmtId="167" fontId="7" fillId="5" borderId="0" xfId="0" applyFont="true" applyBorder="false" applyAlignment="true" applyProtection="false">
      <alignment horizontal="general" vertical="top" textRotation="0" wrapText="false" indent="0" shrinkToFit="false"/>
      <protection locked="true" hidden="false"/>
    </xf>
    <xf numFmtId="168" fontId="7" fillId="5" borderId="0" xfId="0" applyFont="true" applyBorder="false" applyAlignment="true" applyProtection="false">
      <alignment horizontal="general" vertical="top" textRotation="0" wrapText="false" indent="0" shrinkToFit="false"/>
      <protection locked="true" hidden="false"/>
    </xf>
    <xf numFmtId="169" fontId="7" fillId="5" borderId="0" xfId="0" applyFont="true" applyBorder="false" applyAlignment="true" applyProtection="false">
      <alignment horizontal="general" vertical="top" textRotation="0" wrapText="false" indent="0" shrinkToFit="false"/>
      <protection locked="true" hidden="false"/>
    </xf>
    <xf numFmtId="170" fontId="0" fillId="0" borderId="0" xfId="0" applyFont="false" applyBorder="false" applyAlignment="true" applyProtection="false">
      <alignment horizontal="general" vertical="top" textRotation="0" wrapText="false" indent="0" shrinkToFit="false"/>
      <protection locked="true" hidden="false"/>
    </xf>
    <xf numFmtId="168" fontId="0" fillId="0" borderId="0" xfId="0" applyFont="false" applyBorder="false" applyAlignment="true" applyProtection="false">
      <alignment horizontal="general" vertical="top" textRotation="0" wrapText="fals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9" fontId="0" fillId="0" borderId="0" xfId="0" applyFont="false" applyBorder="false" applyAlignment="true" applyProtection="false">
      <alignment horizontal="general" vertical="top" textRotation="0" wrapText="false" indent="0" shrinkToFit="false"/>
      <protection locked="true" hidden="false"/>
    </xf>
    <xf numFmtId="169" fontId="7" fillId="0" borderId="0" xfId="0" applyFont="true" applyBorder="false" applyAlignment="true" applyProtection="false">
      <alignment horizontal="general" vertical="top" textRotation="0" wrapText="false" indent="0" shrinkToFit="false"/>
      <protection locked="true" hidden="false"/>
    </xf>
    <xf numFmtId="164" fontId="7" fillId="0" borderId="0" xfId="0" applyFont="true" applyBorder="false" applyAlignment="true" applyProtection="false">
      <alignment horizontal="center" vertical="top" textRotation="0" wrapText="true" indent="0" shrinkToFit="false"/>
      <protection locked="true" hidden="false"/>
    </xf>
    <xf numFmtId="171" fontId="0" fillId="0" borderId="0" xfId="0" applyFont="false" applyBorder="false" applyAlignment="true" applyProtection="false">
      <alignment horizontal="general" vertical="top" textRotation="0" wrapText="false" indent="0" shrinkToFit="false"/>
      <protection locked="true" hidden="false"/>
    </xf>
    <xf numFmtId="171" fontId="7" fillId="0" borderId="0" xfId="0" applyFont="true" applyBorder="false" applyAlignment="true" applyProtection="false">
      <alignment horizontal="general" vertical="top" textRotation="0" wrapText="false" indent="0" shrinkToFit="false"/>
      <protection locked="true" hidden="false"/>
    </xf>
    <xf numFmtId="172" fontId="0" fillId="0" borderId="0" xfId="0" applyFont="false" applyBorder="false" applyAlignment="true" applyProtection="false">
      <alignment horizontal="general" vertical="top" textRotation="0" wrapText="false" indent="0" shrinkToFit="false"/>
      <protection locked="true" hidden="false"/>
    </xf>
    <xf numFmtId="172" fontId="7" fillId="0" borderId="0" xfId="0" applyFont="true" applyBorder="false" applyAlignment="true" applyProtection="false">
      <alignment horizontal="general" vertical="top" textRotation="0" wrapText="false" indent="0" shrinkToFit="false"/>
      <protection locked="true" hidden="false"/>
    </xf>
    <xf numFmtId="167" fontId="0" fillId="0" borderId="0" xfId="0" applyFont="false" applyBorder="false" applyAlignment="true" applyProtection="false">
      <alignment horizontal="general" vertical="top" textRotation="0" wrapText="false" indent="0" shrinkToFit="false"/>
      <protection locked="true" hidden="false"/>
    </xf>
    <xf numFmtId="167" fontId="7" fillId="0" borderId="0" xfId="0" applyFont="true" applyBorder="false" applyAlignment="true" applyProtection="false">
      <alignment horizontal="general" vertical="top" textRotation="0" wrapText="false" indent="0" shrinkToFit="false"/>
      <protection locked="true" hidden="false"/>
    </xf>
    <xf numFmtId="164" fontId="0" fillId="0" borderId="0" xfId="0" applyFont="true" applyBorder="false" applyAlignment="true" applyProtection="false">
      <alignment horizontal="general" vertical="top" textRotation="0" wrapText="false" indent="0" shrinkToFit="false"/>
      <protection locked="true" hidden="false"/>
    </xf>
    <xf numFmtId="164" fontId="7" fillId="5" borderId="0" xfId="0" applyFont="true" applyBorder="true" applyAlignment="true" applyProtection="false">
      <alignment horizontal="general" vertical="top" textRotation="0" wrapText="false" indent="0" shrinkToFit="false"/>
      <protection locked="true" hidden="false"/>
    </xf>
    <xf numFmtId="164" fontId="10" fillId="0" borderId="0" xfId="0" applyFont="true" applyBorder="false" applyAlignment="true" applyProtection="false">
      <alignment horizontal="general" vertical="top" textRotation="0" wrapText="false" indent="0" shrinkToFit="false"/>
      <protection locked="true" hidden="false"/>
    </xf>
    <xf numFmtId="164" fontId="10" fillId="0" borderId="0" xfId="0" applyFont="true" applyBorder="true" applyAlignment="true" applyProtection="false">
      <alignment horizontal="general" vertical="top" textRotation="0" wrapText="false" indent="0" shrinkToFit="false"/>
      <protection locked="true" hidden="false"/>
    </xf>
    <xf numFmtId="164" fontId="7" fillId="2" borderId="0" xfId="0" applyFont="true" applyBorder="false" applyAlignment="true" applyProtection="false">
      <alignment horizontal="general" vertical="top" textRotation="0" wrapText="false" indent="0" shrinkToFit="false"/>
      <protection locked="true" hidden="false"/>
    </xf>
    <xf numFmtId="168" fontId="7" fillId="2" borderId="0" xfId="0" applyFont="true" applyBorder="false" applyAlignment="true" applyProtection="false">
      <alignment horizontal="general" vertical="top" textRotation="0" wrapText="false" indent="0" shrinkToFit="false"/>
      <protection locked="true" hidden="false"/>
    </xf>
    <xf numFmtId="173" fontId="0" fillId="0" borderId="0" xfId="0" applyFont="false" applyBorder="false" applyAlignment="true" applyProtection="false">
      <alignment horizontal="general" vertical="top" textRotation="0" wrapText="false" indent="0" shrinkToFit="false"/>
      <protection locked="true" hidden="false"/>
    </xf>
    <xf numFmtId="168" fontId="7" fillId="0" borderId="0" xfId="0" applyFont="true" applyBorder="false" applyAlignment="true" applyProtection="false">
      <alignment horizontal="general" vertical="top" textRotation="0" wrapText="false" indent="0" shrinkToFit="false"/>
      <protection locked="true" hidden="false"/>
    </xf>
    <xf numFmtId="173" fontId="7" fillId="0" borderId="0" xfId="0" applyFont="true" applyBorder="false" applyAlignment="true" applyProtection="false">
      <alignment horizontal="general" vertical="top" textRotation="0" wrapText="false" indent="0" shrinkToFit="false"/>
      <protection locked="true" hidden="false"/>
    </xf>
    <xf numFmtId="164" fontId="14" fillId="6" borderId="1" xfId="0" applyFont="true" applyBorder="true" applyAlignment="true" applyProtection="false">
      <alignment horizontal="general" vertical="top" textRotation="0" wrapText="false" indent="0" shrinkToFit="false"/>
      <protection locked="true" hidden="false"/>
    </xf>
    <xf numFmtId="164" fontId="15" fillId="0" borderId="0" xfId="0" applyFont="true" applyBorder="false" applyAlignment="true" applyProtection="false">
      <alignment horizontal="general" vertical="top" textRotation="0" wrapText="false" indent="0" shrinkToFit="false"/>
      <protection locked="true" hidden="false"/>
    </xf>
    <xf numFmtId="170" fontId="14" fillId="6" borderId="1" xfId="0" applyFont="true" applyBorder="true" applyAlignment="true" applyProtection="false">
      <alignment horizontal="general" vertical="top" textRotation="0" wrapText="false" indent="0" shrinkToFit="false"/>
      <protection locked="true" hidden="false"/>
    </xf>
    <xf numFmtId="170" fontId="10" fillId="0" borderId="0" xfId="0" applyFont="true" applyBorder="false" applyAlignment="true" applyProtection="false">
      <alignment horizontal="general" vertical="top" textRotation="0" wrapText="false" indent="0" shrinkToFit="false"/>
      <protection locked="true" hidden="false"/>
    </xf>
    <xf numFmtId="170" fontId="14" fillId="7" borderId="1" xfId="0" applyFont="true" applyBorder="true" applyAlignment="true" applyProtection="false">
      <alignment horizontal="general" vertical="top" textRotation="0" wrapText="false" indent="0" shrinkToFit="false"/>
      <protection locked="true" hidden="false"/>
    </xf>
    <xf numFmtId="170" fontId="0" fillId="8" borderId="1" xfId="0" applyFont="false" applyBorder="true" applyAlignment="true" applyProtection="false">
      <alignment horizontal="general" vertical="top" textRotation="0" wrapText="false" indent="0" shrinkToFit="false"/>
      <protection locked="true" hidden="false"/>
    </xf>
    <xf numFmtId="174" fontId="0" fillId="8" borderId="1" xfId="0" applyFont="false" applyBorder="true" applyAlignment="true" applyProtection="false">
      <alignment horizontal="general" vertical="top" textRotation="0" wrapText="false" indent="0" shrinkToFit="false"/>
      <protection locked="true" hidden="false"/>
    </xf>
    <xf numFmtId="168" fontId="14" fillId="6" borderId="1" xfId="0" applyFont="true" applyBorder="true" applyAlignment="true" applyProtection="false">
      <alignment horizontal="general" vertical="top" textRotation="0" wrapText="false" indent="0" shrinkToFit="false"/>
      <protection locked="true" hidden="false"/>
    </xf>
    <xf numFmtId="168" fontId="10" fillId="0" borderId="0" xfId="0" applyFont="true" applyBorder="false" applyAlignment="true" applyProtection="false">
      <alignment horizontal="general" vertical="top" textRotation="0" wrapText="false" indent="0" shrinkToFit="false"/>
      <protection locked="true" hidden="false"/>
    </xf>
    <xf numFmtId="168" fontId="0" fillId="8" borderId="1" xfId="0" applyFont="false" applyBorder="true" applyAlignment="true" applyProtection="false">
      <alignment horizontal="general" vertical="top" textRotation="0" wrapText="false" indent="0" shrinkToFit="false"/>
      <protection locked="true" hidden="false"/>
    </xf>
    <xf numFmtId="172" fontId="14" fillId="6" borderId="1" xfId="0" applyFont="true" applyBorder="true" applyAlignment="true" applyProtection="false">
      <alignment horizontal="general" vertical="top" textRotation="0" wrapText="false" indent="0" shrinkToFit="false"/>
      <protection locked="true" hidden="false"/>
    </xf>
    <xf numFmtId="172" fontId="10" fillId="0" borderId="0" xfId="0" applyFont="true" applyBorder="false" applyAlignment="true" applyProtection="false">
      <alignment horizontal="general" vertical="top" textRotation="0" wrapText="false" indent="0" shrinkToFit="false"/>
      <protection locked="true" hidden="false"/>
    </xf>
    <xf numFmtId="175" fontId="14" fillId="6" borderId="1" xfId="0" applyFont="true" applyBorder="true" applyAlignment="true" applyProtection="false">
      <alignment horizontal="general" vertical="top" textRotation="0" wrapText="false" indent="0" shrinkToFit="false"/>
      <protection locked="true" hidden="false"/>
    </xf>
    <xf numFmtId="175" fontId="10" fillId="0" borderId="0" xfId="0" applyFont="true" applyBorder="false" applyAlignment="true" applyProtection="false">
      <alignment horizontal="general" vertical="top" textRotation="0" wrapText="false" indent="0" shrinkToFit="false"/>
      <protection locked="true" hidden="false"/>
    </xf>
    <xf numFmtId="173" fontId="0" fillId="8" borderId="1" xfId="0" applyFont="false" applyBorder="true" applyAlignment="true" applyProtection="false">
      <alignment horizontal="general" vertical="top" textRotation="0" wrapText="false" indent="0" shrinkToFit="false"/>
      <protection locked="true" hidden="false"/>
    </xf>
    <xf numFmtId="173" fontId="14" fillId="6" borderId="1" xfId="0" applyFont="true" applyBorder="true" applyAlignment="true" applyProtection="false">
      <alignment horizontal="general" vertical="top" textRotation="0" wrapText="false" indent="0" shrinkToFit="false"/>
      <protection locked="true" hidden="false"/>
    </xf>
    <xf numFmtId="166" fontId="0" fillId="8" borderId="1" xfId="0" applyFont="false" applyBorder="true" applyAlignment="true" applyProtection="false">
      <alignment horizontal="general" vertical="top" textRotation="0" wrapText="false" indent="0" shrinkToFit="false"/>
      <protection locked="true" hidden="false"/>
    </xf>
    <xf numFmtId="168" fontId="14" fillId="6" borderId="1" xfId="0" applyFont="true" applyBorder="true" applyAlignment="false" applyProtection="false">
      <alignment horizontal="general" vertical="bottom" textRotation="0" wrapText="false" indent="0" shrinkToFit="false"/>
      <protection locked="true" hidden="false"/>
    </xf>
    <xf numFmtId="170" fontId="14" fillId="6" borderId="1" xfId="0" applyFont="true" applyBorder="true" applyAlignment="false" applyProtection="false">
      <alignment horizontal="general" vertical="bottom" textRotation="0" wrapText="false" indent="0" shrinkToFit="false"/>
      <protection locked="true" hidden="false"/>
    </xf>
    <xf numFmtId="168" fontId="0" fillId="8" borderId="0" xfId="0" applyFont="false" applyBorder="false" applyAlignment="true" applyProtection="false">
      <alignment horizontal="general" vertical="top" textRotation="0" wrapText="false" indent="0" shrinkToFit="false"/>
      <protection locked="true" hidden="false"/>
    </xf>
    <xf numFmtId="170" fontId="0" fillId="8" borderId="0" xfId="0" applyFont="false" applyBorder="false" applyAlignment="true" applyProtection="false">
      <alignment horizontal="general" vertical="top"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8" fontId="10" fillId="0" borderId="0" xfId="0" applyFont="true" applyBorder="false" applyAlignment="false" applyProtection="false">
      <alignment horizontal="general" vertical="bottom" textRotation="0" wrapText="false" indent="0" shrinkToFit="false"/>
      <protection locked="true" hidden="false"/>
    </xf>
    <xf numFmtId="169" fontId="14" fillId="6" borderId="1" xfId="0" applyFont="true" applyBorder="true" applyAlignment="true" applyProtection="false">
      <alignment horizontal="general" vertical="top" textRotation="0" wrapText="false" indent="0" shrinkToFit="false"/>
      <protection locked="true" hidden="false"/>
    </xf>
    <xf numFmtId="169" fontId="7" fillId="5" borderId="1" xfId="0" applyFont="true" applyBorder="true" applyAlignment="true" applyProtection="false">
      <alignment horizontal="general" vertical="top" textRotation="0" wrapText="false" indent="0" shrinkToFit="false"/>
      <protection locked="true" hidden="false"/>
    </xf>
    <xf numFmtId="169" fontId="10" fillId="0" borderId="0" xfId="0" applyFont="true" applyBorder="false" applyAlignment="true" applyProtection="false">
      <alignment horizontal="general" vertical="top" textRotation="0" wrapText="false" indent="0" shrinkToFit="false"/>
      <protection locked="true" hidden="false"/>
    </xf>
    <xf numFmtId="169" fontId="14" fillId="7" borderId="1" xfId="0" applyFont="true" applyBorder="true" applyAlignment="true" applyProtection="false">
      <alignment horizontal="general" vertical="top" textRotation="0" wrapText="false" indent="0" shrinkToFit="false"/>
      <protection locked="true" hidden="false"/>
    </xf>
    <xf numFmtId="172" fontId="14" fillId="7" borderId="1" xfId="0" applyFont="true" applyBorder="true" applyAlignment="true" applyProtection="false">
      <alignment horizontal="general" vertical="top" textRotation="0" wrapText="false" indent="0" shrinkToFit="false"/>
      <protection locked="true" hidden="false"/>
    </xf>
    <xf numFmtId="172" fontId="7" fillId="5" borderId="1" xfId="0" applyFont="true" applyBorder="true" applyAlignment="true" applyProtection="false">
      <alignment horizontal="general" vertical="top" textRotation="0" wrapText="false" indent="0" shrinkToFit="false"/>
      <protection locked="true" hidden="false"/>
    </xf>
    <xf numFmtId="169" fontId="14" fillId="6" borderId="1" xfId="0" applyFont="true" applyBorder="true" applyAlignment="false" applyProtection="false">
      <alignment horizontal="general" vertical="bottom" textRotation="0" wrapText="false" indent="0" shrinkToFit="false"/>
      <protection locked="true" hidden="false"/>
    </xf>
    <xf numFmtId="169" fontId="10" fillId="0" borderId="0" xfId="0" applyFont="true" applyBorder="false" applyAlignment="false" applyProtection="false">
      <alignment horizontal="general" vertical="bottom" textRotation="0" wrapText="false" indent="0" shrinkToFit="false"/>
      <protection locked="true" hidden="false"/>
    </xf>
    <xf numFmtId="168" fontId="14" fillId="7" borderId="1" xfId="0" applyFont="true" applyBorder="true" applyAlignment="true" applyProtection="false">
      <alignment horizontal="general" vertical="top" textRotation="0" wrapText="false" indent="0" shrinkToFit="false"/>
      <protection locked="true" hidden="false"/>
    </xf>
    <xf numFmtId="168" fontId="7" fillId="5" borderId="1" xfId="0" applyFont="true" applyBorder="true" applyAlignment="true" applyProtection="false">
      <alignment horizontal="general" vertical="top" textRotation="0" wrapText="false" indent="0" shrinkToFit="false"/>
      <protection locked="true" hidden="false"/>
    </xf>
    <xf numFmtId="164" fontId="14" fillId="6" borderId="1" xfId="0" applyFont="true" applyBorder="true" applyAlignment="true" applyProtection="false">
      <alignment horizontal="general" vertical="top" textRotation="0" wrapText="true" indent="0" shrinkToFit="false"/>
      <protection locked="true" hidden="false"/>
    </xf>
    <xf numFmtId="170" fontId="14" fillId="6" borderId="1" xfId="0" applyFont="true" applyBorder="true" applyAlignment="true" applyProtection="false">
      <alignment horizontal="general" vertical="top" textRotation="0" wrapText="true" indent="0" shrinkToFit="false"/>
      <protection locked="true" hidden="false"/>
    </xf>
    <xf numFmtId="166" fontId="14" fillId="7" borderId="1" xfId="0" applyFont="true" applyBorder="true" applyAlignment="true" applyProtection="false">
      <alignment horizontal="general" vertical="top" textRotation="0" wrapText="tru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5" fontId="0" fillId="0" borderId="0" xfId="0" applyFont="false" applyBorder="false" applyAlignment="true" applyProtection="false">
      <alignment horizontal="general" vertical="top" textRotation="0" wrapText="true" indent="0" shrinkToFit="false"/>
      <protection locked="true" hidden="false"/>
    </xf>
    <xf numFmtId="171" fontId="0" fillId="0" borderId="0" xfId="0" applyFont="false" applyBorder="false" applyAlignment="true" applyProtection="false">
      <alignment horizontal="general" vertical="top" textRotation="0" wrapText="true" indent="0" shrinkToFit="false"/>
      <protection locked="true" hidden="false"/>
    </xf>
    <xf numFmtId="164" fontId="15" fillId="0" borderId="0" xfId="0" applyFont="true" applyBorder="false" applyAlignment="true" applyProtection="false">
      <alignment horizontal="general" vertical="top" textRotation="0" wrapText="true" indent="0" shrinkToFit="false"/>
      <protection locked="true" hidden="false"/>
    </xf>
    <xf numFmtId="170" fontId="0" fillId="0" borderId="0" xfId="0" applyFont="false" applyBorder="false" applyAlignment="true" applyProtection="false">
      <alignment horizontal="general" vertical="top" textRotation="0" wrapText="true" indent="0" shrinkToFit="false"/>
      <protection locked="true" hidden="false"/>
    </xf>
    <xf numFmtId="169" fontId="0" fillId="0" borderId="0" xfId="0" applyFont="false" applyBorder="false" applyAlignment="true" applyProtection="false">
      <alignment horizontal="general" vertical="top" textRotation="0" wrapText="true" indent="0" shrinkToFit="false"/>
      <protection locked="true" hidden="false"/>
    </xf>
    <xf numFmtId="169" fontId="14" fillId="7" borderId="1" xfId="0" applyFont="true" applyBorder="true" applyAlignment="true" applyProtection="false">
      <alignment horizontal="general" vertical="top" textRotation="0" wrapText="true" indent="0" shrinkToFit="false"/>
      <protection locked="true" hidden="false"/>
    </xf>
    <xf numFmtId="170" fontId="10"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14" fillId="6" borderId="1" xfId="0" applyFont="true" applyBorder="true" applyAlignment="false" applyProtection="false">
      <alignment horizontal="general" vertical="bottom" textRotation="0" wrapText="false" indent="0" shrinkToFit="false"/>
      <protection locked="true" hidden="false"/>
    </xf>
    <xf numFmtId="170" fontId="0" fillId="0" borderId="0" xfId="0" applyFont="false" applyBorder="false" applyAlignment="false" applyProtection="false">
      <alignment horizontal="general" vertical="bottom" textRotation="0" wrapText="false" indent="0" shrinkToFit="false"/>
      <protection locked="true" hidden="false"/>
    </xf>
    <xf numFmtId="164" fontId="7" fillId="2" borderId="0" xfId="0" applyFont="true" applyBorder="true" applyAlignment="true" applyProtection="false">
      <alignment horizontal="center" vertical="center" textRotation="0" wrapText="true" indent="0" shrinkToFit="false"/>
      <protection locked="true" hidden="false"/>
    </xf>
    <xf numFmtId="164" fontId="9" fillId="4" borderId="0" xfId="0" applyFont="true" applyBorder="false" applyAlignment="true" applyProtection="false">
      <alignment horizontal="center" vertical="center" textRotation="0" wrapText="true" indent="0" shrinkToFit="false"/>
      <protection locked="true" hidden="false"/>
    </xf>
    <xf numFmtId="176" fontId="0" fillId="0" borderId="0" xfId="0" applyFont="false" applyBorder="false" applyAlignment="true" applyProtection="false">
      <alignment horizontal="general" vertical="top" textRotation="0" wrapText="false" indent="0" shrinkToFit="false"/>
      <protection locked="true" hidden="false"/>
    </xf>
    <xf numFmtId="168" fontId="7" fillId="0" borderId="2" xfId="0" applyFont="true" applyBorder="true" applyAlignment="true" applyProtection="false">
      <alignment horizontal="general" vertical="top" textRotation="0" wrapText="false" indent="0" shrinkToFit="false"/>
      <protection locked="true" hidden="false"/>
    </xf>
    <xf numFmtId="176" fontId="7" fillId="0" borderId="0" xfId="0" applyFont="true" applyBorder="false" applyAlignment="true" applyProtection="false">
      <alignment horizontal="general" vertical="top" textRotation="0" wrapText="false" indent="0" shrinkToFit="false"/>
      <protection locked="true" hidden="false"/>
    </xf>
    <xf numFmtId="177" fontId="9" fillId="4" borderId="0" xfId="0" applyFont="true" applyBorder="false" applyAlignment="true" applyProtection="false">
      <alignment horizontal="general" vertical="top" textRotation="0" wrapText="false" indent="0" shrinkToFit="false"/>
      <protection locked="true" hidden="false"/>
    </xf>
    <xf numFmtId="164" fontId="9" fillId="4" borderId="0" xfId="0" applyFont="true" applyBorder="false" applyAlignment="true" applyProtection="false">
      <alignment horizontal="general" vertical="top" textRotation="0" wrapText="false" indent="0" shrinkToFit="false"/>
      <protection locked="true" hidden="false"/>
    </xf>
    <xf numFmtId="178" fontId="7" fillId="0" borderId="0" xfId="0" applyFont="true" applyBorder="false" applyAlignment="true" applyProtection="false">
      <alignment horizontal="general" vertical="top" textRotation="0" wrapText="false" indent="0" shrinkToFit="false"/>
      <protection locked="true" hidden="false"/>
    </xf>
    <xf numFmtId="179" fontId="0" fillId="0" borderId="0" xfId="0" applyFont="false" applyBorder="false" applyAlignment="true" applyProtection="false">
      <alignment horizontal="general" vertical="top" textRotation="0" wrapText="false" indent="0" shrinkToFit="false"/>
      <protection locked="true" hidden="false"/>
    </xf>
    <xf numFmtId="174" fontId="7" fillId="0" borderId="0" xfId="0" applyFont="true" applyBorder="false" applyAlignment="true" applyProtection="false">
      <alignment horizontal="general" vertical="top" textRotation="0" wrapText="false" indent="0" shrinkToFit="false"/>
      <protection locked="true" hidden="false"/>
    </xf>
    <xf numFmtId="175" fontId="0" fillId="0" borderId="0" xfId="0" applyFont="false" applyBorder="false" applyAlignment="true" applyProtection="false">
      <alignment horizontal="general" vertical="top" textRotation="0" wrapText="false" indent="0" shrinkToFit="false"/>
      <protection locked="true" hidden="false"/>
    </xf>
    <xf numFmtId="180" fontId="7" fillId="0" borderId="0" xfId="0" applyFont="true" applyBorder="false" applyAlignment="true" applyProtection="false">
      <alignment horizontal="general" vertical="top" textRotation="0" wrapText="false" indent="0" shrinkToFit="false"/>
      <protection locked="true" hidden="false"/>
    </xf>
    <xf numFmtId="169" fontId="9" fillId="4" borderId="0" xfId="0" applyFont="true" applyBorder="false" applyAlignment="true" applyProtection="false">
      <alignment horizontal="general" vertical="top" textRotation="0" wrapText="false" indent="0" shrinkToFit="false"/>
      <protection locked="true" hidden="false"/>
    </xf>
    <xf numFmtId="178" fontId="0" fillId="0" borderId="0" xfId="0" applyFont="false" applyBorder="false" applyAlignment="true" applyProtection="false">
      <alignment horizontal="general" vertical="top" textRotation="0" wrapText="false" indent="0" shrinkToFit="false"/>
      <protection locked="true" hidden="false"/>
    </xf>
    <xf numFmtId="174" fontId="0" fillId="0" borderId="0" xfId="0" applyFont="false" applyBorder="false" applyAlignment="true" applyProtection="false">
      <alignment horizontal="general" vertical="top" textRotation="0" wrapText="false" indent="0" shrinkToFit="false"/>
      <protection locked="true" hidden="false"/>
    </xf>
    <xf numFmtId="170" fontId="0" fillId="6" borderId="0" xfId="0" applyFont="false" applyBorder="false" applyAlignment="false" applyProtection="false">
      <alignment horizontal="general" vertical="bottom" textRotation="0" wrapText="false" indent="0" shrinkToFit="false"/>
      <protection locked="true" hidden="false"/>
    </xf>
    <xf numFmtId="164" fontId="0" fillId="6" borderId="0" xfId="0" applyFont="false" applyBorder="false" applyAlignment="false" applyProtection="false">
      <alignment horizontal="general" vertical="bottom" textRotation="0" wrapText="false" indent="0" shrinkToFit="false"/>
      <protection locked="true" hidden="false"/>
    </xf>
    <xf numFmtId="173" fontId="0" fillId="6" borderId="0" xfId="0" applyFont="false" applyBorder="false" applyAlignment="false" applyProtection="false">
      <alignment horizontal="general" vertical="bottom" textRotation="0" wrapText="false" indent="0" shrinkToFit="false"/>
      <protection locked="true" hidden="false"/>
    </xf>
    <xf numFmtId="168" fontId="0" fillId="6" borderId="0" xfId="0" applyFont="false" applyBorder="false" applyAlignment="false" applyProtection="false">
      <alignment horizontal="general" vertical="bottom" textRotation="0" wrapText="false" indent="0" shrinkToFit="false"/>
      <protection locked="true" hidden="false"/>
    </xf>
    <xf numFmtId="174" fontId="14" fillId="6" borderId="1" xfId="0" applyFont="true" applyBorder="true" applyAlignment="true" applyProtection="false">
      <alignment horizontal="general" vertical="top" textRotation="0" wrapText="false" indent="0" shrinkToFit="false"/>
      <protection locked="true" hidden="false"/>
    </xf>
    <xf numFmtId="181" fontId="0" fillId="0" borderId="0" xfId="0" applyFont="false" applyBorder="false" applyAlignment="true" applyProtection="false">
      <alignment horizontal="general" vertical="top" textRotation="0" wrapText="false" indent="0" shrinkToFit="false"/>
      <protection locked="true" hidden="false"/>
    </xf>
    <xf numFmtId="169" fontId="7" fillId="0" borderId="0" xfId="0" applyFont="true" applyBorder="false" applyAlignment="true" applyProtection="false">
      <alignment horizontal="center"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ont>
        <color rgb="FF006100"/>
      </font>
      <fill>
        <patternFill>
          <bgColor rgb="FFC6EFCE"/>
        </patternFill>
      </fill>
    </dxf>
    <dxf>
      <font>
        <b val="1"/>
        <color rgb="FF9C0006"/>
      </font>
      <fill>
        <patternFill>
          <bgColor rgb="FFFFC7CE"/>
        </patternFill>
      </fill>
    </dxf>
    <dxf>
      <font>
        <b val="1"/>
        <color rgb="FF006100"/>
      </font>
      <fill>
        <patternFill>
          <bgColor rgb="FFC6EFCE"/>
        </patternFill>
      </fill>
    </dxf>
    <dxf>
      <font>
        <color rgb="FF555555"/>
      </font>
      <fill>
        <patternFill>
          <bgColor rgb="FFEDEDED"/>
        </patternFill>
      </fill>
    </dxf>
    <dxf>
      <fill>
        <patternFill>
          <bgColor rgb="FFFCE4D6"/>
        </patternFill>
      </fill>
    </dxf>
    <dxf>
      <fill>
        <patternFill>
          <bgColor rgb="FFC6EFCE"/>
        </patternFill>
      </fill>
    </dxf>
    <dxf>
      <font>
        <color rgb="FF9C0006"/>
      </font>
      <fill>
        <patternFill>
          <bgColor rgb="FFFFC7CE"/>
        </patternFill>
      </fill>
    </dxf>
    <dxf>
      <font>
        <b val="1"/>
        <color rgb="FF9C0006"/>
      </font>
    </dxf>
    <dxf>
      <font>
        <color rgb="FF7A5A00"/>
      </font>
      <fill>
        <patternFill>
          <bgColor rgb="FFFFEB9C"/>
        </patternFill>
      </fill>
    </dxf>
    <dxf>
      <fill>
        <patternFill>
          <bgColor rgb="FFFFC7CE"/>
        </patternFill>
      </fill>
    </dxf>
  </dxfs>
  <colors>
    <indexedColors>
      <rgbColor rgb="FF000000"/>
      <rgbColor rgb="FFFFFFFF"/>
      <rgbColor rgb="FFFF0000"/>
      <rgbColor rgb="FF00FF00"/>
      <rgbColor rgb="FF0000FF"/>
      <rgbColor rgb="FFF3F3F3"/>
      <rgbColor rgb="FFFF00FF"/>
      <rgbColor rgb="FF00FFFF"/>
      <rgbColor rgb="FF9C0006"/>
      <rgbColor rgb="FF006100"/>
      <rgbColor rgb="FF000080"/>
      <rgbColor rgb="FF7A5A00"/>
      <rgbColor rgb="FF800080"/>
      <rgbColor rgb="FF2E5E6B"/>
      <rgbColor rgb="FFB7C4C8"/>
      <rgbColor rgb="FF878787"/>
      <rgbColor rgb="FF9999FF"/>
      <rgbColor rgb="FF993366"/>
      <rgbColor rgb="FFFFF4CC"/>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DCE8EB"/>
      <rgbColor rgb="FFC6EFCE"/>
      <rgbColor rgb="FFFFEB9C"/>
      <rgbColor rgb="FFE2F0D9"/>
      <rgbColor rgb="FFFCE4D6"/>
      <rgbColor rgb="FFEDEDED"/>
      <rgbColor rgb="FFFFC7CE"/>
      <rgbColor rgb="FF4A7EBB"/>
      <rgbColor rgb="FF33CCCC"/>
      <rgbColor rgb="FF99CC00"/>
      <rgbColor rgb="FFF2C200"/>
      <rgbColor rgb="FFFF9900"/>
      <rgbColor rgb="FFFF6600"/>
      <rgbColor rgb="FF5A5A5A"/>
      <rgbColor rgb="FF8FB98B"/>
      <rgbColor rgb="FF003366"/>
      <rgbColor rgb="FF4A5A60"/>
      <rgbColor rgb="FF003300"/>
      <rgbColor rgb="FF555555"/>
      <rgbColor rgb="FF7A3A10"/>
      <rgbColor rgb="FF993366"/>
      <rgbColor rgb="FF1A3FB5"/>
      <rgbColor rgb="FF1F3A4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Cumulative net cash flow by week (before founder cash)</a:t>
            </a:r>
          </a:p>
        </c:rich>
      </c:tx>
      <c:overlay val="0"/>
      <c:spPr>
        <a:noFill/>
        <a:ln w="0">
          <a:noFill/>
        </a:ln>
      </c:spPr>
    </c:title>
    <c:autoTitleDeleted val="0"/>
    <c:plotArea>
      <c:lineChart>
        <c:grouping val="standard"/>
        <c:varyColors val="0"/>
        <c:ser>
          <c:idx val="0"/>
          <c:order val="0"/>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Cash_Flow!$C$4:$AB$4</c:f>
              <c:strCache>
                <c:ptCount val="2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strCache>
            </c:strRef>
          </c:cat>
          <c:val>
            <c:numRef>
              <c:f>Cash_Flow!$C$27:$AB$27</c:f>
              <c:numCache>
                <c:formatCode>\$#,##0;"($"#,##0\);\$0</c:formatCode>
                <c:ptCount val="26"/>
                <c:pt idx="0">
                  <c:v>-160</c:v>
                </c:pt>
                <c:pt idx="1">
                  <c:v>-160</c:v>
                </c:pt>
                <c:pt idx="2">
                  <c:v>-160</c:v>
                </c:pt>
                <c:pt idx="3">
                  <c:v>-1060</c:v>
                </c:pt>
                <c:pt idx="4">
                  <c:v>-1120</c:v>
                </c:pt>
                <c:pt idx="5">
                  <c:v>-3120</c:v>
                </c:pt>
                <c:pt idx="6">
                  <c:v>-3856</c:v>
                </c:pt>
                <c:pt idx="7">
                  <c:v>-3856</c:v>
                </c:pt>
                <c:pt idx="8">
                  <c:v>-3916</c:v>
                </c:pt>
                <c:pt idx="9">
                  <c:v>-3916</c:v>
                </c:pt>
                <c:pt idx="10">
                  <c:v>-3956</c:v>
                </c:pt>
                <c:pt idx="11">
                  <c:v>-4126</c:v>
                </c:pt>
                <c:pt idx="12">
                  <c:v>-4476</c:v>
                </c:pt>
                <c:pt idx="13">
                  <c:v>-2353.5</c:v>
                </c:pt>
                <c:pt idx="14">
                  <c:v>-2583.5</c:v>
                </c:pt>
                <c:pt idx="15">
                  <c:v>1481.5</c:v>
                </c:pt>
                <c:pt idx="16">
                  <c:v>1401.5</c:v>
                </c:pt>
                <c:pt idx="17">
                  <c:v>3224</c:v>
                </c:pt>
                <c:pt idx="18">
                  <c:v>3074</c:v>
                </c:pt>
                <c:pt idx="19">
                  <c:v>5256.5</c:v>
                </c:pt>
                <c:pt idx="20">
                  <c:v>5151.5</c:v>
                </c:pt>
                <c:pt idx="21">
                  <c:v>9456.5</c:v>
                </c:pt>
                <c:pt idx="22">
                  <c:v>9226.5</c:v>
                </c:pt>
                <c:pt idx="23">
                  <c:v>11409</c:v>
                </c:pt>
                <c:pt idx="24">
                  <c:v>11409</c:v>
                </c:pt>
                <c:pt idx="25">
                  <c:v>11409</c:v>
                </c:pt>
              </c:numCache>
            </c:numRef>
          </c:val>
          <c:smooth val="0"/>
        </c:ser>
        <c:hiLowLines>
          <c:spPr>
            <a:ln w="0">
              <a:noFill/>
            </a:ln>
          </c:spPr>
        </c:hiLowLines>
        <c:marker val="0"/>
        <c:axId val="82263258"/>
        <c:axId val="24417143"/>
      </c:lineChart>
      <c:catAx>
        <c:axId val="82263258"/>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Week</a:t>
                </a:r>
              </a:p>
            </c:rich>
          </c:tx>
          <c:overlay val="0"/>
          <c:spPr>
            <a:noFill/>
            <a:ln w="0">
              <a:noFill/>
            </a:ln>
          </c:spPr>
        </c:title>
        <c:numFmt formatCode="General" sourceLinked="1"/>
        <c:majorTickMark val="none"/>
        <c:minorTickMark val="none"/>
        <c:tickLblPos val="low"/>
        <c:spPr>
          <a:ln w="9360">
            <a:solidFill>
              <a:srgbClr val="878787"/>
            </a:solidFill>
            <a:round/>
          </a:ln>
        </c:spPr>
        <c:txPr>
          <a:bodyPr/>
          <a:lstStyle/>
          <a:p>
            <a:pPr>
              <a:defRPr b="0" sz="1000" spc="-1" strike="noStrike">
                <a:solidFill>
                  <a:srgbClr val="000000"/>
                </a:solidFill>
                <a:latin typeface="Calibri"/>
              </a:defRPr>
            </a:pPr>
          </a:p>
        </c:txPr>
        <c:crossAx val="24417143"/>
        <c:crosses val="autoZero"/>
        <c:auto val="1"/>
        <c:lblAlgn val="ctr"/>
        <c:lblOffset val="100"/>
        <c:noMultiLvlLbl val="0"/>
      </c:catAx>
      <c:valAx>
        <c:axId val="24417143"/>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USD</a:t>
                </a:r>
              </a:p>
            </c:rich>
          </c:tx>
          <c:overlay val="0"/>
          <c:spPr>
            <a:noFill/>
            <a:ln w="0">
              <a:noFill/>
            </a:ln>
          </c:spPr>
        </c:title>
        <c:numFmt formatCode="\$#,##0;&quot;($&quot;#,##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2263258"/>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Cumulative net cash flow by week, before founder cash</a:t>
            </a:r>
          </a:p>
        </c:rich>
      </c:tx>
      <c:overlay val="0"/>
      <c:spPr>
        <a:noFill/>
        <a:ln w="0">
          <a:noFill/>
        </a:ln>
      </c:spPr>
    </c:title>
    <c:autoTitleDeleted val="0"/>
    <c:plotArea>
      <c:lineChart>
        <c:grouping val="standard"/>
        <c:varyColors val="0"/>
        <c:ser>
          <c:idx val="0"/>
          <c:order val="0"/>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Cash_Flow!$C$4:$AB$4</c:f>
              <c:strCache>
                <c:ptCount val="2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strCache>
            </c:strRef>
          </c:cat>
          <c:val>
            <c:numRef>
              <c:f>Cash_Flow!$C$27:$AB$27</c:f>
              <c:numCache>
                <c:formatCode>\$#,##0;"($"#,##0\);\$0</c:formatCode>
                <c:ptCount val="26"/>
                <c:pt idx="0">
                  <c:v>-160</c:v>
                </c:pt>
                <c:pt idx="1">
                  <c:v>-160</c:v>
                </c:pt>
                <c:pt idx="2">
                  <c:v>-160</c:v>
                </c:pt>
                <c:pt idx="3">
                  <c:v>-1060</c:v>
                </c:pt>
                <c:pt idx="4">
                  <c:v>-1120</c:v>
                </c:pt>
                <c:pt idx="5">
                  <c:v>-3120</c:v>
                </c:pt>
                <c:pt idx="6">
                  <c:v>-3856</c:v>
                </c:pt>
                <c:pt idx="7">
                  <c:v>-3856</c:v>
                </c:pt>
                <c:pt idx="8">
                  <c:v>-3916</c:v>
                </c:pt>
                <c:pt idx="9">
                  <c:v>-3916</c:v>
                </c:pt>
                <c:pt idx="10">
                  <c:v>-3956</c:v>
                </c:pt>
                <c:pt idx="11">
                  <c:v>-4126</c:v>
                </c:pt>
                <c:pt idx="12">
                  <c:v>-4476</c:v>
                </c:pt>
                <c:pt idx="13">
                  <c:v>-2353.5</c:v>
                </c:pt>
                <c:pt idx="14">
                  <c:v>-2583.5</c:v>
                </c:pt>
                <c:pt idx="15">
                  <c:v>1481.5</c:v>
                </c:pt>
                <c:pt idx="16">
                  <c:v>1401.5</c:v>
                </c:pt>
                <c:pt idx="17">
                  <c:v>3224</c:v>
                </c:pt>
                <c:pt idx="18">
                  <c:v>3074</c:v>
                </c:pt>
                <c:pt idx="19">
                  <c:v>5256.5</c:v>
                </c:pt>
                <c:pt idx="20">
                  <c:v>5151.5</c:v>
                </c:pt>
                <c:pt idx="21">
                  <c:v>9456.5</c:v>
                </c:pt>
                <c:pt idx="22">
                  <c:v>9226.5</c:v>
                </c:pt>
                <c:pt idx="23">
                  <c:v>11409</c:v>
                </c:pt>
                <c:pt idx="24">
                  <c:v>11409</c:v>
                </c:pt>
                <c:pt idx="25">
                  <c:v>11409</c:v>
                </c:pt>
              </c:numCache>
            </c:numRef>
          </c:val>
          <c:smooth val="0"/>
        </c:ser>
        <c:hiLowLines>
          <c:spPr>
            <a:ln w="0">
              <a:noFill/>
            </a:ln>
          </c:spPr>
        </c:hiLowLines>
        <c:marker val="0"/>
        <c:axId val="6429494"/>
        <c:axId val="26316480"/>
      </c:lineChart>
      <c:catAx>
        <c:axId val="6429494"/>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Week</a:t>
                </a:r>
              </a:p>
            </c:rich>
          </c:tx>
          <c:overlay val="0"/>
          <c:spPr>
            <a:noFill/>
            <a:ln w="0">
              <a:noFill/>
            </a:ln>
          </c:spPr>
        </c:title>
        <c:numFmt formatCode="General" sourceLinked="1"/>
        <c:majorTickMark val="none"/>
        <c:minorTickMark val="none"/>
        <c:tickLblPos val="low"/>
        <c:spPr>
          <a:ln w="9360">
            <a:solidFill>
              <a:srgbClr val="878787"/>
            </a:solidFill>
            <a:round/>
          </a:ln>
        </c:spPr>
        <c:txPr>
          <a:bodyPr/>
          <a:lstStyle/>
          <a:p>
            <a:pPr>
              <a:defRPr b="0" sz="1000" spc="-1" strike="noStrike">
                <a:solidFill>
                  <a:srgbClr val="000000"/>
                </a:solidFill>
                <a:latin typeface="Calibri"/>
              </a:defRPr>
            </a:pPr>
          </a:p>
        </c:txPr>
        <c:crossAx val="26316480"/>
        <c:crosses val="autoZero"/>
        <c:auto val="1"/>
        <c:lblAlgn val="ctr"/>
        <c:lblOffset val="100"/>
        <c:noMultiLvlLbl val="0"/>
      </c:catAx>
      <c:valAx>
        <c:axId val="26316480"/>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USD</a:t>
                </a:r>
              </a:p>
            </c:rich>
          </c:tx>
          <c:overlay val="0"/>
          <c:spPr>
            <a:noFill/>
            <a:ln w="0">
              <a:noFill/>
            </a:ln>
          </c:spPr>
        </c:title>
        <c:numFmt formatCode="\$#,##0;&quot;($&quot;#,##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429494"/>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102</xdr:row>
      <xdr:rowOff>145440</xdr:rowOff>
    </xdr:from>
    <xdr:to>
      <xdr:col>4</xdr:col>
      <xdr:colOff>840960</xdr:colOff>
      <xdr:row>115</xdr:row>
      <xdr:rowOff>188280</xdr:rowOff>
    </xdr:to>
    <xdr:graphicFrame>
      <xdr:nvGraphicFramePr>
        <xdr:cNvPr id="0" name="Chart 1"/>
        <xdr:cNvGraphicFramePr/>
      </xdr:nvGraphicFramePr>
      <xdr:xfrm>
        <a:off x="775440" y="29765520"/>
        <a:ext cx="6479640" cy="251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0</xdr:colOff>
      <xdr:row>67</xdr:row>
      <xdr:rowOff>145440</xdr:rowOff>
    </xdr:from>
    <xdr:to>
      <xdr:col>16</xdr:col>
      <xdr:colOff>600480</xdr:colOff>
      <xdr:row>81</xdr:row>
      <xdr:rowOff>178200</xdr:rowOff>
    </xdr:to>
    <xdr:graphicFrame>
      <xdr:nvGraphicFramePr>
        <xdr:cNvPr id="1" name="Chart 1"/>
        <xdr:cNvGraphicFramePr/>
      </xdr:nvGraphicFramePr>
      <xdr:xfrm>
        <a:off x="5568840" y="13144680"/>
        <a:ext cx="8639640" cy="26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8.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41"/>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25"/>
  </cols>
  <sheetData>
    <row r="1" customFormat="false" ht="18.55" hidden="false" customHeight="false" outlineLevel="0" collapsed="false">
      <c r="A1" s="1" t="str">
        <f aca="false">Inputs!$C$8&amp;" financial model v1: README"</f>
        <v>Desk Drop financial model v1: README</v>
      </c>
    </row>
    <row r="2" customFormat="false" ht="15" hidden="false" customHeight="false" outlineLevel="0" collapsed="false">
      <c r="A2" s="2" t="s">
        <v>0</v>
      </c>
    </row>
    <row r="5" customFormat="false" ht="15" hidden="false" customHeight="false" outlineLevel="0" collapsed="false">
      <c r="A5" s="3" t="s">
        <v>1</v>
      </c>
      <c r="B5" s="4"/>
    </row>
    <row r="6" customFormat="false" ht="45" hidden="false" customHeight="true" outlineLevel="0" collapsed="false">
      <c r="A6" s="5" t="s">
        <v>2</v>
      </c>
      <c r="B6" s="5"/>
    </row>
    <row r="7" customFormat="false" ht="75" hidden="false" customHeight="true" outlineLevel="0" collapsed="false">
      <c r="A7" s="5" t="s">
        <v>3</v>
      </c>
      <c r="B7" s="5"/>
    </row>
    <row r="9" customFormat="false" ht="15" hidden="false" customHeight="false" outlineLevel="0" collapsed="false">
      <c r="A9" s="3" t="s">
        <v>4</v>
      </c>
      <c r="B9" s="4"/>
    </row>
    <row r="10" customFormat="false" ht="30" hidden="false" customHeight="true" outlineLevel="0" collapsed="false">
      <c r="A10" s="6" t="s">
        <v>5</v>
      </c>
      <c r="B10" s="7" t="s">
        <v>6</v>
      </c>
    </row>
    <row r="11" customFormat="false" ht="30" hidden="false" customHeight="true" outlineLevel="0" collapsed="false">
      <c r="A11" s="6" t="s">
        <v>7</v>
      </c>
      <c r="B11" s="7" t="s">
        <v>8</v>
      </c>
    </row>
    <row r="12" customFormat="false" ht="90" hidden="false" customHeight="true" outlineLevel="0" collapsed="false">
      <c r="A12" s="6" t="s">
        <v>9</v>
      </c>
      <c r="B12" s="7" t="s">
        <v>10</v>
      </c>
    </row>
    <row r="13" customFormat="false" ht="60" hidden="false" customHeight="true" outlineLevel="0" collapsed="false">
      <c r="A13" s="6" t="s">
        <v>11</v>
      </c>
      <c r="B13" s="7" t="s">
        <v>12</v>
      </c>
    </row>
    <row r="14" customFormat="false" ht="30" hidden="false" customHeight="true" outlineLevel="0" collapsed="false">
      <c r="A14" s="6" t="s">
        <v>13</v>
      </c>
      <c r="B14" s="7" t="s">
        <v>14</v>
      </c>
    </row>
    <row r="15" customFormat="false" ht="30" hidden="false" customHeight="true" outlineLevel="0" collapsed="false">
      <c r="A15" s="6" t="s">
        <v>15</v>
      </c>
      <c r="B15" s="7" t="s">
        <v>16</v>
      </c>
    </row>
    <row r="17" customFormat="false" ht="15" hidden="false" customHeight="false" outlineLevel="0" collapsed="false">
      <c r="A17" s="3" t="s">
        <v>17</v>
      </c>
      <c r="B17" s="4"/>
    </row>
    <row r="18" customFormat="false" ht="75" hidden="false" customHeight="true" outlineLevel="0" collapsed="false">
      <c r="A18" s="6" t="s">
        <v>18</v>
      </c>
      <c r="B18" s="7" t="str">
        <f aca="false">"Inputs, section 3, 'Standard price per office' (now "&amp;TEXT(Inputs!$C$39,"$#,##0")&amp;"). Type a new number. On the Dashboard read 'Price in force' (it shows your number), then "&amp;"'A standard drop at that price: contribution per founder hour' (the next row), 'Standard runs to Gate 3' and the drop table at the bottom. "&amp;"'Its contribution per founder hour' does not move: the next drop is campaign zero, at the founding rate."</f>
        <v>Inputs, section 3, 'Standard price per office' (now $150). Type a new number. On the Dashboard read 'Price in force' (it shows your number), then 'A standard drop at that price: contribution per founder hour' (the next row), 'Standard runs to Gate 3' and the drop table at the bottom. 'Its contribution per founder hour' does not move: the next drop is campaign zero, at the founding rate.</v>
      </c>
    </row>
    <row r="19" customFormat="false" ht="30" hidden="false" customHeight="true" outlineLevel="0" collapsed="false">
      <c r="A19" s="6" t="s">
        <v>19</v>
      </c>
      <c r="B19" s="7" t="s">
        <v>20</v>
      </c>
    </row>
    <row r="20" customFormat="false" ht="30" hidden="false" customHeight="true" outlineLevel="0" collapsed="false">
      <c r="A20" s="6" t="s">
        <v>21</v>
      </c>
      <c r="B20" s="7" t="s">
        <v>22</v>
      </c>
    </row>
    <row r="22" customFormat="false" ht="15" hidden="false" customHeight="false" outlineLevel="0" collapsed="false">
      <c r="A22" s="3" t="s">
        <v>23</v>
      </c>
      <c r="B22" s="4"/>
    </row>
    <row r="23" customFormat="false" ht="60" hidden="false" customHeight="true" outlineLevel="0" collapsed="false">
      <c r="A23" s="6" t="s">
        <v>24</v>
      </c>
      <c r="B23" s="7" t="s">
        <v>25</v>
      </c>
    </row>
    <row r="24" customFormat="false" ht="45" hidden="false" customHeight="true" outlineLevel="0" collapsed="false">
      <c r="A24" s="6" t="s">
        <v>26</v>
      </c>
      <c r="B24" s="7" t="s">
        <v>27</v>
      </c>
    </row>
    <row r="25" customFormat="false" ht="30" hidden="false" customHeight="true" outlineLevel="0" collapsed="false">
      <c r="A25" s="6" t="s">
        <v>28</v>
      </c>
      <c r="B25" s="7" t="s">
        <v>29</v>
      </c>
    </row>
    <row r="26" customFormat="false" ht="120" hidden="false" customHeight="true" outlineLevel="0" collapsed="false">
      <c r="A26" s="6" t="s">
        <v>30</v>
      </c>
      <c r="B26" s="7" t="s">
        <v>31</v>
      </c>
    </row>
    <row r="27" customFormat="false" ht="30" hidden="false" customHeight="true" outlineLevel="0" collapsed="false">
      <c r="A27" s="6" t="s">
        <v>32</v>
      </c>
      <c r="B27" s="7" t="s">
        <v>33</v>
      </c>
    </row>
    <row r="28" customFormat="false" ht="30" hidden="false" customHeight="true" outlineLevel="0" collapsed="false">
      <c r="A28" s="6" t="s">
        <v>34</v>
      </c>
      <c r="B28" s="7" t="s">
        <v>35</v>
      </c>
    </row>
    <row r="29" customFormat="false" ht="60" hidden="false" customHeight="true" outlineLevel="0" collapsed="false">
      <c r="A29" s="6" t="s">
        <v>36</v>
      </c>
      <c r="B29" s="7" t="s">
        <v>37</v>
      </c>
    </row>
    <row r="30" customFormat="false" ht="60" hidden="false" customHeight="true" outlineLevel="0" collapsed="false">
      <c r="A30" s="6" t="s">
        <v>38</v>
      </c>
      <c r="B30" s="7" t="s">
        <v>39</v>
      </c>
    </row>
    <row r="31" customFormat="false" ht="30" hidden="false" customHeight="true" outlineLevel="0" collapsed="false">
      <c r="A31" s="6" t="s">
        <v>40</v>
      </c>
      <c r="B31" s="7" t="s">
        <v>41</v>
      </c>
    </row>
    <row r="32" customFormat="false" ht="30" hidden="false" customHeight="true" outlineLevel="0" collapsed="false">
      <c r="A32" s="6" t="s">
        <v>42</v>
      </c>
      <c r="B32" s="7" t="s">
        <v>43</v>
      </c>
    </row>
    <row r="33" customFormat="false" ht="30" hidden="false" customHeight="true" outlineLevel="0" collapsed="false">
      <c r="A33" s="6" t="s">
        <v>44</v>
      </c>
      <c r="B33" s="7" t="s">
        <v>45</v>
      </c>
    </row>
    <row r="34" customFormat="false" ht="15" hidden="false" customHeight="true" outlineLevel="0" collapsed="false">
      <c r="A34" s="6" t="s">
        <v>46</v>
      </c>
      <c r="B34" s="7" t="s">
        <v>47</v>
      </c>
    </row>
    <row r="35" customFormat="false" ht="30" hidden="false" customHeight="true" outlineLevel="0" collapsed="false">
      <c r="A35" s="6" t="s">
        <v>48</v>
      </c>
      <c r="B35" s="7" t="s">
        <v>49</v>
      </c>
    </row>
    <row r="36" customFormat="false" ht="60" hidden="false" customHeight="true" outlineLevel="0" collapsed="false">
      <c r="A36" s="6" t="s">
        <v>50</v>
      </c>
      <c r="B36" s="7" t="s">
        <v>51</v>
      </c>
    </row>
    <row r="37" customFormat="false" ht="45" hidden="false" customHeight="true" outlineLevel="0" collapsed="false">
      <c r="A37" s="6" t="s">
        <v>52</v>
      </c>
      <c r="B37" s="7" t="s">
        <v>53</v>
      </c>
    </row>
    <row r="38" customFormat="false" ht="30" hidden="false" customHeight="true" outlineLevel="0" collapsed="false">
      <c r="A38" s="6" t="s">
        <v>54</v>
      </c>
      <c r="B38" s="7" t="s">
        <v>55</v>
      </c>
    </row>
    <row r="39" customFormat="false" ht="15" hidden="false" customHeight="true" outlineLevel="0" collapsed="false">
      <c r="A39" s="6" t="s">
        <v>56</v>
      </c>
      <c r="B39" s="7" t="s">
        <v>57</v>
      </c>
    </row>
    <row r="40" customFormat="false" ht="30" hidden="false" customHeight="true" outlineLevel="0" collapsed="false">
      <c r="A40" s="6" t="s">
        <v>58</v>
      </c>
      <c r="B40" s="7" t="s">
        <v>59</v>
      </c>
    </row>
    <row r="41" customFormat="false" ht="30" hidden="false" customHeight="true" outlineLevel="0" collapsed="false">
      <c r="A41" s="6" t="s">
        <v>60</v>
      </c>
      <c r="B41" s="7" t="s">
        <v>61</v>
      </c>
    </row>
    <row r="43" customFormat="false" ht="15" hidden="false" customHeight="false" outlineLevel="0" collapsed="false">
      <c r="A43" s="3" t="s">
        <v>62</v>
      </c>
      <c r="B43" s="4"/>
    </row>
    <row r="44" customFormat="false" ht="15" hidden="false" customHeight="true" outlineLevel="0" collapsed="false">
      <c r="A44" s="6" t="s">
        <v>63</v>
      </c>
      <c r="B44" s="7" t="s">
        <v>64</v>
      </c>
    </row>
    <row r="45" customFormat="false" ht="30" hidden="false" customHeight="true" outlineLevel="0" collapsed="false">
      <c r="A45" s="6" t="s">
        <v>65</v>
      </c>
      <c r="B45" s="7" t="s">
        <v>66</v>
      </c>
    </row>
    <row r="46" customFormat="false" ht="15" hidden="false" customHeight="true" outlineLevel="0" collapsed="false">
      <c r="A46" s="6" t="s">
        <v>67</v>
      </c>
      <c r="B46" s="7" t="s">
        <v>68</v>
      </c>
    </row>
    <row r="47" customFormat="false" ht="15" hidden="false" customHeight="true" outlineLevel="0" collapsed="false">
      <c r="A47" s="6" t="s">
        <v>69</v>
      </c>
      <c r="B47" s="7" t="s">
        <v>70</v>
      </c>
    </row>
    <row r="48" customFormat="false" ht="30" hidden="false" customHeight="true" outlineLevel="0" collapsed="false">
      <c r="A48" s="6" t="s">
        <v>71</v>
      </c>
      <c r="B48" s="7" t="s">
        <v>72</v>
      </c>
    </row>
    <row r="49" customFormat="false" ht="15" hidden="false" customHeight="true" outlineLevel="0" collapsed="false">
      <c r="A49" s="6" t="s">
        <v>73</v>
      </c>
      <c r="B49" s="7" t="s">
        <v>74</v>
      </c>
    </row>
    <row r="50" customFormat="false" ht="45" hidden="false" customHeight="true" outlineLevel="0" collapsed="false">
      <c r="A50" s="6" t="s">
        <v>75</v>
      </c>
      <c r="B50" s="7" t="s">
        <v>76</v>
      </c>
    </row>
    <row r="51" customFormat="false" ht="135" hidden="false" customHeight="true" outlineLevel="0" collapsed="false">
      <c r="A51" s="6" t="s">
        <v>77</v>
      </c>
      <c r="B51" s="7" t="s">
        <v>78</v>
      </c>
    </row>
    <row r="53" customFormat="false" ht="15" hidden="false" customHeight="false" outlineLevel="0" collapsed="false">
      <c r="A53" s="3" t="s">
        <v>79</v>
      </c>
      <c r="B53" s="4"/>
    </row>
    <row r="54" customFormat="false" ht="30" hidden="false" customHeight="true" outlineLevel="0" collapsed="false">
      <c r="A54" s="6" t="s">
        <v>80</v>
      </c>
      <c r="B54" s="7" t="s">
        <v>81</v>
      </c>
    </row>
    <row r="55" customFormat="false" ht="45" hidden="false" customHeight="true" outlineLevel="0" collapsed="false">
      <c r="A55" s="6" t="s">
        <v>82</v>
      </c>
      <c r="B55" s="7" t="s">
        <v>83</v>
      </c>
    </row>
    <row r="56" customFormat="false" ht="15" hidden="false" customHeight="true" outlineLevel="0" collapsed="false">
      <c r="A56" s="6" t="s">
        <v>84</v>
      </c>
      <c r="B56" s="7" t="s">
        <v>85</v>
      </c>
    </row>
    <row r="57" customFormat="false" ht="30" hidden="false" customHeight="true" outlineLevel="0" collapsed="false">
      <c r="A57" s="6" t="s">
        <v>86</v>
      </c>
      <c r="B57" s="7" t="s">
        <v>87</v>
      </c>
    </row>
    <row r="58" customFormat="false" ht="30" hidden="false" customHeight="true" outlineLevel="0" collapsed="false">
      <c r="A58" s="6" t="s">
        <v>88</v>
      </c>
      <c r="B58" s="7" t="s">
        <v>89</v>
      </c>
    </row>
    <row r="59" customFormat="false" ht="30" hidden="false" customHeight="true" outlineLevel="0" collapsed="false">
      <c r="A59" s="6" t="s">
        <v>90</v>
      </c>
      <c r="B59" s="7" t="s">
        <v>91</v>
      </c>
    </row>
    <row r="60" customFormat="false" ht="45" hidden="false" customHeight="true" outlineLevel="0" collapsed="false">
      <c r="A60" s="6" t="s">
        <v>92</v>
      </c>
      <c r="B60" s="7" t="s">
        <v>93</v>
      </c>
    </row>
    <row r="61" customFormat="false" ht="30" hidden="false" customHeight="true" outlineLevel="0" collapsed="false">
      <c r="A61" s="6" t="s">
        <v>94</v>
      </c>
      <c r="B61" s="7" t="s">
        <v>95</v>
      </c>
    </row>
    <row r="63" customFormat="false" ht="15" hidden="false" customHeight="false" outlineLevel="0" collapsed="false">
      <c r="A63" s="3" t="s">
        <v>96</v>
      </c>
      <c r="B63" s="4"/>
    </row>
    <row r="64" customFormat="false" ht="105" hidden="false" customHeight="true" outlineLevel="0" collapsed="false">
      <c r="A64" s="5" t="s">
        <v>97</v>
      </c>
      <c r="B64" s="5"/>
    </row>
    <row r="65" customFormat="false" ht="45" hidden="false" customHeight="true" outlineLevel="0" collapsed="false">
      <c r="A65" s="5" t="s">
        <v>98</v>
      </c>
      <c r="B65" s="5"/>
    </row>
    <row r="66" customFormat="false" ht="45" hidden="false" customHeight="true" outlineLevel="0" collapsed="false">
      <c r="A66" s="5" t="s">
        <v>99</v>
      </c>
      <c r="B66" s="5"/>
    </row>
    <row r="68" customFormat="false" ht="15" hidden="false" customHeight="false" outlineLevel="0" collapsed="false">
      <c r="A68" s="3" t="s">
        <v>100</v>
      </c>
      <c r="B68" s="4"/>
    </row>
    <row r="69" customFormat="false" ht="60" hidden="false" customHeight="true" outlineLevel="0" collapsed="false">
      <c r="A69" s="5" t="s">
        <v>101</v>
      </c>
      <c r="B69" s="5"/>
    </row>
    <row r="71" customFormat="false" ht="15" hidden="false" customHeight="false" outlineLevel="0" collapsed="false">
      <c r="A71" s="3" t="s">
        <v>102</v>
      </c>
      <c r="B71" s="4"/>
    </row>
    <row r="72" customFormat="false" ht="60" hidden="false" customHeight="true" outlineLevel="0" collapsed="false">
      <c r="A72" s="6" t="s">
        <v>103</v>
      </c>
      <c r="B72" s="7" t="s">
        <v>104</v>
      </c>
    </row>
    <row r="73" customFormat="false" ht="15" hidden="false" customHeight="true" outlineLevel="0" collapsed="false">
      <c r="A73" s="6" t="s">
        <v>105</v>
      </c>
      <c r="B73" s="7" t="s">
        <v>106</v>
      </c>
    </row>
    <row r="74" customFormat="false" ht="60" hidden="false" customHeight="true" outlineLevel="0" collapsed="false">
      <c r="A74" s="6" t="s">
        <v>107</v>
      </c>
      <c r="B74" s="7" t="s">
        <v>108</v>
      </c>
    </row>
    <row r="75" customFormat="false" ht="45" hidden="false" customHeight="true" outlineLevel="0" collapsed="false">
      <c r="A75" s="6" t="s">
        <v>109</v>
      </c>
      <c r="B75" s="7" t="s">
        <v>110</v>
      </c>
    </row>
    <row r="76" customFormat="false" ht="30" hidden="false" customHeight="true" outlineLevel="0" collapsed="false">
      <c r="A76" s="6" t="s">
        <v>111</v>
      </c>
      <c r="B76" s="7" t="s">
        <v>112</v>
      </c>
    </row>
    <row r="77" customFormat="false" ht="75" hidden="false" customHeight="true" outlineLevel="0" collapsed="false">
      <c r="A77" s="6" t="s">
        <v>113</v>
      </c>
      <c r="B77" s="7" t="s">
        <v>114</v>
      </c>
    </row>
    <row r="78" customFormat="false" ht="30" hidden="false" customHeight="true" outlineLevel="0" collapsed="false">
      <c r="A78" s="6" t="s">
        <v>115</v>
      </c>
      <c r="B78" s="7" t="s">
        <v>116</v>
      </c>
    </row>
    <row r="79" customFormat="false" ht="30" hidden="false" customHeight="true" outlineLevel="0" collapsed="false">
      <c r="A79" s="6" t="s">
        <v>117</v>
      </c>
      <c r="B79" s="7" t="s">
        <v>118</v>
      </c>
    </row>
    <row r="80" customFormat="false" ht="120" hidden="false" customHeight="true" outlineLevel="0" collapsed="false">
      <c r="A80" s="6" t="s">
        <v>119</v>
      </c>
      <c r="B80" s="7" t="s">
        <v>120</v>
      </c>
    </row>
    <row r="81" customFormat="false" ht="90" hidden="false" customHeight="true" outlineLevel="0" collapsed="false">
      <c r="A81" s="6" t="s">
        <v>121</v>
      </c>
      <c r="B81" s="7" t="s">
        <v>122</v>
      </c>
    </row>
    <row r="82" customFormat="false" ht="60" hidden="false" customHeight="true" outlineLevel="0" collapsed="false">
      <c r="A82" s="6" t="s">
        <v>123</v>
      </c>
      <c r="B82" s="7" t="s">
        <v>124</v>
      </c>
    </row>
    <row r="83" customFormat="false" ht="45" hidden="false" customHeight="true" outlineLevel="0" collapsed="false">
      <c r="A83" s="6" t="s">
        <v>125</v>
      </c>
      <c r="B83" s="7" t="s">
        <v>126</v>
      </c>
    </row>
    <row r="84" customFormat="false" ht="30" hidden="false" customHeight="true" outlineLevel="0" collapsed="false">
      <c r="A84" s="6" t="s">
        <v>127</v>
      </c>
      <c r="B84" s="7" t="s">
        <v>128</v>
      </c>
    </row>
    <row r="85" customFormat="false" ht="30" hidden="false" customHeight="true" outlineLevel="0" collapsed="false">
      <c r="A85" s="6" t="s">
        <v>129</v>
      </c>
      <c r="B85" s="7" t="s">
        <v>130</v>
      </c>
    </row>
    <row r="86" customFormat="false" ht="120" hidden="false" customHeight="true" outlineLevel="0" collapsed="false">
      <c r="A86" s="6" t="s">
        <v>131</v>
      </c>
      <c r="B86" s="7" t="s">
        <v>132</v>
      </c>
    </row>
    <row r="87" customFormat="false" ht="60" hidden="false" customHeight="true" outlineLevel="0" collapsed="false">
      <c r="A87" s="6" t="s">
        <v>133</v>
      </c>
      <c r="B87" s="7" t="s">
        <v>134</v>
      </c>
    </row>
    <row r="88" customFormat="false" ht="60" hidden="false" customHeight="true" outlineLevel="0" collapsed="false">
      <c r="A88" s="6" t="s">
        <v>135</v>
      </c>
      <c r="B88" s="7" t="s">
        <v>136</v>
      </c>
    </row>
    <row r="89" customFormat="false" ht="105" hidden="false" customHeight="true" outlineLevel="0" collapsed="false">
      <c r="A89" s="6" t="s">
        <v>137</v>
      </c>
      <c r="B89" s="7" t="s">
        <v>138</v>
      </c>
    </row>
    <row r="90" customFormat="false" ht="30" hidden="false" customHeight="true" outlineLevel="0" collapsed="false">
      <c r="A90" s="6" t="s">
        <v>139</v>
      </c>
      <c r="B90" s="7" t="s">
        <v>140</v>
      </c>
    </row>
    <row r="91" customFormat="false" ht="45" hidden="false" customHeight="true" outlineLevel="0" collapsed="false">
      <c r="A91" s="6" t="s">
        <v>141</v>
      </c>
      <c r="B91" s="7" t="s">
        <v>142</v>
      </c>
    </row>
    <row r="92" customFormat="false" ht="45" hidden="false" customHeight="true" outlineLevel="0" collapsed="false">
      <c r="A92" s="6" t="s">
        <v>143</v>
      </c>
      <c r="B92" s="7" t="s">
        <v>144</v>
      </c>
    </row>
    <row r="93" customFormat="false" ht="60" hidden="false" customHeight="true" outlineLevel="0" collapsed="false">
      <c r="A93" s="6" t="s">
        <v>145</v>
      </c>
      <c r="B93" s="7" t="s">
        <v>146</v>
      </c>
    </row>
    <row r="94" customFormat="false" ht="45" hidden="false" customHeight="true" outlineLevel="0" collapsed="false">
      <c r="A94" s="6" t="s">
        <v>147</v>
      </c>
      <c r="B94" s="7" t="s">
        <v>148</v>
      </c>
    </row>
    <row r="95" customFormat="false" ht="45" hidden="false" customHeight="true" outlineLevel="0" collapsed="false">
      <c r="A95" s="6" t="s">
        <v>149</v>
      </c>
      <c r="B95" s="7" t="s">
        <v>150</v>
      </c>
    </row>
    <row r="96" customFormat="false" ht="75" hidden="false" customHeight="true" outlineLevel="0" collapsed="false">
      <c r="A96" s="6" t="s">
        <v>151</v>
      </c>
      <c r="B96" s="7" t="s">
        <v>152</v>
      </c>
    </row>
    <row r="97" customFormat="false" ht="60" hidden="false" customHeight="true" outlineLevel="0" collapsed="false">
      <c r="A97" s="6" t="s">
        <v>153</v>
      </c>
      <c r="B97" s="7" t="s">
        <v>154</v>
      </c>
    </row>
    <row r="98" customFormat="false" ht="30" hidden="false" customHeight="true" outlineLevel="0" collapsed="false">
      <c r="A98" s="6" t="s">
        <v>155</v>
      </c>
      <c r="B98" s="7" t="s">
        <v>156</v>
      </c>
    </row>
    <row r="99" customFormat="false" ht="45" hidden="false" customHeight="true" outlineLevel="0" collapsed="false">
      <c r="A99" s="6" t="s">
        <v>157</v>
      </c>
      <c r="B99" s="7" t="s">
        <v>158</v>
      </c>
    </row>
    <row r="100" customFormat="false" ht="45" hidden="false" customHeight="true" outlineLevel="0" collapsed="false">
      <c r="A100" s="6" t="s">
        <v>159</v>
      </c>
      <c r="B100" s="7" t="s">
        <v>160</v>
      </c>
    </row>
    <row r="101" customFormat="false" ht="60" hidden="false" customHeight="true" outlineLevel="0" collapsed="false">
      <c r="A101" s="6" t="s">
        <v>161</v>
      </c>
      <c r="B101" s="7" t="s">
        <v>162</v>
      </c>
    </row>
    <row r="103" customFormat="false" ht="15" hidden="false" customHeight="false" outlineLevel="0" collapsed="false">
      <c r="A103" s="3" t="s">
        <v>163</v>
      </c>
      <c r="B103" s="4"/>
    </row>
    <row r="104" customFormat="false" ht="45" hidden="false" customHeight="true" outlineLevel="0" collapsed="false">
      <c r="A104" s="6" t="s">
        <v>164</v>
      </c>
      <c r="B104" s="7" t="s">
        <v>165</v>
      </c>
    </row>
    <row r="105" customFormat="false" ht="120" hidden="false" customHeight="true" outlineLevel="0" collapsed="false">
      <c r="A105" s="6" t="s">
        <v>166</v>
      </c>
      <c r="B105" s="7" t="s">
        <v>167</v>
      </c>
    </row>
    <row r="106" customFormat="false" ht="45" hidden="false" customHeight="true" outlineLevel="0" collapsed="false">
      <c r="A106" s="6" t="s">
        <v>168</v>
      </c>
      <c r="B106" s="7" t="s">
        <v>169</v>
      </c>
    </row>
    <row r="107" customFormat="false" ht="30" hidden="false" customHeight="true" outlineLevel="0" collapsed="false">
      <c r="A107" s="6" t="s">
        <v>170</v>
      </c>
      <c r="B107" s="7" t="s">
        <v>171</v>
      </c>
    </row>
    <row r="108" customFormat="false" ht="120" hidden="false" customHeight="true" outlineLevel="0" collapsed="false">
      <c r="A108" s="6" t="s">
        <v>172</v>
      </c>
      <c r="B108" s="7" t="s">
        <v>173</v>
      </c>
    </row>
    <row r="109" customFormat="false" ht="30" hidden="false" customHeight="true" outlineLevel="0" collapsed="false">
      <c r="A109" s="6" t="s">
        <v>174</v>
      </c>
      <c r="B109" s="7" t="s">
        <v>175</v>
      </c>
    </row>
    <row r="110" customFormat="false" ht="75" hidden="false" customHeight="true" outlineLevel="0" collapsed="false">
      <c r="A110" s="6" t="s">
        <v>176</v>
      </c>
      <c r="B110" s="7" t="s">
        <v>177</v>
      </c>
    </row>
    <row r="111" customFormat="false" ht="15" hidden="false" customHeight="true" outlineLevel="0" collapsed="false">
      <c r="A111" s="6" t="s">
        <v>178</v>
      </c>
      <c r="B111" s="7" t="s">
        <v>179</v>
      </c>
    </row>
    <row r="112" customFormat="false" ht="30" hidden="false" customHeight="true" outlineLevel="0" collapsed="false">
      <c r="A112" s="6" t="s">
        <v>180</v>
      </c>
      <c r="B112" s="7" t="s">
        <v>181</v>
      </c>
    </row>
    <row r="113" customFormat="false" ht="45" hidden="false" customHeight="true" outlineLevel="0" collapsed="false">
      <c r="A113" s="6" t="s">
        <v>182</v>
      </c>
      <c r="B113" s="7" t="s">
        <v>183</v>
      </c>
    </row>
    <row r="114" customFormat="false" ht="45" hidden="false" customHeight="true" outlineLevel="0" collapsed="false">
      <c r="A114" s="6" t="s">
        <v>184</v>
      </c>
      <c r="B114" s="7" t="s">
        <v>185</v>
      </c>
    </row>
    <row r="116" customFormat="false" ht="15" hidden="false" customHeight="false" outlineLevel="0" collapsed="false">
      <c r="A116" s="3" t="s">
        <v>186</v>
      </c>
      <c r="B116" s="4"/>
    </row>
    <row r="117" customFormat="false" ht="15" hidden="false" customHeight="true" outlineLevel="0" collapsed="false">
      <c r="A117" s="6" t="s">
        <v>187</v>
      </c>
      <c r="B117" s="7" t="s">
        <v>188</v>
      </c>
    </row>
    <row r="118" customFormat="false" ht="30" hidden="false" customHeight="true" outlineLevel="0" collapsed="false">
      <c r="A118" s="6" t="s">
        <v>189</v>
      </c>
      <c r="B118" s="7" t="s">
        <v>190</v>
      </c>
    </row>
    <row r="119" customFormat="false" ht="45" hidden="false" customHeight="true" outlineLevel="0" collapsed="false">
      <c r="A119" s="6" t="s">
        <v>191</v>
      </c>
      <c r="B119" s="7" t="s">
        <v>192</v>
      </c>
    </row>
    <row r="120" customFormat="false" ht="15" hidden="false" customHeight="true" outlineLevel="0" collapsed="false">
      <c r="A120" s="6" t="s">
        <v>193</v>
      </c>
      <c r="B120" s="7" t="s">
        <v>194</v>
      </c>
    </row>
    <row r="121" customFormat="false" ht="15" hidden="false" customHeight="true" outlineLevel="0" collapsed="false">
      <c r="A121" s="6" t="s">
        <v>195</v>
      </c>
      <c r="B121" s="7" t="s">
        <v>196</v>
      </c>
    </row>
    <row r="122" customFormat="false" ht="15" hidden="false" customHeight="true" outlineLevel="0" collapsed="false">
      <c r="A122" s="6" t="s">
        <v>197</v>
      </c>
      <c r="B122" s="7" t="s">
        <v>198</v>
      </c>
    </row>
    <row r="123" customFormat="false" ht="15" hidden="false" customHeight="true" outlineLevel="0" collapsed="false">
      <c r="A123" s="6" t="s">
        <v>199</v>
      </c>
      <c r="B123" s="7" t="s">
        <v>200</v>
      </c>
    </row>
    <row r="124" customFormat="false" ht="15" hidden="false" customHeight="true" outlineLevel="0" collapsed="false">
      <c r="A124" s="6" t="s">
        <v>201</v>
      </c>
      <c r="B124" s="7" t="s">
        <v>202</v>
      </c>
    </row>
    <row r="125" customFormat="false" ht="30" hidden="false" customHeight="true" outlineLevel="0" collapsed="false">
      <c r="A125" s="6" t="s">
        <v>203</v>
      </c>
      <c r="B125" s="7" t="s">
        <v>204</v>
      </c>
    </row>
    <row r="126" customFormat="false" ht="30" hidden="false" customHeight="true" outlineLevel="0" collapsed="false">
      <c r="A126" s="6" t="s">
        <v>205</v>
      </c>
      <c r="B126" s="7" t="s">
        <v>206</v>
      </c>
    </row>
    <row r="128" customFormat="false" ht="15" hidden="false" customHeight="false" outlineLevel="0" collapsed="false">
      <c r="A128" s="3" t="s">
        <v>207</v>
      </c>
      <c r="B128" s="4"/>
    </row>
    <row r="129" customFormat="false" ht="45" hidden="false" customHeight="true" outlineLevel="0" collapsed="false">
      <c r="A129" s="5" t="s">
        <v>208</v>
      </c>
      <c r="B129" s="5"/>
    </row>
    <row r="131" customFormat="false" ht="15" hidden="false" customHeight="false" outlineLevel="0" collapsed="false">
      <c r="A131" s="3" t="s">
        <v>209</v>
      </c>
      <c r="B131" s="4"/>
    </row>
    <row r="132" customFormat="false" ht="120" hidden="false" customHeight="true" outlineLevel="0" collapsed="false">
      <c r="A132" s="5" t="s">
        <v>210</v>
      </c>
      <c r="B132" s="5"/>
    </row>
    <row r="134" customFormat="false" ht="15" hidden="false" customHeight="false" outlineLevel="0" collapsed="false">
      <c r="A134" s="3" t="s">
        <v>211</v>
      </c>
      <c r="B134" s="4"/>
    </row>
    <row r="135" customFormat="false" ht="60" hidden="false" customHeight="true" outlineLevel="0" collapsed="false">
      <c r="A135" s="6" t="s">
        <v>212</v>
      </c>
      <c r="B135" s="7" t="s">
        <v>213</v>
      </c>
    </row>
    <row r="136" customFormat="false" ht="75" hidden="false" customHeight="true" outlineLevel="0" collapsed="false">
      <c r="A136" s="6" t="s">
        <v>214</v>
      </c>
      <c r="B136" s="7" t="s">
        <v>215</v>
      </c>
    </row>
    <row r="137" customFormat="false" ht="60" hidden="false" customHeight="true" outlineLevel="0" collapsed="false">
      <c r="A137" s="6" t="s">
        <v>216</v>
      </c>
      <c r="B137" s="7" t="s">
        <v>217</v>
      </c>
    </row>
    <row r="138" customFormat="false" ht="45" hidden="false" customHeight="true" outlineLevel="0" collapsed="false">
      <c r="A138" s="6" t="s">
        <v>218</v>
      </c>
      <c r="B138" s="7" t="s">
        <v>219</v>
      </c>
    </row>
    <row r="139" customFormat="false" ht="120" hidden="false" customHeight="true" outlineLevel="0" collapsed="false">
      <c r="A139" s="6" t="s">
        <v>220</v>
      </c>
      <c r="B139" s="7" t="s">
        <v>221</v>
      </c>
    </row>
    <row r="140" customFormat="false" ht="180" hidden="false" customHeight="true" outlineLevel="0" collapsed="false">
      <c r="A140" s="6" t="s">
        <v>222</v>
      </c>
      <c r="B140" s="7" t="s">
        <v>223</v>
      </c>
    </row>
    <row r="141" customFormat="false" ht="135" hidden="false" customHeight="true" outlineLevel="0" collapsed="false">
      <c r="A141" s="6" t="s">
        <v>224</v>
      </c>
      <c r="B141" s="7" t="s">
        <v>225</v>
      </c>
    </row>
  </sheetData>
  <mergeCells count="8">
    <mergeCell ref="A6:B6"/>
    <mergeCell ref="A7:B7"/>
    <mergeCell ref="A64:B64"/>
    <mergeCell ref="A65:B65"/>
    <mergeCell ref="A66:B66"/>
    <mergeCell ref="A69:B69"/>
    <mergeCell ref="A129:B129"/>
    <mergeCell ref="A132:B1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5E6B"/>
    <pageSetUpPr fitToPage="false"/>
  </sheetPr>
  <dimension ref="A1:L102"/>
  <sheetViews>
    <sheetView showFormulas="false" showGridLines="true" showRowColHeaders="true" showZeros="true" rightToLeft="false" tabSelected="tru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54"/>
    <col collapsed="false" customWidth="true" hidden="false" outlineLevel="0" max="5" min="3" style="0" width="13"/>
    <col collapsed="false" customWidth="true" hidden="false" outlineLevel="0" max="6" min="6" style="0" width="14"/>
    <col collapsed="false" customWidth="true" hidden="false" outlineLevel="0" max="7" min="7" style="0" width="17"/>
    <col collapsed="false" customWidth="true" hidden="false" outlineLevel="0" max="9" min="8" style="0" width="12"/>
    <col collapsed="false" customWidth="true" hidden="false" outlineLevel="0" max="12" min="10" style="0" width="13"/>
  </cols>
  <sheetData>
    <row r="1" customFormat="false" ht="18.55" hidden="false" customHeight="false" outlineLevel="0" collapsed="false">
      <c r="A1" s="1" t="str">
        <f aca="false">Inputs!$C$8&amp;" financial model v1"</f>
        <v>Desk Drop financial model v1</v>
      </c>
    </row>
    <row r="2" customFormat="false" ht="15" hidden="false" customHeight="false" outlineLevel="0" collapsed="false">
      <c r="A2" s="2" t="str">
        <f aca="false">Inputs!$C$9</f>
        <v>Emerging brands. Delivered to your workday.</v>
      </c>
    </row>
    <row r="3" customFormat="false" ht="30" hidden="false" customHeight="true" outlineLevel="0" collapsed="false">
      <c r="A3" s="8" t="s">
        <v>226</v>
      </c>
      <c r="B3" s="8"/>
      <c r="C3" s="8"/>
      <c r="D3" s="8"/>
      <c r="E3" s="8"/>
      <c r="F3" s="8"/>
      <c r="G3" s="8"/>
      <c r="H3" s="8"/>
      <c r="I3" s="8"/>
    </row>
    <row r="4" customFormat="false" ht="15" hidden="false" customHeight="false" outlineLevel="0" collapsed="false">
      <c r="A4" s="0" t="s">
        <v>227</v>
      </c>
    </row>
    <row r="5" customFormat="false" ht="30" hidden="false" customHeight="true" outlineLevel="0" collapsed="false">
      <c r="B5" s="9" t="s">
        <v>228</v>
      </c>
      <c r="C5" s="10" t="n">
        <f aca="false">Inputs!$C$17</f>
        <v>46503</v>
      </c>
      <c r="D5" s="9" t="s">
        <v>229</v>
      </c>
      <c r="E5" s="9" t="str">
        <f aca="false">Inputs!$C$35</f>
        <v>Plan base</v>
      </c>
      <c r="F5" s="9" t="s">
        <v>58</v>
      </c>
      <c r="G5" s="11" t="str">
        <f aca="false">IF(Checks!$D$45&gt;0,Checks!$D$45&amp;" integrity check(s) failing: see Checks",IF(Checks!$D$46&gt;0,Checks!$D$46&amp;" data check(s) failing: pasted rows are ignored or misread (see Checks)","all integrity and data checks pass"))</f>
        <v>all integrity and data checks pass</v>
      </c>
      <c r="H5" s="11"/>
      <c r="I5" s="11"/>
      <c r="J5" s="11"/>
    </row>
    <row r="7" customFormat="false" ht="15" hidden="false" customHeight="false" outlineLevel="0" collapsed="false">
      <c r="A7" s="3" t="s">
        <v>230</v>
      </c>
      <c r="B7" s="4"/>
      <c r="C7" s="4"/>
      <c r="D7" s="4"/>
      <c r="E7" s="4"/>
      <c r="F7" s="4"/>
      <c r="G7" s="4"/>
      <c r="H7" s="4"/>
      <c r="I7" s="4"/>
    </row>
    <row r="8" customFormat="false" ht="21.75" hidden="false" customHeight="true" outlineLevel="0" collapsed="false">
      <c r="B8" s="12" t="s">
        <v>231</v>
      </c>
      <c r="C8" s="12" t="s">
        <v>232</v>
      </c>
      <c r="D8" s="12" t="s">
        <v>233</v>
      </c>
    </row>
    <row r="9" customFormat="false" ht="30" hidden="false" customHeight="true" outlineLevel="0" collapsed="false">
      <c r="B9" s="7" t="s">
        <v>234</v>
      </c>
      <c r="C9" s="13" t="str">
        <f aca="false">IFERROR(INDEX(Drop_PnL!$A$7:$A$18,MATCH(MIN(Drop_PnL!$BJ$7:$BJ$18),Drop_PnL!$BJ$7:$BJ$18,0)),"none scheduled")</f>
        <v>none scheduled</v>
      </c>
      <c r="D9" s="14" t="str">
        <f aca="false">IFERROR(TEXT(INDEX(Drop_PnL!$B$7:$B$18,MATCH(MIN(Drop_PnL!$BJ$7:$BJ$18),Drop_PnL!$BJ$7:$BJ$18,0)),"ddd yyyy-mm-dd")&amp;", "&amp;INDEX(Drop_PnL!$C$7:$C$18,MATCH(MIN(Drop_PnL!$BJ$7:$BJ$18),Drop_PnL!$BJ$7:$BJ$18,0))&amp;", "&amp;INDEX(Drop_PnL!$G$7:$G$18,MATCH(MIN(Drop_PnL!$BJ$7:$BJ$18),Drop_PnL!$BJ$7:$BJ$18,0))&amp;" brand(s), "&amp;INDEX(Drop_PnL!$E$7:$E$18,MATCH(MIN(Drop_PnL!$BJ$7:$BJ$18),Drop_PnL!$BJ$7:$BJ$18,0))&amp;" offices, "&amp;INDEX(Drop_PnL!$D$7:$D$18,MATCH(MIN(Drop_PnL!$BJ$7:$BJ$18),Drop_PnL!$BJ$7:$BJ$18,0))&amp;" tier","")</f>
        <v/>
      </c>
      <c r="E9" s="14"/>
      <c r="F9" s="14"/>
      <c r="G9" s="14"/>
      <c r="H9" s="14"/>
      <c r="I9" s="14"/>
    </row>
    <row r="10" customFormat="false" ht="30" hidden="false" customHeight="true" outlineLevel="0" collapsed="false">
      <c r="B10" s="7" t="s">
        <v>235</v>
      </c>
      <c r="C10" s="15" t="str">
        <f aca="false">IFERROR(INDEX(Drop_PnL!$AK$7:$AK$18,MATCH(MIN(Drop_PnL!$BJ$7:$BJ$18),Drop_PnL!$BJ$7:$BJ$18,0)),"n/a")</f>
        <v>n/a</v>
      </c>
      <c r="D10" s="14" t="str">
        <f aca="false">IFERROR("revenue "&amp;TEXT(INDEX(Drop_PnL!$S$7:$S$18,MATCH(MIN(Drop_PnL!$BJ$7:$BJ$18),Drop_PnL!$BJ$7:$BJ$18,0)),"$#,##0")&amp;", "&amp;TEXT(INDEX(Drop_PnL!$AI$7:$AI$18,MATCH(MIN(Drop_PnL!$BJ$7:$BJ$18),Drop_PnL!$BJ$7:$BJ$18,0)),"0")&amp;" founder hours; campaign zero is at the founding rate, so the standard price does not move it","")</f>
        <v/>
      </c>
      <c r="E10" s="14"/>
      <c r="F10" s="14"/>
      <c r="G10" s="14"/>
      <c r="H10" s="14"/>
      <c r="I10" s="14"/>
    </row>
    <row r="11" customFormat="false" ht="30" hidden="false" customHeight="true" outlineLevel="0" collapsed="false">
      <c r="B11" s="7" t="s">
        <v>236</v>
      </c>
      <c r="C11" s="16" t="n">
        <f aca="false">Inputs!$C$39</f>
        <v>150</v>
      </c>
      <c r="D11" s="14" t="str">
        <f aca="false">"standard package "&amp;TEXT(Inputs!$C$41,"$#,##0")&amp;" for "&amp;Inputs!$C$40&amp;" offices; founding "&amp;TEXT(Inputs!$C$42,"$#,##0")&amp;" per office. Change the price on Inputs and read the next row."</f>
        <v>standard package $1,500 for 10 offices; founding $120 per office. Change the price on Inputs and read the next row.</v>
      </c>
      <c r="E11" s="14"/>
      <c r="F11" s="14"/>
      <c r="G11" s="14"/>
      <c r="H11" s="14"/>
      <c r="I11" s="14"/>
    </row>
    <row r="12" customFormat="false" ht="30" hidden="false" customHeight="true" outlineLevel="0" collapsed="false">
      <c r="B12" s="7" t="s">
        <v>237</v>
      </c>
      <c r="C12" s="15" t="n">
        <f aca="false">Steady_State!$AK$8</f>
        <v>73.6538461538462</v>
      </c>
      <c r="D12" s="14" t="str">
        <f aca="false">Steady_State!$G$8&amp;" new brands, "&amp;Steady_State!$E$8&amp;" offices, "&amp;Steady_State!$C$8&amp;": revenue "&amp;TEXT(Steady_State!$S$8,"$#,##0")&amp;", contribution "&amp;TEXT(Steady_State!$AJ$8,"$#,##0")&amp;", "&amp;TEXT(Steady_State!$AI$8,"0")&amp;" founder hours"</f>
        <v>3 new brands, 10 offices, courier: revenue $4,500, contribution $3,830, 52 founder hours</v>
      </c>
      <c r="E12" s="14"/>
      <c r="F12" s="14"/>
      <c r="G12" s="14"/>
      <c r="H12" s="14"/>
      <c r="I12" s="14"/>
    </row>
    <row r="13" customFormat="false" ht="30" hidden="false" customHeight="true" outlineLevel="0" collapsed="false">
      <c r="B13" s="7" t="s">
        <v>238</v>
      </c>
      <c r="C13" s="15" t="n">
        <f aca="false">IF(E54="","n/a",E54)</f>
        <v>61.28</v>
      </c>
      <c r="D13" s="14" t="str">
        <f aca="false">"actual: "&amp;IF(F54="","not yet",TEXT(F54,"$#,##0.0"))&amp;" ("&amp;F55&amp;" of "&amp;D55&amp;" standard runs with actuals in); target "&amp;TEXT(Inputs!$C$136,"$#,##0")</f>
        <v>actual: not yet (0 of 2 standard runs with actuals in); target $50</v>
      </c>
      <c r="E13" s="14"/>
      <c r="F13" s="14"/>
      <c r="G13" s="14"/>
      <c r="H13" s="14"/>
      <c r="I13" s="14"/>
    </row>
    <row r="14" customFormat="false" ht="30" hidden="false" customHeight="true" outlineLevel="0" collapsed="false">
      <c r="B14" s="7" t="s">
        <v>239</v>
      </c>
      <c r="C14" s="15" t="n">
        <f aca="false">IF(SUMIFS(Drop_PnL!$AI$7:$AI$18,Drop_PnL!$D$7:$D$18,"standard",Drop_PnL!$B$7:$B$18,"&lt;="&amp;Inputs!$C$14)+(SUMIFS(Schedule!$AI$7:$AI$18,Schedule!$H$7:$H$18,"standard",Schedule!$E$7:$E$18,"&lt;="&amp;Inputs!$C$14))*(Inputs!$C$95-Inputs!$C$96)&gt;0,SUMIFS(Drop_PnL!$AJ$7:$AJ$18,Drop_PnL!$D$7:$D$18,"standard",Drop_PnL!$B$7:$B$18,"&lt;="&amp;Inputs!$C$14)/(SUMIFS(Drop_PnL!$AI$7:$AI$18,Drop_PnL!$D$7:$D$18,"standard",Drop_PnL!$B$7:$B$18,"&lt;="&amp;Inputs!$C$14)+(SUMIFS(Schedule!$AI$7:$AI$18,Schedule!$H$7:$H$18,"standard",Schedule!$E$7:$E$18,"&lt;="&amp;Inputs!$C$14))*(Inputs!$C$95-Inputs!$C$96)),"n/a")</f>
        <v>51.4093959731544</v>
      </c>
      <c r="D14" s="14" t="str">
        <f aca="false">"adds "&amp;TEXT(SUMIFS(Schedule!$AI$7:$AI$18,Schedule!$H$7:$H$18,"standard",Schedule!$E$7:$E$18,"&lt;="&amp;Inputs!$C$14),"0")&amp;" new offices and "&amp;TEXT((SUMIFS(Schedule!$AI$7:$AI$18,Schedule!$H$7:$H$18,"standard",Schedule!$E$7:$E$18,"&lt;="&amp;Inputs!$C$14))*(Inputs!$C$95-Inputs!$C$96),"0")&amp;" founder hours to the standard runs; the plan wants one drop per office a month (a roster of about 20)"</f>
        <v>adds 8 new offices and 24 founder hours to the standard runs; the plan wants one drop per office a month (a roster of about 20)</v>
      </c>
      <c r="E14" s="14"/>
      <c r="F14" s="14"/>
      <c r="G14" s="14"/>
      <c r="H14" s="14"/>
      <c r="I14" s="14"/>
    </row>
    <row r="15" customFormat="false" ht="30" hidden="false" customHeight="true" outlineLevel="0" collapsed="false">
      <c r="B15" s="7" t="s">
        <v>240</v>
      </c>
      <c r="C15" s="16" t="n">
        <f aca="false">Cash_Flow!$C$34</f>
        <v>-4476</v>
      </c>
      <c r="D15" s="14" t="str">
        <f aca="false">"in week "&amp;Cash_Flow!$C$35&amp;", starting "&amp;TEXT(Cash_Flow!$C$36,"ddd yyyy-mm-dd")</f>
        <v>in week 13, starting Mon 2027-01-18</v>
      </c>
      <c r="E15" s="14"/>
      <c r="F15" s="14"/>
      <c r="G15" s="14"/>
      <c r="H15" s="14"/>
      <c r="I15" s="14"/>
    </row>
    <row r="16" customFormat="false" ht="30" hidden="false" customHeight="true" outlineLevel="0" collapsed="false">
      <c r="B16" s="7" t="s">
        <v>241</v>
      </c>
      <c r="C16" s="16" t="n">
        <f aca="false">Cash_Flow!$C$39</f>
        <v>5476</v>
      </c>
      <c r="D16" s="14" t="str">
        <f aca="false">"reserve "&amp;TEXT(Inputs!$C$117,"$#,##0")&amp;" (plan)"&amp;IF(Inputs!$C$175&gt;0,"; counts "&amp;Inputs!$C$175&amp;" unpriced cost line(s) as $0 until quoted (Inputs, status needs quote or needs founder decision)","")</f>
        <v>reserve $1,000 (plan); counts 5 unpriced cost line(s) as $0 until quoted (Inputs, status needs quote or needs founder decision)</v>
      </c>
      <c r="E16" s="14"/>
      <c r="F16" s="14"/>
      <c r="G16" s="14"/>
      <c r="H16" s="14"/>
      <c r="I16" s="14"/>
    </row>
    <row r="17" customFormat="false" ht="30" hidden="false" customHeight="true" outlineLevel="0" collapsed="false">
      <c r="B17" s="7" t="s">
        <v>242</v>
      </c>
      <c r="C17" s="16" t="n">
        <f aca="false">Capital!$D$14</f>
        <v>6510</v>
      </c>
      <c r="D17" s="14" t="str">
        <f aca="false">"low end "&amp;TEXT(Capital!$C$14,"$#,##0")</f>
        <v>low end $3,360</v>
      </c>
      <c r="E17" s="14"/>
      <c r="F17" s="14"/>
      <c r="G17" s="14"/>
      <c r="H17" s="14"/>
      <c r="I17" s="14"/>
    </row>
    <row r="18" customFormat="false" ht="30" hidden="false" customHeight="true" outlineLevel="0" collapsed="false">
      <c r="B18" s="7" t="s">
        <v>243</v>
      </c>
      <c r="C18" s="16" t="n">
        <f aca="false">Cash_Flow!$C$41</f>
        <v>1034</v>
      </c>
      <c r="D18" s="14" t="str">
        <f aca="false">IF(C18&gt;=0,"the plan figure covers the model need","the model needs more than the plan figure")</f>
        <v>the plan figure covers the model need</v>
      </c>
      <c r="E18" s="14"/>
      <c r="F18" s="14"/>
      <c r="G18" s="14"/>
      <c r="H18" s="14"/>
      <c r="I18" s="14"/>
    </row>
    <row r="19" customFormat="false" ht="30" hidden="false" customHeight="true" outlineLevel="0" collapsed="false">
      <c r="B19" s="7" t="s">
        <v>244</v>
      </c>
      <c r="C19" s="16" t="str">
        <f aca="false">Cash_Flow!$C$42</f>
        <v>not set</v>
      </c>
      <c r="D19" s="14" t="str">
        <f aca="false">IF(Inputs!$C$115="","set it on Inputs (plan question 7)",IF(Inputs!$C$115&gt;=Cash_Flow!$C$39,"covers capital to commit","short of capital to commit by "&amp;TEXT(Cash_Flow!$C$39-Inputs!$C$115,"$#,##0")))</f>
        <v>set it on Inputs (plan question 7)</v>
      </c>
      <c r="E19" s="14"/>
      <c r="F19" s="14"/>
      <c r="G19" s="14"/>
      <c r="H19" s="14"/>
      <c r="I19" s="14"/>
    </row>
    <row r="20" customFormat="false" ht="30" hidden="false" customHeight="true" outlineLevel="0" collapsed="false">
      <c r="B20" s="7" t="s">
        <v>245</v>
      </c>
      <c r="C20" s="16" t="n">
        <f aca="false">Cash_Flow!$C$72</f>
        <v>1310</v>
      </c>
      <c r="D20" s="14" t="str">
        <f aca="false">"paid "&amp;TEXT(Cash_Flow!$C$71,"$#,##0")&amp;", allocated to drops "&amp;TEXT(Cash_Flow!$C$70,"$#,##0")&amp;"; of that gap, "&amp;TEXT(Cash_Flow!$C$75,"$#,##0")&amp;" is insurance prepaid beyond the six months and the rest is ramp-up months with few drops"</f>
        <v>paid $2,010, allocated to drops $700; of that gap, $700 is insurance prepaid beyond the six months and the rest is ramp-up months with few drops</v>
      </c>
      <c r="E20" s="14"/>
      <c r="F20" s="14"/>
      <c r="G20" s="14"/>
      <c r="H20" s="14"/>
      <c r="I20" s="14"/>
    </row>
    <row r="21" customFormat="false" ht="30" hidden="false" customHeight="true" outlineLevel="0" collapsed="false">
      <c r="B21" s="7" t="s">
        <v>246</v>
      </c>
      <c r="C21" s="15" t="n">
        <f aca="false">IF((SUMIFS(Drop_PnL!$BC$7:$BC$18,Drop_PnL!$B$7:$B$18,"&lt;="&amp;Inputs!$C$14)+MAX(Inputs!$C$100*Inputs!$C$101,Hours_Log!$Z$53))&gt;0,(SUMIFS(Drop_PnL!$BD$7:$BD$18,Drop_PnL!$B$7:$B$18,"&lt;="&amp;Inputs!$C$14)+SUMIFS(Drop_PnL!$AM$7:$AM$18,Drop_PnL!$B$7:$B$18,"&gt;="&amp;Inputs!$C$10,Drop_PnL!$B$7:$B$18,"&lt;="&amp;Inputs!$C$14)-Cash_Flow!$C$76)/(SUMIFS(Drop_PnL!$BC$7:$BC$18,Drop_PnL!$B$7:$B$18,"&lt;="&amp;Inputs!$C$14)+MAX(Inputs!$C$100*Inputs!$C$101,Hours_Log!$Z$53)),"n/a")</f>
        <v>33.7621145374449</v>
      </c>
      <c r="D21" s="14" t="str">
        <f aca="false">"campaign zero and the standard runs, with all six months of overhead (expensed basis) and "&amp;IF(Hours_Log!$Z$53&gt;Inputs!$C$100*Inputs!$C$101,TEXT(Hours_Log!$Z$53,"0")&amp;" logged hours not tied to a drop",TEXT(Inputs!$C$100*Inputs!$C$101,"0")&amp;" planned discovery hours")&amp;"; after one-time startup outlays: "&amp;IF((SUMIFS(Drop_PnL!$BC$7:$BC$18,Drop_PnL!$B$7:$B$18,"&lt;="&amp;Inputs!$C$14)+MAX(Inputs!$C$100*Inputs!$C$101,Hours_Log!$Z$53))&gt;0,TEXT(((SUMIFS(Drop_PnL!$BD$7:$BD$18,Drop_PnL!$B$7:$B$18,"&lt;="&amp;Inputs!$C$14)+SUMIFS(Drop_PnL!$AM$7:$AM$18,Drop_PnL!$B$7:$B$18,"&gt;="&amp;Inputs!$C$10,Drop_PnL!$B$7:$B$18,"&lt;="&amp;Inputs!$C$14)-Cash_Flow!$C$76)-Inputs!$Q$172)/(SUMIFS(Drop_PnL!$BC$7:$BC$18,Drop_PnL!$B$7:$B$18,"&lt;="&amp;Inputs!$C$14)+MAX(Inputs!$C$100*Inputs!$C$101,Hours_Log!$Z$53)),"$#,##0.0"),"n/a")&amp;" per hour"</f>
        <v>campaign zero and the standard runs, with all six months of overhead (expensed basis) and 45 planned discovery hours; after one-time startup outlays: $15.6 per hour</v>
      </c>
      <c r="E21" s="14"/>
      <c r="F21" s="14"/>
      <c r="G21" s="14"/>
      <c r="H21" s="14"/>
      <c r="I21" s="14"/>
    </row>
    <row r="22" customFormat="false" ht="30" hidden="false" customHeight="true" outlineLevel="0" collapsed="false">
      <c r="B22" s="7" t="s">
        <v>247</v>
      </c>
      <c r="C22" s="15" t="n">
        <f aca="false">IF((SUMIFS(Drop_PnL!$BC$7:$BC$18,Drop_PnL!$B$7:$B$18,"&lt;="&amp;Cash_Flow!$AB$6)+MAX(Inputs!$C$100*Inputs!$C$101,Hours_Log!$Z$53))&gt;0,(SUMIFS(Drop_PnL!$BD$7:$BD$18,Drop_PnL!$B$7:$B$18,"&lt;="&amp;Cash_Flow!$AB$6)+SUMIFS(Drop_PnL!$AM$7:$AM$18,Drop_PnL!$B$7:$B$18,"&gt;="&amp;Inputs!$C$10,Drop_PnL!$B$7:$B$18,"&lt;="&amp;Cash_Flow!$AB$6)-Cash_Flow!$C$76)/(SUMIFS(Drop_PnL!$BC$7:$BC$18,Drop_PnL!$B$7:$B$18,"&lt;="&amp;Cash_Flow!$AB$6)+MAX(Inputs!$C$100*Inputs!$C$101,Hours_Log!$Z$53)),"n/a")</f>
        <v>52.537216828479</v>
      </c>
      <c r="D22" s="14" t="str">
        <f aca="false">"adds "&amp;COUNTIFS(Drop_PnL!$B$7:$B$18,"&gt;"&amp;Inputs!$C$14,Drop_PnL!$B$7:$B$18,"&lt;="&amp;Cash_Flow!$AB$6,Drop_PnL!$N$7:$N$18,1)&amp;" drop(s) after Gate 3, with "&amp;IF(Hours_Log!$Z$53&gt;Inputs!$C$100*Inputs!$C$101,TEXT(Hours_Log!$Z$53,"0")&amp;" logged hours not tied to a drop",TEXT(Inputs!$C$100*Inputs!$C$101,"0")&amp;" planned discovery hours")&amp;"; insurance prepaid beyond the window ("&amp;TEXT(Cash_Flow!$C$75,"$#,##0")&amp;") is left out; after one-time startup outlays: "&amp;IF((SUMIFS(Drop_PnL!$BC$7:$BC$18,Drop_PnL!$B$7:$B$18,"&lt;="&amp;Cash_Flow!$AB$6)+MAX(Inputs!$C$100*Inputs!$C$101,Hours_Log!$Z$53))&gt;0,TEXT(((SUMIFS(Drop_PnL!$BD$7:$BD$18,Drop_PnL!$B$7:$B$18,"&lt;="&amp;Cash_Flow!$AB$6)+SUMIFS(Drop_PnL!$AM$7:$AM$18,Drop_PnL!$B$7:$B$18,"&gt;="&amp;Inputs!$C$10,Drop_PnL!$B$7:$B$18,"&lt;="&amp;Cash_Flow!$AB$6)-Cash_Flow!$C$76)-Inputs!$Q$172)/(SUMIFS(Drop_PnL!$BC$7:$BC$18,Drop_PnL!$B$7:$B$18,"&lt;="&amp;Cash_Flow!$AB$6)+MAX(Inputs!$C$100*Inputs!$C$101,Hours_Log!$Z$53)),"$#,##0.0"),"n/a")&amp;" per hour"</f>
        <v>adds 2 drop(s) after Gate 3, with 45 planned discovery hours; insurance prepaid beyond the window ($700) is left out; after one-time startup outlays: $39.2 per hour</v>
      </c>
      <c r="E22" s="14"/>
      <c r="F22" s="14"/>
      <c r="G22" s="14"/>
      <c r="H22" s="14"/>
      <c r="I22" s="14"/>
    </row>
    <row r="23" customFormat="false" ht="30" hidden="false" customHeight="true" outlineLevel="0" collapsed="false">
      <c r="B23" s="7" t="s">
        <v>248</v>
      </c>
      <c r="C23" s="16" t="n">
        <f aca="false">Cash_Flow!$C$44-SUMIFS(Drop_PnL!$BI$7:$BI$18,Drop_PnL!$B$7:$B$18,"&gt;"&amp;Inputs!$C$14)</f>
        <v>2839</v>
      </c>
      <c r="D23" s="14" t="str">
        <f aca="false">"the decision-window drops add "&amp;TEXT(C24-C23,"$#,##0")&amp;" by week 26"</f>
        <v>the decision-window drops add $8,570 by week 26</v>
      </c>
      <c r="E23" s="14"/>
      <c r="F23" s="14"/>
      <c r="G23" s="14"/>
      <c r="H23" s="14"/>
      <c r="I23" s="14"/>
    </row>
    <row r="24" customFormat="false" ht="30" hidden="false" customHeight="true" outlineLevel="0" collapsed="false">
      <c r="B24" s="7" t="s">
        <v>249</v>
      </c>
      <c r="C24" s="16" t="n">
        <f aca="false">Cash_Flow!$C$44</f>
        <v>11409</v>
      </c>
      <c r="D24" s="14" t="str">
        <f aca="false">"before founder cash; lowest balance with founder cash "&amp;IF(Inputs!$C$115="","(founder cash not set)",TEXT(Cash_Flow!$C$43,"$#,##0"))</f>
        <v>before founder cash; lowest balance with founder cash (founder cash not set)</v>
      </c>
      <c r="E24" s="14"/>
      <c r="F24" s="14"/>
      <c r="G24" s="14"/>
      <c r="H24" s="14"/>
      <c r="I24" s="14"/>
    </row>
    <row r="25" customFormat="false" ht="30" hidden="false" customHeight="true" outlineLevel="0" collapsed="false">
      <c r="B25" s="7" t="s">
        <v>250</v>
      </c>
      <c r="C25" s="16" t="n">
        <f aca="false">Steady_State!$D$27</f>
        <v>7660</v>
      </c>
      <c r="D25" s="14" t="str">
        <f aca="false">"per founder hour "&amp;IF(ISNUMBER(Steady_State!$D$28),TEXT(Steady_State!$D$28,"$#,##0.0"),"n/a")&amp;"; net of all overhead "&amp;TEXT(Steady_State!$D$39,"$#,##0")&amp;" a month"&amp;IF(AND(N(Scenarios!$H$17)&gt;0,Scenarios!$R$19=1),"; office-paid revenue left out of the net until its cost to serve is quoted","")</f>
        <v>per founder hour $81.1; net of all overhead $7,660 a month</v>
      </c>
      <c r="E25" s="14"/>
      <c r="F25" s="14"/>
      <c r="G25" s="14"/>
      <c r="H25" s="14"/>
      <c r="I25" s="14"/>
    </row>
    <row r="26" customFormat="false" ht="30" hidden="false" customHeight="true" outlineLevel="0" collapsed="false">
      <c r="B26" s="7" t="s">
        <v>251</v>
      </c>
      <c r="C26" s="17" t="n">
        <f aca="false">COUNTIF(Schedule!$W$7:$W$18,"some*")</f>
        <v>2</v>
      </c>
      <c r="D26" s="14" t="str">
        <f aca="false">IF(C26=0,"no office gets two drops within four weeks","drops where some offices get a second drop within four weeks (plan: one drop a month); see the Gate 3 rate with a bigger roster above")</f>
        <v>drops where some offices get a second drop within four weeks (plan: one drop a month); see the Gate 3 rate with a bigger roster above</v>
      </c>
      <c r="E26" s="14"/>
      <c r="F26" s="14"/>
      <c r="G26" s="14"/>
      <c r="H26" s="14"/>
      <c r="I26" s="14"/>
    </row>
    <row r="27" customFormat="false" ht="30" hidden="false" customHeight="true" outlineLevel="0" collapsed="false">
      <c r="B27" s="7" t="s">
        <v>252</v>
      </c>
      <c r="C27" s="17" t="n">
        <f aca="false">COUNTIF(Schedule!$AG$7:$AG$18,"after the decision")</f>
        <v>1</v>
      </c>
      <c r="D27" s="14" t="str">
        <f aca="false">IF(C27=0,"every decision-window drop reports by the decision date","last debrief "&amp;TEXT(MAX(Schedule!$AH$7:$AH$18),"ddd yyyy-mm-dd")&amp;", after the "&amp;TEXT(Inputs!$C$15,"ddd yyyy-mm-dd")&amp;" decision: the switch test cannot finish in time (REPORT.md, question 1)")</f>
        <v>last debrief Tue 2027-04-20, after the Fri 2027-04-09 decision: the switch test cannot finish in time (REPORT.md, question 1)</v>
      </c>
      <c r="E27" s="14"/>
      <c r="F27" s="14"/>
      <c r="G27" s="14"/>
      <c r="H27" s="14"/>
      <c r="I27" s="14"/>
    </row>
    <row r="28" customFormat="false" ht="30" hidden="false" customHeight="true" outlineLevel="0" collapsed="false">
      <c r="B28" s="7" t="s">
        <v>253</v>
      </c>
      <c r="C28" s="17" t="n">
        <f aca="false">COUNTIF(Schedule!$X$7:$X$18,"changed")</f>
        <v>0</v>
      </c>
      <c r="D28" s="14" t="str">
        <f aca="false">IF(C28=0,"schedule is the derived default","edited by you")</f>
        <v>schedule is the derived default</v>
      </c>
      <c r="E28" s="14"/>
      <c r="F28" s="14"/>
      <c r="G28" s="14"/>
      <c r="H28" s="14"/>
      <c r="I28" s="14"/>
    </row>
    <row r="29" customFormat="false" ht="30" hidden="false" customHeight="true" outlineLevel="0" collapsed="false">
      <c r="B29" s="7" t="s">
        <v>254</v>
      </c>
      <c r="C29" s="17" t="n">
        <f aca="false">Inputs!$C$174</f>
        <v>1</v>
      </c>
      <c r="D29" s="14" t="str">
        <f aca="false">IF(Checks!$D$47=0,"plan figures reproduce","plan reproduction differs in "&amp;Checks!$D$47&amp;" check(s); expected after edits")</f>
        <v>plan figures reproduce</v>
      </c>
      <c r="E29" s="14"/>
      <c r="F29" s="14"/>
      <c r="G29" s="14"/>
      <c r="H29" s="14"/>
      <c r="I29" s="14"/>
    </row>
    <row r="31" customFormat="false" ht="15" hidden="false" customHeight="false" outlineLevel="0" collapsed="false">
      <c r="A31" s="3" t="s">
        <v>255</v>
      </c>
      <c r="B31" s="4"/>
      <c r="C31" s="4"/>
      <c r="D31" s="4"/>
      <c r="E31" s="4"/>
      <c r="F31" s="4"/>
      <c r="G31" s="4"/>
      <c r="H31" s="4"/>
      <c r="I31" s="4"/>
    </row>
    <row r="32" customFormat="false" ht="69.75" hidden="false" customHeight="true" outlineLevel="0" collapsed="false">
      <c r="B32" s="12" t="s">
        <v>256</v>
      </c>
      <c r="C32" s="12" t="s">
        <v>257</v>
      </c>
      <c r="D32" s="12" t="s">
        <v>258</v>
      </c>
      <c r="E32" s="12" t="s">
        <v>259</v>
      </c>
      <c r="F32" s="12" t="s">
        <v>260</v>
      </c>
      <c r="G32" s="12" t="s">
        <v>261</v>
      </c>
      <c r="H32" s="12" t="s">
        <v>262</v>
      </c>
    </row>
    <row r="33" customFormat="false" ht="18" hidden="false" customHeight="true" outlineLevel="0" collapsed="false">
      <c r="B33" s="9" t="s">
        <v>263</v>
      </c>
      <c r="C33" s="18" t="n">
        <f aca="false">Inputs!$C$11</f>
        <v>46339</v>
      </c>
      <c r="D33" s="19" t="n">
        <f aca="false">-SUMIFS(Drop_PnL!$T$7:$T$18,Drop_PnL!$AX$7:$AX$18,"&gt;="&amp;Inputs!$C$10,Drop_PnL!$AX$7:$AX$18,"&lt;="&amp;(Inputs!$C$11-1),Drop_PnL!$AZ$7:$AZ$18,"N")-SUMIFS(Drop_PnL!$U$7:$U$18,Drop_PnL!$AY$7:$AY$18,"&gt;="&amp;Inputs!$C$10,Drop_PnL!$AY$7:$AY$18,"&lt;="&amp;(Inputs!$C$11-1),Drop_PnL!$AZ$7:$AZ$18,"N")-SUMIFS(Drop_PnL!$V$7:$V$18,Drop_PnL!$AX$7:$AX$18,"&gt;="&amp;Inputs!$C$10,Drop_PnL!$AX$7:$AX$18,"&lt;="&amp;(Inputs!$C$11-1),Drop_PnL!$AZ$7:$AZ$18,"N")-(SUMIFS(Drop_PnL!$AU$7:$AU$18,Drop_PnL!$AO$7:$AO$18,"&gt;="&amp;Inputs!$C$10,Drop_PnL!$AO$7:$AO$18,"&lt;="&amp;(Inputs!$C$11-1),Drop_PnL!$AZ$7:$AZ$18,"N")+SUMIFS(Drop_PnL!$AV$7:$AV$18,Drop_PnL!$AQ$7:$AQ$18,"&gt;="&amp;Inputs!$C$10,Drop_PnL!$AQ$7:$AQ$18,"&lt;="&amp;(Inputs!$C$11-1),Drop_PnL!$AZ$7:$AZ$18,"N")+SUMIFS(Drop_PnL!$AW$7:$AW$18,Drop_PnL!$AS$7:$AS$18,"&gt;="&amp;Inputs!$C$10,Drop_PnL!$AS$7:$AS$18,"&lt;="&amp;(Inputs!$C$11-1),Drop_PnL!$AZ$7:$AZ$18,"N"))-(SUMIFS(Actuals_DropCosts!$F$5:$F$104,Actuals_DropCosts!$B$5:$B$104,"&gt;="&amp;Inputs!$C$10,Actuals_DropCosts!$B$5:$B$104,"&lt;="&amp;(Inputs!$C$11-1),Actuals_DropCosts!$U$5:$U$104,"Y")+SUMIFS(Actuals_DropCosts!$G$5:$G$104,Actuals_DropCosts!$B$5:$B$104,"&gt;="&amp;Inputs!$C$10,Actuals_DropCosts!$B$5:$B$104,"&lt;="&amp;(Inputs!$C$11-1),Actuals_DropCosts!$U$5:$U$104,"Y")+SUMIFS(Actuals_DropCosts!$H$5:$H$104,Actuals_DropCosts!$B$5:$B$104,"&gt;="&amp;Inputs!$C$10,Actuals_DropCosts!$B$5:$B$104,"&lt;="&amp;(Inputs!$C$11-1),Actuals_DropCosts!$U$5:$U$104,"Y")+SUMIFS(Actuals_Campaigns!$T$5:$T$204,Actuals_Campaigns!$S$5:$S$204,"&gt;="&amp;Inputs!$C$10,Actuals_Campaigns!$S$5:$S$204,"&lt;="&amp;(Inputs!$C$11-1),Actuals_Campaigns!$AL$5:$AL$204,"Y"))-SUMIFS(Cash_Ledger!$D$5:$D$53,Cash_Ledger!$C$5:$C$53,"&gt;="&amp;Inputs!$C$10,Cash_Ledger!$C$5:$C$53,"&lt;="&amp;(Inputs!$C$11-1),Cash_Ledger!$A$5:$A$53,"software")-SUMIFS(Cash_Ledger!$D$5:$D$53,Cash_Ledger!$C$5:$C$53,"&gt;="&amp;Inputs!$C$10,Cash_Ledger!$C$5:$C$53,"&lt;="&amp;(Inputs!$C$11-1),Cash_Ledger!$A$5:$A$53,"insurance")-SUMIFS(Cash_Ledger!$D$5:$D$53,Cash_Ledger!$C$5:$C$53,"&gt;="&amp;Inputs!$C$10,Cash_Ledger!$C$5:$C$53,"&lt;="&amp;(Inputs!$C$11-1),Cash_Ledger!$A$5:$A$53,"storage")-SUMIFS(Cash_Ledger!$D$5:$D$53,Cash_Ledger!$C$5:$C$53,"&gt;="&amp;Inputs!$C$10,Cash_Ledger!$C$5:$C$53,"&lt;="&amp;(Inputs!$C$11-1),Cash_Ledger!$A$5:$A$53,"phone")-SUMIFS(Inputs!$Q$158:$Q$171,Inputs!$R$158:$R$171,"&gt;="&amp;Inputs!$C$10,Inputs!$R$158:$R$171,"&lt;="&amp;(Inputs!$C$11-1))</f>
        <v>-160</v>
      </c>
      <c r="E33" s="19" t="n">
        <f aca="false">SUMIFS(Drop_PnL!$AP$7:$AP$18,Drop_PnL!$AO$7:$AO$18,"&gt;="&amp;Inputs!$C$10,Drop_PnL!$AO$7:$AO$18,"&lt;="&amp;Inputs!$C$11,Drop_PnL!$AZ$7:$AZ$18,"N")+SUMIFS(Drop_PnL!$AR$7:$AR$18,Drop_PnL!$AQ$7:$AQ$18,"&gt;="&amp;Inputs!$C$10,Drop_PnL!$AQ$7:$AQ$18,"&lt;="&amp;Inputs!$C$11,Drop_PnL!$AZ$7:$AZ$18,"N")+SUMIFS(Drop_PnL!$AT$7:$AT$18,Drop_PnL!$AS$7:$AS$18,"&gt;="&amp;Inputs!$C$10,Drop_PnL!$AS$7:$AS$18,"&lt;="&amp;Inputs!$C$11,Drop_PnL!$AZ$7:$AZ$18,"N")+SUMIFS(Actuals_Campaigns!$X$5:$X$204,Actuals_Campaigns!$Y$5:$Y$204,"&gt;="&amp;Inputs!$C$10,Actuals_Campaigns!$Y$5:$Y$204,"&lt;="&amp;Inputs!$C$11,Actuals_Campaigns!$AL$5:$AL$204,"Y")+SUMIFS(Actuals_Campaigns!$AM$5:$AM$204,Actuals_Campaigns!$S$5:$S$204,"&gt;="&amp;Inputs!$C$10,Actuals_Campaigns!$S$5:$S$204,"&lt;="&amp;Inputs!$C$11,Actuals_Campaigns!$AL$5:$AL$204,"Y")</f>
        <v>0</v>
      </c>
      <c r="F33" s="19" t="n">
        <f aca="false">SUMIFS(Drop_PnL!$AP$7:$AP$18,Drop_PnL!$AO$7:$AO$18,"&lt;="&amp;Inputs!$C$11,Drop_PnL!$B$7:$B$18,"&gt;"&amp;Inputs!$C$11,Drop_PnL!$AZ$7:$AZ$18,"N")+SUMIFS(Drop_PnL!$AR$7:$AR$18,Drop_PnL!$AQ$7:$AQ$18,"&lt;="&amp;Inputs!$C$11,Drop_PnL!$B$7:$B$18,"&gt;"&amp;Inputs!$C$11,Drop_PnL!$AZ$7:$AZ$18,"N")+SUMIFS(Drop_PnL!$AT$7:$AT$18,Drop_PnL!$AS$7:$AS$18,"&lt;="&amp;Inputs!$C$11,Drop_PnL!$B$7:$B$18,"&gt;"&amp;Inputs!$C$11,Drop_PnL!$AZ$7:$AZ$18,"N")+SUMIFS(Actuals_Campaigns!$X$5:$X$204,Actuals_Campaigns!$Y$5:$Y$204,"&lt;="&amp;Inputs!$C$11,Actuals_Campaigns!$C$5:$C$204,"&gt;"&amp;Inputs!$C$11,Actuals_Campaigns!$AL$5:$AL$204,"Y")+SUMIFS(Actuals_Campaigns!$AM$5:$AM$204,Actuals_Campaigns!$S$5:$S$204,"&lt;="&amp;Inputs!$C$11,Actuals_Campaigns!$C$5:$C$204,"&gt;"&amp;Inputs!$C$11,Actuals_Campaigns!$AL$5:$AL$204,"Y")</f>
        <v>0</v>
      </c>
      <c r="G33" s="16" t="n">
        <f aca="false">D33+E33-F33</f>
        <v>-160</v>
      </c>
      <c r="H33" s="19" t="n">
        <f aca="false">SUMIFS(Cash_Flow!$C$26:$AB$26,Cash_Flow!$C$5:$AB$5,"&lt;="&amp;Inputs!$C$11)</f>
        <v>-160</v>
      </c>
    </row>
    <row r="34" customFormat="false" ht="18" hidden="false" customHeight="true" outlineLevel="0" collapsed="false">
      <c r="B34" s="9" t="s">
        <v>264</v>
      </c>
      <c r="C34" s="18" t="n">
        <f aca="false">Inputs!$C$12</f>
        <v>46367</v>
      </c>
      <c r="D34" s="19" t="n">
        <f aca="false">-SUMIFS(Drop_PnL!$T$7:$T$18,Drop_PnL!$AX$7:$AX$18,"&gt;="&amp;Inputs!$C$10,Drop_PnL!$AX$7:$AX$18,"&lt;="&amp;(Inputs!$C$12-1),Drop_PnL!$AZ$7:$AZ$18,"N")-SUMIFS(Drop_PnL!$U$7:$U$18,Drop_PnL!$AY$7:$AY$18,"&gt;="&amp;Inputs!$C$10,Drop_PnL!$AY$7:$AY$18,"&lt;="&amp;(Inputs!$C$12-1),Drop_PnL!$AZ$7:$AZ$18,"N")-SUMIFS(Drop_PnL!$V$7:$V$18,Drop_PnL!$AX$7:$AX$18,"&gt;="&amp;Inputs!$C$10,Drop_PnL!$AX$7:$AX$18,"&lt;="&amp;(Inputs!$C$12-1),Drop_PnL!$AZ$7:$AZ$18,"N")-(SUMIFS(Drop_PnL!$AU$7:$AU$18,Drop_PnL!$AO$7:$AO$18,"&gt;="&amp;Inputs!$C$10,Drop_PnL!$AO$7:$AO$18,"&lt;="&amp;(Inputs!$C$12-1),Drop_PnL!$AZ$7:$AZ$18,"N")+SUMIFS(Drop_PnL!$AV$7:$AV$18,Drop_PnL!$AQ$7:$AQ$18,"&gt;="&amp;Inputs!$C$10,Drop_PnL!$AQ$7:$AQ$18,"&lt;="&amp;(Inputs!$C$12-1),Drop_PnL!$AZ$7:$AZ$18,"N")+SUMIFS(Drop_PnL!$AW$7:$AW$18,Drop_PnL!$AS$7:$AS$18,"&gt;="&amp;Inputs!$C$10,Drop_PnL!$AS$7:$AS$18,"&lt;="&amp;(Inputs!$C$12-1),Drop_PnL!$AZ$7:$AZ$18,"N"))-(SUMIFS(Actuals_DropCosts!$F$5:$F$104,Actuals_DropCosts!$B$5:$B$104,"&gt;="&amp;Inputs!$C$10,Actuals_DropCosts!$B$5:$B$104,"&lt;="&amp;(Inputs!$C$12-1),Actuals_DropCosts!$U$5:$U$104,"Y")+SUMIFS(Actuals_DropCosts!$G$5:$G$104,Actuals_DropCosts!$B$5:$B$104,"&gt;="&amp;Inputs!$C$10,Actuals_DropCosts!$B$5:$B$104,"&lt;="&amp;(Inputs!$C$12-1),Actuals_DropCosts!$U$5:$U$104,"Y")+SUMIFS(Actuals_DropCosts!$H$5:$H$104,Actuals_DropCosts!$B$5:$B$104,"&gt;="&amp;Inputs!$C$10,Actuals_DropCosts!$B$5:$B$104,"&lt;="&amp;(Inputs!$C$12-1),Actuals_DropCosts!$U$5:$U$104,"Y")+SUMIFS(Actuals_Campaigns!$T$5:$T$204,Actuals_Campaigns!$S$5:$S$204,"&gt;="&amp;Inputs!$C$10,Actuals_Campaigns!$S$5:$S$204,"&lt;="&amp;(Inputs!$C$12-1),Actuals_Campaigns!$AL$5:$AL$204,"Y"))-SUMIFS(Cash_Ledger!$D$5:$D$53,Cash_Ledger!$C$5:$C$53,"&gt;="&amp;Inputs!$C$10,Cash_Ledger!$C$5:$C$53,"&lt;="&amp;(Inputs!$C$12-1),Cash_Ledger!$A$5:$A$53,"software")-SUMIFS(Cash_Ledger!$D$5:$D$53,Cash_Ledger!$C$5:$C$53,"&gt;="&amp;Inputs!$C$10,Cash_Ledger!$C$5:$C$53,"&lt;="&amp;(Inputs!$C$12-1),Cash_Ledger!$A$5:$A$53,"insurance")-SUMIFS(Cash_Ledger!$D$5:$D$53,Cash_Ledger!$C$5:$C$53,"&gt;="&amp;Inputs!$C$10,Cash_Ledger!$C$5:$C$53,"&lt;="&amp;(Inputs!$C$12-1),Cash_Ledger!$A$5:$A$53,"storage")-SUMIFS(Cash_Ledger!$D$5:$D$53,Cash_Ledger!$C$5:$C$53,"&gt;="&amp;Inputs!$C$10,Cash_Ledger!$C$5:$C$53,"&lt;="&amp;(Inputs!$C$12-1),Cash_Ledger!$A$5:$A$53,"phone")-SUMIFS(Inputs!$Q$158:$Q$171,Inputs!$R$158:$R$171,"&gt;="&amp;Inputs!$C$10,Inputs!$R$158:$R$171,"&lt;="&amp;(Inputs!$C$12-1))</f>
        <v>-3120</v>
      </c>
      <c r="E34" s="19" t="n">
        <f aca="false">SUMIFS(Drop_PnL!$AP$7:$AP$18,Drop_PnL!$AO$7:$AO$18,"&gt;="&amp;Inputs!$C$10,Drop_PnL!$AO$7:$AO$18,"&lt;="&amp;Inputs!$C$12,Drop_PnL!$AZ$7:$AZ$18,"N")+SUMIFS(Drop_PnL!$AR$7:$AR$18,Drop_PnL!$AQ$7:$AQ$18,"&gt;="&amp;Inputs!$C$10,Drop_PnL!$AQ$7:$AQ$18,"&lt;="&amp;Inputs!$C$12,Drop_PnL!$AZ$7:$AZ$18,"N")+SUMIFS(Drop_PnL!$AT$7:$AT$18,Drop_PnL!$AS$7:$AS$18,"&gt;="&amp;Inputs!$C$10,Drop_PnL!$AS$7:$AS$18,"&lt;="&amp;Inputs!$C$12,Drop_PnL!$AZ$7:$AZ$18,"N")+SUMIFS(Actuals_Campaigns!$X$5:$X$204,Actuals_Campaigns!$Y$5:$Y$204,"&gt;="&amp;Inputs!$C$10,Actuals_Campaigns!$Y$5:$Y$204,"&lt;="&amp;Inputs!$C$12,Actuals_Campaigns!$AL$5:$AL$204,"Y")+SUMIFS(Actuals_Campaigns!$AM$5:$AM$204,Actuals_Campaigns!$S$5:$S$204,"&gt;="&amp;Inputs!$C$10,Actuals_Campaigns!$S$5:$S$204,"&lt;="&amp;Inputs!$C$12,Actuals_Campaigns!$AL$5:$AL$204,"Y")</f>
        <v>1200</v>
      </c>
      <c r="F34" s="19" t="n">
        <f aca="false">SUMIFS(Drop_PnL!$AP$7:$AP$18,Drop_PnL!$AO$7:$AO$18,"&lt;="&amp;Inputs!$C$12,Drop_PnL!$B$7:$B$18,"&gt;"&amp;Inputs!$C$12,Drop_PnL!$AZ$7:$AZ$18,"N")+SUMIFS(Drop_PnL!$AR$7:$AR$18,Drop_PnL!$AQ$7:$AQ$18,"&lt;="&amp;Inputs!$C$12,Drop_PnL!$B$7:$B$18,"&gt;"&amp;Inputs!$C$12,Drop_PnL!$AZ$7:$AZ$18,"N")+SUMIFS(Drop_PnL!$AT$7:$AT$18,Drop_PnL!$AS$7:$AS$18,"&lt;="&amp;Inputs!$C$12,Drop_PnL!$B$7:$B$18,"&gt;"&amp;Inputs!$C$12,Drop_PnL!$AZ$7:$AZ$18,"N")+SUMIFS(Actuals_Campaigns!$X$5:$X$204,Actuals_Campaigns!$Y$5:$Y$204,"&lt;="&amp;Inputs!$C$12,Actuals_Campaigns!$C$5:$C$204,"&gt;"&amp;Inputs!$C$12,Actuals_Campaigns!$AL$5:$AL$204,"Y")+SUMIFS(Actuals_Campaigns!$AM$5:$AM$204,Actuals_Campaigns!$S$5:$S$204,"&lt;="&amp;Inputs!$C$12,Actuals_Campaigns!$C$5:$C$204,"&gt;"&amp;Inputs!$C$12,Actuals_Campaigns!$AL$5:$AL$204,"Y")</f>
        <v>1200</v>
      </c>
      <c r="G34" s="16" t="n">
        <f aca="false">D34+E34-F34</f>
        <v>-3120</v>
      </c>
      <c r="H34" s="19" t="n">
        <f aca="false">SUMIFS(Cash_Flow!$C$26:$AB$26,Cash_Flow!$C$5:$AB$5,"&lt;="&amp;Inputs!$C$12)</f>
        <v>-3856</v>
      </c>
    </row>
    <row r="35" customFormat="false" ht="18" hidden="false" customHeight="true" outlineLevel="0" collapsed="false">
      <c r="B35" s="9" t="s">
        <v>265</v>
      </c>
      <c r="C35" s="18" t="n">
        <f aca="false">Inputs!$C$13</f>
        <v>46409</v>
      </c>
      <c r="D35" s="19" t="n">
        <f aca="false">-SUMIFS(Drop_PnL!$T$7:$T$18,Drop_PnL!$AX$7:$AX$18,"&gt;="&amp;Inputs!$C$10,Drop_PnL!$AX$7:$AX$18,"&lt;="&amp;(Inputs!$C$13-1),Drop_PnL!$AZ$7:$AZ$18,"N")-SUMIFS(Drop_PnL!$U$7:$U$18,Drop_PnL!$AY$7:$AY$18,"&gt;="&amp;Inputs!$C$10,Drop_PnL!$AY$7:$AY$18,"&lt;="&amp;(Inputs!$C$13-1),Drop_PnL!$AZ$7:$AZ$18,"N")-SUMIFS(Drop_PnL!$V$7:$V$18,Drop_PnL!$AX$7:$AX$18,"&gt;="&amp;Inputs!$C$10,Drop_PnL!$AX$7:$AX$18,"&lt;="&amp;(Inputs!$C$13-1),Drop_PnL!$AZ$7:$AZ$18,"N")-(SUMIFS(Drop_PnL!$AU$7:$AU$18,Drop_PnL!$AO$7:$AO$18,"&gt;="&amp;Inputs!$C$10,Drop_PnL!$AO$7:$AO$18,"&lt;="&amp;(Inputs!$C$13-1),Drop_PnL!$AZ$7:$AZ$18,"N")+SUMIFS(Drop_PnL!$AV$7:$AV$18,Drop_PnL!$AQ$7:$AQ$18,"&gt;="&amp;Inputs!$C$10,Drop_PnL!$AQ$7:$AQ$18,"&lt;="&amp;(Inputs!$C$13-1),Drop_PnL!$AZ$7:$AZ$18,"N")+SUMIFS(Drop_PnL!$AW$7:$AW$18,Drop_PnL!$AS$7:$AS$18,"&gt;="&amp;Inputs!$C$10,Drop_PnL!$AS$7:$AS$18,"&lt;="&amp;(Inputs!$C$13-1),Drop_PnL!$AZ$7:$AZ$18,"N"))-(SUMIFS(Actuals_DropCosts!$F$5:$F$104,Actuals_DropCosts!$B$5:$B$104,"&gt;="&amp;Inputs!$C$10,Actuals_DropCosts!$B$5:$B$104,"&lt;="&amp;(Inputs!$C$13-1),Actuals_DropCosts!$U$5:$U$104,"Y")+SUMIFS(Actuals_DropCosts!$G$5:$G$104,Actuals_DropCosts!$B$5:$B$104,"&gt;="&amp;Inputs!$C$10,Actuals_DropCosts!$B$5:$B$104,"&lt;="&amp;(Inputs!$C$13-1),Actuals_DropCosts!$U$5:$U$104,"Y")+SUMIFS(Actuals_DropCosts!$H$5:$H$104,Actuals_DropCosts!$B$5:$B$104,"&gt;="&amp;Inputs!$C$10,Actuals_DropCosts!$B$5:$B$104,"&lt;="&amp;(Inputs!$C$13-1),Actuals_DropCosts!$U$5:$U$104,"Y")+SUMIFS(Actuals_Campaigns!$T$5:$T$204,Actuals_Campaigns!$S$5:$S$204,"&gt;="&amp;Inputs!$C$10,Actuals_Campaigns!$S$5:$S$204,"&lt;="&amp;(Inputs!$C$13-1),Actuals_Campaigns!$AL$5:$AL$204,"Y"))-SUMIFS(Cash_Ledger!$D$5:$D$53,Cash_Ledger!$C$5:$C$53,"&gt;="&amp;Inputs!$C$10,Cash_Ledger!$C$5:$C$53,"&lt;="&amp;(Inputs!$C$13-1),Cash_Ledger!$A$5:$A$53,"software")-SUMIFS(Cash_Ledger!$D$5:$D$53,Cash_Ledger!$C$5:$C$53,"&gt;="&amp;Inputs!$C$10,Cash_Ledger!$C$5:$C$53,"&lt;="&amp;(Inputs!$C$13-1),Cash_Ledger!$A$5:$A$53,"insurance")-SUMIFS(Cash_Ledger!$D$5:$D$53,Cash_Ledger!$C$5:$C$53,"&gt;="&amp;Inputs!$C$10,Cash_Ledger!$C$5:$C$53,"&lt;="&amp;(Inputs!$C$13-1),Cash_Ledger!$A$5:$A$53,"storage")-SUMIFS(Cash_Ledger!$D$5:$D$53,Cash_Ledger!$C$5:$C$53,"&gt;="&amp;Inputs!$C$10,Cash_Ledger!$C$5:$C$53,"&lt;="&amp;(Inputs!$C$13-1),Cash_Ledger!$A$5:$A$53,"phone")-SUMIFS(Inputs!$Q$158:$Q$171,Inputs!$R$158:$R$171,"&gt;="&amp;Inputs!$C$10,Inputs!$R$158:$R$171,"&lt;="&amp;(Inputs!$C$13-1))</f>
        <v>-5326</v>
      </c>
      <c r="E35" s="19" t="n">
        <f aca="false">SUMIFS(Drop_PnL!$AP$7:$AP$18,Drop_PnL!$AO$7:$AO$18,"&gt;="&amp;Inputs!$C$10,Drop_PnL!$AO$7:$AO$18,"&lt;="&amp;Inputs!$C$13,Drop_PnL!$AZ$7:$AZ$18,"N")+SUMIFS(Drop_PnL!$AR$7:$AR$18,Drop_PnL!$AQ$7:$AQ$18,"&gt;="&amp;Inputs!$C$10,Drop_PnL!$AQ$7:$AQ$18,"&lt;="&amp;Inputs!$C$13,Drop_PnL!$AZ$7:$AZ$18,"N")+SUMIFS(Drop_PnL!$AT$7:$AT$18,Drop_PnL!$AS$7:$AS$18,"&gt;="&amp;Inputs!$C$10,Drop_PnL!$AS$7:$AS$18,"&lt;="&amp;Inputs!$C$13,Drop_PnL!$AZ$7:$AZ$18,"N")+SUMIFS(Actuals_Campaigns!$X$5:$X$204,Actuals_Campaigns!$Y$5:$Y$204,"&gt;="&amp;Inputs!$C$10,Actuals_Campaigns!$Y$5:$Y$204,"&lt;="&amp;Inputs!$C$13,Actuals_Campaigns!$AL$5:$AL$204,"Y")+SUMIFS(Actuals_Campaigns!$AM$5:$AM$204,Actuals_Campaigns!$S$5:$S$204,"&gt;="&amp;Inputs!$C$10,Actuals_Campaigns!$S$5:$S$204,"&lt;="&amp;Inputs!$C$13,Actuals_Campaigns!$AL$5:$AL$204,"Y")</f>
        <v>1200</v>
      </c>
      <c r="F35" s="19" t="n">
        <f aca="false">SUMIFS(Drop_PnL!$AP$7:$AP$18,Drop_PnL!$AO$7:$AO$18,"&lt;="&amp;Inputs!$C$13,Drop_PnL!$B$7:$B$18,"&gt;"&amp;Inputs!$C$13,Drop_PnL!$AZ$7:$AZ$18,"N")+SUMIFS(Drop_PnL!$AR$7:$AR$18,Drop_PnL!$AQ$7:$AQ$18,"&lt;="&amp;Inputs!$C$13,Drop_PnL!$B$7:$B$18,"&gt;"&amp;Inputs!$C$13,Drop_PnL!$AZ$7:$AZ$18,"N")+SUMIFS(Drop_PnL!$AT$7:$AT$18,Drop_PnL!$AS$7:$AS$18,"&lt;="&amp;Inputs!$C$13,Drop_PnL!$B$7:$B$18,"&gt;"&amp;Inputs!$C$13,Drop_PnL!$AZ$7:$AZ$18,"N")+SUMIFS(Actuals_Campaigns!$X$5:$X$204,Actuals_Campaigns!$Y$5:$Y$204,"&lt;="&amp;Inputs!$C$13,Actuals_Campaigns!$C$5:$C$204,"&gt;"&amp;Inputs!$C$13,Actuals_Campaigns!$AL$5:$AL$204,"Y")+SUMIFS(Actuals_Campaigns!$AM$5:$AM$204,Actuals_Campaigns!$S$5:$S$204,"&lt;="&amp;Inputs!$C$13,Actuals_Campaigns!$C$5:$C$204,"&gt;"&amp;Inputs!$C$13,Actuals_Campaigns!$AL$5:$AL$204,"Y")</f>
        <v>0</v>
      </c>
      <c r="G35" s="16" t="n">
        <f aca="false">D35+E35-F35</f>
        <v>-4126</v>
      </c>
      <c r="H35" s="19" t="n">
        <f aca="false">SUMIFS(Cash_Flow!$C$26:$AB$26,Cash_Flow!$C$5:$AB$5,"&lt;="&amp;Inputs!$C$13)</f>
        <v>-4476</v>
      </c>
    </row>
    <row r="36" customFormat="false" ht="18" hidden="false" customHeight="true" outlineLevel="0" collapsed="false">
      <c r="B36" s="9" t="s">
        <v>266</v>
      </c>
      <c r="C36" s="18" t="n">
        <f aca="false">Inputs!$C$14</f>
        <v>46458</v>
      </c>
      <c r="D36" s="19" t="n">
        <f aca="false">-SUMIFS(Drop_PnL!$T$7:$T$18,Drop_PnL!$AX$7:$AX$18,"&gt;="&amp;Inputs!$C$10,Drop_PnL!$AX$7:$AX$18,"&lt;="&amp;(Inputs!$C$14-1),Drop_PnL!$AZ$7:$AZ$18,"N")-SUMIFS(Drop_PnL!$U$7:$U$18,Drop_PnL!$AY$7:$AY$18,"&gt;="&amp;Inputs!$C$10,Drop_PnL!$AY$7:$AY$18,"&lt;="&amp;(Inputs!$C$14-1),Drop_PnL!$AZ$7:$AZ$18,"N")-SUMIFS(Drop_PnL!$V$7:$V$18,Drop_PnL!$AX$7:$AX$18,"&gt;="&amp;Inputs!$C$10,Drop_PnL!$AX$7:$AX$18,"&lt;="&amp;(Inputs!$C$14-1),Drop_PnL!$AZ$7:$AZ$18,"N")-(SUMIFS(Drop_PnL!$AU$7:$AU$18,Drop_PnL!$AO$7:$AO$18,"&gt;="&amp;Inputs!$C$10,Drop_PnL!$AO$7:$AO$18,"&lt;="&amp;(Inputs!$C$14-1),Drop_PnL!$AZ$7:$AZ$18,"N")+SUMIFS(Drop_PnL!$AV$7:$AV$18,Drop_PnL!$AQ$7:$AQ$18,"&gt;="&amp;Inputs!$C$10,Drop_PnL!$AQ$7:$AQ$18,"&lt;="&amp;(Inputs!$C$14-1),Drop_PnL!$AZ$7:$AZ$18,"N")+SUMIFS(Drop_PnL!$AW$7:$AW$18,Drop_PnL!$AS$7:$AS$18,"&gt;="&amp;Inputs!$C$10,Drop_PnL!$AS$7:$AS$18,"&lt;="&amp;(Inputs!$C$14-1),Drop_PnL!$AZ$7:$AZ$18,"N"))-(SUMIFS(Actuals_DropCosts!$F$5:$F$104,Actuals_DropCosts!$B$5:$B$104,"&gt;="&amp;Inputs!$C$10,Actuals_DropCosts!$B$5:$B$104,"&lt;="&amp;(Inputs!$C$14-1),Actuals_DropCosts!$U$5:$U$104,"Y")+SUMIFS(Actuals_DropCosts!$G$5:$G$104,Actuals_DropCosts!$B$5:$B$104,"&gt;="&amp;Inputs!$C$10,Actuals_DropCosts!$B$5:$B$104,"&lt;="&amp;(Inputs!$C$14-1),Actuals_DropCosts!$U$5:$U$104,"Y")+SUMIFS(Actuals_DropCosts!$H$5:$H$104,Actuals_DropCosts!$B$5:$B$104,"&gt;="&amp;Inputs!$C$10,Actuals_DropCosts!$B$5:$B$104,"&lt;="&amp;(Inputs!$C$14-1),Actuals_DropCosts!$U$5:$U$104,"Y")+SUMIFS(Actuals_Campaigns!$T$5:$T$204,Actuals_Campaigns!$S$5:$S$204,"&gt;="&amp;Inputs!$C$10,Actuals_Campaigns!$S$5:$S$204,"&lt;="&amp;(Inputs!$C$14-1),Actuals_Campaigns!$AL$5:$AL$204,"Y"))-SUMIFS(Cash_Ledger!$D$5:$D$53,Cash_Ledger!$C$5:$C$53,"&gt;="&amp;Inputs!$C$10,Cash_Ledger!$C$5:$C$53,"&lt;="&amp;(Inputs!$C$14-1),Cash_Ledger!$A$5:$A$53,"software")-SUMIFS(Cash_Ledger!$D$5:$D$53,Cash_Ledger!$C$5:$C$53,"&gt;="&amp;Inputs!$C$10,Cash_Ledger!$C$5:$C$53,"&lt;="&amp;(Inputs!$C$14-1),Cash_Ledger!$A$5:$A$53,"insurance")-SUMIFS(Cash_Ledger!$D$5:$D$53,Cash_Ledger!$C$5:$C$53,"&gt;="&amp;Inputs!$C$10,Cash_Ledger!$C$5:$C$53,"&lt;="&amp;(Inputs!$C$14-1),Cash_Ledger!$A$5:$A$53,"storage")-SUMIFS(Cash_Ledger!$D$5:$D$53,Cash_Ledger!$C$5:$C$53,"&gt;="&amp;Inputs!$C$10,Cash_Ledger!$C$5:$C$53,"&lt;="&amp;(Inputs!$C$14-1),Cash_Ledger!$A$5:$A$53,"phone")-SUMIFS(Inputs!$Q$158:$Q$171,Inputs!$R$158:$R$171,"&gt;="&amp;Inputs!$C$10,Inputs!$R$158:$R$171,"&lt;="&amp;(Inputs!$C$14-1))</f>
        <v>-7193.5</v>
      </c>
      <c r="E36" s="19" t="n">
        <f aca="false">SUMIFS(Drop_PnL!$AP$7:$AP$18,Drop_PnL!$AO$7:$AO$18,"&gt;="&amp;Inputs!$C$10,Drop_PnL!$AO$7:$AO$18,"&lt;="&amp;Inputs!$C$14,Drop_PnL!$AZ$7:$AZ$18,"N")+SUMIFS(Drop_PnL!$AR$7:$AR$18,Drop_PnL!$AQ$7:$AQ$18,"&gt;="&amp;Inputs!$C$10,Drop_PnL!$AQ$7:$AQ$18,"&lt;="&amp;Inputs!$C$14,Drop_PnL!$AZ$7:$AZ$18,"N")+SUMIFS(Drop_PnL!$AT$7:$AT$18,Drop_PnL!$AS$7:$AS$18,"&gt;="&amp;Inputs!$C$10,Drop_PnL!$AS$7:$AS$18,"&lt;="&amp;Inputs!$C$14,Drop_PnL!$AZ$7:$AZ$18,"N")+SUMIFS(Actuals_Campaigns!$X$5:$X$204,Actuals_Campaigns!$Y$5:$Y$204,"&gt;="&amp;Inputs!$C$10,Actuals_Campaigns!$Y$5:$Y$204,"&lt;="&amp;Inputs!$C$14,Actuals_Campaigns!$AL$5:$AL$204,"Y")+SUMIFS(Actuals_Campaigns!$AM$5:$AM$204,Actuals_Campaigns!$S$5:$S$204,"&gt;="&amp;Inputs!$C$10,Actuals_Campaigns!$S$5:$S$204,"&lt;="&amp;Inputs!$C$14,Actuals_Campaigns!$AL$5:$AL$204,"Y")</f>
        <v>12450</v>
      </c>
      <c r="F36" s="19" t="n">
        <f aca="false">SUMIFS(Drop_PnL!$AP$7:$AP$18,Drop_PnL!$AO$7:$AO$18,"&lt;="&amp;Inputs!$C$14,Drop_PnL!$B$7:$B$18,"&gt;"&amp;Inputs!$C$14,Drop_PnL!$AZ$7:$AZ$18,"N")+SUMIFS(Drop_PnL!$AR$7:$AR$18,Drop_PnL!$AQ$7:$AQ$18,"&lt;="&amp;Inputs!$C$14,Drop_PnL!$B$7:$B$18,"&gt;"&amp;Inputs!$C$14,Drop_PnL!$AZ$7:$AZ$18,"N")+SUMIFS(Drop_PnL!$AT$7:$AT$18,Drop_PnL!$AS$7:$AS$18,"&lt;="&amp;Inputs!$C$14,Drop_PnL!$B$7:$B$18,"&gt;"&amp;Inputs!$C$14,Drop_PnL!$AZ$7:$AZ$18,"N")+SUMIFS(Actuals_Campaigns!$X$5:$X$204,Actuals_Campaigns!$Y$5:$Y$204,"&lt;="&amp;Inputs!$C$14,Actuals_Campaigns!$C$5:$C$204,"&gt;"&amp;Inputs!$C$14,Actuals_Campaigns!$AL$5:$AL$204,"Y")+SUMIFS(Actuals_Campaigns!$AM$5:$AM$204,Actuals_Campaigns!$S$5:$S$204,"&lt;="&amp;Inputs!$C$14,Actuals_Campaigns!$C$5:$C$204,"&gt;"&amp;Inputs!$C$14,Actuals_Campaigns!$AL$5:$AL$204,"Y")</f>
        <v>2250</v>
      </c>
      <c r="G36" s="16" t="n">
        <f aca="false">D36+E36-F36</f>
        <v>3006.5</v>
      </c>
      <c r="H36" s="19" t="n">
        <f aca="false">SUMIFS(Cash_Flow!$C$26:$AB$26,Cash_Flow!$C$5:$AB$5,"&lt;="&amp;Inputs!$C$14)</f>
        <v>5256.5</v>
      </c>
    </row>
    <row r="37" customFormat="false" ht="18" hidden="false" customHeight="true" outlineLevel="0" collapsed="false">
      <c r="B37" s="9" t="s">
        <v>267</v>
      </c>
      <c r="C37" s="18" t="n">
        <f aca="false">Inputs!$C$15</f>
        <v>46486</v>
      </c>
      <c r="D37" s="19" t="n">
        <f aca="false">-SUMIFS(Drop_PnL!$T$7:$T$18,Drop_PnL!$AX$7:$AX$18,"&gt;="&amp;Inputs!$C$10,Drop_PnL!$AX$7:$AX$18,"&lt;="&amp;(Inputs!$C$15-1),Drop_PnL!$AZ$7:$AZ$18,"N")-SUMIFS(Drop_PnL!$U$7:$U$18,Drop_PnL!$AY$7:$AY$18,"&gt;="&amp;Inputs!$C$10,Drop_PnL!$AY$7:$AY$18,"&lt;="&amp;(Inputs!$C$15-1),Drop_PnL!$AZ$7:$AZ$18,"N")-SUMIFS(Drop_PnL!$V$7:$V$18,Drop_PnL!$AX$7:$AX$18,"&gt;="&amp;Inputs!$C$10,Drop_PnL!$AX$7:$AX$18,"&lt;="&amp;(Inputs!$C$15-1),Drop_PnL!$AZ$7:$AZ$18,"N")-(SUMIFS(Drop_PnL!$AU$7:$AU$18,Drop_PnL!$AO$7:$AO$18,"&gt;="&amp;Inputs!$C$10,Drop_PnL!$AO$7:$AO$18,"&lt;="&amp;(Inputs!$C$15-1),Drop_PnL!$AZ$7:$AZ$18,"N")+SUMIFS(Drop_PnL!$AV$7:$AV$18,Drop_PnL!$AQ$7:$AQ$18,"&gt;="&amp;Inputs!$C$10,Drop_PnL!$AQ$7:$AQ$18,"&lt;="&amp;(Inputs!$C$15-1),Drop_PnL!$AZ$7:$AZ$18,"N")+SUMIFS(Drop_PnL!$AW$7:$AW$18,Drop_PnL!$AS$7:$AS$18,"&gt;="&amp;Inputs!$C$10,Drop_PnL!$AS$7:$AS$18,"&lt;="&amp;(Inputs!$C$15-1),Drop_PnL!$AZ$7:$AZ$18,"N"))-(SUMIFS(Actuals_DropCosts!$F$5:$F$104,Actuals_DropCosts!$B$5:$B$104,"&gt;="&amp;Inputs!$C$10,Actuals_DropCosts!$B$5:$B$104,"&lt;="&amp;(Inputs!$C$15-1),Actuals_DropCosts!$U$5:$U$104,"Y")+SUMIFS(Actuals_DropCosts!$G$5:$G$104,Actuals_DropCosts!$B$5:$B$104,"&gt;="&amp;Inputs!$C$10,Actuals_DropCosts!$B$5:$B$104,"&lt;="&amp;(Inputs!$C$15-1),Actuals_DropCosts!$U$5:$U$104,"Y")+SUMIFS(Actuals_DropCosts!$H$5:$H$104,Actuals_DropCosts!$B$5:$B$104,"&gt;="&amp;Inputs!$C$10,Actuals_DropCosts!$B$5:$B$104,"&lt;="&amp;(Inputs!$C$15-1),Actuals_DropCosts!$U$5:$U$104,"Y")+SUMIFS(Actuals_Campaigns!$T$5:$T$204,Actuals_Campaigns!$S$5:$S$204,"&gt;="&amp;Inputs!$C$10,Actuals_Campaigns!$S$5:$S$204,"&lt;="&amp;(Inputs!$C$15-1),Actuals_Campaigns!$AL$5:$AL$204,"Y"))-SUMIFS(Cash_Ledger!$D$5:$D$53,Cash_Ledger!$C$5:$C$53,"&gt;="&amp;Inputs!$C$10,Cash_Ledger!$C$5:$C$53,"&lt;="&amp;(Inputs!$C$15-1),Cash_Ledger!$A$5:$A$53,"software")-SUMIFS(Cash_Ledger!$D$5:$D$53,Cash_Ledger!$C$5:$C$53,"&gt;="&amp;Inputs!$C$10,Cash_Ledger!$C$5:$C$53,"&lt;="&amp;(Inputs!$C$15-1),Cash_Ledger!$A$5:$A$53,"insurance")-SUMIFS(Cash_Ledger!$D$5:$D$53,Cash_Ledger!$C$5:$C$53,"&gt;="&amp;Inputs!$C$10,Cash_Ledger!$C$5:$C$53,"&lt;="&amp;(Inputs!$C$15-1),Cash_Ledger!$A$5:$A$53,"storage")-SUMIFS(Cash_Ledger!$D$5:$D$53,Cash_Ledger!$C$5:$C$53,"&gt;="&amp;Inputs!$C$10,Cash_Ledger!$C$5:$C$53,"&lt;="&amp;(Inputs!$C$15-1),Cash_Ledger!$A$5:$A$53,"phone")-SUMIFS(Inputs!$Q$158:$Q$171,Inputs!$R$158:$R$171,"&gt;="&amp;Inputs!$C$10,Inputs!$R$158:$R$171,"&lt;="&amp;(Inputs!$C$15-1))</f>
        <v>-7791</v>
      </c>
      <c r="E37" s="19" t="n">
        <f aca="false">SUMIFS(Drop_PnL!$AP$7:$AP$18,Drop_PnL!$AO$7:$AO$18,"&gt;="&amp;Inputs!$C$10,Drop_PnL!$AO$7:$AO$18,"&lt;="&amp;Inputs!$C$15,Drop_PnL!$AZ$7:$AZ$18,"N")+SUMIFS(Drop_PnL!$AR$7:$AR$18,Drop_PnL!$AQ$7:$AQ$18,"&gt;="&amp;Inputs!$C$10,Drop_PnL!$AQ$7:$AQ$18,"&lt;="&amp;Inputs!$C$15,Drop_PnL!$AZ$7:$AZ$18,"N")+SUMIFS(Drop_PnL!$AT$7:$AT$18,Drop_PnL!$AS$7:$AS$18,"&gt;="&amp;Inputs!$C$10,Drop_PnL!$AS$7:$AS$18,"&lt;="&amp;Inputs!$C$15,Drop_PnL!$AZ$7:$AZ$18,"N")+SUMIFS(Actuals_Campaigns!$X$5:$X$204,Actuals_Campaigns!$Y$5:$Y$204,"&gt;="&amp;Inputs!$C$10,Actuals_Campaigns!$Y$5:$Y$204,"&lt;="&amp;Inputs!$C$15,Actuals_Campaigns!$AL$5:$AL$204,"Y")+SUMIFS(Actuals_Campaigns!$AM$5:$AM$204,Actuals_Campaigns!$S$5:$S$204,"&gt;="&amp;Inputs!$C$10,Actuals_Campaigns!$S$5:$S$204,"&lt;="&amp;Inputs!$C$15,Actuals_Campaigns!$AL$5:$AL$204,"Y")</f>
        <v>19200</v>
      </c>
      <c r="F37" s="19" t="n">
        <f aca="false">SUMIFS(Drop_PnL!$AP$7:$AP$18,Drop_PnL!$AO$7:$AO$18,"&lt;="&amp;Inputs!$C$15,Drop_PnL!$B$7:$B$18,"&gt;"&amp;Inputs!$C$15,Drop_PnL!$AZ$7:$AZ$18,"N")+SUMIFS(Drop_PnL!$AR$7:$AR$18,Drop_PnL!$AQ$7:$AQ$18,"&lt;="&amp;Inputs!$C$15,Drop_PnL!$B$7:$B$18,"&gt;"&amp;Inputs!$C$15,Drop_PnL!$AZ$7:$AZ$18,"N")+SUMIFS(Drop_PnL!$AT$7:$AT$18,Drop_PnL!$AS$7:$AS$18,"&lt;="&amp;Inputs!$C$15,Drop_PnL!$B$7:$B$18,"&gt;"&amp;Inputs!$C$15,Drop_PnL!$AZ$7:$AZ$18,"N")+SUMIFS(Actuals_Campaigns!$X$5:$X$204,Actuals_Campaigns!$Y$5:$Y$204,"&lt;="&amp;Inputs!$C$15,Actuals_Campaigns!$C$5:$C$204,"&gt;"&amp;Inputs!$C$15,Actuals_Campaigns!$AL$5:$AL$204,"Y")+SUMIFS(Actuals_Campaigns!$AM$5:$AM$204,Actuals_Campaigns!$S$5:$S$204,"&lt;="&amp;Inputs!$C$15,Actuals_Campaigns!$C$5:$C$204,"&gt;"&amp;Inputs!$C$15,Actuals_Campaigns!$AL$5:$AL$204,"Y")</f>
        <v>0</v>
      </c>
      <c r="G37" s="16" t="n">
        <f aca="false">D37+E37-F37</f>
        <v>11409</v>
      </c>
      <c r="H37" s="19" t="n">
        <f aca="false">SUMIFS(Cash_Flow!$C$26:$AB$26,Cash_Flow!$C$5:$AB$5,"&lt;="&amp;Inputs!$C$15)</f>
        <v>11409</v>
      </c>
    </row>
    <row r="38" customFormat="false" ht="57.75" hidden="false" customHeight="true" outlineLevel="0" collapsed="false">
      <c r="B38" s="20" t="s">
        <v>268</v>
      </c>
      <c r="C38" s="20"/>
      <c r="D38" s="20"/>
      <c r="E38" s="20"/>
      <c r="F38" s="20"/>
      <c r="G38" s="20"/>
      <c r="H38" s="20"/>
      <c r="I38" s="20"/>
    </row>
    <row r="40" customFormat="false" ht="15" hidden="false" customHeight="false" outlineLevel="0" collapsed="false">
      <c r="A40" s="3" t="s">
        <v>269</v>
      </c>
      <c r="B40" s="4"/>
      <c r="C40" s="4"/>
      <c r="D40" s="4"/>
      <c r="E40" s="4"/>
      <c r="F40" s="4"/>
      <c r="G40" s="4"/>
      <c r="H40" s="4"/>
      <c r="I40" s="4"/>
    </row>
    <row r="41" customFormat="false" ht="30" hidden="false" customHeight="true" outlineLevel="0" collapsed="false">
      <c r="A41" s="12" t="s">
        <v>270</v>
      </c>
      <c r="B41" s="12" t="s">
        <v>271</v>
      </c>
      <c r="C41" s="12" t="s">
        <v>272</v>
      </c>
      <c r="D41" s="12" t="s">
        <v>273</v>
      </c>
      <c r="E41" s="12" t="s">
        <v>274</v>
      </c>
      <c r="F41" s="12" t="s">
        <v>275</v>
      </c>
      <c r="G41" s="12" t="s">
        <v>276</v>
      </c>
      <c r="H41" s="12" t="s">
        <v>277</v>
      </c>
      <c r="I41" s="12"/>
      <c r="J41" s="12"/>
      <c r="K41" s="12"/>
    </row>
    <row r="42" customFormat="false" ht="30" hidden="false" customHeight="true" outlineLevel="0" collapsed="false">
      <c r="A42" s="9" t="s">
        <v>263</v>
      </c>
      <c r="B42" s="7" t="s">
        <v>278</v>
      </c>
      <c r="C42" s="18" t="n">
        <f aca="false">Inputs!$C$11</f>
        <v>46339</v>
      </c>
      <c r="D42" s="21" t="n">
        <f aca="false">Inputs!$C$122</f>
        <v>15</v>
      </c>
      <c r="E42" s="21"/>
      <c r="F42" s="22" t="n">
        <f aca="false">Pipeline!$AH$5</f>
        <v>0</v>
      </c>
      <c r="G42" s="23" t="s">
        <v>279</v>
      </c>
      <c r="H42" s="20"/>
      <c r="I42" s="20"/>
      <c r="J42" s="20"/>
      <c r="K42" s="20"/>
    </row>
    <row r="43" customFormat="false" ht="30" hidden="false" customHeight="true" outlineLevel="0" collapsed="false">
      <c r="A43" s="9" t="s">
        <v>263</v>
      </c>
      <c r="B43" s="7" t="s">
        <v>280</v>
      </c>
      <c r="C43" s="18" t="n">
        <f aca="false">Inputs!$C$11</f>
        <v>46339</v>
      </c>
      <c r="D43" s="21" t="n">
        <f aca="false">Inputs!$C$121</f>
        <v>5</v>
      </c>
      <c r="E43" s="21"/>
      <c r="F43" s="22" t="n">
        <f aca="false">Pipeline!$AH$6</f>
        <v>0</v>
      </c>
      <c r="G43" s="23" t="str">
        <f aca="false">IF(F43="",IF(Inputs!$C$17&gt;C43,"miss","not yet"),IF(F43&gt;=D43,"pass",IF(Inputs!$C$17&gt;C43,"miss","not yet")))</f>
        <v>miss</v>
      </c>
      <c r="H43" s="20" t="s">
        <v>281</v>
      </c>
      <c r="I43" s="20"/>
      <c r="J43" s="20"/>
      <c r="K43" s="20"/>
    </row>
    <row r="44" customFormat="false" ht="30" hidden="false" customHeight="true" outlineLevel="0" collapsed="false">
      <c r="A44" s="9" t="s">
        <v>263</v>
      </c>
      <c r="B44" s="7" t="s">
        <v>282</v>
      </c>
      <c r="C44" s="18" t="n">
        <f aca="false">Inputs!$C$11</f>
        <v>46339</v>
      </c>
      <c r="D44" s="21" t="n">
        <f aca="false">Inputs!$C$125</f>
        <v>15</v>
      </c>
      <c r="E44" s="21"/>
      <c r="F44" s="22" t="n">
        <f aca="false">Pipeline!$AH$7</f>
        <v>0</v>
      </c>
      <c r="G44" s="23" t="s">
        <v>279</v>
      </c>
      <c r="H44" s="20"/>
      <c r="I44" s="20"/>
      <c r="J44" s="20"/>
      <c r="K44" s="20"/>
    </row>
    <row r="45" customFormat="false" ht="30" hidden="false" customHeight="true" outlineLevel="0" collapsed="false">
      <c r="A45" s="9" t="s">
        <v>263</v>
      </c>
      <c r="B45" s="7" t="s">
        <v>283</v>
      </c>
      <c r="C45" s="18" t="n">
        <f aca="false">Inputs!$C$11</f>
        <v>46339</v>
      </c>
      <c r="D45" s="21" t="n">
        <f aca="false">Inputs!$C$123</f>
        <v>3</v>
      </c>
      <c r="E45" s="21"/>
      <c r="F45" s="22" t="n">
        <f aca="false">Pipeline!$AH$8</f>
        <v>0</v>
      </c>
      <c r="G45" s="23" t="str">
        <f aca="false">IF(F45="",IF(Inputs!$C$17&gt;C45,"miss","not yet"),IF(F45&gt;=D45,"pass",IF(Inputs!$C$17&gt;C45,"miss","not yet")))</f>
        <v>miss</v>
      </c>
      <c r="H45" s="20" t="s">
        <v>284</v>
      </c>
      <c r="I45" s="20"/>
      <c r="J45" s="20"/>
      <c r="K45" s="20"/>
    </row>
    <row r="46" customFormat="false" ht="30" hidden="false" customHeight="true" outlineLevel="0" collapsed="false">
      <c r="A46" s="9" t="s">
        <v>264</v>
      </c>
      <c r="B46" s="7" t="s">
        <v>285</v>
      </c>
      <c r="C46" s="18" t="n">
        <f aca="false">Inputs!$C$12</f>
        <v>46367</v>
      </c>
      <c r="D46" s="21" t="n">
        <f aca="false">Inputs!$C$126</f>
        <v>5</v>
      </c>
      <c r="E46" s="21" t="n">
        <f aca="false">Drop_PnL!E7</f>
        <v>5</v>
      </c>
      <c r="F46" s="22" t="n">
        <f aca="false">Pipeline!$AH$9</f>
        <v>0</v>
      </c>
      <c r="G46" s="23" t="str">
        <f aca="false">IF(F46="",IF(Inputs!$C$17&gt;C46,"miss","not yet"),IF(F46&gt;=D46,"pass",IF(Inputs!$C$17&gt;C46,"miss","not yet")))</f>
        <v>miss</v>
      </c>
      <c r="H46" s="20" t="s">
        <v>286</v>
      </c>
      <c r="I46" s="20"/>
      <c r="J46" s="20"/>
      <c r="K46" s="20"/>
    </row>
    <row r="47" customFormat="false" ht="30" hidden="false" customHeight="true" outlineLevel="0" collapsed="false">
      <c r="A47" s="9" t="s">
        <v>264</v>
      </c>
      <c r="B47" s="7" t="s">
        <v>287</v>
      </c>
      <c r="C47" s="18" t="n">
        <f aca="false">Inputs!$C$12</f>
        <v>46367</v>
      </c>
      <c r="D47" s="24" t="n">
        <f aca="false">Inputs!$C$127</f>
        <v>350</v>
      </c>
      <c r="E47" s="24"/>
      <c r="F47" s="25" t="n">
        <f aca="false">Pipeline!$AH$10</f>
        <v>0</v>
      </c>
      <c r="G47" s="23" t="str">
        <f aca="false">IF(F47="",IF(Inputs!$C$17&gt;C47,"miss","not yet"),IF(F47&gt;=D47,"pass",IF(Inputs!$C$17&gt;C47,"miss","not yet")))</f>
        <v>miss</v>
      </c>
      <c r="H47" s="20"/>
      <c r="I47" s="20"/>
      <c r="J47" s="20"/>
      <c r="K47" s="20"/>
    </row>
    <row r="48" customFormat="false" ht="30" hidden="false" customHeight="true" outlineLevel="0" collapsed="false">
      <c r="A48" s="9" t="s">
        <v>264</v>
      </c>
      <c r="B48" s="7" t="s">
        <v>288</v>
      </c>
      <c r="C48" s="18" t="n">
        <f aca="false">Inputs!$C$12</f>
        <v>46367</v>
      </c>
      <c r="D48" s="21" t="n">
        <f aca="false">Inputs!$C$128</f>
        <v>2</v>
      </c>
      <c r="E48" s="21" t="n">
        <f aca="false">Drop_PnL!G7</f>
        <v>2</v>
      </c>
      <c r="F48" s="22" t="n">
        <f aca="false">Pipeline!$AH$11</f>
        <v>0</v>
      </c>
      <c r="G48" s="23" t="str">
        <f aca="false">IF(F48="",IF(Inputs!$C$17&gt;C48,"miss","not yet"),IF(F48&gt;=D48,"pass",IF(Inputs!$C$17&gt;C48,"miss","not yet")))</f>
        <v>miss</v>
      </c>
      <c r="H48" s="20" t="s">
        <v>289</v>
      </c>
      <c r="I48" s="20"/>
      <c r="J48" s="20"/>
      <c r="K48" s="20"/>
    </row>
    <row r="49" customFormat="false" ht="30" hidden="false" customHeight="true" outlineLevel="0" collapsed="false">
      <c r="A49" s="9" t="s">
        <v>265</v>
      </c>
      <c r="B49" s="7" t="s">
        <v>290</v>
      </c>
      <c r="C49" s="18" t="n">
        <f aca="false">Inputs!$C$13</f>
        <v>46409</v>
      </c>
      <c r="D49" s="26" t="n">
        <f aca="false">Inputs!$C$130</f>
        <v>0.8</v>
      </c>
      <c r="E49" s="26"/>
      <c r="F49" s="27" t="str">
        <f aca="false">IFERROR(INDEX(Drop_Actuals!$AG$7:$AG$18,MATCH(Inputs!$C$129,Drop_Actuals!$A$7:$A$18,0)),"")</f>
        <v/>
      </c>
      <c r="G49" s="23" t="str">
        <f aca="false">IF(F49="",IF(Inputs!$C$17&gt;C49,"miss","not yet"),IF(F49&gt;=D49,"pass",IF(Inputs!$C$17&gt;C49,"miss","not yet")))</f>
        <v>miss</v>
      </c>
      <c r="H49" s="20" t="s">
        <v>291</v>
      </c>
      <c r="I49" s="20"/>
      <c r="J49" s="20"/>
      <c r="K49" s="20"/>
    </row>
    <row r="50" customFormat="false" ht="30" hidden="false" customHeight="true" outlineLevel="0" collapsed="false">
      <c r="A50" s="9" t="s">
        <v>265</v>
      </c>
      <c r="B50" s="7" t="s">
        <v>292</v>
      </c>
      <c r="C50" s="18" t="n">
        <f aca="false">Inputs!$C$13</f>
        <v>46409</v>
      </c>
      <c r="D50" s="21" t="n">
        <v>0</v>
      </c>
      <c r="E50" s="21"/>
      <c r="F50" s="22" t="str">
        <f aca="false">IF(N(IFERROR(INDEX(Drop_Actuals!$AF$7:$AF$18,MATCH(Inputs!$C$129,Drop_Actuals!$A$7:$A$18,0)),""))=0,"",IFERROR(INDEX(Drop_Actuals!$AH$7:$AH$18,MATCH(Inputs!$C$129,Drop_Actuals!$A$7:$A$18,0)),""))</f>
        <v/>
      </c>
      <c r="G50" s="23" t="str">
        <f aca="false">IF(F50="",IF(Inputs!$C$17&gt;C50,"miss","not yet"),IF(F50&lt;=D50,"pass",IF(Inputs!$C$17&gt;C50,"miss","not yet")))</f>
        <v>miss</v>
      </c>
      <c r="H50" s="20"/>
      <c r="I50" s="20"/>
      <c r="J50" s="20"/>
      <c r="K50" s="20"/>
    </row>
    <row r="51" customFormat="false" ht="30" hidden="false" customHeight="true" outlineLevel="0" collapsed="false">
      <c r="A51" s="9" t="s">
        <v>265</v>
      </c>
      <c r="B51" s="7" t="s">
        <v>293</v>
      </c>
      <c r="C51" s="18" t="n">
        <f aca="false">Inputs!$C$13</f>
        <v>46409</v>
      </c>
      <c r="D51" s="21" t="n">
        <v>0</v>
      </c>
      <c r="E51" s="21"/>
      <c r="F51" s="22" t="str">
        <f aca="false">IF(N(IFERROR(INDEX(Drop_Actuals!$AF$7:$AF$18,MATCH(Inputs!$C$129,Drop_Actuals!$A$7:$A$18,0)),""))=0,"",IFERROR(INDEX(Drop_Actuals!$AI$7:$AI$18,MATCH(Inputs!$C$129,Drop_Actuals!$A$7:$A$18,0)),""))</f>
        <v/>
      </c>
      <c r="G51" s="23" t="str">
        <f aca="false">IF(F51="",IF(Inputs!$C$17&gt;C51,"miss","not yet"),IF(F51&lt;=D51,"pass",IF(Inputs!$C$17&gt;C51,"miss","not yet")))</f>
        <v>miss</v>
      </c>
      <c r="H51" s="20"/>
      <c r="I51" s="20"/>
      <c r="J51" s="20"/>
      <c r="K51" s="20"/>
    </row>
    <row r="52" customFormat="false" ht="30" hidden="false" customHeight="true" outlineLevel="0" collapsed="false">
      <c r="A52" s="9" t="s">
        <v>265</v>
      </c>
      <c r="B52" s="7" t="s">
        <v>294</v>
      </c>
      <c r="C52" s="18" t="n">
        <f aca="false">Inputs!$C$13</f>
        <v>46409</v>
      </c>
      <c r="D52" s="21" t="n">
        <f aca="false">Inputs!$C$133</f>
        <v>1</v>
      </c>
      <c r="E52" s="21"/>
      <c r="F52" s="22" t="str">
        <f aca="false">IF(N(IFERROR(INDEX(Drop_Actuals!$AF$7:$AF$18,MATCH(Inputs!$C$129,Drop_Actuals!$A$7:$A$18,0)),""))=0,"",IFERROR(INDEX(Drop_Actuals!$AJ$7:$AJ$18,MATCH(Inputs!$C$129,Drop_Actuals!$A$7:$A$18,0)),""))</f>
        <v/>
      </c>
      <c r="G52" s="23" t="str">
        <f aca="false">IF(F52="",IF(Inputs!$C$17&gt;C52,"miss","not yet"),IF(F52&gt;=D52,"pass",IF(Inputs!$C$17&gt;C52,"miss","not yet")))</f>
        <v>miss</v>
      </c>
      <c r="H52" s="20"/>
      <c r="I52" s="20"/>
      <c r="J52" s="20"/>
      <c r="K52" s="20"/>
    </row>
    <row r="53" customFormat="false" ht="30" hidden="false" customHeight="true" outlineLevel="0" collapsed="false">
      <c r="A53" s="9" t="s">
        <v>266</v>
      </c>
      <c r="B53" s="7" t="s">
        <v>295</v>
      </c>
      <c r="C53" s="18" t="n">
        <f aca="false">Inputs!$C$14</f>
        <v>46458</v>
      </c>
      <c r="D53" s="21" t="n">
        <f aca="false">Inputs!$C$134</f>
        <v>1</v>
      </c>
      <c r="E53" s="21" t="n">
        <f aca="false">SUMIFS(Drop_PnL!$H$7:$H$18,Drop_PnL!$AQ$7:$AQ$18,"&lt;="&amp;Inputs!$C$14)-SUMIFS(Drop_PnL!$I$7:$I$18,Drop_PnL!$AQ$7:$AQ$18,"&lt;="&amp;Inputs!$C$14)</f>
        <v>1</v>
      </c>
      <c r="F53" s="22" t="n">
        <f aca="false">Pipeline!$AH$12</f>
        <v>0</v>
      </c>
      <c r="G53" s="23" t="str">
        <f aca="false">IF(F53="",IF(Inputs!$C$17&gt;C53,"miss","not yet"),IF(F53&gt;=D53,"pass",IF(Inputs!$C$17&gt;C53,"miss","not yet")))</f>
        <v>miss</v>
      </c>
      <c r="H53" s="20" t="s">
        <v>296</v>
      </c>
      <c r="I53" s="20"/>
      <c r="J53" s="20"/>
      <c r="K53" s="20"/>
    </row>
    <row r="54" customFormat="false" ht="48" hidden="false" customHeight="true" outlineLevel="0" collapsed="false">
      <c r="A54" s="9" t="s">
        <v>266</v>
      </c>
      <c r="B54" s="7" t="s">
        <v>297</v>
      </c>
      <c r="C54" s="18" t="n">
        <f aca="false">Inputs!$C$14</f>
        <v>46458</v>
      </c>
      <c r="D54" s="28" t="n">
        <f aca="false">Inputs!$C$136</f>
        <v>50</v>
      </c>
      <c r="E54" s="28" t="n">
        <f aca="false">IF(SUMIFS(Drop_PnL!$AI$7:$AI$18,Drop_PnL!$D$7:$D$18,"standard",Drop_PnL!$B$7:$B$18,"&lt;="&amp;Inputs!$C$14)&gt;0,SUMIFS(Drop_PnL!$AJ$7:$AJ$18,Drop_PnL!$D$7:$D$18,"standard",Drop_PnL!$B$7:$B$18,"&lt;="&amp;Inputs!$C$14)/SUMIFS(Drop_PnL!$AI$7:$AI$18,Drop_PnL!$D$7:$D$18,"standard",Drop_PnL!$B$7:$B$18,"&lt;="&amp;Inputs!$C$14),"")</f>
        <v>61.28</v>
      </c>
      <c r="F54" s="29" t="str">
        <f aca="false">IF(SUMIFS(Drop_Actuals!$R$7:$R$18,Drop_PnL!$D$7:$D$18,"standard",Drop_PnL!$B$7:$B$18,"&lt;="&amp;Inputs!$C$14,Drop_PnL!$AZ$7:$AZ$18,"Y")&gt;0,SUMIFS(Drop_Actuals!$S$7:$S$18,Drop_PnL!$D$7:$D$18,"standard",Drop_PnL!$B$7:$B$18,"&lt;="&amp;Inputs!$C$14,Drop_PnL!$AZ$7:$AZ$18,"Y")/SUMIFS(Drop_Actuals!$R$7:$R$18,Drop_PnL!$D$7:$D$18,"standard",Drop_PnL!$B$7:$B$18,"&lt;="&amp;Inputs!$C$14,Drop_PnL!$AZ$7:$AZ$18,"Y"),"")</f>
        <v/>
      </c>
      <c r="G54" s="23" t="str">
        <f aca="false">IF(AND(D55&gt;0,F55&lt;D55),"not yet: "&amp;(D55-F55)&amp;" standard run(s) without actuals",IF(F54="",IF(Inputs!$C$17&gt;C54,"miss","not yet"),IF(F54&gt;=D54,"pass",IF(Inputs!$C$17&gt;C54,"miss","not yet"))))</f>
        <v>not yet: 2 standard run(s) without actuals</v>
      </c>
      <c r="H54" s="20" t="s">
        <v>298</v>
      </c>
      <c r="I54" s="20"/>
      <c r="J54" s="20"/>
      <c r="K54" s="20"/>
    </row>
    <row r="55" customFormat="false" ht="48" hidden="false" customHeight="true" outlineLevel="0" collapsed="false">
      <c r="A55" s="9" t="s">
        <v>266</v>
      </c>
      <c r="B55" s="7" t="s">
        <v>299</v>
      </c>
      <c r="C55" s="18" t="n">
        <f aca="false">Inputs!$C$14</f>
        <v>46458</v>
      </c>
      <c r="D55" s="21" t="n">
        <f aca="false">COUNTIFS(Drop_PnL!$D$7:$D$18,"standard",Drop_PnL!$B$7:$B$18,"&lt;="&amp;Inputs!$C$14,Drop_PnL!$N$7:$N$18,1)</f>
        <v>2</v>
      </c>
      <c r="E55" s="21"/>
      <c r="F55" s="22" t="n">
        <f aca="false">COUNTIFS(Drop_PnL!$D$7:$D$18,"standard",Drop_PnL!$B$7:$B$18,"&lt;="&amp;Inputs!$C$14,Drop_PnL!$N$7:$N$18,1,Drop_PnL!$AZ$7:$AZ$18,"Y")</f>
        <v>0</v>
      </c>
      <c r="G55" s="23" t="str">
        <f aca="false">IF(D55=0,"",IF(F55&gt;=D55,"complete",(D55-F55)&amp;" without actuals"))</f>
        <v>2 without actuals</v>
      </c>
      <c r="H55" s="20" t="s">
        <v>300</v>
      </c>
      <c r="I55" s="20"/>
      <c r="J55" s="20"/>
      <c r="K55" s="20"/>
    </row>
    <row r="57" customFormat="false" ht="21.75" hidden="false" customHeight="true" outlineLevel="0" collapsed="false">
      <c r="A57" s="12" t="s">
        <v>270</v>
      </c>
      <c r="B57" s="12" t="s">
        <v>272</v>
      </c>
      <c r="C57" s="12" t="s">
        <v>301</v>
      </c>
    </row>
    <row r="58" customFormat="false" ht="15" hidden="false" customHeight="false" outlineLevel="0" collapsed="false">
      <c r="A58" s="9" t="s">
        <v>263</v>
      </c>
      <c r="B58" s="18" t="n">
        <f aca="false">C42</f>
        <v>46339</v>
      </c>
      <c r="C58" s="9" t="str">
        <f aca="false">IF(IF(G43="miss",1,0)+IF(G45="miss",1,0)&gt;0,"miss",IF(IF(LEFT(G43,LEN("not yet"))="not yet",1,0)+IF(LEFT(G45,LEN("not yet"))="not yet",1,0)&gt;0,"not yet","pass"))</f>
        <v>miss</v>
      </c>
    </row>
    <row r="59" customFormat="false" ht="15" hidden="false" customHeight="false" outlineLevel="0" collapsed="false">
      <c r="A59" s="9" t="s">
        <v>264</v>
      </c>
      <c r="B59" s="18" t="n">
        <f aca="false">C46</f>
        <v>46367</v>
      </c>
      <c r="C59" s="9" t="str">
        <f aca="false">IF(IF(G46="miss",1,0)+IF(G47="miss",1,0)+IF(G48="miss",1,0)&gt;0,"miss",IF(IF(LEFT(G46,LEN("not yet"))="not yet",1,0)+IF(LEFT(G47,LEN("not yet"))="not yet",1,0)+IF(LEFT(G48,LEN("not yet"))="not yet",1,0)&gt;0,"not yet","pass"))</f>
        <v>miss</v>
      </c>
    </row>
    <row r="60" customFormat="false" ht="15" hidden="false" customHeight="false" outlineLevel="0" collapsed="false">
      <c r="A60" s="9" t="s">
        <v>265</v>
      </c>
      <c r="B60" s="18" t="n">
        <f aca="false">C49</f>
        <v>46409</v>
      </c>
      <c r="C60" s="9" t="str">
        <f aca="false">IF(IF(G49="miss",1,0)+IF(G50="miss",1,0)+IF(G51="miss",1,0)+IF(G52="miss",1,0)&gt;0,"miss",IF(IF(LEFT(G49,LEN("not yet"))="not yet",1,0)+IF(LEFT(G50,LEN("not yet"))="not yet",1,0)+IF(LEFT(G51,LEN("not yet"))="not yet",1,0)+IF(LEFT(G52,LEN("not yet"))="not yet",1,0)&gt;0,"not yet","pass"))</f>
        <v>miss</v>
      </c>
    </row>
    <row r="61" customFormat="false" ht="15" hidden="false" customHeight="false" outlineLevel="0" collapsed="false">
      <c r="A61" s="9" t="s">
        <v>266</v>
      </c>
      <c r="B61" s="18" t="n">
        <f aca="false">C53</f>
        <v>46458</v>
      </c>
      <c r="C61" s="9" t="str">
        <f aca="false">IF(IF(G53="miss",1,0)+IF(G54="miss",1,0)&gt;0,"miss",IF(IF(LEFT(G53,LEN("not yet"))="not yet",1,0)+IF(LEFT(G54,LEN("not yet"))="not yet",1,0)&gt;0,"not yet","pass"))</f>
        <v>miss</v>
      </c>
    </row>
    <row r="63" customFormat="false" ht="15" hidden="false" customHeight="false" outlineLevel="0" collapsed="false">
      <c r="A63" s="3" t="s">
        <v>302</v>
      </c>
      <c r="B63" s="4"/>
      <c r="C63" s="4"/>
      <c r="D63" s="4"/>
      <c r="E63" s="4"/>
      <c r="F63" s="4"/>
      <c r="G63" s="4"/>
      <c r="H63" s="4"/>
      <c r="I63" s="4"/>
    </row>
    <row r="64" customFormat="false" ht="15" hidden="false" customHeight="false" outlineLevel="0" collapsed="false">
      <c r="B64" s="30" t="s">
        <v>303</v>
      </c>
      <c r="C64" s="27" t="str">
        <f aca="false">IF(SUM(Actuals_Campaigns!$AQ$5:$AQ$204)=0,"",SUM(Actuals_Campaigns!$AR$5:$AR$204)/SUM(Actuals_Campaigns!$AQ$5:$AQ$204))</f>
        <v/>
      </c>
    </row>
    <row r="65" customFormat="false" ht="15" hidden="false" customHeight="false" outlineLevel="0" collapsed="false">
      <c r="B65" s="30" t="s">
        <v>304</v>
      </c>
      <c r="C65" s="22" t="n">
        <f aca="false">Pipeline!$AH$13</f>
        <v>0</v>
      </c>
    </row>
    <row r="66" customFormat="false" ht="15" hidden="false" customHeight="false" outlineLevel="0" collapsed="false">
      <c r="B66" s="30" t="s">
        <v>305</v>
      </c>
      <c r="C66" s="22" t="n">
        <f aca="false">COUNTIFS(Drop_PnL!$B$7:$B$18,"&gt;"&amp;Inputs!$C$14,Drop_PnL!$AZ$7:$AZ$18,"Y",Drop_PnL!$N$7:$N$18,1)</f>
        <v>0</v>
      </c>
    </row>
    <row r="67" customFormat="false" ht="15" hidden="false" customHeight="false" outlineLevel="0" collapsed="false">
      <c r="B67" s="30" t="s">
        <v>266</v>
      </c>
      <c r="C67" s="9" t="str">
        <f aca="false">Dashboard!$C$61</f>
        <v>miss</v>
      </c>
    </row>
    <row r="68" customFormat="false" ht="15" hidden="false" customHeight="false" outlineLevel="0" collapsed="false">
      <c r="B68" s="9" t="s">
        <v>306</v>
      </c>
      <c r="C68" s="31" t="str">
        <f aca="false">IF(C64="","not yet: no renewal answers",IF(AND(C67="pass",C64&gt;=Inputs!$C$137),"Scale",IF(AND(C65&gt;=Inputs!$C$138,C64&lt;Inputs!$C$140,C66&gt;=Inputs!$C$141),"Switch to office-paid",IF(AND(C64&gt;=Inputs!$C$140,C64&lt;Inputs!$C$137),"Rule silent: renewal between "&amp;TEXT(Inputs!$C$140,"0%")&amp;" and "&amp;TEXT(Inputs!$C$137,"0%"),IF(AND(C64&lt;Inputs!$C$140,C66&lt;Inputs!$C$141),"not yet: the switch test needs "&amp;(Inputs!$C$141-C66)&amp;" more extra drop(s) with actuals (plan: run two more drops first)",IF(AND(C64&gt;=Inputs!$C$137,C67="not yet"),"not yet: renewal clears the scale bar; Gate 3 is still open",IF(Inputs!$C$17&gt;Inputs!$C$15,"Stop: both tests fail","not yet: stop if nothing changes by the decision date")))))))</f>
        <v>not yet: no renewal answers</v>
      </c>
      <c r="D68" s="31"/>
      <c r="E68" s="31"/>
      <c r="F68" s="31"/>
      <c r="G68" s="31"/>
      <c r="H68" s="31"/>
      <c r="I68" s="31"/>
    </row>
    <row r="69" customFormat="false" ht="30" hidden="false" customHeight="true" outlineLevel="0" collapsed="false">
      <c r="B69" s="32" t="s">
        <v>307</v>
      </c>
      <c r="C69" s="20" t="s">
        <v>308</v>
      </c>
      <c r="D69" s="20"/>
      <c r="E69" s="20"/>
      <c r="F69" s="20"/>
      <c r="G69" s="20"/>
      <c r="H69" s="20"/>
      <c r="I69" s="20"/>
    </row>
    <row r="71" customFormat="false" ht="15" hidden="false" customHeight="false" outlineLevel="0" collapsed="false">
      <c r="B71" s="30" t="s">
        <v>309</v>
      </c>
      <c r="C71" s="27" t="str">
        <f aca="false">IF(SUMIFS(Drop_Actuals!$V$7:$V$18,Drop_PnL!$AZ$7:$AZ$18,"Y")=0,"",SUMIFS(Drop_Actuals!$X$7:$X$18,Drop_PnL!$AZ$7:$AZ$18,"Y")/SUMIFS(Drop_Actuals!$V$7:$V$18,Drop_PnL!$AZ$7:$AZ$18,"Y"))</f>
        <v/>
      </c>
    </row>
    <row r="72" customFormat="false" ht="15" hidden="false" customHeight="false" outlineLevel="0" collapsed="false">
      <c r="B72" s="30" t="s">
        <v>310</v>
      </c>
      <c r="C72" s="22" t="n">
        <f aca="false">COUNTIFS(Drop_PnL!$AZ$7:$AZ$18,"Y",Drop_Actuals!$AG$7:$AG$18,"&lt;"&amp;Inputs!$C$130)</f>
        <v>0</v>
      </c>
    </row>
    <row r="73" customFormat="false" ht="15" hidden="false" customHeight="false" outlineLevel="0" collapsed="false">
      <c r="B73" s="30" t="s">
        <v>311</v>
      </c>
      <c r="C73" s="29" t="str">
        <f aca="false">IF(SUMIFS(Drop_Actuals!$R$7:$R$18,Drop_PnL!$AZ$7:$AZ$18,"Y")&gt;0,SUMIFS(Drop_Actuals!$S$7:$S$18,Drop_PnL!$AZ$7:$AZ$18,"Y")/SUMIFS(Drop_Actuals!$R$7:$R$18,Drop_PnL!$AZ$7:$AZ$18,"Y"),"")</f>
        <v/>
      </c>
    </row>
    <row r="74" customFormat="false" ht="15" hidden="false" customHeight="false" outlineLevel="0" collapsed="false">
      <c r="B74" s="30" t="s">
        <v>312</v>
      </c>
      <c r="C74" s="9" t="str">
        <f aca="false">COUNTIFS(Schedule!$AF$7:$AF$18,"&lt;="&amp;Inputs!$C$17,Schedule!$N$7:$N$18,"Y")&amp;" of "&amp;COUNTIFS(Schedule!$AF$7:$AF$18,"&lt;="&amp;Inputs!$C$17)</f>
        <v>0 of 5</v>
      </c>
      <c r="D74" s="33" t="str">
        <f aca="false">IF(COUNTIFS(Schedule!$AF$7:$AF$18,"&lt;="&amp;Inputs!$C$17)&gt;COUNTIFS(Schedule!$AF$7:$AF$18,"&lt;="&amp;Inputs!$C$17,Schedule!$N$7:$N$18,"Y"),"the three lines above and the pointer below leave out "&amp;(COUNTIFS(Schedule!$AF$7:$AF$18,"&lt;="&amp;Inputs!$C$17)-COUNTIFS(Schedule!$AF$7:$AF$18,"&lt;="&amp;Inputs!$C$17,Schedule!$N$7:$N$18,"Y"))&amp;" drop(s) whose results are due","every drop whose results are due is in")</f>
        <v>the three lines above and the pointer below leave out 5 drop(s) whose results are due</v>
      </c>
      <c r="E74" s="33"/>
      <c r="F74" s="33"/>
      <c r="G74" s="33"/>
      <c r="H74" s="33"/>
      <c r="I74" s="33"/>
    </row>
    <row r="75" customFormat="false" ht="15" hidden="false" customHeight="false" outlineLevel="0" collapsed="false">
      <c r="B75" s="9" t="s">
        <v>313</v>
      </c>
      <c r="C75" s="31" t="str">
        <f aca="false">IF(C71="","not enough data yet",IF(AND(C64&lt;&gt;"",N(C64)=0,C71&lt;Inputs!$C$130),"D: neither converts",IF(C72&gt;=Inputs!$C$142,"C: brands willing, offices unreliable",IF(C64="","not enough data: no renewal answers yet",IF(N(C64)&lt;Inputs!$C$140,"B: brands pay once, offices love it",IF(AND(N(C64)&gt;=Inputs!$C$137,C71&gt;=Inputs!$C$130,N(C73)&gt;=Inputs!$C$136),"A: both sides work","between scenarios: see the rule"))))))&amp;IF(COUNTIFS(Schedule!$AF$7:$AF$18,"&lt;="&amp;Inputs!$C$17)&gt;COUNTIFS(Schedule!$AF$7:$AF$18,"&lt;="&amp;Inputs!$C$17,Schedule!$N$7:$N$18,"Y"),"; "&amp;(COUNTIFS(Schedule!$AF$7:$AF$18,"&lt;="&amp;Inputs!$C$17)-COUNTIFS(Schedule!$AF$7:$AF$18,"&lt;="&amp;Inputs!$C$17,Schedule!$N$7:$N$18,"Y"))&amp;" drop(s) with results due have no actuals yet, so this can change","")</f>
        <v>not enough data yet; 5 drop(s) with results due have no actuals yet, so this can change</v>
      </c>
      <c r="D75" s="31"/>
      <c r="E75" s="31"/>
      <c r="F75" s="31"/>
      <c r="G75" s="31"/>
      <c r="H75" s="31"/>
      <c r="I75" s="31"/>
    </row>
    <row r="78" customFormat="false" ht="15" hidden="false" customHeight="false" outlineLevel="0" collapsed="false">
      <c r="A78" s="3" t="s">
        <v>314</v>
      </c>
      <c r="B78" s="4"/>
      <c r="C78" s="4"/>
      <c r="D78" s="4"/>
      <c r="E78" s="4"/>
      <c r="F78" s="4"/>
      <c r="G78" s="4"/>
      <c r="H78" s="4"/>
      <c r="I78" s="4"/>
    </row>
    <row r="79" customFormat="false" ht="21.75" hidden="false" customHeight="true" outlineLevel="0" collapsed="false">
      <c r="B79" s="12" t="s">
        <v>315</v>
      </c>
      <c r="C79" s="12" t="s">
        <v>316</v>
      </c>
      <c r="D79" s="12" t="s">
        <v>317</v>
      </c>
      <c r="E79" s="12" t="s">
        <v>318</v>
      </c>
      <c r="F79" s="12" t="s">
        <v>276</v>
      </c>
    </row>
    <row r="80" customFormat="false" ht="15" hidden="false" customHeight="false" outlineLevel="0" collapsed="false">
      <c r="B80" s="30" t="s">
        <v>319</v>
      </c>
      <c r="C80" s="21" t="n">
        <f aca="false">Inputs!$C$143</f>
        <v>6</v>
      </c>
      <c r="D80" s="21" t="n">
        <f aca="false">SUMIFS(Drop_PnL!$G$7:$G$18,Drop_PnL!$B$7:$B$18,"&lt;="&amp;Cash_Flow!$AB$6)</f>
        <v>14</v>
      </c>
      <c r="E80" s="22" t="n">
        <f aca="false">COUNTIF(Actuals_Campaigns!$R$5:$R$204,"&gt;0")</f>
        <v>0</v>
      </c>
      <c r="F80" s="6" t="str">
        <f aca="false">IF(E80="",IF(Inputs!$C$17&gt;Inputs!$C$15,"miss","not yet"),IF(E80&gt;=C80,"pass",IF(Inputs!$C$17&gt;Inputs!$C$15,"miss","not yet")))</f>
        <v>miss</v>
      </c>
    </row>
    <row r="81" customFormat="false" ht="15" hidden="false" customHeight="false" outlineLevel="0" collapsed="false">
      <c r="B81" s="30" t="s">
        <v>320</v>
      </c>
      <c r="C81" s="21" t="n">
        <f aca="false">Inputs!$C$144</f>
        <v>2</v>
      </c>
      <c r="D81" s="21" t="n">
        <f aca="false">SUMIFS(Drop_PnL!$H$7:$H$18,Drop_PnL!$B$7:$B$18,"&lt;="&amp;Cash_Flow!$AB$6)</f>
        <v>2</v>
      </c>
      <c r="E81" s="22" t="n">
        <f aca="false">COUNTIF(Actuals_Campaigns!$W$5:$W$204,"Y")</f>
        <v>0</v>
      </c>
      <c r="F81" s="6" t="str">
        <f aca="false">IF(E81="",IF(Inputs!$C$17&gt;Inputs!$C$15,"miss","not yet"),IF(E81&gt;=C81,"pass",IF(Inputs!$C$17&gt;Inputs!$C$15,"miss","not yet")))</f>
        <v>miss</v>
      </c>
    </row>
    <row r="82" customFormat="false" ht="15" hidden="false" customHeight="false" outlineLevel="0" collapsed="false">
      <c r="B82" s="30" t="s">
        <v>321</v>
      </c>
      <c r="C82" s="21" t="n">
        <f aca="false">Inputs!$C$145</f>
        <v>12</v>
      </c>
      <c r="D82" s="21" t="n">
        <f aca="false">SUMIFS(Drop_PnL!$F$7:$F$18,Drop_PnL!$B$7:$B$18,"&lt;="&amp;Cash_Flow!$AB$6,Drop_PnL!$N$7:$N$18,1)</f>
        <v>12</v>
      </c>
      <c r="E82" s="22" t="n">
        <f aca="false">Pipeline!$AH$24</f>
        <v>0</v>
      </c>
      <c r="F82" s="6" t="str">
        <f aca="false">IF(E82="",IF(Inputs!$C$17&gt;Inputs!$C$15,"miss","not yet"),IF(E82&gt;=C82,"pass",IF(Inputs!$C$17&gt;Inputs!$C$15,"miss","not yet")))</f>
        <v>miss</v>
      </c>
    </row>
    <row r="83" customFormat="false" ht="45" hidden="false" customHeight="true" outlineLevel="0" collapsed="false">
      <c r="B83" s="30" t="s">
        <v>297</v>
      </c>
      <c r="C83" s="28" t="n">
        <f aca="false">Inputs!$C$136</f>
        <v>50</v>
      </c>
      <c r="D83" s="28" t="n">
        <f aca="false">E54</f>
        <v>61.28</v>
      </c>
      <c r="E83" s="29" t="str">
        <f aca="false">F54</f>
        <v/>
      </c>
      <c r="F83" s="6" t="str">
        <f aca="false">IF(AND(D55&gt;0,F55&lt;D55),"not yet: "&amp;(D55-F55)&amp;" standard run(s) without actuals",IF(E83="",IF(Inputs!$C$17&gt;Inputs!$C$15,"miss","not yet"),IF(E83&gt;=C83,"pass",IF(Inputs!$C$17&gt;Inputs!$C$15,"miss","not yet"))))</f>
        <v>not yet: 2 standard run(s) without actuals</v>
      </c>
    </row>
    <row r="86" customFormat="false" ht="15" hidden="false" customHeight="false" outlineLevel="0" collapsed="false">
      <c r="A86" s="3" t="s">
        <v>322</v>
      </c>
      <c r="B86" s="4"/>
      <c r="C86" s="4"/>
      <c r="D86" s="4"/>
      <c r="E86" s="4"/>
      <c r="F86" s="4"/>
      <c r="G86" s="4"/>
      <c r="H86" s="4"/>
      <c r="I86" s="4"/>
      <c r="J86" s="34" t="s">
        <v>323</v>
      </c>
      <c r="K86" s="4"/>
      <c r="L86" s="35" t="n">
        <f aca="false">Inputs!$C$136</f>
        <v>50</v>
      </c>
    </row>
    <row r="87" customFormat="false" ht="30" hidden="false" customHeight="true" outlineLevel="0" collapsed="false">
      <c r="A87" s="12" t="s">
        <v>324</v>
      </c>
      <c r="B87" s="12" t="s">
        <v>325</v>
      </c>
      <c r="C87" s="12" t="s">
        <v>326</v>
      </c>
      <c r="D87" s="12" t="s">
        <v>327</v>
      </c>
      <c r="E87" s="12" t="s">
        <v>328</v>
      </c>
      <c r="F87" s="12" t="s">
        <v>329</v>
      </c>
      <c r="G87" s="12" t="s">
        <v>330</v>
      </c>
      <c r="H87" s="12" t="s">
        <v>331</v>
      </c>
      <c r="I87" s="12" t="s">
        <v>332</v>
      </c>
      <c r="J87" s="12" t="s">
        <v>333</v>
      </c>
      <c r="K87" s="12" t="s">
        <v>334</v>
      </c>
      <c r="L87" s="12" t="s">
        <v>335</v>
      </c>
    </row>
    <row r="88" customFormat="false" ht="15" hidden="false" customHeight="false" outlineLevel="0" collapsed="false">
      <c r="A88" s="30" t="str">
        <f aca="false">IF(Drop_PnL!B7="","",Drop_PnL!A7)</f>
        <v>DRP-001</v>
      </c>
      <c r="B88" s="30" t="str">
        <f aca="false">IF(Drop_PnL!B7="","",Schedule!B7&amp;"")</f>
        <v>Campaign zero (founding)</v>
      </c>
      <c r="C88" s="18" t="n">
        <f aca="false">IF(Drop_PnL!B7="","",Drop_PnL!B7)</f>
        <v>46399</v>
      </c>
      <c r="D88" s="30" t="str">
        <f aca="false">Drop_PnL!BF7</f>
        <v>plan</v>
      </c>
      <c r="E88" s="30" t="str">
        <f aca="false">IF(Drop_PnL!B7="","",Drop_PnL!C7)</f>
        <v>founder</v>
      </c>
      <c r="F88" s="30" t="n">
        <f aca="false">IF(Drop_PnL!B7="","",Drop_PnL!G7)</f>
        <v>2</v>
      </c>
      <c r="G88" s="21" t="n">
        <f aca="false">IF(Drop_PnL!B7="","",Drop_PnL!E7)</f>
        <v>5</v>
      </c>
      <c r="H88" s="19" t="n">
        <f aca="false">IF(Drop_PnL!B7="","",Drop_PnL!BA7)</f>
        <v>1200</v>
      </c>
      <c r="I88" s="19" t="n">
        <f aca="false">IF(Drop_PnL!B7="","",Drop_PnL!BB7)</f>
        <v>276</v>
      </c>
      <c r="J88" s="36" t="n">
        <f aca="false">IF(Drop_PnL!B7="","",Drop_PnL!BC7)</f>
        <v>57</v>
      </c>
      <c r="K88" s="19" t="n">
        <f aca="false">IF(Drop_PnL!B7="","",Drop_PnL!BD7)</f>
        <v>924</v>
      </c>
      <c r="L88" s="29" t="n">
        <f aca="false">IF(Drop_PnL!B7="","",Drop_PnL!BE7)</f>
        <v>16.2105263157895</v>
      </c>
    </row>
    <row r="89" customFormat="false" ht="15" hidden="false" customHeight="false" outlineLevel="0" collapsed="false">
      <c r="A89" s="30" t="str">
        <f aca="false">IF(Drop_PnL!B8="","",Drop_PnL!A8)</f>
        <v>DRP-002</v>
      </c>
      <c r="B89" s="30" t="str">
        <f aca="false">IF(Drop_PnL!B8="","",Schedule!B8&amp;"")</f>
        <v>Standard run 1</v>
      </c>
      <c r="C89" s="18" t="n">
        <f aca="false">IF(Drop_PnL!B8="","",Drop_PnL!B8)</f>
        <v>46427</v>
      </c>
      <c r="D89" s="30" t="str">
        <f aca="false">Drop_PnL!BF8</f>
        <v>plan</v>
      </c>
      <c r="E89" s="30" t="str">
        <f aca="false">IF(Drop_PnL!B8="","",Drop_PnL!C8)</f>
        <v>courier</v>
      </c>
      <c r="F89" s="30" t="n">
        <f aca="false">IF(Drop_PnL!B8="","",Drop_PnL!G8)</f>
        <v>3</v>
      </c>
      <c r="G89" s="21" t="n">
        <f aca="false">IF(Drop_PnL!B8="","",Drop_PnL!E8)</f>
        <v>10</v>
      </c>
      <c r="H89" s="19" t="n">
        <f aca="false">IF(Drop_PnL!B8="","",Drop_PnL!BA8)</f>
        <v>4500</v>
      </c>
      <c r="I89" s="19" t="n">
        <f aca="false">IF(Drop_PnL!B8="","",Drop_PnL!BB8)</f>
        <v>670</v>
      </c>
      <c r="J89" s="36" t="n">
        <f aca="false">IF(Drop_PnL!B8="","",Drop_PnL!BC8)</f>
        <v>67</v>
      </c>
      <c r="K89" s="19" t="n">
        <f aca="false">IF(Drop_PnL!B8="","",Drop_PnL!BD8)</f>
        <v>3830</v>
      </c>
      <c r="L89" s="29" t="n">
        <f aca="false">IF(Drop_PnL!B8="","",Drop_PnL!BE8)</f>
        <v>57.1641791044776</v>
      </c>
    </row>
    <row r="90" customFormat="false" ht="15" hidden="false" customHeight="false" outlineLevel="0" collapsed="false">
      <c r="A90" s="30" t="str">
        <f aca="false">IF(Drop_PnL!B9="","",Drop_PnL!A9)</f>
        <v>DRP-003</v>
      </c>
      <c r="B90" s="30" t="str">
        <f aca="false">IF(Drop_PnL!B9="","",Schedule!B9&amp;"")</f>
        <v>Standard run 2</v>
      </c>
      <c r="C90" s="18" t="n">
        <f aca="false">IF(Drop_PnL!B9="","",Drop_PnL!B9)</f>
        <v>46441</v>
      </c>
      <c r="D90" s="30" t="str">
        <f aca="false">Drop_PnL!BF9</f>
        <v>plan</v>
      </c>
      <c r="E90" s="30" t="str">
        <f aca="false">IF(Drop_PnL!B9="","",Drop_PnL!C9)</f>
        <v>courier</v>
      </c>
      <c r="F90" s="30" t="n">
        <f aca="false">IF(Drop_PnL!B9="","",Drop_PnL!G9)</f>
        <v>3</v>
      </c>
      <c r="G90" s="21" t="n">
        <f aca="false">IF(Drop_PnL!B9="","",Drop_PnL!E9)</f>
        <v>10</v>
      </c>
      <c r="H90" s="19" t="n">
        <f aca="false">IF(Drop_PnL!B9="","",Drop_PnL!BA9)</f>
        <v>4500</v>
      </c>
      <c r="I90" s="19" t="n">
        <f aca="false">IF(Drop_PnL!B9="","",Drop_PnL!BB9)</f>
        <v>670</v>
      </c>
      <c r="J90" s="36" t="n">
        <f aca="false">IF(Drop_PnL!B9="","",Drop_PnL!BC9)</f>
        <v>58</v>
      </c>
      <c r="K90" s="19" t="n">
        <f aca="false">IF(Drop_PnL!B9="","",Drop_PnL!BD9)</f>
        <v>3830</v>
      </c>
      <c r="L90" s="29" t="n">
        <f aca="false">IF(Drop_PnL!B9="","",Drop_PnL!BE9)</f>
        <v>66.0344827586207</v>
      </c>
    </row>
    <row r="91" customFormat="false" ht="15" hidden="false" customHeight="false" outlineLevel="0" collapsed="false">
      <c r="A91" s="30" t="str">
        <f aca="false">IF(Drop_PnL!B10="","",Drop_PnL!A10)</f>
        <v>DRP-004</v>
      </c>
      <c r="B91" s="30" t="str">
        <f aca="false">IF(Drop_PnL!B10="","",Schedule!B10&amp;"")</f>
        <v>Decision window drop 1</v>
      </c>
      <c r="C91" s="18" t="n">
        <f aca="false">IF(Drop_PnL!B10="","",Drop_PnL!B10)</f>
        <v>46469</v>
      </c>
      <c r="D91" s="30" t="str">
        <f aca="false">Drop_PnL!BF10</f>
        <v>plan</v>
      </c>
      <c r="E91" s="30" t="str">
        <f aca="false">IF(Drop_PnL!B10="","",Drop_PnL!C10)</f>
        <v>direct-ship</v>
      </c>
      <c r="F91" s="30" t="n">
        <f aca="false">IF(Drop_PnL!B10="","",Drop_PnL!G10)</f>
        <v>3</v>
      </c>
      <c r="G91" s="21" t="n">
        <f aca="false">IF(Drop_PnL!B10="","",Drop_PnL!E10)</f>
        <v>10</v>
      </c>
      <c r="H91" s="19" t="n">
        <f aca="false">IF(Drop_PnL!B10="","",Drop_PnL!BA10)</f>
        <v>4500</v>
      </c>
      <c r="I91" s="19" t="n">
        <f aca="false">IF(Drop_PnL!B10="","",Drop_PnL!BB10)</f>
        <v>370</v>
      </c>
      <c r="J91" s="36" t="n">
        <f aca="false">IF(Drop_PnL!B10="","",Drop_PnL!BC10)</f>
        <v>41</v>
      </c>
      <c r="K91" s="19" t="n">
        <f aca="false">IF(Drop_PnL!B10="","",Drop_PnL!BD10)</f>
        <v>4130</v>
      </c>
      <c r="L91" s="29" t="n">
        <f aca="false">IF(Drop_PnL!B10="","",Drop_PnL!BE10)</f>
        <v>100.731707317073</v>
      </c>
    </row>
    <row r="92" customFormat="false" ht="15" hidden="false" customHeight="false" outlineLevel="0" collapsed="false">
      <c r="A92" s="30" t="str">
        <f aca="false">IF(Drop_PnL!B11="","",Drop_PnL!A11)</f>
        <v>DRP-005</v>
      </c>
      <c r="B92" s="30" t="str">
        <f aca="false">IF(Drop_PnL!B11="","",Schedule!B11&amp;"")</f>
        <v>Decision window drop 2</v>
      </c>
      <c r="C92" s="18" t="n">
        <f aca="false">IF(Drop_PnL!B11="","",Drop_PnL!B11)</f>
        <v>46483</v>
      </c>
      <c r="D92" s="30" t="str">
        <f aca="false">Drop_PnL!BF11</f>
        <v>plan</v>
      </c>
      <c r="E92" s="30" t="str">
        <f aca="false">IF(Drop_PnL!B11="","",Drop_PnL!C11)</f>
        <v>direct-ship</v>
      </c>
      <c r="F92" s="30" t="n">
        <f aca="false">IF(Drop_PnL!B11="","",Drop_PnL!G11)</f>
        <v>3</v>
      </c>
      <c r="G92" s="21" t="n">
        <f aca="false">IF(Drop_PnL!B11="","",Drop_PnL!E11)</f>
        <v>10</v>
      </c>
      <c r="H92" s="19" t="n">
        <f aca="false">IF(Drop_PnL!B11="","",Drop_PnL!BA11)</f>
        <v>4500</v>
      </c>
      <c r="I92" s="19" t="n">
        <f aca="false">IF(Drop_PnL!B11="","",Drop_PnL!BB11)</f>
        <v>370</v>
      </c>
      <c r="J92" s="36" t="n">
        <f aca="false">IF(Drop_PnL!B11="","",Drop_PnL!BC11)</f>
        <v>41</v>
      </c>
      <c r="K92" s="19" t="n">
        <f aca="false">IF(Drop_PnL!B11="","",Drop_PnL!BD11)</f>
        <v>4130</v>
      </c>
      <c r="L92" s="29" t="n">
        <f aca="false">IF(Drop_PnL!B11="","",Drop_PnL!BE11)</f>
        <v>100.731707317073</v>
      </c>
    </row>
    <row r="93" customFormat="false" ht="15" hidden="false" customHeight="false" outlineLevel="0" collapsed="false">
      <c r="A93" s="30" t="str">
        <f aca="false">IF(Drop_PnL!B12="","",Drop_PnL!A12)</f>
        <v/>
      </c>
      <c r="B93" s="30" t="str">
        <f aca="false">IF(Drop_PnL!B12="","",Schedule!B12&amp;"")</f>
        <v/>
      </c>
      <c r="C93" s="18" t="str">
        <f aca="false">IF(Drop_PnL!B12="","",Drop_PnL!B12)</f>
        <v/>
      </c>
      <c r="D93" s="30" t="str">
        <f aca="false">Drop_PnL!BF12</f>
        <v/>
      </c>
      <c r="E93" s="30" t="str">
        <f aca="false">IF(Drop_PnL!B12="","",Drop_PnL!C12)</f>
        <v/>
      </c>
      <c r="F93" s="30" t="str">
        <f aca="false">IF(Drop_PnL!B12="","",Drop_PnL!G12)</f>
        <v/>
      </c>
      <c r="G93" s="21" t="str">
        <f aca="false">IF(Drop_PnL!B12="","",Drop_PnL!E12)</f>
        <v/>
      </c>
      <c r="H93" s="19" t="str">
        <f aca="false">IF(Drop_PnL!B12="","",Drop_PnL!BA12)</f>
        <v/>
      </c>
      <c r="I93" s="19" t="str">
        <f aca="false">IF(Drop_PnL!B12="","",Drop_PnL!BB12)</f>
        <v/>
      </c>
      <c r="J93" s="36" t="str">
        <f aca="false">IF(Drop_PnL!B12="","",Drop_PnL!BC12)</f>
        <v/>
      </c>
      <c r="K93" s="19" t="str">
        <f aca="false">IF(Drop_PnL!B12="","",Drop_PnL!BD12)</f>
        <v/>
      </c>
      <c r="L93" s="29" t="str">
        <f aca="false">IF(Drop_PnL!B12="","",Drop_PnL!BE12)</f>
        <v/>
      </c>
    </row>
    <row r="94" customFormat="false" ht="15" hidden="false" customHeight="false" outlineLevel="0" collapsed="false">
      <c r="A94" s="30" t="str">
        <f aca="false">IF(Drop_PnL!B13="","",Drop_PnL!A13)</f>
        <v/>
      </c>
      <c r="B94" s="30" t="str">
        <f aca="false">IF(Drop_PnL!B13="","",Schedule!B13&amp;"")</f>
        <v/>
      </c>
      <c r="C94" s="18" t="str">
        <f aca="false">IF(Drop_PnL!B13="","",Drop_PnL!B13)</f>
        <v/>
      </c>
      <c r="D94" s="30" t="str">
        <f aca="false">Drop_PnL!BF13</f>
        <v/>
      </c>
      <c r="E94" s="30" t="str">
        <f aca="false">IF(Drop_PnL!B13="","",Drop_PnL!C13)</f>
        <v/>
      </c>
      <c r="F94" s="30" t="str">
        <f aca="false">IF(Drop_PnL!B13="","",Drop_PnL!G13)</f>
        <v/>
      </c>
      <c r="G94" s="21" t="str">
        <f aca="false">IF(Drop_PnL!B13="","",Drop_PnL!E13)</f>
        <v/>
      </c>
      <c r="H94" s="19" t="str">
        <f aca="false">IF(Drop_PnL!B13="","",Drop_PnL!BA13)</f>
        <v/>
      </c>
      <c r="I94" s="19" t="str">
        <f aca="false">IF(Drop_PnL!B13="","",Drop_PnL!BB13)</f>
        <v/>
      </c>
      <c r="J94" s="36" t="str">
        <f aca="false">IF(Drop_PnL!B13="","",Drop_PnL!BC13)</f>
        <v/>
      </c>
      <c r="K94" s="19" t="str">
        <f aca="false">IF(Drop_PnL!B13="","",Drop_PnL!BD13)</f>
        <v/>
      </c>
      <c r="L94" s="29" t="str">
        <f aca="false">IF(Drop_PnL!B13="","",Drop_PnL!BE13)</f>
        <v/>
      </c>
    </row>
    <row r="95" customFormat="false" ht="15" hidden="false" customHeight="false" outlineLevel="0" collapsed="false">
      <c r="A95" s="30" t="str">
        <f aca="false">IF(Drop_PnL!B14="","",Drop_PnL!A14)</f>
        <v/>
      </c>
      <c r="B95" s="30" t="str">
        <f aca="false">IF(Drop_PnL!B14="","",Schedule!B14&amp;"")</f>
        <v/>
      </c>
      <c r="C95" s="18" t="str">
        <f aca="false">IF(Drop_PnL!B14="","",Drop_PnL!B14)</f>
        <v/>
      </c>
      <c r="D95" s="30" t="str">
        <f aca="false">Drop_PnL!BF14</f>
        <v/>
      </c>
      <c r="E95" s="30" t="str">
        <f aca="false">IF(Drop_PnL!B14="","",Drop_PnL!C14)</f>
        <v/>
      </c>
      <c r="F95" s="30" t="str">
        <f aca="false">IF(Drop_PnL!B14="","",Drop_PnL!G14)</f>
        <v/>
      </c>
      <c r="G95" s="21" t="str">
        <f aca="false">IF(Drop_PnL!B14="","",Drop_PnL!E14)</f>
        <v/>
      </c>
      <c r="H95" s="19" t="str">
        <f aca="false">IF(Drop_PnL!B14="","",Drop_PnL!BA14)</f>
        <v/>
      </c>
      <c r="I95" s="19" t="str">
        <f aca="false">IF(Drop_PnL!B14="","",Drop_PnL!BB14)</f>
        <v/>
      </c>
      <c r="J95" s="36" t="str">
        <f aca="false">IF(Drop_PnL!B14="","",Drop_PnL!BC14)</f>
        <v/>
      </c>
      <c r="K95" s="19" t="str">
        <f aca="false">IF(Drop_PnL!B14="","",Drop_PnL!BD14)</f>
        <v/>
      </c>
      <c r="L95" s="29" t="str">
        <f aca="false">IF(Drop_PnL!B14="","",Drop_PnL!BE14)</f>
        <v/>
      </c>
    </row>
    <row r="96" customFormat="false" ht="15" hidden="false" customHeight="false" outlineLevel="0" collapsed="false">
      <c r="A96" s="30" t="str">
        <f aca="false">IF(Drop_PnL!B15="","",Drop_PnL!A15)</f>
        <v/>
      </c>
      <c r="B96" s="30" t="str">
        <f aca="false">IF(Drop_PnL!B15="","",Schedule!B15&amp;"")</f>
        <v/>
      </c>
      <c r="C96" s="18" t="str">
        <f aca="false">IF(Drop_PnL!B15="","",Drop_PnL!B15)</f>
        <v/>
      </c>
      <c r="D96" s="30" t="str">
        <f aca="false">Drop_PnL!BF15</f>
        <v/>
      </c>
      <c r="E96" s="30" t="str">
        <f aca="false">IF(Drop_PnL!B15="","",Drop_PnL!C15)</f>
        <v/>
      </c>
      <c r="F96" s="30" t="str">
        <f aca="false">IF(Drop_PnL!B15="","",Drop_PnL!G15)</f>
        <v/>
      </c>
      <c r="G96" s="21" t="str">
        <f aca="false">IF(Drop_PnL!B15="","",Drop_PnL!E15)</f>
        <v/>
      </c>
      <c r="H96" s="19" t="str">
        <f aca="false">IF(Drop_PnL!B15="","",Drop_PnL!BA15)</f>
        <v/>
      </c>
      <c r="I96" s="19" t="str">
        <f aca="false">IF(Drop_PnL!B15="","",Drop_PnL!BB15)</f>
        <v/>
      </c>
      <c r="J96" s="36" t="str">
        <f aca="false">IF(Drop_PnL!B15="","",Drop_PnL!BC15)</f>
        <v/>
      </c>
      <c r="K96" s="19" t="str">
        <f aca="false">IF(Drop_PnL!B15="","",Drop_PnL!BD15)</f>
        <v/>
      </c>
      <c r="L96" s="29" t="str">
        <f aca="false">IF(Drop_PnL!B15="","",Drop_PnL!BE15)</f>
        <v/>
      </c>
    </row>
    <row r="97" customFormat="false" ht="15" hidden="false" customHeight="false" outlineLevel="0" collapsed="false">
      <c r="A97" s="30" t="str">
        <f aca="false">IF(Drop_PnL!B16="","",Drop_PnL!A16)</f>
        <v/>
      </c>
      <c r="B97" s="30" t="str">
        <f aca="false">IF(Drop_PnL!B16="","",Schedule!B16&amp;"")</f>
        <v/>
      </c>
      <c r="C97" s="18" t="str">
        <f aca="false">IF(Drop_PnL!B16="","",Drop_PnL!B16)</f>
        <v/>
      </c>
      <c r="D97" s="30" t="str">
        <f aca="false">Drop_PnL!BF16</f>
        <v/>
      </c>
      <c r="E97" s="30" t="str">
        <f aca="false">IF(Drop_PnL!B16="","",Drop_PnL!C16)</f>
        <v/>
      </c>
      <c r="F97" s="30" t="str">
        <f aca="false">IF(Drop_PnL!B16="","",Drop_PnL!G16)</f>
        <v/>
      </c>
      <c r="G97" s="21" t="str">
        <f aca="false">IF(Drop_PnL!B16="","",Drop_PnL!E16)</f>
        <v/>
      </c>
      <c r="H97" s="19" t="str">
        <f aca="false">IF(Drop_PnL!B16="","",Drop_PnL!BA16)</f>
        <v/>
      </c>
      <c r="I97" s="19" t="str">
        <f aca="false">IF(Drop_PnL!B16="","",Drop_PnL!BB16)</f>
        <v/>
      </c>
      <c r="J97" s="36" t="str">
        <f aca="false">IF(Drop_PnL!B16="","",Drop_PnL!BC16)</f>
        <v/>
      </c>
      <c r="K97" s="19" t="str">
        <f aca="false">IF(Drop_PnL!B16="","",Drop_PnL!BD16)</f>
        <v/>
      </c>
      <c r="L97" s="29" t="str">
        <f aca="false">IF(Drop_PnL!B16="","",Drop_PnL!BE16)</f>
        <v/>
      </c>
    </row>
    <row r="98" customFormat="false" ht="15" hidden="false" customHeight="false" outlineLevel="0" collapsed="false">
      <c r="A98" s="30" t="str">
        <f aca="false">IF(Drop_PnL!B17="","",Drop_PnL!A17)</f>
        <v/>
      </c>
      <c r="B98" s="30" t="str">
        <f aca="false">IF(Drop_PnL!B17="","",Schedule!B17&amp;"")</f>
        <v/>
      </c>
      <c r="C98" s="18" t="str">
        <f aca="false">IF(Drop_PnL!B17="","",Drop_PnL!B17)</f>
        <v/>
      </c>
      <c r="D98" s="30" t="str">
        <f aca="false">Drop_PnL!BF17</f>
        <v/>
      </c>
      <c r="E98" s="30" t="str">
        <f aca="false">IF(Drop_PnL!B17="","",Drop_PnL!C17)</f>
        <v/>
      </c>
      <c r="F98" s="30" t="str">
        <f aca="false">IF(Drop_PnL!B17="","",Drop_PnL!G17)</f>
        <v/>
      </c>
      <c r="G98" s="21" t="str">
        <f aca="false">IF(Drop_PnL!B17="","",Drop_PnL!E17)</f>
        <v/>
      </c>
      <c r="H98" s="19" t="str">
        <f aca="false">IF(Drop_PnL!B17="","",Drop_PnL!BA17)</f>
        <v/>
      </c>
      <c r="I98" s="19" t="str">
        <f aca="false">IF(Drop_PnL!B17="","",Drop_PnL!BB17)</f>
        <v/>
      </c>
      <c r="J98" s="36" t="str">
        <f aca="false">IF(Drop_PnL!B17="","",Drop_PnL!BC17)</f>
        <v/>
      </c>
      <c r="K98" s="19" t="str">
        <f aca="false">IF(Drop_PnL!B17="","",Drop_PnL!BD17)</f>
        <v/>
      </c>
      <c r="L98" s="29" t="str">
        <f aca="false">IF(Drop_PnL!B17="","",Drop_PnL!BE17)</f>
        <v/>
      </c>
    </row>
    <row r="99" customFormat="false" ht="15" hidden="false" customHeight="false" outlineLevel="0" collapsed="false">
      <c r="A99" s="30" t="str">
        <f aca="false">IF(Drop_PnL!B18="","",Drop_PnL!A18)</f>
        <v/>
      </c>
      <c r="B99" s="30" t="str">
        <f aca="false">IF(Drop_PnL!B18="","",Schedule!B18&amp;"")</f>
        <v/>
      </c>
      <c r="C99" s="18" t="str">
        <f aca="false">IF(Drop_PnL!B18="","",Drop_PnL!B18)</f>
        <v/>
      </c>
      <c r="D99" s="30" t="str">
        <f aca="false">Drop_PnL!BF18</f>
        <v/>
      </c>
      <c r="E99" s="30" t="str">
        <f aca="false">IF(Drop_PnL!B18="","",Drop_PnL!C18)</f>
        <v/>
      </c>
      <c r="F99" s="30" t="str">
        <f aca="false">IF(Drop_PnL!B18="","",Drop_PnL!G18)</f>
        <v/>
      </c>
      <c r="G99" s="21" t="str">
        <f aca="false">IF(Drop_PnL!B18="","",Drop_PnL!E18)</f>
        <v/>
      </c>
      <c r="H99" s="19" t="str">
        <f aca="false">IF(Drop_PnL!B18="","",Drop_PnL!BA18)</f>
        <v/>
      </c>
      <c r="I99" s="19" t="str">
        <f aca="false">IF(Drop_PnL!B18="","",Drop_PnL!BB18)</f>
        <v/>
      </c>
      <c r="J99" s="36" t="str">
        <f aca="false">IF(Drop_PnL!B18="","",Drop_PnL!BC18)</f>
        <v/>
      </c>
      <c r="K99" s="19" t="str">
        <f aca="false">IF(Drop_PnL!B18="","",Drop_PnL!BD18)</f>
        <v/>
      </c>
      <c r="L99" s="29" t="str">
        <f aca="false">IF(Drop_PnL!B18="","",Drop_PnL!BE18)</f>
        <v/>
      </c>
    </row>
    <row r="100" customFormat="false" ht="15" hidden="false" customHeight="false" outlineLevel="0" collapsed="false">
      <c r="A100" s="9" t="s">
        <v>336</v>
      </c>
      <c r="F100" s="9" t="n">
        <f aca="false">SUM(F88:F99)</f>
        <v>14</v>
      </c>
      <c r="G100" s="22" t="n">
        <f aca="false">SUM(G88:G99)</f>
        <v>45</v>
      </c>
      <c r="H100" s="37" t="n">
        <f aca="false">SUM(H88:H99)</f>
        <v>19200</v>
      </c>
      <c r="I100" s="37" t="n">
        <f aca="false">SUM(I88:I99)</f>
        <v>2356</v>
      </c>
      <c r="J100" s="38" t="n">
        <f aca="false">SUM(J88:J99)</f>
        <v>264</v>
      </c>
      <c r="K100" s="37" t="n">
        <f aca="false">SUM(K88:K99)</f>
        <v>16844</v>
      </c>
      <c r="L100" s="29" t="n">
        <f aca="false">IF(J100&gt;0,K100/J100,"n/a")</f>
        <v>63.8030303030303</v>
      </c>
    </row>
    <row r="102" customFormat="false" ht="15" hidden="false" customHeight="false" outlineLevel="0" collapsed="false">
      <c r="A102" s="32" t="s">
        <v>337</v>
      </c>
    </row>
  </sheetData>
  <mergeCells count="43">
    <mergeCell ref="A3:I3"/>
    <mergeCell ref="G5:J5"/>
    <mergeCell ref="D9:I9"/>
    <mergeCell ref="D10:I10"/>
    <mergeCell ref="D11:I11"/>
    <mergeCell ref="D12:I12"/>
    <mergeCell ref="D13:I13"/>
    <mergeCell ref="D14:I14"/>
    <mergeCell ref="D15:I15"/>
    <mergeCell ref="D16:I16"/>
    <mergeCell ref="D17:I17"/>
    <mergeCell ref="D18:I18"/>
    <mergeCell ref="D19:I19"/>
    <mergeCell ref="D20:I20"/>
    <mergeCell ref="D21:I21"/>
    <mergeCell ref="D22:I22"/>
    <mergeCell ref="D23:I23"/>
    <mergeCell ref="D24:I24"/>
    <mergeCell ref="D25:I25"/>
    <mergeCell ref="D26:I26"/>
    <mergeCell ref="D27:I27"/>
    <mergeCell ref="D28:I28"/>
    <mergeCell ref="D29:I29"/>
    <mergeCell ref="B38:I38"/>
    <mergeCell ref="H41:K41"/>
    <mergeCell ref="H42:K42"/>
    <mergeCell ref="H43:K43"/>
    <mergeCell ref="H44:K44"/>
    <mergeCell ref="H45:K45"/>
    <mergeCell ref="H46:K46"/>
    <mergeCell ref="H47:K47"/>
    <mergeCell ref="H48:K48"/>
    <mergeCell ref="H49:K49"/>
    <mergeCell ref="H50:K50"/>
    <mergeCell ref="H51:K51"/>
    <mergeCell ref="H52:K52"/>
    <mergeCell ref="H53:K53"/>
    <mergeCell ref="H54:K54"/>
    <mergeCell ref="H55:K55"/>
    <mergeCell ref="C68:I68"/>
    <mergeCell ref="C69:I69"/>
    <mergeCell ref="D74:I74"/>
    <mergeCell ref="C75:I75"/>
  </mergeCells>
  <conditionalFormatting sqref="G5">
    <cfRule type="cellIs" priority="2" operator="equal" aboveAverage="0" equalAverage="0" bottom="0" percent="0" rank="0" text="" dxfId="0">
      <formula>"all integrity and data checks pass"</formula>
    </cfRule>
    <cfRule type="expression" priority="3" aboveAverage="0" equalAverage="0" bottom="0" percent="0" rank="0" text="" dxfId="1">
      <formula>AND(G5&lt;&gt;"",G5&lt;&gt;"all integrity and data checks pass")</formula>
    </cfRule>
  </conditionalFormatting>
  <conditionalFormatting sqref="G42:G55">
    <cfRule type="cellIs" priority="4" operator="equal" aboveAverage="0" equalAverage="0" bottom="0" percent="0" rank="0" text="" dxfId="2">
      <formula>"pass"</formula>
    </cfRule>
    <cfRule type="cellIs" priority="5" operator="equal" aboveAverage="0" equalAverage="0" bottom="0" percent="0" rank="0" text="" dxfId="1">
      <formula>"miss"</formula>
    </cfRule>
    <cfRule type="cellIs" priority="6" operator="equal" aboveAverage="0" equalAverage="0" bottom="0" percent="0" rank="0" text="" dxfId="3">
      <formula>"not yet"</formula>
    </cfRule>
    <cfRule type="expression" priority="7" aboveAverage="0" equalAverage="0" bottom="0" percent="0" rank="0" text="" dxfId="3">
      <formula>LEFT(G42,LEN("not yet"))="not yet"</formula>
    </cfRule>
    <cfRule type="cellIs" priority="8" operator="equal" aboveAverage="0" equalAverage="0" bottom="0" percent="0" rank="0" text="" dxfId="0">
      <formula>"complete"</formula>
    </cfRule>
  </conditionalFormatting>
  <conditionalFormatting sqref="G55">
    <cfRule type="expression" priority="9" aboveAverage="0" equalAverage="0" bottom="0" percent="0" rank="0" text="" dxfId="4">
      <formula>AND(G55&lt;&gt;"",G55&lt;&gt;"complete")</formula>
    </cfRule>
  </conditionalFormatting>
  <conditionalFormatting sqref="C58:C61">
    <cfRule type="cellIs" priority="10" operator="equal" aboveAverage="0" equalAverage="0" bottom="0" percent="0" rank="0" text="" dxfId="2">
      <formula>"pass"</formula>
    </cfRule>
    <cfRule type="cellIs" priority="11" operator="equal" aboveAverage="0" equalAverage="0" bottom="0" percent="0" rank="0" text="" dxfId="1">
      <formula>"miss"</formula>
    </cfRule>
    <cfRule type="cellIs" priority="12" operator="equal" aboveAverage="0" equalAverage="0" bottom="0" percent="0" rank="0" text="" dxfId="3">
      <formula>"not yet"</formula>
    </cfRule>
  </conditionalFormatting>
  <conditionalFormatting sqref="F80:F83">
    <cfRule type="cellIs" priority="13" operator="equal" aboveAverage="0" equalAverage="0" bottom="0" percent="0" rank="0" text="" dxfId="2">
      <formula>"pass"</formula>
    </cfRule>
    <cfRule type="cellIs" priority="14" operator="equal" aboveAverage="0" equalAverage="0" bottom="0" percent="0" rank="0" text="" dxfId="1">
      <formula>"miss"</formula>
    </cfRule>
    <cfRule type="cellIs" priority="15" operator="equal" aboveAverage="0" equalAverage="0" bottom="0" percent="0" rank="0" text="" dxfId="3">
      <formula>"not yet"</formula>
    </cfRule>
    <cfRule type="expression" priority="16" aboveAverage="0" equalAverage="0" bottom="0" percent="0" rank="0" text="" dxfId="3">
      <formula>LEFT(F80,LEN("not yet"))="not yet"</formula>
    </cfRule>
  </conditionalFormatting>
  <conditionalFormatting sqref="L88:L100">
    <cfRule type="expression" priority="17" aboveAverage="0" equalAverage="0" bottom="0" percent="0" rank="0" text="" dxfId="5">
      <formula>AND(ISNUMBER(L88),L88&gt;=$L$86)</formula>
    </cfRule>
    <cfRule type="expression" priority="18" aboveAverage="0" equalAverage="0" bottom="0" percent="0" rank="0" text="" dxfId="4">
      <formula>AND(ISNUMBER(L88),L88&lt;$L$86)</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2C200"/>
    <pageSetUpPr fitToPage="false"/>
  </sheetPr>
  <dimension ref="A1:T175"/>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50"/>
    <col collapsed="false" customWidth="true" hidden="false" outlineLevel="0" max="3" min="3" style="0" width="15"/>
    <col collapsed="false" customWidth="true" hidden="false" outlineLevel="0" max="4" min="4" style="0" width="18"/>
    <col collapsed="false" customWidth="true" hidden="false" outlineLevel="0" max="6" min="5" style="0" width="10"/>
    <col collapsed="false" customWidth="true" hidden="false" outlineLevel="0" max="7" min="7" style="0" width="25"/>
    <col collapsed="false" customWidth="true" hidden="false" outlineLevel="0" max="8" min="8" style="0" width="44"/>
    <col collapsed="false" customWidth="true" hidden="false" outlineLevel="0" max="9" min="9" style="0" width="60"/>
    <col collapsed="false" customWidth="true" hidden="false" outlineLevel="0" max="10" min="10" style="0" width="12"/>
    <col collapsed="false" customWidth="true" hidden="false" outlineLevel="0" max="11" min="11" style="0" width="9"/>
    <col collapsed="false" customWidth="true" hidden="false" outlineLevel="0" max="12" min="12" style="0" width="12"/>
    <col collapsed="false" customWidth="true" hidden="false" outlineLevel="0" max="13" min="13" style="0" width="40"/>
    <col collapsed="false" customWidth="true" hidden="false" outlineLevel="0" max="14" min="14" style="0" width="9"/>
    <col collapsed="false" customWidth="true" hidden="false" outlineLevel="0" max="18" min="15" style="0" width="12"/>
    <col collapsed="false" customWidth="true" hidden="false" outlineLevel="0" max="19" min="19" style="0" width="9"/>
    <col collapsed="false" customWidth="true" hidden="false" outlineLevel="0" max="20" min="20" style="0" width="12"/>
  </cols>
  <sheetData>
    <row r="1" customFormat="false" ht="18.55" hidden="false" customHeight="false" outlineLevel="0" collapsed="false">
      <c r="A1" s="1" t="s">
        <v>26</v>
      </c>
    </row>
    <row r="2" customFormat="false" ht="15" hidden="false" customHeight="false" outlineLevel="0" collapsed="false">
      <c r="A2" s="2" t="s">
        <v>338</v>
      </c>
    </row>
    <row r="3" customFormat="false" ht="30" hidden="false" customHeight="true" outlineLevel="0" collapsed="false">
      <c r="A3" s="8" t="s">
        <v>339</v>
      </c>
      <c r="B3" s="8"/>
      <c r="C3" s="8"/>
      <c r="D3" s="8"/>
      <c r="E3" s="8"/>
      <c r="F3" s="8"/>
      <c r="G3" s="8"/>
      <c r="H3" s="8"/>
      <c r="I3" s="8"/>
      <c r="J3" s="8"/>
      <c r="K3" s="8"/>
    </row>
    <row r="6" customFormat="false" ht="15" hidden="false" customHeight="false" outlineLevel="0" collapsed="false">
      <c r="A6" s="3" t="s">
        <v>340</v>
      </c>
      <c r="B6" s="4"/>
      <c r="C6" s="4"/>
      <c r="D6" s="4"/>
      <c r="E6" s="4"/>
      <c r="F6" s="4"/>
      <c r="G6" s="4"/>
      <c r="H6" s="4"/>
      <c r="I6" s="4"/>
      <c r="J6" s="4"/>
      <c r="K6" s="4"/>
    </row>
    <row r="7" customFormat="false" ht="28.35" hidden="false" customHeight="false" outlineLevel="0" collapsed="false">
      <c r="A7" s="12" t="s">
        <v>341</v>
      </c>
      <c r="B7" s="12" t="s">
        <v>342</v>
      </c>
      <c r="C7" s="12" t="s">
        <v>232</v>
      </c>
      <c r="D7" s="12" t="s">
        <v>343</v>
      </c>
      <c r="E7" s="12" t="s">
        <v>344</v>
      </c>
      <c r="F7" s="12" t="s">
        <v>345</v>
      </c>
      <c r="G7" s="12" t="s">
        <v>276</v>
      </c>
      <c r="H7" s="12" t="s">
        <v>346</v>
      </c>
      <c r="I7" s="12" t="s">
        <v>347</v>
      </c>
      <c r="J7" s="12" t="s">
        <v>348</v>
      </c>
      <c r="K7" s="12" t="s">
        <v>349</v>
      </c>
    </row>
    <row r="8" customFormat="false" ht="28.35" hidden="false" customHeight="false" outlineLevel="0" collapsed="false">
      <c r="A8" s="32" t="s">
        <v>350</v>
      </c>
      <c r="B8" s="7" t="s">
        <v>351</v>
      </c>
      <c r="C8" s="39" t="s">
        <v>352</v>
      </c>
      <c r="D8" s="30" t="s">
        <v>353</v>
      </c>
      <c r="E8" s="30"/>
      <c r="F8" s="30"/>
      <c r="G8" s="30" t="s">
        <v>354</v>
      </c>
      <c r="H8" s="7" t="s">
        <v>355</v>
      </c>
      <c r="I8" s="7" t="s">
        <v>356</v>
      </c>
      <c r="J8" s="32" t="s">
        <v>357</v>
      </c>
      <c r="K8" s="40" t="str">
        <f aca="false">IF(C8="","missing","")</f>
        <v/>
      </c>
    </row>
    <row r="9" customFormat="false" ht="15" hidden="false" customHeight="false" outlineLevel="0" collapsed="false">
      <c r="A9" s="32" t="s">
        <v>358</v>
      </c>
      <c r="B9" s="7" t="s">
        <v>359</v>
      </c>
      <c r="C9" s="39" t="s">
        <v>360</v>
      </c>
      <c r="D9" s="30" t="s">
        <v>353</v>
      </c>
      <c r="E9" s="30"/>
      <c r="F9" s="30"/>
      <c r="G9" s="30" t="s">
        <v>361</v>
      </c>
      <c r="H9" s="7" t="s">
        <v>362</v>
      </c>
      <c r="I9" s="7" t="s">
        <v>363</v>
      </c>
      <c r="J9" s="32" t="s">
        <v>357</v>
      </c>
      <c r="K9" s="40" t="str">
        <f aca="false">IF(C9="","missing","")</f>
        <v/>
      </c>
    </row>
    <row r="10" customFormat="false" ht="68.65" hidden="false" customHeight="false" outlineLevel="0" collapsed="false">
      <c r="A10" s="32" t="s">
        <v>364</v>
      </c>
      <c r="B10" s="7" t="s">
        <v>365</v>
      </c>
      <c r="C10" s="41" t="n">
        <v>46321</v>
      </c>
      <c r="D10" s="30" t="s">
        <v>366</v>
      </c>
      <c r="E10" s="30"/>
      <c r="F10" s="30"/>
      <c r="G10" s="30" t="s">
        <v>367</v>
      </c>
      <c r="H10" s="7" t="s">
        <v>368</v>
      </c>
      <c r="I10" s="7" t="s">
        <v>369</v>
      </c>
      <c r="J10" s="42" t="n">
        <v>46321</v>
      </c>
      <c r="K10" s="40" t="str">
        <f aca="false">IF(C10&amp;""=J10&amp;"","","changed")</f>
        <v/>
      </c>
    </row>
    <row r="11" customFormat="false" ht="15" hidden="false" customHeight="false" outlineLevel="0" collapsed="false">
      <c r="A11" s="32" t="s">
        <v>370</v>
      </c>
      <c r="B11" s="7" t="s">
        <v>371</v>
      </c>
      <c r="C11" s="41" t="n">
        <v>46339</v>
      </c>
      <c r="D11" s="30" t="s">
        <v>366</v>
      </c>
      <c r="E11" s="30"/>
      <c r="F11" s="30"/>
      <c r="G11" s="30" t="s">
        <v>367</v>
      </c>
      <c r="H11" s="7" t="s">
        <v>368</v>
      </c>
      <c r="I11" s="7"/>
      <c r="J11" s="42" t="n">
        <v>46339</v>
      </c>
      <c r="K11" s="40" t="str">
        <f aca="false">IF(C11&amp;""=J11&amp;"","","changed")</f>
        <v/>
      </c>
    </row>
    <row r="12" customFormat="false" ht="15" hidden="false" customHeight="false" outlineLevel="0" collapsed="false">
      <c r="A12" s="32" t="s">
        <v>372</v>
      </c>
      <c r="B12" s="7" t="s">
        <v>373</v>
      </c>
      <c r="C12" s="41" t="n">
        <v>46367</v>
      </c>
      <c r="D12" s="30" t="s">
        <v>366</v>
      </c>
      <c r="E12" s="30"/>
      <c r="F12" s="30"/>
      <c r="G12" s="30" t="s">
        <v>367</v>
      </c>
      <c r="H12" s="7" t="s">
        <v>368</v>
      </c>
      <c r="I12" s="7"/>
      <c r="J12" s="42" t="n">
        <v>46367</v>
      </c>
      <c r="K12" s="40" t="str">
        <f aca="false">IF(C12&amp;""=J12&amp;"","","changed")</f>
        <v/>
      </c>
    </row>
    <row r="13" customFormat="false" ht="41.75" hidden="false" customHeight="false" outlineLevel="0" collapsed="false">
      <c r="A13" s="32" t="s">
        <v>374</v>
      </c>
      <c r="B13" s="7" t="s">
        <v>375</v>
      </c>
      <c r="C13" s="43" t="n">
        <f aca="false">IFERROR(WORKDAY(INDEX(Schedule!$E$7:$E$18,MATCH(Inputs!$C$129,Schedule!$A$7:$A$18,0)),Inputs!$C$132,Lists!$N$4:$N$30),"")</f>
        <v>46409</v>
      </c>
      <c r="D13" s="30" t="s">
        <v>366</v>
      </c>
      <c r="E13" s="30"/>
      <c r="F13" s="30"/>
      <c r="G13" s="30" t="s">
        <v>367</v>
      </c>
      <c r="H13" s="7" t="s">
        <v>368</v>
      </c>
      <c r="I13" s="7" t="s">
        <v>376</v>
      </c>
      <c r="J13" s="42" t="n">
        <f aca="false">IFERROR(WORKDAY(INDEX(Schedule!$E$7:$E$18,MATCH(Inputs!$C$129,Schedule!$A$7:$A$18,0)),Inputs!$C$132,Lists!$N$4:$N$30),"")</f>
        <v>46409</v>
      </c>
      <c r="K13" s="40" t="str">
        <f aca="false">IF(C13&amp;""=J13&amp;"","","changed")</f>
        <v/>
      </c>
    </row>
    <row r="14" customFormat="false" ht="15" hidden="false" customHeight="false" outlineLevel="0" collapsed="false">
      <c r="A14" s="32" t="s">
        <v>377</v>
      </c>
      <c r="B14" s="7" t="s">
        <v>378</v>
      </c>
      <c r="C14" s="41" t="n">
        <v>46458</v>
      </c>
      <c r="D14" s="30" t="s">
        <v>366</v>
      </c>
      <c r="E14" s="30"/>
      <c r="F14" s="30"/>
      <c r="G14" s="30" t="s">
        <v>367</v>
      </c>
      <c r="H14" s="7" t="s">
        <v>368</v>
      </c>
      <c r="I14" s="7" t="s">
        <v>379</v>
      </c>
      <c r="J14" s="42" t="n">
        <v>46458</v>
      </c>
      <c r="K14" s="40" t="str">
        <f aca="false">IF(C14&amp;""=J14&amp;"","","changed")</f>
        <v/>
      </c>
    </row>
    <row r="15" customFormat="false" ht="15" hidden="false" customHeight="false" outlineLevel="0" collapsed="false">
      <c r="A15" s="32" t="s">
        <v>380</v>
      </c>
      <c r="B15" s="7" t="s">
        <v>381</v>
      </c>
      <c r="C15" s="41" t="n">
        <v>46486</v>
      </c>
      <c r="D15" s="30" t="s">
        <v>366</v>
      </c>
      <c r="E15" s="30"/>
      <c r="F15" s="30"/>
      <c r="G15" s="30" t="s">
        <v>367</v>
      </c>
      <c r="H15" s="7" t="s">
        <v>368</v>
      </c>
      <c r="I15" s="7"/>
      <c r="J15" s="42" t="n">
        <v>46486</v>
      </c>
      <c r="K15" s="40" t="str">
        <f aca="false">IF(C15&amp;""=J15&amp;"","","changed")</f>
        <v/>
      </c>
    </row>
    <row r="16" customFormat="false" ht="28.35" hidden="false" customHeight="false" outlineLevel="0" collapsed="false">
      <c r="A16" s="32" t="s">
        <v>382</v>
      </c>
      <c r="B16" s="7" t="s">
        <v>383</v>
      </c>
      <c r="C16" s="41" t="n">
        <v>46503</v>
      </c>
      <c r="D16" s="30" t="s">
        <v>366</v>
      </c>
      <c r="E16" s="30"/>
      <c r="F16" s="30"/>
      <c r="G16" s="30" t="s">
        <v>384</v>
      </c>
      <c r="H16" s="7" t="s">
        <v>385</v>
      </c>
      <c r="I16" s="7" t="s">
        <v>386</v>
      </c>
      <c r="J16" s="42"/>
      <c r="K16" s="40" t="str">
        <f aca="false">IF(C16&amp;""=J16&amp;"","","changed")</f>
        <v>changed</v>
      </c>
    </row>
    <row r="17" customFormat="false" ht="15" hidden="false" customHeight="false" outlineLevel="0" collapsed="false">
      <c r="A17" s="32" t="s">
        <v>387</v>
      </c>
      <c r="B17" s="7" t="s">
        <v>388</v>
      </c>
      <c r="C17" s="44" t="n">
        <f aca="true">IF(C16="",TODAY(),C16)</f>
        <v>46503</v>
      </c>
      <c r="D17" s="30" t="s">
        <v>366</v>
      </c>
      <c r="E17" s="30"/>
      <c r="F17" s="30"/>
      <c r="G17" s="30" t="s">
        <v>389</v>
      </c>
      <c r="H17" s="7" t="s">
        <v>390</v>
      </c>
      <c r="I17" s="7"/>
      <c r="J17" s="30"/>
      <c r="K17" s="30"/>
    </row>
    <row r="18" customFormat="false" ht="15" hidden="false" customHeight="false" outlineLevel="0" collapsed="false">
      <c r="A18" s="32" t="s">
        <v>391</v>
      </c>
      <c r="B18" s="7" t="s">
        <v>392</v>
      </c>
      <c r="C18" s="39" t="n">
        <v>7</v>
      </c>
      <c r="D18" s="30" t="s">
        <v>393</v>
      </c>
      <c r="E18" s="30"/>
      <c r="F18" s="30"/>
      <c r="G18" s="30" t="s">
        <v>394</v>
      </c>
      <c r="H18" s="7" t="s">
        <v>395</v>
      </c>
      <c r="I18" s="7"/>
      <c r="J18" s="32" t="n">
        <v>7</v>
      </c>
      <c r="K18" s="40" t="str">
        <f aca="false">IF(C18&amp;""=J18&amp;"","","changed")</f>
        <v/>
      </c>
    </row>
    <row r="19" customFormat="false" ht="15" hidden="false" customHeight="false" outlineLevel="0" collapsed="false">
      <c r="A19" s="32" t="s">
        <v>396</v>
      </c>
      <c r="B19" s="7" t="s">
        <v>397</v>
      </c>
      <c r="C19" s="39" t="n">
        <v>52</v>
      </c>
      <c r="D19" s="30" t="s">
        <v>398</v>
      </c>
      <c r="E19" s="30"/>
      <c r="F19" s="30"/>
      <c r="G19" s="30" t="s">
        <v>394</v>
      </c>
      <c r="H19" s="7" t="s">
        <v>395</v>
      </c>
      <c r="I19" s="7"/>
      <c r="J19" s="32" t="n">
        <v>52</v>
      </c>
      <c r="K19" s="40" t="str">
        <f aca="false">IF(C19&amp;""=J19&amp;"","","changed")</f>
        <v/>
      </c>
    </row>
    <row r="20" customFormat="false" ht="15" hidden="false" customHeight="false" outlineLevel="0" collapsed="false">
      <c r="A20" s="32" t="s">
        <v>399</v>
      </c>
      <c r="B20" s="7" t="s">
        <v>400</v>
      </c>
      <c r="C20" s="39" t="n">
        <v>12</v>
      </c>
      <c r="D20" s="30" t="s">
        <v>401</v>
      </c>
      <c r="E20" s="30"/>
      <c r="F20" s="30"/>
      <c r="G20" s="30" t="s">
        <v>394</v>
      </c>
      <c r="H20" s="7" t="s">
        <v>395</v>
      </c>
      <c r="I20" s="7"/>
      <c r="J20" s="32" t="n">
        <v>12</v>
      </c>
      <c r="K20" s="40" t="str">
        <f aca="false">IF(C20&amp;""=J20&amp;"","","changed")</f>
        <v/>
      </c>
    </row>
    <row r="21" customFormat="false" ht="15" hidden="false" customHeight="false" outlineLevel="0" collapsed="false">
      <c r="A21" s="32" t="s">
        <v>402</v>
      </c>
      <c r="B21" s="7" t="s">
        <v>403</v>
      </c>
      <c r="C21" s="45" t="n">
        <f aca="false">Inputs!$C$19/Inputs!$C$20</f>
        <v>4.33333333333333</v>
      </c>
      <c r="D21" s="30" t="s">
        <v>398</v>
      </c>
      <c r="E21" s="30"/>
      <c r="F21" s="30"/>
      <c r="G21" s="30" t="s">
        <v>389</v>
      </c>
      <c r="H21" s="7" t="s">
        <v>404</v>
      </c>
      <c r="I21" s="7"/>
      <c r="J21" s="30"/>
      <c r="K21" s="30"/>
    </row>
    <row r="22" customFormat="false" ht="15" hidden="false" customHeight="false" outlineLevel="0" collapsed="false">
      <c r="A22" s="32" t="s">
        <v>405</v>
      </c>
      <c r="B22" s="7" t="s">
        <v>406</v>
      </c>
      <c r="C22" s="39" t="n">
        <v>24</v>
      </c>
      <c r="D22" s="30" t="s">
        <v>407</v>
      </c>
      <c r="E22" s="30"/>
      <c r="F22" s="30"/>
      <c r="G22" s="30" t="s">
        <v>394</v>
      </c>
      <c r="H22" s="7" t="s">
        <v>395</v>
      </c>
      <c r="I22" s="7"/>
      <c r="J22" s="32" t="n">
        <v>24</v>
      </c>
      <c r="K22" s="40" t="str">
        <f aca="false">IF(C22&amp;""=J22&amp;"","","changed")</f>
        <v/>
      </c>
    </row>
    <row r="23" customFormat="false" ht="15" hidden="false" customHeight="false" outlineLevel="0" collapsed="false">
      <c r="A23" s="32" t="s">
        <v>408</v>
      </c>
      <c r="B23" s="7" t="s">
        <v>409</v>
      </c>
      <c r="C23" s="39" t="n">
        <v>5</v>
      </c>
      <c r="D23" s="30" t="s">
        <v>410</v>
      </c>
      <c r="E23" s="30"/>
      <c r="F23" s="30"/>
      <c r="G23" s="30" t="s">
        <v>411</v>
      </c>
      <c r="H23" s="7" t="s">
        <v>412</v>
      </c>
      <c r="I23" s="7" t="s">
        <v>413</v>
      </c>
      <c r="J23" s="32" t="n">
        <v>5</v>
      </c>
      <c r="K23" s="40" t="str">
        <f aca="false">IF(C23&amp;""=J23&amp;"","","changed")</f>
        <v/>
      </c>
    </row>
    <row r="24" customFormat="false" ht="28.35" hidden="false" customHeight="false" outlineLevel="0" collapsed="false">
      <c r="A24" s="32" t="s">
        <v>414</v>
      </c>
      <c r="B24" s="7" t="s">
        <v>415</v>
      </c>
      <c r="C24" s="39" t="n">
        <v>10</v>
      </c>
      <c r="D24" s="30" t="s">
        <v>410</v>
      </c>
      <c r="E24" s="30"/>
      <c r="F24" s="30"/>
      <c r="G24" s="30" t="s">
        <v>411</v>
      </c>
      <c r="H24" s="7" t="s">
        <v>416</v>
      </c>
      <c r="I24" s="7" t="s">
        <v>417</v>
      </c>
      <c r="J24" s="32" t="n">
        <v>10</v>
      </c>
      <c r="K24" s="40" t="str">
        <f aca="false">IF(C24&amp;""=J24&amp;"","","changed")</f>
        <v/>
      </c>
    </row>
    <row r="25" customFormat="false" ht="41.75" hidden="false" customHeight="false" outlineLevel="0" collapsed="false">
      <c r="A25" s="32" t="s">
        <v>418</v>
      </c>
      <c r="B25" s="7" t="s">
        <v>419</v>
      </c>
      <c r="C25" s="39" t="n">
        <v>4</v>
      </c>
      <c r="D25" s="30" t="s">
        <v>410</v>
      </c>
      <c r="E25" s="30"/>
      <c r="F25" s="30"/>
      <c r="G25" s="30" t="s">
        <v>367</v>
      </c>
      <c r="H25" s="7" t="s">
        <v>420</v>
      </c>
      <c r="I25" s="7" t="s">
        <v>421</v>
      </c>
      <c r="J25" s="32" t="n">
        <v>4</v>
      </c>
      <c r="K25" s="40" t="str">
        <f aca="false">IF(C25&amp;""=J25&amp;"","","changed")</f>
        <v/>
      </c>
    </row>
    <row r="26" customFormat="false" ht="55.2" hidden="false" customHeight="false" outlineLevel="0" collapsed="false">
      <c r="A26" s="32" t="s">
        <v>422</v>
      </c>
      <c r="B26" s="7" t="s">
        <v>423</v>
      </c>
      <c r="C26" s="39" t="n">
        <v>3</v>
      </c>
      <c r="D26" s="30" t="s">
        <v>410</v>
      </c>
      <c r="E26" s="30"/>
      <c r="F26" s="30"/>
      <c r="G26" s="30" t="s">
        <v>367</v>
      </c>
      <c r="H26" s="7" t="s">
        <v>424</v>
      </c>
      <c r="I26" s="7" t="s">
        <v>425</v>
      </c>
      <c r="J26" s="32" t="n">
        <v>3</v>
      </c>
      <c r="K26" s="40" t="str">
        <f aca="false">IF(C26&amp;""=J26&amp;"","","changed")</f>
        <v/>
      </c>
    </row>
    <row r="27" customFormat="false" ht="41.75" hidden="false" customHeight="false" outlineLevel="0" collapsed="false">
      <c r="A27" s="32" t="s">
        <v>426</v>
      </c>
      <c r="B27" s="7" t="s">
        <v>427</v>
      </c>
      <c r="C27" s="39" t="n">
        <v>5</v>
      </c>
      <c r="D27" s="30" t="s">
        <v>410</v>
      </c>
      <c r="E27" s="30"/>
      <c r="F27" s="30"/>
      <c r="G27" s="30" t="s">
        <v>367</v>
      </c>
      <c r="H27" s="7" t="s">
        <v>428</v>
      </c>
      <c r="I27" s="7" t="s">
        <v>429</v>
      </c>
      <c r="J27" s="32" t="n">
        <v>5</v>
      </c>
      <c r="K27" s="40" t="str">
        <f aca="false">IF(C27&amp;""=J27&amp;"","","changed")</f>
        <v/>
      </c>
    </row>
    <row r="28" customFormat="false" ht="41.75" hidden="false" customHeight="false" outlineLevel="0" collapsed="false">
      <c r="A28" s="32" t="s">
        <v>430</v>
      </c>
      <c r="B28" s="7" t="s">
        <v>431</v>
      </c>
      <c r="C28" s="39" t="n">
        <v>10</v>
      </c>
      <c r="D28" s="30" t="s">
        <v>410</v>
      </c>
      <c r="E28" s="30"/>
      <c r="F28" s="30"/>
      <c r="G28" s="30" t="s">
        <v>367</v>
      </c>
      <c r="H28" s="7" t="s">
        <v>432</v>
      </c>
      <c r="I28" s="7" t="s">
        <v>433</v>
      </c>
      <c r="J28" s="32" t="n">
        <v>10</v>
      </c>
      <c r="K28" s="40" t="str">
        <f aca="false">IF(C28&amp;""=J28&amp;"","","changed")</f>
        <v/>
      </c>
    </row>
    <row r="29" customFormat="false" ht="28.35" hidden="false" customHeight="false" outlineLevel="0" collapsed="false">
      <c r="A29" s="32" t="s">
        <v>434</v>
      </c>
      <c r="B29" s="7" t="s">
        <v>435</v>
      </c>
      <c r="C29" s="39" t="n">
        <v>6</v>
      </c>
      <c r="D29" s="30" t="s">
        <v>398</v>
      </c>
      <c r="E29" s="30"/>
      <c r="F29" s="30"/>
      <c r="G29" s="30" t="s">
        <v>411</v>
      </c>
      <c r="H29" s="7" t="s">
        <v>436</v>
      </c>
      <c r="I29" s="7" t="s">
        <v>437</v>
      </c>
      <c r="J29" s="32" t="n">
        <v>6</v>
      </c>
      <c r="K29" s="40" t="str">
        <f aca="false">IF(C29&amp;""=J29&amp;"","","changed")</f>
        <v/>
      </c>
    </row>
    <row r="30" customFormat="false" ht="15" hidden="false" customHeight="false" outlineLevel="0" collapsed="false">
      <c r="A30" s="32" t="s">
        <v>438</v>
      </c>
      <c r="B30" s="7" t="s">
        <v>439</v>
      </c>
      <c r="C30" s="39" t="s">
        <v>440</v>
      </c>
      <c r="D30" s="30" t="s">
        <v>353</v>
      </c>
      <c r="E30" s="30"/>
      <c r="F30" s="30"/>
      <c r="G30" s="30" t="s">
        <v>441</v>
      </c>
      <c r="H30" s="7" t="s">
        <v>442</v>
      </c>
      <c r="I30" s="7" t="s">
        <v>443</v>
      </c>
      <c r="J30" s="32" t="s">
        <v>440</v>
      </c>
      <c r="K30" s="40" t="str">
        <f aca="false">IF(C30&amp;""=J30&amp;"","","changed")</f>
        <v/>
      </c>
    </row>
    <row r="31" customFormat="false" ht="28.35" hidden="false" customHeight="false" outlineLevel="0" collapsed="false">
      <c r="A31" s="32" t="s">
        <v>444</v>
      </c>
      <c r="B31" s="7" t="s">
        <v>445</v>
      </c>
      <c r="C31" s="39" t="n">
        <v>28</v>
      </c>
      <c r="D31" s="30" t="s">
        <v>393</v>
      </c>
      <c r="E31" s="30"/>
      <c r="F31" s="30"/>
      <c r="G31" s="30" t="s">
        <v>367</v>
      </c>
      <c r="H31" s="7" t="s">
        <v>446</v>
      </c>
      <c r="I31" s="7" t="s">
        <v>447</v>
      </c>
      <c r="J31" s="32" t="n">
        <v>28</v>
      </c>
      <c r="K31" s="40" t="str">
        <f aca="false">IF(C31&amp;""=J31&amp;"","","changed")</f>
        <v/>
      </c>
    </row>
    <row r="33" customFormat="false" ht="15" hidden="false" customHeight="false" outlineLevel="0" collapsed="false">
      <c r="A33" s="3" t="s">
        <v>448</v>
      </c>
      <c r="B33" s="4"/>
      <c r="C33" s="4"/>
      <c r="D33" s="4"/>
      <c r="E33" s="4"/>
      <c r="F33" s="4"/>
      <c r="G33" s="4"/>
      <c r="H33" s="4"/>
      <c r="I33" s="4"/>
      <c r="J33" s="4"/>
      <c r="K33" s="4"/>
    </row>
    <row r="34" customFormat="false" ht="28.35" hidden="false" customHeight="false" outlineLevel="0" collapsed="false">
      <c r="A34" s="12" t="s">
        <v>341</v>
      </c>
      <c r="B34" s="12" t="s">
        <v>342</v>
      </c>
      <c r="C34" s="12" t="s">
        <v>232</v>
      </c>
      <c r="D34" s="12" t="s">
        <v>343</v>
      </c>
      <c r="E34" s="12" t="s">
        <v>344</v>
      </c>
      <c r="F34" s="12" t="s">
        <v>345</v>
      </c>
      <c r="G34" s="12" t="s">
        <v>276</v>
      </c>
      <c r="H34" s="12" t="s">
        <v>346</v>
      </c>
      <c r="I34" s="12" t="s">
        <v>347</v>
      </c>
      <c r="J34" s="12" t="s">
        <v>348</v>
      </c>
      <c r="K34" s="12" t="s">
        <v>349</v>
      </c>
    </row>
    <row r="35" customFormat="false" ht="28.35" hidden="false" customHeight="false" outlineLevel="0" collapsed="false">
      <c r="A35" s="32" t="s">
        <v>449</v>
      </c>
      <c r="B35" s="7" t="s">
        <v>450</v>
      </c>
      <c r="C35" s="39" t="s">
        <v>451</v>
      </c>
      <c r="D35" s="30" t="s">
        <v>452</v>
      </c>
      <c r="E35" s="30"/>
      <c r="F35" s="30"/>
      <c r="G35" s="30" t="s">
        <v>384</v>
      </c>
      <c r="H35" s="7" t="s">
        <v>453</v>
      </c>
      <c r="I35" s="7" t="s">
        <v>454</v>
      </c>
      <c r="J35" s="32" t="s">
        <v>451</v>
      </c>
      <c r="K35" s="40" t="str">
        <f aca="false">IF(C35&amp;""=J35&amp;"","","changed")</f>
        <v/>
      </c>
    </row>
    <row r="37" customFormat="false" ht="15" hidden="false" customHeight="false" outlineLevel="0" collapsed="false">
      <c r="A37" s="3" t="s">
        <v>455</v>
      </c>
      <c r="B37" s="4"/>
      <c r="C37" s="4"/>
      <c r="D37" s="4"/>
      <c r="E37" s="4"/>
      <c r="F37" s="4"/>
      <c r="G37" s="4"/>
      <c r="H37" s="4"/>
      <c r="I37" s="4"/>
      <c r="J37" s="4"/>
      <c r="K37" s="4"/>
    </row>
    <row r="38" customFormat="false" ht="28.35" hidden="false" customHeight="false" outlineLevel="0" collapsed="false">
      <c r="A38" s="12" t="s">
        <v>341</v>
      </c>
      <c r="B38" s="12" t="s">
        <v>342</v>
      </c>
      <c r="C38" s="12" t="s">
        <v>232</v>
      </c>
      <c r="D38" s="12" t="s">
        <v>343</v>
      </c>
      <c r="E38" s="12" t="s">
        <v>344</v>
      </c>
      <c r="F38" s="12" t="s">
        <v>345</v>
      </c>
      <c r="G38" s="12" t="s">
        <v>276</v>
      </c>
      <c r="H38" s="12" t="s">
        <v>346</v>
      </c>
      <c r="I38" s="12" t="s">
        <v>347</v>
      </c>
      <c r="J38" s="12" t="s">
        <v>348</v>
      </c>
      <c r="K38" s="12" t="s">
        <v>349</v>
      </c>
    </row>
    <row r="39" customFormat="false" ht="15" hidden="false" customHeight="false" outlineLevel="0" collapsed="false">
      <c r="A39" s="32" t="s">
        <v>456</v>
      </c>
      <c r="B39" s="7" t="s">
        <v>457</v>
      </c>
      <c r="C39" s="46" t="n">
        <v>150</v>
      </c>
      <c r="D39" s="30" t="s">
        <v>458</v>
      </c>
      <c r="E39" s="30"/>
      <c r="F39" s="30"/>
      <c r="G39" s="30" t="s">
        <v>411</v>
      </c>
      <c r="H39" s="7" t="s">
        <v>459</v>
      </c>
      <c r="I39" s="7" t="s">
        <v>460</v>
      </c>
      <c r="J39" s="47" t="n">
        <v>150</v>
      </c>
      <c r="K39" s="40" t="str">
        <f aca="false">IF(C39&amp;""=J39&amp;"","","changed")</f>
        <v/>
      </c>
    </row>
    <row r="40" customFormat="false" ht="15" hidden="false" customHeight="false" outlineLevel="0" collapsed="false">
      <c r="A40" s="32" t="s">
        <v>461</v>
      </c>
      <c r="B40" s="7" t="s">
        <v>462</v>
      </c>
      <c r="C40" s="39" t="n">
        <v>10</v>
      </c>
      <c r="D40" s="30" t="s">
        <v>463</v>
      </c>
      <c r="E40" s="30"/>
      <c r="F40" s="30"/>
      <c r="G40" s="30" t="s">
        <v>411</v>
      </c>
      <c r="H40" s="7" t="s">
        <v>459</v>
      </c>
      <c r="I40" s="7"/>
      <c r="J40" s="32" t="n">
        <v>10</v>
      </c>
      <c r="K40" s="40" t="str">
        <f aca="false">IF(C40&amp;""=J40&amp;"","","changed")</f>
        <v/>
      </c>
    </row>
    <row r="41" customFormat="false" ht="15" hidden="false" customHeight="false" outlineLevel="0" collapsed="false">
      <c r="A41" s="32" t="s">
        <v>464</v>
      </c>
      <c r="B41" s="7" t="s">
        <v>465</v>
      </c>
      <c r="C41" s="48" t="n">
        <f aca="false">Inputs!$C$39*Inputs!$C$40</f>
        <v>1500</v>
      </c>
      <c r="D41" s="30" t="s">
        <v>466</v>
      </c>
      <c r="E41" s="30"/>
      <c r="F41" s="30"/>
      <c r="G41" s="30" t="s">
        <v>389</v>
      </c>
      <c r="H41" s="7" t="s">
        <v>467</v>
      </c>
      <c r="I41" s="7"/>
      <c r="J41" s="30"/>
      <c r="K41" s="30"/>
    </row>
    <row r="42" customFormat="false" ht="28.35" hidden="false" customHeight="false" outlineLevel="0" collapsed="false">
      <c r="A42" s="32" t="s">
        <v>468</v>
      </c>
      <c r="B42" s="7" t="s">
        <v>469</v>
      </c>
      <c r="C42" s="46" t="n">
        <v>120</v>
      </c>
      <c r="D42" s="30" t="s">
        <v>458</v>
      </c>
      <c r="E42" s="19" t="n">
        <v>120</v>
      </c>
      <c r="F42" s="19" t="n">
        <v>180</v>
      </c>
      <c r="G42" s="30" t="s">
        <v>411</v>
      </c>
      <c r="H42" s="7" t="s">
        <v>459</v>
      </c>
      <c r="I42" s="7" t="s">
        <v>470</v>
      </c>
      <c r="J42" s="47" t="n">
        <v>120</v>
      </c>
      <c r="K42" s="40" t="str">
        <f aca="false">IF(C42&amp;""=J42&amp;"","","changed")</f>
        <v/>
      </c>
    </row>
    <row r="43" customFormat="false" ht="15" hidden="false" customHeight="false" outlineLevel="0" collapsed="false">
      <c r="A43" s="32" t="s">
        <v>471</v>
      </c>
      <c r="B43" s="7" t="s">
        <v>472</v>
      </c>
      <c r="C43" s="39" t="n">
        <v>5</v>
      </c>
      <c r="D43" s="30" t="s">
        <v>463</v>
      </c>
      <c r="E43" s="30"/>
      <c r="F43" s="30"/>
      <c r="G43" s="30" t="s">
        <v>411</v>
      </c>
      <c r="H43" s="7" t="s">
        <v>459</v>
      </c>
      <c r="I43" s="7"/>
      <c r="J43" s="32" t="n">
        <v>5</v>
      </c>
      <c r="K43" s="40" t="str">
        <f aca="false">IF(C43&amp;""=J43&amp;"","","changed")</f>
        <v/>
      </c>
    </row>
    <row r="44" customFormat="false" ht="15" hidden="false" customHeight="false" outlineLevel="0" collapsed="false">
      <c r="A44" s="32" t="s">
        <v>473</v>
      </c>
      <c r="B44" s="7" t="s">
        <v>474</v>
      </c>
      <c r="C44" s="48" t="n">
        <f aca="false">Inputs!$C$42*Inputs!$C$43</f>
        <v>600</v>
      </c>
      <c r="D44" s="30" t="s">
        <v>466</v>
      </c>
      <c r="E44" s="30"/>
      <c r="F44" s="30"/>
      <c r="G44" s="30" t="s">
        <v>389</v>
      </c>
      <c r="H44" s="7" t="s">
        <v>467</v>
      </c>
      <c r="I44" s="7"/>
      <c r="J44" s="30"/>
      <c r="K44" s="30"/>
    </row>
    <row r="45" customFormat="false" ht="28.35" hidden="false" customHeight="false" outlineLevel="0" collapsed="false">
      <c r="A45" s="32" t="s">
        <v>475</v>
      </c>
      <c r="B45" s="7" t="s">
        <v>476</v>
      </c>
      <c r="C45" s="46" t="n">
        <v>150</v>
      </c>
      <c r="D45" s="30" t="s">
        <v>458</v>
      </c>
      <c r="E45" s="30"/>
      <c r="F45" s="30"/>
      <c r="G45" s="30" t="s">
        <v>411</v>
      </c>
      <c r="H45" s="7" t="s">
        <v>459</v>
      </c>
      <c r="I45" s="7" t="s">
        <v>477</v>
      </c>
      <c r="J45" s="47" t="n">
        <v>150</v>
      </c>
      <c r="K45" s="40" t="str">
        <f aca="false">IF(C45&amp;""=J45&amp;"","","changed")</f>
        <v/>
      </c>
    </row>
    <row r="46" customFormat="false" ht="15" hidden="false" customHeight="false" outlineLevel="0" collapsed="false">
      <c r="A46" s="32" t="s">
        <v>478</v>
      </c>
      <c r="B46" s="7" t="s">
        <v>479</v>
      </c>
      <c r="C46" s="39" t="n">
        <v>3</v>
      </c>
      <c r="D46" s="30" t="s">
        <v>480</v>
      </c>
      <c r="E46" s="30"/>
      <c r="F46" s="30"/>
      <c r="G46" s="30" t="s">
        <v>411</v>
      </c>
      <c r="H46" s="7" t="s">
        <v>459</v>
      </c>
      <c r="I46" s="7" t="s">
        <v>481</v>
      </c>
      <c r="J46" s="32" t="n">
        <v>3</v>
      </c>
      <c r="K46" s="40" t="str">
        <f aca="false">IF(C46&amp;""=J46&amp;"","","changed")</f>
        <v/>
      </c>
    </row>
    <row r="47" customFormat="false" ht="15" hidden="false" customHeight="false" outlineLevel="0" collapsed="false">
      <c r="A47" s="32" t="s">
        <v>482</v>
      </c>
      <c r="B47" s="7" t="s">
        <v>483</v>
      </c>
      <c r="C47" s="39" t="n">
        <v>2</v>
      </c>
      <c r="D47" s="30" t="s">
        <v>484</v>
      </c>
      <c r="E47" s="30"/>
      <c r="F47" s="30"/>
      <c r="G47" s="30" t="s">
        <v>411</v>
      </c>
      <c r="H47" s="7" t="s">
        <v>459</v>
      </c>
      <c r="I47" s="7"/>
      <c r="J47" s="32" t="n">
        <v>2</v>
      </c>
      <c r="K47" s="40" t="str">
        <f aca="false">IF(C47&amp;""=J47&amp;"","","changed")</f>
        <v/>
      </c>
    </row>
    <row r="48" customFormat="false" ht="15" hidden="false" customHeight="false" outlineLevel="0" collapsed="false">
      <c r="A48" s="32" t="s">
        <v>485</v>
      </c>
      <c r="B48" s="7" t="s">
        <v>486</v>
      </c>
      <c r="C48" s="49" t="n">
        <v>1</v>
      </c>
      <c r="D48" s="30" t="s">
        <v>487</v>
      </c>
      <c r="E48" s="30"/>
      <c r="F48" s="30"/>
      <c r="G48" s="30" t="s">
        <v>411</v>
      </c>
      <c r="H48" s="7" t="s">
        <v>459</v>
      </c>
      <c r="I48" s="7" t="s">
        <v>488</v>
      </c>
      <c r="J48" s="50" t="n">
        <v>1</v>
      </c>
      <c r="K48" s="40" t="str">
        <f aca="false">IF(C48&amp;""=J48&amp;"","","changed")</f>
        <v/>
      </c>
    </row>
    <row r="49" customFormat="false" ht="28.35" hidden="false" customHeight="false" outlineLevel="0" collapsed="false">
      <c r="A49" s="32" t="s">
        <v>489</v>
      </c>
      <c r="B49" s="7" t="s">
        <v>490</v>
      </c>
      <c r="C49" s="39" t="n">
        <v>20</v>
      </c>
      <c r="D49" s="30" t="s">
        <v>410</v>
      </c>
      <c r="E49" s="30"/>
      <c r="F49" s="30"/>
      <c r="G49" s="30" t="s">
        <v>367</v>
      </c>
      <c r="H49" s="7" t="s">
        <v>368</v>
      </c>
      <c r="I49" s="7" t="s">
        <v>491</v>
      </c>
      <c r="J49" s="32" t="n">
        <v>20</v>
      </c>
      <c r="K49" s="40" t="str">
        <f aca="false">IF(C49&amp;""=J49&amp;"","","changed")</f>
        <v/>
      </c>
    </row>
    <row r="50" customFormat="false" ht="15" hidden="false" customHeight="false" outlineLevel="0" collapsed="false">
      <c r="A50" s="32" t="s">
        <v>492</v>
      </c>
      <c r="B50" s="7" t="s">
        <v>493</v>
      </c>
      <c r="C50" s="49" t="n">
        <v>0.5</v>
      </c>
      <c r="D50" s="30" t="s">
        <v>487</v>
      </c>
      <c r="E50" s="30"/>
      <c r="F50" s="30"/>
      <c r="G50" s="30" t="s">
        <v>411</v>
      </c>
      <c r="H50" s="7" t="s">
        <v>459</v>
      </c>
      <c r="I50" s="7" t="s">
        <v>494</v>
      </c>
      <c r="J50" s="50" t="n">
        <v>0.5</v>
      </c>
      <c r="K50" s="40" t="str">
        <f aca="false">IF(C50&amp;""=J50&amp;"","","changed")</f>
        <v/>
      </c>
    </row>
    <row r="51" customFormat="false" ht="41.75" hidden="false" customHeight="false" outlineLevel="0" collapsed="false">
      <c r="A51" s="32" t="s">
        <v>495</v>
      </c>
      <c r="B51" s="7" t="s">
        <v>496</v>
      </c>
      <c r="C51" s="39" t="n">
        <v>10</v>
      </c>
      <c r="D51" s="30" t="s">
        <v>410</v>
      </c>
      <c r="E51" s="30"/>
      <c r="F51" s="30"/>
      <c r="G51" s="30" t="s">
        <v>367</v>
      </c>
      <c r="H51" s="7" t="s">
        <v>497</v>
      </c>
      <c r="I51" s="7" t="s">
        <v>498</v>
      </c>
      <c r="J51" s="32" t="n">
        <v>10</v>
      </c>
      <c r="K51" s="40" t="str">
        <f aca="false">IF(C51&amp;""=J51&amp;"","","changed")</f>
        <v/>
      </c>
    </row>
    <row r="52" customFormat="false" ht="28.35" hidden="false" customHeight="false" outlineLevel="0" collapsed="false">
      <c r="A52" s="32" t="s">
        <v>499</v>
      </c>
      <c r="B52" s="7" t="s">
        <v>500</v>
      </c>
      <c r="C52" s="39" t="n">
        <v>1</v>
      </c>
      <c r="D52" s="30" t="s">
        <v>410</v>
      </c>
      <c r="E52" s="30"/>
      <c r="F52" s="30"/>
      <c r="G52" s="30" t="s">
        <v>367</v>
      </c>
      <c r="H52" s="7" t="s">
        <v>501</v>
      </c>
      <c r="I52" s="7" t="s">
        <v>502</v>
      </c>
      <c r="J52" s="32" t="n">
        <v>1</v>
      </c>
      <c r="K52" s="40" t="str">
        <f aca="false">IF(C52&amp;""=J52&amp;"","","changed")</f>
        <v/>
      </c>
    </row>
    <row r="53" customFormat="false" ht="28.35" hidden="false" customHeight="false" outlineLevel="0" collapsed="false">
      <c r="A53" s="32" t="s">
        <v>503</v>
      </c>
      <c r="B53" s="7" t="s">
        <v>504</v>
      </c>
      <c r="C53" s="39"/>
      <c r="D53" s="30" t="s">
        <v>505</v>
      </c>
      <c r="E53" s="30"/>
      <c r="F53" s="30"/>
      <c r="G53" s="30" t="s">
        <v>506</v>
      </c>
      <c r="H53" s="7" t="s">
        <v>507</v>
      </c>
      <c r="I53" s="7" t="s">
        <v>508</v>
      </c>
      <c r="J53" s="32"/>
      <c r="K53" s="40" t="str">
        <f aca="false">IF(C53&amp;""=J53&amp;"","","changed")</f>
        <v/>
      </c>
    </row>
    <row r="54" customFormat="false" ht="15" hidden="false" customHeight="false" outlineLevel="0" collapsed="false">
      <c r="A54" s="32" t="s">
        <v>509</v>
      </c>
      <c r="B54" s="7" t="s">
        <v>510</v>
      </c>
      <c r="C54" s="51" t="n">
        <v>0.03</v>
      </c>
      <c r="D54" s="30" t="s">
        <v>511</v>
      </c>
      <c r="E54" s="30"/>
      <c r="F54" s="30"/>
      <c r="G54" s="30" t="s">
        <v>411</v>
      </c>
      <c r="H54" s="7" t="s">
        <v>512</v>
      </c>
      <c r="I54" s="7" t="s">
        <v>513</v>
      </c>
      <c r="J54" s="52" t="n">
        <v>0.03</v>
      </c>
      <c r="K54" s="40" t="str">
        <f aca="false">IF(C54&amp;""=J54&amp;"","","changed")</f>
        <v/>
      </c>
    </row>
    <row r="55" customFormat="false" ht="41.75" hidden="false" customHeight="false" outlineLevel="0" collapsed="false">
      <c r="A55" s="32" t="s">
        <v>514</v>
      </c>
      <c r="B55" s="7" t="s">
        <v>515</v>
      </c>
      <c r="C55" s="39" t="n">
        <v>1</v>
      </c>
      <c r="D55" s="30" t="s">
        <v>516</v>
      </c>
      <c r="E55" s="30" t="n">
        <v>0</v>
      </c>
      <c r="F55" s="30" t="n">
        <v>1</v>
      </c>
      <c r="G55" s="30" t="s">
        <v>384</v>
      </c>
      <c r="H55" s="7" t="s">
        <v>512</v>
      </c>
      <c r="I55" s="7" t="s">
        <v>517</v>
      </c>
      <c r="J55" s="32" t="n">
        <v>1</v>
      </c>
      <c r="K55" s="40" t="str">
        <f aca="false">IF(C55&amp;""=J55&amp;"","","changed")</f>
        <v/>
      </c>
    </row>
    <row r="57" customFormat="false" ht="15" hidden="false" customHeight="false" outlineLevel="0" collapsed="false">
      <c r="A57" s="3" t="s">
        <v>518</v>
      </c>
      <c r="B57" s="4"/>
      <c r="C57" s="4"/>
      <c r="D57" s="4"/>
      <c r="E57" s="4"/>
      <c r="F57" s="4"/>
      <c r="G57" s="4"/>
      <c r="H57" s="4"/>
      <c r="I57" s="4"/>
      <c r="J57" s="4"/>
      <c r="K57" s="4"/>
    </row>
    <row r="58" customFormat="false" ht="28.35" hidden="false" customHeight="false" outlineLevel="0" collapsed="false">
      <c r="A58" s="12" t="s">
        <v>341</v>
      </c>
      <c r="B58" s="12" t="s">
        <v>342</v>
      </c>
      <c r="C58" s="12" t="s">
        <v>232</v>
      </c>
      <c r="D58" s="12" t="s">
        <v>343</v>
      </c>
      <c r="E58" s="12" t="s">
        <v>344</v>
      </c>
      <c r="F58" s="12" t="s">
        <v>345</v>
      </c>
      <c r="G58" s="12" t="s">
        <v>276</v>
      </c>
      <c r="H58" s="12" t="s">
        <v>346</v>
      </c>
      <c r="I58" s="12" t="s">
        <v>347</v>
      </c>
      <c r="J58" s="12" t="s">
        <v>348</v>
      </c>
      <c r="K58" s="12" t="s">
        <v>349</v>
      </c>
    </row>
    <row r="59" customFormat="false" ht="28.35" hidden="false" customHeight="false" outlineLevel="0" collapsed="false">
      <c r="A59" s="32" t="s">
        <v>519</v>
      </c>
      <c r="B59" s="7" t="s">
        <v>520</v>
      </c>
      <c r="C59" s="39" t="n">
        <v>5</v>
      </c>
      <c r="D59" s="30" t="s">
        <v>463</v>
      </c>
      <c r="E59" s="30"/>
      <c r="F59" s="30"/>
      <c r="G59" s="30" t="s">
        <v>411</v>
      </c>
      <c r="H59" s="7" t="s">
        <v>521</v>
      </c>
      <c r="I59" s="7"/>
      <c r="J59" s="32" t="n">
        <v>5</v>
      </c>
      <c r="K59" s="40" t="str">
        <f aca="false">IF(C59&amp;""=J59&amp;"","","changed")</f>
        <v/>
      </c>
    </row>
    <row r="60" customFormat="false" ht="28.35" hidden="false" customHeight="false" outlineLevel="0" collapsed="false">
      <c r="A60" s="32" t="s">
        <v>522</v>
      </c>
      <c r="B60" s="7" t="s">
        <v>523</v>
      </c>
      <c r="C60" s="39" t="n">
        <v>2</v>
      </c>
      <c r="D60" s="30" t="s">
        <v>480</v>
      </c>
      <c r="E60" s="30"/>
      <c r="F60" s="30"/>
      <c r="G60" s="30" t="s">
        <v>411</v>
      </c>
      <c r="H60" s="7" t="s">
        <v>524</v>
      </c>
      <c r="I60" s="7"/>
      <c r="J60" s="32" t="n">
        <v>2</v>
      </c>
      <c r="K60" s="40" t="str">
        <f aca="false">IF(C60&amp;""=J60&amp;"","","changed")</f>
        <v/>
      </c>
    </row>
    <row r="61" customFormat="false" ht="28.35" hidden="false" customHeight="false" outlineLevel="0" collapsed="false">
      <c r="A61" s="32" t="s">
        <v>525</v>
      </c>
      <c r="B61" s="7" t="s">
        <v>526</v>
      </c>
      <c r="C61" s="39" t="n">
        <v>10</v>
      </c>
      <c r="D61" s="30" t="s">
        <v>463</v>
      </c>
      <c r="E61" s="30"/>
      <c r="F61" s="30"/>
      <c r="G61" s="30" t="s">
        <v>411</v>
      </c>
      <c r="H61" s="7" t="s">
        <v>527</v>
      </c>
      <c r="I61" s="7"/>
      <c r="J61" s="32" t="n">
        <v>10</v>
      </c>
      <c r="K61" s="40" t="str">
        <f aca="false">IF(C61&amp;""=J61&amp;"","","changed")</f>
        <v/>
      </c>
    </row>
    <row r="62" customFormat="false" ht="28.35" hidden="false" customHeight="false" outlineLevel="0" collapsed="false">
      <c r="A62" s="32" t="s">
        <v>528</v>
      </c>
      <c r="B62" s="7" t="s">
        <v>529</v>
      </c>
      <c r="C62" s="39" t="n">
        <v>3</v>
      </c>
      <c r="D62" s="30" t="s">
        <v>480</v>
      </c>
      <c r="E62" s="30"/>
      <c r="F62" s="30"/>
      <c r="G62" s="30" t="s">
        <v>411</v>
      </c>
      <c r="H62" s="7" t="s">
        <v>530</v>
      </c>
      <c r="I62" s="7" t="s">
        <v>531</v>
      </c>
      <c r="J62" s="32" t="n">
        <v>3</v>
      </c>
      <c r="K62" s="40" t="str">
        <f aca="false">IF(C62&amp;""=J62&amp;"","","changed")</f>
        <v/>
      </c>
    </row>
    <row r="63" customFormat="false" ht="15" hidden="false" customHeight="false" outlineLevel="0" collapsed="false">
      <c r="A63" s="32" t="s">
        <v>532</v>
      </c>
      <c r="B63" s="7" t="s">
        <v>533</v>
      </c>
      <c r="C63" s="39" t="n">
        <v>50</v>
      </c>
      <c r="D63" s="30" t="s">
        <v>534</v>
      </c>
      <c r="E63" s="30"/>
      <c r="F63" s="30"/>
      <c r="G63" s="30" t="s">
        <v>411</v>
      </c>
      <c r="H63" s="7" t="s">
        <v>535</v>
      </c>
      <c r="I63" s="7" t="s">
        <v>536</v>
      </c>
      <c r="J63" s="32" t="n">
        <v>50</v>
      </c>
      <c r="K63" s="40" t="str">
        <f aca="false">IF(C63&amp;""=J63&amp;"","","changed")</f>
        <v/>
      </c>
    </row>
    <row r="64" customFormat="false" ht="15" hidden="false" customHeight="false" outlineLevel="0" collapsed="false">
      <c r="A64" s="32" t="s">
        <v>537</v>
      </c>
      <c r="B64" s="7" t="s">
        <v>538</v>
      </c>
      <c r="C64" s="49" t="n">
        <v>0.1</v>
      </c>
      <c r="D64" s="30" t="s">
        <v>487</v>
      </c>
      <c r="E64" s="30"/>
      <c r="F64" s="30"/>
      <c r="G64" s="30" t="s">
        <v>411</v>
      </c>
      <c r="H64" s="7" t="s">
        <v>535</v>
      </c>
      <c r="I64" s="7"/>
      <c r="J64" s="50" t="n">
        <v>0.1</v>
      </c>
      <c r="K64" s="40" t="str">
        <f aca="false">IF(C64&amp;""=J64&amp;"","","changed")</f>
        <v/>
      </c>
    </row>
    <row r="66" customFormat="false" ht="15" hidden="false" customHeight="false" outlineLevel="0" collapsed="false">
      <c r="A66" s="3" t="s">
        <v>539</v>
      </c>
      <c r="B66" s="4"/>
      <c r="C66" s="4"/>
      <c r="D66" s="4"/>
      <c r="E66" s="4"/>
      <c r="F66" s="4"/>
      <c r="G66" s="4"/>
      <c r="H66" s="4"/>
      <c r="I66" s="4"/>
      <c r="J66" s="4"/>
      <c r="K66" s="4"/>
    </row>
    <row r="67" customFormat="false" ht="28.35" hidden="false" customHeight="false" outlineLevel="0" collapsed="false">
      <c r="A67" s="12" t="s">
        <v>341</v>
      </c>
      <c r="B67" s="12" t="s">
        <v>342</v>
      </c>
      <c r="C67" s="12" t="s">
        <v>232</v>
      </c>
      <c r="D67" s="12" t="s">
        <v>343</v>
      </c>
      <c r="E67" s="12" t="s">
        <v>344</v>
      </c>
      <c r="F67" s="12" t="s">
        <v>345</v>
      </c>
      <c r="G67" s="12" t="s">
        <v>276</v>
      </c>
      <c r="H67" s="12" t="s">
        <v>346</v>
      </c>
      <c r="I67" s="12" t="s">
        <v>347</v>
      </c>
      <c r="J67" s="12" t="s">
        <v>348</v>
      </c>
      <c r="K67" s="12" t="s">
        <v>349</v>
      </c>
    </row>
    <row r="68" customFormat="false" ht="28.35" hidden="false" customHeight="false" outlineLevel="0" collapsed="false">
      <c r="A68" s="32" t="s">
        <v>540</v>
      </c>
      <c r="B68" s="7" t="s">
        <v>541</v>
      </c>
      <c r="C68" s="46" t="n">
        <v>8</v>
      </c>
      <c r="D68" s="30" t="s">
        <v>542</v>
      </c>
      <c r="E68" s="30"/>
      <c r="F68" s="30"/>
      <c r="G68" s="30" t="s">
        <v>411</v>
      </c>
      <c r="H68" s="7" t="s">
        <v>512</v>
      </c>
      <c r="I68" s="7" t="s">
        <v>543</v>
      </c>
      <c r="J68" s="47" t="n">
        <v>8</v>
      </c>
      <c r="K68" s="40" t="str">
        <f aca="false">IF(C68&amp;""=J68&amp;"","","changed")</f>
        <v/>
      </c>
    </row>
    <row r="69" customFormat="false" ht="28.35" hidden="false" customHeight="false" outlineLevel="0" collapsed="false">
      <c r="A69" s="32" t="s">
        <v>544</v>
      </c>
      <c r="B69" s="7" t="s">
        <v>545</v>
      </c>
      <c r="C69" s="46"/>
      <c r="D69" s="30" t="s">
        <v>546</v>
      </c>
      <c r="E69" s="19" t="n">
        <v>1</v>
      </c>
      <c r="F69" s="19" t="n">
        <v>2</v>
      </c>
      <c r="G69" s="30" t="s">
        <v>506</v>
      </c>
      <c r="H69" s="7" t="s">
        <v>547</v>
      </c>
      <c r="I69" s="7" t="s">
        <v>548</v>
      </c>
      <c r="J69" s="47"/>
      <c r="K69" s="40" t="str">
        <f aca="false">IF(C69&amp;""=J69&amp;"","","changed")</f>
        <v/>
      </c>
    </row>
    <row r="70" customFormat="false" ht="15" hidden="false" customHeight="false" outlineLevel="0" collapsed="false">
      <c r="A70" s="32" t="s">
        <v>549</v>
      </c>
      <c r="B70" s="7" t="s">
        <v>550</v>
      </c>
      <c r="C70" s="46" t="n">
        <v>120</v>
      </c>
      <c r="D70" s="30" t="s">
        <v>551</v>
      </c>
      <c r="E70" s="30"/>
      <c r="F70" s="30"/>
      <c r="G70" s="30" t="s">
        <v>411</v>
      </c>
      <c r="H70" s="7" t="s">
        <v>512</v>
      </c>
      <c r="I70" s="7" t="s">
        <v>552</v>
      </c>
      <c r="J70" s="47" t="n">
        <v>120</v>
      </c>
      <c r="K70" s="40" t="str">
        <f aca="false">IF(C70&amp;""=J70&amp;"","","changed")</f>
        <v/>
      </c>
    </row>
    <row r="71" customFormat="false" ht="28.35" hidden="false" customHeight="false" outlineLevel="0" collapsed="false">
      <c r="A71" s="32" t="s">
        <v>553</v>
      </c>
      <c r="B71" s="7" t="s">
        <v>554</v>
      </c>
      <c r="C71" s="46" t="n">
        <v>30</v>
      </c>
      <c r="D71" s="30" t="s">
        <v>555</v>
      </c>
      <c r="E71" s="19" t="n">
        <v>25</v>
      </c>
      <c r="F71" s="19" t="n">
        <v>40</v>
      </c>
      <c r="G71" s="30" t="s">
        <v>556</v>
      </c>
      <c r="H71" s="7" t="s">
        <v>512</v>
      </c>
      <c r="I71" s="7" t="s">
        <v>557</v>
      </c>
      <c r="J71" s="47" t="n">
        <v>30</v>
      </c>
      <c r="K71" s="40" t="str">
        <f aca="false">IF(C71&amp;""=J71&amp;"","","changed")</f>
        <v/>
      </c>
    </row>
    <row r="72" customFormat="false" ht="15" hidden="false" customHeight="false" outlineLevel="0" collapsed="false">
      <c r="A72" s="32" t="s">
        <v>558</v>
      </c>
      <c r="B72" s="7" t="s">
        <v>559</v>
      </c>
      <c r="C72" s="46" t="n">
        <v>0</v>
      </c>
      <c r="D72" s="30" t="s">
        <v>551</v>
      </c>
      <c r="E72" s="30"/>
      <c r="F72" s="30"/>
      <c r="G72" s="30" t="s">
        <v>411</v>
      </c>
      <c r="H72" s="7" t="s">
        <v>560</v>
      </c>
      <c r="I72" s="7" t="s">
        <v>561</v>
      </c>
      <c r="J72" s="47" t="n">
        <v>0</v>
      </c>
      <c r="K72" s="40" t="str">
        <f aca="false">IF(C72&amp;""=J72&amp;"","","changed")</f>
        <v/>
      </c>
    </row>
    <row r="73" customFormat="false" ht="28.35" hidden="false" customHeight="false" outlineLevel="0" collapsed="false">
      <c r="A73" s="32" t="s">
        <v>562</v>
      </c>
      <c r="B73" s="7" t="s">
        <v>563</v>
      </c>
      <c r="C73" s="46"/>
      <c r="D73" s="30" t="s">
        <v>458</v>
      </c>
      <c r="E73" s="30"/>
      <c r="F73" s="30"/>
      <c r="G73" s="30" t="s">
        <v>564</v>
      </c>
      <c r="H73" s="7" t="s">
        <v>565</v>
      </c>
      <c r="I73" s="7" t="s">
        <v>566</v>
      </c>
      <c r="J73" s="47"/>
      <c r="K73" s="40" t="str">
        <f aca="false">IF(C73&amp;""=J73&amp;"","","changed")</f>
        <v/>
      </c>
    </row>
    <row r="74" customFormat="false" ht="15" hidden="false" customHeight="false" outlineLevel="0" collapsed="false">
      <c r="A74" s="32" t="s">
        <v>567</v>
      </c>
      <c r="B74" s="7" t="s">
        <v>568</v>
      </c>
      <c r="C74" s="39" t="n">
        <v>3</v>
      </c>
      <c r="D74" s="30" t="s">
        <v>410</v>
      </c>
      <c r="E74" s="30"/>
      <c r="F74" s="30"/>
      <c r="G74" s="30" t="s">
        <v>411</v>
      </c>
      <c r="H74" s="7" t="s">
        <v>569</v>
      </c>
      <c r="I74" s="7"/>
      <c r="J74" s="32" t="n">
        <v>3</v>
      </c>
      <c r="K74" s="40" t="str">
        <f aca="false">IF(C74&amp;""=J74&amp;"","","changed")</f>
        <v/>
      </c>
    </row>
    <row r="75" customFormat="false" ht="15" hidden="false" customHeight="false" outlineLevel="0" collapsed="false">
      <c r="A75" s="32" t="s">
        <v>570</v>
      </c>
      <c r="B75" s="7" t="s">
        <v>571</v>
      </c>
      <c r="C75" s="39" t="s">
        <v>572</v>
      </c>
      <c r="D75" s="30" t="s">
        <v>452</v>
      </c>
      <c r="E75" s="30"/>
      <c r="F75" s="30"/>
      <c r="G75" s="30" t="s">
        <v>384</v>
      </c>
      <c r="H75" s="7" t="s">
        <v>512</v>
      </c>
      <c r="I75" s="7" t="s">
        <v>573</v>
      </c>
      <c r="J75" s="32" t="s">
        <v>572</v>
      </c>
      <c r="K75" s="40" t="str">
        <f aca="false">IF(C75&amp;""=J75&amp;"","","changed")</f>
        <v/>
      </c>
    </row>
    <row r="76" customFormat="false" ht="15" hidden="false" customHeight="false" outlineLevel="0" collapsed="false">
      <c r="A76" s="32" t="s">
        <v>574</v>
      </c>
      <c r="B76" s="7" t="s">
        <v>575</v>
      </c>
      <c r="C76" s="46" t="n">
        <v>150</v>
      </c>
      <c r="D76" s="30" t="s">
        <v>576</v>
      </c>
      <c r="E76" s="30"/>
      <c r="F76" s="30"/>
      <c r="G76" s="30" t="s">
        <v>411</v>
      </c>
      <c r="H76" s="7" t="s">
        <v>512</v>
      </c>
      <c r="I76" s="7" t="s">
        <v>577</v>
      </c>
      <c r="J76" s="47" t="n">
        <v>150</v>
      </c>
      <c r="K76" s="40" t="str">
        <f aca="false">IF(C76&amp;""=J76&amp;"","","changed")</f>
        <v/>
      </c>
    </row>
    <row r="77" customFormat="false" ht="41.75" hidden="false" customHeight="false" outlineLevel="0" collapsed="false">
      <c r="A77" s="32" t="s">
        <v>578</v>
      </c>
      <c r="B77" s="7" t="s">
        <v>579</v>
      </c>
      <c r="C77" s="43" t="n">
        <f aca="false">IF(COUNT(Schedule!$AJ$7:$AJ$18)=0,"",EOMONTH(MIN(Schedule!$AJ$7:$AJ$18),-1)+1)</f>
        <v>46419</v>
      </c>
      <c r="D77" s="30" t="s">
        <v>366</v>
      </c>
      <c r="E77" s="30"/>
      <c r="F77" s="30"/>
      <c r="G77" s="30" t="s">
        <v>367</v>
      </c>
      <c r="H77" s="7" t="s">
        <v>580</v>
      </c>
      <c r="I77" s="7" t="s">
        <v>581</v>
      </c>
      <c r="J77" s="42" t="n">
        <f aca="false">IF(COUNT(Schedule!$AJ$7:$AJ$18)=0,"",EOMONTH(MIN(Schedule!$AJ$7:$AJ$18),-1)+1)</f>
        <v>46419</v>
      </c>
      <c r="K77" s="40" t="str">
        <f aca="false">IF(C77&amp;""=J77&amp;"","","changed")</f>
        <v/>
      </c>
    </row>
    <row r="78" customFormat="false" ht="28.35" hidden="false" customHeight="false" outlineLevel="0" collapsed="false">
      <c r="A78" s="32" t="s">
        <v>582</v>
      </c>
      <c r="B78" s="7" t="s">
        <v>583</v>
      </c>
      <c r="C78" s="41"/>
      <c r="D78" s="30" t="s">
        <v>366</v>
      </c>
      <c r="E78" s="30"/>
      <c r="F78" s="30"/>
      <c r="G78" s="30" t="s">
        <v>384</v>
      </c>
      <c r="H78" s="7" t="s">
        <v>584</v>
      </c>
      <c r="I78" s="7" t="s">
        <v>585</v>
      </c>
      <c r="J78" s="42"/>
      <c r="K78" s="40" t="str">
        <f aca="false">IF(C78&amp;""=J78&amp;"","","changed")</f>
        <v/>
      </c>
    </row>
    <row r="79" customFormat="false" ht="28.35" hidden="false" customHeight="false" outlineLevel="0" collapsed="false">
      <c r="A79" s="32" t="s">
        <v>586</v>
      </c>
      <c r="B79" s="7" t="s">
        <v>587</v>
      </c>
      <c r="C79" s="46" t="n">
        <v>60</v>
      </c>
      <c r="D79" s="30" t="s">
        <v>576</v>
      </c>
      <c r="E79" s="19" t="n">
        <v>7</v>
      </c>
      <c r="F79" s="19" t="n">
        <v>81</v>
      </c>
      <c r="G79" s="30" t="s">
        <v>411</v>
      </c>
      <c r="H79" s="7" t="s">
        <v>588</v>
      </c>
      <c r="I79" s="7" t="s">
        <v>589</v>
      </c>
      <c r="J79" s="47" t="n">
        <v>60</v>
      </c>
      <c r="K79" s="40" t="str">
        <f aca="false">IF(C79&amp;""=J79&amp;"","","changed")</f>
        <v/>
      </c>
    </row>
    <row r="80" customFormat="false" ht="15" hidden="false" customHeight="false" outlineLevel="0" collapsed="false">
      <c r="A80" s="32" t="s">
        <v>590</v>
      </c>
      <c r="B80" s="7" t="s">
        <v>591</v>
      </c>
      <c r="C80" s="43" t="n">
        <f aca="false">Inputs!$C$10</f>
        <v>46321</v>
      </c>
      <c r="D80" s="30" t="s">
        <v>366</v>
      </c>
      <c r="E80" s="30"/>
      <c r="F80" s="30"/>
      <c r="G80" s="30" t="s">
        <v>367</v>
      </c>
      <c r="H80" s="7" t="s">
        <v>592</v>
      </c>
      <c r="I80" s="7" t="s">
        <v>593</v>
      </c>
      <c r="J80" s="42" t="n">
        <f aca="false">Inputs!$C$10</f>
        <v>46321</v>
      </c>
      <c r="K80" s="40" t="str">
        <f aca="false">IF(C80&amp;""=J80&amp;"","","changed")</f>
        <v/>
      </c>
    </row>
    <row r="81" customFormat="false" ht="41.75" hidden="false" customHeight="false" outlineLevel="0" collapsed="false">
      <c r="A81" s="32" t="s">
        <v>594</v>
      </c>
      <c r="B81" s="7" t="s">
        <v>595</v>
      </c>
      <c r="C81" s="46" t="n">
        <v>100</v>
      </c>
      <c r="D81" s="30" t="s">
        <v>576</v>
      </c>
      <c r="E81" s="19" t="n">
        <v>41.6666666666667</v>
      </c>
      <c r="F81" s="19" t="n">
        <v>125</v>
      </c>
      <c r="G81" s="30" t="s">
        <v>596</v>
      </c>
      <c r="H81" s="7" t="s">
        <v>597</v>
      </c>
      <c r="I81" s="7" t="s">
        <v>598</v>
      </c>
      <c r="J81" s="47" t="n">
        <v>100</v>
      </c>
      <c r="K81" s="40" t="str">
        <f aca="false">IF(C81&amp;""=J81&amp;"","","changed")</f>
        <v/>
      </c>
    </row>
    <row r="82" customFormat="false" ht="15" hidden="false" customHeight="false" outlineLevel="0" collapsed="false">
      <c r="A82" s="32" t="s">
        <v>599</v>
      </c>
      <c r="B82" s="7" t="s">
        <v>600</v>
      </c>
      <c r="C82" s="39" t="s">
        <v>601</v>
      </c>
      <c r="D82" s="30" t="s">
        <v>452</v>
      </c>
      <c r="E82" s="30"/>
      <c r="F82" s="30"/>
      <c r="G82" s="30" t="s">
        <v>384</v>
      </c>
      <c r="H82" s="7" t="s">
        <v>602</v>
      </c>
      <c r="I82" s="7" t="s">
        <v>603</v>
      </c>
      <c r="J82" s="32" t="s">
        <v>601</v>
      </c>
      <c r="K82" s="40" t="str">
        <f aca="false">IF(C82&amp;""=J82&amp;"","","changed")</f>
        <v/>
      </c>
    </row>
    <row r="83" customFormat="false" ht="28.35" hidden="false" customHeight="false" outlineLevel="0" collapsed="false">
      <c r="A83" s="32" t="s">
        <v>604</v>
      </c>
      <c r="B83" s="7" t="s">
        <v>605</v>
      </c>
      <c r="C83" s="43" t="n">
        <f aca="false">Inputs!$C$12</f>
        <v>46367</v>
      </c>
      <c r="D83" s="30" t="s">
        <v>366</v>
      </c>
      <c r="E83" s="30"/>
      <c r="F83" s="30"/>
      <c r="G83" s="30" t="s">
        <v>367</v>
      </c>
      <c r="H83" s="7" t="s">
        <v>606</v>
      </c>
      <c r="I83" s="7" t="s">
        <v>607</v>
      </c>
      <c r="J83" s="42" t="n">
        <f aca="false">Inputs!$C$12</f>
        <v>46367</v>
      </c>
      <c r="K83" s="40" t="str">
        <f aca="false">IF(C83&amp;""=J83&amp;"","","changed")</f>
        <v/>
      </c>
    </row>
    <row r="84" customFormat="false" ht="15" hidden="false" customHeight="false" outlineLevel="0" collapsed="false">
      <c r="A84" s="32" t="s">
        <v>608</v>
      </c>
      <c r="B84" s="7" t="s">
        <v>609</v>
      </c>
      <c r="C84" s="46" t="n">
        <v>0</v>
      </c>
      <c r="D84" s="30" t="s">
        <v>576</v>
      </c>
      <c r="E84" s="30"/>
      <c r="F84" s="30"/>
      <c r="G84" s="30" t="s">
        <v>411</v>
      </c>
      <c r="H84" s="7" t="s">
        <v>610</v>
      </c>
      <c r="I84" s="7"/>
      <c r="J84" s="47" t="n">
        <v>0</v>
      </c>
      <c r="K84" s="40" t="str">
        <f aca="false">IF(C84&amp;""=J84&amp;"","","changed")</f>
        <v/>
      </c>
    </row>
    <row r="85" customFormat="false" ht="28.35" hidden="false" customHeight="false" outlineLevel="0" collapsed="false">
      <c r="A85" s="32" t="s">
        <v>611</v>
      </c>
      <c r="B85" s="7" t="s">
        <v>612</v>
      </c>
      <c r="C85" s="39" t="n">
        <v>2</v>
      </c>
      <c r="D85" s="30" t="s">
        <v>613</v>
      </c>
      <c r="E85" s="30"/>
      <c r="F85" s="30"/>
      <c r="G85" s="30" t="s">
        <v>411</v>
      </c>
      <c r="H85" s="7" t="s">
        <v>512</v>
      </c>
      <c r="I85" s="7" t="s">
        <v>614</v>
      </c>
      <c r="J85" s="32" t="n">
        <v>2</v>
      </c>
      <c r="K85" s="40" t="str">
        <f aca="false">IF(C85&amp;""=J85&amp;"","","changed")</f>
        <v/>
      </c>
    </row>
    <row r="87" customFormat="false" ht="15" hidden="false" customHeight="false" outlineLevel="0" collapsed="false">
      <c r="A87" s="3" t="s">
        <v>615</v>
      </c>
      <c r="B87" s="4"/>
      <c r="C87" s="4"/>
      <c r="D87" s="4"/>
      <c r="E87" s="4"/>
      <c r="F87" s="4"/>
      <c r="G87" s="4"/>
      <c r="H87" s="4"/>
      <c r="I87" s="4"/>
      <c r="J87" s="4"/>
      <c r="K87" s="4"/>
    </row>
    <row r="88" customFormat="false" ht="28.35" hidden="false" customHeight="false" outlineLevel="0" collapsed="false">
      <c r="A88" s="12" t="s">
        <v>341</v>
      </c>
      <c r="B88" s="12" t="s">
        <v>342</v>
      </c>
      <c r="C88" s="12" t="s">
        <v>232</v>
      </c>
      <c r="D88" s="12" t="s">
        <v>343</v>
      </c>
      <c r="E88" s="12" t="s">
        <v>344</v>
      </c>
      <c r="F88" s="12" t="s">
        <v>345</v>
      </c>
      <c r="G88" s="12" t="s">
        <v>276</v>
      </c>
      <c r="H88" s="12" t="s">
        <v>346</v>
      </c>
      <c r="I88" s="12" t="s">
        <v>347</v>
      </c>
      <c r="J88" s="12" t="s">
        <v>348</v>
      </c>
      <c r="K88" s="12" t="s">
        <v>349</v>
      </c>
    </row>
    <row r="89" customFormat="false" ht="15" hidden="false" customHeight="false" outlineLevel="0" collapsed="false">
      <c r="A89" s="32" t="s">
        <v>616</v>
      </c>
      <c r="B89" s="7" t="s">
        <v>617</v>
      </c>
      <c r="C89" s="39" t="n">
        <v>10</v>
      </c>
      <c r="D89" s="30" t="s">
        <v>618</v>
      </c>
      <c r="E89" s="30"/>
      <c r="F89" s="30"/>
      <c r="G89" s="30" t="s">
        <v>411</v>
      </c>
      <c r="H89" s="7" t="s">
        <v>619</v>
      </c>
      <c r="I89" s="7" t="s">
        <v>620</v>
      </c>
      <c r="J89" s="32" t="n">
        <v>10</v>
      </c>
      <c r="K89" s="40" t="str">
        <f aca="false">IF(C89&amp;""=J89&amp;"","","changed")</f>
        <v/>
      </c>
    </row>
    <row r="90" customFormat="false" ht="15" hidden="false" customHeight="false" outlineLevel="0" collapsed="false">
      <c r="A90" s="32" t="s">
        <v>621</v>
      </c>
      <c r="B90" s="7" t="s">
        <v>622</v>
      </c>
      <c r="C90" s="49" t="n">
        <v>0.2</v>
      </c>
      <c r="D90" s="30" t="s">
        <v>487</v>
      </c>
      <c r="E90" s="30"/>
      <c r="F90" s="30"/>
      <c r="G90" s="30" t="s">
        <v>411</v>
      </c>
      <c r="H90" s="7" t="s">
        <v>623</v>
      </c>
      <c r="I90" s="7" t="s">
        <v>624</v>
      </c>
      <c r="J90" s="50" t="n">
        <v>0.2</v>
      </c>
      <c r="K90" s="40" t="str">
        <f aca="false">IF(C90&amp;""=J90&amp;"","","changed")</f>
        <v/>
      </c>
    </row>
    <row r="91" customFormat="false" ht="15" hidden="false" customHeight="false" outlineLevel="0" collapsed="false">
      <c r="A91" s="32" t="s">
        <v>625</v>
      </c>
      <c r="B91" s="7" t="s">
        <v>626</v>
      </c>
      <c r="C91" s="39" t="n">
        <v>0.75</v>
      </c>
      <c r="D91" s="30" t="s">
        <v>407</v>
      </c>
      <c r="E91" s="30"/>
      <c r="F91" s="30"/>
      <c r="G91" s="30" t="s">
        <v>411</v>
      </c>
      <c r="H91" s="7" t="s">
        <v>627</v>
      </c>
      <c r="I91" s="7"/>
      <c r="J91" s="32" t="n">
        <v>0.75</v>
      </c>
      <c r="K91" s="40" t="str">
        <f aca="false">IF(C91&amp;""=J91&amp;"","","changed")</f>
        <v/>
      </c>
    </row>
    <row r="92" customFormat="false" ht="28.35" hidden="false" customHeight="false" outlineLevel="0" collapsed="false">
      <c r="A92" s="32" t="s">
        <v>628</v>
      </c>
      <c r="B92" s="7" t="s">
        <v>629</v>
      </c>
      <c r="C92" s="39" t="n">
        <v>2.25</v>
      </c>
      <c r="D92" s="30" t="s">
        <v>407</v>
      </c>
      <c r="E92" s="30"/>
      <c r="F92" s="30"/>
      <c r="G92" s="30" t="s">
        <v>367</v>
      </c>
      <c r="H92" s="7" t="s">
        <v>619</v>
      </c>
      <c r="I92" s="7" t="s">
        <v>630</v>
      </c>
      <c r="J92" s="32" t="n">
        <v>2.25</v>
      </c>
      <c r="K92" s="40" t="str">
        <f aca="false">IF(C92&amp;""=J92&amp;"","","changed")</f>
        <v/>
      </c>
    </row>
    <row r="93" customFormat="false" ht="15" hidden="false" customHeight="false" outlineLevel="0" collapsed="false">
      <c r="A93" s="32" t="s">
        <v>631</v>
      </c>
      <c r="B93" s="7" t="s">
        <v>632</v>
      </c>
      <c r="C93" s="53" t="n">
        <f aca="false">1/Inputs!$C$90*Inputs!$C$91+Inputs!$C$92</f>
        <v>6</v>
      </c>
      <c r="D93" s="30" t="s">
        <v>618</v>
      </c>
      <c r="E93" s="30"/>
      <c r="F93" s="30"/>
      <c r="G93" s="30" t="s">
        <v>389</v>
      </c>
      <c r="H93" s="7" t="s">
        <v>633</v>
      </c>
      <c r="I93" s="7" t="s">
        <v>634</v>
      </c>
      <c r="J93" s="30"/>
      <c r="K93" s="30"/>
    </row>
    <row r="94" customFormat="false" ht="28.35" hidden="false" customHeight="false" outlineLevel="0" collapsed="false">
      <c r="A94" s="32" t="s">
        <v>635</v>
      </c>
      <c r="B94" s="7" t="s">
        <v>636</v>
      </c>
      <c r="C94" s="39" t="n">
        <v>2</v>
      </c>
      <c r="D94" s="30" t="s">
        <v>637</v>
      </c>
      <c r="E94" s="30"/>
      <c r="F94" s="30"/>
      <c r="G94" s="30" t="s">
        <v>411</v>
      </c>
      <c r="H94" s="7" t="s">
        <v>638</v>
      </c>
      <c r="I94" s="7"/>
      <c r="J94" s="32" t="n">
        <v>2</v>
      </c>
      <c r="K94" s="40" t="str">
        <f aca="false">IF(C94&amp;""=J94&amp;"","","changed")</f>
        <v/>
      </c>
    </row>
    <row r="95" customFormat="false" ht="15" hidden="false" customHeight="false" outlineLevel="0" collapsed="false">
      <c r="A95" s="32" t="s">
        <v>639</v>
      </c>
      <c r="B95" s="7" t="s">
        <v>640</v>
      </c>
      <c r="C95" s="39" t="n">
        <v>4</v>
      </c>
      <c r="D95" s="30" t="s">
        <v>641</v>
      </c>
      <c r="E95" s="30"/>
      <c r="F95" s="30"/>
      <c r="G95" s="30" t="s">
        <v>411</v>
      </c>
      <c r="H95" s="7" t="s">
        <v>619</v>
      </c>
      <c r="I95" s="7" t="s">
        <v>642</v>
      </c>
      <c r="J95" s="32" t="n">
        <v>4</v>
      </c>
      <c r="K95" s="40" t="str">
        <f aca="false">IF(C95&amp;""=J95&amp;"","","changed")</f>
        <v/>
      </c>
    </row>
    <row r="96" customFormat="false" ht="15" hidden="false" customHeight="false" outlineLevel="0" collapsed="false">
      <c r="A96" s="32" t="s">
        <v>643</v>
      </c>
      <c r="B96" s="7" t="s">
        <v>644</v>
      </c>
      <c r="C96" s="39" t="n">
        <v>1</v>
      </c>
      <c r="D96" s="30" t="s">
        <v>641</v>
      </c>
      <c r="E96" s="30"/>
      <c r="F96" s="30"/>
      <c r="G96" s="30" t="s">
        <v>411</v>
      </c>
      <c r="H96" s="7" t="s">
        <v>619</v>
      </c>
      <c r="I96" s="7" t="s">
        <v>645</v>
      </c>
      <c r="J96" s="32" t="n">
        <v>1</v>
      </c>
      <c r="K96" s="40" t="str">
        <f aca="false">IF(C96&amp;""=J96&amp;"","","changed")</f>
        <v/>
      </c>
    </row>
    <row r="97" customFormat="false" ht="15" hidden="false" customHeight="false" outlineLevel="0" collapsed="false">
      <c r="A97" s="32" t="s">
        <v>646</v>
      </c>
      <c r="B97" s="7" t="s">
        <v>647</v>
      </c>
      <c r="C97" s="39" t="n">
        <v>0.5</v>
      </c>
      <c r="D97" s="30" t="s">
        <v>618</v>
      </c>
      <c r="E97" s="30"/>
      <c r="F97" s="30"/>
      <c r="G97" s="30" t="s">
        <v>367</v>
      </c>
      <c r="H97" s="7" t="s">
        <v>619</v>
      </c>
      <c r="I97" s="7" t="s">
        <v>648</v>
      </c>
      <c r="J97" s="32" t="n">
        <v>0.5</v>
      </c>
      <c r="K97" s="40" t="str">
        <f aca="false">IF(C97&amp;""=J97&amp;"","","changed")</f>
        <v/>
      </c>
    </row>
    <row r="98" customFormat="false" ht="15" hidden="false" customHeight="false" outlineLevel="0" collapsed="false">
      <c r="A98" s="32" t="s">
        <v>649</v>
      </c>
      <c r="B98" s="7" t="s">
        <v>650</v>
      </c>
      <c r="C98" s="39" t="n">
        <v>2</v>
      </c>
      <c r="D98" s="30" t="s">
        <v>618</v>
      </c>
      <c r="E98" s="30"/>
      <c r="F98" s="30"/>
      <c r="G98" s="30" t="s">
        <v>411</v>
      </c>
      <c r="H98" s="7" t="s">
        <v>619</v>
      </c>
      <c r="I98" s="7" t="s">
        <v>651</v>
      </c>
      <c r="J98" s="32" t="n">
        <v>2</v>
      </c>
      <c r="K98" s="40" t="str">
        <f aca="false">IF(C98&amp;""=J98&amp;"","","changed")</f>
        <v/>
      </c>
    </row>
    <row r="99" customFormat="false" ht="15" hidden="false" customHeight="false" outlineLevel="0" collapsed="false">
      <c r="A99" s="32" t="s">
        <v>652</v>
      </c>
      <c r="B99" s="7" t="s">
        <v>653</v>
      </c>
      <c r="C99" s="39" t="n">
        <v>2</v>
      </c>
      <c r="D99" s="30" t="s">
        <v>654</v>
      </c>
      <c r="E99" s="30"/>
      <c r="F99" s="30"/>
      <c r="G99" s="30" t="s">
        <v>411</v>
      </c>
      <c r="H99" s="7" t="s">
        <v>619</v>
      </c>
      <c r="I99" s="7"/>
      <c r="J99" s="32" t="n">
        <v>2</v>
      </c>
      <c r="K99" s="40" t="str">
        <f aca="false">IF(C99&amp;""=J99&amp;"","","changed")</f>
        <v/>
      </c>
    </row>
    <row r="100" customFormat="false" ht="28.35" hidden="false" customHeight="false" outlineLevel="0" collapsed="false">
      <c r="A100" s="32" t="s">
        <v>655</v>
      </c>
      <c r="B100" s="7" t="s">
        <v>656</v>
      </c>
      <c r="C100" s="39" t="n">
        <v>15</v>
      </c>
      <c r="D100" s="30" t="s">
        <v>657</v>
      </c>
      <c r="E100" s="30" t="n">
        <v>10</v>
      </c>
      <c r="F100" s="30" t="n">
        <v>15</v>
      </c>
      <c r="G100" s="30" t="s">
        <v>411</v>
      </c>
      <c r="H100" s="7" t="s">
        <v>658</v>
      </c>
      <c r="I100" s="7" t="s">
        <v>659</v>
      </c>
      <c r="J100" s="32" t="n">
        <v>15</v>
      </c>
      <c r="K100" s="40" t="str">
        <f aca="false">IF(C100&amp;""=J100&amp;"","","changed")</f>
        <v/>
      </c>
    </row>
    <row r="101" customFormat="false" ht="15" hidden="false" customHeight="false" outlineLevel="0" collapsed="false">
      <c r="A101" s="32" t="s">
        <v>660</v>
      </c>
      <c r="B101" s="7" t="s">
        <v>661</v>
      </c>
      <c r="C101" s="39" t="n">
        <v>3</v>
      </c>
      <c r="D101" s="30" t="s">
        <v>398</v>
      </c>
      <c r="E101" s="30"/>
      <c r="F101" s="30"/>
      <c r="G101" s="30" t="s">
        <v>411</v>
      </c>
      <c r="H101" s="7" t="s">
        <v>662</v>
      </c>
      <c r="I101" s="7"/>
      <c r="J101" s="32" t="n">
        <v>3</v>
      </c>
      <c r="K101" s="40" t="str">
        <f aca="false">IF(C101&amp;""=J101&amp;"","","changed")</f>
        <v/>
      </c>
    </row>
    <row r="103" customFormat="false" ht="15" hidden="false" customHeight="false" outlineLevel="0" collapsed="false">
      <c r="A103" s="3" t="s">
        <v>663</v>
      </c>
      <c r="B103" s="4"/>
      <c r="C103" s="4"/>
      <c r="D103" s="4"/>
      <c r="E103" s="4"/>
      <c r="F103" s="4"/>
      <c r="G103" s="4"/>
      <c r="H103" s="4"/>
      <c r="I103" s="4"/>
      <c r="J103" s="4"/>
      <c r="K103" s="4"/>
    </row>
    <row r="104" customFormat="false" ht="45" hidden="false" customHeight="true" outlineLevel="0" collapsed="false">
      <c r="A104" s="12" t="s">
        <v>341</v>
      </c>
      <c r="B104" s="12" t="s">
        <v>328</v>
      </c>
      <c r="C104" s="12" t="s">
        <v>664</v>
      </c>
      <c r="D104" s="12" t="s">
        <v>665</v>
      </c>
      <c r="E104" s="12" t="s">
        <v>666</v>
      </c>
      <c r="F104" s="12" t="s">
        <v>667</v>
      </c>
      <c r="G104" s="12" t="s">
        <v>668</v>
      </c>
      <c r="H104" s="12" t="s">
        <v>669</v>
      </c>
      <c r="I104" s="12" t="s">
        <v>670</v>
      </c>
      <c r="J104" s="12"/>
      <c r="K104" s="12"/>
    </row>
    <row r="105" customFormat="false" ht="28.35" hidden="false" customHeight="false" outlineLevel="0" collapsed="false">
      <c r="A105" s="32" t="s">
        <v>671</v>
      </c>
      <c r="B105" s="9" t="s">
        <v>672</v>
      </c>
      <c r="C105" s="48" t="n">
        <f aca="false">Inputs!$C$70</f>
        <v>120</v>
      </c>
      <c r="D105" s="46" t="n">
        <v>0</v>
      </c>
      <c r="E105" s="46" t="n">
        <v>0</v>
      </c>
      <c r="F105" s="54" t="n">
        <v>2</v>
      </c>
      <c r="G105" s="54" t="n">
        <v>1</v>
      </c>
      <c r="H105" s="54" t="n">
        <v>0.6</v>
      </c>
      <c r="I105" s="7" t="s">
        <v>673</v>
      </c>
    </row>
    <row r="106" customFormat="false" ht="28.35" hidden="false" customHeight="false" outlineLevel="0" collapsed="false">
      <c r="A106" s="32" t="s">
        <v>671</v>
      </c>
      <c r="B106" s="9" t="s">
        <v>674</v>
      </c>
      <c r="C106" s="46" t="n">
        <v>0</v>
      </c>
      <c r="D106" s="48" t="n">
        <f aca="false">Inputs!$C$71</f>
        <v>30</v>
      </c>
      <c r="E106" s="46" t="n">
        <v>0</v>
      </c>
      <c r="F106" s="54" t="n">
        <v>2.5</v>
      </c>
      <c r="G106" s="54" t="n">
        <v>0.8</v>
      </c>
      <c r="H106" s="54" t="n">
        <v>0.4</v>
      </c>
      <c r="I106" s="7" t="s">
        <v>675</v>
      </c>
    </row>
    <row r="107" customFormat="false" ht="28.35" hidden="false" customHeight="false" outlineLevel="0" collapsed="false">
      <c r="A107" s="32" t="s">
        <v>671</v>
      </c>
      <c r="B107" s="9" t="s">
        <v>676</v>
      </c>
      <c r="C107" s="48" t="n">
        <f aca="false">Inputs!$C$72</f>
        <v>0</v>
      </c>
      <c r="D107" s="46" t="n">
        <v>0</v>
      </c>
      <c r="E107" s="48" t="n">
        <f aca="false">Inputs!$C$73</f>
        <v>0</v>
      </c>
      <c r="F107" s="54" t="n">
        <v>0.5</v>
      </c>
      <c r="G107" s="54" t="n">
        <v>0.3</v>
      </c>
      <c r="H107" s="54" t="n">
        <v>0.4</v>
      </c>
      <c r="I107" s="7" t="s">
        <v>677</v>
      </c>
    </row>
    <row r="109" customFormat="false" ht="15" hidden="false" customHeight="false" outlineLevel="0" collapsed="false">
      <c r="A109" s="3" t="s">
        <v>678</v>
      </c>
      <c r="B109" s="4"/>
      <c r="C109" s="4"/>
      <c r="D109" s="4"/>
      <c r="E109" s="4"/>
      <c r="F109" s="4"/>
      <c r="G109" s="4"/>
      <c r="H109" s="4"/>
      <c r="I109" s="4"/>
      <c r="J109" s="4"/>
      <c r="K109" s="4"/>
    </row>
    <row r="110" customFormat="false" ht="28.35" hidden="false" customHeight="false" outlineLevel="0" collapsed="false">
      <c r="A110" s="12" t="s">
        <v>341</v>
      </c>
      <c r="B110" s="12" t="s">
        <v>342</v>
      </c>
      <c r="C110" s="12" t="s">
        <v>232</v>
      </c>
      <c r="D110" s="12" t="s">
        <v>343</v>
      </c>
      <c r="E110" s="12" t="s">
        <v>344</v>
      </c>
      <c r="F110" s="12" t="s">
        <v>345</v>
      </c>
      <c r="G110" s="12" t="s">
        <v>276</v>
      </c>
      <c r="H110" s="12" t="s">
        <v>346</v>
      </c>
      <c r="I110" s="12" t="s">
        <v>347</v>
      </c>
      <c r="J110" s="12" t="s">
        <v>348</v>
      </c>
      <c r="K110" s="12" t="s">
        <v>349</v>
      </c>
    </row>
    <row r="111" customFormat="false" ht="28.35" hidden="false" customHeight="false" outlineLevel="0" collapsed="false">
      <c r="A111" s="32" t="s">
        <v>679</v>
      </c>
      <c r="B111" s="7" t="s">
        <v>680</v>
      </c>
      <c r="C111" s="49" t="n">
        <v>0.4</v>
      </c>
      <c r="D111" s="30" t="s">
        <v>487</v>
      </c>
      <c r="E111" s="30"/>
      <c r="F111" s="30"/>
      <c r="G111" s="30" t="s">
        <v>411</v>
      </c>
      <c r="H111" s="7" t="s">
        <v>681</v>
      </c>
      <c r="I111" s="7" t="s">
        <v>682</v>
      </c>
      <c r="J111" s="50" t="n">
        <v>0.4</v>
      </c>
      <c r="K111" s="40" t="str">
        <f aca="false">IF(C111&amp;""=J111&amp;"","","changed")</f>
        <v/>
      </c>
    </row>
    <row r="112" customFormat="false" ht="15" hidden="false" customHeight="false" outlineLevel="0" collapsed="false">
      <c r="A112" s="32" t="s">
        <v>683</v>
      </c>
      <c r="B112" s="7" t="s">
        <v>684</v>
      </c>
      <c r="C112" s="39" t="n">
        <v>2</v>
      </c>
      <c r="D112" s="30" t="s">
        <v>613</v>
      </c>
      <c r="E112" s="30"/>
      <c r="F112" s="30"/>
      <c r="G112" s="30" t="s">
        <v>411</v>
      </c>
      <c r="H112" s="7" t="s">
        <v>685</v>
      </c>
      <c r="I112" s="7"/>
      <c r="J112" s="32" t="n">
        <v>2</v>
      </c>
      <c r="K112" s="40" t="str">
        <f aca="false">IF(C112&amp;""=J112&amp;"","","changed")</f>
        <v/>
      </c>
    </row>
    <row r="113" customFormat="false" ht="28.35" hidden="false" customHeight="false" outlineLevel="0" collapsed="false">
      <c r="A113" s="32" t="s">
        <v>686</v>
      </c>
      <c r="B113" s="7" t="s">
        <v>687</v>
      </c>
      <c r="C113" s="39" t="s">
        <v>674</v>
      </c>
      <c r="D113" s="30" t="s">
        <v>452</v>
      </c>
      <c r="E113" s="30"/>
      <c r="F113" s="30"/>
      <c r="G113" s="30" t="s">
        <v>384</v>
      </c>
      <c r="H113" s="7" t="s">
        <v>688</v>
      </c>
      <c r="I113" s="7" t="s">
        <v>689</v>
      </c>
      <c r="J113" s="32" t="s">
        <v>674</v>
      </c>
      <c r="K113" s="40" t="str">
        <f aca="false">IF(C113&amp;""=J113&amp;"","","changed")</f>
        <v/>
      </c>
    </row>
    <row r="114" customFormat="false" ht="15" hidden="false" customHeight="false" outlineLevel="0" collapsed="false">
      <c r="A114" s="32" t="s">
        <v>690</v>
      </c>
      <c r="B114" s="7" t="s">
        <v>691</v>
      </c>
      <c r="C114" s="55" t="n">
        <f aca="false">Inputs!$C$61</f>
        <v>10</v>
      </c>
      <c r="D114" s="30" t="s">
        <v>463</v>
      </c>
      <c r="E114" s="30"/>
      <c r="F114" s="30"/>
      <c r="G114" s="30" t="s">
        <v>389</v>
      </c>
      <c r="H114" s="7" t="s">
        <v>692</v>
      </c>
      <c r="I114" s="7"/>
      <c r="J114" s="30"/>
      <c r="K114" s="30"/>
    </row>
    <row r="115" customFormat="false" ht="15" hidden="false" customHeight="false" outlineLevel="0" collapsed="false">
      <c r="A115" s="32" t="s">
        <v>693</v>
      </c>
      <c r="B115" s="7" t="s">
        <v>694</v>
      </c>
      <c r="C115" s="46"/>
      <c r="D115" s="30" t="s">
        <v>695</v>
      </c>
      <c r="E115" s="30"/>
      <c r="F115" s="30"/>
      <c r="G115" s="30" t="s">
        <v>506</v>
      </c>
      <c r="H115" s="7" t="s">
        <v>696</v>
      </c>
      <c r="I115" s="7" t="s">
        <v>697</v>
      </c>
      <c r="J115" s="47"/>
      <c r="K115" s="40" t="str">
        <f aca="false">IF(C115&amp;""=J115&amp;"","","changed")</f>
        <v/>
      </c>
    </row>
    <row r="116" customFormat="false" ht="15" hidden="false" customHeight="false" outlineLevel="0" collapsed="false">
      <c r="A116" s="32" t="s">
        <v>698</v>
      </c>
      <c r="B116" s="7" t="s">
        <v>699</v>
      </c>
      <c r="C116" s="43" t="n">
        <f aca="false">Inputs!$C$10</f>
        <v>46321</v>
      </c>
      <c r="D116" s="30" t="s">
        <v>366</v>
      </c>
      <c r="E116" s="30"/>
      <c r="F116" s="30"/>
      <c r="G116" s="30" t="s">
        <v>384</v>
      </c>
      <c r="H116" s="7" t="s">
        <v>385</v>
      </c>
      <c r="I116" s="7" t="s">
        <v>593</v>
      </c>
      <c r="J116" s="42" t="n">
        <f aca="false">Inputs!$C$10</f>
        <v>46321</v>
      </c>
      <c r="K116" s="40" t="str">
        <f aca="false">IF(C116&amp;""=J116&amp;"","","changed")</f>
        <v/>
      </c>
    </row>
    <row r="117" customFormat="false" ht="15" hidden="false" customHeight="false" outlineLevel="0" collapsed="false">
      <c r="A117" s="32" t="s">
        <v>700</v>
      </c>
      <c r="B117" s="7" t="s">
        <v>701</v>
      </c>
      <c r="C117" s="46" t="n">
        <v>1000</v>
      </c>
      <c r="D117" s="30" t="s">
        <v>695</v>
      </c>
      <c r="E117" s="30"/>
      <c r="F117" s="30"/>
      <c r="G117" s="30" t="s">
        <v>411</v>
      </c>
      <c r="H117" s="7" t="s">
        <v>602</v>
      </c>
      <c r="I117" s="7"/>
      <c r="J117" s="47" t="n">
        <v>1000</v>
      </c>
      <c r="K117" s="40" t="str">
        <f aca="false">IF(C117&amp;""=J117&amp;"","","changed")</f>
        <v/>
      </c>
    </row>
    <row r="119" customFormat="false" ht="15" hidden="false" customHeight="false" outlineLevel="0" collapsed="false">
      <c r="A119" s="3" t="s">
        <v>702</v>
      </c>
      <c r="B119" s="4"/>
      <c r="C119" s="4"/>
      <c r="D119" s="4"/>
      <c r="E119" s="4"/>
      <c r="F119" s="4"/>
      <c r="G119" s="4"/>
      <c r="H119" s="4"/>
      <c r="I119" s="4"/>
      <c r="J119" s="4"/>
      <c r="K119" s="4"/>
    </row>
    <row r="120" customFormat="false" ht="28.35" hidden="false" customHeight="false" outlineLevel="0" collapsed="false">
      <c r="A120" s="12" t="s">
        <v>341</v>
      </c>
      <c r="B120" s="12" t="s">
        <v>342</v>
      </c>
      <c r="C120" s="12" t="s">
        <v>232</v>
      </c>
      <c r="D120" s="12" t="s">
        <v>343</v>
      </c>
      <c r="E120" s="12" t="s">
        <v>344</v>
      </c>
      <c r="F120" s="12" t="s">
        <v>345</v>
      </c>
      <c r="G120" s="12" t="s">
        <v>276</v>
      </c>
      <c r="H120" s="12" t="s">
        <v>346</v>
      </c>
      <c r="I120" s="12" t="s">
        <v>347</v>
      </c>
      <c r="J120" s="12" t="s">
        <v>348</v>
      </c>
      <c r="K120" s="12" t="s">
        <v>349</v>
      </c>
    </row>
    <row r="121" customFormat="false" ht="28.35" hidden="false" customHeight="false" outlineLevel="0" collapsed="false">
      <c r="A121" s="32" t="s">
        <v>703</v>
      </c>
      <c r="B121" s="7" t="s">
        <v>704</v>
      </c>
      <c r="C121" s="39" t="n">
        <v>5</v>
      </c>
      <c r="D121" s="30" t="s">
        <v>463</v>
      </c>
      <c r="E121" s="30"/>
      <c r="F121" s="30"/>
      <c r="G121" s="30" t="s">
        <v>411</v>
      </c>
      <c r="H121" s="7" t="s">
        <v>705</v>
      </c>
      <c r="I121" s="7" t="s">
        <v>706</v>
      </c>
      <c r="J121" s="32" t="n">
        <v>5</v>
      </c>
      <c r="K121" s="40" t="str">
        <f aca="false">IF(C121&amp;""=J121&amp;"","","changed")</f>
        <v/>
      </c>
    </row>
    <row r="122" customFormat="false" ht="15" hidden="false" customHeight="false" outlineLevel="0" collapsed="false">
      <c r="A122" s="32" t="s">
        <v>707</v>
      </c>
      <c r="B122" s="7" t="s">
        <v>708</v>
      </c>
      <c r="C122" s="39" t="n">
        <v>15</v>
      </c>
      <c r="D122" s="30" t="s">
        <v>709</v>
      </c>
      <c r="E122" s="30"/>
      <c r="F122" s="30"/>
      <c r="G122" s="30" t="s">
        <v>411</v>
      </c>
      <c r="H122" s="7" t="s">
        <v>710</v>
      </c>
      <c r="I122" s="7"/>
      <c r="J122" s="32" t="n">
        <v>15</v>
      </c>
      <c r="K122" s="40" t="str">
        <f aca="false">IF(C122&amp;""=J122&amp;"","","changed")</f>
        <v/>
      </c>
    </row>
    <row r="123" customFormat="false" ht="28.35" hidden="false" customHeight="false" outlineLevel="0" collapsed="false">
      <c r="A123" s="32" t="s">
        <v>711</v>
      </c>
      <c r="B123" s="7" t="s">
        <v>712</v>
      </c>
      <c r="C123" s="39" t="n">
        <v>3</v>
      </c>
      <c r="D123" s="30" t="s">
        <v>480</v>
      </c>
      <c r="E123" s="30"/>
      <c r="F123" s="30"/>
      <c r="G123" s="30" t="s">
        <v>411</v>
      </c>
      <c r="H123" s="7" t="s">
        <v>705</v>
      </c>
      <c r="I123" s="7"/>
      <c r="J123" s="32" t="n">
        <v>3</v>
      </c>
      <c r="K123" s="40" t="str">
        <f aca="false">IF(C123&amp;""=J123&amp;"","","changed")</f>
        <v/>
      </c>
    </row>
    <row r="124" customFormat="false" ht="15" hidden="false" customHeight="false" outlineLevel="0" collapsed="false">
      <c r="A124" s="32" t="s">
        <v>713</v>
      </c>
      <c r="B124" s="7" t="s">
        <v>714</v>
      </c>
      <c r="C124" s="46" t="n">
        <v>500</v>
      </c>
      <c r="D124" s="30" t="s">
        <v>715</v>
      </c>
      <c r="E124" s="30"/>
      <c r="F124" s="30"/>
      <c r="G124" s="30" t="s">
        <v>411</v>
      </c>
      <c r="H124" s="7" t="s">
        <v>705</v>
      </c>
      <c r="I124" s="7"/>
      <c r="J124" s="47" t="n">
        <v>500</v>
      </c>
      <c r="K124" s="40" t="str">
        <f aca="false">IF(C124&amp;""=J124&amp;"","","changed")</f>
        <v/>
      </c>
    </row>
    <row r="125" customFormat="false" ht="15" hidden="false" customHeight="false" outlineLevel="0" collapsed="false">
      <c r="A125" s="32" t="s">
        <v>716</v>
      </c>
      <c r="B125" s="7" t="s">
        <v>717</v>
      </c>
      <c r="C125" s="39" t="n">
        <v>15</v>
      </c>
      <c r="D125" s="30" t="s">
        <v>709</v>
      </c>
      <c r="E125" s="30"/>
      <c r="F125" s="30"/>
      <c r="G125" s="30" t="s">
        <v>411</v>
      </c>
      <c r="H125" s="7" t="s">
        <v>710</v>
      </c>
      <c r="I125" s="7"/>
      <c r="J125" s="32" t="n">
        <v>15</v>
      </c>
      <c r="K125" s="40" t="str">
        <f aca="false">IF(C125&amp;""=J125&amp;"","","changed")</f>
        <v/>
      </c>
    </row>
    <row r="126" customFormat="false" ht="15" hidden="false" customHeight="false" outlineLevel="0" collapsed="false">
      <c r="A126" s="32" t="s">
        <v>718</v>
      </c>
      <c r="B126" s="7" t="s">
        <v>719</v>
      </c>
      <c r="C126" s="39" t="n">
        <v>5</v>
      </c>
      <c r="D126" s="30" t="s">
        <v>463</v>
      </c>
      <c r="E126" s="30"/>
      <c r="F126" s="30"/>
      <c r="G126" s="30" t="s">
        <v>411</v>
      </c>
      <c r="H126" s="7" t="s">
        <v>720</v>
      </c>
      <c r="I126" s="7"/>
      <c r="J126" s="32" t="n">
        <v>5</v>
      </c>
      <c r="K126" s="40" t="str">
        <f aca="false">IF(C126&amp;""=J126&amp;"","","changed")</f>
        <v/>
      </c>
    </row>
    <row r="127" customFormat="false" ht="15" hidden="false" customHeight="false" outlineLevel="0" collapsed="false">
      <c r="A127" s="32" t="s">
        <v>721</v>
      </c>
      <c r="B127" s="7" t="s">
        <v>722</v>
      </c>
      <c r="C127" s="39" t="n">
        <v>350</v>
      </c>
      <c r="D127" s="30" t="s">
        <v>723</v>
      </c>
      <c r="E127" s="30"/>
      <c r="F127" s="30"/>
      <c r="G127" s="30" t="s">
        <v>411</v>
      </c>
      <c r="H127" s="7" t="s">
        <v>720</v>
      </c>
      <c r="I127" s="7"/>
      <c r="J127" s="32" t="n">
        <v>350</v>
      </c>
      <c r="K127" s="40" t="str">
        <f aca="false">IF(C127&amp;""=J127&amp;"","","changed")</f>
        <v/>
      </c>
    </row>
    <row r="128" customFormat="false" ht="15" hidden="false" customHeight="false" outlineLevel="0" collapsed="false">
      <c r="A128" s="32" t="s">
        <v>724</v>
      </c>
      <c r="B128" s="7" t="s">
        <v>725</v>
      </c>
      <c r="C128" s="39" t="n">
        <v>2</v>
      </c>
      <c r="D128" s="30" t="s">
        <v>480</v>
      </c>
      <c r="E128" s="30"/>
      <c r="F128" s="30"/>
      <c r="G128" s="30" t="s">
        <v>411</v>
      </c>
      <c r="H128" s="7" t="s">
        <v>720</v>
      </c>
      <c r="I128" s="7"/>
      <c r="J128" s="32" t="n">
        <v>2</v>
      </c>
      <c r="K128" s="40" t="str">
        <f aca="false">IF(C128&amp;""=J128&amp;"","","changed")</f>
        <v/>
      </c>
    </row>
    <row r="129" customFormat="false" ht="15" hidden="false" customHeight="false" outlineLevel="0" collapsed="false">
      <c r="A129" s="32" t="s">
        <v>726</v>
      </c>
      <c r="B129" s="7" t="s">
        <v>727</v>
      </c>
      <c r="C129" s="39" t="s">
        <v>728</v>
      </c>
      <c r="D129" s="30" t="s">
        <v>324</v>
      </c>
      <c r="E129" s="30"/>
      <c r="F129" s="30"/>
      <c r="G129" s="30" t="s">
        <v>384</v>
      </c>
      <c r="H129" s="7" t="s">
        <v>729</v>
      </c>
      <c r="I129" s="7"/>
      <c r="J129" s="32" t="s">
        <v>728</v>
      </c>
      <c r="K129" s="40" t="str">
        <f aca="false">IF(C129&amp;""=J129&amp;"","","changed")</f>
        <v/>
      </c>
    </row>
    <row r="130" customFormat="false" ht="15" hidden="false" customHeight="false" outlineLevel="0" collapsed="false">
      <c r="A130" s="32" t="s">
        <v>730</v>
      </c>
      <c r="B130" s="7" t="s">
        <v>731</v>
      </c>
      <c r="C130" s="49" t="n">
        <v>0.8</v>
      </c>
      <c r="D130" s="30" t="s">
        <v>732</v>
      </c>
      <c r="E130" s="30"/>
      <c r="F130" s="30"/>
      <c r="G130" s="30" t="s">
        <v>411</v>
      </c>
      <c r="H130" s="7" t="s">
        <v>729</v>
      </c>
      <c r="I130" s="7"/>
      <c r="J130" s="50" t="n">
        <v>0.8</v>
      </c>
      <c r="K130" s="40" t="str">
        <f aca="false">IF(C130&amp;""=J130&amp;"","","changed")</f>
        <v/>
      </c>
    </row>
    <row r="131" customFormat="false" ht="15" hidden="false" customHeight="false" outlineLevel="0" collapsed="false">
      <c r="A131" s="32" t="s">
        <v>733</v>
      </c>
      <c r="B131" s="7" t="s">
        <v>734</v>
      </c>
      <c r="C131" s="39" t="n">
        <v>5</v>
      </c>
      <c r="D131" s="30" t="s">
        <v>735</v>
      </c>
      <c r="E131" s="30"/>
      <c r="F131" s="30"/>
      <c r="G131" s="30" t="s">
        <v>411</v>
      </c>
      <c r="H131" s="7" t="s">
        <v>729</v>
      </c>
      <c r="I131" s="7"/>
      <c r="J131" s="32" t="n">
        <v>5</v>
      </c>
      <c r="K131" s="40" t="str">
        <f aca="false">IF(C131&amp;""=J131&amp;"","","changed")</f>
        <v/>
      </c>
    </row>
    <row r="132" customFormat="false" ht="15" hidden="false" customHeight="false" outlineLevel="0" collapsed="false">
      <c r="A132" s="32" t="s">
        <v>736</v>
      </c>
      <c r="B132" s="7" t="s">
        <v>737</v>
      </c>
      <c r="C132" s="39" t="n">
        <v>7</v>
      </c>
      <c r="D132" s="30" t="s">
        <v>410</v>
      </c>
      <c r="E132" s="30"/>
      <c r="F132" s="30"/>
      <c r="G132" s="30" t="s">
        <v>411</v>
      </c>
      <c r="H132" s="7" t="s">
        <v>738</v>
      </c>
      <c r="I132" s="7"/>
      <c r="J132" s="32" t="n">
        <v>7</v>
      </c>
      <c r="K132" s="40" t="str">
        <f aca="false">IF(C132&amp;""=J132&amp;"","","changed")</f>
        <v/>
      </c>
    </row>
    <row r="133" customFormat="false" ht="15" hidden="false" customHeight="false" outlineLevel="0" collapsed="false">
      <c r="A133" s="32" t="s">
        <v>739</v>
      </c>
      <c r="B133" s="7" t="s">
        <v>740</v>
      </c>
      <c r="C133" s="39" t="n">
        <v>1</v>
      </c>
      <c r="D133" s="30" t="s">
        <v>480</v>
      </c>
      <c r="E133" s="30"/>
      <c r="F133" s="30"/>
      <c r="G133" s="30" t="s">
        <v>411</v>
      </c>
      <c r="H133" s="7" t="s">
        <v>729</v>
      </c>
      <c r="I133" s="7"/>
      <c r="J133" s="32" t="n">
        <v>1</v>
      </c>
      <c r="K133" s="40" t="str">
        <f aca="false">IF(C133&amp;""=J133&amp;"","","changed")</f>
        <v/>
      </c>
    </row>
    <row r="134" customFormat="false" ht="15" hidden="false" customHeight="false" outlineLevel="0" collapsed="false">
      <c r="A134" s="32" t="s">
        <v>741</v>
      </c>
      <c r="B134" s="7" t="s">
        <v>742</v>
      </c>
      <c r="C134" s="39" t="n">
        <v>1</v>
      </c>
      <c r="D134" s="30" t="s">
        <v>743</v>
      </c>
      <c r="E134" s="30"/>
      <c r="F134" s="30"/>
      <c r="G134" s="30" t="s">
        <v>411</v>
      </c>
      <c r="H134" s="7" t="s">
        <v>744</v>
      </c>
      <c r="I134" s="7"/>
      <c r="J134" s="32" t="n">
        <v>1</v>
      </c>
      <c r="K134" s="40" t="str">
        <f aca="false">IF(C134&amp;""=J134&amp;"","","changed")</f>
        <v/>
      </c>
    </row>
    <row r="135" customFormat="false" ht="15" hidden="false" customHeight="false" outlineLevel="0" collapsed="false">
      <c r="A135" s="32" t="s">
        <v>745</v>
      </c>
      <c r="B135" s="7" t="s">
        <v>746</v>
      </c>
      <c r="C135" s="46" t="n">
        <v>1500</v>
      </c>
      <c r="D135" s="30" t="s">
        <v>695</v>
      </c>
      <c r="E135" s="30"/>
      <c r="F135" s="30"/>
      <c r="G135" s="30" t="s">
        <v>411</v>
      </c>
      <c r="H135" s="7" t="s">
        <v>744</v>
      </c>
      <c r="I135" s="7"/>
      <c r="J135" s="47" t="n">
        <v>1500</v>
      </c>
      <c r="K135" s="40" t="str">
        <f aca="false">IF(C135&amp;""=J135&amp;"","","changed")</f>
        <v/>
      </c>
    </row>
    <row r="136" customFormat="false" ht="15" hidden="false" customHeight="false" outlineLevel="0" collapsed="false">
      <c r="A136" s="32" t="s">
        <v>747</v>
      </c>
      <c r="B136" s="7" t="s">
        <v>748</v>
      </c>
      <c r="C136" s="46" t="n">
        <v>50</v>
      </c>
      <c r="D136" s="30" t="s">
        <v>749</v>
      </c>
      <c r="E136" s="30"/>
      <c r="F136" s="30"/>
      <c r="G136" s="30" t="s">
        <v>411</v>
      </c>
      <c r="H136" s="7" t="s">
        <v>744</v>
      </c>
      <c r="I136" s="7"/>
      <c r="J136" s="47" t="n">
        <v>50</v>
      </c>
      <c r="K136" s="40" t="str">
        <f aca="false">IF(C136&amp;""=J136&amp;"","","changed")</f>
        <v/>
      </c>
    </row>
    <row r="137" customFormat="false" ht="15" hidden="false" customHeight="false" outlineLevel="0" collapsed="false">
      <c r="A137" s="32" t="s">
        <v>750</v>
      </c>
      <c r="B137" s="7" t="s">
        <v>751</v>
      </c>
      <c r="C137" s="49" t="n">
        <v>0.4</v>
      </c>
      <c r="D137" s="30" t="s">
        <v>487</v>
      </c>
      <c r="E137" s="30"/>
      <c r="F137" s="30"/>
      <c r="G137" s="30" t="s">
        <v>411</v>
      </c>
      <c r="H137" s="7" t="s">
        <v>752</v>
      </c>
      <c r="I137" s="7"/>
      <c r="J137" s="50" t="n">
        <v>0.4</v>
      </c>
      <c r="K137" s="40" t="str">
        <f aca="false">IF(C137&amp;""=J137&amp;"","","changed")</f>
        <v/>
      </c>
    </row>
    <row r="138" customFormat="false" ht="15" hidden="false" customHeight="false" outlineLevel="0" collapsed="false">
      <c r="A138" s="32" t="s">
        <v>753</v>
      </c>
      <c r="B138" s="7" t="s">
        <v>754</v>
      </c>
      <c r="C138" s="39" t="n">
        <v>5</v>
      </c>
      <c r="D138" s="30" t="s">
        <v>463</v>
      </c>
      <c r="E138" s="30"/>
      <c r="F138" s="30"/>
      <c r="G138" s="30" t="s">
        <v>411</v>
      </c>
      <c r="H138" s="7" t="s">
        <v>752</v>
      </c>
      <c r="I138" s="7"/>
      <c r="J138" s="32" t="n">
        <v>5</v>
      </c>
      <c r="K138" s="40" t="str">
        <f aca="false">IF(C138&amp;""=J138&amp;"","","changed")</f>
        <v/>
      </c>
    </row>
    <row r="139" customFormat="false" ht="15" hidden="false" customHeight="false" outlineLevel="0" collapsed="false">
      <c r="A139" s="32" t="s">
        <v>755</v>
      </c>
      <c r="B139" s="7" t="s">
        <v>756</v>
      </c>
      <c r="C139" s="46" t="n">
        <v>100</v>
      </c>
      <c r="D139" s="30" t="s">
        <v>576</v>
      </c>
      <c r="E139" s="30"/>
      <c r="F139" s="30"/>
      <c r="G139" s="30" t="s">
        <v>411</v>
      </c>
      <c r="H139" s="7" t="s">
        <v>752</v>
      </c>
      <c r="I139" s="7"/>
      <c r="J139" s="47" t="n">
        <v>100</v>
      </c>
      <c r="K139" s="40" t="str">
        <f aca="false">IF(C139&amp;""=J139&amp;"","","changed")</f>
        <v/>
      </c>
    </row>
    <row r="140" customFormat="false" ht="15" hidden="false" customHeight="false" outlineLevel="0" collapsed="false">
      <c r="A140" s="32" t="s">
        <v>757</v>
      </c>
      <c r="B140" s="7" t="s">
        <v>758</v>
      </c>
      <c r="C140" s="49" t="n">
        <v>0.3</v>
      </c>
      <c r="D140" s="30" t="s">
        <v>487</v>
      </c>
      <c r="E140" s="30"/>
      <c r="F140" s="30"/>
      <c r="G140" s="30" t="s">
        <v>411</v>
      </c>
      <c r="H140" s="7" t="s">
        <v>752</v>
      </c>
      <c r="I140" s="7"/>
      <c r="J140" s="50" t="n">
        <v>0.3</v>
      </c>
      <c r="K140" s="40" t="str">
        <f aca="false">IF(C140&amp;""=J140&amp;"","","changed")</f>
        <v/>
      </c>
    </row>
    <row r="141" customFormat="false" ht="15" hidden="false" customHeight="false" outlineLevel="0" collapsed="false">
      <c r="A141" s="32" t="s">
        <v>759</v>
      </c>
      <c r="B141" s="7" t="s">
        <v>760</v>
      </c>
      <c r="C141" s="39" t="n">
        <v>2</v>
      </c>
      <c r="D141" s="30" t="s">
        <v>761</v>
      </c>
      <c r="E141" s="30"/>
      <c r="F141" s="30"/>
      <c r="G141" s="30" t="s">
        <v>411</v>
      </c>
      <c r="H141" s="7" t="s">
        <v>752</v>
      </c>
      <c r="I141" s="7"/>
      <c r="J141" s="32" t="n">
        <v>2</v>
      </c>
      <c r="K141" s="40" t="str">
        <f aca="false">IF(C141&amp;""=J141&amp;"","","changed")</f>
        <v/>
      </c>
    </row>
    <row r="142" customFormat="false" ht="28.35" hidden="false" customHeight="false" outlineLevel="0" collapsed="false">
      <c r="A142" s="32" t="s">
        <v>762</v>
      </c>
      <c r="B142" s="7" t="s">
        <v>763</v>
      </c>
      <c r="C142" s="39" t="n">
        <v>2</v>
      </c>
      <c r="D142" s="30" t="s">
        <v>761</v>
      </c>
      <c r="E142" s="30"/>
      <c r="F142" s="30"/>
      <c r="G142" s="30" t="s">
        <v>411</v>
      </c>
      <c r="H142" s="7" t="s">
        <v>764</v>
      </c>
      <c r="I142" s="7"/>
      <c r="J142" s="32" t="n">
        <v>2</v>
      </c>
      <c r="K142" s="40" t="str">
        <f aca="false">IF(C142&amp;""=J142&amp;"","","changed")</f>
        <v/>
      </c>
    </row>
    <row r="143" customFormat="false" ht="15" hidden="false" customHeight="false" outlineLevel="0" collapsed="false">
      <c r="A143" s="32" t="s">
        <v>765</v>
      </c>
      <c r="B143" s="7" t="s">
        <v>766</v>
      </c>
      <c r="C143" s="39" t="n">
        <v>6</v>
      </c>
      <c r="D143" s="30" t="s">
        <v>767</v>
      </c>
      <c r="E143" s="30"/>
      <c r="F143" s="30"/>
      <c r="G143" s="30" t="s">
        <v>411</v>
      </c>
      <c r="H143" s="7" t="s">
        <v>768</v>
      </c>
      <c r="I143" s="7"/>
      <c r="J143" s="32" t="n">
        <v>6</v>
      </c>
      <c r="K143" s="40" t="str">
        <f aca="false">IF(C143&amp;""=J143&amp;"","","changed")</f>
        <v/>
      </c>
    </row>
    <row r="144" customFormat="false" ht="15" hidden="false" customHeight="false" outlineLevel="0" collapsed="false">
      <c r="A144" s="32" t="s">
        <v>769</v>
      </c>
      <c r="B144" s="7" t="s">
        <v>770</v>
      </c>
      <c r="C144" s="39" t="n">
        <v>2</v>
      </c>
      <c r="D144" s="30" t="s">
        <v>743</v>
      </c>
      <c r="E144" s="30"/>
      <c r="F144" s="30"/>
      <c r="G144" s="30" t="s">
        <v>411</v>
      </c>
      <c r="H144" s="7" t="s">
        <v>768</v>
      </c>
      <c r="I144" s="7"/>
      <c r="J144" s="32" t="n">
        <v>2</v>
      </c>
      <c r="K144" s="40" t="str">
        <f aca="false">IF(C144&amp;""=J144&amp;"","","changed")</f>
        <v/>
      </c>
    </row>
    <row r="145" customFormat="false" ht="15" hidden="false" customHeight="false" outlineLevel="0" collapsed="false">
      <c r="A145" s="32" t="s">
        <v>771</v>
      </c>
      <c r="B145" s="7" t="s">
        <v>772</v>
      </c>
      <c r="C145" s="39" t="n">
        <v>12</v>
      </c>
      <c r="D145" s="30" t="s">
        <v>463</v>
      </c>
      <c r="E145" s="30"/>
      <c r="F145" s="30"/>
      <c r="G145" s="30" t="s">
        <v>411</v>
      </c>
      <c r="H145" s="7" t="s">
        <v>768</v>
      </c>
      <c r="I145" s="7"/>
      <c r="J145" s="32" t="n">
        <v>12</v>
      </c>
      <c r="K145" s="40" t="str">
        <f aca="false">IF(C145&amp;""=J145&amp;"","","changed")</f>
        <v/>
      </c>
    </row>
    <row r="147" customFormat="false" ht="15" hidden="false" customHeight="false" outlineLevel="0" collapsed="false">
      <c r="A147" s="3" t="s">
        <v>773</v>
      </c>
      <c r="B147" s="4"/>
      <c r="C147" s="4"/>
      <c r="D147" s="4"/>
      <c r="E147" s="4"/>
      <c r="F147" s="4"/>
      <c r="G147" s="4"/>
      <c r="H147" s="4"/>
      <c r="I147" s="4"/>
      <c r="J147" s="4"/>
      <c r="K147" s="4"/>
    </row>
    <row r="148" customFormat="false" ht="28.35" hidden="false" customHeight="false" outlineLevel="0" collapsed="false">
      <c r="A148" s="12" t="s">
        <v>341</v>
      </c>
      <c r="B148" s="12" t="s">
        <v>342</v>
      </c>
      <c r="C148" s="12" t="s">
        <v>232</v>
      </c>
      <c r="D148" s="12" t="s">
        <v>343</v>
      </c>
      <c r="E148" s="12" t="s">
        <v>344</v>
      </c>
      <c r="F148" s="12" t="s">
        <v>345</v>
      </c>
      <c r="G148" s="12" t="s">
        <v>276</v>
      </c>
      <c r="H148" s="12" t="s">
        <v>346</v>
      </c>
      <c r="I148" s="12" t="s">
        <v>347</v>
      </c>
      <c r="J148" s="12" t="s">
        <v>348</v>
      </c>
      <c r="K148" s="12" t="s">
        <v>349</v>
      </c>
    </row>
    <row r="149" customFormat="false" ht="15" hidden="false" customHeight="false" outlineLevel="0" collapsed="false">
      <c r="A149" s="32" t="s">
        <v>774</v>
      </c>
      <c r="B149" s="7" t="s">
        <v>775</v>
      </c>
      <c r="C149" s="46" t="n">
        <v>100</v>
      </c>
      <c r="D149" s="30" t="s">
        <v>458</v>
      </c>
      <c r="E149" s="30"/>
      <c r="F149" s="30"/>
      <c r="G149" s="30" t="s">
        <v>384</v>
      </c>
      <c r="H149" s="7" t="s">
        <v>385</v>
      </c>
      <c r="I149" s="7"/>
      <c r="J149" s="47" t="n">
        <v>100</v>
      </c>
      <c r="K149" s="40" t="str">
        <f aca="false">IF(C149&amp;""=J149&amp;"","","changed")</f>
        <v/>
      </c>
    </row>
    <row r="150" customFormat="false" ht="15" hidden="false" customHeight="false" outlineLevel="0" collapsed="false">
      <c r="A150" s="32" t="s">
        <v>776</v>
      </c>
      <c r="B150" s="7" t="s">
        <v>777</v>
      </c>
      <c r="C150" s="46" t="n">
        <v>25</v>
      </c>
      <c r="D150" s="30" t="s">
        <v>458</v>
      </c>
      <c r="E150" s="30"/>
      <c r="F150" s="30"/>
      <c r="G150" s="30" t="s">
        <v>384</v>
      </c>
      <c r="H150" s="7" t="s">
        <v>385</v>
      </c>
      <c r="I150" s="7"/>
      <c r="J150" s="47" t="n">
        <v>25</v>
      </c>
      <c r="K150" s="40" t="str">
        <f aca="false">IF(C150&amp;""=J150&amp;"","","changed")</f>
        <v/>
      </c>
    </row>
    <row r="151" customFormat="false" ht="15" hidden="false" customHeight="false" outlineLevel="0" collapsed="false">
      <c r="A151" s="32" t="s">
        <v>778</v>
      </c>
      <c r="B151" s="7" t="s">
        <v>779</v>
      </c>
      <c r="C151" s="39" t="n">
        <v>1</v>
      </c>
      <c r="D151" s="30" t="s">
        <v>480</v>
      </c>
      <c r="E151" s="30"/>
      <c r="F151" s="30"/>
      <c r="G151" s="30" t="s">
        <v>384</v>
      </c>
      <c r="H151" s="7" t="s">
        <v>385</v>
      </c>
      <c r="I151" s="7"/>
      <c r="J151" s="32" t="n">
        <v>1</v>
      </c>
      <c r="K151" s="40" t="str">
        <f aca="false">IF(C151&amp;""=J151&amp;"","","changed")</f>
        <v/>
      </c>
    </row>
    <row r="152" customFormat="false" ht="15" hidden="false" customHeight="false" outlineLevel="0" collapsed="false">
      <c r="A152" s="32" t="s">
        <v>780</v>
      </c>
      <c r="B152" s="7" t="s">
        <v>781</v>
      </c>
      <c r="C152" s="39" t="n">
        <v>1</v>
      </c>
      <c r="D152" s="30" t="s">
        <v>480</v>
      </c>
      <c r="E152" s="30"/>
      <c r="F152" s="30"/>
      <c r="G152" s="30" t="s">
        <v>384</v>
      </c>
      <c r="H152" s="7" t="s">
        <v>385</v>
      </c>
      <c r="I152" s="7"/>
      <c r="J152" s="32" t="n">
        <v>1</v>
      </c>
      <c r="K152" s="40" t="str">
        <f aca="false">IF(C152&amp;""=J152&amp;"","","changed")</f>
        <v/>
      </c>
    </row>
    <row r="153" customFormat="false" ht="15" hidden="false" customHeight="false" outlineLevel="0" collapsed="false">
      <c r="A153" s="32" t="s">
        <v>782</v>
      </c>
      <c r="B153" s="7" t="s">
        <v>783</v>
      </c>
      <c r="C153" s="49" t="n">
        <v>0</v>
      </c>
      <c r="D153" s="30" t="s">
        <v>487</v>
      </c>
      <c r="E153" s="30"/>
      <c r="F153" s="30"/>
      <c r="G153" s="30" t="s">
        <v>384</v>
      </c>
      <c r="H153" s="7" t="s">
        <v>385</v>
      </c>
      <c r="I153" s="7"/>
      <c r="J153" s="50" t="n">
        <v>0</v>
      </c>
      <c r="K153" s="40" t="str">
        <f aca="false">IF(C153&amp;""=J153&amp;"","","changed")</f>
        <v/>
      </c>
    </row>
    <row r="154" customFormat="false" ht="15" hidden="false" customHeight="false" outlineLevel="0" collapsed="false">
      <c r="A154" s="32" t="s">
        <v>784</v>
      </c>
      <c r="B154" s="7" t="s">
        <v>785</v>
      </c>
      <c r="C154" s="49" t="n">
        <v>0.1</v>
      </c>
      <c r="D154" s="30" t="s">
        <v>487</v>
      </c>
      <c r="E154" s="30"/>
      <c r="F154" s="30"/>
      <c r="G154" s="30" t="s">
        <v>384</v>
      </c>
      <c r="H154" s="7" t="s">
        <v>385</v>
      </c>
      <c r="I154" s="7"/>
      <c r="J154" s="50" t="n">
        <v>0.1</v>
      </c>
      <c r="K154" s="40" t="str">
        <f aca="false">IF(C154&amp;""=J154&amp;"","","changed")</f>
        <v/>
      </c>
    </row>
    <row r="156" customFormat="false" ht="15" hidden="false" customHeight="false" outlineLevel="0" collapsed="false">
      <c r="A156" s="3" t="s">
        <v>786</v>
      </c>
      <c r="B156" s="4"/>
      <c r="C156" s="4"/>
      <c r="D156" s="4"/>
      <c r="E156" s="4"/>
      <c r="F156" s="4"/>
      <c r="G156" s="4"/>
      <c r="H156" s="4"/>
      <c r="I156" s="4"/>
      <c r="J156" s="4"/>
      <c r="K156" s="4"/>
      <c r="L156" s="4"/>
      <c r="M156" s="4"/>
      <c r="N156" s="4"/>
      <c r="O156" s="4"/>
      <c r="P156" s="4"/>
      <c r="Q156" s="4"/>
      <c r="R156" s="4"/>
      <c r="S156" s="4"/>
      <c r="T156" s="4"/>
    </row>
    <row r="157" customFormat="false" ht="31.5" hidden="false" customHeight="true" outlineLevel="0" collapsed="false">
      <c r="A157" s="12" t="s">
        <v>341</v>
      </c>
      <c r="B157" s="12" t="s">
        <v>787</v>
      </c>
      <c r="C157" s="12" t="s">
        <v>788</v>
      </c>
      <c r="D157" s="12" t="s">
        <v>343</v>
      </c>
      <c r="E157" s="12" t="s">
        <v>344</v>
      </c>
      <c r="F157" s="12" t="s">
        <v>345</v>
      </c>
      <c r="G157" s="12" t="s">
        <v>276</v>
      </c>
      <c r="H157" s="12" t="s">
        <v>346</v>
      </c>
      <c r="I157" s="12" t="s">
        <v>347</v>
      </c>
      <c r="J157" s="12" t="s">
        <v>348</v>
      </c>
      <c r="K157" s="12" t="s">
        <v>349</v>
      </c>
      <c r="L157" s="12" t="s">
        <v>789</v>
      </c>
      <c r="M157" s="12" t="s">
        <v>790</v>
      </c>
      <c r="N157" s="12" t="s">
        <v>791</v>
      </c>
      <c r="O157" s="12" t="s">
        <v>792</v>
      </c>
      <c r="P157" s="12" t="s">
        <v>793</v>
      </c>
      <c r="Q157" s="12" t="s">
        <v>794</v>
      </c>
      <c r="R157" s="12" t="s">
        <v>795</v>
      </c>
      <c r="S157" s="12" t="s">
        <v>796</v>
      </c>
      <c r="T157" s="12" t="s">
        <v>797</v>
      </c>
    </row>
    <row r="158" customFormat="false" ht="55.2" hidden="false" customHeight="false" outlineLevel="0" collapsed="false">
      <c r="A158" s="32" t="s">
        <v>798</v>
      </c>
      <c r="B158" s="7" t="s">
        <v>799</v>
      </c>
      <c r="C158" s="46" t="n">
        <v>200</v>
      </c>
      <c r="D158" s="30" t="s">
        <v>800</v>
      </c>
      <c r="E158" s="19" t="n">
        <v>200</v>
      </c>
      <c r="F158" s="19" t="n">
        <v>200</v>
      </c>
      <c r="G158" s="30" t="s">
        <v>801</v>
      </c>
      <c r="H158" s="7" t="s">
        <v>802</v>
      </c>
      <c r="I158" s="7" t="s">
        <v>803</v>
      </c>
      <c r="J158" s="47" t="n">
        <v>200</v>
      </c>
      <c r="K158" s="40" t="str">
        <f aca="false">IF(AND(C158&amp;""=J158&amp;"",N158&amp;""=S158&amp;"",L158&amp;""=T158&amp;""),"","changed")</f>
        <v/>
      </c>
      <c r="L158" s="43" t="n">
        <f aca="false">WORKDAY(Inputs!$C$11,Inputs!$C$25,Lists!$N$4:$N$30)</f>
        <v>46345</v>
      </c>
      <c r="M158" s="7" t="s">
        <v>804</v>
      </c>
      <c r="N158" s="39" t="s">
        <v>805</v>
      </c>
      <c r="O158" s="56"/>
      <c r="P158" s="57"/>
      <c r="Q158" s="58" t="n">
        <f aca="false">IF(P158&lt;&gt;"",N(O158),IF(N158="Y",N(C158),0))</f>
        <v>200</v>
      </c>
      <c r="R158" s="59" t="n">
        <f aca="false">IF(P158&lt;&gt;"",P158,L158)</f>
        <v>46345</v>
      </c>
      <c r="S158" s="32" t="s">
        <v>805</v>
      </c>
      <c r="T158" s="42" t="n">
        <f aca="false">WORKDAY(Inputs!$C$11,Inputs!$C$25,Lists!$N$4:$N$30)</f>
        <v>46345</v>
      </c>
    </row>
    <row r="159" customFormat="false" ht="55.2" hidden="false" customHeight="false" outlineLevel="0" collapsed="false">
      <c r="A159" s="32" t="s">
        <v>806</v>
      </c>
      <c r="B159" s="7" t="s">
        <v>807</v>
      </c>
      <c r="C159" s="46" t="n">
        <v>50</v>
      </c>
      <c r="D159" s="30" t="s">
        <v>800</v>
      </c>
      <c r="E159" s="19" t="n">
        <v>50</v>
      </c>
      <c r="F159" s="19" t="n">
        <v>50</v>
      </c>
      <c r="G159" s="30" t="s">
        <v>801</v>
      </c>
      <c r="H159" s="7" t="s">
        <v>808</v>
      </c>
      <c r="I159" s="7"/>
      <c r="J159" s="47" t="n">
        <v>50</v>
      </c>
      <c r="K159" s="40" t="str">
        <f aca="false">IF(AND(C159&amp;""=J159&amp;"",N159&amp;""=S159&amp;"",L159&amp;""=T159&amp;""),"","changed")</f>
        <v/>
      </c>
      <c r="L159" s="43" t="n">
        <f aca="false">L160+Inputs!$C$29*Inputs!$C$18</f>
        <v>46402</v>
      </c>
      <c r="M159" s="7" t="s">
        <v>809</v>
      </c>
      <c r="N159" s="39" t="s">
        <v>805</v>
      </c>
      <c r="O159" s="56"/>
      <c r="P159" s="57"/>
      <c r="Q159" s="58" t="n">
        <f aca="false">IF(P159&lt;&gt;"",N(O159),IF(N159="Y",N(C159),0))</f>
        <v>50</v>
      </c>
      <c r="R159" s="59" t="n">
        <f aca="false">IF(P159&lt;&gt;"",P159,L159)</f>
        <v>46402</v>
      </c>
      <c r="S159" s="32" t="s">
        <v>805</v>
      </c>
      <c r="T159" s="42" t="n">
        <f aca="false">L160+Inputs!$C$29*Inputs!$C$18</f>
        <v>46402</v>
      </c>
    </row>
    <row r="160" customFormat="false" ht="68.65" hidden="false" customHeight="false" outlineLevel="0" collapsed="false">
      <c r="A160" s="32" t="s">
        <v>810</v>
      </c>
      <c r="B160" s="7" t="s">
        <v>811</v>
      </c>
      <c r="C160" s="46" t="n">
        <v>2000</v>
      </c>
      <c r="D160" s="30" t="s">
        <v>800</v>
      </c>
      <c r="E160" s="19" t="n">
        <v>250</v>
      </c>
      <c r="F160" s="19" t="n">
        <v>2000</v>
      </c>
      <c r="G160" s="30" t="s">
        <v>812</v>
      </c>
      <c r="H160" s="7" t="s">
        <v>813</v>
      </c>
      <c r="I160" s="7" t="s">
        <v>814</v>
      </c>
      <c r="J160" s="47" t="n">
        <v>2000</v>
      </c>
      <c r="K160" s="40" t="str">
        <f aca="false">IF(AND(C160&amp;""=J160&amp;"",N160&amp;""=S160&amp;"",L160&amp;""=T160&amp;""),"","changed")</f>
        <v/>
      </c>
      <c r="L160" s="43" t="n">
        <f aca="false">WORKDAY(L158,Inputs!$C$28,Lists!$N$4:$N$30)</f>
        <v>46360</v>
      </c>
      <c r="M160" s="7" t="s">
        <v>815</v>
      </c>
      <c r="N160" s="39" t="s">
        <v>805</v>
      </c>
      <c r="O160" s="56"/>
      <c r="P160" s="57"/>
      <c r="Q160" s="58" t="n">
        <f aca="false">IF(P160&lt;&gt;"",N(O160),IF(N160="Y",N(C160),0))</f>
        <v>2000</v>
      </c>
      <c r="R160" s="59" t="n">
        <f aca="false">IF(P160&lt;&gt;"",P160,L160)</f>
        <v>46360</v>
      </c>
      <c r="S160" s="32" t="s">
        <v>805</v>
      </c>
      <c r="T160" s="42" t="n">
        <f aca="false">WORKDAY(L158,Inputs!$C$28,Lists!$N$4:$N$30)</f>
        <v>46360</v>
      </c>
    </row>
    <row r="161" customFormat="false" ht="68.65" hidden="false" customHeight="false" outlineLevel="0" collapsed="false">
      <c r="A161" s="32" t="s">
        <v>816</v>
      </c>
      <c r="B161" s="7" t="s">
        <v>817</v>
      </c>
      <c r="C161" s="56"/>
      <c r="D161" s="30" t="s">
        <v>800</v>
      </c>
      <c r="E161" s="60"/>
      <c r="F161" s="60"/>
      <c r="G161" s="30" t="s">
        <v>818</v>
      </c>
      <c r="H161" s="7" t="s">
        <v>819</v>
      </c>
      <c r="I161" s="7" t="s">
        <v>820</v>
      </c>
      <c r="J161" s="61"/>
      <c r="K161" s="40" t="str">
        <f aca="false">IF(AND(C161&amp;""=J161&amp;"",N161&amp;""=S161&amp;"",L161&amp;""=T161&amp;""),"","changed")</f>
        <v/>
      </c>
      <c r="L161" s="43" t="n">
        <f aca="false">L158</f>
        <v>46345</v>
      </c>
      <c r="M161" s="7" t="s">
        <v>821</v>
      </c>
      <c r="N161" s="39" t="s">
        <v>822</v>
      </c>
      <c r="O161" s="56"/>
      <c r="P161" s="57"/>
      <c r="Q161" s="58" t="n">
        <f aca="false">IF(P161&lt;&gt;"",N(O161),IF(N161="Y",N(C161),0))</f>
        <v>0</v>
      </c>
      <c r="R161" s="59" t="n">
        <f aca="false">IF(P161&lt;&gt;"",P161,L161)</f>
        <v>46345</v>
      </c>
      <c r="S161" s="32" t="s">
        <v>822</v>
      </c>
      <c r="T161" s="42" t="n">
        <f aca="false">L158</f>
        <v>46345</v>
      </c>
    </row>
    <row r="162" customFormat="false" ht="55.2" hidden="false" customHeight="false" outlineLevel="0" collapsed="false">
      <c r="A162" s="32" t="s">
        <v>823</v>
      </c>
      <c r="B162" s="7" t="s">
        <v>824</v>
      </c>
      <c r="C162" s="46" t="n">
        <v>400</v>
      </c>
      <c r="D162" s="30" t="s">
        <v>800</v>
      </c>
      <c r="E162" s="19" t="n">
        <v>0</v>
      </c>
      <c r="F162" s="19" t="n">
        <v>400</v>
      </c>
      <c r="G162" s="30" t="s">
        <v>825</v>
      </c>
      <c r="H162" s="7" t="s">
        <v>826</v>
      </c>
      <c r="I162" s="7" t="s">
        <v>827</v>
      </c>
      <c r="J162" s="47" t="n">
        <v>400</v>
      </c>
      <c r="K162" s="40" t="str">
        <f aca="false">IF(AND(C162&amp;""=J162&amp;"",N162&amp;""=S162&amp;"",L162&amp;""=T162&amp;""),"","changed")</f>
        <v/>
      </c>
      <c r="L162" s="43" t="n">
        <f aca="false">Inputs!$C$12</f>
        <v>46367</v>
      </c>
      <c r="M162" s="7" t="s">
        <v>828</v>
      </c>
      <c r="N162" s="39" t="s">
        <v>805</v>
      </c>
      <c r="O162" s="56"/>
      <c r="P162" s="57"/>
      <c r="Q162" s="58" t="n">
        <f aca="false">IF(P162&lt;&gt;"",N(O162),IF(N162="Y",N(C162),0))</f>
        <v>400</v>
      </c>
      <c r="R162" s="59" t="n">
        <f aca="false">IF(P162&lt;&gt;"",P162,L162)</f>
        <v>46367</v>
      </c>
      <c r="S162" s="32" t="s">
        <v>805</v>
      </c>
      <c r="T162" s="42" t="n">
        <f aca="false">Inputs!$C$12</f>
        <v>46367</v>
      </c>
    </row>
    <row r="163" customFormat="false" ht="41.75" hidden="false" customHeight="false" outlineLevel="0" collapsed="false">
      <c r="A163" s="32" t="s">
        <v>829</v>
      </c>
      <c r="B163" s="7" t="s">
        <v>830</v>
      </c>
      <c r="C163" s="46" t="n">
        <v>300</v>
      </c>
      <c r="D163" s="30" t="s">
        <v>800</v>
      </c>
      <c r="E163" s="19" t="n">
        <v>300</v>
      </c>
      <c r="F163" s="19" t="n">
        <v>300</v>
      </c>
      <c r="G163" s="30" t="s">
        <v>411</v>
      </c>
      <c r="H163" s="7" t="s">
        <v>602</v>
      </c>
      <c r="I163" s="7" t="s">
        <v>831</v>
      </c>
      <c r="J163" s="47" t="n">
        <v>300</v>
      </c>
      <c r="K163" s="40" t="str">
        <f aca="false">IF(AND(C163&amp;""=J163&amp;"",N163&amp;""=S163&amp;"",L163&amp;""=T163&amp;""),"","changed")</f>
        <v/>
      </c>
      <c r="L163" s="43" t="n">
        <f aca="false">Inputs!$C$12</f>
        <v>46367</v>
      </c>
      <c r="M163" s="7" t="s">
        <v>832</v>
      </c>
      <c r="N163" s="39" t="s">
        <v>805</v>
      </c>
      <c r="O163" s="56"/>
      <c r="P163" s="57"/>
      <c r="Q163" s="58" t="n">
        <f aca="false">IF(P163&lt;&gt;"",N(O163),IF(N163="Y",N(C163),0))</f>
        <v>300</v>
      </c>
      <c r="R163" s="59" t="n">
        <f aca="false">IF(P163&lt;&gt;"",P163,L163)</f>
        <v>46367</v>
      </c>
      <c r="S163" s="32" t="s">
        <v>805</v>
      </c>
      <c r="T163" s="42" t="n">
        <f aca="false">Inputs!$C$12</f>
        <v>46367</v>
      </c>
    </row>
    <row r="164" customFormat="false" ht="15" hidden="false" customHeight="false" outlineLevel="0" collapsed="false">
      <c r="A164" s="32" t="s">
        <v>833</v>
      </c>
      <c r="B164" s="7" t="s">
        <v>834</v>
      </c>
      <c r="C164" s="46" t="n">
        <v>100</v>
      </c>
      <c r="D164" s="30" t="s">
        <v>800</v>
      </c>
      <c r="E164" s="19" t="n">
        <v>100</v>
      </c>
      <c r="F164" s="19" t="n">
        <v>100</v>
      </c>
      <c r="G164" s="30" t="s">
        <v>411</v>
      </c>
      <c r="H164" s="7" t="s">
        <v>602</v>
      </c>
      <c r="I164" s="7"/>
      <c r="J164" s="47" t="n">
        <v>100</v>
      </c>
      <c r="K164" s="40" t="str">
        <f aca="false">IF(AND(C164&amp;""=J164&amp;"",N164&amp;""=S164&amp;"",L164&amp;""=T164&amp;""),"","changed")</f>
        <v/>
      </c>
      <c r="L164" s="43" t="n">
        <f aca="false">Inputs!$C$10</f>
        <v>46321</v>
      </c>
      <c r="M164" s="7" t="s">
        <v>835</v>
      </c>
      <c r="N164" s="39" t="s">
        <v>805</v>
      </c>
      <c r="O164" s="56"/>
      <c r="P164" s="57"/>
      <c r="Q164" s="58" t="n">
        <f aca="false">IF(P164&lt;&gt;"",N(O164),IF(N164="Y",N(C164),0))</f>
        <v>100</v>
      </c>
      <c r="R164" s="59" t="n">
        <f aca="false">IF(P164&lt;&gt;"",P164,L164)</f>
        <v>46321</v>
      </c>
      <c r="S164" s="32" t="s">
        <v>805</v>
      </c>
      <c r="T164" s="42" t="n">
        <f aca="false">Inputs!$C$10</f>
        <v>46321</v>
      </c>
    </row>
    <row r="165" customFormat="false" ht="68.65" hidden="false" customHeight="false" outlineLevel="0" collapsed="false">
      <c r="A165" s="32" t="s">
        <v>836</v>
      </c>
      <c r="B165" s="7" t="s">
        <v>837</v>
      </c>
      <c r="C165" s="56"/>
      <c r="D165" s="30" t="s">
        <v>800</v>
      </c>
      <c r="E165" s="60"/>
      <c r="F165" s="60"/>
      <c r="G165" s="30" t="s">
        <v>818</v>
      </c>
      <c r="H165" s="7" t="s">
        <v>838</v>
      </c>
      <c r="I165" s="7" t="s">
        <v>839</v>
      </c>
      <c r="J165" s="61"/>
      <c r="K165" s="40" t="str">
        <f aca="false">IF(AND(C165&amp;""=J165&amp;"",N165&amp;""=S165&amp;"",L165&amp;""=T165&amp;""),"","changed")</f>
        <v/>
      </c>
      <c r="L165" s="43" t="n">
        <f aca="false">Inputs!$C$10</f>
        <v>46321</v>
      </c>
      <c r="M165" s="7" t="s">
        <v>840</v>
      </c>
      <c r="N165" s="39" t="s">
        <v>805</v>
      </c>
      <c r="O165" s="56"/>
      <c r="P165" s="57"/>
      <c r="Q165" s="58" t="n">
        <f aca="false">IF(P165&lt;&gt;"",N(O165),IF(N165="Y",N(C165),0))</f>
        <v>0</v>
      </c>
      <c r="R165" s="59" t="n">
        <f aca="false">IF(P165&lt;&gt;"",P165,L165)</f>
        <v>46321</v>
      </c>
      <c r="S165" s="32" t="s">
        <v>805</v>
      </c>
      <c r="T165" s="42" t="n">
        <f aca="false">Inputs!$C$10</f>
        <v>46321</v>
      </c>
    </row>
    <row r="166" customFormat="false" ht="28.35" hidden="false" customHeight="false" outlineLevel="0" collapsed="false">
      <c r="A166" s="32" t="s">
        <v>841</v>
      </c>
      <c r="B166" s="7" t="s">
        <v>842</v>
      </c>
      <c r="C166" s="46" t="n">
        <v>400</v>
      </c>
      <c r="D166" s="30" t="s">
        <v>800</v>
      </c>
      <c r="E166" s="19" t="n">
        <v>300</v>
      </c>
      <c r="F166" s="19" t="n">
        <v>500</v>
      </c>
      <c r="G166" s="30" t="s">
        <v>843</v>
      </c>
      <c r="H166" s="7" t="s">
        <v>844</v>
      </c>
      <c r="I166" s="7" t="s">
        <v>845</v>
      </c>
      <c r="J166" s="47" t="n">
        <v>400</v>
      </c>
      <c r="K166" s="40" t="str">
        <f aca="false">IF(AND(C166&amp;""=J166&amp;"",N166&amp;""=S166&amp;"",L166&amp;""=T166&amp;""),"","changed")</f>
        <v/>
      </c>
      <c r="L166" s="43" t="n">
        <f aca="false">WORKDAY(Inputs!$C$11,Inputs!$C$26,Lists!$N$4:$N$30)</f>
        <v>46344</v>
      </c>
      <c r="M166" s="7" t="s">
        <v>846</v>
      </c>
      <c r="N166" s="39" t="s">
        <v>805</v>
      </c>
      <c r="O166" s="56"/>
      <c r="P166" s="57"/>
      <c r="Q166" s="58" t="n">
        <f aca="false">IF(P166&lt;&gt;"",N(O166),IF(N166="Y",N(C166),0))</f>
        <v>400</v>
      </c>
      <c r="R166" s="59" t="n">
        <f aca="false">IF(P166&lt;&gt;"",P166,L166)</f>
        <v>46344</v>
      </c>
      <c r="S166" s="32" t="s">
        <v>805</v>
      </c>
      <c r="T166" s="42" t="n">
        <f aca="false">WORKDAY(Inputs!$C$11,Inputs!$C$26,Lists!$N$4:$N$30)</f>
        <v>46344</v>
      </c>
    </row>
    <row r="167" customFormat="false" ht="28.35" hidden="false" customHeight="false" outlineLevel="0" collapsed="false">
      <c r="A167" s="32" t="s">
        <v>847</v>
      </c>
      <c r="B167" s="7" t="s">
        <v>848</v>
      </c>
      <c r="C167" s="46" t="n">
        <v>300</v>
      </c>
      <c r="D167" s="30" t="s">
        <v>800</v>
      </c>
      <c r="E167" s="19" t="n">
        <v>200</v>
      </c>
      <c r="F167" s="19" t="n">
        <v>400</v>
      </c>
      <c r="G167" s="30" t="s">
        <v>843</v>
      </c>
      <c r="H167" s="7" t="s">
        <v>844</v>
      </c>
      <c r="I167" s="7" t="s">
        <v>849</v>
      </c>
      <c r="J167" s="47" t="n">
        <v>300</v>
      </c>
      <c r="K167" s="40" t="str">
        <f aca="false">IF(AND(C167&amp;""=J167&amp;"",N167&amp;""=S167&amp;"",L167&amp;""=T167&amp;""),"","changed")</f>
        <v/>
      </c>
      <c r="L167" s="43" t="n">
        <f aca="false">WORKDAY(Inputs!$C$11,Inputs!$C$27,Lists!$N$4:$N$30)</f>
        <v>46346</v>
      </c>
      <c r="M167" s="7" t="s">
        <v>850</v>
      </c>
      <c r="N167" s="39" t="s">
        <v>805</v>
      </c>
      <c r="O167" s="56"/>
      <c r="P167" s="57"/>
      <c r="Q167" s="58" t="n">
        <f aca="false">IF(P167&lt;&gt;"",N(O167),IF(N167="Y",N(C167),0))</f>
        <v>300</v>
      </c>
      <c r="R167" s="59" t="n">
        <f aca="false">IF(P167&lt;&gt;"",P167,L167)</f>
        <v>46346</v>
      </c>
      <c r="S167" s="32" t="s">
        <v>805</v>
      </c>
      <c r="T167" s="42" t="n">
        <f aca="false">WORKDAY(Inputs!$C$11,Inputs!$C$27,Lists!$N$4:$N$30)</f>
        <v>46346</v>
      </c>
    </row>
    <row r="168" customFormat="false" ht="55.2" hidden="false" customHeight="false" outlineLevel="0" collapsed="false">
      <c r="A168" s="32" t="s">
        <v>851</v>
      </c>
      <c r="B168" s="7" t="s">
        <v>852</v>
      </c>
      <c r="C168" s="46" t="n">
        <v>25</v>
      </c>
      <c r="D168" s="30" t="s">
        <v>800</v>
      </c>
      <c r="E168" s="19" t="n">
        <v>25</v>
      </c>
      <c r="F168" s="19" t="n">
        <v>25</v>
      </c>
      <c r="G168" s="30" t="s">
        <v>801</v>
      </c>
      <c r="H168" s="7" t="s">
        <v>853</v>
      </c>
      <c r="I168" s="7" t="s">
        <v>854</v>
      </c>
      <c r="J168" s="47" t="n">
        <v>25</v>
      </c>
      <c r="K168" s="40" t="str">
        <f aca="false">IF(AND(C168&amp;""=J168&amp;"",N168&amp;""=S168&amp;"",L168&amp;""=T168&amp;""),"","changed")</f>
        <v/>
      </c>
      <c r="L168" s="41" t="n">
        <v>46461</v>
      </c>
      <c r="M168" s="7" t="s">
        <v>855</v>
      </c>
      <c r="N168" s="39" t="s">
        <v>805</v>
      </c>
      <c r="O168" s="56"/>
      <c r="P168" s="57"/>
      <c r="Q168" s="58" t="n">
        <f aca="false">IF(P168&lt;&gt;"",N(O168),IF(N168="Y",N(C168),0))</f>
        <v>25</v>
      </c>
      <c r="R168" s="59" t="n">
        <f aca="false">IF(P168&lt;&gt;"",P168,L168)</f>
        <v>46461</v>
      </c>
      <c r="S168" s="32" t="s">
        <v>805</v>
      </c>
      <c r="T168" s="42" t="n">
        <v>46461</v>
      </c>
    </row>
    <row r="169" customFormat="false" ht="41.75" hidden="false" customHeight="false" outlineLevel="0" collapsed="false">
      <c r="A169" s="32" t="s">
        <v>856</v>
      </c>
      <c r="B169" s="7" t="s">
        <v>857</v>
      </c>
      <c r="C169" s="56"/>
      <c r="D169" s="30" t="s">
        <v>800</v>
      </c>
      <c r="E169" s="60"/>
      <c r="F169" s="60"/>
      <c r="G169" s="30" t="s">
        <v>818</v>
      </c>
      <c r="H169" s="7" t="s">
        <v>858</v>
      </c>
      <c r="I169" s="7" t="s">
        <v>859</v>
      </c>
      <c r="J169" s="61"/>
      <c r="K169" s="40" t="str">
        <f aca="false">IF(AND(C169&amp;""=J169&amp;"",N169&amp;""=S169&amp;"",L169&amp;""=T169&amp;""),"","changed")</f>
        <v/>
      </c>
      <c r="L169" s="43" t="n">
        <f aca="false">Inputs!$C$83</f>
        <v>46367</v>
      </c>
      <c r="M169" s="7" t="s">
        <v>860</v>
      </c>
      <c r="N169" s="39" t="s">
        <v>805</v>
      </c>
      <c r="O169" s="56"/>
      <c r="P169" s="57"/>
      <c r="Q169" s="58" t="n">
        <f aca="false">IF(P169&lt;&gt;"",N(O169),IF(N169="Y",N(C169),0))</f>
        <v>0</v>
      </c>
      <c r="R169" s="59" t="n">
        <f aca="false">IF(P169&lt;&gt;"",P169,L169)</f>
        <v>46367</v>
      </c>
      <c r="S169" s="32" t="s">
        <v>805</v>
      </c>
      <c r="T169" s="42" t="n">
        <f aca="false">Inputs!$C$83</f>
        <v>46367</v>
      </c>
    </row>
    <row r="170" customFormat="false" ht="41.75" hidden="false" customHeight="false" outlineLevel="0" collapsed="false">
      <c r="A170" s="32" t="s">
        <v>861</v>
      </c>
      <c r="B170" s="7" t="s">
        <v>862</v>
      </c>
      <c r="C170" s="56"/>
      <c r="D170" s="30" t="s">
        <v>800</v>
      </c>
      <c r="E170" s="60"/>
      <c r="F170" s="60"/>
      <c r="G170" s="30" t="s">
        <v>818</v>
      </c>
      <c r="H170" s="7" t="s">
        <v>863</v>
      </c>
      <c r="I170" s="7" t="s">
        <v>864</v>
      </c>
      <c r="J170" s="61"/>
      <c r="K170" s="40" t="str">
        <f aca="false">IF(AND(C170&amp;""=J170&amp;"",N170&amp;""=S170&amp;"",L170&amp;""=T170&amp;""),"","changed")</f>
        <v/>
      </c>
      <c r="L170" s="43" t="n">
        <f aca="false">Inputs!$C$83</f>
        <v>46367</v>
      </c>
      <c r="M170" s="7" t="s">
        <v>865</v>
      </c>
      <c r="N170" s="39" t="s">
        <v>805</v>
      </c>
      <c r="O170" s="56"/>
      <c r="P170" s="57"/>
      <c r="Q170" s="58" t="n">
        <f aca="false">IF(P170&lt;&gt;"",N(O170),IF(N170="Y",N(C170),0))</f>
        <v>0</v>
      </c>
      <c r="R170" s="59" t="n">
        <f aca="false">IF(P170&lt;&gt;"",P170,L170)</f>
        <v>46367</v>
      </c>
      <c r="S170" s="32" t="s">
        <v>805</v>
      </c>
      <c r="T170" s="42" t="n">
        <f aca="false">Inputs!$C$83</f>
        <v>46367</v>
      </c>
    </row>
    <row r="171" customFormat="false" ht="95.5" hidden="false" customHeight="false" outlineLevel="0" collapsed="false">
      <c r="A171" s="32" t="s">
        <v>866</v>
      </c>
      <c r="B171" s="7" t="s">
        <v>867</v>
      </c>
      <c r="C171" s="46" t="n">
        <v>350</v>
      </c>
      <c r="D171" s="30" t="s">
        <v>800</v>
      </c>
      <c r="E171" s="19" t="n">
        <v>350</v>
      </c>
      <c r="F171" s="19" t="n">
        <v>850</v>
      </c>
      <c r="G171" s="30" t="s">
        <v>801</v>
      </c>
      <c r="H171" s="7" t="s">
        <v>868</v>
      </c>
      <c r="I171" s="7" t="s">
        <v>869</v>
      </c>
      <c r="J171" s="47" t="n">
        <v>350</v>
      </c>
      <c r="K171" s="40" t="str">
        <f aca="false">IF(AND(C171&amp;""=J171&amp;"",N171&amp;""=S171&amp;"",L171&amp;""=T171&amp;""),"","changed")</f>
        <v/>
      </c>
      <c r="L171" s="43" t="n">
        <f aca="false">Inputs!$C$13</f>
        <v>46409</v>
      </c>
      <c r="M171" s="7" t="s">
        <v>870</v>
      </c>
      <c r="N171" s="39" t="s">
        <v>805</v>
      </c>
      <c r="O171" s="56"/>
      <c r="P171" s="57"/>
      <c r="Q171" s="58" t="n">
        <f aca="false">IF(P171&lt;&gt;"",N(O171),IF(N171="Y",N(C171),0))</f>
        <v>350</v>
      </c>
      <c r="R171" s="59" t="n">
        <f aca="false">IF(P171&lt;&gt;"",P171,L171)</f>
        <v>46409</v>
      </c>
      <c r="S171" s="32" t="s">
        <v>805</v>
      </c>
      <c r="T171" s="42" t="n">
        <f aca="false">Inputs!$C$13</f>
        <v>46409</v>
      </c>
    </row>
    <row r="172" customFormat="false" ht="15" hidden="false" customHeight="false" outlineLevel="0" collapsed="false">
      <c r="B172" s="9" t="s">
        <v>871</v>
      </c>
      <c r="Q172" s="37" t="n">
        <f aca="false">SUM(Q158:Q171)</f>
        <v>4125</v>
      </c>
    </row>
    <row r="174" customFormat="false" ht="15" hidden="false" customHeight="false" outlineLevel="0" collapsed="false">
      <c r="B174" s="9" t="s">
        <v>254</v>
      </c>
      <c r="C174" s="22" t="n">
        <f aca="false">COUNTIF(K5:K171,"changed")+COUNTIF(Scenarios!$Q$10:$Q$21,"changed")</f>
        <v>1</v>
      </c>
      <c r="D174" s="32" t="s">
        <v>872</v>
      </c>
    </row>
    <row r="175" customFormat="false" ht="41.75" hidden="false" customHeight="false" outlineLevel="0" collapsed="false">
      <c r="B175" s="6" t="s">
        <v>873</v>
      </c>
      <c r="C175" s="22" t="n">
        <f aca="false">SUMPRODUCT((LEFT(G158:G171,LEN("needs"))="needs")*(C158:C171="")*(N158:N171="Y"))+IF(Inputs!$C$69="",1,0)+IF(Inputs!$C$73="",1,0)</f>
        <v>5</v>
      </c>
      <c r="D175" s="32" t="s">
        <v>874</v>
      </c>
    </row>
  </sheetData>
  <mergeCells count="1">
    <mergeCell ref="A3:K3"/>
  </mergeCells>
  <dataValidations count="5">
    <dataValidation allowBlank="true" error="Pick a value from the list." errorStyle="stop" errorTitle="Not in the list" operator="between" showDropDown="false" showErrorMessage="false" showInputMessage="false" sqref="C35" type="list">
      <formula1>Lists!$F$4:$F$8</formula1>
      <formula2>0</formula2>
    </dataValidation>
    <dataValidation allowBlank="true" error="Pick a value from the list." errorStyle="stop" errorTitle="Not in the list" operator="between" showDropDown="false" showErrorMessage="false" showInputMessage="false" sqref="C75" type="list">
      <formula1>Lists!$K$4:$K$5</formula1>
      <formula2>0</formula2>
    </dataValidation>
    <dataValidation allowBlank="true" error="Pick a value from the list." errorStyle="stop" errorTitle="Not in the list" operator="between" showDropDown="false" showErrorMessage="false" showInputMessage="false" sqref="C82" type="list">
      <formula1>Lists!$L$4:$L$5</formula1>
      <formula2>0</formula2>
    </dataValidation>
    <dataValidation allowBlank="true" error="Pick a value from the list." errorStyle="stop" errorTitle="Not in the list" operator="between" showDropDown="false" showErrorMessage="false" showInputMessage="false" sqref="C113" type="list">
      <formula1>Lists!$A$4:$A$6</formula1>
      <formula2>0</formula2>
    </dataValidation>
    <dataValidation allowBlank="true" error="Pick a value from the list." errorStyle="stop" errorTitle="Not in the list" operator="between" showDropDown="false" showErrorMessage="false" showInputMessage="false" sqref="N158:N171" type="list">
      <formula1>Lists!$E$4:$E$5</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24"/>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6"/>
    <col collapsed="false" customWidth="true" hidden="false" outlineLevel="0" max="3" min="3" style="0" width="18"/>
    <col collapsed="false" customWidth="true" hidden="false" outlineLevel="0" max="6" min="4" style="0" width="22"/>
    <col collapsed="false" customWidth="true" hidden="false" outlineLevel="0" max="7" min="7" style="0" width="18"/>
    <col collapsed="false" customWidth="true" hidden="false" outlineLevel="0" max="9" min="8" style="0" width="14"/>
    <col collapsed="false" customWidth="true" hidden="false" outlineLevel="0" max="10" min="10" style="0" width="60"/>
    <col collapsed="false" customWidth="true" hidden="false" outlineLevel="0" max="11" min="11" style="0" width="3"/>
    <col collapsed="false" customWidth="true" hidden="false" outlineLevel="0" max="16" min="12" style="0" width="11"/>
    <col collapsed="false" customWidth="true" hidden="false" outlineLevel="0" max="17" min="17" style="0" width="10"/>
    <col collapsed="false" customWidth="true" hidden="false" outlineLevel="0" max="18" min="18" style="0" width="14"/>
  </cols>
  <sheetData>
    <row r="1" customFormat="false" ht="18.55" hidden="false" customHeight="false" outlineLevel="0" collapsed="false">
      <c r="A1" s="1" t="s">
        <v>875</v>
      </c>
    </row>
    <row r="2" customFormat="false" ht="15" hidden="false" customHeight="false" outlineLevel="0" collapsed="false">
      <c r="A2" s="2" t="s">
        <v>876</v>
      </c>
    </row>
    <row r="3" customFormat="false" ht="30" hidden="false" customHeight="true" outlineLevel="0" collapsed="false">
      <c r="A3" s="8" t="s">
        <v>877</v>
      </c>
      <c r="B3" s="8"/>
      <c r="C3" s="8"/>
      <c r="D3" s="8"/>
      <c r="E3" s="8"/>
      <c r="F3" s="8"/>
      <c r="G3" s="8"/>
      <c r="H3" s="8"/>
      <c r="I3" s="8"/>
      <c r="J3" s="8"/>
    </row>
    <row r="5" customFormat="false" ht="30" hidden="false" customHeight="true" outlineLevel="0" collapsed="false">
      <c r="B5" s="12" t="s">
        <v>878</v>
      </c>
      <c r="C5" s="12" t="s">
        <v>451</v>
      </c>
      <c r="D5" s="12" t="s">
        <v>879</v>
      </c>
      <c r="E5" s="12" t="s">
        <v>880</v>
      </c>
      <c r="F5" s="12" t="s">
        <v>881</v>
      </c>
      <c r="G5" s="12" t="s">
        <v>882</v>
      </c>
      <c r="H5" s="12" t="s">
        <v>883</v>
      </c>
      <c r="I5" s="12" t="s">
        <v>343</v>
      </c>
      <c r="J5" s="12" t="s">
        <v>884</v>
      </c>
      <c r="L5" s="12" t="s">
        <v>885</v>
      </c>
      <c r="M5" s="12" t="s">
        <v>886</v>
      </c>
      <c r="N5" s="12" t="s">
        <v>887</v>
      </c>
      <c r="O5" s="12" t="s">
        <v>888</v>
      </c>
      <c r="P5" s="12" t="s">
        <v>889</v>
      </c>
      <c r="Q5" s="12" t="s">
        <v>349</v>
      </c>
      <c r="R5" s="12" t="s">
        <v>890</v>
      </c>
    </row>
    <row r="6" customFormat="false" ht="31.5" hidden="false" customHeight="true" outlineLevel="0" collapsed="false">
      <c r="B6" s="9" t="s">
        <v>891</v>
      </c>
      <c r="C6" s="6" t="s">
        <v>892</v>
      </c>
      <c r="D6" s="6" t="s">
        <v>893</v>
      </c>
      <c r="E6" s="6" t="s">
        <v>894</v>
      </c>
      <c r="F6" s="6" t="s">
        <v>895</v>
      </c>
      <c r="G6" s="6" t="s">
        <v>896</v>
      </c>
    </row>
    <row r="7" customFormat="false" ht="61.5" hidden="false" customHeight="true" outlineLevel="0" collapsed="false">
      <c r="B7" s="9" t="s">
        <v>897</v>
      </c>
      <c r="C7" s="7" t="s">
        <v>898</v>
      </c>
      <c r="D7" s="7" t="s">
        <v>899</v>
      </c>
      <c r="E7" s="7" t="s">
        <v>900</v>
      </c>
      <c r="F7" s="7" t="s">
        <v>901</v>
      </c>
      <c r="G7" s="7" t="s">
        <v>902</v>
      </c>
    </row>
    <row r="8" customFormat="false" ht="91.5" hidden="false" customHeight="true" outlineLevel="0" collapsed="false">
      <c r="B8" s="9" t="s">
        <v>903</v>
      </c>
      <c r="C8" s="7" t="s">
        <v>904</v>
      </c>
      <c r="D8" s="7" t="s">
        <v>905</v>
      </c>
      <c r="E8" s="7" t="s">
        <v>906</v>
      </c>
      <c r="F8" s="7" t="s">
        <v>907</v>
      </c>
      <c r="G8" s="7" t="s">
        <v>908</v>
      </c>
    </row>
    <row r="10" customFormat="false" ht="30" hidden="false" customHeight="true" outlineLevel="0" collapsed="false">
      <c r="B10" s="7" t="s">
        <v>909</v>
      </c>
      <c r="C10" s="62" t="n">
        <v>2</v>
      </c>
      <c r="D10" s="62" t="n">
        <v>2</v>
      </c>
      <c r="E10" s="62" t="n">
        <v>2</v>
      </c>
      <c r="F10" s="62" t="n">
        <v>1</v>
      </c>
      <c r="G10" s="62" t="n">
        <v>0</v>
      </c>
      <c r="H10" s="63" t="n">
        <f aca="false">INDEX(C10:G10,1,MATCH(Inputs!$C$35,$C$5:$G$5,0))</f>
        <v>2</v>
      </c>
      <c r="I10" s="30" t="s">
        <v>761</v>
      </c>
      <c r="J10" s="7" t="s">
        <v>910</v>
      </c>
      <c r="L10" s="64" t="n">
        <v>2</v>
      </c>
      <c r="M10" s="64" t="n">
        <v>2</v>
      </c>
      <c r="N10" s="64" t="n">
        <v>2</v>
      </c>
      <c r="O10" s="64" t="n">
        <v>1</v>
      </c>
      <c r="P10" s="64" t="n">
        <v>0</v>
      </c>
      <c r="Q10" s="40" t="str">
        <f aca="false">IF(AND(C10&amp;""=L10&amp;"",D10&amp;""=M10&amp;"",E10&amp;""=N10&amp;"",F10&amp;""=O10&amp;"",G10&amp;""=P10&amp;""),"","changed")</f>
        <v/>
      </c>
      <c r="R10" s="21" t="n">
        <f aca="false">IF(INDEX(C10:G10,1,MATCH(Inputs!$C$35,$C$5:$G$5,0))="",1,0)</f>
        <v>0</v>
      </c>
    </row>
    <row r="11" customFormat="false" ht="30" hidden="false" customHeight="true" outlineLevel="0" collapsed="false">
      <c r="B11" s="7" t="s">
        <v>911</v>
      </c>
      <c r="C11" s="65" t="n">
        <f aca="false">Inputs!$C$62</f>
        <v>3</v>
      </c>
      <c r="D11" s="65" t="n">
        <f aca="false">$C11</f>
        <v>3</v>
      </c>
      <c r="E11" s="65" t="n">
        <f aca="false">$C11</f>
        <v>3</v>
      </c>
      <c r="F11" s="65" t="n">
        <f aca="false">$C11</f>
        <v>3</v>
      </c>
      <c r="G11" s="62" t="n">
        <v>0</v>
      </c>
      <c r="H11" s="63" t="n">
        <f aca="false">INDEX(C11:G11,1,MATCH(Inputs!$C$35,$C$5:$G$5,0))</f>
        <v>3</v>
      </c>
      <c r="I11" s="30" t="s">
        <v>480</v>
      </c>
      <c r="J11" s="7" t="s">
        <v>912</v>
      </c>
      <c r="L11" s="64" t="n">
        <f aca="false">Inputs!$C$62</f>
        <v>3</v>
      </c>
      <c r="M11" s="64" t="n">
        <f aca="false">$C11</f>
        <v>3</v>
      </c>
      <c r="N11" s="64" t="n">
        <f aca="false">$C11</f>
        <v>3</v>
      </c>
      <c r="O11" s="64" t="n">
        <f aca="false">$C11</f>
        <v>3</v>
      </c>
      <c r="P11" s="64" t="n">
        <v>0</v>
      </c>
      <c r="Q11" s="40" t="str">
        <f aca="false">IF(AND(C11&amp;""=L11&amp;"",D11&amp;""=M11&amp;"",E11&amp;""=N11&amp;"",F11&amp;""=O11&amp;"",G11&amp;""=P11&amp;""),"","changed")</f>
        <v/>
      </c>
      <c r="R11" s="21" t="n">
        <f aca="false">IF(INDEX(C11:G11,1,MATCH(Inputs!$C$35,$C$5:$G$5,0))="",1,0)</f>
        <v>0</v>
      </c>
    </row>
    <row r="12" customFormat="false" ht="30" hidden="false" customHeight="true" outlineLevel="0" collapsed="false">
      <c r="B12" s="7" t="s">
        <v>913</v>
      </c>
      <c r="C12" s="66" t="n">
        <f aca="false">Inputs!$C$111</f>
        <v>0.4</v>
      </c>
      <c r="D12" s="49" t="n">
        <v>0.4</v>
      </c>
      <c r="E12" s="49" t="n">
        <v>0</v>
      </c>
      <c r="F12" s="66" t="n">
        <f aca="false">C12</f>
        <v>0.4</v>
      </c>
      <c r="G12" s="49" t="n">
        <v>0</v>
      </c>
      <c r="H12" s="67" t="n">
        <f aca="false">INDEX(C12:G12,1,MATCH(Inputs!$C$35,$C$5:$G$5,0))</f>
        <v>0.4</v>
      </c>
      <c r="I12" s="30" t="s">
        <v>487</v>
      </c>
      <c r="J12" s="7" t="s">
        <v>914</v>
      </c>
      <c r="L12" s="50" t="n">
        <f aca="false">Inputs!$C$111</f>
        <v>0.4</v>
      </c>
      <c r="M12" s="50" t="n">
        <v>0.4</v>
      </c>
      <c r="N12" s="50" t="n">
        <v>0</v>
      </c>
      <c r="O12" s="50" t="n">
        <f aca="false">C12</f>
        <v>0.4</v>
      </c>
      <c r="P12" s="50" t="n">
        <v>0</v>
      </c>
      <c r="Q12" s="40" t="str">
        <f aca="false">IF(AND(C12&amp;""=L12&amp;"",D12&amp;""=M12&amp;"",E12&amp;""=N12&amp;"",F12&amp;""=O12&amp;"",G12&amp;""=P12&amp;""),"","changed")</f>
        <v/>
      </c>
      <c r="R12" s="21" t="n">
        <f aca="false">IF(INDEX(C12:G12,1,MATCH(Inputs!$C$35,$C$5:$G$5,0))="",1,0)</f>
        <v>0</v>
      </c>
    </row>
    <row r="13" customFormat="false" ht="30" hidden="false" customHeight="true" outlineLevel="0" collapsed="false">
      <c r="B13" s="7" t="s">
        <v>915</v>
      </c>
      <c r="C13" s="62" t="n">
        <v>0</v>
      </c>
      <c r="D13" s="62" t="n">
        <v>4</v>
      </c>
      <c r="E13" s="62" t="n">
        <v>0</v>
      </c>
      <c r="F13" s="68"/>
      <c r="G13" s="62" t="n">
        <v>0</v>
      </c>
      <c r="H13" s="63" t="n">
        <f aca="false">INDEX(C13:G13,1,MATCH(Inputs!$C$35,$C$5:$G$5,0))</f>
        <v>0</v>
      </c>
      <c r="I13" s="30" t="s">
        <v>463</v>
      </c>
      <c r="J13" s="7" t="s">
        <v>916</v>
      </c>
      <c r="L13" s="64" t="n">
        <v>0</v>
      </c>
      <c r="M13" s="64" t="n">
        <v>4</v>
      </c>
      <c r="N13" s="64" t="n">
        <v>0</v>
      </c>
      <c r="O13" s="69"/>
      <c r="P13" s="64" t="n">
        <v>0</v>
      </c>
      <c r="Q13" s="40" t="str">
        <f aca="false">IF(AND(C13&amp;""=L13&amp;"",D13&amp;""=M13&amp;"",E13&amp;""=N13&amp;"",F13&amp;""=O13&amp;"",G13&amp;""=P13&amp;""),"","changed")</f>
        <v/>
      </c>
      <c r="R13" s="21" t="n">
        <f aca="false">IF(INDEX(C13:G13,1,MATCH(Inputs!$C$35,$C$5:$G$5,0))="",1,0)</f>
        <v>0</v>
      </c>
    </row>
    <row r="14" customFormat="false" ht="30" hidden="false" customHeight="true" outlineLevel="0" collapsed="false">
      <c r="B14" s="7" t="s">
        <v>917</v>
      </c>
      <c r="C14" s="70" t="n">
        <f aca="false">Inputs!$C$39</f>
        <v>150</v>
      </c>
      <c r="D14" s="46" t="n">
        <v>180</v>
      </c>
      <c r="E14" s="70" t="n">
        <f aca="false">Inputs!$C$39</f>
        <v>150</v>
      </c>
      <c r="F14" s="70" t="n">
        <f aca="false">Inputs!$C$39</f>
        <v>150</v>
      </c>
      <c r="G14" s="70" t="n">
        <f aca="false">Inputs!$C$39</f>
        <v>150</v>
      </c>
      <c r="H14" s="71" t="n">
        <f aca="false">INDEX(C14:G14,1,MATCH(Inputs!$C$35,$C$5:$G$5,0))</f>
        <v>150</v>
      </c>
      <c r="I14" s="30" t="s">
        <v>458</v>
      </c>
      <c r="J14" s="7" t="s">
        <v>918</v>
      </c>
      <c r="L14" s="47" t="n">
        <f aca="false">Inputs!$C$39</f>
        <v>150</v>
      </c>
      <c r="M14" s="47" t="n">
        <v>180</v>
      </c>
      <c r="N14" s="47" t="n">
        <f aca="false">Inputs!$C$39</f>
        <v>150</v>
      </c>
      <c r="O14" s="47" t="n">
        <f aca="false">Inputs!$C$39</f>
        <v>150</v>
      </c>
      <c r="P14" s="47" t="n">
        <f aca="false">Inputs!$C$39</f>
        <v>150</v>
      </c>
      <c r="Q14" s="40" t="str">
        <f aca="false">IF(AND(C14&amp;""=L14&amp;"",D14&amp;""=M14&amp;"",E14&amp;""=N14&amp;"",F14&amp;""=O14&amp;"",G14&amp;""=P14&amp;""),"","changed")</f>
        <v/>
      </c>
      <c r="R14" s="21" t="n">
        <f aca="false">IF(INDEX(C14:G14,1,MATCH(Inputs!$C$35,$C$5:$G$5,0))="",1,0)</f>
        <v>0</v>
      </c>
    </row>
    <row r="15" customFormat="false" ht="30" hidden="false" customHeight="true" outlineLevel="0" collapsed="false">
      <c r="B15" s="7" t="s">
        <v>919</v>
      </c>
      <c r="C15" s="65" t="n">
        <f aca="false">Inputs!$C$112</f>
        <v>2</v>
      </c>
      <c r="D15" s="65" t="n">
        <f aca="false">$C15</f>
        <v>2</v>
      </c>
      <c r="E15" s="65" t="n">
        <f aca="false">$C15</f>
        <v>2</v>
      </c>
      <c r="F15" s="65" t="n">
        <f aca="false">$C15</f>
        <v>2</v>
      </c>
      <c r="G15" s="62" t="n">
        <v>0</v>
      </c>
      <c r="H15" s="63" t="n">
        <f aca="false">INDEX(C15:G15,1,MATCH(Inputs!$C$35,$C$5:$G$5,0))</f>
        <v>2</v>
      </c>
      <c r="I15" s="30" t="s">
        <v>613</v>
      </c>
      <c r="J15" s="7" t="s">
        <v>920</v>
      </c>
      <c r="L15" s="64" t="n">
        <f aca="false">Inputs!$C$112</f>
        <v>2</v>
      </c>
      <c r="M15" s="64" t="n">
        <f aca="false">$C15</f>
        <v>2</v>
      </c>
      <c r="N15" s="64" t="n">
        <f aca="false">$C15</f>
        <v>2</v>
      </c>
      <c r="O15" s="64" t="n">
        <f aca="false">$C15</f>
        <v>2</v>
      </c>
      <c r="P15" s="64" t="n">
        <v>0</v>
      </c>
      <c r="Q15" s="40" t="str">
        <f aca="false">IF(AND(C15&amp;""=L15&amp;"",D15&amp;""=M15&amp;"",E15&amp;""=N15&amp;"",F15&amp;""=O15&amp;"",G15&amp;""=P15&amp;""),"","changed")</f>
        <v/>
      </c>
      <c r="R15" s="21" t="n">
        <f aca="false">IF(INDEX(C15:G15,1,MATCH(Inputs!$C$35,$C$5:$G$5,0))="",1,0)</f>
        <v>0</v>
      </c>
    </row>
    <row r="16" customFormat="false" ht="30" hidden="false" customHeight="true" outlineLevel="0" collapsed="false">
      <c r="B16" s="7" t="s">
        <v>921</v>
      </c>
      <c r="C16" s="65" t="n">
        <f aca="false">Inputs!$C$62</f>
        <v>3</v>
      </c>
      <c r="D16" s="65" t="n">
        <f aca="false">$C16</f>
        <v>3</v>
      </c>
      <c r="E16" s="65" t="n">
        <f aca="false">$C16</f>
        <v>3</v>
      </c>
      <c r="F16" s="65" t="n">
        <f aca="false">$C16</f>
        <v>3</v>
      </c>
      <c r="G16" s="62" t="n">
        <v>0</v>
      </c>
      <c r="H16" s="63" t="n">
        <f aca="false">INDEX(C16:G16,1,MATCH(Inputs!$C$35,$C$5:$G$5,0))</f>
        <v>3</v>
      </c>
      <c r="I16" s="30" t="s">
        <v>480</v>
      </c>
      <c r="J16" s="7" t="s">
        <v>922</v>
      </c>
      <c r="L16" s="64" t="n">
        <f aca="false">Inputs!$C$62</f>
        <v>3</v>
      </c>
      <c r="M16" s="64" t="n">
        <f aca="false">$C16</f>
        <v>3</v>
      </c>
      <c r="N16" s="64" t="n">
        <f aca="false">$C16</f>
        <v>3</v>
      </c>
      <c r="O16" s="64" t="n">
        <f aca="false">$C16</f>
        <v>3</v>
      </c>
      <c r="P16" s="64" t="n">
        <v>0</v>
      </c>
      <c r="Q16" s="40" t="str">
        <f aca="false">IF(AND(C16&amp;""=L16&amp;"",D16&amp;""=M16&amp;"",E16&amp;""=N16&amp;"",F16&amp;""=O16&amp;"",G16&amp;""=P16&amp;""),"","changed")</f>
        <v/>
      </c>
      <c r="R16" s="21" t="n">
        <f aca="false">IF(INDEX(C16:G16,1,MATCH(Inputs!$C$35,$C$5:$G$5,0))="",1,0)</f>
        <v>0</v>
      </c>
    </row>
    <row r="17" customFormat="false" ht="30" hidden="false" customHeight="true" outlineLevel="0" collapsed="false">
      <c r="B17" s="7" t="s">
        <v>923</v>
      </c>
      <c r="C17" s="62" t="n">
        <v>0</v>
      </c>
      <c r="D17" s="62" t="n">
        <v>0</v>
      </c>
      <c r="E17" s="62" t="n">
        <v>5</v>
      </c>
      <c r="F17" s="62" t="n">
        <v>0</v>
      </c>
      <c r="G17" s="62" t="n">
        <v>0</v>
      </c>
      <c r="H17" s="63" t="n">
        <f aca="false">INDEX(C17:G17,1,MATCH(Inputs!$C$35,$C$5:$G$5,0))</f>
        <v>0</v>
      </c>
      <c r="I17" s="30" t="s">
        <v>463</v>
      </c>
      <c r="J17" s="7" t="s">
        <v>924</v>
      </c>
      <c r="L17" s="64" t="n">
        <v>0</v>
      </c>
      <c r="M17" s="64" t="n">
        <v>0</v>
      </c>
      <c r="N17" s="64" t="n">
        <v>5</v>
      </c>
      <c r="O17" s="64" t="n">
        <v>0</v>
      </c>
      <c r="P17" s="64" t="n">
        <v>0</v>
      </c>
      <c r="Q17" s="40" t="str">
        <f aca="false">IF(AND(C17&amp;""=L17&amp;"",D17&amp;""=M17&amp;"",E17&amp;""=N17&amp;"",F17&amp;""=O17&amp;"",G17&amp;""=P17&amp;""),"","changed")</f>
        <v/>
      </c>
      <c r="R17" s="21" t="n">
        <f aca="false">IF(INDEX(C17:G17,1,MATCH(Inputs!$C$35,$C$5:$G$5,0))="",1,0)</f>
        <v>0</v>
      </c>
    </row>
    <row r="18" customFormat="false" ht="30" hidden="false" customHeight="true" outlineLevel="0" collapsed="false">
      <c r="B18" s="7" t="s">
        <v>925</v>
      </c>
      <c r="C18" s="56"/>
      <c r="D18" s="56"/>
      <c r="E18" s="46" t="n">
        <v>100</v>
      </c>
      <c r="F18" s="56"/>
      <c r="G18" s="56"/>
      <c r="H18" s="71" t="n">
        <f aca="false">INDEX(C18:G18,1,MATCH(Inputs!$C$35,$C$5:$G$5,0))</f>
        <v>0</v>
      </c>
      <c r="I18" s="30" t="s">
        <v>576</v>
      </c>
      <c r="J18" s="7" t="s">
        <v>926</v>
      </c>
      <c r="L18" s="61"/>
      <c r="M18" s="61"/>
      <c r="N18" s="47" t="n">
        <v>100</v>
      </c>
      <c r="O18" s="61"/>
      <c r="P18" s="61"/>
      <c r="Q18" s="40" t="str">
        <f aca="false">IF(AND(C18&amp;""=L18&amp;"",D18&amp;""=M18&amp;"",E18&amp;""=N18&amp;"",F18&amp;""=O18&amp;"",G18&amp;""=P18&amp;""),"","changed")</f>
        <v/>
      </c>
      <c r="R18" s="21" t="n">
        <f aca="false">IF(INDEX(C18:G18,1,MATCH(Inputs!$C$35,$C$5:$G$5,0))="",1,0)</f>
        <v>1</v>
      </c>
    </row>
    <row r="19" customFormat="false" ht="30" hidden="false" customHeight="true" outlineLevel="0" collapsed="false">
      <c r="B19" s="7" t="s">
        <v>927</v>
      </c>
      <c r="C19" s="56"/>
      <c r="D19" s="56"/>
      <c r="E19" s="56"/>
      <c r="F19" s="56"/>
      <c r="G19" s="56"/>
      <c r="H19" s="71" t="n">
        <f aca="false">INDEX(C19:G19,1,MATCH(Inputs!$C$35,$C$5:$G$5,0))</f>
        <v>0</v>
      </c>
      <c r="I19" s="30" t="s">
        <v>576</v>
      </c>
      <c r="J19" s="7" t="s">
        <v>928</v>
      </c>
      <c r="L19" s="61"/>
      <c r="M19" s="61"/>
      <c r="N19" s="61"/>
      <c r="O19" s="61"/>
      <c r="P19" s="61"/>
      <c r="Q19" s="40" t="str">
        <f aca="false">IF(AND(C19&amp;""=L19&amp;"",D19&amp;""=M19&amp;"",E19&amp;""=N19&amp;"",F19&amp;""=O19&amp;"",G19&amp;""=P19&amp;""),"","changed")</f>
        <v/>
      </c>
      <c r="R19" s="21" t="n">
        <f aca="false">IF(INDEX(C19:G19,1,MATCH(Inputs!$C$35,$C$5:$G$5,0))="",1,0)</f>
        <v>1</v>
      </c>
    </row>
    <row r="20" customFormat="false" ht="30" hidden="false" customHeight="true" outlineLevel="0" collapsed="false">
      <c r="B20" s="7" t="s">
        <v>929</v>
      </c>
      <c r="C20" s="46" t="n">
        <v>25</v>
      </c>
      <c r="D20" s="46" t="n">
        <v>25</v>
      </c>
      <c r="E20" s="56"/>
      <c r="F20" s="56"/>
      <c r="G20" s="56"/>
      <c r="H20" s="71" t="n">
        <f aca="false">INDEX(C20:G20,1,MATCH(Inputs!$C$35,$C$5:$G$5,0))</f>
        <v>25</v>
      </c>
      <c r="I20" s="30" t="s">
        <v>749</v>
      </c>
      <c r="J20" s="7" t="s">
        <v>930</v>
      </c>
      <c r="L20" s="47" t="n">
        <v>25</v>
      </c>
      <c r="M20" s="47" t="n">
        <v>25</v>
      </c>
      <c r="N20" s="61"/>
      <c r="O20" s="61"/>
      <c r="P20" s="61"/>
      <c r="Q20" s="40" t="str">
        <f aca="false">IF(AND(C20&amp;""=L20&amp;"",D20&amp;""=M20&amp;"",E20&amp;""=N20&amp;"",F20&amp;""=O20&amp;"",G20&amp;""=P20&amp;""),"","changed")</f>
        <v/>
      </c>
      <c r="R20" s="21" t="n">
        <f aca="false">IF(INDEX(C20:G20,1,MATCH(Inputs!$C$35,$C$5:$G$5,0))="",1,0)</f>
        <v>0</v>
      </c>
    </row>
    <row r="21" customFormat="false" ht="30" hidden="false" customHeight="true" outlineLevel="0" collapsed="false">
      <c r="B21" s="7" t="s">
        <v>931</v>
      </c>
      <c r="C21" s="62" t="n">
        <v>2</v>
      </c>
      <c r="D21" s="65" t="n">
        <f aca="false">$C21</f>
        <v>2</v>
      </c>
      <c r="E21" s="65" t="n">
        <f aca="false">$C21</f>
        <v>2</v>
      </c>
      <c r="F21" s="65" t="n">
        <f aca="false">$C21</f>
        <v>2</v>
      </c>
      <c r="G21" s="65" t="n">
        <f aca="false">$C21</f>
        <v>2</v>
      </c>
      <c r="H21" s="63" t="n">
        <f aca="false">INDEX(C21:G21,1,MATCH(Inputs!$C$35,$C$5:$G$5,0))</f>
        <v>2</v>
      </c>
      <c r="I21" s="30" t="s">
        <v>613</v>
      </c>
      <c r="J21" s="7" t="s">
        <v>932</v>
      </c>
      <c r="L21" s="64" t="n">
        <v>2</v>
      </c>
      <c r="M21" s="64" t="n">
        <f aca="false">$C21</f>
        <v>2</v>
      </c>
      <c r="N21" s="64" t="n">
        <f aca="false">$C21</f>
        <v>2</v>
      </c>
      <c r="O21" s="64" t="n">
        <f aca="false">$C21</f>
        <v>2</v>
      </c>
      <c r="P21" s="64" t="n">
        <f aca="false">$C21</f>
        <v>2</v>
      </c>
      <c r="Q21" s="40" t="str">
        <f aca="false">IF(AND(C21&amp;""=L21&amp;"",D21&amp;""=M21&amp;"",E21&amp;""=N21&amp;"",F21&amp;""=O21&amp;"",G21&amp;""=P21&amp;""),"","changed")</f>
        <v/>
      </c>
      <c r="R21" s="21" t="n">
        <f aca="false">IF(INDEX(C21:G21,1,MATCH(Inputs!$C$35,$C$5:$G$5,0))="",1,0)</f>
        <v>0</v>
      </c>
    </row>
    <row r="23" customFormat="false" ht="15" hidden="false" customHeight="false" outlineLevel="0" collapsed="false">
      <c r="B23" s="9" t="s">
        <v>933</v>
      </c>
    </row>
    <row r="24" customFormat="false" ht="61.5" hidden="false" customHeight="true" outlineLevel="0" collapsed="false">
      <c r="B24" s="5" t="s">
        <v>934</v>
      </c>
      <c r="C24" s="5"/>
      <c r="D24" s="5"/>
      <c r="E24" s="5"/>
      <c r="F24" s="5"/>
      <c r="G24" s="5"/>
      <c r="H24" s="5"/>
      <c r="I24" s="5"/>
      <c r="J24" s="5"/>
    </row>
  </sheetData>
  <mergeCells count="2">
    <mergeCell ref="A3:J3"/>
    <mergeCell ref="B24:J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2C200"/>
    <pageSetUpPr fitToPage="false"/>
  </sheetPr>
  <dimension ref="A1:AS22"/>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4"/>
    <col collapsed="false" customWidth="true" hidden="false" outlineLevel="0" max="3" min="3" style="0" width="20"/>
    <col collapsed="false" customWidth="true" hidden="false" outlineLevel="0" max="4" min="4" style="0" width="10"/>
    <col collapsed="false" customWidth="true" hidden="false" outlineLevel="0" max="5" min="5" style="0" width="12"/>
    <col collapsed="false" customWidth="true" hidden="false" outlineLevel="0" max="6" min="6" style="0" width="6"/>
    <col collapsed="false" customWidth="true" hidden="false" outlineLevel="0" max="7" min="7" style="0" width="12"/>
    <col collapsed="false" customWidth="true" hidden="false" outlineLevel="0" max="8" min="8" style="0" width="10"/>
    <col collapsed="false" customWidth="true" hidden="false" outlineLevel="0" max="11" min="9" style="0" width="8"/>
    <col collapsed="false" customWidth="true" hidden="false" outlineLevel="0" max="12" min="12" style="0" width="10"/>
    <col collapsed="false" customWidth="true" hidden="false" outlineLevel="0" max="13" min="13" style="0" width="12"/>
    <col collapsed="false" customWidth="true" hidden="false" outlineLevel="0" max="14" min="14" style="0" width="9"/>
    <col collapsed="false" customWidth="true" hidden="false" outlineLevel="0" max="15" min="15" style="0" width="50"/>
    <col collapsed="false" customWidth="true" hidden="false" outlineLevel="0" max="16" min="16" style="0" width="11"/>
    <col collapsed="false" customWidth="true" hidden="false" outlineLevel="0" max="17" min="17" style="0" width="15"/>
    <col collapsed="false" customWidth="true" hidden="false" outlineLevel="0" max="18" min="18" style="0" width="10"/>
    <col collapsed="false" customWidth="true" hidden="false" outlineLevel="0" max="19" min="19" style="0" width="12"/>
    <col collapsed="false" customWidth="true" hidden="false" outlineLevel="0" max="20" min="20" style="0" width="10"/>
    <col collapsed="false" customWidth="true" hidden="false" outlineLevel="0" max="22" min="21" style="0" width="12"/>
    <col collapsed="false" customWidth="true" hidden="false" outlineLevel="0" max="23" min="23" style="0" width="24"/>
    <col collapsed="false" customWidth="true" hidden="false" outlineLevel="0" max="25" min="24" style="0" width="12"/>
    <col collapsed="false" customWidth="true" hidden="false" outlineLevel="0" max="26" min="26" style="0" width="11"/>
    <col collapsed="false" customWidth="true" hidden="false" outlineLevel="0" max="27" min="27" style="0" width="13"/>
    <col collapsed="false" customWidth="true" hidden="false" outlineLevel="0" max="28" min="28" style="0" width="12"/>
    <col collapsed="false" customWidth="true" hidden="false" outlineLevel="0" max="31" min="29" style="0" width="13"/>
    <col collapsed="false" customWidth="true" hidden="false" outlineLevel="0" max="32" min="32" style="0" width="15"/>
    <col collapsed="false" customWidth="true" hidden="false" outlineLevel="0" max="33" min="33" style="0" width="14"/>
    <col collapsed="false" customWidth="true" hidden="false" outlineLevel="0" max="34" min="34" style="0" width="15"/>
    <col collapsed="false" customWidth="true" hidden="false" outlineLevel="0" max="35" min="35" style="0" width="14"/>
    <col collapsed="false" customWidth="true" hidden="false" outlineLevel="0" max="36" min="36" style="0" width="13"/>
  </cols>
  <sheetData>
    <row r="1" customFormat="false" ht="18.55" hidden="false" customHeight="false" outlineLevel="0" collapsed="false">
      <c r="A1" s="1" t="s">
        <v>935</v>
      </c>
    </row>
    <row r="2" customFormat="false" ht="15" hidden="false" customHeight="false" outlineLevel="0" collapsed="false">
      <c r="A2" s="2" t="s">
        <v>936</v>
      </c>
    </row>
    <row r="3" customFormat="false" ht="30" hidden="false" customHeight="true" outlineLevel="0" collapsed="false">
      <c r="A3" s="8" t="s">
        <v>937</v>
      </c>
      <c r="B3" s="8"/>
      <c r="C3" s="8"/>
      <c r="D3" s="8"/>
      <c r="E3" s="8"/>
      <c r="F3" s="8"/>
      <c r="G3" s="8"/>
      <c r="H3" s="8"/>
      <c r="I3" s="8"/>
      <c r="J3" s="8"/>
      <c r="K3" s="8"/>
      <c r="L3" s="8"/>
      <c r="M3" s="8"/>
      <c r="N3" s="8"/>
      <c r="O3" s="8"/>
      <c r="P3" s="8"/>
      <c r="Q3" s="8"/>
      <c r="R3" s="8"/>
      <c r="S3" s="8"/>
      <c r="T3" s="8"/>
    </row>
    <row r="4" customFormat="false" ht="15" hidden="false" customHeight="false" outlineLevel="0" collapsed="false">
      <c r="A4" s="32" t="s">
        <v>938</v>
      </c>
    </row>
    <row r="5" customFormat="false" ht="15" hidden="false" customHeight="false" outlineLevel="0" collapsed="false">
      <c r="Y5" s="9" t="s">
        <v>939</v>
      </c>
      <c r="AF5" s="9" t="s">
        <v>940</v>
      </c>
      <c r="AL5" s="32" t="s">
        <v>941</v>
      </c>
    </row>
    <row r="6" customFormat="false" ht="69.75" hidden="false" customHeight="true" outlineLevel="0" collapsed="false">
      <c r="A6" s="12" t="s">
        <v>324</v>
      </c>
      <c r="B6" s="12" t="s">
        <v>325</v>
      </c>
      <c r="C6" s="12" t="s">
        <v>327</v>
      </c>
      <c r="D6" s="12" t="s">
        <v>942</v>
      </c>
      <c r="E6" s="12" t="s">
        <v>326</v>
      </c>
      <c r="F6" s="12" t="s">
        <v>943</v>
      </c>
      <c r="G6" s="12" t="s">
        <v>328</v>
      </c>
      <c r="H6" s="12" t="s">
        <v>944</v>
      </c>
      <c r="I6" s="12" t="s">
        <v>330</v>
      </c>
      <c r="J6" s="12" t="s">
        <v>945</v>
      </c>
      <c r="K6" s="12" t="s">
        <v>329</v>
      </c>
      <c r="L6" s="12" t="s">
        <v>946</v>
      </c>
      <c r="M6" s="12" t="s">
        <v>947</v>
      </c>
      <c r="N6" s="12" t="s">
        <v>948</v>
      </c>
      <c r="O6" s="12" t="s">
        <v>347</v>
      </c>
      <c r="P6" s="12" t="s">
        <v>949</v>
      </c>
      <c r="Q6" s="12" t="s">
        <v>950</v>
      </c>
      <c r="R6" s="12" t="s">
        <v>951</v>
      </c>
      <c r="S6" s="12" t="s">
        <v>952</v>
      </c>
      <c r="T6" s="12" t="s">
        <v>953</v>
      </c>
      <c r="U6" s="12" t="s">
        <v>954</v>
      </c>
      <c r="V6" s="12" t="s">
        <v>955</v>
      </c>
      <c r="W6" s="12" t="s">
        <v>956</v>
      </c>
      <c r="X6" s="12" t="s">
        <v>957</v>
      </c>
      <c r="Y6" s="12" t="s">
        <v>958</v>
      </c>
      <c r="Z6" s="12" t="s">
        <v>959</v>
      </c>
      <c r="AA6" s="12" t="s">
        <v>960</v>
      </c>
      <c r="AB6" s="12" t="s">
        <v>961</v>
      </c>
      <c r="AC6" s="12" t="s">
        <v>962</v>
      </c>
      <c r="AD6" s="12" t="s">
        <v>963</v>
      </c>
      <c r="AE6" s="12" t="s">
        <v>964</v>
      </c>
      <c r="AF6" s="12" t="s">
        <v>965</v>
      </c>
      <c r="AG6" s="12" t="s">
        <v>966</v>
      </c>
      <c r="AH6" s="12" t="s">
        <v>967</v>
      </c>
      <c r="AI6" s="12" t="s">
        <v>968</v>
      </c>
      <c r="AJ6" s="12" t="s">
        <v>969</v>
      </c>
      <c r="AL6" s="12" t="s">
        <v>970</v>
      </c>
      <c r="AM6" s="12" t="s">
        <v>971</v>
      </c>
      <c r="AN6" s="12" t="s">
        <v>972</v>
      </c>
      <c r="AO6" s="12" t="s">
        <v>973</v>
      </c>
      <c r="AP6" s="12" t="s">
        <v>974</v>
      </c>
      <c r="AQ6" s="12" t="s">
        <v>975</v>
      </c>
      <c r="AR6" s="12" t="s">
        <v>976</v>
      </c>
      <c r="AS6" s="12" t="s">
        <v>977</v>
      </c>
    </row>
    <row r="7" customFormat="false" ht="55.5" hidden="false" customHeight="true" outlineLevel="0" collapsed="false">
      <c r="A7" s="72" t="s">
        <v>728</v>
      </c>
      <c r="B7" s="72" t="s">
        <v>978</v>
      </c>
      <c r="C7" s="72" t="s">
        <v>979</v>
      </c>
      <c r="D7" s="72"/>
      <c r="E7" s="73" t="n">
        <v>46399</v>
      </c>
      <c r="F7" s="7" t="str">
        <f aca="false">IF(E7="","",TEXT(E7,"ddd"))</f>
        <v>Tue</v>
      </c>
      <c r="G7" s="72" t="s">
        <v>672</v>
      </c>
      <c r="H7" s="72" t="s">
        <v>980</v>
      </c>
      <c r="I7" s="74" t="n">
        <f aca="false">Inputs!$C$59</f>
        <v>5</v>
      </c>
      <c r="J7" s="74" t="n">
        <f aca="false">IF(N(K7)=0,0,I7)</f>
        <v>5</v>
      </c>
      <c r="K7" s="74" t="n">
        <f aca="false">Inputs!$C$60</f>
        <v>2</v>
      </c>
      <c r="L7" s="72" t="n">
        <v>0</v>
      </c>
      <c r="M7" s="72" t="n">
        <v>0</v>
      </c>
      <c r="N7" s="72" t="s">
        <v>822</v>
      </c>
      <c r="O7" s="72" t="s">
        <v>981</v>
      </c>
      <c r="P7" s="75" t="str">
        <f aca="false">IF(E7="","",IF(OR(WEEKDAY(E7)=Lists!$V$4,WEEKDAY(E7)=Lists!$V$5),"ok","not Tue/Wed"))</f>
        <v>ok</v>
      </c>
      <c r="Q7" s="76" t="n">
        <f aca="false">IF(E7="","",WORKDAY(E7,Inputs!$C$23-1,Lists!$N$4:$N$30))</f>
        <v>46406</v>
      </c>
      <c r="R7" s="75" t="str">
        <f aca="false">IF(E7="","",IF(COUNTIFS(Lists!$Q$4:$Q$12,"&lt;="&amp;Q7,Lists!$R$4:$R$12,"&gt;="&amp;E7)&gt;0,"clash","ok"))</f>
        <v>ok</v>
      </c>
      <c r="S7" s="77" t="n">
        <f aca="false">IF(E7="","",N(K7)*N(I7)*Inputs!$C$63*(1+Inputs!$C$64))</f>
        <v>550</v>
      </c>
      <c r="T7" s="75" t="str">
        <f aca="false">IF(E7="",IF(N(K7)&gt;0,"date missing",""),IF(AND(P7="ok",R7="ok",N(J7)&lt;=N(I7),N(L7)&lt;=N(K7),N(M7)&lt;=N(L7),OR(N(K7)=0,N(I7)&gt;0),G7&lt;&gt;"",H7&lt;&gt;""),"ok","check"))</f>
        <v>ok</v>
      </c>
      <c r="U7" s="7" t="n">
        <f aca="false">IF(OR(E7="",N(K7)=0),"",SUMIFS($I$7:$I$18,$E$7:$E$18,"&gt;"&amp;E7-Inputs!$C$31,$E$7:$E$18,"&lt;="&amp;E7,$K$7:$K$18,"&gt;0"))</f>
        <v>5</v>
      </c>
      <c r="V7" s="7" t="n">
        <f aca="false">IF(E7="","",SUMIFS($J$7:$J$18,$E$7:$E$18,"&lt;="&amp;E7))</f>
        <v>5</v>
      </c>
      <c r="W7" s="75" t="str">
        <f aca="false">IF(U7="","",IF(U7&gt;V7,"some offices get a second drop within four weeks","ok"))</f>
        <v>ok</v>
      </c>
      <c r="X7" s="78" t="str">
        <f aca="false">IF(AND(E7&amp;""=AL7&amp;"",G7&amp;""=AM7&amp;"",H7&amp;""=AN7&amp;"",I7&amp;""=AO7&amp;"",J7&amp;""=AP7&amp;"",K7&amp;""=AQ7&amp;"",L7&amp;""=AR7&amp;"",M7&amp;""=AS7&amp;""),"","changed")</f>
        <v/>
      </c>
      <c r="Y7" s="79" t="n">
        <f aca="false">IF(OR(E7="",N(K7)=0),"",WORKDAY(E7,-IF(H7="founding",Inputs!$C$49,Inputs!$C$51),Lists!$N$4:$N$30))</f>
        <v>46367</v>
      </c>
      <c r="Z7" s="80" t="n">
        <f aca="false">IF(Y7="","",N(K7)-N(L7))</f>
        <v>2</v>
      </c>
      <c r="AA7" s="80" t="n">
        <f aca="false">IF(Z7="","",Z7/Inputs!$C$90)</f>
        <v>10</v>
      </c>
      <c r="AB7" s="80" t="n">
        <f aca="false">IF(Y7="","",SUMIFS($Z$7:$Z$18,$Y$7:$Y$18,"&lt;="&amp;Y7))</f>
        <v>2</v>
      </c>
      <c r="AC7" s="80" t="n">
        <f aca="false">IF(AB7="","",AB7/Inputs!$C$90)</f>
        <v>10</v>
      </c>
      <c r="AD7" s="80" t="n">
        <f aca="false">IF(Y7="","",SUMIFS(Pipeline!$T$5:$T$1004,Pipeline!$B$5:$B$1004,"brand",Pipeline!$E$5:$E$1004,"paid",Pipeline!$A$5:$A$1004,"&lt;="&amp;Y7))</f>
        <v>0</v>
      </c>
      <c r="AE7" s="80" t="n">
        <f aca="false">IF(Y7="","",SUMIFS(Pipeline!$T$5:$T$1004,Pipeline!$B$5:$B$1004,"brand",Pipeline!$E$5:$E$1004,"conversation",Pipeline!$A$5:$A$1004,"&lt;="&amp;Y7))</f>
        <v>0</v>
      </c>
      <c r="AF7" s="76" t="n">
        <f aca="false">IF(Y7="","",WORKDAY(E7,Inputs!$C$24,Lists!$N$4:$N$30))</f>
        <v>46414</v>
      </c>
      <c r="AG7" s="75" t="str">
        <f aca="false">IF(AF7="","",IF(AND(E7&gt;Inputs!$C$14,E7&lt;=Inputs!$C$15,AF7&gt;Inputs!$C$15),"after the decision","ok"))</f>
        <v>ok</v>
      </c>
      <c r="AH7" s="76" t="str">
        <f aca="false">IF(AG7="after the decision",AF7,"")</f>
        <v/>
      </c>
      <c r="AI7" s="80" t="n">
        <f aca="false">IF(U7="","",MIN(N(I7)-N(J7),MAX(0,U7-V7)))</f>
        <v>0</v>
      </c>
      <c r="AJ7" s="79" t="str">
        <f aca="false">IF(AND(H7="standard",N(K7)&gt;0,E7&lt;&gt;""),E7,"")</f>
        <v/>
      </c>
      <c r="AL7" s="42" t="n">
        <v>46399</v>
      </c>
      <c r="AM7" s="32" t="s">
        <v>672</v>
      </c>
      <c r="AN7" s="32" t="s">
        <v>980</v>
      </c>
      <c r="AO7" s="32" t="n">
        <f aca="false">Inputs!$C$59</f>
        <v>5</v>
      </c>
      <c r="AP7" s="32" t="n">
        <f aca="false">IF(N(K7)=0,0,I7)</f>
        <v>5</v>
      </c>
      <c r="AQ7" s="32" t="n">
        <f aca="false">Inputs!$C$60</f>
        <v>2</v>
      </c>
      <c r="AR7" s="32" t="n">
        <v>0</v>
      </c>
      <c r="AS7" s="32" t="n">
        <v>0</v>
      </c>
    </row>
    <row r="8" customFormat="false" ht="55.5" hidden="false" customHeight="true" outlineLevel="0" collapsed="false">
      <c r="A8" s="72" t="s">
        <v>982</v>
      </c>
      <c r="B8" s="72" t="s">
        <v>983</v>
      </c>
      <c r="C8" s="72" t="s">
        <v>979</v>
      </c>
      <c r="D8" s="72"/>
      <c r="E8" s="73" t="n">
        <v>46427</v>
      </c>
      <c r="F8" s="7" t="str">
        <f aca="false">IF(E8="","",TEXT(E8,"ddd"))</f>
        <v>Tue</v>
      </c>
      <c r="G8" s="72" t="s">
        <v>674</v>
      </c>
      <c r="H8" s="72" t="s">
        <v>984</v>
      </c>
      <c r="I8" s="74" t="n">
        <f aca="false">Inputs!$C$61</f>
        <v>10</v>
      </c>
      <c r="J8" s="74" t="n">
        <f aca="false">IF(N(K8)=0,0,MAX(0,I8-SUM(J$7:J7)))</f>
        <v>5</v>
      </c>
      <c r="K8" s="74" t="n">
        <f aca="false">Inputs!$C$62</f>
        <v>3</v>
      </c>
      <c r="L8" s="72" t="n">
        <v>0</v>
      </c>
      <c r="M8" s="72" t="n">
        <v>0</v>
      </c>
      <c r="N8" s="72" t="s">
        <v>822</v>
      </c>
      <c r="O8" s="72" t="s">
        <v>985</v>
      </c>
      <c r="P8" s="75" t="str">
        <f aca="false">IF(E8="","",IF(OR(WEEKDAY(E8)=Lists!$V$4,WEEKDAY(E8)=Lists!$V$5),"ok","not Tue/Wed"))</f>
        <v>ok</v>
      </c>
      <c r="Q8" s="76" t="n">
        <f aca="false">IF(E8="","",WORKDAY(E8,Inputs!$C$23-1,Lists!$N$4:$N$30))</f>
        <v>46434</v>
      </c>
      <c r="R8" s="75" t="str">
        <f aca="false">IF(E8="","",IF(COUNTIFS(Lists!$Q$4:$Q$12,"&lt;="&amp;Q8,Lists!$R$4:$R$12,"&gt;="&amp;E8)&gt;0,"clash","ok"))</f>
        <v>ok</v>
      </c>
      <c r="S8" s="77" t="n">
        <f aca="false">IF(E8="","",N(K8)*N(I8)*Inputs!$C$63*(1+Inputs!$C$64))</f>
        <v>1650</v>
      </c>
      <c r="T8" s="75" t="str">
        <f aca="false">IF(E8="",IF(N(K8)&gt;0,"date missing",""),IF(AND(P8="ok",R8="ok",N(J8)&lt;=N(I8),N(L8)&lt;=N(K8),N(M8)&lt;=N(L8),OR(N(K8)=0,N(I8)&gt;0),G8&lt;&gt;"",H8&lt;&gt;""),"ok","check"))</f>
        <v>ok</v>
      </c>
      <c r="U8" s="7" t="n">
        <f aca="false">IF(OR(E8="",N(K8)=0),"",SUMIFS($I$7:$I$18,$E$7:$E$18,"&gt;"&amp;E8-Inputs!$C$31,$E$7:$E$18,"&lt;="&amp;E8,$K$7:$K$18,"&gt;0"))</f>
        <v>10</v>
      </c>
      <c r="V8" s="7" t="n">
        <f aca="false">IF(E8="","",SUMIFS($J$7:$J$18,$E$7:$E$18,"&lt;="&amp;E8))</f>
        <v>10</v>
      </c>
      <c r="W8" s="75" t="str">
        <f aca="false">IF(U8="","",IF(U8&gt;V8,"some offices get a second drop within four weeks","ok"))</f>
        <v>ok</v>
      </c>
      <c r="X8" s="78" t="str">
        <f aca="false">IF(AND(E8&amp;""=AL8&amp;"",G8&amp;""=AM8&amp;"",H8&amp;""=AN8&amp;"",I8&amp;""=AO8&amp;"",J8&amp;""=AP8&amp;"",K8&amp;""=AQ8&amp;"",L8&amp;""=AR8&amp;"",M8&amp;""=AS8&amp;""),"","changed")</f>
        <v/>
      </c>
      <c r="Y8" s="79" t="n">
        <f aca="false">IF(OR(E8="",N(K8)=0),"",WORKDAY(E8,-IF(H8="founding",Inputs!$C$49,Inputs!$C$51),Lists!$N$4:$N$30))</f>
        <v>46413</v>
      </c>
      <c r="Z8" s="80" t="n">
        <f aca="false">IF(Y8="","",N(K8)-N(L8))</f>
        <v>3</v>
      </c>
      <c r="AA8" s="80" t="n">
        <f aca="false">IF(Z8="","",Z8/Inputs!$C$90)</f>
        <v>15</v>
      </c>
      <c r="AB8" s="80" t="n">
        <f aca="false">IF(Y8="","",SUMIFS($Z$7:$Z$18,$Y$7:$Y$18,"&lt;="&amp;Y8))</f>
        <v>5</v>
      </c>
      <c r="AC8" s="80" t="n">
        <f aca="false">IF(AB8="","",AB8/Inputs!$C$90)</f>
        <v>25</v>
      </c>
      <c r="AD8" s="80" t="n">
        <f aca="false">IF(Y8="","",SUMIFS(Pipeline!$T$5:$T$1004,Pipeline!$B$5:$B$1004,"brand",Pipeline!$E$5:$E$1004,"paid",Pipeline!$A$5:$A$1004,"&lt;="&amp;Y8))</f>
        <v>0</v>
      </c>
      <c r="AE8" s="80" t="n">
        <f aca="false">IF(Y8="","",SUMIFS(Pipeline!$T$5:$T$1004,Pipeline!$B$5:$B$1004,"brand",Pipeline!$E$5:$E$1004,"conversation",Pipeline!$A$5:$A$1004,"&lt;="&amp;Y8))</f>
        <v>0</v>
      </c>
      <c r="AF8" s="76" t="n">
        <f aca="false">IF(Y8="","",WORKDAY(E8,Inputs!$C$24,Lists!$N$4:$N$30))</f>
        <v>46442</v>
      </c>
      <c r="AG8" s="75" t="str">
        <f aca="false">IF(AF8="","",IF(AND(E8&gt;Inputs!$C$14,E8&lt;=Inputs!$C$15,AF8&gt;Inputs!$C$15),"after the decision","ok"))</f>
        <v>ok</v>
      </c>
      <c r="AH8" s="76" t="str">
        <f aca="false">IF(AG8="after the decision",AF8,"")</f>
        <v/>
      </c>
      <c r="AI8" s="80" t="n">
        <f aca="false">IF(U8="","",MIN(N(I8)-N(J8),MAX(0,U8-V8)))</f>
        <v>0</v>
      </c>
      <c r="AJ8" s="79" t="n">
        <f aca="false">IF(AND(H8="standard",N(K8)&gt;0,E8&lt;&gt;""),E8,"")</f>
        <v>46427</v>
      </c>
      <c r="AL8" s="42" t="n">
        <v>46427</v>
      </c>
      <c r="AM8" s="32" t="s">
        <v>674</v>
      </c>
      <c r="AN8" s="32" t="s">
        <v>984</v>
      </c>
      <c r="AO8" s="32" t="n">
        <f aca="false">Inputs!$C$61</f>
        <v>10</v>
      </c>
      <c r="AP8" s="32" t="n">
        <f aca="false">IF(N(K8)=0,0,MAX(0,I8-SUM(J$7:J7)))</f>
        <v>5</v>
      </c>
      <c r="AQ8" s="32" t="n">
        <f aca="false">Inputs!$C$62</f>
        <v>3</v>
      </c>
      <c r="AR8" s="32" t="n">
        <v>0</v>
      </c>
      <c r="AS8" s="32" t="n">
        <v>0</v>
      </c>
    </row>
    <row r="9" customFormat="false" ht="55.5" hidden="false" customHeight="true" outlineLevel="0" collapsed="false">
      <c r="A9" s="72" t="s">
        <v>986</v>
      </c>
      <c r="B9" s="72" t="s">
        <v>987</v>
      </c>
      <c r="C9" s="72" t="s">
        <v>979</v>
      </c>
      <c r="D9" s="72"/>
      <c r="E9" s="73" t="n">
        <v>46441</v>
      </c>
      <c r="F9" s="7" t="str">
        <f aca="false">IF(E9="","",TEXT(E9,"ddd"))</f>
        <v>Tue</v>
      </c>
      <c r="G9" s="72" t="s">
        <v>674</v>
      </c>
      <c r="H9" s="72" t="s">
        <v>984</v>
      </c>
      <c r="I9" s="74" t="n">
        <f aca="false">Inputs!$C$61</f>
        <v>10</v>
      </c>
      <c r="J9" s="74" t="n">
        <f aca="false">IF(N(K9)=0,0,MAX(0,MIN(I9,Inputs!$C$145-SUM(J$7:J8))))</f>
        <v>2</v>
      </c>
      <c r="K9" s="74" t="n">
        <f aca="false">Inputs!$C$62</f>
        <v>3</v>
      </c>
      <c r="L9" s="72" t="n">
        <v>0</v>
      </c>
      <c r="M9" s="72" t="n">
        <v>0</v>
      </c>
      <c r="N9" s="72" t="s">
        <v>822</v>
      </c>
      <c r="O9" s="72" t="s">
        <v>988</v>
      </c>
      <c r="P9" s="75" t="str">
        <f aca="false">IF(E9="","",IF(OR(WEEKDAY(E9)=Lists!$V$4,WEEKDAY(E9)=Lists!$V$5),"ok","not Tue/Wed"))</f>
        <v>ok</v>
      </c>
      <c r="Q9" s="76" t="n">
        <f aca="false">IF(E9="","",WORKDAY(E9,Inputs!$C$23-1,Lists!$N$4:$N$30))</f>
        <v>46447</v>
      </c>
      <c r="R9" s="75" t="str">
        <f aca="false">IF(E9="","",IF(COUNTIFS(Lists!$Q$4:$Q$12,"&lt;="&amp;Q9,Lists!$R$4:$R$12,"&gt;="&amp;E9)&gt;0,"clash","ok"))</f>
        <v>ok</v>
      </c>
      <c r="S9" s="77" t="n">
        <f aca="false">IF(E9="","",N(K9)*N(I9)*Inputs!$C$63*(1+Inputs!$C$64))</f>
        <v>1650</v>
      </c>
      <c r="T9" s="75" t="str">
        <f aca="false">IF(E9="",IF(N(K9)&gt;0,"date missing",""),IF(AND(P9="ok",R9="ok",N(J9)&lt;=N(I9),N(L9)&lt;=N(K9),N(M9)&lt;=N(L9),OR(N(K9)=0,N(I9)&gt;0),G9&lt;&gt;"",H9&lt;&gt;""),"ok","check"))</f>
        <v>ok</v>
      </c>
      <c r="U9" s="7" t="n">
        <f aca="false">IF(OR(E9="",N(K9)=0),"",SUMIFS($I$7:$I$18,$E$7:$E$18,"&gt;"&amp;E9-Inputs!$C$31,$E$7:$E$18,"&lt;="&amp;E9,$K$7:$K$18,"&gt;0"))</f>
        <v>20</v>
      </c>
      <c r="V9" s="7" t="n">
        <f aca="false">IF(E9="","",SUMIFS($J$7:$J$18,$E$7:$E$18,"&lt;="&amp;E9))</f>
        <v>12</v>
      </c>
      <c r="W9" s="75" t="str">
        <f aca="false">IF(U9="","",IF(U9&gt;V9,"some offices get a second drop within four weeks","ok"))</f>
        <v>some offices get a second drop within four weeks</v>
      </c>
      <c r="X9" s="78" t="str">
        <f aca="false">IF(AND(E9&amp;""=AL9&amp;"",G9&amp;""=AM9&amp;"",H9&amp;""=AN9&amp;"",I9&amp;""=AO9&amp;"",J9&amp;""=AP9&amp;"",K9&amp;""=AQ9&amp;"",L9&amp;""=AR9&amp;"",M9&amp;""=AS9&amp;""),"","changed")</f>
        <v/>
      </c>
      <c r="Y9" s="79" t="n">
        <f aca="false">IF(OR(E9="",N(K9)=0),"",WORKDAY(E9,-IF(H9="founding",Inputs!$C$49,Inputs!$C$51),Lists!$N$4:$N$30))</f>
        <v>46426</v>
      </c>
      <c r="Z9" s="80" t="n">
        <f aca="false">IF(Y9="","",N(K9)-N(L9))</f>
        <v>3</v>
      </c>
      <c r="AA9" s="80" t="n">
        <f aca="false">IF(Z9="","",Z9/Inputs!$C$90)</f>
        <v>15</v>
      </c>
      <c r="AB9" s="80" t="n">
        <f aca="false">IF(Y9="","",SUMIFS($Z$7:$Z$18,$Y$7:$Y$18,"&lt;="&amp;Y9))</f>
        <v>8</v>
      </c>
      <c r="AC9" s="80" t="n">
        <f aca="false">IF(AB9="","",AB9/Inputs!$C$90)</f>
        <v>40</v>
      </c>
      <c r="AD9" s="80" t="n">
        <f aca="false">IF(Y9="","",SUMIFS(Pipeline!$T$5:$T$1004,Pipeline!$B$5:$B$1004,"brand",Pipeline!$E$5:$E$1004,"paid",Pipeline!$A$5:$A$1004,"&lt;="&amp;Y9))</f>
        <v>0</v>
      </c>
      <c r="AE9" s="80" t="n">
        <f aca="false">IF(Y9="","",SUMIFS(Pipeline!$T$5:$T$1004,Pipeline!$B$5:$B$1004,"brand",Pipeline!$E$5:$E$1004,"conversation",Pipeline!$A$5:$A$1004,"&lt;="&amp;Y9))</f>
        <v>0</v>
      </c>
      <c r="AF9" s="76" t="n">
        <f aca="false">IF(Y9="","",WORKDAY(E9,Inputs!$C$24,Lists!$N$4:$N$30))</f>
        <v>46455</v>
      </c>
      <c r="AG9" s="75" t="str">
        <f aca="false">IF(AF9="","",IF(AND(E9&gt;Inputs!$C$14,E9&lt;=Inputs!$C$15,AF9&gt;Inputs!$C$15),"after the decision","ok"))</f>
        <v>ok</v>
      </c>
      <c r="AH9" s="76" t="str">
        <f aca="false">IF(AG9="after the decision",AF9,"")</f>
        <v/>
      </c>
      <c r="AI9" s="80" t="n">
        <f aca="false">IF(U9="","",MIN(N(I9)-N(J9),MAX(0,U9-V9)))</f>
        <v>8</v>
      </c>
      <c r="AJ9" s="79" t="n">
        <f aca="false">IF(AND(H9="standard",N(K9)&gt;0,E9&lt;&gt;""),E9,"")</f>
        <v>46441</v>
      </c>
      <c r="AL9" s="42" t="n">
        <v>46441</v>
      </c>
      <c r="AM9" s="32" t="s">
        <v>674</v>
      </c>
      <c r="AN9" s="32" t="s">
        <v>984</v>
      </c>
      <c r="AO9" s="32" t="n">
        <f aca="false">Inputs!$C$61</f>
        <v>10</v>
      </c>
      <c r="AP9" s="32" t="n">
        <f aca="false">IF(N(K9)=0,0,MAX(0,MIN(I9,Inputs!$C$145-SUM(J$7:J8))))</f>
        <v>2</v>
      </c>
      <c r="AQ9" s="32" t="n">
        <f aca="false">Inputs!$C$62</f>
        <v>3</v>
      </c>
      <c r="AR9" s="32" t="n">
        <v>0</v>
      </c>
      <c r="AS9" s="32" t="n">
        <v>0</v>
      </c>
    </row>
    <row r="10" customFormat="false" ht="55.5" hidden="false" customHeight="true" outlineLevel="0" collapsed="false">
      <c r="A10" s="72" t="s">
        <v>989</v>
      </c>
      <c r="B10" s="72" t="s">
        <v>990</v>
      </c>
      <c r="C10" s="72" t="s">
        <v>991</v>
      </c>
      <c r="D10" s="72" t="n">
        <v>1</v>
      </c>
      <c r="E10" s="73" t="n">
        <v>46469</v>
      </c>
      <c r="F10" s="7" t="str">
        <f aca="false">IF(E10="","",TEXT(E10,"ddd"))</f>
        <v>Tue</v>
      </c>
      <c r="G10" s="72" t="s">
        <v>676</v>
      </c>
      <c r="H10" s="72" t="s">
        <v>984</v>
      </c>
      <c r="I10" s="74" t="n">
        <f aca="false">Inputs!$C$61</f>
        <v>10</v>
      </c>
      <c r="J10" s="74" t="n">
        <f aca="false">IF(K10&gt;0,N(Scenarios!$H$13),0)</f>
        <v>0</v>
      </c>
      <c r="K10" s="81" t="n">
        <f aca="false">IF(D10&lt;=Scenarios!$H$10,Scenarios!$H$11,0)</f>
        <v>3</v>
      </c>
      <c r="L10" s="74" t="n">
        <f aca="false">ROUND(Scenarios!$H$12*K10,0)</f>
        <v>1</v>
      </c>
      <c r="M10" s="72" t="n">
        <v>0</v>
      </c>
      <c r="N10" s="72" t="s">
        <v>822</v>
      </c>
      <c r="O10" s="72" t="s">
        <v>992</v>
      </c>
      <c r="P10" s="75" t="str">
        <f aca="false">IF(E10="","",IF(OR(WEEKDAY(E10)=Lists!$V$4,WEEKDAY(E10)=Lists!$V$5),"ok","not Tue/Wed"))</f>
        <v>ok</v>
      </c>
      <c r="Q10" s="76" t="n">
        <f aca="false">IF(E10="","",WORKDAY(E10,Inputs!$C$23-1,Lists!$N$4:$N$30))</f>
        <v>46475</v>
      </c>
      <c r="R10" s="75" t="str">
        <f aca="false">IF(E10="","",IF(COUNTIFS(Lists!$Q$4:$Q$12,"&lt;="&amp;Q10,Lists!$R$4:$R$12,"&gt;="&amp;E10)&gt;0,"clash","ok"))</f>
        <v>ok</v>
      </c>
      <c r="S10" s="77" t="n">
        <f aca="false">IF(E10="","",N(K10)*N(I10)*Inputs!$C$63*(1+Inputs!$C$64))</f>
        <v>1650</v>
      </c>
      <c r="T10" s="75" t="str">
        <f aca="false">IF(E10="",IF(N(K10)&gt;0,"date missing",""),IF(AND(P10="ok",R10="ok",N(J10)&lt;=N(I10),N(L10)&lt;=N(K10),N(M10)&lt;=N(L10),OR(N(K10)=0,N(I10)&gt;0),G10&lt;&gt;"",H10&lt;&gt;""),"ok","check"))</f>
        <v>ok</v>
      </c>
      <c r="U10" s="7" t="n">
        <f aca="false">IF(OR(E10="",N(K10)=0),"",SUMIFS($I$7:$I$18,$E$7:$E$18,"&gt;"&amp;E10-Inputs!$C$31,$E$7:$E$18,"&lt;="&amp;E10,$K$7:$K$18,"&gt;0"))</f>
        <v>10</v>
      </c>
      <c r="V10" s="7" t="n">
        <f aca="false">IF(E10="","",SUMIFS($J$7:$J$18,$E$7:$E$18,"&lt;="&amp;E10))</f>
        <v>12</v>
      </c>
      <c r="W10" s="75" t="str">
        <f aca="false">IF(U10="","",IF(U10&gt;V10,"some offices get a second drop within four weeks","ok"))</f>
        <v>ok</v>
      </c>
      <c r="X10" s="78" t="str">
        <f aca="false">IF(AND(E10&amp;""=AL10&amp;"",G10&amp;""=AM10&amp;"",H10&amp;""=AN10&amp;"",I10&amp;""=AO10&amp;"",J10&amp;""=AP10&amp;"",K10&amp;""=AQ10&amp;"",L10&amp;""=AR10&amp;"",M10&amp;""=AS10&amp;""),"","changed")</f>
        <v/>
      </c>
      <c r="Y10" s="79" t="n">
        <f aca="false">IF(OR(E10="",N(K10)=0),"",WORKDAY(E10,-IF(H10="founding",Inputs!$C$49,Inputs!$C$51),Lists!$N$4:$N$30))</f>
        <v>46455</v>
      </c>
      <c r="Z10" s="80" t="n">
        <f aca="false">IF(Y10="","",N(K10)-N(L10))</f>
        <v>2</v>
      </c>
      <c r="AA10" s="80" t="n">
        <f aca="false">IF(Z10="","",Z10/Inputs!$C$90)</f>
        <v>10</v>
      </c>
      <c r="AB10" s="80" t="n">
        <f aca="false">IF(Y10="","",SUMIFS($Z$7:$Z$18,$Y$7:$Y$18,"&lt;="&amp;Y10))</f>
        <v>10</v>
      </c>
      <c r="AC10" s="80" t="n">
        <f aca="false">IF(AB10="","",AB10/Inputs!$C$90)</f>
        <v>50</v>
      </c>
      <c r="AD10" s="80" t="n">
        <f aca="false">IF(Y10="","",SUMIFS(Pipeline!$T$5:$T$1004,Pipeline!$B$5:$B$1004,"brand",Pipeline!$E$5:$E$1004,"paid",Pipeline!$A$5:$A$1004,"&lt;="&amp;Y10))</f>
        <v>0</v>
      </c>
      <c r="AE10" s="80" t="n">
        <f aca="false">IF(Y10="","",SUMIFS(Pipeline!$T$5:$T$1004,Pipeline!$B$5:$B$1004,"brand",Pipeline!$E$5:$E$1004,"conversation",Pipeline!$A$5:$A$1004,"&lt;="&amp;Y10))</f>
        <v>0</v>
      </c>
      <c r="AF10" s="76" t="n">
        <f aca="false">IF(Y10="","",WORKDAY(E10,Inputs!$C$24,Lists!$N$4:$N$30))</f>
        <v>46483</v>
      </c>
      <c r="AG10" s="75" t="str">
        <f aca="false">IF(AF10="","",IF(AND(E10&gt;Inputs!$C$14,E10&lt;=Inputs!$C$15,AF10&gt;Inputs!$C$15),"after the decision","ok"))</f>
        <v>ok</v>
      </c>
      <c r="AH10" s="76" t="str">
        <f aca="false">IF(AG10="after the decision",AF10,"")</f>
        <v/>
      </c>
      <c r="AI10" s="80" t="n">
        <f aca="false">IF(U10="","",MIN(N(I10)-N(J10),MAX(0,U10-V10)))</f>
        <v>0</v>
      </c>
      <c r="AJ10" s="79" t="n">
        <f aca="false">IF(AND(H10="standard",N(K10)&gt;0,E10&lt;&gt;""),E10,"")</f>
        <v>46469</v>
      </c>
      <c r="AL10" s="42" t="n">
        <v>46469</v>
      </c>
      <c r="AM10" s="32" t="s">
        <v>676</v>
      </c>
      <c r="AN10" s="32" t="s">
        <v>984</v>
      </c>
      <c r="AO10" s="32" t="n">
        <f aca="false">Inputs!$C$61</f>
        <v>10</v>
      </c>
      <c r="AP10" s="32" t="n">
        <f aca="false">IF(K10&gt;0,N(Scenarios!$H$13),0)</f>
        <v>0</v>
      </c>
      <c r="AQ10" s="64" t="n">
        <f aca="false">IF(D10&lt;=Scenarios!$H$10,Scenarios!$H$11,0)</f>
        <v>3</v>
      </c>
      <c r="AR10" s="32" t="n">
        <f aca="false">ROUND(Scenarios!$H$12*K10,0)</f>
        <v>1</v>
      </c>
      <c r="AS10" s="32" t="n">
        <v>0</v>
      </c>
    </row>
    <row r="11" customFormat="false" ht="55.5" hidden="false" customHeight="true" outlineLevel="0" collapsed="false">
      <c r="A11" s="72" t="s">
        <v>993</v>
      </c>
      <c r="B11" s="72" t="s">
        <v>994</v>
      </c>
      <c r="C11" s="72" t="s">
        <v>991</v>
      </c>
      <c r="D11" s="72" t="n">
        <v>2</v>
      </c>
      <c r="E11" s="73" t="n">
        <v>46483</v>
      </c>
      <c r="F11" s="7" t="str">
        <f aca="false">IF(E11="","",TEXT(E11,"ddd"))</f>
        <v>Tue</v>
      </c>
      <c r="G11" s="72" t="s">
        <v>676</v>
      </c>
      <c r="H11" s="72" t="s">
        <v>984</v>
      </c>
      <c r="I11" s="74" t="n">
        <f aca="false">Inputs!$C$61</f>
        <v>10</v>
      </c>
      <c r="J11" s="74" t="n">
        <f aca="false">IF(K11&gt;0,N(Scenarios!$H$13),0)</f>
        <v>0</v>
      </c>
      <c r="K11" s="81" t="n">
        <f aca="false">IF(D11&lt;=Scenarios!$H$10,Scenarios!$H$11,0)</f>
        <v>3</v>
      </c>
      <c r="L11" s="74" t="n">
        <f aca="false">ROUND(Scenarios!$H$12*K11,0)</f>
        <v>1</v>
      </c>
      <c r="M11" s="72" t="n">
        <v>0</v>
      </c>
      <c r="N11" s="72" t="s">
        <v>822</v>
      </c>
      <c r="O11" s="72" t="s">
        <v>995</v>
      </c>
      <c r="P11" s="75" t="str">
        <f aca="false">IF(E11="","",IF(OR(WEEKDAY(E11)=Lists!$V$4,WEEKDAY(E11)=Lists!$V$5),"ok","not Tue/Wed"))</f>
        <v>ok</v>
      </c>
      <c r="Q11" s="76" t="n">
        <f aca="false">IF(E11="","",WORKDAY(E11,Inputs!$C$23-1,Lists!$N$4:$N$30))</f>
        <v>46489</v>
      </c>
      <c r="R11" s="75" t="str">
        <f aca="false">IF(E11="","",IF(COUNTIFS(Lists!$Q$4:$Q$12,"&lt;="&amp;Q11,Lists!$R$4:$R$12,"&gt;="&amp;E11)&gt;0,"clash","ok"))</f>
        <v>ok</v>
      </c>
      <c r="S11" s="77" t="n">
        <f aca="false">IF(E11="","",N(K11)*N(I11)*Inputs!$C$63*(1+Inputs!$C$64))</f>
        <v>1650</v>
      </c>
      <c r="T11" s="75" t="str">
        <f aca="false">IF(E11="",IF(N(K11)&gt;0,"date missing",""),IF(AND(P11="ok",R11="ok",N(J11)&lt;=N(I11),N(L11)&lt;=N(K11),N(M11)&lt;=N(L11),OR(N(K11)=0,N(I11)&gt;0),G11&lt;&gt;"",H11&lt;&gt;""),"ok","check"))</f>
        <v>ok</v>
      </c>
      <c r="U11" s="7" t="n">
        <f aca="false">IF(OR(E11="",N(K11)=0),"",SUMIFS($I$7:$I$18,$E$7:$E$18,"&gt;"&amp;E11-Inputs!$C$31,$E$7:$E$18,"&lt;="&amp;E11,$K$7:$K$18,"&gt;0"))</f>
        <v>20</v>
      </c>
      <c r="V11" s="7" t="n">
        <f aca="false">IF(E11="","",SUMIFS($J$7:$J$18,$E$7:$E$18,"&lt;="&amp;E11))</f>
        <v>12</v>
      </c>
      <c r="W11" s="75" t="str">
        <f aca="false">IF(U11="","",IF(U11&gt;V11,"some offices get a second drop within four weeks","ok"))</f>
        <v>some offices get a second drop within four weeks</v>
      </c>
      <c r="X11" s="78" t="str">
        <f aca="false">IF(AND(E11&amp;""=AL11&amp;"",G11&amp;""=AM11&amp;"",H11&amp;""=AN11&amp;"",I11&amp;""=AO11&amp;"",J11&amp;""=AP11&amp;"",K11&amp;""=AQ11&amp;"",L11&amp;""=AR11&amp;"",M11&amp;""=AS11&amp;""),"","changed")</f>
        <v/>
      </c>
      <c r="Y11" s="79" t="n">
        <f aca="false">IF(OR(E11="",N(K11)=0),"",WORKDAY(E11,-IF(H11="founding",Inputs!$C$49,Inputs!$C$51),Lists!$N$4:$N$30))</f>
        <v>46469</v>
      </c>
      <c r="Z11" s="80" t="n">
        <f aca="false">IF(Y11="","",N(K11)-N(L11))</f>
        <v>2</v>
      </c>
      <c r="AA11" s="80" t="n">
        <f aca="false">IF(Z11="","",Z11/Inputs!$C$90)</f>
        <v>10</v>
      </c>
      <c r="AB11" s="80" t="n">
        <f aca="false">IF(Y11="","",SUMIFS($Z$7:$Z$18,$Y$7:$Y$18,"&lt;="&amp;Y11))</f>
        <v>12</v>
      </c>
      <c r="AC11" s="80" t="n">
        <f aca="false">IF(AB11="","",AB11/Inputs!$C$90)</f>
        <v>60</v>
      </c>
      <c r="AD11" s="80" t="n">
        <f aca="false">IF(Y11="","",SUMIFS(Pipeline!$T$5:$T$1004,Pipeline!$B$5:$B$1004,"brand",Pipeline!$E$5:$E$1004,"paid",Pipeline!$A$5:$A$1004,"&lt;="&amp;Y11))</f>
        <v>0</v>
      </c>
      <c r="AE11" s="80" t="n">
        <f aca="false">IF(Y11="","",SUMIFS(Pipeline!$T$5:$T$1004,Pipeline!$B$5:$B$1004,"brand",Pipeline!$E$5:$E$1004,"conversation",Pipeline!$A$5:$A$1004,"&lt;="&amp;Y11))</f>
        <v>0</v>
      </c>
      <c r="AF11" s="76" t="n">
        <f aca="false">IF(Y11="","",WORKDAY(E11,Inputs!$C$24,Lists!$N$4:$N$30))</f>
        <v>46497</v>
      </c>
      <c r="AG11" s="75" t="str">
        <f aca="false">IF(AF11="","",IF(AND(E11&gt;Inputs!$C$14,E11&lt;=Inputs!$C$15,AF11&gt;Inputs!$C$15),"after the decision","ok"))</f>
        <v>after the decision</v>
      </c>
      <c r="AH11" s="76" t="n">
        <f aca="false">IF(AG11="after the decision",AF11,"")</f>
        <v>46497</v>
      </c>
      <c r="AI11" s="80" t="n">
        <f aca="false">IF(U11="","",MIN(N(I11)-N(J11),MAX(0,U11-V11)))</f>
        <v>8</v>
      </c>
      <c r="AJ11" s="79" t="n">
        <f aca="false">IF(AND(H11="standard",N(K11)&gt;0,E11&lt;&gt;""),E11,"")</f>
        <v>46483</v>
      </c>
      <c r="AL11" s="42" t="n">
        <v>46483</v>
      </c>
      <c r="AM11" s="32" t="s">
        <v>676</v>
      </c>
      <c r="AN11" s="32" t="s">
        <v>984</v>
      </c>
      <c r="AO11" s="32" t="n">
        <f aca="false">Inputs!$C$61</f>
        <v>10</v>
      </c>
      <c r="AP11" s="32" t="n">
        <f aca="false">IF(K11&gt;0,N(Scenarios!$H$13),0)</f>
        <v>0</v>
      </c>
      <c r="AQ11" s="64" t="n">
        <f aca="false">IF(D11&lt;=Scenarios!$H$10,Scenarios!$H$11,0)</f>
        <v>3</v>
      </c>
      <c r="AR11" s="32" t="n">
        <f aca="false">ROUND(Scenarios!$H$12*K11,0)</f>
        <v>1</v>
      </c>
      <c r="AS11" s="32" t="n">
        <v>0</v>
      </c>
    </row>
    <row r="12" customFormat="false" ht="55.5" hidden="false" customHeight="true" outlineLevel="0" collapsed="false">
      <c r="A12" s="72" t="s">
        <v>996</v>
      </c>
      <c r="B12" s="72"/>
      <c r="C12" s="72" t="s">
        <v>997</v>
      </c>
      <c r="D12" s="72"/>
      <c r="E12" s="73"/>
      <c r="F12" s="7" t="str">
        <f aca="false">IF(E12="","",TEXT(E12,"ddd"))</f>
        <v/>
      </c>
      <c r="G12" s="72"/>
      <c r="H12" s="72"/>
      <c r="I12" s="72"/>
      <c r="J12" s="72"/>
      <c r="K12" s="72"/>
      <c r="L12" s="72"/>
      <c r="M12" s="72"/>
      <c r="N12" s="72" t="s">
        <v>822</v>
      </c>
      <c r="O12" s="72"/>
      <c r="P12" s="75" t="str">
        <f aca="false">IF(E12="","",IF(OR(WEEKDAY(E12)=Lists!$V$4,WEEKDAY(E12)=Lists!$V$5),"ok","not Tue/Wed"))</f>
        <v/>
      </c>
      <c r="Q12" s="76" t="str">
        <f aca="false">IF(E12="","",WORKDAY(E12,Inputs!$C$23-1,Lists!$N$4:$N$30))</f>
        <v/>
      </c>
      <c r="R12" s="75" t="str">
        <f aca="false">IF(E12="","",IF(COUNTIFS(Lists!$Q$4:$Q$12,"&lt;="&amp;Q12,Lists!$R$4:$R$12,"&gt;="&amp;E12)&gt;0,"clash","ok"))</f>
        <v/>
      </c>
      <c r="S12" s="77" t="str">
        <f aca="false">IF(E12="","",N(K12)*N(I12)*Inputs!$C$63*(1+Inputs!$C$64))</f>
        <v/>
      </c>
      <c r="T12" s="75" t="str">
        <f aca="false">IF(E12="",IF(N(K12)&gt;0,"date missing",""),IF(AND(P12="ok",R12="ok",N(J12)&lt;=N(I12),N(L12)&lt;=N(K12),N(M12)&lt;=N(L12),OR(N(K12)=0,N(I12)&gt;0),G12&lt;&gt;"",H12&lt;&gt;""),"ok","check"))</f>
        <v/>
      </c>
      <c r="U12" s="7" t="str">
        <f aca="false">IF(OR(E12="",N(K12)=0),"",SUMIFS($I$7:$I$18,$E$7:$E$18,"&gt;"&amp;E12-Inputs!$C$31,$E$7:$E$18,"&lt;="&amp;E12,$K$7:$K$18,"&gt;0"))</f>
        <v/>
      </c>
      <c r="V12" s="7" t="str">
        <f aca="false">IF(E12="","",SUMIFS($J$7:$J$18,$E$7:$E$18,"&lt;="&amp;E12))</f>
        <v/>
      </c>
      <c r="W12" s="75" t="str">
        <f aca="false">IF(U12="","",IF(U12&gt;V12,"some offices get a second drop within four weeks","ok"))</f>
        <v/>
      </c>
      <c r="X12" s="78" t="str">
        <f aca="false">IF(AND(E12&amp;""=AL12&amp;"",G12&amp;""=AM12&amp;"",H12&amp;""=AN12&amp;"",I12&amp;""=AO12&amp;"",J12&amp;""=AP12&amp;"",K12&amp;""=AQ12&amp;"",L12&amp;""=AR12&amp;"",M12&amp;""=AS12&amp;""),"","changed")</f>
        <v/>
      </c>
      <c r="Y12" s="79" t="str">
        <f aca="false">IF(OR(E12="",N(K12)=0),"",WORKDAY(E12,-IF(H12="founding",Inputs!$C$49,Inputs!$C$51),Lists!$N$4:$N$30))</f>
        <v/>
      </c>
      <c r="Z12" s="80" t="str">
        <f aca="false">IF(Y12="","",N(K12)-N(L12))</f>
        <v/>
      </c>
      <c r="AA12" s="80" t="str">
        <f aca="false">IF(Z12="","",Z12/Inputs!$C$90)</f>
        <v/>
      </c>
      <c r="AB12" s="80" t="str">
        <f aca="false">IF(Y12="","",SUMIFS($Z$7:$Z$18,$Y$7:$Y$18,"&lt;="&amp;Y12))</f>
        <v/>
      </c>
      <c r="AC12" s="80" t="str">
        <f aca="false">IF(AB12="","",AB12/Inputs!$C$90)</f>
        <v/>
      </c>
      <c r="AD12" s="80" t="str">
        <f aca="false">IF(Y12="","",SUMIFS(Pipeline!$T$5:$T$1004,Pipeline!$B$5:$B$1004,"brand",Pipeline!$E$5:$E$1004,"paid",Pipeline!$A$5:$A$1004,"&lt;="&amp;Y12))</f>
        <v/>
      </c>
      <c r="AE12" s="80" t="str">
        <f aca="false">IF(Y12="","",SUMIFS(Pipeline!$T$5:$T$1004,Pipeline!$B$5:$B$1004,"brand",Pipeline!$E$5:$E$1004,"conversation",Pipeline!$A$5:$A$1004,"&lt;="&amp;Y12))</f>
        <v/>
      </c>
      <c r="AF12" s="76" t="str">
        <f aca="false">IF(Y12="","",WORKDAY(E12,Inputs!$C$24,Lists!$N$4:$N$30))</f>
        <v/>
      </c>
      <c r="AG12" s="75" t="str">
        <f aca="false">IF(AF12="","",IF(AND(E12&gt;Inputs!$C$14,E12&lt;=Inputs!$C$15,AF12&gt;Inputs!$C$15),"after the decision","ok"))</f>
        <v/>
      </c>
      <c r="AH12" s="76" t="str">
        <f aca="false">IF(AG12="after the decision",AF12,"")</f>
        <v/>
      </c>
      <c r="AI12" s="80" t="str">
        <f aca="false">IF(U12="","",MIN(N(I12)-N(J12),MAX(0,U12-V12)))</f>
        <v/>
      </c>
      <c r="AJ12" s="79" t="str">
        <f aca="false">IF(AND(H12="standard",N(K12)&gt;0,E12&lt;&gt;""),E12,"")</f>
        <v/>
      </c>
      <c r="AL12" s="82"/>
      <c r="AM12" s="83"/>
      <c r="AN12" s="83"/>
      <c r="AO12" s="83"/>
      <c r="AP12" s="83"/>
      <c r="AQ12" s="83"/>
      <c r="AR12" s="83"/>
      <c r="AS12" s="83"/>
    </row>
    <row r="13" customFormat="false" ht="55.5" hidden="false" customHeight="true" outlineLevel="0" collapsed="false">
      <c r="A13" s="72" t="s">
        <v>998</v>
      </c>
      <c r="B13" s="72"/>
      <c r="C13" s="72" t="s">
        <v>997</v>
      </c>
      <c r="D13" s="72"/>
      <c r="E13" s="73"/>
      <c r="F13" s="7" t="str">
        <f aca="false">IF(E13="","",TEXT(E13,"ddd"))</f>
        <v/>
      </c>
      <c r="G13" s="72"/>
      <c r="H13" s="72"/>
      <c r="I13" s="72"/>
      <c r="J13" s="72"/>
      <c r="K13" s="72"/>
      <c r="L13" s="72"/>
      <c r="M13" s="72"/>
      <c r="N13" s="72" t="s">
        <v>822</v>
      </c>
      <c r="O13" s="72"/>
      <c r="P13" s="75" t="str">
        <f aca="false">IF(E13="","",IF(OR(WEEKDAY(E13)=Lists!$V$4,WEEKDAY(E13)=Lists!$V$5),"ok","not Tue/Wed"))</f>
        <v/>
      </c>
      <c r="Q13" s="76" t="str">
        <f aca="false">IF(E13="","",WORKDAY(E13,Inputs!$C$23-1,Lists!$N$4:$N$30))</f>
        <v/>
      </c>
      <c r="R13" s="75" t="str">
        <f aca="false">IF(E13="","",IF(COUNTIFS(Lists!$Q$4:$Q$12,"&lt;="&amp;Q13,Lists!$R$4:$R$12,"&gt;="&amp;E13)&gt;0,"clash","ok"))</f>
        <v/>
      </c>
      <c r="S13" s="77" t="str">
        <f aca="false">IF(E13="","",N(K13)*N(I13)*Inputs!$C$63*(1+Inputs!$C$64))</f>
        <v/>
      </c>
      <c r="T13" s="75" t="str">
        <f aca="false">IF(E13="",IF(N(K13)&gt;0,"date missing",""),IF(AND(P13="ok",R13="ok",N(J13)&lt;=N(I13),N(L13)&lt;=N(K13),N(M13)&lt;=N(L13),OR(N(K13)=0,N(I13)&gt;0),G13&lt;&gt;"",H13&lt;&gt;""),"ok","check"))</f>
        <v/>
      </c>
      <c r="U13" s="7" t="str">
        <f aca="false">IF(OR(E13="",N(K13)=0),"",SUMIFS($I$7:$I$18,$E$7:$E$18,"&gt;"&amp;E13-Inputs!$C$31,$E$7:$E$18,"&lt;="&amp;E13,$K$7:$K$18,"&gt;0"))</f>
        <v/>
      </c>
      <c r="V13" s="7" t="str">
        <f aca="false">IF(E13="","",SUMIFS($J$7:$J$18,$E$7:$E$18,"&lt;="&amp;E13))</f>
        <v/>
      </c>
      <c r="W13" s="75" t="str">
        <f aca="false">IF(U13="","",IF(U13&gt;V13,"some offices get a second drop within four weeks","ok"))</f>
        <v/>
      </c>
      <c r="X13" s="78" t="str">
        <f aca="false">IF(AND(E13&amp;""=AL13&amp;"",G13&amp;""=AM13&amp;"",H13&amp;""=AN13&amp;"",I13&amp;""=AO13&amp;"",J13&amp;""=AP13&amp;"",K13&amp;""=AQ13&amp;"",L13&amp;""=AR13&amp;"",M13&amp;""=AS13&amp;""),"","changed")</f>
        <v/>
      </c>
      <c r="Y13" s="79" t="str">
        <f aca="false">IF(OR(E13="",N(K13)=0),"",WORKDAY(E13,-IF(H13="founding",Inputs!$C$49,Inputs!$C$51),Lists!$N$4:$N$30))</f>
        <v/>
      </c>
      <c r="Z13" s="80" t="str">
        <f aca="false">IF(Y13="","",N(K13)-N(L13))</f>
        <v/>
      </c>
      <c r="AA13" s="80" t="str">
        <f aca="false">IF(Z13="","",Z13/Inputs!$C$90)</f>
        <v/>
      </c>
      <c r="AB13" s="80" t="str">
        <f aca="false">IF(Y13="","",SUMIFS($Z$7:$Z$18,$Y$7:$Y$18,"&lt;="&amp;Y13))</f>
        <v/>
      </c>
      <c r="AC13" s="80" t="str">
        <f aca="false">IF(AB13="","",AB13/Inputs!$C$90)</f>
        <v/>
      </c>
      <c r="AD13" s="80" t="str">
        <f aca="false">IF(Y13="","",SUMIFS(Pipeline!$T$5:$T$1004,Pipeline!$B$5:$B$1004,"brand",Pipeline!$E$5:$E$1004,"paid",Pipeline!$A$5:$A$1004,"&lt;="&amp;Y13))</f>
        <v/>
      </c>
      <c r="AE13" s="80" t="str">
        <f aca="false">IF(Y13="","",SUMIFS(Pipeline!$T$5:$T$1004,Pipeline!$B$5:$B$1004,"brand",Pipeline!$E$5:$E$1004,"conversation",Pipeline!$A$5:$A$1004,"&lt;="&amp;Y13))</f>
        <v/>
      </c>
      <c r="AF13" s="76" t="str">
        <f aca="false">IF(Y13="","",WORKDAY(E13,Inputs!$C$24,Lists!$N$4:$N$30))</f>
        <v/>
      </c>
      <c r="AG13" s="75" t="str">
        <f aca="false">IF(AF13="","",IF(AND(E13&gt;Inputs!$C$14,E13&lt;=Inputs!$C$15,AF13&gt;Inputs!$C$15),"after the decision","ok"))</f>
        <v/>
      </c>
      <c r="AH13" s="76" t="str">
        <f aca="false">IF(AG13="after the decision",AF13,"")</f>
        <v/>
      </c>
      <c r="AI13" s="80" t="str">
        <f aca="false">IF(U13="","",MIN(N(I13)-N(J13),MAX(0,U13-V13)))</f>
        <v/>
      </c>
      <c r="AJ13" s="79" t="str">
        <f aca="false">IF(AND(H13="standard",N(K13)&gt;0,E13&lt;&gt;""),E13,"")</f>
        <v/>
      </c>
      <c r="AL13" s="82"/>
      <c r="AM13" s="83"/>
      <c r="AN13" s="83"/>
      <c r="AO13" s="83"/>
      <c r="AP13" s="83"/>
      <c r="AQ13" s="83"/>
      <c r="AR13" s="83"/>
      <c r="AS13" s="83"/>
    </row>
    <row r="14" customFormat="false" ht="55.5" hidden="false" customHeight="true" outlineLevel="0" collapsed="false">
      <c r="A14" s="72" t="s">
        <v>999</v>
      </c>
      <c r="B14" s="72"/>
      <c r="C14" s="72" t="s">
        <v>997</v>
      </c>
      <c r="D14" s="72"/>
      <c r="E14" s="73"/>
      <c r="F14" s="7" t="str">
        <f aca="false">IF(E14="","",TEXT(E14,"ddd"))</f>
        <v/>
      </c>
      <c r="G14" s="72"/>
      <c r="H14" s="72"/>
      <c r="I14" s="72"/>
      <c r="J14" s="72"/>
      <c r="K14" s="72"/>
      <c r="L14" s="72"/>
      <c r="M14" s="72"/>
      <c r="N14" s="72" t="s">
        <v>822</v>
      </c>
      <c r="O14" s="72"/>
      <c r="P14" s="75" t="str">
        <f aca="false">IF(E14="","",IF(OR(WEEKDAY(E14)=Lists!$V$4,WEEKDAY(E14)=Lists!$V$5),"ok","not Tue/Wed"))</f>
        <v/>
      </c>
      <c r="Q14" s="76" t="str">
        <f aca="false">IF(E14="","",WORKDAY(E14,Inputs!$C$23-1,Lists!$N$4:$N$30))</f>
        <v/>
      </c>
      <c r="R14" s="75" t="str">
        <f aca="false">IF(E14="","",IF(COUNTIFS(Lists!$Q$4:$Q$12,"&lt;="&amp;Q14,Lists!$R$4:$R$12,"&gt;="&amp;E14)&gt;0,"clash","ok"))</f>
        <v/>
      </c>
      <c r="S14" s="77" t="str">
        <f aca="false">IF(E14="","",N(K14)*N(I14)*Inputs!$C$63*(1+Inputs!$C$64))</f>
        <v/>
      </c>
      <c r="T14" s="75" t="str">
        <f aca="false">IF(E14="",IF(N(K14)&gt;0,"date missing",""),IF(AND(P14="ok",R14="ok",N(J14)&lt;=N(I14),N(L14)&lt;=N(K14),N(M14)&lt;=N(L14),OR(N(K14)=0,N(I14)&gt;0),G14&lt;&gt;"",H14&lt;&gt;""),"ok","check"))</f>
        <v/>
      </c>
      <c r="U14" s="7" t="str">
        <f aca="false">IF(OR(E14="",N(K14)=0),"",SUMIFS($I$7:$I$18,$E$7:$E$18,"&gt;"&amp;E14-Inputs!$C$31,$E$7:$E$18,"&lt;="&amp;E14,$K$7:$K$18,"&gt;0"))</f>
        <v/>
      </c>
      <c r="V14" s="7" t="str">
        <f aca="false">IF(E14="","",SUMIFS($J$7:$J$18,$E$7:$E$18,"&lt;="&amp;E14))</f>
        <v/>
      </c>
      <c r="W14" s="75" t="str">
        <f aca="false">IF(U14="","",IF(U14&gt;V14,"some offices get a second drop within four weeks","ok"))</f>
        <v/>
      </c>
      <c r="X14" s="78" t="str">
        <f aca="false">IF(AND(E14&amp;""=AL14&amp;"",G14&amp;""=AM14&amp;"",H14&amp;""=AN14&amp;"",I14&amp;""=AO14&amp;"",J14&amp;""=AP14&amp;"",K14&amp;""=AQ14&amp;"",L14&amp;""=AR14&amp;"",M14&amp;""=AS14&amp;""),"","changed")</f>
        <v/>
      </c>
      <c r="Y14" s="79" t="str">
        <f aca="false">IF(OR(E14="",N(K14)=0),"",WORKDAY(E14,-IF(H14="founding",Inputs!$C$49,Inputs!$C$51),Lists!$N$4:$N$30))</f>
        <v/>
      </c>
      <c r="Z14" s="80" t="str">
        <f aca="false">IF(Y14="","",N(K14)-N(L14))</f>
        <v/>
      </c>
      <c r="AA14" s="80" t="str">
        <f aca="false">IF(Z14="","",Z14/Inputs!$C$90)</f>
        <v/>
      </c>
      <c r="AB14" s="80" t="str">
        <f aca="false">IF(Y14="","",SUMIFS($Z$7:$Z$18,$Y$7:$Y$18,"&lt;="&amp;Y14))</f>
        <v/>
      </c>
      <c r="AC14" s="80" t="str">
        <f aca="false">IF(AB14="","",AB14/Inputs!$C$90)</f>
        <v/>
      </c>
      <c r="AD14" s="80" t="str">
        <f aca="false">IF(Y14="","",SUMIFS(Pipeline!$T$5:$T$1004,Pipeline!$B$5:$B$1004,"brand",Pipeline!$E$5:$E$1004,"paid",Pipeline!$A$5:$A$1004,"&lt;="&amp;Y14))</f>
        <v/>
      </c>
      <c r="AE14" s="80" t="str">
        <f aca="false">IF(Y14="","",SUMIFS(Pipeline!$T$5:$T$1004,Pipeline!$B$5:$B$1004,"brand",Pipeline!$E$5:$E$1004,"conversation",Pipeline!$A$5:$A$1004,"&lt;="&amp;Y14))</f>
        <v/>
      </c>
      <c r="AF14" s="76" t="str">
        <f aca="false">IF(Y14="","",WORKDAY(E14,Inputs!$C$24,Lists!$N$4:$N$30))</f>
        <v/>
      </c>
      <c r="AG14" s="75" t="str">
        <f aca="false">IF(AF14="","",IF(AND(E14&gt;Inputs!$C$14,E14&lt;=Inputs!$C$15,AF14&gt;Inputs!$C$15),"after the decision","ok"))</f>
        <v/>
      </c>
      <c r="AH14" s="76" t="str">
        <f aca="false">IF(AG14="after the decision",AF14,"")</f>
        <v/>
      </c>
      <c r="AI14" s="80" t="str">
        <f aca="false">IF(U14="","",MIN(N(I14)-N(J14),MAX(0,U14-V14)))</f>
        <v/>
      </c>
      <c r="AJ14" s="79" t="str">
        <f aca="false">IF(AND(H14="standard",N(K14)&gt;0,E14&lt;&gt;""),E14,"")</f>
        <v/>
      </c>
      <c r="AL14" s="82"/>
      <c r="AM14" s="83"/>
      <c r="AN14" s="83"/>
      <c r="AO14" s="83"/>
      <c r="AP14" s="83"/>
      <c r="AQ14" s="83"/>
      <c r="AR14" s="83"/>
      <c r="AS14" s="83"/>
    </row>
    <row r="15" customFormat="false" ht="55.5" hidden="false" customHeight="true" outlineLevel="0" collapsed="false">
      <c r="A15" s="72" t="s">
        <v>1000</v>
      </c>
      <c r="B15" s="72"/>
      <c r="C15" s="72" t="s">
        <v>997</v>
      </c>
      <c r="D15" s="72"/>
      <c r="E15" s="73"/>
      <c r="F15" s="7" t="str">
        <f aca="false">IF(E15="","",TEXT(E15,"ddd"))</f>
        <v/>
      </c>
      <c r="G15" s="72"/>
      <c r="H15" s="72"/>
      <c r="I15" s="72"/>
      <c r="J15" s="72"/>
      <c r="K15" s="72"/>
      <c r="L15" s="72"/>
      <c r="M15" s="72"/>
      <c r="N15" s="72" t="s">
        <v>822</v>
      </c>
      <c r="O15" s="72"/>
      <c r="P15" s="75" t="str">
        <f aca="false">IF(E15="","",IF(OR(WEEKDAY(E15)=Lists!$V$4,WEEKDAY(E15)=Lists!$V$5),"ok","not Tue/Wed"))</f>
        <v/>
      </c>
      <c r="Q15" s="76" t="str">
        <f aca="false">IF(E15="","",WORKDAY(E15,Inputs!$C$23-1,Lists!$N$4:$N$30))</f>
        <v/>
      </c>
      <c r="R15" s="75" t="str">
        <f aca="false">IF(E15="","",IF(COUNTIFS(Lists!$Q$4:$Q$12,"&lt;="&amp;Q15,Lists!$R$4:$R$12,"&gt;="&amp;E15)&gt;0,"clash","ok"))</f>
        <v/>
      </c>
      <c r="S15" s="77" t="str">
        <f aca="false">IF(E15="","",N(K15)*N(I15)*Inputs!$C$63*(1+Inputs!$C$64))</f>
        <v/>
      </c>
      <c r="T15" s="75" t="str">
        <f aca="false">IF(E15="",IF(N(K15)&gt;0,"date missing",""),IF(AND(P15="ok",R15="ok",N(J15)&lt;=N(I15),N(L15)&lt;=N(K15),N(M15)&lt;=N(L15),OR(N(K15)=0,N(I15)&gt;0),G15&lt;&gt;"",H15&lt;&gt;""),"ok","check"))</f>
        <v/>
      </c>
      <c r="U15" s="7" t="str">
        <f aca="false">IF(OR(E15="",N(K15)=0),"",SUMIFS($I$7:$I$18,$E$7:$E$18,"&gt;"&amp;E15-Inputs!$C$31,$E$7:$E$18,"&lt;="&amp;E15,$K$7:$K$18,"&gt;0"))</f>
        <v/>
      </c>
      <c r="V15" s="7" t="str">
        <f aca="false">IF(E15="","",SUMIFS($J$7:$J$18,$E$7:$E$18,"&lt;="&amp;E15))</f>
        <v/>
      </c>
      <c r="W15" s="75" t="str">
        <f aca="false">IF(U15="","",IF(U15&gt;V15,"some offices get a second drop within four weeks","ok"))</f>
        <v/>
      </c>
      <c r="X15" s="78" t="str">
        <f aca="false">IF(AND(E15&amp;""=AL15&amp;"",G15&amp;""=AM15&amp;"",H15&amp;""=AN15&amp;"",I15&amp;""=AO15&amp;"",J15&amp;""=AP15&amp;"",K15&amp;""=AQ15&amp;"",L15&amp;""=AR15&amp;"",M15&amp;""=AS15&amp;""),"","changed")</f>
        <v/>
      </c>
      <c r="Y15" s="79" t="str">
        <f aca="false">IF(OR(E15="",N(K15)=0),"",WORKDAY(E15,-IF(H15="founding",Inputs!$C$49,Inputs!$C$51),Lists!$N$4:$N$30))</f>
        <v/>
      </c>
      <c r="Z15" s="80" t="str">
        <f aca="false">IF(Y15="","",N(K15)-N(L15))</f>
        <v/>
      </c>
      <c r="AA15" s="80" t="str">
        <f aca="false">IF(Z15="","",Z15/Inputs!$C$90)</f>
        <v/>
      </c>
      <c r="AB15" s="80" t="str">
        <f aca="false">IF(Y15="","",SUMIFS($Z$7:$Z$18,$Y$7:$Y$18,"&lt;="&amp;Y15))</f>
        <v/>
      </c>
      <c r="AC15" s="80" t="str">
        <f aca="false">IF(AB15="","",AB15/Inputs!$C$90)</f>
        <v/>
      </c>
      <c r="AD15" s="80" t="str">
        <f aca="false">IF(Y15="","",SUMIFS(Pipeline!$T$5:$T$1004,Pipeline!$B$5:$B$1004,"brand",Pipeline!$E$5:$E$1004,"paid",Pipeline!$A$5:$A$1004,"&lt;="&amp;Y15))</f>
        <v/>
      </c>
      <c r="AE15" s="80" t="str">
        <f aca="false">IF(Y15="","",SUMIFS(Pipeline!$T$5:$T$1004,Pipeline!$B$5:$B$1004,"brand",Pipeline!$E$5:$E$1004,"conversation",Pipeline!$A$5:$A$1004,"&lt;="&amp;Y15))</f>
        <v/>
      </c>
      <c r="AF15" s="76" t="str">
        <f aca="false">IF(Y15="","",WORKDAY(E15,Inputs!$C$24,Lists!$N$4:$N$30))</f>
        <v/>
      </c>
      <c r="AG15" s="75" t="str">
        <f aca="false">IF(AF15="","",IF(AND(E15&gt;Inputs!$C$14,E15&lt;=Inputs!$C$15,AF15&gt;Inputs!$C$15),"after the decision","ok"))</f>
        <v/>
      </c>
      <c r="AH15" s="76" t="str">
        <f aca="false">IF(AG15="after the decision",AF15,"")</f>
        <v/>
      </c>
      <c r="AI15" s="80" t="str">
        <f aca="false">IF(U15="","",MIN(N(I15)-N(J15),MAX(0,U15-V15)))</f>
        <v/>
      </c>
      <c r="AJ15" s="79" t="str">
        <f aca="false">IF(AND(H15="standard",N(K15)&gt;0,E15&lt;&gt;""),E15,"")</f>
        <v/>
      </c>
      <c r="AL15" s="82"/>
      <c r="AM15" s="83"/>
      <c r="AN15" s="83"/>
      <c r="AO15" s="83"/>
      <c r="AP15" s="83"/>
      <c r="AQ15" s="83"/>
      <c r="AR15" s="83"/>
      <c r="AS15" s="83"/>
    </row>
    <row r="16" customFormat="false" ht="55.5" hidden="false" customHeight="true" outlineLevel="0" collapsed="false">
      <c r="A16" s="72" t="s">
        <v>1001</v>
      </c>
      <c r="B16" s="72"/>
      <c r="C16" s="72" t="s">
        <v>997</v>
      </c>
      <c r="D16" s="72"/>
      <c r="E16" s="73"/>
      <c r="F16" s="7" t="str">
        <f aca="false">IF(E16="","",TEXT(E16,"ddd"))</f>
        <v/>
      </c>
      <c r="G16" s="72"/>
      <c r="H16" s="72"/>
      <c r="I16" s="72"/>
      <c r="J16" s="72"/>
      <c r="K16" s="72"/>
      <c r="L16" s="72"/>
      <c r="M16" s="72"/>
      <c r="N16" s="72" t="s">
        <v>822</v>
      </c>
      <c r="O16" s="72"/>
      <c r="P16" s="75" t="str">
        <f aca="false">IF(E16="","",IF(OR(WEEKDAY(E16)=Lists!$V$4,WEEKDAY(E16)=Lists!$V$5),"ok","not Tue/Wed"))</f>
        <v/>
      </c>
      <c r="Q16" s="76" t="str">
        <f aca="false">IF(E16="","",WORKDAY(E16,Inputs!$C$23-1,Lists!$N$4:$N$30))</f>
        <v/>
      </c>
      <c r="R16" s="75" t="str">
        <f aca="false">IF(E16="","",IF(COUNTIFS(Lists!$Q$4:$Q$12,"&lt;="&amp;Q16,Lists!$R$4:$R$12,"&gt;="&amp;E16)&gt;0,"clash","ok"))</f>
        <v/>
      </c>
      <c r="S16" s="77" t="str">
        <f aca="false">IF(E16="","",N(K16)*N(I16)*Inputs!$C$63*(1+Inputs!$C$64))</f>
        <v/>
      </c>
      <c r="T16" s="75" t="str">
        <f aca="false">IF(E16="",IF(N(K16)&gt;0,"date missing",""),IF(AND(P16="ok",R16="ok",N(J16)&lt;=N(I16),N(L16)&lt;=N(K16),N(M16)&lt;=N(L16),OR(N(K16)=0,N(I16)&gt;0),G16&lt;&gt;"",H16&lt;&gt;""),"ok","check"))</f>
        <v/>
      </c>
      <c r="U16" s="7" t="str">
        <f aca="false">IF(OR(E16="",N(K16)=0),"",SUMIFS($I$7:$I$18,$E$7:$E$18,"&gt;"&amp;E16-Inputs!$C$31,$E$7:$E$18,"&lt;="&amp;E16,$K$7:$K$18,"&gt;0"))</f>
        <v/>
      </c>
      <c r="V16" s="7" t="str">
        <f aca="false">IF(E16="","",SUMIFS($J$7:$J$18,$E$7:$E$18,"&lt;="&amp;E16))</f>
        <v/>
      </c>
      <c r="W16" s="75" t="str">
        <f aca="false">IF(U16="","",IF(U16&gt;V16,"some offices get a second drop within four weeks","ok"))</f>
        <v/>
      </c>
      <c r="X16" s="78" t="str">
        <f aca="false">IF(AND(E16&amp;""=AL16&amp;"",G16&amp;""=AM16&amp;"",H16&amp;""=AN16&amp;"",I16&amp;""=AO16&amp;"",J16&amp;""=AP16&amp;"",K16&amp;""=AQ16&amp;"",L16&amp;""=AR16&amp;"",M16&amp;""=AS16&amp;""),"","changed")</f>
        <v/>
      </c>
      <c r="Y16" s="79" t="str">
        <f aca="false">IF(OR(E16="",N(K16)=0),"",WORKDAY(E16,-IF(H16="founding",Inputs!$C$49,Inputs!$C$51),Lists!$N$4:$N$30))</f>
        <v/>
      </c>
      <c r="Z16" s="80" t="str">
        <f aca="false">IF(Y16="","",N(K16)-N(L16))</f>
        <v/>
      </c>
      <c r="AA16" s="80" t="str">
        <f aca="false">IF(Z16="","",Z16/Inputs!$C$90)</f>
        <v/>
      </c>
      <c r="AB16" s="80" t="str">
        <f aca="false">IF(Y16="","",SUMIFS($Z$7:$Z$18,$Y$7:$Y$18,"&lt;="&amp;Y16))</f>
        <v/>
      </c>
      <c r="AC16" s="80" t="str">
        <f aca="false">IF(AB16="","",AB16/Inputs!$C$90)</f>
        <v/>
      </c>
      <c r="AD16" s="80" t="str">
        <f aca="false">IF(Y16="","",SUMIFS(Pipeline!$T$5:$T$1004,Pipeline!$B$5:$B$1004,"brand",Pipeline!$E$5:$E$1004,"paid",Pipeline!$A$5:$A$1004,"&lt;="&amp;Y16))</f>
        <v/>
      </c>
      <c r="AE16" s="80" t="str">
        <f aca="false">IF(Y16="","",SUMIFS(Pipeline!$T$5:$T$1004,Pipeline!$B$5:$B$1004,"brand",Pipeline!$E$5:$E$1004,"conversation",Pipeline!$A$5:$A$1004,"&lt;="&amp;Y16))</f>
        <v/>
      </c>
      <c r="AF16" s="76" t="str">
        <f aca="false">IF(Y16="","",WORKDAY(E16,Inputs!$C$24,Lists!$N$4:$N$30))</f>
        <v/>
      </c>
      <c r="AG16" s="75" t="str">
        <f aca="false">IF(AF16="","",IF(AND(E16&gt;Inputs!$C$14,E16&lt;=Inputs!$C$15,AF16&gt;Inputs!$C$15),"after the decision","ok"))</f>
        <v/>
      </c>
      <c r="AH16" s="76" t="str">
        <f aca="false">IF(AG16="after the decision",AF16,"")</f>
        <v/>
      </c>
      <c r="AI16" s="80" t="str">
        <f aca="false">IF(U16="","",MIN(N(I16)-N(J16),MAX(0,U16-V16)))</f>
        <v/>
      </c>
      <c r="AJ16" s="79" t="str">
        <f aca="false">IF(AND(H16="standard",N(K16)&gt;0,E16&lt;&gt;""),E16,"")</f>
        <v/>
      </c>
      <c r="AL16" s="82"/>
      <c r="AM16" s="83"/>
      <c r="AN16" s="83"/>
      <c r="AO16" s="83"/>
      <c r="AP16" s="83"/>
      <c r="AQ16" s="83"/>
      <c r="AR16" s="83"/>
      <c r="AS16" s="83"/>
    </row>
    <row r="17" customFormat="false" ht="55.5" hidden="false" customHeight="true" outlineLevel="0" collapsed="false">
      <c r="A17" s="72" t="s">
        <v>1002</v>
      </c>
      <c r="B17" s="72"/>
      <c r="C17" s="72" t="s">
        <v>997</v>
      </c>
      <c r="D17" s="72"/>
      <c r="E17" s="73"/>
      <c r="F17" s="7" t="str">
        <f aca="false">IF(E17="","",TEXT(E17,"ddd"))</f>
        <v/>
      </c>
      <c r="G17" s="72"/>
      <c r="H17" s="72"/>
      <c r="I17" s="72"/>
      <c r="J17" s="72"/>
      <c r="K17" s="72"/>
      <c r="L17" s="72"/>
      <c r="M17" s="72"/>
      <c r="N17" s="72" t="s">
        <v>822</v>
      </c>
      <c r="O17" s="72"/>
      <c r="P17" s="75" t="str">
        <f aca="false">IF(E17="","",IF(OR(WEEKDAY(E17)=Lists!$V$4,WEEKDAY(E17)=Lists!$V$5),"ok","not Tue/Wed"))</f>
        <v/>
      </c>
      <c r="Q17" s="76" t="str">
        <f aca="false">IF(E17="","",WORKDAY(E17,Inputs!$C$23-1,Lists!$N$4:$N$30))</f>
        <v/>
      </c>
      <c r="R17" s="75" t="str">
        <f aca="false">IF(E17="","",IF(COUNTIFS(Lists!$Q$4:$Q$12,"&lt;="&amp;Q17,Lists!$R$4:$R$12,"&gt;="&amp;E17)&gt;0,"clash","ok"))</f>
        <v/>
      </c>
      <c r="S17" s="77" t="str">
        <f aca="false">IF(E17="","",N(K17)*N(I17)*Inputs!$C$63*(1+Inputs!$C$64))</f>
        <v/>
      </c>
      <c r="T17" s="75" t="str">
        <f aca="false">IF(E17="",IF(N(K17)&gt;0,"date missing",""),IF(AND(P17="ok",R17="ok",N(J17)&lt;=N(I17),N(L17)&lt;=N(K17),N(M17)&lt;=N(L17),OR(N(K17)=0,N(I17)&gt;0),G17&lt;&gt;"",H17&lt;&gt;""),"ok","check"))</f>
        <v/>
      </c>
      <c r="U17" s="7" t="str">
        <f aca="false">IF(OR(E17="",N(K17)=0),"",SUMIFS($I$7:$I$18,$E$7:$E$18,"&gt;"&amp;E17-Inputs!$C$31,$E$7:$E$18,"&lt;="&amp;E17,$K$7:$K$18,"&gt;0"))</f>
        <v/>
      </c>
      <c r="V17" s="7" t="str">
        <f aca="false">IF(E17="","",SUMIFS($J$7:$J$18,$E$7:$E$18,"&lt;="&amp;E17))</f>
        <v/>
      </c>
      <c r="W17" s="75" t="str">
        <f aca="false">IF(U17="","",IF(U17&gt;V17,"some offices get a second drop within four weeks","ok"))</f>
        <v/>
      </c>
      <c r="X17" s="78" t="str">
        <f aca="false">IF(AND(E17&amp;""=AL17&amp;"",G17&amp;""=AM17&amp;"",H17&amp;""=AN17&amp;"",I17&amp;""=AO17&amp;"",J17&amp;""=AP17&amp;"",K17&amp;""=AQ17&amp;"",L17&amp;""=AR17&amp;"",M17&amp;""=AS17&amp;""),"","changed")</f>
        <v/>
      </c>
      <c r="Y17" s="79" t="str">
        <f aca="false">IF(OR(E17="",N(K17)=0),"",WORKDAY(E17,-IF(H17="founding",Inputs!$C$49,Inputs!$C$51),Lists!$N$4:$N$30))</f>
        <v/>
      </c>
      <c r="Z17" s="80" t="str">
        <f aca="false">IF(Y17="","",N(K17)-N(L17))</f>
        <v/>
      </c>
      <c r="AA17" s="80" t="str">
        <f aca="false">IF(Z17="","",Z17/Inputs!$C$90)</f>
        <v/>
      </c>
      <c r="AB17" s="80" t="str">
        <f aca="false">IF(Y17="","",SUMIFS($Z$7:$Z$18,$Y$7:$Y$18,"&lt;="&amp;Y17))</f>
        <v/>
      </c>
      <c r="AC17" s="80" t="str">
        <f aca="false">IF(AB17="","",AB17/Inputs!$C$90)</f>
        <v/>
      </c>
      <c r="AD17" s="80" t="str">
        <f aca="false">IF(Y17="","",SUMIFS(Pipeline!$T$5:$T$1004,Pipeline!$B$5:$B$1004,"brand",Pipeline!$E$5:$E$1004,"paid",Pipeline!$A$5:$A$1004,"&lt;="&amp;Y17))</f>
        <v/>
      </c>
      <c r="AE17" s="80" t="str">
        <f aca="false">IF(Y17="","",SUMIFS(Pipeline!$T$5:$T$1004,Pipeline!$B$5:$B$1004,"brand",Pipeline!$E$5:$E$1004,"conversation",Pipeline!$A$5:$A$1004,"&lt;="&amp;Y17))</f>
        <v/>
      </c>
      <c r="AF17" s="76" t="str">
        <f aca="false">IF(Y17="","",WORKDAY(E17,Inputs!$C$24,Lists!$N$4:$N$30))</f>
        <v/>
      </c>
      <c r="AG17" s="75" t="str">
        <f aca="false">IF(AF17="","",IF(AND(E17&gt;Inputs!$C$14,E17&lt;=Inputs!$C$15,AF17&gt;Inputs!$C$15),"after the decision","ok"))</f>
        <v/>
      </c>
      <c r="AH17" s="76" t="str">
        <f aca="false">IF(AG17="after the decision",AF17,"")</f>
        <v/>
      </c>
      <c r="AI17" s="80" t="str">
        <f aca="false">IF(U17="","",MIN(N(I17)-N(J17),MAX(0,U17-V17)))</f>
        <v/>
      </c>
      <c r="AJ17" s="79" t="str">
        <f aca="false">IF(AND(H17="standard",N(K17)&gt;0,E17&lt;&gt;""),E17,"")</f>
        <v/>
      </c>
      <c r="AL17" s="82"/>
      <c r="AM17" s="83"/>
      <c r="AN17" s="83"/>
      <c r="AO17" s="83"/>
      <c r="AP17" s="83"/>
      <c r="AQ17" s="83"/>
      <c r="AR17" s="83"/>
      <c r="AS17" s="83"/>
    </row>
    <row r="18" customFormat="false" ht="55.5" hidden="false" customHeight="true" outlineLevel="0" collapsed="false">
      <c r="A18" s="72" t="s">
        <v>1003</v>
      </c>
      <c r="B18" s="72"/>
      <c r="C18" s="72" t="s">
        <v>997</v>
      </c>
      <c r="D18" s="72"/>
      <c r="E18" s="73"/>
      <c r="F18" s="7" t="str">
        <f aca="false">IF(E18="","",TEXT(E18,"ddd"))</f>
        <v/>
      </c>
      <c r="G18" s="72"/>
      <c r="H18" s="72"/>
      <c r="I18" s="72"/>
      <c r="J18" s="72"/>
      <c r="K18" s="72"/>
      <c r="L18" s="72"/>
      <c r="M18" s="72"/>
      <c r="N18" s="72" t="s">
        <v>822</v>
      </c>
      <c r="O18" s="72"/>
      <c r="P18" s="75" t="str">
        <f aca="false">IF(E18="","",IF(OR(WEEKDAY(E18)=Lists!$V$4,WEEKDAY(E18)=Lists!$V$5),"ok","not Tue/Wed"))</f>
        <v/>
      </c>
      <c r="Q18" s="76" t="str">
        <f aca="false">IF(E18="","",WORKDAY(E18,Inputs!$C$23-1,Lists!$N$4:$N$30))</f>
        <v/>
      </c>
      <c r="R18" s="75" t="str">
        <f aca="false">IF(E18="","",IF(COUNTIFS(Lists!$Q$4:$Q$12,"&lt;="&amp;Q18,Lists!$R$4:$R$12,"&gt;="&amp;E18)&gt;0,"clash","ok"))</f>
        <v/>
      </c>
      <c r="S18" s="77" t="str">
        <f aca="false">IF(E18="","",N(K18)*N(I18)*Inputs!$C$63*(1+Inputs!$C$64))</f>
        <v/>
      </c>
      <c r="T18" s="75" t="str">
        <f aca="false">IF(E18="",IF(N(K18)&gt;0,"date missing",""),IF(AND(P18="ok",R18="ok",N(J18)&lt;=N(I18),N(L18)&lt;=N(K18),N(M18)&lt;=N(L18),OR(N(K18)=0,N(I18)&gt;0),G18&lt;&gt;"",H18&lt;&gt;""),"ok","check"))</f>
        <v/>
      </c>
      <c r="U18" s="7" t="str">
        <f aca="false">IF(OR(E18="",N(K18)=0),"",SUMIFS($I$7:$I$18,$E$7:$E$18,"&gt;"&amp;E18-Inputs!$C$31,$E$7:$E$18,"&lt;="&amp;E18,$K$7:$K$18,"&gt;0"))</f>
        <v/>
      </c>
      <c r="V18" s="7" t="str">
        <f aca="false">IF(E18="","",SUMIFS($J$7:$J$18,$E$7:$E$18,"&lt;="&amp;E18))</f>
        <v/>
      </c>
      <c r="W18" s="75" t="str">
        <f aca="false">IF(U18="","",IF(U18&gt;V18,"some offices get a second drop within four weeks","ok"))</f>
        <v/>
      </c>
      <c r="X18" s="78" t="str">
        <f aca="false">IF(AND(E18&amp;""=AL18&amp;"",G18&amp;""=AM18&amp;"",H18&amp;""=AN18&amp;"",I18&amp;""=AO18&amp;"",J18&amp;""=AP18&amp;"",K18&amp;""=AQ18&amp;"",L18&amp;""=AR18&amp;"",M18&amp;""=AS18&amp;""),"","changed")</f>
        <v/>
      </c>
      <c r="Y18" s="79" t="str">
        <f aca="false">IF(OR(E18="",N(K18)=0),"",WORKDAY(E18,-IF(H18="founding",Inputs!$C$49,Inputs!$C$51),Lists!$N$4:$N$30))</f>
        <v/>
      </c>
      <c r="Z18" s="80" t="str">
        <f aca="false">IF(Y18="","",N(K18)-N(L18))</f>
        <v/>
      </c>
      <c r="AA18" s="80" t="str">
        <f aca="false">IF(Z18="","",Z18/Inputs!$C$90)</f>
        <v/>
      </c>
      <c r="AB18" s="80" t="str">
        <f aca="false">IF(Y18="","",SUMIFS($Z$7:$Z$18,$Y$7:$Y$18,"&lt;="&amp;Y18))</f>
        <v/>
      </c>
      <c r="AC18" s="80" t="str">
        <f aca="false">IF(AB18="","",AB18/Inputs!$C$90)</f>
        <v/>
      </c>
      <c r="AD18" s="80" t="str">
        <f aca="false">IF(Y18="","",SUMIFS(Pipeline!$T$5:$T$1004,Pipeline!$B$5:$B$1004,"brand",Pipeline!$E$5:$E$1004,"paid",Pipeline!$A$5:$A$1004,"&lt;="&amp;Y18))</f>
        <v/>
      </c>
      <c r="AE18" s="80" t="str">
        <f aca="false">IF(Y18="","",SUMIFS(Pipeline!$T$5:$T$1004,Pipeline!$B$5:$B$1004,"brand",Pipeline!$E$5:$E$1004,"conversation",Pipeline!$A$5:$A$1004,"&lt;="&amp;Y18))</f>
        <v/>
      </c>
      <c r="AF18" s="76" t="str">
        <f aca="false">IF(Y18="","",WORKDAY(E18,Inputs!$C$24,Lists!$N$4:$N$30))</f>
        <v/>
      </c>
      <c r="AG18" s="75" t="str">
        <f aca="false">IF(AF18="","",IF(AND(E18&gt;Inputs!$C$14,E18&lt;=Inputs!$C$15,AF18&gt;Inputs!$C$15),"after the decision","ok"))</f>
        <v/>
      </c>
      <c r="AH18" s="76" t="str">
        <f aca="false">IF(AG18="after the decision",AF18,"")</f>
        <v/>
      </c>
      <c r="AI18" s="80" t="str">
        <f aca="false">IF(U18="","",MIN(N(I18)-N(J18),MAX(0,U18-V18)))</f>
        <v/>
      </c>
      <c r="AJ18" s="79" t="str">
        <f aca="false">IF(AND(H18="standard",N(K18)&gt;0,E18&lt;&gt;""),E18,"")</f>
        <v/>
      </c>
      <c r="AL18" s="82"/>
      <c r="AM18" s="83"/>
      <c r="AN18" s="83"/>
      <c r="AO18" s="83"/>
      <c r="AP18" s="83"/>
      <c r="AQ18" s="83"/>
      <c r="AR18" s="83"/>
      <c r="AS18" s="83"/>
    </row>
    <row r="19" customFormat="false" ht="15" hidden="false" customHeight="false" outlineLevel="0" collapsed="false">
      <c r="B19" s="9" t="s">
        <v>1004</v>
      </c>
      <c r="I19" s="9" t="n">
        <f aca="false">SUM(I7:I18)</f>
        <v>45</v>
      </c>
      <c r="J19" s="9" t="n">
        <f aca="false">SUM(J7:J18)</f>
        <v>12</v>
      </c>
      <c r="K19" s="9" t="n">
        <f aca="false">SUM(K7:K18)</f>
        <v>14</v>
      </c>
      <c r="L19" s="9" t="n">
        <f aca="false">SUM(L7:L18)</f>
        <v>2</v>
      </c>
      <c r="M19" s="9" t="n">
        <f aca="false">SUM(M7:M18)</f>
        <v>0</v>
      </c>
      <c r="S19" s="25" t="n">
        <f aca="false">SUM(S7:S18)</f>
        <v>7150</v>
      </c>
      <c r="Z19" s="22" t="n">
        <f aca="false">SUM(Z7:Z18)</f>
        <v>12</v>
      </c>
      <c r="AA19" s="22" t="n">
        <f aca="false">SUM(AA7:AA18)</f>
        <v>60</v>
      </c>
    </row>
    <row r="21" customFormat="false" ht="45" hidden="false" customHeight="true" outlineLevel="0" collapsed="false">
      <c r="B21" s="5" t="s">
        <v>1005</v>
      </c>
      <c r="C21" s="5"/>
      <c r="D21" s="5"/>
      <c r="E21" s="5"/>
      <c r="F21" s="5"/>
      <c r="G21" s="5"/>
      <c r="H21" s="5"/>
      <c r="I21" s="5"/>
      <c r="J21" s="5"/>
      <c r="K21" s="5"/>
      <c r="L21" s="5"/>
      <c r="M21" s="5"/>
      <c r="N21" s="5"/>
      <c r="O21" s="5"/>
    </row>
    <row r="22" customFormat="false" ht="60" hidden="false" customHeight="true" outlineLevel="0" collapsed="false">
      <c r="B22" s="5" t="s">
        <v>1006</v>
      </c>
      <c r="C22" s="5"/>
      <c r="D22" s="5"/>
      <c r="E22" s="5"/>
      <c r="F22" s="5"/>
      <c r="G22" s="5"/>
      <c r="H22" s="5"/>
      <c r="I22" s="5"/>
      <c r="J22" s="5"/>
      <c r="K22" s="5"/>
      <c r="L22" s="5"/>
      <c r="M22" s="5"/>
      <c r="N22" s="5"/>
      <c r="O22" s="5"/>
    </row>
  </sheetData>
  <mergeCells count="3">
    <mergeCell ref="A3:T3"/>
    <mergeCell ref="B21:O21"/>
    <mergeCell ref="B22:O22"/>
  </mergeCells>
  <conditionalFormatting sqref="P7:P18">
    <cfRule type="cellIs" priority="2" operator="equal" aboveAverage="0" equalAverage="0" bottom="0" percent="0" rank="0" text="" dxfId="0">
      <formula>"ok"</formula>
    </cfRule>
    <cfRule type="cellIs" priority="3" operator="equal" aboveAverage="0" equalAverage="0" bottom="0" percent="0" rank="0" text="" dxfId="6">
      <formula>"not Tue/Wed"</formula>
    </cfRule>
  </conditionalFormatting>
  <conditionalFormatting sqref="R7:R18">
    <cfRule type="cellIs" priority="4" operator="equal" aboveAverage="0" equalAverage="0" bottom="0" percent="0" rank="0" text="" dxfId="0">
      <formula>"ok"</formula>
    </cfRule>
    <cfRule type="cellIs" priority="5" operator="equal" aboveAverage="0" equalAverage="0" bottom="0" percent="0" rank="0" text="" dxfId="6">
      <formula>"clash"</formula>
    </cfRule>
  </conditionalFormatting>
  <conditionalFormatting sqref="T7:T18">
    <cfRule type="cellIs" priority="6" operator="equal" aboveAverage="0" equalAverage="0" bottom="0" percent="0" rank="0" text="" dxfId="0">
      <formula>"ok"</formula>
    </cfRule>
    <cfRule type="cellIs" priority="7" operator="equal" aboveAverage="0" equalAverage="0" bottom="0" percent="0" rank="0" text="" dxfId="6">
      <formula>"check"</formula>
    </cfRule>
    <cfRule type="cellIs" priority="8" operator="equal" aboveAverage="0" equalAverage="0" bottom="0" percent="0" rank="0" text="" dxfId="6">
      <formula>"date missing"</formula>
    </cfRule>
  </conditionalFormatting>
  <conditionalFormatting sqref="W7:W18">
    <cfRule type="cellIs" priority="9" operator="equal" aboveAverage="0" equalAverage="0" bottom="0" percent="0" rank="0" text="" dxfId="0">
      <formula>"ok"</formula>
    </cfRule>
    <cfRule type="expression" priority="10" aboveAverage="0" equalAverage="0" bottom="0" percent="0" rank="0" text="" dxfId="4">
      <formula>LEFT(W7,LEN("some"))="some"</formula>
    </cfRule>
  </conditionalFormatting>
  <conditionalFormatting sqref="AG7:AG18">
    <cfRule type="cellIs" priority="11" operator="equal" aboveAverage="0" equalAverage="0" bottom="0" percent="0" rank="0" text="" dxfId="0">
      <formula>"ok"</formula>
    </cfRule>
    <cfRule type="cellIs" priority="12" operator="equal" aboveAverage="0" equalAverage="0" bottom="0" percent="0" rank="0" text="" dxfId="4">
      <formula>"after the decision"</formula>
    </cfRule>
  </conditionalFormatting>
  <dataValidations count="3">
    <dataValidation allowBlank="true" error="Pick a value from the list." errorStyle="stop" errorTitle="Not in the list" operator="between" showDropDown="false" showErrorMessage="false" showInputMessage="false" sqref="G7:G18" type="list">
      <formula1>Lists!$A$4:$A$6</formula1>
      <formula2>0</formula2>
    </dataValidation>
    <dataValidation allowBlank="true" error="Pick a value from the list." errorStyle="stop" errorTitle="Not in the list" operator="between" showDropDown="false" showErrorMessage="false" showInputMessage="false" sqref="H7:H18" type="list">
      <formula1>Lists!$B$4:$B$5</formula1>
      <formula2>0</formula2>
    </dataValidation>
    <dataValidation allowBlank="true" error="Pick a value from the list." errorStyle="stop" errorTitle="Not in the list" operator="between" showDropDown="false" showErrorMessage="false" showInputMessage="false" sqref="N7:N18" type="list">
      <formula1>Lists!$E$4:$E$5</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M40"/>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4"/>
    <col collapsed="false" customWidth="true" hidden="false" outlineLevel="0" max="3" min="3" style="0" width="14"/>
    <col collapsed="false" customWidth="true" hidden="false" outlineLevel="0" max="4" min="4" style="0" width="3"/>
    <col collapsed="false" customWidth="true" hidden="false" outlineLevel="0" max="5" min="5" style="0" width="30"/>
    <col collapsed="false" customWidth="true" hidden="false" outlineLevel="0" max="6" min="6" style="0" width="16"/>
    <col collapsed="false" customWidth="true" hidden="false" outlineLevel="0" max="7" min="7" style="0" width="22"/>
    <col collapsed="false" customWidth="true" hidden="false" outlineLevel="0" max="39" min="8" style="0" width="11"/>
  </cols>
  <sheetData>
    <row r="1" customFormat="false" ht="18.55" hidden="false" customHeight="false" outlineLevel="0" collapsed="false">
      <c r="A1" s="1" t="s">
        <v>1007</v>
      </c>
    </row>
    <row r="2" customFormat="false" ht="15" hidden="false" customHeight="false" outlineLevel="0" collapsed="false">
      <c r="A2" s="2" t="s">
        <v>1008</v>
      </c>
    </row>
    <row r="3" customFormat="false" ht="30" hidden="false" customHeight="true" outlineLevel="0" collapsed="false">
      <c r="A3" s="8" t="s">
        <v>1009</v>
      </c>
      <c r="B3" s="8"/>
      <c r="C3" s="8"/>
      <c r="D3" s="8"/>
      <c r="E3" s="8"/>
      <c r="F3" s="8"/>
    </row>
    <row r="5" customFormat="false" ht="15" hidden="false" customHeight="false" outlineLevel="0" collapsed="false">
      <c r="B5" s="84" t="s">
        <v>1010</v>
      </c>
      <c r="E5" s="84" t="s">
        <v>1011</v>
      </c>
    </row>
    <row r="6" customFormat="false" ht="30" hidden="false" customHeight="true" outlineLevel="0" collapsed="false">
      <c r="B6" s="30" t="s">
        <v>944</v>
      </c>
      <c r="C6" s="39" t="s">
        <v>984</v>
      </c>
      <c r="E6" s="12" t="s">
        <v>1012</v>
      </c>
      <c r="F6" s="12" t="s">
        <v>1013</v>
      </c>
      <c r="G6" s="12" t="s">
        <v>1014</v>
      </c>
    </row>
    <row r="7" customFormat="false" ht="15" hidden="false" customHeight="false" outlineLevel="0" collapsed="false">
      <c r="B7" s="30" t="s">
        <v>328</v>
      </c>
      <c r="C7" s="39" t="s">
        <v>674</v>
      </c>
      <c r="E7" s="9" t="s">
        <v>331</v>
      </c>
      <c r="F7" s="37" t="n">
        <f aca="false">S40</f>
        <v>4500</v>
      </c>
      <c r="G7" s="19" t="n">
        <f aca="false">IF(G40&gt;0,F7/G40,"")</f>
        <v>1500</v>
      </c>
    </row>
    <row r="8" customFormat="false" ht="15" hidden="false" customHeight="false" outlineLevel="0" collapsed="false">
      <c r="B8" s="30" t="s">
        <v>330</v>
      </c>
      <c r="C8" s="39" t="n">
        <v>10</v>
      </c>
      <c r="E8" s="30" t="s">
        <v>1015</v>
      </c>
      <c r="F8" s="19" t="n">
        <f aca="false">T40</f>
        <v>80</v>
      </c>
      <c r="G8" s="19" t="n">
        <f aca="false">IF(G40&gt;0,F8/G40,"")</f>
        <v>26.6666666666667</v>
      </c>
    </row>
    <row r="9" customFormat="false" ht="15" hidden="false" customHeight="false" outlineLevel="0" collapsed="false">
      <c r="B9" s="30" t="s">
        <v>1016</v>
      </c>
      <c r="C9" s="39" t="n">
        <v>0</v>
      </c>
      <c r="E9" s="30" t="s">
        <v>1017</v>
      </c>
      <c r="F9" s="19" t="n">
        <f aca="false">U40</f>
        <v>300</v>
      </c>
      <c r="G9" s="19" t="n">
        <f aca="false">IF(G40&gt;0,F9/G40,"")</f>
        <v>100</v>
      </c>
    </row>
    <row r="10" customFormat="false" ht="15" hidden="false" customHeight="false" outlineLevel="0" collapsed="false">
      <c r="B10" s="30" t="s">
        <v>329</v>
      </c>
      <c r="C10" s="39" t="n">
        <v>3</v>
      </c>
      <c r="E10" s="30" t="s">
        <v>193</v>
      </c>
      <c r="F10" s="19" t="n">
        <f aca="false">V40</f>
        <v>0</v>
      </c>
      <c r="G10" s="19" t="n">
        <f aca="false">IF(G40&gt;0,F10/G40,"")</f>
        <v>0</v>
      </c>
    </row>
    <row r="11" customFormat="false" ht="15" hidden="false" customHeight="false" outlineLevel="0" collapsed="false">
      <c r="B11" s="30" t="s">
        <v>946</v>
      </c>
      <c r="C11" s="39" t="n">
        <v>0</v>
      </c>
      <c r="E11" s="30" t="s">
        <v>1018</v>
      </c>
      <c r="F11" s="19" t="n">
        <f aca="false">W40</f>
        <v>135</v>
      </c>
      <c r="G11" s="19" t="n">
        <f aca="false">IF(G40&gt;0,F11/G40,"")</f>
        <v>45</v>
      </c>
    </row>
    <row r="12" customFormat="false" ht="15" hidden="false" customHeight="false" outlineLevel="0" collapsed="false">
      <c r="B12" s="30" t="s">
        <v>947</v>
      </c>
      <c r="C12" s="39" t="n">
        <v>0</v>
      </c>
      <c r="E12" s="30" t="s">
        <v>1019</v>
      </c>
      <c r="F12" s="19" t="n">
        <f aca="false">X40</f>
        <v>75</v>
      </c>
      <c r="G12" s="19" t="n">
        <f aca="false">IF(G40&gt;0,F12/G40,"")</f>
        <v>25</v>
      </c>
    </row>
    <row r="13" customFormat="false" ht="15" hidden="false" customHeight="false" outlineLevel="0" collapsed="false">
      <c r="B13" s="30" t="s">
        <v>1020</v>
      </c>
      <c r="C13" s="56"/>
      <c r="E13" s="30" t="s">
        <v>1021</v>
      </c>
      <c r="F13" s="19" t="n">
        <f aca="false">Y40</f>
        <v>30</v>
      </c>
      <c r="G13" s="19" t="n">
        <f aca="false">IF(G40&gt;0,F13/G40,"")</f>
        <v>10</v>
      </c>
    </row>
    <row r="14" customFormat="false" ht="15" hidden="false" customHeight="false" outlineLevel="0" collapsed="false">
      <c r="B14" s="30" t="s">
        <v>1022</v>
      </c>
      <c r="C14" s="56"/>
      <c r="E14" s="30" t="s">
        <v>1023</v>
      </c>
      <c r="F14" s="19" t="n">
        <f aca="false">Z40</f>
        <v>50</v>
      </c>
      <c r="G14" s="19" t="n">
        <f aca="false">IF(G40&gt;0,F14/G40,"")</f>
        <v>16.6666666666667</v>
      </c>
    </row>
    <row r="15" customFormat="false" ht="15" hidden="false" customHeight="false" outlineLevel="0" collapsed="false">
      <c r="B15" s="30" t="s">
        <v>1024</v>
      </c>
      <c r="C15" s="85"/>
      <c r="E15" s="9" t="s">
        <v>332</v>
      </c>
      <c r="F15" s="37" t="n">
        <f aca="false">AA40</f>
        <v>670</v>
      </c>
      <c r="G15" s="19" t="n">
        <f aca="false">IF(G40&gt;0,F15/G40,"")</f>
        <v>223.333333333333</v>
      </c>
    </row>
    <row r="16" customFormat="false" ht="15" hidden="false" customHeight="false" outlineLevel="0" collapsed="false">
      <c r="B16" s="30" t="s">
        <v>1025</v>
      </c>
      <c r="C16" s="85"/>
      <c r="E16" s="9" t="s">
        <v>334</v>
      </c>
      <c r="F16" s="37" t="n">
        <f aca="false">AJ40</f>
        <v>3830</v>
      </c>
      <c r="G16" s="19" t="n">
        <f aca="false">IF(G40&gt;0,F16/G40,"")</f>
        <v>1276.66666666667</v>
      </c>
    </row>
    <row r="17" customFormat="false" ht="15" hidden="false" customHeight="false" outlineLevel="0" collapsed="false">
      <c r="E17" s="30" t="s">
        <v>1026</v>
      </c>
      <c r="F17" s="36" t="n">
        <f aca="false">AB40</f>
        <v>18</v>
      </c>
      <c r="G17" s="36" t="n">
        <f aca="false">IF(G40&gt;0,F17/G40,"")</f>
        <v>6</v>
      </c>
    </row>
    <row r="18" customFormat="false" ht="15" hidden="false" customHeight="false" outlineLevel="0" collapsed="false">
      <c r="E18" s="30" t="s">
        <v>1027</v>
      </c>
      <c r="F18" s="36" t="n">
        <f aca="false">AC40</f>
        <v>10</v>
      </c>
      <c r="G18" s="36" t="n">
        <f aca="false">IF(G40&gt;0,F18/G40,"")</f>
        <v>3.33333333333333</v>
      </c>
    </row>
    <row r="19" customFormat="false" ht="15" hidden="false" customHeight="false" outlineLevel="0" collapsed="false">
      <c r="E19" s="30" t="s">
        <v>1028</v>
      </c>
      <c r="F19" s="36" t="n">
        <f aca="false">AD40</f>
        <v>4</v>
      </c>
      <c r="G19" s="36" t="n">
        <f aca="false">IF(G40&gt;0,F19/G40,"")</f>
        <v>1.33333333333333</v>
      </c>
    </row>
    <row r="20" customFormat="false" ht="15" hidden="false" customHeight="false" outlineLevel="0" collapsed="false">
      <c r="E20" s="30" t="s">
        <v>1029</v>
      </c>
      <c r="F20" s="36" t="n">
        <f aca="false">AE40</f>
        <v>8</v>
      </c>
      <c r="G20" s="36" t="n">
        <f aca="false">IF(G40&gt;0,F20/G40,"")</f>
        <v>2.66666666666667</v>
      </c>
    </row>
    <row r="21" customFormat="false" ht="15" hidden="false" customHeight="false" outlineLevel="0" collapsed="false">
      <c r="E21" s="30" t="s">
        <v>1030</v>
      </c>
      <c r="F21" s="36" t="n">
        <f aca="false">AF40</f>
        <v>4</v>
      </c>
      <c r="G21" s="36" t="n">
        <f aca="false">IF(G40&gt;0,F21/G40,"")</f>
        <v>1.33333333333333</v>
      </c>
    </row>
    <row r="22" customFormat="false" ht="15" hidden="false" customHeight="false" outlineLevel="0" collapsed="false">
      <c r="E22" s="30" t="s">
        <v>1031</v>
      </c>
      <c r="F22" s="36" t="n">
        <f aca="false">AG40</f>
        <v>6</v>
      </c>
      <c r="G22" s="36" t="n">
        <f aca="false">IF(G40&gt;0,F22/G40,"")</f>
        <v>2</v>
      </c>
    </row>
    <row r="23" customFormat="false" ht="15" hidden="false" customHeight="false" outlineLevel="0" collapsed="false">
      <c r="E23" s="30" t="s">
        <v>1032</v>
      </c>
      <c r="F23" s="36" t="n">
        <f aca="false">AH40</f>
        <v>2</v>
      </c>
      <c r="G23" s="36" t="n">
        <f aca="false">IF(G40&gt;0,F23/G40,"")</f>
        <v>0.666666666666667</v>
      </c>
    </row>
    <row r="24" customFormat="false" ht="15" hidden="false" customHeight="false" outlineLevel="0" collapsed="false">
      <c r="E24" s="9" t="s">
        <v>333</v>
      </c>
      <c r="F24" s="38" t="n">
        <f aca="false">AI40</f>
        <v>52</v>
      </c>
      <c r="G24" s="36" t="n">
        <f aca="false">IF(G40&gt;0,F24/G40,"")</f>
        <v>17.3333333333333</v>
      </c>
    </row>
    <row r="25" customFormat="false" ht="15" hidden="false" customHeight="false" outlineLevel="0" collapsed="false">
      <c r="E25" s="9" t="s">
        <v>1033</v>
      </c>
      <c r="F25" s="15" t="n">
        <f aca="false">AK40</f>
        <v>73.6538461538462</v>
      </c>
      <c r="G25" s="28" t="n">
        <f aca="false">F25</f>
        <v>73.6538461538462</v>
      </c>
    </row>
    <row r="26" customFormat="false" ht="15" hidden="false" customHeight="false" outlineLevel="0" collapsed="false">
      <c r="E26" s="30" t="s">
        <v>1034</v>
      </c>
      <c r="F26" s="9" t="str">
        <f aca="false">IF(ISNUMBER(F25),IF(F25&gt;=Inputs!$C$136,"at or above target","below target"),"n/a")</f>
        <v>at or above target</v>
      </c>
    </row>
    <row r="27" customFormat="false" ht="15" hidden="false" customHeight="false" outlineLevel="0" collapsed="false">
      <c r="E27" s="30" t="s">
        <v>1035</v>
      </c>
      <c r="F27" s="24" t="n">
        <f aca="false">E40*Inputs!$C$63*(1+Inputs!$C$64)</f>
        <v>550</v>
      </c>
    </row>
    <row r="29" customFormat="false" ht="60" hidden="false" customHeight="true" outlineLevel="0" collapsed="false">
      <c r="E29" s="5" t="s">
        <v>1036</v>
      </c>
      <c r="F29" s="5"/>
      <c r="G29" s="5"/>
    </row>
    <row r="37" customFormat="false" ht="15" hidden="false" customHeight="false" outlineLevel="0" collapsed="false">
      <c r="A37" s="84" t="s">
        <v>1037</v>
      </c>
    </row>
    <row r="39" customFormat="false" ht="57.75" hidden="false" customHeight="true" outlineLevel="0" collapsed="false">
      <c r="A39" s="12" t="s">
        <v>1038</v>
      </c>
      <c r="B39" s="12" t="s">
        <v>326</v>
      </c>
      <c r="C39" s="12" t="s">
        <v>328</v>
      </c>
      <c r="D39" s="12" t="s">
        <v>944</v>
      </c>
      <c r="E39" s="12" t="s">
        <v>330</v>
      </c>
      <c r="F39" s="12" t="s">
        <v>945</v>
      </c>
      <c r="G39" s="12" t="s">
        <v>329</v>
      </c>
      <c r="H39" s="12" t="s">
        <v>946</v>
      </c>
      <c r="I39" s="12" t="s">
        <v>947</v>
      </c>
      <c r="J39" s="12" t="s">
        <v>457</v>
      </c>
      <c r="K39" s="12" t="s">
        <v>469</v>
      </c>
      <c r="L39" s="12" t="s">
        <v>1039</v>
      </c>
      <c r="M39" s="12" t="s">
        <v>1040</v>
      </c>
      <c r="N39" s="12" t="s">
        <v>1041</v>
      </c>
      <c r="O39" s="12" t="s">
        <v>1042</v>
      </c>
      <c r="P39" s="12" t="s">
        <v>1043</v>
      </c>
      <c r="Q39" s="12" t="s">
        <v>1044</v>
      </c>
      <c r="R39" s="12" t="s">
        <v>1045</v>
      </c>
      <c r="S39" s="12" t="s">
        <v>331</v>
      </c>
      <c r="T39" s="12" t="s">
        <v>1015</v>
      </c>
      <c r="U39" s="12" t="s">
        <v>1017</v>
      </c>
      <c r="V39" s="12" t="s">
        <v>193</v>
      </c>
      <c r="W39" s="12" t="s">
        <v>1018</v>
      </c>
      <c r="X39" s="12" t="s">
        <v>1019</v>
      </c>
      <c r="Y39" s="12" t="s">
        <v>1021</v>
      </c>
      <c r="Z39" s="12" t="s">
        <v>1023</v>
      </c>
      <c r="AA39" s="12" t="s">
        <v>332</v>
      </c>
      <c r="AB39" s="12" t="s">
        <v>1026</v>
      </c>
      <c r="AC39" s="12" t="s">
        <v>1027</v>
      </c>
      <c r="AD39" s="12" t="s">
        <v>1028</v>
      </c>
      <c r="AE39" s="12" t="s">
        <v>1029</v>
      </c>
      <c r="AF39" s="12" t="s">
        <v>1030</v>
      </c>
      <c r="AG39" s="12" t="s">
        <v>1031</v>
      </c>
      <c r="AH39" s="12" t="s">
        <v>1032</v>
      </c>
      <c r="AI39" s="12" t="s">
        <v>333</v>
      </c>
      <c r="AJ39" s="12" t="s">
        <v>334</v>
      </c>
      <c r="AK39" s="12" t="s">
        <v>1033</v>
      </c>
      <c r="AL39" s="12" t="s">
        <v>1046</v>
      </c>
      <c r="AM39" s="12" t="s">
        <v>1047</v>
      </c>
    </row>
    <row r="40" customFormat="false" ht="15" hidden="false" customHeight="false" outlineLevel="0" collapsed="false">
      <c r="A40" s="30" t="s">
        <v>1048</v>
      </c>
      <c r="B40" s="86"/>
      <c r="C40" s="30" t="str">
        <f aca="false">$C$7</f>
        <v>courier</v>
      </c>
      <c r="D40" s="30" t="str">
        <f aca="false">$C$6</f>
        <v>standard</v>
      </c>
      <c r="E40" s="21" t="n">
        <f aca="false">N($C$8)</f>
        <v>10</v>
      </c>
      <c r="F40" s="21" t="n">
        <f aca="false">N($C$9)</f>
        <v>0</v>
      </c>
      <c r="G40" s="30" t="n">
        <f aca="false">N($C$10)</f>
        <v>3</v>
      </c>
      <c r="H40" s="30" t="n">
        <f aca="false">N($C$11)</f>
        <v>0</v>
      </c>
      <c r="I40" s="30" t="n">
        <f aca="false">N($C$12)</f>
        <v>0</v>
      </c>
      <c r="J40" s="19" t="n">
        <f aca="false">IF($C$13="",Inputs!$C$39,$C$13)</f>
        <v>150</v>
      </c>
      <c r="K40" s="19" t="n">
        <f aca="false">IF($C$14="",Inputs!$C$42,$C$14)</f>
        <v>120</v>
      </c>
      <c r="L40" s="21" t="n">
        <f aca="false">IF($C$15="",IF(Inputs!$C$75="unit",1,0),IF($C$15="Y",1,0))</f>
        <v>1</v>
      </c>
      <c r="M40" s="21" t="n">
        <f aca="false">IF($C$16="",Inputs!$C$55,IF($C$16="Y",1,0))</f>
        <v>1</v>
      </c>
      <c r="N40" s="21" t="n">
        <f aca="false">IF(G40&gt;0,1,0)</f>
        <v>1</v>
      </c>
      <c r="O40" s="30" t="n">
        <f aca="false">IF(D40="founding",G40-H40,0)</f>
        <v>0</v>
      </c>
      <c r="P40" s="30" t="n">
        <f aca="false">IF(D40="standard",G40-H40,0)</f>
        <v>3</v>
      </c>
      <c r="Q40" s="19" t="n">
        <f aca="false">O40*(K40*MIN(E40,Inputs!$C$43)+Inputs!$C$45*MAX(E40-Inputs!$C$43,0))+I40*K40*E40</f>
        <v>0</v>
      </c>
      <c r="R40" s="19" t="n">
        <f aca="false">(P40+H40-I40)*(J40*MIN(E40,Inputs!$C$40)+Inputs!$C$45*MAX(E40-Inputs!$C$40,0))</f>
        <v>4500</v>
      </c>
      <c r="S40" s="37" t="n">
        <f aca="false">Q40+R40</f>
        <v>4500</v>
      </c>
      <c r="T40" s="19" t="n">
        <f aca="false">N40*E40*(Inputs!$C$68+Inputs!$C$69*MAX(G40-1,0))</f>
        <v>80</v>
      </c>
      <c r="U40" s="19" t="n">
        <f aca="false">IF(N40=0,0,INDEX(Inputs!$C$105:$C$107,MATCH(C40,Inputs!$B$105:$B$107,0))+INDEX(Inputs!$D$105:$D$107,MATCH(C40,Inputs!$B$105:$B$107,0))*E40)</f>
        <v>300</v>
      </c>
      <c r="V40" s="19" t="n">
        <f aca="false">IF(N40=0,0,INDEX(Inputs!$E$105:$E$107,MATCH(C40,Inputs!$B$105:$B$107,0))*E40)</f>
        <v>0</v>
      </c>
      <c r="W40" s="19" t="n">
        <f aca="false">S40*Inputs!$C$54*M40</f>
        <v>135</v>
      </c>
      <c r="X40" s="19" t="n">
        <f aca="false">N40*L40*Inputs!$C$76/Inputs!$C$85</f>
        <v>75</v>
      </c>
      <c r="Y40" s="19" t="n">
        <f aca="false">N40*Inputs!$C$79/Inputs!$C$85</f>
        <v>30</v>
      </c>
      <c r="Z40" s="19" t="n">
        <f aca="false">N40*Inputs!$C$81/Inputs!$C$85</f>
        <v>50</v>
      </c>
      <c r="AA40" s="37" t="n">
        <f aca="false">SUM(T40:Z40)</f>
        <v>670</v>
      </c>
      <c r="AB40" s="36" t="n">
        <f aca="false">O40*Inputs!$C$89+P40*Inputs!$C$93+H40*Inputs!$C$94</f>
        <v>18</v>
      </c>
      <c r="AC40" s="36" t="n">
        <f aca="false">N40*(F40*Inputs!$C$95+(E40-F40)*Inputs!$C$96)</f>
        <v>10</v>
      </c>
      <c r="AD40" s="36" t="n">
        <f aca="false">IF(N40=0,0,INDEX(Inputs!$F$105:$F$107,MATCH(C40,Inputs!$B$105:$B$107,0))+Inputs!$C$97*G40)</f>
        <v>4</v>
      </c>
      <c r="AE40" s="36" t="n">
        <f aca="false">IF(N40=0,0,INDEX(Inputs!$G$105:$G$107,MATCH(C40,Inputs!$B$105:$B$107,0))*E40)</f>
        <v>8</v>
      </c>
      <c r="AF40" s="36" t="n">
        <f aca="false">IF(N40=0,0,INDEX(Inputs!$H$105:$H$107,MATCH(C40,Inputs!$B$105:$B$107,0))*E40)</f>
        <v>4</v>
      </c>
      <c r="AG40" s="36" t="n">
        <f aca="false">Inputs!$C$98*G40</f>
        <v>6</v>
      </c>
      <c r="AH40" s="36" t="n">
        <f aca="false">N40*Inputs!$C$99</f>
        <v>2</v>
      </c>
      <c r="AI40" s="38" t="n">
        <f aca="false">SUM(AB40:AH40)</f>
        <v>52</v>
      </c>
      <c r="AJ40" s="37" t="n">
        <f aca="false">S40-AA40</f>
        <v>3830</v>
      </c>
      <c r="AK40" s="29" t="n">
        <f aca="false">IF(AI40&gt;0,AJ40/AI40,"n/a")</f>
        <v>73.6538461538462</v>
      </c>
      <c r="AL40" s="19" t="n">
        <f aca="false">T40+U40+V40+W40</f>
        <v>515</v>
      </c>
      <c r="AM40" s="19" t="n">
        <f aca="false">X40+Y40+Z40</f>
        <v>155</v>
      </c>
    </row>
  </sheetData>
  <mergeCells count="2">
    <mergeCell ref="A3:F3"/>
    <mergeCell ref="E29:G29"/>
  </mergeCells>
  <dataValidations count="4">
    <dataValidation allowBlank="true" error="Pick a value from the list." errorStyle="stop" errorTitle="Not in the list" operator="between" showDropDown="false" showErrorMessage="false" showInputMessage="false" sqref="C6" type="list">
      <formula1>Lists!$B$4:$B$5</formula1>
      <formula2>0</formula2>
    </dataValidation>
    <dataValidation allowBlank="true" error="Pick a value from the list." errorStyle="stop" errorTitle="Not in the list" operator="between" showDropDown="false" showErrorMessage="false" showInputMessage="false" sqref="C7" type="list">
      <formula1>Lists!$A$4:$A$6</formula1>
      <formula2>0</formula2>
    </dataValidation>
    <dataValidation allowBlank="true" error="Pick a value from the list." errorStyle="stop" errorTitle="Not in the list" operator="between" showDropDown="false" showErrorMessage="false" showInputMessage="false" sqref="C15" type="list">
      <formula1>Lists!$E$4:$E$5</formula1>
      <formula2>0</formula2>
    </dataValidation>
    <dataValidation allowBlank="true" error="Pick a value from the list." errorStyle="stop" errorTitle="Not in the list" operator="between" showDropDown="false" showErrorMessage="false" showInputMessage="false" sqref="C16" type="list">
      <formula1>Lists!$E$4:$E$5</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J19"/>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39" min="2" style="0" width="11"/>
    <col collapsed="false" customWidth="true" hidden="false" outlineLevel="0" max="62" min="41" style="0" width="12"/>
  </cols>
  <sheetData>
    <row r="1" customFormat="false" ht="18.55" hidden="false" customHeight="false" outlineLevel="0" collapsed="false">
      <c r="A1" s="1" t="s">
        <v>1049</v>
      </c>
    </row>
    <row r="2" customFormat="false" ht="15" hidden="false" customHeight="false" outlineLevel="0" collapsed="false">
      <c r="A2" s="2" t="s">
        <v>1050</v>
      </c>
    </row>
    <row r="3" customFormat="false" ht="30" hidden="false" customHeight="true" outlineLevel="0" collapsed="false">
      <c r="A3" s="8" t="s">
        <v>1051</v>
      </c>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row>
    <row r="5" customFormat="false" ht="28.35" hidden="false" customHeight="true" outlineLevel="0" collapsed="false">
      <c r="A5" s="87" t="s">
        <v>1052</v>
      </c>
      <c r="B5" s="87"/>
      <c r="C5" s="87"/>
      <c r="E5" s="87" t="s">
        <v>1053</v>
      </c>
      <c r="F5" s="87"/>
      <c r="G5" s="87"/>
      <c r="H5" s="87"/>
      <c r="I5" s="87"/>
      <c r="J5" s="87"/>
      <c r="K5" s="87"/>
      <c r="L5" s="87"/>
      <c r="M5" s="87"/>
      <c r="N5" s="87" t="s">
        <v>331</v>
      </c>
      <c r="O5" s="87"/>
      <c r="P5" s="87"/>
      <c r="Q5" s="87"/>
      <c r="R5" s="87"/>
      <c r="S5" s="87"/>
      <c r="T5" s="87" t="s">
        <v>332</v>
      </c>
      <c r="U5" s="87"/>
      <c r="V5" s="87"/>
      <c r="W5" s="87"/>
      <c r="X5" s="87"/>
      <c r="Y5" s="87"/>
      <c r="Z5" s="87"/>
      <c r="AA5" s="87"/>
      <c r="AB5" s="87" t="s">
        <v>1054</v>
      </c>
      <c r="AC5" s="87"/>
      <c r="AD5" s="87"/>
      <c r="AE5" s="87"/>
      <c r="AF5" s="87"/>
      <c r="AG5" s="87"/>
      <c r="AH5" s="87"/>
      <c r="AI5" s="87"/>
      <c r="AJ5" s="87" t="s">
        <v>1011</v>
      </c>
      <c r="AK5" s="87"/>
      <c r="AL5" s="87" t="s">
        <v>1055</v>
      </c>
      <c r="AM5" s="87"/>
      <c r="AO5" s="87" t="s">
        <v>1056</v>
      </c>
      <c r="AP5" s="87"/>
      <c r="AQ5" s="87"/>
      <c r="AR5" s="87"/>
      <c r="AS5" s="87"/>
      <c r="AT5" s="87"/>
      <c r="AU5" s="87"/>
      <c r="AV5" s="87"/>
      <c r="AW5" s="87"/>
      <c r="AX5" s="87"/>
      <c r="AY5" s="87"/>
      <c r="AZ5" s="87" t="s">
        <v>1057</v>
      </c>
      <c r="BA5" s="87"/>
      <c r="BB5" s="87"/>
      <c r="BC5" s="87"/>
      <c r="BD5" s="87"/>
      <c r="BE5" s="87"/>
      <c r="BF5" s="87"/>
      <c r="BG5" s="87"/>
      <c r="BH5" s="87" t="s">
        <v>1058</v>
      </c>
      <c r="BI5" s="87"/>
    </row>
    <row r="6" customFormat="false" ht="57.75" hidden="false" customHeight="true" outlineLevel="0" collapsed="false">
      <c r="A6" s="12" t="s">
        <v>1038</v>
      </c>
      <c r="B6" s="12" t="s">
        <v>326</v>
      </c>
      <c r="C6" s="12" t="s">
        <v>328</v>
      </c>
      <c r="D6" s="12" t="s">
        <v>944</v>
      </c>
      <c r="E6" s="12" t="s">
        <v>330</v>
      </c>
      <c r="F6" s="12" t="s">
        <v>945</v>
      </c>
      <c r="G6" s="12" t="s">
        <v>329</v>
      </c>
      <c r="H6" s="12" t="s">
        <v>946</v>
      </c>
      <c r="I6" s="12" t="s">
        <v>947</v>
      </c>
      <c r="J6" s="12" t="s">
        <v>457</v>
      </c>
      <c r="K6" s="12" t="s">
        <v>469</v>
      </c>
      <c r="L6" s="12" t="s">
        <v>1039</v>
      </c>
      <c r="M6" s="12" t="s">
        <v>1040</v>
      </c>
      <c r="N6" s="12" t="s">
        <v>1041</v>
      </c>
      <c r="O6" s="12" t="s">
        <v>1042</v>
      </c>
      <c r="P6" s="12" t="s">
        <v>1043</v>
      </c>
      <c r="Q6" s="12" t="s">
        <v>1044</v>
      </c>
      <c r="R6" s="12" t="s">
        <v>1045</v>
      </c>
      <c r="S6" s="12" t="s">
        <v>331</v>
      </c>
      <c r="T6" s="12" t="s">
        <v>1015</v>
      </c>
      <c r="U6" s="12" t="s">
        <v>1017</v>
      </c>
      <c r="V6" s="12" t="s">
        <v>193</v>
      </c>
      <c r="W6" s="12" t="s">
        <v>1018</v>
      </c>
      <c r="X6" s="12" t="s">
        <v>1019</v>
      </c>
      <c r="Y6" s="12" t="s">
        <v>1021</v>
      </c>
      <c r="Z6" s="12" t="s">
        <v>1023</v>
      </c>
      <c r="AA6" s="12" t="s">
        <v>332</v>
      </c>
      <c r="AB6" s="12" t="s">
        <v>1026</v>
      </c>
      <c r="AC6" s="12" t="s">
        <v>1027</v>
      </c>
      <c r="AD6" s="12" t="s">
        <v>1028</v>
      </c>
      <c r="AE6" s="12" t="s">
        <v>1029</v>
      </c>
      <c r="AF6" s="12" t="s">
        <v>1030</v>
      </c>
      <c r="AG6" s="12" t="s">
        <v>1031</v>
      </c>
      <c r="AH6" s="12" t="s">
        <v>1032</v>
      </c>
      <c r="AI6" s="12" t="s">
        <v>333</v>
      </c>
      <c r="AJ6" s="12" t="s">
        <v>334</v>
      </c>
      <c r="AK6" s="12" t="s">
        <v>1033</v>
      </c>
      <c r="AL6" s="12" t="s">
        <v>1046</v>
      </c>
      <c r="AM6" s="12" t="s">
        <v>1047</v>
      </c>
      <c r="AO6" s="12" t="s">
        <v>1059</v>
      </c>
      <c r="AP6" s="12" t="s">
        <v>1060</v>
      </c>
      <c r="AQ6" s="12" t="s">
        <v>1061</v>
      </c>
      <c r="AR6" s="12" t="s">
        <v>1062</v>
      </c>
      <c r="AS6" s="12" t="s">
        <v>1063</v>
      </c>
      <c r="AT6" s="12" t="s">
        <v>1064</v>
      </c>
      <c r="AU6" s="12" t="s">
        <v>1065</v>
      </c>
      <c r="AV6" s="12" t="s">
        <v>1066</v>
      </c>
      <c r="AW6" s="12" t="s">
        <v>1067</v>
      </c>
      <c r="AX6" s="12" t="s">
        <v>1068</v>
      </c>
      <c r="AY6" s="12" t="s">
        <v>1069</v>
      </c>
      <c r="AZ6" s="12" t="s">
        <v>1070</v>
      </c>
      <c r="BA6" s="12" t="s">
        <v>1071</v>
      </c>
      <c r="BB6" s="12" t="s">
        <v>1072</v>
      </c>
      <c r="BC6" s="12" t="s">
        <v>1073</v>
      </c>
      <c r="BD6" s="12" t="s">
        <v>1074</v>
      </c>
      <c r="BE6" s="12" t="s">
        <v>1075</v>
      </c>
      <c r="BF6" s="12" t="s">
        <v>327</v>
      </c>
      <c r="BG6" s="12" t="s">
        <v>1076</v>
      </c>
      <c r="BH6" s="12" t="s">
        <v>1077</v>
      </c>
      <c r="BI6" s="12" t="s">
        <v>1078</v>
      </c>
      <c r="BJ6" s="12" t="s">
        <v>1079</v>
      </c>
    </row>
    <row r="7" customFormat="false" ht="15" hidden="false" customHeight="false" outlineLevel="0" collapsed="false">
      <c r="A7" s="30" t="str">
        <f aca="false">Schedule!A7</f>
        <v>DRP-001</v>
      </c>
      <c r="B7" s="18" t="n">
        <f aca="false">IF(Schedule!E7="","",Schedule!E7)</f>
        <v>46399</v>
      </c>
      <c r="C7" s="30" t="str">
        <f aca="false">IF(Schedule!G7="","",Schedule!G7)</f>
        <v>founder</v>
      </c>
      <c r="D7" s="30" t="str">
        <f aca="false">IF(Schedule!H7="","",Schedule!H7)</f>
        <v>founding</v>
      </c>
      <c r="E7" s="21" t="n">
        <f aca="false">N(Schedule!I7)</f>
        <v>5</v>
      </c>
      <c r="F7" s="21" t="n">
        <f aca="false">N(Schedule!J7)</f>
        <v>5</v>
      </c>
      <c r="G7" s="30" t="n">
        <f aca="false">N(Schedule!K7)</f>
        <v>2</v>
      </c>
      <c r="H7" s="30" t="n">
        <f aca="false">N(Schedule!L7)</f>
        <v>0</v>
      </c>
      <c r="I7" s="30" t="n">
        <f aca="false">N(Schedule!M7)</f>
        <v>0</v>
      </c>
      <c r="J7" s="19" t="n">
        <f aca="false">IF(AND(B7&lt;&gt;"",B7&gt;Inputs!$C$15),Scenarios!$H$14,Inputs!$C$39)</f>
        <v>150</v>
      </c>
      <c r="K7" s="19" t="n">
        <f aca="false">Inputs!$C$42</f>
        <v>120</v>
      </c>
      <c r="L7" s="21" t="n">
        <f aca="false">IF(AND(Inputs!$C$75="unit",B7&lt;&gt;"",Inputs!$C$77&lt;&gt;"",B7&gt;=Inputs!$C$77,OR(Inputs!$C$78="",B7&lt;=Inputs!$C$78)),1,0)</f>
        <v>0</v>
      </c>
      <c r="M7" s="21" t="n">
        <f aca="false">Inputs!$C$55</f>
        <v>1</v>
      </c>
      <c r="N7" s="21" t="n">
        <f aca="false">IF(G7&gt;0,1,0)</f>
        <v>1</v>
      </c>
      <c r="O7" s="30" t="n">
        <f aca="false">IF(D7="founding",G7-H7,0)</f>
        <v>2</v>
      </c>
      <c r="P7" s="30" t="n">
        <f aca="false">IF(D7="standard",G7-H7,0)</f>
        <v>0</v>
      </c>
      <c r="Q7" s="19" t="n">
        <f aca="false">O7*(K7*MIN(E7,Inputs!$C$43)+Inputs!$C$45*MAX(E7-Inputs!$C$43,0))+I7*K7*E7</f>
        <v>1200</v>
      </c>
      <c r="R7" s="19" t="n">
        <f aca="false">(P7+H7-I7)*(J7*MIN(E7,Inputs!$C$40)+Inputs!$C$45*MAX(E7-Inputs!$C$40,0))</f>
        <v>0</v>
      </c>
      <c r="S7" s="37" t="n">
        <f aca="false">Q7+R7</f>
        <v>1200</v>
      </c>
      <c r="T7" s="19" t="n">
        <f aca="false">N7*E7*(Inputs!$C$68+Inputs!$C$69*MAX(G7-1,0))</f>
        <v>40</v>
      </c>
      <c r="U7" s="19" t="n">
        <f aca="false">IF(N7=0,0,INDEX(Inputs!$C$105:$C$107,MATCH(C7,Inputs!$B$105:$B$107,0))+INDEX(Inputs!$D$105:$D$107,MATCH(C7,Inputs!$B$105:$B$107,0))*E7)</f>
        <v>120</v>
      </c>
      <c r="V7" s="19" t="n">
        <f aca="false">IF(N7=0,0,INDEX(Inputs!$E$105:$E$107,MATCH(C7,Inputs!$B$105:$B$107,0))*E7)</f>
        <v>0</v>
      </c>
      <c r="W7" s="19" t="n">
        <f aca="false">S7*Inputs!$C$54*M7</f>
        <v>36</v>
      </c>
      <c r="X7" s="19" t="n">
        <f aca="false">N7*L7*Inputs!$C$76/Inputs!$C$85</f>
        <v>0</v>
      </c>
      <c r="Y7" s="19" t="n">
        <f aca="false">N7*Inputs!$C$79/Inputs!$C$85</f>
        <v>30</v>
      </c>
      <c r="Z7" s="19" t="n">
        <f aca="false">N7*Inputs!$C$81/Inputs!$C$85</f>
        <v>50</v>
      </c>
      <c r="AA7" s="37" t="n">
        <f aca="false">SUM(T7:Z7)</f>
        <v>276</v>
      </c>
      <c r="AB7" s="36" t="n">
        <f aca="false">O7*Inputs!$C$89+P7*Inputs!$C$93+H7*Inputs!$C$94</f>
        <v>20</v>
      </c>
      <c r="AC7" s="36" t="n">
        <f aca="false">N7*(F7*Inputs!$C$95+(E7-F7)*Inputs!$C$96)</f>
        <v>20</v>
      </c>
      <c r="AD7" s="36" t="n">
        <f aca="false">IF(N7=0,0,INDEX(Inputs!$F$105:$F$107,MATCH(C7,Inputs!$B$105:$B$107,0))+Inputs!$C$97*G7)</f>
        <v>3</v>
      </c>
      <c r="AE7" s="36" t="n">
        <f aca="false">IF(N7=0,0,INDEX(Inputs!$G$105:$G$107,MATCH(C7,Inputs!$B$105:$B$107,0))*E7)</f>
        <v>5</v>
      </c>
      <c r="AF7" s="36" t="n">
        <f aca="false">IF(N7=0,0,INDEX(Inputs!$H$105:$H$107,MATCH(C7,Inputs!$B$105:$B$107,0))*E7)</f>
        <v>3</v>
      </c>
      <c r="AG7" s="36" t="n">
        <f aca="false">Inputs!$C$98*G7</f>
        <v>4</v>
      </c>
      <c r="AH7" s="36" t="n">
        <f aca="false">N7*Inputs!$C$99</f>
        <v>2</v>
      </c>
      <c r="AI7" s="38" t="n">
        <f aca="false">SUM(AB7:AH7)</f>
        <v>57</v>
      </c>
      <c r="AJ7" s="37" t="n">
        <f aca="false">S7-AA7</f>
        <v>924</v>
      </c>
      <c r="AK7" s="29" t="n">
        <f aca="false">IF(AI7&gt;0,AJ7/AI7,"n/a")</f>
        <v>16.2105263157895</v>
      </c>
      <c r="AL7" s="19" t="n">
        <f aca="false">T7+U7+V7+W7</f>
        <v>196</v>
      </c>
      <c r="AM7" s="19" t="n">
        <f aca="false">X7+Y7+Z7</f>
        <v>80</v>
      </c>
      <c r="AO7" s="18" t="n">
        <f aca="false">IF(OR(N7=0,AP7=0),"",WORKDAY(B7,-Inputs!$C$49,Lists!$N$4:$N$30)+N(Inputs!$C$53))</f>
        <v>46367</v>
      </c>
      <c r="AP7" s="19" t="n">
        <f aca="false">Q7*Inputs!$C$48</f>
        <v>1200</v>
      </c>
      <c r="AQ7" s="18" t="str">
        <f aca="false">IF(OR(N7=0,AR7=0),"",WORKDAY(B7,-Inputs!$C$51,Lists!$N$4:$N$30)+N(Inputs!$C$53))</f>
        <v/>
      </c>
      <c r="AR7" s="19" t="n">
        <f aca="false">R7*Inputs!$C$50</f>
        <v>0</v>
      </c>
      <c r="AS7" s="18" t="str">
        <f aca="false">IF(OR(N7=0,AT7=0),"",WORKDAY(B7,Inputs!$C$52,Lists!$N$4:$N$30)+N(Inputs!$C$53))</f>
        <v/>
      </c>
      <c r="AT7" s="19" t="n">
        <f aca="false">Q7*(1-Inputs!$C$48)+R7*(1-Inputs!$C$50)</f>
        <v>0</v>
      </c>
      <c r="AU7" s="19" t="n">
        <f aca="false">AP7*Inputs!$C$54*M7</f>
        <v>36</v>
      </c>
      <c r="AV7" s="19" t="n">
        <f aca="false">AR7*Inputs!$C$54*M7</f>
        <v>0</v>
      </c>
      <c r="AW7" s="19" t="n">
        <f aca="false">AT7*Inputs!$C$54*M7</f>
        <v>0</v>
      </c>
      <c r="AX7" s="18" t="n">
        <f aca="false">IF(N7=0,"",WORKDAY(B7,-Inputs!$C$74,Lists!$N$4:$N$30))</f>
        <v>46394</v>
      </c>
      <c r="AY7" s="18" t="n">
        <f aca="false">IF(N7=0,"",B7)</f>
        <v>46399</v>
      </c>
      <c r="AZ7" s="30" t="str">
        <f aca="false">IF(Schedule!N7="Y","Y","N")</f>
        <v>N</v>
      </c>
      <c r="BA7" s="19" t="n">
        <f aca="false">IF(AZ7="Y",Drop_Actuals!D7,S7)</f>
        <v>1200</v>
      </c>
      <c r="BB7" s="19" t="n">
        <f aca="false">IF(AZ7="Y",Drop_Actuals!J7,AA7)</f>
        <v>276</v>
      </c>
      <c r="BC7" s="36" t="n">
        <f aca="false">IF(AZ7="Y",Drop_Actuals!R7,AI7)</f>
        <v>57</v>
      </c>
      <c r="BD7" s="19" t="n">
        <f aca="false">BA7-BB7</f>
        <v>924</v>
      </c>
      <c r="BE7" s="28" t="n">
        <f aca="false">IF(BC7&gt;0,BD7/BC7,"n/a")</f>
        <v>16.2105263157895</v>
      </c>
      <c r="BF7" s="30" t="str">
        <f aca="false">IF(AND(N7=0,AZ7="N"),"",IF(AZ7="Y","actual","plan"))</f>
        <v>plan</v>
      </c>
      <c r="BG7" s="21" t="n">
        <f aca="false">IF(AND(N7=1,B7&gt;=Inputs!$C$17),1,0)</f>
        <v>0</v>
      </c>
      <c r="BH7" s="19" t="n">
        <f aca="false">IF(AND(AO7&lt;&gt;"",AO7&gt;=Inputs!$C$10,AO7&lt;=Cash_Flow!$AB$6),AP7-AU7,0)+IF(AND(AQ7&lt;&gt;"",AQ7&gt;=Inputs!$C$10,AQ7&lt;=Cash_Flow!$AB$6),AR7-AV7,0)+IF(AND(AS7&lt;&gt;"",AS7&gt;=Inputs!$C$10,AS7&lt;=Cash_Flow!$AB$6),AT7-AW7,0)-IF(AND(AX7&lt;&gt;"",AX7&gt;=Inputs!$C$10,AX7&lt;=Cash_Flow!$AB$6),T7+V7,0)-IF(AND(AY7&lt;&gt;"",AY7&gt;=Inputs!$C$10,AY7&lt;=Cash_Flow!$AB$6),U7,0)</f>
        <v>1004</v>
      </c>
      <c r="BI7" s="19" t="n">
        <f aca="false">IF(AZ7="Y",Drop_Actuals!AM7,BH7)</f>
        <v>1004</v>
      </c>
      <c r="BJ7" s="18" t="str">
        <f aca="false">IF(BG7=1,B7,"")</f>
        <v/>
      </c>
    </row>
    <row r="8" customFormat="false" ht="15" hidden="false" customHeight="false" outlineLevel="0" collapsed="false">
      <c r="A8" s="30" t="str">
        <f aca="false">Schedule!A8</f>
        <v>DRP-002</v>
      </c>
      <c r="B8" s="18" t="n">
        <f aca="false">IF(Schedule!E8="","",Schedule!E8)</f>
        <v>46427</v>
      </c>
      <c r="C8" s="30" t="str">
        <f aca="false">IF(Schedule!G8="","",Schedule!G8)</f>
        <v>courier</v>
      </c>
      <c r="D8" s="30" t="str">
        <f aca="false">IF(Schedule!H8="","",Schedule!H8)</f>
        <v>standard</v>
      </c>
      <c r="E8" s="21" t="n">
        <f aca="false">N(Schedule!I8)</f>
        <v>10</v>
      </c>
      <c r="F8" s="21" t="n">
        <f aca="false">N(Schedule!J8)</f>
        <v>5</v>
      </c>
      <c r="G8" s="30" t="n">
        <f aca="false">N(Schedule!K8)</f>
        <v>3</v>
      </c>
      <c r="H8" s="30" t="n">
        <f aca="false">N(Schedule!L8)</f>
        <v>0</v>
      </c>
      <c r="I8" s="30" t="n">
        <f aca="false">N(Schedule!M8)</f>
        <v>0</v>
      </c>
      <c r="J8" s="19" t="n">
        <f aca="false">IF(AND(B8&lt;&gt;"",B8&gt;Inputs!$C$15),Scenarios!$H$14,Inputs!$C$39)</f>
        <v>150</v>
      </c>
      <c r="K8" s="19" t="n">
        <f aca="false">Inputs!$C$42</f>
        <v>120</v>
      </c>
      <c r="L8" s="21" t="n">
        <f aca="false">IF(AND(Inputs!$C$75="unit",B8&lt;&gt;"",Inputs!$C$77&lt;&gt;"",B8&gt;=Inputs!$C$77,OR(Inputs!$C$78="",B8&lt;=Inputs!$C$78)),1,0)</f>
        <v>1</v>
      </c>
      <c r="M8" s="21" t="n">
        <f aca="false">Inputs!$C$55</f>
        <v>1</v>
      </c>
      <c r="N8" s="21" t="n">
        <f aca="false">IF(G8&gt;0,1,0)</f>
        <v>1</v>
      </c>
      <c r="O8" s="30" t="n">
        <f aca="false">IF(D8="founding",G8-H8,0)</f>
        <v>0</v>
      </c>
      <c r="P8" s="30" t="n">
        <f aca="false">IF(D8="standard",G8-H8,0)</f>
        <v>3</v>
      </c>
      <c r="Q8" s="19" t="n">
        <f aca="false">O8*(K8*MIN(E8,Inputs!$C$43)+Inputs!$C$45*MAX(E8-Inputs!$C$43,0))+I8*K8*E8</f>
        <v>0</v>
      </c>
      <c r="R8" s="19" t="n">
        <f aca="false">(P8+H8-I8)*(J8*MIN(E8,Inputs!$C$40)+Inputs!$C$45*MAX(E8-Inputs!$C$40,0))</f>
        <v>4500</v>
      </c>
      <c r="S8" s="37" t="n">
        <f aca="false">Q8+R8</f>
        <v>4500</v>
      </c>
      <c r="T8" s="19" t="n">
        <f aca="false">N8*E8*(Inputs!$C$68+Inputs!$C$69*MAX(G8-1,0))</f>
        <v>80</v>
      </c>
      <c r="U8" s="19" t="n">
        <f aca="false">IF(N8=0,0,INDEX(Inputs!$C$105:$C$107,MATCH(C8,Inputs!$B$105:$B$107,0))+INDEX(Inputs!$D$105:$D$107,MATCH(C8,Inputs!$B$105:$B$107,0))*E8)</f>
        <v>300</v>
      </c>
      <c r="V8" s="19" t="n">
        <f aca="false">IF(N8=0,0,INDEX(Inputs!$E$105:$E$107,MATCH(C8,Inputs!$B$105:$B$107,0))*E8)</f>
        <v>0</v>
      </c>
      <c r="W8" s="19" t="n">
        <f aca="false">S8*Inputs!$C$54*M8</f>
        <v>135</v>
      </c>
      <c r="X8" s="19" t="n">
        <f aca="false">N8*L8*Inputs!$C$76/Inputs!$C$85</f>
        <v>75</v>
      </c>
      <c r="Y8" s="19" t="n">
        <f aca="false">N8*Inputs!$C$79/Inputs!$C$85</f>
        <v>30</v>
      </c>
      <c r="Z8" s="19" t="n">
        <f aca="false">N8*Inputs!$C$81/Inputs!$C$85</f>
        <v>50</v>
      </c>
      <c r="AA8" s="37" t="n">
        <f aca="false">SUM(T8:Z8)</f>
        <v>670</v>
      </c>
      <c r="AB8" s="36" t="n">
        <f aca="false">O8*Inputs!$C$89+P8*Inputs!$C$93+H8*Inputs!$C$94</f>
        <v>18</v>
      </c>
      <c r="AC8" s="36" t="n">
        <f aca="false">N8*(F8*Inputs!$C$95+(E8-F8)*Inputs!$C$96)</f>
        <v>25</v>
      </c>
      <c r="AD8" s="36" t="n">
        <f aca="false">IF(N8=0,0,INDEX(Inputs!$F$105:$F$107,MATCH(C8,Inputs!$B$105:$B$107,0))+Inputs!$C$97*G8)</f>
        <v>4</v>
      </c>
      <c r="AE8" s="36" t="n">
        <f aca="false">IF(N8=0,0,INDEX(Inputs!$G$105:$G$107,MATCH(C8,Inputs!$B$105:$B$107,0))*E8)</f>
        <v>8</v>
      </c>
      <c r="AF8" s="36" t="n">
        <f aca="false">IF(N8=0,0,INDEX(Inputs!$H$105:$H$107,MATCH(C8,Inputs!$B$105:$B$107,0))*E8)</f>
        <v>4</v>
      </c>
      <c r="AG8" s="36" t="n">
        <f aca="false">Inputs!$C$98*G8</f>
        <v>6</v>
      </c>
      <c r="AH8" s="36" t="n">
        <f aca="false">N8*Inputs!$C$99</f>
        <v>2</v>
      </c>
      <c r="AI8" s="38" t="n">
        <f aca="false">SUM(AB8:AH8)</f>
        <v>67</v>
      </c>
      <c r="AJ8" s="37" t="n">
        <f aca="false">S8-AA8</f>
        <v>3830</v>
      </c>
      <c r="AK8" s="29" t="n">
        <f aca="false">IF(AI8&gt;0,AJ8/AI8,"n/a")</f>
        <v>57.1641791044776</v>
      </c>
      <c r="AL8" s="19" t="n">
        <f aca="false">T8+U8+V8+W8</f>
        <v>515</v>
      </c>
      <c r="AM8" s="19" t="n">
        <f aca="false">X8+Y8+Z8</f>
        <v>155</v>
      </c>
      <c r="AO8" s="18" t="str">
        <f aca="false">IF(OR(N8=0,AP8=0),"",WORKDAY(B8,-Inputs!$C$49,Lists!$N$4:$N$30)+N(Inputs!$C$53))</f>
        <v/>
      </c>
      <c r="AP8" s="19" t="n">
        <f aca="false">Q8*Inputs!$C$48</f>
        <v>0</v>
      </c>
      <c r="AQ8" s="18" t="n">
        <f aca="false">IF(OR(N8=0,AR8=0),"",WORKDAY(B8,-Inputs!$C$51,Lists!$N$4:$N$30)+N(Inputs!$C$53))</f>
        <v>46413</v>
      </c>
      <c r="AR8" s="19" t="n">
        <f aca="false">R8*Inputs!$C$50</f>
        <v>2250</v>
      </c>
      <c r="AS8" s="18" t="n">
        <f aca="false">IF(OR(N8=0,AT8=0),"",WORKDAY(B8,Inputs!$C$52,Lists!$N$4:$N$30)+N(Inputs!$C$53))</f>
        <v>46428</v>
      </c>
      <c r="AT8" s="19" t="n">
        <f aca="false">Q8*(1-Inputs!$C$48)+R8*(1-Inputs!$C$50)</f>
        <v>2250</v>
      </c>
      <c r="AU8" s="19" t="n">
        <f aca="false">AP8*Inputs!$C$54*M8</f>
        <v>0</v>
      </c>
      <c r="AV8" s="19" t="n">
        <f aca="false">AR8*Inputs!$C$54*M8</f>
        <v>67.5</v>
      </c>
      <c r="AW8" s="19" t="n">
        <f aca="false">AT8*Inputs!$C$54*M8</f>
        <v>67.5</v>
      </c>
      <c r="AX8" s="18" t="n">
        <f aca="false">IF(N8=0,"",WORKDAY(B8,-Inputs!$C$74,Lists!$N$4:$N$30))</f>
        <v>46422</v>
      </c>
      <c r="AY8" s="18" t="n">
        <f aca="false">IF(N8=0,"",B8)</f>
        <v>46427</v>
      </c>
      <c r="AZ8" s="30" t="str">
        <f aca="false">IF(Schedule!N8="Y","Y","N")</f>
        <v>N</v>
      </c>
      <c r="BA8" s="19" t="n">
        <f aca="false">IF(AZ8="Y",Drop_Actuals!D8,S8)</f>
        <v>4500</v>
      </c>
      <c r="BB8" s="19" t="n">
        <f aca="false">IF(AZ8="Y",Drop_Actuals!J8,AA8)</f>
        <v>670</v>
      </c>
      <c r="BC8" s="36" t="n">
        <f aca="false">IF(AZ8="Y",Drop_Actuals!R8,AI8)</f>
        <v>67</v>
      </c>
      <c r="BD8" s="19" t="n">
        <f aca="false">BA8-BB8</f>
        <v>3830</v>
      </c>
      <c r="BE8" s="28" t="n">
        <f aca="false">IF(BC8&gt;0,BD8/BC8,"n/a")</f>
        <v>57.1641791044776</v>
      </c>
      <c r="BF8" s="30" t="str">
        <f aca="false">IF(AND(N8=0,AZ8="N"),"",IF(AZ8="Y","actual","plan"))</f>
        <v>plan</v>
      </c>
      <c r="BG8" s="21" t="n">
        <f aca="false">IF(AND(N8=1,B8&gt;=Inputs!$C$17),1,0)</f>
        <v>0</v>
      </c>
      <c r="BH8" s="19" t="n">
        <f aca="false">IF(AND(AO8&lt;&gt;"",AO8&gt;=Inputs!$C$10,AO8&lt;=Cash_Flow!$AB$6),AP8-AU8,0)+IF(AND(AQ8&lt;&gt;"",AQ8&gt;=Inputs!$C$10,AQ8&lt;=Cash_Flow!$AB$6),AR8-AV8,0)+IF(AND(AS8&lt;&gt;"",AS8&gt;=Inputs!$C$10,AS8&lt;=Cash_Flow!$AB$6),AT8-AW8,0)-IF(AND(AX8&lt;&gt;"",AX8&gt;=Inputs!$C$10,AX8&lt;=Cash_Flow!$AB$6),T8+V8,0)-IF(AND(AY8&lt;&gt;"",AY8&gt;=Inputs!$C$10,AY8&lt;=Cash_Flow!$AB$6),U8,0)</f>
        <v>3985</v>
      </c>
      <c r="BI8" s="19" t="n">
        <f aca="false">IF(AZ8="Y",Drop_Actuals!AM8,BH8)</f>
        <v>3985</v>
      </c>
      <c r="BJ8" s="18" t="str">
        <f aca="false">IF(BG8=1,B8,"")</f>
        <v/>
      </c>
    </row>
    <row r="9" customFormat="false" ht="15" hidden="false" customHeight="false" outlineLevel="0" collapsed="false">
      <c r="A9" s="30" t="str">
        <f aca="false">Schedule!A9</f>
        <v>DRP-003</v>
      </c>
      <c r="B9" s="18" t="n">
        <f aca="false">IF(Schedule!E9="","",Schedule!E9)</f>
        <v>46441</v>
      </c>
      <c r="C9" s="30" t="str">
        <f aca="false">IF(Schedule!G9="","",Schedule!G9)</f>
        <v>courier</v>
      </c>
      <c r="D9" s="30" t="str">
        <f aca="false">IF(Schedule!H9="","",Schedule!H9)</f>
        <v>standard</v>
      </c>
      <c r="E9" s="21" t="n">
        <f aca="false">N(Schedule!I9)</f>
        <v>10</v>
      </c>
      <c r="F9" s="21" t="n">
        <f aca="false">N(Schedule!J9)</f>
        <v>2</v>
      </c>
      <c r="G9" s="30" t="n">
        <f aca="false">N(Schedule!K9)</f>
        <v>3</v>
      </c>
      <c r="H9" s="30" t="n">
        <f aca="false">N(Schedule!L9)</f>
        <v>0</v>
      </c>
      <c r="I9" s="30" t="n">
        <f aca="false">N(Schedule!M9)</f>
        <v>0</v>
      </c>
      <c r="J9" s="19" t="n">
        <f aca="false">IF(AND(B9&lt;&gt;"",B9&gt;Inputs!$C$15),Scenarios!$H$14,Inputs!$C$39)</f>
        <v>150</v>
      </c>
      <c r="K9" s="19" t="n">
        <f aca="false">Inputs!$C$42</f>
        <v>120</v>
      </c>
      <c r="L9" s="21" t="n">
        <f aca="false">IF(AND(Inputs!$C$75="unit",B9&lt;&gt;"",Inputs!$C$77&lt;&gt;"",B9&gt;=Inputs!$C$77,OR(Inputs!$C$78="",B9&lt;=Inputs!$C$78)),1,0)</f>
        <v>1</v>
      </c>
      <c r="M9" s="21" t="n">
        <f aca="false">Inputs!$C$55</f>
        <v>1</v>
      </c>
      <c r="N9" s="21" t="n">
        <f aca="false">IF(G9&gt;0,1,0)</f>
        <v>1</v>
      </c>
      <c r="O9" s="30" t="n">
        <f aca="false">IF(D9="founding",G9-H9,0)</f>
        <v>0</v>
      </c>
      <c r="P9" s="30" t="n">
        <f aca="false">IF(D9="standard",G9-H9,0)</f>
        <v>3</v>
      </c>
      <c r="Q9" s="19" t="n">
        <f aca="false">O9*(K9*MIN(E9,Inputs!$C$43)+Inputs!$C$45*MAX(E9-Inputs!$C$43,0))+I9*K9*E9</f>
        <v>0</v>
      </c>
      <c r="R9" s="19" t="n">
        <f aca="false">(P9+H9-I9)*(J9*MIN(E9,Inputs!$C$40)+Inputs!$C$45*MAX(E9-Inputs!$C$40,0))</f>
        <v>4500</v>
      </c>
      <c r="S9" s="37" t="n">
        <f aca="false">Q9+R9</f>
        <v>4500</v>
      </c>
      <c r="T9" s="19" t="n">
        <f aca="false">N9*E9*(Inputs!$C$68+Inputs!$C$69*MAX(G9-1,0))</f>
        <v>80</v>
      </c>
      <c r="U9" s="19" t="n">
        <f aca="false">IF(N9=0,0,INDEX(Inputs!$C$105:$C$107,MATCH(C9,Inputs!$B$105:$B$107,0))+INDEX(Inputs!$D$105:$D$107,MATCH(C9,Inputs!$B$105:$B$107,0))*E9)</f>
        <v>300</v>
      </c>
      <c r="V9" s="19" t="n">
        <f aca="false">IF(N9=0,0,INDEX(Inputs!$E$105:$E$107,MATCH(C9,Inputs!$B$105:$B$107,0))*E9)</f>
        <v>0</v>
      </c>
      <c r="W9" s="19" t="n">
        <f aca="false">S9*Inputs!$C$54*M9</f>
        <v>135</v>
      </c>
      <c r="X9" s="19" t="n">
        <f aca="false">N9*L9*Inputs!$C$76/Inputs!$C$85</f>
        <v>75</v>
      </c>
      <c r="Y9" s="19" t="n">
        <f aca="false">N9*Inputs!$C$79/Inputs!$C$85</f>
        <v>30</v>
      </c>
      <c r="Z9" s="19" t="n">
        <f aca="false">N9*Inputs!$C$81/Inputs!$C$85</f>
        <v>50</v>
      </c>
      <c r="AA9" s="37" t="n">
        <f aca="false">SUM(T9:Z9)</f>
        <v>670</v>
      </c>
      <c r="AB9" s="36" t="n">
        <f aca="false">O9*Inputs!$C$89+P9*Inputs!$C$93+H9*Inputs!$C$94</f>
        <v>18</v>
      </c>
      <c r="AC9" s="36" t="n">
        <f aca="false">N9*(F9*Inputs!$C$95+(E9-F9)*Inputs!$C$96)</f>
        <v>16</v>
      </c>
      <c r="AD9" s="36" t="n">
        <f aca="false">IF(N9=0,0,INDEX(Inputs!$F$105:$F$107,MATCH(C9,Inputs!$B$105:$B$107,0))+Inputs!$C$97*G9)</f>
        <v>4</v>
      </c>
      <c r="AE9" s="36" t="n">
        <f aca="false">IF(N9=0,0,INDEX(Inputs!$G$105:$G$107,MATCH(C9,Inputs!$B$105:$B$107,0))*E9)</f>
        <v>8</v>
      </c>
      <c r="AF9" s="36" t="n">
        <f aca="false">IF(N9=0,0,INDEX(Inputs!$H$105:$H$107,MATCH(C9,Inputs!$B$105:$B$107,0))*E9)</f>
        <v>4</v>
      </c>
      <c r="AG9" s="36" t="n">
        <f aca="false">Inputs!$C$98*G9</f>
        <v>6</v>
      </c>
      <c r="AH9" s="36" t="n">
        <f aca="false">N9*Inputs!$C$99</f>
        <v>2</v>
      </c>
      <c r="AI9" s="38" t="n">
        <f aca="false">SUM(AB9:AH9)</f>
        <v>58</v>
      </c>
      <c r="AJ9" s="37" t="n">
        <f aca="false">S9-AA9</f>
        <v>3830</v>
      </c>
      <c r="AK9" s="29" t="n">
        <f aca="false">IF(AI9&gt;0,AJ9/AI9,"n/a")</f>
        <v>66.0344827586207</v>
      </c>
      <c r="AL9" s="19" t="n">
        <f aca="false">T9+U9+V9+W9</f>
        <v>515</v>
      </c>
      <c r="AM9" s="19" t="n">
        <f aca="false">X9+Y9+Z9</f>
        <v>155</v>
      </c>
      <c r="AO9" s="18" t="str">
        <f aca="false">IF(OR(N9=0,AP9=0),"",WORKDAY(B9,-Inputs!$C$49,Lists!$N$4:$N$30)+N(Inputs!$C$53))</f>
        <v/>
      </c>
      <c r="AP9" s="19" t="n">
        <f aca="false">Q9*Inputs!$C$48</f>
        <v>0</v>
      </c>
      <c r="AQ9" s="18" t="n">
        <f aca="false">IF(OR(N9=0,AR9=0),"",WORKDAY(B9,-Inputs!$C$51,Lists!$N$4:$N$30)+N(Inputs!$C$53))</f>
        <v>46426</v>
      </c>
      <c r="AR9" s="19" t="n">
        <f aca="false">R9*Inputs!$C$50</f>
        <v>2250</v>
      </c>
      <c r="AS9" s="18" t="n">
        <f aca="false">IF(OR(N9=0,AT9=0),"",WORKDAY(B9,Inputs!$C$52,Lists!$N$4:$N$30)+N(Inputs!$C$53))</f>
        <v>46442</v>
      </c>
      <c r="AT9" s="19" t="n">
        <f aca="false">Q9*(1-Inputs!$C$48)+R9*(1-Inputs!$C$50)</f>
        <v>2250</v>
      </c>
      <c r="AU9" s="19" t="n">
        <f aca="false">AP9*Inputs!$C$54*M9</f>
        <v>0</v>
      </c>
      <c r="AV9" s="19" t="n">
        <f aca="false">AR9*Inputs!$C$54*M9</f>
        <v>67.5</v>
      </c>
      <c r="AW9" s="19" t="n">
        <f aca="false">AT9*Inputs!$C$54*M9</f>
        <v>67.5</v>
      </c>
      <c r="AX9" s="18" t="n">
        <f aca="false">IF(N9=0,"",WORKDAY(B9,-Inputs!$C$74,Lists!$N$4:$N$30))</f>
        <v>46436</v>
      </c>
      <c r="AY9" s="18" t="n">
        <f aca="false">IF(N9=0,"",B9)</f>
        <v>46441</v>
      </c>
      <c r="AZ9" s="30" t="str">
        <f aca="false">IF(Schedule!N9="Y","Y","N")</f>
        <v>N</v>
      </c>
      <c r="BA9" s="19" t="n">
        <f aca="false">IF(AZ9="Y",Drop_Actuals!D9,S9)</f>
        <v>4500</v>
      </c>
      <c r="BB9" s="19" t="n">
        <f aca="false">IF(AZ9="Y",Drop_Actuals!J9,AA9)</f>
        <v>670</v>
      </c>
      <c r="BC9" s="36" t="n">
        <f aca="false">IF(AZ9="Y",Drop_Actuals!R9,AI9)</f>
        <v>58</v>
      </c>
      <c r="BD9" s="19" t="n">
        <f aca="false">BA9-BB9</f>
        <v>3830</v>
      </c>
      <c r="BE9" s="28" t="n">
        <f aca="false">IF(BC9&gt;0,BD9/BC9,"n/a")</f>
        <v>66.0344827586207</v>
      </c>
      <c r="BF9" s="30" t="str">
        <f aca="false">IF(AND(N9=0,AZ9="N"),"",IF(AZ9="Y","actual","plan"))</f>
        <v>plan</v>
      </c>
      <c r="BG9" s="21" t="n">
        <f aca="false">IF(AND(N9=1,B9&gt;=Inputs!$C$17),1,0)</f>
        <v>0</v>
      </c>
      <c r="BH9" s="19" t="n">
        <f aca="false">IF(AND(AO9&lt;&gt;"",AO9&gt;=Inputs!$C$10,AO9&lt;=Cash_Flow!$AB$6),AP9-AU9,0)+IF(AND(AQ9&lt;&gt;"",AQ9&gt;=Inputs!$C$10,AQ9&lt;=Cash_Flow!$AB$6),AR9-AV9,0)+IF(AND(AS9&lt;&gt;"",AS9&gt;=Inputs!$C$10,AS9&lt;=Cash_Flow!$AB$6),AT9-AW9,0)-IF(AND(AX9&lt;&gt;"",AX9&gt;=Inputs!$C$10,AX9&lt;=Cash_Flow!$AB$6),T9+V9,0)-IF(AND(AY9&lt;&gt;"",AY9&gt;=Inputs!$C$10,AY9&lt;=Cash_Flow!$AB$6),U9,0)</f>
        <v>3985</v>
      </c>
      <c r="BI9" s="19" t="n">
        <f aca="false">IF(AZ9="Y",Drop_Actuals!AM9,BH9)</f>
        <v>3985</v>
      </c>
      <c r="BJ9" s="18" t="str">
        <f aca="false">IF(BG9=1,B9,"")</f>
        <v/>
      </c>
    </row>
    <row r="10" customFormat="false" ht="15" hidden="false" customHeight="false" outlineLevel="0" collapsed="false">
      <c r="A10" s="30" t="str">
        <f aca="false">Schedule!A10</f>
        <v>DRP-004</v>
      </c>
      <c r="B10" s="18" t="n">
        <f aca="false">IF(Schedule!E10="","",Schedule!E10)</f>
        <v>46469</v>
      </c>
      <c r="C10" s="30" t="str">
        <f aca="false">IF(Schedule!G10="","",Schedule!G10)</f>
        <v>direct-ship</v>
      </c>
      <c r="D10" s="30" t="str">
        <f aca="false">IF(Schedule!H10="","",Schedule!H10)</f>
        <v>standard</v>
      </c>
      <c r="E10" s="21" t="n">
        <f aca="false">N(Schedule!I10)</f>
        <v>10</v>
      </c>
      <c r="F10" s="21" t="n">
        <f aca="false">N(Schedule!J10)</f>
        <v>0</v>
      </c>
      <c r="G10" s="30" t="n">
        <f aca="false">N(Schedule!K10)</f>
        <v>3</v>
      </c>
      <c r="H10" s="30" t="n">
        <f aca="false">N(Schedule!L10)</f>
        <v>1</v>
      </c>
      <c r="I10" s="30" t="n">
        <f aca="false">N(Schedule!M10)</f>
        <v>0</v>
      </c>
      <c r="J10" s="19" t="n">
        <f aca="false">IF(AND(B10&lt;&gt;"",B10&gt;Inputs!$C$15),Scenarios!$H$14,Inputs!$C$39)</f>
        <v>150</v>
      </c>
      <c r="K10" s="19" t="n">
        <f aca="false">Inputs!$C$42</f>
        <v>120</v>
      </c>
      <c r="L10" s="21" t="n">
        <f aca="false">IF(AND(Inputs!$C$75="unit",B10&lt;&gt;"",Inputs!$C$77&lt;&gt;"",B10&gt;=Inputs!$C$77,OR(Inputs!$C$78="",B10&lt;=Inputs!$C$78)),1,0)</f>
        <v>1</v>
      </c>
      <c r="M10" s="21" t="n">
        <f aca="false">Inputs!$C$55</f>
        <v>1</v>
      </c>
      <c r="N10" s="21" t="n">
        <f aca="false">IF(G10&gt;0,1,0)</f>
        <v>1</v>
      </c>
      <c r="O10" s="30" t="n">
        <f aca="false">IF(D10="founding",G10-H10,0)</f>
        <v>0</v>
      </c>
      <c r="P10" s="30" t="n">
        <f aca="false">IF(D10="standard",G10-H10,0)</f>
        <v>2</v>
      </c>
      <c r="Q10" s="19" t="n">
        <f aca="false">O10*(K10*MIN(E10,Inputs!$C$43)+Inputs!$C$45*MAX(E10-Inputs!$C$43,0))+I10*K10*E10</f>
        <v>0</v>
      </c>
      <c r="R10" s="19" t="n">
        <f aca="false">(P10+H10-I10)*(J10*MIN(E10,Inputs!$C$40)+Inputs!$C$45*MAX(E10-Inputs!$C$40,0))</f>
        <v>4500</v>
      </c>
      <c r="S10" s="37" t="n">
        <f aca="false">Q10+R10</f>
        <v>4500</v>
      </c>
      <c r="T10" s="19" t="n">
        <f aca="false">N10*E10*(Inputs!$C$68+Inputs!$C$69*MAX(G10-1,0))</f>
        <v>80</v>
      </c>
      <c r="U10" s="19" t="n">
        <f aca="false">IF(N10=0,0,INDEX(Inputs!$C$105:$C$107,MATCH(C10,Inputs!$B$105:$B$107,0))+INDEX(Inputs!$D$105:$D$107,MATCH(C10,Inputs!$B$105:$B$107,0))*E10)</f>
        <v>0</v>
      </c>
      <c r="V10" s="19" t="n">
        <f aca="false">IF(N10=0,0,INDEX(Inputs!$E$105:$E$107,MATCH(C10,Inputs!$B$105:$B$107,0))*E10)</f>
        <v>0</v>
      </c>
      <c r="W10" s="19" t="n">
        <f aca="false">S10*Inputs!$C$54*M10</f>
        <v>135</v>
      </c>
      <c r="X10" s="19" t="n">
        <f aca="false">N10*L10*Inputs!$C$76/Inputs!$C$85</f>
        <v>75</v>
      </c>
      <c r="Y10" s="19" t="n">
        <f aca="false">N10*Inputs!$C$79/Inputs!$C$85</f>
        <v>30</v>
      </c>
      <c r="Z10" s="19" t="n">
        <f aca="false">N10*Inputs!$C$81/Inputs!$C$85</f>
        <v>50</v>
      </c>
      <c r="AA10" s="37" t="n">
        <f aca="false">SUM(T10:Z10)</f>
        <v>370</v>
      </c>
      <c r="AB10" s="36" t="n">
        <f aca="false">O10*Inputs!$C$89+P10*Inputs!$C$93+H10*Inputs!$C$94</f>
        <v>14</v>
      </c>
      <c r="AC10" s="36" t="n">
        <f aca="false">N10*(F10*Inputs!$C$95+(E10-F10)*Inputs!$C$96)</f>
        <v>10</v>
      </c>
      <c r="AD10" s="36" t="n">
        <f aca="false">IF(N10=0,0,INDEX(Inputs!$F$105:$F$107,MATCH(C10,Inputs!$B$105:$B$107,0))+Inputs!$C$97*G10)</f>
        <v>2</v>
      </c>
      <c r="AE10" s="36" t="n">
        <f aca="false">IF(N10=0,0,INDEX(Inputs!$G$105:$G$107,MATCH(C10,Inputs!$B$105:$B$107,0))*E10)</f>
        <v>3</v>
      </c>
      <c r="AF10" s="36" t="n">
        <f aca="false">IF(N10=0,0,INDEX(Inputs!$H$105:$H$107,MATCH(C10,Inputs!$B$105:$B$107,0))*E10)</f>
        <v>4</v>
      </c>
      <c r="AG10" s="36" t="n">
        <f aca="false">Inputs!$C$98*G10</f>
        <v>6</v>
      </c>
      <c r="AH10" s="36" t="n">
        <f aca="false">N10*Inputs!$C$99</f>
        <v>2</v>
      </c>
      <c r="AI10" s="38" t="n">
        <f aca="false">SUM(AB10:AH10)</f>
        <v>41</v>
      </c>
      <c r="AJ10" s="37" t="n">
        <f aca="false">S10-AA10</f>
        <v>4130</v>
      </c>
      <c r="AK10" s="29" t="n">
        <f aca="false">IF(AI10&gt;0,AJ10/AI10,"n/a")</f>
        <v>100.731707317073</v>
      </c>
      <c r="AL10" s="19" t="n">
        <f aca="false">T10+U10+V10+W10</f>
        <v>215</v>
      </c>
      <c r="AM10" s="19" t="n">
        <f aca="false">X10+Y10+Z10</f>
        <v>155</v>
      </c>
      <c r="AO10" s="18" t="str">
        <f aca="false">IF(OR(N10=0,AP10=0),"",WORKDAY(B10,-Inputs!$C$49,Lists!$N$4:$N$30)+N(Inputs!$C$53))</f>
        <v/>
      </c>
      <c r="AP10" s="19" t="n">
        <f aca="false">Q10*Inputs!$C$48</f>
        <v>0</v>
      </c>
      <c r="AQ10" s="18" t="n">
        <f aca="false">IF(OR(N10=0,AR10=0),"",WORKDAY(B10,-Inputs!$C$51,Lists!$N$4:$N$30)+N(Inputs!$C$53))</f>
        <v>46455</v>
      </c>
      <c r="AR10" s="19" t="n">
        <f aca="false">R10*Inputs!$C$50</f>
        <v>2250</v>
      </c>
      <c r="AS10" s="18" t="n">
        <f aca="false">IF(OR(N10=0,AT10=0),"",WORKDAY(B10,Inputs!$C$52,Lists!$N$4:$N$30)+N(Inputs!$C$53))</f>
        <v>46470</v>
      </c>
      <c r="AT10" s="19" t="n">
        <f aca="false">Q10*(1-Inputs!$C$48)+R10*(1-Inputs!$C$50)</f>
        <v>2250</v>
      </c>
      <c r="AU10" s="19" t="n">
        <f aca="false">AP10*Inputs!$C$54*M10</f>
        <v>0</v>
      </c>
      <c r="AV10" s="19" t="n">
        <f aca="false">AR10*Inputs!$C$54*M10</f>
        <v>67.5</v>
      </c>
      <c r="AW10" s="19" t="n">
        <f aca="false">AT10*Inputs!$C$54*M10</f>
        <v>67.5</v>
      </c>
      <c r="AX10" s="18" t="n">
        <f aca="false">IF(N10=0,"",WORKDAY(B10,-Inputs!$C$74,Lists!$N$4:$N$30))</f>
        <v>46464</v>
      </c>
      <c r="AY10" s="18" t="n">
        <f aca="false">IF(N10=0,"",B10)</f>
        <v>46469</v>
      </c>
      <c r="AZ10" s="30" t="str">
        <f aca="false">IF(Schedule!N10="Y","Y","N")</f>
        <v>N</v>
      </c>
      <c r="BA10" s="19" t="n">
        <f aca="false">IF(AZ10="Y",Drop_Actuals!D10,S10)</f>
        <v>4500</v>
      </c>
      <c r="BB10" s="19" t="n">
        <f aca="false">IF(AZ10="Y",Drop_Actuals!J10,AA10)</f>
        <v>370</v>
      </c>
      <c r="BC10" s="36" t="n">
        <f aca="false">IF(AZ10="Y",Drop_Actuals!R10,AI10)</f>
        <v>41</v>
      </c>
      <c r="BD10" s="19" t="n">
        <f aca="false">BA10-BB10</f>
        <v>4130</v>
      </c>
      <c r="BE10" s="28" t="n">
        <f aca="false">IF(BC10&gt;0,BD10/BC10,"n/a")</f>
        <v>100.731707317073</v>
      </c>
      <c r="BF10" s="30" t="str">
        <f aca="false">IF(AND(N10=0,AZ10="N"),"",IF(AZ10="Y","actual","plan"))</f>
        <v>plan</v>
      </c>
      <c r="BG10" s="21" t="n">
        <f aca="false">IF(AND(N10=1,B10&gt;=Inputs!$C$17),1,0)</f>
        <v>0</v>
      </c>
      <c r="BH10" s="19" t="n">
        <f aca="false">IF(AND(AO10&lt;&gt;"",AO10&gt;=Inputs!$C$10,AO10&lt;=Cash_Flow!$AB$6),AP10-AU10,0)+IF(AND(AQ10&lt;&gt;"",AQ10&gt;=Inputs!$C$10,AQ10&lt;=Cash_Flow!$AB$6),AR10-AV10,0)+IF(AND(AS10&lt;&gt;"",AS10&gt;=Inputs!$C$10,AS10&lt;=Cash_Flow!$AB$6),AT10-AW10,0)-IF(AND(AX10&lt;&gt;"",AX10&gt;=Inputs!$C$10,AX10&lt;=Cash_Flow!$AB$6),T10+V10,0)-IF(AND(AY10&lt;&gt;"",AY10&gt;=Inputs!$C$10,AY10&lt;=Cash_Flow!$AB$6),U10,0)</f>
        <v>4285</v>
      </c>
      <c r="BI10" s="19" t="n">
        <f aca="false">IF(AZ10="Y",Drop_Actuals!AM10,BH10)</f>
        <v>4285</v>
      </c>
      <c r="BJ10" s="18" t="str">
        <f aca="false">IF(BG10=1,B10,"")</f>
        <v/>
      </c>
    </row>
    <row r="11" customFormat="false" ht="15" hidden="false" customHeight="false" outlineLevel="0" collapsed="false">
      <c r="A11" s="30" t="str">
        <f aca="false">Schedule!A11</f>
        <v>DRP-005</v>
      </c>
      <c r="B11" s="18" t="n">
        <f aca="false">IF(Schedule!E11="","",Schedule!E11)</f>
        <v>46483</v>
      </c>
      <c r="C11" s="30" t="str">
        <f aca="false">IF(Schedule!G11="","",Schedule!G11)</f>
        <v>direct-ship</v>
      </c>
      <c r="D11" s="30" t="str">
        <f aca="false">IF(Schedule!H11="","",Schedule!H11)</f>
        <v>standard</v>
      </c>
      <c r="E11" s="21" t="n">
        <f aca="false">N(Schedule!I11)</f>
        <v>10</v>
      </c>
      <c r="F11" s="21" t="n">
        <f aca="false">N(Schedule!J11)</f>
        <v>0</v>
      </c>
      <c r="G11" s="30" t="n">
        <f aca="false">N(Schedule!K11)</f>
        <v>3</v>
      </c>
      <c r="H11" s="30" t="n">
        <f aca="false">N(Schedule!L11)</f>
        <v>1</v>
      </c>
      <c r="I11" s="30" t="n">
        <f aca="false">N(Schedule!M11)</f>
        <v>0</v>
      </c>
      <c r="J11" s="19" t="n">
        <f aca="false">IF(AND(B11&lt;&gt;"",B11&gt;Inputs!$C$15),Scenarios!$H$14,Inputs!$C$39)</f>
        <v>150</v>
      </c>
      <c r="K11" s="19" t="n">
        <f aca="false">Inputs!$C$42</f>
        <v>120</v>
      </c>
      <c r="L11" s="21" t="n">
        <f aca="false">IF(AND(Inputs!$C$75="unit",B11&lt;&gt;"",Inputs!$C$77&lt;&gt;"",B11&gt;=Inputs!$C$77,OR(Inputs!$C$78="",B11&lt;=Inputs!$C$78)),1,0)</f>
        <v>1</v>
      </c>
      <c r="M11" s="21" t="n">
        <f aca="false">Inputs!$C$55</f>
        <v>1</v>
      </c>
      <c r="N11" s="21" t="n">
        <f aca="false">IF(G11&gt;0,1,0)</f>
        <v>1</v>
      </c>
      <c r="O11" s="30" t="n">
        <f aca="false">IF(D11="founding",G11-H11,0)</f>
        <v>0</v>
      </c>
      <c r="P11" s="30" t="n">
        <f aca="false">IF(D11="standard",G11-H11,0)</f>
        <v>2</v>
      </c>
      <c r="Q11" s="19" t="n">
        <f aca="false">O11*(K11*MIN(E11,Inputs!$C$43)+Inputs!$C$45*MAX(E11-Inputs!$C$43,0))+I11*K11*E11</f>
        <v>0</v>
      </c>
      <c r="R11" s="19" t="n">
        <f aca="false">(P11+H11-I11)*(J11*MIN(E11,Inputs!$C$40)+Inputs!$C$45*MAX(E11-Inputs!$C$40,0))</f>
        <v>4500</v>
      </c>
      <c r="S11" s="37" t="n">
        <f aca="false">Q11+R11</f>
        <v>4500</v>
      </c>
      <c r="T11" s="19" t="n">
        <f aca="false">N11*E11*(Inputs!$C$68+Inputs!$C$69*MAX(G11-1,0))</f>
        <v>80</v>
      </c>
      <c r="U11" s="19" t="n">
        <f aca="false">IF(N11=0,0,INDEX(Inputs!$C$105:$C$107,MATCH(C11,Inputs!$B$105:$B$107,0))+INDEX(Inputs!$D$105:$D$107,MATCH(C11,Inputs!$B$105:$B$107,0))*E11)</f>
        <v>0</v>
      </c>
      <c r="V11" s="19" t="n">
        <f aca="false">IF(N11=0,0,INDEX(Inputs!$E$105:$E$107,MATCH(C11,Inputs!$B$105:$B$107,0))*E11)</f>
        <v>0</v>
      </c>
      <c r="W11" s="19" t="n">
        <f aca="false">S11*Inputs!$C$54*M11</f>
        <v>135</v>
      </c>
      <c r="X11" s="19" t="n">
        <f aca="false">N11*L11*Inputs!$C$76/Inputs!$C$85</f>
        <v>75</v>
      </c>
      <c r="Y11" s="19" t="n">
        <f aca="false">N11*Inputs!$C$79/Inputs!$C$85</f>
        <v>30</v>
      </c>
      <c r="Z11" s="19" t="n">
        <f aca="false">N11*Inputs!$C$81/Inputs!$C$85</f>
        <v>50</v>
      </c>
      <c r="AA11" s="37" t="n">
        <f aca="false">SUM(T11:Z11)</f>
        <v>370</v>
      </c>
      <c r="AB11" s="36" t="n">
        <f aca="false">O11*Inputs!$C$89+P11*Inputs!$C$93+H11*Inputs!$C$94</f>
        <v>14</v>
      </c>
      <c r="AC11" s="36" t="n">
        <f aca="false">N11*(F11*Inputs!$C$95+(E11-F11)*Inputs!$C$96)</f>
        <v>10</v>
      </c>
      <c r="AD11" s="36" t="n">
        <f aca="false">IF(N11=0,0,INDEX(Inputs!$F$105:$F$107,MATCH(C11,Inputs!$B$105:$B$107,0))+Inputs!$C$97*G11)</f>
        <v>2</v>
      </c>
      <c r="AE11" s="36" t="n">
        <f aca="false">IF(N11=0,0,INDEX(Inputs!$G$105:$G$107,MATCH(C11,Inputs!$B$105:$B$107,0))*E11)</f>
        <v>3</v>
      </c>
      <c r="AF11" s="36" t="n">
        <f aca="false">IF(N11=0,0,INDEX(Inputs!$H$105:$H$107,MATCH(C11,Inputs!$B$105:$B$107,0))*E11)</f>
        <v>4</v>
      </c>
      <c r="AG11" s="36" t="n">
        <f aca="false">Inputs!$C$98*G11</f>
        <v>6</v>
      </c>
      <c r="AH11" s="36" t="n">
        <f aca="false">N11*Inputs!$C$99</f>
        <v>2</v>
      </c>
      <c r="AI11" s="38" t="n">
        <f aca="false">SUM(AB11:AH11)</f>
        <v>41</v>
      </c>
      <c r="AJ11" s="37" t="n">
        <f aca="false">S11-AA11</f>
        <v>4130</v>
      </c>
      <c r="AK11" s="29" t="n">
        <f aca="false">IF(AI11&gt;0,AJ11/AI11,"n/a")</f>
        <v>100.731707317073</v>
      </c>
      <c r="AL11" s="19" t="n">
        <f aca="false">T11+U11+V11+W11</f>
        <v>215</v>
      </c>
      <c r="AM11" s="19" t="n">
        <f aca="false">X11+Y11+Z11</f>
        <v>155</v>
      </c>
      <c r="AO11" s="18" t="str">
        <f aca="false">IF(OR(N11=0,AP11=0),"",WORKDAY(B11,-Inputs!$C$49,Lists!$N$4:$N$30)+N(Inputs!$C$53))</f>
        <v/>
      </c>
      <c r="AP11" s="19" t="n">
        <f aca="false">Q11*Inputs!$C$48</f>
        <v>0</v>
      </c>
      <c r="AQ11" s="18" t="n">
        <f aca="false">IF(OR(N11=0,AR11=0),"",WORKDAY(B11,-Inputs!$C$51,Lists!$N$4:$N$30)+N(Inputs!$C$53))</f>
        <v>46469</v>
      </c>
      <c r="AR11" s="19" t="n">
        <f aca="false">R11*Inputs!$C$50</f>
        <v>2250</v>
      </c>
      <c r="AS11" s="18" t="n">
        <f aca="false">IF(OR(N11=0,AT11=0),"",WORKDAY(B11,Inputs!$C$52,Lists!$N$4:$N$30)+N(Inputs!$C$53))</f>
        <v>46484</v>
      </c>
      <c r="AT11" s="19" t="n">
        <f aca="false">Q11*(1-Inputs!$C$48)+R11*(1-Inputs!$C$50)</f>
        <v>2250</v>
      </c>
      <c r="AU11" s="19" t="n">
        <f aca="false">AP11*Inputs!$C$54*M11</f>
        <v>0</v>
      </c>
      <c r="AV11" s="19" t="n">
        <f aca="false">AR11*Inputs!$C$54*M11</f>
        <v>67.5</v>
      </c>
      <c r="AW11" s="19" t="n">
        <f aca="false">AT11*Inputs!$C$54*M11</f>
        <v>67.5</v>
      </c>
      <c r="AX11" s="18" t="n">
        <f aca="false">IF(N11=0,"",WORKDAY(B11,-Inputs!$C$74,Lists!$N$4:$N$30))</f>
        <v>46478</v>
      </c>
      <c r="AY11" s="18" t="n">
        <f aca="false">IF(N11=0,"",B11)</f>
        <v>46483</v>
      </c>
      <c r="AZ11" s="30" t="str">
        <f aca="false">IF(Schedule!N11="Y","Y","N")</f>
        <v>N</v>
      </c>
      <c r="BA11" s="19" t="n">
        <f aca="false">IF(AZ11="Y",Drop_Actuals!D11,S11)</f>
        <v>4500</v>
      </c>
      <c r="BB11" s="19" t="n">
        <f aca="false">IF(AZ11="Y",Drop_Actuals!J11,AA11)</f>
        <v>370</v>
      </c>
      <c r="BC11" s="36" t="n">
        <f aca="false">IF(AZ11="Y",Drop_Actuals!R11,AI11)</f>
        <v>41</v>
      </c>
      <c r="BD11" s="19" t="n">
        <f aca="false">BA11-BB11</f>
        <v>4130</v>
      </c>
      <c r="BE11" s="28" t="n">
        <f aca="false">IF(BC11&gt;0,BD11/BC11,"n/a")</f>
        <v>100.731707317073</v>
      </c>
      <c r="BF11" s="30" t="str">
        <f aca="false">IF(AND(N11=0,AZ11="N"),"",IF(AZ11="Y","actual","plan"))</f>
        <v>plan</v>
      </c>
      <c r="BG11" s="21" t="n">
        <f aca="false">IF(AND(N11=1,B11&gt;=Inputs!$C$17),1,0)</f>
        <v>0</v>
      </c>
      <c r="BH11" s="19" t="n">
        <f aca="false">IF(AND(AO11&lt;&gt;"",AO11&gt;=Inputs!$C$10,AO11&lt;=Cash_Flow!$AB$6),AP11-AU11,0)+IF(AND(AQ11&lt;&gt;"",AQ11&gt;=Inputs!$C$10,AQ11&lt;=Cash_Flow!$AB$6),AR11-AV11,0)+IF(AND(AS11&lt;&gt;"",AS11&gt;=Inputs!$C$10,AS11&lt;=Cash_Flow!$AB$6),AT11-AW11,0)-IF(AND(AX11&lt;&gt;"",AX11&gt;=Inputs!$C$10,AX11&lt;=Cash_Flow!$AB$6),T11+V11,0)-IF(AND(AY11&lt;&gt;"",AY11&gt;=Inputs!$C$10,AY11&lt;=Cash_Flow!$AB$6),U11,0)</f>
        <v>4285</v>
      </c>
      <c r="BI11" s="19" t="n">
        <f aca="false">IF(AZ11="Y",Drop_Actuals!AM11,BH11)</f>
        <v>4285</v>
      </c>
      <c r="BJ11" s="18" t="str">
        <f aca="false">IF(BG11=1,B11,"")</f>
        <v/>
      </c>
    </row>
    <row r="12" customFormat="false" ht="15" hidden="false" customHeight="false" outlineLevel="0" collapsed="false">
      <c r="A12" s="30" t="str">
        <f aca="false">Schedule!A12</f>
        <v>DRP-006</v>
      </c>
      <c r="B12" s="18" t="str">
        <f aca="false">IF(Schedule!E12="","",Schedule!E12)</f>
        <v/>
      </c>
      <c r="C12" s="30" t="str">
        <f aca="false">IF(Schedule!G12="","",Schedule!G12)</f>
        <v/>
      </c>
      <c r="D12" s="30" t="str">
        <f aca="false">IF(Schedule!H12="","",Schedule!H12)</f>
        <v/>
      </c>
      <c r="E12" s="21" t="n">
        <f aca="false">N(Schedule!I12)</f>
        <v>0</v>
      </c>
      <c r="F12" s="21" t="n">
        <f aca="false">N(Schedule!J12)</f>
        <v>0</v>
      </c>
      <c r="G12" s="30" t="n">
        <f aca="false">N(Schedule!K12)</f>
        <v>0</v>
      </c>
      <c r="H12" s="30" t="n">
        <f aca="false">N(Schedule!L12)</f>
        <v>0</v>
      </c>
      <c r="I12" s="30" t="n">
        <f aca="false">N(Schedule!M12)</f>
        <v>0</v>
      </c>
      <c r="J12" s="19" t="n">
        <f aca="false">IF(AND(B12&lt;&gt;"",B12&gt;Inputs!$C$15),Scenarios!$H$14,Inputs!$C$39)</f>
        <v>150</v>
      </c>
      <c r="K12" s="19" t="n">
        <f aca="false">Inputs!$C$42</f>
        <v>120</v>
      </c>
      <c r="L12" s="21" t="n">
        <f aca="false">IF(AND(Inputs!$C$75="unit",B12&lt;&gt;"",Inputs!$C$77&lt;&gt;"",B12&gt;=Inputs!$C$77,OR(Inputs!$C$78="",B12&lt;=Inputs!$C$78)),1,0)</f>
        <v>0</v>
      </c>
      <c r="M12" s="21" t="n">
        <f aca="false">Inputs!$C$55</f>
        <v>1</v>
      </c>
      <c r="N12" s="21" t="n">
        <f aca="false">IF(G12&gt;0,1,0)</f>
        <v>0</v>
      </c>
      <c r="O12" s="30" t="n">
        <f aca="false">IF(D12="founding",G12-H12,0)</f>
        <v>0</v>
      </c>
      <c r="P12" s="30" t="n">
        <f aca="false">IF(D12="standard",G12-H12,0)</f>
        <v>0</v>
      </c>
      <c r="Q12" s="19" t="n">
        <f aca="false">O12*(K12*MIN(E12,Inputs!$C$43)+Inputs!$C$45*MAX(E12-Inputs!$C$43,0))+I12*K12*E12</f>
        <v>0</v>
      </c>
      <c r="R12" s="19" t="n">
        <f aca="false">(P12+H12-I12)*(J12*MIN(E12,Inputs!$C$40)+Inputs!$C$45*MAX(E12-Inputs!$C$40,0))</f>
        <v>0</v>
      </c>
      <c r="S12" s="37" t="n">
        <f aca="false">Q12+R12</f>
        <v>0</v>
      </c>
      <c r="T12" s="19" t="n">
        <f aca="false">N12*E12*(Inputs!$C$68+Inputs!$C$69*MAX(G12-1,0))</f>
        <v>0</v>
      </c>
      <c r="U12" s="19" t="n">
        <f aca="false">IF(N12=0,0,INDEX(Inputs!$C$105:$C$107,MATCH(C12,Inputs!$B$105:$B$107,0))+INDEX(Inputs!$D$105:$D$107,MATCH(C12,Inputs!$B$105:$B$107,0))*E12)</f>
        <v>0</v>
      </c>
      <c r="V12" s="19" t="n">
        <f aca="false">IF(N12=0,0,INDEX(Inputs!$E$105:$E$107,MATCH(C12,Inputs!$B$105:$B$107,0))*E12)</f>
        <v>0</v>
      </c>
      <c r="W12" s="19" t="n">
        <f aca="false">S12*Inputs!$C$54*M12</f>
        <v>0</v>
      </c>
      <c r="X12" s="19" t="n">
        <f aca="false">N12*L12*Inputs!$C$76/Inputs!$C$85</f>
        <v>0</v>
      </c>
      <c r="Y12" s="19" t="n">
        <f aca="false">N12*Inputs!$C$79/Inputs!$C$85</f>
        <v>0</v>
      </c>
      <c r="Z12" s="19" t="n">
        <f aca="false">N12*Inputs!$C$81/Inputs!$C$85</f>
        <v>0</v>
      </c>
      <c r="AA12" s="37" t="n">
        <f aca="false">SUM(T12:Z12)</f>
        <v>0</v>
      </c>
      <c r="AB12" s="36" t="n">
        <f aca="false">O12*Inputs!$C$89+P12*Inputs!$C$93+H12*Inputs!$C$94</f>
        <v>0</v>
      </c>
      <c r="AC12" s="36" t="n">
        <f aca="false">N12*(F12*Inputs!$C$95+(E12-F12)*Inputs!$C$96)</f>
        <v>0</v>
      </c>
      <c r="AD12" s="36" t="n">
        <f aca="false">IF(N12=0,0,INDEX(Inputs!$F$105:$F$107,MATCH(C12,Inputs!$B$105:$B$107,0))+Inputs!$C$97*G12)</f>
        <v>0</v>
      </c>
      <c r="AE12" s="36" t="n">
        <f aca="false">IF(N12=0,0,INDEX(Inputs!$G$105:$G$107,MATCH(C12,Inputs!$B$105:$B$107,0))*E12)</f>
        <v>0</v>
      </c>
      <c r="AF12" s="36" t="n">
        <f aca="false">IF(N12=0,0,INDEX(Inputs!$H$105:$H$107,MATCH(C12,Inputs!$B$105:$B$107,0))*E12)</f>
        <v>0</v>
      </c>
      <c r="AG12" s="36" t="n">
        <f aca="false">Inputs!$C$98*G12</f>
        <v>0</v>
      </c>
      <c r="AH12" s="36" t="n">
        <f aca="false">N12*Inputs!$C$99</f>
        <v>0</v>
      </c>
      <c r="AI12" s="38" t="n">
        <f aca="false">SUM(AB12:AH12)</f>
        <v>0</v>
      </c>
      <c r="AJ12" s="37" t="n">
        <f aca="false">S12-AA12</f>
        <v>0</v>
      </c>
      <c r="AK12" s="29" t="str">
        <f aca="false">IF(AI12&gt;0,AJ12/AI12,"n/a")</f>
        <v>n/a</v>
      </c>
      <c r="AL12" s="19" t="n">
        <f aca="false">T12+U12+V12+W12</f>
        <v>0</v>
      </c>
      <c r="AM12" s="19" t="n">
        <f aca="false">X12+Y12+Z12</f>
        <v>0</v>
      </c>
      <c r="AO12" s="18" t="str">
        <f aca="false">IF(OR(N12=0,AP12=0),"",WORKDAY(B12,-Inputs!$C$49,Lists!$N$4:$N$30)+N(Inputs!$C$53))</f>
        <v/>
      </c>
      <c r="AP12" s="19" t="n">
        <f aca="false">Q12*Inputs!$C$48</f>
        <v>0</v>
      </c>
      <c r="AQ12" s="18" t="str">
        <f aca="false">IF(OR(N12=0,AR12=0),"",WORKDAY(B12,-Inputs!$C$51,Lists!$N$4:$N$30)+N(Inputs!$C$53))</f>
        <v/>
      </c>
      <c r="AR12" s="19" t="n">
        <f aca="false">R12*Inputs!$C$50</f>
        <v>0</v>
      </c>
      <c r="AS12" s="18" t="str">
        <f aca="false">IF(OR(N12=0,AT12=0),"",WORKDAY(B12,Inputs!$C$52,Lists!$N$4:$N$30)+N(Inputs!$C$53))</f>
        <v/>
      </c>
      <c r="AT12" s="19" t="n">
        <f aca="false">Q12*(1-Inputs!$C$48)+R12*(1-Inputs!$C$50)</f>
        <v>0</v>
      </c>
      <c r="AU12" s="19" t="n">
        <f aca="false">AP12*Inputs!$C$54*M12</f>
        <v>0</v>
      </c>
      <c r="AV12" s="19" t="n">
        <f aca="false">AR12*Inputs!$C$54*M12</f>
        <v>0</v>
      </c>
      <c r="AW12" s="19" t="n">
        <f aca="false">AT12*Inputs!$C$54*M12</f>
        <v>0</v>
      </c>
      <c r="AX12" s="18" t="str">
        <f aca="false">IF(N12=0,"",WORKDAY(B12,-Inputs!$C$74,Lists!$N$4:$N$30))</f>
        <v/>
      </c>
      <c r="AY12" s="18" t="str">
        <f aca="false">IF(N12=0,"",B12)</f>
        <v/>
      </c>
      <c r="AZ12" s="30" t="str">
        <f aca="false">IF(Schedule!N12="Y","Y","N")</f>
        <v>N</v>
      </c>
      <c r="BA12" s="19" t="n">
        <f aca="false">IF(AZ12="Y",Drop_Actuals!D12,S12)</f>
        <v>0</v>
      </c>
      <c r="BB12" s="19" t="n">
        <f aca="false">IF(AZ12="Y",Drop_Actuals!J12,AA12)</f>
        <v>0</v>
      </c>
      <c r="BC12" s="36" t="n">
        <f aca="false">IF(AZ12="Y",Drop_Actuals!R12,AI12)</f>
        <v>0</v>
      </c>
      <c r="BD12" s="19" t="n">
        <f aca="false">BA12-BB12</f>
        <v>0</v>
      </c>
      <c r="BE12" s="28" t="str">
        <f aca="false">IF(BC12&gt;0,BD12/BC12,"n/a")</f>
        <v>n/a</v>
      </c>
      <c r="BF12" s="30" t="str">
        <f aca="false">IF(AND(N12=0,AZ12="N"),"",IF(AZ12="Y","actual","plan"))</f>
        <v/>
      </c>
      <c r="BG12" s="21" t="n">
        <f aca="false">IF(AND(N12=1,B12&gt;=Inputs!$C$17),1,0)</f>
        <v>0</v>
      </c>
      <c r="BH12" s="19" t="n">
        <f aca="false">IF(AND(AO12&lt;&gt;"",AO12&gt;=Inputs!$C$10,AO12&lt;=Cash_Flow!$AB$6),AP12-AU12,0)+IF(AND(AQ12&lt;&gt;"",AQ12&gt;=Inputs!$C$10,AQ12&lt;=Cash_Flow!$AB$6),AR12-AV12,0)+IF(AND(AS12&lt;&gt;"",AS12&gt;=Inputs!$C$10,AS12&lt;=Cash_Flow!$AB$6),AT12-AW12,0)-IF(AND(AX12&lt;&gt;"",AX12&gt;=Inputs!$C$10,AX12&lt;=Cash_Flow!$AB$6),T12+V12,0)-IF(AND(AY12&lt;&gt;"",AY12&gt;=Inputs!$C$10,AY12&lt;=Cash_Flow!$AB$6),U12,0)</f>
        <v>0</v>
      </c>
      <c r="BI12" s="19" t="n">
        <f aca="false">IF(AZ12="Y",Drop_Actuals!AM12,BH12)</f>
        <v>0</v>
      </c>
      <c r="BJ12" s="18" t="str">
        <f aca="false">IF(BG12=1,B12,"")</f>
        <v/>
      </c>
    </row>
    <row r="13" customFormat="false" ht="15" hidden="false" customHeight="false" outlineLevel="0" collapsed="false">
      <c r="A13" s="30" t="str">
        <f aca="false">Schedule!A13</f>
        <v>DRP-007</v>
      </c>
      <c r="B13" s="18" t="str">
        <f aca="false">IF(Schedule!E13="","",Schedule!E13)</f>
        <v/>
      </c>
      <c r="C13" s="30" t="str">
        <f aca="false">IF(Schedule!G13="","",Schedule!G13)</f>
        <v/>
      </c>
      <c r="D13" s="30" t="str">
        <f aca="false">IF(Schedule!H13="","",Schedule!H13)</f>
        <v/>
      </c>
      <c r="E13" s="21" t="n">
        <f aca="false">N(Schedule!I13)</f>
        <v>0</v>
      </c>
      <c r="F13" s="21" t="n">
        <f aca="false">N(Schedule!J13)</f>
        <v>0</v>
      </c>
      <c r="G13" s="30" t="n">
        <f aca="false">N(Schedule!K13)</f>
        <v>0</v>
      </c>
      <c r="H13" s="30" t="n">
        <f aca="false">N(Schedule!L13)</f>
        <v>0</v>
      </c>
      <c r="I13" s="30" t="n">
        <f aca="false">N(Schedule!M13)</f>
        <v>0</v>
      </c>
      <c r="J13" s="19" t="n">
        <f aca="false">IF(AND(B13&lt;&gt;"",B13&gt;Inputs!$C$15),Scenarios!$H$14,Inputs!$C$39)</f>
        <v>150</v>
      </c>
      <c r="K13" s="19" t="n">
        <f aca="false">Inputs!$C$42</f>
        <v>120</v>
      </c>
      <c r="L13" s="21" t="n">
        <f aca="false">IF(AND(Inputs!$C$75="unit",B13&lt;&gt;"",Inputs!$C$77&lt;&gt;"",B13&gt;=Inputs!$C$77,OR(Inputs!$C$78="",B13&lt;=Inputs!$C$78)),1,0)</f>
        <v>0</v>
      </c>
      <c r="M13" s="21" t="n">
        <f aca="false">Inputs!$C$55</f>
        <v>1</v>
      </c>
      <c r="N13" s="21" t="n">
        <f aca="false">IF(G13&gt;0,1,0)</f>
        <v>0</v>
      </c>
      <c r="O13" s="30" t="n">
        <f aca="false">IF(D13="founding",G13-H13,0)</f>
        <v>0</v>
      </c>
      <c r="P13" s="30" t="n">
        <f aca="false">IF(D13="standard",G13-H13,0)</f>
        <v>0</v>
      </c>
      <c r="Q13" s="19" t="n">
        <f aca="false">O13*(K13*MIN(E13,Inputs!$C$43)+Inputs!$C$45*MAX(E13-Inputs!$C$43,0))+I13*K13*E13</f>
        <v>0</v>
      </c>
      <c r="R13" s="19" t="n">
        <f aca="false">(P13+H13-I13)*(J13*MIN(E13,Inputs!$C$40)+Inputs!$C$45*MAX(E13-Inputs!$C$40,0))</f>
        <v>0</v>
      </c>
      <c r="S13" s="37" t="n">
        <f aca="false">Q13+R13</f>
        <v>0</v>
      </c>
      <c r="T13" s="19" t="n">
        <f aca="false">N13*E13*(Inputs!$C$68+Inputs!$C$69*MAX(G13-1,0))</f>
        <v>0</v>
      </c>
      <c r="U13" s="19" t="n">
        <f aca="false">IF(N13=0,0,INDEX(Inputs!$C$105:$C$107,MATCH(C13,Inputs!$B$105:$B$107,0))+INDEX(Inputs!$D$105:$D$107,MATCH(C13,Inputs!$B$105:$B$107,0))*E13)</f>
        <v>0</v>
      </c>
      <c r="V13" s="19" t="n">
        <f aca="false">IF(N13=0,0,INDEX(Inputs!$E$105:$E$107,MATCH(C13,Inputs!$B$105:$B$107,0))*E13)</f>
        <v>0</v>
      </c>
      <c r="W13" s="19" t="n">
        <f aca="false">S13*Inputs!$C$54*M13</f>
        <v>0</v>
      </c>
      <c r="X13" s="19" t="n">
        <f aca="false">N13*L13*Inputs!$C$76/Inputs!$C$85</f>
        <v>0</v>
      </c>
      <c r="Y13" s="19" t="n">
        <f aca="false">N13*Inputs!$C$79/Inputs!$C$85</f>
        <v>0</v>
      </c>
      <c r="Z13" s="19" t="n">
        <f aca="false">N13*Inputs!$C$81/Inputs!$C$85</f>
        <v>0</v>
      </c>
      <c r="AA13" s="37" t="n">
        <f aca="false">SUM(T13:Z13)</f>
        <v>0</v>
      </c>
      <c r="AB13" s="36" t="n">
        <f aca="false">O13*Inputs!$C$89+P13*Inputs!$C$93+H13*Inputs!$C$94</f>
        <v>0</v>
      </c>
      <c r="AC13" s="36" t="n">
        <f aca="false">N13*(F13*Inputs!$C$95+(E13-F13)*Inputs!$C$96)</f>
        <v>0</v>
      </c>
      <c r="AD13" s="36" t="n">
        <f aca="false">IF(N13=0,0,INDEX(Inputs!$F$105:$F$107,MATCH(C13,Inputs!$B$105:$B$107,0))+Inputs!$C$97*G13)</f>
        <v>0</v>
      </c>
      <c r="AE13" s="36" t="n">
        <f aca="false">IF(N13=0,0,INDEX(Inputs!$G$105:$G$107,MATCH(C13,Inputs!$B$105:$B$107,0))*E13)</f>
        <v>0</v>
      </c>
      <c r="AF13" s="36" t="n">
        <f aca="false">IF(N13=0,0,INDEX(Inputs!$H$105:$H$107,MATCH(C13,Inputs!$B$105:$B$107,0))*E13)</f>
        <v>0</v>
      </c>
      <c r="AG13" s="36" t="n">
        <f aca="false">Inputs!$C$98*G13</f>
        <v>0</v>
      </c>
      <c r="AH13" s="36" t="n">
        <f aca="false">N13*Inputs!$C$99</f>
        <v>0</v>
      </c>
      <c r="AI13" s="38" t="n">
        <f aca="false">SUM(AB13:AH13)</f>
        <v>0</v>
      </c>
      <c r="AJ13" s="37" t="n">
        <f aca="false">S13-AA13</f>
        <v>0</v>
      </c>
      <c r="AK13" s="29" t="str">
        <f aca="false">IF(AI13&gt;0,AJ13/AI13,"n/a")</f>
        <v>n/a</v>
      </c>
      <c r="AL13" s="19" t="n">
        <f aca="false">T13+U13+V13+W13</f>
        <v>0</v>
      </c>
      <c r="AM13" s="19" t="n">
        <f aca="false">X13+Y13+Z13</f>
        <v>0</v>
      </c>
      <c r="AO13" s="18" t="str">
        <f aca="false">IF(OR(N13=0,AP13=0),"",WORKDAY(B13,-Inputs!$C$49,Lists!$N$4:$N$30)+N(Inputs!$C$53))</f>
        <v/>
      </c>
      <c r="AP13" s="19" t="n">
        <f aca="false">Q13*Inputs!$C$48</f>
        <v>0</v>
      </c>
      <c r="AQ13" s="18" t="str">
        <f aca="false">IF(OR(N13=0,AR13=0),"",WORKDAY(B13,-Inputs!$C$51,Lists!$N$4:$N$30)+N(Inputs!$C$53))</f>
        <v/>
      </c>
      <c r="AR13" s="19" t="n">
        <f aca="false">R13*Inputs!$C$50</f>
        <v>0</v>
      </c>
      <c r="AS13" s="18" t="str">
        <f aca="false">IF(OR(N13=0,AT13=0),"",WORKDAY(B13,Inputs!$C$52,Lists!$N$4:$N$30)+N(Inputs!$C$53))</f>
        <v/>
      </c>
      <c r="AT13" s="19" t="n">
        <f aca="false">Q13*(1-Inputs!$C$48)+R13*(1-Inputs!$C$50)</f>
        <v>0</v>
      </c>
      <c r="AU13" s="19" t="n">
        <f aca="false">AP13*Inputs!$C$54*M13</f>
        <v>0</v>
      </c>
      <c r="AV13" s="19" t="n">
        <f aca="false">AR13*Inputs!$C$54*M13</f>
        <v>0</v>
      </c>
      <c r="AW13" s="19" t="n">
        <f aca="false">AT13*Inputs!$C$54*M13</f>
        <v>0</v>
      </c>
      <c r="AX13" s="18" t="str">
        <f aca="false">IF(N13=0,"",WORKDAY(B13,-Inputs!$C$74,Lists!$N$4:$N$30))</f>
        <v/>
      </c>
      <c r="AY13" s="18" t="str">
        <f aca="false">IF(N13=0,"",B13)</f>
        <v/>
      </c>
      <c r="AZ13" s="30" t="str">
        <f aca="false">IF(Schedule!N13="Y","Y","N")</f>
        <v>N</v>
      </c>
      <c r="BA13" s="19" t="n">
        <f aca="false">IF(AZ13="Y",Drop_Actuals!D13,S13)</f>
        <v>0</v>
      </c>
      <c r="BB13" s="19" t="n">
        <f aca="false">IF(AZ13="Y",Drop_Actuals!J13,AA13)</f>
        <v>0</v>
      </c>
      <c r="BC13" s="36" t="n">
        <f aca="false">IF(AZ13="Y",Drop_Actuals!R13,AI13)</f>
        <v>0</v>
      </c>
      <c r="BD13" s="19" t="n">
        <f aca="false">BA13-BB13</f>
        <v>0</v>
      </c>
      <c r="BE13" s="28" t="str">
        <f aca="false">IF(BC13&gt;0,BD13/BC13,"n/a")</f>
        <v>n/a</v>
      </c>
      <c r="BF13" s="30" t="str">
        <f aca="false">IF(AND(N13=0,AZ13="N"),"",IF(AZ13="Y","actual","plan"))</f>
        <v/>
      </c>
      <c r="BG13" s="21" t="n">
        <f aca="false">IF(AND(N13=1,B13&gt;=Inputs!$C$17),1,0)</f>
        <v>0</v>
      </c>
      <c r="BH13" s="19" t="n">
        <f aca="false">IF(AND(AO13&lt;&gt;"",AO13&gt;=Inputs!$C$10,AO13&lt;=Cash_Flow!$AB$6),AP13-AU13,0)+IF(AND(AQ13&lt;&gt;"",AQ13&gt;=Inputs!$C$10,AQ13&lt;=Cash_Flow!$AB$6),AR13-AV13,0)+IF(AND(AS13&lt;&gt;"",AS13&gt;=Inputs!$C$10,AS13&lt;=Cash_Flow!$AB$6),AT13-AW13,0)-IF(AND(AX13&lt;&gt;"",AX13&gt;=Inputs!$C$10,AX13&lt;=Cash_Flow!$AB$6),T13+V13,0)-IF(AND(AY13&lt;&gt;"",AY13&gt;=Inputs!$C$10,AY13&lt;=Cash_Flow!$AB$6),U13,0)</f>
        <v>0</v>
      </c>
      <c r="BI13" s="19" t="n">
        <f aca="false">IF(AZ13="Y",Drop_Actuals!AM13,BH13)</f>
        <v>0</v>
      </c>
      <c r="BJ13" s="18" t="str">
        <f aca="false">IF(BG13=1,B13,"")</f>
        <v/>
      </c>
    </row>
    <row r="14" customFormat="false" ht="15" hidden="false" customHeight="false" outlineLevel="0" collapsed="false">
      <c r="A14" s="30" t="str">
        <f aca="false">Schedule!A14</f>
        <v>DRP-008</v>
      </c>
      <c r="B14" s="18" t="str">
        <f aca="false">IF(Schedule!E14="","",Schedule!E14)</f>
        <v/>
      </c>
      <c r="C14" s="30" t="str">
        <f aca="false">IF(Schedule!G14="","",Schedule!G14)</f>
        <v/>
      </c>
      <c r="D14" s="30" t="str">
        <f aca="false">IF(Schedule!H14="","",Schedule!H14)</f>
        <v/>
      </c>
      <c r="E14" s="21" t="n">
        <f aca="false">N(Schedule!I14)</f>
        <v>0</v>
      </c>
      <c r="F14" s="21" t="n">
        <f aca="false">N(Schedule!J14)</f>
        <v>0</v>
      </c>
      <c r="G14" s="30" t="n">
        <f aca="false">N(Schedule!K14)</f>
        <v>0</v>
      </c>
      <c r="H14" s="30" t="n">
        <f aca="false">N(Schedule!L14)</f>
        <v>0</v>
      </c>
      <c r="I14" s="30" t="n">
        <f aca="false">N(Schedule!M14)</f>
        <v>0</v>
      </c>
      <c r="J14" s="19" t="n">
        <f aca="false">IF(AND(B14&lt;&gt;"",B14&gt;Inputs!$C$15),Scenarios!$H$14,Inputs!$C$39)</f>
        <v>150</v>
      </c>
      <c r="K14" s="19" t="n">
        <f aca="false">Inputs!$C$42</f>
        <v>120</v>
      </c>
      <c r="L14" s="21" t="n">
        <f aca="false">IF(AND(Inputs!$C$75="unit",B14&lt;&gt;"",Inputs!$C$77&lt;&gt;"",B14&gt;=Inputs!$C$77,OR(Inputs!$C$78="",B14&lt;=Inputs!$C$78)),1,0)</f>
        <v>0</v>
      </c>
      <c r="M14" s="21" t="n">
        <f aca="false">Inputs!$C$55</f>
        <v>1</v>
      </c>
      <c r="N14" s="21" t="n">
        <f aca="false">IF(G14&gt;0,1,0)</f>
        <v>0</v>
      </c>
      <c r="O14" s="30" t="n">
        <f aca="false">IF(D14="founding",G14-H14,0)</f>
        <v>0</v>
      </c>
      <c r="P14" s="30" t="n">
        <f aca="false">IF(D14="standard",G14-H14,0)</f>
        <v>0</v>
      </c>
      <c r="Q14" s="19" t="n">
        <f aca="false">O14*(K14*MIN(E14,Inputs!$C$43)+Inputs!$C$45*MAX(E14-Inputs!$C$43,0))+I14*K14*E14</f>
        <v>0</v>
      </c>
      <c r="R14" s="19" t="n">
        <f aca="false">(P14+H14-I14)*(J14*MIN(E14,Inputs!$C$40)+Inputs!$C$45*MAX(E14-Inputs!$C$40,0))</f>
        <v>0</v>
      </c>
      <c r="S14" s="37" t="n">
        <f aca="false">Q14+R14</f>
        <v>0</v>
      </c>
      <c r="T14" s="19" t="n">
        <f aca="false">N14*E14*(Inputs!$C$68+Inputs!$C$69*MAX(G14-1,0))</f>
        <v>0</v>
      </c>
      <c r="U14" s="19" t="n">
        <f aca="false">IF(N14=0,0,INDEX(Inputs!$C$105:$C$107,MATCH(C14,Inputs!$B$105:$B$107,0))+INDEX(Inputs!$D$105:$D$107,MATCH(C14,Inputs!$B$105:$B$107,0))*E14)</f>
        <v>0</v>
      </c>
      <c r="V14" s="19" t="n">
        <f aca="false">IF(N14=0,0,INDEX(Inputs!$E$105:$E$107,MATCH(C14,Inputs!$B$105:$B$107,0))*E14)</f>
        <v>0</v>
      </c>
      <c r="W14" s="19" t="n">
        <f aca="false">S14*Inputs!$C$54*M14</f>
        <v>0</v>
      </c>
      <c r="X14" s="19" t="n">
        <f aca="false">N14*L14*Inputs!$C$76/Inputs!$C$85</f>
        <v>0</v>
      </c>
      <c r="Y14" s="19" t="n">
        <f aca="false">N14*Inputs!$C$79/Inputs!$C$85</f>
        <v>0</v>
      </c>
      <c r="Z14" s="19" t="n">
        <f aca="false">N14*Inputs!$C$81/Inputs!$C$85</f>
        <v>0</v>
      </c>
      <c r="AA14" s="37" t="n">
        <f aca="false">SUM(T14:Z14)</f>
        <v>0</v>
      </c>
      <c r="AB14" s="36" t="n">
        <f aca="false">O14*Inputs!$C$89+P14*Inputs!$C$93+H14*Inputs!$C$94</f>
        <v>0</v>
      </c>
      <c r="AC14" s="36" t="n">
        <f aca="false">N14*(F14*Inputs!$C$95+(E14-F14)*Inputs!$C$96)</f>
        <v>0</v>
      </c>
      <c r="AD14" s="36" t="n">
        <f aca="false">IF(N14=0,0,INDEX(Inputs!$F$105:$F$107,MATCH(C14,Inputs!$B$105:$B$107,0))+Inputs!$C$97*G14)</f>
        <v>0</v>
      </c>
      <c r="AE14" s="36" t="n">
        <f aca="false">IF(N14=0,0,INDEX(Inputs!$G$105:$G$107,MATCH(C14,Inputs!$B$105:$B$107,0))*E14)</f>
        <v>0</v>
      </c>
      <c r="AF14" s="36" t="n">
        <f aca="false">IF(N14=0,0,INDEX(Inputs!$H$105:$H$107,MATCH(C14,Inputs!$B$105:$B$107,0))*E14)</f>
        <v>0</v>
      </c>
      <c r="AG14" s="36" t="n">
        <f aca="false">Inputs!$C$98*G14</f>
        <v>0</v>
      </c>
      <c r="AH14" s="36" t="n">
        <f aca="false">N14*Inputs!$C$99</f>
        <v>0</v>
      </c>
      <c r="AI14" s="38" t="n">
        <f aca="false">SUM(AB14:AH14)</f>
        <v>0</v>
      </c>
      <c r="AJ14" s="37" t="n">
        <f aca="false">S14-AA14</f>
        <v>0</v>
      </c>
      <c r="AK14" s="29" t="str">
        <f aca="false">IF(AI14&gt;0,AJ14/AI14,"n/a")</f>
        <v>n/a</v>
      </c>
      <c r="AL14" s="19" t="n">
        <f aca="false">T14+U14+V14+W14</f>
        <v>0</v>
      </c>
      <c r="AM14" s="19" t="n">
        <f aca="false">X14+Y14+Z14</f>
        <v>0</v>
      </c>
      <c r="AO14" s="18" t="str">
        <f aca="false">IF(OR(N14=0,AP14=0),"",WORKDAY(B14,-Inputs!$C$49,Lists!$N$4:$N$30)+N(Inputs!$C$53))</f>
        <v/>
      </c>
      <c r="AP14" s="19" t="n">
        <f aca="false">Q14*Inputs!$C$48</f>
        <v>0</v>
      </c>
      <c r="AQ14" s="18" t="str">
        <f aca="false">IF(OR(N14=0,AR14=0),"",WORKDAY(B14,-Inputs!$C$51,Lists!$N$4:$N$30)+N(Inputs!$C$53))</f>
        <v/>
      </c>
      <c r="AR14" s="19" t="n">
        <f aca="false">R14*Inputs!$C$50</f>
        <v>0</v>
      </c>
      <c r="AS14" s="18" t="str">
        <f aca="false">IF(OR(N14=0,AT14=0),"",WORKDAY(B14,Inputs!$C$52,Lists!$N$4:$N$30)+N(Inputs!$C$53))</f>
        <v/>
      </c>
      <c r="AT14" s="19" t="n">
        <f aca="false">Q14*(1-Inputs!$C$48)+R14*(1-Inputs!$C$50)</f>
        <v>0</v>
      </c>
      <c r="AU14" s="19" t="n">
        <f aca="false">AP14*Inputs!$C$54*M14</f>
        <v>0</v>
      </c>
      <c r="AV14" s="19" t="n">
        <f aca="false">AR14*Inputs!$C$54*M14</f>
        <v>0</v>
      </c>
      <c r="AW14" s="19" t="n">
        <f aca="false">AT14*Inputs!$C$54*M14</f>
        <v>0</v>
      </c>
      <c r="AX14" s="18" t="str">
        <f aca="false">IF(N14=0,"",WORKDAY(B14,-Inputs!$C$74,Lists!$N$4:$N$30))</f>
        <v/>
      </c>
      <c r="AY14" s="18" t="str">
        <f aca="false">IF(N14=0,"",B14)</f>
        <v/>
      </c>
      <c r="AZ14" s="30" t="str">
        <f aca="false">IF(Schedule!N14="Y","Y","N")</f>
        <v>N</v>
      </c>
      <c r="BA14" s="19" t="n">
        <f aca="false">IF(AZ14="Y",Drop_Actuals!D14,S14)</f>
        <v>0</v>
      </c>
      <c r="BB14" s="19" t="n">
        <f aca="false">IF(AZ14="Y",Drop_Actuals!J14,AA14)</f>
        <v>0</v>
      </c>
      <c r="BC14" s="36" t="n">
        <f aca="false">IF(AZ14="Y",Drop_Actuals!R14,AI14)</f>
        <v>0</v>
      </c>
      <c r="BD14" s="19" t="n">
        <f aca="false">BA14-BB14</f>
        <v>0</v>
      </c>
      <c r="BE14" s="28" t="str">
        <f aca="false">IF(BC14&gt;0,BD14/BC14,"n/a")</f>
        <v>n/a</v>
      </c>
      <c r="BF14" s="30" t="str">
        <f aca="false">IF(AND(N14=0,AZ14="N"),"",IF(AZ14="Y","actual","plan"))</f>
        <v/>
      </c>
      <c r="BG14" s="21" t="n">
        <f aca="false">IF(AND(N14=1,B14&gt;=Inputs!$C$17),1,0)</f>
        <v>0</v>
      </c>
      <c r="BH14" s="19" t="n">
        <f aca="false">IF(AND(AO14&lt;&gt;"",AO14&gt;=Inputs!$C$10,AO14&lt;=Cash_Flow!$AB$6),AP14-AU14,0)+IF(AND(AQ14&lt;&gt;"",AQ14&gt;=Inputs!$C$10,AQ14&lt;=Cash_Flow!$AB$6),AR14-AV14,0)+IF(AND(AS14&lt;&gt;"",AS14&gt;=Inputs!$C$10,AS14&lt;=Cash_Flow!$AB$6),AT14-AW14,0)-IF(AND(AX14&lt;&gt;"",AX14&gt;=Inputs!$C$10,AX14&lt;=Cash_Flow!$AB$6),T14+V14,0)-IF(AND(AY14&lt;&gt;"",AY14&gt;=Inputs!$C$10,AY14&lt;=Cash_Flow!$AB$6),U14,0)</f>
        <v>0</v>
      </c>
      <c r="BI14" s="19" t="n">
        <f aca="false">IF(AZ14="Y",Drop_Actuals!AM14,BH14)</f>
        <v>0</v>
      </c>
      <c r="BJ14" s="18" t="str">
        <f aca="false">IF(BG14=1,B14,"")</f>
        <v/>
      </c>
    </row>
    <row r="15" customFormat="false" ht="15" hidden="false" customHeight="false" outlineLevel="0" collapsed="false">
      <c r="A15" s="30" t="str">
        <f aca="false">Schedule!A15</f>
        <v>DRP-009</v>
      </c>
      <c r="B15" s="18" t="str">
        <f aca="false">IF(Schedule!E15="","",Schedule!E15)</f>
        <v/>
      </c>
      <c r="C15" s="30" t="str">
        <f aca="false">IF(Schedule!G15="","",Schedule!G15)</f>
        <v/>
      </c>
      <c r="D15" s="30" t="str">
        <f aca="false">IF(Schedule!H15="","",Schedule!H15)</f>
        <v/>
      </c>
      <c r="E15" s="21" t="n">
        <f aca="false">N(Schedule!I15)</f>
        <v>0</v>
      </c>
      <c r="F15" s="21" t="n">
        <f aca="false">N(Schedule!J15)</f>
        <v>0</v>
      </c>
      <c r="G15" s="30" t="n">
        <f aca="false">N(Schedule!K15)</f>
        <v>0</v>
      </c>
      <c r="H15" s="30" t="n">
        <f aca="false">N(Schedule!L15)</f>
        <v>0</v>
      </c>
      <c r="I15" s="30" t="n">
        <f aca="false">N(Schedule!M15)</f>
        <v>0</v>
      </c>
      <c r="J15" s="19" t="n">
        <f aca="false">IF(AND(B15&lt;&gt;"",B15&gt;Inputs!$C$15),Scenarios!$H$14,Inputs!$C$39)</f>
        <v>150</v>
      </c>
      <c r="K15" s="19" t="n">
        <f aca="false">Inputs!$C$42</f>
        <v>120</v>
      </c>
      <c r="L15" s="21" t="n">
        <f aca="false">IF(AND(Inputs!$C$75="unit",B15&lt;&gt;"",Inputs!$C$77&lt;&gt;"",B15&gt;=Inputs!$C$77,OR(Inputs!$C$78="",B15&lt;=Inputs!$C$78)),1,0)</f>
        <v>0</v>
      </c>
      <c r="M15" s="21" t="n">
        <f aca="false">Inputs!$C$55</f>
        <v>1</v>
      </c>
      <c r="N15" s="21" t="n">
        <f aca="false">IF(G15&gt;0,1,0)</f>
        <v>0</v>
      </c>
      <c r="O15" s="30" t="n">
        <f aca="false">IF(D15="founding",G15-H15,0)</f>
        <v>0</v>
      </c>
      <c r="P15" s="30" t="n">
        <f aca="false">IF(D15="standard",G15-H15,0)</f>
        <v>0</v>
      </c>
      <c r="Q15" s="19" t="n">
        <f aca="false">O15*(K15*MIN(E15,Inputs!$C$43)+Inputs!$C$45*MAX(E15-Inputs!$C$43,0))+I15*K15*E15</f>
        <v>0</v>
      </c>
      <c r="R15" s="19" t="n">
        <f aca="false">(P15+H15-I15)*(J15*MIN(E15,Inputs!$C$40)+Inputs!$C$45*MAX(E15-Inputs!$C$40,0))</f>
        <v>0</v>
      </c>
      <c r="S15" s="37" t="n">
        <f aca="false">Q15+R15</f>
        <v>0</v>
      </c>
      <c r="T15" s="19" t="n">
        <f aca="false">N15*E15*(Inputs!$C$68+Inputs!$C$69*MAX(G15-1,0))</f>
        <v>0</v>
      </c>
      <c r="U15" s="19" t="n">
        <f aca="false">IF(N15=0,0,INDEX(Inputs!$C$105:$C$107,MATCH(C15,Inputs!$B$105:$B$107,0))+INDEX(Inputs!$D$105:$D$107,MATCH(C15,Inputs!$B$105:$B$107,0))*E15)</f>
        <v>0</v>
      </c>
      <c r="V15" s="19" t="n">
        <f aca="false">IF(N15=0,0,INDEX(Inputs!$E$105:$E$107,MATCH(C15,Inputs!$B$105:$B$107,0))*E15)</f>
        <v>0</v>
      </c>
      <c r="W15" s="19" t="n">
        <f aca="false">S15*Inputs!$C$54*M15</f>
        <v>0</v>
      </c>
      <c r="X15" s="19" t="n">
        <f aca="false">N15*L15*Inputs!$C$76/Inputs!$C$85</f>
        <v>0</v>
      </c>
      <c r="Y15" s="19" t="n">
        <f aca="false">N15*Inputs!$C$79/Inputs!$C$85</f>
        <v>0</v>
      </c>
      <c r="Z15" s="19" t="n">
        <f aca="false">N15*Inputs!$C$81/Inputs!$C$85</f>
        <v>0</v>
      </c>
      <c r="AA15" s="37" t="n">
        <f aca="false">SUM(T15:Z15)</f>
        <v>0</v>
      </c>
      <c r="AB15" s="36" t="n">
        <f aca="false">O15*Inputs!$C$89+P15*Inputs!$C$93+H15*Inputs!$C$94</f>
        <v>0</v>
      </c>
      <c r="AC15" s="36" t="n">
        <f aca="false">N15*(F15*Inputs!$C$95+(E15-F15)*Inputs!$C$96)</f>
        <v>0</v>
      </c>
      <c r="AD15" s="36" t="n">
        <f aca="false">IF(N15=0,0,INDEX(Inputs!$F$105:$F$107,MATCH(C15,Inputs!$B$105:$B$107,0))+Inputs!$C$97*G15)</f>
        <v>0</v>
      </c>
      <c r="AE15" s="36" t="n">
        <f aca="false">IF(N15=0,0,INDEX(Inputs!$G$105:$G$107,MATCH(C15,Inputs!$B$105:$B$107,0))*E15)</f>
        <v>0</v>
      </c>
      <c r="AF15" s="36" t="n">
        <f aca="false">IF(N15=0,0,INDEX(Inputs!$H$105:$H$107,MATCH(C15,Inputs!$B$105:$B$107,0))*E15)</f>
        <v>0</v>
      </c>
      <c r="AG15" s="36" t="n">
        <f aca="false">Inputs!$C$98*G15</f>
        <v>0</v>
      </c>
      <c r="AH15" s="36" t="n">
        <f aca="false">N15*Inputs!$C$99</f>
        <v>0</v>
      </c>
      <c r="AI15" s="38" t="n">
        <f aca="false">SUM(AB15:AH15)</f>
        <v>0</v>
      </c>
      <c r="AJ15" s="37" t="n">
        <f aca="false">S15-AA15</f>
        <v>0</v>
      </c>
      <c r="AK15" s="29" t="str">
        <f aca="false">IF(AI15&gt;0,AJ15/AI15,"n/a")</f>
        <v>n/a</v>
      </c>
      <c r="AL15" s="19" t="n">
        <f aca="false">T15+U15+V15+W15</f>
        <v>0</v>
      </c>
      <c r="AM15" s="19" t="n">
        <f aca="false">X15+Y15+Z15</f>
        <v>0</v>
      </c>
      <c r="AO15" s="18" t="str">
        <f aca="false">IF(OR(N15=0,AP15=0),"",WORKDAY(B15,-Inputs!$C$49,Lists!$N$4:$N$30)+N(Inputs!$C$53))</f>
        <v/>
      </c>
      <c r="AP15" s="19" t="n">
        <f aca="false">Q15*Inputs!$C$48</f>
        <v>0</v>
      </c>
      <c r="AQ15" s="18" t="str">
        <f aca="false">IF(OR(N15=0,AR15=0),"",WORKDAY(B15,-Inputs!$C$51,Lists!$N$4:$N$30)+N(Inputs!$C$53))</f>
        <v/>
      </c>
      <c r="AR15" s="19" t="n">
        <f aca="false">R15*Inputs!$C$50</f>
        <v>0</v>
      </c>
      <c r="AS15" s="18" t="str">
        <f aca="false">IF(OR(N15=0,AT15=0),"",WORKDAY(B15,Inputs!$C$52,Lists!$N$4:$N$30)+N(Inputs!$C$53))</f>
        <v/>
      </c>
      <c r="AT15" s="19" t="n">
        <f aca="false">Q15*(1-Inputs!$C$48)+R15*(1-Inputs!$C$50)</f>
        <v>0</v>
      </c>
      <c r="AU15" s="19" t="n">
        <f aca="false">AP15*Inputs!$C$54*M15</f>
        <v>0</v>
      </c>
      <c r="AV15" s="19" t="n">
        <f aca="false">AR15*Inputs!$C$54*M15</f>
        <v>0</v>
      </c>
      <c r="AW15" s="19" t="n">
        <f aca="false">AT15*Inputs!$C$54*M15</f>
        <v>0</v>
      </c>
      <c r="AX15" s="18" t="str">
        <f aca="false">IF(N15=0,"",WORKDAY(B15,-Inputs!$C$74,Lists!$N$4:$N$30))</f>
        <v/>
      </c>
      <c r="AY15" s="18" t="str">
        <f aca="false">IF(N15=0,"",B15)</f>
        <v/>
      </c>
      <c r="AZ15" s="30" t="str">
        <f aca="false">IF(Schedule!N15="Y","Y","N")</f>
        <v>N</v>
      </c>
      <c r="BA15" s="19" t="n">
        <f aca="false">IF(AZ15="Y",Drop_Actuals!D15,S15)</f>
        <v>0</v>
      </c>
      <c r="BB15" s="19" t="n">
        <f aca="false">IF(AZ15="Y",Drop_Actuals!J15,AA15)</f>
        <v>0</v>
      </c>
      <c r="BC15" s="36" t="n">
        <f aca="false">IF(AZ15="Y",Drop_Actuals!R15,AI15)</f>
        <v>0</v>
      </c>
      <c r="BD15" s="19" t="n">
        <f aca="false">BA15-BB15</f>
        <v>0</v>
      </c>
      <c r="BE15" s="28" t="str">
        <f aca="false">IF(BC15&gt;0,BD15/BC15,"n/a")</f>
        <v>n/a</v>
      </c>
      <c r="BF15" s="30" t="str">
        <f aca="false">IF(AND(N15=0,AZ15="N"),"",IF(AZ15="Y","actual","plan"))</f>
        <v/>
      </c>
      <c r="BG15" s="21" t="n">
        <f aca="false">IF(AND(N15=1,B15&gt;=Inputs!$C$17),1,0)</f>
        <v>0</v>
      </c>
      <c r="BH15" s="19" t="n">
        <f aca="false">IF(AND(AO15&lt;&gt;"",AO15&gt;=Inputs!$C$10,AO15&lt;=Cash_Flow!$AB$6),AP15-AU15,0)+IF(AND(AQ15&lt;&gt;"",AQ15&gt;=Inputs!$C$10,AQ15&lt;=Cash_Flow!$AB$6),AR15-AV15,0)+IF(AND(AS15&lt;&gt;"",AS15&gt;=Inputs!$C$10,AS15&lt;=Cash_Flow!$AB$6),AT15-AW15,0)-IF(AND(AX15&lt;&gt;"",AX15&gt;=Inputs!$C$10,AX15&lt;=Cash_Flow!$AB$6),T15+V15,0)-IF(AND(AY15&lt;&gt;"",AY15&gt;=Inputs!$C$10,AY15&lt;=Cash_Flow!$AB$6),U15,0)</f>
        <v>0</v>
      </c>
      <c r="BI15" s="19" t="n">
        <f aca="false">IF(AZ15="Y",Drop_Actuals!AM15,BH15)</f>
        <v>0</v>
      </c>
      <c r="BJ15" s="18" t="str">
        <f aca="false">IF(BG15=1,B15,"")</f>
        <v/>
      </c>
    </row>
    <row r="16" customFormat="false" ht="15" hidden="false" customHeight="false" outlineLevel="0" collapsed="false">
      <c r="A16" s="30" t="str">
        <f aca="false">Schedule!A16</f>
        <v>DRP-010</v>
      </c>
      <c r="B16" s="18" t="str">
        <f aca="false">IF(Schedule!E16="","",Schedule!E16)</f>
        <v/>
      </c>
      <c r="C16" s="30" t="str">
        <f aca="false">IF(Schedule!G16="","",Schedule!G16)</f>
        <v/>
      </c>
      <c r="D16" s="30" t="str">
        <f aca="false">IF(Schedule!H16="","",Schedule!H16)</f>
        <v/>
      </c>
      <c r="E16" s="21" t="n">
        <f aca="false">N(Schedule!I16)</f>
        <v>0</v>
      </c>
      <c r="F16" s="21" t="n">
        <f aca="false">N(Schedule!J16)</f>
        <v>0</v>
      </c>
      <c r="G16" s="30" t="n">
        <f aca="false">N(Schedule!K16)</f>
        <v>0</v>
      </c>
      <c r="H16" s="30" t="n">
        <f aca="false">N(Schedule!L16)</f>
        <v>0</v>
      </c>
      <c r="I16" s="30" t="n">
        <f aca="false">N(Schedule!M16)</f>
        <v>0</v>
      </c>
      <c r="J16" s="19" t="n">
        <f aca="false">IF(AND(B16&lt;&gt;"",B16&gt;Inputs!$C$15),Scenarios!$H$14,Inputs!$C$39)</f>
        <v>150</v>
      </c>
      <c r="K16" s="19" t="n">
        <f aca="false">Inputs!$C$42</f>
        <v>120</v>
      </c>
      <c r="L16" s="21" t="n">
        <f aca="false">IF(AND(Inputs!$C$75="unit",B16&lt;&gt;"",Inputs!$C$77&lt;&gt;"",B16&gt;=Inputs!$C$77,OR(Inputs!$C$78="",B16&lt;=Inputs!$C$78)),1,0)</f>
        <v>0</v>
      </c>
      <c r="M16" s="21" t="n">
        <f aca="false">Inputs!$C$55</f>
        <v>1</v>
      </c>
      <c r="N16" s="21" t="n">
        <f aca="false">IF(G16&gt;0,1,0)</f>
        <v>0</v>
      </c>
      <c r="O16" s="30" t="n">
        <f aca="false">IF(D16="founding",G16-H16,0)</f>
        <v>0</v>
      </c>
      <c r="P16" s="30" t="n">
        <f aca="false">IF(D16="standard",G16-H16,0)</f>
        <v>0</v>
      </c>
      <c r="Q16" s="19" t="n">
        <f aca="false">O16*(K16*MIN(E16,Inputs!$C$43)+Inputs!$C$45*MAX(E16-Inputs!$C$43,0))+I16*K16*E16</f>
        <v>0</v>
      </c>
      <c r="R16" s="19" t="n">
        <f aca="false">(P16+H16-I16)*(J16*MIN(E16,Inputs!$C$40)+Inputs!$C$45*MAX(E16-Inputs!$C$40,0))</f>
        <v>0</v>
      </c>
      <c r="S16" s="37" t="n">
        <f aca="false">Q16+R16</f>
        <v>0</v>
      </c>
      <c r="T16" s="19" t="n">
        <f aca="false">N16*E16*(Inputs!$C$68+Inputs!$C$69*MAX(G16-1,0))</f>
        <v>0</v>
      </c>
      <c r="U16" s="19" t="n">
        <f aca="false">IF(N16=0,0,INDEX(Inputs!$C$105:$C$107,MATCH(C16,Inputs!$B$105:$B$107,0))+INDEX(Inputs!$D$105:$D$107,MATCH(C16,Inputs!$B$105:$B$107,0))*E16)</f>
        <v>0</v>
      </c>
      <c r="V16" s="19" t="n">
        <f aca="false">IF(N16=0,0,INDEX(Inputs!$E$105:$E$107,MATCH(C16,Inputs!$B$105:$B$107,0))*E16)</f>
        <v>0</v>
      </c>
      <c r="W16" s="19" t="n">
        <f aca="false">S16*Inputs!$C$54*M16</f>
        <v>0</v>
      </c>
      <c r="X16" s="19" t="n">
        <f aca="false">N16*L16*Inputs!$C$76/Inputs!$C$85</f>
        <v>0</v>
      </c>
      <c r="Y16" s="19" t="n">
        <f aca="false">N16*Inputs!$C$79/Inputs!$C$85</f>
        <v>0</v>
      </c>
      <c r="Z16" s="19" t="n">
        <f aca="false">N16*Inputs!$C$81/Inputs!$C$85</f>
        <v>0</v>
      </c>
      <c r="AA16" s="37" t="n">
        <f aca="false">SUM(T16:Z16)</f>
        <v>0</v>
      </c>
      <c r="AB16" s="36" t="n">
        <f aca="false">O16*Inputs!$C$89+P16*Inputs!$C$93+H16*Inputs!$C$94</f>
        <v>0</v>
      </c>
      <c r="AC16" s="36" t="n">
        <f aca="false">N16*(F16*Inputs!$C$95+(E16-F16)*Inputs!$C$96)</f>
        <v>0</v>
      </c>
      <c r="AD16" s="36" t="n">
        <f aca="false">IF(N16=0,0,INDEX(Inputs!$F$105:$F$107,MATCH(C16,Inputs!$B$105:$B$107,0))+Inputs!$C$97*G16)</f>
        <v>0</v>
      </c>
      <c r="AE16" s="36" t="n">
        <f aca="false">IF(N16=0,0,INDEX(Inputs!$G$105:$G$107,MATCH(C16,Inputs!$B$105:$B$107,0))*E16)</f>
        <v>0</v>
      </c>
      <c r="AF16" s="36" t="n">
        <f aca="false">IF(N16=0,0,INDEX(Inputs!$H$105:$H$107,MATCH(C16,Inputs!$B$105:$B$107,0))*E16)</f>
        <v>0</v>
      </c>
      <c r="AG16" s="36" t="n">
        <f aca="false">Inputs!$C$98*G16</f>
        <v>0</v>
      </c>
      <c r="AH16" s="36" t="n">
        <f aca="false">N16*Inputs!$C$99</f>
        <v>0</v>
      </c>
      <c r="AI16" s="38" t="n">
        <f aca="false">SUM(AB16:AH16)</f>
        <v>0</v>
      </c>
      <c r="AJ16" s="37" t="n">
        <f aca="false">S16-AA16</f>
        <v>0</v>
      </c>
      <c r="AK16" s="29" t="str">
        <f aca="false">IF(AI16&gt;0,AJ16/AI16,"n/a")</f>
        <v>n/a</v>
      </c>
      <c r="AL16" s="19" t="n">
        <f aca="false">T16+U16+V16+W16</f>
        <v>0</v>
      </c>
      <c r="AM16" s="19" t="n">
        <f aca="false">X16+Y16+Z16</f>
        <v>0</v>
      </c>
      <c r="AO16" s="18" t="str">
        <f aca="false">IF(OR(N16=0,AP16=0),"",WORKDAY(B16,-Inputs!$C$49,Lists!$N$4:$N$30)+N(Inputs!$C$53))</f>
        <v/>
      </c>
      <c r="AP16" s="19" t="n">
        <f aca="false">Q16*Inputs!$C$48</f>
        <v>0</v>
      </c>
      <c r="AQ16" s="18" t="str">
        <f aca="false">IF(OR(N16=0,AR16=0),"",WORKDAY(B16,-Inputs!$C$51,Lists!$N$4:$N$30)+N(Inputs!$C$53))</f>
        <v/>
      </c>
      <c r="AR16" s="19" t="n">
        <f aca="false">R16*Inputs!$C$50</f>
        <v>0</v>
      </c>
      <c r="AS16" s="18" t="str">
        <f aca="false">IF(OR(N16=0,AT16=0),"",WORKDAY(B16,Inputs!$C$52,Lists!$N$4:$N$30)+N(Inputs!$C$53))</f>
        <v/>
      </c>
      <c r="AT16" s="19" t="n">
        <f aca="false">Q16*(1-Inputs!$C$48)+R16*(1-Inputs!$C$50)</f>
        <v>0</v>
      </c>
      <c r="AU16" s="19" t="n">
        <f aca="false">AP16*Inputs!$C$54*M16</f>
        <v>0</v>
      </c>
      <c r="AV16" s="19" t="n">
        <f aca="false">AR16*Inputs!$C$54*M16</f>
        <v>0</v>
      </c>
      <c r="AW16" s="19" t="n">
        <f aca="false">AT16*Inputs!$C$54*M16</f>
        <v>0</v>
      </c>
      <c r="AX16" s="18" t="str">
        <f aca="false">IF(N16=0,"",WORKDAY(B16,-Inputs!$C$74,Lists!$N$4:$N$30))</f>
        <v/>
      </c>
      <c r="AY16" s="18" t="str">
        <f aca="false">IF(N16=0,"",B16)</f>
        <v/>
      </c>
      <c r="AZ16" s="30" t="str">
        <f aca="false">IF(Schedule!N16="Y","Y","N")</f>
        <v>N</v>
      </c>
      <c r="BA16" s="19" t="n">
        <f aca="false">IF(AZ16="Y",Drop_Actuals!D16,S16)</f>
        <v>0</v>
      </c>
      <c r="BB16" s="19" t="n">
        <f aca="false">IF(AZ16="Y",Drop_Actuals!J16,AA16)</f>
        <v>0</v>
      </c>
      <c r="BC16" s="36" t="n">
        <f aca="false">IF(AZ16="Y",Drop_Actuals!R16,AI16)</f>
        <v>0</v>
      </c>
      <c r="BD16" s="19" t="n">
        <f aca="false">BA16-BB16</f>
        <v>0</v>
      </c>
      <c r="BE16" s="28" t="str">
        <f aca="false">IF(BC16&gt;0,BD16/BC16,"n/a")</f>
        <v>n/a</v>
      </c>
      <c r="BF16" s="30" t="str">
        <f aca="false">IF(AND(N16=0,AZ16="N"),"",IF(AZ16="Y","actual","plan"))</f>
        <v/>
      </c>
      <c r="BG16" s="21" t="n">
        <f aca="false">IF(AND(N16=1,B16&gt;=Inputs!$C$17),1,0)</f>
        <v>0</v>
      </c>
      <c r="BH16" s="19" t="n">
        <f aca="false">IF(AND(AO16&lt;&gt;"",AO16&gt;=Inputs!$C$10,AO16&lt;=Cash_Flow!$AB$6),AP16-AU16,0)+IF(AND(AQ16&lt;&gt;"",AQ16&gt;=Inputs!$C$10,AQ16&lt;=Cash_Flow!$AB$6),AR16-AV16,0)+IF(AND(AS16&lt;&gt;"",AS16&gt;=Inputs!$C$10,AS16&lt;=Cash_Flow!$AB$6),AT16-AW16,0)-IF(AND(AX16&lt;&gt;"",AX16&gt;=Inputs!$C$10,AX16&lt;=Cash_Flow!$AB$6),T16+V16,0)-IF(AND(AY16&lt;&gt;"",AY16&gt;=Inputs!$C$10,AY16&lt;=Cash_Flow!$AB$6),U16,0)</f>
        <v>0</v>
      </c>
      <c r="BI16" s="19" t="n">
        <f aca="false">IF(AZ16="Y",Drop_Actuals!AM16,BH16)</f>
        <v>0</v>
      </c>
      <c r="BJ16" s="18" t="str">
        <f aca="false">IF(BG16=1,B16,"")</f>
        <v/>
      </c>
    </row>
    <row r="17" customFormat="false" ht="15" hidden="false" customHeight="false" outlineLevel="0" collapsed="false">
      <c r="A17" s="30" t="str">
        <f aca="false">Schedule!A17</f>
        <v>DRP-011</v>
      </c>
      <c r="B17" s="18" t="str">
        <f aca="false">IF(Schedule!E17="","",Schedule!E17)</f>
        <v/>
      </c>
      <c r="C17" s="30" t="str">
        <f aca="false">IF(Schedule!G17="","",Schedule!G17)</f>
        <v/>
      </c>
      <c r="D17" s="30" t="str">
        <f aca="false">IF(Schedule!H17="","",Schedule!H17)</f>
        <v/>
      </c>
      <c r="E17" s="21" t="n">
        <f aca="false">N(Schedule!I17)</f>
        <v>0</v>
      </c>
      <c r="F17" s="21" t="n">
        <f aca="false">N(Schedule!J17)</f>
        <v>0</v>
      </c>
      <c r="G17" s="30" t="n">
        <f aca="false">N(Schedule!K17)</f>
        <v>0</v>
      </c>
      <c r="H17" s="30" t="n">
        <f aca="false">N(Schedule!L17)</f>
        <v>0</v>
      </c>
      <c r="I17" s="30" t="n">
        <f aca="false">N(Schedule!M17)</f>
        <v>0</v>
      </c>
      <c r="J17" s="19" t="n">
        <f aca="false">IF(AND(B17&lt;&gt;"",B17&gt;Inputs!$C$15),Scenarios!$H$14,Inputs!$C$39)</f>
        <v>150</v>
      </c>
      <c r="K17" s="19" t="n">
        <f aca="false">Inputs!$C$42</f>
        <v>120</v>
      </c>
      <c r="L17" s="21" t="n">
        <f aca="false">IF(AND(Inputs!$C$75="unit",B17&lt;&gt;"",Inputs!$C$77&lt;&gt;"",B17&gt;=Inputs!$C$77,OR(Inputs!$C$78="",B17&lt;=Inputs!$C$78)),1,0)</f>
        <v>0</v>
      </c>
      <c r="M17" s="21" t="n">
        <f aca="false">Inputs!$C$55</f>
        <v>1</v>
      </c>
      <c r="N17" s="21" t="n">
        <f aca="false">IF(G17&gt;0,1,0)</f>
        <v>0</v>
      </c>
      <c r="O17" s="30" t="n">
        <f aca="false">IF(D17="founding",G17-H17,0)</f>
        <v>0</v>
      </c>
      <c r="P17" s="30" t="n">
        <f aca="false">IF(D17="standard",G17-H17,0)</f>
        <v>0</v>
      </c>
      <c r="Q17" s="19" t="n">
        <f aca="false">O17*(K17*MIN(E17,Inputs!$C$43)+Inputs!$C$45*MAX(E17-Inputs!$C$43,0))+I17*K17*E17</f>
        <v>0</v>
      </c>
      <c r="R17" s="19" t="n">
        <f aca="false">(P17+H17-I17)*(J17*MIN(E17,Inputs!$C$40)+Inputs!$C$45*MAX(E17-Inputs!$C$40,0))</f>
        <v>0</v>
      </c>
      <c r="S17" s="37" t="n">
        <f aca="false">Q17+R17</f>
        <v>0</v>
      </c>
      <c r="T17" s="19" t="n">
        <f aca="false">N17*E17*(Inputs!$C$68+Inputs!$C$69*MAX(G17-1,0))</f>
        <v>0</v>
      </c>
      <c r="U17" s="19" t="n">
        <f aca="false">IF(N17=0,0,INDEX(Inputs!$C$105:$C$107,MATCH(C17,Inputs!$B$105:$B$107,0))+INDEX(Inputs!$D$105:$D$107,MATCH(C17,Inputs!$B$105:$B$107,0))*E17)</f>
        <v>0</v>
      </c>
      <c r="V17" s="19" t="n">
        <f aca="false">IF(N17=0,0,INDEX(Inputs!$E$105:$E$107,MATCH(C17,Inputs!$B$105:$B$107,0))*E17)</f>
        <v>0</v>
      </c>
      <c r="W17" s="19" t="n">
        <f aca="false">S17*Inputs!$C$54*M17</f>
        <v>0</v>
      </c>
      <c r="X17" s="19" t="n">
        <f aca="false">N17*L17*Inputs!$C$76/Inputs!$C$85</f>
        <v>0</v>
      </c>
      <c r="Y17" s="19" t="n">
        <f aca="false">N17*Inputs!$C$79/Inputs!$C$85</f>
        <v>0</v>
      </c>
      <c r="Z17" s="19" t="n">
        <f aca="false">N17*Inputs!$C$81/Inputs!$C$85</f>
        <v>0</v>
      </c>
      <c r="AA17" s="37" t="n">
        <f aca="false">SUM(T17:Z17)</f>
        <v>0</v>
      </c>
      <c r="AB17" s="36" t="n">
        <f aca="false">O17*Inputs!$C$89+P17*Inputs!$C$93+H17*Inputs!$C$94</f>
        <v>0</v>
      </c>
      <c r="AC17" s="36" t="n">
        <f aca="false">N17*(F17*Inputs!$C$95+(E17-F17)*Inputs!$C$96)</f>
        <v>0</v>
      </c>
      <c r="AD17" s="36" t="n">
        <f aca="false">IF(N17=0,0,INDEX(Inputs!$F$105:$F$107,MATCH(C17,Inputs!$B$105:$B$107,0))+Inputs!$C$97*G17)</f>
        <v>0</v>
      </c>
      <c r="AE17" s="36" t="n">
        <f aca="false">IF(N17=0,0,INDEX(Inputs!$G$105:$G$107,MATCH(C17,Inputs!$B$105:$B$107,0))*E17)</f>
        <v>0</v>
      </c>
      <c r="AF17" s="36" t="n">
        <f aca="false">IF(N17=0,0,INDEX(Inputs!$H$105:$H$107,MATCH(C17,Inputs!$B$105:$B$107,0))*E17)</f>
        <v>0</v>
      </c>
      <c r="AG17" s="36" t="n">
        <f aca="false">Inputs!$C$98*G17</f>
        <v>0</v>
      </c>
      <c r="AH17" s="36" t="n">
        <f aca="false">N17*Inputs!$C$99</f>
        <v>0</v>
      </c>
      <c r="AI17" s="38" t="n">
        <f aca="false">SUM(AB17:AH17)</f>
        <v>0</v>
      </c>
      <c r="AJ17" s="37" t="n">
        <f aca="false">S17-AA17</f>
        <v>0</v>
      </c>
      <c r="AK17" s="29" t="str">
        <f aca="false">IF(AI17&gt;0,AJ17/AI17,"n/a")</f>
        <v>n/a</v>
      </c>
      <c r="AL17" s="19" t="n">
        <f aca="false">T17+U17+V17+W17</f>
        <v>0</v>
      </c>
      <c r="AM17" s="19" t="n">
        <f aca="false">X17+Y17+Z17</f>
        <v>0</v>
      </c>
      <c r="AO17" s="18" t="str">
        <f aca="false">IF(OR(N17=0,AP17=0),"",WORKDAY(B17,-Inputs!$C$49,Lists!$N$4:$N$30)+N(Inputs!$C$53))</f>
        <v/>
      </c>
      <c r="AP17" s="19" t="n">
        <f aca="false">Q17*Inputs!$C$48</f>
        <v>0</v>
      </c>
      <c r="AQ17" s="18" t="str">
        <f aca="false">IF(OR(N17=0,AR17=0),"",WORKDAY(B17,-Inputs!$C$51,Lists!$N$4:$N$30)+N(Inputs!$C$53))</f>
        <v/>
      </c>
      <c r="AR17" s="19" t="n">
        <f aca="false">R17*Inputs!$C$50</f>
        <v>0</v>
      </c>
      <c r="AS17" s="18" t="str">
        <f aca="false">IF(OR(N17=0,AT17=0),"",WORKDAY(B17,Inputs!$C$52,Lists!$N$4:$N$30)+N(Inputs!$C$53))</f>
        <v/>
      </c>
      <c r="AT17" s="19" t="n">
        <f aca="false">Q17*(1-Inputs!$C$48)+R17*(1-Inputs!$C$50)</f>
        <v>0</v>
      </c>
      <c r="AU17" s="19" t="n">
        <f aca="false">AP17*Inputs!$C$54*M17</f>
        <v>0</v>
      </c>
      <c r="AV17" s="19" t="n">
        <f aca="false">AR17*Inputs!$C$54*M17</f>
        <v>0</v>
      </c>
      <c r="AW17" s="19" t="n">
        <f aca="false">AT17*Inputs!$C$54*M17</f>
        <v>0</v>
      </c>
      <c r="AX17" s="18" t="str">
        <f aca="false">IF(N17=0,"",WORKDAY(B17,-Inputs!$C$74,Lists!$N$4:$N$30))</f>
        <v/>
      </c>
      <c r="AY17" s="18" t="str">
        <f aca="false">IF(N17=0,"",B17)</f>
        <v/>
      </c>
      <c r="AZ17" s="30" t="str">
        <f aca="false">IF(Schedule!N17="Y","Y","N")</f>
        <v>N</v>
      </c>
      <c r="BA17" s="19" t="n">
        <f aca="false">IF(AZ17="Y",Drop_Actuals!D17,S17)</f>
        <v>0</v>
      </c>
      <c r="BB17" s="19" t="n">
        <f aca="false">IF(AZ17="Y",Drop_Actuals!J17,AA17)</f>
        <v>0</v>
      </c>
      <c r="BC17" s="36" t="n">
        <f aca="false">IF(AZ17="Y",Drop_Actuals!R17,AI17)</f>
        <v>0</v>
      </c>
      <c r="BD17" s="19" t="n">
        <f aca="false">BA17-BB17</f>
        <v>0</v>
      </c>
      <c r="BE17" s="28" t="str">
        <f aca="false">IF(BC17&gt;0,BD17/BC17,"n/a")</f>
        <v>n/a</v>
      </c>
      <c r="BF17" s="30" t="str">
        <f aca="false">IF(AND(N17=0,AZ17="N"),"",IF(AZ17="Y","actual","plan"))</f>
        <v/>
      </c>
      <c r="BG17" s="21" t="n">
        <f aca="false">IF(AND(N17=1,B17&gt;=Inputs!$C$17),1,0)</f>
        <v>0</v>
      </c>
      <c r="BH17" s="19" t="n">
        <f aca="false">IF(AND(AO17&lt;&gt;"",AO17&gt;=Inputs!$C$10,AO17&lt;=Cash_Flow!$AB$6),AP17-AU17,0)+IF(AND(AQ17&lt;&gt;"",AQ17&gt;=Inputs!$C$10,AQ17&lt;=Cash_Flow!$AB$6),AR17-AV17,0)+IF(AND(AS17&lt;&gt;"",AS17&gt;=Inputs!$C$10,AS17&lt;=Cash_Flow!$AB$6),AT17-AW17,0)-IF(AND(AX17&lt;&gt;"",AX17&gt;=Inputs!$C$10,AX17&lt;=Cash_Flow!$AB$6),T17+V17,0)-IF(AND(AY17&lt;&gt;"",AY17&gt;=Inputs!$C$10,AY17&lt;=Cash_Flow!$AB$6),U17,0)</f>
        <v>0</v>
      </c>
      <c r="BI17" s="19" t="n">
        <f aca="false">IF(AZ17="Y",Drop_Actuals!AM17,BH17)</f>
        <v>0</v>
      </c>
      <c r="BJ17" s="18" t="str">
        <f aca="false">IF(BG17=1,B17,"")</f>
        <v/>
      </c>
    </row>
    <row r="18" customFormat="false" ht="15" hidden="false" customHeight="false" outlineLevel="0" collapsed="false">
      <c r="A18" s="30" t="str">
        <f aca="false">Schedule!A18</f>
        <v>DRP-012</v>
      </c>
      <c r="B18" s="18" t="str">
        <f aca="false">IF(Schedule!E18="","",Schedule!E18)</f>
        <v/>
      </c>
      <c r="C18" s="30" t="str">
        <f aca="false">IF(Schedule!G18="","",Schedule!G18)</f>
        <v/>
      </c>
      <c r="D18" s="30" t="str">
        <f aca="false">IF(Schedule!H18="","",Schedule!H18)</f>
        <v/>
      </c>
      <c r="E18" s="21" t="n">
        <f aca="false">N(Schedule!I18)</f>
        <v>0</v>
      </c>
      <c r="F18" s="21" t="n">
        <f aca="false">N(Schedule!J18)</f>
        <v>0</v>
      </c>
      <c r="G18" s="30" t="n">
        <f aca="false">N(Schedule!K18)</f>
        <v>0</v>
      </c>
      <c r="H18" s="30" t="n">
        <f aca="false">N(Schedule!L18)</f>
        <v>0</v>
      </c>
      <c r="I18" s="30" t="n">
        <f aca="false">N(Schedule!M18)</f>
        <v>0</v>
      </c>
      <c r="J18" s="19" t="n">
        <f aca="false">IF(AND(B18&lt;&gt;"",B18&gt;Inputs!$C$15),Scenarios!$H$14,Inputs!$C$39)</f>
        <v>150</v>
      </c>
      <c r="K18" s="19" t="n">
        <f aca="false">Inputs!$C$42</f>
        <v>120</v>
      </c>
      <c r="L18" s="21" t="n">
        <f aca="false">IF(AND(Inputs!$C$75="unit",B18&lt;&gt;"",Inputs!$C$77&lt;&gt;"",B18&gt;=Inputs!$C$77,OR(Inputs!$C$78="",B18&lt;=Inputs!$C$78)),1,0)</f>
        <v>0</v>
      </c>
      <c r="M18" s="21" t="n">
        <f aca="false">Inputs!$C$55</f>
        <v>1</v>
      </c>
      <c r="N18" s="21" t="n">
        <f aca="false">IF(G18&gt;0,1,0)</f>
        <v>0</v>
      </c>
      <c r="O18" s="30" t="n">
        <f aca="false">IF(D18="founding",G18-H18,0)</f>
        <v>0</v>
      </c>
      <c r="P18" s="30" t="n">
        <f aca="false">IF(D18="standard",G18-H18,0)</f>
        <v>0</v>
      </c>
      <c r="Q18" s="19" t="n">
        <f aca="false">O18*(K18*MIN(E18,Inputs!$C$43)+Inputs!$C$45*MAX(E18-Inputs!$C$43,0))+I18*K18*E18</f>
        <v>0</v>
      </c>
      <c r="R18" s="19" t="n">
        <f aca="false">(P18+H18-I18)*(J18*MIN(E18,Inputs!$C$40)+Inputs!$C$45*MAX(E18-Inputs!$C$40,0))</f>
        <v>0</v>
      </c>
      <c r="S18" s="37" t="n">
        <f aca="false">Q18+R18</f>
        <v>0</v>
      </c>
      <c r="T18" s="19" t="n">
        <f aca="false">N18*E18*(Inputs!$C$68+Inputs!$C$69*MAX(G18-1,0))</f>
        <v>0</v>
      </c>
      <c r="U18" s="19" t="n">
        <f aca="false">IF(N18=0,0,INDEX(Inputs!$C$105:$C$107,MATCH(C18,Inputs!$B$105:$B$107,0))+INDEX(Inputs!$D$105:$D$107,MATCH(C18,Inputs!$B$105:$B$107,0))*E18)</f>
        <v>0</v>
      </c>
      <c r="V18" s="19" t="n">
        <f aca="false">IF(N18=0,0,INDEX(Inputs!$E$105:$E$107,MATCH(C18,Inputs!$B$105:$B$107,0))*E18)</f>
        <v>0</v>
      </c>
      <c r="W18" s="19" t="n">
        <f aca="false">S18*Inputs!$C$54*M18</f>
        <v>0</v>
      </c>
      <c r="X18" s="19" t="n">
        <f aca="false">N18*L18*Inputs!$C$76/Inputs!$C$85</f>
        <v>0</v>
      </c>
      <c r="Y18" s="19" t="n">
        <f aca="false">N18*Inputs!$C$79/Inputs!$C$85</f>
        <v>0</v>
      </c>
      <c r="Z18" s="19" t="n">
        <f aca="false">N18*Inputs!$C$81/Inputs!$C$85</f>
        <v>0</v>
      </c>
      <c r="AA18" s="37" t="n">
        <f aca="false">SUM(T18:Z18)</f>
        <v>0</v>
      </c>
      <c r="AB18" s="36" t="n">
        <f aca="false">O18*Inputs!$C$89+P18*Inputs!$C$93+H18*Inputs!$C$94</f>
        <v>0</v>
      </c>
      <c r="AC18" s="36" t="n">
        <f aca="false">N18*(F18*Inputs!$C$95+(E18-F18)*Inputs!$C$96)</f>
        <v>0</v>
      </c>
      <c r="AD18" s="36" t="n">
        <f aca="false">IF(N18=0,0,INDEX(Inputs!$F$105:$F$107,MATCH(C18,Inputs!$B$105:$B$107,0))+Inputs!$C$97*G18)</f>
        <v>0</v>
      </c>
      <c r="AE18" s="36" t="n">
        <f aca="false">IF(N18=0,0,INDEX(Inputs!$G$105:$G$107,MATCH(C18,Inputs!$B$105:$B$107,0))*E18)</f>
        <v>0</v>
      </c>
      <c r="AF18" s="36" t="n">
        <f aca="false">IF(N18=0,0,INDEX(Inputs!$H$105:$H$107,MATCH(C18,Inputs!$B$105:$B$107,0))*E18)</f>
        <v>0</v>
      </c>
      <c r="AG18" s="36" t="n">
        <f aca="false">Inputs!$C$98*G18</f>
        <v>0</v>
      </c>
      <c r="AH18" s="36" t="n">
        <f aca="false">N18*Inputs!$C$99</f>
        <v>0</v>
      </c>
      <c r="AI18" s="38" t="n">
        <f aca="false">SUM(AB18:AH18)</f>
        <v>0</v>
      </c>
      <c r="AJ18" s="37" t="n">
        <f aca="false">S18-AA18</f>
        <v>0</v>
      </c>
      <c r="AK18" s="29" t="str">
        <f aca="false">IF(AI18&gt;0,AJ18/AI18,"n/a")</f>
        <v>n/a</v>
      </c>
      <c r="AL18" s="19" t="n">
        <f aca="false">T18+U18+V18+W18</f>
        <v>0</v>
      </c>
      <c r="AM18" s="19" t="n">
        <f aca="false">X18+Y18+Z18</f>
        <v>0</v>
      </c>
      <c r="AO18" s="18" t="str">
        <f aca="false">IF(OR(N18=0,AP18=0),"",WORKDAY(B18,-Inputs!$C$49,Lists!$N$4:$N$30)+N(Inputs!$C$53))</f>
        <v/>
      </c>
      <c r="AP18" s="19" t="n">
        <f aca="false">Q18*Inputs!$C$48</f>
        <v>0</v>
      </c>
      <c r="AQ18" s="18" t="str">
        <f aca="false">IF(OR(N18=0,AR18=0),"",WORKDAY(B18,-Inputs!$C$51,Lists!$N$4:$N$30)+N(Inputs!$C$53))</f>
        <v/>
      </c>
      <c r="AR18" s="19" t="n">
        <f aca="false">R18*Inputs!$C$50</f>
        <v>0</v>
      </c>
      <c r="AS18" s="18" t="str">
        <f aca="false">IF(OR(N18=0,AT18=0),"",WORKDAY(B18,Inputs!$C$52,Lists!$N$4:$N$30)+N(Inputs!$C$53))</f>
        <v/>
      </c>
      <c r="AT18" s="19" t="n">
        <f aca="false">Q18*(1-Inputs!$C$48)+R18*(1-Inputs!$C$50)</f>
        <v>0</v>
      </c>
      <c r="AU18" s="19" t="n">
        <f aca="false">AP18*Inputs!$C$54*M18</f>
        <v>0</v>
      </c>
      <c r="AV18" s="19" t="n">
        <f aca="false">AR18*Inputs!$C$54*M18</f>
        <v>0</v>
      </c>
      <c r="AW18" s="19" t="n">
        <f aca="false">AT18*Inputs!$C$54*M18</f>
        <v>0</v>
      </c>
      <c r="AX18" s="18" t="str">
        <f aca="false">IF(N18=0,"",WORKDAY(B18,-Inputs!$C$74,Lists!$N$4:$N$30))</f>
        <v/>
      </c>
      <c r="AY18" s="18" t="str">
        <f aca="false">IF(N18=0,"",B18)</f>
        <v/>
      </c>
      <c r="AZ18" s="30" t="str">
        <f aca="false">IF(Schedule!N18="Y","Y","N")</f>
        <v>N</v>
      </c>
      <c r="BA18" s="19" t="n">
        <f aca="false">IF(AZ18="Y",Drop_Actuals!D18,S18)</f>
        <v>0</v>
      </c>
      <c r="BB18" s="19" t="n">
        <f aca="false">IF(AZ18="Y",Drop_Actuals!J18,AA18)</f>
        <v>0</v>
      </c>
      <c r="BC18" s="36" t="n">
        <f aca="false">IF(AZ18="Y",Drop_Actuals!R18,AI18)</f>
        <v>0</v>
      </c>
      <c r="BD18" s="19" t="n">
        <f aca="false">BA18-BB18</f>
        <v>0</v>
      </c>
      <c r="BE18" s="28" t="str">
        <f aca="false">IF(BC18&gt;0,BD18/BC18,"n/a")</f>
        <v>n/a</v>
      </c>
      <c r="BF18" s="30" t="str">
        <f aca="false">IF(AND(N18=0,AZ18="N"),"",IF(AZ18="Y","actual","plan"))</f>
        <v/>
      </c>
      <c r="BG18" s="21" t="n">
        <f aca="false">IF(AND(N18=1,B18&gt;=Inputs!$C$17),1,0)</f>
        <v>0</v>
      </c>
      <c r="BH18" s="19" t="n">
        <f aca="false">IF(AND(AO18&lt;&gt;"",AO18&gt;=Inputs!$C$10,AO18&lt;=Cash_Flow!$AB$6),AP18-AU18,0)+IF(AND(AQ18&lt;&gt;"",AQ18&gt;=Inputs!$C$10,AQ18&lt;=Cash_Flow!$AB$6),AR18-AV18,0)+IF(AND(AS18&lt;&gt;"",AS18&gt;=Inputs!$C$10,AS18&lt;=Cash_Flow!$AB$6),AT18-AW18,0)-IF(AND(AX18&lt;&gt;"",AX18&gt;=Inputs!$C$10,AX18&lt;=Cash_Flow!$AB$6),T18+V18,0)-IF(AND(AY18&lt;&gt;"",AY18&gt;=Inputs!$C$10,AY18&lt;=Cash_Flow!$AB$6),U18,0)</f>
        <v>0</v>
      </c>
      <c r="BI18" s="19" t="n">
        <f aca="false">IF(AZ18="Y",Drop_Actuals!AM18,BH18)</f>
        <v>0</v>
      </c>
      <c r="BJ18" s="18" t="str">
        <f aca="false">IF(BG18=1,B18,"")</f>
        <v/>
      </c>
    </row>
    <row r="19" customFormat="false" ht="15" hidden="false" customHeight="false" outlineLevel="0" collapsed="false">
      <c r="A19" s="9" t="s">
        <v>1080</v>
      </c>
      <c r="E19" s="22" t="n">
        <f aca="false">SUM(E7:E18)</f>
        <v>45</v>
      </c>
      <c r="F19" s="22" t="n">
        <f aca="false">SUM(F7:F18)</f>
        <v>12</v>
      </c>
      <c r="G19" s="9" t="n">
        <f aca="false">SUM(G7:G18)</f>
        <v>14</v>
      </c>
      <c r="H19" s="9" t="n">
        <f aca="false">SUM(H7:H18)</f>
        <v>2</v>
      </c>
      <c r="S19" s="37" t="n">
        <f aca="false">SUM(S7:S18)</f>
        <v>19200</v>
      </c>
      <c r="T19" s="37" t="n">
        <f aca="false">SUM(T7:T18)</f>
        <v>360</v>
      </c>
      <c r="U19" s="37" t="n">
        <f aca="false">SUM(U7:U18)</f>
        <v>720</v>
      </c>
      <c r="V19" s="37" t="n">
        <f aca="false">SUM(V7:V18)</f>
        <v>0</v>
      </c>
      <c r="W19" s="37" t="n">
        <f aca="false">SUM(W7:W18)</f>
        <v>576</v>
      </c>
      <c r="X19" s="37" t="n">
        <f aca="false">SUM(X7:X18)</f>
        <v>300</v>
      </c>
      <c r="Y19" s="37" t="n">
        <f aca="false">SUM(Y7:Y18)</f>
        <v>150</v>
      </c>
      <c r="Z19" s="37" t="n">
        <f aca="false">SUM(Z7:Z18)</f>
        <v>250</v>
      </c>
      <c r="AA19" s="37" t="n">
        <f aca="false">SUM(AA7:AA18)</f>
        <v>2356</v>
      </c>
      <c r="AB19" s="38" t="n">
        <f aca="false">SUM(AB7:AB18)</f>
        <v>84</v>
      </c>
      <c r="AC19" s="38" t="n">
        <f aca="false">SUM(AC7:AC18)</f>
        <v>81</v>
      </c>
      <c r="AD19" s="38" t="n">
        <f aca="false">SUM(AD7:AD18)</f>
        <v>15</v>
      </c>
      <c r="AE19" s="38" t="n">
        <f aca="false">SUM(AE7:AE18)</f>
        <v>27</v>
      </c>
      <c r="AF19" s="38" t="n">
        <f aca="false">SUM(AF7:AF18)</f>
        <v>19</v>
      </c>
      <c r="AG19" s="38" t="n">
        <f aca="false">SUM(AG7:AG18)</f>
        <v>28</v>
      </c>
      <c r="AH19" s="38" t="n">
        <f aca="false">SUM(AH7:AH18)</f>
        <v>10</v>
      </c>
      <c r="AI19" s="38" t="n">
        <f aca="false">SUM(AI7:AI18)</f>
        <v>264</v>
      </c>
      <c r="AJ19" s="37" t="n">
        <f aca="false">SUM(AJ7:AJ18)</f>
        <v>16844</v>
      </c>
      <c r="AK19" s="29" t="n">
        <f aca="false">IF(AI19&gt;0,AJ19/AI19,"n/a")</f>
        <v>63.8030303030303</v>
      </c>
      <c r="AL19" s="37" t="n">
        <f aca="false">SUM(AL7:AL18)</f>
        <v>1656</v>
      </c>
      <c r="AM19" s="37" t="n">
        <f aca="false">SUM(AM7:AM18)</f>
        <v>700</v>
      </c>
      <c r="AP19" s="37" t="n">
        <f aca="false">SUM(AP7:AP18)</f>
        <v>1200</v>
      </c>
      <c r="AR19" s="37" t="n">
        <f aca="false">SUM(AR7:AR18)</f>
        <v>9000</v>
      </c>
      <c r="AT19" s="37" t="n">
        <f aca="false">SUM(AT7:AT18)</f>
        <v>9000</v>
      </c>
      <c r="AU19" s="37" t="n">
        <f aca="false">SUM(AU7:AU18)</f>
        <v>36</v>
      </c>
      <c r="AV19" s="37" t="n">
        <f aca="false">SUM(AV7:AV18)</f>
        <v>270</v>
      </c>
      <c r="AW19" s="37" t="n">
        <f aca="false">SUM(AW7:AW18)</f>
        <v>270</v>
      </c>
      <c r="BA19" s="37" t="n">
        <f aca="false">SUM(BA7:BA18)</f>
        <v>19200</v>
      </c>
      <c r="BB19" s="37" t="n">
        <f aca="false">SUM(BB7:BB18)</f>
        <v>2356</v>
      </c>
      <c r="BC19" s="38" t="n">
        <f aca="false">SUM(BC7:BC18)</f>
        <v>264</v>
      </c>
      <c r="BD19" s="37" t="n">
        <f aca="false">SUM(BD7:BD18)</f>
        <v>16844</v>
      </c>
      <c r="BE19" s="29" t="n">
        <f aca="false">IF(BC19&gt;0,BD19/BC19,"n/a")</f>
        <v>63.8030303030303</v>
      </c>
      <c r="BH19" s="37" t="n">
        <f aca="false">SUM(BH7:BH18)</f>
        <v>17544</v>
      </c>
      <c r="BI19" s="37" t="n">
        <f aca="false">SUM(BI7:BI18)</f>
        <v>17544</v>
      </c>
    </row>
  </sheetData>
  <mergeCells count="11">
    <mergeCell ref="A3:AM3"/>
    <mergeCell ref="A5:C5"/>
    <mergeCell ref="E5:M5"/>
    <mergeCell ref="N5:S5"/>
    <mergeCell ref="T5:AA5"/>
    <mergeCell ref="AB5:AI5"/>
    <mergeCell ref="AJ5:AK5"/>
    <mergeCell ref="AL5:AM5"/>
    <mergeCell ref="AO5:AY5"/>
    <mergeCell ref="AZ5:BG5"/>
    <mergeCell ref="BH5:BI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C77"/>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7" topLeftCell="C8" activePane="bottomRight" state="frozen"/>
      <selection pane="topLeft" activeCell="A1" activeCellId="0" sqref="A1"/>
      <selection pane="topRight" activeCell="C1" activeCellId="0" sqref="C1"/>
      <selection pane="bottomLeft" activeCell="A8" activeCellId="0" sqref="A8"/>
      <selection pane="bottomRigh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58"/>
    <col collapsed="false" customWidth="true" hidden="false" outlineLevel="0" max="28" min="3" style="0" width="9.51"/>
    <col collapsed="false" customWidth="true" hidden="false" outlineLevel="0" max="29" min="29" style="0" width="12"/>
  </cols>
  <sheetData>
    <row r="1" customFormat="false" ht="18.55" hidden="false" customHeight="false" outlineLevel="0" collapsed="false">
      <c r="A1" s="1" t="s">
        <v>1081</v>
      </c>
    </row>
    <row r="2" customFormat="false" ht="15" hidden="false" customHeight="false" outlineLevel="0" collapsed="false">
      <c r="A2" s="2" t="s">
        <v>1082</v>
      </c>
    </row>
    <row r="3" customFormat="false" ht="30" hidden="false" customHeight="true" outlineLevel="0" collapsed="false">
      <c r="A3" s="8" t="s">
        <v>1083</v>
      </c>
      <c r="B3" s="8"/>
      <c r="C3" s="8"/>
      <c r="D3" s="8"/>
      <c r="E3" s="8"/>
      <c r="F3" s="8"/>
      <c r="G3" s="8"/>
      <c r="H3" s="8"/>
      <c r="I3" s="8"/>
      <c r="J3" s="8"/>
      <c r="K3" s="8"/>
      <c r="L3" s="8"/>
      <c r="M3" s="8"/>
      <c r="N3" s="8"/>
      <c r="O3" s="8"/>
      <c r="P3" s="8"/>
      <c r="Q3" s="8"/>
      <c r="R3" s="8"/>
      <c r="S3" s="8"/>
      <c r="T3" s="8"/>
      <c r="U3" s="8"/>
      <c r="V3" s="8"/>
      <c r="W3" s="8"/>
      <c r="X3" s="8"/>
      <c r="Y3" s="8"/>
      <c r="Z3" s="8"/>
      <c r="AA3" s="8"/>
      <c r="AB3" s="8"/>
      <c r="AC3" s="8"/>
    </row>
    <row r="4" customFormat="false" ht="15" hidden="false" customHeight="false" outlineLevel="0" collapsed="false">
      <c r="B4" s="9" t="s">
        <v>1084</v>
      </c>
      <c r="C4" s="88" t="n">
        <v>1</v>
      </c>
      <c r="D4" s="88" t="n">
        <v>2</v>
      </c>
      <c r="E4" s="88" t="n">
        <v>3</v>
      </c>
      <c r="F4" s="88" t="n">
        <v>4</v>
      </c>
      <c r="G4" s="88" t="n">
        <v>5</v>
      </c>
      <c r="H4" s="88" t="n">
        <v>6</v>
      </c>
      <c r="I4" s="88" t="n">
        <v>7</v>
      </c>
      <c r="J4" s="88" t="n">
        <v>8</v>
      </c>
      <c r="K4" s="88" t="n">
        <v>9</v>
      </c>
      <c r="L4" s="88" t="n">
        <v>10</v>
      </c>
      <c r="M4" s="88" t="n">
        <v>11</v>
      </c>
      <c r="N4" s="88" t="n">
        <v>12</v>
      </c>
      <c r="O4" s="88" t="n">
        <v>13</v>
      </c>
      <c r="P4" s="88" t="n">
        <v>14</v>
      </c>
      <c r="Q4" s="88" t="n">
        <v>15</v>
      </c>
      <c r="R4" s="88" t="n">
        <v>16</v>
      </c>
      <c r="S4" s="88" t="n">
        <v>17</v>
      </c>
      <c r="T4" s="88" t="n">
        <v>18</v>
      </c>
      <c r="U4" s="88" t="n">
        <v>19</v>
      </c>
      <c r="V4" s="88" t="n">
        <v>20</v>
      </c>
      <c r="W4" s="88" t="n">
        <v>21</v>
      </c>
      <c r="X4" s="88" t="n">
        <v>22</v>
      </c>
      <c r="Y4" s="88" t="n">
        <v>23</v>
      </c>
      <c r="Z4" s="88" t="n">
        <v>24</v>
      </c>
      <c r="AA4" s="88" t="n">
        <v>25</v>
      </c>
      <c r="AB4" s="88" t="n">
        <v>26</v>
      </c>
      <c r="AC4" s="88" t="s">
        <v>1085</v>
      </c>
    </row>
    <row r="5" customFormat="false" ht="15" hidden="false" customHeight="false" outlineLevel="0" collapsed="false">
      <c r="B5" s="9" t="s">
        <v>1086</v>
      </c>
      <c r="C5" s="89" t="n">
        <f aca="false">Inputs!$C$10</f>
        <v>46321</v>
      </c>
      <c r="D5" s="89" t="n">
        <f aca="false">C5+Inputs!$C$18</f>
        <v>46328</v>
      </c>
      <c r="E5" s="89" t="n">
        <f aca="false">D5+Inputs!$C$18</f>
        <v>46335</v>
      </c>
      <c r="F5" s="89" t="n">
        <f aca="false">E5+Inputs!$C$18</f>
        <v>46342</v>
      </c>
      <c r="G5" s="89" t="n">
        <f aca="false">F5+Inputs!$C$18</f>
        <v>46349</v>
      </c>
      <c r="H5" s="89" t="n">
        <f aca="false">G5+Inputs!$C$18</f>
        <v>46356</v>
      </c>
      <c r="I5" s="89" t="n">
        <f aca="false">H5+Inputs!$C$18</f>
        <v>46363</v>
      </c>
      <c r="J5" s="89" t="n">
        <f aca="false">I5+Inputs!$C$18</f>
        <v>46370</v>
      </c>
      <c r="K5" s="89" t="n">
        <f aca="false">J5+Inputs!$C$18</f>
        <v>46377</v>
      </c>
      <c r="L5" s="89" t="n">
        <f aca="false">K5+Inputs!$C$18</f>
        <v>46384</v>
      </c>
      <c r="M5" s="89" t="n">
        <f aca="false">L5+Inputs!$C$18</f>
        <v>46391</v>
      </c>
      <c r="N5" s="89" t="n">
        <f aca="false">M5+Inputs!$C$18</f>
        <v>46398</v>
      </c>
      <c r="O5" s="89" t="n">
        <f aca="false">N5+Inputs!$C$18</f>
        <v>46405</v>
      </c>
      <c r="P5" s="89" t="n">
        <f aca="false">O5+Inputs!$C$18</f>
        <v>46412</v>
      </c>
      <c r="Q5" s="89" t="n">
        <f aca="false">P5+Inputs!$C$18</f>
        <v>46419</v>
      </c>
      <c r="R5" s="89" t="n">
        <f aca="false">Q5+Inputs!$C$18</f>
        <v>46426</v>
      </c>
      <c r="S5" s="89" t="n">
        <f aca="false">R5+Inputs!$C$18</f>
        <v>46433</v>
      </c>
      <c r="T5" s="89" t="n">
        <f aca="false">S5+Inputs!$C$18</f>
        <v>46440</v>
      </c>
      <c r="U5" s="89" t="n">
        <f aca="false">T5+Inputs!$C$18</f>
        <v>46447</v>
      </c>
      <c r="V5" s="89" t="n">
        <f aca="false">U5+Inputs!$C$18</f>
        <v>46454</v>
      </c>
      <c r="W5" s="89" t="n">
        <f aca="false">V5+Inputs!$C$18</f>
        <v>46461</v>
      </c>
      <c r="X5" s="89" t="n">
        <f aca="false">W5+Inputs!$C$18</f>
        <v>46468</v>
      </c>
      <c r="Y5" s="89" t="n">
        <f aca="false">X5+Inputs!$C$18</f>
        <v>46475</v>
      </c>
      <c r="Z5" s="89" t="n">
        <f aca="false">Y5+Inputs!$C$18</f>
        <v>46482</v>
      </c>
      <c r="AA5" s="89" t="n">
        <f aca="false">Z5+Inputs!$C$18</f>
        <v>46489</v>
      </c>
      <c r="AB5" s="89" t="n">
        <f aca="false">AA5+Inputs!$C$18</f>
        <v>46496</v>
      </c>
    </row>
    <row r="6" customFormat="false" ht="15" hidden="false" customHeight="false" outlineLevel="0" collapsed="false">
      <c r="B6" s="9" t="s">
        <v>1087</v>
      </c>
      <c r="C6" s="89" t="n">
        <f aca="false">C5+Inputs!$C$18-1</f>
        <v>46327</v>
      </c>
      <c r="D6" s="89" t="n">
        <f aca="false">D5+Inputs!$C$18-1</f>
        <v>46334</v>
      </c>
      <c r="E6" s="89" t="n">
        <f aca="false">E5+Inputs!$C$18-1</f>
        <v>46341</v>
      </c>
      <c r="F6" s="89" t="n">
        <f aca="false">F5+Inputs!$C$18-1</f>
        <v>46348</v>
      </c>
      <c r="G6" s="89" t="n">
        <f aca="false">G5+Inputs!$C$18-1</f>
        <v>46355</v>
      </c>
      <c r="H6" s="89" t="n">
        <f aca="false">H5+Inputs!$C$18-1</f>
        <v>46362</v>
      </c>
      <c r="I6" s="89" t="n">
        <f aca="false">I5+Inputs!$C$18-1</f>
        <v>46369</v>
      </c>
      <c r="J6" s="89" t="n">
        <f aca="false">J5+Inputs!$C$18-1</f>
        <v>46376</v>
      </c>
      <c r="K6" s="89" t="n">
        <f aca="false">K5+Inputs!$C$18-1</f>
        <v>46383</v>
      </c>
      <c r="L6" s="89" t="n">
        <f aca="false">L5+Inputs!$C$18-1</f>
        <v>46390</v>
      </c>
      <c r="M6" s="89" t="n">
        <f aca="false">M5+Inputs!$C$18-1</f>
        <v>46397</v>
      </c>
      <c r="N6" s="89" t="n">
        <f aca="false">N5+Inputs!$C$18-1</f>
        <v>46404</v>
      </c>
      <c r="O6" s="89" t="n">
        <f aca="false">O5+Inputs!$C$18-1</f>
        <v>46411</v>
      </c>
      <c r="P6" s="89" t="n">
        <f aca="false">P5+Inputs!$C$18-1</f>
        <v>46418</v>
      </c>
      <c r="Q6" s="89" t="n">
        <f aca="false">Q5+Inputs!$C$18-1</f>
        <v>46425</v>
      </c>
      <c r="R6" s="89" t="n">
        <f aca="false">R5+Inputs!$C$18-1</f>
        <v>46432</v>
      </c>
      <c r="S6" s="89" t="n">
        <f aca="false">S5+Inputs!$C$18-1</f>
        <v>46439</v>
      </c>
      <c r="T6" s="89" t="n">
        <f aca="false">T5+Inputs!$C$18-1</f>
        <v>46446</v>
      </c>
      <c r="U6" s="89" t="n">
        <f aca="false">U5+Inputs!$C$18-1</f>
        <v>46453</v>
      </c>
      <c r="V6" s="89" t="n">
        <f aca="false">V5+Inputs!$C$18-1</f>
        <v>46460</v>
      </c>
      <c r="W6" s="89" t="n">
        <f aca="false">W5+Inputs!$C$18-1</f>
        <v>46467</v>
      </c>
      <c r="X6" s="89" t="n">
        <f aca="false">X5+Inputs!$C$18-1</f>
        <v>46474</v>
      </c>
      <c r="Y6" s="89" t="n">
        <f aca="false">Y5+Inputs!$C$18-1</f>
        <v>46481</v>
      </c>
      <c r="Z6" s="89" t="n">
        <f aca="false">Z5+Inputs!$C$18-1</f>
        <v>46488</v>
      </c>
      <c r="AA6" s="89" t="n">
        <f aca="false">AA5+Inputs!$C$18-1</f>
        <v>46495</v>
      </c>
      <c r="AB6" s="89" t="n">
        <f aca="false">AB5+Inputs!$C$18-1</f>
        <v>46502</v>
      </c>
    </row>
    <row r="7" customFormat="false" ht="15" hidden="false" customHeight="false" outlineLevel="0" collapsed="false">
      <c r="B7" s="9" t="s">
        <v>1088</v>
      </c>
      <c r="C7" s="32" t="str">
        <f aca="false">TEXT(C5,"mmm yyyy")</f>
        <v>Oct 2026</v>
      </c>
      <c r="D7" s="32" t="str">
        <f aca="false">TEXT(D5,"mmm yyyy")</f>
        <v>Nov 2026</v>
      </c>
      <c r="E7" s="32" t="str">
        <f aca="false">TEXT(E5,"mmm yyyy")</f>
        <v>Nov 2026</v>
      </c>
      <c r="F7" s="32" t="str">
        <f aca="false">TEXT(F5,"mmm yyyy")</f>
        <v>Nov 2026</v>
      </c>
      <c r="G7" s="32" t="str">
        <f aca="false">TEXT(G5,"mmm yyyy")</f>
        <v>Nov 2026</v>
      </c>
      <c r="H7" s="32" t="str">
        <f aca="false">TEXT(H5,"mmm yyyy")</f>
        <v>Nov 2026</v>
      </c>
      <c r="I7" s="32" t="str">
        <f aca="false">TEXT(I5,"mmm yyyy")</f>
        <v>Dec 2026</v>
      </c>
      <c r="J7" s="32" t="str">
        <f aca="false">TEXT(J5,"mmm yyyy")</f>
        <v>Dec 2026</v>
      </c>
      <c r="K7" s="32" t="str">
        <f aca="false">TEXT(K5,"mmm yyyy")</f>
        <v>Dec 2026</v>
      </c>
      <c r="L7" s="32" t="str">
        <f aca="false">TEXT(L5,"mmm yyyy")</f>
        <v>Dec 2026</v>
      </c>
      <c r="M7" s="32" t="str">
        <f aca="false">TEXT(M5,"mmm yyyy")</f>
        <v>Jan 2027</v>
      </c>
      <c r="N7" s="32" t="str">
        <f aca="false">TEXT(N5,"mmm yyyy")</f>
        <v>Jan 2027</v>
      </c>
      <c r="O7" s="32" t="str">
        <f aca="false">TEXT(O5,"mmm yyyy")</f>
        <v>Jan 2027</v>
      </c>
      <c r="P7" s="32" t="str">
        <f aca="false">TEXT(P5,"mmm yyyy")</f>
        <v>Jan 2027</v>
      </c>
      <c r="Q7" s="32" t="str">
        <f aca="false">TEXT(Q5,"mmm yyyy")</f>
        <v>Feb 2027</v>
      </c>
      <c r="R7" s="32" t="str">
        <f aca="false">TEXT(R5,"mmm yyyy")</f>
        <v>Feb 2027</v>
      </c>
      <c r="S7" s="32" t="str">
        <f aca="false">TEXT(S5,"mmm yyyy")</f>
        <v>Feb 2027</v>
      </c>
      <c r="T7" s="32" t="str">
        <f aca="false">TEXT(T5,"mmm yyyy")</f>
        <v>Feb 2027</v>
      </c>
      <c r="U7" s="32" t="str">
        <f aca="false">TEXT(U5,"mmm yyyy")</f>
        <v>Mar 2027</v>
      </c>
      <c r="V7" s="32" t="str">
        <f aca="false">TEXT(V5,"mmm yyyy")</f>
        <v>Mar 2027</v>
      </c>
      <c r="W7" s="32" t="str">
        <f aca="false">TEXT(W5,"mmm yyyy")</f>
        <v>Mar 2027</v>
      </c>
      <c r="X7" s="32" t="str">
        <f aca="false">TEXT(X5,"mmm yyyy")</f>
        <v>Mar 2027</v>
      </c>
      <c r="Y7" s="32" t="str">
        <f aca="false">TEXT(Y5,"mmm yyyy")</f>
        <v>Mar 2027</v>
      </c>
      <c r="Z7" s="32" t="str">
        <f aca="false">TEXT(Z5,"mmm yyyy")</f>
        <v>Apr 2027</v>
      </c>
      <c r="AA7" s="32" t="str">
        <f aca="false">TEXT(AA5,"mmm yyyy")</f>
        <v>Apr 2027</v>
      </c>
      <c r="AB7" s="32" t="str">
        <f aca="false">TEXT(AB5,"mmm yyyy")</f>
        <v>Apr 2027</v>
      </c>
    </row>
    <row r="8" customFormat="false" ht="15" hidden="false" customHeight="false" outlineLevel="0" collapsed="false">
      <c r="A8" s="3" t="s">
        <v>1089</v>
      </c>
      <c r="B8" s="4"/>
      <c r="C8" s="4"/>
      <c r="D8" s="4"/>
      <c r="E8" s="4"/>
      <c r="F8" s="4"/>
      <c r="G8" s="4"/>
      <c r="H8" s="4"/>
      <c r="I8" s="4"/>
      <c r="J8" s="4"/>
      <c r="K8" s="4"/>
      <c r="L8" s="4"/>
      <c r="M8" s="4"/>
      <c r="N8" s="4"/>
      <c r="O8" s="4"/>
      <c r="P8" s="4"/>
      <c r="Q8" s="4"/>
      <c r="R8" s="4"/>
      <c r="S8" s="4"/>
      <c r="T8" s="4"/>
      <c r="U8" s="4"/>
      <c r="V8" s="4"/>
      <c r="W8" s="4"/>
      <c r="X8" s="4"/>
      <c r="Y8" s="4"/>
      <c r="Z8" s="4"/>
      <c r="AA8" s="4"/>
      <c r="AB8" s="4"/>
      <c r="AC8" s="4"/>
    </row>
    <row r="9" customFormat="false" ht="15" hidden="false" customHeight="false" outlineLevel="0" collapsed="false">
      <c r="B9" s="30" t="s">
        <v>1090</v>
      </c>
      <c r="C9" s="19" t="n">
        <f aca="false">SUMIFS(Drop_PnL!$AP$7:$AP$18,Drop_PnL!$AO$7:$AO$18,"&gt;="&amp;C$5,Drop_PnL!$AO$7:$AO$18,"&lt;="&amp;C$6,Drop_PnL!$AZ$7:$AZ$18,"N")+SUMIFS(Drop_PnL!$AR$7:$AR$18,Drop_PnL!$AQ$7:$AQ$18,"&gt;="&amp;C$5,Drop_PnL!$AQ$7:$AQ$18,"&lt;="&amp;C$6,Drop_PnL!$AZ$7:$AZ$18,"N")+SUMIFS(Drop_PnL!$AT$7:$AT$18,Drop_PnL!$AS$7:$AS$18,"&gt;="&amp;C$5,Drop_PnL!$AS$7:$AS$18,"&lt;="&amp;C$6,Drop_PnL!$AZ$7:$AZ$18,"N")</f>
        <v>0</v>
      </c>
      <c r="D9" s="19" t="n">
        <f aca="false">SUMIFS(Drop_PnL!$AP$7:$AP$18,Drop_PnL!$AO$7:$AO$18,"&gt;="&amp;D$5,Drop_PnL!$AO$7:$AO$18,"&lt;="&amp;D$6,Drop_PnL!$AZ$7:$AZ$18,"N")+SUMIFS(Drop_PnL!$AR$7:$AR$18,Drop_PnL!$AQ$7:$AQ$18,"&gt;="&amp;D$5,Drop_PnL!$AQ$7:$AQ$18,"&lt;="&amp;D$6,Drop_PnL!$AZ$7:$AZ$18,"N")+SUMIFS(Drop_PnL!$AT$7:$AT$18,Drop_PnL!$AS$7:$AS$18,"&gt;="&amp;D$5,Drop_PnL!$AS$7:$AS$18,"&lt;="&amp;D$6,Drop_PnL!$AZ$7:$AZ$18,"N")</f>
        <v>0</v>
      </c>
      <c r="E9" s="19" t="n">
        <f aca="false">SUMIFS(Drop_PnL!$AP$7:$AP$18,Drop_PnL!$AO$7:$AO$18,"&gt;="&amp;E$5,Drop_PnL!$AO$7:$AO$18,"&lt;="&amp;E$6,Drop_PnL!$AZ$7:$AZ$18,"N")+SUMIFS(Drop_PnL!$AR$7:$AR$18,Drop_PnL!$AQ$7:$AQ$18,"&gt;="&amp;E$5,Drop_PnL!$AQ$7:$AQ$18,"&lt;="&amp;E$6,Drop_PnL!$AZ$7:$AZ$18,"N")+SUMIFS(Drop_PnL!$AT$7:$AT$18,Drop_PnL!$AS$7:$AS$18,"&gt;="&amp;E$5,Drop_PnL!$AS$7:$AS$18,"&lt;="&amp;E$6,Drop_PnL!$AZ$7:$AZ$18,"N")</f>
        <v>0</v>
      </c>
      <c r="F9" s="19" t="n">
        <f aca="false">SUMIFS(Drop_PnL!$AP$7:$AP$18,Drop_PnL!$AO$7:$AO$18,"&gt;="&amp;F$5,Drop_PnL!$AO$7:$AO$18,"&lt;="&amp;F$6,Drop_PnL!$AZ$7:$AZ$18,"N")+SUMIFS(Drop_PnL!$AR$7:$AR$18,Drop_PnL!$AQ$7:$AQ$18,"&gt;="&amp;F$5,Drop_PnL!$AQ$7:$AQ$18,"&lt;="&amp;F$6,Drop_PnL!$AZ$7:$AZ$18,"N")+SUMIFS(Drop_PnL!$AT$7:$AT$18,Drop_PnL!$AS$7:$AS$18,"&gt;="&amp;F$5,Drop_PnL!$AS$7:$AS$18,"&lt;="&amp;F$6,Drop_PnL!$AZ$7:$AZ$18,"N")</f>
        <v>0</v>
      </c>
      <c r="G9" s="19" t="n">
        <f aca="false">SUMIFS(Drop_PnL!$AP$7:$AP$18,Drop_PnL!$AO$7:$AO$18,"&gt;="&amp;G$5,Drop_PnL!$AO$7:$AO$18,"&lt;="&amp;G$6,Drop_PnL!$AZ$7:$AZ$18,"N")+SUMIFS(Drop_PnL!$AR$7:$AR$18,Drop_PnL!$AQ$7:$AQ$18,"&gt;="&amp;G$5,Drop_PnL!$AQ$7:$AQ$18,"&lt;="&amp;G$6,Drop_PnL!$AZ$7:$AZ$18,"N")+SUMIFS(Drop_PnL!$AT$7:$AT$18,Drop_PnL!$AS$7:$AS$18,"&gt;="&amp;G$5,Drop_PnL!$AS$7:$AS$18,"&lt;="&amp;G$6,Drop_PnL!$AZ$7:$AZ$18,"N")</f>
        <v>0</v>
      </c>
      <c r="H9" s="19" t="n">
        <f aca="false">SUMIFS(Drop_PnL!$AP$7:$AP$18,Drop_PnL!$AO$7:$AO$18,"&gt;="&amp;H$5,Drop_PnL!$AO$7:$AO$18,"&lt;="&amp;H$6,Drop_PnL!$AZ$7:$AZ$18,"N")+SUMIFS(Drop_PnL!$AR$7:$AR$18,Drop_PnL!$AQ$7:$AQ$18,"&gt;="&amp;H$5,Drop_PnL!$AQ$7:$AQ$18,"&lt;="&amp;H$6,Drop_PnL!$AZ$7:$AZ$18,"N")+SUMIFS(Drop_PnL!$AT$7:$AT$18,Drop_PnL!$AS$7:$AS$18,"&gt;="&amp;H$5,Drop_PnL!$AS$7:$AS$18,"&lt;="&amp;H$6,Drop_PnL!$AZ$7:$AZ$18,"N")</f>
        <v>0</v>
      </c>
      <c r="I9" s="19" t="n">
        <f aca="false">SUMIFS(Drop_PnL!$AP$7:$AP$18,Drop_PnL!$AO$7:$AO$18,"&gt;="&amp;I$5,Drop_PnL!$AO$7:$AO$18,"&lt;="&amp;I$6,Drop_PnL!$AZ$7:$AZ$18,"N")+SUMIFS(Drop_PnL!$AR$7:$AR$18,Drop_PnL!$AQ$7:$AQ$18,"&gt;="&amp;I$5,Drop_PnL!$AQ$7:$AQ$18,"&lt;="&amp;I$6,Drop_PnL!$AZ$7:$AZ$18,"N")+SUMIFS(Drop_PnL!$AT$7:$AT$18,Drop_PnL!$AS$7:$AS$18,"&gt;="&amp;I$5,Drop_PnL!$AS$7:$AS$18,"&lt;="&amp;I$6,Drop_PnL!$AZ$7:$AZ$18,"N")</f>
        <v>1200</v>
      </c>
      <c r="J9" s="19" t="n">
        <f aca="false">SUMIFS(Drop_PnL!$AP$7:$AP$18,Drop_PnL!$AO$7:$AO$18,"&gt;="&amp;J$5,Drop_PnL!$AO$7:$AO$18,"&lt;="&amp;J$6,Drop_PnL!$AZ$7:$AZ$18,"N")+SUMIFS(Drop_PnL!$AR$7:$AR$18,Drop_PnL!$AQ$7:$AQ$18,"&gt;="&amp;J$5,Drop_PnL!$AQ$7:$AQ$18,"&lt;="&amp;J$6,Drop_PnL!$AZ$7:$AZ$18,"N")+SUMIFS(Drop_PnL!$AT$7:$AT$18,Drop_PnL!$AS$7:$AS$18,"&gt;="&amp;J$5,Drop_PnL!$AS$7:$AS$18,"&lt;="&amp;J$6,Drop_PnL!$AZ$7:$AZ$18,"N")</f>
        <v>0</v>
      </c>
      <c r="K9" s="19" t="n">
        <f aca="false">SUMIFS(Drop_PnL!$AP$7:$AP$18,Drop_PnL!$AO$7:$AO$18,"&gt;="&amp;K$5,Drop_PnL!$AO$7:$AO$18,"&lt;="&amp;K$6,Drop_PnL!$AZ$7:$AZ$18,"N")+SUMIFS(Drop_PnL!$AR$7:$AR$18,Drop_PnL!$AQ$7:$AQ$18,"&gt;="&amp;K$5,Drop_PnL!$AQ$7:$AQ$18,"&lt;="&amp;K$6,Drop_PnL!$AZ$7:$AZ$18,"N")+SUMIFS(Drop_PnL!$AT$7:$AT$18,Drop_PnL!$AS$7:$AS$18,"&gt;="&amp;K$5,Drop_PnL!$AS$7:$AS$18,"&lt;="&amp;K$6,Drop_PnL!$AZ$7:$AZ$18,"N")</f>
        <v>0</v>
      </c>
      <c r="L9" s="19" t="n">
        <f aca="false">SUMIFS(Drop_PnL!$AP$7:$AP$18,Drop_PnL!$AO$7:$AO$18,"&gt;="&amp;L$5,Drop_PnL!$AO$7:$AO$18,"&lt;="&amp;L$6,Drop_PnL!$AZ$7:$AZ$18,"N")+SUMIFS(Drop_PnL!$AR$7:$AR$18,Drop_PnL!$AQ$7:$AQ$18,"&gt;="&amp;L$5,Drop_PnL!$AQ$7:$AQ$18,"&lt;="&amp;L$6,Drop_PnL!$AZ$7:$AZ$18,"N")+SUMIFS(Drop_PnL!$AT$7:$AT$18,Drop_PnL!$AS$7:$AS$18,"&gt;="&amp;L$5,Drop_PnL!$AS$7:$AS$18,"&lt;="&amp;L$6,Drop_PnL!$AZ$7:$AZ$18,"N")</f>
        <v>0</v>
      </c>
      <c r="M9" s="19" t="n">
        <f aca="false">SUMIFS(Drop_PnL!$AP$7:$AP$18,Drop_PnL!$AO$7:$AO$18,"&gt;="&amp;M$5,Drop_PnL!$AO$7:$AO$18,"&lt;="&amp;M$6,Drop_PnL!$AZ$7:$AZ$18,"N")+SUMIFS(Drop_PnL!$AR$7:$AR$18,Drop_PnL!$AQ$7:$AQ$18,"&gt;="&amp;M$5,Drop_PnL!$AQ$7:$AQ$18,"&lt;="&amp;M$6,Drop_PnL!$AZ$7:$AZ$18,"N")+SUMIFS(Drop_PnL!$AT$7:$AT$18,Drop_PnL!$AS$7:$AS$18,"&gt;="&amp;M$5,Drop_PnL!$AS$7:$AS$18,"&lt;="&amp;M$6,Drop_PnL!$AZ$7:$AZ$18,"N")</f>
        <v>0</v>
      </c>
      <c r="N9" s="19" t="n">
        <f aca="false">SUMIFS(Drop_PnL!$AP$7:$AP$18,Drop_PnL!$AO$7:$AO$18,"&gt;="&amp;N$5,Drop_PnL!$AO$7:$AO$18,"&lt;="&amp;N$6,Drop_PnL!$AZ$7:$AZ$18,"N")+SUMIFS(Drop_PnL!$AR$7:$AR$18,Drop_PnL!$AQ$7:$AQ$18,"&gt;="&amp;N$5,Drop_PnL!$AQ$7:$AQ$18,"&lt;="&amp;N$6,Drop_PnL!$AZ$7:$AZ$18,"N")+SUMIFS(Drop_PnL!$AT$7:$AT$18,Drop_PnL!$AS$7:$AS$18,"&gt;="&amp;N$5,Drop_PnL!$AS$7:$AS$18,"&lt;="&amp;N$6,Drop_PnL!$AZ$7:$AZ$18,"N")</f>
        <v>0</v>
      </c>
      <c r="O9" s="19" t="n">
        <f aca="false">SUMIFS(Drop_PnL!$AP$7:$AP$18,Drop_PnL!$AO$7:$AO$18,"&gt;="&amp;O$5,Drop_PnL!$AO$7:$AO$18,"&lt;="&amp;O$6,Drop_PnL!$AZ$7:$AZ$18,"N")+SUMIFS(Drop_PnL!$AR$7:$AR$18,Drop_PnL!$AQ$7:$AQ$18,"&gt;="&amp;O$5,Drop_PnL!$AQ$7:$AQ$18,"&lt;="&amp;O$6,Drop_PnL!$AZ$7:$AZ$18,"N")+SUMIFS(Drop_PnL!$AT$7:$AT$18,Drop_PnL!$AS$7:$AS$18,"&gt;="&amp;O$5,Drop_PnL!$AS$7:$AS$18,"&lt;="&amp;O$6,Drop_PnL!$AZ$7:$AZ$18,"N")</f>
        <v>0</v>
      </c>
      <c r="P9" s="19" t="n">
        <f aca="false">SUMIFS(Drop_PnL!$AP$7:$AP$18,Drop_PnL!$AO$7:$AO$18,"&gt;="&amp;P$5,Drop_PnL!$AO$7:$AO$18,"&lt;="&amp;P$6,Drop_PnL!$AZ$7:$AZ$18,"N")+SUMIFS(Drop_PnL!$AR$7:$AR$18,Drop_PnL!$AQ$7:$AQ$18,"&gt;="&amp;P$5,Drop_PnL!$AQ$7:$AQ$18,"&lt;="&amp;P$6,Drop_PnL!$AZ$7:$AZ$18,"N")+SUMIFS(Drop_PnL!$AT$7:$AT$18,Drop_PnL!$AS$7:$AS$18,"&gt;="&amp;P$5,Drop_PnL!$AS$7:$AS$18,"&lt;="&amp;P$6,Drop_PnL!$AZ$7:$AZ$18,"N")</f>
        <v>2250</v>
      </c>
      <c r="Q9" s="19" t="n">
        <f aca="false">SUMIFS(Drop_PnL!$AP$7:$AP$18,Drop_PnL!$AO$7:$AO$18,"&gt;="&amp;Q$5,Drop_PnL!$AO$7:$AO$18,"&lt;="&amp;Q$6,Drop_PnL!$AZ$7:$AZ$18,"N")+SUMIFS(Drop_PnL!$AR$7:$AR$18,Drop_PnL!$AQ$7:$AQ$18,"&gt;="&amp;Q$5,Drop_PnL!$AQ$7:$AQ$18,"&lt;="&amp;Q$6,Drop_PnL!$AZ$7:$AZ$18,"N")+SUMIFS(Drop_PnL!$AT$7:$AT$18,Drop_PnL!$AS$7:$AS$18,"&gt;="&amp;Q$5,Drop_PnL!$AS$7:$AS$18,"&lt;="&amp;Q$6,Drop_PnL!$AZ$7:$AZ$18,"N")</f>
        <v>0</v>
      </c>
      <c r="R9" s="19" t="n">
        <f aca="false">SUMIFS(Drop_PnL!$AP$7:$AP$18,Drop_PnL!$AO$7:$AO$18,"&gt;="&amp;R$5,Drop_PnL!$AO$7:$AO$18,"&lt;="&amp;R$6,Drop_PnL!$AZ$7:$AZ$18,"N")+SUMIFS(Drop_PnL!$AR$7:$AR$18,Drop_PnL!$AQ$7:$AQ$18,"&gt;="&amp;R$5,Drop_PnL!$AQ$7:$AQ$18,"&lt;="&amp;R$6,Drop_PnL!$AZ$7:$AZ$18,"N")+SUMIFS(Drop_PnL!$AT$7:$AT$18,Drop_PnL!$AS$7:$AS$18,"&gt;="&amp;R$5,Drop_PnL!$AS$7:$AS$18,"&lt;="&amp;R$6,Drop_PnL!$AZ$7:$AZ$18,"N")</f>
        <v>4500</v>
      </c>
      <c r="S9" s="19" t="n">
        <f aca="false">SUMIFS(Drop_PnL!$AP$7:$AP$18,Drop_PnL!$AO$7:$AO$18,"&gt;="&amp;S$5,Drop_PnL!$AO$7:$AO$18,"&lt;="&amp;S$6,Drop_PnL!$AZ$7:$AZ$18,"N")+SUMIFS(Drop_PnL!$AR$7:$AR$18,Drop_PnL!$AQ$7:$AQ$18,"&gt;="&amp;S$5,Drop_PnL!$AQ$7:$AQ$18,"&lt;="&amp;S$6,Drop_PnL!$AZ$7:$AZ$18,"N")+SUMIFS(Drop_PnL!$AT$7:$AT$18,Drop_PnL!$AS$7:$AS$18,"&gt;="&amp;S$5,Drop_PnL!$AS$7:$AS$18,"&lt;="&amp;S$6,Drop_PnL!$AZ$7:$AZ$18,"N")</f>
        <v>0</v>
      </c>
      <c r="T9" s="19" t="n">
        <f aca="false">SUMIFS(Drop_PnL!$AP$7:$AP$18,Drop_PnL!$AO$7:$AO$18,"&gt;="&amp;T$5,Drop_PnL!$AO$7:$AO$18,"&lt;="&amp;T$6,Drop_PnL!$AZ$7:$AZ$18,"N")+SUMIFS(Drop_PnL!$AR$7:$AR$18,Drop_PnL!$AQ$7:$AQ$18,"&gt;="&amp;T$5,Drop_PnL!$AQ$7:$AQ$18,"&lt;="&amp;T$6,Drop_PnL!$AZ$7:$AZ$18,"N")+SUMIFS(Drop_PnL!$AT$7:$AT$18,Drop_PnL!$AS$7:$AS$18,"&gt;="&amp;T$5,Drop_PnL!$AS$7:$AS$18,"&lt;="&amp;T$6,Drop_PnL!$AZ$7:$AZ$18,"N")</f>
        <v>2250</v>
      </c>
      <c r="U9" s="19" t="n">
        <f aca="false">SUMIFS(Drop_PnL!$AP$7:$AP$18,Drop_PnL!$AO$7:$AO$18,"&gt;="&amp;U$5,Drop_PnL!$AO$7:$AO$18,"&lt;="&amp;U$6,Drop_PnL!$AZ$7:$AZ$18,"N")+SUMIFS(Drop_PnL!$AR$7:$AR$18,Drop_PnL!$AQ$7:$AQ$18,"&gt;="&amp;U$5,Drop_PnL!$AQ$7:$AQ$18,"&lt;="&amp;U$6,Drop_PnL!$AZ$7:$AZ$18,"N")+SUMIFS(Drop_PnL!$AT$7:$AT$18,Drop_PnL!$AS$7:$AS$18,"&gt;="&amp;U$5,Drop_PnL!$AS$7:$AS$18,"&lt;="&amp;U$6,Drop_PnL!$AZ$7:$AZ$18,"N")</f>
        <v>0</v>
      </c>
      <c r="V9" s="19" t="n">
        <f aca="false">SUMIFS(Drop_PnL!$AP$7:$AP$18,Drop_PnL!$AO$7:$AO$18,"&gt;="&amp;V$5,Drop_PnL!$AO$7:$AO$18,"&lt;="&amp;V$6,Drop_PnL!$AZ$7:$AZ$18,"N")+SUMIFS(Drop_PnL!$AR$7:$AR$18,Drop_PnL!$AQ$7:$AQ$18,"&gt;="&amp;V$5,Drop_PnL!$AQ$7:$AQ$18,"&lt;="&amp;V$6,Drop_PnL!$AZ$7:$AZ$18,"N")+SUMIFS(Drop_PnL!$AT$7:$AT$18,Drop_PnL!$AS$7:$AS$18,"&gt;="&amp;V$5,Drop_PnL!$AS$7:$AS$18,"&lt;="&amp;V$6,Drop_PnL!$AZ$7:$AZ$18,"N")</f>
        <v>2250</v>
      </c>
      <c r="W9" s="19" t="n">
        <f aca="false">SUMIFS(Drop_PnL!$AP$7:$AP$18,Drop_PnL!$AO$7:$AO$18,"&gt;="&amp;W$5,Drop_PnL!$AO$7:$AO$18,"&lt;="&amp;W$6,Drop_PnL!$AZ$7:$AZ$18,"N")+SUMIFS(Drop_PnL!$AR$7:$AR$18,Drop_PnL!$AQ$7:$AQ$18,"&gt;="&amp;W$5,Drop_PnL!$AQ$7:$AQ$18,"&lt;="&amp;W$6,Drop_PnL!$AZ$7:$AZ$18,"N")+SUMIFS(Drop_PnL!$AT$7:$AT$18,Drop_PnL!$AS$7:$AS$18,"&gt;="&amp;W$5,Drop_PnL!$AS$7:$AS$18,"&lt;="&amp;W$6,Drop_PnL!$AZ$7:$AZ$18,"N")</f>
        <v>0</v>
      </c>
      <c r="X9" s="19" t="n">
        <f aca="false">SUMIFS(Drop_PnL!$AP$7:$AP$18,Drop_PnL!$AO$7:$AO$18,"&gt;="&amp;X$5,Drop_PnL!$AO$7:$AO$18,"&lt;="&amp;X$6,Drop_PnL!$AZ$7:$AZ$18,"N")+SUMIFS(Drop_PnL!$AR$7:$AR$18,Drop_PnL!$AQ$7:$AQ$18,"&gt;="&amp;X$5,Drop_PnL!$AQ$7:$AQ$18,"&lt;="&amp;X$6,Drop_PnL!$AZ$7:$AZ$18,"N")+SUMIFS(Drop_PnL!$AT$7:$AT$18,Drop_PnL!$AS$7:$AS$18,"&gt;="&amp;X$5,Drop_PnL!$AS$7:$AS$18,"&lt;="&amp;X$6,Drop_PnL!$AZ$7:$AZ$18,"N")</f>
        <v>4500</v>
      </c>
      <c r="Y9" s="19" t="n">
        <f aca="false">SUMIFS(Drop_PnL!$AP$7:$AP$18,Drop_PnL!$AO$7:$AO$18,"&gt;="&amp;Y$5,Drop_PnL!$AO$7:$AO$18,"&lt;="&amp;Y$6,Drop_PnL!$AZ$7:$AZ$18,"N")+SUMIFS(Drop_PnL!$AR$7:$AR$18,Drop_PnL!$AQ$7:$AQ$18,"&gt;="&amp;Y$5,Drop_PnL!$AQ$7:$AQ$18,"&lt;="&amp;Y$6,Drop_PnL!$AZ$7:$AZ$18,"N")+SUMIFS(Drop_PnL!$AT$7:$AT$18,Drop_PnL!$AS$7:$AS$18,"&gt;="&amp;Y$5,Drop_PnL!$AS$7:$AS$18,"&lt;="&amp;Y$6,Drop_PnL!$AZ$7:$AZ$18,"N")</f>
        <v>0</v>
      </c>
      <c r="Z9" s="19" t="n">
        <f aca="false">SUMIFS(Drop_PnL!$AP$7:$AP$18,Drop_PnL!$AO$7:$AO$18,"&gt;="&amp;Z$5,Drop_PnL!$AO$7:$AO$18,"&lt;="&amp;Z$6,Drop_PnL!$AZ$7:$AZ$18,"N")+SUMIFS(Drop_PnL!$AR$7:$AR$18,Drop_PnL!$AQ$7:$AQ$18,"&gt;="&amp;Z$5,Drop_PnL!$AQ$7:$AQ$18,"&lt;="&amp;Z$6,Drop_PnL!$AZ$7:$AZ$18,"N")+SUMIFS(Drop_PnL!$AT$7:$AT$18,Drop_PnL!$AS$7:$AS$18,"&gt;="&amp;Z$5,Drop_PnL!$AS$7:$AS$18,"&lt;="&amp;Z$6,Drop_PnL!$AZ$7:$AZ$18,"N")</f>
        <v>2250</v>
      </c>
      <c r="AA9" s="19" t="n">
        <f aca="false">SUMIFS(Drop_PnL!$AP$7:$AP$18,Drop_PnL!$AO$7:$AO$18,"&gt;="&amp;AA$5,Drop_PnL!$AO$7:$AO$18,"&lt;="&amp;AA$6,Drop_PnL!$AZ$7:$AZ$18,"N")+SUMIFS(Drop_PnL!$AR$7:$AR$18,Drop_PnL!$AQ$7:$AQ$18,"&gt;="&amp;AA$5,Drop_PnL!$AQ$7:$AQ$18,"&lt;="&amp;AA$6,Drop_PnL!$AZ$7:$AZ$18,"N")+SUMIFS(Drop_PnL!$AT$7:$AT$18,Drop_PnL!$AS$7:$AS$18,"&gt;="&amp;AA$5,Drop_PnL!$AS$7:$AS$18,"&lt;="&amp;AA$6,Drop_PnL!$AZ$7:$AZ$18,"N")</f>
        <v>0</v>
      </c>
      <c r="AB9" s="19" t="n">
        <f aca="false">SUMIFS(Drop_PnL!$AP$7:$AP$18,Drop_PnL!$AO$7:$AO$18,"&gt;="&amp;AB$5,Drop_PnL!$AO$7:$AO$18,"&lt;="&amp;AB$6,Drop_PnL!$AZ$7:$AZ$18,"N")+SUMIFS(Drop_PnL!$AR$7:$AR$18,Drop_PnL!$AQ$7:$AQ$18,"&gt;="&amp;AB$5,Drop_PnL!$AQ$7:$AQ$18,"&lt;="&amp;AB$6,Drop_PnL!$AZ$7:$AZ$18,"N")+SUMIFS(Drop_PnL!$AT$7:$AT$18,Drop_PnL!$AS$7:$AS$18,"&gt;="&amp;AB$5,Drop_PnL!$AS$7:$AS$18,"&lt;="&amp;AB$6,Drop_PnL!$AZ$7:$AZ$18,"N")</f>
        <v>0</v>
      </c>
      <c r="AC9" s="37" t="n">
        <f aca="false">SUM(C9:AB9)</f>
        <v>19200</v>
      </c>
    </row>
    <row r="10" customFormat="false" ht="15" hidden="false" customHeight="false" outlineLevel="0" collapsed="false">
      <c r="B10" s="30" t="s">
        <v>1091</v>
      </c>
      <c r="C10" s="19" t="n">
        <f aca="false">SUMIFS(Actuals_Campaigns!$X$5:$X$204,Actuals_Campaigns!$Y$5:$Y$204,"&gt;="&amp;C$5,Actuals_Campaigns!$Y$5:$Y$204,"&lt;="&amp;C$6,Actuals_Campaigns!$AL$5:$AL$204,"Y")+SUMIFS(Actuals_Campaigns!$AM$5:$AM$204,Actuals_Campaigns!$S$5:$S$204,"&gt;="&amp;C$5,Actuals_Campaigns!$S$5:$S$204,"&lt;="&amp;C$6,Actuals_Campaigns!$AL$5:$AL$204,"Y")</f>
        <v>0</v>
      </c>
      <c r="D10" s="19" t="n">
        <f aca="false">SUMIFS(Actuals_Campaigns!$X$5:$X$204,Actuals_Campaigns!$Y$5:$Y$204,"&gt;="&amp;D$5,Actuals_Campaigns!$Y$5:$Y$204,"&lt;="&amp;D$6,Actuals_Campaigns!$AL$5:$AL$204,"Y")+SUMIFS(Actuals_Campaigns!$AM$5:$AM$204,Actuals_Campaigns!$S$5:$S$204,"&gt;="&amp;D$5,Actuals_Campaigns!$S$5:$S$204,"&lt;="&amp;D$6,Actuals_Campaigns!$AL$5:$AL$204,"Y")</f>
        <v>0</v>
      </c>
      <c r="E10" s="19" t="n">
        <f aca="false">SUMIFS(Actuals_Campaigns!$X$5:$X$204,Actuals_Campaigns!$Y$5:$Y$204,"&gt;="&amp;E$5,Actuals_Campaigns!$Y$5:$Y$204,"&lt;="&amp;E$6,Actuals_Campaigns!$AL$5:$AL$204,"Y")+SUMIFS(Actuals_Campaigns!$AM$5:$AM$204,Actuals_Campaigns!$S$5:$S$204,"&gt;="&amp;E$5,Actuals_Campaigns!$S$5:$S$204,"&lt;="&amp;E$6,Actuals_Campaigns!$AL$5:$AL$204,"Y")</f>
        <v>0</v>
      </c>
      <c r="F10" s="19" t="n">
        <f aca="false">SUMIFS(Actuals_Campaigns!$X$5:$X$204,Actuals_Campaigns!$Y$5:$Y$204,"&gt;="&amp;F$5,Actuals_Campaigns!$Y$5:$Y$204,"&lt;="&amp;F$6,Actuals_Campaigns!$AL$5:$AL$204,"Y")+SUMIFS(Actuals_Campaigns!$AM$5:$AM$204,Actuals_Campaigns!$S$5:$S$204,"&gt;="&amp;F$5,Actuals_Campaigns!$S$5:$S$204,"&lt;="&amp;F$6,Actuals_Campaigns!$AL$5:$AL$204,"Y")</f>
        <v>0</v>
      </c>
      <c r="G10" s="19" t="n">
        <f aca="false">SUMIFS(Actuals_Campaigns!$X$5:$X$204,Actuals_Campaigns!$Y$5:$Y$204,"&gt;="&amp;G$5,Actuals_Campaigns!$Y$5:$Y$204,"&lt;="&amp;G$6,Actuals_Campaigns!$AL$5:$AL$204,"Y")+SUMIFS(Actuals_Campaigns!$AM$5:$AM$204,Actuals_Campaigns!$S$5:$S$204,"&gt;="&amp;G$5,Actuals_Campaigns!$S$5:$S$204,"&lt;="&amp;G$6,Actuals_Campaigns!$AL$5:$AL$204,"Y")</f>
        <v>0</v>
      </c>
      <c r="H10" s="19" t="n">
        <f aca="false">SUMIFS(Actuals_Campaigns!$X$5:$X$204,Actuals_Campaigns!$Y$5:$Y$204,"&gt;="&amp;H$5,Actuals_Campaigns!$Y$5:$Y$204,"&lt;="&amp;H$6,Actuals_Campaigns!$AL$5:$AL$204,"Y")+SUMIFS(Actuals_Campaigns!$AM$5:$AM$204,Actuals_Campaigns!$S$5:$S$204,"&gt;="&amp;H$5,Actuals_Campaigns!$S$5:$S$204,"&lt;="&amp;H$6,Actuals_Campaigns!$AL$5:$AL$204,"Y")</f>
        <v>0</v>
      </c>
      <c r="I10" s="19" t="n">
        <f aca="false">SUMIFS(Actuals_Campaigns!$X$5:$X$204,Actuals_Campaigns!$Y$5:$Y$204,"&gt;="&amp;I$5,Actuals_Campaigns!$Y$5:$Y$204,"&lt;="&amp;I$6,Actuals_Campaigns!$AL$5:$AL$204,"Y")+SUMIFS(Actuals_Campaigns!$AM$5:$AM$204,Actuals_Campaigns!$S$5:$S$204,"&gt;="&amp;I$5,Actuals_Campaigns!$S$5:$S$204,"&lt;="&amp;I$6,Actuals_Campaigns!$AL$5:$AL$204,"Y")</f>
        <v>0</v>
      </c>
      <c r="J10" s="19" t="n">
        <f aca="false">SUMIFS(Actuals_Campaigns!$X$5:$X$204,Actuals_Campaigns!$Y$5:$Y$204,"&gt;="&amp;J$5,Actuals_Campaigns!$Y$5:$Y$204,"&lt;="&amp;J$6,Actuals_Campaigns!$AL$5:$AL$204,"Y")+SUMIFS(Actuals_Campaigns!$AM$5:$AM$204,Actuals_Campaigns!$S$5:$S$204,"&gt;="&amp;J$5,Actuals_Campaigns!$S$5:$S$204,"&lt;="&amp;J$6,Actuals_Campaigns!$AL$5:$AL$204,"Y")</f>
        <v>0</v>
      </c>
      <c r="K10" s="19" t="n">
        <f aca="false">SUMIFS(Actuals_Campaigns!$X$5:$X$204,Actuals_Campaigns!$Y$5:$Y$204,"&gt;="&amp;K$5,Actuals_Campaigns!$Y$5:$Y$204,"&lt;="&amp;K$6,Actuals_Campaigns!$AL$5:$AL$204,"Y")+SUMIFS(Actuals_Campaigns!$AM$5:$AM$204,Actuals_Campaigns!$S$5:$S$204,"&gt;="&amp;K$5,Actuals_Campaigns!$S$5:$S$204,"&lt;="&amp;K$6,Actuals_Campaigns!$AL$5:$AL$204,"Y")</f>
        <v>0</v>
      </c>
      <c r="L10" s="19" t="n">
        <f aca="false">SUMIFS(Actuals_Campaigns!$X$5:$X$204,Actuals_Campaigns!$Y$5:$Y$204,"&gt;="&amp;L$5,Actuals_Campaigns!$Y$5:$Y$204,"&lt;="&amp;L$6,Actuals_Campaigns!$AL$5:$AL$204,"Y")+SUMIFS(Actuals_Campaigns!$AM$5:$AM$204,Actuals_Campaigns!$S$5:$S$204,"&gt;="&amp;L$5,Actuals_Campaigns!$S$5:$S$204,"&lt;="&amp;L$6,Actuals_Campaigns!$AL$5:$AL$204,"Y")</f>
        <v>0</v>
      </c>
      <c r="M10" s="19" t="n">
        <f aca="false">SUMIFS(Actuals_Campaigns!$X$5:$X$204,Actuals_Campaigns!$Y$5:$Y$204,"&gt;="&amp;M$5,Actuals_Campaigns!$Y$5:$Y$204,"&lt;="&amp;M$6,Actuals_Campaigns!$AL$5:$AL$204,"Y")+SUMIFS(Actuals_Campaigns!$AM$5:$AM$204,Actuals_Campaigns!$S$5:$S$204,"&gt;="&amp;M$5,Actuals_Campaigns!$S$5:$S$204,"&lt;="&amp;M$6,Actuals_Campaigns!$AL$5:$AL$204,"Y")</f>
        <v>0</v>
      </c>
      <c r="N10" s="19" t="n">
        <f aca="false">SUMIFS(Actuals_Campaigns!$X$5:$X$204,Actuals_Campaigns!$Y$5:$Y$204,"&gt;="&amp;N$5,Actuals_Campaigns!$Y$5:$Y$204,"&lt;="&amp;N$6,Actuals_Campaigns!$AL$5:$AL$204,"Y")+SUMIFS(Actuals_Campaigns!$AM$5:$AM$204,Actuals_Campaigns!$S$5:$S$204,"&gt;="&amp;N$5,Actuals_Campaigns!$S$5:$S$204,"&lt;="&amp;N$6,Actuals_Campaigns!$AL$5:$AL$204,"Y")</f>
        <v>0</v>
      </c>
      <c r="O10" s="19" t="n">
        <f aca="false">SUMIFS(Actuals_Campaigns!$X$5:$X$204,Actuals_Campaigns!$Y$5:$Y$204,"&gt;="&amp;O$5,Actuals_Campaigns!$Y$5:$Y$204,"&lt;="&amp;O$6,Actuals_Campaigns!$AL$5:$AL$204,"Y")+SUMIFS(Actuals_Campaigns!$AM$5:$AM$204,Actuals_Campaigns!$S$5:$S$204,"&gt;="&amp;O$5,Actuals_Campaigns!$S$5:$S$204,"&lt;="&amp;O$6,Actuals_Campaigns!$AL$5:$AL$204,"Y")</f>
        <v>0</v>
      </c>
      <c r="P10" s="19" t="n">
        <f aca="false">SUMIFS(Actuals_Campaigns!$X$5:$X$204,Actuals_Campaigns!$Y$5:$Y$204,"&gt;="&amp;P$5,Actuals_Campaigns!$Y$5:$Y$204,"&lt;="&amp;P$6,Actuals_Campaigns!$AL$5:$AL$204,"Y")+SUMIFS(Actuals_Campaigns!$AM$5:$AM$204,Actuals_Campaigns!$S$5:$S$204,"&gt;="&amp;P$5,Actuals_Campaigns!$S$5:$S$204,"&lt;="&amp;P$6,Actuals_Campaigns!$AL$5:$AL$204,"Y")</f>
        <v>0</v>
      </c>
      <c r="Q10" s="19" t="n">
        <f aca="false">SUMIFS(Actuals_Campaigns!$X$5:$X$204,Actuals_Campaigns!$Y$5:$Y$204,"&gt;="&amp;Q$5,Actuals_Campaigns!$Y$5:$Y$204,"&lt;="&amp;Q$6,Actuals_Campaigns!$AL$5:$AL$204,"Y")+SUMIFS(Actuals_Campaigns!$AM$5:$AM$204,Actuals_Campaigns!$S$5:$S$204,"&gt;="&amp;Q$5,Actuals_Campaigns!$S$5:$S$204,"&lt;="&amp;Q$6,Actuals_Campaigns!$AL$5:$AL$204,"Y")</f>
        <v>0</v>
      </c>
      <c r="R10" s="19" t="n">
        <f aca="false">SUMIFS(Actuals_Campaigns!$X$5:$X$204,Actuals_Campaigns!$Y$5:$Y$204,"&gt;="&amp;R$5,Actuals_Campaigns!$Y$5:$Y$204,"&lt;="&amp;R$6,Actuals_Campaigns!$AL$5:$AL$204,"Y")+SUMIFS(Actuals_Campaigns!$AM$5:$AM$204,Actuals_Campaigns!$S$5:$S$204,"&gt;="&amp;R$5,Actuals_Campaigns!$S$5:$S$204,"&lt;="&amp;R$6,Actuals_Campaigns!$AL$5:$AL$204,"Y")</f>
        <v>0</v>
      </c>
      <c r="S10" s="19" t="n">
        <f aca="false">SUMIFS(Actuals_Campaigns!$X$5:$X$204,Actuals_Campaigns!$Y$5:$Y$204,"&gt;="&amp;S$5,Actuals_Campaigns!$Y$5:$Y$204,"&lt;="&amp;S$6,Actuals_Campaigns!$AL$5:$AL$204,"Y")+SUMIFS(Actuals_Campaigns!$AM$5:$AM$204,Actuals_Campaigns!$S$5:$S$204,"&gt;="&amp;S$5,Actuals_Campaigns!$S$5:$S$204,"&lt;="&amp;S$6,Actuals_Campaigns!$AL$5:$AL$204,"Y")</f>
        <v>0</v>
      </c>
      <c r="T10" s="19" t="n">
        <f aca="false">SUMIFS(Actuals_Campaigns!$X$5:$X$204,Actuals_Campaigns!$Y$5:$Y$204,"&gt;="&amp;T$5,Actuals_Campaigns!$Y$5:$Y$204,"&lt;="&amp;T$6,Actuals_Campaigns!$AL$5:$AL$204,"Y")+SUMIFS(Actuals_Campaigns!$AM$5:$AM$204,Actuals_Campaigns!$S$5:$S$204,"&gt;="&amp;T$5,Actuals_Campaigns!$S$5:$S$204,"&lt;="&amp;T$6,Actuals_Campaigns!$AL$5:$AL$204,"Y")</f>
        <v>0</v>
      </c>
      <c r="U10" s="19" t="n">
        <f aca="false">SUMIFS(Actuals_Campaigns!$X$5:$X$204,Actuals_Campaigns!$Y$5:$Y$204,"&gt;="&amp;U$5,Actuals_Campaigns!$Y$5:$Y$204,"&lt;="&amp;U$6,Actuals_Campaigns!$AL$5:$AL$204,"Y")+SUMIFS(Actuals_Campaigns!$AM$5:$AM$204,Actuals_Campaigns!$S$5:$S$204,"&gt;="&amp;U$5,Actuals_Campaigns!$S$5:$S$204,"&lt;="&amp;U$6,Actuals_Campaigns!$AL$5:$AL$204,"Y")</f>
        <v>0</v>
      </c>
      <c r="V10" s="19" t="n">
        <f aca="false">SUMIFS(Actuals_Campaigns!$X$5:$X$204,Actuals_Campaigns!$Y$5:$Y$204,"&gt;="&amp;V$5,Actuals_Campaigns!$Y$5:$Y$204,"&lt;="&amp;V$6,Actuals_Campaigns!$AL$5:$AL$204,"Y")+SUMIFS(Actuals_Campaigns!$AM$5:$AM$204,Actuals_Campaigns!$S$5:$S$204,"&gt;="&amp;V$5,Actuals_Campaigns!$S$5:$S$204,"&lt;="&amp;V$6,Actuals_Campaigns!$AL$5:$AL$204,"Y")</f>
        <v>0</v>
      </c>
      <c r="W10" s="19" t="n">
        <f aca="false">SUMIFS(Actuals_Campaigns!$X$5:$X$204,Actuals_Campaigns!$Y$5:$Y$204,"&gt;="&amp;W$5,Actuals_Campaigns!$Y$5:$Y$204,"&lt;="&amp;W$6,Actuals_Campaigns!$AL$5:$AL$204,"Y")+SUMIFS(Actuals_Campaigns!$AM$5:$AM$204,Actuals_Campaigns!$S$5:$S$204,"&gt;="&amp;W$5,Actuals_Campaigns!$S$5:$S$204,"&lt;="&amp;W$6,Actuals_Campaigns!$AL$5:$AL$204,"Y")</f>
        <v>0</v>
      </c>
      <c r="X10" s="19" t="n">
        <f aca="false">SUMIFS(Actuals_Campaigns!$X$5:$X$204,Actuals_Campaigns!$Y$5:$Y$204,"&gt;="&amp;X$5,Actuals_Campaigns!$Y$5:$Y$204,"&lt;="&amp;X$6,Actuals_Campaigns!$AL$5:$AL$204,"Y")+SUMIFS(Actuals_Campaigns!$AM$5:$AM$204,Actuals_Campaigns!$S$5:$S$204,"&gt;="&amp;X$5,Actuals_Campaigns!$S$5:$S$204,"&lt;="&amp;X$6,Actuals_Campaigns!$AL$5:$AL$204,"Y")</f>
        <v>0</v>
      </c>
      <c r="Y10" s="19" t="n">
        <f aca="false">SUMIFS(Actuals_Campaigns!$X$5:$X$204,Actuals_Campaigns!$Y$5:$Y$204,"&gt;="&amp;Y$5,Actuals_Campaigns!$Y$5:$Y$204,"&lt;="&amp;Y$6,Actuals_Campaigns!$AL$5:$AL$204,"Y")+SUMIFS(Actuals_Campaigns!$AM$5:$AM$204,Actuals_Campaigns!$S$5:$S$204,"&gt;="&amp;Y$5,Actuals_Campaigns!$S$5:$S$204,"&lt;="&amp;Y$6,Actuals_Campaigns!$AL$5:$AL$204,"Y")</f>
        <v>0</v>
      </c>
      <c r="Z10" s="19" t="n">
        <f aca="false">SUMIFS(Actuals_Campaigns!$X$5:$X$204,Actuals_Campaigns!$Y$5:$Y$204,"&gt;="&amp;Z$5,Actuals_Campaigns!$Y$5:$Y$204,"&lt;="&amp;Z$6,Actuals_Campaigns!$AL$5:$AL$204,"Y")+SUMIFS(Actuals_Campaigns!$AM$5:$AM$204,Actuals_Campaigns!$S$5:$S$204,"&gt;="&amp;Z$5,Actuals_Campaigns!$S$5:$S$204,"&lt;="&amp;Z$6,Actuals_Campaigns!$AL$5:$AL$204,"Y")</f>
        <v>0</v>
      </c>
      <c r="AA10" s="19" t="n">
        <f aca="false">SUMIFS(Actuals_Campaigns!$X$5:$X$204,Actuals_Campaigns!$Y$5:$Y$204,"&gt;="&amp;AA$5,Actuals_Campaigns!$Y$5:$Y$204,"&lt;="&amp;AA$6,Actuals_Campaigns!$AL$5:$AL$204,"Y")+SUMIFS(Actuals_Campaigns!$AM$5:$AM$204,Actuals_Campaigns!$S$5:$S$204,"&gt;="&amp;AA$5,Actuals_Campaigns!$S$5:$S$204,"&lt;="&amp;AA$6,Actuals_Campaigns!$AL$5:$AL$204,"Y")</f>
        <v>0</v>
      </c>
      <c r="AB10" s="19" t="n">
        <f aca="false">SUMIFS(Actuals_Campaigns!$X$5:$X$204,Actuals_Campaigns!$Y$5:$Y$204,"&gt;="&amp;AB$5,Actuals_Campaigns!$Y$5:$Y$204,"&lt;="&amp;AB$6,Actuals_Campaigns!$AL$5:$AL$204,"Y")+SUMIFS(Actuals_Campaigns!$AM$5:$AM$204,Actuals_Campaigns!$S$5:$S$204,"&gt;="&amp;AB$5,Actuals_Campaigns!$S$5:$S$204,"&lt;="&amp;AB$6,Actuals_Campaigns!$AL$5:$AL$204,"Y")</f>
        <v>0</v>
      </c>
      <c r="AC10" s="37" t="n">
        <f aca="false">SUM(C10:AB10)</f>
        <v>0</v>
      </c>
    </row>
    <row r="11" customFormat="false" ht="15" hidden="false" customHeight="false" outlineLevel="0" collapsed="false">
      <c r="B11" s="9" t="s">
        <v>1092</v>
      </c>
      <c r="C11" s="37" t="n">
        <f aca="false">SUM(C9:C10)</f>
        <v>0</v>
      </c>
      <c r="D11" s="37" t="n">
        <f aca="false">SUM(D9:D10)</f>
        <v>0</v>
      </c>
      <c r="E11" s="37" t="n">
        <f aca="false">SUM(E9:E10)</f>
        <v>0</v>
      </c>
      <c r="F11" s="37" t="n">
        <f aca="false">SUM(F9:F10)</f>
        <v>0</v>
      </c>
      <c r="G11" s="37" t="n">
        <f aca="false">SUM(G9:G10)</f>
        <v>0</v>
      </c>
      <c r="H11" s="37" t="n">
        <f aca="false">SUM(H9:H10)</f>
        <v>0</v>
      </c>
      <c r="I11" s="37" t="n">
        <f aca="false">SUM(I9:I10)</f>
        <v>1200</v>
      </c>
      <c r="J11" s="37" t="n">
        <f aca="false">SUM(J9:J10)</f>
        <v>0</v>
      </c>
      <c r="K11" s="37" t="n">
        <f aca="false">SUM(K9:K10)</f>
        <v>0</v>
      </c>
      <c r="L11" s="37" t="n">
        <f aca="false">SUM(L9:L10)</f>
        <v>0</v>
      </c>
      <c r="M11" s="37" t="n">
        <f aca="false">SUM(M9:M10)</f>
        <v>0</v>
      </c>
      <c r="N11" s="37" t="n">
        <f aca="false">SUM(N9:N10)</f>
        <v>0</v>
      </c>
      <c r="O11" s="37" t="n">
        <f aca="false">SUM(O9:O10)</f>
        <v>0</v>
      </c>
      <c r="P11" s="37" t="n">
        <f aca="false">SUM(P9:P10)</f>
        <v>2250</v>
      </c>
      <c r="Q11" s="37" t="n">
        <f aca="false">SUM(Q9:Q10)</f>
        <v>0</v>
      </c>
      <c r="R11" s="37" t="n">
        <f aca="false">SUM(R9:R10)</f>
        <v>4500</v>
      </c>
      <c r="S11" s="37" t="n">
        <f aca="false">SUM(S9:S10)</f>
        <v>0</v>
      </c>
      <c r="T11" s="37" t="n">
        <f aca="false">SUM(T9:T10)</f>
        <v>2250</v>
      </c>
      <c r="U11" s="37" t="n">
        <f aca="false">SUM(U9:U10)</f>
        <v>0</v>
      </c>
      <c r="V11" s="37" t="n">
        <f aca="false">SUM(V9:V10)</f>
        <v>2250</v>
      </c>
      <c r="W11" s="37" t="n">
        <f aca="false">SUM(W9:W10)</f>
        <v>0</v>
      </c>
      <c r="X11" s="37" t="n">
        <f aca="false">SUM(X9:X10)</f>
        <v>4500</v>
      </c>
      <c r="Y11" s="37" t="n">
        <f aca="false">SUM(Y9:Y10)</f>
        <v>0</v>
      </c>
      <c r="Z11" s="37" t="n">
        <f aca="false">SUM(Z9:Z10)</f>
        <v>2250</v>
      </c>
      <c r="AA11" s="37" t="n">
        <f aca="false">SUM(AA9:AA10)</f>
        <v>0</v>
      </c>
      <c r="AB11" s="37" t="n">
        <f aca="false">SUM(AB9:AB10)</f>
        <v>0</v>
      </c>
      <c r="AC11" s="37" t="n">
        <f aca="false">SUM(C11:AB11)</f>
        <v>19200</v>
      </c>
    </row>
    <row r="12" customFormat="false" ht="15" hidden="false" customHeight="false" outlineLevel="0" collapsed="false">
      <c r="A12" s="3" t="s">
        <v>1093</v>
      </c>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row>
    <row r="13" customFormat="false" ht="15" hidden="false" customHeight="false" outlineLevel="0" collapsed="false">
      <c r="B13" s="30" t="s">
        <v>1094</v>
      </c>
      <c r="C13" s="19" t="n">
        <f aca="false">-SUMIFS(Drop_PnL!$T$7:$T$18,Drop_PnL!$AX$7:$AX$18,"&gt;="&amp;C$5,Drop_PnL!$AX$7:$AX$18,"&lt;="&amp;C$6,Drop_PnL!$AZ$7:$AZ$18,"N")</f>
        <v>-0</v>
      </c>
      <c r="D13" s="19" t="n">
        <f aca="false">-SUMIFS(Drop_PnL!$T$7:$T$18,Drop_PnL!$AX$7:$AX$18,"&gt;="&amp;D$5,Drop_PnL!$AX$7:$AX$18,"&lt;="&amp;D$6,Drop_PnL!$AZ$7:$AZ$18,"N")</f>
        <v>-0</v>
      </c>
      <c r="E13" s="19" t="n">
        <f aca="false">-SUMIFS(Drop_PnL!$T$7:$T$18,Drop_PnL!$AX$7:$AX$18,"&gt;="&amp;E$5,Drop_PnL!$AX$7:$AX$18,"&lt;="&amp;E$6,Drop_PnL!$AZ$7:$AZ$18,"N")</f>
        <v>-0</v>
      </c>
      <c r="F13" s="19" t="n">
        <f aca="false">-SUMIFS(Drop_PnL!$T$7:$T$18,Drop_PnL!$AX$7:$AX$18,"&gt;="&amp;F$5,Drop_PnL!$AX$7:$AX$18,"&lt;="&amp;F$6,Drop_PnL!$AZ$7:$AZ$18,"N")</f>
        <v>-0</v>
      </c>
      <c r="G13" s="19" t="n">
        <f aca="false">-SUMIFS(Drop_PnL!$T$7:$T$18,Drop_PnL!$AX$7:$AX$18,"&gt;="&amp;G$5,Drop_PnL!$AX$7:$AX$18,"&lt;="&amp;G$6,Drop_PnL!$AZ$7:$AZ$18,"N")</f>
        <v>-0</v>
      </c>
      <c r="H13" s="19" t="n">
        <f aca="false">-SUMIFS(Drop_PnL!$T$7:$T$18,Drop_PnL!$AX$7:$AX$18,"&gt;="&amp;H$5,Drop_PnL!$AX$7:$AX$18,"&lt;="&amp;H$6,Drop_PnL!$AZ$7:$AZ$18,"N")</f>
        <v>-0</v>
      </c>
      <c r="I13" s="19" t="n">
        <f aca="false">-SUMIFS(Drop_PnL!$T$7:$T$18,Drop_PnL!$AX$7:$AX$18,"&gt;="&amp;I$5,Drop_PnL!$AX$7:$AX$18,"&lt;="&amp;I$6,Drop_PnL!$AZ$7:$AZ$18,"N")</f>
        <v>-0</v>
      </c>
      <c r="J13" s="19" t="n">
        <f aca="false">-SUMIFS(Drop_PnL!$T$7:$T$18,Drop_PnL!$AX$7:$AX$18,"&gt;="&amp;J$5,Drop_PnL!$AX$7:$AX$18,"&lt;="&amp;J$6,Drop_PnL!$AZ$7:$AZ$18,"N")</f>
        <v>-0</v>
      </c>
      <c r="K13" s="19" t="n">
        <f aca="false">-SUMIFS(Drop_PnL!$T$7:$T$18,Drop_PnL!$AX$7:$AX$18,"&gt;="&amp;K$5,Drop_PnL!$AX$7:$AX$18,"&lt;="&amp;K$6,Drop_PnL!$AZ$7:$AZ$18,"N")</f>
        <v>-0</v>
      </c>
      <c r="L13" s="19" t="n">
        <f aca="false">-SUMIFS(Drop_PnL!$T$7:$T$18,Drop_PnL!$AX$7:$AX$18,"&gt;="&amp;L$5,Drop_PnL!$AX$7:$AX$18,"&lt;="&amp;L$6,Drop_PnL!$AZ$7:$AZ$18,"N")</f>
        <v>-0</v>
      </c>
      <c r="M13" s="19" t="n">
        <f aca="false">-SUMIFS(Drop_PnL!$T$7:$T$18,Drop_PnL!$AX$7:$AX$18,"&gt;="&amp;M$5,Drop_PnL!$AX$7:$AX$18,"&lt;="&amp;M$6,Drop_PnL!$AZ$7:$AZ$18,"N")</f>
        <v>-40</v>
      </c>
      <c r="N13" s="19" t="n">
        <f aca="false">-SUMIFS(Drop_PnL!$T$7:$T$18,Drop_PnL!$AX$7:$AX$18,"&gt;="&amp;N$5,Drop_PnL!$AX$7:$AX$18,"&lt;="&amp;N$6,Drop_PnL!$AZ$7:$AZ$18,"N")</f>
        <v>-0</v>
      </c>
      <c r="O13" s="19" t="n">
        <f aca="false">-SUMIFS(Drop_PnL!$T$7:$T$18,Drop_PnL!$AX$7:$AX$18,"&gt;="&amp;O$5,Drop_PnL!$AX$7:$AX$18,"&lt;="&amp;O$6,Drop_PnL!$AZ$7:$AZ$18,"N")</f>
        <v>-0</v>
      </c>
      <c r="P13" s="19" t="n">
        <f aca="false">-SUMIFS(Drop_PnL!$T$7:$T$18,Drop_PnL!$AX$7:$AX$18,"&gt;="&amp;P$5,Drop_PnL!$AX$7:$AX$18,"&lt;="&amp;P$6,Drop_PnL!$AZ$7:$AZ$18,"N")</f>
        <v>-0</v>
      </c>
      <c r="Q13" s="19" t="n">
        <f aca="false">-SUMIFS(Drop_PnL!$T$7:$T$18,Drop_PnL!$AX$7:$AX$18,"&gt;="&amp;Q$5,Drop_PnL!$AX$7:$AX$18,"&lt;="&amp;Q$6,Drop_PnL!$AZ$7:$AZ$18,"N")</f>
        <v>-80</v>
      </c>
      <c r="R13" s="19" t="n">
        <f aca="false">-SUMIFS(Drop_PnL!$T$7:$T$18,Drop_PnL!$AX$7:$AX$18,"&gt;="&amp;R$5,Drop_PnL!$AX$7:$AX$18,"&lt;="&amp;R$6,Drop_PnL!$AZ$7:$AZ$18,"N")</f>
        <v>-0</v>
      </c>
      <c r="S13" s="19" t="n">
        <f aca="false">-SUMIFS(Drop_PnL!$T$7:$T$18,Drop_PnL!$AX$7:$AX$18,"&gt;="&amp;S$5,Drop_PnL!$AX$7:$AX$18,"&lt;="&amp;S$6,Drop_PnL!$AZ$7:$AZ$18,"N")</f>
        <v>-80</v>
      </c>
      <c r="T13" s="19" t="n">
        <f aca="false">-SUMIFS(Drop_PnL!$T$7:$T$18,Drop_PnL!$AX$7:$AX$18,"&gt;="&amp;T$5,Drop_PnL!$AX$7:$AX$18,"&lt;="&amp;T$6,Drop_PnL!$AZ$7:$AZ$18,"N")</f>
        <v>-0</v>
      </c>
      <c r="U13" s="19" t="n">
        <f aca="false">-SUMIFS(Drop_PnL!$T$7:$T$18,Drop_PnL!$AX$7:$AX$18,"&gt;="&amp;U$5,Drop_PnL!$AX$7:$AX$18,"&lt;="&amp;U$6,Drop_PnL!$AZ$7:$AZ$18,"N")</f>
        <v>-0</v>
      </c>
      <c r="V13" s="19" t="n">
        <f aca="false">-SUMIFS(Drop_PnL!$T$7:$T$18,Drop_PnL!$AX$7:$AX$18,"&gt;="&amp;V$5,Drop_PnL!$AX$7:$AX$18,"&lt;="&amp;V$6,Drop_PnL!$AZ$7:$AZ$18,"N")</f>
        <v>-0</v>
      </c>
      <c r="W13" s="19" t="n">
        <f aca="false">-SUMIFS(Drop_PnL!$T$7:$T$18,Drop_PnL!$AX$7:$AX$18,"&gt;="&amp;W$5,Drop_PnL!$AX$7:$AX$18,"&lt;="&amp;W$6,Drop_PnL!$AZ$7:$AZ$18,"N")</f>
        <v>-80</v>
      </c>
      <c r="X13" s="19" t="n">
        <f aca="false">-SUMIFS(Drop_PnL!$T$7:$T$18,Drop_PnL!$AX$7:$AX$18,"&gt;="&amp;X$5,Drop_PnL!$AX$7:$AX$18,"&lt;="&amp;X$6,Drop_PnL!$AZ$7:$AZ$18,"N")</f>
        <v>-0</v>
      </c>
      <c r="Y13" s="19" t="n">
        <f aca="false">-SUMIFS(Drop_PnL!$T$7:$T$18,Drop_PnL!$AX$7:$AX$18,"&gt;="&amp;Y$5,Drop_PnL!$AX$7:$AX$18,"&lt;="&amp;Y$6,Drop_PnL!$AZ$7:$AZ$18,"N")</f>
        <v>-80</v>
      </c>
      <c r="Z13" s="19" t="n">
        <f aca="false">-SUMIFS(Drop_PnL!$T$7:$T$18,Drop_PnL!$AX$7:$AX$18,"&gt;="&amp;Z$5,Drop_PnL!$AX$7:$AX$18,"&lt;="&amp;Z$6,Drop_PnL!$AZ$7:$AZ$18,"N")</f>
        <v>-0</v>
      </c>
      <c r="AA13" s="19" t="n">
        <f aca="false">-SUMIFS(Drop_PnL!$T$7:$T$18,Drop_PnL!$AX$7:$AX$18,"&gt;="&amp;AA$5,Drop_PnL!$AX$7:$AX$18,"&lt;="&amp;AA$6,Drop_PnL!$AZ$7:$AZ$18,"N")</f>
        <v>-0</v>
      </c>
      <c r="AB13" s="19" t="n">
        <f aca="false">-SUMIFS(Drop_PnL!$T$7:$T$18,Drop_PnL!$AX$7:$AX$18,"&gt;="&amp;AB$5,Drop_PnL!$AX$7:$AX$18,"&lt;="&amp;AB$6,Drop_PnL!$AZ$7:$AZ$18,"N")</f>
        <v>-0</v>
      </c>
      <c r="AC13" s="37" t="n">
        <f aca="false">SUM(C13:AB13)</f>
        <v>-360</v>
      </c>
    </row>
    <row r="14" customFormat="false" ht="15" hidden="false" customHeight="false" outlineLevel="0" collapsed="false">
      <c r="B14" s="30" t="s">
        <v>1095</v>
      </c>
      <c r="C14" s="19" t="n">
        <f aca="false">-SUMIFS(Drop_PnL!$U$7:$U$18,Drop_PnL!$AY$7:$AY$18,"&gt;="&amp;C$5,Drop_PnL!$AY$7:$AY$18,"&lt;="&amp;C$6,Drop_PnL!$AZ$7:$AZ$18,"N")</f>
        <v>-0</v>
      </c>
      <c r="D14" s="19" t="n">
        <f aca="false">-SUMIFS(Drop_PnL!$U$7:$U$18,Drop_PnL!$AY$7:$AY$18,"&gt;="&amp;D$5,Drop_PnL!$AY$7:$AY$18,"&lt;="&amp;D$6,Drop_PnL!$AZ$7:$AZ$18,"N")</f>
        <v>-0</v>
      </c>
      <c r="E14" s="19" t="n">
        <f aca="false">-SUMIFS(Drop_PnL!$U$7:$U$18,Drop_PnL!$AY$7:$AY$18,"&gt;="&amp;E$5,Drop_PnL!$AY$7:$AY$18,"&lt;="&amp;E$6,Drop_PnL!$AZ$7:$AZ$18,"N")</f>
        <v>-0</v>
      </c>
      <c r="F14" s="19" t="n">
        <f aca="false">-SUMIFS(Drop_PnL!$U$7:$U$18,Drop_PnL!$AY$7:$AY$18,"&gt;="&amp;F$5,Drop_PnL!$AY$7:$AY$18,"&lt;="&amp;F$6,Drop_PnL!$AZ$7:$AZ$18,"N")</f>
        <v>-0</v>
      </c>
      <c r="G14" s="19" t="n">
        <f aca="false">-SUMIFS(Drop_PnL!$U$7:$U$18,Drop_PnL!$AY$7:$AY$18,"&gt;="&amp;G$5,Drop_PnL!$AY$7:$AY$18,"&lt;="&amp;G$6,Drop_PnL!$AZ$7:$AZ$18,"N")</f>
        <v>-0</v>
      </c>
      <c r="H14" s="19" t="n">
        <f aca="false">-SUMIFS(Drop_PnL!$U$7:$U$18,Drop_PnL!$AY$7:$AY$18,"&gt;="&amp;H$5,Drop_PnL!$AY$7:$AY$18,"&lt;="&amp;H$6,Drop_PnL!$AZ$7:$AZ$18,"N")</f>
        <v>-0</v>
      </c>
      <c r="I14" s="19" t="n">
        <f aca="false">-SUMIFS(Drop_PnL!$U$7:$U$18,Drop_PnL!$AY$7:$AY$18,"&gt;="&amp;I$5,Drop_PnL!$AY$7:$AY$18,"&lt;="&amp;I$6,Drop_PnL!$AZ$7:$AZ$18,"N")</f>
        <v>-0</v>
      </c>
      <c r="J14" s="19" t="n">
        <f aca="false">-SUMIFS(Drop_PnL!$U$7:$U$18,Drop_PnL!$AY$7:$AY$18,"&gt;="&amp;J$5,Drop_PnL!$AY$7:$AY$18,"&lt;="&amp;J$6,Drop_PnL!$AZ$7:$AZ$18,"N")</f>
        <v>-0</v>
      </c>
      <c r="K14" s="19" t="n">
        <f aca="false">-SUMIFS(Drop_PnL!$U$7:$U$18,Drop_PnL!$AY$7:$AY$18,"&gt;="&amp;K$5,Drop_PnL!$AY$7:$AY$18,"&lt;="&amp;K$6,Drop_PnL!$AZ$7:$AZ$18,"N")</f>
        <v>-0</v>
      </c>
      <c r="L14" s="19" t="n">
        <f aca="false">-SUMIFS(Drop_PnL!$U$7:$U$18,Drop_PnL!$AY$7:$AY$18,"&gt;="&amp;L$5,Drop_PnL!$AY$7:$AY$18,"&lt;="&amp;L$6,Drop_PnL!$AZ$7:$AZ$18,"N")</f>
        <v>-0</v>
      </c>
      <c r="M14" s="19" t="n">
        <f aca="false">-SUMIFS(Drop_PnL!$U$7:$U$18,Drop_PnL!$AY$7:$AY$18,"&gt;="&amp;M$5,Drop_PnL!$AY$7:$AY$18,"&lt;="&amp;M$6,Drop_PnL!$AZ$7:$AZ$18,"N")</f>
        <v>-0</v>
      </c>
      <c r="N14" s="19" t="n">
        <f aca="false">-SUMIFS(Drop_PnL!$U$7:$U$18,Drop_PnL!$AY$7:$AY$18,"&gt;="&amp;N$5,Drop_PnL!$AY$7:$AY$18,"&lt;="&amp;N$6,Drop_PnL!$AZ$7:$AZ$18,"N")</f>
        <v>-120</v>
      </c>
      <c r="O14" s="19" t="n">
        <f aca="false">-SUMIFS(Drop_PnL!$U$7:$U$18,Drop_PnL!$AY$7:$AY$18,"&gt;="&amp;O$5,Drop_PnL!$AY$7:$AY$18,"&lt;="&amp;O$6,Drop_PnL!$AZ$7:$AZ$18,"N")</f>
        <v>-0</v>
      </c>
      <c r="P14" s="19" t="n">
        <f aca="false">-SUMIFS(Drop_PnL!$U$7:$U$18,Drop_PnL!$AY$7:$AY$18,"&gt;="&amp;P$5,Drop_PnL!$AY$7:$AY$18,"&lt;="&amp;P$6,Drop_PnL!$AZ$7:$AZ$18,"N")</f>
        <v>-0</v>
      </c>
      <c r="Q14" s="19" t="n">
        <f aca="false">-SUMIFS(Drop_PnL!$U$7:$U$18,Drop_PnL!$AY$7:$AY$18,"&gt;="&amp;Q$5,Drop_PnL!$AY$7:$AY$18,"&lt;="&amp;Q$6,Drop_PnL!$AZ$7:$AZ$18,"N")</f>
        <v>-0</v>
      </c>
      <c r="R14" s="19" t="n">
        <f aca="false">-SUMIFS(Drop_PnL!$U$7:$U$18,Drop_PnL!$AY$7:$AY$18,"&gt;="&amp;R$5,Drop_PnL!$AY$7:$AY$18,"&lt;="&amp;R$6,Drop_PnL!$AZ$7:$AZ$18,"N")</f>
        <v>-300</v>
      </c>
      <c r="S14" s="19" t="n">
        <f aca="false">-SUMIFS(Drop_PnL!$U$7:$U$18,Drop_PnL!$AY$7:$AY$18,"&gt;="&amp;S$5,Drop_PnL!$AY$7:$AY$18,"&lt;="&amp;S$6,Drop_PnL!$AZ$7:$AZ$18,"N")</f>
        <v>-0</v>
      </c>
      <c r="T14" s="19" t="n">
        <f aca="false">-SUMIFS(Drop_PnL!$U$7:$U$18,Drop_PnL!$AY$7:$AY$18,"&gt;="&amp;T$5,Drop_PnL!$AY$7:$AY$18,"&lt;="&amp;T$6,Drop_PnL!$AZ$7:$AZ$18,"N")</f>
        <v>-300</v>
      </c>
      <c r="U14" s="19" t="n">
        <f aca="false">-SUMIFS(Drop_PnL!$U$7:$U$18,Drop_PnL!$AY$7:$AY$18,"&gt;="&amp;U$5,Drop_PnL!$AY$7:$AY$18,"&lt;="&amp;U$6,Drop_PnL!$AZ$7:$AZ$18,"N")</f>
        <v>-0</v>
      </c>
      <c r="V14" s="19" t="n">
        <f aca="false">-SUMIFS(Drop_PnL!$U$7:$U$18,Drop_PnL!$AY$7:$AY$18,"&gt;="&amp;V$5,Drop_PnL!$AY$7:$AY$18,"&lt;="&amp;V$6,Drop_PnL!$AZ$7:$AZ$18,"N")</f>
        <v>-0</v>
      </c>
      <c r="W14" s="19" t="n">
        <f aca="false">-SUMIFS(Drop_PnL!$U$7:$U$18,Drop_PnL!$AY$7:$AY$18,"&gt;="&amp;W$5,Drop_PnL!$AY$7:$AY$18,"&lt;="&amp;W$6,Drop_PnL!$AZ$7:$AZ$18,"N")</f>
        <v>-0</v>
      </c>
      <c r="X14" s="19" t="n">
        <f aca="false">-SUMIFS(Drop_PnL!$U$7:$U$18,Drop_PnL!$AY$7:$AY$18,"&gt;="&amp;X$5,Drop_PnL!$AY$7:$AY$18,"&lt;="&amp;X$6,Drop_PnL!$AZ$7:$AZ$18,"N")</f>
        <v>-0</v>
      </c>
      <c r="Y14" s="19" t="n">
        <f aca="false">-SUMIFS(Drop_PnL!$U$7:$U$18,Drop_PnL!$AY$7:$AY$18,"&gt;="&amp;Y$5,Drop_PnL!$AY$7:$AY$18,"&lt;="&amp;Y$6,Drop_PnL!$AZ$7:$AZ$18,"N")</f>
        <v>-0</v>
      </c>
      <c r="Z14" s="19" t="n">
        <f aca="false">-SUMIFS(Drop_PnL!$U$7:$U$18,Drop_PnL!$AY$7:$AY$18,"&gt;="&amp;Z$5,Drop_PnL!$AY$7:$AY$18,"&lt;="&amp;Z$6,Drop_PnL!$AZ$7:$AZ$18,"N")</f>
        <v>-0</v>
      </c>
      <c r="AA14" s="19" t="n">
        <f aca="false">-SUMIFS(Drop_PnL!$U$7:$U$18,Drop_PnL!$AY$7:$AY$18,"&gt;="&amp;AA$5,Drop_PnL!$AY$7:$AY$18,"&lt;="&amp;AA$6,Drop_PnL!$AZ$7:$AZ$18,"N")</f>
        <v>-0</v>
      </c>
      <c r="AB14" s="19" t="n">
        <f aca="false">-SUMIFS(Drop_PnL!$U$7:$U$18,Drop_PnL!$AY$7:$AY$18,"&gt;="&amp;AB$5,Drop_PnL!$AY$7:$AY$18,"&lt;="&amp;AB$6,Drop_PnL!$AZ$7:$AZ$18,"N")</f>
        <v>-0</v>
      </c>
      <c r="AC14" s="37" t="n">
        <f aca="false">SUM(C14:AB14)</f>
        <v>-720</v>
      </c>
    </row>
    <row r="15" customFormat="false" ht="15" hidden="false" customHeight="false" outlineLevel="0" collapsed="false">
      <c r="B15" s="30" t="s">
        <v>1096</v>
      </c>
      <c r="C15" s="19" t="n">
        <f aca="false">-SUMIFS(Drop_PnL!$V$7:$V$18,Drop_PnL!$AX$7:$AX$18,"&gt;="&amp;C$5,Drop_PnL!$AX$7:$AX$18,"&lt;="&amp;C$6,Drop_PnL!$AZ$7:$AZ$18,"N")</f>
        <v>-0</v>
      </c>
      <c r="D15" s="19" t="n">
        <f aca="false">-SUMIFS(Drop_PnL!$V$7:$V$18,Drop_PnL!$AX$7:$AX$18,"&gt;="&amp;D$5,Drop_PnL!$AX$7:$AX$18,"&lt;="&amp;D$6,Drop_PnL!$AZ$7:$AZ$18,"N")</f>
        <v>-0</v>
      </c>
      <c r="E15" s="19" t="n">
        <f aca="false">-SUMIFS(Drop_PnL!$V$7:$V$18,Drop_PnL!$AX$7:$AX$18,"&gt;="&amp;E$5,Drop_PnL!$AX$7:$AX$18,"&lt;="&amp;E$6,Drop_PnL!$AZ$7:$AZ$18,"N")</f>
        <v>-0</v>
      </c>
      <c r="F15" s="19" t="n">
        <f aca="false">-SUMIFS(Drop_PnL!$V$7:$V$18,Drop_PnL!$AX$7:$AX$18,"&gt;="&amp;F$5,Drop_PnL!$AX$7:$AX$18,"&lt;="&amp;F$6,Drop_PnL!$AZ$7:$AZ$18,"N")</f>
        <v>-0</v>
      </c>
      <c r="G15" s="19" t="n">
        <f aca="false">-SUMIFS(Drop_PnL!$V$7:$V$18,Drop_PnL!$AX$7:$AX$18,"&gt;="&amp;G$5,Drop_PnL!$AX$7:$AX$18,"&lt;="&amp;G$6,Drop_PnL!$AZ$7:$AZ$18,"N")</f>
        <v>-0</v>
      </c>
      <c r="H15" s="19" t="n">
        <f aca="false">-SUMIFS(Drop_PnL!$V$7:$V$18,Drop_PnL!$AX$7:$AX$18,"&gt;="&amp;H$5,Drop_PnL!$AX$7:$AX$18,"&lt;="&amp;H$6,Drop_PnL!$AZ$7:$AZ$18,"N")</f>
        <v>-0</v>
      </c>
      <c r="I15" s="19" t="n">
        <f aca="false">-SUMIFS(Drop_PnL!$V$7:$V$18,Drop_PnL!$AX$7:$AX$18,"&gt;="&amp;I$5,Drop_PnL!$AX$7:$AX$18,"&lt;="&amp;I$6,Drop_PnL!$AZ$7:$AZ$18,"N")</f>
        <v>-0</v>
      </c>
      <c r="J15" s="19" t="n">
        <f aca="false">-SUMIFS(Drop_PnL!$V$7:$V$18,Drop_PnL!$AX$7:$AX$18,"&gt;="&amp;J$5,Drop_PnL!$AX$7:$AX$18,"&lt;="&amp;J$6,Drop_PnL!$AZ$7:$AZ$18,"N")</f>
        <v>-0</v>
      </c>
      <c r="K15" s="19" t="n">
        <f aca="false">-SUMIFS(Drop_PnL!$V$7:$V$18,Drop_PnL!$AX$7:$AX$18,"&gt;="&amp;K$5,Drop_PnL!$AX$7:$AX$18,"&lt;="&amp;K$6,Drop_PnL!$AZ$7:$AZ$18,"N")</f>
        <v>-0</v>
      </c>
      <c r="L15" s="19" t="n">
        <f aca="false">-SUMIFS(Drop_PnL!$V$7:$V$18,Drop_PnL!$AX$7:$AX$18,"&gt;="&amp;L$5,Drop_PnL!$AX$7:$AX$18,"&lt;="&amp;L$6,Drop_PnL!$AZ$7:$AZ$18,"N")</f>
        <v>-0</v>
      </c>
      <c r="M15" s="19" t="n">
        <f aca="false">-SUMIFS(Drop_PnL!$V$7:$V$18,Drop_PnL!$AX$7:$AX$18,"&gt;="&amp;M$5,Drop_PnL!$AX$7:$AX$18,"&lt;="&amp;M$6,Drop_PnL!$AZ$7:$AZ$18,"N")</f>
        <v>-0</v>
      </c>
      <c r="N15" s="19" t="n">
        <f aca="false">-SUMIFS(Drop_PnL!$V$7:$V$18,Drop_PnL!$AX$7:$AX$18,"&gt;="&amp;N$5,Drop_PnL!$AX$7:$AX$18,"&lt;="&amp;N$6,Drop_PnL!$AZ$7:$AZ$18,"N")</f>
        <v>-0</v>
      </c>
      <c r="O15" s="19" t="n">
        <f aca="false">-SUMIFS(Drop_PnL!$V$7:$V$18,Drop_PnL!$AX$7:$AX$18,"&gt;="&amp;O$5,Drop_PnL!$AX$7:$AX$18,"&lt;="&amp;O$6,Drop_PnL!$AZ$7:$AZ$18,"N")</f>
        <v>-0</v>
      </c>
      <c r="P15" s="19" t="n">
        <f aca="false">-SUMIFS(Drop_PnL!$V$7:$V$18,Drop_PnL!$AX$7:$AX$18,"&gt;="&amp;P$5,Drop_PnL!$AX$7:$AX$18,"&lt;="&amp;P$6,Drop_PnL!$AZ$7:$AZ$18,"N")</f>
        <v>-0</v>
      </c>
      <c r="Q15" s="19" t="n">
        <f aca="false">-SUMIFS(Drop_PnL!$V$7:$V$18,Drop_PnL!$AX$7:$AX$18,"&gt;="&amp;Q$5,Drop_PnL!$AX$7:$AX$18,"&lt;="&amp;Q$6,Drop_PnL!$AZ$7:$AZ$18,"N")</f>
        <v>-0</v>
      </c>
      <c r="R15" s="19" t="n">
        <f aca="false">-SUMIFS(Drop_PnL!$V$7:$V$18,Drop_PnL!$AX$7:$AX$18,"&gt;="&amp;R$5,Drop_PnL!$AX$7:$AX$18,"&lt;="&amp;R$6,Drop_PnL!$AZ$7:$AZ$18,"N")</f>
        <v>-0</v>
      </c>
      <c r="S15" s="19" t="n">
        <f aca="false">-SUMIFS(Drop_PnL!$V$7:$V$18,Drop_PnL!$AX$7:$AX$18,"&gt;="&amp;S$5,Drop_PnL!$AX$7:$AX$18,"&lt;="&amp;S$6,Drop_PnL!$AZ$7:$AZ$18,"N")</f>
        <v>-0</v>
      </c>
      <c r="T15" s="19" t="n">
        <f aca="false">-SUMIFS(Drop_PnL!$V$7:$V$18,Drop_PnL!$AX$7:$AX$18,"&gt;="&amp;T$5,Drop_PnL!$AX$7:$AX$18,"&lt;="&amp;T$6,Drop_PnL!$AZ$7:$AZ$18,"N")</f>
        <v>-0</v>
      </c>
      <c r="U15" s="19" t="n">
        <f aca="false">-SUMIFS(Drop_PnL!$V$7:$V$18,Drop_PnL!$AX$7:$AX$18,"&gt;="&amp;U$5,Drop_PnL!$AX$7:$AX$18,"&lt;="&amp;U$6,Drop_PnL!$AZ$7:$AZ$18,"N")</f>
        <v>-0</v>
      </c>
      <c r="V15" s="19" t="n">
        <f aca="false">-SUMIFS(Drop_PnL!$V$7:$V$18,Drop_PnL!$AX$7:$AX$18,"&gt;="&amp;V$5,Drop_PnL!$AX$7:$AX$18,"&lt;="&amp;V$6,Drop_PnL!$AZ$7:$AZ$18,"N")</f>
        <v>-0</v>
      </c>
      <c r="W15" s="19" t="n">
        <f aca="false">-SUMIFS(Drop_PnL!$V$7:$V$18,Drop_PnL!$AX$7:$AX$18,"&gt;="&amp;W$5,Drop_PnL!$AX$7:$AX$18,"&lt;="&amp;W$6,Drop_PnL!$AZ$7:$AZ$18,"N")</f>
        <v>-0</v>
      </c>
      <c r="X15" s="19" t="n">
        <f aca="false">-SUMIFS(Drop_PnL!$V$7:$V$18,Drop_PnL!$AX$7:$AX$18,"&gt;="&amp;X$5,Drop_PnL!$AX$7:$AX$18,"&lt;="&amp;X$6,Drop_PnL!$AZ$7:$AZ$18,"N")</f>
        <v>-0</v>
      </c>
      <c r="Y15" s="19" t="n">
        <f aca="false">-SUMIFS(Drop_PnL!$V$7:$V$18,Drop_PnL!$AX$7:$AX$18,"&gt;="&amp;Y$5,Drop_PnL!$AX$7:$AX$18,"&lt;="&amp;Y$6,Drop_PnL!$AZ$7:$AZ$18,"N")</f>
        <v>-0</v>
      </c>
      <c r="Z15" s="19" t="n">
        <f aca="false">-SUMIFS(Drop_PnL!$V$7:$V$18,Drop_PnL!$AX$7:$AX$18,"&gt;="&amp;Z$5,Drop_PnL!$AX$7:$AX$18,"&lt;="&amp;Z$6,Drop_PnL!$AZ$7:$AZ$18,"N")</f>
        <v>-0</v>
      </c>
      <c r="AA15" s="19" t="n">
        <f aca="false">-SUMIFS(Drop_PnL!$V$7:$V$18,Drop_PnL!$AX$7:$AX$18,"&gt;="&amp;AA$5,Drop_PnL!$AX$7:$AX$18,"&lt;="&amp;AA$6,Drop_PnL!$AZ$7:$AZ$18,"N")</f>
        <v>-0</v>
      </c>
      <c r="AB15" s="19" t="n">
        <f aca="false">-SUMIFS(Drop_PnL!$V$7:$V$18,Drop_PnL!$AX$7:$AX$18,"&gt;="&amp;AB$5,Drop_PnL!$AX$7:$AX$18,"&lt;="&amp;AB$6,Drop_PnL!$AZ$7:$AZ$18,"N")</f>
        <v>-0</v>
      </c>
      <c r="AC15" s="37" t="n">
        <f aca="false">SUM(C15:AB15)</f>
        <v>0</v>
      </c>
    </row>
    <row r="16" customFormat="false" ht="15" hidden="false" customHeight="false" outlineLevel="0" collapsed="false">
      <c r="B16" s="30" t="s">
        <v>1097</v>
      </c>
      <c r="C16" s="19" t="n">
        <f aca="false">-(SUMIFS(Drop_PnL!$AU$7:$AU$18,Drop_PnL!$AO$7:$AO$18,"&gt;="&amp;C$5,Drop_PnL!$AO$7:$AO$18,"&lt;="&amp;C$6,Drop_PnL!$AZ$7:$AZ$18,"N")+SUMIFS(Drop_PnL!$AV$7:$AV$18,Drop_PnL!$AQ$7:$AQ$18,"&gt;="&amp;C$5,Drop_PnL!$AQ$7:$AQ$18,"&lt;="&amp;C$6,Drop_PnL!$AZ$7:$AZ$18,"N")+SUMIFS(Drop_PnL!$AW$7:$AW$18,Drop_PnL!$AS$7:$AS$18,"&gt;="&amp;C$5,Drop_PnL!$AS$7:$AS$18,"&lt;="&amp;C$6,Drop_PnL!$AZ$7:$AZ$18,"N"))</f>
        <v>-0</v>
      </c>
      <c r="D16" s="19" t="n">
        <f aca="false">-(SUMIFS(Drop_PnL!$AU$7:$AU$18,Drop_PnL!$AO$7:$AO$18,"&gt;="&amp;D$5,Drop_PnL!$AO$7:$AO$18,"&lt;="&amp;D$6,Drop_PnL!$AZ$7:$AZ$18,"N")+SUMIFS(Drop_PnL!$AV$7:$AV$18,Drop_PnL!$AQ$7:$AQ$18,"&gt;="&amp;D$5,Drop_PnL!$AQ$7:$AQ$18,"&lt;="&amp;D$6,Drop_PnL!$AZ$7:$AZ$18,"N")+SUMIFS(Drop_PnL!$AW$7:$AW$18,Drop_PnL!$AS$7:$AS$18,"&gt;="&amp;D$5,Drop_PnL!$AS$7:$AS$18,"&lt;="&amp;D$6,Drop_PnL!$AZ$7:$AZ$18,"N"))</f>
        <v>-0</v>
      </c>
      <c r="E16" s="19" t="n">
        <f aca="false">-(SUMIFS(Drop_PnL!$AU$7:$AU$18,Drop_PnL!$AO$7:$AO$18,"&gt;="&amp;E$5,Drop_PnL!$AO$7:$AO$18,"&lt;="&amp;E$6,Drop_PnL!$AZ$7:$AZ$18,"N")+SUMIFS(Drop_PnL!$AV$7:$AV$18,Drop_PnL!$AQ$7:$AQ$18,"&gt;="&amp;E$5,Drop_PnL!$AQ$7:$AQ$18,"&lt;="&amp;E$6,Drop_PnL!$AZ$7:$AZ$18,"N")+SUMIFS(Drop_PnL!$AW$7:$AW$18,Drop_PnL!$AS$7:$AS$18,"&gt;="&amp;E$5,Drop_PnL!$AS$7:$AS$18,"&lt;="&amp;E$6,Drop_PnL!$AZ$7:$AZ$18,"N"))</f>
        <v>-0</v>
      </c>
      <c r="F16" s="19" t="n">
        <f aca="false">-(SUMIFS(Drop_PnL!$AU$7:$AU$18,Drop_PnL!$AO$7:$AO$18,"&gt;="&amp;F$5,Drop_PnL!$AO$7:$AO$18,"&lt;="&amp;F$6,Drop_PnL!$AZ$7:$AZ$18,"N")+SUMIFS(Drop_PnL!$AV$7:$AV$18,Drop_PnL!$AQ$7:$AQ$18,"&gt;="&amp;F$5,Drop_PnL!$AQ$7:$AQ$18,"&lt;="&amp;F$6,Drop_PnL!$AZ$7:$AZ$18,"N")+SUMIFS(Drop_PnL!$AW$7:$AW$18,Drop_PnL!$AS$7:$AS$18,"&gt;="&amp;F$5,Drop_PnL!$AS$7:$AS$18,"&lt;="&amp;F$6,Drop_PnL!$AZ$7:$AZ$18,"N"))</f>
        <v>-0</v>
      </c>
      <c r="G16" s="19" t="n">
        <f aca="false">-(SUMIFS(Drop_PnL!$AU$7:$AU$18,Drop_PnL!$AO$7:$AO$18,"&gt;="&amp;G$5,Drop_PnL!$AO$7:$AO$18,"&lt;="&amp;G$6,Drop_PnL!$AZ$7:$AZ$18,"N")+SUMIFS(Drop_PnL!$AV$7:$AV$18,Drop_PnL!$AQ$7:$AQ$18,"&gt;="&amp;G$5,Drop_PnL!$AQ$7:$AQ$18,"&lt;="&amp;G$6,Drop_PnL!$AZ$7:$AZ$18,"N")+SUMIFS(Drop_PnL!$AW$7:$AW$18,Drop_PnL!$AS$7:$AS$18,"&gt;="&amp;G$5,Drop_PnL!$AS$7:$AS$18,"&lt;="&amp;G$6,Drop_PnL!$AZ$7:$AZ$18,"N"))</f>
        <v>-0</v>
      </c>
      <c r="H16" s="19" t="n">
        <f aca="false">-(SUMIFS(Drop_PnL!$AU$7:$AU$18,Drop_PnL!$AO$7:$AO$18,"&gt;="&amp;H$5,Drop_PnL!$AO$7:$AO$18,"&lt;="&amp;H$6,Drop_PnL!$AZ$7:$AZ$18,"N")+SUMIFS(Drop_PnL!$AV$7:$AV$18,Drop_PnL!$AQ$7:$AQ$18,"&gt;="&amp;H$5,Drop_PnL!$AQ$7:$AQ$18,"&lt;="&amp;H$6,Drop_PnL!$AZ$7:$AZ$18,"N")+SUMIFS(Drop_PnL!$AW$7:$AW$18,Drop_PnL!$AS$7:$AS$18,"&gt;="&amp;H$5,Drop_PnL!$AS$7:$AS$18,"&lt;="&amp;H$6,Drop_PnL!$AZ$7:$AZ$18,"N"))</f>
        <v>-0</v>
      </c>
      <c r="I16" s="19" t="n">
        <f aca="false">-(SUMIFS(Drop_PnL!$AU$7:$AU$18,Drop_PnL!$AO$7:$AO$18,"&gt;="&amp;I$5,Drop_PnL!$AO$7:$AO$18,"&lt;="&amp;I$6,Drop_PnL!$AZ$7:$AZ$18,"N")+SUMIFS(Drop_PnL!$AV$7:$AV$18,Drop_PnL!$AQ$7:$AQ$18,"&gt;="&amp;I$5,Drop_PnL!$AQ$7:$AQ$18,"&lt;="&amp;I$6,Drop_PnL!$AZ$7:$AZ$18,"N")+SUMIFS(Drop_PnL!$AW$7:$AW$18,Drop_PnL!$AS$7:$AS$18,"&gt;="&amp;I$5,Drop_PnL!$AS$7:$AS$18,"&lt;="&amp;I$6,Drop_PnL!$AZ$7:$AZ$18,"N"))</f>
        <v>-36</v>
      </c>
      <c r="J16" s="19" t="n">
        <f aca="false">-(SUMIFS(Drop_PnL!$AU$7:$AU$18,Drop_PnL!$AO$7:$AO$18,"&gt;="&amp;J$5,Drop_PnL!$AO$7:$AO$18,"&lt;="&amp;J$6,Drop_PnL!$AZ$7:$AZ$18,"N")+SUMIFS(Drop_PnL!$AV$7:$AV$18,Drop_PnL!$AQ$7:$AQ$18,"&gt;="&amp;J$5,Drop_PnL!$AQ$7:$AQ$18,"&lt;="&amp;J$6,Drop_PnL!$AZ$7:$AZ$18,"N")+SUMIFS(Drop_PnL!$AW$7:$AW$18,Drop_PnL!$AS$7:$AS$18,"&gt;="&amp;J$5,Drop_PnL!$AS$7:$AS$18,"&lt;="&amp;J$6,Drop_PnL!$AZ$7:$AZ$18,"N"))</f>
        <v>-0</v>
      </c>
      <c r="K16" s="19" t="n">
        <f aca="false">-(SUMIFS(Drop_PnL!$AU$7:$AU$18,Drop_PnL!$AO$7:$AO$18,"&gt;="&amp;K$5,Drop_PnL!$AO$7:$AO$18,"&lt;="&amp;K$6,Drop_PnL!$AZ$7:$AZ$18,"N")+SUMIFS(Drop_PnL!$AV$7:$AV$18,Drop_PnL!$AQ$7:$AQ$18,"&gt;="&amp;K$5,Drop_PnL!$AQ$7:$AQ$18,"&lt;="&amp;K$6,Drop_PnL!$AZ$7:$AZ$18,"N")+SUMIFS(Drop_PnL!$AW$7:$AW$18,Drop_PnL!$AS$7:$AS$18,"&gt;="&amp;K$5,Drop_PnL!$AS$7:$AS$18,"&lt;="&amp;K$6,Drop_PnL!$AZ$7:$AZ$18,"N"))</f>
        <v>-0</v>
      </c>
      <c r="L16" s="19" t="n">
        <f aca="false">-(SUMIFS(Drop_PnL!$AU$7:$AU$18,Drop_PnL!$AO$7:$AO$18,"&gt;="&amp;L$5,Drop_PnL!$AO$7:$AO$18,"&lt;="&amp;L$6,Drop_PnL!$AZ$7:$AZ$18,"N")+SUMIFS(Drop_PnL!$AV$7:$AV$18,Drop_PnL!$AQ$7:$AQ$18,"&gt;="&amp;L$5,Drop_PnL!$AQ$7:$AQ$18,"&lt;="&amp;L$6,Drop_PnL!$AZ$7:$AZ$18,"N")+SUMIFS(Drop_PnL!$AW$7:$AW$18,Drop_PnL!$AS$7:$AS$18,"&gt;="&amp;L$5,Drop_PnL!$AS$7:$AS$18,"&lt;="&amp;L$6,Drop_PnL!$AZ$7:$AZ$18,"N"))</f>
        <v>-0</v>
      </c>
      <c r="M16" s="19" t="n">
        <f aca="false">-(SUMIFS(Drop_PnL!$AU$7:$AU$18,Drop_PnL!$AO$7:$AO$18,"&gt;="&amp;M$5,Drop_PnL!$AO$7:$AO$18,"&lt;="&amp;M$6,Drop_PnL!$AZ$7:$AZ$18,"N")+SUMIFS(Drop_PnL!$AV$7:$AV$18,Drop_PnL!$AQ$7:$AQ$18,"&gt;="&amp;M$5,Drop_PnL!$AQ$7:$AQ$18,"&lt;="&amp;M$6,Drop_PnL!$AZ$7:$AZ$18,"N")+SUMIFS(Drop_PnL!$AW$7:$AW$18,Drop_PnL!$AS$7:$AS$18,"&gt;="&amp;M$5,Drop_PnL!$AS$7:$AS$18,"&lt;="&amp;M$6,Drop_PnL!$AZ$7:$AZ$18,"N"))</f>
        <v>-0</v>
      </c>
      <c r="N16" s="19" t="n">
        <f aca="false">-(SUMIFS(Drop_PnL!$AU$7:$AU$18,Drop_PnL!$AO$7:$AO$18,"&gt;="&amp;N$5,Drop_PnL!$AO$7:$AO$18,"&lt;="&amp;N$6,Drop_PnL!$AZ$7:$AZ$18,"N")+SUMIFS(Drop_PnL!$AV$7:$AV$18,Drop_PnL!$AQ$7:$AQ$18,"&gt;="&amp;N$5,Drop_PnL!$AQ$7:$AQ$18,"&lt;="&amp;N$6,Drop_PnL!$AZ$7:$AZ$18,"N")+SUMIFS(Drop_PnL!$AW$7:$AW$18,Drop_PnL!$AS$7:$AS$18,"&gt;="&amp;N$5,Drop_PnL!$AS$7:$AS$18,"&lt;="&amp;N$6,Drop_PnL!$AZ$7:$AZ$18,"N"))</f>
        <v>-0</v>
      </c>
      <c r="O16" s="19" t="n">
        <f aca="false">-(SUMIFS(Drop_PnL!$AU$7:$AU$18,Drop_PnL!$AO$7:$AO$18,"&gt;="&amp;O$5,Drop_PnL!$AO$7:$AO$18,"&lt;="&amp;O$6,Drop_PnL!$AZ$7:$AZ$18,"N")+SUMIFS(Drop_PnL!$AV$7:$AV$18,Drop_PnL!$AQ$7:$AQ$18,"&gt;="&amp;O$5,Drop_PnL!$AQ$7:$AQ$18,"&lt;="&amp;O$6,Drop_PnL!$AZ$7:$AZ$18,"N")+SUMIFS(Drop_PnL!$AW$7:$AW$18,Drop_PnL!$AS$7:$AS$18,"&gt;="&amp;O$5,Drop_PnL!$AS$7:$AS$18,"&lt;="&amp;O$6,Drop_PnL!$AZ$7:$AZ$18,"N"))</f>
        <v>-0</v>
      </c>
      <c r="P16" s="19" t="n">
        <f aca="false">-(SUMIFS(Drop_PnL!$AU$7:$AU$18,Drop_PnL!$AO$7:$AO$18,"&gt;="&amp;P$5,Drop_PnL!$AO$7:$AO$18,"&lt;="&amp;P$6,Drop_PnL!$AZ$7:$AZ$18,"N")+SUMIFS(Drop_PnL!$AV$7:$AV$18,Drop_PnL!$AQ$7:$AQ$18,"&gt;="&amp;P$5,Drop_PnL!$AQ$7:$AQ$18,"&lt;="&amp;P$6,Drop_PnL!$AZ$7:$AZ$18,"N")+SUMIFS(Drop_PnL!$AW$7:$AW$18,Drop_PnL!$AS$7:$AS$18,"&gt;="&amp;P$5,Drop_PnL!$AS$7:$AS$18,"&lt;="&amp;P$6,Drop_PnL!$AZ$7:$AZ$18,"N"))</f>
        <v>-67.5</v>
      </c>
      <c r="Q16" s="19" t="n">
        <f aca="false">-(SUMIFS(Drop_PnL!$AU$7:$AU$18,Drop_PnL!$AO$7:$AO$18,"&gt;="&amp;Q$5,Drop_PnL!$AO$7:$AO$18,"&lt;="&amp;Q$6,Drop_PnL!$AZ$7:$AZ$18,"N")+SUMIFS(Drop_PnL!$AV$7:$AV$18,Drop_PnL!$AQ$7:$AQ$18,"&gt;="&amp;Q$5,Drop_PnL!$AQ$7:$AQ$18,"&lt;="&amp;Q$6,Drop_PnL!$AZ$7:$AZ$18,"N")+SUMIFS(Drop_PnL!$AW$7:$AW$18,Drop_PnL!$AS$7:$AS$18,"&gt;="&amp;Q$5,Drop_PnL!$AS$7:$AS$18,"&lt;="&amp;Q$6,Drop_PnL!$AZ$7:$AZ$18,"N"))</f>
        <v>-0</v>
      </c>
      <c r="R16" s="19" t="n">
        <f aca="false">-(SUMIFS(Drop_PnL!$AU$7:$AU$18,Drop_PnL!$AO$7:$AO$18,"&gt;="&amp;R$5,Drop_PnL!$AO$7:$AO$18,"&lt;="&amp;R$6,Drop_PnL!$AZ$7:$AZ$18,"N")+SUMIFS(Drop_PnL!$AV$7:$AV$18,Drop_PnL!$AQ$7:$AQ$18,"&gt;="&amp;R$5,Drop_PnL!$AQ$7:$AQ$18,"&lt;="&amp;R$6,Drop_PnL!$AZ$7:$AZ$18,"N")+SUMIFS(Drop_PnL!$AW$7:$AW$18,Drop_PnL!$AS$7:$AS$18,"&gt;="&amp;R$5,Drop_PnL!$AS$7:$AS$18,"&lt;="&amp;R$6,Drop_PnL!$AZ$7:$AZ$18,"N"))</f>
        <v>-135</v>
      </c>
      <c r="S16" s="19" t="n">
        <f aca="false">-(SUMIFS(Drop_PnL!$AU$7:$AU$18,Drop_PnL!$AO$7:$AO$18,"&gt;="&amp;S$5,Drop_PnL!$AO$7:$AO$18,"&lt;="&amp;S$6,Drop_PnL!$AZ$7:$AZ$18,"N")+SUMIFS(Drop_PnL!$AV$7:$AV$18,Drop_PnL!$AQ$7:$AQ$18,"&gt;="&amp;S$5,Drop_PnL!$AQ$7:$AQ$18,"&lt;="&amp;S$6,Drop_PnL!$AZ$7:$AZ$18,"N")+SUMIFS(Drop_PnL!$AW$7:$AW$18,Drop_PnL!$AS$7:$AS$18,"&gt;="&amp;S$5,Drop_PnL!$AS$7:$AS$18,"&lt;="&amp;S$6,Drop_PnL!$AZ$7:$AZ$18,"N"))</f>
        <v>-0</v>
      </c>
      <c r="T16" s="19" t="n">
        <f aca="false">-(SUMIFS(Drop_PnL!$AU$7:$AU$18,Drop_PnL!$AO$7:$AO$18,"&gt;="&amp;T$5,Drop_PnL!$AO$7:$AO$18,"&lt;="&amp;T$6,Drop_PnL!$AZ$7:$AZ$18,"N")+SUMIFS(Drop_PnL!$AV$7:$AV$18,Drop_PnL!$AQ$7:$AQ$18,"&gt;="&amp;T$5,Drop_PnL!$AQ$7:$AQ$18,"&lt;="&amp;T$6,Drop_PnL!$AZ$7:$AZ$18,"N")+SUMIFS(Drop_PnL!$AW$7:$AW$18,Drop_PnL!$AS$7:$AS$18,"&gt;="&amp;T$5,Drop_PnL!$AS$7:$AS$18,"&lt;="&amp;T$6,Drop_PnL!$AZ$7:$AZ$18,"N"))</f>
        <v>-67.5</v>
      </c>
      <c r="U16" s="19" t="n">
        <f aca="false">-(SUMIFS(Drop_PnL!$AU$7:$AU$18,Drop_PnL!$AO$7:$AO$18,"&gt;="&amp;U$5,Drop_PnL!$AO$7:$AO$18,"&lt;="&amp;U$6,Drop_PnL!$AZ$7:$AZ$18,"N")+SUMIFS(Drop_PnL!$AV$7:$AV$18,Drop_PnL!$AQ$7:$AQ$18,"&gt;="&amp;U$5,Drop_PnL!$AQ$7:$AQ$18,"&lt;="&amp;U$6,Drop_PnL!$AZ$7:$AZ$18,"N")+SUMIFS(Drop_PnL!$AW$7:$AW$18,Drop_PnL!$AS$7:$AS$18,"&gt;="&amp;U$5,Drop_PnL!$AS$7:$AS$18,"&lt;="&amp;U$6,Drop_PnL!$AZ$7:$AZ$18,"N"))</f>
        <v>-0</v>
      </c>
      <c r="V16" s="19" t="n">
        <f aca="false">-(SUMIFS(Drop_PnL!$AU$7:$AU$18,Drop_PnL!$AO$7:$AO$18,"&gt;="&amp;V$5,Drop_PnL!$AO$7:$AO$18,"&lt;="&amp;V$6,Drop_PnL!$AZ$7:$AZ$18,"N")+SUMIFS(Drop_PnL!$AV$7:$AV$18,Drop_PnL!$AQ$7:$AQ$18,"&gt;="&amp;V$5,Drop_PnL!$AQ$7:$AQ$18,"&lt;="&amp;V$6,Drop_PnL!$AZ$7:$AZ$18,"N")+SUMIFS(Drop_PnL!$AW$7:$AW$18,Drop_PnL!$AS$7:$AS$18,"&gt;="&amp;V$5,Drop_PnL!$AS$7:$AS$18,"&lt;="&amp;V$6,Drop_PnL!$AZ$7:$AZ$18,"N"))</f>
        <v>-67.5</v>
      </c>
      <c r="W16" s="19" t="n">
        <f aca="false">-(SUMIFS(Drop_PnL!$AU$7:$AU$18,Drop_PnL!$AO$7:$AO$18,"&gt;="&amp;W$5,Drop_PnL!$AO$7:$AO$18,"&lt;="&amp;W$6,Drop_PnL!$AZ$7:$AZ$18,"N")+SUMIFS(Drop_PnL!$AV$7:$AV$18,Drop_PnL!$AQ$7:$AQ$18,"&gt;="&amp;W$5,Drop_PnL!$AQ$7:$AQ$18,"&lt;="&amp;W$6,Drop_PnL!$AZ$7:$AZ$18,"N")+SUMIFS(Drop_PnL!$AW$7:$AW$18,Drop_PnL!$AS$7:$AS$18,"&gt;="&amp;W$5,Drop_PnL!$AS$7:$AS$18,"&lt;="&amp;W$6,Drop_PnL!$AZ$7:$AZ$18,"N"))</f>
        <v>-0</v>
      </c>
      <c r="X16" s="19" t="n">
        <f aca="false">-(SUMIFS(Drop_PnL!$AU$7:$AU$18,Drop_PnL!$AO$7:$AO$18,"&gt;="&amp;X$5,Drop_PnL!$AO$7:$AO$18,"&lt;="&amp;X$6,Drop_PnL!$AZ$7:$AZ$18,"N")+SUMIFS(Drop_PnL!$AV$7:$AV$18,Drop_PnL!$AQ$7:$AQ$18,"&gt;="&amp;X$5,Drop_PnL!$AQ$7:$AQ$18,"&lt;="&amp;X$6,Drop_PnL!$AZ$7:$AZ$18,"N")+SUMIFS(Drop_PnL!$AW$7:$AW$18,Drop_PnL!$AS$7:$AS$18,"&gt;="&amp;X$5,Drop_PnL!$AS$7:$AS$18,"&lt;="&amp;X$6,Drop_PnL!$AZ$7:$AZ$18,"N"))</f>
        <v>-135</v>
      </c>
      <c r="Y16" s="19" t="n">
        <f aca="false">-(SUMIFS(Drop_PnL!$AU$7:$AU$18,Drop_PnL!$AO$7:$AO$18,"&gt;="&amp;Y$5,Drop_PnL!$AO$7:$AO$18,"&lt;="&amp;Y$6,Drop_PnL!$AZ$7:$AZ$18,"N")+SUMIFS(Drop_PnL!$AV$7:$AV$18,Drop_PnL!$AQ$7:$AQ$18,"&gt;="&amp;Y$5,Drop_PnL!$AQ$7:$AQ$18,"&lt;="&amp;Y$6,Drop_PnL!$AZ$7:$AZ$18,"N")+SUMIFS(Drop_PnL!$AW$7:$AW$18,Drop_PnL!$AS$7:$AS$18,"&gt;="&amp;Y$5,Drop_PnL!$AS$7:$AS$18,"&lt;="&amp;Y$6,Drop_PnL!$AZ$7:$AZ$18,"N"))</f>
        <v>-0</v>
      </c>
      <c r="Z16" s="19" t="n">
        <f aca="false">-(SUMIFS(Drop_PnL!$AU$7:$AU$18,Drop_PnL!$AO$7:$AO$18,"&gt;="&amp;Z$5,Drop_PnL!$AO$7:$AO$18,"&lt;="&amp;Z$6,Drop_PnL!$AZ$7:$AZ$18,"N")+SUMIFS(Drop_PnL!$AV$7:$AV$18,Drop_PnL!$AQ$7:$AQ$18,"&gt;="&amp;Z$5,Drop_PnL!$AQ$7:$AQ$18,"&lt;="&amp;Z$6,Drop_PnL!$AZ$7:$AZ$18,"N")+SUMIFS(Drop_PnL!$AW$7:$AW$18,Drop_PnL!$AS$7:$AS$18,"&gt;="&amp;Z$5,Drop_PnL!$AS$7:$AS$18,"&lt;="&amp;Z$6,Drop_PnL!$AZ$7:$AZ$18,"N"))</f>
        <v>-67.5</v>
      </c>
      <c r="AA16" s="19" t="n">
        <f aca="false">-(SUMIFS(Drop_PnL!$AU$7:$AU$18,Drop_PnL!$AO$7:$AO$18,"&gt;="&amp;AA$5,Drop_PnL!$AO$7:$AO$18,"&lt;="&amp;AA$6,Drop_PnL!$AZ$7:$AZ$18,"N")+SUMIFS(Drop_PnL!$AV$7:$AV$18,Drop_PnL!$AQ$7:$AQ$18,"&gt;="&amp;AA$5,Drop_PnL!$AQ$7:$AQ$18,"&lt;="&amp;AA$6,Drop_PnL!$AZ$7:$AZ$18,"N")+SUMIFS(Drop_PnL!$AW$7:$AW$18,Drop_PnL!$AS$7:$AS$18,"&gt;="&amp;AA$5,Drop_PnL!$AS$7:$AS$18,"&lt;="&amp;AA$6,Drop_PnL!$AZ$7:$AZ$18,"N"))</f>
        <v>-0</v>
      </c>
      <c r="AB16" s="19" t="n">
        <f aca="false">-(SUMIFS(Drop_PnL!$AU$7:$AU$18,Drop_PnL!$AO$7:$AO$18,"&gt;="&amp;AB$5,Drop_PnL!$AO$7:$AO$18,"&lt;="&amp;AB$6,Drop_PnL!$AZ$7:$AZ$18,"N")+SUMIFS(Drop_PnL!$AV$7:$AV$18,Drop_PnL!$AQ$7:$AQ$18,"&gt;="&amp;AB$5,Drop_PnL!$AQ$7:$AQ$18,"&lt;="&amp;AB$6,Drop_PnL!$AZ$7:$AZ$18,"N")+SUMIFS(Drop_PnL!$AW$7:$AW$18,Drop_PnL!$AS$7:$AS$18,"&gt;="&amp;AB$5,Drop_PnL!$AS$7:$AS$18,"&lt;="&amp;AB$6,Drop_PnL!$AZ$7:$AZ$18,"N"))</f>
        <v>-0</v>
      </c>
      <c r="AC16" s="37" t="n">
        <f aca="false">SUM(C16:AB16)</f>
        <v>-576</v>
      </c>
    </row>
    <row r="17" customFormat="false" ht="15" hidden="false" customHeight="false" outlineLevel="0" collapsed="false">
      <c r="B17" s="30" t="s">
        <v>1098</v>
      </c>
      <c r="C17" s="19" t="n">
        <f aca="false">-(SUMIFS(Actuals_DropCosts!$F$5:$F$104,Actuals_DropCosts!$B$5:$B$104,"&gt;="&amp;C$5,Actuals_DropCosts!$B$5:$B$104,"&lt;="&amp;C$6,Actuals_DropCosts!$U$5:$U$104,"Y")+SUMIFS(Actuals_DropCosts!$G$5:$G$104,Actuals_DropCosts!$B$5:$B$104,"&gt;="&amp;C$5,Actuals_DropCosts!$B$5:$B$104,"&lt;="&amp;C$6,Actuals_DropCosts!$U$5:$U$104,"Y")+SUMIFS(Actuals_DropCosts!$H$5:$H$104,Actuals_DropCosts!$B$5:$B$104,"&gt;="&amp;C$5,Actuals_DropCosts!$B$5:$B$104,"&lt;="&amp;C$6,Actuals_DropCosts!$U$5:$U$104,"Y")+SUMIFS(Actuals_Campaigns!$T$5:$T$204,Actuals_Campaigns!$S$5:$S$204,"&gt;="&amp;C$5,Actuals_Campaigns!$S$5:$S$204,"&lt;="&amp;C$6,Actuals_Campaigns!$AL$5:$AL$204,"Y"))</f>
        <v>-0</v>
      </c>
      <c r="D17" s="19" t="n">
        <f aca="false">-(SUMIFS(Actuals_DropCosts!$F$5:$F$104,Actuals_DropCosts!$B$5:$B$104,"&gt;="&amp;D$5,Actuals_DropCosts!$B$5:$B$104,"&lt;="&amp;D$6,Actuals_DropCosts!$U$5:$U$104,"Y")+SUMIFS(Actuals_DropCosts!$G$5:$G$104,Actuals_DropCosts!$B$5:$B$104,"&gt;="&amp;D$5,Actuals_DropCosts!$B$5:$B$104,"&lt;="&amp;D$6,Actuals_DropCosts!$U$5:$U$104,"Y")+SUMIFS(Actuals_DropCosts!$H$5:$H$104,Actuals_DropCosts!$B$5:$B$104,"&gt;="&amp;D$5,Actuals_DropCosts!$B$5:$B$104,"&lt;="&amp;D$6,Actuals_DropCosts!$U$5:$U$104,"Y")+SUMIFS(Actuals_Campaigns!$T$5:$T$204,Actuals_Campaigns!$S$5:$S$204,"&gt;="&amp;D$5,Actuals_Campaigns!$S$5:$S$204,"&lt;="&amp;D$6,Actuals_Campaigns!$AL$5:$AL$204,"Y"))</f>
        <v>-0</v>
      </c>
      <c r="E17" s="19" t="n">
        <f aca="false">-(SUMIFS(Actuals_DropCosts!$F$5:$F$104,Actuals_DropCosts!$B$5:$B$104,"&gt;="&amp;E$5,Actuals_DropCosts!$B$5:$B$104,"&lt;="&amp;E$6,Actuals_DropCosts!$U$5:$U$104,"Y")+SUMIFS(Actuals_DropCosts!$G$5:$G$104,Actuals_DropCosts!$B$5:$B$104,"&gt;="&amp;E$5,Actuals_DropCosts!$B$5:$B$104,"&lt;="&amp;E$6,Actuals_DropCosts!$U$5:$U$104,"Y")+SUMIFS(Actuals_DropCosts!$H$5:$H$104,Actuals_DropCosts!$B$5:$B$104,"&gt;="&amp;E$5,Actuals_DropCosts!$B$5:$B$104,"&lt;="&amp;E$6,Actuals_DropCosts!$U$5:$U$104,"Y")+SUMIFS(Actuals_Campaigns!$T$5:$T$204,Actuals_Campaigns!$S$5:$S$204,"&gt;="&amp;E$5,Actuals_Campaigns!$S$5:$S$204,"&lt;="&amp;E$6,Actuals_Campaigns!$AL$5:$AL$204,"Y"))</f>
        <v>-0</v>
      </c>
      <c r="F17" s="19" t="n">
        <f aca="false">-(SUMIFS(Actuals_DropCosts!$F$5:$F$104,Actuals_DropCosts!$B$5:$B$104,"&gt;="&amp;F$5,Actuals_DropCosts!$B$5:$B$104,"&lt;="&amp;F$6,Actuals_DropCosts!$U$5:$U$104,"Y")+SUMIFS(Actuals_DropCosts!$G$5:$G$104,Actuals_DropCosts!$B$5:$B$104,"&gt;="&amp;F$5,Actuals_DropCosts!$B$5:$B$104,"&lt;="&amp;F$6,Actuals_DropCosts!$U$5:$U$104,"Y")+SUMIFS(Actuals_DropCosts!$H$5:$H$104,Actuals_DropCosts!$B$5:$B$104,"&gt;="&amp;F$5,Actuals_DropCosts!$B$5:$B$104,"&lt;="&amp;F$6,Actuals_DropCosts!$U$5:$U$104,"Y")+SUMIFS(Actuals_Campaigns!$T$5:$T$204,Actuals_Campaigns!$S$5:$S$204,"&gt;="&amp;F$5,Actuals_Campaigns!$S$5:$S$204,"&lt;="&amp;F$6,Actuals_Campaigns!$AL$5:$AL$204,"Y"))</f>
        <v>-0</v>
      </c>
      <c r="G17" s="19" t="n">
        <f aca="false">-(SUMIFS(Actuals_DropCosts!$F$5:$F$104,Actuals_DropCosts!$B$5:$B$104,"&gt;="&amp;G$5,Actuals_DropCosts!$B$5:$B$104,"&lt;="&amp;G$6,Actuals_DropCosts!$U$5:$U$104,"Y")+SUMIFS(Actuals_DropCosts!$G$5:$G$104,Actuals_DropCosts!$B$5:$B$104,"&gt;="&amp;G$5,Actuals_DropCosts!$B$5:$B$104,"&lt;="&amp;G$6,Actuals_DropCosts!$U$5:$U$104,"Y")+SUMIFS(Actuals_DropCosts!$H$5:$H$104,Actuals_DropCosts!$B$5:$B$104,"&gt;="&amp;G$5,Actuals_DropCosts!$B$5:$B$104,"&lt;="&amp;G$6,Actuals_DropCosts!$U$5:$U$104,"Y")+SUMIFS(Actuals_Campaigns!$T$5:$T$204,Actuals_Campaigns!$S$5:$S$204,"&gt;="&amp;G$5,Actuals_Campaigns!$S$5:$S$204,"&lt;="&amp;G$6,Actuals_Campaigns!$AL$5:$AL$204,"Y"))</f>
        <v>-0</v>
      </c>
      <c r="H17" s="19" t="n">
        <f aca="false">-(SUMIFS(Actuals_DropCosts!$F$5:$F$104,Actuals_DropCosts!$B$5:$B$104,"&gt;="&amp;H$5,Actuals_DropCosts!$B$5:$B$104,"&lt;="&amp;H$6,Actuals_DropCosts!$U$5:$U$104,"Y")+SUMIFS(Actuals_DropCosts!$G$5:$G$104,Actuals_DropCosts!$B$5:$B$104,"&gt;="&amp;H$5,Actuals_DropCosts!$B$5:$B$104,"&lt;="&amp;H$6,Actuals_DropCosts!$U$5:$U$104,"Y")+SUMIFS(Actuals_DropCosts!$H$5:$H$104,Actuals_DropCosts!$B$5:$B$104,"&gt;="&amp;H$5,Actuals_DropCosts!$B$5:$B$104,"&lt;="&amp;H$6,Actuals_DropCosts!$U$5:$U$104,"Y")+SUMIFS(Actuals_Campaigns!$T$5:$T$204,Actuals_Campaigns!$S$5:$S$204,"&gt;="&amp;H$5,Actuals_Campaigns!$S$5:$S$204,"&lt;="&amp;H$6,Actuals_Campaigns!$AL$5:$AL$204,"Y"))</f>
        <v>-0</v>
      </c>
      <c r="I17" s="19" t="n">
        <f aca="false">-(SUMIFS(Actuals_DropCosts!$F$5:$F$104,Actuals_DropCosts!$B$5:$B$104,"&gt;="&amp;I$5,Actuals_DropCosts!$B$5:$B$104,"&lt;="&amp;I$6,Actuals_DropCosts!$U$5:$U$104,"Y")+SUMIFS(Actuals_DropCosts!$G$5:$G$104,Actuals_DropCosts!$B$5:$B$104,"&gt;="&amp;I$5,Actuals_DropCosts!$B$5:$B$104,"&lt;="&amp;I$6,Actuals_DropCosts!$U$5:$U$104,"Y")+SUMIFS(Actuals_DropCosts!$H$5:$H$104,Actuals_DropCosts!$B$5:$B$104,"&gt;="&amp;I$5,Actuals_DropCosts!$B$5:$B$104,"&lt;="&amp;I$6,Actuals_DropCosts!$U$5:$U$104,"Y")+SUMIFS(Actuals_Campaigns!$T$5:$T$204,Actuals_Campaigns!$S$5:$S$204,"&gt;="&amp;I$5,Actuals_Campaigns!$S$5:$S$204,"&lt;="&amp;I$6,Actuals_Campaigns!$AL$5:$AL$204,"Y"))</f>
        <v>-0</v>
      </c>
      <c r="J17" s="19" t="n">
        <f aca="false">-(SUMIFS(Actuals_DropCosts!$F$5:$F$104,Actuals_DropCosts!$B$5:$B$104,"&gt;="&amp;J$5,Actuals_DropCosts!$B$5:$B$104,"&lt;="&amp;J$6,Actuals_DropCosts!$U$5:$U$104,"Y")+SUMIFS(Actuals_DropCosts!$G$5:$G$104,Actuals_DropCosts!$B$5:$B$104,"&gt;="&amp;J$5,Actuals_DropCosts!$B$5:$B$104,"&lt;="&amp;J$6,Actuals_DropCosts!$U$5:$U$104,"Y")+SUMIFS(Actuals_DropCosts!$H$5:$H$104,Actuals_DropCosts!$B$5:$B$104,"&gt;="&amp;J$5,Actuals_DropCosts!$B$5:$B$104,"&lt;="&amp;J$6,Actuals_DropCosts!$U$5:$U$104,"Y")+SUMIFS(Actuals_Campaigns!$T$5:$T$204,Actuals_Campaigns!$S$5:$S$204,"&gt;="&amp;J$5,Actuals_Campaigns!$S$5:$S$204,"&lt;="&amp;J$6,Actuals_Campaigns!$AL$5:$AL$204,"Y"))</f>
        <v>-0</v>
      </c>
      <c r="K17" s="19" t="n">
        <f aca="false">-(SUMIFS(Actuals_DropCosts!$F$5:$F$104,Actuals_DropCosts!$B$5:$B$104,"&gt;="&amp;K$5,Actuals_DropCosts!$B$5:$B$104,"&lt;="&amp;K$6,Actuals_DropCosts!$U$5:$U$104,"Y")+SUMIFS(Actuals_DropCosts!$G$5:$G$104,Actuals_DropCosts!$B$5:$B$104,"&gt;="&amp;K$5,Actuals_DropCosts!$B$5:$B$104,"&lt;="&amp;K$6,Actuals_DropCosts!$U$5:$U$104,"Y")+SUMIFS(Actuals_DropCosts!$H$5:$H$104,Actuals_DropCosts!$B$5:$B$104,"&gt;="&amp;K$5,Actuals_DropCosts!$B$5:$B$104,"&lt;="&amp;K$6,Actuals_DropCosts!$U$5:$U$104,"Y")+SUMIFS(Actuals_Campaigns!$T$5:$T$204,Actuals_Campaigns!$S$5:$S$204,"&gt;="&amp;K$5,Actuals_Campaigns!$S$5:$S$204,"&lt;="&amp;K$6,Actuals_Campaigns!$AL$5:$AL$204,"Y"))</f>
        <v>-0</v>
      </c>
      <c r="L17" s="19" t="n">
        <f aca="false">-(SUMIFS(Actuals_DropCosts!$F$5:$F$104,Actuals_DropCosts!$B$5:$B$104,"&gt;="&amp;L$5,Actuals_DropCosts!$B$5:$B$104,"&lt;="&amp;L$6,Actuals_DropCosts!$U$5:$U$104,"Y")+SUMIFS(Actuals_DropCosts!$G$5:$G$104,Actuals_DropCosts!$B$5:$B$104,"&gt;="&amp;L$5,Actuals_DropCosts!$B$5:$B$104,"&lt;="&amp;L$6,Actuals_DropCosts!$U$5:$U$104,"Y")+SUMIFS(Actuals_DropCosts!$H$5:$H$104,Actuals_DropCosts!$B$5:$B$104,"&gt;="&amp;L$5,Actuals_DropCosts!$B$5:$B$104,"&lt;="&amp;L$6,Actuals_DropCosts!$U$5:$U$104,"Y")+SUMIFS(Actuals_Campaigns!$T$5:$T$204,Actuals_Campaigns!$S$5:$S$204,"&gt;="&amp;L$5,Actuals_Campaigns!$S$5:$S$204,"&lt;="&amp;L$6,Actuals_Campaigns!$AL$5:$AL$204,"Y"))</f>
        <v>-0</v>
      </c>
      <c r="M17" s="19" t="n">
        <f aca="false">-(SUMIFS(Actuals_DropCosts!$F$5:$F$104,Actuals_DropCosts!$B$5:$B$104,"&gt;="&amp;M$5,Actuals_DropCosts!$B$5:$B$104,"&lt;="&amp;M$6,Actuals_DropCosts!$U$5:$U$104,"Y")+SUMIFS(Actuals_DropCosts!$G$5:$G$104,Actuals_DropCosts!$B$5:$B$104,"&gt;="&amp;M$5,Actuals_DropCosts!$B$5:$B$104,"&lt;="&amp;M$6,Actuals_DropCosts!$U$5:$U$104,"Y")+SUMIFS(Actuals_DropCosts!$H$5:$H$104,Actuals_DropCosts!$B$5:$B$104,"&gt;="&amp;M$5,Actuals_DropCosts!$B$5:$B$104,"&lt;="&amp;M$6,Actuals_DropCosts!$U$5:$U$104,"Y")+SUMIFS(Actuals_Campaigns!$T$5:$T$204,Actuals_Campaigns!$S$5:$S$204,"&gt;="&amp;M$5,Actuals_Campaigns!$S$5:$S$204,"&lt;="&amp;M$6,Actuals_Campaigns!$AL$5:$AL$204,"Y"))</f>
        <v>-0</v>
      </c>
      <c r="N17" s="19" t="n">
        <f aca="false">-(SUMIFS(Actuals_DropCosts!$F$5:$F$104,Actuals_DropCosts!$B$5:$B$104,"&gt;="&amp;N$5,Actuals_DropCosts!$B$5:$B$104,"&lt;="&amp;N$6,Actuals_DropCosts!$U$5:$U$104,"Y")+SUMIFS(Actuals_DropCosts!$G$5:$G$104,Actuals_DropCosts!$B$5:$B$104,"&gt;="&amp;N$5,Actuals_DropCosts!$B$5:$B$104,"&lt;="&amp;N$6,Actuals_DropCosts!$U$5:$U$104,"Y")+SUMIFS(Actuals_DropCosts!$H$5:$H$104,Actuals_DropCosts!$B$5:$B$104,"&gt;="&amp;N$5,Actuals_DropCosts!$B$5:$B$104,"&lt;="&amp;N$6,Actuals_DropCosts!$U$5:$U$104,"Y")+SUMIFS(Actuals_Campaigns!$T$5:$T$204,Actuals_Campaigns!$S$5:$S$204,"&gt;="&amp;N$5,Actuals_Campaigns!$S$5:$S$204,"&lt;="&amp;N$6,Actuals_Campaigns!$AL$5:$AL$204,"Y"))</f>
        <v>-0</v>
      </c>
      <c r="O17" s="19" t="n">
        <f aca="false">-(SUMIFS(Actuals_DropCosts!$F$5:$F$104,Actuals_DropCosts!$B$5:$B$104,"&gt;="&amp;O$5,Actuals_DropCosts!$B$5:$B$104,"&lt;="&amp;O$6,Actuals_DropCosts!$U$5:$U$104,"Y")+SUMIFS(Actuals_DropCosts!$G$5:$G$104,Actuals_DropCosts!$B$5:$B$104,"&gt;="&amp;O$5,Actuals_DropCosts!$B$5:$B$104,"&lt;="&amp;O$6,Actuals_DropCosts!$U$5:$U$104,"Y")+SUMIFS(Actuals_DropCosts!$H$5:$H$104,Actuals_DropCosts!$B$5:$B$104,"&gt;="&amp;O$5,Actuals_DropCosts!$B$5:$B$104,"&lt;="&amp;O$6,Actuals_DropCosts!$U$5:$U$104,"Y")+SUMIFS(Actuals_Campaigns!$T$5:$T$204,Actuals_Campaigns!$S$5:$S$204,"&gt;="&amp;O$5,Actuals_Campaigns!$S$5:$S$204,"&lt;="&amp;O$6,Actuals_Campaigns!$AL$5:$AL$204,"Y"))</f>
        <v>-0</v>
      </c>
      <c r="P17" s="19" t="n">
        <f aca="false">-(SUMIFS(Actuals_DropCosts!$F$5:$F$104,Actuals_DropCosts!$B$5:$B$104,"&gt;="&amp;P$5,Actuals_DropCosts!$B$5:$B$104,"&lt;="&amp;P$6,Actuals_DropCosts!$U$5:$U$104,"Y")+SUMIFS(Actuals_DropCosts!$G$5:$G$104,Actuals_DropCosts!$B$5:$B$104,"&gt;="&amp;P$5,Actuals_DropCosts!$B$5:$B$104,"&lt;="&amp;P$6,Actuals_DropCosts!$U$5:$U$104,"Y")+SUMIFS(Actuals_DropCosts!$H$5:$H$104,Actuals_DropCosts!$B$5:$B$104,"&gt;="&amp;P$5,Actuals_DropCosts!$B$5:$B$104,"&lt;="&amp;P$6,Actuals_DropCosts!$U$5:$U$104,"Y")+SUMIFS(Actuals_Campaigns!$T$5:$T$204,Actuals_Campaigns!$S$5:$S$204,"&gt;="&amp;P$5,Actuals_Campaigns!$S$5:$S$204,"&lt;="&amp;P$6,Actuals_Campaigns!$AL$5:$AL$204,"Y"))</f>
        <v>-0</v>
      </c>
      <c r="Q17" s="19" t="n">
        <f aca="false">-(SUMIFS(Actuals_DropCosts!$F$5:$F$104,Actuals_DropCosts!$B$5:$B$104,"&gt;="&amp;Q$5,Actuals_DropCosts!$B$5:$B$104,"&lt;="&amp;Q$6,Actuals_DropCosts!$U$5:$U$104,"Y")+SUMIFS(Actuals_DropCosts!$G$5:$G$104,Actuals_DropCosts!$B$5:$B$104,"&gt;="&amp;Q$5,Actuals_DropCosts!$B$5:$B$104,"&lt;="&amp;Q$6,Actuals_DropCosts!$U$5:$U$104,"Y")+SUMIFS(Actuals_DropCosts!$H$5:$H$104,Actuals_DropCosts!$B$5:$B$104,"&gt;="&amp;Q$5,Actuals_DropCosts!$B$5:$B$104,"&lt;="&amp;Q$6,Actuals_DropCosts!$U$5:$U$104,"Y")+SUMIFS(Actuals_Campaigns!$T$5:$T$204,Actuals_Campaigns!$S$5:$S$204,"&gt;="&amp;Q$5,Actuals_Campaigns!$S$5:$S$204,"&lt;="&amp;Q$6,Actuals_Campaigns!$AL$5:$AL$204,"Y"))</f>
        <v>-0</v>
      </c>
      <c r="R17" s="19" t="n">
        <f aca="false">-(SUMIFS(Actuals_DropCosts!$F$5:$F$104,Actuals_DropCosts!$B$5:$B$104,"&gt;="&amp;R$5,Actuals_DropCosts!$B$5:$B$104,"&lt;="&amp;R$6,Actuals_DropCosts!$U$5:$U$104,"Y")+SUMIFS(Actuals_DropCosts!$G$5:$G$104,Actuals_DropCosts!$B$5:$B$104,"&gt;="&amp;R$5,Actuals_DropCosts!$B$5:$B$104,"&lt;="&amp;R$6,Actuals_DropCosts!$U$5:$U$104,"Y")+SUMIFS(Actuals_DropCosts!$H$5:$H$104,Actuals_DropCosts!$B$5:$B$104,"&gt;="&amp;R$5,Actuals_DropCosts!$B$5:$B$104,"&lt;="&amp;R$6,Actuals_DropCosts!$U$5:$U$104,"Y")+SUMIFS(Actuals_Campaigns!$T$5:$T$204,Actuals_Campaigns!$S$5:$S$204,"&gt;="&amp;R$5,Actuals_Campaigns!$S$5:$S$204,"&lt;="&amp;R$6,Actuals_Campaigns!$AL$5:$AL$204,"Y"))</f>
        <v>-0</v>
      </c>
      <c r="S17" s="19" t="n">
        <f aca="false">-(SUMIFS(Actuals_DropCosts!$F$5:$F$104,Actuals_DropCosts!$B$5:$B$104,"&gt;="&amp;S$5,Actuals_DropCosts!$B$5:$B$104,"&lt;="&amp;S$6,Actuals_DropCosts!$U$5:$U$104,"Y")+SUMIFS(Actuals_DropCosts!$G$5:$G$104,Actuals_DropCosts!$B$5:$B$104,"&gt;="&amp;S$5,Actuals_DropCosts!$B$5:$B$104,"&lt;="&amp;S$6,Actuals_DropCosts!$U$5:$U$104,"Y")+SUMIFS(Actuals_DropCosts!$H$5:$H$104,Actuals_DropCosts!$B$5:$B$104,"&gt;="&amp;S$5,Actuals_DropCosts!$B$5:$B$104,"&lt;="&amp;S$6,Actuals_DropCosts!$U$5:$U$104,"Y")+SUMIFS(Actuals_Campaigns!$T$5:$T$204,Actuals_Campaigns!$S$5:$S$204,"&gt;="&amp;S$5,Actuals_Campaigns!$S$5:$S$204,"&lt;="&amp;S$6,Actuals_Campaigns!$AL$5:$AL$204,"Y"))</f>
        <v>-0</v>
      </c>
      <c r="T17" s="19" t="n">
        <f aca="false">-(SUMIFS(Actuals_DropCosts!$F$5:$F$104,Actuals_DropCosts!$B$5:$B$104,"&gt;="&amp;T$5,Actuals_DropCosts!$B$5:$B$104,"&lt;="&amp;T$6,Actuals_DropCosts!$U$5:$U$104,"Y")+SUMIFS(Actuals_DropCosts!$G$5:$G$104,Actuals_DropCosts!$B$5:$B$104,"&gt;="&amp;T$5,Actuals_DropCosts!$B$5:$B$104,"&lt;="&amp;T$6,Actuals_DropCosts!$U$5:$U$104,"Y")+SUMIFS(Actuals_DropCosts!$H$5:$H$104,Actuals_DropCosts!$B$5:$B$104,"&gt;="&amp;T$5,Actuals_DropCosts!$B$5:$B$104,"&lt;="&amp;T$6,Actuals_DropCosts!$U$5:$U$104,"Y")+SUMIFS(Actuals_Campaigns!$T$5:$T$204,Actuals_Campaigns!$S$5:$S$204,"&gt;="&amp;T$5,Actuals_Campaigns!$S$5:$S$204,"&lt;="&amp;T$6,Actuals_Campaigns!$AL$5:$AL$204,"Y"))</f>
        <v>-0</v>
      </c>
      <c r="U17" s="19" t="n">
        <f aca="false">-(SUMIFS(Actuals_DropCosts!$F$5:$F$104,Actuals_DropCosts!$B$5:$B$104,"&gt;="&amp;U$5,Actuals_DropCosts!$B$5:$B$104,"&lt;="&amp;U$6,Actuals_DropCosts!$U$5:$U$104,"Y")+SUMIFS(Actuals_DropCosts!$G$5:$G$104,Actuals_DropCosts!$B$5:$B$104,"&gt;="&amp;U$5,Actuals_DropCosts!$B$5:$B$104,"&lt;="&amp;U$6,Actuals_DropCosts!$U$5:$U$104,"Y")+SUMIFS(Actuals_DropCosts!$H$5:$H$104,Actuals_DropCosts!$B$5:$B$104,"&gt;="&amp;U$5,Actuals_DropCosts!$B$5:$B$104,"&lt;="&amp;U$6,Actuals_DropCosts!$U$5:$U$104,"Y")+SUMIFS(Actuals_Campaigns!$T$5:$T$204,Actuals_Campaigns!$S$5:$S$204,"&gt;="&amp;U$5,Actuals_Campaigns!$S$5:$S$204,"&lt;="&amp;U$6,Actuals_Campaigns!$AL$5:$AL$204,"Y"))</f>
        <v>-0</v>
      </c>
      <c r="V17" s="19" t="n">
        <f aca="false">-(SUMIFS(Actuals_DropCosts!$F$5:$F$104,Actuals_DropCosts!$B$5:$B$104,"&gt;="&amp;V$5,Actuals_DropCosts!$B$5:$B$104,"&lt;="&amp;V$6,Actuals_DropCosts!$U$5:$U$104,"Y")+SUMIFS(Actuals_DropCosts!$G$5:$G$104,Actuals_DropCosts!$B$5:$B$104,"&gt;="&amp;V$5,Actuals_DropCosts!$B$5:$B$104,"&lt;="&amp;V$6,Actuals_DropCosts!$U$5:$U$104,"Y")+SUMIFS(Actuals_DropCosts!$H$5:$H$104,Actuals_DropCosts!$B$5:$B$104,"&gt;="&amp;V$5,Actuals_DropCosts!$B$5:$B$104,"&lt;="&amp;V$6,Actuals_DropCosts!$U$5:$U$104,"Y")+SUMIFS(Actuals_Campaigns!$T$5:$T$204,Actuals_Campaigns!$S$5:$S$204,"&gt;="&amp;V$5,Actuals_Campaigns!$S$5:$S$204,"&lt;="&amp;V$6,Actuals_Campaigns!$AL$5:$AL$204,"Y"))</f>
        <v>-0</v>
      </c>
      <c r="W17" s="19" t="n">
        <f aca="false">-(SUMIFS(Actuals_DropCosts!$F$5:$F$104,Actuals_DropCosts!$B$5:$B$104,"&gt;="&amp;W$5,Actuals_DropCosts!$B$5:$B$104,"&lt;="&amp;W$6,Actuals_DropCosts!$U$5:$U$104,"Y")+SUMIFS(Actuals_DropCosts!$G$5:$G$104,Actuals_DropCosts!$B$5:$B$104,"&gt;="&amp;W$5,Actuals_DropCosts!$B$5:$B$104,"&lt;="&amp;W$6,Actuals_DropCosts!$U$5:$U$104,"Y")+SUMIFS(Actuals_DropCosts!$H$5:$H$104,Actuals_DropCosts!$B$5:$B$104,"&gt;="&amp;W$5,Actuals_DropCosts!$B$5:$B$104,"&lt;="&amp;W$6,Actuals_DropCosts!$U$5:$U$104,"Y")+SUMIFS(Actuals_Campaigns!$T$5:$T$204,Actuals_Campaigns!$S$5:$S$204,"&gt;="&amp;W$5,Actuals_Campaigns!$S$5:$S$204,"&lt;="&amp;W$6,Actuals_Campaigns!$AL$5:$AL$204,"Y"))</f>
        <v>-0</v>
      </c>
      <c r="X17" s="19" t="n">
        <f aca="false">-(SUMIFS(Actuals_DropCosts!$F$5:$F$104,Actuals_DropCosts!$B$5:$B$104,"&gt;="&amp;X$5,Actuals_DropCosts!$B$5:$B$104,"&lt;="&amp;X$6,Actuals_DropCosts!$U$5:$U$104,"Y")+SUMIFS(Actuals_DropCosts!$G$5:$G$104,Actuals_DropCosts!$B$5:$B$104,"&gt;="&amp;X$5,Actuals_DropCosts!$B$5:$B$104,"&lt;="&amp;X$6,Actuals_DropCosts!$U$5:$U$104,"Y")+SUMIFS(Actuals_DropCosts!$H$5:$H$104,Actuals_DropCosts!$B$5:$B$104,"&gt;="&amp;X$5,Actuals_DropCosts!$B$5:$B$104,"&lt;="&amp;X$6,Actuals_DropCosts!$U$5:$U$104,"Y")+SUMIFS(Actuals_Campaigns!$T$5:$T$204,Actuals_Campaigns!$S$5:$S$204,"&gt;="&amp;X$5,Actuals_Campaigns!$S$5:$S$204,"&lt;="&amp;X$6,Actuals_Campaigns!$AL$5:$AL$204,"Y"))</f>
        <v>-0</v>
      </c>
      <c r="Y17" s="19" t="n">
        <f aca="false">-(SUMIFS(Actuals_DropCosts!$F$5:$F$104,Actuals_DropCosts!$B$5:$B$104,"&gt;="&amp;Y$5,Actuals_DropCosts!$B$5:$B$104,"&lt;="&amp;Y$6,Actuals_DropCosts!$U$5:$U$104,"Y")+SUMIFS(Actuals_DropCosts!$G$5:$G$104,Actuals_DropCosts!$B$5:$B$104,"&gt;="&amp;Y$5,Actuals_DropCosts!$B$5:$B$104,"&lt;="&amp;Y$6,Actuals_DropCosts!$U$5:$U$104,"Y")+SUMIFS(Actuals_DropCosts!$H$5:$H$104,Actuals_DropCosts!$B$5:$B$104,"&gt;="&amp;Y$5,Actuals_DropCosts!$B$5:$B$104,"&lt;="&amp;Y$6,Actuals_DropCosts!$U$5:$U$104,"Y")+SUMIFS(Actuals_Campaigns!$T$5:$T$204,Actuals_Campaigns!$S$5:$S$204,"&gt;="&amp;Y$5,Actuals_Campaigns!$S$5:$S$204,"&lt;="&amp;Y$6,Actuals_Campaigns!$AL$5:$AL$204,"Y"))</f>
        <v>-0</v>
      </c>
      <c r="Z17" s="19" t="n">
        <f aca="false">-(SUMIFS(Actuals_DropCosts!$F$5:$F$104,Actuals_DropCosts!$B$5:$B$104,"&gt;="&amp;Z$5,Actuals_DropCosts!$B$5:$B$104,"&lt;="&amp;Z$6,Actuals_DropCosts!$U$5:$U$104,"Y")+SUMIFS(Actuals_DropCosts!$G$5:$G$104,Actuals_DropCosts!$B$5:$B$104,"&gt;="&amp;Z$5,Actuals_DropCosts!$B$5:$B$104,"&lt;="&amp;Z$6,Actuals_DropCosts!$U$5:$U$104,"Y")+SUMIFS(Actuals_DropCosts!$H$5:$H$104,Actuals_DropCosts!$B$5:$B$104,"&gt;="&amp;Z$5,Actuals_DropCosts!$B$5:$B$104,"&lt;="&amp;Z$6,Actuals_DropCosts!$U$5:$U$104,"Y")+SUMIFS(Actuals_Campaigns!$T$5:$T$204,Actuals_Campaigns!$S$5:$S$204,"&gt;="&amp;Z$5,Actuals_Campaigns!$S$5:$S$204,"&lt;="&amp;Z$6,Actuals_Campaigns!$AL$5:$AL$204,"Y"))</f>
        <v>-0</v>
      </c>
      <c r="AA17" s="19" t="n">
        <f aca="false">-(SUMIFS(Actuals_DropCosts!$F$5:$F$104,Actuals_DropCosts!$B$5:$B$104,"&gt;="&amp;AA$5,Actuals_DropCosts!$B$5:$B$104,"&lt;="&amp;AA$6,Actuals_DropCosts!$U$5:$U$104,"Y")+SUMIFS(Actuals_DropCosts!$G$5:$G$104,Actuals_DropCosts!$B$5:$B$104,"&gt;="&amp;AA$5,Actuals_DropCosts!$B$5:$B$104,"&lt;="&amp;AA$6,Actuals_DropCosts!$U$5:$U$104,"Y")+SUMIFS(Actuals_DropCosts!$H$5:$H$104,Actuals_DropCosts!$B$5:$B$104,"&gt;="&amp;AA$5,Actuals_DropCosts!$B$5:$B$104,"&lt;="&amp;AA$6,Actuals_DropCosts!$U$5:$U$104,"Y")+SUMIFS(Actuals_Campaigns!$T$5:$T$204,Actuals_Campaigns!$S$5:$S$204,"&gt;="&amp;AA$5,Actuals_Campaigns!$S$5:$S$204,"&lt;="&amp;AA$6,Actuals_Campaigns!$AL$5:$AL$204,"Y"))</f>
        <v>-0</v>
      </c>
      <c r="AB17" s="19" t="n">
        <f aca="false">-(SUMIFS(Actuals_DropCosts!$F$5:$F$104,Actuals_DropCosts!$B$5:$B$104,"&gt;="&amp;AB$5,Actuals_DropCosts!$B$5:$B$104,"&lt;="&amp;AB$6,Actuals_DropCosts!$U$5:$U$104,"Y")+SUMIFS(Actuals_DropCosts!$G$5:$G$104,Actuals_DropCosts!$B$5:$B$104,"&gt;="&amp;AB$5,Actuals_DropCosts!$B$5:$B$104,"&lt;="&amp;AB$6,Actuals_DropCosts!$U$5:$U$104,"Y")+SUMIFS(Actuals_DropCosts!$H$5:$H$104,Actuals_DropCosts!$B$5:$B$104,"&gt;="&amp;AB$5,Actuals_DropCosts!$B$5:$B$104,"&lt;="&amp;AB$6,Actuals_DropCosts!$U$5:$U$104,"Y")+SUMIFS(Actuals_Campaigns!$T$5:$T$204,Actuals_Campaigns!$S$5:$S$204,"&gt;="&amp;AB$5,Actuals_Campaigns!$S$5:$S$204,"&lt;="&amp;AB$6,Actuals_Campaigns!$AL$5:$AL$204,"Y"))</f>
        <v>-0</v>
      </c>
      <c r="AC17" s="37" t="n">
        <f aca="false">SUM(C17:AB17)</f>
        <v>0</v>
      </c>
    </row>
    <row r="18" customFormat="false" ht="15" hidden="false" customHeight="false" outlineLevel="0" collapsed="false">
      <c r="B18" s="9" t="s">
        <v>1099</v>
      </c>
      <c r="C18" s="37" t="n">
        <f aca="false">SUM(C13:C17)</f>
        <v>0</v>
      </c>
      <c r="D18" s="37" t="n">
        <f aca="false">SUM(D13:D17)</f>
        <v>0</v>
      </c>
      <c r="E18" s="37" t="n">
        <f aca="false">SUM(E13:E17)</f>
        <v>0</v>
      </c>
      <c r="F18" s="37" t="n">
        <f aca="false">SUM(F13:F17)</f>
        <v>0</v>
      </c>
      <c r="G18" s="37" t="n">
        <f aca="false">SUM(G13:G17)</f>
        <v>0</v>
      </c>
      <c r="H18" s="37" t="n">
        <f aca="false">SUM(H13:H17)</f>
        <v>0</v>
      </c>
      <c r="I18" s="37" t="n">
        <f aca="false">SUM(I13:I17)</f>
        <v>-36</v>
      </c>
      <c r="J18" s="37" t="n">
        <f aca="false">SUM(J13:J17)</f>
        <v>0</v>
      </c>
      <c r="K18" s="37" t="n">
        <f aca="false">SUM(K13:K17)</f>
        <v>0</v>
      </c>
      <c r="L18" s="37" t="n">
        <f aca="false">SUM(L13:L17)</f>
        <v>0</v>
      </c>
      <c r="M18" s="37" t="n">
        <f aca="false">SUM(M13:M17)</f>
        <v>-40</v>
      </c>
      <c r="N18" s="37" t="n">
        <f aca="false">SUM(N13:N17)</f>
        <v>-120</v>
      </c>
      <c r="O18" s="37" t="n">
        <f aca="false">SUM(O13:O17)</f>
        <v>0</v>
      </c>
      <c r="P18" s="37" t="n">
        <f aca="false">SUM(P13:P17)</f>
        <v>-67.5</v>
      </c>
      <c r="Q18" s="37" t="n">
        <f aca="false">SUM(Q13:Q17)</f>
        <v>-80</v>
      </c>
      <c r="R18" s="37" t="n">
        <f aca="false">SUM(R13:R17)</f>
        <v>-435</v>
      </c>
      <c r="S18" s="37" t="n">
        <f aca="false">SUM(S13:S17)</f>
        <v>-80</v>
      </c>
      <c r="T18" s="37" t="n">
        <f aca="false">SUM(T13:T17)</f>
        <v>-367.5</v>
      </c>
      <c r="U18" s="37" t="n">
        <f aca="false">SUM(U13:U17)</f>
        <v>0</v>
      </c>
      <c r="V18" s="37" t="n">
        <f aca="false">SUM(V13:V17)</f>
        <v>-67.5</v>
      </c>
      <c r="W18" s="37" t="n">
        <f aca="false">SUM(W13:W17)</f>
        <v>-80</v>
      </c>
      <c r="X18" s="37" t="n">
        <f aca="false">SUM(X13:X17)</f>
        <v>-135</v>
      </c>
      <c r="Y18" s="37" t="n">
        <f aca="false">SUM(Y13:Y17)</f>
        <v>-80</v>
      </c>
      <c r="Z18" s="37" t="n">
        <f aca="false">SUM(Z13:Z17)</f>
        <v>-67.5</v>
      </c>
      <c r="AA18" s="37" t="n">
        <f aca="false">SUM(AA13:AA17)</f>
        <v>0</v>
      </c>
      <c r="AB18" s="37" t="n">
        <f aca="false">SUM(AB13:AB17)</f>
        <v>0</v>
      </c>
      <c r="AC18" s="37" t="n">
        <f aca="false">SUM(C18:AB18)</f>
        <v>-1656</v>
      </c>
    </row>
    <row r="19" customFormat="false" ht="15" hidden="false" customHeight="false" outlineLevel="0" collapsed="false">
      <c r="A19" s="3" t="s">
        <v>1100</v>
      </c>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row>
    <row r="20" customFormat="false" ht="15" hidden="false" customHeight="false" outlineLevel="0" collapsed="false">
      <c r="B20" s="30" t="s">
        <v>1101</v>
      </c>
      <c r="C20" s="19" t="n">
        <f aca="false">-SUMIFS(Cash_Ledger!$D$5:$D$53,Cash_Ledger!$C$5:$C$53,"&gt;="&amp;C$5,Cash_Ledger!$C$5:$C$53,"&lt;="&amp;C$6,Cash_Ledger!$A$5:$A$53,"software")</f>
        <v>-60</v>
      </c>
      <c r="D20" s="19" t="n">
        <f aca="false">-SUMIFS(Cash_Ledger!$D$5:$D$53,Cash_Ledger!$C$5:$C$53,"&gt;="&amp;D$5,Cash_Ledger!$C$5:$C$53,"&lt;="&amp;D$6,Cash_Ledger!$A$5:$A$53,"software")</f>
        <v>-0</v>
      </c>
      <c r="E20" s="19" t="n">
        <f aca="false">-SUMIFS(Cash_Ledger!$D$5:$D$53,Cash_Ledger!$C$5:$C$53,"&gt;="&amp;E$5,Cash_Ledger!$C$5:$C$53,"&lt;="&amp;E$6,Cash_Ledger!$A$5:$A$53,"software")</f>
        <v>-0</v>
      </c>
      <c r="F20" s="19" t="n">
        <f aca="false">-SUMIFS(Cash_Ledger!$D$5:$D$53,Cash_Ledger!$C$5:$C$53,"&gt;="&amp;F$5,Cash_Ledger!$C$5:$C$53,"&lt;="&amp;F$6,Cash_Ledger!$A$5:$A$53,"software")</f>
        <v>-0</v>
      </c>
      <c r="G20" s="19" t="n">
        <f aca="false">-SUMIFS(Cash_Ledger!$D$5:$D$53,Cash_Ledger!$C$5:$C$53,"&gt;="&amp;G$5,Cash_Ledger!$C$5:$C$53,"&lt;="&amp;G$6,Cash_Ledger!$A$5:$A$53,"software")</f>
        <v>-60</v>
      </c>
      <c r="H20" s="19" t="n">
        <f aca="false">-SUMIFS(Cash_Ledger!$D$5:$D$53,Cash_Ledger!$C$5:$C$53,"&gt;="&amp;H$5,Cash_Ledger!$C$5:$C$53,"&lt;="&amp;H$6,Cash_Ledger!$A$5:$A$53,"software")</f>
        <v>-0</v>
      </c>
      <c r="I20" s="19" t="n">
        <f aca="false">-SUMIFS(Cash_Ledger!$D$5:$D$53,Cash_Ledger!$C$5:$C$53,"&gt;="&amp;I$5,Cash_Ledger!$C$5:$C$53,"&lt;="&amp;I$6,Cash_Ledger!$A$5:$A$53,"software")</f>
        <v>-0</v>
      </c>
      <c r="J20" s="19" t="n">
        <f aca="false">-SUMIFS(Cash_Ledger!$D$5:$D$53,Cash_Ledger!$C$5:$C$53,"&gt;="&amp;J$5,Cash_Ledger!$C$5:$C$53,"&lt;="&amp;J$6,Cash_Ledger!$A$5:$A$53,"software")</f>
        <v>-0</v>
      </c>
      <c r="K20" s="19" t="n">
        <f aca="false">-SUMIFS(Cash_Ledger!$D$5:$D$53,Cash_Ledger!$C$5:$C$53,"&gt;="&amp;K$5,Cash_Ledger!$C$5:$C$53,"&lt;="&amp;K$6,Cash_Ledger!$A$5:$A$53,"software")</f>
        <v>-60</v>
      </c>
      <c r="L20" s="19" t="n">
        <f aca="false">-SUMIFS(Cash_Ledger!$D$5:$D$53,Cash_Ledger!$C$5:$C$53,"&gt;="&amp;L$5,Cash_Ledger!$C$5:$C$53,"&lt;="&amp;L$6,Cash_Ledger!$A$5:$A$53,"software")</f>
        <v>-0</v>
      </c>
      <c r="M20" s="19" t="n">
        <f aca="false">-SUMIFS(Cash_Ledger!$D$5:$D$53,Cash_Ledger!$C$5:$C$53,"&gt;="&amp;M$5,Cash_Ledger!$C$5:$C$53,"&lt;="&amp;M$6,Cash_Ledger!$A$5:$A$53,"software")</f>
        <v>-0</v>
      </c>
      <c r="N20" s="19" t="n">
        <f aca="false">-SUMIFS(Cash_Ledger!$D$5:$D$53,Cash_Ledger!$C$5:$C$53,"&gt;="&amp;N$5,Cash_Ledger!$C$5:$C$53,"&lt;="&amp;N$6,Cash_Ledger!$A$5:$A$53,"software")</f>
        <v>-0</v>
      </c>
      <c r="O20" s="19" t="n">
        <f aca="false">-SUMIFS(Cash_Ledger!$D$5:$D$53,Cash_Ledger!$C$5:$C$53,"&gt;="&amp;O$5,Cash_Ledger!$C$5:$C$53,"&lt;="&amp;O$6,Cash_Ledger!$A$5:$A$53,"software")</f>
        <v>-0</v>
      </c>
      <c r="P20" s="19" t="n">
        <f aca="false">-SUMIFS(Cash_Ledger!$D$5:$D$53,Cash_Ledger!$C$5:$C$53,"&gt;="&amp;P$5,Cash_Ledger!$C$5:$C$53,"&lt;="&amp;P$6,Cash_Ledger!$A$5:$A$53,"software")</f>
        <v>-60</v>
      </c>
      <c r="Q20" s="19" t="n">
        <f aca="false">-SUMIFS(Cash_Ledger!$D$5:$D$53,Cash_Ledger!$C$5:$C$53,"&gt;="&amp;Q$5,Cash_Ledger!$C$5:$C$53,"&lt;="&amp;Q$6,Cash_Ledger!$A$5:$A$53,"software")</f>
        <v>-0</v>
      </c>
      <c r="R20" s="19" t="n">
        <f aca="false">-SUMIFS(Cash_Ledger!$D$5:$D$53,Cash_Ledger!$C$5:$C$53,"&gt;="&amp;R$5,Cash_Ledger!$C$5:$C$53,"&lt;="&amp;R$6,Cash_Ledger!$A$5:$A$53,"software")</f>
        <v>-0</v>
      </c>
      <c r="S20" s="19" t="n">
        <f aca="false">-SUMIFS(Cash_Ledger!$D$5:$D$53,Cash_Ledger!$C$5:$C$53,"&gt;="&amp;S$5,Cash_Ledger!$C$5:$C$53,"&lt;="&amp;S$6,Cash_Ledger!$A$5:$A$53,"software")</f>
        <v>-0</v>
      </c>
      <c r="T20" s="19" t="n">
        <f aca="false">-SUMIFS(Cash_Ledger!$D$5:$D$53,Cash_Ledger!$C$5:$C$53,"&gt;="&amp;T$5,Cash_Ledger!$C$5:$C$53,"&lt;="&amp;T$6,Cash_Ledger!$A$5:$A$53,"software")</f>
        <v>-60</v>
      </c>
      <c r="U20" s="19" t="n">
        <f aca="false">-SUMIFS(Cash_Ledger!$D$5:$D$53,Cash_Ledger!$C$5:$C$53,"&gt;="&amp;U$5,Cash_Ledger!$C$5:$C$53,"&lt;="&amp;U$6,Cash_Ledger!$A$5:$A$53,"software")</f>
        <v>-0</v>
      </c>
      <c r="V20" s="19" t="n">
        <f aca="false">-SUMIFS(Cash_Ledger!$D$5:$D$53,Cash_Ledger!$C$5:$C$53,"&gt;="&amp;V$5,Cash_Ledger!$C$5:$C$53,"&lt;="&amp;V$6,Cash_Ledger!$A$5:$A$53,"software")</f>
        <v>-0</v>
      </c>
      <c r="W20" s="19" t="n">
        <f aca="false">-SUMIFS(Cash_Ledger!$D$5:$D$53,Cash_Ledger!$C$5:$C$53,"&gt;="&amp;W$5,Cash_Ledger!$C$5:$C$53,"&lt;="&amp;W$6,Cash_Ledger!$A$5:$A$53,"software")</f>
        <v>-0</v>
      </c>
      <c r="X20" s="19" t="n">
        <f aca="false">-SUMIFS(Cash_Ledger!$D$5:$D$53,Cash_Ledger!$C$5:$C$53,"&gt;="&amp;X$5,Cash_Ledger!$C$5:$C$53,"&lt;="&amp;X$6,Cash_Ledger!$A$5:$A$53,"software")</f>
        <v>-60</v>
      </c>
      <c r="Y20" s="19" t="n">
        <f aca="false">-SUMIFS(Cash_Ledger!$D$5:$D$53,Cash_Ledger!$C$5:$C$53,"&gt;="&amp;Y$5,Cash_Ledger!$C$5:$C$53,"&lt;="&amp;Y$6,Cash_Ledger!$A$5:$A$53,"software")</f>
        <v>-0</v>
      </c>
      <c r="Z20" s="19" t="n">
        <f aca="false">-SUMIFS(Cash_Ledger!$D$5:$D$53,Cash_Ledger!$C$5:$C$53,"&gt;="&amp;Z$5,Cash_Ledger!$C$5:$C$53,"&lt;="&amp;Z$6,Cash_Ledger!$A$5:$A$53,"software")</f>
        <v>-0</v>
      </c>
      <c r="AA20" s="19" t="n">
        <f aca="false">-SUMIFS(Cash_Ledger!$D$5:$D$53,Cash_Ledger!$C$5:$C$53,"&gt;="&amp;AA$5,Cash_Ledger!$C$5:$C$53,"&lt;="&amp;AA$6,Cash_Ledger!$A$5:$A$53,"software")</f>
        <v>-0</v>
      </c>
      <c r="AB20" s="19" t="n">
        <f aca="false">-SUMIFS(Cash_Ledger!$D$5:$D$53,Cash_Ledger!$C$5:$C$53,"&gt;="&amp;AB$5,Cash_Ledger!$C$5:$C$53,"&lt;="&amp;AB$6,Cash_Ledger!$A$5:$A$53,"software")</f>
        <v>-0</v>
      </c>
      <c r="AC20" s="37" t="n">
        <f aca="false">SUM(C20:AB20)</f>
        <v>-360</v>
      </c>
    </row>
    <row r="21" customFormat="false" ht="15" hidden="false" customHeight="false" outlineLevel="0" collapsed="false">
      <c r="B21" s="30" t="s">
        <v>189</v>
      </c>
      <c r="C21" s="19" t="n">
        <f aca="false">-SUMIFS(Cash_Ledger!$D$5:$D$53,Cash_Ledger!$C$5:$C$53,"&gt;="&amp;C$5,Cash_Ledger!$C$5:$C$53,"&lt;="&amp;C$6,Cash_Ledger!$A$5:$A$53,"insurance")</f>
        <v>-0</v>
      </c>
      <c r="D21" s="19" t="n">
        <f aca="false">-SUMIFS(Cash_Ledger!$D$5:$D$53,Cash_Ledger!$C$5:$C$53,"&gt;="&amp;D$5,Cash_Ledger!$C$5:$C$53,"&lt;="&amp;D$6,Cash_Ledger!$A$5:$A$53,"insurance")</f>
        <v>-0</v>
      </c>
      <c r="E21" s="19" t="n">
        <f aca="false">-SUMIFS(Cash_Ledger!$D$5:$D$53,Cash_Ledger!$C$5:$C$53,"&gt;="&amp;E$5,Cash_Ledger!$C$5:$C$53,"&lt;="&amp;E$6,Cash_Ledger!$A$5:$A$53,"insurance")</f>
        <v>-0</v>
      </c>
      <c r="F21" s="19" t="n">
        <f aca="false">-SUMIFS(Cash_Ledger!$D$5:$D$53,Cash_Ledger!$C$5:$C$53,"&gt;="&amp;F$5,Cash_Ledger!$C$5:$C$53,"&lt;="&amp;F$6,Cash_Ledger!$A$5:$A$53,"insurance")</f>
        <v>-0</v>
      </c>
      <c r="G21" s="19" t="n">
        <f aca="false">-SUMIFS(Cash_Ledger!$D$5:$D$53,Cash_Ledger!$C$5:$C$53,"&gt;="&amp;G$5,Cash_Ledger!$C$5:$C$53,"&lt;="&amp;G$6,Cash_Ledger!$A$5:$A$53,"insurance")</f>
        <v>-0</v>
      </c>
      <c r="H21" s="19" t="n">
        <f aca="false">-SUMIFS(Cash_Ledger!$D$5:$D$53,Cash_Ledger!$C$5:$C$53,"&gt;="&amp;H$5,Cash_Ledger!$C$5:$C$53,"&lt;="&amp;H$6,Cash_Ledger!$A$5:$A$53,"insurance")</f>
        <v>-0</v>
      </c>
      <c r="I21" s="19" t="n">
        <f aca="false">-SUMIFS(Cash_Ledger!$D$5:$D$53,Cash_Ledger!$C$5:$C$53,"&gt;="&amp;I$5,Cash_Ledger!$C$5:$C$53,"&lt;="&amp;I$6,Cash_Ledger!$A$5:$A$53,"insurance")</f>
        <v>-1200</v>
      </c>
      <c r="J21" s="19" t="n">
        <f aca="false">-SUMIFS(Cash_Ledger!$D$5:$D$53,Cash_Ledger!$C$5:$C$53,"&gt;="&amp;J$5,Cash_Ledger!$C$5:$C$53,"&lt;="&amp;J$6,Cash_Ledger!$A$5:$A$53,"insurance")</f>
        <v>-0</v>
      </c>
      <c r="K21" s="19" t="n">
        <f aca="false">-SUMIFS(Cash_Ledger!$D$5:$D$53,Cash_Ledger!$C$5:$C$53,"&gt;="&amp;K$5,Cash_Ledger!$C$5:$C$53,"&lt;="&amp;K$6,Cash_Ledger!$A$5:$A$53,"insurance")</f>
        <v>-0</v>
      </c>
      <c r="L21" s="19" t="n">
        <f aca="false">-SUMIFS(Cash_Ledger!$D$5:$D$53,Cash_Ledger!$C$5:$C$53,"&gt;="&amp;L$5,Cash_Ledger!$C$5:$C$53,"&lt;="&amp;L$6,Cash_Ledger!$A$5:$A$53,"insurance")</f>
        <v>-0</v>
      </c>
      <c r="M21" s="19" t="n">
        <f aca="false">-SUMIFS(Cash_Ledger!$D$5:$D$53,Cash_Ledger!$C$5:$C$53,"&gt;="&amp;M$5,Cash_Ledger!$C$5:$C$53,"&lt;="&amp;M$6,Cash_Ledger!$A$5:$A$53,"insurance")</f>
        <v>-0</v>
      </c>
      <c r="N21" s="19" t="n">
        <f aca="false">-SUMIFS(Cash_Ledger!$D$5:$D$53,Cash_Ledger!$C$5:$C$53,"&gt;="&amp;N$5,Cash_Ledger!$C$5:$C$53,"&lt;="&amp;N$6,Cash_Ledger!$A$5:$A$53,"insurance")</f>
        <v>-0</v>
      </c>
      <c r="O21" s="19" t="n">
        <f aca="false">-SUMIFS(Cash_Ledger!$D$5:$D$53,Cash_Ledger!$C$5:$C$53,"&gt;="&amp;O$5,Cash_Ledger!$C$5:$C$53,"&lt;="&amp;O$6,Cash_Ledger!$A$5:$A$53,"insurance")</f>
        <v>-0</v>
      </c>
      <c r="P21" s="19" t="n">
        <f aca="false">-SUMIFS(Cash_Ledger!$D$5:$D$53,Cash_Ledger!$C$5:$C$53,"&gt;="&amp;P$5,Cash_Ledger!$C$5:$C$53,"&lt;="&amp;P$6,Cash_Ledger!$A$5:$A$53,"insurance")</f>
        <v>-0</v>
      </c>
      <c r="Q21" s="19" t="n">
        <f aca="false">-SUMIFS(Cash_Ledger!$D$5:$D$53,Cash_Ledger!$C$5:$C$53,"&gt;="&amp;Q$5,Cash_Ledger!$C$5:$C$53,"&lt;="&amp;Q$6,Cash_Ledger!$A$5:$A$53,"insurance")</f>
        <v>-0</v>
      </c>
      <c r="R21" s="19" t="n">
        <f aca="false">-SUMIFS(Cash_Ledger!$D$5:$D$53,Cash_Ledger!$C$5:$C$53,"&gt;="&amp;R$5,Cash_Ledger!$C$5:$C$53,"&lt;="&amp;R$6,Cash_Ledger!$A$5:$A$53,"insurance")</f>
        <v>-0</v>
      </c>
      <c r="S21" s="19" t="n">
        <f aca="false">-SUMIFS(Cash_Ledger!$D$5:$D$53,Cash_Ledger!$C$5:$C$53,"&gt;="&amp;S$5,Cash_Ledger!$C$5:$C$53,"&lt;="&amp;S$6,Cash_Ledger!$A$5:$A$53,"insurance")</f>
        <v>-0</v>
      </c>
      <c r="T21" s="19" t="n">
        <f aca="false">-SUMIFS(Cash_Ledger!$D$5:$D$53,Cash_Ledger!$C$5:$C$53,"&gt;="&amp;T$5,Cash_Ledger!$C$5:$C$53,"&lt;="&amp;T$6,Cash_Ledger!$A$5:$A$53,"insurance")</f>
        <v>-0</v>
      </c>
      <c r="U21" s="19" t="n">
        <f aca="false">-SUMIFS(Cash_Ledger!$D$5:$D$53,Cash_Ledger!$C$5:$C$53,"&gt;="&amp;U$5,Cash_Ledger!$C$5:$C$53,"&lt;="&amp;U$6,Cash_Ledger!$A$5:$A$53,"insurance")</f>
        <v>-0</v>
      </c>
      <c r="V21" s="19" t="n">
        <f aca="false">-SUMIFS(Cash_Ledger!$D$5:$D$53,Cash_Ledger!$C$5:$C$53,"&gt;="&amp;V$5,Cash_Ledger!$C$5:$C$53,"&lt;="&amp;V$6,Cash_Ledger!$A$5:$A$53,"insurance")</f>
        <v>-0</v>
      </c>
      <c r="W21" s="19" t="n">
        <f aca="false">-SUMIFS(Cash_Ledger!$D$5:$D$53,Cash_Ledger!$C$5:$C$53,"&gt;="&amp;W$5,Cash_Ledger!$C$5:$C$53,"&lt;="&amp;W$6,Cash_Ledger!$A$5:$A$53,"insurance")</f>
        <v>-0</v>
      </c>
      <c r="X21" s="19" t="n">
        <f aca="false">-SUMIFS(Cash_Ledger!$D$5:$D$53,Cash_Ledger!$C$5:$C$53,"&gt;="&amp;X$5,Cash_Ledger!$C$5:$C$53,"&lt;="&amp;X$6,Cash_Ledger!$A$5:$A$53,"insurance")</f>
        <v>-0</v>
      </c>
      <c r="Y21" s="19" t="n">
        <f aca="false">-SUMIFS(Cash_Ledger!$D$5:$D$53,Cash_Ledger!$C$5:$C$53,"&gt;="&amp;Y$5,Cash_Ledger!$C$5:$C$53,"&lt;="&amp;Y$6,Cash_Ledger!$A$5:$A$53,"insurance")</f>
        <v>-0</v>
      </c>
      <c r="Z21" s="19" t="n">
        <f aca="false">-SUMIFS(Cash_Ledger!$D$5:$D$53,Cash_Ledger!$C$5:$C$53,"&gt;="&amp;Z$5,Cash_Ledger!$C$5:$C$53,"&lt;="&amp;Z$6,Cash_Ledger!$A$5:$A$53,"insurance")</f>
        <v>-0</v>
      </c>
      <c r="AA21" s="19" t="n">
        <f aca="false">-SUMIFS(Cash_Ledger!$D$5:$D$53,Cash_Ledger!$C$5:$C$53,"&gt;="&amp;AA$5,Cash_Ledger!$C$5:$C$53,"&lt;="&amp;AA$6,Cash_Ledger!$A$5:$A$53,"insurance")</f>
        <v>-0</v>
      </c>
      <c r="AB21" s="19" t="n">
        <f aca="false">-SUMIFS(Cash_Ledger!$D$5:$D$53,Cash_Ledger!$C$5:$C$53,"&gt;="&amp;AB$5,Cash_Ledger!$C$5:$C$53,"&lt;="&amp;AB$6,Cash_Ledger!$A$5:$A$53,"insurance")</f>
        <v>-0</v>
      </c>
      <c r="AC21" s="37" t="n">
        <f aca="false">SUM(C21:AB21)</f>
        <v>-1200</v>
      </c>
    </row>
    <row r="22" customFormat="false" ht="15" hidden="false" customHeight="false" outlineLevel="0" collapsed="false">
      <c r="B22" s="30" t="s">
        <v>571</v>
      </c>
      <c r="C22" s="19" t="n">
        <f aca="false">-SUMIFS(Cash_Ledger!$D$5:$D$53,Cash_Ledger!$C$5:$C$53,"&gt;="&amp;C$5,Cash_Ledger!$C$5:$C$53,"&lt;="&amp;C$6,Cash_Ledger!$A$5:$A$53,"storage")</f>
        <v>-0</v>
      </c>
      <c r="D22" s="19" t="n">
        <f aca="false">-SUMIFS(Cash_Ledger!$D$5:$D$53,Cash_Ledger!$C$5:$C$53,"&gt;="&amp;D$5,Cash_Ledger!$C$5:$C$53,"&lt;="&amp;D$6,Cash_Ledger!$A$5:$A$53,"storage")</f>
        <v>-0</v>
      </c>
      <c r="E22" s="19" t="n">
        <f aca="false">-SUMIFS(Cash_Ledger!$D$5:$D$53,Cash_Ledger!$C$5:$C$53,"&gt;="&amp;E$5,Cash_Ledger!$C$5:$C$53,"&lt;="&amp;E$6,Cash_Ledger!$A$5:$A$53,"storage")</f>
        <v>-0</v>
      </c>
      <c r="F22" s="19" t="n">
        <f aca="false">-SUMIFS(Cash_Ledger!$D$5:$D$53,Cash_Ledger!$C$5:$C$53,"&gt;="&amp;F$5,Cash_Ledger!$C$5:$C$53,"&lt;="&amp;F$6,Cash_Ledger!$A$5:$A$53,"storage")</f>
        <v>-0</v>
      </c>
      <c r="G22" s="19" t="n">
        <f aca="false">-SUMIFS(Cash_Ledger!$D$5:$D$53,Cash_Ledger!$C$5:$C$53,"&gt;="&amp;G$5,Cash_Ledger!$C$5:$C$53,"&lt;="&amp;G$6,Cash_Ledger!$A$5:$A$53,"storage")</f>
        <v>-0</v>
      </c>
      <c r="H22" s="19" t="n">
        <f aca="false">-SUMIFS(Cash_Ledger!$D$5:$D$53,Cash_Ledger!$C$5:$C$53,"&gt;="&amp;H$5,Cash_Ledger!$C$5:$C$53,"&lt;="&amp;H$6,Cash_Ledger!$A$5:$A$53,"storage")</f>
        <v>-0</v>
      </c>
      <c r="I22" s="19" t="n">
        <f aca="false">-SUMIFS(Cash_Ledger!$D$5:$D$53,Cash_Ledger!$C$5:$C$53,"&gt;="&amp;I$5,Cash_Ledger!$C$5:$C$53,"&lt;="&amp;I$6,Cash_Ledger!$A$5:$A$53,"storage")</f>
        <v>-0</v>
      </c>
      <c r="J22" s="19" t="n">
        <f aca="false">-SUMIFS(Cash_Ledger!$D$5:$D$53,Cash_Ledger!$C$5:$C$53,"&gt;="&amp;J$5,Cash_Ledger!$C$5:$C$53,"&lt;="&amp;J$6,Cash_Ledger!$A$5:$A$53,"storage")</f>
        <v>-0</v>
      </c>
      <c r="K22" s="19" t="n">
        <f aca="false">-SUMIFS(Cash_Ledger!$D$5:$D$53,Cash_Ledger!$C$5:$C$53,"&gt;="&amp;K$5,Cash_Ledger!$C$5:$C$53,"&lt;="&amp;K$6,Cash_Ledger!$A$5:$A$53,"storage")</f>
        <v>-0</v>
      </c>
      <c r="L22" s="19" t="n">
        <f aca="false">-SUMIFS(Cash_Ledger!$D$5:$D$53,Cash_Ledger!$C$5:$C$53,"&gt;="&amp;L$5,Cash_Ledger!$C$5:$C$53,"&lt;="&amp;L$6,Cash_Ledger!$A$5:$A$53,"storage")</f>
        <v>-0</v>
      </c>
      <c r="M22" s="19" t="n">
        <f aca="false">-SUMIFS(Cash_Ledger!$D$5:$D$53,Cash_Ledger!$C$5:$C$53,"&gt;="&amp;M$5,Cash_Ledger!$C$5:$C$53,"&lt;="&amp;M$6,Cash_Ledger!$A$5:$A$53,"storage")</f>
        <v>-0</v>
      </c>
      <c r="N22" s="19" t="n">
        <f aca="false">-SUMIFS(Cash_Ledger!$D$5:$D$53,Cash_Ledger!$C$5:$C$53,"&gt;="&amp;N$5,Cash_Ledger!$C$5:$C$53,"&lt;="&amp;N$6,Cash_Ledger!$A$5:$A$53,"storage")</f>
        <v>-0</v>
      </c>
      <c r="O22" s="19" t="n">
        <f aca="false">-SUMIFS(Cash_Ledger!$D$5:$D$53,Cash_Ledger!$C$5:$C$53,"&gt;="&amp;O$5,Cash_Ledger!$C$5:$C$53,"&lt;="&amp;O$6,Cash_Ledger!$A$5:$A$53,"storage")</f>
        <v>-0</v>
      </c>
      <c r="P22" s="19" t="n">
        <f aca="false">-SUMIFS(Cash_Ledger!$D$5:$D$53,Cash_Ledger!$C$5:$C$53,"&gt;="&amp;P$5,Cash_Ledger!$C$5:$C$53,"&lt;="&amp;P$6,Cash_Ledger!$A$5:$A$53,"storage")</f>
        <v>-0</v>
      </c>
      <c r="Q22" s="19" t="n">
        <f aca="false">-SUMIFS(Cash_Ledger!$D$5:$D$53,Cash_Ledger!$C$5:$C$53,"&gt;="&amp;Q$5,Cash_Ledger!$C$5:$C$53,"&lt;="&amp;Q$6,Cash_Ledger!$A$5:$A$53,"storage")</f>
        <v>-150</v>
      </c>
      <c r="R22" s="19" t="n">
        <f aca="false">-SUMIFS(Cash_Ledger!$D$5:$D$53,Cash_Ledger!$C$5:$C$53,"&gt;="&amp;R$5,Cash_Ledger!$C$5:$C$53,"&lt;="&amp;R$6,Cash_Ledger!$A$5:$A$53,"storage")</f>
        <v>-0</v>
      </c>
      <c r="S22" s="19" t="n">
        <f aca="false">-SUMIFS(Cash_Ledger!$D$5:$D$53,Cash_Ledger!$C$5:$C$53,"&gt;="&amp;S$5,Cash_Ledger!$C$5:$C$53,"&lt;="&amp;S$6,Cash_Ledger!$A$5:$A$53,"storage")</f>
        <v>-0</v>
      </c>
      <c r="T22" s="19" t="n">
        <f aca="false">-SUMIFS(Cash_Ledger!$D$5:$D$53,Cash_Ledger!$C$5:$C$53,"&gt;="&amp;T$5,Cash_Ledger!$C$5:$C$53,"&lt;="&amp;T$6,Cash_Ledger!$A$5:$A$53,"storage")</f>
        <v>-0</v>
      </c>
      <c r="U22" s="19" t="n">
        <f aca="false">-SUMIFS(Cash_Ledger!$D$5:$D$53,Cash_Ledger!$C$5:$C$53,"&gt;="&amp;U$5,Cash_Ledger!$C$5:$C$53,"&lt;="&amp;U$6,Cash_Ledger!$A$5:$A$53,"storage")</f>
        <v>-150</v>
      </c>
      <c r="V22" s="19" t="n">
        <f aca="false">-SUMIFS(Cash_Ledger!$D$5:$D$53,Cash_Ledger!$C$5:$C$53,"&gt;="&amp;V$5,Cash_Ledger!$C$5:$C$53,"&lt;="&amp;V$6,Cash_Ledger!$A$5:$A$53,"storage")</f>
        <v>-0</v>
      </c>
      <c r="W22" s="19" t="n">
        <f aca="false">-SUMIFS(Cash_Ledger!$D$5:$D$53,Cash_Ledger!$C$5:$C$53,"&gt;="&amp;W$5,Cash_Ledger!$C$5:$C$53,"&lt;="&amp;W$6,Cash_Ledger!$A$5:$A$53,"storage")</f>
        <v>-0</v>
      </c>
      <c r="X22" s="19" t="n">
        <f aca="false">-SUMIFS(Cash_Ledger!$D$5:$D$53,Cash_Ledger!$C$5:$C$53,"&gt;="&amp;X$5,Cash_Ledger!$C$5:$C$53,"&lt;="&amp;X$6,Cash_Ledger!$A$5:$A$53,"storage")</f>
        <v>-0</v>
      </c>
      <c r="Y22" s="19" t="n">
        <f aca="false">-SUMIFS(Cash_Ledger!$D$5:$D$53,Cash_Ledger!$C$5:$C$53,"&gt;="&amp;Y$5,Cash_Ledger!$C$5:$C$53,"&lt;="&amp;Y$6,Cash_Ledger!$A$5:$A$53,"storage")</f>
        <v>-150</v>
      </c>
      <c r="Z22" s="19" t="n">
        <f aca="false">-SUMIFS(Cash_Ledger!$D$5:$D$53,Cash_Ledger!$C$5:$C$53,"&gt;="&amp;Z$5,Cash_Ledger!$C$5:$C$53,"&lt;="&amp;Z$6,Cash_Ledger!$A$5:$A$53,"storage")</f>
        <v>-0</v>
      </c>
      <c r="AA22" s="19" t="n">
        <f aca="false">-SUMIFS(Cash_Ledger!$D$5:$D$53,Cash_Ledger!$C$5:$C$53,"&gt;="&amp;AA$5,Cash_Ledger!$C$5:$C$53,"&lt;="&amp;AA$6,Cash_Ledger!$A$5:$A$53,"storage")</f>
        <v>-0</v>
      </c>
      <c r="AB22" s="19" t="n">
        <f aca="false">-SUMIFS(Cash_Ledger!$D$5:$D$53,Cash_Ledger!$C$5:$C$53,"&gt;="&amp;AB$5,Cash_Ledger!$C$5:$C$53,"&lt;="&amp;AB$6,Cash_Ledger!$A$5:$A$53,"storage")</f>
        <v>-0</v>
      </c>
      <c r="AC22" s="37" t="n">
        <f aca="false">SUM(C22:AB22)</f>
        <v>-450</v>
      </c>
    </row>
    <row r="23" customFormat="false" ht="15" hidden="false" customHeight="false" outlineLevel="0" collapsed="false">
      <c r="B23" s="30" t="s">
        <v>1102</v>
      </c>
      <c r="C23" s="19" t="n">
        <f aca="false">-SUMIFS(Cash_Ledger!$D$5:$D$53,Cash_Ledger!$C$5:$C$53,"&gt;="&amp;C$5,Cash_Ledger!$C$5:$C$53,"&lt;="&amp;C$6,Cash_Ledger!$A$5:$A$53,"phone")</f>
        <v>-0</v>
      </c>
      <c r="D23" s="19" t="n">
        <f aca="false">-SUMIFS(Cash_Ledger!$D$5:$D$53,Cash_Ledger!$C$5:$C$53,"&gt;="&amp;D$5,Cash_Ledger!$C$5:$C$53,"&lt;="&amp;D$6,Cash_Ledger!$A$5:$A$53,"phone")</f>
        <v>-0</v>
      </c>
      <c r="E23" s="19" t="n">
        <f aca="false">-SUMIFS(Cash_Ledger!$D$5:$D$53,Cash_Ledger!$C$5:$C$53,"&gt;="&amp;E$5,Cash_Ledger!$C$5:$C$53,"&lt;="&amp;E$6,Cash_Ledger!$A$5:$A$53,"phone")</f>
        <v>-0</v>
      </c>
      <c r="F23" s="19" t="n">
        <f aca="false">-SUMIFS(Cash_Ledger!$D$5:$D$53,Cash_Ledger!$C$5:$C$53,"&gt;="&amp;F$5,Cash_Ledger!$C$5:$C$53,"&lt;="&amp;F$6,Cash_Ledger!$A$5:$A$53,"phone")</f>
        <v>-0</v>
      </c>
      <c r="G23" s="19" t="n">
        <f aca="false">-SUMIFS(Cash_Ledger!$D$5:$D$53,Cash_Ledger!$C$5:$C$53,"&gt;="&amp;G$5,Cash_Ledger!$C$5:$C$53,"&lt;="&amp;G$6,Cash_Ledger!$A$5:$A$53,"phone")</f>
        <v>-0</v>
      </c>
      <c r="H23" s="19" t="n">
        <f aca="false">-SUMIFS(Cash_Ledger!$D$5:$D$53,Cash_Ledger!$C$5:$C$53,"&gt;="&amp;H$5,Cash_Ledger!$C$5:$C$53,"&lt;="&amp;H$6,Cash_Ledger!$A$5:$A$53,"phone")</f>
        <v>-0</v>
      </c>
      <c r="I23" s="19" t="n">
        <f aca="false">-SUMIFS(Cash_Ledger!$D$5:$D$53,Cash_Ledger!$C$5:$C$53,"&gt;="&amp;I$5,Cash_Ledger!$C$5:$C$53,"&lt;="&amp;I$6,Cash_Ledger!$A$5:$A$53,"phone")</f>
        <v>-0</v>
      </c>
      <c r="J23" s="19" t="n">
        <f aca="false">-SUMIFS(Cash_Ledger!$D$5:$D$53,Cash_Ledger!$C$5:$C$53,"&gt;="&amp;J$5,Cash_Ledger!$C$5:$C$53,"&lt;="&amp;J$6,Cash_Ledger!$A$5:$A$53,"phone")</f>
        <v>-0</v>
      </c>
      <c r="K23" s="19" t="n">
        <f aca="false">-SUMIFS(Cash_Ledger!$D$5:$D$53,Cash_Ledger!$C$5:$C$53,"&gt;="&amp;K$5,Cash_Ledger!$C$5:$C$53,"&lt;="&amp;K$6,Cash_Ledger!$A$5:$A$53,"phone")</f>
        <v>-0</v>
      </c>
      <c r="L23" s="19" t="n">
        <f aca="false">-SUMIFS(Cash_Ledger!$D$5:$D$53,Cash_Ledger!$C$5:$C$53,"&gt;="&amp;L$5,Cash_Ledger!$C$5:$C$53,"&lt;="&amp;L$6,Cash_Ledger!$A$5:$A$53,"phone")</f>
        <v>-0</v>
      </c>
      <c r="M23" s="19" t="n">
        <f aca="false">-SUMIFS(Cash_Ledger!$D$5:$D$53,Cash_Ledger!$C$5:$C$53,"&gt;="&amp;M$5,Cash_Ledger!$C$5:$C$53,"&lt;="&amp;M$6,Cash_Ledger!$A$5:$A$53,"phone")</f>
        <v>-0</v>
      </c>
      <c r="N23" s="19" t="n">
        <f aca="false">-SUMIFS(Cash_Ledger!$D$5:$D$53,Cash_Ledger!$C$5:$C$53,"&gt;="&amp;N$5,Cash_Ledger!$C$5:$C$53,"&lt;="&amp;N$6,Cash_Ledger!$A$5:$A$53,"phone")</f>
        <v>-0</v>
      </c>
      <c r="O23" s="19" t="n">
        <f aca="false">-SUMIFS(Cash_Ledger!$D$5:$D$53,Cash_Ledger!$C$5:$C$53,"&gt;="&amp;O$5,Cash_Ledger!$C$5:$C$53,"&lt;="&amp;O$6,Cash_Ledger!$A$5:$A$53,"phone")</f>
        <v>-0</v>
      </c>
      <c r="P23" s="19" t="n">
        <f aca="false">-SUMIFS(Cash_Ledger!$D$5:$D$53,Cash_Ledger!$C$5:$C$53,"&gt;="&amp;P$5,Cash_Ledger!$C$5:$C$53,"&lt;="&amp;P$6,Cash_Ledger!$A$5:$A$53,"phone")</f>
        <v>-0</v>
      </c>
      <c r="Q23" s="19" t="n">
        <f aca="false">-SUMIFS(Cash_Ledger!$D$5:$D$53,Cash_Ledger!$C$5:$C$53,"&gt;="&amp;Q$5,Cash_Ledger!$C$5:$C$53,"&lt;="&amp;Q$6,Cash_Ledger!$A$5:$A$53,"phone")</f>
        <v>-0</v>
      </c>
      <c r="R23" s="19" t="n">
        <f aca="false">-SUMIFS(Cash_Ledger!$D$5:$D$53,Cash_Ledger!$C$5:$C$53,"&gt;="&amp;R$5,Cash_Ledger!$C$5:$C$53,"&lt;="&amp;R$6,Cash_Ledger!$A$5:$A$53,"phone")</f>
        <v>-0</v>
      </c>
      <c r="S23" s="19" t="n">
        <f aca="false">-SUMIFS(Cash_Ledger!$D$5:$D$53,Cash_Ledger!$C$5:$C$53,"&gt;="&amp;S$5,Cash_Ledger!$C$5:$C$53,"&lt;="&amp;S$6,Cash_Ledger!$A$5:$A$53,"phone")</f>
        <v>-0</v>
      </c>
      <c r="T23" s="19" t="n">
        <f aca="false">-SUMIFS(Cash_Ledger!$D$5:$D$53,Cash_Ledger!$C$5:$C$53,"&gt;="&amp;T$5,Cash_Ledger!$C$5:$C$53,"&lt;="&amp;T$6,Cash_Ledger!$A$5:$A$53,"phone")</f>
        <v>-0</v>
      </c>
      <c r="U23" s="19" t="n">
        <f aca="false">-SUMIFS(Cash_Ledger!$D$5:$D$53,Cash_Ledger!$C$5:$C$53,"&gt;="&amp;U$5,Cash_Ledger!$C$5:$C$53,"&lt;="&amp;U$6,Cash_Ledger!$A$5:$A$53,"phone")</f>
        <v>-0</v>
      </c>
      <c r="V23" s="19" t="n">
        <f aca="false">-SUMIFS(Cash_Ledger!$D$5:$D$53,Cash_Ledger!$C$5:$C$53,"&gt;="&amp;V$5,Cash_Ledger!$C$5:$C$53,"&lt;="&amp;V$6,Cash_Ledger!$A$5:$A$53,"phone")</f>
        <v>-0</v>
      </c>
      <c r="W23" s="19" t="n">
        <f aca="false">-SUMIFS(Cash_Ledger!$D$5:$D$53,Cash_Ledger!$C$5:$C$53,"&gt;="&amp;W$5,Cash_Ledger!$C$5:$C$53,"&lt;="&amp;W$6,Cash_Ledger!$A$5:$A$53,"phone")</f>
        <v>-0</v>
      </c>
      <c r="X23" s="19" t="n">
        <f aca="false">-SUMIFS(Cash_Ledger!$D$5:$D$53,Cash_Ledger!$C$5:$C$53,"&gt;="&amp;X$5,Cash_Ledger!$C$5:$C$53,"&lt;="&amp;X$6,Cash_Ledger!$A$5:$A$53,"phone")</f>
        <v>-0</v>
      </c>
      <c r="Y23" s="19" t="n">
        <f aca="false">-SUMIFS(Cash_Ledger!$D$5:$D$53,Cash_Ledger!$C$5:$C$53,"&gt;="&amp;Y$5,Cash_Ledger!$C$5:$C$53,"&lt;="&amp;Y$6,Cash_Ledger!$A$5:$A$53,"phone")</f>
        <v>-0</v>
      </c>
      <c r="Z23" s="19" t="n">
        <f aca="false">-SUMIFS(Cash_Ledger!$D$5:$D$53,Cash_Ledger!$C$5:$C$53,"&gt;="&amp;Z$5,Cash_Ledger!$C$5:$C$53,"&lt;="&amp;Z$6,Cash_Ledger!$A$5:$A$53,"phone")</f>
        <v>-0</v>
      </c>
      <c r="AA23" s="19" t="n">
        <f aca="false">-SUMIFS(Cash_Ledger!$D$5:$D$53,Cash_Ledger!$C$5:$C$53,"&gt;="&amp;AA$5,Cash_Ledger!$C$5:$C$53,"&lt;="&amp;AA$6,Cash_Ledger!$A$5:$A$53,"phone")</f>
        <v>-0</v>
      </c>
      <c r="AB23" s="19" t="n">
        <f aca="false">-SUMIFS(Cash_Ledger!$D$5:$D$53,Cash_Ledger!$C$5:$C$53,"&gt;="&amp;AB$5,Cash_Ledger!$C$5:$C$53,"&lt;="&amp;AB$6,Cash_Ledger!$A$5:$A$53,"phone")</f>
        <v>-0</v>
      </c>
      <c r="AC23" s="37" t="n">
        <f aca="false">SUM(C23:AB23)</f>
        <v>0</v>
      </c>
    </row>
    <row r="24" customFormat="false" ht="15" hidden="false" customHeight="false" outlineLevel="0" collapsed="false">
      <c r="B24" s="9" t="s">
        <v>1103</v>
      </c>
      <c r="C24" s="37" t="n">
        <f aca="false">SUM(C20:C23)</f>
        <v>-60</v>
      </c>
      <c r="D24" s="37" t="n">
        <f aca="false">SUM(D20:D23)</f>
        <v>0</v>
      </c>
      <c r="E24" s="37" t="n">
        <f aca="false">SUM(E20:E23)</f>
        <v>0</v>
      </c>
      <c r="F24" s="37" t="n">
        <f aca="false">SUM(F20:F23)</f>
        <v>0</v>
      </c>
      <c r="G24" s="37" t="n">
        <f aca="false">SUM(G20:G23)</f>
        <v>-60</v>
      </c>
      <c r="H24" s="37" t="n">
        <f aca="false">SUM(H20:H23)</f>
        <v>0</v>
      </c>
      <c r="I24" s="37" t="n">
        <f aca="false">SUM(I20:I23)</f>
        <v>-1200</v>
      </c>
      <c r="J24" s="37" t="n">
        <f aca="false">SUM(J20:J23)</f>
        <v>0</v>
      </c>
      <c r="K24" s="37" t="n">
        <f aca="false">SUM(K20:K23)</f>
        <v>-60</v>
      </c>
      <c r="L24" s="37" t="n">
        <f aca="false">SUM(L20:L23)</f>
        <v>0</v>
      </c>
      <c r="M24" s="37" t="n">
        <f aca="false">SUM(M20:M23)</f>
        <v>0</v>
      </c>
      <c r="N24" s="37" t="n">
        <f aca="false">SUM(N20:N23)</f>
        <v>0</v>
      </c>
      <c r="O24" s="37" t="n">
        <f aca="false">SUM(O20:O23)</f>
        <v>0</v>
      </c>
      <c r="P24" s="37" t="n">
        <f aca="false">SUM(P20:P23)</f>
        <v>-60</v>
      </c>
      <c r="Q24" s="37" t="n">
        <f aca="false">SUM(Q20:Q23)</f>
        <v>-150</v>
      </c>
      <c r="R24" s="37" t="n">
        <f aca="false">SUM(R20:R23)</f>
        <v>0</v>
      </c>
      <c r="S24" s="37" t="n">
        <f aca="false">SUM(S20:S23)</f>
        <v>0</v>
      </c>
      <c r="T24" s="37" t="n">
        <f aca="false">SUM(T20:T23)</f>
        <v>-60</v>
      </c>
      <c r="U24" s="37" t="n">
        <f aca="false">SUM(U20:U23)</f>
        <v>-150</v>
      </c>
      <c r="V24" s="37" t="n">
        <f aca="false">SUM(V20:V23)</f>
        <v>0</v>
      </c>
      <c r="W24" s="37" t="n">
        <f aca="false">SUM(W20:W23)</f>
        <v>0</v>
      </c>
      <c r="X24" s="37" t="n">
        <f aca="false">SUM(X20:X23)</f>
        <v>-60</v>
      </c>
      <c r="Y24" s="37" t="n">
        <f aca="false">SUM(Y20:Y23)</f>
        <v>-150</v>
      </c>
      <c r="Z24" s="37" t="n">
        <f aca="false">SUM(Z20:Z23)</f>
        <v>0</v>
      </c>
      <c r="AA24" s="37" t="n">
        <f aca="false">SUM(AA20:AA23)</f>
        <v>0</v>
      </c>
      <c r="AB24" s="37" t="n">
        <f aca="false">SUM(AB20:AB23)</f>
        <v>0</v>
      </c>
      <c r="AC24" s="37" t="n">
        <f aca="false">SUM(C24:AB24)</f>
        <v>-2010</v>
      </c>
    </row>
    <row r="25" customFormat="false" ht="15" hidden="false" customHeight="false" outlineLevel="0" collapsed="false">
      <c r="B25" s="30" t="s">
        <v>1104</v>
      </c>
      <c r="C25" s="19" t="n">
        <f aca="false">-SUMIFS(Inputs!$Q$158:$Q$171,Inputs!$R$158:$R$171,"&gt;="&amp;C$5,Inputs!$R$158:$R$171,"&lt;="&amp;C$6)</f>
        <v>-100</v>
      </c>
      <c r="D25" s="19" t="n">
        <f aca="false">-SUMIFS(Inputs!$Q$158:$Q$171,Inputs!$R$158:$R$171,"&gt;="&amp;D$5,Inputs!$R$158:$R$171,"&lt;="&amp;D$6)</f>
        <v>-0</v>
      </c>
      <c r="E25" s="19" t="n">
        <f aca="false">-SUMIFS(Inputs!$Q$158:$Q$171,Inputs!$R$158:$R$171,"&gt;="&amp;E$5,Inputs!$R$158:$R$171,"&lt;="&amp;E$6)</f>
        <v>-0</v>
      </c>
      <c r="F25" s="19" t="n">
        <f aca="false">-SUMIFS(Inputs!$Q$158:$Q$171,Inputs!$R$158:$R$171,"&gt;="&amp;F$5,Inputs!$R$158:$R$171,"&lt;="&amp;F$6)</f>
        <v>-900</v>
      </c>
      <c r="G25" s="19" t="n">
        <f aca="false">-SUMIFS(Inputs!$Q$158:$Q$171,Inputs!$R$158:$R$171,"&gt;="&amp;G$5,Inputs!$R$158:$R$171,"&lt;="&amp;G$6)</f>
        <v>-0</v>
      </c>
      <c r="H25" s="19" t="n">
        <f aca="false">-SUMIFS(Inputs!$Q$158:$Q$171,Inputs!$R$158:$R$171,"&gt;="&amp;H$5,Inputs!$R$158:$R$171,"&lt;="&amp;H$6)</f>
        <v>-2000</v>
      </c>
      <c r="I25" s="19" t="n">
        <f aca="false">-SUMIFS(Inputs!$Q$158:$Q$171,Inputs!$R$158:$R$171,"&gt;="&amp;I$5,Inputs!$R$158:$R$171,"&lt;="&amp;I$6)</f>
        <v>-700</v>
      </c>
      <c r="J25" s="19" t="n">
        <f aca="false">-SUMIFS(Inputs!$Q$158:$Q$171,Inputs!$R$158:$R$171,"&gt;="&amp;J$5,Inputs!$R$158:$R$171,"&lt;="&amp;J$6)</f>
        <v>-0</v>
      </c>
      <c r="K25" s="19" t="n">
        <f aca="false">-SUMIFS(Inputs!$Q$158:$Q$171,Inputs!$R$158:$R$171,"&gt;="&amp;K$5,Inputs!$R$158:$R$171,"&lt;="&amp;K$6)</f>
        <v>-0</v>
      </c>
      <c r="L25" s="19" t="n">
        <f aca="false">-SUMIFS(Inputs!$Q$158:$Q$171,Inputs!$R$158:$R$171,"&gt;="&amp;L$5,Inputs!$R$158:$R$171,"&lt;="&amp;L$6)</f>
        <v>-0</v>
      </c>
      <c r="M25" s="19" t="n">
        <f aca="false">-SUMIFS(Inputs!$Q$158:$Q$171,Inputs!$R$158:$R$171,"&gt;="&amp;M$5,Inputs!$R$158:$R$171,"&lt;="&amp;M$6)</f>
        <v>-0</v>
      </c>
      <c r="N25" s="19" t="n">
        <f aca="false">-SUMIFS(Inputs!$Q$158:$Q$171,Inputs!$R$158:$R$171,"&gt;="&amp;N$5,Inputs!$R$158:$R$171,"&lt;="&amp;N$6)</f>
        <v>-50</v>
      </c>
      <c r="O25" s="19" t="n">
        <f aca="false">-SUMIFS(Inputs!$Q$158:$Q$171,Inputs!$R$158:$R$171,"&gt;="&amp;O$5,Inputs!$R$158:$R$171,"&lt;="&amp;O$6)</f>
        <v>-350</v>
      </c>
      <c r="P25" s="19" t="n">
        <f aca="false">-SUMIFS(Inputs!$Q$158:$Q$171,Inputs!$R$158:$R$171,"&gt;="&amp;P$5,Inputs!$R$158:$R$171,"&lt;="&amp;P$6)</f>
        <v>-0</v>
      </c>
      <c r="Q25" s="19" t="n">
        <f aca="false">-SUMIFS(Inputs!$Q$158:$Q$171,Inputs!$R$158:$R$171,"&gt;="&amp;Q$5,Inputs!$R$158:$R$171,"&lt;="&amp;Q$6)</f>
        <v>-0</v>
      </c>
      <c r="R25" s="19" t="n">
        <f aca="false">-SUMIFS(Inputs!$Q$158:$Q$171,Inputs!$R$158:$R$171,"&gt;="&amp;R$5,Inputs!$R$158:$R$171,"&lt;="&amp;R$6)</f>
        <v>-0</v>
      </c>
      <c r="S25" s="19" t="n">
        <f aca="false">-SUMIFS(Inputs!$Q$158:$Q$171,Inputs!$R$158:$R$171,"&gt;="&amp;S$5,Inputs!$R$158:$R$171,"&lt;="&amp;S$6)</f>
        <v>-0</v>
      </c>
      <c r="T25" s="19" t="n">
        <f aca="false">-SUMIFS(Inputs!$Q$158:$Q$171,Inputs!$R$158:$R$171,"&gt;="&amp;T$5,Inputs!$R$158:$R$171,"&lt;="&amp;T$6)</f>
        <v>-0</v>
      </c>
      <c r="U25" s="19" t="n">
        <f aca="false">-SUMIFS(Inputs!$Q$158:$Q$171,Inputs!$R$158:$R$171,"&gt;="&amp;U$5,Inputs!$R$158:$R$171,"&lt;="&amp;U$6)</f>
        <v>-0</v>
      </c>
      <c r="V25" s="19" t="n">
        <f aca="false">-SUMIFS(Inputs!$Q$158:$Q$171,Inputs!$R$158:$R$171,"&gt;="&amp;V$5,Inputs!$R$158:$R$171,"&lt;="&amp;V$6)</f>
        <v>-0</v>
      </c>
      <c r="W25" s="19" t="n">
        <f aca="false">-SUMIFS(Inputs!$Q$158:$Q$171,Inputs!$R$158:$R$171,"&gt;="&amp;W$5,Inputs!$R$158:$R$171,"&lt;="&amp;W$6)</f>
        <v>-25</v>
      </c>
      <c r="X25" s="19" t="n">
        <f aca="false">-SUMIFS(Inputs!$Q$158:$Q$171,Inputs!$R$158:$R$171,"&gt;="&amp;X$5,Inputs!$R$158:$R$171,"&lt;="&amp;X$6)</f>
        <v>-0</v>
      </c>
      <c r="Y25" s="19" t="n">
        <f aca="false">-SUMIFS(Inputs!$Q$158:$Q$171,Inputs!$R$158:$R$171,"&gt;="&amp;Y$5,Inputs!$R$158:$R$171,"&lt;="&amp;Y$6)</f>
        <v>-0</v>
      </c>
      <c r="Z25" s="19" t="n">
        <f aca="false">-SUMIFS(Inputs!$Q$158:$Q$171,Inputs!$R$158:$R$171,"&gt;="&amp;Z$5,Inputs!$R$158:$R$171,"&lt;="&amp;Z$6)</f>
        <v>-0</v>
      </c>
      <c r="AA25" s="19" t="n">
        <f aca="false">-SUMIFS(Inputs!$Q$158:$Q$171,Inputs!$R$158:$R$171,"&gt;="&amp;AA$5,Inputs!$R$158:$R$171,"&lt;="&amp;AA$6)</f>
        <v>-0</v>
      </c>
      <c r="AB25" s="19" t="n">
        <f aca="false">-SUMIFS(Inputs!$Q$158:$Q$171,Inputs!$R$158:$R$171,"&gt;="&amp;AB$5,Inputs!$R$158:$R$171,"&lt;="&amp;AB$6)</f>
        <v>-0</v>
      </c>
      <c r="AC25" s="37" t="n">
        <f aca="false">SUM(C25:AB25)</f>
        <v>-4125</v>
      </c>
    </row>
    <row r="26" customFormat="false" ht="15" hidden="false" customHeight="false" outlineLevel="0" collapsed="false">
      <c r="B26" s="9" t="s">
        <v>1105</v>
      </c>
      <c r="C26" s="90" t="n">
        <f aca="false">C11+C18+C24+C25</f>
        <v>-160</v>
      </c>
      <c r="D26" s="90" t="n">
        <f aca="false">D11+D18+D24+D25</f>
        <v>0</v>
      </c>
      <c r="E26" s="90" t="n">
        <f aca="false">E11+E18+E24+E25</f>
        <v>0</v>
      </c>
      <c r="F26" s="90" t="n">
        <f aca="false">F11+F18+F24+F25</f>
        <v>-900</v>
      </c>
      <c r="G26" s="90" t="n">
        <f aca="false">G11+G18+G24+G25</f>
        <v>-60</v>
      </c>
      <c r="H26" s="90" t="n">
        <f aca="false">H11+H18+H24+H25</f>
        <v>-2000</v>
      </c>
      <c r="I26" s="90" t="n">
        <f aca="false">I11+I18+I24+I25</f>
        <v>-736</v>
      </c>
      <c r="J26" s="90" t="n">
        <f aca="false">J11+J18+J24+J25</f>
        <v>0</v>
      </c>
      <c r="K26" s="90" t="n">
        <f aca="false">K11+K18+K24+K25</f>
        <v>-60</v>
      </c>
      <c r="L26" s="90" t="n">
        <f aca="false">L11+L18+L24+L25</f>
        <v>0</v>
      </c>
      <c r="M26" s="90" t="n">
        <f aca="false">M11+M18+M24+M25</f>
        <v>-40</v>
      </c>
      <c r="N26" s="90" t="n">
        <f aca="false">N11+N18+N24+N25</f>
        <v>-170</v>
      </c>
      <c r="O26" s="90" t="n">
        <f aca="false">O11+O18+O24+O25</f>
        <v>-350</v>
      </c>
      <c r="P26" s="90" t="n">
        <f aca="false">P11+P18+P24+P25</f>
        <v>2122.5</v>
      </c>
      <c r="Q26" s="90" t="n">
        <f aca="false">Q11+Q18+Q24+Q25</f>
        <v>-230</v>
      </c>
      <c r="R26" s="90" t="n">
        <f aca="false">R11+R18+R24+R25</f>
        <v>4065</v>
      </c>
      <c r="S26" s="90" t="n">
        <f aca="false">S11+S18+S24+S25</f>
        <v>-80</v>
      </c>
      <c r="T26" s="90" t="n">
        <f aca="false">T11+T18+T24+T25</f>
        <v>1822.5</v>
      </c>
      <c r="U26" s="90" t="n">
        <f aca="false">U11+U18+U24+U25</f>
        <v>-150</v>
      </c>
      <c r="V26" s="90" t="n">
        <f aca="false">V11+V18+V24+V25</f>
        <v>2182.5</v>
      </c>
      <c r="W26" s="90" t="n">
        <f aca="false">W11+W18+W24+W25</f>
        <v>-105</v>
      </c>
      <c r="X26" s="90" t="n">
        <f aca="false">X11+X18+X24+X25</f>
        <v>4305</v>
      </c>
      <c r="Y26" s="90" t="n">
        <f aca="false">Y11+Y18+Y24+Y25</f>
        <v>-230</v>
      </c>
      <c r="Z26" s="90" t="n">
        <f aca="false">Z11+Z18+Z24+Z25</f>
        <v>2182.5</v>
      </c>
      <c r="AA26" s="90" t="n">
        <f aca="false">AA11+AA18+AA24+AA25</f>
        <v>0</v>
      </c>
      <c r="AB26" s="90" t="n">
        <f aca="false">AB11+AB18+AB24+AB25</f>
        <v>0</v>
      </c>
      <c r="AC26" s="90" t="n">
        <f aca="false">SUM(C26:AB26)</f>
        <v>11409</v>
      </c>
    </row>
    <row r="27" customFormat="false" ht="15" hidden="false" customHeight="false" outlineLevel="0" collapsed="false">
      <c r="B27" s="9" t="s">
        <v>1106</v>
      </c>
      <c r="C27" s="90" t="n">
        <f aca="false">C26</f>
        <v>-160</v>
      </c>
      <c r="D27" s="90" t="n">
        <f aca="false">C27+D26</f>
        <v>-160</v>
      </c>
      <c r="E27" s="90" t="n">
        <f aca="false">D27+E26</f>
        <v>-160</v>
      </c>
      <c r="F27" s="90" t="n">
        <f aca="false">E27+F26</f>
        <v>-1060</v>
      </c>
      <c r="G27" s="90" t="n">
        <f aca="false">F27+G26</f>
        <v>-1120</v>
      </c>
      <c r="H27" s="90" t="n">
        <f aca="false">G27+H26</f>
        <v>-3120</v>
      </c>
      <c r="I27" s="90" t="n">
        <f aca="false">H27+I26</f>
        <v>-3856</v>
      </c>
      <c r="J27" s="90" t="n">
        <f aca="false">I27+J26</f>
        <v>-3856</v>
      </c>
      <c r="K27" s="90" t="n">
        <f aca="false">J27+K26</f>
        <v>-3916</v>
      </c>
      <c r="L27" s="90" t="n">
        <f aca="false">K27+L26</f>
        <v>-3916</v>
      </c>
      <c r="M27" s="90" t="n">
        <f aca="false">L27+M26</f>
        <v>-3956</v>
      </c>
      <c r="N27" s="90" t="n">
        <f aca="false">M27+N26</f>
        <v>-4126</v>
      </c>
      <c r="O27" s="90" t="n">
        <f aca="false">N27+O26</f>
        <v>-4476</v>
      </c>
      <c r="P27" s="90" t="n">
        <f aca="false">O27+P26</f>
        <v>-2353.5</v>
      </c>
      <c r="Q27" s="90" t="n">
        <f aca="false">P27+Q26</f>
        <v>-2583.5</v>
      </c>
      <c r="R27" s="90" t="n">
        <f aca="false">Q27+R26</f>
        <v>1481.5</v>
      </c>
      <c r="S27" s="90" t="n">
        <f aca="false">R27+S26</f>
        <v>1401.5</v>
      </c>
      <c r="T27" s="90" t="n">
        <f aca="false">S27+T26</f>
        <v>3224</v>
      </c>
      <c r="U27" s="90" t="n">
        <f aca="false">T27+U26</f>
        <v>3074</v>
      </c>
      <c r="V27" s="90" t="n">
        <f aca="false">U27+V26</f>
        <v>5256.5</v>
      </c>
      <c r="W27" s="90" t="n">
        <f aca="false">V27+W26</f>
        <v>5151.5</v>
      </c>
      <c r="X27" s="90" t="n">
        <f aca="false">W27+X26</f>
        <v>9456.5</v>
      </c>
      <c r="Y27" s="90" t="n">
        <f aca="false">X27+Y26</f>
        <v>9226.5</v>
      </c>
      <c r="Z27" s="90" t="n">
        <f aca="false">Y27+Z26</f>
        <v>11409</v>
      </c>
      <c r="AA27" s="90" t="n">
        <f aca="false">Z27+AA26</f>
        <v>11409</v>
      </c>
      <c r="AB27" s="90" t="n">
        <f aca="false">AA27+AB26</f>
        <v>11409</v>
      </c>
      <c r="AC27" s="90" t="n">
        <f aca="false">AB27</f>
        <v>11409</v>
      </c>
    </row>
    <row r="28" customFormat="false" ht="15" hidden="false" customHeight="false" outlineLevel="0" collapsed="false">
      <c r="B28" s="9" t="s">
        <v>1107</v>
      </c>
      <c r="C28" s="37" t="n">
        <f aca="false">IF(AND(Inputs!$C$116&gt;=C$5,Inputs!$C$116&lt;=C$6),N(Inputs!$C$115),0)</f>
        <v>0</v>
      </c>
      <c r="D28" s="37" t="n">
        <f aca="false">IF(AND(Inputs!$C$116&gt;=D$5,Inputs!$C$116&lt;=D$6),N(Inputs!$C$115),0)</f>
        <v>0</v>
      </c>
      <c r="E28" s="37" t="n">
        <f aca="false">IF(AND(Inputs!$C$116&gt;=E$5,Inputs!$C$116&lt;=E$6),N(Inputs!$C$115),0)</f>
        <v>0</v>
      </c>
      <c r="F28" s="37" t="n">
        <f aca="false">IF(AND(Inputs!$C$116&gt;=F$5,Inputs!$C$116&lt;=F$6),N(Inputs!$C$115),0)</f>
        <v>0</v>
      </c>
      <c r="G28" s="37" t="n">
        <f aca="false">IF(AND(Inputs!$C$116&gt;=G$5,Inputs!$C$116&lt;=G$6),N(Inputs!$C$115),0)</f>
        <v>0</v>
      </c>
      <c r="H28" s="37" t="n">
        <f aca="false">IF(AND(Inputs!$C$116&gt;=H$5,Inputs!$C$116&lt;=H$6),N(Inputs!$C$115),0)</f>
        <v>0</v>
      </c>
      <c r="I28" s="37" t="n">
        <f aca="false">IF(AND(Inputs!$C$116&gt;=I$5,Inputs!$C$116&lt;=I$6),N(Inputs!$C$115),0)</f>
        <v>0</v>
      </c>
      <c r="J28" s="37" t="n">
        <f aca="false">IF(AND(Inputs!$C$116&gt;=J$5,Inputs!$C$116&lt;=J$6),N(Inputs!$C$115),0)</f>
        <v>0</v>
      </c>
      <c r="K28" s="37" t="n">
        <f aca="false">IF(AND(Inputs!$C$116&gt;=K$5,Inputs!$C$116&lt;=K$6),N(Inputs!$C$115),0)</f>
        <v>0</v>
      </c>
      <c r="L28" s="37" t="n">
        <f aca="false">IF(AND(Inputs!$C$116&gt;=L$5,Inputs!$C$116&lt;=L$6),N(Inputs!$C$115),0)</f>
        <v>0</v>
      </c>
      <c r="M28" s="37" t="n">
        <f aca="false">IF(AND(Inputs!$C$116&gt;=M$5,Inputs!$C$116&lt;=M$6),N(Inputs!$C$115),0)</f>
        <v>0</v>
      </c>
      <c r="N28" s="37" t="n">
        <f aca="false">IF(AND(Inputs!$C$116&gt;=N$5,Inputs!$C$116&lt;=N$6),N(Inputs!$C$115),0)</f>
        <v>0</v>
      </c>
      <c r="O28" s="37" t="n">
        <f aca="false">IF(AND(Inputs!$C$116&gt;=O$5,Inputs!$C$116&lt;=O$6),N(Inputs!$C$115),0)</f>
        <v>0</v>
      </c>
      <c r="P28" s="37" t="n">
        <f aca="false">IF(AND(Inputs!$C$116&gt;=P$5,Inputs!$C$116&lt;=P$6),N(Inputs!$C$115),0)</f>
        <v>0</v>
      </c>
      <c r="Q28" s="37" t="n">
        <f aca="false">IF(AND(Inputs!$C$116&gt;=Q$5,Inputs!$C$116&lt;=Q$6),N(Inputs!$C$115),0)</f>
        <v>0</v>
      </c>
      <c r="R28" s="37" t="n">
        <f aca="false">IF(AND(Inputs!$C$116&gt;=R$5,Inputs!$C$116&lt;=R$6),N(Inputs!$C$115),0)</f>
        <v>0</v>
      </c>
      <c r="S28" s="37" t="n">
        <f aca="false">IF(AND(Inputs!$C$116&gt;=S$5,Inputs!$C$116&lt;=S$6),N(Inputs!$C$115),0)</f>
        <v>0</v>
      </c>
      <c r="T28" s="37" t="n">
        <f aca="false">IF(AND(Inputs!$C$116&gt;=T$5,Inputs!$C$116&lt;=T$6),N(Inputs!$C$115),0)</f>
        <v>0</v>
      </c>
      <c r="U28" s="37" t="n">
        <f aca="false">IF(AND(Inputs!$C$116&gt;=U$5,Inputs!$C$116&lt;=U$6),N(Inputs!$C$115),0)</f>
        <v>0</v>
      </c>
      <c r="V28" s="37" t="n">
        <f aca="false">IF(AND(Inputs!$C$116&gt;=V$5,Inputs!$C$116&lt;=V$6),N(Inputs!$C$115),0)</f>
        <v>0</v>
      </c>
      <c r="W28" s="37" t="n">
        <f aca="false">IF(AND(Inputs!$C$116&gt;=W$5,Inputs!$C$116&lt;=W$6),N(Inputs!$C$115),0)</f>
        <v>0</v>
      </c>
      <c r="X28" s="37" t="n">
        <f aca="false">IF(AND(Inputs!$C$116&gt;=X$5,Inputs!$C$116&lt;=X$6),N(Inputs!$C$115),0)</f>
        <v>0</v>
      </c>
      <c r="Y28" s="37" t="n">
        <f aca="false">IF(AND(Inputs!$C$116&gt;=Y$5,Inputs!$C$116&lt;=Y$6),N(Inputs!$C$115),0)</f>
        <v>0</v>
      </c>
      <c r="Z28" s="37" t="n">
        <f aca="false">IF(AND(Inputs!$C$116&gt;=Z$5,Inputs!$C$116&lt;=Z$6),N(Inputs!$C$115),0)</f>
        <v>0</v>
      </c>
      <c r="AA28" s="37" t="n">
        <f aca="false">IF(AND(Inputs!$C$116&gt;=AA$5,Inputs!$C$116&lt;=AA$6),N(Inputs!$C$115),0)</f>
        <v>0</v>
      </c>
      <c r="AB28" s="37" t="n">
        <f aca="false">IF(AND(Inputs!$C$116&gt;=AB$5,Inputs!$C$116&lt;=AB$6),N(Inputs!$C$115),0)</f>
        <v>0</v>
      </c>
      <c r="AC28" s="37" t="n">
        <f aca="false">SUM(C28:AB28)</f>
        <v>0</v>
      </c>
    </row>
    <row r="29" customFormat="false" ht="15" hidden="false" customHeight="false" outlineLevel="0" collapsed="false">
      <c r="B29" s="9" t="s">
        <v>1108</v>
      </c>
      <c r="C29" s="90" t="n">
        <f aca="false">C27+SUM($C28:C28)</f>
        <v>-160</v>
      </c>
      <c r="D29" s="90" t="n">
        <f aca="false">D27+SUM($C28:D28)</f>
        <v>-160</v>
      </c>
      <c r="E29" s="90" t="n">
        <f aca="false">E27+SUM($C28:E28)</f>
        <v>-160</v>
      </c>
      <c r="F29" s="90" t="n">
        <f aca="false">F27+SUM($C28:F28)</f>
        <v>-1060</v>
      </c>
      <c r="G29" s="90" t="n">
        <f aca="false">G27+SUM($C28:G28)</f>
        <v>-1120</v>
      </c>
      <c r="H29" s="90" t="n">
        <f aca="false">H27+SUM($C28:H28)</f>
        <v>-3120</v>
      </c>
      <c r="I29" s="90" t="n">
        <f aca="false">I27+SUM($C28:I28)</f>
        <v>-3856</v>
      </c>
      <c r="J29" s="90" t="n">
        <f aca="false">J27+SUM($C28:J28)</f>
        <v>-3856</v>
      </c>
      <c r="K29" s="90" t="n">
        <f aca="false">K27+SUM($C28:K28)</f>
        <v>-3916</v>
      </c>
      <c r="L29" s="90" t="n">
        <f aca="false">L27+SUM($C28:L28)</f>
        <v>-3916</v>
      </c>
      <c r="M29" s="90" t="n">
        <f aca="false">M27+SUM($C28:M28)</f>
        <v>-3956</v>
      </c>
      <c r="N29" s="90" t="n">
        <f aca="false">N27+SUM($C28:N28)</f>
        <v>-4126</v>
      </c>
      <c r="O29" s="90" t="n">
        <f aca="false">O27+SUM($C28:O28)</f>
        <v>-4476</v>
      </c>
      <c r="P29" s="90" t="n">
        <f aca="false">P27+SUM($C28:P28)</f>
        <v>-2353.5</v>
      </c>
      <c r="Q29" s="90" t="n">
        <f aca="false">Q27+SUM($C28:Q28)</f>
        <v>-2583.5</v>
      </c>
      <c r="R29" s="90" t="n">
        <f aca="false">R27+SUM($C28:R28)</f>
        <v>1481.5</v>
      </c>
      <c r="S29" s="90" t="n">
        <f aca="false">S27+SUM($C28:S28)</f>
        <v>1401.5</v>
      </c>
      <c r="T29" s="90" t="n">
        <f aca="false">T27+SUM($C28:T28)</f>
        <v>3224</v>
      </c>
      <c r="U29" s="90" t="n">
        <f aca="false">U27+SUM($C28:U28)</f>
        <v>3074</v>
      </c>
      <c r="V29" s="90" t="n">
        <f aca="false">V27+SUM($C28:V28)</f>
        <v>5256.5</v>
      </c>
      <c r="W29" s="90" t="n">
        <f aca="false">W27+SUM($C28:W28)</f>
        <v>5151.5</v>
      </c>
      <c r="X29" s="90" t="n">
        <f aca="false">X27+SUM($C28:X28)</f>
        <v>9456.5</v>
      </c>
      <c r="Y29" s="90" t="n">
        <f aca="false">Y27+SUM($C28:Y28)</f>
        <v>9226.5</v>
      </c>
      <c r="Z29" s="90" t="n">
        <f aca="false">Z27+SUM($C28:Z28)</f>
        <v>11409</v>
      </c>
      <c r="AA29" s="90" t="n">
        <f aca="false">AA27+SUM($C28:AA28)</f>
        <v>11409</v>
      </c>
      <c r="AB29" s="90" t="n">
        <f aca="false">AB27+SUM($C28:AB28)</f>
        <v>11409</v>
      </c>
      <c r="AC29" s="90" t="n">
        <f aca="false">AB29</f>
        <v>11409</v>
      </c>
    </row>
    <row r="30" customFormat="false" ht="15" hidden="false" customHeight="false" outlineLevel="0" collapsed="false">
      <c r="B30" s="9" t="s">
        <v>1109</v>
      </c>
      <c r="C30" s="56"/>
      <c r="D30" s="56"/>
      <c r="E30" s="56"/>
      <c r="F30" s="56"/>
      <c r="G30" s="56"/>
      <c r="H30" s="56"/>
      <c r="I30" s="56"/>
      <c r="J30" s="56"/>
      <c r="K30" s="56"/>
      <c r="L30" s="56"/>
      <c r="M30" s="56"/>
      <c r="N30" s="56"/>
      <c r="O30" s="56"/>
      <c r="P30" s="56"/>
      <c r="Q30" s="56"/>
      <c r="R30" s="56"/>
      <c r="S30" s="56"/>
      <c r="T30" s="56"/>
      <c r="U30" s="56"/>
      <c r="V30" s="56"/>
      <c r="W30" s="56"/>
      <c r="X30" s="56"/>
      <c r="Y30" s="56"/>
      <c r="Z30" s="56"/>
      <c r="AA30" s="56"/>
      <c r="AB30" s="56"/>
    </row>
    <row r="31" customFormat="false" ht="15" hidden="false" customHeight="false" outlineLevel="0" collapsed="false">
      <c r="B31" s="30" t="s">
        <v>1110</v>
      </c>
      <c r="C31" s="19" t="str">
        <f aca="false">IF(C30="","",C30-C29)</f>
        <v/>
      </c>
      <c r="D31" s="19" t="str">
        <f aca="false">IF(D30="","",D30-D29)</f>
        <v/>
      </c>
      <c r="E31" s="19" t="str">
        <f aca="false">IF(E30="","",E30-E29)</f>
        <v/>
      </c>
      <c r="F31" s="19" t="str">
        <f aca="false">IF(F30="","",F30-F29)</f>
        <v/>
      </c>
      <c r="G31" s="19" t="str">
        <f aca="false">IF(G30="","",G30-G29)</f>
        <v/>
      </c>
      <c r="H31" s="19" t="str">
        <f aca="false">IF(H30="","",H30-H29)</f>
        <v/>
      </c>
      <c r="I31" s="19" t="str">
        <f aca="false">IF(I30="","",I30-I29)</f>
        <v/>
      </c>
      <c r="J31" s="19" t="str">
        <f aca="false">IF(J30="","",J30-J29)</f>
        <v/>
      </c>
      <c r="K31" s="19" t="str">
        <f aca="false">IF(K30="","",K30-K29)</f>
        <v/>
      </c>
      <c r="L31" s="19" t="str">
        <f aca="false">IF(L30="","",L30-L29)</f>
        <v/>
      </c>
      <c r="M31" s="19" t="str">
        <f aca="false">IF(M30="","",M30-M29)</f>
        <v/>
      </c>
      <c r="N31" s="19" t="str">
        <f aca="false">IF(N30="","",N30-N29)</f>
        <v/>
      </c>
      <c r="O31" s="19" t="str">
        <f aca="false">IF(O30="","",O30-O29)</f>
        <v/>
      </c>
      <c r="P31" s="19" t="str">
        <f aca="false">IF(P30="","",P30-P29)</f>
        <v/>
      </c>
      <c r="Q31" s="19" t="str">
        <f aca="false">IF(Q30="","",Q30-Q29)</f>
        <v/>
      </c>
      <c r="R31" s="19" t="str">
        <f aca="false">IF(R30="","",R30-R29)</f>
        <v/>
      </c>
      <c r="S31" s="19" t="str">
        <f aca="false">IF(S30="","",S30-S29)</f>
        <v/>
      </c>
      <c r="T31" s="19" t="str">
        <f aca="false">IF(T30="","",T30-T29)</f>
        <v/>
      </c>
      <c r="U31" s="19" t="str">
        <f aca="false">IF(U30="","",U30-U29)</f>
        <v/>
      </c>
      <c r="V31" s="19" t="str">
        <f aca="false">IF(V30="","",V30-V29)</f>
        <v/>
      </c>
      <c r="W31" s="19" t="str">
        <f aca="false">IF(W30="","",W30-W29)</f>
        <v/>
      </c>
      <c r="X31" s="19" t="str">
        <f aca="false">IF(X30="","",X30-X29)</f>
        <v/>
      </c>
      <c r="Y31" s="19" t="str">
        <f aca="false">IF(Y30="","",Y30-Y29)</f>
        <v/>
      </c>
      <c r="Z31" s="19" t="str">
        <f aca="false">IF(Z30="","",Z30-Z29)</f>
        <v/>
      </c>
      <c r="AA31" s="19" t="str">
        <f aca="false">IF(AA30="","",AA30-AA29)</f>
        <v/>
      </c>
      <c r="AB31" s="19" t="str">
        <f aca="false">IF(AB30="","",AB30-AB29)</f>
        <v/>
      </c>
    </row>
    <row r="33" customFormat="false" ht="15" hidden="false" customHeight="false" outlineLevel="0" collapsed="false">
      <c r="A33" s="3" t="s">
        <v>1111</v>
      </c>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row>
    <row r="34" customFormat="false" ht="15" hidden="false" customHeight="false" outlineLevel="0" collapsed="false">
      <c r="B34" s="30" t="s">
        <v>1112</v>
      </c>
      <c r="C34" s="16" t="n">
        <f aca="false">MIN(C27:AB27)</f>
        <v>-4476</v>
      </c>
    </row>
    <row r="35" customFormat="false" ht="15" hidden="false" customHeight="false" outlineLevel="0" collapsed="false">
      <c r="B35" s="30" t="s">
        <v>1113</v>
      </c>
      <c r="C35" s="22" t="n">
        <f aca="false">INDEX(C4:AB4,1,MATCH(C34,C27:AB27,0))</f>
        <v>13</v>
      </c>
    </row>
    <row r="36" customFormat="false" ht="15" hidden="false" customHeight="false" outlineLevel="0" collapsed="false">
      <c r="B36" s="30" t="s">
        <v>1114</v>
      </c>
      <c r="C36" s="91" t="n">
        <f aca="false">INDEX(C5:AB5,1,MATCH(C34,C27:AB27,0))</f>
        <v>46405</v>
      </c>
    </row>
    <row r="37" customFormat="false" ht="15" hidden="false" customHeight="false" outlineLevel="0" collapsed="false">
      <c r="B37" s="30" t="s">
        <v>1115</v>
      </c>
      <c r="C37" s="37" t="n">
        <f aca="false">-MIN(0,C34)</f>
        <v>4476</v>
      </c>
    </row>
    <row r="38" customFormat="false" ht="15" hidden="false" customHeight="false" outlineLevel="0" collapsed="false">
      <c r="B38" s="30" t="s">
        <v>1116</v>
      </c>
      <c r="C38" s="37" t="n">
        <f aca="false">Inputs!$C$117</f>
        <v>1000</v>
      </c>
    </row>
    <row r="39" customFormat="false" ht="15" hidden="false" customHeight="false" outlineLevel="0" collapsed="false">
      <c r="B39" s="30" t="s">
        <v>1117</v>
      </c>
      <c r="C39" s="16" t="n">
        <f aca="false">C37+C38</f>
        <v>5476</v>
      </c>
    </row>
    <row r="40" customFormat="false" ht="15" hidden="false" customHeight="false" outlineLevel="0" collapsed="false">
      <c r="B40" s="30" t="s">
        <v>1118</v>
      </c>
      <c r="C40" s="37" t="n">
        <f aca="false">Capital!D14</f>
        <v>6510</v>
      </c>
    </row>
    <row r="41" customFormat="false" ht="15" hidden="false" customHeight="false" outlineLevel="0" collapsed="false">
      <c r="B41" s="30" t="s">
        <v>1119</v>
      </c>
      <c r="C41" s="16" t="n">
        <f aca="false">C40-C39</f>
        <v>1034</v>
      </c>
    </row>
    <row r="42" customFormat="false" ht="15" hidden="false" customHeight="false" outlineLevel="0" collapsed="false">
      <c r="B42" s="30" t="s">
        <v>1120</v>
      </c>
      <c r="C42" s="37" t="str">
        <f aca="false">IF(Inputs!$C$115="","not set",Inputs!$C$115)</f>
        <v>not set</v>
      </c>
    </row>
    <row r="43" customFormat="false" ht="15" hidden="false" customHeight="false" outlineLevel="0" collapsed="false">
      <c r="B43" s="30" t="s">
        <v>1121</v>
      </c>
      <c r="C43" s="37" t="n">
        <f aca="false">MIN(C29:AB29)</f>
        <v>-4476</v>
      </c>
    </row>
    <row r="44" customFormat="false" ht="15" hidden="false" customHeight="false" outlineLevel="0" collapsed="false">
      <c r="B44" s="30" t="s">
        <v>1122</v>
      </c>
      <c r="C44" s="37" t="n">
        <f aca="false">AB27</f>
        <v>11409</v>
      </c>
    </row>
    <row r="45" customFormat="false" ht="15" hidden="false" customHeight="false" outlineLevel="0" collapsed="false">
      <c r="B45" s="30" t="s">
        <v>1123</v>
      </c>
      <c r="C45" s="22" t="str">
        <f aca="false">IF(COUNT(C30:AB30)=0,"",SUMPRODUCT(MAX((C30:AB30&lt;&gt;"")*C4:AB4)))</f>
        <v/>
      </c>
    </row>
    <row r="46" customFormat="false" ht="15" hidden="false" customHeight="false" outlineLevel="0" collapsed="false">
      <c r="B46" s="30" t="s">
        <v>1124</v>
      </c>
      <c r="C46" s="37" t="str">
        <f aca="false">IF(C45="","",INDEX(C31:AB31,1,C45))</f>
        <v/>
      </c>
    </row>
    <row r="48" customFormat="false" ht="15" hidden="false" customHeight="false" outlineLevel="0" collapsed="false">
      <c r="A48" s="3" t="s">
        <v>1125</v>
      </c>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row>
    <row r="49" customFormat="false" ht="15" hidden="false" customHeight="false" outlineLevel="0" collapsed="false">
      <c r="B49" s="9" t="s">
        <v>1126</v>
      </c>
      <c r="C49" s="92" t="n">
        <f aca="false">DATE(YEAR(Inputs!$C$10),MONTH(Inputs!$C$10),1)</f>
        <v>46296</v>
      </c>
      <c r="D49" s="92" t="n">
        <f aca="false">EDATE(C49,1)</f>
        <v>46327</v>
      </c>
      <c r="E49" s="92" t="n">
        <f aca="false">EDATE(D49,1)</f>
        <v>46357</v>
      </c>
      <c r="F49" s="92" t="n">
        <f aca="false">EDATE(E49,1)</f>
        <v>46388</v>
      </c>
      <c r="G49" s="92" t="n">
        <f aca="false">EDATE(F49,1)</f>
        <v>46419</v>
      </c>
      <c r="H49" s="92" t="n">
        <f aca="false">EDATE(G49,1)</f>
        <v>46447</v>
      </c>
      <c r="I49" s="92" t="n">
        <f aca="false">EDATE(H49,1)</f>
        <v>46478</v>
      </c>
      <c r="J49" s="93" t="s">
        <v>1085</v>
      </c>
    </row>
    <row r="50" customFormat="false" ht="15" hidden="false" customHeight="false" outlineLevel="0" collapsed="false">
      <c r="B50" s="9" t="s">
        <v>1127</v>
      </c>
      <c r="C50" s="89" t="n">
        <f aca="false">MAX(C49,Inputs!$C$10)</f>
        <v>46321</v>
      </c>
      <c r="D50" s="89" t="n">
        <f aca="false">MAX(D49,Inputs!$C$10)</f>
        <v>46327</v>
      </c>
      <c r="E50" s="89" t="n">
        <f aca="false">MAX(E49,Inputs!$C$10)</f>
        <v>46357</v>
      </c>
      <c r="F50" s="89" t="n">
        <f aca="false">MAX(F49,Inputs!$C$10)</f>
        <v>46388</v>
      </c>
      <c r="G50" s="89" t="n">
        <f aca="false">MAX(G49,Inputs!$C$10)</f>
        <v>46419</v>
      </c>
      <c r="H50" s="89" t="n">
        <f aca="false">MAX(H49,Inputs!$C$10)</f>
        <v>46447</v>
      </c>
      <c r="I50" s="89" t="n">
        <f aca="false">MAX(I49,Inputs!$C$10)</f>
        <v>46478</v>
      </c>
    </row>
    <row r="51" customFormat="false" ht="15" hidden="false" customHeight="false" outlineLevel="0" collapsed="false">
      <c r="B51" s="9" t="s">
        <v>1128</v>
      </c>
      <c r="C51" s="89" t="n">
        <f aca="false">MIN(EOMONTH(C49,0),Cash_Flow!$AB$6)</f>
        <v>46326</v>
      </c>
      <c r="D51" s="89" t="n">
        <f aca="false">MIN(EOMONTH(D49,0),Cash_Flow!$AB$6)</f>
        <v>46356</v>
      </c>
      <c r="E51" s="89" t="n">
        <f aca="false">MIN(EOMONTH(E49,0),Cash_Flow!$AB$6)</f>
        <v>46387</v>
      </c>
      <c r="F51" s="89" t="n">
        <f aca="false">MIN(EOMONTH(F49,0),Cash_Flow!$AB$6)</f>
        <v>46418</v>
      </c>
      <c r="G51" s="89" t="n">
        <f aca="false">MIN(EOMONTH(G49,0),Cash_Flow!$AB$6)</f>
        <v>46446</v>
      </c>
      <c r="H51" s="89" t="n">
        <f aca="false">MIN(EOMONTH(H49,0),Cash_Flow!$AB$6)</f>
        <v>46477</v>
      </c>
      <c r="I51" s="89" t="n">
        <f aca="false">MIN(EOMONTH(I49,0),Cash_Flow!$AB$6)</f>
        <v>46502</v>
      </c>
    </row>
    <row r="52" customFormat="false" ht="15" hidden="false" customHeight="false" outlineLevel="0" collapsed="false">
      <c r="B52" s="30" t="s">
        <v>1090</v>
      </c>
      <c r="C52" s="19" t="n">
        <f aca="false">SUMIFS(Drop_PnL!$AP$7:$AP$18,Drop_PnL!$AO$7:$AO$18,"&gt;="&amp;C$50,Drop_PnL!$AO$7:$AO$18,"&lt;="&amp;C$51,Drop_PnL!$AZ$7:$AZ$18,"N")+SUMIFS(Drop_PnL!$AR$7:$AR$18,Drop_PnL!$AQ$7:$AQ$18,"&gt;="&amp;C$50,Drop_PnL!$AQ$7:$AQ$18,"&lt;="&amp;C$51,Drop_PnL!$AZ$7:$AZ$18,"N")+SUMIFS(Drop_PnL!$AT$7:$AT$18,Drop_PnL!$AS$7:$AS$18,"&gt;="&amp;C$50,Drop_PnL!$AS$7:$AS$18,"&lt;="&amp;C$51,Drop_PnL!$AZ$7:$AZ$18,"N")</f>
        <v>0</v>
      </c>
      <c r="D52" s="19" t="n">
        <f aca="false">SUMIFS(Drop_PnL!$AP$7:$AP$18,Drop_PnL!$AO$7:$AO$18,"&gt;="&amp;D$50,Drop_PnL!$AO$7:$AO$18,"&lt;="&amp;D$51,Drop_PnL!$AZ$7:$AZ$18,"N")+SUMIFS(Drop_PnL!$AR$7:$AR$18,Drop_PnL!$AQ$7:$AQ$18,"&gt;="&amp;D$50,Drop_PnL!$AQ$7:$AQ$18,"&lt;="&amp;D$51,Drop_PnL!$AZ$7:$AZ$18,"N")+SUMIFS(Drop_PnL!$AT$7:$AT$18,Drop_PnL!$AS$7:$AS$18,"&gt;="&amp;D$50,Drop_PnL!$AS$7:$AS$18,"&lt;="&amp;D$51,Drop_PnL!$AZ$7:$AZ$18,"N")</f>
        <v>0</v>
      </c>
      <c r="E52" s="19" t="n">
        <f aca="false">SUMIFS(Drop_PnL!$AP$7:$AP$18,Drop_PnL!$AO$7:$AO$18,"&gt;="&amp;E$50,Drop_PnL!$AO$7:$AO$18,"&lt;="&amp;E$51,Drop_PnL!$AZ$7:$AZ$18,"N")+SUMIFS(Drop_PnL!$AR$7:$AR$18,Drop_PnL!$AQ$7:$AQ$18,"&gt;="&amp;E$50,Drop_PnL!$AQ$7:$AQ$18,"&lt;="&amp;E$51,Drop_PnL!$AZ$7:$AZ$18,"N")+SUMIFS(Drop_PnL!$AT$7:$AT$18,Drop_PnL!$AS$7:$AS$18,"&gt;="&amp;E$50,Drop_PnL!$AS$7:$AS$18,"&lt;="&amp;E$51,Drop_PnL!$AZ$7:$AZ$18,"N")</f>
        <v>1200</v>
      </c>
      <c r="F52" s="19" t="n">
        <f aca="false">SUMIFS(Drop_PnL!$AP$7:$AP$18,Drop_PnL!$AO$7:$AO$18,"&gt;="&amp;F$50,Drop_PnL!$AO$7:$AO$18,"&lt;="&amp;F$51,Drop_PnL!$AZ$7:$AZ$18,"N")+SUMIFS(Drop_PnL!$AR$7:$AR$18,Drop_PnL!$AQ$7:$AQ$18,"&gt;="&amp;F$50,Drop_PnL!$AQ$7:$AQ$18,"&lt;="&amp;F$51,Drop_PnL!$AZ$7:$AZ$18,"N")+SUMIFS(Drop_PnL!$AT$7:$AT$18,Drop_PnL!$AS$7:$AS$18,"&gt;="&amp;F$50,Drop_PnL!$AS$7:$AS$18,"&lt;="&amp;F$51,Drop_PnL!$AZ$7:$AZ$18,"N")</f>
        <v>2250</v>
      </c>
      <c r="G52" s="19" t="n">
        <f aca="false">SUMIFS(Drop_PnL!$AP$7:$AP$18,Drop_PnL!$AO$7:$AO$18,"&gt;="&amp;G$50,Drop_PnL!$AO$7:$AO$18,"&lt;="&amp;G$51,Drop_PnL!$AZ$7:$AZ$18,"N")+SUMIFS(Drop_PnL!$AR$7:$AR$18,Drop_PnL!$AQ$7:$AQ$18,"&gt;="&amp;G$50,Drop_PnL!$AQ$7:$AQ$18,"&lt;="&amp;G$51,Drop_PnL!$AZ$7:$AZ$18,"N")+SUMIFS(Drop_PnL!$AT$7:$AT$18,Drop_PnL!$AS$7:$AS$18,"&gt;="&amp;G$50,Drop_PnL!$AS$7:$AS$18,"&lt;="&amp;G$51,Drop_PnL!$AZ$7:$AZ$18,"N")</f>
        <v>6750</v>
      </c>
      <c r="H52" s="19" t="n">
        <f aca="false">SUMIFS(Drop_PnL!$AP$7:$AP$18,Drop_PnL!$AO$7:$AO$18,"&gt;="&amp;H$50,Drop_PnL!$AO$7:$AO$18,"&lt;="&amp;H$51,Drop_PnL!$AZ$7:$AZ$18,"N")+SUMIFS(Drop_PnL!$AR$7:$AR$18,Drop_PnL!$AQ$7:$AQ$18,"&gt;="&amp;H$50,Drop_PnL!$AQ$7:$AQ$18,"&lt;="&amp;H$51,Drop_PnL!$AZ$7:$AZ$18,"N")+SUMIFS(Drop_PnL!$AT$7:$AT$18,Drop_PnL!$AS$7:$AS$18,"&gt;="&amp;H$50,Drop_PnL!$AS$7:$AS$18,"&lt;="&amp;H$51,Drop_PnL!$AZ$7:$AZ$18,"N")</f>
        <v>6750</v>
      </c>
      <c r="I52" s="19" t="n">
        <f aca="false">SUMIFS(Drop_PnL!$AP$7:$AP$18,Drop_PnL!$AO$7:$AO$18,"&gt;="&amp;I$50,Drop_PnL!$AO$7:$AO$18,"&lt;="&amp;I$51,Drop_PnL!$AZ$7:$AZ$18,"N")+SUMIFS(Drop_PnL!$AR$7:$AR$18,Drop_PnL!$AQ$7:$AQ$18,"&gt;="&amp;I$50,Drop_PnL!$AQ$7:$AQ$18,"&lt;="&amp;I$51,Drop_PnL!$AZ$7:$AZ$18,"N")+SUMIFS(Drop_PnL!$AT$7:$AT$18,Drop_PnL!$AS$7:$AS$18,"&gt;="&amp;I$50,Drop_PnL!$AS$7:$AS$18,"&lt;="&amp;I$51,Drop_PnL!$AZ$7:$AZ$18,"N")</f>
        <v>2250</v>
      </c>
      <c r="J52" s="37" t="n">
        <f aca="false">SUM(C52:I52)</f>
        <v>19200</v>
      </c>
    </row>
    <row r="53" customFormat="false" ht="15" hidden="false" customHeight="false" outlineLevel="0" collapsed="false">
      <c r="B53" s="30" t="s">
        <v>1091</v>
      </c>
      <c r="C53" s="19" t="n">
        <f aca="false">SUMIFS(Actuals_Campaigns!$X$5:$X$204,Actuals_Campaigns!$Y$5:$Y$204,"&gt;="&amp;C$50,Actuals_Campaigns!$Y$5:$Y$204,"&lt;="&amp;C$51,Actuals_Campaigns!$AL$5:$AL$204,"Y")+SUMIFS(Actuals_Campaigns!$AM$5:$AM$204,Actuals_Campaigns!$S$5:$S$204,"&gt;="&amp;C$50,Actuals_Campaigns!$S$5:$S$204,"&lt;="&amp;C$51,Actuals_Campaigns!$AL$5:$AL$204,"Y")</f>
        <v>0</v>
      </c>
      <c r="D53" s="19" t="n">
        <f aca="false">SUMIFS(Actuals_Campaigns!$X$5:$X$204,Actuals_Campaigns!$Y$5:$Y$204,"&gt;="&amp;D$50,Actuals_Campaigns!$Y$5:$Y$204,"&lt;="&amp;D$51,Actuals_Campaigns!$AL$5:$AL$204,"Y")+SUMIFS(Actuals_Campaigns!$AM$5:$AM$204,Actuals_Campaigns!$S$5:$S$204,"&gt;="&amp;D$50,Actuals_Campaigns!$S$5:$S$204,"&lt;="&amp;D$51,Actuals_Campaigns!$AL$5:$AL$204,"Y")</f>
        <v>0</v>
      </c>
      <c r="E53" s="19" t="n">
        <f aca="false">SUMIFS(Actuals_Campaigns!$X$5:$X$204,Actuals_Campaigns!$Y$5:$Y$204,"&gt;="&amp;E$50,Actuals_Campaigns!$Y$5:$Y$204,"&lt;="&amp;E$51,Actuals_Campaigns!$AL$5:$AL$204,"Y")+SUMIFS(Actuals_Campaigns!$AM$5:$AM$204,Actuals_Campaigns!$S$5:$S$204,"&gt;="&amp;E$50,Actuals_Campaigns!$S$5:$S$204,"&lt;="&amp;E$51,Actuals_Campaigns!$AL$5:$AL$204,"Y")</f>
        <v>0</v>
      </c>
      <c r="F53" s="19" t="n">
        <f aca="false">SUMIFS(Actuals_Campaigns!$X$5:$X$204,Actuals_Campaigns!$Y$5:$Y$204,"&gt;="&amp;F$50,Actuals_Campaigns!$Y$5:$Y$204,"&lt;="&amp;F$51,Actuals_Campaigns!$AL$5:$AL$204,"Y")+SUMIFS(Actuals_Campaigns!$AM$5:$AM$204,Actuals_Campaigns!$S$5:$S$204,"&gt;="&amp;F$50,Actuals_Campaigns!$S$5:$S$204,"&lt;="&amp;F$51,Actuals_Campaigns!$AL$5:$AL$204,"Y")</f>
        <v>0</v>
      </c>
      <c r="G53" s="19" t="n">
        <f aca="false">SUMIFS(Actuals_Campaigns!$X$5:$X$204,Actuals_Campaigns!$Y$5:$Y$204,"&gt;="&amp;G$50,Actuals_Campaigns!$Y$5:$Y$204,"&lt;="&amp;G$51,Actuals_Campaigns!$AL$5:$AL$204,"Y")+SUMIFS(Actuals_Campaigns!$AM$5:$AM$204,Actuals_Campaigns!$S$5:$S$204,"&gt;="&amp;G$50,Actuals_Campaigns!$S$5:$S$204,"&lt;="&amp;G$51,Actuals_Campaigns!$AL$5:$AL$204,"Y")</f>
        <v>0</v>
      </c>
      <c r="H53" s="19" t="n">
        <f aca="false">SUMIFS(Actuals_Campaigns!$X$5:$X$204,Actuals_Campaigns!$Y$5:$Y$204,"&gt;="&amp;H$50,Actuals_Campaigns!$Y$5:$Y$204,"&lt;="&amp;H$51,Actuals_Campaigns!$AL$5:$AL$204,"Y")+SUMIFS(Actuals_Campaigns!$AM$5:$AM$204,Actuals_Campaigns!$S$5:$S$204,"&gt;="&amp;H$50,Actuals_Campaigns!$S$5:$S$204,"&lt;="&amp;H$51,Actuals_Campaigns!$AL$5:$AL$204,"Y")</f>
        <v>0</v>
      </c>
      <c r="I53" s="19" t="n">
        <f aca="false">SUMIFS(Actuals_Campaigns!$X$5:$X$204,Actuals_Campaigns!$Y$5:$Y$204,"&gt;="&amp;I$50,Actuals_Campaigns!$Y$5:$Y$204,"&lt;="&amp;I$51,Actuals_Campaigns!$AL$5:$AL$204,"Y")+SUMIFS(Actuals_Campaigns!$AM$5:$AM$204,Actuals_Campaigns!$S$5:$S$204,"&gt;="&amp;I$50,Actuals_Campaigns!$S$5:$S$204,"&lt;="&amp;I$51,Actuals_Campaigns!$AL$5:$AL$204,"Y")</f>
        <v>0</v>
      </c>
      <c r="J53" s="37" t="n">
        <f aca="false">SUM(C53:I53)</f>
        <v>0</v>
      </c>
    </row>
    <row r="54" customFormat="false" ht="15" hidden="false" customHeight="false" outlineLevel="0" collapsed="false">
      <c r="B54" s="9" t="s">
        <v>1092</v>
      </c>
      <c r="C54" s="37" t="n">
        <f aca="false">C52+C53</f>
        <v>0</v>
      </c>
      <c r="D54" s="37" t="n">
        <f aca="false">D52+D53</f>
        <v>0</v>
      </c>
      <c r="E54" s="37" t="n">
        <f aca="false">E52+E53</f>
        <v>1200</v>
      </c>
      <c r="F54" s="37" t="n">
        <f aca="false">F52+F53</f>
        <v>2250</v>
      </c>
      <c r="G54" s="37" t="n">
        <f aca="false">G52+G53</f>
        <v>6750</v>
      </c>
      <c r="H54" s="37" t="n">
        <f aca="false">H52+H53</f>
        <v>6750</v>
      </c>
      <c r="I54" s="37" t="n">
        <f aca="false">I52+I53</f>
        <v>2250</v>
      </c>
      <c r="J54" s="37" t="n">
        <f aca="false">SUM(C54:I54)</f>
        <v>19200</v>
      </c>
    </row>
    <row r="55" customFormat="false" ht="15" hidden="false" customHeight="false" outlineLevel="0" collapsed="false">
      <c r="B55" s="30" t="s">
        <v>1094</v>
      </c>
      <c r="C55" s="19" t="n">
        <f aca="false">-SUMIFS(Drop_PnL!$T$7:$T$18,Drop_PnL!$AX$7:$AX$18,"&gt;="&amp;C$50,Drop_PnL!$AX$7:$AX$18,"&lt;="&amp;C$51,Drop_PnL!$AZ$7:$AZ$18,"N")</f>
        <v>-0</v>
      </c>
      <c r="D55" s="19" t="n">
        <f aca="false">-SUMIFS(Drop_PnL!$T$7:$T$18,Drop_PnL!$AX$7:$AX$18,"&gt;="&amp;D$50,Drop_PnL!$AX$7:$AX$18,"&lt;="&amp;D$51,Drop_PnL!$AZ$7:$AZ$18,"N")</f>
        <v>-0</v>
      </c>
      <c r="E55" s="19" t="n">
        <f aca="false">-SUMIFS(Drop_PnL!$T$7:$T$18,Drop_PnL!$AX$7:$AX$18,"&gt;="&amp;E$50,Drop_PnL!$AX$7:$AX$18,"&lt;="&amp;E$51,Drop_PnL!$AZ$7:$AZ$18,"N")</f>
        <v>-0</v>
      </c>
      <c r="F55" s="19" t="n">
        <f aca="false">-SUMIFS(Drop_PnL!$T$7:$T$18,Drop_PnL!$AX$7:$AX$18,"&gt;="&amp;F$50,Drop_PnL!$AX$7:$AX$18,"&lt;="&amp;F$51,Drop_PnL!$AZ$7:$AZ$18,"N")</f>
        <v>-40</v>
      </c>
      <c r="G55" s="19" t="n">
        <f aca="false">-SUMIFS(Drop_PnL!$T$7:$T$18,Drop_PnL!$AX$7:$AX$18,"&gt;="&amp;G$50,Drop_PnL!$AX$7:$AX$18,"&lt;="&amp;G$51,Drop_PnL!$AZ$7:$AZ$18,"N")</f>
        <v>-160</v>
      </c>
      <c r="H55" s="19" t="n">
        <f aca="false">-SUMIFS(Drop_PnL!$T$7:$T$18,Drop_PnL!$AX$7:$AX$18,"&gt;="&amp;H$50,Drop_PnL!$AX$7:$AX$18,"&lt;="&amp;H$51,Drop_PnL!$AZ$7:$AZ$18,"N")</f>
        <v>-80</v>
      </c>
      <c r="I55" s="19" t="n">
        <f aca="false">-SUMIFS(Drop_PnL!$T$7:$T$18,Drop_PnL!$AX$7:$AX$18,"&gt;="&amp;I$50,Drop_PnL!$AX$7:$AX$18,"&lt;="&amp;I$51,Drop_PnL!$AZ$7:$AZ$18,"N")</f>
        <v>-80</v>
      </c>
      <c r="J55" s="37" t="n">
        <f aca="false">SUM(C55:I55)</f>
        <v>-360</v>
      </c>
    </row>
    <row r="56" customFormat="false" ht="15" hidden="false" customHeight="false" outlineLevel="0" collapsed="false">
      <c r="B56" s="30" t="s">
        <v>1095</v>
      </c>
      <c r="C56" s="19" t="n">
        <f aca="false">-SUMIFS(Drop_PnL!$U$7:$U$18,Drop_PnL!$AY$7:$AY$18,"&gt;="&amp;C$50,Drop_PnL!$AY$7:$AY$18,"&lt;="&amp;C$51,Drop_PnL!$AZ$7:$AZ$18,"N")</f>
        <v>-0</v>
      </c>
      <c r="D56" s="19" t="n">
        <f aca="false">-SUMIFS(Drop_PnL!$U$7:$U$18,Drop_PnL!$AY$7:$AY$18,"&gt;="&amp;D$50,Drop_PnL!$AY$7:$AY$18,"&lt;="&amp;D$51,Drop_PnL!$AZ$7:$AZ$18,"N")</f>
        <v>-0</v>
      </c>
      <c r="E56" s="19" t="n">
        <f aca="false">-SUMIFS(Drop_PnL!$U$7:$U$18,Drop_PnL!$AY$7:$AY$18,"&gt;="&amp;E$50,Drop_PnL!$AY$7:$AY$18,"&lt;="&amp;E$51,Drop_PnL!$AZ$7:$AZ$18,"N")</f>
        <v>-0</v>
      </c>
      <c r="F56" s="19" t="n">
        <f aca="false">-SUMIFS(Drop_PnL!$U$7:$U$18,Drop_PnL!$AY$7:$AY$18,"&gt;="&amp;F$50,Drop_PnL!$AY$7:$AY$18,"&lt;="&amp;F$51,Drop_PnL!$AZ$7:$AZ$18,"N")</f>
        <v>-120</v>
      </c>
      <c r="G56" s="19" t="n">
        <f aca="false">-SUMIFS(Drop_PnL!$U$7:$U$18,Drop_PnL!$AY$7:$AY$18,"&gt;="&amp;G$50,Drop_PnL!$AY$7:$AY$18,"&lt;="&amp;G$51,Drop_PnL!$AZ$7:$AZ$18,"N")</f>
        <v>-600</v>
      </c>
      <c r="H56" s="19" t="n">
        <f aca="false">-SUMIFS(Drop_PnL!$U$7:$U$18,Drop_PnL!$AY$7:$AY$18,"&gt;="&amp;H$50,Drop_PnL!$AY$7:$AY$18,"&lt;="&amp;H$51,Drop_PnL!$AZ$7:$AZ$18,"N")</f>
        <v>-0</v>
      </c>
      <c r="I56" s="19" t="n">
        <f aca="false">-SUMIFS(Drop_PnL!$U$7:$U$18,Drop_PnL!$AY$7:$AY$18,"&gt;="&amp;I$50,Drop_PnL!$AY$7:$AY$18,"&lt;="&amp;I$51,Drop_PnL!$AZ$7:$AZ$18,"N")</f>
        <v>-0</v>
      </c>
      <c r="J56" s="37" t="n">
        <f aca="false">SUM(C56:I56)</f>
        <v>-720</v>
      </c>
    </row>
    <row r="57" customFormat="false" ht="15" hidden="false" customHeight="false" outlineLevel="0" collapsed="false">
      <c r="B57" s="30" t="s">
        <v>1096</v>
      </c>
      <c r="C57" s="19" t="n">
        <f aca="false">-SUMIFS(Drop_PnL!$V$7:$V$18,Drop_PnL!$AX$7:$AX$18,"&gt;="&amp;C$50,Drop_PnL!$AX$7:$AX$18,"&lt;="&amp;C$51,Drop_PnL!$AZ$7:$AZ$18,"N")</f>
        <v>-0</v>
      </c>
      <c r="D57" s="19" t="n">
        <f aca="false">-SUMIFS(Drop_PnL!$V$7:$V$18,Drop_PnL!$AX$7:$AX$18,"&gt;="&amp;D$50,Drop_PnL!$AX$7:$AX$18,"&lt;="&amp;D$51,Drop_PnL!$AZ$7:$AZ$18,"N")</f>
        <v>-0</v>
      </c>
      <c r="E57" s="19" t="n">
        <f aca="false">-SUMIFS(Drop_PnL!$V$7:$V$18,Drop_PnL!$AX$7:$AX$18,"&gt;="&amp;E$50,Drop_PnL!$AX$7:$AX$18,"&lt;="&amp;E$51,Drop_PnL!$AZ$7:$AZ$18,"N")</f>
        <v>-0</v>
      </c>
      <c r="F57" s="19" t="n">
        <f aca="false">-SUMIFS(Drop_PnL!$V$7:$V$18,Drop_PnL!$AX$7:$AX$18,"&gt;="&amp;F$50,Drop_PnL!$AX$7:$AX$18,"&lt;="&amp;F$51,Drop_PnL!$AZ$7:$AZ$18,"N")</f>
        <v>-0</v>
      </c>
      <c r="G57" s="19" t="n">
        <f aca="false">-SUMIFS(Drop_PnL!$V$7:$V$18,Drop_PnL!$AX$7:$AX$18,"&gt;="&amp;G$50,Drop_PnL!$AX$7:$AX$18,"&lt;="&amp;G$51,Drop_PnL!$AZ$7:$AZ$18,"N")</f>
        <v>-0</v>
      </c>
      <c r="H57" s="19" t="n">
        <f aca="false">-SUMIFS(Drop_PnL!$V$7:$V$18,Drop_PnL!$AX$7:$AX$18,"&gt;="&amp;H$50,Drop_PnL!$AX$7:$AX$18,"&lt;="&amp;H$51,Drop_PnL!$AZ$7:$AZ$18,"N")</f>
        <v>-0</v>
      </c>
      <c r="I57" s="19" t="n">
        <f aca="false">-SUMIFS(Drop_PnL!$V$7:$V$18,Drop_PnL!$AX$7:$AX$18,"&gt;="&amp;I$50,Drop_PnL!$AX$7:$AX$18,"&lt;="&amp;I$51,Drop_PnL!$AZ$7:$AZ$18,"N")</f>
        <v>-0</v>
      </c>
      <c r="J57" s="37" t="n">
        <f aca="false">SUM(C57:I57)</f>
        <v>0</v>
      </c>
    </row>
    <row r="58" customFormat="false" ht="15" hidden="false" customHeight="false" outlineLevel="0" collapsed="false">
      <c r="B58" s="30" t="s">
        <v>1097</v>
      </c>
      <c r="C58" s="19" t="n">
        <f aca="false">-(SUMIFS(Drop_PnL!$AU$7:$AU$18,Drop_PnL!$AO$7:$AO$18,"&gt;="&amp;C$50,Drop_PnL!$AO$7:$AO$18,"&lt;="&amp;C$51,Drop_PnL!$AZ$7:$AZ$18,"N")+SUMIFS(Drop_PnL!$AV$7:$AV$18,Drop_PnL!$AQ$7:$AQ$18,"&gt;="&amp;C$50,Drop_PnL!$AQ$7:$AQ$18,"&lt;="&amp;C$51,Drop_PnL!$AZ$7:$AZ$18,"N")+SUMIFS(Drop_PnL!$AW$7:$AW$18,Drop_PnL!$AS$7:$AS$18,"&gt;="&amp;C$50,Drop_PnL!$AS$7:$AS$18,"&lt;="&amp;C$51,Drop_PnL!$AZ$7:$AZ$18,"N"))</f>
        <v>-0</v>
      </c>
      <c r="D58" s="19" t="n">
        <f aca="false">-(SUMIFS(Drop_PnL!$AU$7:$AU$18,Drop_PnL!$AO$7:$AO$18,"&gt;="&amp;D$50,Drop_PnL!$AO$7:$AO$18,"&lt;="&amp;D$51,Drop_PnL!$AZ$7:$AZ$18,"N")+SUMIFS(Drop_PnL!$AV$7:$AV$18,Drop_PnL!$AQ$7:$AQ$18,"&gt;="&amp;D$50,Drop_PnL!$AQ$7:$AQ$18,"&lt;="&amp;D$51,Drop_PnL!$AZ$7:$AZ$18,"N")+SUMIFS(Drop_PnL!$AW$7:$AW$18,Drop_PnL!$AS$7:$AS$18,"&gt;="&amp;D$50,Drop_PnL!$AS$7:$AS$18,"&lt;="&amp;D$51,Drop_PnL!$AZ$7:$AZ$18,"N"))</f>
        <v>-0</v>
      </c>
      <c r="E58" s="19" t="n">
        <f aca="false">-(SUMIFS(Drop_PnL!$AU$7:$AU$18,Drop_PnL!$AO$7:$AO$18,"&gt;="&amp;E$50,Drop_PnL!$AO$7:$AO$18,"&lt;="&amp;E$51,Drop_PnL!$AZ$7:$AZ$18,"N")+SUMIFS(Drop_PnL!$AV$7:$AV$18,Drop_PnL!$AQ$7:$AQ$18,"&gt;="&amp;E$50,Drop_PnL!$AQ$7:$AQ$18,"&lt;="&amp;E$51,Drop_PnL!$AZ$7:$AZ$18,"N")+SUMIFS(Drop_PnL!$AW$7:$AW$18,Drop_PnL!$AS$7:$AS$18,"&gt;="&amp;E$50,Drop_PnL!$AS$7:$AS$18,"&lt;="&amp;E$51,Drop_PnL!$AZ$7:$AZ$18,"N"))</f>
        <v>-36</v>
      </c>
      <c r="F58" s="19" t="n">
        <f aca="false">-(SUMIFS(Drop_PnL!$AU$7:$AU$18,Drop_PnL!$AO$7:$AO$18,"&gt;="&amp;F$50,Drop_PnL!$AO$7:$AO$18,"&lt;="&amp;F$51,Drop_PnL!$AZ$7:$AZ$18,"N")+SUMIFS(Drop_PnL!$AV$7:$AV$18,Drop_PnL!$AQ$7:$AQ$18,"&gt;="&amp;F$50,Drop_PnL!$AQ$7:$AQ$18,"&lt;="&amp;F$51,Drop_PnL!$AZ$7:$AZ$18,"N")+SUMIFS(Drop_PnL!$AW$7:$AW$18,Drop_PnL!$AS$7:$AS$18,"&gt;="&amp;F$50,Drop_PnL!$AS$7:$AS$18,"&lt;="&amp;F$51,Drop_PnL!$AZ$7:$AZ$18,"N"))</f>
        <v>-67.5</v>
      </c>
      <c r="G58" s="19" t="n">
        <f aca="false">-(SUMIFS(Drop_PnL!$AU$7:$AU$18,Drop_PnL!$AO$7:$AO$18,"&gt;="&amp;G$50,Drop_PnL!$AO$7:$AO$18,"&lt;="&amp;G$51,Drop_PnL!$AZ$7:$AZ$18,"N")+SUMIFS(Drop_PnL!$AV$7:$AV$18,Drop_PnL!$AQ$7:$AQ$18,"&gt;="&amp;G$50,Drop_PnL!$AQ$7:$AQ$18,"&lt;="&amp;G$51,Drop_PnL!$AZ$7:$AZ$18,"N")+SUMIFS(Drop_PnL!$AW$7:$AW$18,Drop_PnL!$AS$7:$AS$18,"&gt;="&amp;G$50,Drop_PnL!$AS$7:$AS$18,"&lt;="&amp;G$51,Drop_PnL!$AZ$7:$AZ$18,"N"))</f>
        <v>-202.5</v>
      </c>
      <c r="H58" s="19" t="n">
        <f aca="false">-(SUMIFS(Drop_PnL!$AU$7:$AU$18,Drop_PnL!$AO$7:$AO$18,"&gt;="&amp;H$50,Drop_PnL!$AO$7:$AO$18,"&lt;="&amp;H$51,Drop_PnL!$AZ$7:$AZ$18,"N")+SUMIFS(Drop_PnL!$AV$7:$AV$18,Drop_PnL!$AQ$7:$AQ$18,"&gt;="&amp;H$50,Drop_PnL!$AQ$7:$AQ$18,"&lt;="&amp;H$51,Drop_PnL!$AZ$7:$AZ$18,"N")+SUMIFS(Drop_PnL!$AW$7:$AW$18,Drop_PnL!$AS$7:$AS$18,"&gt;="&amp;H$50,Drop_PnL!$AS$7:$AS$18,"&lt;="&amp;H$51,Drop_PnL!$AZ$7:$AZ$18,"N"))</f>
        <v>-202.5</v>
      </c>
      <c r="I58" s="19" t="n">
        <f aca="false">-(SUMIFS(Drop_PnL!$AU$7:$AU$18,Drop_PnL!$AO$7:$AO$18,"&gt;="&amp;I$50,Drop_PnL!$AO$7:$AO$18,"&lt;="&amp;I$51,Drop_PnL!$AZ$7:$AZ$18,"N")+SUMIFS(Drop_PnL!$AV$7:$AV$18,Drop_PnL!$AQ$7:$AQ$18,"&gt;="&amp;I$50,Drop_PnL!$AQ$7:$AQ$18,"&lt;="&amp;I$51,Drop_PnL!$AZ$7:$AZ$18,"N")+SUMIFS(Drop_PnL!$AW$7:$AW$18,Drop_PnL!$AS$7:$AS$18,"&gt;="&amp;I$50,Drop_PnL!$AS$7:$AS$18,"&lt;="&amp;I$51,Drop_PnL!$AZ$7:$AZ$18,"N"))</f>
        <v>-67.5</v>
      </c>
      <c r="J58" s="37" t="n">
        <f aca="false">SUM(C58:I58)</f>
        <v>-576</v>
      </c>
    </row>
    <row r="59" customFormat="false" ht="15" hidden="false" customHeight="false" outlineLevel="0" collapsed="false">
      <c r="B59" s="30" t="s">
        <v>1098</v>
      </c>
      <c r="C59" s="19" t="n">
        <f aca="false">-(SUMIFS(Actuals_DropCosts!$F$5:$F$104,Actuals_DropCosts!$B$5:$B$104,"&gt;="&amp;C$50,Actuals_DropCosts!$B$5:$B$104,"&lt;="&amp;C$51,Actuals_DropCosts!$U$5:$U$104,"Y")+SUMIFS(Actuals_DropCosts!$G$5:$G$104,Actuals_DropCosts!$B$5:$B$104,"&gt;="&amp;C$50,Actuals_DropCosts!$B$5:$B$104,"&lt;="&amp;C$51,Actuals_DropCosts!$U$5:$U$104,"Y")+SUMIFS(Actuals_DropCosts!$H$5:$H$104,Actuals_DropCosts!$B$5:$B$104,"&gt;="&amp;C$50,Actuals_DropCosts!$B$5:$B$104,"&lt;="&amp;C$51,Actuals_DropCosts!$U$5:$U$104,"Y")+SUMIFS(Actuals_Campaigns!$T$5:$T$204,Actuals_Campaigns!$S$5:$S$204,"&gt;="&amp;C$50,Actuals_Campaigns!$S$5:$S$204,"&lt;="&amp;C$51,Actuals_Campaigns!$AL$5:$AL$204,"Y"))</f>
        <v>-0</v>
      </c>
      <c r="D59" s="19" t="n">
        <f aca="false">-(SUMIFS(Actuals_DropCosts!$F$5:$F$104,Actuals_DropCosts!$B$5:$B$104,"&gt;="&amp;D$50,Actuals_DropCosts!$B$5:$B$104,"&lt;="&amp;D$51,Actuals_DropCosts!$U$5:$U$104,"Y")+SUMIFS(Actuals_DropCosts!$G$5:$G$104,Actuals_DropCosts!$B$5:$B$104,"&gt;="&amp;D$50,Actuals_DropCosts!$B$5:$B$104,"&lt;="&amp;D$51,Actuals_DropCosts!$U$5:$U$104,"Y")+SUMIFS(Actuals_DropCosts!$H$5:$H$104,Actuals_DropCosts!$B$5:$B$104,"&gt;="&amp;D$50,Actuals_DropCosts!$B$5:$B$104,"&lt;="&amp;D$51,Actuals_DropCosts!$U$5:$U$104,"Y")+SUMIFS(Actuals_Campaigns!$T$5:$T$204,Actuals_Campaigns!$S$5:$S$204,"&gt;="&amp;D$50,Actuals_Campaigns!$S$5:$S$204,"&lt;="&amp;D$51,Actuals_Campaigns!$AL$5:$AL$204,"Y"))</f>
        <v>-0</v>
      </c>
      <c r="E59" s="19" t="n">
        <f aca="false">-(SUMIFS(Actuals_DropCosts!$F$5:$F$104,Actuals_DropCosts!$B$5:$B$104,"&gt;="&amp;E$50,Actuals_DropCosts!$B$5:$B$104,"&lt;="&amp;E$51,Actuals_DropCosts!$U$5:$U$104,"Y")+SUMIFS(Actuals_DropCosts!$G$5:$G$104,Actuals_DropCosts!$B$5:$B$104,"&gt;="&amp;E$50,Actuals_DropCosts!$B$5:$B$104,"&lt;="&amp;E$51,Actuals_DropCosts!$U$5:$U$104,"Y")+SUMIFS(Actuals_DropCosts!$H$5:$H$104,Actuals_DropCosts!$B$5:$B$104,"&gt;="&amp;E$50,Actuals_DropCosts!$B$5:$B$104,"&lt;="&amp;E$51,Actuals_DropCosts!$U$5:$U$104,"Y")+SUMIFS(Actuals_Campaigns!$T$5:$T$204,Actuals_Campaigns!$S$5:$S$204,"&gt;="&amp;E$50,Actuals_Campaigns!$S$5:$S$204,"&lt;="&amp;E$51,Actuals_Campaigns!$AL$5:$AL$204,"Y"))</f>
        <v>-0</v>
      </c>
      <c r="F59" s="19" t="n">
        <f aca="false">-(SUMIFS(Actuals_DropCosts!$F$5:$F$104,Actuals_DropCosts!$B$5:$B$104,"&gt;="&amp;F$50,Actuals_DropCosts!$B$5:$B$104,"&lt;="&amp;F$51,Actuals_DropCosts!$U$5:$U$104,"Y")+SUMIFS(Actuals_DropCosts!$G$5:$G$104,Actuals_DropCosts!$B$5:$B$104,"&gt;="&amp;F$50,Actuals_DropCosts!$B$5:$B$104,"&lt;="&amp;F$51,Actuals_DropCosts!$U$5:$U$104,"Y")+SUMIFS(Actuals_DropCosts!$H$5:$H$104,Actuals_DropCosts!$B$5:$B$104,"&gt;="&amp;F$50,Actuals_DropCosts!$B$5:$B$104,"&lt;="&amp;F$51,Actuals_DropCosts!$U$5:$U$104,"Y")+SUMIFS(Actuals_Campaigns!$T$5:$T$204,Actuals_Campaigns!$S$5:$S$204,"&gt;="&amp;F$50,Actuals_Campaigns!$S$5:$S$204,"&lt;="&amp;F$51,Actuals_Campaigns!$AL$5:$AL$204,"Y"))</f>
        <v>-0</v>
      </c>
      <c r="G59" s="19" t="n">
        <f aca="false">-(SUMIFS(Actuals_DropCosts!$F$5:$F$104,Actuals_DropCosts!$B$5:$B$104,"&gt;="&amp;G$50,Actuals_DropCosts!$B$5:$B$104,"&lt;="&amp;G$51,Actuals_DropCosts!$U$5:$U$104,"Y")+SUMIFS(Actuals_DropCosts!$G$5:$G$104,Actuals_DropCosts!$B$5:$B$104,"&gt;="&amp;G$50,Actuals_DropCosts!$B$5:$B$104,"&lt;="&amp;G$51,Actuals_DropCosts!$U$5:$U$104,"Y")+SUMIFS(Actuals_DropCosts!$H$5:$H$104,Actuals_DropCosts!$B$5:$B$104,"&gt;="&amp;G$50,Actuals_DropCosts!$B$5:$B$104,"&lt;="&amp;G$51,Actuals_DropCosts!$U$5:$U$104,"Y")+SUMIFS(Actuals_Campaigns!$T$5:$T$204,Actuals_Campaigns!$S$5:$S$204,"&gt;="&amp;G$50,Actuals_Campaigns!$S$5:$S$204,"&lt;="&amp;G$51,Actuals_Campaigns!$AL$5:$AL$204,"Y"))</f>
        <v>-0</v>
      </c>
      <c r="H59" s="19" t="n">
        <f aca="false">-(SUMIFS(Actuals_DropCosts!$F$5:$F$104,Actuals_DropCosts!$B$5:$B$104,"&gt;="&amp;H$50,Actuals_DropCosts!$B$5:$B$104,"&lt;="&amp;H$51,Actuals_DropCosts!$U$5:$U$104,"Y")+SUMIFS(Actuals_DropCosts!$G$5:$G$104,Actuals_DropCosts!$B$5:$B$104,"&gt;="&amp;H$50,Actuals_DropCosts!$B$5:$B$104,"&lt;="&amp;H$51,Actuals_DropCosts!$U$5:$U$104,"Y")+SUMIFS(Actuals_DropCosts!$H$5:$H$104,Actuals_DropCosts!$B$5:$B$104,"&gt;="&amp;H$50,Actuals_DropCosts!$B$5:$B$104,"&lt;="&amp;H$51,Actuals_DropCosts!$U$5:$U$104,"Y")+SUMIFS(Actuals_Campaigns!$T$5:$T$204,Actuals_Campaigns!$S$5:$S$204,"&gt;="&amp;H$50,Actuals_Campaigns!$S$5:$S$204,"&lt;="&amp;H$51,Actuals_Campaigns!$AL$5:$AL$204,"Y"))</f>
        <v>-0</v>
      </c>
      <c r="I59" s="19" t="n">
        <f aca="false">-(SUMIFS(Actuals_DropCosts!$F$5:$F$104,Actuals_DropCosts!$B$5:$B$104,"&gt;="&amp;I$50,Actuals_DropCosts!$B$5:$B$104,"&lt;="&amp;I$51,Actuals_DropCosts!$U$5:$U$104,"Y")+SUMIFS(Actuals_DropCosts!$G$5:$G$104,Actuals_DropCosts!$B$5:$B$104,"&gt;="&amp;I$50,Actuals_DropCosts!$B$5:$B$104,"&lt;="&amp;I$51,Actuals_DropCosts!$U$5:$U$104,"Y")+SUMIFS(Actuals_DropCosts!$H$5:$H$104,Actuals_DropCosts!$B$5:$B$104,"&gt;="&amp;I$50,Actuals_DropCosts!$B$5:$B$104,"&lt;="&amp;I$51,Actuals_DropCosts!$U$5:$U$104,"Y")+SUMIFS(Actuals_Campaigns!$T$5:$T$204,Actuals_Campaigns!$S$5:$S$204,"&gt;="&amp;I$50,Actuals_Campaigns!$S$5:$S$204,"&lt;="&amp;I$51,Actuals_Campaigns!$AL$5:$AL$204,"Y"))</f>
        <v>-0</v>
      </c>
      <c r="J59" s="37" t="n">
        <f aca="false">SUM(C59:I59)</f>
        <v>0</v>
      </c>
    </row>
    <row r="60" customFormat="false" ht="15" hidden="false" customHeight="false" outlineLevel="0" collapsed="false">
      <c r="B60" s="9" t="s">
        <v>1099</v>
      </c>
      <c r="C60" s="37" t="n">
        <f aca="false">C55+C56+C57+C58+C59</f>
        <v>-0</v>
      </c>
      <c r="D60" s="37" t="n">
        <f aca="false">D55+D56+D57+D58+D59</f>
        <v>-0</v>
      </c>
      <c r="E60" s="37" t="n">
        <f aca="false">E55+E56+E57+E58+E59</f>
        <v>-36</v>
      </c>
      <c r="F60" s="37" t="n">
        <f aca="false">F55+F56+F57+F58+F59</f>
        <v>-227.5</v>
      </c>
      <c r="G60" s="37" t="n">
        <f aca="false">G55+G56+G57+G58+G59</f>
        <v>-962.5</v>
      </c>
      <c r="H60" s="37" t="n">
        <f aca="false">H55+H56+H57+H58+H59</f>
        <v>-282.5</v>
      </c>
      <c r="I60" s="37" t="n">
        <f aca="false">I55+I56+I57+I58+I59</f>
        <v>-147.5</v>
      </c>
      <c r="J60" s="37" t="n">
        <f aca="false">SUM(C60:I60)</f>
        <v>-1656</v>
      </c>
    </row>
    <row r="61" customFormat="false" ht="15" hidden="false" customHeight="false" outlineLevel="0" collapsed="false">
      <c r="B61" s="30" t="s">
        <v>1101</v>
      </c>
      <c r="C61" s="19" t="n">
        <f aca="false">-SUMIFS(Cash_Ledger!$D$5:$D$53,Cash_Ledger!$C$5:$C$53,"&gt;="&amp;C$50,Cash_Ledger!$C$5:$C$53,"&lt;="&amp;C$51,Cash_Ledger!$A$5:$A$53,"software")</f>
        <v>-60</v>
      </c>
      <c r="D61" s="19" t="n">
        <f aca="false">-SUMIFS(Cash_Ledger!$D$5:$D$53,Cash_Ledger!$C$5:$C$53,"&gt;="&amp;D$50,Cash_Ledger!$C$5:$C$53,"&lt;="&amp;D$51,Cash_Ledger!$A$5:$A$53,"software")</f>
        <v>-60</v>
      </c>
      <c r="E61" s="19" t="n">
        <f aca="false">-SUMIFS(Cash_Ledger!$D$5:$D$53,Cash_Ledger!$C$5:$C$53,"&gt;="&amp;E$50,Cash_Ledger!$C$5:$C$53,"&lt;="&amp;E$51,Cash_Ledger!$A$5:$A$53,"software")</f>
        <v>-60</v>
      </c>
      <c r="F61" s="19" t="n">
        <f aca="false">-SUMIFS(Cash_Ledger!$D$5:$D$53,Cash_Ledger!$C$5:$C$53,"&gt;="&amp;F$50,Cash_Ledger!$C$5:$C$53,"&lt;="&amp;F$51,Cash_Ledger!$A$5:$A$53,"software")</f>
        <v>-60</v>
      </c>
      <c r="G61" s="19" t="n">
        <f aca="false">-SUMIFS(Cash_Ledger!$D$5:$D$53,Cash_Ledger!$C$5:$C$53,"&gt;="&amp;G$50,Cash_Ledger!$C$5:$C$53,"&lt;="&amp;G$51,Cash_Ledger!$A$5:$A$53,"software")</f>
        <v>-60</v>
      </c>
      <c r="H61" s="19" t="n">
        <f aca="false">-SUMIFS(Cash_Ledger!$D$5:$D$53,Cash_Ledger!$C$5:$C$53,"&gt;="&amp;H$50,Cash_Ledger!$C$5:$C$53,"&lt;="&amp;H$51,Cash_Ledger!$A$5:$A$53,"software")</f>
        <v>-60</v>
      </c>
      <c r="I61" s="19" t="n">
        <f aca="false">-SUMIFS(Cash_Ledger!$D$5:$D$53,Cash_Ledger!$C$5:$C$53,"&gt;="&amp;I$50,Cash_Ledger!$C$5:$C$53,"&lt;="&amp;I$51,Cash_Ledger!$A$5:$A$53,"software")</f>
        <v>-0</v>
      </c>
      <c r="J61" s="37" t="n">
        <f aca="false">SUM(C61:I61)</f>
        <v>-360</v>
      </c>
    </row>
    <row r="62" customFormat="false" ht="15" hidden="false" customHeight="false" outlineLevel="0" collapsed="false">
      <c r="B62" s="30" t="s">
        <v>189</v>
      </c>
      <c r="C62" s="19" t="n">
        <f aca="false">-SUMIFS(Cash_Ledger!$D$5:$D$53,Cash_Ledger!$C$5:$C$53,"&gt;="&amp;C$50,Cash_Ledger!$C$5:$C$53,"&lt;="&amp;C$51,Cash_Ledger!$A$5:$A$53,"insurance")</f>
        <v>-0</v>
      </c>
      <c r="D62" s="19" t="n">
        <f aca="false">-SUMIFS(Cash_Ledger!$D$5:$D$53,Cash_Ledger!$C$5:$C$53,"&gt;="&amp;D$50,Cash_Ledger!$C$5:$C$53,"&lt;="&amp;D$51,Cash_Ledger!$A$5:$A$53,"insurance")</f>
        <v>-0</v>
      </c>
      <c r="E62" s="19" t="n">
        <f aca="false">-SUMIFS(Cash_Ledger!$D$5:$D$53,Cash_Ledger!$C$5:$C$53,"&gt;="&amp;E$50,Cash_Ledger!$C$5:$C$53,"&lt;="&amp;E$51,Cash_Ledger!$A$5:$A$53,"insurance")</f>
        <v>-1200</v>
      </c>
      <c r="F62" s="19" t="n">
        <f aca="false">-SUMIFS(Cash_Ledger!$D$5:$D$53,Cash_Ledger!$C$5:$C$53,"&gt;="&amp;F$50,Cash_Ledger!$C$5:$C$53,"&lt;="&amp;F$51,Cash_Ledger!$A$5:$A$53,"insurance")</f>
        <v>-0</v>
      </c>
      <c r="G62" s="19" t="n">
        <f aca="false">-SUMIFS(Cash_Ledger!$D$5:$D$53,Cash_Ledger!$C$5:$C$53,"&gt;="&amp;G$50,Cash_Ledger!$C$5:$C$53,"&lt;="&amp;G$51,Cash_Ledger!$A$5:$A$53,"insurance")</f>
        <v>-0</v>
      </c>
      <c r="H62" s="19" t="n">
        <f aca="false">-SUMIFS(Cash_Ledger!$D$5:$D$53,Cash_Ledger!$C$5:$C$53,"&gt;="&amp;H$50,Cash_Ledger!$C$5:$C$53,"&lt;="&amp;H$51,Cash_Ledger!$A$5:$A$53,"insurance")</f>
        <v>-0</v>
      </c>
      <c r="I62" s="19" t="n">
        <f aca="false">-SUMIFS(Cash_Ledger!$D$5:$D$53,Cash_Ledger!$C$5:$C$53,"&gt;="&amp;I$50,Cash_Ledger!$C$5:$C$53,"&lt;="&amp;I$51,Cash_Ledger!$A$5:$A$53,"insurance")</f>
        <v>-0</v>
      </c>
      <c r="J62" s="37" t="n">
        <f aca="false">SUM(C62:I62)</f>
        <v>-1200</v>
      </c>
    </row>
    <row r="63" customFormat="false" ht="15" hidden="false" customHeight="false" outlineLevel="0" collapsed="false">
      <c r="B63" s="30" t="s">
        <v>571</v>
      </c>
      <c r="C63" s="19" t="n">
        <f aca="false">-SUMIFS(Cash_Ledger!$D$5:$D$53,Cash_Ledger!$C$5:$C$53,"&gt;="&amp;C$50,Cash_Ledger!$C$5:$C$53,"&lt;="&amp;C$51,Cash_Ledger!$A$5:$A$53,"storage")</f>
        <v>-0</v>
      </c>
      <c r="D63" s="19" t="n">
        <f aca="false">-SUMIFS(Cash_Ledger!$D$5:$D$53,Cash_Ledger!$C$5:$C$53,"&gt;="&amp;D$50,Cash_Ledger!$C$5:$C$53,"&lt;="&amp;D$51,Cash_Ledger!$A$5:$A$53,"storage")</f>
        <v>-0</v>
      </c>
      <c r="E63" s="19" t="n">
        <f aca="false">-SUMIFS(Cash_Ledger!$D$5:$D$53,Cash_Ledger!$C$5:$C$53,"&gt;="&amp;E$50,Cash_Ledger!$C$5:$C$53,"&lt;="&amp;E$51,Cash_Ledger!$A$5:$A$53,"storage")</f>
        <v>-0</v>
      </c>
      <c r="F63" s="19" t="n">
        <f aca="false">-SUMIFS(Cash_Ledger!$D$5:$D$53,Cash_Ledger!$C$5:$C$53,"&gt;="&amp;F$50,Cash_Ledger!$C$5:$C$53,"&lt;="&amp;F$51,Cash_Ledger!$A$5:$A$53,"storage")</f>
        <v>-0</v>
      </c>
      <c r="G63" s="19" t="n">
        <f aca="false">-SUMIFS(Cash_Ledger!$D$5:$D$53,Cash_Ledger!$C$5:$C$53,"&gt;="&amp;G$50,Cash_Ledger!$C$5:$C$53,"&lt;="&amp;G$51,Cash_Ledger!$A$5:$A$53,"storage")</f>
        <v>-150</v>
      </c>
      <c r="H63" s="19" t="n">
        <f aca="false">-SUMIFS(Cash_Ledger!$D$5:$D$53,Cash_Ledger!$C$5:$C$53,"&gt;="&amp;H$50,Cash_Ledger!$C$5:$C$53,"&lt;="&amp;H$51,Cash_Ledger!$A$5:$A$53,"storage")</f>
        <v>-150</v>
      </c>
      <c r="I63" s="19" t="n">
        <f aca="false">-SUMIFS(Cash_Ledger!$D$5:$D$53,Cash_Ledger!$C$5:$C$53,"&gt;="&amp;I$50,Cash_Ledger!$C$5:$C$53,"&lt;="&amp;I$51,Cash_Ledger!$A$5:$A$53,"storage")</f>
        <v>-150</v>
      </c>
      <c r="J63" s="37" t="n">
        <f aca="false">SUM(C63:I63)</f>
        <v>-450</v>
      </c>
    </row>
    <row r="64" customFormat="false" ht="15" hidden="false" customHeight="false" outlineLevel="0" collapsed="false">
      <c r="B64" s="30" t="s">
        <v>1102</v>
      </c>
      <c r="C64" s="19" t="n">
        <f aca="false">-SUMIFS(Cash_Ledger!$D$5:$D$53,Cash_Ledger!$C$5:$C$53,"&gt;="&amp;C$50,Cash_Ledger!$C$5:$C$53,"&lt;="&amp;C$51,Cash_Ledger!$A$5:$A$53,"phone")</f>
        <v>-0</v>
      </c>
      <c r="D64" s="19" t="n">
        <f aca="false">-SUMIFS(Cash_Ledger!$D$5:$D$53,Cash_Ledger!$C$5:$C$53,"&gt;="&amp;D$50,Cash_Ledger!$C$5:$C$53,"&lt;="&amp;D$51,Cash_Ledger!$A$5:$A$53,"phone")</f>
        <v>-0</v>
      </c>
      <c r="E64" s="19" t="n">
        <f aca="false">-SUMIFS(Cash_Ledger!$D$5:$D$53,Cash_Ledger!$C$5:$C$53,"&gt;="&amp;E$50,Cash_Ledger!$C$5:$C$53,"&lt;="&amp;E$51,Cash_Ledger!$A$5:$A$53,"phone")</f>
        <v>-0</v>
      </c>
      <c r="F64" s="19" t="n">
        <f aca="false">-SUMIFS(Cash_Ledger!$D$5:$D$53,Cash_Ledger!$C$5:$C$53,"&gt;="&amp;F$50,Cash_Ledger!$C$5:$C$53,"&lt;="&amp;F$51,Cash_Ledger!$A$5:$A$53,"phone")</f>
        <v>-0</v>
      </c>
      <c r="G64" s="19" t="n">
        <f aca="false">-SUMIFS(Cash_Ledger!$D$5:$D$53,Cash_Ledger!$C$5:$C$53,"&gt;="&amp;G$50,Cash_Ledger!$C$5:$C$53,"&lt;="&amp;G$51,Cash_Ledger!$A$5:$A$53,"phone")</f>
        <v>-0</v>
      </c>
      <c r="H64" s="19" t="n">
        <f aca="false">-SUMIFS(Cash_Ledger!$D$5:$D$53,Cash_Ledger!$C$5:$C$53,"&gt;="&amp;H$50,Cash_Ledger!$C$5:$C$53,"&lt;="&amp;H$51,Cash_Ledger!$A$5:$A$53,"phone")</f>
        <v>-0</v>
      </c>
      <c r="I64" s="19" t="n">
        <f aca="false">-SUMIFS(Cash_Ledger!$D$5:$D$53,Cash_Ledger!$C$5:$C$53,"&gt;="&amp;I$50,Cash_Ledger!$C$5:$C$53,"&lt;="&amp;I$51,Cash_Ledger!$A$5:$A$53,"phone")</f>
        <v>-0</v>
      </c>
      <c r="J64" s="37" t="n">
        <f aca="false">SUM(C64:I64)</f>
        <v>0</v>
      </c>
    </row>
    <row r="65" customFormat="false" ht="15" hidden="false" customHeight="false" outlineLevel="0" collapsed="false">
      <c r="B65" s="9" t="s">
        <v>1103</v>
      </c>
      <c r="C65" s="37" t="n">
        <f aca="false">C61+C62+C63+C64</f>
        <v>-60</v>
      </c>
      <c r="D65" s="37" t="n">
        <f aca="false">D61+D62+D63+D64</f>
        <v>-60</v>
      </c>
      <c r="E65" s="37" t="n">
        <f aca="false">E61+E62+E63+E64</f>
        <v>-1260</v>
      </c>
      <c r="F65" s="37" t="n">
        <f aca="false">F61+F62+F63+F64</f>
        <v>-60</v>
      </c>
      <c r="G65" s="37" t="n">
        <f aca="false">G61+G62+G63+G64</f>
        <v>-210</v>
      </c>
      <c r="H65" s="37" t="n">
        <f aca="false">H61+H62+H63+H64</f>
        <v>-210</v>
      </c>
      <c r="I65" s="37" t="n">
        <f aca="false">I61+I62+I63+I64</f>
        <v>-150</v>
      </c>
      <c r="J65" s="37" t="n">
        <f aca="false">SUM(C65:I65)</f>
        <v>-2010</v>
      </c>
    </row>
    <row r="66" customFormat="false" ht="15" hidden="false" customHeight="false" outlineLevel="0" collapsed="false">
      <c r="B66" s="30" t="s">
        <v>1104</v>
      </c>
      <c r="C66" s="19" t="n">
        <f aca="false">-SUMIFS(Inputs!$Q$158:$Q$171,Inputs!$R$158:$R$171,"&gt;="&amp;C$50,Inputs!$R$158:$R$171,"&lt;="&amp;C$51)</f>
        <v>-100</v>
      </c>
      <c r="D66" s="19" t="n">
        <f aca="false">-SUMIFS(Inputs!$Q$158:$Q$171,Inputs!$R$158:$R$171,"&gt;="&amp;D$50,Inputs!$R$158:$R$171,"&lt;="&amp;D$51)</f>
        <v>-900</v>
      </c>
      <c r="E66" s="19" t="n">
        <f aca="false">-SUMIFS(Inputs!$Q$158:$Q$171,Inputs!$R$158:$R$171,"&gt;="&amp;E$50,Inputs!$R$158:$R$171,"&lt;="&amp;E$51)</f>
        <v>-2700</v>
      </c>
      <c r="F66" s="19" t="n">
        <f aca="false">-SUMIFS(Inputs!$Q$158:$Q$171,Inputs!$R$158:$R$171,"&gt;="&amp;F$50,Inputs!$R$158:$R$171,"&lt;="&amp;F$51)</f>
        <v>-400</v>
      </c>
      <c r="G66" s="19" t="n">
        <f aca="false">-SUMIFS(Inputs!$Q$158:$Q$171,Inputs!$R$158:$R$171,"&gt;="&amp;G$50,Inputs!$R$158:$R$171,"&lt;="&amp;G$51)</f>
        <v>-0</v>
      </c>
      <c r="H66" s="19" t="n">
        <f aca="false">-SUMIFS(Inputs!$Q$158:$Q$171,Inputs!$R$158:$R$171,"&gt;="&amp;H$50,Inputs!$R$158:$R$171,"&lt;="&amp;H$51)</f>
        <v>-25</v>
      </c>
      <c r="I66" s="19" t="n">
        <f aca="false">-SUMIFS(Inputs!$Q$158:$Q$171,Inputs!$R$158:$R$171,"&gt;="&amp;I$50,Inputs!$R$158:$R$171,"&lt;="&amp;I$51)</f>
        <v>-0</v>
      </c>
      <c r="J66" s="37" t="n">
        <f aca="false">SUM(C66:I66)</f>
        <v>-4125</v>
      </c>
    </row>
    <row r="67" customFormat="false" ht="15" hidden="false" customHeight="false" outlineLevel="0" collapsed="false">
      <c r="B67" s="9" t="s">
        <v>1105</v>
      </c>
      <c r="C67" s="37" t="n">
        <f aca="false">C54+C60+C65+C66</f>
        <v>-160</v>
      </c>
      <c r="D67" s="37" t="n">
        <f aca="false">D54+D60+D65+D66</f>
        <v>-960</v>
      </c>
      <c r="E67" s="37" t="n">
        <f aca="false">E54+E60+E65+E66</f>
        <v>-2796</v>
      </c>
      <c r="F67" s="37" t="n">
        <f aca="false">F54+F60+F65+F66</f>
        <v>1562.5</v>
      </c>
      <c r="G67" s="37" t="n">
        <f aca="false">G54+G60+G65+G66</f>
        <v>5577.5</v>
      </c>
      <c r="H67" s="37" t="n">
        <f aca="false">H54+H60+H65+H66</f>
        <v>6232.5</v>
      </c>
      <c r="I67" s="37" t="n">
        <f aca="false">I54+I60+I65+I66</f>
        <v>1952.5</v>
      </c>
      <c r="J67" s="37" t="n">
        <f aca="false">SUM(C67:I67)</f>
        <v>11409</v>
      </c>
    </row>
    <row r="69" customFormat="false" ht="15" hidden="false" customHeight="false" outlineLevel="0" collapsed="false">
      <c r="B69" s="9" t="s">
        <v>1129</v>
      </c>
      <c r="C69" s="94" t="n">
        <f aca="false">J67-AC26</f>
        <v>0</v>
      </c>
    </row>
    <row r="70" customFormat="false" ht="15" hidden="false" customHeight="false" outlineLevel="0" collapsed="false">
      <c r="B70" s="30" t="s">
        <v>1130</v>
      </c>
      <c r="C70" s="19" t="n">
        <f aca="false">SUMIFS(Drop_PnL!$AM$7:$AM$18,Drop_PnL!$B$7:$B$18,"&gt;="&amp;Inputs!$C$10,Drop_PnL!$B$7:$B$18,"&lt;="&amp;Cash_Flow!$AB$6)</f>
        <v>700</v>
      </c>
    </row>
    <row r="71" customFormat="false" ht="15" hidden="false" customHeight="false" outlineLevel="0" collapsed="false">
      <c r="B71" s="30" t="s">
        <v>1131</v>
      </c>
      <c r="C71" s="19" t="n">
        <f aca="false">-AC24</f>
        <v>2010</v>
      </c>
    </row>
    <row r="72" customFormat="false" ht="15" hidden="false" customHeight="false" outlineLevel="0" collapsed="false">
      <c r="B72" s="30" t="s">
        <v>1132</v>
      </c>
      <c r="C72" s="37" t="n">
        <f aca="false">C71-C70</f>
        <v>1310</v>
      </c>
    </row>
    <row r="73" customFormat="false" ht="15" hidden="false" customHeight="false" outlineLevel="0" collapsed="false">
      <c r="B73" s="30" t="s">
        <v>1133</v>
      </c>
      <c r="C73" s="21" t="n">
        <f aca="false">COUNTIFS(Cash_Ledger!$A$5:$A$53,"insurance",Cash_Ledger!$B$5:$B$53,"&gt;0",Cash_Ledger!$C$5:$C$53,"&gt;="&amp;Inputs!$C$10,Cash_Ledger!$C$5:$C$53,"&lt;="&amp;Cash_Flow!$AB$6)</f>
        <v>5</v>
      </c>
    </row>
    <row r="74" customFormat="false" ht="15" hidden="false" customHeight="false" outlineLevel="0" collapsed="false">
      <c r="B74" s="30" t="s">
        <v>1134</v>
      </c>
      <c r="C74" s="19" t="n">
        <f aca="false">C73*Inputs!$C$81</f>
        <v>500</v>
      </c>
    </row>
    <row r="75" customFormat="false" ht="15" hidden="false" customHeight="false" outlineLevel="0" collapsed="false">
      <c r="B75" s="30" t="s">
        <v>1135</v>
      </c>
      <c r="C75" s="19" t="n">
        <f aca="false">MAX(0,-AC21-C74)</f>
        <v>700</v>
      </c>
    </row>
    <row r="76" customFormat="false" ht="15" hidden="false" customHeight="false" outlineLevel="0" collapsed="false">
      <c r="B76" s="30" t="s">
        <v>1136</v>
      </c>
      <c r="C76" s="19" t="n">
        <f aca="false">C71-C75</f>
        <v>1310</v>
      </c>
    </row>
    <row r="77" customFormat="false" ht="15" hidden="false" customHeight="false" outlineLevel="0" collapsed="false">
      <c r="B77" s="30" t="s">
        <v>1137</v>
      </c>
      <c r="C77" s="37" t="n">
        <f aca="false">C76-C70</f>
        <v>610</v>
      </c>
    </row>
  </sheetData>
  <mergeCells count="1">
    <mergeCell ref="A3:AC3"/>
  </mergeCells>
  <conditionalFormatting sqref="C27:AB27">
    <cfRule type="cellIs" priority="2" operator="lessThan" aboveAverage="0" equalAverage="0" bottom="0" percent="0" rank="0" text="" dxfId="7">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M61"/>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50"/>
    <col collapsed="false" customWidth="true" hidden="false" outlineLevel="0" max="5" min="3" style="0" width="16"/>
    <col collapsed="false" customWidth="true" hidden="false" outlineLevel="0" max="6" min="6" style="0" width="48"/>
    <col collapsed="false" customWidth="true" hidden="false" outlineLevel="0" max="39" min="7" style="0" width="11"/>
  </cols>
  <sheetData>
    <row r="1" customFormat="false" ht="18.55" hidden="false" customHeight="false" outlineLevel="0" collapsed="false">
      <c r="A1" s="1" t="s">
        <v>1138</v>
      </c>
    </row>
    <row r="2" customFormat="false" ht="15" hidden="false" customHeight="false" outlineLevel="0" collapsed="false">
      <c r="A2" s="2" t="s">
        <v>1139</v>
      </c>
    </row>
    <row r="3" customFormat="false" ht="30" hidden="false" customHeight="true" outlineLevel="0" collapsed="false">
      <c r="A3" s="8" t="s">
        <v>1140</v>
      </c>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row>
    <row r="5" customFormat="false" ht="15" hidden="false" customHeight="true" outlineLevel="0" collapsed="false">
      <c r="A5" s="87" t="s">
        <v>1052</v>
      </c>
      <c r="B5" s="87"/>
      <c r="C5" s="87"/>
      <c r="E5" s="87" t="s">
        <v>1053</v>
      </c>
      <c r="F5" s="87"/>
      <c r="G5" s="87"/>
      <c r="H5" s="87"/>
      <c r="I5" s="87"/>
      <c r="J5" s="87"/>
      <c r="K5" s="87"/>
      <c r="L5" s="87"/>
      <c r="M5" s="87"/>
      <c r="N5" s="87" t="s">
        <v>331</v>
      </c>
      <c r="O5" s="87"/>
      <c r="P5" s="87"/>
      <c r="Q5" s="87"/>
      <c r="R5" s="87"/>
      <c r="S5" s="87"/>
      <c r="T5" s="87" t="s">
        <v>332</v>
      </c>
      <c r="U5" s="87"/>
      <c r="V5" s="87"/>
      <c r="W5" s="87"/>
      <c r="X5" s="87"/>
      <c r="Y5" s="87"/>
      <c r="Z5" s="87"/>
      <c r="AA5" s="87"/>
      <c r="AB5" s="87" t="s">
        <v>1054</v>
      </c>
      <c r="AC5" s="87"/>
      <c r="AD5" s="87"/>
      <c r="AE5" s="87"/>
      <c r="AF5" s="87"/>
      <c r="AG5" s="87"/>
      <c r="AH5" s="87"/>
      <c r="AI5" s="87"/>
      <c r="AJ5" s="87" t="s">
        <v>1011</v>
      </c>
      <c r="AK5" s="87"/>
      <c r="AL5" s="87" t="s">
        <v>1055</v>
      </c>
      <c r="AM5" s="87"/>
    </row>
    <row r="6" customFormat="false" ht="57.75" hidden="false" customHeight="true" outlineLevel="0" collapsed="false">
      <c r="A6" s="12" t="s">
        <v>1038</v>
      </c>
      <c r="B6" s="12" t="s">
        <v>326</v>
      </c>
      <c r="C6" s="12" t="s">
        <v>328</v>
      </c>
      <c r="D6" s="12" t="s">
        <v>944</v>
      </c>
      <c r="E6" s="12" t="s">
        <v>330</v>
      </c>
      <c r="F6" s="12" t="s">
        <v>945</v>
      </c>
      <c r="G6" s="12" t="s">
        <v>329</v>
      </c>
      <c r="H6" s="12" t="s">
        <v>946</v>
      </c>
      <c r="I6" s="12" t="s">
        <v>947</v>
      </c>
      <c r="J6" s="12" t="s">
        <v>457</v>
      </c>
      <c r="K6" s="12" t="s">
        <v>469</v>
      </c>
      <c r="L6" s="12" t="s">
        <v>1039</v>
      </c>
      <c r="M6" s="12" t="s">
        <v>1040</v>
      </c>
      <c r="N6" s="12" t="s">
        <v>1041</v>
      </c>
      <c r="O6" s="12" t="s">
        <v>1042</v>
      </c>
      <c r="P6" s="12" t="s">
        <v>1043</v>
      </c>
      <c r="Q6" s="12" t="s">
        <v>1044</v>
      </c>
      <c r="R6" s="12" t="s">
        <v>1045</v>
      </c>
      <c r="S6" s="12" t="s">
        <v>331</v>
      </c>
      <c r="T6" s="12" t="s">
        <v>1015</v>
      </c>
      <c r="U6" s="12" t="s">
        <v>1017</v>
      </c>
      <c r="V6" s="12" t="s">
        <v>193</v>
      </c>
      <c r="W6" s="12" t="s">
        <v>1018</v>
      </c>
      <c r="X6" s="12" t="s">
        <v>1019</v>
      </c>
      <c r="Y6" s="12" t="s">
        <v>1021</v>
      </c>
      <c r="Z6" s="12" t="s">
        <v>1023</v>
      </c>
      <c r="AA6" s="12" t="s">
        <v>332</v>
      </c>
      <c r="AB6" s="12" t="s">
        <v>1026</v>
      </c>
      <c r="AC6" s="12" t="s">
        <v>1027</v>
      </c>
      <c r="AD6" s="12" t="s">
        <v>1028</v>
      </c>
      <c r="AE6" s="12" t="s">
        <v>1029</v>
      </c>
      <c r="AF6" s="12" t="s">
        <v>1030</v>
      </c>
      <c r="AG6" s="12" t="s">
        <v>1031</v>
      </c>
      <c r="AH6" s="12" t="s">
        <v>1032</v>
      </c>
      <c r="AI6" s="12" t="s">
        <v>333</v>
      </c>
      <c r="AJ6" s="12" t="s">
        <v>334</v>
      </c>
      <c r="AK6" s="12" t="s">
        <v>1033</v>
      </c>
      <c r="AL6" s="12" t="s">
        <v>1046</v>
      </c>
      <c r="AM6" s="12" t="s">
        <v>1047</v>
      </c>
    </row>
    <row r="7" customFormat="false" ht="15" hidden="false" customHeight="false" outlineLevel="0" collapsed="false">
      <c r="A7" s="32" t="s">
        <v>1141</v>
      </c>
      <c r="B7" s="82"/>
      <c r="C7" s="32" t="s">
        <v>674</v>
      </c>
      <c r="D7" s="32" t="s">
        <v>984</v>
      </c>
      <c r="E7" s="64" t="n">
        <v>10</v>
      </c>
      <c r="F7" s="64" t="n">
        <v>0</v>
      </c>
      <c r="G7" s="32" t="n">
        <v>3</v>
      </c>
      <c r="H7" s="32" t="n">
        <v>0</v>
      </c>
      <c r="I7" s="32" t="n">
        <v>0</v>
      </c>
      <c r="J7" s="47" t="n">
        <v>150</v>
      </c>
      <c r="K7" s="47" t="n">
        <f aca="false">Inputs!$C$42</f>
        <v>120</v>
      </c>
      <c r="L7" s="64" t="n">
        <v>1</v>
      </c>
      <c r="M7" s="64" t="n">
        <v>1</v>
      </c>
      <c r="N7" s="21" t="n">
        <f aca="false">IF(G7&gt;0,1,0)</f>
        <v>1</v>
      </c>
      <c r="O7" s="30" t="n">
        <f aca="false">IF(D7="founding",G7-H7,0)</f>
        <v>0</v>
      </c>
      <c r="P7" s="30" t="n">
        <f aca="false">IF(D7="standard",G7-H7,0)</f>
        <v>3</v>
      </c>
      <c r="Q7" s="19" t="n">
        <f aca="false">O7*(K7*MIN(E7,Inputs!$C$43)+Inputs!$C$45*MAX(E7-Inputs!$C$43,0))+I7*K7*E7</f>
        <v>0</v>
      </c>
      <c r="R7" s="19" t="n">
        <f aca="false">(P7+H7-I7)*(J7*MIN(E7,Inputs!$C$40)+Inputs!$C$45*MAX(E7-Inputs!$C$40,0))</f>
        <v>4500</v>
      </c>
      <c r="S7" s="37" t="n">
        <f aca="false">Q7+R7</f>
        <v>4500</v>
      </c>
      <c r="T7" s="19" t="n">
        <f aca="false">N7*E7*(Inputs!$C$68+Inputs!$C$69*MAX(G7-1,0))</f>
        <v>80</v>
      </c>
      <c r="U7" s="19" t="n">
        <f aca="false">IF(N7=0,0,INDEX(Inputs!$C$105:$C$107,MATCH(C7,Inputs!$B$105:$B$107,0))+INDEX(Inputs!$D$105:$D$107,MATCH(C7,Inputs!$B$105:$B$107,0))*E7)</f>
        <v>300</v>
      </c>
      <c r="V7" s="19" t="n">
        <f aca="false">IF(N7=0,0,INDEX(Inputs!$E$105:$E$107,MATCH(C7,Inputs!$B$105:$B$107,0))*E7)</f>
        <v>0</v>
      </c>
      <c r="W7" s="19" t="n">
        <f aca="false">S7*Inputs!$C$54*M7</f>
        <v>135</v>
      </c>
      <c r="X7" s="19" t="n">
        <f aca="false">N7*L7*Inputs!$C$76/Inputs!$C$85</f>
        <v>75</v>
      </c>
      <c r="Y7" s="19" t="n">
        <f aca="false">N7*Inputs!$C$79/Inputs!$C$85</f>
        <v>30</v>
      </c>
      <c r="Z7" s="19" t="n">
        <f aca="false">N7*Inputs!$C$81/Inputs!$C$85</f>
        <v>50</v>
      </c>
      <c r="AA7" s="37" t="n">
        <f aca="false">SUM(T7:Z7)</f>
        <v>670</v>
      </c>
      <c r="AB7" s="36" t="n">
        <f aca="false">O7*Inputs!$C$89+P7*Inputs!$C$93+H7*Inputs!$C$94</f>
        <v>18</v>
      </c>
      <c r="AC7" s="36" t="n">
        <f aca="false">N7*(F7*Inputs!$C$95+(E7-F7)*Inputs!$C$96)</f>
        <v>10</v>
      </c>
      <c r="AD7" s="36" t="n">
        <f aca="false">IF(N7=0,0,INDEX(Inputs!$F$105:$F$107,MATCH(C7,Inputs!$B$105:$B$107,0))+Inputs!$C$97*G7)</f>
        <v>4</v>
      </c>
      <c r="AE7" s="36" t="n">
        <f aca="false">IF(N7=0,0,INDEX(Inputs!$G$105:$G$107,MATCH(C7,Inputs!$B$105:$B$107,0))*E7)</f>
        <v>8</v>
      </c>
      <c r="AF7" s="36" t="n">
        <f aca="false">IF(N7=0,0,INDEX(Inputs!$H$105:$H$107,MATCH(C7,Inputs!$B$105:$B$107,0))*E7)</f>
        <v>4</v>
      </c>
      <c r="AG7" s="36" t="n">
        <f aca="false">Inputs!$C$98*G7</f>
        <v>6</v>
      </c>
      <c r="AH7" s="36" t="n">
        <f aca="false">N7*Inputs!$C$99</f>
        <v>2</v>
      </c>
      <c r="AI7" s="38" t="n">
        <f aca="false">SUM(AB7:AH7)</f>
        <v>52</v>
      </c>
      <c r="AJ7" s="37" t="n">
        <f aca="false">S7-AA7</f>
        <v>3830</v>
      </c>
      <c r="AK7" s="29" t="n">
        <f aca="false">IF(AI7&gt;0,AJ7/AI7,"n/a")</f>
        <v>73.6538461538462</v>
      </c>
      <c r="AL7" s="19" t="n">
        <f aca="false">T7+U7+V7+W7</f>
        <v>515</v>
      </c>
      <c r="AM7" s="19" t="n">
        <f aca="false">X7+Y7+Z7</f>
        <v>155</v>
      </c>
    </row>
    <row r="8" customFormat="false" ht="15" hidden="false" customHeight="false" outlineLevel="0" collapsed="false">
      <c r="A8" s="30" t="s">
        <v>1142</v>
      </c>
      <c r="B8" s="86"/>
      <c r="C8" s="30" t="str">
        <f aca="false">Inputs!$C$113</f>
        <v>courier</v>
      </c>
      <c r="D8" s="30" t="s">
        <v>984</v>
      </c>
      <c r="E8" s="21" t="n">
        <f aca="false">Inputs!$C$114</f>
        <v>10</v>
      </c>
      <c r="F8" s="21" t="n">
        <v>0</v>
      </c>
      <c r="G8" s="30" t="n">
        <f aca="false">Inputs!$C$62</f>
        <v>3</v>
      </c>
      <c r="H8" s="30" t="n">
        <v>0</v>
      </c>
      <c r="I8" s="30" t="n">
        <v>0</v>
      </c>
      <c r="J8" s="19" t="n">
        <f aca="false">Inputs!$C$39</f>
        <v>150</v>
      </c>
      <c r="K8" s="19" t="n">
        <f aca="false">Inputs!$C$42</f>
        <v>120</v>
      </c>
      <c r="L8" s="21" t="n">
        <f aca="false">IF(Inputs!$C$75="unit",1,0)</f>
        <v>1</v>
      </c>
      <c r="M8" s="21" t="n">
        <f aca="false">Inputs!$C$55</f>
        <v>1</v>
      </c>
      <c r="N8" s="21" t="n">
        <f aca="false">IF(G8&gt;0,1,0)</f>
        <v>1</v>
      </c>
      <c r="O8" s="30" t="n">
        <f aca="false">IF(D8="founding",G8-H8,0)</f>
        <v>0</v>
      </c>
      <c r="P8" s="30" t="n">
        <f aca="false">IF(D8="standard",G8-H8,0)</f>
        <v>3</v>
      </c>
      <c r="Q8" s="19" t="n">
        <f aca="false">O8*(K8*MIN(E8,Inputs!$C$43)+Inputs!$C$45*MAX(E8-Inputs!$C$43,0))+I8*K8*E8</f>
        <v>0</v>
      </c>
      <c r="R8" s="19" t="n">
        <f aca="false">(P8+H8-I8)*(J8*MIN(E8,Inputs!$C$40)+Inputs!$C$45*MAX(E8-Inputs!$C$40,0))</f>
        <v>4500</v>
      </c>
      <c r="S8" s="37" t="n">
        <f aca="false">Q8+R8</f>
        <v>4500</v>
      </c>
      <c r="T8" s="19" t="n">
        <f aca="false">N8*E8*(Inputs!$C$68+Inputs!$C$69*MAX(G8-1,0))</f>
        <v>80</v>
      </c>
      <c r="U8" s="19" t="n">
        <f aca="false">IF(N8=0,0,INDEX(Inputs!$C$105:$C$107,MATCH(C8,Inputs!$B$105:$B$107,0))+INDEX(Inputs!$D$105:$D$107,MATCH(C8,Inputs!$B$105:$B$107,0))*E8)</f>
        <v>300</v>
      </c>
      <c r="V8" s="19" t="n">
        <f aca="false">IF(N8=0,0,INDEX(Inputs!$E$105:$E$107,MATCH(C8,Inputs!$B$105:$B$107,0))*E8)</f>
        <v>0</v>
      </c>
      <c r="W8" s="19" t="n">
        <f aca="false">S8*Inputs!$C$54*M8</f>
        <v>135</v>
      </c>
      <c r="X8" s="19" t="n">
        <f aca="false">N8*L8*Inputs!$C$76/Inputs!$C$85</f>
        <v>75</v>
      </c>
      <c r="Y8" s="19" t="n">
        <f aca="false">N8*Inputs!$C$79/Inputs!$C$85</f>
        <v>30</v>
      </c>
      <c r="Z8" s="19" t="n">
        <f aca="false">N8*Inputs!$C$81/Inputs!$C$85</f>
        <v>50</v>
      </c>
      <c r="AA8" s="37" t="n">
        <f aca="false">SUM(T8:Z8)</f>
        <v>670</v>
      </c>
      <c r="AB8" s="36" t="n">
        <f aca="false">O8*Inputs!$C$89+P8*Inputs!$C$93+H8*Inputs!$C$94</f>
        <v>18</v>
      </c>
      <c r="AC8" s="36" t="n">
        <f aca="false">N8*(F8*Inputs!$C$95+(E8-F8)*Inputs!$C$96)</f>
        <v>10</v>
      </c>
      <c r="AD8" s="36" t="n">
        <f aca="false">IF(N8=0,0,INDEX(Inputs!$F$105:$F$107,MATCH(C8,Inputs!$B$105:$B$107,0))+Inputs!$C$97*G8)</f>
        <v>4</v>
      </c>
      <c r="AE8" s="36" t="n">
        <f aca="false">IF(N8=0,0,INDEX(Inputs!$G$105:$G$107,MATCH(C8,Inputs!$B$105:$B$107,0))*E8)</f>
        <v>8</v>
      </c>
      <c r="AF8" s="36" t="n">
        <f aca="false">IF(N8=0,0,INDEX(Inputs!$H$105:$H$107,MATCH(C8,Inputs!$B$105:$B$107,0))*E8)</f>
        <v>4</v>
      </c>
      <c r="AG8" s="36" t="n">
        <f aca="false">Inputs!$C$98*G8</f>
        <v>6</v>
      </c>
      <c r="AH8" s="36" t="n">
        <f aca="false">N8*Inputs!$C$99</f>
        <v>2</v>
      </c>
      <c r="AI8" s="38" t="n">
        <f aca="false">SUM(AB8:AH8)</f>
        <v>52</v>
      </c>
      <c r="AJ8" s="37" t="n">
        <f aca="false">S8-AA8</f>
        <v>3830</v>
      </c>
      <c r="AK8" s="29" t="n">
        <f aca="false">IF(AI8&gt;0,AJ8/AI8,"n/a")</f>
        <v>73.6538461538462</v>
      </c>
      <c r="AL8" s="19" t="n">
        <f aca="false">T8+U8+V8+W8</f>
        <v>515</v>
      </c>
      <c r="AM8" s="19" t="n">
        <f aca="false">X8+Y8+Z8</f>
        <v>155</v>
      </c>
    </row>
    <row r="9" customFormat="false" ht="15" hidden="false" customHeight="false" outlineLevel="0" collapsed="false">
      <c r="A9" s="30" t="s">
        <v>1143</v>
      </c>
      <c r="B9" s="86"/>
      <c r="C9" s="30" t="str">
        <f aca="false">Inputs!$C$113</f>
        <v>courier</v>
      </c>
      <c r="D9" s="30" t="s">
        <v>984</v>
      </c>
      <c r="E9" s="21" t="n">
        <f aca="false">Inputs!$C$114</f>
        <v>10</v>
      </c>
      <c r="F9" s="21" t="n">
        <v>0</v>
      </c>
      <c r="G9" s="21" t="n">
        <f aca="false">Scenarios!$H$16</f>
        <v>3</v>
      </c>
      <c r="H9" s="30" t="n">
        <f aca="false">Scenarios!$H$12*G9</f>
        <v>1.2</v>
      </c>
      <c r="I9" s="30" t="n">
        <v>0</v>
      </c>
      <c r="J9" s="19" t="n">
        <f aca="false">Scenarios!$H$14</f>
        <v>150</v>
      </c>
      <c r="K9" s="19" t="n">
        <f aca="false">Inputs!$C$42</f>
        <v>120</v>
      </c>
      <c r="L9" s="21" t="n">
        <f aca="false">IF(Inputs!$C$75="unit",1,0)</f>
        <v>1</v>
      </c>
      <c r="M9" s="21" t="n">
        <f aca="false">Inputs!$C$55</f>
        <v>1</v>
      </c>
      <c r="N9" s="21" t="n">
        <f aca="false">IF(G9&gt;0,1,0)</f>
        <v>1</v>
      </c>
      <c r="O9" s="30" t="n">
        <f aca="false">IF(D9="founding",G9-H9,0)</f>
        <v>0</v>
      </c>
      <c r="P9" s="30" t="n">
        <f aca="false">IF(D9="standard",G9-H9,0)</f>
        <v>1.8</v>
      </c>
      <c r="Q9" s="19" t="n">
        <f aca="false">O9*(K9*MIN(E9,Inputs!$C$43)+Inputs!$C$45*MAX(E9-Inputs!$C$43,0))+I9*K9*E9</f>
        <v>0</v>
      </c>
      <c r="R9" s="19" t="n">
        <f aca="false">(P9+H9-I9)*(J9*MIN(E9,Inputs!$C$40)+Inputs!$C$45*MAX(E9-Inputs!$C$40,0))</f>
        <v>4500</v>
      </c>
      <c r="S9" s="37" t="n">
        <f aca="false">Q9+R9</f>
        <v>4500</v>
      </c>
      <c r="T9" s="19" t="n">
        <f aca="false">N9*E9*(Inputs!$C$68+Inputs!$C$69*MAX(G9-1,0))</f>
        <v>80</v>
      </c>
      <c r="U9" s="19" t="n">
        <f aca="false">IF(N9=0,0,INDEX(Inputs!$C$105:$C$107,MATCH(C9,Inputs!$B$105:$B$107,0))+INDEX(Inputs!$D$105:$D$107,MATCH(C9,Inputs!$B$105:$B$107,0))*E9)</f>
        <v>300</v>
      </c>
      <c r="V9" s="19" t="n">
        <f aca="false">IF(N9=0,0,INDEX(Inputs!$E$105:$E$107,MATCH(C9,Inputs!$B$105:$B$107,0))*E9)</f>
        <v>0</v>
      </c>
      <c r="W9" s="19" t="n">
        <f aca="false">S9*Inputs!$C$54*M9</f>
        <v>135</v>
      </c>
      <c r="X9" s="19" t="n">
        <f aca="false">N9*L9*Inputs!$C$76/Inputs!$C$85</f>
        <v>75</v>
      </c>
      <c r="Y9" s="19" t="n">
        <f aca="false">N9*Inputs!$C$79/Inputs!$C$85</f>
        <v>30</v>
      </c>
      <c r="Z9" s="19" t="n">
        <f aca="false">N9*Inputs!$C$81/Inputs!$C$85</f>
        <v>50</v>
      </c>
      <c r="AA9" s="37" t="n">
        <f aca="false">SUM(T9:Z9)</f>
        <v>670</v>
      </c>
      <c r="AB9" s="36" t="n">
        <f aca="false">O9*Inputs!$C$89+P9*Inputs!$C$93+H9*Inputs!$C$94</f>
        <v>13.2</v>
      </c>
      <c r="AC9" s="36" t="n">
        <f aca="false">N9*(F9*Inputs!$C$95+(E9-F9)*Inputs!$C$96)</f>
        <v>10</v>
      </c>
      <c r="AD9" s="36" t="n">
        <f aca="false">IF(N9=0,0,INDEX(Inputs!$F$105:$F$107,MATCH(C9,Inputs!$B$105:$B$107,0))+Inputs!$C$97*G9)</f>
        <v>4</v>
      </c>
      <c r="AE9" s="36" t="n">
        <f aca="false">IF(N9=0,0,INDEX(Inputs!$G$105:$G$107,MATCH(C9,Inputs!$B$105:$B$107,0))*E9)</f>
        <v>8</v>
      </c>
      <c r="AF9" s="36" t="n">
        <f aca="false">IF(N9=0,0,INDEX(Inputs!$H$105:$H$107,MATCH(C9,Inputs!$B$105:$B$107,0))*E9)</f>
        <v>4</v>
      </c>
      <c r="AG9" s="36" t="n">
        <f aca="false">Inputs!$C$98*G9</f>
        <v>6</v>
      </c>
      <c r="AH9" s="36" t="n">
        <f aca="false">N9*Inputs!$C$99</f>
        <v>2</v>
      </c>
      <c r="AI9" s="38" t="n">
        <f aca="false">SUM(AB9:AH9)</f>
        <v>47.2</v>
      </c>
      <c r="AJ9" s="37" t="n">
        <f aca="false">S9-AA9</f>
        <v>3830</v>
      </c>
      <c r="AK9" s="29" t="n">
        <f aca="false">IF(AI9&gt;0,AJ9/AI9,"n/a")</f>
        <v>81.1440677966102</v>
      </c>
      <c r="AL9" s="19" t="n">
        <f aca="false">T9+U9+V9+W9</f>
        <v>515</v>
      </c>
      <c r="AM9" s="19" t="n">
        <f aca="false">X9+Y9+Z9</f>
        <v>155</v>
      </c>
    </row>
    <row r="10" customFormat="false" ht="15" hidden="false" customHeight="false" outlineLevel="0" collapsed="false">
      <c r="A10" s="30" t="s">
        <v>1144</v>
      </c>
      <c r="B10" s="86"/>
      <c r="C10" s="30" t="str">
        <f aca="false">Inputs!$C$113</f>
        <v>courier</v>
      </c>
      <c r="D10" s="30" t="s">
        <v>984</v>
      </c>
      <c r="E10" s="21" t="n">
        <f aca="false">Inputs!$C$114</f>
        <v>10</v>
      </c>
      <c r="F10" s="21" t="n">
        <v>0</v>
      </c>
      <c r="G10" s="30" t="n">
        <v>1</v>
      </c>
      <c r="H10" s="30" t="n">
        <v>0</v>
      </c>
      <c r="I10" s="30" t="n">
        <v>0</v>
      </c>
      <c r="J10" s="19" t="n">
        <f aca="false">Inputs!$C$39</f>
        <v>150</v>
      </c>
      <c r="K10" s="19" t="n">
        <f aca="false">Inputs!$C$42</f>
        <v>120</v>
      </c>
      <c r="L10" s="21" t="n">
        <f aca="false">IF(Inputs!$C$75="unit",1,0)</f>
        <v>1</v>
      </c>
      <c r="M10" s="21" t="n">
        <f aca="false">Inputs!$C$55</f>
        <v>1</v>
      </c>
      <c r="N10" s="21" t="n">
        <f aca="false">IF(G10&gt;0,1,0)</f>
        <v>1</v>
      </c>
      <c r="O10" s="30" t="n">
        <f aca="false">IF(D10="founding",G10-H10,0)</f>
        <v>0</v>
      </c>
      <c r="P10" s="30" t="n">
        <f aca="false">IF(D10="standard",G10-H10,0)</f>
        <v>1</v>
      </c>
      <c r="Q10" s="19" t="n">
        <f aca="false">O10*(K10*MIN(E10,Inputs!$C$43)+Inputs!$C$45*MAX(E10-Inputs!$C$43,0))+I10*K10*E10</f>
        <v>0</v>
      </c>
      <c r="R10" s="19" t="n">
        <f aca="false">(P10+H10-I10)*(J10*MIN(E10,Inputs!$C$40)+Inputs!$C$45*MAX(E10-Inputs!$C$40,0))</f>
        <v>1500</v>
      </c>
      <c r="S10" s="37" t="n">
        <f aca="false">Q10+R10</f>
        <v>1500</v>
      </c>
      <c r="T10" s="19" t="n">
        <f aca="false">N10*E10*(Inputs!$C$68+Inputs!$C$69*MAX(G10-1,0))</f>
        <v>80</v>
      </c>
      <c r="U10" s="19" t="n">
        <f aca="false">IF(N10=0,0,INDEX(Inputs!$C$105:$C$107,MATCH(C10,Inputs!$B$105:$B$107,0))+INDEX(Inputs!$D$105:$D$107,MATCH(C10,Inputs!$B$105:$B$107,0))*E10)</f>
        <v>300</v>
      </c>
      <c r="V10" s="19" t="n">
        <f aca="false">IF(N10=0,0,INDEX(Inputs!$E$105:$E$107,MATCH(C10,Inputs!$B$105:$B$107,0))*E10)</f>
        <v>0</v>
      </c>
      <c r="W10" s="19" t="n">
        <f aca="false">S10*Inputs!$C$54*M10</f>
        <v>45</v>
      </c>
      <c r="X10" s="19" t="n">
        <f aca="false">N10*L10*Inputs!$C$76/Inputs!$C$85</f>
        <v>75</v>
      </c>
      <c r="Y10" s="19" t="n">
        <f aca="false">N10*Inputs!$C$79/Inputs!$C$85</f>
        <v>30</v>
      </c>
      <c r="Z10" s="19" t="n">
        <f aca="false">N10*Inputs!$C$81/Inputs!$C$85</f>
        <v>50</v>
      </c>
      <c r="AA10" s="37" t="n">
        <f aca="false">SUM(T10:Z10)</f>
        <v>580</v>
      </c>
      <c r="AB10" s="36" t="n">
        <f aca="false">O10*Inputs!$C$89+P10*Inputs!$C$93+H10*Inputs!$C$94</f>
        <v>6</v>
      </c>
      <c r="AC10" s="36" t="n">
        <f aca="false">N10*(F10*Inputs!$C$95+(E10-F10)*Inputs!$C$96)</f>
        <v>10</v>
      </c>
      <c r="AD10" s="36" t="n">
        <f aca="false">IF(N10=0,0,INDEX(Inputs!$F$105:$F$107,MATCH(C10,Inputs!$B$105:$B$107,0))+Inputs!$C$97*G10)</f>
        <v>3</v>
      </c>
      <c r="AE10" s="36" t="n">
        <f aca="false">IF(N10=0,0,INDEX(Inputs!$G$105:$G$107,MATCH(C10,Inputs!$B$105:$B$107,0))*E10)</f>
        <v>8</v>
      </c>
      <c r="AF10" s="36" t="n">
        <f aca="false">IF(N10=0,0,INDEX(Inputs!$H$105:$H$107,MATCH(C10,Inputs!$B$105:$B$107,0))*E10)</f>
        <v>4</v>
      </c>
      <c r="AG10" s="36" t="n">
        <f aca="false">Inputs!$C$98*G10</f>
        <v>2</v>
      </c>
      <c r="AH10" s="36" t="n">
        <f aca="false">N10*Inputs!$C$99</f>
        <v>2</v>
      </c>
      <c r="AI10" s="38" t="n">
        <f aca="false">SUM(AB10:AH10)</f>
        <v>35</v>
      </c>
      <c r="AJ10" s="37" t="n">
        <f aca="false">S10-AA10</f>
        <v>920</v>
      </c>
      <c r="AK10" s="29" t="n">
        <f aca="false">IF(AI10&gt;0,AJ10/AI10,"n/a")</f>
        <v>26.2857142857143</v>
      </c>
      <c r="AL10" s="19" t="n">
        <f aca="false">T10+U10+V10+W10</f>
        <v>425</v>
      </c>
      <c r="AM10" s="19" t="n">
        <f aca="false">X10+Y10+Z10</f>
        <v>155</v>
      </c>
    </row>
    <row r="11" customFormat="false" ht="15" hidden="false" customHeight="false" outlineLevel="0" collapsed="false">
      <c r="A11" s="30" t="s">
        <v>1145</v>
      </c>
      <c r="B11" s="86"/>
      <c r="C11" s="30" t="str">
        <f aca="false">Inputs!$C$113</f>
        <v>courier</v>
      </c>
      <c r="D11" s="30" t="s">
        <v>984</v>
      </c>
      <c r="E11" s="21" t="n">
        <f aca="false">Inputs!$C$114</f>
        <v>10</v>
      </c>
      <c r="F11" s="21" t="n">
        <v>0</v>
      </c>
      <c r="G11" s="30" t="n">
        <v>1</v>
      </c>
      <c r="H11" s="30" t="n">
        <v>0</v>
      </c>
      <c r="I11" s="30" t="n">
        <v>0</v>
      </c>
      <c r="J11" s="19" t="n">
        <f aca="false">Inputs!$C$39</f>
        <v>150</v>
      </c>
      <c r="K11" s="19" t="n">
        <f aca="false">Inputs!$C$42</f>
        <v>120</v>
      </c>
      <c r="L11" s="21" t="n">
        <f aca="false">IF(Inputs!$C$75="unit",1,0)</f>
        <v>1</v>
      </c>
      <c r="M11" s="21" t="n">
        <f aca="false">Inputs!$C$55</f>
        <v>1</v>
      </c>
      <c r="N11" s="21" t="n">
        <f aca="false">IF(G11&gt;0,1,0)</f>
        <v>1</v>
      </c>
      <c r="O11" s="30" t="n">
        <f aca="false">IF(D11="founding",G11-H11,0)</f>
        <v>0</v>
      </c>
      <c r="P11" s="30" t="n">
        <f aca="false">IF(D11="standard",G11-H11,0)</f>
        <v>1</v>
      </c>
      <c r="Q11" s="19" t="n">
        <f aca="false">O11*(K11*MIN(E11,Inputs!$C$43)+Inputs!$C$45*MAX(E11-Inputs!$C$43,0))+I11*K11*E11</f>
        <v>0</v>
      </c>
      <c r="R11" s="19" t="n">
        <f aca="false">(P11+H11-I11)*(J11*MIN(E11,Inputs!$C$40)+Inputs!$C$45*MAX(E11-Inputs!$C$40,0))</f>
        <v>1500</v>
      </c>
      <c r="S11" s="37" t="n">
        <f aca="false">Q11+R11</f>
        <v>1500</v>
      </c>
      <c r="T11" s="19" t="n">
        <f aca="false">N11*E11*(Inputs!$C$68+Inputs!$C$69*MAX(G11-1,0))</f>
        <v>80</v>
      </c>
      <c r="U11" s="19" t="n">
        <f aca="false">IF(N11=0,0,INDEX(Inputs!$C$105:$C$107,MATCH(C11,Inputs!$B$105:$B$107,0))+INDEX(Inputs!$D$105:$D$107,MATCH(C11,Inputs!$B$105:$B$107,0))*E11)</f>
        <v>300</v>
      </c>
      <c r="V11" s="19" t="n">
        <f aca="false">IF(N11=0,0,INDEX(Inputs!$E$105:$E$107,MATCH(C11,Inputs!$B$105:$B$107,0))*E11)</f>
        <v>0</v>
      </c>
      <c r="W11" s="19" t="n">
        <f aca="false">S11*Inputs!$C$54*M11</f>
        <v>45</v>
      </c>
      <c r="X11" s="19" t="n">
        <f aca="false">N11*L11*Inputs!$C$76/Inputs!$C$85</f>
        <v>75</v>
      </c>
      <c r="Y11" s="19" t="n">
        <f aca="false">N11*Inputs!$C$79/Inputs!$C$85</f>
        <v>30</v>
      </c>
      <c r="Z11" s="19" t="n">
        <f aca="false">N11*Inputs!$C$81/Inputs!$C$85</f>
        <v>50</v>
      </c>
      <c r="AA11" s="37" t="n">
        <f aca="false">SUM(T11:Z11)</f>
        <v>580</v>
      </c>
      <c r="AB11" s="36" t="n">
        <f aca="false">O11*Inputs!$C$89+P11*Inputs!$C$93+H11*Inputs!$C$94</f>
        <v>6</v>
      </c>
      <c r="AC11" s="36" t="n">
        <f aca="false">N11*(F11*Inputs!$C$95+(E11-F11)*Inputs!$C$96)</f>
        <v>10</v>
      </c>
      <c r="AD11" s="36" t="n">
        <f aca="false">IF(N11=0,0,INDEX(Inputs!$F$105:$F$107,MATCH(C11,Inputs!$B$105:$B$107,0))+Inputs!$C$97*G11)</f>
        <v>3</v>
      </c>
      <c r="AE11" s="36" t="n">
        <f aca="false">IF(N11=0,0,INDEX(Inputs!$G$105:$G$107,MATCH(C11,Inputs!$B$105:$B$107,0))*E11)</f>
        <v>8</v>
      </c>
      <c r="AF11" s="36" t="n">
        <f aca="false">IF(N11=0,0,INDEX(Inputs!$H$105:$H$107,MATCH(C11,Inputs!$B$105:$B$107,0))*E11)</f>
        <v>4</v>
      </c>
      <c r="AG11" s="36" t="n">
        <f aca="false">Inputs!$C$98*G11</f>
        <v>2</v>
      </c>
      <c r="AH11" s="36" t="n">
        <f aca="false">N11*Inputs!$C$99</f>
        <v>2</v>
      </c>
      <c r="AI11" s="38" t="n">
        <f aca="false">SUM(AB11:AH11)</f>
        <v>35</v>
      </c>
      <c r="AJ11" s="37" t="n">
        <f aca="false">S11-AA11</f>
        <v>920</v>
      </c>
      <c r="AK11" s="29" t="n">
        <f aca="false">IF(AI11&gt;0,AJ11/AI11,"n/a")</f>
        <v>26.2857142857143</v>
      </c>
      <c r="AL11" s="19" t="n">
        <f aca="false">T11+U11+V11+W11</f>
        <v>425</v>
      </c>
      <c r="AM11" s="19" t="n">
        <f aca="false">X11+Y11+Z11</f>
        <v>155</v>
      </c>
    </row>
    <row r="12" customFormat="false" ht="15" hidden="false" customHeight="false" outlineLevel="0" collapsed="false">
      <c r="A12" s="30" t="s">
        <v>1146</v>
      </c>
      <c r="B12" s="86"/>
      <c r="C12" s="30" t="str">
        <f aca="false">Inputs!$C$113</f>
        <v>courier</v>
      </c>
      <c r="D12" s="30" t="s">
        <v>984</v>
      </c>
      <c r="E12" s="21" t="n">
        <f aca="false">Inputs!$C$114</f>
        <v>10</v>
      </c>
      <c r="F12" s="21" t="n">
        <v>0</v>
      </c>
      <c r="G12" s="30" t="n">
        <v>2</v>
      </c>
      <c r="H12" s="30" t="n">
        <v>0</v>
      </c>
      <c r="I12" s="30" t="n">
        <v>0</v>
      </c>
      <c r="J12" s="19" t="n">
        <f aca="false">Inputs!$C$39</f>
        <v>150</v>
      </c>
      <c r="K12" s="19" t="n">
        <f aca="false">Inputs!$C$42</f>
        <v>120</v>
      </c>
      <c r="L12" s="21" t="n">
        <f aca="false">IF(Inputs!$C$75="unit",1,0)</f>
        <v>1</v>
      </c>
      <c r="M12" s="21" t="n">
        <f aca="false">Inputs!$C$55</f>
        <v>1</v>
      </c>
      <c r="N12" s="21" t="n">
        <f aca="false">IF(G12&gt;0,1,0)</f>
        <v>1</v>
      </c>
      <c r="O12" s="30" t="n">
        <f aca="false">IF(D12="founding",G12-H12,0)</f>
        <v>0</v>
      </c>
      <c r="P12" s="30" t="n">
        <f aca="false">IF(D12="standard",G12-H12,0)</f>
        <v>2</v>
      </c>
      <c r="Q12" s="19" t="n">
        <f aca="false">O12*(K12*MIN(E12,Inputs!$C$43)+Inputs!$C$45*MAX(E12-Inputs!$C$43,0))+I12*K12*E12</f>
        <v>0</v>
      </c>
      <c r="R12" s="19" t="n">
        <f aca="false">(P12+H12-I12)*(J12*MIN(E12,Inputs!$C$40)+Inputs!$C$45*MAX(E12-Inputs!$C$40,0))</f>
        <v>3000</v>
      </c>
      <c r="S12" s="37" t="n">
        <f aca="false">Q12+R12</f>
        <v>3000</v>
      </c>
      <c r="T12" s="19" t="n">
        <f aca="false">N12*E12*(Inputs!$C$68+Inputs!$C$69*MAX(G12-1,0))</f>
        <v>80</v>
      </c>
      <c r="U12" s="19" t="n">
        <f aca="false">IF(N12=0,0,INDEX(Inputs!$C$105:$C$107,MATCH(C12,Inputs!$B$105:$B$107,0))+INDEX(Inputs!$D$105:$D$107,MATCH(C12,Inputs!$B$105:$B$107,0))*E12)</f>
        <v>300</v>
      </c>
      <c r="V12" s="19" t="n">
        <f aca="false">IF(N12=0,0,INDEX(Inputs!$E$105:$E$107,MATCH(C12,Inputs!$B$105:$B$107,0))*E12)</f>
        <v>0</v>
      </c>
      <c r="W12" s="19" t="n">
        <f aca="false">S12*Inputs!$C$54*M12</f>
        <v>90</v>
      </c>
      <c r="X12" s="19" t="n">
        <f aca="false">N12*L12*Inputs!$C$76/Inputs!$C$85</f>
        <v>75</v>
      </c>
      <c r="Y12" s="19" t="n">
        <f aca="false">N12*Inputs!$C$79/Inputs!$C$85</f>
        <v>30</v>
      </c>
      <c r="Z12" s="19" t="n">
        <f aca="false">N12*Inputs!$C$81/Inputs!$C$85</f>
        <v>50</v>
      </c>
      <c r="AA12" s="37" t="n">
        <f aca="false">SUM(T12:Z12)</f>
        <v>625</v>
      </c>
      <c r="AB12" s="36" t="n">
        <f aca="false">O12*Inputs!$C$89+P12*Inputs!$C$93+H12*Inputs!$C$94</f>
        <v>12</v>
      </c>
      <c r="AC12" s="36" t="n">
        <f aca="false">N12*(F12*Inputs!$C$95+(E12-F12)*Inputs!$C$96)</f>
        <v>10</v>
      </c>
      <c r="AD12" s="36" t="n">
        <f aca="false">IF(N12=0,0,INDEX(Inputs!$F$105:$F$107,MATCH(C12,Inputs!$B$105:$B$107,0))+Inputs!$C$97*G12)</f>
        <v>3.5</v>
      </c>
      <c r="AE12" s="36" t="n">
        <f aca="false">IF(N12=0,0,INDEX(Inputs!$G$105:$G$107,MATCH(C12,Inputs!$B$105:$B$107,0))*E12)</f>
        <v>8</v>
      </c>
      <c r="AF12" s="36" t="n">
        <f aca="false">IF(N12=0,0,INDEX(Inputs!$H$105:$H$107,MATCH(C12,Inputs!$B$105:$B$107,0))*E12)</f>
        <v>4</v>
      </c>
      <c r="AG12" s="36" t="n">
        <f aca="false">Inputs!$C$98*G12</f>
        <v>4</v>
      </c>
      <c r="AH12" s="36" t="n">
        <f aca="false">N12*Inputs!$C$99</f>
        <v>2</v>
      </c>
      <c r="AI12" s="38" t="n">
        <f aca="false">SUM(AB12:AH12)</f>
        <v>43.5</v>
      </c>
      <c r="AJ12" s="37" t="n">
        <f aca="false">S12-AA12</f>
        <v>2375</v>
      </c>
      <c r="AK12" s="29" t="n">
        <f aca="false">IF(AI12&gt;0,AJ12/AI12,"n/a")</f>
        <v>54.5977011494253</v>
      </c>
      <c r="AL12" s="19" t="n">
        <f aca="false">T12+U12+V12+W12</f>
        <v>470</v>
      </c>
      <c r="AM12" s="19" t="n">
        <f aca="false">X12+Y12+Z12</f>
        <v>155</v>
      </c>
    </row>
    <row r="13" customFormat="false" ht="15" hidden="false" customHeight="false" outlineLevel="0" collapsed="false">
      <c r="A13" s="30" t="s">
        <v>1147</v>
      </c>
      <c r="B13" s="86"/>
      <c r="C13" s="30" t="str">
        <f aca="false">Inputs!$C$113</f>
        <v>courier</v>
      </c>
      <c r="D13" s="30" t="s">
        <v>984</v>
      </c>
      <c r="E13" s="21" t="n">
        <f aca="false">Inputs!$C$114</f>
        <v>10</v>
      </c>
      <c r="F13" s="21" t="n">
        <v>0</v>
      </c>
      <c r="G13" s="30" t="n">
        <v>1</v>
      </c>
      <c r="H13" s="30" t="n">
        <f aca="false">Scenarios!$H$12*G13</f>
        <v>0.4</v>
      </c>
      <c r="I13" s="30" t="n">
        <v>0</v>
      </c>
      <c r="J13" s="19" t="n">
        <f aca="false">Inputs!$C$39</f>
        <v>150</v>
      </c>
      <c r="K13" s="19" t="n">
        <f aca="false">Inputs!$C$42</f>
        <v>120</v>
      </c>
      <c r="L13" s="21" t="n">
        <f aca="false">IF(Inputs!$C$75="unit",1,0)</f>
        <v>1</v>
      </c>
      <c r="M13" s="21" t="n">
        <f aca="false">Inputs!$C$55</f>
        <v>1</v>
      </c>
      <c r="N13" s="21" t="n">
        <f aca="false">IF(G13&gt;0,1,0)</f>
        <v>1</v>
      </c>
      <c r="O13" s="30" t="n">
        <f aca="false">IF(D13="founding",G13-H13,0)</f>
        <v>0</v>
      </c>
      <c r="P13" s="30" t="n">
        <f aca="false">IF(D13="standard",G13-H13,0)</f>
        <v>0.6</v>
      </c>
      <c r="Q13" s="19" t="n">
        <f aca="false">O13*(K13*MIN(E13,Inputs!$C$43)+Inputs!$C$45*MAX(E13-Inputs!$C$43,0))+I13*K13*E13</f>
        <v>0</v>
      </c>
      <c r="R13" s="19" t="n">
        <f aca="false">(P13+H13-I13)*(J13*MIN(E13,Inputs!$C$40)+Inputs!$C$45*MAX(E13-Inputs!$C$40,0))</f>
        <v>1500</v>
      </c>
      <c r="S13" s="37" t="n">
        <f aca="false">Q13+R13</f>
        <v>1500</v>
      </c>
      <c r="T13" s="19" t="n">
        <f aca="false">N13*E13*(Inputs!$C$68+Inputs!$C$69*MAX(G13-1,0))</f>
        <v>80</v>
      </c>
      <c r="U13" s="19" t="n">
        <f aca="false">IF(N13=0,0,INDEX(Inputs!$C$105:$C$107,MATCH(C13,Inputs!$B$105:$B$107,0))+INDEX(Inputs!$D$105:$D$107,MATCH(C13,Inputs!$B$105:$B$107,0))*E13)</f>
        <v>300</v>
      </c>
      <c r="V13" s="19" t="n">
        <f aca="false">IF(N13=0,0,INDEX(Inputs!$E$105:$E$107,MATCH(C13,Inputs!$B$105:$B$107,0))*E13)</f>
        <v>0</v>
      </c>
      <c r="W13" s="19" t="n">
        <f aca="false">S13*Inputs!$C$54*M13</f>
        <v>45</v>
      </c>
      <c r="X13" s="19" t="n">
        <f aca="false">N13*L13*Inputs!$C$76/Inputs!$C$85</f>
        <v>75</v>
      </c>
      <c r="Y13" s="19" t="n">
        <f aca="false">N13*Inputs!$C$79/Inputs!$C$85</f>
        <v>30</v>
      </c>
      <c r="Z13" s="19" t="n">
        <f aca="false">N13*Inputs!$C$81/Inputs!$C$85</f>
        <v>50</v>
      </c>
      <c r="AA13" s="37" t="n">
        <f aca="false">SUM(T13:Z13)</f>
        <v>580</v>
      </c>
      <c r="AB13" s="36" t="n">
        <f aca="false">O13*Inputs!$C$89+P13*Inputs!$C$93+H13*Inputs!$C$94</f>
        <v>4.4</v>
      </c>
      <c r="AC13" s="36" t="n">
        <f aca="false">N13*(F13*Inputs!$C$95+(E13-F13)*Inputs!$C$96)</f>
        <v>10</v>
      </c>
      <c r="AD13" s="36" t="n">
        <f aca="false">IF(N13=0,0,INDEX(Inputs!$F$105:$F$107,MATCH(C13,Inputs!$B$105:$B$107,0))+Inputs!$C$97*G13)</f>
        <v>3</v>
      </c>
      <c r="AE13" s="36" t="n">
        <f aca="false">IF(N13=0,0,INDEX(Inputs!$G$105:$G$107,MATCH(C13,Inputs!$B$105:$B$107,0))*E13)</f>
        <v>8</v>
      </c>
      <c r="AF13" s="36" t="n">
        <f aca="false">IF(N13=0,0,INDEX(Inputs!$H$105:$H$107,MATCH(C13,Inputs!$B$105:$B$107,0))*E13)</f>
        <v>4</v>
      </c>
      <c r="AG13" s="36" t="n">
        <f aca="false">Inputs!$C$98*G13</f>
        <v>2</v>
      </c>
      <c r="AH13" s="36" t="n">
        <f aca="false">N13*Inputs!$C$99</f>
        <v>2</v>
      </c>
      <c r="AI13" s="38" t="n">
        <f aca="false">SUM(AB13:AH13)</f>
        <v>33.4</v>
      </c>
      <c r="AJ13" s="37" t="n">
        <f aca="false">S13-AA13</f>
        <v>920</v>
      </c>
      <c r="AK13" s="29" t="n">
        <f aca="false">IF(AI13&gt;0,AJ13/AI13,"n/a")</f>
        <v>27.5449101796407</v>
      </c>
      <c r="AL13" s="19" t="n">
        <f aca="false">T13+U13+V13+W13</f>
        <v>425</v>
      </c>
      <c r="AM13" s="19" t="n">
        <f aca="false">X13+Y13+Z13</f>
        <v>155</v>
      </c>
    </row>
    <row r="14" customFormat="false" ht="15" hidden="false" customHeight="false" outlineLevel="0" collapsed="false">
      <c r="A14" s="30" t="s">
        <v>1148</v>
      </c>
      <c r="B14" s="86"/>
      <c r="C14" s="30" t="str">
        <f aca="false">Inputs!$C$113</f>
        <v>courier</v>
      </c>
      <c r="D14" s="30" t="s">
        <v>984</v>
      </c>
      <c r="E14" s="21" t="n">
        <f aca="false">Inputs!$C$114</f>
        <v>10</v>
      </c>
      <c r="F14" s="21" t="n">
        <v>0</v>
      </c>
      <c r="G14" s="30" t="n">
        <v>2</v>
      </c>
      <c r="H14" s="30" t="n">
        <f aca="false">Scenarios!$H$12*G14</f>
        <v>0.8</v>
      </c>
      <c r="I14" s="30" t="n">
        <v>0</v>
      </c>
      <c r="J14" s="19" t="n">
        <f aca="false">Inputs!$C$39</f>
        <v>150</v>
      </c>
      <c r="K14" s="19" t="n">
        <f aca="false">Inputs!$C$42</f>
        <v>120</v>
      </c>
      <c r="L14" s="21" t="n">
        <f aca="false">IF(Inputs!$C$75="unit",1,0)</f>
        <v>1</v>
      </c>
      <c r="M14" s="21" t="n">
        <f aca="false">Inputs!$C$55</f>
        <v>1</v>
      </c>
      <c r="N14" s="21" t="n">
        <f aca="false">IF(G14&gt;0,1,0)</f>
        <v>1</v>
      </c>
      <c r="O14" s="30" t="n">
        <f aca="false">IF(D14="founding",G14-H14,0)</f>
        <v>0</v>
      </c>
      <c r="P14" s="30" t="n">
        <f aca="false">IF(D14="standard",G14-H14,0)</f>
        <v>1.2</v>
      </c>
      <c r="Q14" s="19" t="n">
        <f aca="false">O14*(K14*MIN(E14,Inputs!$C$43)+Inputs!$C$45*MAX(E14-Inputs!$C$43,0))+I14*K14*E14</f>
        <v>0</v>
      </c>
      <c r="R14" s="19" t="n">
        <f aca="false">(P14+H14-I14)*(J14*MIN(E14,Inputs!$C$40)+Inputs!$C$45*MAX(E14-Inputs!$C$40,0))</f>
        <v>3000</v>
      </c>
      <c r="S14" s="37" t="n">
        <f aca="false">Q14+R14</f>
        <v>3000</v>
      </c>
      <c r="T14" s="19" t="n">
        <f aca="false">N14*E14*(Inputs!$C$68+Inputs!$C$69*MAX(G14-1,0))</f>
        <v>80</v>
      </c>
      <c r="U14" s="19" t="n">
        <f aca="false">IF(N14=0,0,INDEX(Inputs!$C$105:$C$107,MATCH(C14,Inputs!$B$105:$B$107,0))+INDEX(Inputs!$D$105:$D$107,MATCH(C14,Inputs!$B$105:$B$107,0))*E14)</f>
        <v>300</v>
      </c>
      <c r="V14" s="19" t="n">
        <f aca="false">IF(N14=0,0,INDEX(Inputs!$E$105:$E$107,MATCH(C14,Inputs!$B$105:$B$107,0))*E14)</f>
        <v>0</v>
      </c>
      <c r="W14" s="19" t="n">
        <f aca="false">S14*Inputs!$C$54*M14</f>
        <v>90</v>
      </c>
      <c r="X14" s="19" t="n">
        <f aca="false">N14*L14*Inputs!$C$76/Inputs!$C$85</f>
        <v>75</v>
      </c>
      <c r="Y14" s="19" t="n">
        <f aca="false">N14*Inputs!$C$79/Inputs!$C$85</f>
        <v>30</v>
      </c>
      <c r="Z14" s="19" t="n">
        <f aca="false">N14*Inputs!$C$81/Inputs!$C$85</f>
        <v>50</v>
      </c>
      <c r="AA14" s="37" t="n">
        <f aca="false">SUM(T14:Z14)</f>
        <v>625</v>
      </c>
      <c r="AB14" s="36" t="n">
        <f aca="false">O14*Inputs!$C$89+P14*Inputs!$C$93+H14*Inputs!$C$94</f>
        <v>8.8</v>
      </c>
      <c r="AC14" s="36" t="n">
        <f aca="false">N14*(F14*Inputs!$C$95+(E14-F14)*Inputs!$C$96)</f>
        <v>10</v>
      </c>
      <c r="AD14" s="36" t="n">
        <f aca="false">IF(N14=0,0,INDEX(Inputs!$F$105:$F$107,MATCH(C14,Inputs!$B$105:$B$107,0))+Inputs!$C$97*G14)</f>
        <v>3.5</v>
      </c>
      <c r="AE14" s="36" t="n">
        <f aca="false">IF(N14=0,0,INDEX(Inputs!$G$105:$G$107,MATCH(C14,Inputs!$B$105:$B$107,0))*E14)</f>
        <v>8</v>
      </c>
      <c r="AF14" s="36" t="n">
        <f aca="false">IF(N14=0,0,INDEX(Inputs!$H$105:$H$107,MATCH(C14,Inputs!$B$105:$B$107,0))*E14)</f>
        <v>4</v>
      </c>
      <c r="AG14" s="36" t="n">
        <f aca="false">Inputs!$C$98*G14</f>
        <v>4</v>
      </c>
      <c r="AH14" s="36" t="n">
        <f aca="false">N14*Inputs!$C$99</f>
        <v>2</v>
      </c>
      <c r="AI14" s="38" t="n">
        <f aca="false">SUM(AB14:AH14)</f>
        <v>40.3</v>
      </c>
      <c r="AJ14" s="37" t="n">
        <f aca="false">S14-AA14</f>
        <v>2375</v>
      </c>
      <c r="AK14" s="29" t="n">
        <f aca="false">IF(AI14&gt;0,AJ14/AI14,"n/a")</f>
        <v>58.9330024813896</v>
      </c>
      <c r="AL14" s="19" t="n">
        <f aca="false">T14+U14+V14+W14</f>
        <v>470</v>
      </c>
      <c r="AM14" s="19" t="n">
        <f aca="false">X14+Y14+Z14</f>
        <v>155</v>
      </c>
    </row>
    <row r="15" customFormat="false" ht="15" hidden="false" customHeight="false" outlineLevel="0" collapsed="false">
      <c r="A15" s="30" t="s">
        <v>1149</v>
      </c>
      <c r="B15" s="86"/>
      <c r="C15" s="30" t="s">
        <v>676</v>
      </c>
      <c r="D15" s="30" t="s">
        <v>984</v>
      </c>
      <c r="E15" s="21" t="n">
        <f aca="false">Inputs!$C$114</f>
        <v>10</v>
      </c>
      <c r="F15" s="21" t="n">
        <v>0</v>
      </c>
      <c r="G15" s="30" t="n">
        <v>1</v>
      </c>
      <c r="H15" s="30" t="n">
        <v>0</v>
      </c>
      <c r="I15" s="30" t="n">
        <v>0</v>
      </c>
      <c r="J15" s="19" t="n">
        <f aca="false">Inputs!$C$39</f>
        <v>150</v>
      </c>
      <c r="K15" s="19" t="n">
        <f aca="false">Inputs!$C$42</f>
        <v>120</v>
      </c>
      <c r="L15" s="21" t="n">
        <f aca="false">IF(Inputs!$C$75="unit",1,0)</f>
        <v>1</v>
      </c>
      <c r="M15" s="21" t="n">
        <f aca="false">Inputs!$C$55</f>
        <v>1</v>
      </c>
      <c r="N15" s="21" t="n">
        <f aca="false">IF(G15&gt;0,1,0)</f>
        <v>1</v>
      </c>
      <c r="O15" s="30" t="n">
        <f aca="false">IF(D15="founding",G15-H15,0)</f>
        <v>0</v>
      </c>
      <c r="P15" s="30" t="n">
        <f aca="false">IF(D15="standard",G15-H15,0)</f>
        <v>1</v>
      </c>
      <c r="Q15" s="19" t="n">
        <f aca="false">O15*(K15*MIN(E15,Inputs!$C$43)+Inputs!$C$45*MAX(E15-Inputs!$C$43,0))+I15*K15*E15</f>
        <v>0</v>
      </c>
      <c r="R15" s="19" t="n">
        <f aca="false">(P15+H15-I15)*(J15*MIN(E15,Inputs!$C$40)+Inputs!$C$45*MAX(E15-Inputs!$C$40,0))</f>
        <v>1500</v>
      </c>
      <c r="S15" s="37" t="n">
        <f aca="false">Q15+R15</f>
        <v>1500</v>
      </c>
      <c r="T15" s="19" t="n">
        <f aca="false">N15*E15*(Inputs!$C$68+Inputs!$C$69*MAX(G15-1,0))</f>
        <v>80</v>
      </c>
      <c r="U15" s="19" t="n">
        <f aca="false">IF(N15=0,0,INDEX(Inputs!$C$105:$C$107,MATCH(C15,Inputs!$B$105:$B$107,0))+INDEX(Inputs!$D$105:$D$107,MATCH(C15,Inputs!$B$105:$B$107,0))*E15)</f>
        <v>0</v>
      </c>
      <c r="V15" s="19" t="n">
        <f aca="false">IF(N15=0,0,INDEX(Inputs!$E$105:$E$107,MATCH(C15,Inputs!$B$105:$B$107,0))*E15)</f>
        <v>0</v>
      </c>
      <c r="W15" s="19" t="n">
        <f aca="false">S15*Inputs!$C$54*M15</f>
        <v>45</v>
      </c>
      <c r="X15" s="19" t="n">
        <f aca="false">N15*L15*Inputs!$C$76/Inputs!$C$85</f>
        <v>75</v>
      </c>
      <c r="Y15" s="19" t="n">
        <f aca="false">N15*Inputs!$C$79/Inputs!$C$85</f>
        <v>30</v>
      </c>
      <c r="Z15" s="19" t="n">
        <f aca="false">N15*Inputs!$C$81/Inputs!$C$85</f>
        <v>50</v>
      </c>
      <c r="AA15" s="37" t="n">
        <f aca="false">SUM(T15:Z15)</f>
        <v>280</v>
      </c>
      <c r="AB15" s="36" t="n">
        <f aca="false">O15*Inputs!$C$89+P15*Inputs!$C$93+H15*Inputs!$C$94</f>
        <v>6</v>
      </c>
      <c r="AC15" s="36" t="n">
        <f aca="false">N15*(F15*Inputs!$C$95+(E15-F15)*Inputs!$C$96)</f>
        <v>10</v>
      </c>
      <c r="AD15" s="36" t="n">
        <f aca="false">IF(N15=0,0,INDEX(Inputs!$F$105:$F$107,MATCH(C15,Inputs!$B$105:$B$107,0))+Inputs!$C$97*G15)</f>
        <v>1</v>
      </c>
      <c r="AE15" s="36" t="n">
        <f aca="false">IF(N15=0,0,INDEX(Inputs!$G$105:$G$107,MATCH(C15,Inputs!$B$105:$B$107,0))*E15)</f>
        <v>3</v>
      </c>
      <c r="AF15" s="36" t="n">
        <f aca="false">IF(N15=0,0,INDEX(Inputs!$H$105:$H$107,MATCH(C15,Inputs!$B$105:$B$107,0))*E15)</f>
        <v>4</v>
      </c>
      <c r="AG15" s="36" t="n">
        <f aca="false">Inputs!$C$98*G15</f>
        <v>2</v>
      </c>
      <c r="AH15" s="36" t="n">
        <f aca="false">N15*Inputs!$C$99</f>
        <v>2</v>
      </c>
      <c r="AI15" s="38" t="n">
        <f aca="false">SUM(AB15:AH15)</f>
        <v>28</v>
      </c>
      <c r="AJ15" s="37" t="n">
        <f aca="false">S15-AA15</f>
        <v>1220</v>
      </c>
      <c r="AK15" s="29" t="n">
        <f aca="false">IF(AI15&gt;0,AJ15/AI15,"n/a")</f>
        <v>43.5714285714286</v>
      </c>
      <c r="AL15" s="19" t="n">
        <f aca="false">T15+U15+V15+W15</f>
        <v>125</v>
      </c>
      <c r="AM15" s="19" t="n">
        <f aca="false">X15+Y15+Z15</f>
        <v>155</v>
      </c>
    </row>
    <row r="16" customFormat="false" ht="15" hidden="false" customHeight="false" outlineLevel="0" collapsed="false">
      <c r="A16" s="30" t="s">
        <v>1150</v>
      </c>
      <c r="B16" s="86"/>
      <c r="C16" s="30" t="s">
        <v>676</v>
      </c>
      <c r="D16" s="30" t="s">
        <v>984</v>
      </c>
      <c r="E16" s="21" t="n">
        <f aca="false">Inputs!$C$114</f>
        <v>10</v>
      </c>
      <c r="F16" s="21" t="n">
        <v>0</v>
      </c>
      <c r="G16" s="30" t="n">
        <v>2</v>
      </c>
      <c r="H16" s="30" t="n">
        <v>0</v>
      </c>
      <c r="I16" s="30" t="n">
        <v>0</v>
      </c>
      <c r="J16" s="19" t="n">
        <f aca="false">Inputs!$C$39</f>
        <v>150</v>
      </c>
      <c r="K16" s="19" t="n">
        <f aca="false">Inputs!$C$42</f>
        <v>120</v>
      </c>
      <c r="L16" s="21" t="n">
        <f aca="false">IF(Inputs!$C$75="unit",1,0)</f>
        <v>1</v>
      </c>
      <c r="M16" s="21" t="n">
        <f aca="false">Inputs!$C$55</f>
        <v>1</v>
      </c>
      <c r="N16" s="21" t="n">
        <f aca="false">IF(G16&gt;0,1,0)</f>
        <v>1</v>
      </c>
      <c r="O16" s="30" t="n">
        <f aca="false">IF(D16="founding",G16-H16,0)</f>
        <v>0</v>
      </c>
      <c r="P16" s="30" t="n">
        <f aca="false">IF(D16="standard",G16-H16,0)</f>
        <v>2</v>
      </c>
      <c r="Q16" s="19" t="n">
        <f aca="false">O16*(K16*MIN(E16,Inputs!$C$43)+Inputs!$C$45*MAX(E16-Inputs!$C$43,0))+I16*K16*E16</f>
        <v>0</v>
      </c>
      <c r="R16" s="19" t="n">
        <f aca="false">(P16+H16-I16)*(J16*MIN(E16,Inputs!$C$40)+Inputs!$C$45*MAX(E16-Inputs!$C$40,0))</f>
        <v>3000</v>
      </c>
      <c r="S16" s="37" t="n">
        <f aca="false">Q16+R16</f>
        <v>3000</v>
      </c>
      <c r="T16" s="19" t="n">
        <f aca="false">N16*E16*(Inputs!$C$68+Inputs!$C$69*MAX(G16-1,0))</f>
        <v>80</v>
      </c>
      <c r="U16" s="19" t="n">
        <f aca="false">IF(N16=0,0,INDEX(Inputs!$C$105:$C$107,MATCH(C16,Inputs!$B$105:$B$107,0))+INDEX(Inputs!$D$105:$D$107,MATCH(C16,Inputs!$B$105:$B$107,0))*E16)</f>
        <v>0</v>
      </c>
      <c r="V16" s="19" t="n">
        <f aca="false">IF(N16=0,0,INDEX(Inputs!$E$105:$E$107,MATCH(C16,Inputs!$B$105:$B$107,0))*E16)</f>
        <v>0</v>
      </c>
      <c r="W16" s="19" t="n">
        <f aca="false">S16*Inputs!$C$54*M16</f>
        <v>90</v>
      </c>
      <c r="X16" s="19" t="n">
        <f aca="false">N16*L16*Inputs!$C$76/Inputs!$C$85</f>
        <v>75</v>
      </c>
      <c r="Y16" s="19" t="n">
        <f aca="false">N16*Inputs!$C$79/Inputs!$C$85</f>
        <v>30</v>
      </c>
      <c r="Z16" s="19" t="n">
        <f aca="false">N16*Inputs!$C$81/Inputs!$C$85</f>
        <v>50</v>
      </c>
      <c r="AA16" s="37" t="n">
        <f aca="false">SUM(T16:Z16)</f>
        <v>325</v>
      </c>
      <c r="AB16" s="36" t="n">
        <f aca="false">O16*Inputs!$C$89+P16*Inputs!$C$93+H16*Inputs!$C$94</f>
        <v>12</v>
      </c>
      <c r="AC16" s="36" t="n">
        <f aca="false">N16*(F16*Inputs!$C$95+(E16-F16)*Inputs!$C$96)</f>
        <v>10</v>
      </c>
      <c r="AD16" s="36" t="n">
        <f aca="false">IF(N16=0,0,INDEX(Inputs!$F$105:$F$107,MATCH(C16,Inputs!$B$105:$B$107,0))+Inputs!$C$97*G16)</f>
        <v>1.5</v>
      </c>
      <c r="AE16" s="36" t="n">
        <f aca="false">IF(N16=0,0,INDEX(Inputs!$G$105:$G$107,MATCH(C16,Inputs!$B$105:$B$107,0))*E16)</f>
        <v>3</v>
      </c>
      <c r="AF16" s="36" t="n">
        <f aca="false">IF(N16=0,0,INDEX(Inputs!$H$105:$H$107,MATCH(C16,Inputs!$B$105:$B$107,0))*E16)</f>
        <v>4</v>
      </c>
      <c r="AG16" s="36" t="n">
        <f aca="false">Inputs!$C$98*G16</f>
        <v>4</v>
      </c>
      <c r="AH16" s="36" t="n">
        <f aca="false">N16*Inputs!$C$99</f>
        <v>2</v>
      </c>
      <c r="AI16" s="38" t="n">
        <f aca="false">SUM(AB16:AH16)</f>
        <v>36.5</v>
      </c>
      <c r="AJ16" s="37" t="n">
        <f aca="false">S16-AA16</f>
        <v>2675</v>
      </c>
      <c r="AK16" s="29" t="n">
        <f aca="false">IF(AI16&gt;0,AJ16/AI16,"n/a")</f>
        <v>73.2876712328767</v>
      </c>
      <c r="AL16" s="19" t="n">
        <f aca="false">T16+U16+V16+W16</f>
        <v>170</v>
      </c>
      <c r="AM16" s="19" t="n">
        <f aca="false">X16+Y16+Z16</f>
        <v>155</v>
      </c>
    </row>
    <row r="17" customFormat="false" ht="15" hidden="false" customHeight="false" outlineLevel="0" collapsed="false">
      <c r="A17" s="30" t="s">
        <v>1151</v>
      </c>
      <c r="B17" s="86"/>
      <c r="C17" s="30" t="str">
        <f aca="false">Inputs!$C$113</f>
        <v>courier</v>
      </c>
      <c r="D17" s="30" t="s">
        <v>984</v>
      </c>
      <c r="E17" s="21" t="n">
        <f aca="false">Inputs!$C$114</f>
        <v>10</v>
      </c>
      <c r="F17" s="21" t="n">
        <v>0</v>
      </c>
      <c r="G17" s="30" t="n">
        <f aca="false">Inputs!$C$62</f>
        <v>3</v>
      </c>
      <c r="H17" s="30" t="n">
        <v>0</v>
      </c>
      <c r="I17" s="30" t="n">
        <v>0</v>
      </c>
      <c r="J17" s="19" t="n">
        <f aca="false">Inputs!$C$149</f>
        <v>100</v>
      </c>
      <c r="K17" s="19" t="n">
        <f aca="false">Inputs!$C$42</f>
        <v>120</v>
      </c>
      <c r="L17" s="21" t="n">
        <f aca="false">IF(Inputs!$C$75="unit",1,0)</f>
        <v>1</v>
      </c>
      <c r="M17" s="21" t="n">
        <f aca="false">Inputs!$C$55</f>
        <v>1</v>
      </c>
      <c r="N17" s="21" t="n">
        <f aca="false">IF(G17&gt;0,1,0)</f>
        <v>1</v>
      </c>
      <c r="O17" s="30" t="n">
        <f aca="false">IF(D17="founding",G17-H17,0)</f>
        <v>0</v>
      </c>
      <c r="P17" s="30" t="n">
        <f aca="false">IF(D17="standard",G17-H17,0)</f>
        <v>3</v>
      </c>
      <c r="Q17" s="19" t="n">
        <f aca="false">O17*(K17*MIN(E17,Inputs!$C$43)+Inputs!$C$45*MAX(E17-Inputs!$C$43,0))+I17*K17*E17</f>
        <v>0</v>
      </c>
      <c r="R17" s="19" t="n">
        <f aca="false">(P17+H17-I17)*(J17*MIN(E17,Inputs!$C$40)+Inputs!$C$45*MAX(E17-Inputs!$C$40,0))</f>
        <v>3000</v>
      </c>
      <c r="S17" s="37" t="n">
        <f aca="false">Q17+R17</f>
        <v>3000</v>
      </c>
      <c r="T17" s="19" t="n">
        <f aca="false">N17*E17*(Inputs!$C$68+Inputs!$C$69*MAX(G17-1,0))</f>
        <v>80</v>
      </c>
      <c r="U17" s="19" t="n">
        <f aca="false">IF(N17=0,0,INDEX(Inputs!$C$105:$C$107,MATCH(C17,Inputs!$B$105:$B$107,0))+INDEX(Inputs!$D$105:$D$107,MATCH(C17,Inputs!$B$105:$B$107,0))*E17)</f>
        <v>300</v>
      </c>
      <c r="V17" s="19" t="n">
        <f aca="false">IF(N17=0,0,INDEX(Inputs!$E$105:$E$107,MATCH(C17,Inputs!$B$105:$B$107,0))*E17)</f>
        <v>0</v>
      </c>
      <c r="W17" s="19" t="n">
        <f aca="false">S17*Inputs!$C$54*M17</f>
        <v>90</v>
      </c>
      <c r="X17" s="19" t="n">
        <f aca="false">N17*L17*Inputs!$C$76/Inputs!$C$85</f>
        <v>75</v>
      </c>
      <c r="Y17" s="19" t="n">
        <f aca="false">N17*Inputs!$C$79/Inputs!$C$85</f>
        <v>30</v>
      </c>
      <c r="Z17" s="19" t="n">
        <f aca="false">N17*Inputs!$C$81/Inputs!$C$85</f>
        <v>50</v>
      </c>
      <c r="AA17" s="37" t="n">
        <f aca="false">SUM(T17:Z17)</f>
        <v>625</v>
      </c>
      <c r="AB17" s="36" t="n">
        <f aca="false">O17*Inputs!$C$89+P17*Inputs!$C$93+H17*Inputs!$C$94</f>
        <v>18</v>
      </c>
      <c r="AC17" s="36" t="n">
        <f aca="false">N17*(F17*Inputs!$C$95+(E17-F17)*Inputs!$C$96)</f>
        <v>10</v>
      </c>
      <c r="AD17" s="36" t="n">
        <f aca="false">IF(N17=0,0,INDEX(Inputs!$F$105:$F$107,MATCH(C17,Inputs!$B$105:$B$107,0))+Inputs!$C$97*G17)</f>
        <v>4</v>
      </c>
      <c r="AE17" s="36" t="n">
        <f aca="false">IF(N17=0,0,INDEX(Inputs!$G$105:$G$107,MATCH(C17,Inputs!$B$105:$B$107,0))*E17)</f>
        <v>8</v>
      </c>
      <c r="AF17" s="36" t="n">
        <f aca="false">IF(N17=0,0,INDEX(Inputs!$H$105:$H$107,MATCH(C17,Inputs!$B$105:$B$107,0))*E17)</f>
        <v>4</v>
      </c>
      <c r="AG17" s="36" t="n">
        <f aca="false">Inputs!$C$98*G17</f>
        <v>6</v>
      </c>
      <c r="AH17" s="36" t="n">
        <f aca="false">N17*Inputs!$C$99</f>
        <v>2</v>
      </c>
      <c r="AI17" s="38" t="n">
        <f aca="false">SUM(AB17:AH17)</f>
        <v>52</v>
      </c>
      <c r="AJ17" s="37" t="n">
        <f aca="false">S17-AA17</f>
        <v>2375</v>
      </c>
      <c r="AK17" s="29" t="n">
        <f aca="false">IF(AI17&gt;0,AJ17/AI17,"n/a")</f>
        <v>45.6730769230769</v>
      </c>
      <c r="AL17" s="19" t="n">
        <f aca="false">T17+U17+V17+W17</f>
        <v>470</v>
      </c>
      <c r="AM17" s="19" t="n">
        <f aca="false">X17+Y17+Z17</f>
        <v>155</v>
      </c>
    </row>
    <row r="18" customFormat="false" ht="15" hidden="false" customHeight="false" outlineLevel="0" collapsed="false">
      <c r="A18" s="30" t="s">
        <v>1152</v>
      </c>
      <c r="B18" s="86"/>
      <c r="C18" s="30" t="str">
        <f aca="false">Inputs!$C$113</f>
        <v>courier</v>
      </c>
      <c r="D18" s="30" t="s">
        <v>984</v>
      </c>
      <c r="E18" s="21" t="n">
        <f aca="false">Inputs!$C$114</f>
        <v>10</v>
      </c>
      <c r="F18" s="21" t="n">
        <v>0</v>
      </c>
      <c r="G18" s="30" t="n">
        <f aca="false">Inputs!$C$62</f>
        <v>3</v>
      </c>
      <c r="H18" s="30" t="n">
        <v>0</v>
      </c>
      <c r="I18" s="30" t="n">
        <v>0</v>
      </c>
      <c r="J18" s="19" t="n">
        <f aca="false">Inputs!$C$149+Inputs!$C$150</f>
        <v>125</v>
      </c>
      <c r="K18" s="19" t="n">
        <f aca="false">Inputs!$C$42</f>
        <v>120</v>
      </c>
      <c r="L18" s="21" t="n">
        <f aca="false">IF(Inputs!$C$75="unit",1,0)</f>
        <v>1</v>
      </c>
      <c r="M18" s="21" t="n">
        <f aca="false">Inputs!$C$55</f>
        <v>1</v>
      </c>
      <c r="N18" s="21" t="n">
        <f aca="false">IF(G18&gt;0,1,0)</f>
        <v>1</v>
      </c>
      <c r="O18" s="30" t="n">
        <f aca="false">IF(D18="founding",G18-H18,0)</f>
        <v>0</v>
      </c>
      <c r="P18" s="30" t="n">
        <f aca="false">IF(D18="standard",G18-H18,0)</f>
        <v>3</v>
      </c>
      <c r="Q18" s="19" t="n">
        <f aca="false">O18*(K18*MIN(E18,Inputs!$C$43)+Inputs!$C$45*MAX(E18-Inputs!$C$43,0))+I18*K18*E18</f>
        <v>0</v>
      </c>
      <c r="R18" s="19" t="n">
        <f aca="false">(P18+H18-I18)*(J18*MIN(E18,Inputs!$C$40)+Inputs!$C$45*MAX(E18-Inputs!$C$40,0))</f>
        <v>3750</v>
      </c>
      <c r="S18" s="37" t="n">
        <f aca="false">Q18+R18</f>
        <v>3750</v>
      </c>
      <c r="T18" s="19" t="n">
        <f aca="false">N18*E18*(Inputs!$C$68+Inputs!$C$69*MAX(G18-1,0))</f>
        <v>80</v>
      </c>
      <c r="U18" s="19" t="n">
        <f aca="false">IF(N18=0,0,INDEX(Inputs!$C$105:$C$107,MATCH(C18,Inputs!$B$105:$B$107,0))+INDEX(Inputs!$D$105:$D$107,MATCH(C18,Inputs!$B$105:$B$107,0))*E18)</f>
        <v>300</v>
      </c>
      <c r="V18" s="19" t="n">
        <f aca="false">IF(N18=0,0,INDEX(Inputs!$E$105:$E$107,MATCH(C18,Inputs!$B$105:$B$107,0))*E18)</f>
        <v>0</v>
      </c>
      <c r="W18" s="19" t="n">
        <f aca="false">S18*Inputs!$C$54*M18</f>
        <v>112.5</v>
      </c>
      <c r="X18" s="19" t="n">
        <f aca="false">N18*L18*Inputs!$C$76/Inputs!$C$85</f>
        <v>75</v>
      </c>
      <c r="Y18" s="19" t="n">
        <f aca="false">N18*Inputs!$C$79/Inputs!$C$85</f>
        <v>30</v>
      </c>
      <c r="Z18" s="19" t="n">
        <f aca="false">N18*Inputs!$C$81/Inputs!$C$85</f>
        <v>50</v>
      </c>
      <c r="AA18" s="37" t="n">
        <f aca="false">SUM(T18:Z18)</f>
        <v>647.5</v>
      </c>
      <c r="AB18" s="36" t="n">
        <f aca="false">O18*Inputs!$C$89+P18*Inputs!$C$93+H18*Inputs!$C$94</f>
        <v>18</v>
      </c>
      <c r="AC18" s="36" t="n">
        <f aca="false">N18*(F18*Inputs!$C$95+(E18-F18)*Inputs!$C$96)</f>
        <v>10</v>
      </c>
      <c r="AD18" s="36" t="n">
        <f aca="false">IF(N18=0,0,INDEX(Inputs!$F$105:$F$107,MATCH(C18,Inputs!$B$105:$B$107,0))+Inputs!$C$97*G18)</f>
        <v>4</v>
      </c>
      <c r="AE18" s="36" t="n">
        <f aca="false">IF(N18=0,0,INDEX(Inputs!$G$105:$G$107,MATCH(C18,Inputs!$B$105:$B$107,0))*E18)</f>
        <v>8</v>
      </c>
      <c r="AF18" s="36" t="n">
        <f aca="false">IF(N18=0,0,INDEX(Inputs!$H$105:$H$107,MATCH(C18,Inputs!$B$105:$B$107,0))*E18)</f>
        <v>4</v>
      </c>
      <c r="AG18" s="36" t="n">
        <f aca="false">Inputs!$C$98*G18</f>
        <v>6</v>
      </c>
      <c r="AH18" s="36" t="n">
        <f aca="false">N18*Inputs!$C$99</f>
        <v>2</v>
      </c>
      <c r="AI18" s="38" t="n">
        <f aca="false">SUM(AB18:AH18)</f>
        <v>52</v>
      </c>
      <c r="AJ18" s="37" t="n">
        <f aca="false">S18-AA18</f>
        <v>3102.5</v>
      </c>
      <c r="AK18" s="29" t="n">
        <f aca="false">IF(AI18&gt;0,AJ18/AI18,"n/a")</f>
        <v>59.6634615384615</v>
      </c>
      <c r="AL18" s="19" t="n">
        <f aca="false">T18+U18+V18+W18</f>
        <v>492.5</v>
      </c>
      <c r="AM18" s="19" t="n">
        <f aca="false">X18+Y18+Z18</f>
        <v>155</v>
      </c>
    </row>
    <row r="21" customFormat="false" ht="15" hidden="false" customHeight="false" outlineLevel="0" collapsed="false">
      <c r="A21" s="3" t="s">
        <v>1153</v>
      </c>
      <c r="B21" s="4"/>
      <c r="C21" s="4"/>
      <c r="D21" s="4"/>
      <c r="E21" s="4"/>
      <c r="F21" s="4"/>
    </row>
    <row r="22" customFormat="false" ht="30" hidden="false" customHeight="true" outlineLevel="0" collapsed="false">
      <c r="B22" s="12" t="s">
        <v>1012</v>
      </c>
      <c r="C22" s="12" t="s">
        <v>688</v>
      </c>
      <c r="D22" s="12" t="s">
        <v>1154</v>
      </c>
      <c r="E22" s="12" t="s">
        <v>343</v>
      </c>
      <c r="F22" s="12" t="s">
        <v>1155</v>
      </c>
    </row>
    <row r="23" customFormat="false" ht="15" hidden="false" customHeight="false" outlineLevel="0" collapsed="false">
      <c r="B23" s="30" t="s">
        <v>1156</v>
      </c>
      <c r="C23" s="21" t="n">
        <f aca="false">Inputs!$C$112</f>
        <v>2</v>
      </c>
      <c r="D23" s="21" t="n">
        <f aca="false">Scenarios!$H$15</f>
        <v>2</v>
      </c>
      <c r="E23" s="30" t="s">
        <v>761</v>
      </c>
      <c r="F23" s="32" t="s">
        <v>1157</v>
      </c>
    </row>
    <row r="24" customFormat="false" ht="15" hidden="false" customHeight="false" outlineLevel="0" collapsed="false">
      <c r="B24" s="30" t="s">
        <v>331</v>
      </c>
      <c r="C24" s="19" t="n">
        <f aca="false">C23*S7</f>
        <v>9000</v>
      </c>
      <c r="D24" s="19" t="n">
        <f aca="false">D23*S9</f>
        <v>9000</v>
      </c>
      <c r="E24" s="30" t="s">
        <v>576</v>
      </c>
      <c r="F24" s="32" t="s">
        <v>1158</v>
      </c>
    </row>
    <row r="25" customFormat="false" ht="15" hidden="false" customHeight="false" outlineLevel="0" collapsed="false">
      <c r="B25" s="30" t="s">
        <v>1159</v>
      </c>
      <c r="C25" s="19" t="n">
        <f aca="false">C23*AA7</f>
        <v>1340</v>
      </c>
      <c r="D25" s="19" t="n">
        <f aca="false">D23*AA9</f>
        <v>1340</v>
      </c>
      <c r="E25" s="30" t="s">
        <v>576</v>
      </c>
      <c r="F25" s="32" t="s">
        <v>1158</v>
      </c>
    </row>
    <row r="26" customFormat="false" ht="15" hidden="false" customHeight="false" outlineLevel="0" collapsed="false">
      <c r="B26" s="30" t="s">
        <v>333</v>
      </c>
      <c r="C26" s="36" t="n">
        <f aca="false">C23*AI7</f>
        <v>104</v>
      </c>
      <c r="D26" s="36" t="n">
        <f aca="false">D23*AI9</f>
        <v>94.4</v>
      </c>
      <c r="E26" s="30" t="s">
        <v>1160</v>
      </c>
      <c r="F26" s="32" t="s">
        <v>1158</v>
      </c>
    </row>
    <row r="27" customFormat="false" ht="15" hidden="false" customHeight="false" outlineLevel="0" collapsed="false">
      <c r="B27" s="30" t="s">
        <v>1161</v>
      </c>
      <c r="C27" s="37" t="n">
        <f aca="false">C24-C25</f>
        <v>7660</v>
      </c>
      <c r="D27" s="37" t="n">
        <f aca="false">D24-D25</f>
        <v>7660</v>
      </c>
      <c r="E27" s="30" t="s">
        <v>576</v>
      </c>
      <c r="F27" s="32" t="s">
        <v>1162</v>
      </c>
    </row>
    <row r="28" customFormat="false" ht="15" hidden="false" customHeight="false" outlineLevel="0" collapsed="false">
      <c r="B28" s="30" t="s">
        <v>1033</v>
      </c>
      <c r="C28" s="29" t="n">
        <f aca="false">IF(C26&gt;0,C27/C26,"n/a")</f>
        <v>73.6538461538462</v>
      </c>
      <c r="D28" s="29" t="n">
        <f aca="false">IF(D26&gt;0,D27/D26,"n/a")</f>
        <v>81.1440677966102</v>
      </c>
      <c r="E28" s="30" t="s">
        <v>749</v>
      </c>
      <c r="F28" s="32"/>
    </row>
    <row r="29" customFormat="false" ht="15" hidden="false" customHeight="false" outlineLevel="0" collapsed="false">
      <c r="B29" s="30" t="s">
        <v>1163</v>
      </c>
      <c r="C29" s="19" t="n">
        <f aca="false">C27*Inputs!$C$20</f>
        <v>91920</v>
      </c>
      <c r="D29" s="19" t="n">
        <f aca="false">D27*Inputs!$C$20</f>
        <v>91920</v>
      </c>
      <c r="E29" s="30" t="s">
        <v>1164</v>
      </c>
      <c r="F29" s="32" t="s">
        <v>1165</v>
      </c>
    </row>
    <row r="30" customFormat="false" ht="15" hidden="false" customHeight="false" outlineLevel="0" collapsed="false">
      <c r="B30" s="30" t="s">
        <v>1166</v>
      </c>
      <c r="C30" s="36" t="n">
        <f aca="false">C26/Inputs!$C$21</f>
        <v>24</v>
      </c>
      <c r="D30" s="36" t="n">
        <f aca="false">D26/Inputs!$C$21</f>
        <v>21.7846153846154</v>
      </c>
      <c r="E30" s="30" t="s">
        <v>657</v>
      </c>
      <c r="F30" s="32" t="s">
        <v>1167</v>
      </c>
    </row>
    <row r="31" customFormat="false" ht="15" hidden="false" customHeight="false" outlineLevel="0" collapsed="false">
      <c r="B31" s="30" t="s">
        <v>1168</v>
      </c>
      <c r="C31" s="19" t="n">
        <f aca="false">(Inputs!$C$79+Inputs!$C$81+Inputs!$C$84+Inputs!$C$76*IF(Inputs!$C$75="unit",1,0))</f>
        <v>310</v>
      </c>
      <c r="D31" s="19" t="n">
        <f aca="false">(Inputs!$C$79+Inputs!$C$81+Inputs!$C$84+Inputs!$C$76*IF(Inputs!$C$75="unit",1,0))</f>
        <v>310</v>
      </c>
      <c r="E31" s="30" t="s">
        <v>576</v>
      </c>
      <c r="F31" s="32" t="s">
        <v>1169</v>
      </c>
    </row>
    <row r="32" customFormat="false" ht="15" hidden="false" customHeight="false" outlineLevel="0" collapsed="false">
      <c r="B32" s="30" t="s">
        <v>1170</v>
      </c>
      <c r="C32" s="19" t="n">
        <f aca="false">C23*AM7</f>
        <v>310</v>
      </c>
      <c r="D32" s="19" t="n">
        <f aca="false">D23*AM9</f>
        <v>310</v>
      </c>
      <c r="E32" s="30" t="s">
        <v>576</v>
      </c>
      <c r="F32" s="32" t="s">
        <v>1171</v>
      </c>
    </row>
    <row r="33" customFormat="false" ht="15" hidden="false" customHeight="false" outlineLevel="0" collapsed="false">
      <c r="B33" s="30" t="s">
        <v>1172</v>
      </c>
      <c r="C33" s="19" t="n">
        <f aca="false">C31-C32</f>
        <v>0</v>
      </c>
      <c r="D33" s="19" t="n">
        <f aca="false">D31-D32</f>
        <v>0</v>
      </c>
      <c r="E33" s="30" t="s">
        <v>576</v>
      </c>
      <c r="F33" s="32" t="s">
        <v>1173</v>
      </c>
    </row>
    <row r="34" customFormat="false" ht="15" hidden="false" customHeight="false" outlineLevel="0" collapsed="false">
      <c r="B34" s="30" t="s">
        <v>1174</v>
      </c>
      <c r="C34" s="19" t="n">
        <v>0</v>
      </c>
      <c r="D34" s="19" t="n">
        <f aca="false">Scenarios!$H$17*N(Scenarios!$H$18)</f>
        <v>0</v>
      </c>
      <c r="E34" s="30" t="s">
        <v>576</v>
      </c>
      <c r="F34" s="32" t="s">
        <v>1175</v>
      </c>
    </row>
    <row r="35" customFormat="false" ht="15" hidden="false" customHeight="false" outlineLevel="0" collapsed="false">
      <c r="B35" s="30" t="s">
        <v>1176</v>
      </c>
      <c r="C35" s="19" t="n">
        <v>0</v>
      </c>
      <c r="D35" s="19" t="n">
        <f aca="false">Scenarios!$H$17*N(Scenarios!$H$19)</f>
        <v>0</v>
      </c>
      <c r="E35" s="30" t="s">
        <v>576</v>
      </c>
      <c r="F35" s="32" t="s">
        <v>1177</v>
      </c>
    </row>
    <row r="36" customFormat="false" ht="15" hidden="false" customHeight="false" outlineLevel="0" collapsed="false">
      <c r="B36" s="30" t="s">
        <v>1178</v>
      </c>
      <c r="C36" s="30" t="s">
        <v>1179</v>
      </c>
      <c r="D36" s="30" t="str">
        <f aca="false">IF(N(Scenarios!$H$17)=0,"no office-paid tier",IF(Scenarios!$R$19=1,"no: cost to serve needs quote","yes"))</f>
        <v>no office-paid tier</v>
      </c>
      <c r="E36" s="30"/>
      <c r="F36" s="32" t="s">
        <v>1180</v>
      </c>
    </row>
    <row r="37" customFormat="false" ht="15" hidden="false" customHeight="false" outlineLevel="0" collapsed="false">
      <c r="B37" s="30" t="s">
        <v>1181</v>
      </c>
      <c r="C37" s="36" t="n">
        <v>0</v>
      </c>
      <c r="D37" s="36" t="n">
        <f aca="false">IF(D23&gt;Scenarios!$H$21,D23*AE9,0)</f>
        <v>0</v>
      </c>
      <c r="E37" s="30" t="s">
        <v>1160</v>
      </c>
      <c r="F37" s="32" t="s">
        <v>1182</v>
      </c>
    </row>
    <row r="38" customFormat="false" ht="15" hidden="false" customHeight="false" outlineLevel="0" collapsed="false">
      <c r="B38" s="30" t="s">
        <v>1183</v>
      </c>
      <c r="C38" s="19" t="n">
        <v>0</v>
      </c>
      <c r="D38" s="19" t="n">
        <f aca="false">D37*N(Scenarios!$H$20)</f>
        <v>0</v>
      </c>
      <c r="E38" s="30" t="s">
        <v>576</v>
      </c>
      <c r="F38" s="32"/>
    </row>
    <row r="39" customFormat="false" ht="15" hidden="false" customHeight="false" outlineLevel="0" collapsed="false">
      <c r="B39" s="30" t="s">
        <v>1184</v>
      </c>
      <c r="C39" s="37" t="n">
        <f aca="false">C27-C33+C34-C35-C38</f>
        <v>7660</v>
      </c>
      <c r="D39" s="37" t="n">
        <f aca="false">D27-D33+IF(D36="yes",D34-D35,0)-D38</f>
        <v>7660</v>
      </c>
      <c r="E39" s="30" t="s">
        <v>576</v>
      </c>
      <c r="F39" s="32" t="s">
        <v>1185</v>
      </c>
    </row>
    <row r="40" customFormat="false" ht="15" hidden="false" customHeight="false" outlineLevel="0" collapsed="false">
      <c r="B40" s="30" t="s">
        <v>1186</v>
      </c>
      <c r="C40" s="36" t="n">
        <f aca="false">C26-C37</f>
        <v>104</v>
      </c>
      <c r="D40" s="36" t="n">
        <f aca="false">D26-D37</f>
        <v>94.4</v>
      </c>
      <c r="E40" s="30" t="s">
        <v>1160</v>
      </c>
      <c r="F40" s="32"/>
    </row>
    <row r="41" customFormat="false" ht="15" hidden="false" customHeight="false" outlineLevel="0" collapsed="false">
      <c r="B41" s="30" t="s">
        <v>1187</v>
      </c>
      <c r="C41" s="29" t="n">
        <f aca="false">IF(C40&gt;0,C39/C40,"n/a")</f>
        <v>73.6538461538462</v>
      </c>
      <c r="D41" s="29" t="n">
        <f aca="false">IF(D40&gt;0,D39/D40,"n/a")</f>
        <v>81.1440677966102</v>
      </c>
      <c r="E41" s="30" t="s">
        <v>749</v>
      </c>
      <c r="F41" s="32"/>
    </row>
    <row r="42" customFormat="false" ht="15" hidden="false" customHeight="false" outlineLevel="0" collapsed="false">
      <c r="B42" s="30" t="s">
        <v>1188</v>
      </c>
      <c r="C42" s="95" t="n">
        <f aca="false">C23*(G7-H7)</f>
        <v>6</v>
      </c>
      <c r="D42" s="95" t="n">
        <f aca="false">D23*(G9-H9)</f>
        <v>3.6</v>
      </c>
      <c r="E42" s="30" t="s">
        <v>1189</v>
      </c>
      <c r="F42" s="32" t="s">
        <v>1190</v>
      </c>
    </row>
    <row r="43" customFormat="false" ht="15" hidden="false" customHeight="false" outlineLevel="0" collapsed="false">
      <c r="B43" s="30" t="s">
        <v>1191</v>
      </c>
      <c r="C43" s="21" t="n">
        <f aca="false">C42/Inputs!$C$90</f>
        <v>30</v>
      </c>
      <c r="D43" s="21" t="n">
        <f aca="false">D42/Inputs!$C$90</f>
        <v>18</v>
      </c>
      <c r="E43" s="30" t="s">
        <v>709</v>
      </c>
      <c r="F43" s="32" t="s">
        <v>1192</v>
      </c>
    </row>
    <row r="44" customFormat="false" ht="15" hidden="false" customHeight="false" outlineLevel="0" collapsed="false">
      <c r="B44" s="30" t="s">
        <v>1193</v>
      </c>
      <c r="C44" s="21" t="n">
        <f aca="false">C23*E7</f>
        <v>20</v>
      </c>
      <c r="D44" s="21" t="n">
        <f aca="false">D23*E9</f>
        <v>20</v>
      </c>
      <c r="E44" s="30" t="s">
        <v>463</v>
      </c>
      <c r="F44" s="32" t="s">
        <v>1194</v>
      </c>
    </row>
    <row r="46" customFormat="false" ht="15" hidden="false" customHeight="false" outlineLevel="0" collapsed="false">
      <c r="A46" s="3" t="s">
        <v>1195</v>
      </c>
      <c r="B46" s="4"/>
      <c r="C46" s="4"/>
      <c r="D46" s="4"/>
      <c r="E46" s="4"/>
      <c r="F46" s="4"/>
    </row>
    <row r="47" customFormat="false" ht="30" hidden="false" customHeight="true" outlineLevel="0" collapsed="false">
      <c r="B47" s="12" t="s">
        <v>231</v>
      </c>
      <c r="C47" s="12" t="s">
        <v>232</v>
      </c>
      <c r="D47" s="12"/>
      <c r="E47" s="12" t="s">
        <v>343</v>
      </c>
      <c r="F47" s="12" t="s">
        <v>1155</v>
      </c>
    </row>
    <row r="48" customFormat="false" ht="28.35" hidden="false" customHeight="false" outlineLevel="0" collapsed="false">
      <c r="B48" s="7" t="s">
        <v>1196</v>
      </c>
      <c r="C48" s="37" t="n">
        <f aca="false">Inputs!$Q$172</f>
        <v>4125</v>
      </c>
      <c r="E48" s="30" t="s">
        <v>695</v>
      </c>
      <c r="F48" s="32" t="s">
        <v>1197</v>
      </c>
    </row>
    <row r="49" customFormat="false" ht="15" hidden="false" customHeight="false" outlineLevel="0" collapsed="false">
      <c r="B49" s="7" t="s">
        <v>1198</v>
      </c>
      <c r="C49" s="37" t="n">
        <f aca="false">AJ10</f>
        <v>920</v>
      </c>
      <c r="E49" s="30" t="s">
        <v>715</v>
      </c>
      <c r="F49" s="32" t="s">
        <v>1199</v>
      </c>
    </row>
    <row r="50" customFormat="false" ht="28.35" hidden="false" customHeight="false" outlineLevel="0" collapsed="false">
      <c r="B50" s="7" t="s">
        <v>1200</v>
      </c>
      <c r="C50" s="37" t="n">
        <f aca="false">IF(G8&gt;0,AJ8/G8,0)</f>
        <v>1276.66666666667</v>
      </c>
      <c r="E50" s="30" t="s">
        <v>715</v>
      </c>
      <c r="F50" s="32" t="s">
        <v>1201</v>
      </c>
    </row>
    <row r="51" customFormat="false" ht="15" hidden="false" customHeight="false" outlineLevel="0" collapsed="false">
      <c r="B51" s="7" t="s">
        <v>1202</v>
      </c>
      <c r="C51" s="22" t="n">
        <f aca="false">IF(C49&gt;0,ROUNDUP(C48/C49,0),"never")</f>
        <v>5</v>
      </c>
      <c r="E51" s="30" t="s">
        <v>767</v>
      </c>
      <c r="F51" s="32" t="s">
        <v>1203</v>
      </c>
    </row>
    <row r="52" customFormat="false" ht="28.35" hidden="false" customHeight="false" outlineLevel="0" collapsed="false">
      <c r="B52" s="7" t="s">
        <v>1204</v>
      </c>
      <c r="C52" s="22" t="n">
        <f aca="false">IF(C50&gt;0,ROUNDUP(C48/C50,0),"never")</f>
        <v>4</v>
      </c>
      <c r="E52" s="30" t="s">
        <v>1205</v>
      </c>
      <c r="F52" s="32" t="s">
        <v>1206</v>
      </c>
    </row>
    <row r="53" customFormat="false" ht="28.35" hidden="false" customHeight="false" outlineLevel="0" collapsed="false">
      <c r="B53" s="7" t="s">
        <v>1207</v>
      </c>
      <c r="C53" s="22" t="n">
        <f aca="false">IF(AJ8&gt;0,ROUNDUP(C48/AJ8,0),"never")</f>
        <v>2</v>
      </c>
      <c r="E53" s="30" t="s">
        <v>761</v>
      </c>
      <c r="F53" s="32" t="s">
        <v>1208</v>
      </c>
    </row>
    <row r="54" customFormat="false" ht="28.35" hidden="false" customHeight="false" outlineLevel="0" collapsed="false">
      <c r="B54" s="7" t="s">
        <v>1209</v>
      </c>
      <c r="C54" s="37" t="n">
        <f aca="false">AJ10+AM10</f>
        <v>1075</v>
      </c>
      <c r="E54" s="30" t="s">
        <v>715</v>
      </c>
      <c r="F54" s="32" t="s">
        <v>1210</v>
      </c>
    </row>
    <row r="55" customFormat="false" ht="15" hidden="false" customHeight="false" outlineLevel="0" collapsed="false">
      <c r="B55" s="7" t="s">
        <v>1168</v>
      </c>
      <c r="C55" s="37" t="n">
        <f aca="false">Steady_State!$D$31</f>
        <v>310</v>
      </c>
      <c r="E55" s="30" t="s">
        <v>576</v>
      </c>
      <c r="F55" s="32" t="s">
        <v>1153</v>
      </c>
    </row>
    <row r="56" customFormat="false" ht="15" hidden="false" customHeight="false" outlineLevel="0" collapsed="false">
      <c r="B56" s="7" t="s">
        <v>1211</v>
      </c>
      <c r="C56" s="22" t="n">
        <f aca="false">IF(C54&gt;0,ROUNDUP(C55/C54,0),"never")</f>
        <v>1</v>
      </c>
      <c r="E56" s="30" t="s">
        <v>1212</v>
      </c>
      <c r="F56" s="32" t="s">
        <v>1213</v>
      </c>
    </row>
    <row r="57" customFormat="false" ht="28.35" hidden="false" customHeight="false" outlineLevel="0" collapsed="false">
      <c r="B57" s="7" t="s">
        <v>1214</v>
      </c>
      <c r="C57" s="96" t="n">
        <f aca="false">IF((AJ12-AJ11)-Inputs!$C$136*(AI12-AI11)&lt;=0,"never",MAX(0,1+(Inputs!$C$136*AI11-AJ11)/((AJ12-AJ11)-Inputs!$C$136*(AI12-AI11))))</f>
        <v>1.80582524271845</v>
      </c>
      <c r="E57" s="30" t="s">
        <v>1215</v>
      </c>
      <c r="F57" s="32" t="s">
        <v>1216</v>
      </c>
    </row>
    <row r="58" customFormat="false" ht="15" hidden="false" customHeight="false" outlineLevel="0" collapsed="false">
      <c r="B58" s="7" t="s">
        <v>1217</v>
      </c>
      <c r="C58" s="22" t="n">
        <f aca="false">IF(ISNUMBER(C57),ROUNDUP(C57,0),"never")</f>
        <v>2</v>
      </c>
      <c r="E58" s="30" t="s">
        <v>1215</v>
      </c>
      <c r="F58" s="32"/>
    </row>
    <row r="59" customFormat="false" ht="15" hidden="false" customHeight="false" outlineLevel="0" collapsed="false">
      <c r="B59" s="7" t="s">
        <v>1218</v>
      </c>
      <c r="C59" s="96" t="n">
        <f aca="false">IF((AJ14-AJ13)-Inputs!$C$136*(AI14-AI13)&lt;=0,"never",MAX(0,1+(Inputs!$C$136*AI13-AJ13)/((AJ14-AJ13)-Inputs!$C$136*(AI14-AI13))))</f>
        <v>1.67567567567568</v>
      </c>
      <c r="E59" s="30" t="s">
        <v>1215</v>
      </c>
      <c r="F59" s="32" t="s">
        <v>1219</v>
      </c>
    </row>
    <row r="60" customFormat="false" ht="15" hidden="false" customHeight="false" outlineLevel="0" collapsed="false">
      <c r="B60" s="7" t="s">
        <v>1220</v>
      </c>
      <c r="C60" s="96" t="n">
        <f aca="false">IF((AJ16-AJ15)-Inputs!$C$136*(AI16-AI15)&lt;=0,"never",MAX(0,1+(Inputs!$C$136*AI15-AJ15)/((AJ16-AJ15)-Inputs!$C$136*(AI16-AI15))))</f>
        <v>1.1747572815534</v>
      </c>
      <c r="E60" s="30" t="s">
        <v>1215</v>
      </c>
      <c r="F60" s="32" t="s">
        <v>1221</v>
      </c>
    </row>
    <row r="61" customFormat="false" ht="28.35" hidden="false" customHeight="false" outlineLevel="0" collapsed="false">
      <c r="B61" s="7" t="s">
        <v>1222</v>
      </c>
      <c r="C61" s="94" t="n">
        <f aca="false">IF(S18=S17,"never",J17+(Inputs!$C$136*AI17-AJ17)*(J18-J17)/(AJ18-AJ17))</f>
        <v>107.731958762887</v>
      </c>
      <c r="E61" s="30" t="s">
        <v>458</v>
      </c>
      <c r="F61" s="32" t="s">
        <v>1223</v>
      </c>
    </row>
  </sheetData>
  <mergeCells count="8">
    <mergeCell ref="A3:AM3"/>
    <mergeCell ref="A5:C5"/>
    <mergeCell ref="E5:M5"/>
    <mergeCell ref="N5:S5"/>
    <mergeCell ref="T5:AA5"/>
    <mergeCell ref="AB5:AI5"/>
    <mergeCell ref="AJ5:AK5"/>
    <mergeCell ref="AL5:AM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M77"/>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50"/>
    <col collapsed="false" customWidth="true" hidden="false" outlineLevel="0" max="4" min="3" style="0" width="14"/>
    <col collapsed="false" customWidth="true" hidden="false" outlineLevel="0" max="7" min="5" style="0" width="16"/>
    <col collapsed="false" customWidth="true" hidden="false" outlineLevel="0" max="39" min="8" style="0" width="11"/>
  </cols>
  <sheetData>
    <row r="1" customFormat="false" ht="18.55" hidden="false" customHeight="false" outlineLevel="0" collapsed="false">
      <c r="A1" s="1" t="s">
        <v>1224</v>
      </c>
    </row>
    <row r="2" customFormat="false" ht="15" hidden="false" customHeight="false" outlineLevel="0" collapsed="false">
      <c r="A2" s="2" t="s">
        <v>1225</v>
      </c>
    </row>
    <row r="3" customFormat="false" ht="30" hidden="false" customHeight="true" outlineLevel="0" collapsed="false">
      <c r="A3" s="8" t="s">
        <v>1226</v>
      </c>
      <c r="B3" s="8"/>
      <c r="C3" s="8"/>
      <c r="D3" s="8"/>
      <c r="E3" s="8"/>
      <c r="F3" s="8"/>
      <c r="G3" s="8"/>
      <c r="H3" s="8"/>
      <c r="I3" s="8"/>
      <c r="J3" s="8"/>
      <c r="K3" s="8"/>
      <c r="L3" s="8"/>
    </row>
    <row r="5" customFormat="false" ht="15" hidden="false" customHeight="false" outlineLevel="0" collapsed="false">
      <c r="B5" s="84" t="s">
        <v>1227</v>
      </c>
      <c r="E5" s="84" t="s">
        <v>1228</v>
      </c>
    </row>
    <row r="6" customFormat="false" ht="15" hidden="false" customHeight="false" outlineLevel="0" collapsed="false">
      <c r="B6" s="30" t="s">
        <v>1229</v>
      </c>
      <c r="C6" s="21" t="n">
        <f aca="false">Inputs!$C$114</f>
        <v>10</v>
      </c>
      <c r="E6" s="30" t="s">
        <v>1230</v>
      </c>
      <c r="G6" s="39" t="n">
        <v>3</v>
      </c>
    </row>
    <row r="7" customFormat="false" ht="15" hidden="false" customHeight="false" outlineLevel="0" collapsed="false">
      <c r="B7" s="30" t="s">
        <v>1231</v>
      </c>
      <c r="C7" s="97" t="n">
        <f aca="false">1-Inputs!$C$54*Inputs!$C$55</f>
        <v>0.97</v>
      </c>
      <c r="E7" s="30" t="s">
        <v>1232</v>
      </c>
      <c r="G7" s="28" t="n">
        <f aca="false">IF(($C$12+$G$6*((1-Scenarios!$H$12)*$C$13+Scenarios!$H$12*$C$14))&gt;0,($G$6*(Inputs!$C$39*$C$9+$C$8)*$C$7-$C$10-$C$11*MAX($G$6-1,0))/($C$12+$G$6*((1-Scenarios!$H$12)*$C$13+Scenarios!$H$12*$C$14)),"n/a")</f>
        <v>81.1440677966102</v>
      </c>
    </row>
    <row r="8" customFormat="false" ht="15" hidden="false" customHeight="false" outlineLevel="0" collapsed="false">
      <c r="B8" s="30" t="s">
        <v>1233</v>
      </c>
      <c r="C8" s="19" t="n">
        <f aca="false">Inputs!$C$45*MAX(C6-Inputs!$C$40,0)</f>
        <v>0</v>
      </c>
      <c r="E8" s="30" t="s">
        <v>1234</v>
      </c>
      <c r="G8" s="28" t="n">
        <f aca="false">AK77</f>
        <v>81.1440677966102</v>
      </c>
    </row>
    <row r="9" customFormat="false" ht="15" hidden="false" customHeight="false" outlineLevel="0" collapsed="false">
      <c r="B9" s="30" t="s">
        <v>1235</v>
      </c>
      <c r="C9" s="21" t="n">
        <f aca="false">MIN(C6,Inputs!$C$40)</f>
        <v>10</v>
      </c>
      <c r="E9" s="30" t="s">
        <v>1236</v>
      </c>
      <c r="G9" s="98" t="n">
        <f aca="false">G7-G8</f>
        <v>0</v>
      </c>
    </row>
    <row r="10" customFormat="false" ht="15" hidden="false" customHeight="false" outlineLevel="0" collapsed="false">
      <c r="B10" s="30" t="s">
        <v>1237</v>
      </c>
      <c r="C10" s="19" t="n">
        <f aca="false">C6*Inputs!$C$68+INDEX(Inputs!$C$105:$C$107,MATCH(Inputs!$C$113,Inputs!$B$105:$B$107,0))+INDEX(Inputs!$D$105:$D$107,MATCH(Inputs!$C$113,Inputs!$B$105:$B$107,0))*C6+INDEX(Inputs!$E$105:$E$107,MATCH(Inputs!$C$113,Inputs!$B$105:$B$107,0))*C6+(IF(Inputs!$C$75="unit",1,0)*Inputs!$C$76+Inputs!$C$79+Inputs!$C$81)/Inputs!$C$85</f>
        <v>535</v>
      </c>
      <c r="E10" s="30" t="s">
        <v>1238</v>
      </c>
      <c r="G10" s="19" t="n">
        <f aca="false">Inputs!$C$136</f>
        <v>50</v>
      </c>
    </row>
    <row r="11" customFormat="false" ht="15" hidden="false" customHeight="false" outlineLevel="0" collapsed="false">
      <c r="B11" s="30" t="s">
        <v>1239</v>
      </c>
      <c r="C11" s="19" t="n">
        <f aca="false">C6*N(Inputs!$C$69)</f>
        <v>0</v>
      </c>
    </row>
    <row r="12" customFormat="false" ht="15" hidden="false" customHeight="false" outlineLevel="0" collapsed="false">
      <c r="B12" s="30" t="s">
        <v>1240</v>
      </c>
      <c r="C12" s="36" t="n">
        <f aca="false">C6*Inputs!$C$96+INDEX(Inputs!$F$105:$F$107,MATCH(Inputs!$C$113,Inputs!$B$105:$B$107,0))+INDEX(Inputs!$G$105:$G$107,MATCH(Inputs!$C$113,Inputs!$B$105:$B$107,0))*C6+INDEX(Inputs!$H$105:$H$107,MATCH(Inputs!$C$113,Inputs!$B$105:$B$107,0))*C6+Inputs!$C$99</f>
        <v>26.5</v>
      </c>
    </row>
    <row r="13" customFormat="false" ht="15" hidden="false" customHeight="false" outlineLevel="0" collapsed="false">
      <c r="B13" s="30" t="s">
        <v>1241</v>
      </c>
      <c r="C13" s="36" t="n">
        <f aca="false">Inputs!$C$93+Inputs!$C$97+Inputs!$C$98</f>
        <v>8.5</v>
      </c>
    </row>
    <row r="14" customFormat="false" ht="15" hidden="false" customHeight="false" outlineLevel="0" collapsed="false">
      <c r="B14" s="30" t="s">
        <v>1242</v>
      </c>
      <c r="C14" s="36" t="n">
        <f aca="false">Inputs!$C$94+Inputs!$C$97+Inputs!$C$98</f>
        <v>4.5</v>
      </c>
    </row>
    <row r="16" customFormat="false" ht="15" hidden="false" customHeight="false" outlineLevel="0" collapsed="false">
      <c r="B16" s="84" t="s">
        <v>1243</v>
      </c>
    </row>
    <row r="17" customFormat="false" ht="15" hidden="false" customHeight="false" outlineLevel="0" collapsed="false">
      <c r="B17" s="93" t="s">
        <v>1244</v>
      </c>
      <c r="C17" s="99" t="n">
        <f aca="false">Inputs!$C$151</f>
        <v>1</v>
      </c>
      <c r="D17" s="99" t="n">
        <f aca="false">C17+Inputs!$C$152</f>
        <v>2</v>
      </c>
      <c r="E17" s="99" t="n">
        <f aca="false">D17+Inputs!$C$152</f>
        <v>3</v>
      </c>
      <c r="F17" s="99" t="n">
        <f aca="false">E17+Inputs!$C$152</f>
        <v>4</v>
      </c>
      <c r="G17" s="99" t="n">
        <f aca="false">F17+Inputs!$C$152</f>
        <v>5</v>
      </c>
    </row>
    <row r="18" customFormat="false" ht="15" hidden="false" customHeight="false" outlineLevel="0" collapsed="false">
      <c r="B18" s="37" t="n">
        <f aca="false">Inputs!$C$149</f>
        <v>100</v>
      </c>
      <c r="C18" s="28" t="n">
        <f aca="false">IF(($C$12+C$17*((1-0)*$C$13+0*$C$14))&gt;0,(C$17*($B18*$C$9+$C$8)*$C$7-$C$10-$C$11*MAX(C$17-1,0))/($C$12+C$17*((1-0)*$C$13+0*$C$14)),"n/a")</f>
        <v>12.4285714285714</v>
      </c>
      <c r="D18" s="28" t="n">
        <f aca="false">IF(($C$12+D$17*((1-0)*$C$13+0*$C$14))&gt;0,(D$17*($B18*$C$9+$C$8)*$C$7-$C$10-$C$11*MAX(D$17-1,0))/($C$12+D$17*((1-0)*$C$13+0*$C$14)),"n/a")</f>
        <v>32.2988505747126</v>
      </c>
      <c r="E18" s="28" t="n">
        <f aca="false">IF(($C$12+E$17*((1-0)*$C$13+0*$C$14))&gt;0,(E$17*($B18*$C$9+$C$8)*$C$7-$C$10-$C$11*MAX(E$17-1,0))/($C$12+E$17*((1-0)*$C$13+0*$C$14)),"n/a")</f>
        <v>45.6730769230769</v>
      </c>
      <c r="F18" s="28" t="n">
        <f aca="false">IF(($C$12+F$17*((1-0)*$C$13+0*$C$14))&gt;0,(F$17*($B18*$C$9+$C$8)*$C$7-$C$10-$C$11*MAX(F$17-1,0))/($C$12+F$17*((1-0)*$C$13+0*$C$14)),"n/a")</f>
        <v>55.2892561983471</v>
      </c>
      <c r="G18" s="28" t="n">
        <f aca="false">IF(($C$12+G$17*((1-0)*$C$13+0*$C$14))&gt;0,(G$17*($B18*$C$9+$C$8)*$C$7-$C$10-$C$11*MAX(G$17-1,0))/($C$12+G$17*((1-0)*$C$13+0*$C$14)),"n/a")</f>
        <v>62.536231884058</v>
      </c>
    </row>
    <row r="19" customFormat="false" ht="15" hidden="false" customHeight="false" outlineLevel="0" collapsed="false">
      <c r="B19" s="37" t="n">
        <f aca="false">B18+Inputs!$C$150</f>
        <v>125</v>
      </c>
      <c r="C19" s="28" t="n">
        <f aca="false">IF(($C$12+C$17*((1-0)*$C$13+0*$C$14))&gt;0,(C$17*($B19*$C$9+$C$8)*$C$7-$C$10-$C$11*MAX(C$17-1,0))/($C$12+C$17*((1-0)*$C$13+0*$C$14)),"n/a")</f>
        <v>19.3571428571429</v>
      </c>
      <c r="D19" s="28" t="n">
        <f aca="false">IF(($C$12+D$17*((1-0)*$C$13+0*$C$14))&gt;0,(D$17*($B19*$C$9+$C$8)*$C$7-$C$10-$C$11*MAX(D$17-1,0))/($C$12+D$17*((1-0)*$C$13+0*$C$14)),"n/a")</f>
        <v>43.448275862069</v>
      </c>
      <c r="E19" s="28" t="n">
        <f aca="false">IF(($C$12+E$17*((1-0)*$C$13+0*$C$14))&gt;0,(E$17*($B19*$C$9+$C$8)*$C$7-$C$10-$C$11*MAX(E$17-1,0))/($C$12+E$17*((1-0)*$C$13+0*$C$14)),"n/a")</f>
        <v>59.6634615384615</v>
      </c>
      <c r="F19" s="28" t="n">
        <f aca="false">IF(($C$12+F$17*((1-0)*$C$13+0*$C$14))&gt;0,(F$17*($B19*$C$9+$C$8)*$C$7-$C$10-$C$11*MAX(F$17-1,0))/($C$12+F$17*((1-0)*$C$13+0*$C$14)),"n/a")</f>
        <v>71.3223140495868</v>
      </c>
      <c r="G19" s="28" t="n">
        <f aca="false">IF(($C$12+G$17*((1-0)*$C$13+0*$C$14))&gt;0,(G$17*($B19*$C$9+$C$8)*$C$7-$C$10-$C$11*MAX(G$17-1,0))/($C$12+G$17*((1-0)*$C$13+0*$C$14)),"n/a")</f>
        <v>80.1086956521739</v>
      </c>
    </row>
    <row r="20" customFormat="false" ht="15" hidden="false" customHeight="false" outlineLevel="0" collapsed="false">
      <c r="B20" s="37" t="n">
        <f aca="false">B19+Inputs!$C$150</f>
        <v>150</v>
      </c>
      <c r="C20" s="28" t="n">
        <f aca="false">IF(($C$12+C$17*((1-0)*$C$13+0*$C$14))&gt;0,(C$17*($B20*$C$9+$C$8)*$C$7-$C$10-$C$11*MAX(C$17-1,0))/($C$12+C$17*((1-0)*$C$13+0*$C$14)),"n/a")</f>
        <v>26.2857142857143</v>
      </c>
      <c r="D20" s="28" t="n">
        <f aca="false">IF(($C$12+D$17*((1-0)*$C$13+0*$C$14))&gt;0,(D$17*($B20*$C$9+$C$8)*$C$7-$C$10-$C$11*MAX(D$17-1,0))/($C$12+D$17*((1-0)*$C$13+0*$C$14)),"n/a")</f>
        <v>54.5977011494253</v>
      </c>
      <c r="E20" s="28" t="n">
        <f aca="false">IF(($C$12+E$17*((1-0)*$C$13+0*$C$14))&gt;0,(E$17*($B20*$C$9+$C$8)*$C$7-$C$10-$C$11*MAX(E$17-1,0))/($C$12+E$17*((1-0)*$C$13+0*$C$14)),"n/a")</f>
        <v>73.6538461538462</v>
      </c>
      <c r="F20" s="28" t="n">
        <f aca="false">IF(($C$12+F$17*((1-0)*$C$13+0*$C$14))&gt;0,(F$17*($B20*$C$9+$C$8)*$C$7-$C$10-$C$11*MAX(F$17-1,0))/($C$12+F$17*((1-0)*$C$13+0*$C$14)),"n/a")</f>
        <v>87.3553719008264</v>
      </c>
      <c r="G20" s="28" t="n">
        <f aca="false">IF(($C$12+G$17*((1-0)*$C$13+0*$C$14))&gt;0,(G$17*($B20*$C$9+$C$8)*$C$7-$C$10-$C$11*MAX(G$17-1,0))/($C$12+G$17*((1-0)*$C$13+0*$C$14)),"n/a")</f>
        <v>97.6811594202899</v>
      </c>
    </row>
    <row r="21" customFormat="false" ht="15" hidden="false" customHeight="false" outlineLevel="0" collapsed="false">
      <c r="B21" s="37" t="n">
        <f aca="false">B20+Inputs!$C$150</f>
        <v>175</v>
      </c>
      <c r="C21" s="28" t="n">
        <f aca="false">IF(($C$12+C$17*((1-0)*$C$13+0*$C$14))&gt;0,(C$17*($B21*$C$9+$C$8)*$C$7-$C$10-$C$11*MAX(C$17-1,0))/($C$12+C$17*((1-0)*$C$13+0*$C$14)),"n/a")</f>
        <v>33.2142857142857</v>
      </c>
      <c r="D21" s="28" t="n">
        <f aca="false">IF(($C$12+D$17*((1-0)*$C$13+0*$C$14))&gt;0,(D$17*($B21*$C$9+$C$8)*$C$7-$C$10-$C$11*MAX(D$17-1,0))/($C$12+D$17*((1-0)*$C$13+0*$C$14)),"n/a")</f>
        <v>65.7471264367816</v>
      </c>
      <c r="E21" s="28" t="n">
        <f aca="false">IF(($C$12+E$17*((1-0)*$C$13+0*$C$14))&gt;0,(E$17*($B21*$C$9+$C$8)*$C$7-$C$10-$C$11*MAX(E$17-1,0))/($C$12+E$17*((1-0)*$C$13+0*$C$14)),"n/a")</f>
        <v>87.6442307692308</v>
      </c>
      <c r="F21" s="28" t="n">
        <f aca="false">IF(($C$12+F$17*((1-0)*$C$13+0*$C$14))&gt;0,(F$17*($B21*$C$9+$C$8)*$C$7-$C$10-$C$11*MAX(F$17-1,0))/($C$12+F$17*((1-0)*$C$13+0*$C$14)),"n/a")</f>
        <v>103.388429752066</v>
      </c>
      <c r="G21" s="28" t="n">
        <f aca="false">IF(($C$12+G$17*((1-0)*$C$13+0*$C$14))&gt;0,(G$17*($B21*$C$9+$C$8)*$C$7-$C$10-$C$11*MAX(G$17-1,0))/($C$12+G$17*((1-0)*$C$13+0*$C$14)),"n/a")</f>
        <v>115.253623188406</v>
      </c>
    </row>
    <row r="22" customFormat="false" ht="15" hidden="false" customHeight="false" outlineLevel="0" collapsed="false">
      <c r="B22" s="37" t="n">
        <f aca="false">B21+Inputs!$C$150</f>
        <v>200</v>
      </c>
      <c r="C22" s="28" t="n">
        <f aca="false">IF(($C$12+C$17*((1-0)*$C$13+0*$C$14))&gt;0,(C$17*($B22*$C$9+$C$8)*$C$7-$C$10-$C$11*MAX(C$17-1,0))/($C$12+C$17*((1-0)*$C$13+0*$C$14)),"n/a")</f>
        <v>40.1428571428571</v>
      </c>
      <c r="D22" s="28" t="n">
        <f aca="false">IF(($C$12+D$17*((1-0)*$C$13+0*$C$14))&gt;0,(D$17*($B22*$C$9+$C$8)*$C$7-$C$10-$C$11*MAX(D$17-1,0))/($C$12+D$17*((1-0)*$C$13+0*$C$14)),"n/a")</f>
        <v>76.8965517241379</v>
      </c>
      <c r="E22" s="28" t="n">
        <f aca="false">IF(($C$12+E$17*((1-0)*$C$13+0*$C$14))&gt;0,(E$17*($B22*$C$9+$C$8)*$C$7-$C$10-$C$11*MAX(E$17-1,0))/($C$12+E$17*((1-0)*$C$13+0*$C$14)),"n/a")</f>
        <v>101.634615384615</v>
      </c>
      <c r="F22" s="28" t="n">
        <f aca="false">IF(($C$12+F$17*((1-0)*$C$13+0*$C$14))&gt;0,(F$17*($B22*$C$9+$C$8)*$C$7-$C$10-$C$11*MAX(F$17-1,0))/($C$12+F$17*((1-0)*$C$13+0*$C$14)),"n/a")</f>
        <v>119.421487603306</v>
      </c>
      <c r="G22" s="28" t="n">
        <f aca="false">IF(($C$12+G$17*((1-0)*$C$13+0*$C$14))&gt;0,(G$17*($B22*$C$9+$C$8)*$C$7-$C$10-$C$11*MAX(G$17-1,0))/($C$12+G$17*((1-0)*$C$13+0*$C$14)),"n/a")</f>
        <v>132.826086956522</v>
      </c>
    </row>
    <row r="23" customFormat="false" ht="15" hidden="false" customHeight="false" outlineLevel="0" collapsed="false">
      <c r="B23" s="37" t="n">
        <f aca="false">B22+Inputs!$C$150</f>
        <v>225</v>
      </c>
      <c r="C23" s="28" t="n">
        <f aca="false">IF(($C$12+C$17*((1-0)*$C$13+0*$C$14))&gt;0,(C$17*($B23*$C$9+$C$8)*$C$7-$C$10-$C$11*MAX(C$17-1,0))/($C$12+C$17*((1-0)*$C$13+0*$C$14)),"n/a")</f>
        <v>47.0714285714286</v>
      </c>
      <c r="D23" s="28" t="n">
        <f aca="false">IF(($C$12+D$17*((1-0)*$C$13+0*$C$14))&gt;0,(D$17*($B23*$C$9+$C$8)*$C$7-$C$10-$C$11*MAX(D$17-1,0))/($C$12+D$17*((1-0)*$C$13+0*$C$14)),"n/a")</f>
        <v>88.0459770114943</v>
      </c>
      <c r="E23" s="28" t="n">
        <f aca="false">IF(($C$12+E$17*((1-0)*$C$13+0*$C$14))&gt;0,(E$17*($B23*$C$9+$C$8)*$C$7-$C$10-$C$11*MAX(E$17-1,0))/($C$12+E$17*((1-0)*$C$13+0*$C$14)),"n/a")</f>
        <v>115.625</v>
      </c>
      <c r="F23" s="28" t="n">
        <f aca="false">IF(($C$12+F$17*((1-0)*$C$13+0*$C$14))&gt;0,(F$17*($B23*$C$9+$C$8)*$C$7-$C$10-$C$11*MAX(F$17-1,0))/($C$12+F$17*((1-0)*$C$13+0*$C$14)),"n/a")</f>
        <v>135.454545454545</v>
      </c>
      <c r="G23" s="28" t="n">
        <f aca="false">IF(($C$12+G$17*((1-0)*$C$13+0*$C$14))&gt;0,(G$17*($B23*$C$9+$C$8)*$C$7-$C$10-$C$11*MAX(G$17-1,0))/($C$12+G$17*((1-0)*$C$13+0*$C$14)),"n/a")</f>
        <v>150.398550724638</v>
      </c>
    </row>
    <row r="24" customFormat="false" ht="15" hidden="false" customHeight="false" outlineLevel="0" collapsed="false">
      <c r="B24" s="37" t="n">
        <f aca="false">B23+Inputs!$C$150</f>
        <v>250</v>
      </c>
      <c r="C24" s="28" t="n">
        <f aca="false">IF(($C$12+C$17*((1-0)*$C$13+0*$C$14))&gt;0,(C$17*($B24*$C$9+$C$8)*$C$7-$C$10-$C$11*MAX(C$17-1,0))/($C$12+C$17*((1-0)*$C$13+0*$C$14)),"n/a")</f>
        <v>54</v>
      </c>
      <c r="D24" s="28" t="n">
        <f aca="false">IF(($C$12+D$17*((1-0)*$C$13+0*$C$14))&gt;0,(D$17*($B24*$C$9+$C$8)*$C$7-$C$10-$C$11*MAX(D$17-1,0))/($C$12+D$17*((1-0)*$C$13+0*$C$14)),"n/a")</f>
        <v>99.1954022988506</v>
      </c>
      <c r="E24" s="28" t="n">
        <f aca="false">IF(($C$12+E$17*((1-0)*$C$13+0*$C$14))&gt;0,(E$17*($B24*$C$9+$C$8)*$C$7-$C$10-$C$11*MAX(E$17-1,0))/($C$12+E$17*((1-0)*$C$13+0*$C$14)),"n/a")</f>
        <v>129.615384615385</v>
      </c>
      <c r="F24" s="28" t="n">
        <f aca="false">IF(($C$12+F$17*((1-0)*$C$13+0*$C$14))&gt;0,(F$17*($B24*$C$9+$C$8)*$C$7-$C$10-$C$11*MAX(F$17-1,0))/($C$12+F$17*((1-0)*$C$13+0*$C$14)),"n/a")</f>
        <v>151.487603305785</v>
      </c>
      <c r="G24" s="28" t="n">
        <f aca="false">IF(($C$12+G$17*((1-0)*$C$13+0*$C$14))&gt;0,(G$17*($B24*$C$9+$C$8)*$C$7-$C$10-$C$11*MAX(G$17-1,0))/($C$12+G$17*((1-0)*$C$13+0*$C$14)),"n/a")</f>
        <v>167.971014492754</v>
      </c>
    </row>
    <row r="25" customFormat="false" ht="15" hidden="false" customHeight="false" outlineLevel="0" collapsed="false">
      <c r="B25" s="37" t="n">
        <f aca="false">B24+Inputs!$C$150</f>
        <v>275</v>
      </c>
      <c r="C25" s="28" t="n">
        <f aca="false">IF(($C$12+C$17*((1-0)*$C$13+0*$C$14))&gt;0,(C$17*($B25*$C$9+$C$8)*$C$7-$C$10-$C$11*MAX(C$17-1,0))/($C$12+C$17*((1-0)*$C$13+0*$C$14)),"n/a")</f>
        <v>60.9285714285714</v>
      </c>
      <c r="D25" s="28" t="n">
        <f aca="false">IF(($C$12+D$17*((1-0)*$C$13+0*$C$14))&gt;0,(D$17*($B25*$C$9+$C$8)*$C$7-$C$10-$C$11*MAX(D$17-1,0))/($C$12+D$17*((1-0)*$C$13+0*$C$14)),"n/a")</f>
        <v>110.344827586207</v>
      </c>
      <c r="E25" s="28" t="n">
        <f aca="false">IF(($C$12+E$17*((1-0)*$C$13+0*$C$14))&gt;0,(E$17*($B25*$C$9+$C$8)*$C$7-$C$10-$C$11*MAX(E$17-1,0))/($C$12+E$17*((1-0)*$C$13+0*$C$14)),"n/a")</f>
        <v>143.605769230769</v>
      </c>
      <c r="F25" s="28" t="n">
        <f aca="false">IF(($C$12+F$17*((1-0)*$C$13+0*$C$14))&gt;0,(F$17*($B25*$C$9+$C$8)*$C$7-$C$10-$C$11*MAX(F$17-1,0))/($C$12+F$17*((1-0)*$C$13+0*$C$14)),"n/a")</f>
        <v>167.520661157025</v>
      </c>
      <c r="G25" s="28" t="n">
        <f aca="false">IF(($C$12+G$17*((1-0)*$C$13+0*$C$14))&gt;0,(G$17*($B25*$C$9+$C$8)*$C$7-$C$10-$C$11*MAX(G$17-1,0))/($C$12+G$17*((1-0)*$C$13+0*$C$14)),"n/a")</f>
        <v>185.54347826087</v>
      </c>
    </row>
    <row r="28" customFormat="false" ht="15" hidden="false" customHeight="false" outlineLevel="0" collapsed="false">
      <c r="B28" s="84" t="s">
        <v>1245</v>
      </c>
    </row>
    <row r="29" customFormat="false" ht="15" hidden="false" customHeight="false" outlineLevel="0" collapsed="false">
      <c r="B29" s="93" t="s">
        <v>1246</v>
      </c>
      <c r="C29" s="99" t="n">
        <f aca="false">Inputs!$C$151</f>
        <v>1</v>
      </c>
      <c r="D29" s="99" t="n">
        <f aca="false">C29+Inputs!$C$152</f>
        <v>2</v>
      </c>
      <c r="E29" s="99" t="n">
        <f aca="false">D29+Inputs!$C$152</f>
        <v>3</v>
      </c>
      <c r="F29" s="99" t="n">
        <f aca="false">E29+Inputs!$C$152</f>
        <v>4</v>
      </c>
      <c r="G29" s="99" t="n">
        <f aca="false">F29+Inputs!$C$152</f>
        <v>5</v>
      </c>
    </row>
    <row r="30" customFormat="false" ht="15" hidden="false" customHeight="false" outlineLevel="0" collapsed="false">
      <c r="B30" s="27" t="n">
        <f aca="false">Inputs!$C$153</f>
        <v>0</v>
      </c>
      <c r="C30" s="28" t="n">
        <f aca="false">IF(($C$12+C$29*((1-$B30)*$C$13+$B30*$C$14))&gt;0,(C$29*(Inputs!$C$39*$C$9+$C$8)*$C$7-$C$10-$C$11*MAX(C$29-1,0))/($C$12+C$29*((1-$B30)*$C$13+$B30*$C$14)),"n/a")</f>
        <v>26.2857142857143</v>
      </c>
      <c r="D30" s="28" t="n">
        <f aca="false">IF(($C$12+D$29*((1-$B30)*$C$13+$B30*$C$14))&gt;0,(D$29*(Inputs!$C$39*$C$9+$C$8)*$C$7-$C$10-$C$11*MAX(D$29-1,0))/($C$12+D$29*((1-$B30)*$C$13+$B30*$C$14)),"n/a")</f>
        <v>54.5977011494253</v>
      </c>
      <c r="E30" s="28" t="n">
        <f aca="false">IF(($C$12+E$29*((1-$B30)*$C$13+$B30*$C$14))&gt;0,(E$29*(Inputs!$C$39*$C$9+$C$8)*$C$7-$C$10-$C$11*MAX(E$29-1,0))/($C$12+E$29*((1-$B30)*$C$13+$B30*$C$14)),"n/a")</f>
        <v>73.6538461538462</v>
      </c>
      <c r="F30" s="28" t="n">
        <f aca="false">IF(($C$12+F$29*((1-$B30)*$C$13+$B30*$C$14))&gt;0,(F$29*(Inputs!$C$39*$C$9+$C$8)*$C$7-$C$10-$C$11*MAX(F$29-1,0))/($C$12+F$29*((1-$B30)*$C$13+$B30*$C$14)),"n/a")</f>
        <v>87.3553719008264</v>
      </c>
      <c r="G30" s="28" t="n">
        <f aca="false">IF(($C$12+G$29*((1-$B30)*$C$13+$B30*$C$14))&gt;0,(G$29*(Inputs!$C$39*$C$9+$C$8)*$C$7-$C$10-$C$11*MAX(G$29-1,0))/($C$12+G$29*((1-$B30)*$C$13+$B30*$C$14)),"n/a")</f>
        <v>97.6811594202899</v>
      </c>
    </row>
    <row r="31" customFormat="false" ht="15" hidden="false" customHeight="false" outlineLevel="0" collapsed="false">
      <c r="B31" s="27" t="n">
        <f aca="false">B30+Inputs!$C$154</f>
        <v>0.1</v>
      </c>
      <c r="C31" s="28" t="n">
        <f aca="false">IF(($C$12+C$29*((1-$B31)*$C$13+$B31*$C$14))&gt;0,(C$29*(Inputs!$C$39*$C$9+$C$8)*$C$7-$C$10-$C$11*MAX(C$29-1,0))/($C$12+C$29*((1-$B31)*$C$13+$B31*$C$14)),"n/a")</f>
        <v>26.5895953757225</v>
      </c>
      <c r="D31" s="28" t="n">
        <f aca="false">IF(($C$12+D$29*((1-$B31)*$C$13+$B31*$C$14))&gt;0,(D$29*(Inputs!$C$39*$C$9+$C$8)*$C$7-$C$10-$C$11*MAX(D$29-1,0))/($C$12+D$29*((1-$B31)*$C$13+$B31*$C$14)),"n/a")</f>
        <v>55.6206088992974</v>
      </c>
      <c r="E31" s="28" t="n">
        <f aca="false">IF(($C$12+E$29*((1-$B31)*$C$13+$B31*$C$14))&gt;0,(E$29*(Inputs!$C$39*$C$9+$C$8)*$C$7-$C$10-$C$11*MAX(E$29-1,0))/($C$12+E$29*((1-$B31)*$C$13+$B31*$C$14)),"n/a")</f>
        <v>75.3937007874016</v>
      </c>
      <c r="F31" s="28" t="n">
        <f aca="false">IF(($C$12+F$29*((1-$B31)*$C$13+$B31*$C$14))&gt;0,(F$29*(Inputs!$C$39*$C$9+$C$8)*$C$7-$C$10-$C$11*MAX(F$29-1,0))/($C$12+F$29*((1-$B31)*$C$13+$B31*$C$14)),"n/a")</f>
        <v>89.7283531409168</v>
      </c>
      <c r="G31" s="28" t="n">
        <f aca="false">IF(($C$12+G$29*((1-$B31)*$C$13+$B31*$C$14))&gt;0,(G$29*(Inputs!$C$39*$C$9+$C$8)*$C$7-$C$10-$C$11*MAX(G$29-1,0))/($C$12+G$29*((1-$B31)*$C$13+$B31*$C$14)),"n/a")</f>
        <v>100.597014925373</v>
      </c>
    </row>
    <row r="32" customFormat="false" ht="15" hidden="false" customHeight="false" outlineLevel="0" collapsed="false">
      <c r="B32" s="27" t="n">
        <f aca="false">B31+Inputs!$C$154</f>
        <v>0.2</v>
      </c>
      <c r="C32" s="28" t="n">
        <f aca="false">IF(($C$12+C$29*((1-$B32)*$C$13+$B32*$C$14))&gt;0,(C$29*(Inputs!$C$39*$C$9+$C$8)*$C$7-$C$10-$C$11*MAX(C$29-1,0))/($C$12+C$29*((1-$B32)*$C$13+$B32*$C$14)),"n/a")</f>
        <v>26.9005847953216</v>
      </c>
      <c r="D32" s="28" t="n">
        <f aca="false">IF(($C$12+D$29*((1-$B32)*$C$13+$B32*$C$14))&gt;0,(D$29*(Inputs!$C$39*$C$9+$C$8)*$C$7-$C$10-$C$11*MAX(D$29-1,0))/($C$12+D$29*((1-$B32)*$C$13+$B32*$C$14)),"n/a")</f>
        <v>56.6825775656325</v>
      </c>
      <c r="E32" s="28" t="n">
        <f aca="false">IF(($C$12+E$29*((1-$B32)*$C$13+$B32*$C$14))&gt;0,(E$29*(Inputs!$C$39*$C$9+$C$8)*$C$7-$C$10-$C$11*MAX(E$29-1,0))/($C$12+E$29*((1-$B32)*$C$13+$B32*$C$14)),"n/a")</f>
        <v>77.2177419354839</v>
      </c>
      <c r="F32" s="28" t="n">
        <f aca="false">IF(($C$12+F$29*((1-$B32)*$C$13+$B32*$C$14))&gt;0,(F$29*(Inputs!$C$39*$C$9+$C$8)*$C$7-$C$10-$C$11*MAX(F$29-1,0))/($C$12+F$29*((1-$B32)*$C$13+$B32*$C$14)),"n/a")</f>
        <v>92.2338568935428</v>
      </c>
      <c r="G32" s="28" t="n">
        <f aca="false">IF(($C$12+G$29*((1-$B32)*$C$13+$B32*$C$14))&gt;0,(G$29*(Inputs!$C$39*$C$9+$C$8)*$C$7-$C$10-$C$11*MAX(G$29-1,0))/($C$12+G$29*((1-$B32)*$C$13+$B32*$C$14)),"n/a")</f>
        <v>103.692307692308</v>
      </c>
    </row>
    <row r="33" customFormat="false" ht="15" hidden="false" customHeight="false" outlineLevel="0" collapsed="false">
      <c r="B33" s="27" t="n">
        <f aca="false">B32+Inputs!$C$154</f>
        <v>0.3</v>
      </c>
      <c r="C33" s="28" t="n">
        <f aca="false">IF(($C$12+C$29*((1-$B33)*$C$13+$B33*$C$14))&gt;0,(C$29*(Inputs!$C$39*$C$9+$C$8)*$C$7-$C$10-$C$11*MAX(C$29-1,0))/($C$12+C$29*((1-$B33)*$C$13+$B33*$C$14)),"n/a")</f>
        <v>27.2189349112426</v>
      </c>
      <c r="D33" s="28" t="n">
        <f aca="false">IF(($C$12+D$29*((1-$B33)*$C$13+$B33*$C$14))&gt;0,(D$29*(Inputs!$C$39*$C$9+$C$8)*$C$7-$C$10-$C$11*MAX(D$29-1,0))/($C$12+D$29*((1-$B33)*$C$13+$B33*$C$14)),"n/a")</f>
        <v>57.7858880778589</v>
      </c>
      <c r="E33" s="28" t="n">
        <f aca="false">IF(($C$12+E$29*((1-$B33)*$C$13+$B33*$C$14))&gt;0,(E$29*(Inputs!$C$39*$C$9+$C$8)*$C$7-$C$10-$C$11*MAX(E$29-1,0))/($C$12+E$29*((1-$B33)*$C$13+$B33*$C$14)),"n/a")</f>
        <v>79.1322314049587</v>
      </c>
      <c r="F33" s="28" t="n">
        <f aca="false">IF(($C$12+F$29*((1-$B33)*$C$13+$B33*$C$14))&gt;0,(F$29*(Inputs!$C$39*$C$9+$C$8)*$C$7-$C$10-$C$11*MAX(F$29-1,0))/($C$12+F$29*((1-$B33)*$C$13+$B33*$C$14)),"n/a")</f>
        <v>94.8833034111311</v>
      </c>
      <c r="G33" s="28" t="n">
        <f aca="false">IF(($C$12+G$29*((1-$B33)*$C$13+$B33*$C$14))&gt;0,(G$29*(Inputs!$C$39*$C$9+$C$8)*$C$7-$C$10-$C$11*MAX(G$29-1,0))/($C$12+G$29*((1-$B33)*$C$13+$B33*$C$14)),"n/a")</f>
        <v>106.984126984127</v>
      </c>
    </row>
    <row r="34" customFormat="false" ht="15" hidden="false" customHeight="false" outlineLevel="0" collapsed="false">
      <c r="B34" s="27" t="n">
        <f aca="false">B33+Inputs!$C$154</f>
        <v>0.4</v>
      </c>
      <c r="C34" s="28" t="n">
        <f aca="false">IF(($C$12+C$29*((1-$B34)*$C$13+$B34*$C$14))&gt;0,(C$29*(Inputs!$C$39*$C$9+$C$8)*$C$7-$C$10-$C$11*MAX(C$29-1,0))/($C$12+C$29*((1-$B34)*$C$13+$B34*$C$14)),"n/a")</f>
        <v>27.5449101796407</v>
      </c>
      <c r="D34" s="28" t="n">
        <f aca="false">IF(($C$12+D$29*((1-$B34)*$C$13+$B34*$C$14))&gt;0,(D$29*(Inputs!$C$39*$C$9+$C$8)*$C$7-$C$10-$C$11*MAX(D$29-1,0))/($C$12+D$29*((1-$B34)*$C$13+$B34*$C$14)),"n/a")</f>
        <v>58.9330024813896</v>
      </c>
      <c r="E34" s="28" t="n">
        <f aca="false">IF(($C$12+E$29*((1-$B34)*$C$13+$B34*$C$14))&gt;0,(E$29*(Inputs!$C$39*$C$9+$C$8)*$C$7-$C$10-$C$11*MAX(E$29-1,0))/($C$12+E$29*((1-$B34)*$C$13+$B34*$C$14)),"n/a")</f>
        <v>81.1440677966102</v>
      </c>
      <c r="F34" s="28" t="n">
        <f aca="false">IF(($C$12+F$29*((1-$B34)*$C$13+$B34*$C$14))&gt;0,(F$29*(Inputs!$C$39*$C$9+$C$8)*$C$7-$C$10-$C$11*MAX(F$29-1,0))/($C$12+F$29*((1-$B34)*$C$13+$B34*$C$14)),"n/a")</f>
        <v>97.6894639556377</v>
      </c>
      <c r="G34" s="28" t="n">
        <f aca="false">IF(($C$12+G$29*((1-$B34)*$C$13+$B34*$C$14))&gt;0,(G$29*(Inputs!$C$39*$C$9+$C$8)*$C$7-$C$10-$C$11*MAX(G$29-1,0))/($C$12+G$29*((1-$B34)*$C$13+$B34*$C$14)),"n/a")</f>
        <v>110.491803278689</v>
      </c>
    </row>
    <row r="35" customFormat="false" ht="15" hidden="false" customHeight="false" outlineLevel="0" collapsed="false">
      <c r="B35" s="27" t="n">
        <f aca="false">B34+Inputs!$C$154</f>
        <v>0.5</v>
      </c>
      <c r="C35" s="28" t="n">
        <f aca="false">IF(($C$12+C$29*((1-$B35)*$C$13+$B35*$C$14))&gt;0,(C$29*(Inputs!$C$39*$C$9+$C$8)*$C$7-$C$10-$C$11*MAX(C$29-1,0))/($C$12+C$29*((1-$B35)*$C$13+$B35*$C$14)),"n/a")</f>
        <v>27.8787878787879</v>
      </c>
      <c r="D35" s="28" t="n">
        <f aca="false">IF(($C$12+D$29*((1-$B35)*$C$13+$B35*$C$14))&gt;0,(D$29*(Inputs!$C$39*$C$9+$C$8)*$C$7-$C$10-$C$11*MAX(D$29-1,0))/($C$12+D$29*((1-$B35)*$C$13+$B35*$C$14)),"n/a")</f>
        <v>60.126582278481</v>
      </c>
      <c r="E35" s="28" t="n">
        <f aca="false">IF(($C$12+E$29*((1-$B35)*$C$13+$B35*$C$14))&gt;0,(E$29*(Inputs!$C$39*$C$9+$C$8)*$C$7-$C$10-$C$11*MAX(E$29-1,0))/($C$12+E$29*((1-$B35)*$C$13+$B35*$C$14)),"n/a")</f>
        <v>83.2608695652174</v>
      </c>
      <c r="F35" s="28" t="n">
        <f aca="false">IF(($C$12+F$29*((1-$B35)*$C$13+$B35*$C$14))&gt;0,(F$29*(Inputs!$C$39*$C$9+$C$8)*$C$7-$C$10-$C$11*MAX(F$29-1,0))/($C$12+F$29*((1-$B35)*$C$13+$B35*$C$14)),"n/a")</f>
        <v>100.666666666667</v>
      </c>
      <c r="G35" s="28" t="n">
        <f aca="false">IF(($C$12+G$29*((1-$B35)*$C$13+$B35*$C$14))&gt;0,(G$29*(Inputs!$C$39*$C$9+$C$8)*$C$7-$C$10-$C$11*MAX(G$29-1,0))/($C$12+G$29*((1-$B35)*$C$13+$B35*$C$14)),"n/a")</f>
        <v>114.237288135593</v>
      </c>
    </row>
    <row r="36" customFormat="false" ht="15" hidden="false" customHeight="false" outlineLevel="0" collapsed="false">
      <c r="B36" s="27" t="n">
        <f aca="false">B35+Inputs!$C$154</f>
        <v>0.6</v>
      </c>
      <c r="C36" s="28" t="n">
        <f aca="false">IF(($C$12+C$29*((1-$B36)*$C$13+$B36*$C$14))&gt;0,(C$29*(Inputs!$C$39*$C$9+$C$8)*$C$7-$C$10-$C$11*MAX(C$29-1,0))/($C$12+C$29*((1-$B36)*$C$13+$B36*$C$14)),"n/a")</f>
        <v>28.2208588957055</v>
      </c>
      <c r="D36" s="28" t="n">
        <f aca="false">IF(($C$12+D$29*((1-$B36)*$C$13+$B36*$C$14))&gt;0,(D$29*(Inputs!$C$39*$C$9+$C$8)*$C$7-$C$10-$C$11*MAX(D$29-1,0))/($C$12+D$29*((1-$B36)*$C$13+$B36*$C$14)),"n/a")</f>
        <v>61.3695090439276</v>
      </c>
      <c r="E36" s="28" t="n">
        <f aca="false">IF(($C$12+E$29*((1-$B36)*$C$13+$B36*$C$14))&gt;0,(E$29*(Inputs!$C$39*$C$9+$C$8)*$C$7-$C$10-$C$11*MAX(E$29-1,0))/($C$12+E$29*((1-$B36)*$C$13+$B36*$C$14)),"n/a")</f>
        <v>85.4910714285714</v>
      </c>
      <c r="F36" s="28" t="n">
        <f aca="false">IF(($C$12+F$29*((1-$B36)*$C$13+$B36*$C$14))&gt;0,(F$29*(Inputs!$C$39*$C$9+$C$8)*$C$7-$C$10-$C$11*MAX(F$29-1,0))/($C$12+F$29*((1-$B36)*$C$13+$B36*$C$14)),"n/a")</f>
        <v>103.831041257367</v>
      </c>
      <c r="G36" s="28" t="n">
        <f aca="false">IF(($C$12+G$29*((1-$B36)*$C$13+$B36*$C$14))&gt;0,(G$29*(Inputs!$C$39*$C$9+$C$8)*$C$7-$C$10-$C$11*MAX(G$29-1,0))/($C$12+G$29*((1-$B36)*$C$13+$B36*$C$14)),"n/a")</f>
        <v>118.245614035088</v>
      </c>
    </row>
    <row r="37" customFormat="false" ht="15" hidden="false" customHeight="false" outlineLevel="0" collapsed="false">
      <c r="B37" s="27" t="n">
        <f aca="false">B36+Inputs!$C$154</f>
        <v>0.7</v>
      </c>
      <c r="C37" s="28" t="n">
        <f aca="false">IF(($C$12+C$29*((1-$B37)*$C$13+$B37*$C$14))&gt;0,(C$29*(Inputs!$C$39*$C$9+$C$8)*$C$7-$C$10-$C$11*MAX(C$29-1,0))/($C$12+C$29*((1-$B37)*$C$13+$B37*$C$14)),"n/a")</f>
        <v>28.5714285714286</v>
      </c>
      <c r="D37" s="28" t="n">
        <f aca="false">IF(($C$12+D$29*((1-$B37)*$C$13+$B37*$C$14))&gt;0,(D$29*(Inputs!$C$39*$C$9+$C$8)*$C$7-$C$10-$C$11*MAX(D$29-1,0))/($C$12+D$29*((1-$B37)*$C$13+$B37*$C$14)),"n/a")</f>
        <v>62.664907651715</v>
      </c>
      <c r="E37" s="28" t="n">
        <f aca="false">IF(($C$12+E$29*((1-$B37)*$C$13+$B37*$C$14))&gt;0,(E$29*(Inputs!$C$39*$C$9+$C$8)*$C$7-$C$10-$C$11*MAX(E$29-1,0))/($C$12+E$29*((1-$B37)*$C$13+$B37*$C$14)),"n/a")</f>
        <v>87.8440366972477</v>
      </c>
      <c r="F37" s="28" t="n">
        <f aca="false">IF(($C$12+F$29*((1-$B37)*$C$13+$B37*$C$14))&gt;0,(F$29*(Inputs!$C$39*$C$9+$C$8)*$C$7-$C$10-$C$11*MAX(F$29-1,0))/($C$12+F$29*((1-$B37)*$C$13+$B37*$C$14)),"n/a")</f>
        <v>107.200811359026</v>
      </c>
      <c r="G37" s="28" t="n">
        <f aca="false">IF(($C$12+G$29*((1-$B37)*$C$13+$B37*$C$14))&gt;0,(G$29*(Inputs!$C$39*$C$9+$C$8)*$C$7-$C$10-$C$11*MAX(G$29-1,0))/($C$12+G$29*((1-$B37)*$C$13+$B37*$C$14)),"n/a")</f>
        <v>122.545454545455</v>
      </c>
    </row>
    <row r="38" customFormat="false" ht="15" hidden="false" customHeight="false" outlineLevel="0" collapsed="false">
      <c r="B38" s="27" t="n">
        <f aca="false">B37+Inputs!$C$154</f>
        <v>0.8</v>
      </c>
      <c r="C38" s="28" t="n">
        <f aca="false">IF(($C$12+C$29*((1-$B38)*$C$13+$B38*$C$14))&gt;0,(C$29*(Inputs!$C$39*$C$9+$C$8)*$C$7-$C$10-$C$11*MAX(C$29-1,0))/($C$12+C$29*((1-$B38)*$C$13+$B38*$C$14)),"n/a")</f>
        <v>28.9308176100629</v>
      </c>
      <c r="D38" s="28" t="n">
        <f aca="false">IF(($C$12+D$29*((1-$B38)*$C$13+$B38*$C$14))&gt;0,(D$29*(Inputs!$C$39*$C$9+$C$8)*$C$7-$C$10-$C$11*MAX(D$29-1,0))/($C$12+D$29*((1-$B38)*$C$13+$B38*$C$14)),"n/a")</f>
        <v>64.0161725067385</v>
      </c>
      <c r="E38" s="28" t="n">
        <f aca="false">IF(($C$12+E$29*((1-$B38)*$C$13+$B38*$C$14))&gt;0,(E$29*(Inputs!$C$39*$C$9+$C$8)*$C$7-$C$10-$C$11*MAX(E$29-1,0))/($C$12+E$29*((1-$B38)*$C$13+$B38*$C$14)),"n/a")</f>
        <v>90.3301886792453</v>
      </c>
      <c r="F38" s="28" t="n">
        <f aca="false">IF(($C$12+F$29*((1-$B38)*$C$13+$B38*$C$14))&gt;0,(F$29*(Inputs!$C$39*$C$9+$C$8)*$C$7-$C$10-$C$11*MAX(F$29-1,0))/($C$12+F$29*((1-$B38)*$C$13+$B38*$C$14)),"n/a")</f>
        <v>110.796645702306</v>
      </c>
      <c r="G38" s="28" t="n">
        <f aca="false">IF(($C$12+G$29*((1-$B38)*$C$13+$B38*$C$14))&gt;0,(G$29*(Inputs!$C$39*$C$9+$C$8)*$C$7-$C$10-$C$11*MAX(G$29-1,0))/($C$12+G$29*((1-$B38)*$C$13+$B38*$C$14)),"n/a")</f>
        <v>127.169811320755</v>
      </c>
    </row>
    <row r="39" customFormat="false" ht="15" hidden="false" customHeight="false" outlineLevel="0" collapsed="false">
      <c r="B39" s="27" t="n">
        <f aca="false">B38+Inputs!$C$154</f>
        <v>0.9</v>
      </c>
      <c r="C39" s="28" t="n">
        <f aca="false">IF(($C$12+C$29*((1-$B39)*$C$13+$B39*$C$14))&gt;0,(C$29*(Inputs!$C$39*$C$9+$C$8)*$C$7-$C$10-$C$11*MAX(C$29-1,0))/($C$12+C$29*((1-$B39)*$C$13+$B39*$C$14)),"n/a")</f>
        <v>29.2993630573248</v>
      </c>
      <c r="D39" s="28" t="n">
        <f aca="false">IF(($C$12+D$29*((1-$B39)*$C$13+$B39*$C$14))&gt;0,(D$29*(Inputs!$C$39*$C$9+$C$8)*$C$7-$C$10-$C$11*MAX(D$29-1,0))/($C$12+D$29*((1-$B39)*$C$13+$B39*$C$14)),"n/a")</f>
        <v>65.4269972451791</v>
      </c>
      <c r="E39" s="28" t="n">
        <f aca="false">IF(($C$12+E$29*((1-$B39)*$C$13+$B39*$C$14))&gt;0,(E$29*(Inputs!$C$39*$C$9+$C$8)*$C$7-$C$10-$C$11*MAX(E$29-1,0))/($C$12+E$29*((1-$B39)*$C$13+$B39*$C$14)),"n/a")</f>
        <v>92.9611650485437</v>
      </c>
      <c r="F39" s="28" t="n">
        <f aca="false">IF(($C$12+F$29*((1-$B39)*$C$13+$B39*$C$14))&gt;0,(F$29*(Inputs!$C$39*$C$9+$C$8)*$C$7-$C$10-$C$11*MAX(F$29-1,0))/($C$12+F$29*((1-$B39)*$C$13+$B39*$C$14)),"n/a")</f>
        <v>114.642082429501</v>
      </c>
      <c r="G39" s="28" t="n">
        <f aca="false">IF(($C$12+G$29*((1-$B39)*$C$13+$B39*$C$14))&gt;0,(G$29*(Inputs!$C$39*$C$9+$C$8)*$C$7-$C$10-$C$11*MAX(G$29-1,0))/($C$12+G$29*((1-$B39)*$C$13+$B39*$C$14)),"n/a")</f>
        <v>132.156862745098</v>
      </c>
    </row>
    <row r="40" customFormat="false" ht="15" hidden="false" customHeight="false" outlineLevel="0" collapsed="false">
      <c r="B40" s="27" t="n">
        <f aca="false">B39+Inputs!$C$154</f>
        <v>1</v>
      </c>
      <c r="C40" s="28" t="n">
        <f aca="false">IF(($C$12+C$29*((1-$B40)*$C$13+$B40*$C$14))&gt;0,(C$29*(Inputs!$C$39*$C$9+$C$8)*$C$7-$C$10-$C$11*MAX(C$29-1,0))/($C$12+C$29*((1-$B40)*$C$13+$B40*$C$14)),"n/a")</f>
        <v>29.6774193548387</v>
      </c>
      <c r="D40" s="28" t="n">
        <f aca="false">IF(($C$12+D$29*((1-$B40)*$C$13+$B40*$C$14))&gt;0,(D$29*(Inputs!$C$39*$C$9+$C$8)*$C$7-$C$10-$C$11*MAX(D$29-1,0))/($C$12+D$29*((1-$B40)*$C$13+$B40*$C$14)),"n/a")</f>
        <v>66.9014084507042</v>
      </c>
      <c r="E40" s="28" t="n">
        <f aca="false">IF(($C$12+E$29*((1-$B40)*$C$13+$B40*$C$14))&gt;0,(E$29*(Inputs!$C$39*$C$9+$C$8)*$C$7-$C$10-$C$11*MAX(E$29-1,0))/($C$12+E$29*((1-$B40)*$C$13+$B40*$C$14)),"n/a")</f>
        <v>95.75</v>
      </c>
      <c r="F40" s="28" t="n">
        <f aca="false">IF(($C$12+F$29*((1-$B40)*$C$13+$B40*$C$14))&gt;0,(F$29*(Inputs!$C$39*$C$9+$C$8)*$C$7-$C$10-$C$11*MAX(F$29-1,0))/($C$12+F$29*((1-$B40)*$C$13+$B40*$C$14)),"n/a")</f>
        <v>118.76404494382</v>
      </c>
      <c r="G40" s="28" t="n">
        <f aca="false">IF(($C$12+G$29*((1-$B40)*$C$13+$B40*$C$14))&gt;0,(G$29*(Inputs!$C$39*$C$9+$C$8)*$C$7-$C$10-$C$11*MAX(G$29-1,0))/($C$12+G$29*((1-$B40)*$C$13+$B40*$C$14)),"n/a")</f>
        <v>137.551020408163</v>
      </c>
    </row>
    <row r="43" customFormat="false" ht="15" hidden="false" customHeight="false" outlineLevel="0" collapsed="false">
      <c r="B43" s="84" t="s">
        <v>1247</v>
      </c>
    </row>
    <row r="44" customFormat="false" ht="45" hidden="false" customHeight="true" outlineLevel="0" collapsed="false">
      <c r="B44" s="12" t="s">
        <v>1248</v>
      </c>
      <c r="C44" s="12" t="s">
        <v>1249</v>
      </c>
      <c r="D44" s="12" t="s">
        <v>1250</v>
      </c>
      <c r="E44" s="12" t="s">
        <v>1251</v>
      </c>
      <c r="F44" s="12" t="s">
        <v>1252</v>
      </c>
      <c r="G44" s="12" t="s">
        <v>1033</v>
      </c>
    </row>
    <row r="45" customFormat="false" ht="15" hidden="false" customHeight="false" outlineLevel="0" collapsed="false">
      <c r="B45" s="27" t="n">
        <f aca="false">Inputs!$C$153</f>
        <v>0</v>
      </c>
      <c r="C45" s="95" t="n">
        <f aca="false">Scenarios!$H$15*Scenarios!$H$16*(1-B45)</f>
        <v>6</v>
      </c>
      <c r="D45" s="21" t="n">
        <f aca="false">C45/Inputs!$C$90</f>
        <v>30</v>
      </c>
      <c r="E45" s="36" t="n">
        <f aca="false">Scenarios!$H$15*IF(Scenarios!$H$16&gt;0,$C$12+Scenarios!$H$16*((1-B45)*$C$13+B45*$C$14),0)</f>
        <v>104</v>
      </c>
      <c r="F45" s="19" t="n">
        <f aca="false">Scenarios!$H$15*IF(Scenarios!$H$16&gt;0,Scenarios!$H$16*(Scenarios!$H$14*$C$9+$C$8)*$C$7-$C$10-$C$11*MAX(Scenarios!$H$16-1,0),0)</f>
        <v>7660</v>
      </c>
      <c r="G45" s="28" t="n">
        <f aca="false">IF(E45&gt;0,F45/E45,"n/a")</f>
        <v>73.6538461538462</v>
      </c>
    </row>
    <row r="46" customFormat="false" ht="15" hidden="false" customHeight="false" outlineLevel="0" collapsed="false">
      <c r="B46" s="27" t="n">
        <f aca="false">B45+Inputs!$C$154</f>
        <v>0.1</v>
      </c>
      <c r="C46" s="95" t="n">
        <f aca="false">Scenarios!$H$15*Scenarios!$H$16*(1-B46)</f>
        <v>5.4</v>
      </c>
      <c r="D46" s="21" t="n">
        <f aca="false">C46/Inputs!$C$90</f>
        <v>27</v>
      </c>
      <c r="E46" s="36" t="n">
        <f aca="false">Scenarios!$H$15*IF(Scenarios!$H$16&gt;0,$C$12+Scenarios!$H$16*((1-B46)*$C$13+B46*$C$14),0)</f>
        <v>101.6</v>
      </c>
      <c r="F46" s="19" t="n">
        <f aca="false">Scenarios!$H$15*IF(Scenarios!$H$16&gt;0,Scenarios!$H$16*(Scenarios!$H$14*$C$9+$C$8)*$C$7-$C$10-$C$11*MAX(Scenarios!$H$16-1,0),0)</f>
        <v>7660</v>
      </c>
      <c r="G46" s="28" t="n">
        <f aca="false">IF(E46&gt;0,F46/E46,"n/a")</f>
        <v>75.3937007874016</v>
      </c>
    </row>
    <row r="47" customFormat="false" ht="15" hidden="false" customHeight="false" outlineLevel="0" collapsed="false">
      <c r="B47" s="27" t="n">
        <f aca="false">B46+Inputs!$C$154</f>
        <v>0.2</v>
      </c>
      <c r="C47" s="95" t="n">
        <f aca="false">Scenarios!$H$15*Scenarios!$H$16*(1-B47)</f>
        <v>4.8</v>
      </c>
      <c r="D47" s="21" t="n">
        <f aca="false">C47/Inputs!$C$90</f>
        <v>24</v>
      </c>
      <c r="E47" s="36" t="n">
        <f aca="false">Scenarios!$H$15*IF(Scenarios!$H$16&gt;0,$C$12+Scenarios!$H$16*((1-B47)*$C$13+B47*$C$14),0)</f>
        <v>99.2</v>
      </c>
      <c r="F47" s="19" t="n">
        <f aca="false">Scenarios!$H$15*IF(Scenarios!$H$16&gt;0,Scenarios!$H$16*(Scenarios!$H$14*$C$9+$C$8)*$C$7-$C$10-$C$11*MAX(Scenarios!$H$16-1,0),0)</f>
        <v>7660</v>
      </c>
      <c r="G47" s="28" t="n">
        <f aca="false">IF(E47&gt;0,F47/E47,"n/a")</f>
        <v>77.2177419354839</v>
      </c>
    </row>
    <row r="48" customFormat="false" ht="15" hidden="false" customHeight="false" outlineLevel="0" collapsed="false">
      <c r="B48" s="27" t="n">
        <f aca="false">B47+Inputs!$C$154</f>
        <v>0.3</v>
      </c>
      <c r="C48" s="95" t="n">
        <f aca="false">Scenarios!$H$15*Scenarios!$H$16*(1-B48)</f>
        <v>4.2</v>
      </c>
      <c r="D48" s="21" t="n">
        <f aca="false">C48/Inputs!$C$90</f>
        <v>21</v>
      </c>
      <c r="E48" s="36" t="n">
        <f aca="false">Scenarios!$H$15*IF(Scenarios!$H$16&gt;0,$C$12+Scenarios!$H$16*((1-B48)*$C$13+B48*$C$14),0)</f>
        <v>96.8</v>
      </c>
      <c r="F48" s="19" t="n">
        <f aca="false">Scenarios!$H$15*IF(Scenarios!$H$16&gt;0,Scenarios!$H$16*(Scenarios!$H$14*$C$9+$C$8)*$C$7-$C$10-$C$11*MAX(Scenarios!$H$16-1,0),0)</f>
        <v>7660</v>
      </c>
      <c r="G48" s="28" t="n">
        <f aca="false">IF(E48&gt;0,F48/E48,"n/a")</f>
        <v>79.1322314049587</v>
      </c>
    </row>
    <row r="49" customFormat="false" ht="15" hidden="false" customHeight="false" outlineLevel="0" collapsed="false">
      <c r="B49" s="27" t="n">
        <f aca="false">B48+Inputs!$C$154</f>
        <v>0.4</v>
      </c>
      <c r="C49" s="95" t="n">
        <f aca="false">Scenarios!$H$15*Scenarios!$H$16*(1-B49)</f>
        <v>3.6</v>
      </c>
      <c r="D49" s="21" t="n">
        <f aca="false">C49/Inputs!$C$90</f>
        <v>18</v>
      </c>
      <c r="E49" s="36" t="n">
        <f aca="false">Scenarios!$H$15*IF(Scenarios!$H$16&gt;0,$C$12+Scenarios!$H$16*((1-B49)*$C$13+B49*$C$14),0)</f>
        <v>94.4</v>
      </c>
      <c r="F49" s="19" t="n">
        <f aca="false">Scenarios!$H$15*IF(Scenarios!$H$16&gt;0,Scenarios!$H$16*(Scenarios!$H$14*$C$9+$C$8)*$C$7-$C$10-$C$11*MAX(Scenarios!$H$16-1,0),0)</f>
        <v>7660</v>
      </c>
      <c r="G49" s="28" t="n">
        <f aca="false">IF(E49&gt;0,F49/E49,"n/a")</f>
        <v>81.1440677966102</v>
      </c>
    </row>
    <row r="50" customFormat="false" ht="15" hidden="false" customHeight="false" outlineLevel="0" collapsed="false">
      <c r="B50" s="27" t="n">
        <f aca="false">B49+Inputs!$C$154</f>
        <v>0.5</v>
      </c>
      <c r="C50" s="95" t="n">
        <f aca="false">Scenarios!$H$15*Scenarios!$H$16*(1-B50)</f>
        <v>3</v>
      </c>
      <c r="D50" s="21" t="n">
        <f aca="false">C50/Inputs!$C$90</f>
        <v>15</v>
      </c>
      <c r="E50" s="36" t="n">
        <f aca="false">Scenarios!$H$15*IF(Scenarios!$H$16&gt;0,$C$12+Scenarios!$H$16*((1-B50)*$C$13+B50*$C$14),0)</f>
        <v>92</v>
      </c>
      <c r="F50" s="19" t="n">
        <f aca="false">Scenarios!$H$15*IF(Scenarios!$H$16&gt;0,Scenarios!$H$16*(Scenarios!$H$14*$C$9+$C$8)*$C$7-$C$10-$C$11*MAX(Scenarios!$H$16-1,0),0)</f>
        <v>7660</v>
      </c>
      <c r="G50" s="28" t="n">
        <f aca="false">IF(E50&gt;0,F50/E50,"n/a")</f>
        <v>83.2608695652174</v>
      </c>
    </row>
    <row r="51" customFormat="false" ht="15" hidden="false" customHeight="false" outlineLevel="0" collapsed="false">
      <c r="B51" s="27" t="n">
        <f aca="false">B50+Inputs!$C$154</f>
        <v>0.6</v>
      </c>
      <c r="C51" s="95" t="n">
        <f aca="false">Scenarios!$H$15*Scenarios!$H$16*(1-B51)</f>
        <v>2.4</v>
      </c>
      <c r="D51" s="21" t="n">
        <f aca="false">C51/Inputs!$C$90</f>
        <v>12</v>
      </c>
      <c r="E51" s="36" t="n">
        <f aca="false">Scenarios!$H$15*IF(Scenarios!$H$16&gt;0,$C$12+Scenarios!$H$16*((1-B51)*$C$13+B51*$C$14),0)</f>
        <v>89.6</v>
      </c>
      <c r="F51" s="19" t="n">
        <f aca="false">Scenarios!$H$15*IF(Scenarios!$H$16&gt;0,Scenarios!$H$16*(Scenarios!$H$14*$C$9+$C$8)*$C$7-$C$10-$C$11*MAX(Scenarios!$H$16-1,0),0)</f>
        <v>7660</v>
      </c>
      <c r="G51" s="28" t="n">
        <f aca="false">IF(E51&gt;0,F51/E51,"n/a")</f>
        <v>85.4910714285714</v>
      </c>
    </row>
    <row r="52" customFormat="false" ht="15" hidden="false" customHeight="false" outlineLevel="0" collapsed="false">
      <c r="B52" s="27" t="n">
        <f aca="false">B51+Inputs!$C$154</f>
        <v>0.7</v>
      </c>
      <c r="C52" s="95" t="n">
        <f aca="false">Scenarios!$H$15*Scenarios!$H$16*(1-B52)</f>
        <v>1.8</v>
      </c>
      <c r="D52" s="21" t="n">
        <f aca="false">C52/Inputs!$C$90</f>
        <v>9</v>
      </c>
      <c r="E52" s="36" t="n">
        <f aca="false">Scenarios!$H$15*IF(Scenarios!$H$16&gt;0,$C$12+Scenarios!$H$16*((1-B52)*$C$13+B52*$C$14),0)</f>
        <v>87.2</v>
      </c>
      <c r="F52" s="19" t="n">
        <f aca="false">Scenarios!$H$15*IF(Scenarios!$H$16&gt;0,Scenarios!$H$16*(Scenarios!$H$14*$C$9+$C$8)*$C$7-$C$10-$C$11*MAX(Scenarios!$H$16-1,0),0)</f>
        <v>7660</v>
      </c>
      <c r="G52" s="28" t="n">
        <f aca="false">IF(E52&gt;0,F52/E52,"n/a")</f>
        <v>87.8440366972477</v>
      </c>
    </row>
    <row r="53" customFormat="false" ht="15" hidden="false" customHeight="false" outlineLevel="0" collapsed="false">
      <c r="B53" s="27" t="n">
        <f aca="false">B52+Inputs!$C$154</f>
        <v>0.8</v>
      </c>
      <c r="C53" s="95" t="n">
        <f aca="false">Scenarios!$H$15*Scenarios!$H$16*(1-B53)</f>
        <v>1.2</v>
      </c>
      <c r="D53" s="21" t="n">
        <f aca="false">C53/Inputs!$C$90</f>
        <v>6</v>
      </c>
      <c r="E53" s="36" t="n">
        <f aca="false">Scenarios!$H$15*IF(Scenarios!$H$16&gt;0,$C$12+Scenarios!$H$16*((1-B53)*$C$13+B53*$C$14),0)</f>
        <v>84.8</v>
      </c>
      <c r="F53" s="19" t="n">
        <f aca="false">Scenarios!$H$15*IF(Scenarios!$H$16&gt;0,Scenarios!$H$16*(Scenarios!$H$14*$C$9+$C$8)*$C$7-$C$10-$C$11*MAX(Scenarios!$H$16-1,0),0)</f>
        <v>7660</v>
      </c>
      <c r="G53" s="28" t="n">
        <f aca="false">IF(E53&gt;0,F53/E53,"n/a")</f>
        <v>90.3301886792453</v>
      </c>
    </row>
    <row r="54" customFormat="false" ht="15" hidden="false" customHeight="false" outlineLevel="0" collapsed="false">
      <c r="B54" s="27" t="n">
        <f aca="false">B53+Inputs!$C$154</f>
        <v>0.9</v>
      </c>
      <c r="C54" s="95" t="n">
        <f aca="false">Scenarios!$H$15*Scenarios!$H$16*(1-B54)</f>
        <v>0.600000000000001</v>
      </c>
      <c r="D54" s="21" t="n">
        <f aca="false">C54/Inputs!$C$90</f>
        <v>3</v>
      </c>
      <c r="E54" s="36" t="n">
        <f aca="false">Scenarios!$H$15*IF(Scenarios!$H$16&gt;0,$C$12+Scenarios!$H$16*((1-B54)*$C$13+B54*$C$14),0)</f>
        <v>82.4</v>
      </c>
      <c r="F54" s="19" t="n">
        <f aca="false">Scenarios!$H$15*IF(Scenarios!$H$16&gt;0,Scenarios!$H$16*(Scenarios!$H$14*$C$9+$C$8)*$C$7-$C$10-$C$11*MAX(Scenarios!$H$16-1,0),0)</f>
        <v>7660</v>
      </c>
      <c r="G54" s="28" t="n">
        <f aca="false">IF(E54&gt;0,F54/E54,"n/a")</f>
        <v>92.9611650485437</v>
      </c>
    </row>
    <row r="55" customFormat="false" ht="15" hidden="false" customHeight="false" outlineLevel="0" collapsed="false">
      <c r="B55" s="27" t="n">
        <f aca="false">B54+Inputs!$C$154</f>
        <v>1</v>
      </c>
      <c r="C55" s="95" t="n">
        <f aca="false">Scenarios!$H$15*Scenarios!$H$16*(1-B55)</f>
        <v>0</v>
      </c>
      <c r="D55" s="21" t="n">
        <f aca="false">C55/Inputs!$C$90</f>
        <v>0</v>
      </c>
      <c r="E55" s="36" t="n">
        <f aca="false">Scenarios!$H$15*IF(Scenarios!$H$16&gt;0,$C$12+Scenarios!$H$16*((1-B55)*$C$13+B55*$C$14),0)</f>
        <v>80</v>
      </c>
      <c r="F55" s="19" t="n">
        <f aca="false">Scenarios!$H$15*IF(Scenarios!$H$16&gt;0,Scenarios!$H$16*(Scenarios!$H$14*$C$9+$C$8)*$C$7-$C$10-$C$11*MAX(Scenarios!$H$16-1,0),0)</f>
        <v>7660</v>
      </c>
      <c r="G55" s="28" t="n">
        <f aca="false">IF(E55&gt;0,F55/E55,"n/a")</f>
        <v>95.75</v>
      </c>
    </row>
    <row r="58" customFormat="false" ht="15" hidden="false" customHeight="false" outlineLevel="0" collapsed="false">
      <c r="B58" s="84" t="s">
        <v>1253</v>
      </c>
    </row>
    <row r="59" customFormat="false" ht="45" hidden="false" customHeight="true" outlineLevel="0" collapsed="false">
      <c r="B59" s="12" t="s">
        <v>1254</v>
      </c>
      <c r="C59" s="12" t="s">
        <v>1255</v>
      </c>
      <c r="D59" s="12" t="s">
        <v>1252</v>
      </c>
      <c r="E59" s="12" t="s">
        <v>1251</v>
      </c>
      <c r="F59" s="12" t="s">
        <v>1033</v>
      </c>
    </row>
    <row r="60" customFormat="false" ht="15" hidden="false" customHeight="false" outlineLevel="0" collapsed="false">
      <c r="B60" s="37" t="n">
        <f aca="false">Inputs!$C$149</f>
        <v>100</v>
      </c>
      <c r="C60" s="19" t="n">
        <f aca="false">Scenarios!$H$15*Scenarios!$H$16*(B60*$C$9+$C$8)</f>
        <v>6000</v>
      </c>
      <c r="D60" s="19" t="n">
        <f aca="false">Scenarios!$H$15*IF(Scenarios!$H$16&gt;0,Scenarios!$H$16*(B60*$C$9+$C$8)*$C$7-$C$10-$C$11*MAX(Scenarios!$H$16-1,0),0)</f>
        <v>4750</v>
      </c>
      <c r="E60" s="36" t="n">
        <f aca="false">Scenarios!$H$15*IF(Scenarios!$H$16&gt;0,$C$12+Scenarios!$H$16*((1-Scenarios!$H$12)*$C$13+Scenarios!$H$12*$C$14),0)</f>
        <v>94.4</v>
      </c>
      <c r="F60" s="28" t="n">
        <f aca="false">IF(E60&gt;0,D60/E60,"n/a")</f>
        <v>50.3177966101695</v>
      </c>
    </row>
    <row r="61" customFormat="false" ht="15" hidden="false" customHeight="false" outlineLevel="0" collapsed="false">
      <c r="B61" s="37" t="n">
        <f aca="false">B60+Inputs!$C$150</f>
        <v>125</v>
      </c>
      <c r="C61" s="19" t="n">
        <f aca="false">Scenarios!$H$15*Scenarios!$H$16*(B61*$C$9+$C$8)</f>
        <v>7500</v>
      </c>
      <c r="D61" s="19" t="n">
        <f aca="false">Scenarios!$H$15*IF(Scenarios!$H$16&gt;0,Scenarios!$H$16*(B61*$C$9+$C$8)*$C$7-$C$10-$C$11*MAX(Scenarios!$H$16-1,0),0)</f>
        <v>6205</v>
      </c>
      <c r="E61" s="36" t="n">
        <f aca="false">Scenarios!$H$15*IF(Scenarios!$H$16&gt;0,$C$12+Scenarios!$H$16*((1-Scenarios!$H$12)*$C$13+Scenarios!$H$12*$C$14),0)</f>
        <v>94.4</v>
      </c>
      <c r="F61" s="28" t="n">
        <f aca="false">IF(E61&gt;0,D61/E61,"n/a")</f>
        <v>65.7309322033898</v>
      </c>
    </row>
    <row r="62" customFormat="false" ht="15" hidden="false" customHeight="false" outlineLevel="0" collapsed="false">
      <c r="B62" s="37" t="n">
        <f aca="false">B61+Inputs!$C$150</f>
        <v>150</v>
      </c>
      <c r="C62" s="19" t="n">
        <f aca="false">Scenarios!$H$15*Scenarios!$H$16*(B62*$C$9+$C$8)</f>
        <v>9000</v>
      </c>
      <c r="D62" s="19" t="n">
        <f aca="false">Scenarios!$H$15*IF(Scenarios!$H$16&gt;0,Scenarios!$H$16*(B62*$C$9+$C$8)*$C$7-$C$10-$C$11*MAX(Scenarios!$H$16-1,0),0)</f>
        <v>7660</v>
      </c>
      <c r="E62" s="36" t="n">
        <f aca="false">Scenarios!$H$15*IF(Scenarios!$H$16&gt;0,$C$12+Scenarios!$H$16*((1-Scenarios!$H$12)*$C$13+Scenarios!$H$12*$C$14),0)</f>
        <v>94.4</v>
      </c>
      <c r="F62" s="28" t="n">
        <f aca="false">IF(E62&gt;0,D62/E62,"n/a")</f>
        <v>81.1440677966102</v>
      </c>
    </row>
    <row r="63" customFormat="false" ht="15" hidden="false" customHeight="false" outlineLevel="0" collapsed="false">
      <c r="B63" s="37" t="n">
        <f aca="false">B62+Inputs!$C$150</f>
        <v>175</v>
      </c>
      <c r="C63" s="19" t="n">
        <f aca="false">Scenarios!$H$15*Scenarios!$H$16*(B63*$C$9+$C$8)</f>
        <v>10500</v>
      </c>
      <c r="D63" s="19" t="n">
        <f aca="false">Scenarios!$H$15*IF(Scenarios!$H$16&gt;0,Scenarios!$H$16*(B63*$C$9+$C$8)*$C$7-$C$10-$C$11*MAX(Scenarios!$H$16-1,0),0)</f>
        <v>9115</v>
      </c>
      <c r="E63" s="36" t="n">
        <f aca="false">Scenarios!$H$15*IF(Scenarios!$H$16&gt;0,$C$12+Scenarios!$H$16*((1-Scenarios!$H$12)*$C$13+Scenarios!$H$12*$C$14),0)</f>
        <v>94.4</v>
      </c>
      <c r="F63" s="28" t="n">
        <f aca="false">IF(E63&gt;0,D63/E63,"n/a")</f>
        <v>96.5572033898305</v>
      </c>
    </row>
    <row r="64" customFormat="false" ht="15" hidden="false" customHeight="false" outlineLevel="0" collapsed="false">
      <c r="B64" s="37" t="n">
        <f aca="false">B63+Inputs!$C$150</f>
        <v>200</v>
      </c>
      <c r="C64" s="19" t="n">
        <f aca="false">Scenarios!$H$15*Scenarios!$H$16*(B64*$C$9+$C$8)</f>
        <v>12000</v>
      </c>
      <c r="D64" s="19" t="n">
        <f aca="false">Scenarios!$H$15*IF(Scenarios!$H$16&gt;0,Scenarios!$H$16*(B64*$C$9+$C$8)*$C$7-$C$10-$C$11*MAX(Scenarios!$H$16-1,0),0)</f>
        <v>10570</v>
      </c>
      <c r="E64" s="36" t="n">
        <f aca="false">Scenarios!$H$15*IF(Scenarios!$H$16&gt;0,$C$12+Scenarios!$H$16*((1-Scenarios!$H$12)*$C$13+Scenarios!$H$12*$C$14),0)</f>
        <v>94.4</v>
      </c>
      <c r="F64" s="28" t="n">
        <f aca="false">IF(E64&gt;0,D64/E64,"n/a")</f>
        <v>111.970338983051</v>
      </c>
    </row>
    <row r="65" customFormat="false" ht="15" hidden="false" customHeight="false" outlineLevel="0" collapsed="false">
      <c r="B65" s="37" t="n">
        <f aca="false">B64+Inputs!$C$150</f>
        <v>225</v>
      </c>
      <c r="C65" s="19" t="n">
        <f aca="false">Scenarios!$H$15*Scenarios!$H$16*(B65*$C$9+$C$8)</f>
        <v>13500</v>
      </c>
      <c r="D65" s="19" t="n">
        <f aca="false">Scenarios!$H$15*IF(Scenarios!$H$16&gt;0,Scenarios!$H$16*(B65*$C$9+$C$8)*$C$7-$C$10-$C$11*MAX(Scenarios!$H$16-1,0),0)</f>
        <v>12025</v>
      </c>
      <c r="E65" s="36" t="n">
        <f aca="false">Scenarios!$H$15*IF(Scenarios!$H$16&gt;0,$C$12+Scenarios!$H$16*((1-Scenarios!$H$12)*$C$13+Scenarios!$H$12*$C$14),0)</f>
        <v>94.4</v>
      </c>
      <c r="F65" s="28" t="n">
        <f aca="false">IF(E65&gt;0,D65/E65,"n/a")</f>
        <v>127.383474576271</v>
      </c>
    </row>
    <row r="66" customFormat="false" ht="15" hidden="false" customHeight="false" outlineLevel="0" collapsed="false">
      <c r="B66" s="37" t="n">
        <f aca="false">B65+Inputs!$C$150</f>
        <v>250</v>
      </c>
      <c r="C66" s="19" t="n">
        <f aca="false">Scenarios!$H$15*Scenarios!$H$16*(B66*$C$9+$C$8)</f>
        <v>15000</v>
      </c>
      <c r="D66" s="19" t="n">
        <f aca="false">Scenarios!$H$15*IF(Scenarios!$H$16&gt;0,Scenarios!$H$16*(B66*$C$9+$C$8)*$C$7-$C$10-$C$11*MAX(Scenarios!$H$16-1,0),0)</f>
        <v>13480</v>
      </c>
      <c r="E66" s="36" t="n">
        <f aca="false">Scenarios!$H$15*IF(Scenarios!$H$16&gt;0,$C$12+Scenarios!$H$16*((1-Scenarios!$H$12)*$C$13+Scenarios!$H$12*$C$14),0)</f>
        <v>94.4</v>
      </c>
      <c r="F66" s="28" t="n">
        <f aca="false">IF(E66&gt;0,D66/E66,"n/a")</f>
        <v>142.796610169492</v>
      </c>
    </row>
    <row r="67" customFormat="false" ht="15" hidden="false" customHeight="false" outlineLevel="0" collapsed="false">
      <c r="B67" s="37" t="n">
        <f aca="false">B66+Inputs!$C$150</f>
        <v>275</v>
      </c>
      <c r="C67" s="19" t="n">
        <f aca="false">Scenarios!$H$15*Scenarios!$H$16*(B67*$C$9+$C$8)</f>
        <v>16500</v>
      </c>
      <c r="D67" s="19" t="n">
        <f aca="false">Scenarios!$H$15*IF(Scenarios!$H$16&gt;0,Scenarios!$H$16*(B67*$C$9+$C$8)*$C$7-$C$10-$C$11*MAX(Scenarios!$H$16-1,0),0)</f>
        <v>14935</v>
      </c>
      <c r="E67" s="36" t="n">
        <f aca="false">Scenarios!$H$15*IF(Scenarios!$H$16&gt;0,$C$12+Scenarios!$H$16*((1-Scenarios!$H$12)*$C$13+Scenarios!$H$12*$C$14),0)</f>
        <v>94.4</v>
      </c>
      <c r="F67" s="28" t="n">
        <f aca="false">IF(E67&gt;0,D67/E67,"n/a")</f>
        <v>158.209745762712</v>
      </c>
    </row>
    <row r="70" customFormat="false" ht="15" hidden="false" customHeight="false" outlineLevel="0" collapsed="false">
      <c r="B70" s="84" t="s">
        <v>1256</v>
      </c>
    </row>
    <row r="71" customFormat="false" ht="15" hidden="false" customHeight="false" outlineLevel="0" collapsed="false">
      <c r="B71" s="30" t="s">
        <v>1257</v>
      </c>
      <c r="C71" s="22" t="n">
        <f aca="false">SUMPRODUCT((C19:C25-C18:C24&lt;=0)*1)+SUMPRODUCT((D19:D25-D18:D24&lt;=0)*1)+SUMPRODUCT((E19:E25-E18:E24&lt;=0)*1)+SUMPRODUCT((F19:F25-F18:F24&lt;=0)*1)+SUMPRODUCT((G19:G25-G18:G24&lt;=0)*1)</f>
        <v>0</v>
      </c>
    </row>
    <row r="72" customFormat="false" ht="15" hidden="false" customHeight="false" outlineLevel="0" collapsed="false">
      <c r="B72" s="30" t="s">
        <v>1258</v>
      </c>
      <c r="C72" s="22" t="n">
        <f aca="false">SUMPRODUCT((D18:G18-C18:F18&lt;=0)*1)+SUMPRODUCT((D19:G19-C19:F19&lt;=0)*1)+SUMPRODUCT((D20:G20-C20:F20&lt;=0)*1)+SUMPRODUCT((D21:G21-C21:F21&lt;=0)*1)+SUMPRODUCT((D22:G22-C22:F22&lt;=0)*1)+SUMPRODUCT((D23:G23-C23:F23&lt;=0)*1)+SUMPRODUCT((D24:G24-C24:F24&lt;=0)*1)+SUMPRODUCT((D25:G25-C25:F25&lt;=0)*1)</f>
        <v>0</v>
      </c>
    </row>
    <row r="73" customFormat="false" ht="15" hidden="false" customHeight="false" outlineLevel="0" collapsed="false">
      <c r="B73" s="30" t="s">
        <v>1259</v>
      </c>
      <c r="C73" s="22" t="n">
        <f aca="false">SUMPRODUCT((C31:C40-C30:C39&lt;0)*(C30:C39&gt;0))+SUMPRODUCT((D31:D40-D30:D39&lt;0)*(D30:D39&gt;0))+SUMPRODUCT((E31:E40-E30:E39&lt;0)*(E30:E39&gt;0))+SUMPRODUCT((F31:F40-F30:F39&lt;0)*(F30:F39&gt;0))+SUMPRODUCT((G31:G40-G30:G39&lt;0)*(G30:G39&gt;0))</f>
        <v>0</v>
      </c>
    </row>
    <row r="75" customFormat="false" ht="15" hidden="false" customHeight="false" outlineLevel="0" collapsed="false">
      <c r="A75" s="84" t="s">
        <v>1260</v>
      </c>
    </row>
    <row r="76" customFormat="false" ht="57.75" hidden="false" customHeight="true" outlineLevel="0" collapsed="false">
      <c r="A76" s="12" t="s">
        <v>1038</v>
      </c>
      <c r="B76" s="12" t="s">
        <v>326</v>
      </c>
      <c r="C76" s="12" t="s">
        <v>328</v>
      </c>
      <c r="D76" s="12" t="s">
        <v>944</v>
      </c>
      <c r="E76" s="12" t="s">
        <v>330</v>
      </c>
      <c r="F76" s="12" t="s">
        <v>945</v>
      </c>
      <c r="G76" s="12" t="s">
        <v>329</v>
      </c>
      <c r="H76" s="12" t="s">
        <v>946</v>
      </c>
      <c r="I76" s="12" t="s">
        <v>947</v>
      </c>
      <c r="J76" s="12" t="s">
        <v>457</v>
      </c>
      <c r="K76" s="12" t="s">
        <v>469</v>
      </c>
      <c r="L76" s="12" t="s">
        <v>1039</v>
      </c>
      <c r="M76" s="12" t="s">
        <v>1040</v>
      </c>
      <c r="N76" s="12" t="s">
        <v>1041</v>
      </c>
      <c r="O76" s="12" t="s">
        <v>1042</v>
      </c>
      <c r="P76" s="12" t="s">
        <v>1043</v>
      </c>
      <c r="Q76" s="12" t="s">
        <v>1044</v>
      </c>
      <c r="R76" s="12" t="s">
        <v>1045</v>
      </c>
      <c r="S76" s="12" t="s">
        <v>331</v>
      </c>
      <c r="T76" s="12" t="s">
        <v>1015</v>
      </c>
      <c r="U76" s="12" t="s">
        <v>1017</v>
      </c>
      <c r="V76" s="12" t="s">
        <v>193</v>
      </c>
      <c r="W76" s="12" t="s">
        <v>1018</v>
      </c>
      <c r="X76" s="12" t="s">
        <v>1019</v>
      </c>
      <c r="Y76" s="12" t="s">
        <v>1021</v>
      </c>
      <c r="Z76" s="12" t="s">
        <v>1023</v>
      </c>
      <c r="AA76" s="12" t="s">
        <v>332</v>
      </c>
      <c r="AB76" s="12" t="s">
        <v>1026</v>
      </c>
      <c r="AC76" s="12" t="s">
        <v>1027</v>
      </c>
      <c r="AD76" s="12" t="s">
        <v>1028</v>
      </c>
      <c r="AE76" s="12" t="s">
        <v>1029</v>
      </c>
      <c r="AF76" s="12" t="s">
        <v>1030</v>
      </c>
      <c r="AG76" s="12" t="s">
        <v>1031</v>
      </c>
      <c r="AH76" s="12" t="s">
        <v>1032</v>
      </c>
      <c r="AI76" s="12" t="s">
        <v>333</v>
      </c>
      <c r="AJ76" s="12" t="s">
        <v>334</v>
      </c>
      <c r="AK76" s="12" t="s">
        <v>1033</v>
      </c>
      <c r="AL76" s="12" t="s">
        <v>1046</v>
      </c>
      <c r="AM76" s="12" t="s">
        <v>1047</v>
      </c>
    </row>
    <row r="77" customFormat="false" ht="15" hidden="false" customHeight="false" outlineLevel="0" collapsed="false">
      <c r="A77" s="30" t="s">
        <v>1261</v>
      </c>
      <c r="B77" s="86"/>
      <c r="C77" s="30" t="str">
        <f aca="false">Inputs!$C$113</f>
        <v>courier</v>
      </c>
      <c r="D77" s="30" t="s">
        <v>984</v>
      </c>
      <c r="E77" s="21" t="n">
        <f aca="false">Inputs!$C$114</f>
        <v>10</v>
      </c>
      <c r="F77" s="21" t="n">
        <v>0</v>
      </c>
      <c r="G77" s="30" t="n">
        <f aca="false">$G$6</f>
        <v>3</v>
      </c>
      <c r="H77" s="30" t="n">
        <f aca="false">Scenarios!$H$12*G77</f>
        <v>1.2</v>
      </c>
      <c r="I77" s="30" t="n">
        <v>0</v>
      </c>
      <c r="J77" s="19" t="n">
        <f aca="false">Inputs!$C$39</f>
        <v>150</v>
      </c>
      <c r="K77" s="19" t="n">
        <f aca="false">Inputs!$C$42</f>
        <v>120</v>
      </c>
      <c r="L77" s="21" t="n">
        <f aca="false">IF(Inputs!$C$75="unit",1,0)</f>
        <v>1</v>
      </c>
      <c r="M77" s="21" t="n">
        <f aca="false">Inputs!$C$55</f>
        <v>1</v>
      </c>
      <c r="N77" s="21" t="n">
        <f aca="false">IF(G77&gt;0,1,0)</f>
        <v>1</v>
      </c>
      <c r="O77" s="30" t="n">
        <f aca="false">IF(D77="founding",G77-H77,0)</f>
        <v>0</v>
      </c>
      <c r="P77" s="30" t="n">
        <f aca="false">IF(D77="standard",G77-H77,0)</f>
        <v>1.8</v>
      </c>
      <c r="Q77" s="19" t="n">
        <f aca="false">O77*(K77*MIN(E77,Inputs!$C$43)+Inputs!$C$45*MAX(E77-Inputs!$C$43,0))+I77*K77*E77</f>
        <v>0</v>
      </c>
      <c r="R77" s="19" t="n">
        <f aca="false">(P77+H77-I77)*(J77*MIN(E77,Inputs!$C$40)+Inputs!$C$45*MAX(E77-Inputs!$C$40,0))</f>
        <v>4500</v>
      </c>
      <c r="S77" s="37" t="n">
        <f aca="false">Q77+R77</f>
        <v>4500</v>
      </c>
      <c r="T77" s="19" t="n">
        <f aca="false">N77*E77*(Inputs!$C$68+Inputs!$C$69*MAX(G77-1,0))</f>
        <v>80</v>
      </c>
      <c r="U77" s="19" t="n">
        <f aca="false">IF(N77=0,0,INDEX(Inputs!$C$105:$C$107,MATCH(C77,Inputs!$B$105:$B$107,0))+INDEX(Inputs!$D$105:$D$107,MATCH(C77,Inputs!$B$105:$B$107,0))*E77)</f>
        <v>300</v>
      </c>
      <c r="V77" s="19" t="n">
        <f aca="false">IF(N77=0,0,INDEX(Inputs!$E$105:$E$107,MATCH(C77,Inputs!$B$105:$B$107,0))*E77)</f>
        <v>0</v>
      </c>
      <c r="W77" s="19" t="n">
        <f aca="false">S77*Inputs!$C$54*M77</f>
        <v>135</v>
      </c>
      <c r="X77" s="19" t="n">
        <f aca="false">N77*L77*Inputs!$C$76/Inputs!$C$85</f>
        <v>75</v>
      </c>
      <c r="Y77" s="19" t="n">
        <f aca="false">N77*Inputs!$C$79/Inputs!$C$85</f>
        <v>30</v>
      </c>
      <c r="Z77" s="19" t="n">
        <f aca="false">N77*Inputs!$C$81/Inputs!$C$85</f>
        <v>50</v>
      </c>
      <c r="AA77" s="37" t="n">
        <f aca="false">SUM(T77:Z77)</f>
        <v>670</v>
      </c>
      <c r="AB77" s="36" t="n">
        <f aca="false">O77*Inputs!$C$89+P77*Inputs!$C$93+H77*Inputs!$C$94</f>
        <v>13.2</v>
      </c>
      <c r="AC77" s="36" t="n">
        <f aca="false">N77*(F77*Inputs!$C$95+(E77-F77)*Inputs!$C$96)</f>
        <v>10</v>
      </c>
      <c r="AD77" s="36" t="n">
        <f aca="false">IF(N77=0,0,INDEX(Inputs!$F$105:$F$107,MATCH(C77,Inputs!$B$105:$B$107,0))+Inputs!$C$97*G77)</f>
        <v>4</v>
      </c>
      <c r="AE77" s="36" t="n">
        <f aca="false">IF(N77=0,0,INDEX(Inputs!$G$105:$G$107,MATCH(C77,Inputs!$B$105:$B$107,0))*E77)</f>
        <v>8</v>
      </c>
      <c r="AF77" s="36" t="n">
        <f aca="false">IF(N77=0,0,INDEX(Inputs!$H$105:$H$107,MATCH(C77,Inputs!$B$105:$B$107,0))*E77)</f>
        <v>4</v>
      </c>
      <c r="AG77" s="36" t="n">
        <f aca="false">Inputs!$C$98*G77</f>
        <v>6</v>
      </c>
      <c r="AH77" s="36" t="n">
        <f aca="false">N77*Inputs!$C$99</f>
        <v>2</v>
      </c>
      <c r="AI77" s="38" t="n">
        <f aca="false">SUM(AB77:AH77)</f>
        <v>47.2</v>
      </c>
      <c r="AJ77" s="37" t="n">
        <f aca="false">S77-AA77</f>
        <v>3830</v>
      </c>
      <c r="AK77" s="29" t="n">
        <f aca="false">IF(AI77&gt;0,AJ77/AI77,"n/a")</f>
        <v>81.1440677966102</v>
      </c>
      <c r="AL77" s="19" t="n">
        <f aca="false">T77+U77+V77+W77</f>
        <v>515</v>
      </c>
      <c r="AM77" s="19" t="n">
        <f aca="false">X77+Y77+Z77</f>
        <v>155</v>
      </c>
    </row>
  </sheetData>
  <mergeCells count="1">
    <mergeCell ref="A3:L3"/>
  </mergeCells>
  <conditionalFormatting sqref="C18:G25">
    <cfRule type="cellIs" priority="2" operator="greaterThanOrEqual" aboveAverage="0" equalAverage="0" bottom="0" percent="0" rank="0" text="" dxfId="5">
      <formula>$G$10</formula>
    </cfRule>
    <cfRule type="cellIs" priority="3" operator="lessThan" aboveAverage="0" equalAverage="0" bottom="0" percent="0" rank="0" text="" dxfId="4">
      <formula>$G$10</formula>
    </cfRule>
  </conditionalFormatting>
  <conditionalFormatting sqref="C30:G40">
    <cfRule type="cellIs" priority="4" operator="greaterThanOrEqual" aboveAverage="0" equalAverage="0" bottom="0" percent="0" rank="0" text="" dxfId="5">
      <formula>$G$10</formula>
    </cfRule>
    <cfRule type="cellIs" priority="5" operator="lessThan" aboveAverage="0" equalAverage="0" bottom="0" percent="0" rank="0" text="" dxfId="4">
      <formula>$G$10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Y58"/>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2" min="1" style="0" width="44"/>
    <col collapsed="false" customWidth="true" hidden="false" outlineLevel="0" max="7" min="3" style="0" width="11"/>
    <col collapsed="false" customWidth="true" hidden="false" outlineLevel="0" max="8" min="8" style="0" width="14"/>
    <col collapsed="false" customWidth="true" hidden="false" outlineLevel="0" max="39" min="9" style="0" width="11"/>
    <col collapsed="false" customWidth="true" hidden="false" outlineLevel="0" max="49" min="41" style="0" width="12"/>
    <col collapsed="false" customWidth="true" hidden="false" outlineLevel="0" max="50" min="50" style="0" width="16"/>
    <col collapsed="false" customWidth="true" hidden="false" outlineLevel="0" max="51" min="51" style="0" width="60"/>
  </cols>
  <sheetData>
    <row r="1" customFormat="false" ht="18.55" hidden="false" customHeight="false" outlineLevel="0" collapsed="false">
      <c r="A1" s="1" t="s">
        <v>1262</v>
      </c>
    </row>
    <row r="2" customFormat="false" ht="15" hidden="false" customHeight="false" outlineLevel="0" collapsed="false">
      <c r="A2" s="2" t="s">
        <v>1263</v>
      </c>
    </row>
    <row r="3" customFormat="false" ht="30" hidden="false" customHeight="true" outlineLevel="0" collapsed="false">
      <c r="A3" s="8" t="s">
        <v>1264</v>
      </c>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row>
    <row r="5" customFormat="false" ht="15" hidden="false" customHeight="true" outlineLevel="0" collapsed="false">
      <c r="A5" s="87" t="s">
        <v>1052</v>
      </c>
      <c r="B5" s="87"/>
      <c r="C5" s="87"/>
      <c r="E5" s="87" t="s">
        <v>1053</v>
      </c>
      <c r="F5" s="87"/>
      <c r="G5" s="87"/>
      <c r="H5" s="87"/>
      <c r="I5" s="87"/>
      <c r="J5" s="87"/>
      <c r="K5" s="87"/>
      <c r="L5" s="87"/>
      <c r="M5" s="87"/>
      <c r="N5" s="87" t="s">
        <v>331</v>
      </c>
      <c r="O5" s="87"/>
      <c r="P5" s="87"/>
      <c r="Q5" s="87"/>
      <c r="R5" s="87"/>
      <c r="S5" s="87"/>
      <c r="T5" s="87" t="s">
        <v>332</v>
      </c>
      <c r="U5" s="87"/>
      <c r="V5" s="87"/>
      <c r="W5" s="87"/>
      <c r="X5" s="87"/>
      <c r="Y5" s="87"/>
      <c r="Z5" s="87"/>
      <c r="AA5" s="87"/>
      <c r="AB5" s="87" t="s">
        <v>1054</v>
      </c>
      <c r="AC5" s="87"/>
      <c r="AD5" s="87"/>
      <c r="AE5" s="87"/>
      <c r="AF5" s="87"/>
      <c r="AG5" s="87"/>
      <c r="AH5" s="87"/>
      <c r="AI5" s="87"/>
      <c r="AJ5" s="87" t="s">
        <v>1011</v>
      </c>
      <c r="AK5" s="87"/>
      <c r="AL5" s="87" t="s">
        <v>1055</v>
      </c>
      <c r="AM5" s="87"/>
    </row>
    <row r="6" customFormat="false" ht="57.75" hidden="false" customHeight="true" outlineLevel="0" collapsed="false">
      <c r="A6" s="12" t="s">
        <v>1038</v>
      </c>
      <c r="B6" s="12" t="s">
        <v>326</v>
      </c>
      <c r="C6" s="12" t="s">
        <v>328</v>
      </c>
      <c r="D6" s="12" t="s">
        <v>944</v>
      </c>
      <c r="E6" s="12" t="s">
        <v>330</v>
      </c>
      <c r="F6" s="12" t="s">
        <v>945</v>
      </c>
      <c r="G6" s="12" t="s">
        <v>329</v>
      </c>
      <c r="H6" s="12" t="s">
        <v>946</v>
      </c>
      <c r="I6" s="12" t="s">
        <v>947</v>
      </c>
      <c r="J6" s="12" t="s">
        <v>457</v>
      </c>
      <c r="K6" s="12" t="s">
        <v>469</v>
      </c>
      <c r="L6" s="12" t="s">
        <v>1039</v>
      </c>
      <c r="M6" s="12" t="s">
        <v>1040</v>
      </c>
      <c r="N6" s="12" t="s">
        <v>1041</v>
      </c>
      <c r="O6" s="12" t="s">
        <v>1042</v>
      </c>
      <c r="P6" s="12" t="s">
        <v>1043</v>
      </c>
      <c r="Q6" s="12" t="s">
        <v>1044</v>
      </c>
      <c r="R6" s="12" t="s">
        <v>1045</v>
      </c>
      <c r="S6" s="12" t="s">
        <v>331</v>
      </c>
      <c r="T6" s="12" t="s">
        <v>1015</v>
      </c>
      <c r="U6" s="12" t="s">
        <v>1017</v>
      </c>
      <c r="V6" s="12" t="s">
        <v>193</v>
      </c>
      <c r="W6" s="12" t="s">
        <v>1018</v>
      </c>
      <c r="X6" s="12" t="s">
        <v>1019</v>
      </c>
      <c r="Y6" s="12" t="s">
        <v>1021</v>
      </c>
      <c r="Z6" s="12" t="s">
        <v>1023</v>
      </c>
      <c r="AA6" s="12" t="s">
        <v>332</v>
      </c>
      <c r="AB6" s="12" t="s">
        <v>1026</v>
      </c>
      <c r="AC6" s="12" t="s">
        <v>1027</v>
      </c>
      <c r="AD6" s="12" t="s">
        <v>1028</v>
      </c>
      <c r="AE6" s="12" t="s">
        <v>1029</v>
      </c>
      <c r="AF6" s="12" t="s">
        <v>1030</v>
      </c>
      <c r="AG6" s="12" t="s">
        <v>1031</v>
      </c>
      <c r="AH6" s="12" t="s">
        <v>1032</v>
      </c>
      <c r="AI6" s="12" t="s">
        <v>333</v>
      </c>
      <c r="AJ6" s="12" t="s">
        <v>334</v>
      </c>
      <c r="AK6" s="12" t="s">
        <v>1033</v>
      </c>
      <c r="AL6" s="12" t="s">
        <v>1046</v>
      </c>
      <c r="AM6" s="12" t="s">
        <v>1047</v>
      </c>
      <c r="AO6" s="12" t="s">
        <v>1265</v>
      </c>
      <c r="AP6" s="12" t="s">
        <v>1266</v>
      </c>
      <c r="AQ6" s="12" t="s">
        <v>1267</v>
      </c>
      <c r="AR6" s="12" t="s">
        <v>1268</v>
      </c>
      <c r="AS6" s="12" t="s">
        <v>1269</v>
      </c>
      <c r="AT6" s="12" t="s">
        <v>1270</v>
      </c>
      <c r="AU6" s="12" t="s">
        <v>1271</v>
      </c>
      <c r="AV6" s="12" t="s">
        <v>1272</v>
      </c>
      <c r="AW6" s="12" t="s">
        <v>1273</v>
      </c>
      <c r="AX6" s="12" t="s">
        <v>276</v>
      </c>
      <c r="AY6" s="12" t="s">
        <v>1274</v>
      </c>
    </row>
    <row r="7" customFormat="false" ht="30" hidden="false" customHeight="true" outlineLevel="0" collapsed="false">
      <c r="A7" s="39" t="s">
        <v>1275</v>
      </c>
      <c r="B7" s="57"/>
      <c r="C7" s="39" t="s">
        <v>672</v>
      </c>
      <c r="D7" s="39" t="s">
        <v>980</v>
      </c>
      <c r="E7" s="62" t="n">
        <v>5</v>
      </c>
      <c r="F7" s="62" t="n">
        <v>5</v>
      </c>
      <c r="G7" s="39" t="n">
        <v>2</v>
      </c>
      <c r="H7" s="39" t="n">
        <v>0</v>
      </c>
      <c r="I7" s="39" t="n">
        <v>0</v>
      </c>
      <c r="J7" s="46" t="n">
        <v>150</v>
      </c>
      <c r="K7" s="46" t="n">
        <v>120</v>
      </c>
      <c r="L7" s="62" t="n">
        <v>0</v>
      </c>
      <c r="M7" s="62" t="n">
        <v>1</v>
      </c>
      <c r="N7" s="21" t="n">
        <f aca="false">IF(G7&gt;0,1,0)</f>
        <v>1</v>
      </c>
      <c r="O7" s="30" t="n">
        <f aca="false">IF(D7="founding",G7-H7,0)</f>
        <v>2</v>
      </c>
      <c r="P7" s="30" t="n">
        <f aca="false">IF(D7="standard",G7-H7,0)</f>
        <v>0</v>
      </c>
      <c r="Q7" s="19" t="n">
        <f aca="false">O7*(K7*MIN(E7,Inputs!$C$43)+Inputs!$C$45*MAX(E7-Inputs!$C$43,0))+I7*K7*E7</f>
        <v>1200</v>
      </c>
      <c r="R7" s="19" t="n">
        <f aca="false">(P7+H7-I7)*(J7*MIN(E7,Inputs!$C$40)+Inputs!$C$45*MAX(E7-Inputs!$C$40,0))</f>
        <v>0</v>
      </c>
      <c r="S7" s="37" t="n">
        <f aca="false">Q7+R7</f>
        <v>1200</v>
      </c>
      <c r="T7" s="19" t="n">
        <f aca="false">N7*E7*(Inputs!$C$68+Inputs!$C$69*MAX(G7-1,0))</f>
        <v>40</v>
      </c>
      <c r="U7" s="19" t="n">
        <f aca="false">IF(N7=0,0,INDEX(Inputs!$C$105:$C$107,MATCH(C7,Inputs!$B$105:$B$107,0))+INDEX(Inputs!$D$105:$D$107,MATCH(C7,Inputs!$B$105:$B$107,0))*E7)</f>
        <v>120</v>
      </c>
      <c r="V7" s="19" t="n">
        <f aca="false">IF(N7=0,0,INDEX(Inputs!$E$105:$E$107,MATCH(C7,Inputs!$B$105:$B$107,0))*E7)</f>
        <v>0</v>
      </c>
      <c r="W7" s="19" t="n">
        <f aca="false">S7*Inputs!$C$54*M7</f>
        <v>36</v>
      </c>
      <c r="X7" s="19" t="n">
        <f aca="false">N7*L7*Inputs!$C$76/Inputs!$C$85</f>
        <v>0</v>
      </c>
      <c r="Y7" s="19" t="n">
        <f aca="false">N7*Inputs!$C$79/Inputs!$C$85</f>
        <v>30</v>
      </c>
      <c r="Z7" s="19" t="n">
        <f aca="false">N7*Inputs!$C$81/Inputs!$C$85</f>
        <v>50</v>
      </c>
      <c r="AA7" s="37" t="n">
        <f aca="false">SUM(T7:Z7)</f>
        <v>276</v>
      </c>
      <c r="AB7" s="36" t="n">
        <f aca="false">O7*Inputs!$C$89+P7*Inputs!$C$93+H7*Inputs!$C$94</f>
        <v>20</v>
      </c>
      <c r="AC7" s="36" t="n">
        <f aca="false">N7*(F7*Inputs!$C$95+(E7-F7)*Inputs!$C$96)</f>
        <v>20</v>
      </c>
      <c r="AD7" s="36" t="n">
        <f aca="false">IF(N7=0,0,INDEX(Inputs!$F$105:$F$107,MATCH(C7,Inputs!$B$105:$B$107,0))+Inputs!$C$97*G7)</f>
        <v>3</v>
      </c>
      <c r="AE7" s="36" t="n">
        <f aca="false">IF(N7=0,0,INDEX(Inputs!$G$105:$G$107,MATCH(C7,Inputs!$B$105:$B$107,0))*E7)</f>
        <v>5</v>
      </c>
      <c r="AF7" s="36" t="n">
        <f aca="false">IF(N7=0,0,INDEX(Inputs!$H$105:$H$107,MATCH(C7,Inputs!$B$105:$B$107,0))*E7)</f>
        <v>3</v>
      </c>
      <c r="AG7" s="36" t="n">
        <f aca="false">Inputs!$C$98*G7</f>
        <v>4</v>
      </c>
      <c r="AH7" s="36" t="n">
        <f aca="false">N7*Inputs!$C$99</f>
        <v>2</v>
      </c>
      <c r="AI7" s="38" t="n">
        <f aca="false">SUM(AB7:AH7)</f>
        <v>57</v>
      </c>
      <c r="AJ7" s="37" t="n">
        <f aca="false">S7-AA7</f>
        <v>924</v>
      </c>
      <c r="AK7" s="29" t="n">
        <f aca="false">IF(AI7&gt;0,AJ7/AI7,"n/a")</f>
        <v>16.2105263157895</v>
      </c>
      <c r="AL7" s="19" t="n">
        <f aca="false">T7+U7+V7+W7</f>
        <v>196</v>
      </c>
      <c r="AM7" s="19" t="n">
        <f aca="false">X7+Y7+Z7</f>
        <v>80</v>
      </c>
      <c r="AO7" s="19" t="n">
        <v>1200</v>
      </c>
      <c r="AP7" s="19" t="n">
        <v>280</v>
      </c>
      <c r="AQ7" s="36" t="n">
        <v>57</v>
      </c>
      <c r="AR7" s="19" t="n">
        <v>920</v>
      </c>
      <c r="AS7" s="28" t="n">
        <v>16</v>
      </c>
      <c r="AT7" s="100" t="n">
        <v>5</v>
      </c>
      <c r="AU7" s="101" t="n">
        <v>0.01</v>
      </c>
      <c r="AV7" s="101" t="n">
        <v>0.5</v>
      </c>
      <c r="AW7" s="30" t="s">
        <v>1276</v>
      </c>
      <c r="AX7" s="9" t="str">
        <f aca="false">IF(AW7="contrast",IF(AND(IF(AO7="",TRUE(),ABS(S7-AO7)&lt;=AT7),IF(AP7="",TRUE(),ABS(AA7-AP7)&lt;=AT7),IF(AR7="",TRUE(),ABS(AJ7-AR7)&lt;=AT7),IF(AQ7="",TRUE(),ABS(AI7-AQ7)&lt;=AU7),IF(AS7="",TRUE(),IF(ISNUMBER(AK7),ABS(AK7-AS7)&lt;=AV7,FALSE()))),"matches","differs, as expected"),IF(AND(IF(AO7="",TRUE(),ABS(S7-AO7)&lt;=AT7),IF(AP7="",TRUE(),ABS(AA7-AP7)&lt;=AT7),IF(AR7="",TRUE(),ABS(AJ7-AR7)&lt;=AT7),IF(AQ7="",TRUE(),ABS(AI7-AQ7)&lt;=AU7),IF(AS7="",TRUE(),IF(ISNUMBER(AK7),ABS(AK7-AS7)&lt;=AV7,FALSE()))),"reproduces","differs"))</f>
        <v>reproduces</v>
      </c>
      <c r="AY7" s="7" t="s">
        <v>1277</v>
      </c>
    </row>
    <row r="8" customFormat="false" ht="30" hidden="false" customHeight="true" outlineLevel="0" collapsed="false">
      <c r="A8" s="39" t="s">
        <v>1278</v>
      </c>
      <c r="B8" s="57"/>
      <c r="C8" s="39" t="s">
        <v>674</v>
      </c>
      <c r="D8" s="39" t="s">
        <v>984</v>
      </c>
      <c r="E8" s="62" t="n">
        <v>10</v>
      </c>
      <c r="F8" s="62" t="n">
        <v>0</v>
      </c>
      <c r="G8" s="39" t="n">
        <v>1</v>
      </c>
      <c r="H8" s="39" t="n">
        <v>0</v>
      </c>
      <c r="I8" s="39" t="n">
        <v>0</v>
      </c>
      <c r="J8" s="46" t="n">
        <v>150</v>
      </c>
      <c r="K8" s="46" t="n">
        <v>120</v>
      </c>
      <c r="L8" s="62" t="n">
        <v>1</v>
      </c>
      <c r="M8" s="62" t="n">
        <v>1</v>
      </c>
      <c r="N8" s="21" t="n">
        <f aca="false">IF(G8&gt;0,1,0)</f>
        <v>1</v>
      </c>
      <c r="O8" s="30" t="n">
        <f aca="false">IF(D8="founding",G8-H8,0)</f>
        <v>0</v>
      </c>
      <c r="P8" s="30" t="n">
        <f aca="false">IF(D8="standard",G8-H8,0)</f>
        <v>1</v>
      </c>
      <c r="Q8" s="19" t="n">
        <f aca="false">O8*(K8*MIN(E8,Inputs!$C$43)+Inputs!$C$45*MAX(E8-Inputs!$C$43,0))+I8*K8*E8</f>
        <v>0</v>
      </c>
      <c r="R8" s="19" t="n">
        <f aca="false">(P8+H8-I8)*(J8*MIN(E8,Inputs!$C$40)+Inputs!$C$45*MAX(E8-Inputs!$C$40,0))</f>
        <v>1500</v>
      </c>
      <c r="S8" s="37" t="n">
        <f aca="false">Q8+R8</f>
        <v>1500</v>
      </c>
      <c r="T8" s="19" t="n">
        <f aca="false">N8*E8*(Inputs!$C$68+Inputs!$C$69*MAX(G8-1,0))</f>
        <v>80</v>
      </c>
      <c r="U8" s="19" t="n">
        <f aca="false">IF(N8=0,0,INDEX(Inputs!$C$105:$C$107,MATCH(C8,Inputs!$B$105:$B$107,0))+INDEX(Inputs!$D$105:$D$107,MATCH(C8,Inputs!$B$105:$B$107,0))*E8)</f>
        <v>300</v>
      </c>
      <c r="V8" s="19" t="n">
        <f aca="false">IF(N8=0,0,INDEX(Inputs!$E$105:$E$107,MATCH(C8,Inputs!$B$105:$B$107,0))*E8)</f>
        <v>0</v>
      </c>
      <c r="W8" s="19" t="n">
        <f aca="false">S8*Inputs!$C$54*M8</f>
        <v>45</v>
      </c>
      <c r="X8" s="19" t="n">
        <f aca="false">N8*L8*Inputs!$C$76/Inputs!$C$85</f>
        <v>75</v>
      </c>
      <c r="Y8" s="19" t="n">
        <f aca="false">N8*Inputs!$C$79/Inputs!$C$85</f>
        <v>30</v>
      </c>
      <c r="Z8" s="19" t="n">
        <f aca="false">N8*Inputs!$C$81/Inputs!$C$85</f>
        <v>50</v>
      </c>
      <c r="AA8" s="37" t="n">
        <f aca="false">SUM(T8:Z8)</f>
        <v>580</v>
      </c>
      <c r="AB8" s="36" t="n">
        <f aca="false">O8*Inputs!$C$89+P8*Inputs!$C$93+H8*Inputs!$C$94</f>
        <v>6</v>
      </c>
      <c r="AC8" s="36" t="n">
        <f aca="false">N8*(F8*Inputs!$C$95+(E8-F8)*Inputs!$C$96)</f>
        <v>10</v>
      </c>
      <c r="AD8" s="36" t="n">
        <f aca="false">IF(N8=0,0,INDEX(Inputs!$F$105:$F$107,MATCH(C8,Inputs!$B$105:$B$107,0))+Inputs!$C$97*G8)</f>
        <v>3</v>
      </c>
      <c r="AE8" s="36" t="n">
        <f aca="false">IF(N8=0,0,INDEX(Inputs!$G$105:$G$107,MATCH(C8,Inputs!$B$105:$B$107,0))*E8)</f>
        <v>8</v>
      </c>
      <c r="AF8" s="36" t="n">
        <f aca="false">IF(N8=0,0,INDEX(Inputs!$H$105:$H$107,MATCH(C8,Inputs!$B$105:$B$107,0))*E8)</f>
        <v>4</v>
      </c>
      <c r="AG8" s="36" t="n">
        <f aca="false">Inputs!$C$98*G8</f>
        <v>2</v>
      </c>
      <c r="AH8" s="36" t="n">
        <f aca="false">N8*Inputs!$C$99</f>
        <v>2</v>
      </c>
      <c r="AI8" s="38" t="n">
        <f aca="false">SUM(AB8:AH8)</f>
        <v>35</v>
      </c>
      <c r="AJ8" s="37" t="n">
        <f aca="false">S8-AA8</f>
        <v>920</v>
      </c>
      <c r="AK8" s="29" t="n">
        <f aca="false">IF(AI8&gt;0,AJ8/AI8,"n/a")</f>
        <v>26.2857142857143</v>
      </c>
      <c r="AL8" s="19" t="n">
        <f aca="false">T8+U8+V8+W8</f>
        <v>425</v>
      </c>
      <c r="AM8" s="19" t="n">
        <f aca="false">X8+Y8+Z8</f>
        <v>155</v>
      </c>
      <c r="AO8" s="19" t="n">
        <v>1500</v>
      </c>
      <c r="AP8" s="19" t="n">
        <v>580</v>
      </c>
      <c r="AQ8" s="36" t="n">
        <v>35</v>
      </c>
      <c r="AR8" s="19" t="n">
        <v>920</v>
      </c>
      <c r="AS8" s="28" t="n">
        <v>26</v>
      </c>
      <c r="AT8" s="100" t="n">
        <v>5</v>
      </c>
      <c r="AU8" s="101" t="n">
        <v>0.01</v>
      </c>
      <c r="AV8" s="101" t="n">
        <v>0.5</v>
      </c>
      <c r="AW8" s="30" t="s">
        <v>1276</v>
      </c>
      <c r="AX8" s="9" t="str">
        <f aca="false">IF(AW8="contrast",IF(AND(IF(AO8="",TRUE(),ABS(S8-AO8)&lt;=AT8),IF(AP8="",TRUE(),ABS(AA8-AP8)&lt;=AT8),IF(AR8="",TRUE(),ABS(AJ8-AR8)&lt;=AT8),IF(AQ8="",TRUE(),ABS(AI8-AQ8)&lt;=AU8),IF(AS8="",TRUE(),IF(ISNUMBER(AK8),ABS(AK8-AS8)&lt;=AV8,FALSE()))),"matches","differs, as expected"),IF(AND(IF(AO8="",TRUE(),ABS(S8-AO8)&lt;=AT8),IF(AP8="",TRUE(),ABS(AA8-AP8)&lt;=AT8),IF(AR8="",TRUE(),ABS(AJ8-AR8)&lt;=AT8),IF(AQ8="",TRUE(),ABS(AI8-AQ8)&lt;=AU8),IF(AS8="",TRUE(),IF(ISNUMBER(AK8),ABS(AK8-AS8)&lt;=AV8,FALSE()))),"reproduces","differs"))</f>
        <v>reproduces</v>
      </c>
      <c r="AY8" s="7"/>
    </row>
    <row r="9" customFormat="false" ht="30" hidden="false" customHeight="true" outlineLevel="0" collapsed="false">
      <c r="A9" s="39" t="s">
        <v>1279</v>
      </c>
      <c r="B9" s="57"/>
      <c r="C9" s="39" t="s">
        <v>674</v>
      </c>
      <c r="D9" s="39" t="s">
        <v>984</v>
      </c>
      <c r="E9" s="62" t="n">
        <v>10</v>
      </c>
      <c r="F9" s="62" t="n">
        <v>0</v>
      </c>
      <c r="G9" s="39" t="n">
        <v>3</v>
      </c>
      <c r="H9" s="39" t="n">
        <v>0</v>
      </c>
      <c r="I9" s="39" t="n">
        <v>0</v>
      </c>
      <c r="J9" s="46" t="n">
        <v>150</v>
      </c>
      <c r="K9" s="46" t="n">
        <v>120</v>
      </c>
      <c r="L9" s="62" t="n">
        <v>1</v>
      </c>
      <c r="M9" s="62" t="n">
        <v>1</v>
      </c>
      <c r="N9" s="21" t="n">
        <f aca="false">IF(G9&gt;0,1,0)</f>
        <v>1</v>
      </c>
      <c r="O9" s="30" t="n">
        <f aca="false">IF(D9="founding",G9-H9,0)</f>
        <v>0</v>
      </c>
      <c r="P9" s="30" t="n">
        <f aca="false">IF(D9="standard",G9-H9,0)</f>
        <v>3</v>
      </c>
      <c r="Q9" s="19" t="n">
        <f aca="false">O9*(K9*MIN(E9,Inputs!$C$43)+Inputs!$C$45*MAX(E9-Inputs!$C$43,0))+I9*K9*E9</f>
        <v>0</v>
      </c>
      <c r="R9" s="19" t="n">
        <f aca="false">(P9+H9-I9)*(J9*MIN(E9,Inputs!$C$40)+Inputs!$C$45*MAX(E9-Inputs!$C$40,0))</f>
        <v>4500</v>
      </c>
      <c r="S9" s="37" t="n">
        <f aca="false">Q9+R9</f>
        <v>4500</v>
      </c>
      <c r="T9" s="19" t="n">
        <f aca="false">N9*E9*(Inputs!$C$68+Inputs!$C$69*MAX(G9-1,0))</f>
        <v>80</v>
      </c>
      <c r="U9" s="19" t="n">
        <f aca="false">IF(N9=0,0,INDEX(Inputs!$C$105:$C$107,MATCH(C9,Inputs!$B$105:$B$107,0))+INDEX(Inputs!$D$105:$D$107,MATCH(C9,Inputs!$B$105:$B$107,0))*E9)</f>
        <v>300</v>
      </c>
      <c r="V9" s="19" t="n">
        <f aca="false">IF(N9=0,0,INDEX(Inputs!$E$105:$E$107,MATCH(C9,Inputs!$B$105:$B$107,0))*E9)</f>
        <v>0</v>
      </c>
      <c r="W9" s="19" t="n">
        <f aca="false">S9*Inputs!$C$54*M9</f>
        <v>135</v>
      </c>
      <c r="X9" s="19" t="n">
        <f aca="false">N9*L9*Inputs!$C$76/Inputs!$C$85</f>
        <v>75</v>
      </c>
      <c r="Y9" s="19" t="n">
        <f aca="false">N9*Inputs!$C$79/Inputs!$C$85</f>
        <v>30</v>
      </c>
      <c r="Z9" s="19" t="n">
        <f aca="false">N9*Inputs!$C$81/Inputs!$C$85</f>
        <v>50</v>
      </c>
      <c r="AA9" s="37" t="n">
        <f aca="false">SUM(T9:Z9)</f>
        <v>670</v>
      </c>
      <c r="AB9" s="36" t="n">
        <f aca="false">O9*Inputs!$C$89+P9*Inputs!$C$93+H9*Inputs!$C$94</f>
        <v>18</v>
      </c>
      <c r="AC9" s="36" t="n">
        <f aca="false">N9*(F9*Inputs!$C$95+(E9-F9)*Inputs!$C$96)</f>
        <v>10</v>
      </c>
      <c r="AD9" s="36" t="n">
        <f aca="false">IF(N9=0,0,INDEX(Inputs!$F$105:$F$107,MATCH(C9,Inputs!$B$105:$B$107,0))+Inputs!$C$97*G9)</f>
        <v>4</v>
      </c>
      <c r="AE9" s="36" t="n">
        <f aca="false">IF(N9=0,0,INDEX(Inputs!$G$105:$G$107,MATCH(C9,Inputs!$B$105:$B$107,0))*E9)</f>
        <v>8</v>
      </c>
      <c r="AF9" s="36" t="n">
        <f aca="false">IF(N9=0,0,INDEX(Inputs!$H$105:$H$107,MATCH(C9,Inputs!$B$105:$B$107,0))*E9)</f>
        <v>4</v>
      </c>
      <c r="AG9" s="36" t="n">
        <f aca="false">Inputs!$C$98*G9</f>
        <v>6</v>
      </c>
      <c r="AH9" s="36" t="n">
        <f aca="false">N9*Inputs!$C$99</f>
        <v>2</v>
      </c>
      <c r="AI9" s="38" t="n">
        <f aca="false">SUM(AB9:AH9)</f>
        <v>52</v>
      </c>
      <c r="AJ9" s="37" t="n">
        <f aca="false">S9-AA9</f>
        <v>3830</v>
      </c>
      <c r="AK9" s="29" t="n">
        <f aca="false">IF(AI9&gt;0,AJ9/AI9,"n/a")</f>
        <v>73.6538461538462</v>
      </c>
      <c r="AL9" s="19" t="n">
        <f aca="false">T9+U9+V9+W9</f>
        <v>515</v>
      </c>
      <c r="AM9" s="19" t="n">
        <f aca="false">X9+Y9+Z9</f>
        <v>155</v>
      </c>
      <c r="AO9" s="19" t="n">
        <v>4500</v>
      </c>
      <c r="AP9" s="19" t="n">
        <v>670</v>
      </c>
      <c r="AQ9" s="36" t="n">
        <v>52</v>
      </c>
      <c r="AR9" s="19" t="n">
        <v>3830</v>
      </c>
      <c r="AS9" s="28" t="n">
        <v>74</v>
      </c>
      <c r="AT9" s="100" t="n">
        <v>5</v>
      </c>
      <c r="AU9" s="101" t="n">
        <v>0.01</v>
      </c>
      <c r="AV9" s="101" t="n">
        <v>0.5</v>
      </c>
      <c r="AW9" s="30" t="s">
        <v>1276</v>
      </c>
      <c r="AX9" s="9" t="str">
        <f aca="false">IF(AW9="contrast",IF(AND(IF(AO9="",TRUE(),ABS(S9-AO9)&lt;=AT9),IF(AP9="",TRUE(),ABS(AA9-AP9)&lt;=AT9),IF(AR9="",TRUE(),ABS(AJ9-AR9)&lt;=AT9),IF(AQ9="",TRUE(),ABS(AI9-AQ9)&lt;=AU9),IF(AS9="",TRUE(),IF(ISNUMBER(AK9),ABS(AK9-AS9)&lt;=AV9,FALSE()))),"matches","differs, as expected"),IF(AND(IF(AO9="",TRUE(),ABS(S9-AO9)&lt;=AT9),IF(AP9="",TRUE(),ABS(AA9-AP9)&lt;=AT9),IF(AR9="",TRUE(),ABS(AJ9-AR9)&lt;=AT9),IF(AQ9="",TRUE(),ABS(AI9-AQ9)&lt;=AU9),IF(AS9="",TRUE(),IF(ISNUMBER(AK9),ABS(AK9-AS9)&lt;=AV9,FALSE()))),"reproduces","differs"))</f>
        <v>reproduces</v>
      </c>
      <c r="AY9" s="7" t="s">
        <v>1280</v>
      </c>
    </row>
    <row r="10" customFormat="false" ht="30" hidden="false" customHeight="true" outlineLevel="0" collapsed="false">
      <c r="A10" s="39" t="s">
        <v>1281</v>
      </c>
      <c r="B10" s="57"/>
      <c r="C10" s="39" t="s">
        <v>676</v>
      </c>
      <c r="D10" s="39" t="s">
        <v>984</v>
      </c>
      <c r="E10" s="62" t="n">
        <v>10</v>
      </c>
      <c r="F10" s="62" t="n">
        <v>0</v>
      </c>
      <c r="G10" s="39" t="n">
        <v>3</v>
      </c>
      <c r="H10" s="39" t="n">
        <v>0</v>
      </c>
      <c r="I10" s="39" t="n">
        <v>0</v>
      </c>
      <c r="J10" s="46" t="n">
        <v>150</v>
      </c>
      <c r="K10" s="46" t="n">
        <v>120</v>
      </c>
      <c r="L10" s="62" t="n">
        <v>1</v>
      </c>
      <c r="M10" s="62" t="n">
        <v>1</v>
      </c>
      <c r="N10" s="21" t="n">
        <f aca="false">IF(G10&gt;0,1,0)</f>
        <v>1</v>
      </c>
      <c r="O10" s="30" t="n">
        <f aca="false">IF(D10="founding",G10-H10,0)</f>
        <v>0</v>
      </c>
      <c r="P10" s="30" t="n">
        <f aca="false">IF(D10="standard",G10-H10,0)</f>
        <v>3</v>
      </c>
      <c r="Q10" s="19" t="n">
        <f aca="false">O10*(K10*MIN(E10,Inputs!$C$43)+Inputs!$C$45*MAX(E10-Inputs!$C$43,0))+I10*K10*E10</f>
        <v>0</v>
      </c>
      <c r="R10" s="19" t="n">
        <f aca="false">(P10+H10-I10)*(J10*MIN(E10,Inputs!$C$40)+Inputs!$C$45*MAX(E10-Inputs!$C$40,0))</f>
        <v>4500</v>
      </c>
      <c r="S10" s="37" t="n">
        <f aca="false">Q10+R10</f>
        <v>4500</v>
      </c>
      <c r="T10" s="19" t="n">
        <f aca="false">N10*E10*(Inputs!$C$68+Inputs!$C$69*MAX(G10-1,0))</f>
        <v>80</v>
      </c>
      <c r="U10" s="19" t="n">
        <f aca="false">IF(N10=0,0,INDEX(Inputs!$C$105:$C$107,MATCH(C10,Inputs!$B$105:$B$107,0))+INDEX(Inputs!$D$105:$D$107,MATCH(C10,Inputs!$B$105:$B$107,0))*E10)</f>
        <v>0</v>
      </c>
      <c r="V10" s="19" t="n">
        <f aca="false">IF(N10=0,0,INDEX(Inputs!$E$105:$E$107,MATCH(C10,Inputs!$B$105:$B$107,0))*E10)</f>
        <v>0</v>
      </c>
      <c r="W10" s="19" t="n">
        <f aca="false">S10*Inputs!$C$54*M10</f>
        <v>135</v>
      </c>
      <c r="X10" s="19" t="n">
        <f aca="false">N10*L10*Inputs!$C$76/Inputs!$C$85</f>
        <v>75</v>
      </c>
      <c r="Y10" s="19" t="n">
        <f aca="false">N10*Inputs!$C$79/Inputs!$C$85</f>
        <v>30</v>
      </c>
      <c r="Z10" s="19" t="n">
        <f aca="false">N10*Inputs!$C$81/Inputs!$C$85</f>
        <v>50</v>
      </c>
      <c r="AA10" s="37" t="n">
        <f aca="false">SUM(T10:Z10)</f>
        <v>370</v>
      </c>
      <c r="AB10" s="36" t="n">
        <f aca="false">O10*Inputs!$C$89+P10*Inputs!$C$93+H10*Inputs!$C$94</f>
        <v>18</v>
      </c>
      <c r="AC10" s="36" t="n">
        <f aca="false">N10*(F10*Inputs!$C$95+(E10-F10)*Inputs!$C$96)</f>
        <v>10</v>
      </c>
      <c r="AD10" s="36" t="n">
        <f aca="false">IF(N10=0,0,INDEX(Inputs!$F$105:$F$107,MATCH(C10,Inputs!$B$105:$B$107,0))+Inputs!$C$97*G10)</f>
        <v>2</v>
      </c>
      <c r="AE10" s="36" t="n">
        <f aca="false">IF(N10=0,0,INDEX(Inputs!$G$105:$G$107,MATCH(C10,Inputs!$B$105:$B$107,0))*E10)</f>
        <v>3</v>
      </c>
      <c r="AF10" s="36" t="n">
        <f aca="false">IF(N10=0,0,INDEX(Inputs!$H$105:$H$107,MATCH(C10,Inputs!$B$105:$B$107,0))*E10)</f>
        <v>4</v>
      </c>
      <c r="AG10" s="36" t="n">
        <f aca="false">Inputs!$C$98*G10</f>
        <v>6</v>
      </c>
      <c r="AH10" s="36" t="n">
        <f aca="false">N10*Inputs!$C$99</f>
        <v>2</v>
      </c>
      <c r="AI10" s="38" t="n">
        <f aca="false">SUM(AB10:AH10)</f>
        <v>45</v>
      </c>
      <c r="AJ10" s="37" t="n">
        <f aca="false">S10-AA10</f>
        <v>4130</v>
      </c>
      <c r="AK10" s="29" t="n">
        <f aca="false">IF(AI10&gt;0,AJ10/AI10,"n/a")</f>
        <v>91.7777777777778</v>
      </c>
      <c r="AL10" s="19" t="n">
        <f aca="false">T10+U10+V10+W10</f>
        <v>215</v>
      </c>
      <c r="AM10" s="19" t="n">
        <f aca="false">X10+Y10+Z10</f>
        <v>155</v>
      </c>
      <c r="AO10" s="19" t="n">
        <v>4500</v>
      </c>
      <c r="AP10" s="19" t="n">
        <v>370</v>
      </c>
      <c r="AQ10" s="36" t="n">
        <v>45</v>
      </c>
      <c r="AR10" s="19" t="n">
        <v>4130</v>
      </c>
      <c r="AS10" s="28" t="n">
        <v>92</v>
      </c>
      <c r="AT10" s="100" t="n">
        <v>5</v>
      </c>
      <c r="AU10" s="101" t="n">
        <v>0.01</v>
      </c>
      <c r="AV10" s="101" t="n">
        <v>0.5</v>
      </c>
      <c r="AW10" s="30" t="s">
        <v>1276</v>
      </c>
      <c r="AX10" s="9" t="str">
        <f aca="false">IF(AW10="contrast",IF(AND(IF(AO10="",TRUE(),ABS(S10-AO10)&lt;=AT10),IF(AP10="",TRUE(),ABS(AA10-AP10)&lt;=AT10),IF(AR10="",TRUE(),ABS(AJ10-AR10)&lt;=AT10),IF(AQ10="",TRUE(),ABS(AI10-AQ10)&lt;=AU10),IF(AS10="",TRUE(),IF(ISNUMBER(AK10),ABS(AK10-AS10)&lt;=AV10,FALSE()))),"matches","differs, as expected"),IF(AND(IF(AO10="",TRUE(),ABS(S10-AO10)&lt;=AT10),IF(AP10="",TRUE(),ABS(AA10-AP10)&lt;=AT10),IF(AR10="",TRUE(),ABS(AJ10-AR10)&lt;=AT10),IF(AQ10="",TRUE(),ABS(AI10-AQ10)&lt;=AU10),IF(AS10="",TRUE(),IF(ISNUMBER(AK10),ABS(AK10-AS10)&lt;=AV10,FALSE()))),"reproduces","differs"))</f>
        <v>reproduces</v>
      </c>
      <c r="AY10" s="7" t="s">
        <v>1282</v>
      </c>
    </row>
    <row r="11" customFormat="false" ht="30" hidden="false" customHeight="true" outlineLevel="0" collapsed="false">
      <c r="A11" s="39" t="s">
        <v>1283</v>
      </c>
      <c r="B11" s="57"/>
      <c r="C11" s="39" t="s">
        <v>674</v>
      </c>
      <c r="D11" s="39" t="s">
        <v>984</v>
      </c>
      <c r="E11" s="62" t="n">
        <v>10</v>
      </c>
      <c r="F11" s="62" t="n">
        <v>0</v>
      </c>
      <c r="G11" s="39" t="n">
        <v>3</v>
      </c>
      <c r="H11" s="39" t="n">
        <v>0</v>
      </c>
      <c r="I11" s="39" t="n">
        <v>0</v>
      </c>
      <c r="J11" s="46" t="n">
        <v>200</v>
      </c>
      <c r="K11" s="46" t="n">
        <v>120</v>
      </c>
      <c r="L11" s="62" t="n">
        <v>1</v>
      </c>
      <c r="M11" s="62" t="n">
        <v>1</v>
      </c>
      <c r="N11" s="21" t="n">
        <f aca="false">IF(G11&gt;0,1,0)</f>
        <v>1</v>
      </c>
      <c r="O11" s="30" t="n">
        <f aca="false">IF(D11="founding",G11-H11,0)</f>
        <v>0</v>
      </c>
      <c r="P11" s="30" t="n">
        <f aca="false">IF(D11="standard",G11-H11,0)</f>
        <v>3</v>
      </c>
      <c r="Q11" s="19" t="n">
        <f aca="false">O11*(K11*MIN(E11,Inputs!$C$43)+Inputs!$C$45*MAX(E11-Inputs!$C$43,0))+I11*K11*E11</f>
        <v>0</v>
      </c>
      <c r="R11" s="19" t="n">
        <f aca="false">(P11+H11-I11)*(J11*MIN(E11,Inputs!$C$40)+Inputs!$C$45*MAX(E11-Inputs!$C$40,0))</f>
        <v>6000</v>
      </c>
      <c r="S11" s="37" t="n">
        <f aca="false">Q11+R11</f>
        <v>6000</v>
      </c>
      <c r="T11" s="19" t="n">
        <f aca="false">N11*E11*(Inputs!$C$68+Inputs!$C$69*MAX(G11-1,0))</f>
        <v>80</v>
      </c>
      <c r="U11" s="19" t="n">
        <f aca="false">IF(N11=0,0,INDEX(Inputs!$C$105:$C$107,MATCH(C11,Inputs!$B$105:$B$107,0))+INDEX(Inputs!$D$105:$D$107,MATCH(C11,Inputs!$B$105:$B$107,0))*E11)</f>
        <v>300</v>
      </c>
      <c r="V11" s="19" t="n">
        <f aca="false">IF(N11=0,0,INDEX(Inputs!$E$105:$E$107,MATCH(C11,Inputs!$B$105:$B$107,0))*E11)</f>
        <v>0</v>
      </c>
      <c r="W11" s="19" t="n">
        <f aca="false">S11*Inputs!$C$54*M11</f>
        <v>180</v>
      </c>
      <c r="X11" s="19" t="n">
        <f aca="false">N11*L11*Inputs!$C$76/Inputs!$C$85</f>
        <v>75</v>
      </c>
      <c r="Y11" s="19" t="n">
        <f aca="false">N11*Inputs!$C$79/Inputs!$C$85</f>
        <v>30</v>
      </c>
      <c r="Z11" s="19" t="n">
        <f aca="false">N11*Inputs!$C$81/Inputs!$C$85</f>
        <v>50</v>
      </c>
      <c r="AA11" s="37" t="n">
        <f aca="false">SUM(T11:Z11)</f>
        <v>715</v>
      </c>
      <c r="AB11" s="36" t="n">
        <f aca="false">O11*Inputs!$C$89+P11*Inputs!$C$93+H11*Inputs!$C$94</f>
        <v>18</v>
      </c>
      <c r="AC11" s="36" t="n">
        <f aca="false">N11*(F11*Inputs!$C$95+(E11-F11)*Inputs!$C$96)</f>
        <v>10</v>
      </c>
      <c r="AD11" s="36" t="n">
        <f aca="false">IF(N11=0,0,INDEX(Inputs!$F$105:$F$107,MATCH(C11,Inputs!$B$105:$B$107,0))+Inputs!$C$97*G11)</f>
        <v>4</v>
      </c>
      <c r="AE11" s="36" t="n">
        <f aca="false">IF(N11=0,0,INDEX(Inputs!$G$105:$G$107,MATCH(C11,Inputs!$B$105:$B$107,0))*E11)</f>
        <v>8</v>
      </c>
      <c r="AF11" s="36" t="n">
        <f aca="false">IF(N11=0,0,INDEX(Inputs!$H$105:$H$107,MATCH(C11,Inputs!$B$105:$B$107,0))*E11)</f>
        <v>4</v>
      </c>
      <c r="AG11" s="36" t="n">
        <f aca="false">Inputs!$C$98*G11</f>
        <v>6</v>
      </c>
      <c r="AH11" s="36" t="n">
        <f aca="false">N11*Inputs!$C$99</f>
        <v>2</v>
      </c>
      <c r="AI11" s="38" t="n">
        <f aca="false">SUM(AB11:AH11)</f>
        <v>52</v>
      </c>
      <c r="AJ11" s="37" t="n">
        <f aca="false">S11-AA11</f>
        <v>5285</v>
      </c>
      <c r="AK11" s="29" t="n">
        <f aca="false">IF(AI11&gt;0,AJ11/AI11,"n/a")</f>
        <v>101.634615384615</v>
      </c>
      <c r="AL11" s="19" t="n">
        <f aca="false">T11+U11+V11+W11</f>
        <v>560</v>
      </c>
      <c r="AM11" s="19" t="n">
        <f aca="false">X11+Y11+Z11</f>
        <v>155</v>
      </c>
      <c r="AO11" s="19" t="n">
        <v>6000</v>
      </c>
      <c r="AP11" s="19" t="n">
        <v>715</v>
      </c>
      <c r="AQ11" s="36" t="n">
        <v>52</v>
      </c>
      <c r="AR11" s="19" t="n">
        <v>5285</v>
      </c>
      <c r="AS11" s="28" t="n">
        <v>102</v>
      </c>
      <c r="AT11" s="100" t="n">
        <v>5</v>
      </c>
      <c r="AU11" s="101" t="n">
        <v>0.01</v>
      </c>
      <c r="AV11" s="101" t="n">
        <v>0.5</v>
      </c>
      <c r="AW11" s="30" t="s">
        <v>1276</v>
      </c>
      <c r="AX11" s="9" t="str">
        <f aca="false">IF(AW11="contrast",IF(AND(IF(AO11="",TRUE(),ABS(S11-AO11)&lt;=AT11),IF(AP11="",TRUE(),ABS(AA11-AP11)&lt;=AT11),IF(AR11="",TRUE(),ABS(AJ11-AR11)&lt;=AT11),IF(AQ11="",TRUE(),ABS(AI11-AQ11)&lt;=AU11),IF(AS11="",TRUE(),IF(ISNUMBER(AK11),ABS(AK11-AS11)&lt;=AV11,FALSE()))),"matches","differs, as expected"),IF(AND(IF(AO11="",TRUE(),ABS(S11-AO11)&lt;=AT11),IF(AP11="",TRUE(),ABS(AA11-AP11)&lt;=AT11),IF(AR11="",TRUE(),ABS(AJ11-AR11)&lt;=AT11),IF(AQ11="",TRUE(),ABS(AI11-AQ11)&lt;=AU11),IF(AS11="",TRUE(),IF(ISNUMBER(AK11),ABS(AK11-AS11)&lt;=AV11,FALSE()))),"reproduces","differs"))</f>
        <v>reproduces</v>
      </c>
      <c r="AY11" s="7"/>
    </row>
    <row r="12" customFormat="false" ht="30" hidden="false" customHeight="true" outlineLevel="0" collapsed="false">
      <c r="A12" s="39" t="s">
        <v>1284</v>
      </c>
      <c r="B12" s="57"/>
      <c r="C12" s="39" t="s">
        <v>674</v>
      </c>
      <c r="D12" s="39" t="s">
        <v>984</v>
      </c>
      <c r="E12" s="62" t="n">
        <v>10</v>
      </c>
      <c r="F12" s="62" t="n">
        <v>0</v>
      </c>
      <c r="G12" s="39" t="n">
        <v>3</v>
      </c>
      <c r="H12" s="39" t="n">
        <v>0</v>
      </c>
      <c r="I12" s="39" t="n">
        <v>0</v>
      </c>
      <c r="J12" s="46" t="n">
        <v>100</v>
      </c>
      <c r="K12" s="46" t="n">
        <v>120</v>
      </c>
      <c r="L12" s="62" t="n">
        <v>1</v>
      </c>
      <c r="M12" s="62" t="n">
        <v>0</v>
      </c>
      <c r="N12" s="21" t="n">
        <f aca="false">IF(G12&gt;0,1,0)</f>
        <v>1</v>
      </c>
      <c r="O12" s="30" t="n">
        <f aca="false">IF(D12="founding",G12-H12,0)</f>
        <v>0</v>
      </c>
      <c r="P12" s="30" t="n">
        <f aca="false">IF(D12="standard",G12-H12,0)</f>
        <v>3</v>
      </c>
      <c r="Q12" s="19" t="n">
        <f aca="false">O12*(K12*MIN(E12,Inputs!$C$43)+Inputs!$C$45*MAX(E12-Inputs!$C$43,0))+I12*K12*E12</f>
        <v>0</v>
      </c>
      <c r="R12" s="19" t="n">
        <f aca="false">(P12+H12-I12)*(J12*MIN(E12,Inputs!$C$40)+Inputs!$C$45*MAX(E12-Inputs!$C$40,0))</f>
        <v>3000</v>
      </c>
      <c r="S12" s="37" t="n">
        <f aca="false">Q12+R12</f>
        <v>3000</v>
      </c>
      <c r="T12" s="19" t="n">
        <f aca="false">N12*E12*(Inputs!$C$68+Inputs!$C$69*MAX(G12-1,0))</f>
        <v>80</v>
      </c>
      <c r="U12" s="19" t="n">
        <f aca="false">IF(N12=0,0,INDEX(Inputs!$C$105:$C$107,MATCH(C12,Inputs!$B$105:$B$107,0))+INDEX(Inputs!$D$105:$D$107,MATCH(C12,Inputs!$B$105:$B$107,0))*E12)</f>
        <v>300</v>
      </c>
      <c r="V12" s="19" t="n">
        <f aca="false">IF(N12=0,0,INDEX(Inputs!$E$105:$E$107,MATCH(C12,Inputs!$B$105:$B$107,0))*E12)</f>
        <v>0</v>
      </c>
      <c r="W12" s="19" t="n">
        <f aca="false">S12*Inputs!$C$54*M12</f>
        <v>0</v>
      </c>
      <c r="X12" s="19" t="n">
        <f aca="false">N12*L12*Inputs!$C$76/Inputs!$C$85</f>
        <v>75</v>
      </c>
      <c r="Y12" s="19" t="n">
        <f aca="false">N12*Inputs!$C$79/Inputs!$C$85</f>
        <v>30</v>
      </c>
      <c r="Z12" s="19" t="n">
        <f aca="false">N12*Inputs!$C$81/Inputs!$C$85</f>
        <v>50</v>
      </c>
      <c r="AA12" s="37" t="n">
        <f aca="false">SUM(T12:Z12)</f>
        <v>535</v>
      </c>
      <c r="AB12" s="36" t="n">
        <f aca="false">O12*Inputs!$C$89+P12*Inputs!$C$93+H12*Inputs!$C$94</f>
        <v>18</v>
      </c>
      <c r="AC12" s="36" t="n">
        <f aca="false">N12*(F12*Inputs!$C$95+(E12-F12)*Inputs!$C$96)</f>
        <v>10</v>
      </c>
      <c r="AD12" s="36" t="n">
        <f aca="false">IF(N12=0,0,INDEX(Inputs!$F$105:$F$107,MATCH(C12,Inputs!$B$105:$B$107,0))+Inputs!$C$97*G12)</f>
        <v>4</v>
      </c>
      <c r="AE12" s="36" t="n">
        <f aca="false">IF(N12=0,0,INDEX(Inputs!$G$105:$G$107,MATCH(C12,Inputs!$B$105:$B$107,0))*E12)</f>
        <v>8</v>
      </c>
      <c r="AF12" s="36" t="n">
        <f aca="false">IF(N12=0,0,INDEX(Inputs!$H$105:$H$107,MATCH(C12,Inputs!$B$105:$B$107,0))*E12)</f>
        <v>4</v>
      </c>
      <c r="AG12" s="36" t="n">
        <f aca="false">Inputs!$C$98*G12</f>
        <v>6</v>
      </c>
      <c r="AH12" s="36" t="n">
        <f aca="false">N12*Inputs!$C$99</f>
        <v>2</v>
      </c>
      <c r="AI12" s="38" t="n">
        <f aca="false">SUM(AB12:AH12)</f>
        <v>52</v>
      </c>
      <c r="AJ12" s="37" t="n">
        <f aca="false">S12-AA12</f>
        <v>2465</v>
      </c>
      <c r="AK12" s="29" t="n">
        <f aca="false">IF(AI12&gt;0,AJ12/AI12,"n/a")</f>
        <v>47.4038461538462</v>
      </c>
      <c r="AL12" s="19" t="n">
        <f aca="false">T12+U12+V12+W12</f>
        <v>380</v>
      </c>
      <c r="AM12" s="19" t="n">
        <f aca="false">X12+Y12+Z12</f>
        <v>155</v>
      </c>
      <c r="AQ12" s="36" t="n">
        <v>52</v>
      </c>
      <c r="AS12" s="28" t="n">
        <v>47</v>
      </c>
      <c r="AT12" s="100" t="n">
        <v>5</v>
      </c>
      <c r="AU12" s="101" t="n">
        <v>0.01</v>
      </c>
      <c r="AV12" s="101" t="n">
        <v>0.5</v>
      </c>
      <c r="AW12" s="30" t="s">
        <v>1276</v>
      </c>
      <c r="AX12" s="9" t="str">
        <f aca="false">IF(AW12="contrast",IF(AND(IF(AO12="",TRUE(),ABS(S12-AO12)&lt;=AT12),IF(AP12="",TRUE(),ABS(AA12-AP12)&lt;=AT12),IF(AR12="",TRUE(),ABS(AJ12-AR12)&lt;=AT12),IF(AQ12="",TRUE(),ABS(AI12-AQ12)&lt;=AU12),IF(AS12="",TRUE(),IF(ISNUMBER(AK12),ABS(AK12-AS12)&lt;=AV12,FALSE()))),"matches","differs, as expected"),IF(AND(IF(AO12="",TRUE(),ABS(S12-AO12)&lt;=AT12),IF(AP12="",TRUE(),ABS(AA12-AP12)&lt;=AT12),IF(AR12="",TRUE(),ABS(AJ12-AR12)&lt;=AT12),IF(AQ12="",TRUE(),ABS(AI12-AQ12)&lt;=AU12),IF(AS12="",TRUE(),IF(ISNUMBER(AK12),ABS(AK12-AS12)&lt;=AV12,FALSE()))),"reproduces","differs"))</f>
        <v>reproduces</v>
      </c>
      <c r="AY12" s="7" t="s">
        <v>1285</v>
      </c>
    </row>
    <row r="13" customFormat="false" ht="30" hidden="false" customHeight="true" outlineLevel="0" collapsed="false">
      <c r="A13" s="39" t="s">
        <v>1286</v>
      </c>
      <c r="B13" s="57"/>
      <c r="C13" s="39" t="s">
        <v>674</v>
      </c>
      <c r="D13" s="39" t="s">
        <v>984</v>
      </c>
      <c r="E13" s="62" t="n">
        <v>10</v>
      </c>
      <c r="F13" s="62" t="n">
        <v>0</v>
      </c>
      <c r="G13" s="39" t="n">
        <v>3</v>
      </c>
      <c r="H13" s="39" t="n">
        <v>0</v>
      </c>
      <c r="I13" s="39" t="n">
        <v>0</v>
      </c>
      <c r="J13" s="46" t="n">
        <v>100</v>
      </c>
      <c r="K13" s="46" t="n">
        <v>120</v>
      </c>
      <c r="L13" s="62" t="n">
        <v>1</v>
      </c>
      <c r="M13" s="62" t="n">
        <v>1</v>
      </c>
      <c r="N13" s="21" t="n">
        <f aca="false">IF(G13&gt;0,1,0)</f>
        <v>1</v>
      </c>
      <c r="O13" s="30" t="n">
        <f aca="false">IF(D13="founding",G13-H13,0)</f>
        <v>0</v>
      </c>
      <c r="P13" s="30" t="n">
        <f aca="false">IF(D13="standard",G13-H13,0)</f>
        <v>3</v>
      </c>
      <c r="Q13" s="19" t="n">
        <f aca="false">O13*(K13*MIN(E13,Inputs!$C$43)+Inputs!$C$45*MAX(E13-Inputs!$C$43,0))+I13*K13*E13</f>
        <v>0</v>
      </c>
      <c r="R13" s="19" t="n">
        <f aca="false">(P13+H13-I13)*(J13*MIN(E13,Inputs!$C$40)+Inputs!$C$45*MAX(E13-Inputs!$C$40,0))</f>
        <v>3000</v>
      </c>
      <c r="S13" s="37" t="n">
        <f aca="false">Q13+R13</f>
        <v>3000</v>
      </c>
      <c r="T13" s="19" t="n">
        <f aca="false">N13*E13*(Inputs!$C$68+Inputs!$C$69*MAX(G13-1,0))</f>
        <v>80</v>
      </c>
      <c r="U13" s="19" t="n">
        <f aca="false">IF(N13=0,0,INDEX(Inputs!$C$105:$C$107,MATCH(C13,Inputs!$B$105:$B$107,0))+INDEX(Inputs!$D$105:$D$107,MATCH(C13,Inputs!$B$105:$B$107,0))*E13)</f>
        <v>300</v>
      </c>
      <c r="V13" s="19" t="n">
        <f aca="false">IF(N13=0,0,INDEX(Inputs!$E$105:$E$107,MATCH(C13,Inputs!$B$105:$B$107,0))*E13)</f>
        <v>0</v>
      </c>
      <c r="W13" s="19" t="n">
        <f aca="false">S13*Inputs!$C$54*M13</f>
        <v>90</v>
      </c>
      <c r="X13" s="19" t="n">
        <f aca="false">N13*L13*Inputs!$C$76/Inputs!$C$85</f>
        <v>75</v>
      </c>
      <c r="Y13" s="19" t="n">
        <f aca="false">N13*Inputs!$C$79/Inputs!$C$85</f>
        <v>30</v>
      </c>
      <c r="Z13" s="19" t="n">
        <f aca="false">N13*Inputs!$C$81/Inputs!$C$85</f>
        <v>50</v>
      </c>
      <c r="AA13" s="37" t="n">
        <f aca="false">SUM(T13:Z13)</f>
        <v>625</v>
      </c>
      <c r="AB13" s="36" t="n">
        <f aca="false">O13*Inputs!$C$89+P13*Inputs!$C$93+H13*Inputs!$C$94</f>
        <v>18</v>
      </c>
      <c r="AC13" s="36" t="n">
        <f aca="false">N13*(F13*Inputs!$C$95+(E13-F13)*Inputs!$C$96)</f>
        <v>10</v>
      </c>
      <c r="AD13" s="36" t="n">
        <f aca="false">IF(N13=0,0,INDEX(Inputs!$F$105:$F$107,MATCH(C13,Inputs!$B$105:$B$107,0))+Inputs!$C$97*G13)</f>
        <v>4</v>
      </c>
      <c r="AE13" s="36" t="n">
        <f aca="false">IF(N13=0,0,INDEX(Inputs!$G$105:$G$107,MATCH(C13,Inputs!$B$105:$B$107,0))*E13)</f>
        <v>8</v>
      </c>
      <c r="AF13" s="36" t="n">
        <f aca="false">IF(N13=0,0,INDEX(Inputs!$H$105:$H$107,MATCH(C13,Inputs!$B$105:$B$107,0))*E13)</f>
        <v>4</v>
      </c>
      <c r="AG13" s="36" t="n">
        <f aca="false">Inputs!$C$98*G13</f>
        <v>6</v>
      </c>
      <c r="AH13" s="36" t="n">
        <f aca="false">N13*Inputs!$C$99</f>
        <v>2</v>
      </c>
      <c r="AI13" s="38" t="n">
        <f aca="false">SUM(AB13:AH13)</f>
        <v>52</v>
      </c>
      <c r="AJ13" s="37" t="n">
        <f aca="false">S13-AA13</f>
        <v>2375</v>
      </c>
      <c r="AK13" s="29" t="n">
        <f aca="false">IF(AI13&gt;0,AJ13/AI13,"n/a")</f>
        <v>45.6730769230769</v>
      </c>
      <c r="AL13" s="19" t="n">
        <f aca="false">T13+U13+V13+W13</f>
        <v>470</v>
      </c>
      <c r="AM13" s="19" t="n">
        <f aca="false">X13+Y13+Z13</f>
        <v>155</v>
      </c>
      <c r="AQ13" s="36" t="n">
        <v>52</v>
      </c>
      <c r="AS13" s="28" t="n">
        <v>47</v>
      </c>
      <c r="AT13" s="100" t="n">
        <v>5</v>
      </c>
      <c r="AU13" s="101" t="n">
        <v>0.01</v>
      </c>
      <c r="AV13" s="101" t="n">
        <v>0.5</v>
      </c>
      <c r="AW13" s="30" t="s">
        <v>1287</v>
      </c>
      <c r="AX13" s="9" t="str">
        <f aca="false">IF(AW13="contrast",IF(AND(IF(AO13="",TRUE(),ABS(S13-AO13)&lt;=AT13),IF(AP13="",TRUE(),ABS(AA13-AP13)&lt;=AT13),IF(AR13="",TRUE(),ABS(AJ13-AR13)&lt;=AT13),IF(AQ13="",TRUE(),ABS(AI13-AQ13)&lt;=AU13),IF(AS13="",TRUE(),IF(ISNUMBER(AK13),ABS(AK13-AS13)&lt;=AV13,FALSE()))),"matches","differs, as expected"),IF(AND(IF(AO13="",TRUE(),ABS(S13-AO13)&lt;=AT13),IF(AP13="",TRUE(),ABS(AA13-AP13)&lt;=AT13),IF(AR13="",TRUE(),ABS(AJ13-AR13)&lt;=AT13),IF(AQ13="",TRUE(),ABS(AI13-AQ13)&lt;=AU13),IF(AS13="",TRUE(),IF(ISNUMBER(AK13),ABS(AK13-AS13)&lt;=AV13,FALSE()))),"reproduces","differs"))</f>
        <v>differs, as expected</v>
      </c>
      <c r="AY13" s="7" t="s">
        <v>1288</v>
      </c>
    </row>
    <row r="14" customFormat="false" ht="30" hidden="false" customHeight="true" outlineLevel="0" collapsed="false">
      <c r="A14" s="39" t="s">
        <v>1289</v>
      </c>
      <c r="B14" s="57"/>
      <c r="C14" s="39" t="s">
        <v>674</v>
      </c>
      <c r="D14" s="39" t="s">
        <v>984</v>
      </c>
      <c r="E14" s="62" t="n">
        <v>10</v>
      </c>
      <c r="F14" s="62" t="n">
        <v>0</v>
      </c>
      <c r="G14" s="39" t="n">
        <v>0</v>
      </c>
      <c r="H14" s="39" t="n">
        <v>0</v>
      </c>
      <c r="I14" s="39" t="n">
        <v>0</v>
      </c>
      <c r="J14" s="46" t="n">
        <v>150</v>
      </c>
      <c r="K14" s="46" t="n">
        <v>120</v>
      </c>
      <c r="L14" s="62" t="n">
        <v>1</v>
      </c>
      <c r="M14" s="62" t="n">
        <v>1</v>
      </c>
      <c r="N14" s="21" t="n">
        <f aca="false">IF(G14&gt;0,1,0)</f>
        <v>0</v>
      </c>
      <c r="O14" s="30" t="n">
        <f aca="false">IF(D14="founding",G14-H14,0)</f>
        <v>0</v>
      </c>
      <c r="P14" s="30" t="n">
        <f aca="false">IF(D14="standard",G14-H14,0)</f>
        <v>0</v>
      </c>
      <c r="Q14" s="19" t="n">
        <f aca="false">O14*(K14*MIN(E14,Inputs!$C$43)+Inputs!$C$45*MAX(E14-Inputs!$C$43,0))+I14*K14*E14</f>
        <v>0</v>
      </c>
      <c r="R14" s="19" t="n">
        <f aca="false">(P14+H14-I14)*(J14*MIN(E14,Inputs!$C$40)+Inputs!$C$45*MAX(E14-Inputs!$C$40,0))</f>
        <v>0</v>
      </c>
      <c r="S14" s="37" t="n">
        <f aca="false">Q14+R14</f>
        <v>0</v>
      </c>
      <c r="T14" s="19" t="n">
        <f aca="false">N14*E14*(Inputs!$C$68+Inputs!$C$69*MAX(G14-1,0))</f>
        <v>0</v>
      </c>
      <c r="U14" s="19" t="n">
        <f aca="false">IF(N14=0,0,INDEX(Inputs!$C$105:$C$107,MATCH(C14,Inputs!$B$105:$B$107,0))+INDEX(Inputs!$D$105:$D$107,MATCH(C14,Inputs!$B$105:$B$107,0))*E14)</f>
        <v>0</v>
      </c>
      <c r="V14" s="19" t="n">
        <f aca="false">IF(N14=0,0,INDEX(Inputs!$E$105:$E$107,MATCH(C14,Inputs!$B$105:$B$107,0))*E14)</f>
        <v>0</v>
      </c>
      <c r="W14" s="19" t="n">
        <f aca="false">S14*Inputs!$C$54*M14</f>
        <v>0</v>
      </c>
      <c r="X14" s="19" t="n">
        <f aca="false">N14*L14*Inputs!$C$76/Inputs!$C$85</f>
        <v>0</v>
      </c>
      <c r="Y14" s="19" t="n">
        <f aca="false">N14*Inputs!$C$79/Inputs!$C$85</f>
        <v>0</v>
      </c>
      <c r="Z14" s="19" t="n">
        <f aca="false">N14*Inputs!$C$81/Inputs!$C$85</f>
        <v>0</v>
      </c>
      <c r="AA14" s="37" t="n">
        <f aca="false">SUM(T14:Z14)</f>
        <v>0</v>
      </c>
      <c r="AB14" s="36" t="n">
        <f aca="false">O14*Inputs!$C$89+P14*Inputs!$C$93+H14*Inputs!$C$94</f>
        <v>0</v>
      </c>
      <c r="AC14" s="36" t="n">
        <f aca="false">N14*(F14*Inputs!$C$95+(E14-F14)*Inputs!$C$96)</f>
        <v>0</v>
      </c>
      <c r="AD14" s="36" t="n">
        <f aca="false">IF(N14=0,0,INDEX(Inputs!$F$105:$F$107,MATCH(C14,Inputs!$B$105:$B$107,0))+Inputs!$C$97*G14)</f>
        <v>0</v>
      </c>
      <c r="AE14" s="36" t="n">
        <f aca="false">IF(N14=0,0,INDEX(Inputs!$G$105:$G$107,MATCH(C14,Inputs!$B$105:$B$107,0))*E14)</f>
        <v>0</v>
      </c>
      <c r="AF14" s="36" t="n">
        <f aca="false">IF(N14=0,0,INDEX(Inputs!$H$105:$H$107,MATCH(C14,Inputs!$B$105:$B$107,0))*E14)</f>
        <v>0</v>
      </c>
      <c r="AG14" s="36" t="n">
        <f aca="false">Inputs!$C$98*G14</f>
        <v>0</v>
      </c>
      <c r="AH14" s="36" t="n">
        <f aca="false">N14*Inputs!$C$99</f>
        <v>0</v>
      </c>
      <c r="AI14" s="38" t="n">
        <f aca="false">SUM(AB14:AH14)</f>
        <v>0</v>
      </c>
      <c r="AJ14" s="37" t="n">
        <f aca="false">S14-AA14</f>
        <v>0</v>
      </c>
      <c r="AK14" s="29" t="str">
        <f aca="false">IF(AI14&gt;0,AJ14/AI14,"n/a")</f>
        <v>n/a</v>
      </c>
      <c r="AL14" s="19" t="n">
        <f aca="false">T14+U14+V14+W14</f>
        <v>0</v>
      </c>
      <c r="AM14" s="19" t="n">
        <f aca="false">X14+Y14+Z14</f>
        <v>0</v>
      </c>
      <c r="AO14" s="19" t="n">
        <v>0</v>
      </c>
      <c r="AP14" s="19" t="n">
        <v>0</v>
      </c>
      <c r="AQ14" s="36" t="n">
        <v>0</v>
      </c>
      <c r="AR14" s="19" t="n">
        <v>0</v>
      </c>
      <c r="AT14" s="100" t="n">
        <v>0.01</v>
      </c>
      <c r="AU14" s="101" t="n">
        <v>0.01</v>
      </c>
      <c r="AV14" s="101" t="n">
        <v>0.01</v>
      </c>
      <c r="AW14" s="30" t="s">
        <v>1290</v>
      </c>
      <c r="AX14" s="9" t="str">
        <f aca="false">IF(AND(IF(AO14="",TRUE(),ABS(S14-AO14)&lt;=AT14),IF(AP14="",TRUE(),ABS(AA14-AP14)&lt;=AT14),IF(AR14="",TRUE(),ABS(AJ14-AR14)&lt;=AT14),IF(AQ14="",TRUE(),ABS(AI14-AQ14)&lt;=AU14),IF(AS14="",TRUE(),IF(ISNUMBER(AK14),ABS(AK14-AS14)&lt;=AV14,FALSE()))),"behaves","check")</f>
        <v>behaves</v>
      </c>
      <c r="AY14" s="7" t="s">
        <v>1291</v>
      </c>
    </row>
    <row r="15" customFormat="false" ht="30" hidden="false" customHeight="true" outlineLevel="0" collapsed="false">
      <c r="A15" s="39" t="s">
        <v>1292</v>
      </c>
      <c r="B15" s="57"/>
      <c r="C15" s="39" t="s">
        <v>674</v>
      </c>
      <c r="D15" s="39" t="s">
        <v>984</v>
      </c>
      <c r="E15" s="62" t="n">
        <v>1</v>
      </c>
      <c r="F15" s="62" t="n">
        <v>0</v>
      </c>
      <c r="G15" s="39" t="n">
        <v>1</v>
      </c>
      <c r="H15" s="39" t="n">
        <v>0</v>
      </c>
      <c r="I15" s="39" t="n">
        <v>0</v>
      </c>
      <c r="J15" s="46" t="n">
        <v>150</v>
      </c>
      <c r="K15" s="46" t="n">
        <v>120</v>
      </c>
      <c r="L15" s="62" t="n">
        <v>1</v>
      </c>
      <c r="M15" s="62" t="n">
        <v>1</v>
      </c>
      <c r="N15" s="21" t="n">
        <f aca="false">IF(G15&gt;0,1,0)</f>
        <v>1</v>
      </c>
      <c r="O15" s="30" t="n">
        <f aca="false">IF(D15="founding",G15-H15,0)</f>
        <v>0</v>
      </c>
      <c r="P15" s="30" t="n">
        <f aca="false">IF(D15="standard",G15-H15,0)</f>
        <v>1</v>
      </c>
      <c r="Q15" s="19" t="n">
        <f aca="false">O15*(K15*MIN(E15,Inputs!$C$43)+Inputs!$C$45*MAX(E15-Inputs!$C$43,0))+I15*K15*E15</f>
        <v>0</v>
      </c>
      <c r="R15" s="19" t="n">
        <f aca="false">(P15+H15-I15)*(J15*MIN(E15,Inputs!$C$40)+Inputs!$C$45*MAX(E15-Inputs!$C$40,0))</f>
        <v>150</v>
      </c>
      <c r="S15" s="37" t="n">
        <f aca="false">Q15+R15</f>
        <v>150</v>
      </c>
      <c r="T15" s="19" t="n">
        <f aca="false">N15*E15*(Inputs!$C$68+Inputs!$C$69*MAX(G15-1,0))</f>
        <v>8</v>
      </c>
      <c r="U15" s="19" t="n">
        <f aca="false">IF(N15=0,0,INDEX(Inputs!$C$105:$C$107,MATCH(C15,Inputs!$B$105:$B$107,0))+INDEX(Inputs!$D$105:$D$107,MATCH(C15,Inputs!$B$105:$B$107,0))*E15)</f>
        <v>30</v>
      </c>
      <c r="V15" s="19" t="n">
        <f aca="false">IF(N15=0,0,INDEX(Inputs!$E$105:$E$107,MATCH(C15,Inputs!$B$105:$B$107,0))*E15)</f>
        <v>0</v>
      </c>
      <c r="W15" s="19" t="n">
        <f aca="false">S15*Inputs!$C$54*M15</f>
        <v>4.5</v>
      </c>
      <c r="X15" s="19" t="n">
        <f aca="false">N15*L15*Inputs!$C$76/Inputs!$C$85</f>
        <v>75</v>
      </c>
      <c r="Y15" s="19" t="n">
        <f aca="false">N15*Inputs!$C$79/Inputs!$C$85</f>
        <v>30</v>
      </c>
      <c r="Z15" s="19" t="n">
        <f aca="false">N15*Inputs!$C$81/Inputs!$C$85</f>
        <v>50</v>
      </c>
      <c r="AA15" s="37" t="n">
        <f aca="false">SUM(T15:Z15)</f>
        <v>197.5</v>
      </c>
      <c r="AB15" s="36" t="n">
        <f aca="false">O15*Inputs!$C$89+P15*Inputs!$C$93+H15*Inputs!$C$94</f>
        <v>6</v>
      </c>
      <c r="AC15" s="36" t="n">
        <f aca="false">N15*(F15*Inputs!$C$95+(E15-F15)*Inputs!$C$96)</f>
        <v>1</v>
      </c>
      <c r="AD15" s="36" t="n">
        <f aca="false">IF(N15=0,0,INDEX(Inputs!$F$105:$F$107,MATCH(C15,Inputs!$B$105:$B$107,0))+Inputs!$C$97*G15)</f>
        <v>3</v>
      </c>
      <c r="AE15" s="36" t="n">
        <f aca="false">IF(N15=0,0,INDEX(Inputs!$G$105:$G$107,MATCH(C15,Inputs!$B$105:$B$107,0))*E15)</f>
        <v>0.8</v>
      </c>
      <c r="AF15" s="36" t="n">
        <f aca="false">IF(N15=0,0,INDEX(Inputs!$H$105:$H$107,MATCH(C15,Inputs!$B$105:$B$107,0))*E15)</f>
        <v>0.4</v>
      </c>
      <c r="AG15" s="36" t="n">
        <f aca="false">Inputs!$C$98*G15</f>
        <v>2</v>
      </c>
      <c r="AH15" s="36" t="n">
        <f aca="false">N15*Inputs!$C$99</f>
        <v>2</v>
      </c>
      <c r="AI15" s="38" t="n">
        <f aca="false">SUM(AB15:AH15)</f>
        <v>15.2</v>
      </c>
      <c r="AJ15" s="37" t="n">
        <f aca="false">S15-AA15</f>
        <v>-47.5</v>
      </c>
      <c r="AK15" s="29" t="n">
        <f aca="false">IF(AI15&gt;0,AJ15/AI15,"n/a")</f>
        <v>-3.125</v>
      </c>
      <c r="AL15" s="19" t="n">
        <f aca="false">T15+U15+V15+W15</f>
        <v>42.5</v>
      </c>
      <c r="AM15" s="19" t="n">
        <f aca="false">X15+Y15+Z15</f>
        <v>155</v>
      </c>
      <c r="AO15" s="19" t="n">
        <v>150</v>
      </c>
      <c r="AP15" s="19" t="n">
        <v>197.5</v>
      </c>
      <c r="AQ15" s="36" t="n">
        <v>15.2</v>
      </c>
      <c r="AR15" s="19" t="n">
        <v>-47.5</v>
      </c>
      <c r="AS15" s="28" t="n">
        <v>-3.125</v>
      </c>
      <c r="AT15" s="100" t="n">
        <v>0.01</v>
      </c>
      <c r="AU15" s="101" t="n">
        <v>0.01</v>
      </c>
      <c r="AV15" s="101" t="n">
        <v>0.01</v>
      </c>
      <c r="AW15" s="30" t="s">
        <v>1290</v>
      </c>
      <c r="AX15" s="9" t="str">
        <f aca="false">IF(AND(IF(AO15="",TRUE(),ABS(S15-AO15)&lt;=AT15),IF(AP15="",TRUE(),ABS(AA15-AP15)&lt;=AT15),IF(AR15="",TRUE(),ABS(AJ15-AR15)&lt;=AT15),IF(AQ15="",TRUE(),ABS(AI15-AQ15)&lt;=AU15),IF(AS15="",TRUE(),IF(ISNUMBER(AK15),ABS(AK15-AS15)&lt;=AV15,FALSE()))),"behaves","check")</f>
        <v>behaves</v>
      </c>
      <c r="AY15" s="7" t="s">
        <v>1293</v>
      </c>
    </row>
    <row r="16" customFormat="false" ht="30" hidden="false" customHeight="true" outlineLevel="0" collapsed="false">
      <c r="A16" s="39" t="s">
        <v>1294</v>
      </c>
      <c r="B16" s="57"/>
      <c r="C16" s="39" t="s">
        <v>674</v>
      </c>
      <c r="D16" s="39" t="s">
        <v>984</v>
      </c>
      <c r="E16" s="62" t="n">
        <v>10</v>
      </c>
      <c r="F16" s="62" t="n">
        <v>0</v>
      </c>
      <c r="G16" s="39" t="n">
        <v>3</v>
      </c>
      <c r="H16" s="39" t="n">
        <v>3</v>
      </c>
      <c r="I16" s="39" t="n">
        <v>0</v>
      </c>
      <c r="J16" s="46" t="n">
        <v>150</v>
      </c>
      <c r="K16" s="46" t="n">
        <v>120</v>
      </c>
      <c r="L16" s="62" t="n">
        <v>1</v>
      </c>
      <c r="M16" s="62" t="n">
        <v>1</v>
      </c>
      <c r="N16" s="21" t="n">
        <f aca="false">IF(G16&gt;0,1,0)</f>
        <v>1</v>
      </c>
      <c r="O16" s="30" t="n">
        <f aca="false">IF(D16="founding",G16-H16,0)</f>
        <v>0</v>
      </c>
      <c r="P16" s="30" t="n">
        <f aca="false">IF(D16="standard",G16-H16,0)</f>
        <v>0</v>
      </c>
      <c r="Q16" s="19" t="n">
        <f aca="false">O16*(K16*MIN(E16,Inputs!$C$43)+Inputs!$C$45*MAX(E16-Inputs!$C$43,0))+I16*K16*E16</f>
        <v>0</v>
      </c>
      <c r="R16" s="19" t="n">
        <f aca="false">(P16+H16-I16)*(J16*MIN(E16,Inputs!$C$40)+Inputs!$C$45*MAX(E16-Inputs!$C$40,0))</f>
        <v>4500</v>
      </c>
      <c r="S16" s="37" t="n">
        <f aca="false">Q16+R16</f>
        <v>4500</v>
      </c>
      <c r="T16" s="19" t="n">
        <f aca="false">N16*E16*(Inputs!$C$68+Inputs!$C$69*MAX(G16-1,0))</f>
        <v>80</v>
      </c>
      <c r="U16" s="19" t="n">
        <f aca="false">IF(N16=0,0,INDEX(Inputs!$C$105:$C$107,MATCH(C16,Inputs!$B$105:$B$107,0))+INDEX(Inputs!$D$105:$D$107,MATCH(C16,Inputs!$B$105:$B$107,0))*E16)</f>
        <v>300</v>
      </c>
      <c r="V16" s="19" t="n">
        <f aca="false">IF(N16=0,0,INDEX(Inputs!$E$105:$E$107,MATCH(C16,Inputs!$B$105:$B$107,0))*E16)</f>
        <v>0</v>
      </c>
      <c r="W16" s="19" t="n">
        <f aca="false">S16*Inputs!$C$54*M16</f>
        <v>135</v>
      </c>
      <c r="X16" s="19" t="n">
        <f aca="false">N16*L16*Inputs!$C$76/Inputs!$C$85</f>
        <v>75</v>
      </c>
      <c r="Y16" s="19" t="n">
        <f aca="false">N16*Inputs!$C$79/Inputs!$C$85</f>
        <v>30</v>
      </c>
      <c r="Z16" s="19" t="n">
        <f aca="false">N16*Inputs!$C$81/Inputs!$C$85</f>
        <v>50</v>
      </c>
      <c r="AA16" s="37" t="n">
        <f aca="false">SUM(T16:Z16)</f>
        <v>670</v>
      </c>
      <c r="AB16" s="36" t="n">
        <f aca="false">O16*Inputs!$C$89+P16*Inputs!$C$93+H16*Inputs!$C$94</f>
        <v>6</v>
      </c>
      <c r="AC16" s="36" t="n">
        <f aca="false">N16*(F16*Inputs!$C$95+(E16-F16)*Inputs!$C$96)</f>
        <v>10</v>
      </c>
      <c r="AD16" s="36" t="n">
        <f aca="false">IF(N16=0,0,INDEX(Inputs!$F$105:$F$107,MATCH(C16,Inputs!$B$105:$B$107,0))+Inputs!$C$97*G16)</f>
        <v>4</v>
      </c>
      <c r="AE16" s="36" t="n">
        <f aca="false">IF(N16=0,0,INDEX(Inputs!$G$105:$G$107,MATCH(C16,Inputs!$B$105:$B$107,0))*E16)</f>
        <v>8</v>
      </c>
      <c r="AF16" s="36" t="n">
        <f aca="false">IF(N16=0,0,INDEX(Inputs!$H$105:$H$107,MATCH(C16,Inputs!$B$105:$B$107,0))*E16)</f>
        <v>4</v>
      </c>
      <c r="AG16" s="36" t="n">
        <f aca="false">Inputs!$C$98*G16</f>
        <v>6</v>
      </c>
      <c r="AH16" s="36" t="n">
        <f aca="false">N16*Inputs!$C$99</f>
        <v>2</v>
      </c>
      <c r="AI16" s="38" t="n">
        <f aca="false">SUM(AB16:AH16)</f>
        <v>40</v>
      </c>
      <c r="AJ16" s="37" t="n">
        <f aca="false">S16-AA16</f>
        <v>3830</v>
      </c>
      <c r="AK16" s="29" t="n">
        <f aca="false">IF(AI16&gt;0,AJ16/AI16,"n/a")</f>
        <v>95.75</v>
      </c>
      <c r="AL16" s="19" t="n">
        <f aca="false">T16+U16+V16+W16</f>
        <v>515</v>
      </c>
      <c r="AM16" s="19" t="n">
        <f aca="false">X16+Y16+Z16</f>
        <v>155</v>
      </c>
      <c r="AO16" s="19" t="n">
        <v>4500</v>
      </c>
      <c r="AP16" s="19" t="n">
        <v>670</v>
      </c>
      <c r="AQ16" s="36" t="n">
        <v>40</v>
      </c>
      <c r="AR16" s="19" t="n">
        <v>3830</v>
      </c>
      <c r="AS16" s="28" t="n">
        <v>95.75</v>
      </c>
      <c r="AT16" s="100" t="n">
        <v>0.01</v>
      </c>
      <c r="AU16" s="101" t="n">
        <v>0.01</v>
      </c>
      <c r="AV16" s="101" t="n">
        <v>0.01</v>
      </c>
      <c r="AW16" s="30" t="s">
        <v>1290</v>
      </c>
      <c r="AX16" s="9" t="str">
        <f aca="false">IF(AND(IF(AO16="",TRUE(),ABS(S16-AO16)&lt;=AT16),IF(AP16="",TRUE(),ABS(AA16-AP16)&lt;=AT16),IF(AR16="",TRUE(),ABS(AJ16-AR16)&lt;=AT16),IF(AQ16="",TRUE(),ABS(AI16-AQ16)&lt;=AU16),IF(AS16="",TRUE(),IF(ISNUMBER(AK16),ABS(AK16-AS16)&lt;=AV16,FALSE()))),"behaves","check")</f>
        <v>behaves</v>
      </c>
      <c r="AY16" s="7" t="s">
        <v>1295</v>
      </c>
    </row>
    <row r="17" customFormat="false" ht="30" hidden="false" customHeight="true" outlineLevel="0" collapsed="false">
      <c r="A17" s="39" t="s">
        <v>1296</v>
      </c>
      <c r="B17" s="57"/>
      <c r="C17" s="39" t="s">
        <v>674</v>
      </c>
      <c r="D17" s="39" t="s">
        <v>980</v>
      </c>
      <c r="E17" s="62" t="n">
        <v>10</v>
      </c>
      <c r="F17" s="62" t="n">
        <v>0</v>
      </c>
      <c r="G17" s="39" t="n">
        <v>1</v>
      </c>
      <c r="H17" s="39" t="n">
        <v>0</v>
      </c>
      <c r="I17" s="39" t="n">
        <v>0</v>
      </c>
      <c r="J17" s="46" t="n">
        <v>150</v>
      </c>
      <c r="K17" s="46" t="n">
        <v>120</v>
      </c>
      <c r="L17" s="62" t="n">
        <v>1</v>
      </c>
      <c r="M17" s="62" t="n">
        <v>1</v>
      </c>
      <c r="N17" s="21" t="n">
        <f aca="false">IF(G17&gt;0,1,0)</f>
        <v>1</v>
      </c>
      <c r="O17" s="30" t="n">
        <f aca="false">IF(D17="founding",G17-H17,0)</f>
        <v>1</v>
      </c>
      <c r="P17" s="30" t="n">
        <f aca="false">IF(D17="standard",G17-H17,0)</f>
        <v>0</v>
      </c>
      <c r="Q17" s="19" t="n">
        <f aca="false">O17*(K17*MIN(E17,Inputs!$C$43)+Inputs!$C$45*MAX(E17-Inputs!$C$43,0))+I17*K17*E17</f>
        <v>1350</v>
      </c>
      <c r="R17" s="19" t="n">
        <f aca="false">(P17+H17-I17)*(J17*MIN(E17,Inputs!$C$40)+Inputs!$C$45*MAX(E17-Inputs!$C$40,0))</f>
        <v>0</v>
      </c>
      <c r="S17" s="37" t="n">
        <f aca="false">Q17+R17</f>
        <v>1350</v>
      </c>
      <c r="T17" s="19" t="n">
        <f aca="false">N17*E17*(Inputs!$C$68+Inputs!$C$69*MAX(G17-1,0))</f>
        <v>80</v>
      </c>
      <c r="U17" s="19" t="n">
        <f aca="false">IF(N17=0,0,INDEX(Inputs!$C$105:$C$107,MATCH(C17,Inputs!$B$105:$B$107,0))+INDEX(Inputs!$D$105:$D$107,MATCH(C17,Inputs!$B$105:$B$107,0))*E17)</f>
        <v>300</v>
      </c>
      <c r="V17" s="19" t="n">
        <f aca="false">IF(N17=0,0,INDEX(Inputs!$E$105:$E$107,MATCH(C17,Inputs!$B$105:$B$107,0))*E17)</f>
        <v>0</v>
      </c>
      <c r="W17" s="19" t="n">
        <f aca="false">S17*Inputs!$C$54*M17</f>
        <v>40.5</v>
      </c>
      <c r="X17" s="19" t="n">
        <f aca="false">N17*L17*Inputs!$C$76/Inputs!$C$85</f>
        <v>75</v>
      </c>
      <c r="Y17" s="19" t="n">
        <f aca="false">N17*Inputs!$C$79/Inputs!$C$85</f>
        <v>30</v>
      </c>
      <c r="Z17" s="19" t="n">
        <f aca="false">N17*Inputs!$C$81/Inputs!$C$85</f>
        <v>50</v>
      </c>
      <c r="AA17" s="37" t="n">
        <f aca="false">SUM(T17:Z17)</f>
        <v>575.5</v>
      </c>
      <c r="AB17" s="36" t="n">
        <f aca="false">O17*Inputs!$C$89+P17*Inputs!$C$93+H17*Inputs!$C$94</f>
        <v>10</v>
      </c>
      <c r="AC17" s="36" t="n">
        <f aca="false">N17*(F17*Inputs!$C$95+(E17-F17)*Inputs!$C$96)</f>
        <v>10</v>
      </c>
      <c r="AD17" s="36" t="n">
        <f aca="false">IF(N17=0,0,INDEX(Inputs!$F$105:$F$107,MATCH(C17,Inputs!$B$105:$B$107,0))+Inputs!$C$97*G17)</f>
        <v>3</v>
      </c>
      <c r="AE17" s="36" t="n">
        <f aca="false">IF(N17=0,0,INDEX(Inputs!$G$105:$G$107,MATCH(C17,Inputs!$B$105:$B$107,0))*E17)</f>
        <v>8</v>
      </c>
      <c r="AF17" s="36" t="n">
        <f aca="false">IF(N17=0,0,INDEX(Inputs!$H$105:$H$107,MATCH(C17,Inputs!$B$105:$B$107,0))*E17)</f>
        <v>4</v>
      </c>
      <c r="AG17" s="36" t="n">
        <f aca="false">Inputs!$C$98*G17</f>
        <v>2</v>
      </c>
      <c r="AH17" s="36" t="n">
        <f aca="false">N17*Inputs!$C$99</f>
        <v>2</v>
      </c>
      <c r="AI17" s="38" t="n">
        <f aca="false">SUM(AB17:AH17)</f>
        <v>39</v>
      </c>
      <c r="AJ17" s="37" t="n">
        <f aca="false">S17-AA17</f>
        <v>774.5</v>
      </c>
      <c r="AK17" s="29" t="n">
        <f aca="false">IF(AI17&gt;0,AJ17/AI17,"n/a")</f>
        <v>19.8589743589744</v>
      </c>
      <c r="AL17" s="19" t="n">
        <f aca="false">T17+U17+V17+W17</f>
        <v>420.5</v>
      </c>
      <c r="AM17" s="19" t="n">
        <f aca="false">X17+Y17+Z17</f>
        <v>155</v>
      </c>
      <c r="AO17" s="19" t="n">
        <v>1350</v>
      </c>
      <c r="AT17" s="100" t="n">
        <v>0.01</v>
      </c>
      <c r="AU17" s="101" t="n">
        <v>0.01</v>
      </c>
      <c r="AV17" s="101" t="n">
        <v>0.01</v>
      </c>
      <c r="AW17" s="30" t="s">
        <v>1290</v>
      </c>
      <c r="AX17" s="9" t="str">
        <f aca="false">IF(AND(IF(AO17="",TRUE(),ABS(S17-AO17)&lt;=AT17),IF(AP17="",TRUE(),ABS(AA17-AP17)&lt;=AT17),IF(AR17="",TRUE(),ABS(AJ17-AR17)&lt;=AT17),IF(AQ17="",TRUE(),ABS(AI17-AQ17)&lt;=AU17),IF(AS17="",TRUE(),IF(ISNUMBER(AK17),ABS(AK17-AS17)&lt;=AV17,FALSE()))),"behaves","check")</f>
        <v>behaves</v>
      </c>
      <c r="AY17" s="7" t="s">
        <v>1297</v>
      </c>
    </row>
    <row r="20" customFormat="false" ht="15" hidden="false" customHeight="false" outlineLevel="0" collapsed="false">
      <c r="A20" s="3" t="s">
        <v>1298</v>
      </c>
      <c r="B20" s="4"/>
      <c r="C20" s="4"/>
      <c r="D20" s="4"/>
      <c r="E20" s="4"/>
      <c r="F20" s="4"/>
      <c r="G20" s="4"/>
      <c r="H20" s="4"/>
      <c r="I20" s="4"/>
      <c r="J20" s="4"/>
      <c r="K20" s="4"/>
      <c r="L20" s="4"/>
    </row>
    <row r="21" customFormat="false" ht="39.75" hidden="false" customHeight="true" outlineLevel="0" collapsed="false">
      <c r="A21" s="12" t="s">
        <v>1299</v>
      </c>
      <c r="B21" s="12" t="s">
        <v>1300</v>
      </c>
      <c r="C21" s="12" t="s">
        <v>390</v>
      </c>
      <c r="D21" s="12" t="s">
        <v>1301</v>
      </c>
      <c r="E21" s="12" t="s">
        <v>390</v>
      </c>
      <c r="F21" s="12" t="s">
        <v>1302</v>
      </c>
      <c r="G21" s="12" t="s">
        <v>390</v>
      </c>
      <c r="H21" s="12" t="s">
        <v>1303</v>
      </c>
      <c r="I21" s="12" t="s">
        <v>390</v>
      </c>
      <c r="J21" s="12" t="s">
        <v>1304</v>
      </c>
      <c r="K21" s="9" t="s">
        <v>1305</v>
      </c>
      <c r="L21" s="101" t="n">
        <v>0.01</v>
      </c>
    </row>
    <row r="22" customFormat="false" ht="15" hidden="false" customHeight="false" outlineLevel="0" collapsed="false">
      <c r="A22" s="30" t="s">
        <v>1306</v>
      </c>
      <c r="B22" s="36" t="n">
        <v>20</v>
      </c>
      <c r="C22" s="36" t="n">
        <f aca="false">AB7</f>
        <v>20</v>
      </c>
      <c r="D22" s="36" t="n">
        <v>6</v>
      </c>
      <c r="E22" s="36" t="n">
        <f aca="false">AB8</f>
        <v>6</v>
      </c>
      <c r="F22" s="36" t="n">
        <v>18</v>
      </c>
      <c r="G22" s="36" t="n">
        <f aca="false">AB9</f>
        <v>18</v>
      </c>
      <c r="H22" s="36" t="n">
        <v>18</v>
      </c>
      <c r="I22" s="36" t="n">
        <f aca="false">AB10</f>
        <v>18</v>
      </c>
      <c r="J22" s="9" t="str">
        <f aca="false">IF(AND(ABS(B22-C22)&lt;=$L$21,ABS(D22-E22)&lt;=$L$21,ABS(F22-G22)&lt;=$L$21,ABS(H22-I22)&lt;=$L$21),"yes","no")</f>
        <v>yes</v>
      </c>
    </row>
    <row r="23" customFormat="false" ht="15" hidden="false" customHeight="false" outlineLevel="0" collapsed="false">
      <c r="A23" s="30" t="s">
        <v>1307</v>
      </c>
      <c r="B23" s="36" t="n">
        <v>20</v>
      </c>
      <c r="C23" s="36" t="n">
        <f aca="false">AC7</f>
        <v>20</v>
      </c>
      <c r="D23" s="36" t="n">
        <v>10</v>
      </c>
      <c r="E23" s="36" t="n">
        <f aca="false">AC8</f>
        <v>10</v>
      </c>
      <c r="F23" s="36" t="n">
        <v>10</v>
      </c>
      <c r="G23" s="36" t="n">
        <f aca="false">AC9</f>
        <v>10</v>
      </c>
      <c r="H23" s="36" t="n">
        <v>10</v>
      </c>
      <c r="I23" s="36" t="n">
        <f aca="false">AC10</f>
        <v>10</v>
      </c>
      <c r="J23" s="9" t="str">
        <f aca="false">IF(AND(ABS(B23-C23)&lt;=$L$21,ABS(D23-E23)&lt;=$L$21,ABS(F23-G23)&lt;=$L$21,ABS(H23-I23)&lt;=$L$21),"yes","no")</f>
        <v>yes</v>
      </c>
    </row>
    <row r="24" customFormat="false" ht="15" hidden="false" customHeight="false" outlineLevel="0" collapsed="false">
      <c r="A24" s="30" t="s">
        <v>1308</v>
      </c>
      <c r="B24" s="36" t="n">
        <v>3</v>
      </c>
      <c r="C24" s="36" t="n">
        <f aca="false">AD7</f>
        <v>3</v>
      </c>
      <c r="D24" s="36" t="n">
        <v>3</v>
      </c>
      <c r="E24" s="36" t="n">
        <f aca="false">AD8</f>
        <v>3</v>
      </c>
      <c r="F24" s="36" t="n">
        <v>4</v>
      </c>
      <c r="G24" s="36" t="n">
        <f aca="false">AD9</f>
        <v>4</v>
      </c>
      <c r="H24" s="36" t="n">
        <v>2</v>
      </c>
      <c r="I24" s="36" t="n">
        <f aca="false">AD10</f>
        <v>2</v>
      </c>
      <c r="J24" s="9" t="str">
        <f aca="false">IF(AND(ABS(B24-C24)&lt;=$L$21,ABS(D24-E24)&lt;=$L$21,ABS(F24-G24)&lt;=$L$21,ABS(H24-I24)&lt;=$L$21),"yes","no")</f>
        <v>yes</v>
      </c>
    </row>
    <row r="25" customFormat="false" ht="15" hidden="false" customHeight="false" outlineLevel="0" collapsed="false">
      <c r="A25" s="30" t="s">
        <v>1309</v>
      </c>
      <c r="B25" s="36" t="n">
        <v>5</v>
      </c>
      <c r="C25" s="36" t="n">
        <f aca="false">AE7</f>
        <v>5</v>
      </c>
      <c r="D25" s="36" t="n">
        <v>8</v>
      </c>
      <c r="E25" s="36" t="n">
        <f aca="false">AE8</f>
        <v>8</v>
      </c>
      <c r="F25" s="36" t="n">
        <v>8</v>
      </c>
      <c r="G25" s="36" t="n">
        <f aca="false">AE9</f>
        <v>8</v>
      </c>
      <c r="H25" s="36" t="n">
        <v>3</v>
      </c>
      <c r="I25" s="36" t="n">
        <f aca="false">AE10</f>
        <v>3</v>
      </c>
      <c r="J25" s="9" t="str">
        <f aca="false">IF(AND(ABS(B25-C25)&lt;=$L$21,ABS(D25-E25)&lt;=$L$21,ABS(F25-G25)&lt;=$L$21,ABS(H25-I25)&lt;=$L$21),"yes","no")</f>
        <v>yes</v>
      </c>
    </row>
    <row r="26" customFormat="false" ht="15" hidden="false" customHeight="false" outlineLevel="0" collapsed="false">
      <c r="A26" s="30" t="s">
        <v>1310</v>
      </c>
      <c r="B26" s="36" t="n">
        <v>3</v>
      </c>
      <c r="C26" s="36" t="n">
        <f aca="false">AF7</f>
        <v>3</v>
      </c>
      <c r="D26" s="36" t="n">
        <v>4</v>
      </c>
      <c r="E26" s="36" t="n">
        <f aca="false">AF8</f>
        <v>4</v>
      </c>
      <c r="F26" s="36" t="n">
        <v>4</v>
      </c>
      <c r="G26" s="36" t="n">
        <f aca="false">AF9</f>
        <v>4</v>
      </c>
      <c r="H26" s="36" t="n">
        <v>4</v>
      </c>
      <c r="I26" s="36" t="n">
        <f aca="false">AF10</f>
        <v>4</v>
      </c>
      <c r="J26" s="9" t="str">
        <f aca="false">IF(AND(ABS(B26-C26)&lt;=$L$21,ABS(D26-E26)&lt;=$L$21,ABS(F26-G26)&lt;=$L$21,ABS(H26-I26)&lt;=$L$21),"yes","no")</f>
        <v>yes</v>
      </c>
    </row>
    <row r="27" customFormat="false" ht="15" hidden="false" customHeight="false" outlineLevel="0" collapsed="false">
      <c r="A27" s="30" t="s">
        <v>1311</v>
      </c>
      <c r="B27" s="36" t="n">
        <v>4</v>
      </c>
      <c r="C27" s="36" t="n">
        <f aca="false">AG7</f>
        <v>4</v>
      </c>
      <c r="D27" s="36" t="n">
        <v>2</v>
      </c>
      <c r="E27" s="36" t="n">
        <f aca="false">AG8</f>
        <v>2</v>
      </c>
      <c r="F27" s="36" t="n">
        <v>6</v>
      </c>
      <c r="G27" s="36" t="n">
        <f aca="false">AG9</f>
        <v>6</v>
      </c>
      <c r="H27" s="36" t="n">
        <v>6</v>
      </c>
      <c r="I27" s="36" t="n">
        <f aca="false">AG10</f>
        <v>6</v>
      </c>
      <c r="J27" s="9" t="str">
        <f aca="false">IF(AND(ABS(B27-C27)&lt;=$L$21,ABS(D27-E27)&lt;=$L$21,ABS(F27-G27)&lt;=$L$21,ABS(H27-I27)&lt;=$L$21),"yes","no")</f>
        <v>yes</v>
      </c>
    </row>
    <row r="28" customFormat="false" ht="15" hidden="false" customHeight="false" outlineLevel="0" collapsed="false">
      <c r="A28" s="30" t="s">
        <v>1312</v>
      </c>
      <c r="B28" s="36" t="n">
        <v>2</v>
      </c>
      <c r="C28" s="36" t="n">
        <f aca="false">AH7</f>
        <v>2</v>
      </c>
      <c r="D28" s="36" t="n">
        <v>2</v>
      </c>
      <c r="E28" s="36" t="n">
        <f aca="false">AH8</f>
        <v>2</v>
      </c>
      <c r="F28" s="36" t="n">
        <v>2</v>
      </c>
      <c r="G28" s="36" t="n">
        <f aca="false">AH9</f>
        <v>2</v>
      </c>
      <c r="H28" s="36" t="n">
        <v>2</v>
      </c>
      <c r="I28" s="36" t="n">
        <f aca="false">AH10</f>
        <v>2</v>
      </c>
      <c r="J28" s="9" t="str">
        <f aca="false">IF(AND(ABS(B28-C28)&lt;=$L$21,ABS(D28-E28)&lt;=$L$21,ABS(F28-G28)&lt;=$L$21,ABS(H28-I28)&lt;=$L$21),"yes","no")</f>
        <v>yes</v>
      </c>
    </row>
    <row r="29" customFormat="false" ht="15" hidden="false" customHeight="false" outlineLevel="0" collapsed="false">
      <c r="A29" s="9" t="s">
        <v>1313</v>
      </c>
      <c r="B29" s="36" t="n">
        <v>57</v>
      </c>
      <c r="C29" s="36" t="n">
        <f aca="false">AI7</f>
        <v>57</v>
      </c>
      <c r="D29" s="36" t="n">
        <v>35</v>
      </c>
      <c r="E29" s="36" t="n">
        <f aca="false">AI8</f>
        <v>35</v>
      </c>
      <c r="F29" s="36" t="n">
        <v>52</v>
      </c>
      <c r="G29" s="36" t="n">
        <f aca="false">AI9</f>
        <v>52</v>
      </c>
      <c r="H29" s="36" t="n">
        <v>45</v>
      </c>
      <c r="I29" s="36" t="n">
        <f aca="false">AI10</f>
        <v>45</v>
      </c>
      <c r="J29" s="9" t="str">
        <f aca="false">IF(AND(ABS(B29-C29)&lt;=$L$21,ABS(D29-E29)&lt;=$L$21,ABS(F29-G29)&lt;=$L$21,ABS(H29-I29)&lt;=$L$21),"yes","no")</f>
        <v>yes</v>
      </c>
    </row>
    <row r="32" customFormat="false" ht="15" hidden="false" customHeight="false" outlineLevel="0" collapsed="false">
      <c r="A32" s="3" t="s">
        <v>1314</v>
      </c>
      <c r="B32" s="4"/>
      <c r="C32" s="4"/>
      <c r="D32" s="4"/>
      <c r="E32" s="4"/>
      <c r="F32" s="4"/>
      <c r="G32" s="4"/>
      <c r="H32" s="4"/>
      <c r="I32" s="4"/>
      <c r="J32" s="4"/>
      <c r="K32" s="4"/>
      <c r="L32" s="4"/>
    </row>
    <row r="33" customFormat="false" ht="31.5" hidden="false" customHeight="true" outlineLevel="0" collapsed="false">
      <c r="A33" s="12" t="s">
        <v>1315</v>
      </c>
      <c r="B33" s="12" t="s">
        <v>1316</v>
      </c>
      <c r="C33" s="12" t="s">
        <v>1317</v>
      </c>
      <c r="D33" s="12" t="s">
        <v>1318</v>
      </c>
      <c r="E33" s="12" t="s">
        <v>1319</v>
      </c>
      <c r="F33" s="12" t="s">
        <v>1320</v>
      </c>
      <c r="G33" s="12" t="s">
        <v>276</v>
      </c>
      <c r="H33" s="12" t="s">
        <v>1321</v>
      </c>
    </row>
    <row r="34" customFormat="false" ht="30" hidden="false" customHeight="true" outlineLevel="0" collapsed="false">
      <c r="A34" s="30" t="n">
        <v>1</v>
      </c>
      <c r="B34" s="7" t="s">
        <v>1322</v>
      </c>
      <c r="C34" s="19" t="n">
        <v>280</v>
      </c>
      <c r="D34" s="19" t="n">
        <f aca="false">AA7</f>
        <v>276</v>
      </c>
      <c r="E34" s="19" t="n">
        <f aca="false">D34-C34</f>
        <v>-4</v>
      </c>
      <c r="F34" s="19" t="n">
        <v>5</v>
      </c>
      <c r="G34" s="9" t="str">
        <f aca="false">IF(ABS(E34)&lt;=F34,"within tolerance","differs: see reason")</f>
        <v>within tolerance</v>
      </c>
      <c r="H34" s="5" t="s">
        <v>1323</v>
      </c>
      <c r="I34" s="5"/>
      <c r="J34" s="5"/>
      <c r="K34" s="5"/>
      <c r="L34" s="5"/>
      <c r="M34" s="5"/>
      <c r="N34" s="5"/>
    </row>
    <row r="35" customFormat="false" ht="30" hidden="false" customHeight="true" outlineLevel="0" collapsed="false">
      <c r="A35" s="30" t="n">
        <v>2</v>
      </c>
      <c r="B35" s="7" t="s">
        <v>1324</v>
      </c>
      <c r="C35" s="19" t="n">
        <v>920</v>
      </c>
      <c r="D35" s="19" t="n">
        <f aca="false">AJ7</f>
        <v>924</v>
      </c>
      <c r="E35" s="19" t="n">
        <f aca="false">D35-C35</f>
        <v>4</v>
      </c>
      <c r="F35" s="19" t="n">
        <v>5</v>
      </c>
      <c r="G35" s="9" t="str">
        <f aca="false">IF(ABS(E35)&lt;=F35,"within tolerance","differs: see reason")</f>
        <v>within tolerance</v>
      </c>
      <c r="H35" s="5" t="s">
        <v>1325</v>
      </c>
      <c r="I35" s="5"/>
      <c r="J35" s="5"/>
      <c r="K35" s="5"/>
      <c r="L35" s="5"/>
      <c r="M35" s="5"/>
      <c r="N35" s="5"/>
    </row>
    <row r="36" customFormat="false" ht="30" hidden="false" customHeight="true" outlineLevel="0" collapsed="false">
      <c r="A36" s="30" t="n">
        <v>3</v>
      </c>
      <c r="B36" s="7" t="s">
        <v>1326</v>
      </c>
      <c r="C36" s="28" t="n">
        <v>16</v>
      </c>
      <c r="D36" s="28" t="n">
        <f aca="false">AK7</f>
        <v>16.2105263157895</v>
      </c>
      <c r="E36" s="28" t="n">
        <f aca="false">D36-C36</f>
        <v>0.210526315789473</v>
      </c>
      <c r="F36" s="28" t="n">
        <v>0.5</v>
      </c>
      <c r="G36" s="9" t="str">
        <f aca="false">IF(ABS(E36)&lt;=F36,"within tolerance","differs: see reason")</f>
        <v>within tolerance</v>
      </c>
      <c r="H36" s="5" t="s">
        <v>1327</v>
      </c>
      <c r="I36" s="5"/>
      <c r="J36" s="5"/>
      <c r="K36" s="5"/>
      <c r="L36" s="5"/>
      <c r="M36" s="5"/>
      <c r="N36" s="5"/>
    </row>
    <row r="37" customFormat="false" ht="30" hidden="false" customHeight="true" outlineLevel="0" collapsed="false">
      <c r="A37" s="30" t="n">
        <v>4</v>
      </c>
      <c r="B37" s="7" t="s">
        <v>1328</v>
      </c>
      <c r="C37" s="19" t="n">
        <v>670</v>
      </c>
      <c r="D37" s="19" t="n">
        <f aca="false">AA9</f>
        <v>670</v>
      </c>
      <c r="E37" s="19" t="n">
        <f aca="false">D37-C37</f>
        <v>0</v>
      </c>
      <c r="F37" s="19" t="n">
        <v>5</v>
      </c>
      <c r="G37" s="9" t="str">
        <f aca="false">IF(ABS(E37)&lt;=F37,"within tolerance","differs: see reason")</f>
        <v>within tolerance</v>
      </c>
      <c r="H37" s="5" t="s">
        <v>1329</v>
      </c>
      <c r="I37" s="5"/>
      <c r="J37" s="5"/>
      <c r="K37" s="5"/>
      <c r="L37" s="5"/>
      <c r="M37" s="5"/>
      <c r="N37" s="5"/>
    </row>
    <row r="38" customFormat="false" ht="30" hidden="false" customHeight="true" outlineLevel="0" collapsed="false">
      <c r="A38" s="30" t="n">
        <v>5</v>
      </c>
      <c r="B38" s="7" t="s">
        <v>1330</v>
      </c>
      <c r="C38" s="28" t="n">
        <v>74</v>
      </c>
      <c r="D38" s="28" t="n">
        <f aca="false">AK9</f>
        <v>73.6538461538462</v>
      </c>
      <c r="E38" s="28" t="n">
        <f aca="false">D38-C38</f>
        <v>-0.34615384615384</v>
      </c>
      <c r="F38" s="28" t="n">
        <v>0.5</v>
      </c>
      <c r="G38" s="9" t="str">
        <f aca="false">IF(ABS(E38)&lt;=F38,"within tolerance","differs: see reason")</f>
        <v>within tolerance</v>
      </c>
      <c r="H38" s="5" t="s">
        <v>1331</v>
      </c>
      <c r="I38" s="5"/>
      <c r="J38" s="5"/>
      <c r="K38" s="5"/>
      <c r="L38" s="5"/>
      <c r="M38" s="5"/>
      <c r="N38" s="5"/>
    </row>
    <row r="39" customFormat="false" ht="30" hidden="false" customHeight="true" outlineLevel="0" collapsed="false">
      <c r="A39" s="30" t="n">
        <v>6</v>
      </c>
      <c r="B39" s="7" t="s">
        <v>1332</v>
      </c>
      <c r="C39" s="28" t="n">
        <v>26</v>
      </c>
      <c r="D39" s="28" t="n">
        <f aca="false">AK8</f>
        <v>26.2857142857143</v>
      </c>
      <c r="E39" s="28" t="n">
        <f aca="false">D39-C39</f>
        <v>0.285714285714285</v>
      </c>
      <c r="F39" s="28" t="n">
        <v>0.5</v>
      </c>
      <c r="G39" s="9" t="str">
        <f aca="false">IF(ABS(E39)&lt;=F39,"within tolerance","differs: see reason")</f>
        <v>within tolerance</v>
      </c>
      <c r="H39" s="5" t="s">
        <v>1333</v>
      </c>
      <c r="I39" s="5"/>
      <c r="J39" s="5"/>
      <c r="K39" s="5"/>
      <c r="L39" s="5"/>
      <c r="M39" s="5"/>
      <c r="N39" s="5"/>
    </row>
    <row r="40" customFormat="false" ht="30" hidden="false" customHeight="true" outlineLevel="0" collapsed="false">
      <c r="A40" s="30" t="n">
        <v>7</v>
      </c>
      <c r="B40" s="7" t="s">
        <v>1334</v>
      </c>
      <c r="C40" s="19" t="n">
        <v>370</v>
      </c>
      <c r="D40" s="19" t="n">
        <f aca="false">AA10</f>
        <v>370</v>
      </c>
      <c r="E40" s="19" t="n">
        <f aca="false">D40-C40</f>
        <v>0</v>
      </c>
      <c r="F40" s="19" t="n">
        <v>5</v>
      </c>
      <c r="G40" s="9" t="str">
        <f aca="false">IF(ABS(E40)&lt;=F40,"within tolerance","differs: see reason")</f>
        <v>within tolerance</v>
      </c>
      <c r="H40" s="5" t="s">
        <v>1335</v>
      </c>
      <c r="I40" s="5"/>
      <c r="J40" s="5"/>
      <c r="K40" s="5"/>
      <c r="L40" s="5"/>
      <c r="M40" s="5"/>
      <c r="N40" s="5"/>
    </row>
    <row r="41" customFormat="false" ht="30" hidden="false" customHeight="true" outlineLevel="0" collapsed="false">
      <c r="A41" s="30" t="n">
        <v>8</v>
      </c>
      <c r="B41" s="7" t="s">
        <v>1336</v>
      </c>
      <c r="C41" s="28" t="n">
        <v>102</v>
      </c>
      <c r="D41" s="28" t="n">
        <f aca="false">AK11</f>
        <v>101.634615384615</v>
      </c>
      <c r="E41" s="28" t="n">
        <f aca="false">D41-C41</f>
        <v>-0.365384615384613</v>
      </c>
      <c r="F41" s="28" t="n">
        <v>0.5</v>
      </c>
      <c r="G41" s="9" t="str">
        <f aca="false">IF(ABS(E41)&lt;=F41,"within tolerance","differs: see reason")</f>
        <v>within tolerance</v>
      </c>
      <c r="H41" s="5" t="s">
        <v>1337</v>
      </c>
      <c r="I41" s="5"/>
      <c r="J41" s="5"/>
      <c r="K41" s="5"/>
      <c r="L41" s="5"/>
      <c r="M41" s="5"/>
      <c r="N41" s="5"/>
    </row>
    <row r="42" customFormat="false" ht="30" hidden="false" customHeight="true" outlineLevel="0" collapsed="false">
      <c r="A42" s="30" t="n">
        <v>9</v>
      </c>
      <c r="B42" s="7" t="s">
        <v>1338</v>
      </c>
      <c r="C42" s="28" t="n">
        <v>47</v>
      </c>
      <c r="D42" s="28" t="n">
        <f aca="false">AK12</f>
        <v>47.4038461538462</v>
      </c>
      <c r="E42" s="28" t="n">
        <f aca="false">D42-C42</f>
        <v>0.403846153846153</v>
      </c>
      <c r="F42" s="28" t="n">
        <v>0.5</v>
      </c>
      <c r="G42" s="9" t="str">
        <f aca="false">IF(ABS(E42)&lt;=F42,"within tolerance","differs: see reason")</f>
        <v>within tolerance</v>
      </c>
      <c r="H42" s="5" t="s">
        <v>1339</v>
      </c>
      <c r="I42" s="5"/>
      <c r="J42" s="5"/>
      <c r="K42" s="5"/>
      <c r="L42" s="5"/>
      <c r="M42" s="5"/>
      <c r="N42" s="5"/>
    </row>
    <row r="43" customFormat="false" ht="30" hidden="false" customHeight="true" outlineLevel="0" collapsed="false">
      <c r="A43" s="30" t="n">
        <v>10</v>
      </c>
      <c r="B43" s="7" t="s">
        <v>1340</v>
      </c>
      <c r="C43" s="28" t="n">
        <v>47</v>
      </c>
      <c r="D43" s="28" t="n">
        <f aca="false">AK13</f>
        <v>45.6730769230769</v>
      </c>
      <c r="E43" s="28" t="n">
        <f aca="false">D43-C43</f>
        <v>-1.32692307692308</v>
      </c>
      <c r="F43" s="28" t="n">
        <v>0.5</v>
      </c>
      <c r="G43" s="9" t="str">
        <f aca="false">IF(ABS(E43)&lt;=F43,"within tolerance","differs: see reason")</f>
        <v>differs: see reason</v>
      </c>
      <c r="H43" s="5" t="s">
        <v>1341</v>
      </c>
      <c r="I43" s="5"/>
      <c r="J43" s="5"/>
      <c r="K43" s="5"/>
      <c r="L43" s="5"/>
      <c r="M43" s="5"/>
      <c r="N43" s="5"/>
    </row>
    <row r="44" customFormat="false" ht="30" hidden="false" customHeight="true" outlineLevel="0" collapsed="false">
      <c r="A44" s="30" t="n">
        <v>11</v>
      </c>
      <c r="B44" s="7" t="s">
        <v>1342</v>
      </c>
      <c r="C44" s="19" t="n">
        <v>9000</v>
      </c>
      <c r="D44" s="19" t="n">
        <f aca="false">Steady_State!$C$24</f>
        <v>9000</v>
      </c>
      <c r="E44" s="19" t="n">
        <f aca="false">D44-C44</f>
        <v>0</v>
      </c>
      <c r="F44" s="19" t="n">
        <v>25</v>
      </c>
      <c r="G44" s="9" t="str">
        <f aca="false">IF(ABS(E44)&lt;=F44,"within tolerance","differs: see reason")</f>
        <v>within tolerance</v>
      </c>
      <c r="H44" s="5" t="s">
        <v>1343</v>
      </c>
      <c r="I44" s="5"/>
      <c r="J44" s="5"/>
      <c r="K44" s="5"/>
      <c r="L44" s="5"/>
      <c r="M44" s="5"/>
      <c r="N44" s="5"/>
    </row>
    <row r="45" customFormat="false" ht="30" hidden="false" customHeight="true" outlineLevel="0" collapsed="false">
      <c r="A45" s="30" t="n">
        <v>12</v>
      </c>
      <c r="B45" s="7" t="s">
        <v>1344</v>
      </c>
      <c r="C45" s="19" t="n">
        <v>1350</v>
      </c>
      <c r="D45" s="19" t="n">
        <f aca="false">Steady_State!$C$25</f>
        <v>1340</v>
      </c>
      <c r="E45" s="19" t="n">
        <f aca="false">D45-C45</f>
        <v>-10</v>
      </c>
      <c r="F45" s="19" t="n">
        <v>25</v>
      </c>
      <c r="G45" s="9" t="str">
        <f aca="false">IF(ABS(E45)&lt;=F45,"within tolerance","differs: see reason")</f>
        <v>within tolerance</v>
      </c>
      <c r="H45" s="5" t="s">
        <v>1345</v>
      </c>
      <c r="I45" s="5"/>
      <c r="J45" s="5"/>
      <c r="K45" s="5"/>
      <c r="L45" s="5"/>
      <c r="M45" s="5"/>
      <c r="N45" s="5"/>
    </row>
    <row r="46" customFormat="false" ht="30" hidden="false" customHeight="true" outlineLevel="0" collapsed="false">
      <c r="A46" s="30" t="n">
        <v>13</v>
      </c>
      <c r="B46" s="7" t="s">
        <v>1346</v>
      </c>
      <c r="C46" s="36" t="n">
        <v>104</v>
      </c>
      <c r="D46" s="36" t="n">
        <f aca="false">Steady_State!$C$26</f>
        <v>104</v>
      </c>
      <c r="E46" s="36" t="n">
        <f aca="false">D46-C46</f>
        <v>0</v>
      </c>
      <c r="F46" s="36" t="n">
        <v>0.01</v>
      </c>
      <c r="G46" s="9" t="str">
        <f aca="false">IF(ABS(E46)&lt;=F46,"within tolerance","differs: see reason")</f>
        <v>within tolerance</v>
      </c>
      <c r="H46" s="5" t="s">
        <v>1347</v>
      </c>
      <c r="I46" s="5"/>
      <c r="J46" s="5"/>
      <c r="K46" s="5"/>
      <c r="L46" s="5"/>
      <c r="M46" s="5"/>
      <c r="N46" s="5"/>
    </row>
    <row r="47" customFormat="false" ht="30" hidden="false" customHeight="true" outlineLevel="0" collapsed="false">
      <c r="A47" s="30" t="n">
        <v>14</v>
      </c>
      <c r="B47" s="7" t="s">
        <v>1348</v>
      </c>
      <c r="C47" s="19" t="n">
        <v>7650</v>
      </c>
      <c r="D47" s="19" t="n">
        <f aca="false">Steady_State!$C$27</f>
        <v>7660</v>
      </c>
      <c r="E47" s="19" t="n">
        <f aca="false">D47-C47</f>
        <v>10</v>
      </c>
      <c r="F47" s="19" t="n">
        <v>25</v>
      </c>
      <c r="G47" s="9" t="str">
        <f aca="false">IF(ABS(E47)&lt;=F47,"within tolerance","differs: see reason")</f>
        <v>within tolerance</v>
      </c>
      <c r="H47" s="5" t="s">
        <v>1349</v>
      </c>
      <c r="I47" s="5"/>
      <c r="J47" s="5"/>
      <c r="K47" s="5"/>
      <c r="L47" s="5"/>
      <c r="M47" s="5"/>
      <c r="N47" s="5"/>
    </row>
    <row r="48" customFormat="false" ht="30" hidden="false" customHeight="true" outlineLevel="0" collapsed="false">
      <c r="A48" s="30" t="n">
        <v>15</v>
      </c>
      <c r="B48" s="7" t="s">
        <v>1350</v>
      </c>
      <c r="C48" s="19" t="n">
        <v>90000</v>
      </c>
      <c r="D48" s="19" t="n">
        <f aca="false">Steady_State!$C$29</f>
        <v>91920</v>
      </c>
      <c r="E48" s="19" t="n">
        <f aca="false">D48-C48</f>
        <v>1920</v>
      </c>
      <c r="F48" s="19" t="n">
        <v>5000</v>
      </c>
      <c r="G48" s="9" t="str">
        <f aca="false">IF(ABS(E48)&lt;=F48,"within tolerance","differs: see reason")</f>
        <v>within tolerance</v>
      </c>
      <c r="H48" s="5" t="s">
        <v>1351</v>
      </c>
      <c r="I48" s="5"/>
      <c r="J48" s="5"/>
      <c r="K48" s="5"/>
      <c r="L48" s="5"/>
      <c r="M48" s="5"/>
      <c r="N48" s="5"/>
    </row>
    <row r="49" customFormat="false" ht="30" hidden="false" customHeight="true" outlineLevel="0" collapsed="false">
      <c r="A49" s="30" t="n">
        <v>16</v>
      </c>
      <c r="B49" s="7" t="s">
        <v>1352</v>
      </c>
      <c r="C49" s="95" t="n">
        <v>6</v>
      </c>
      <c r="D49" s="95" t="n">
        <f aca="false">Steady_State!$C$42</f>
        <v>6</v>
      </c>
      <c r="E49" s="95" t="n">
        <f aca="false">D49-C49</f>
        <v>0</v>
      </c>
      <c r="F49" s="95" t="n">
        <v>0.01</v>
      </c>
      <c r="G49" s="9" t="str">
        <f aca="false">IF(ABS(E49)&lt;=F49,"within tolerance","differs: see reason")</f>
        <v>within tolerance</v>
      </c>
      <c r="H49" s="5" t="s">
        <v>1353</v>
      </c>
      <c r="I49" s="5"/>
      <c r="J49" s="5"/>
      <c r="K49" s="5"/>
      <c r="L49" s="5"/>
      <c r="M49" s="5"/>
      <c r="N49" s="5"/>
    </row>
    <row r="50" customFormat="false" ht="30" hidden="false" customHeight="true" outlineLevel="0" collapsed="false">
      <c r="A50" s="30" t="n">
        <v>17</v>
      </c>
      <c r="B50" s="7" t="s">
        <v>1354</v>
      </c>
      <c r="C50" s="21" t="n">
        <v>30</v>
      </c>
      <c r="D50" s="21" t="n">
        <f aca="false">Steady_State!$C$43</f>
        <v>30</v>
      </c>
      <c r="E50" s="21" t="n">
        <f aca="false">D50-C50</f>
        <v>0</v>
      </c>
      <c r="F50" s="21" t="n">
        <v>0.01</v>
      </c>
      <c r="G50" s="9" t="str">
        <f aca="false">IF(ABS(E50)&lt;=F50,"within tolerance","differs: see reason")</f>
        <v>within tolerance</v>
      </c>
      <c r="H50" s="5" t="s">
        <v>1355</v>
      </c>
      <c r="I50" s="5"/>
      <c r="J50" s="5"/>
      <c r="K50" s="5"/>
      <c r="L50" s="5"/>
      <c r="M50" s="5"/>
      <c r="N50" s="5"/>
    </row>
    <row r="51" customFormat="false" ht="30" hidden="false" customHeight="true" outlineLevel="0" collapsed="false">
      <c r="A51" s="30" t="n">
        <v>18</v>
      </c>
      <c r="B51" s="7" t="s">
        <v>1356</v>
      </c>
      <c r="C51" s="21" t="n">
        <v>20</v>
      </c>
      <c r="D51" s="21" t="n">
        <f aca="false">Steady_State!$C$44</f>
        <v>20</v>
      </c>
      <c r="E51" s="21" t="n">
        <f aca="false">D51-C51</f>
        <v>0</v>
      </c>
      <c r="F51" s="21" t="n">
        <v>0.01</v>
      </c>
      <c r="G51" s="9" t="str">
        <f aca="false">IF(ABS(E51)&lt;=F51,"within tolerance","differs: see reason")</f>
        <v>within tolerance</v>
      </c>
      <c r="H51" s="5" t="s">
        <v>1357</v>
      </c>
      <c r="I51" s="5"/>
      <c r="J51" s="5"/>
      <c r="K51" s="5"/>
      <c r="L51" s="5"/>
      <c r="M51" s="5"/>
      <c r="N51" s="5"/>
    </row>
    <row r="52" customFormat="false" ht="30" hidden="false" customHeight="true" outlineLevel="0" collapsed="false">
      <c r="A52" s="30" t="n">
        <v>19</v>
      </c>
      <c r="B52" s="7" t="s">
        <v>1358</v>
      </c>
      <c r="C52" s="19" t="n">
        <v>275</v>
      </c>
      <c r="D52" s="19" t="n">
        <f aca="false">Steady_State!$C$31</f>
        <v>310</v>
      </c>
      <c r="E52" s="19" t="n">
        <f aca="false">D52-C52</f>
        <v>35</v>
      </c>
      <c r="F52" s="19" t="n">
        <v>75</v>
      </c>
      <c r="G52" s="9" t="str">
        <f aca="false">IF(ABS(E52)&lt;=F52,"within tolerance","differs: see reason")</f>
        <v>within tolerance</v>
      </c>
      <c r="H52" s="5" t="s">
        <v>1359</v>
      </c>
      <c r="I52" s="5"/>
      <c r="J52" s="5"/>
      <c r="K52" s="5"/>
      <c r="L52" s="5"/>
      <c r="M52" s="5"/>
      <c r="N52" s="5"/>
    </row>
    <row r="53" customFormat="false" ht="30" hidden="false" customHeight="true" outlineLevel="0" collapsed="false">
      <c r="A53" s="30" t="n">
        <v>20</v>
      </c>
      <c r="B53" s="7" t="s">
        <v>1360</v>
      </c>
      <c r="C53" s="21" t="n">
        <v>1</v>
      </c>
      <c r="D53" s="21" t="n">
        <f aca="false">Steady_State!$C$56</f>
        <v>1</v>
      </c>
      <c r="E53" s="21" t="n">
        <f aca="false">D53-C53</f>
        <v>0</v>
      </c>
      <c r="F53" s="21" t="n">
        <v>0.01</v>
      </c>
      <c r="G53" s="9" t="str">
        <f aca="false">IF(ABS(E53)&lt;=F53,"within tolerance","differs: see reason")</f>
        <v>within tolerance</v>
      </c>
      <c r="H53" s="5" t="s">
        <v>1361</v>
      </c>
      <c r="I53" s="5"/>
      <c r="J53" s="5"/>
      <c r="K53" s="5"/>
      <c r="L53" s="5"/>
      <c r="M53" s="5"/>
      <c r="N53" s="5"/>
    </row>
    <row r="54" customFormat="false" ht="30" hidden="false" customHeight="true" outlineLevel="0" collapsed="false">
      <c r="A54" s="30" t="n">
        <v>21</v>
      </c>
      <c r="B54" s="7" t="s">
        <v>1362</v>
      </c>
      <c r="C54" s="36" t="n">
        <v>6</v>
      </c>
      <c r="D54" s="36" t="n">
        <f aca="false">Inputs!$C$93</f>
        <v>6</v>
      </c>
      <c r="E54" s="36" t="n">
        <f aca="false">D54-C54</f>
        <v>0</v>
      </c>
      <c r="F54" s="36" t="n">
        <v>0.01</v>
      </c>
      <c r="G54" s="9" t="str">
        <f aca="false">IF(ABS(E54)&lt;=F54,"within tolerance","differs: see reason")</f>
        <v>within tolerance</v>
      </c>
      <c r="H54" s="5" t="s">
        <v>1363</v>
      </c>
      <c r="I54" s="5"/>
      <c r="J54" s="5"/>
      <c r="K54" s="5"/>
      <c r="L54" s="5"/>
      <c r="M54" s="5"/>
      <c r="N54" s="5"/>
    </row>
    <row r="55" customFormat="false" ht="30" hidden="false" customHeight="true" outlineLevel="0" collapsed="false">
      <c r="A55" s="30" t="n">
        <v>22</v>
      </c>
      <c r="B55" s="7" t="s">
        <v>1364</v>
      </c>
      <c r="C55" s="19" t="n">
        <v>3360</v>
      </c>
      <c r="D55" s="19" t="n">
        <f aca="false">Capital!$C$14</f>
        <v>3360</v>
      </c>
      <c r="E55" s="19" t="n">
        <f aca="false">D55-C55</f>
        <v>0</v>
      </c>
      <c r="F55" s="19" t="n">
        <v>0.01</v>
      </c>
      <c r="G55" s="9" t="str">
        <f aca="false">IF(ABS(E55)&lt;=F55,"within tolerance","differs: see reason")</f>
        <v>within tolerance</v>
      </c>
      <c r="H55" s="5" t="s">
        <v>1365</v>
      </c>
      <c r="I55" s="5"/>
      <c r="J55" s="5"/>
      <c r="K55" s="5"/>
      <c r="L55" s="5"/>
      <c r="M55" s="5"/>
      <c r="N55" s="5"/>
    </row>
    <row r="56" customFormat="false" ht="30" hidden="false" customHeight="true" outlineLevel="0" collapsed="false">
      <c r="A56" s="30" t="n">
        <v>23</v>
      </c>
      <c r="B56" s="7" t="s">
        <v>1366</v>
      </c>
      <c r="C56" s="19" t="n">
        <v>6510</v>
      </c>
      <c r="D56" s="19" t="n">
        <f aca="false">Capital!$D$14</f>
        <v>6510</v>
      </c>
      <c r="E56" s="19" t="n">
        <f aca="false">D56-C56</f>
        <v>0</v>
      </c>
      <c r="F56" s="19" t="n">
        <v>0.01</v>
      </c>
      <c r="G56" s="9" t="str">
        <f aca="false">IF(ABS(E56)&lt;=F56,"within tolerance","differs: see reason")</f>
        <v>within tolerance</v>
      </c>
      <c r="H56" s="5" t="s">
        <v>1367</v>
      </c>
      <c r="I56" s="5"/>
      <c r="J56" s="5"/>
      <c r="K56" s="5"/>
      <c r="L56" s="5"/>
      <c r="M56" s="5"/>
      <c r="N56" s="5"/>
    </row>
    <row r="57" customFormat="false" ht="30" hidden="false" customHeight="true" outlineLevel="0" collapsed="false">
      <c r="A57" s="30" t="n">
        <v>24</v>
      </c>
      <c r="B57" s="7" t="s">
        <v>1368</v>
      </c>
      <c r="C57" s="19" t="n">
        <v>360</v>
      </c>
      <c r="D57" s="19" t="n">
        <f aca="false">Capital!G10</f>
        <v>360</v>
      </c>
      <c r="E57" s="19" t="n">
        <f aca="false">D57-C57</f>
        <v>0</v>
      </c>
      <c r="F57" s="19" t="n">
        <v>0.01</v>
      </c>
      <c r="G57" s="9" t="str">
        <f aca="false">IF(ABS(E57)&lt;=F57,"within tolerance","differs: see reason")</f>
        <v>within tolerance</v>
      </c>
      <c r="H57" s="5" t="s">
        <v>1369</v>
      </c>
      <c r="I57" s="5"/>
      <c r="J57" s="5"/>
      <c r="K57" s="5"/>
      <c r="L57" s="5"/>
      <c r="M57" s="5"/>
      <c r="N57" s="5"/>
    </row>
    <row r="58" customFormat="false" ht="30" hidden="false" customHeight="true" outlineLevel="0" collapsed="false">
      <c r="A58" s="30" t="n">
        <v>25</v>
      </c>
      <c r="B58" s="7" t="s">
        <v>1370</v>
      </c>
      <c r="C58" s="19" t="n">
        <v>600</v>
      </c>
      <c r="D58" s="19" t="n">
        <f aca="false">Capital!G11</f>
        <v>720</v>
      </c>
      <c r="E58" s="19" t="n">
        <f aca="false">D58-C58</f>
        <v>120</v>
      </c>
      <c r="F58" s="19" t="n">
        <v>0.01</v>
      </c>
      <c r="G58" s="9" t="str">
        <f aca="false">IF(ABS(E58)&lt;=F58,"within tolerance","differs: see reason")</f>
        <v>differs: see reason</v>
      </c>
      <c r="H58" s="5" t="s">
        <v>1371</v>
      </c>
      <c r="I58" s="5"/>
      <c r="J58" s="5"/>
      <c r="K58" s="5"/>
      <c r="L58" s="5"/>
      <c r="M58" s="5"/>
      <c r="N58" s="5"/>
    </row>
  </sheetData>
  <mergeCells count="33">
    <mergeCell ref="A3:AM3"/>
    <mergeCell ref="A5:C5"/>
    <mergeCell ref="E5:M5"/>
    <mergeCell ref="N5:S5"/>
    <mergeCell ref="T5:AA5"/>
    <mergeCell ref="AB5:AI5"/>
    <mergeCell ref="AJ5:AK5"/>
    <mergeCell ref="AL5:AM5"/>
    <mergeCell ref="H34:N34"/>
    <mergeCell ref="H35:N35"/>
    <mergeCell ref="H36:N36"/>
    <mergeCell ref="H37:N37"/>
    <mergeCell ref="H38:N38"/>
    <mergeCell ref="H39:N39"/>
    <mergeCell ref="H40:N40"/>
    <mergeCell ref="H41:N41"/>
    <mergeCell ref="H42:N42"/>
    <mergeCell ref="H43:N43"/>
    <mergeCell ref="H44:N44"/>
    <mergeCell ref="H45:N45"/>
    <mergeCell ref="H46:N46"/>
    <mergeCell ref="H47:N47"/>
    <mergeCell ref="H48:N48"/>
    <mergeCell ref="H49:N49"/>
    <mergeCell ref="H50:N50"/>
    <mergeCell ref="H51:N51"/>
    <mergeCell ref="H52:N52"/>
    <mergeCell ref="H53:N53"/>
    <mergeCell ref="H54:N54"/>
    <mergeCell ref="H55:N55"/>
    <mergeCell ref="H56:N56"/>
    <mergeCell ref="H57:N57"/>
    <mergeCell ref="H58:N58"/>
  </mergeCells>
  <conditionalFormatting sqref="AX7:AX17">
    <cfRule type="cellIs" priority="2" operator="equal" aboveAverage="0" equalAverage="0" bottom="0" percent="0" rank="0" text="" dxfId="0">
      <formula>"reproduces"</formula>
    </cfRule>
    <cfRule type="cellIs" priority="3" operator="equal" aboveAverage="0" equalAverage="0" bottom="0" percent="0" rank="0" text="" dxfId="6">
      <formula>"differs"</formula>
    </cfRule>
    <cfRule type="cellIs" priority="4" operator="equal" aboveAverage="0" equalAverage="0" bottom="0" percent="0" rank="0" text="" dxfId="6">
      <formula>"check"</formula>
    </cfRule>
    <cfRule type="cellIs" priority="5" operator="equal" aboveAverage="0" equalAverage="0" bottom="0" percent="0" rank="0" text="" dxfId="0">
      <formula>"behaves"</formula>
    </cfRule>
    <cfRule type="cellIs" priority="6" operator="equal" aboveAverage="0" equalAverage="0" bottom="0" percent="0" rank="0" text="" dxfId="0">
      <formula>"matches"</formula>
    </cfRule>
    <cfRule type="cellIs" priority="7" operator="equal" aboveAverage="0" equalAverage="0" bottom="0" percent="0" rank="0" text="" dxfId="8">
      <formula>"differs, as expected"</formula>
    </cfRule>
  </conditionalFormatting>
  <conditionalFormatting sqref="J22:J29">
    <cfRule type="cellIs" priority="8" operator="equal" aboveAverage="0" equalAverage="0" bottom="0" percent="0" rank="0" text="" dxfId="0">
      <formula>"yes"</formula>
    </cfRule>
    <cfRule type="cellIs" priority="9" operator="equal" aboveAverage="0" equalAverage="0" bottom="0" percent="0" rank="0" text="" dxfId="6">
      <formula>"no"</formula>
    </cfRule>
  </conditionalFormatting>
  <conditionalFormatting sqref="G34:G58">
    <cfRule type="cellIs" priority="10" operator="equal" aboveAverage="0" equalAverage="0" bottom="0" percent="0" rank="0" text="" dxfId="0">
      <formula>"within tolerance"</formula>
    </cfRule>
    <cfRule type="cellIs" priority="11" operator="equal" aboveAverage="0" equalAverage="0" bottom="0" percent="0" rank="0" text="" dxfId="6">
      <formula>"differs: see reason"</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5"/>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40"/>
    <col collapsed="false" customWidth="true" hidden="false" outlineLevel="0" max="4" min="3" style="0" width="10"/>
    <col collapsed="false" customWidth="true" hidden="false" outlineLevel="0" max="5" min="5" style="0" width="14"/>
    <col collapsed="false" customWidth="true" hidden="false" outlineLevel="0" max="6" min="6" style="0" width="30"/>
    <col collapsed="false" customWidth="true" hidden="false" outlineLevel="0" max="7" min="7" style="0" width="16"/>
    <col collapsed="false" customWidth="true" hidden="false" outlineLevel="0" max="8" min="8" style="0" width="14"/>
    <col collapsed="false" customWidth="true" hidden="false" outlineLevel="0" max="9" min="9" style="0" width="48"/>
    <col collapsed="false" customWidth="true" hidden="false" outlineLevel="0" max="10" min="10" style="0" width="40"/>
  </cols>
  <sheetData>
    <row r="1" customFormat="false" ht="18.55" hidden="false" customHeight="false" outlineLevel="0" collapsed="false">
      <c r="A1" s="1" t="s">
        <v>1372</v>
      </c>
    </row>
    <row r="2" customFormat="false" ht="15" hidden="false" customHeight="false" outlineLevel="0" collapsed="false">
      <c r="A2" s="2" t="s">
        <v>1373</v>
      </c>
    </row>
    <row r="3" customFormat="false" ht="30" hidden="false" customHeight="true" outlineLevel="0" collapsed="false">
      <c r="B3" s="8" t="s">
        <v>1374</v>
      </c>
      <c r="C3" s="8"/>
      <c r="D3" s="8"/>
      <c r="E3" s="8"/>
      <c r="F3" s="8"/>
      <c r="G3" s="8"/>
      <c r="H3" s="8"/>
      <c r="I3" s="8"/>
      <c r="J3" s="8"/>
    </row>
    <row r="4" customFormat="false" ht="45" hidden="false" customHeight="true" outlineLevel="0" collapsed="false">
      <c r="B4" s="12" t="s">
        <v>1375</v>
      </c>
      <c r="C4" s="12" t="s">
        <v>1376</v>
      </c>
      <c r="D4" s="12" t="s">
        <v>1377</v>
      </c>
      <c r="E4" s="12" t="s">
        <v>1378</v>
      </c>
      <c r="F4" s="12" t="s">
        <v>1379</v>
      </c>
      <c r="G4" s="12" t="s">
        <v>1380</v>
      </c>
      <c r="H4" s="12" t="s">
        <v>1381</v>
      </c>
      <c r="I4" s="12" t="s">
        <v>1382</v>
      </c>
      <c r="J4" s="12" t="s">
        <v>1383</v>
      </c>
    </row>
    <row r="5" customFormat="false" ht="31.5" hidden="false" customHeight="true" outlineLevel="0" collapsed="false">
      <c r="B5" s="7" t="s">
        <v>1384</v>
      </c>
      <c r="C5" s="19" t="n">
        <v>250</v>
      </c>
      <c r="D5" s="19" t="n">
        <v>250</v>
      </c>
      <c r="E5" s="19" t="n">
        <f aca="false">Inputs!$C$158+Inputs!$C$159</f>
        <v>250</v>
      </c>
      <c r="F5" s="7" t="s">
        <v>1385</v>
      </c>
      <c r="G5" s="19" t="n">
        <f aca="false">Inputs!$Q$158+Inputs!$Q$159</f>
        <v>250</v>
      </c>
      <c r="H5" s="19" t="n">
        <f aca="false">G5-D5</f>
        <v>0</v>
      </c>
      <c r="I5" s="7" t="s">
        <v>1386</v>
      </c>
      <c r="J5" s="7" t="s">
        <v>1387</v>
      </c>
    </row>
    <row r="6" customFormat="false" ht="48" hidden="false" customHeight="true" outlineLevel="0" collapsed="false">
      <c r="B6" s="7" t="s">
        <v>1388</v>
      </c>
      <c r="C6" s="19" t="n">
        <v>250</v>
      </c>
      <c r="D6" s="19" t="n">
        <v>2000</v>
      </c>
      <c r="E6" s="19" t="n">
        <f aca="false">Inputs!$C$160</f>
        <v>2000</v>
      </c>
      <c r="F6" s="7" t="s">
        <v>1385</v>
      </c>
      <c r="G6" s="19" t="n">
        <f aca="false">Inputs!$Q$160</f>
        <v>2000</v>
      </c>
      <c r="H6" s="19" t="n">
        <f aca="false">G6-D6</f>
        <v>0</v>
      </c>
      <c r="I6" s="7" t="s">
        <v>1389</v>
      </c>
      <c r="J6" s="7" t="s">
        <v>1390</v>
      </c>
    </row>
    <row r="7" customFormat="false" ht="31.5" hidden="false" customHeight="true" outlineLevel="0" collapsed="false">
      <c r="B7" s="7" t="s">
        <v>1391</v>
      </c>
      <c r="C7" s="19" t="n">
        <v>500</v>
      </c>
      <c r="D7" s="19" t="n">
        <v>1500</v>
      </c>
      <c r="E7" s="19" t="n">
        <f aca="false">Inputs!$C$81*Inputs!$C$20</f>
        <v>1200</v>
      </c>
      <c r="F7" s="7" t="s">
        <v>1392</v>
      </c>
      <c r="G7" s="19" t="n">
        <f aca="false">SUMIFS(Cash_Ledger!$D$5:$D$53,Cash_Ledger!$A$5:$A$53,"insurance",Cash_Ledger!$C$5:$C$53,"&gt;="&amp;Inputs!$C$10,Cash_Ledger!$C$5:$C$53,"&lt;="&amp;Cash_Flow!$AB$6)</f>
        <v>1200</v>
      </c>
      <c r="H7" s="19" t="n">
        <f aca="false">G7-D7</f>
        <v>-300</v>
      </c>
      <c r="I7" s="7" t="s">
        <v>1393</v>
      </c>
      <c r="J7" s="7" t="s">
        <v>1394</v>
      </c>
    </row>
    <row r="8" customFormat="false" ht="31.5" hidden="false" customHeight="true" outlineLevel="0" collapsed="false">
      <c r="B8" s="7" t="s">
        <v>1395</v>
      </c>
      <c r="C8" s="19" t="n">
        <v>0</v>
      </c>
      <c r="D8" s="19" t="n">
        <v>400</v>
      </c>
      <c r="E8" s="19" t="n">
        <f aca="false">Inputs!$C$162</f>
        <v>400</v>
      </c>
      <c r="F8" s="7" t="s">
        <v>1385</v>
      </c>
      <c r="G8" s="19" t="n">
        <f aca="false">Inputs!$Q$162</f>
        <v>400</v>
      </c>
      <c r="H8" s="19" t="n">
        <f aca="false">G8-D8</f>
        <v>0</v>
      </c>
      <c r="I8" s="7" t="s">
        <v>1396</v>
      </c>
      <c r="J8" s="7" t="s">
        <v>1397</v>
      </c>
    </row>
    <row r="9" customFormat="false" ht="31.5" hidden="false" customHeight="true" outlineLevel="0" collapsed="false">
      <c r="B9" s="7" t="s">
        <v>1398</v>
      </c>
      <c r="C9" s="19" t="n">
        <v>300</v>
      </c>
      <c r="D9" s="19" t="n">
        <v>300</v>
      </c>
      <c r="E9" s="19" t="n">
        <f aca="false">Inputs!$C$163</f>
        <v>300</v>
      </c>
      <c r="F9" s="7" t="s">
        <v>1385</v>
      </c>
      <c r="G9" s="19" t="n">
        <f aca="false">Inputs!$Q$163</f>
        <v>300</v>
      </c>
      <c r="H9" s="19" t="n">
        <f aca="false">G9-D9</f>
        <v>0</v>
      </c>
      <c r="I9" s="7" t="s">
        <v>1399</v>
      </c>
      <c r="J9" s="7" t="s">
        <v>1400</v>
      </c>
    </row>
    <row r="10" customFormat="false" ht="31.5" hidden="false" customHeight="true" outlineLevel="0" collapsed="false">
      <c r="B10" s="7" t="s">
        <v>1368</v>
      </c>
      <c r="C10" s="19" t="n">
        <v>360</v>
      </c>
      <c r="D10" s="19" t="n">
        <v>360</v>
      </c>
      <c r="E10" s="19" t="n">
        <f aca="false">Inputs!$C$79*COUNTIFS(Cash_Ledger!$A$5:$A$53,"software",Cash_Ledger!$D$5:$D$53,"&gt;0")</f>
        <v>360</v>
      </c>
      <c r="F10" s="7" t="s">
        <v>1401</v>
      </c>
      <c r="G10" s="19" t="n">
        <f aca="false">SUMIFS(Cash_Ledger!$D$5:$D$53,Cash_Ledger!$A$5:$A$53,"software",Cash_Ledger!$C$5:$C$53,"&gt;="&amp;Inputs!$C$10,Cash_Ledger!$C$5:$C$53,"&lt;="&amp;Cash_Flow!$AB$6)</f>
        <v>360</v>
      </c>
      <c r="H10" s="19" t="n">
        <f aca="false">G10-D10</f>
        <v>0</v>
      </c>
      <c r="I10" s="7" t="s">
        <v>1402</v>
      </c>
      <c r="J10" s="7" t="s">
        <v>1400</v>
      </c>
    </row>
    <row r="11" customFormat="false" ht="48" hidden="false" customHeight="true" outlineLevel="0" collapsed="false">
      <c r="B11" s="7" t="s">
        <v>1370</v>
      </c>
      <c r="C11" s="19" t="n">
        <v>600</v>
      </c>
      <c r="D11" s="19" t="n">
        <v>600</v>
      </c>
      <c r="E11" s="19" t="n">
        <f aca="false">SUM(Drop_PnL!U7:U9)</f>
        <v>720</v>
      </c>
      <c r="F11" s="7" t="s">
        <v>1403</v>
      </c>
      <c r="G11" s="19" t="n">
        <f aca="false">SUM(Drop_PnL!U7:U9)</f>
        <v>720</v>
      </c>
      <c r="H11" s="19" t="n">
        <f aca="false">G11-D11</f>
        <v>120</v>
      </c>
      <c r="I11" s="7" t="s">
        <v>1404</v>
      </c>
      <c r="J11" s="7" t="s">
        <v>1400</v>
      </c>
    </row>
    <row r="12" customFormat="false" ht="31.5" hidden="false" customHeight="true" outlineLevel="0" collapsed="false">
      <c r="B12" s="7" t="s">
        <v>1405</v>
      </c>
      <c r="C12" s="19" t="n">
        <v>100</v>
      </c>
      <c r="D12" s="19" t="n">
        <v>100</v>
      </c>
      <c r="E12" s="19" t="n">
        <f aca="false">Inputs!$C$164</f>
        <v>100</v>
      </c>
      <c r="F12" s="7" t="s">
        <v>1385</v>
      </c>
      <c r="G12" s="19" t="n">
        <f aca="false">Inputs!$Q$164</f>
        <v>100</v>
      </c>
      <c r="H12" s="19" t="n">
        <f aca="false">G12-D12</f>
        <v>0</v>
      </c>
      <c r="I12" s="7" t="s">
        <v>1386</v>
      </c>
      <c r="J12" s="7" t="s">
        <v>1400</v>
      </c>
    </row>
    <row r="13" customFormat="false" ht="31.5" hidden="false" customHeight="true" outlineLevel="0" collapsed="false">
      <c r="B13" s="7" t="s">
        <v>1406</v>
      </c>
      <c r="C13" s="19" t="n">
        <v>1000</v>
      </c>
      <c r="D13" s="19" t="n">
        <v>1000</v>
      </c>
      <c r="E13" s="19" t="n">
        <f aca="false">Inputs!$C$117</f>
        <v>1000</v>
      </c>
      <c r="F13" s="7" t="s">
        <v>1407</v>
      </c>
      <c r="G13" s="60"/>
      <c r="H13" s="60"/>
      <c r="I13" s="7" t="s">
        <v>1408</v>
      </c>
      <c r="J13" s="7" t="s">
        <v>1400</v>
      </c>
    </row>
    <row r="14" customFormat="false" ht="15" hidden="false" customHeight="false" outlineLevel="0" collapsed="false">
      <c r="B14" s="9" t="s">
        <v>1409</v>
      </c>
      <c r="C14" s="37" t="n">
        <f aca="false">SUM(C5:C13)</f>
        <v>3360</v>
      </c>
      <c r="D14" s="37" t="n">
        <f aca="false">SUM(D5:D13)</f>
        <v>6510</v>
      </c>
      <c r="E14" s="37" t="n">
        <f aca="false">SUM(E5:E13)</f>
        <v>6330</v>
      </c>
      <c r="G14" s="37" t="n">
        <f aca="false">SUM(G5:G13)</f>
        <v>5330</v>
      </c>
    </row>
    <row r="16" customFormat="false" ht="15" hidden="false" customHeight="false" outlineLevel="0" collapsed="false">
      <c r="A16" s="3" t="s">
        <v>1410</v>
      </c>
      <c r="B16" s="4"/>
      <c r="C16" s="4"/>
      <c r="D16" s="4"/>
      <c r="E16" s="4"/>
      <c r="F16" s="4"/>
      <c r="G16" s="4"/>
      <c r="H16" s="4"/>
      <c r="I16" s="4"/>
      <c r="J16" s="4"/>
    </row>
    <row r="17" customFormat="false" ht="28.35" hidden="false" customHeight="false" outlineLevel="0" collapsed="false">
      <c r="B17" s="7" t="s">
        <v>1411</v>
      </c>
      <c r="C17" s="19" t="n">
        <v>300</v>
      </c>
      <c r="D17" s="19" t="n">
        <v>500</v>
      </c>
      <c r="E17" s="19" t="n">
        <f aca="false">Inputs!$C$166</f>
        <v>400</v>
      </c>
      <c r="F17" s="7" t="s">
        <v>1385</v>
      </c>
      <c r="G17" s="19" t="n">
        <f aca="false">Inputs!$Q$166</f>
        <v>400</v>
      </c>
      <c r="I17" s="7" t="s">
        <v>1412</v>
      </c>
    </row>
    <row r="18" customFormat="false" ht="15" hidden="false" customHeight="false" outlineLevel="0" collapsed="false">
      <c r="B18" s="7" t="s">
        <v>1413</v>
      </c>
      <c r="C18" s="19" t="n">
        <v>200</v>
      </c>
      <c r="D18" s="19" t="n">
        <v>400</v>
      </c>
      <c r="E18" s="19" t="n">
        <f aca="false">Inputs!$C$167</f>
        <v>300</v>
      </c>
      <c r="F18" s="7" t="s">
        <v>1385</v>
      </c>
      <c r="G18" s="19" t="n">
        <f aca="false">Inputs!$Q$167</f>
        <v>300</v>
      </c>
      <c r="I18" s="7" t="s">
        <v>1414</v>
      </c>
    </row>
    <row r="19" customFormat="false" ht="28.35" hidden="false" customHeight="false" outlineLevel="0" collapsed="false">
      <c r="B19" s="7" t="s">
        <v>1415</v>
      </c>
      <c r="C19" s="19" t="n">
        <v>25</v>
      </c>
      <c r="D19" s="19" t="n">
        <v>25</v>
      </c>
      <c r="E19" s="19" t="n">
        <f aca="false">Inputs!$C$168</f>
        <v>25</v>
      </c>
      <c r="F19" s="7" t="s">
        <v>1385</v>
      </c>
      <c r="G19" s="19" t="n">
        <f aca="false">Inputs!$Q$168</f>
        <v>25</v>
      </c>
      <c r="I19" s="7" t="s">
        <v>1416</v>
      </c>
    </row>
    <row r="20" customFormat="false" ht="28.35" hidden="false" customHeight="false" outlineLevel="0" collapsed="false">
      <c r="B20" s="7" t="s">
        <v>1417</v>
      </c>
      <c r="C20" s="60"/>
      <c r="D20" s="60"/>
      <c r="E20" s="19" t="n">
        <f aca="false">Inputs!$C$169</f>
        <v>0</v>
      </c>
      <c r="F20" s="7" t="s">
        <v>1385</v>
      </c>
      <c r="G20" s="19" t="n">
        <f aca="false">Inputs!$Q$169</f>
        <v>0</v>
      </c>
      <c r="I20" s="7" t="s">
        <v>1418</v>
      </c>
    </row>
    <row r="21" customFormat="false" ht="41.75" hidden="false" customHeight="false" outlineLevel="0" collapsed="false">
      <c r="B21" s="7" t="s">
        <v>1419</v>
      </c>
      <c r="C21" s="60"/>
      <c r="D21" s="60"/>
      <c r="E21" s="19" t="n">
        <f aca="false">Inputs!$C$170</f>
        <v>0</v>
      </c>
      <c r="F21" s="7" t="s">
        <v>1385</v>
      </c>
      <c r="G21" s="19" t="n">
        <f aca="false">Inputs!$Q$170</f>
        <v>0</v>
      </c>
      <c r="I21" s="7" t="s">
        <v>1420</v>
      </c>
    </row>
    <row r="22" customFormat="false" ht="28.35" hidden="false" customHeight="false" outlineLevel="0" collapsed="false">
      <c r="B22" s="7" t="s">
        <v>1421</v>
      </c>
      <c r="C22" s="60"/>
      <c r="D22" s="60"/>
      <c r="E22" s="19" t="n">
        <f aca="false">Inputs!$C$165</f>
        <v>0</v>
      </c>
      <c r="F22" s="7" t="s">
        <v>1385</v>
      </c>
      <c r="G22" s="19" t="n">
        <f aca="false">Inputs!$Q$165</f>
        <v>0</v>
      </c>
      <c r="I22" s="7" t="s">
        <v>1422</v>
      </c>
    </row>
    <row r="23" customFormat="false" ht="28.35" hidden="false" customHeight="false" outlineLevel="0" collapsed="false">
      <c r="B23" s="7" t="s">
        <v>1423</v>
      </c>
      <c r="C23" s="60"/>
      <c r="D23" s="60"/>
      <c r="E23" s="19" t="n">
        <f aca="false">Inputs!$C$161</f>
        <v>0</v>
      </c>
      <c r="F23" s="7" t="s">
        <v>1424</v>
      </c>
      <c r="G23" s="19" t="n">
        <f aca="false">Inputs!$Q$161</f>
        <v>0</v>
      </c>
      <c r="I23" s="7" t="s">
        <v>1425</v>
      </c>
    </row>
    <row r="24" customFormat="false" ht="55.2" hidden="false" customHeight="false" outlineLevel="0" collapsed="false">
      <c r="B24" s="7" t="s">
        <v>1426</v>
      </c>
      <c r="C24" s="19" t="n">
        <v>350</v>
      </c>
      <c r="D24" s="19" t="n">
        <v>850</v>
      </c>
      <c r="E24" s="19" t="n">
        <f aca="false">Inputs!$C$171</f>
        <v>350</v>
      </c>
      <c r="F24" s="7" t="s">
        <v>1427</v>
      </c>
      <c r="G24" s="19" t="n">
        <f aca="false">Inputs!$Q$171</f>
        <v>350</v>
      </c>
      <c r="I24" s="7" t="s">
        <v>1428</v>
      </c>
    </row>
    <row r="25" customFormat="false" ht="15" hidden="false" customHeight="false" outlineLevel="0" collapsed="false">
      <c r="B25" s="7" t="s">
        <v>1429</v>
      </c>
      <c r="C25" s="60"/>
      <c r="D25" s="60"/>
      <c r="E25" s="60"/>
      <c r="F25" s="7" t="s">
        <v>1430</v>
      </c>
      <c r="G25" s="19" t="n">
        <f aca="false">SUMIFS(Cash_Ledger!$D$5:$D$53,Cash_Ledger!$A$5:$A$53,"storage",Cash_Ledger!$C$5:$C$53,"&gt;="&amp;Inputs!$C$10,Cash_Ledger!$C$5:$C$53,"&lt;="&amp;Cash_Flow!$AB$6)</f>
        <v>450</v>
      </c>
      <c r="I25" s="7" t="s">
        <v>1431</v>
      </c>
    </row>
    <row r="26" customFormat="false" ht="15" hidden="false" customHeight="false" outlineLevel="0" collapsed="false">
      <c r="B26" s="7" t="s">
        <v>1432</v>
      </c>
      <c r="C26" s="60"/>
      <c r="D26" s="60"/>
      <c r="E26" s="60"/>
      <c r="F26" s="7" t="s">
        <v>1433</v>
      </c>
      <c r="G26" s="19" t="n">
        <f aca="false">-Cash_Flow!$AC$13</f>
        <v>360</v>
      </c>
      <c r="I26" s="7" t="s">
        <v>1434</v>
      </c>
    </row>
    <row r="27" customFormat="false" ht="15" hidden="false" customHeight="false" outlineLevel="0" collapsed="false">
      <c r="B27" s="7" t="s">
        <v>1435</v>
      </c>
      <c r="C27" s="60"/>
      <c r="D27" s="60"/>
      <c r="E27" s="60"/>
      <c r="F27" s="7" t="s">
        <v>1433</v>
      </c>
      <c r="G27" s="19" t="n">
        <f aca="false">-Cash_Flow!$AC$14-G11</f>
        <v>0</v>
      </c>
      <c r="I27" s="7" t="s">
        <v>1436</v>
      </c>
    </row>
    <row r="28" customFormat="false" ht="15" hidden="false" customHeight="false" outlineLevel="0" collapsed="false">
      <c r="B28" s="7" t="s">
        <v>1018</v>
      </c>
      <c r="C28" s="60"/>
      <c r="D28" s="60"/>
      <c r="E28" s="60"/>
      <c r="F28" s="7" t="s">
        <v>1437</v>
      </c>
      <c r="G28" s="19" t="n">
        <f aca="false">-Cash_Flow!$AC$16</f>
        <v>576</v>
      </c>
      <c r="I28" s="7" t="s">
        <v>1438</v>
      </c>
    </row>
    <row r="29" customFormat="false" ht="15" hidden="false" customHeight="false" outlineLevel="0" collapsed="false">
      <c r="B29" s="7" t="s">
        <v>1439</v>
      </c>
      <c r="C29" s="60"/>
      <c r="D29" s="60"/>
      <c r="E29" s="60"/>
      <c r="F29" s="7" t="s">
        <v>1433</v>
      </c>
      <c r="G29" s="19" t="n">
        <f aca="false">-Cash_Flow!$AC$15</f>
        <v>-0</v>
      </c>
      <c r="I29" s="7" t="s">
        <v>1440</v>
      </c>
    </row>
    <row r="30" customFormat="false" ht="15" hidden="false" customHeight="false" outlineLevel="0" collapsed="false">
      <c r="B30" s="7" t="s">
        <v>1102</v>
      </c>
      <c r="C30" s="60"/>
      <c r="D30" s="60"/>
      <c r="E30" s="60"/>
      <c r="F30" s="7" t="s">
        <v>1441</v>
      </c>
      <c r="G30" s="19" t="n">
        <f aca="false">SUMIFS(Cash_Ledger!$D$5:$D$53,Cash_Ledger!$A$5:$A$53,"phone",Cash_Ledger!$C$5:$C$53,"&gt;="&amp;Inputs!$C$10,Cash_Ledger!$C$5:$C$53,"&lt;="&amp;Cash_Flow!$AB$6)</f>
        <v>0</v>
      </c>
      <c r="I30" s="7" t="s">
        <v>1442</v>
      </c>
    </row>
    <row r="31" customFormat="false" ht="15" hidden="false" customHeight="false" outlineLevel="0" collapsed="false">
      <c r="B31" s="9" t="s">
        <v>1443</v>
      </c>
      <c r="G31" s="37" t="n">
        <f aca="false">SUM(G5:G13)+SUM(G17:G30)</f>
        <v>7791</v>
      </c>
    </row>
    <row r="32" customFormat="false" ht="15" hidden="false" customHeight="false" outlineLevel="0" collapsed="false">
      <c r="B32" s="9" t="s">
        <v>1444</v>
      </c>
      <c r="G32" s="37" t="n">
        <f aca="false">-(Cash_Flow!$AC$26-Cash_Flow!$AC$9-Cash_Flow!$AC$10)</f>
        <v>7791</v>
      </c>
    </row>
    <row r="33" customFormat="false" ht="15" hidden="false" customHeight="false" outlineLevel="0" collapsed="false">
      <c r="B33" s="9" t="s">
        <v>1445</v>
      </c>
      <c r="G33" s="94" t="n">
        <f aca="false">G31-G32</f>
        <v>0</v>
      </c>
    </row>
    <row r="35" customFormat="false" ht="45" hidden="false" customHeight="true" outlineLevel="0" collapsed="false">
      <c r="B35" s="5" t="s">
        <v>1446</v>
      </c>
      <c r="C35" s="5"/>
      <c r="D35" s="5"/>
      <c r="E35" s="5"/>
      <c r="F35" s="5"/>
      <c r="G35" s="5"/>
      <c r="H35" s="5"/>
      <c r="I35" s="5"/>
      <c r="J35" s="5"/>
    </row>
  </sheetData>
  <mergeCells count="2">
    <mergeCell ref="B3:J3"/>
    <mergeCell ref="B35:J3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FB98B"/>
    <pageSetUpPr fitToPage="false"/>
  </sheetPr>
  <dimension ref="A1:AA1004"/>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0"/>
    <col collapsed="false" customWidth="true" hidden="false" outlineLevel="0" max="3" min="3" style="0" width="11"/>
    <col collapsed="false" customWidth="true" hidden="false" outlineLevel="0" max="4" min="4" style="0" width="20"/>
    <col collapsed="false" customWidth="true" hidden="false" outlineLevel="0" max="5" min="5" style="0" width="7"/>
    <col collapsed="false" customWidth="true" hidden="false" outlineLevel="0" max="6" min="6" style="0" width="30"/>
    <col collapsed="false" customWidth="true" hidden="false" outlineLevel="0" max="16" min="7" style="0" width="3"/>
    <col collapsed="false" customWidth="true" hidden="false" outlineLevel="0" max="18" min="17" style="0" width="12"/>
    <col collapsed="false" customWidth="true" hidden="false" outlineLevel="0" max="27" min="19" style="0" width="11"/>
  </cols>
  <sheetData>
    <row r="1" customFormat="false" ht="18.55" hidden="false" customHeight="false" outlineLevel="0" collapsed="false">
      <c r="A1" s="1" t="s">
        <v>1447</v>
      </c>
    </row>
    <row r="2" customFormat="false" ht="15" hidden="false" customHeight="false" outlineLevel="0" collapsed="false">
      <c r="A2" s="2" t="s">
        <v>1448</v>
      </c>
    </row>
    <row r="3" customFormat="false" ht="30" hidden="false" customHeight="true" outlineLevel="0" collapsed="false">
      <c r="A3" s="8" t="s">
        <v>1449</v>
      </c>
      <c r="B3" s="8"/>
      <c r="C3" s="8"/>
      <c r="D3" s="8"/>
      <c r="E3" s="8"/>
      <c r="F3" s="8"/>
      <c r="Q3" s="84" t="s">
        <v>1450</v>
      </c>
    </row>
    <row r="4" customFormat="false" ht="30" hidden="false" customHeight="true" outlineLevel="0" collapsed="false">
      <c r="A4" s="12" t="s">
        <v>366</v>
      </c>
      <c r="B4" s="12" t="s">
        <v>324</v>
      </c>
      <c r="C4" s="12" t="s">
        <v>1451</v>
      </c>
      <c r="D4" s="12" t="s">
        <v>1452</v>
      </c>
      <c r="E4" s="12" t="s">
        <v>407</v>
      </c>
      <c r="F4" s="12" t="s">
        <v>1453</v>
      </c>
      <c r="Q4" s="12" t="s">
        <v>324</v>
      </c>
      <c r="R4" s="12" t="s">
        <v>1306</v>
      </c>
      <c r="S4" s="12" t="s">
        <v>1307</v>
      </c>
      <c r="T4" s="12" t="s">
        <v>1308</v>
      </c>
      <c r="U4" s="12" t="s">
        <v>1309</v>
      </c>
      <c r="V4" s="12" t="s">
        <v>1310</v>
      </c>
      <c r="W4" s="12" t="s">
        <v>1311</v>
      </c>
      <c r="X4" s="12" t="s">
        <v>1312</v>
      </c>
      <c r="Y4" s="12" t="s">
        <v>1313</v>
      </c>
    </row>
    <row r="5" customFormat="false" ht="15" hidden="false" customHeight="false" outlineLevel="0" collapsed="false">
      <c r="A5" s="102"/>
      <c r="B5" s="103"/>
      <c r="C5" s="103"/>
      <c r="D5" s="103"/>
      <c r="E5" s="104"/>
      <c r="F5" s="103"/>
      <c r="Q5" s="30" t="str">
        <f aca="false">Schedule!A7</f>
        <v>DRP-001</v>
      </c>
      <c r="R5" s="36" t="n">
        <f aca="false">SUMIFS(Hours_Log!$E$5:$E$1004,Hours_Log!$B$5:$B$1004,$Q5,Hours_Log!$D$5:$D$1004,R$4)+SUMIFS(Toggl_Import!$AI$10:$AI$509,Toggl_Import!$AG$10:$AG$509,$Q5,Toggl_Import!$AH$10:$AH$509,R$4)</f>
        <v>0</v>
      </c>
      <c r="S5" s="36" t="n">
        <f aca="false">SUMIFS(Hours_Log!$E$5:$E$1004,Hours_Log!$B$5:$B$1004,$Q5,Hours_Log!$D$5:$D$1004,S$4)+SUMIFS(Toggl_Import!$AI$10:$AI$509,Toggl_Import!$AG$10:$AG$509,$Q5,Toggl_Import!$AH$10:$AH$509,S$4)</f>
        <v>0</v>
      </c>
      <c r="T5" s="36" t="n">
        <f aca="false">SUMIFS(Hours_Log!$E$5:$E$1004,Hours_Log!$B$5:$B$1004,$Q5,Hours_Log!$D$5:$D$1004,T$4)+SUMIFS(Toggl_Import!$AI$10:$AI$509,Toggl_Import!$AG$10:$AG$509,$Q5,Toggl_Import!$AH$10:$AH$509,T$4)</f>
        <v>0</v>
      </c>
      <c r="U5" s="36" t="n">
        <f aca="false">SUMIFS(Hours_Log!$E$5:$E$1004,Hours_Log!$B$5:$B$1004,$Q5,Hours_Log!$D$5:$D$1004,U$4)+SUMIFS(Toggl_Import!$AI$10:$AI$509,Toggl_Import!$AG$10:$AG$509,$Q5,Toggl_Import!$AH$10:$AH$509,U$4)</f>
        <v>0</v>
      </c>
      <c r="V5" s="36" t="n">
        <f aca="false">SUMIFS(Hours_Log!$E$5:$E$1004,Hours_Log!$B$5:$B$1004,$Q5,Hours_Log!$D$5:$D$1004,V$4)+SUMIFS(Toggl_Import!$AI$10:$AI$509,Toggl_Import!$AG$10:$AG$509,$Q5,Toggl_Import!$AH$10:$AH$509,V$4)</f>
        <v>0</v>
      </c>
      <c r="W5" s="36" t="n">
        <f aca="false">SUMIFS(Hours_Log!$E$5:$E$1004,Hours_Log!$B$5:$B$1004,$Q5,Hours_Log!$D$5:$D$1004,W$4)+SUMIFS(Toggl_Import!$AI$10:$AI$509,Toggl_Import!$AG$10:$AG$509,$Q5,Toggl_Import!$AH$10:$AH$509,W$4)</f>
        <v>0</v>
      </c>
      <c r="X5" s="36" t="n">
        <f aca="false">SUMIFS(Hours_Log!$E$5:$E$1004,Hours_Log!$B$5:$B$1004,$Q5,Hours_Log!$D$5:$D$1004,X$4)+SUMIFS(Toggl_Import!$AI$10:$AI$509,Toggl_Import!$AG$10:$AG$509,$Q5,Toggl_Import!$AH$10:$AH$509,X$4)</f>
        <v>0</v>
      </c>
      <c r="Y5" s="38" t="n">
        <f aca="false">SUM(R5:X5)</f>
        <v>0</v>
      </c>
    </row>
    <row r="6" customFormat="false" ht="15" hidden="false" customHeight="false" outlineLevel="0" collapsed="false">
      <c r="A6" s="102"/>
      <c r="B6" s="103"/>
      <c r="C6" s="103"/>
      <c r="D6" s="103"/>
      <c r="E6" s="104"/>
      <c r="F6" s="103"/>
      <c r="Q6" s="30" t="str">
        <f aca="false">Schedule!A8</f>
        <v>DRP-002</v>
      </c>
      <c r="R6" s="36" t="n">
        <f aca="false">SUMIFS(Hours_Log!$E$5:$E$1004,Hours_Log!$B$5:$B$1004,$Q6,Hours_Log!$D$5:$D$1004,R$4)+SUMIFS(Toggl_Import!$AI$10:$AI$509,Toggl_Import!$AG$10:$AG$509,$Q6,Toggl_Import!$AH$10:$AH$509,R$4)</f>
        <v>0</v>
      </c>
      <c r="S6" s="36" t="n">
        <f aca="false">SUMIFS(Hours_Log!$E$5:$E$1004,Hours_Log!$B$5:$B$1004,$Q6,Hours_Log!$D$5:$D$1004,S$4)+SUMIFS(Toggl_Import!$AI$10:$AI$509,Toggl_Import!$AG$10:$AG$509,$Q6,Toggl_Import!$AH$10:$AH$509,S$4)</f>
        <v>0</v>
      </c>
      <c r="T6" s="36" t="n">
        <f aca="false">SUMIFS(Hours_Log!$E$5:$E$1004,Hours_Log!$B$5:$B$1004,$Q6,Hours_Log!$D$5:$D$1004,T$4)+SUMIFS(Toggl_Import!$AI$10:$AI$509,Toggl_Import!$AG$10:$AG$509,$Q6,Toggl_Import!$AH$10:$AH$509,T$4)</f>
        <v>0</v>
      </c>
      <c r="U6" s="36" t="n">
        <f aca="false">SUMIFS(Hours_Log!$E$5:$E$1004,Hours_Log!$B$5:$B$1004,$Q6,Hours_Log!$D$5:$D$1004,U$4)+SUMIFS(Toggl_Import!$AI$10:$AI$509,Toggl_Import!$AG$10:$AG$509,$Q6,Toggl_Import!$AH$10:$AH$509,U$4)</f>
        <v>0</v>
      </c>
      <c r="V6" s="36" t="n">
        <f aca="false">SUMIFS(Hours_Log!$E$5:$E$1004,Hours_Log!$B$5:$B$1004,$Q6,Hours_Log!$D$5:$D$1004,V$4)+SUMIFS(Toggl_Import!$AI$10:$AI$509,Toggl_Import!$AG$10:$AG$509,$Q6,Toggl_Import!$AH$10:$AH$509,V$4)</f>
        <v>0</v>
      </c>
      <c r="W6" s="36" t="n">
        <f aca="false">SUMIFS(Hours_Log!$E$5:$E$1004,Hours_Log!$B$5:$B$1004,$Q6,Hours_Log!$D$5:$D$1004,W$4)+SUMIFS(Toggl_Import!$AI$10:$AI$509,Toggl_Import!$AG$10:$AG$509,$Q6,Toggl_Import!$AH$10:$AH$509,W$4)</f>
        <v>0</v>
      </c>
      <c r="X6" s="36" t="n">
        <f aca="false">SUMIFS(Hours_Log!$E$5:$E$1004,Hours_Log!$B$5:$B$1004,$Q6,Hours_Log!$D$5:$D$1004,X$4)+SUMIFS(Toggl_Import!$AI$10:$AI$509,Toggl_Import!$AG$10:$AG$509,$Q6,Toggl_Import!$AH$10:$AH$509,X$4)</f>
        <v>0</v>
      </c>
      <c r="Y6" s="38" t="n">
        <f aca="false">SUM(R6:X6)</f>
        <v>0</v>
      </c>
    </row>
    <row r="7" customFormat="false" ht="15" hidden="false" customHeight="false" outlineLevel="0" collapsed="false">
      <c r="A7" s="102"/>
      <c r="B7" s="103"/>
      <c r="C7" s="103"/>
      <c r="D7" s="103"/>
      <c r="E7" s="104"/>
      <c r="F7" s="103"/>
      <c r="Q7" s="30" t="str">
        <f aca="false">Schedule!A9</f>
        <v>DRP-003</v>
      </c>
      <c r="R7" s="36" t="n">
        <f aca="false">SUMIFS(Hours_Log!$E$5:$E$1004,Hours_Log!$B$5:$B$1004,$Q7,Hours_Log!$D$5:$D$1004,R$4)+SUMIFS(Toggl_Import!$AI$10:$AI$509,Toggl_Import!$AG$10:$AG$509,$Q7,Toggl_Import!$AH$10:$AH$509,R$4)</f>
        <v>0</v>
      </c>
      <c r="S7" s="36" t="n">
        <f aca="false">SUMIFS(Hours_Log!$E$5:$E$1004,Hours_Log!$B$5:$B$1004,$Q7,Hours_Log!$D$5:$D$1004,S$4)+SUMIFS(Toggl_Import!$AI$10:$AI$509,Toggl_Import!$AG$10:$AG$509,$Q7,Toggl_Import!$AH$10:$AH$509,S$4)</f>
        <v>0</v>
      </c>
      <c r="T7" s="36" t="n">
        <f aca="false">SUMIFS(Hours_Log!$E$5:$E$1004,Hours_Log!$B$5:$B$1004,$Q7,Hours_Log!$D$5:$D$1004,T$4)+SUMIFS(Toggl_Import!$AI$10:$AI$509,Toggl_Import!$AG$10:$AG$509,$Q7,Toggl_Import!$AH$10:$AH$509,T$4)</f>
        <v>0</v>
      </c>
      <c r="U7" s="36" t="n">
        <f aca="false">SUMIFS(Hours_Log!$E$5:$E$1004,Hours_Log!$B$5:$B$1004,$Q7,Hours_Log!$D$5:$D$1004,U$4)+SUMIFS(Toggl_Import!$AI$10:$AI$509,Toggl_Import!$AG$10:$AG$509,$Q7,Toggl_Import!$AH$10:$AH$509,U$4)</f>
        <v>0</v>
      </c>
      <c r="V7" s="36" t="n">
        <f aca="false">SUMIFS(Hours_Log!$E$5:$E$1004,Hours_Log!$B$5:$B$1004,$Q7,Hours_Log!$D$5:$D$1004,V$4)+SUMIFS(Toggl_Import!$AI$10:$AI$509,Toggl_Import!$AG$10:$AG$509,$Q7,Toggl_Import!$AH$10:$AH$509,V$4)</f>
        <v>0</v>
      </c>
      <c r="W7" s="36" t="n">
        <f aca="false">SUMIFS(Hours_Log!$E$5:$E$1004,Hours_Log!$B$5:$B$1004,$Q7,Hours_Log!$D$5:$D$1004,W$4)+SUMIFS(Toggl_Import!$AI$10:$AI$509,Toggl_Import!$AG$10:$AG$509,$Q7,Toggl_Import!$AH$10:$AH$509,W$4)</f>
        <v>0</v>
      </c>
      <c r="X7" s="36" t="n">
        <f aca="false">SUMIFS(Hours_Log!$E$5:$E$1004,Hours_Log!$B$5:$B$1004,$Q7,Hours_Log!$D$5:$D$1004,X$4)+SUMIFS(Toggl_Import!$AI$10:$AI$509,Toggl_Import!$AG$10:$AG$509,$Q7,Toggl_Import!$AH$10:$AH$509,X$4)</f>
        <v>0</v>
      </c>
      <c r="Y7" s="38" t="n">
        <f aca="false">SUM(R7:X7)</f>
        <v>0</v>
      </c>
    </row>
    <row r="8" customFormat="false" ht="15" hidden="false" customHeight="false" outlineLevel="0" collapsed="false">
      <c r="A8" s="102"/>
      <c r="B8" s="103"/>
      <c r="C8" s="103"/>
      <c r="D8" s="103"/>
      <c r="E8" s="104"/>
      <c r="F8" s="103"/>
      <c r="Q8" s="30" t="str">
        <f aca="false">Schedule!A10</f>
        <v>DRP-004</v>
      </c>
      <c r="R8" s="36" t="n">
        <f aca="false">SUMIFS(Hours_Log!$E$5:$E$1004,Hours_Log!$B$5:$B$1004,$Q8,Hours_Log!$D$5:$D$1004,R$4)+SUMIFS(Toggl_Import!$AI$10:$AI$509,Toggl_Import!$AG$10:$AG$509,$Q8,Toggl_Import!$AH$10:$AH$509,R$4)</f>
        <v>0</v>
      </c>
      <c r="S8" s="36" t="n">
        <f aca="false">SUMIFS(Hours_Log!$E$5:$E$1004,Hours_Log!$B$5:$B$1004,$Q8,Hours_Log!$D$5:$D$1004,S$4)+SUMIFS(Toggl_Import!$AI$10:$AI$509,Toggl_Import!$AG$10:$AG$509,$Q8,Toggl_Import!$AH$10:$AH$509,S$4)</f>
        <v>0</v>
      </c>
      <c r="T8" s="36" t="n">
        <f aca="false">SUMIFS(Hours_Log!$E$5:$E$1004,Hours_Log!$B$5:$B$1004,$Q8,Hours_Log!$D$5:$D$1004,T$4)+SUMIFS(Toggl_Import!$AI$10:$AI$509,Toggl_Import!$AG$10:$AG$509,$Q8,Toggl_Import!$AH$10:$AH$509,T$4)</f>
        <v>0</v>
      </c>
      <c r="U8" s="36" t="n">
        <f aca="false">SUMIFS(Hours_Log!$E$5:$E$1004,Hours_Log!$B$5:$B$1004,$Q8,Hours_Log!$D$5:$D$1004,U$4)+SUMIFS(Toggl_Import!$AI$10:$AI$509,Toggl_Import!$AG$10:$AG$509,$Q8,Toggl_Import!$AH$10:$AH$509,U$4)</f>
        <v>0</v>
      </c>
      <c r="V8" s="36" t="n">
        <f aca="false">SUMIFS(Hours_Log!$E$5:$E$1004,Hours_Log!$B$5:$B$1004,$Q8,Hours_Log!$D$5:$D$1004,V$4)+SUMIFS(Toggl_Import!$AI$10:$AI$509,Toggl_Import!$AG$10:$AG$509,$Q8,Toggl_Import!$AH$10:$AH$509,V$4)</f>
        <v>0</v>
      </c>
      <c r="W8" s="36" t="n">
        <f aca="false">SUMIFS(Hours_Log!$E$5:$E$1004,Hours_Log!$B$5:$B$1004,$Q8,Hours_Log!$D$5:$D$1004,W$4)+SUMIFS(Toggl_Import!$AI$10:$AI$509,Toggl_Import!$AG$10:$AG$509,$Q8,Toggl_Import!$AH$10:$AH$509,W$4)</f>
        <v>0</v>
      </c>
      <c r="X8" s="36" t="n">
        <f aca="false">SUMIFS(Hours_Log!$E$5:$E$1004,Hours_Log!$B$5:$B$1004,$Q8,Hours_Log!$D$5:$D$1004,X$4)+SUMIFS(Toggl_Import!$AI$10:$AI$509,Toggl_Import!$AG$10:$AG$509,$Q8,Toggl_Import!$AH$10:$AH$509,X$4)</f>
        <v>0</v>
      </c>
      <c r="Y8" s="38" t="n">
        <f aca="false">SUM(R8:X8)</f>
        <v>0</v>
      </c>
    </row>
    <row r="9" customFormat="false" ht="15" hidden="false" customHeight="false" outlineLevel="0" collapsed="false">
      <c r="A9" s="102"/>
      <c r="B9" s="103"/>
      <c r="C9" s="103"/>
      <c r="D9" s="103"/>
      <c r="E9" s="104"/>
      <c r="F9" s="103"/>
      <c r="Q9" s="30" t="str">
        <f aca="false">Schedule!A11</f>
        <v>DRP-005</v>
      </c>
      <c r="R9" s="36" t="n">
        <f aca="false">SUMIFS(Hours_Log!$E$5:$E$1004,Hours_Log!$B$5:$B$1004,$Q9,Hours_Log!$D$5:$D$1004,R$4)+SUMIFS(Toggl_Import!$AI$10:$AI$509,Toggl_Import!$AG$10:$AG$509,$Q9,Toggl_Import!$AH$10:$AH$509,R$4)</f>
        <v>0</v>
      </c>
      <c r="S9" s="36" t="n">
        <f aca="false">SUMIFS(Hours_Log!$E$5:$E$1004,Hours_Log!$B$5:$B$1004,$Q9,Hours_Log!$D$5:$D$1004,S$4)+SUMIFS(Toggl_Import!$AI$10:$AI$509,Toggl_Import!$AG$10:$AG$509,$Q9,Toggl_Import!$AH$10:$AH$509,S$4)</f>
        <v>0</v>
      </c>
      <c r="T9" s="36" t="n">
        <f aca="false">SUMIFS(Hours_Log!$E$5:$E$1004,Hours_Log!$B$5:$B$1004,$Q9,Hours_Log!$D$5:$D$1004,T$4)+SUMIFS(Toggl_Import!$AI$10:$AI$509,Toggl_Import!$AG$10:$AG$509,$Q9,Toggl_Import!$AH$10:$AH$509,T$4)</f>
        <v>0</v>
      </c>
      <c r="U9" s="36" t="n">
        <f aca="false">SUMIFS(Hours_Log!$E$5:$E$1004,Hours_Log!$B$5:$B$1004,$Q9,Hours_Log!$D$5:$D$1004,U$4)+SUMIFS(Toggl_Import!$AI$10:$AI$509,Toggl_Import!$AG$10:$AG$509,$Q9,Toggl_Import!$AH$10:$AH$509,U$4)</f>
        <v>0</v>
      </c>
      <c r="V9" s="36" t="n">
        <f aca="false">SUMIFS(Hours_Log!$E$5:$E$1004,Hours_Log!$B$5:$B$1004,$Q9,Hours_Log!$D$5:$D$1004,V$4)+SUMIFS(Toggl_Import!$AI$10:$AI$509,Toggl_Import!$AG$10:$AG$509,$Q9,Toggl_Import!$AH$10:$AH$509,V$4)</f>
        <v>0</v>
      </c>
      <c r="W9" s="36" t="n">
        <f aca="false">SUMIFS(Hours_Log!$E$5:$E$1004,Hours_Log!$B$5:$B$1004,$Q9,Hours_Log!$D$5:$D$1004,W$4)+SUMIFS(Toggl_Import!$AI$10:$AI$509,Toggl_Import!$AG$10:$AG$509,$Q9,Toggl_Import!$AH$10:$AH$509,W$4)</f>
        <v>0</v>
      </c>
      <c r="X9" s="36" t="n">
        <f aca="false">SUMIFS(Hours_Log!$E$5:$E$1004,Hours_Log!$B$5:$B$1004,$Q9,Hours_Log!$D$5:$D$1004,X$4)+SUMIFS(Toggl_Import!$AI$10:$AI$509,Toggl_Import!$AG$10:$AG$509,$Q9,Toggl_Import!$AH$10:$AH$509,X$4)</f>
        <v>0</v>
      </c>
      <c r="Y9" s="38" t="n">
        <f aca="false">SUM(R9:X9)</f>
        <v>0</v>
      </c>
    </row>
    <row r="10" customFormat="false" ht="15" hidden="false" customHeight="false" outlineLevel="0" collapsed="false">
      <c r="A10" s="102"/>
      <c r="B10" s="103"/>
      <c r="C10" s="103"/>
      <c r="D10" s="103"/>
      <c r="E10" s="104"/>
      <c r="F10" s="103"/>
      <c r="Q10" s="30" t="str">
        <f aca="false">Schedule!A12</f>
        <v>DRP-006</v>
      </c>
      <c r="R10" s="36" t="n">
        <f aca="false">SUMIFS(Hours_Log!$E$5:$E$1004,Hours_Log!$B$5:$B$1004,$Q10,Hours_Log!$D$5:$D$1004,R$4)+SUMIFS(Toggl_Import!$AI$10:$AI$509,Toggl_Import!$AG$10:$AG$509,$Q10,Toggl_Import!$AH$10:$AH$509,R$4)</f>
        <v>0</v>
      </c>
      <c r="S10" s="36" t="n">
        <f aca="false">SUMIFS(Hours_Log!$E$5:$E$1004,Hours_Log!$B$5:$B$1004,$Q10,Hours_Log!$D$5:$D$1004,S$4)+SUMIFS(Toggl_Import!$AI$10:$AI$509,Toggl_Import!$AG$10:$AG$509,$Q10,Toggl_Import!$AH$10:$AH$509,S$4)</f>
        <v>0</v>
      </c>
      <c r="T10" s="36" t="n">
        <f aca="false">SUMIFS(Hours_Log!$E$5:$E$1004,Hours_Log!$B$5:$B$1004,$Q10,Hours_Log!$D$5:$D$1004,T$4)+SUMIFS(Toggl_Import!$AI$10:$AI$509,Toggl_Import!$AG$10:$AG$509,$Q10,Toggl_Import!$AH$10:$AH$509,T$4)</f>
        <v>0</v>
      </c>
      <c r="U10" s="36" t="n">
        <f aca="false">SUMIFS(Hours_Log!$E$5:$E$1004,Hours_Log!$B$5:$B$1004,$Q10,Hours_Log!$D$5:$D$1004,U$4)+SUMIFS(Toggl_Import!$AI$10:$AI$509,Toggl_Import!$AG$10:$AG$509,$Q10,Toggl_Import!$AH$10:$AH$509,U$4)</f>
        <v>0</v>
      </c>
      <c r="V10" s="36" t="n">
        <f aca="false">SUMIFS(Hours_Log!$E$5:$E$1004,Hours_Log!$B$5:$B$1004,$Q10,Hours_Log!$D$5:$D$1004,V$4)+SUMIFS(Toggl_Import!$AI$10:$AI$509,Toggl_Import!$AG$10:$AG$509,$Q10,Toggl_Import!$AH$10:$AH$509,V$4)</f>
        <v>0</v>
      </c>
      <c r="W10" s="36" t="n">
        <f aca="false">SUMIFS(Hours_Log!$E$5:$E$1004,Hours_Log!$B$5:$B$1004,$Q10,Hours_Log!$D$5:$D$1004,W$4)+SUMIFS(Toggl_Import!$AI$10:$AI$509,Toggl_Import!$AG$10:$AG$509,$Q10,Toggl_Import!$AH$10:$AH$509,W$4)</f>
        <v>0</v>
      </c>
      <c r="X10" s="36" t="n">
        <f aca="false">SUMIFS(Hours_Log!$E$5:$E$1004,Hours_Log!$B$5:$B$1004,$Q10,Hours_Log!$D$5:$D$1004,X$4)+SUMIFS(Toggl_Import!$AI$10:$AI$509,Toggl_Import!$AG$10:$AG$509,$Q10,Toggl_Import!$AH$10:$AH$509,X$4)</f>
        <v>0</v>
      </c>
      <c r="Y10" s="38" t="n">
        <f aca="false">SUM(R10:X10)</f>
        <v>0</v>
      </c>
    </row>
    <row r="11" customFormat="false" ht="15" hidden="false" customHeight="false" outlineLevel="0" collapsed="false">
      <c r="A11" s="102"/>
      <c r="B11" s="103"/>
      <c r="C11" s="103"/>
      <c r="D11" s="103"/>
      <c r="E11" s="104"/>
      <c r="F11" s="103"/>
      <c r="Q11" s="30" t="str">
        <f aca="false">Schedule!A13</f>
        <v>DRP-007</v>
      </c>
      <c r="R11" s="36" t="n">
        <f aca="false">SUMIFS(Hours_Log!$E$5:$E$1004,Hours_Log!$B$5:$B$1004,$Q11,Hours_Log!$D$5:$D$1004,R$4)+SUMIFS(Toggl_Import!$AI$10:$AI$509,Toggl_Import!$AG$10:$AG$509,$Q11,Toggl_Import!$AH$10:$AH$509,R$4)</f>
        <v>0</v>
      </c>
      <c r="S11" s="36" t="n">
        <f aca="false">SUMIFS(Hours_Log!$E$5:$E$1004,Hours_Log!$B$5:$B$1004,$Q11,Hours_Log!$D$5:$D$1004,S$4)+SUMIFS(Toggl_Import!$AI$10:$AI$509,Toggl_Import!$AG$10:$AG$509,$Q11,Toggl_Import!$AH$10:$AH$509,S$4)</f>
        <v>0</v>
      </c>
      <c r="T11" s="36" t="n">
        <f aca="false">SUMIFS(Hours_Log!$E$5:$E$1004,Hours_Log!$B$5:$B$1004,$Q11,Hours_Log!$D$5:$D$1004,T$4)+SUMIFS(Toggl_Import!$AI$10:$AI$509,Toggl_Import!$AG$10:$AG$509,$Q11,Toggl_Import!$AH$10:$AH$509,T$4)</f>
        <v>0</v>
      </c>
      <c r="U11" s="36" t="n">
        <f aca="false">SUMIFS(Hours_Log!$E$5:$E$1004,Hours_Log!$B$5:$B$1004,$Q11,Hours_Log!$D$5:$D$1004,U$4)+SUMIFS(Toggl_Import!$AI$10:$AI$509,Toggl_Import!$AG$10:$AG$509,$Q11,Toggl_Import!$AH$10:$AH$509,U$4)</f>
        <v>0</v>
      </c>
      <c r="V11" s="36" t="n">
        <f aca="false">SUMIFS(Hours_Log!$E$5:$E$1004,Hours_Log!$B$5:$B$1004,$Q11,Hours_Log!$D$5:$D$1004,V$4)+SUMIFS(Toggl_Import!$AI$10:$AI$509,Toggl_Import!$AG$10:$AG$509,$Q11,Toggl_Import!$AH$10:$AH$509,V$4)</f>
        <v>0</v>
      </c>
      <c r="W11" s="36" t="n">
        <f aca="false">SUMIFS(Hours_Log!$E$5:$E$1004,Hours_Log!$B$5:$B$1004,$Q11,Hours_Log!$D$5:$D$1004,W$4)+SUMIFS(Toggl_Import!$AI$10:$AI$509,Toggl_Import!$AG$10:$AG$509,$Q11,Toggl_Import!$AH$10:$AH$509,W$4)</f>
        <v>0</v>
      </c>
      <c r="X11" s="36" t="n">
        <f aca="false">SUMIFS(Hours_Log!$E$5:$E$1004,Hours_Log!$B$5:$B$1004,$Q11,Hours_Log!$D$5:$D$1004,X$4)+SUMIFS(Toggl_Import!$AI$10:$AI$509,Toggl_Import!$AG$10:$AG$509,$Q11,Toggl_Import!$AH$10:$AH$509,X$4)</f>
        <v>0</v>
      </c>
      <c r="Y11" s="38" t="n">
        <f aca="false">SUM(R11:X11)</f>
        <v>0</v>
      </c>
    </row>
    <row r="12" customFormat="false" ht="15" hidden="false" customHeight="false" outlineLevel="0" collapsed="false">
      <c r="A12" s="102"/>
      <c r="B12" s="103"/>
      <c r="C12" s="103"/>
      <c r="D12" s="103"/>
      <c r="E12" s="104"/>
      <c r="F12" s="103"/>
      <c r="Q12" s="30" t="str">
        <f aca="false">Schedule!A14</f>
        <v>DRP-008</v>
      </c>
      <c r="R12" s="36" t="n">
        <f aca="false">SUMIFS(Hours_Log!$E$5:$E$1004,Hours_Log!$B$5:$B$1004,$Q12,Hours_Log!$D$5:$D$1004,R$4)+SUMIFS(Toggl_Import!$AI$10:$AI$509,Toggl_Import!$AG$10:$AG$509,$Q12,Toggl_Import!$AH$10:$AH$509,R$4)</f>
        <v>0</v>
      </c>
      <c r="S12" s="36" t="n">
        <f aca="false">SUMIFS(Hours_Log!$E$5:$E$1004,Hours_Log!$B$5:$B$1004,$Q12,Hours_Log!$D$5:$D$1004,S$4)+SUMIFS(Toggl_Import!$AI$10:$AI$509,Toggl_Import!$AG$10:$AG$509,$Q12,Toggl_Import!$AH$10:$AH$509,S$4)</f>
        <v>0</v>
      </c>
      <c r="T12" s="36" t="n">
        <f aca="false">SUMIFS(Hours_Log!$E$5:$E$1004,Hours_Log!$B$5:$B$1004,$Q12,Hours_Log!$D$5:$D$1004,T$4)+SUMIFS(Toggl_Import!$AI$10:$AI$509,Toggl_Import!$AG$10:$AG$509,$Q12,Toggl_Import!$AH$10:$AH$509,T$4)</f>
        <v>0</v>
      </c>
      <c r="U12" s="36" t="n">
        <f aca="false">SUMIFS(Hours_Log!$E$5:$E$1004,Hours_Log!$B$5:$B$1004,$Q12,Hours_Log!$D$5:$D$1004,U$4)+SUMIFS(Toggl_Import!$AI$10:$AI$509,Toggl_Import!$AG$10:$AG$509,$Q12,Toggl_Import!$AH$10:$AH$509,U$4)</f>
        <v>0</v>
      </c>
      <c r="V12" s="36" t="n">
        <f aca="false">SUMIFS(Hours_Log!$E$5:$E$1004,Hours_Log!$B$5:$B$1004,$Q12,Hours_Log!$D$5:$D$1004,V$4)+SUMIFS(Toggl_Import!$AI$10:$AI$509,Toggl_Import!$AG$10:$AG$509,$Q12,Toggl_Import!$AH$10:$AH$509,V$4)</f>
        <v>0</v>
      </c>
      <c r="W12" s="36" t="n">
        <f aca="false">SUMIFS(Hours_Log!$E$5:$E$1004,Hours_Log!$B$5:$B$1004,$Q12,Hours_Log!$D$5:$D$1004,W$4)+SUMIFS(Toggl_Import!$AI$10:$AI$509,Toggl_Import!$AG$10:$AG$509,$Q12,Toggl_Import!$AH$10:$AH$509,W$4)</f>
        <v>0</v>
      </c>
      <c r="X12" s="36" t="n">
        <f aca="false">SUMIFS(Hours_Log!$E$5:$E$1004,Hours_Log!$B$5:$B$1004,$Q12,Hours_Log!$D$5:$D$1004,X$4)+SUMIFS(Toggl_Import!$AI$10:$AI$509,Toggl_Import!$AG$10:$AG$509,$Q12,Toggl_Import!$AH$10:$AH$509,X$4)</f>
        <v>0</v>
      </c>
      <c r="Y12" s="38" t="n">
        <f aca="false">SUM(R12:X12)</f>
        <v>0</v>
      </c>
    </row>
    <row r="13" customFormat="false" ht="15" hidden="false" customHeight="false" outlineLevel="0" collapsed="false">
      <c r="A13" s="102"/>
      <c r="B13" s="103"/>
      <c r="C13" s="103"/>
      <c r="D13" s="103"/>
      <c r="E13" s="104"/>
      <c r="F13" s="103"/>
      <c r="Q13" s="30" t="str">
        <f aca="false">Schedule!A15</f>
        <v>DRP-009</v>
      </c>
      <c r="R13" s="36" t="n">
        <f aca="false">SUMIFS(Hours_Log!$E$5:$E$1004,Hours_Log!$B$5:$B$1004,$Q13,Hours_Log!$D$5:$D$1004,R$4)+SUMIFS(Toggl_Import!$AI$10:$AI$509,Toggl_Import!$AG$10:$AG$509,$Q13,Toggl_Import!$AH$10:$AH$509,R$4)</f>
        <v>0</v>
      </c>
      <c r="S13" s="36" t="n">
        <f aca="false">SUMIFS(Hours_Log!$E$5:$E$1004,Hours_Log!$B$5:$B$1004,$Q13,Hours_Log!$D$5:$D$1004,S$4)+SUMIFS(Toggl_Import!$AI$10:$AI$509,Toggl_Import!$AG$10:$AG$509,$Q13,Toggl_Import!$AH$10:$AH$509,S$4)</f>
        <v>0</v>
      </c>
      <c r="T13" s="36" t="n">
        <f aca="false">SUMIFS(Hours_Log!$E$5:$E$1004,Hours_Log!$B$5:$B$1004,$Q13,Hours_Log!$D$5:$D$1004,T$4)+SUMIFS(Toggl_Import!$AI$10:$AI$509,Toggl_Import!$AG$10:$AG$509,$Q13,Toggl_Import!$AH$10:$AH$509,T$4)</f>
        <v>0</v>
      </c>
      <c r="U13" s="36" t="n">
        <f aca="false">SUMIFS(Hours_Log!$E$5:$E$1004,Hours_Log!$B$5:$B$1004,$Q13,Hours_Log!$D$5:$D$1004,U$4)+SUMIFS(Toggl_Import!$AI$10:$AI$509,Toggl_Import!$AG$10:$AG$509,$Q13,Toggl_Import!$AH$10:$AH$509,U$4)</f>
        <v>0</v>
      </c>
      <c r="V13" s="36" t="n">
        <f aca="false">SUMIFS(Hours_Log!$E$5:$E$1004,Hours_Log!$B$5:$B$1004,$Q13,Hours_Log!$D$5:$D$1004,V$4)+SUMIFS(Toggl_Import!$AI$10:$AI$509,Toggl_Import!$AG$10:$AG$509,$Q13,Toggl_Import!$AH$10:$AH$509,V$4)</f>
        <v>0</v>
      </c>
      <c r="W13" s="36" t="n">
        <f aca="false">SUMIFS(Hours_Log!$E$5:$E$1004,Hours_Log!$B$5:$B$1004,$Q13,Hours_Log!$D$5:$D$1004,W$4)+SUMIFS(Toggl_Import!$AI$10:$AI$509,Toggl_Import!$AG$10:$AG$509,$Q13,Toggl_Import!$AH$10:$AH$509,W$4)</f>
        <v>0</v>
      </c>
      <c r="X13" s="36" t="n">
        <f aca="false">SUMIFS(Hours_Log!$E$5:$E$1004,Hours_Log!$B$5:$B$1004,$Q13,Hours_Log!$D$5:$D$1004,X$4)+SUMIFS(Toggl_Import!$AI$10:$AI$509,Toggl_Import!$AG$10:$AG$509,$Q13,Toggl_Import!$AH$10:$AH$509,X$4)</f>
        <v>0</v>
      </c>
      <c r="Y13" s="38" t="n">
        <f aca="false">SUM(R13:X13)</f>
        <v>0</v>
      </c>
    </row>
    <row r="14" customFormat="false" ht="15" hidden="false" customHeight="false" outlineLevel="0" collapsed="false">
      <c r="A14" s="102"/>
      <c r="B14" s="103"/>
      <c r="C14" s="103"/>
      <c r="D14" s="103"/>
      <c r="E14" s="104"/>
      <c r="F14" s="103"/>
      <c r="Q14" s="30" t="str">
        <f aca="false">Schedule!A16</f>
        <v>DRP-010</v>
      </c>
      <c r="R14" s="36" t="n">
        <f aca="false">SUMIFS(Hours_Log!$E$5:$E$1004,Hours_Log!$B$5:$B$1004,$Q14,Hours_Log!$D$5:$D$1004,R$4)+SUMIFS(Toggl_Import!$AI$10:$AI$509,Toggl_Import!$AG$10:$AG$509,$Q14,Toggl_Import!$AH$10:$AH$509,R$4)</f>
        <v>0</v>
      </c>
      <c r="S14" s="36" t="n">
        <f aca="false">SUMIFS(Hours_Log!$E$5:$E$1004,Hours_Log!$B$5:$B$1004,$Q14,Hours_Log!$D$5:$D$1004,S$4)+SUMIFS(Toggl_Import!$AI$10:$AI$509,Toggl_Import!$AG$10:$AG$509,$Q14,Toggl_Import!$AH$10:$AH$509,S$4)</f>
        <v>0</v>
      </c>
      <c r="T14" s="36" t="n">
        <f aca="false">SUMIFS(Hours_Log!$E$5:$E$1004,Hours_Log!$B$5:$B$1004,$Q14,Hours_Log!$D$5:$D$1004,T$4)+SUMIFS(Toggl_Import!$AI$10:$AI$509,Toggl_Import!$AG$10:$AG$509,$Q14,Toggl_Import!$AH$10:$AH$509,T$4)</f>
        <v>0</v>
      </c>
      <c r="U14" s="36" t="n">
        <f aca="false">SUMIFS(Hours_Log!$E$5:$E$1004,Hours_Log!$B$5:$B$1004,$Q14,Hours_Log!$D$5:$D$1004,U$4)+SUMIFS(Toggl_Import!$AI$10:$AI$509,Toggl_Import!$AG$10:$AG$509,$Q14,Toggl_Import!$AH$10:$AH$509,U$4)</f>
        <v>0</v>
      </c>
      <c r="V14" s="36" t="n">
        <f aca="false">SUMIFS(Hours_Log!$E$5:$E$1004,Hours_Log!$B$5:$B$1004,$Q14,Hours_Log!$D$5:$D$1004,V$4)+SUMIFS(Toggl_Import!$AI$10:$AI$509,Toggl_Import!$AG$10:$AG$509,$Q14,Toggl_Import!$AH$10:$AH$509,V$4)</f>
        <v>0</v>
      </c>
      <c r="W14" s="36" t="n">
        <f aca="false">SUMIFS(Hours_Log!$E$5:$E$1004,Hours_Log!$B$5:$B$1004,$Q14,Hours_Log!$D$5:$D$1004,W$4)+SUMIFS(Toggl_Import!$AI$10:$AI$509,Toggl_Import!$AG$10:$AG$509,$Q14,Toggl_Import!$AH$10:$AH$509,W$4)</f>
        <v>0</v>
      </c>
      <c r="X14" s="36" t="n">
        <f aca="false">SUMIFS(Hours_Log!$E$5:$E$1004,Hours_Log!$B$5:$B$1004,$Q14,Hours_Log!$D$5:$D$1004,X$4)+SUMIFS(Toggl_Import!$AI$10:$AI$509,Toggl_Import!$AG$10:$AG$509,$Q14,Toggl_Import!$AH$10:$AH$509,X$4)</f>
        <v>0</v>
      </c>
      <c r="Y14" s="38" t="n">
        <f aca="false">SUM(R14:X14)</f>
        <v>0</v>
      </c>
    </row>
    <row r="15" customFormat="false" ht="15" hidden="false" customHeight="false" outlineLevel="0" collapsed="false">
      <c r="A15" s="102"/>
      <c r="B15" s="103"/>
      <c r="C15" s="103"/>
      <c r="D15" s="103"/>
      <c r="E15" s="104"/>
      <c r="F15" s="103"/>
      <c r="Q15" s="30" t="str">
        <f aca="false">Schedule!A17</f>
        <v>DRP-011</v>
      </c>
      <c r="R15" s="36" t="n">
        <f aca="false">SUMIFS(Hours_Log!$E$5:$E$1004,Hours_Log!$B$5:$B$1004,$Q15,Hours_Log!$D$5:$D$1004,R$4)+SUMIFS(Toggl_Import!$AI$10:$AI$509,Toggl_Import!$AG$10:$AG$509,$Q15,Toggl_Import!$AH$10:$AH$509,R$4)</f>
        <v>0</v>
      </c>
      <c r="S15" s="36" t="n">
        <f aca="false">SUMIFS(Hours_Log!$E$5:$E$1004,Hours_Log!$B$5:$B$1004,$Q15,Hours_Log!$D$5:$D$1004,S$4)+SUMIFS(Toggl_Import!$AI$10:$AI$509,Toggl_Import!$AG$10:$AG$509,$Q15,Toggl_Import!$AH$10:$AH$509,S$4)</f>
        <v>0</v>
      </c>
      <c r="T15" s="36" t="n">
        <f aca="false">SUMIFS(Hours_Log!$E$5:$E$1004,Hours_Log!$B$5:$B$1004,$Q15,Hours_Log!$D$5:$D$1004,T$4)+SUMIFS(Toggl_Import!$AI$10:$AI$509,Toggl_Import!$AG$10:$AG$509,$Q15,Toggl_Import!$AH$10:$AH$509,T$4)</f>
        <v>0</v>
      </c>
      <c r="U15" s="36" t="n">
        <f aca="false">SUMIFS(Hours_Log!$E$5:$E$1004,Hours_Log!$B$5:$B$1004,$Q15,Hours_Log!$D$5:$D$1004,U$4)+SUMIFS(Toggl_Import!$AI$10:$AI$509,Toggl_Import!$AG$10:$AG$509,$Q15,Toggl_Import!$AH$10:$AH$509,U$4)</f>
        <v>0</v>
      </c>
      <c r="V15" s="36" t="n">
        <f aca="false">SUMIFS(Hours_Log!$E$5:$E$1004,Hours_Log!$B$5:$B$1004,$Q15,Hours_Log!$D$5:$D$1004,V$4)+SUMIFS(Toggl_Import!$AI$10:$AI$509,Toggl_Import!$AG$10:$AG$509,$Q15,Toggl_Import!$AH$10:$AH$509,V$4)</f>
        <v>0</v>
      </c>
      <c r="W15" s="36" t="n">
        <f aca="false">SUMIFS(Hours_Log!$E$5:$E$1004,Hours_Log!$B$5:$B$1004,$Q15,Hours_Log!$D$5:$D$1004,W$4)+SUMIFS(Toggl_Import!$AI$10:$AI$509,Toggl_Import!$AG$10:$AG$509,$Q15,Toggl_Import!$AH$10:$AH$509,W$4)</f>
        <v>0</v>
      </c>
      <c r="X15" s="36" t="n">
        <f aca="false">SUMIFS(Hours_Log!$E$5:$E$1004,Hours_Log!$B$5:$B$1004,$Q15,Hours_Log!$D$5:$D$1004,X$4)+SUMIFS(Toggl_Import!$AI$10:$AI$509,Toggl_Import!$AG$10:$AG$509,$Q15,Toggl_Import!$AH$10:$AH$509,X$4)</f>
        <v>0</v>
      </c>
      <c r="Y15" s="38" t="n">
        <f aca="false">SUM(R15:X15)</f>
        <v>0</v>
      </c>
    </row>
    <row r="16" customFormat="false" ht="15" hidden="false" customHeight="false" outlineLevel="0" collapsed="false">
      <c r="A16" s="102"/>
      <c r="B16" s="103"/>
      <c r="C16" s="103"/>
      <c r="D16" s="103"/>
      <c r="E16" s="104"/>
      <c r="F16" s="103"/>
      <c r="Q16" s="30" t="str">
        <f aca="false">Schedule!A18</f>
        <v>DRP-012</v>
      </c>
      <c r="R16" s="36" t="n">
        <f aca="false">SUMIFS(Hours_Log!$E$5:$E$1004,Hours_Log!$B$5:$B$1004,$Q16,Hours_Log!$D$5:$D$1004,R$4)+SUMIFS(Toggl_Import!$AI$10:$AI$509,Toggl_Import!$AG$10:$AG$509,$Q16,Toggl_Import!$AH$10:$AH$509,R$4)</f>
        <v>0</v>
      </c>
      <c r="S16" s="36" t="n">
        <f aca="false">SUMIFS(Hours_Log!$E$5:$E$1004,Hours_Log!$B$5:$B$1004,$Q16,Hours_Log!$D$5:$D$1004,S$4)+SUMIFS(Toggl_Import!$AI$10:$AI$509,Toggl_Import!$AG$10:$AG$509,$Q16,Toggl_Import!$AH$10:$AH$509,S$4)</f>
        <v>0</v>
      </c>
      <c r="T16" s="36" t="n">
        <f aca="false">SUMIFS(Hours_Log!$E$5:$E$1004,Hours_Log!$B$5:$B$1004,$Q16,Hours_Log!$D$5:$D$1004,T$4)+SUMIFS(Toggl_Import!$AI$10:$AI$509,Toggl_Import!$AG$10:$AG$509,$Q16,Toggl_Import!$AH$10:$AH$509,T$4)</f>
        <v>0</v>
      </c>
      <c r="U16" s="36" t="n">
        <f aca="false">SUMIFS(Hours_Log!$E$5:$E$1004,Hours_Log!$B$5:$B$1004,$Q16,Hours_Log!$D$5:$D$1004,U$4)+SUMIFS(Toggl_Import!$AI$10:$AI$509,Toggl_Import!$AG$10:$AG$509,$Q16,Toggl_Import!$AH$10:$AH$509,U$4)</f>
        <v>0</v>
      </c>
      <c r="V16" s="36" t="n">
        <f aca="false">SUMIFS(Hours_Log!$E$5:$E$1004,Hours_Log!$B$5:$B$1004,$Q16,Hours_Log!$D$5:$D$1004,V$4)+SUMIFS(Toggl_Import!$AI$10:$AI$509,Toggl_Import!$AG$10:$AG$509,$Q16,Toggl_Import!$AH$10:$AH$509,V$4)</f>
        <v>0</v>
      </c>
      <c r="W16" s="36" t="n">
        <f aca="false">SUMIFS(Hours_Log!$E$5:$E$1004,Hours_Log!$B$5:$B$1004,$Q16,Hours_Log!$D$5:$D$1004,W$4)+SUMIFS(Toggl_Import!$AI$10:$AI$509,Toggl_Import!$AG$10:$AG$509,$Q16,Toggl_Import!$AH$10:$AH$509,W$4)</f>
        <v>0</v>
      </c>
      <c r="X16" s="36" t="n">
        <f aca="false">SUMIFS(Hours_Log!$E$5:$E$1004,Hours_Log!$B$5:$B$1004,$Q16,Hours_Log!$D$5:$D$1004,X$4)+SUMIFS(Toggl_Import!$AI$10:$AI$509,Toggl_Import!$AG$10:$AG$509,$Q16,Toggl_Import!$AH$10:$AH$509,X$4)</f>
        <v>0</v>
      </c>
      <c r="Y16" s="38" t="n">
        <f aca="false">SUM(R16:X16)</f>
        <v>0</v>
      </c>
    </row>
    <row r="17" customFormat="false" ht="15" hidden="false" customHeight="false" outlineLevel="0" collapsed="false">
      <c r="A17" s="102"/>
      <c r="B17" s="103"/>
      <c r="C17" s="103"/>
      <c r="D17" s="103"/>
      <c r="E17" s="104"/>
      <c r="F17" s="103"/>
      <c r="Q17" s="30" t="s">
        <v>1454</v>
      </c>
      <c r="R17" s="36" t="n">
        <f aca="false">SUMIFS(Hours_Log!$E$5:$E$1004,Hours_Log!$D$5:$D$1004,R$4)+SUMIFS(Toggl_Import!$AI$10:$AI$509,Toggl_Import!$AH$10:$AH$509,R$4)</f>
        <v>0</v>
      </c>
      <c r="S17" s="36" t="n">
        <f aca="false">SUMIFS(Hours_Log!$E$5:$E$1004,Hours_Log!$D$5:$D$1004,S$4)+SUMIFS(Toggl_Import!$AI$10:$AI$509,Toggl_Import!$AH$10:$AH$509,S$4)</f>
        <v>0</v>
      </c>
      <c r="T17" s="36" t="n">
        <f aca="false">SUMIFS(Hours_Log!$E$5:$E$1004,Hours_Log!$D$5:$D$1004,T$4)+SUMIFS(Toggl_Import!$AI$10:$AI$509,Toggl_Import!$AH$10:$AH$509,T$4)</f>
        <v>0</v>
      </c>
      <c r="U17" s="36" t="n">
        <f aca="false">SUMIFS(Hours_Log!$E$5:$E$1004,Hours_Log!$D$5:$D$1004,U$4)+SUMIFS(Toggl_Import!$AI$10:$AI$509,Toggl_Import!$AH$10:$AH$509,U$4)</f>
        <v>0</v>
      </c>
      <c r="V17" s="36" t="n">
        <f aca="false">SUMIFS(Hours_Log!$E$5:$E$1004,Hours_Log!$D$5:$D$1004,V$4)+SUMIFS(Toggl_Import!$AI$10:$AI$509,Toggl_Import!$AH$10:$AH$509,V$4)</f>
        <v>0</v>
      </c>
      <c r="W17" s="36" t="n">
        <f aca="false">SUMIFS(Hours_Log!$E$5:$E$1004,Hours_Log!$D$5:$D$1004,W$4)+SUMIFS(Toggl_Import!$AI$10:$AI$509,Toggl_Import!$AH$10:$AH$509,W$4)</f>
        <v>0</v>
      </c>
      <c r="X17" s="36" t="n">
        <f aca="false">SUMIFS(Hours_Log!$E$5:$E$1004,Hours_Log!$D$5:$D$1004,X$4)+SUMIFS(Toggl_Import!$AI$10:$AI$509,Toggl_Import!$AH$10:$AH$509,X$4)</f>
        <v>0</v>
      </c>
      <c r="Y17" s="38" t="n">
        <f aca="false">SUM(R17:X17)</f>
        <v>0</v>
      </c>
    </row>
    <row r="18" customFormat="false" ht="15" hidden="false" customHeight="false" outlineLevel="0" collapsed="false">
      <c r="A18" s="102"/>
      <c r="B18" s="103"/>
      <c r="C18" s="103"/>
      <c r="D18" s="103"/>
      <c r="E18" s="104"/>
      <c r="F18" s="103"/>
      <c r="Q18" s="30" t="s">
        <v>1455</v>
      </c>
      <c r="R18" s="36" t="n">
        <f aca="false">R17-SUM(R5:R16)</f>
        <v>0</v>
      </c>
      <c r="S18" s="36" t="n">
        <f aca="false">S17-SUM(S5:S16)</f>
        <v>0</v>
      </c>
      <c r="T18" s="36" t="n">
        <f aca="false">T17-SUM(T5:T16)</f>
        <v>0</v>
      </c>
      <c r="U18" s="36" t="n">
        <f aca="false">U17-SUM(U5:U16)</f>
        <v>0</v>
      </c>
      <c r="V18" s="36" t="n">
        <f aca="false">V17-SUM(V5:V16)</f>
        <v>0</v>
      </c>
      <c r="W18" s="36" t="n">
        <f aca="false">W17-SUM(W5:W16)</f>
        <v>0</v>
      </c>
      <c r="X18" s="36" t="n">
        <f aca="false">X17-SUM(X5:X16)</f>
        <v>0</v>
      </c>
      <c r="Y18" s="36" t="n">
        <f aca="false">Y17-SUM(Y5:Y16)</f>
        <v>0</v>
      </c>
    </row>
    <row r="19" customFormat="false" ht="15" hidden="false" customHeight="false" outlineLevel="0" collapsed="false">
      <c r="A19" s="102"/>
      <c r="B19" s="103"/>
      <c r="C19" s="103"/>
      <c r="D19" s="103"/>
      <c r="E19" s="104"/>
      <c r="F19" s="103"/>
    </row>
    <row r="20" customFormat="false" ht="15" hidden="false" customHeight="false" outlineLevel="0" collapsed="false">
      <c r="A20" s="102"/>
      <c r="B20" s="103"/>
      <c r="C20" s="103"/>
      <c r="D20" s="103"/>
      <c r="E20" s="104"/>
      <c r="F20" s="103"/>
      <c r="Q20" s="84" t="s">
        <v>1456</v>
      </c>
    </row>
    <row r="21" customFormat="false" ht="30" hidden="false" customHeight="true" outlineLevel="0" collapsed="false">
      <c r="A21" s="102"/>
      <c r="B21" s="103"/>
      <c r="C21" s="103"/>
      <c r="D21" s="103"/>
      <c r="E21" s="104"/>
      <c r="F21" s="103"/>
      <c r="Q21" s="12" t="s">
        <v>1457</v>
      </c>
      <c r="R21" s="12" t="s">
        <v>1458</v>
      </c>
      <c r="S21" s="12" t="s">
        <v>1306</v>
      </c>
      <c r="T21" s="12" t="s">
        <v>1307</v>
      </c>
      <c r="U21" s="12" t="s">
        <v>1308</v>
      </c>
      <c r="V21" s="12" t="s">
        <v>1309</v>
      </c>
      <c r="W21" s="12" t="s">
        <v>1310</v>
      </c>
      <c r="X21" s="12" t="s">
        <v>1311</v>
      </c>
      <c r="Y21" s="12" t="s">
        <v>1312</v>
      </c>
      <c r="Z21" s="12" t="s">
        <v>1313</v>
      </c>
      <c r="AA21" s="12" t="s">
        <v>1459</v>
      </c>
    </row>
    <row r="22" customFormat="false" ht="15" hidden="false" customHeight="false" outlineLevel="0" collapsed="false">
      <c r="A22" s="102"/>
      <c r="B22" s="103"/>
      <c r="C22" s="103"/>
      <c r="D22" s="103"/>
      <c r="E22" s="104"/>
      <c r="F22" s="103"/>
      <c r="Q22" s="30" t="n">
        <v>1</v>
      </c>
      <c r="R22" s="18" t="n">
        <f aca="false">Inputs!$C$10</f>
        <v>46321</v>
      </c>
      <c r="S22" s="36" t="n">
        <f aca="false">SUMIFS(Hours_Log!$E$5:$E$1004,Hours_Log!$A$5:$A$1004,"&gt;="&amp;$R22,Hours_Log!$A$5:$A$1004,"&lt;"&amp;$R22+Inputs!$C$18,Hours_Log!$D$5:$D$1004,S$21)+SUMIFS(Toggl_Import!$AI$10:$AI$509,Toggl_Import!$AF$10:$AF$509,"&gt;="&amp;$R22,Toggl_Import!$AF$10:$AF$509,"&lt;"&amp;$R22+Inputs!$C$18,Toggl_Import!$AH$10:$AH$509,S$21)</f>
        <v>0</v>
      </c>
      <c r="T22" s="36" t="n">
        <f aca="false">SUMIFS(Hours_Log!$E$5:$E$1004,Hours_Log!$A$5:$A$1004,"&gt;="&amp;$R22,Hours_Log!$A$5:$A$1004,"&lt;"&amp;$R22+Inputs!$C$18,Hours_Log!$D$5:$D$1004,T$21)+SUMIFS(Toggl_Import!$AI$10:$AI$509,Toggl_Import!$AF$10:$AF$509,"&gt;="&amp;$R22,Toggl_Import!$AF$10:$AF$509,"&lt;"&amp;$R22+Inputs!$C$18,Toggl_Import!$AH$10:$AH$509,T$21)</f>
        <v>0</v>
      </c>
      <c r="U22" s="36" t="n">
        <f aca="false">SUMIFS(Hours_Log!$E$5:$E$1004,Hours_Log!$A$5:$A$1004,"&gt;="&amp;$R22,Hours_Log!$A$5:$A$1004,"&lt;"&amp;$R22+Inputs!$C$18,Hours_Log!$D$5:$D$1004,U$21)+SUMIFS(Toggl_Import!$AI$10:$AI$509,Toggl_Import!$AF$10:$AF$509,"&gt;="&amp;$R22,Toggl_Import!$AF$10:$AF$509,"&lt;"&amp;$R22+Inputs!$C$18,Toggl_Import!$AH$10:$AH$509,U$21)</f>
        <v>0</v>
      </c>
      <c r="V22" s="36" t="n">
        <f aca="false">SUMIFS(Hours_Log!$E$5:$E$1004,Hours_Log!$A$5:$A$1004,"&gt;="&amp;$R22,Hours_Log!$A$5:$A$1004,"&lt;"&amp;$R22+Inputs!$C$18,Hours_Log!$D$5:$D$1004,V$21)+SUMIFS(Toggl_Import!$AI$10:$AI$509,Toggl_Import!$AF$10:$AF$509,"&gt;="&amp;$R22,Toggl_Import!$AF$10:$AF$509,"&lt;"&amp;$R22+Inputs!$C$18,Toggl_Import!$AH$10:$AH$509,V$21)</f>
        <v>0</v>
      </c>
      <c r="W22" s="36" t="n">
        <f aca="false">SUMIFS(Hours_Log!$E$5:$E$1004,Hours_Log!$A$5:$A$1004,"&gt;="&amp;$R22,Hours_Log!$A$5:$A$1004,"&lt;"&amp;$R22+Inputs!$C$18,Hours_Log!$D$5:$D$1004,W$21)+SUMIFS(Toggl_Import!$AI$10:$AI$509,Toggl_Import!$AF$10:$AF$509,"&gt;="&amp;$R22,Toggl_Import!$AF$10:$AF$509,"&lt;"&amp;$R22+Inputs!$C$18,Toggl_Import!$AH$10:$AH$509,W$21)</f>
        <v>0</v>
      </c>
      <c r="X22" s="36" t="n">
        <f aca="false">SUMIFS(Hours_Log!$E$5:$E$1004,Hours_Log!$A$5:$A$1004,"&gt;="&amp;$R22,Hours_Log!$A$5:$A$1004,"&lt;"&amp;$R22+Inputs!$C$18,Hours_Log!$D$5:$D$1004,X$21)+SUMIFS(Toggl_Import!$AI$10:$AI$509,Toggl_Import!$AF$10:$AF$509,"&gt;="&amp;$R22,Toggl_Import!$AF$10:$AF$509,"&lt;"&amp;$R22+Inputs!$C$18,Toggl_Import!$AH$10:$AH$509,X$21)</f>
        <v>0</v>
      </c>
      <c r="Y22" s="36" t="n">
        <f aca="false">SUMIFS(Hours_Log!$E$5:$E$1004,Hours_Log!$A$5:$A$1004,"&gt;="&amp;$R22,Hours_Log!$A$5:$A$1004,"&lt;"&amp;$R22+Inputs!$C$18,Hours_Log!$D$5:$D$1004,Y$21)+SUMIFS(Toggl_Import!$AI$10:$AI$509,Toggl_Import!$AF$10:$AF$509,"&gt;="&amp;$R22,Toggl_Import!$AF$10:$AF$509,"&lt;"&amp;$R22+Inputs!$C$18,Toggl_Import!$AH$10:$AH$509,Y$21)</f>
        <v>0</v>
      </c>
      <c r="Z22" s="38" t="n">
        <f aca="false">SUM(S22:Y22)</f>
        <v>0</v>
      </c>
      <c r="AA22" s="36" t="n">
        <f aca="false">SUMIFS(Hours_Log!$E$5:$E$1004,Hours_Log!$A$5:$A$1004,"&gt;="&amp;$R22,Hours_Log!$A$5:$A$1004,"&lt;"&amp;$R22+Inputs!$C$18,Hours_Log!$B$5:$B$1004,Inputs!$C$30&amp;"*")+SUMIFS(Toggl_Import!$AI$10:$AI$509,Toggl_Import!$AF$10:$AF$509,"&gt;="&amp;$R22,Toggl_Import!$AF$10:$AF$509,"&lt;"&amp;$R22+Inputs!$C$18,Toggl_Import!$AG$10:$AG$509,Inputs!$C$30&amp;"*")</f>
        <v>0</v>
      </c>
    </row>
    <row r="23" customFormat="false" ht="15" hidden="false" customHeight="false" outlineLevel="0" collapsed="false">
      <c r="A23" s="102"/>
      <c r="B23" s="103"/>
      <c r="C23" s="103"/>
      <c r="D23" s="103"/>
      <c r="E23" s="104"/>
      <c r="F23" s="103"/>
      <c r="Q23" s="30" t="n">
        <v>2</v>
      </c>
      <c r="R23" s="18" t="n">
        <f aca="false">R22+Inputs!$C$18</f>
        <v>46328</v>
      </c>
      <c r="S23" s="36" t="n">
        <f aca="false">SUMIFS(Hours_Log!$E$5:$E$1004,Hours_Log!$A$5:$A$1004,"&gt;="&amp;$R23,Hours_Log!$A$5:$A$1004,"&lt;"&amp;$R23+Inputs!$C$18,Hours_Log!$D$5:$D$1004,S$21)+SUMIFS(Toggl_Import!$AI$10:$AI$509,Toggl_Import!$AF$10:$AF$509,"&gt;="&amp;$R23,Toggl_Import!$AF$10:$AF$509,"&lt;"&amp;$R23+Inputs!$C$18,Toggl_Import!$AH$10:$AH$509,S$21)</f>
        <v>0</v>
      </c>
      <c r="T23" s="36" t="n">
        <f aca="false">SUMIFS(Hours_Log!$E$5:$E$1004,Hours_Log!$A$5:$A$1004,"&gt;="&amp;$R23,Hours_Log!$A$5:$A$1004,"&lt;"&amp;$R23+Inputs!$C$18,Hours_Log!$D$5:$D$1004,T$21)+SUMIFS(Toggl_Import!$AI$10:$AI$509,Toggl_Import!$AF$10:$AF$509,"&gt;="&amp;$R23,Toggl_Import!$AF$10:$AF$509,"&lt;"&amp;$R23+Inputs!$C$18,Toggl_Import!$AH$10:$AH$509,T$21)</f>
        <v>0</v>
      </c>
      <c r="U23" s="36" t="n">
        <f aca="false">SUMIFS(Hours_Log!$E$5:$E$1004,Hours_Log!$A$5:$A$1004,"&gt;="&amp;$R23,Hours_Log!$A$5:$A$1004,"&lt;"&amp;$R23+Inputs!$C$18,Hours_Log!$D$5:$D$1004,U$21)+SUMIFS(Toggl_Import!$AI$10:$AI$509,Toggl_Import!$AF$10:$AF$509,"&gt;="&amp;$R23,Toggl_Import!$AF$10:$AF$509,"&lt;"&amp;$R23+Inputs!$C$18,Toggl_Import!$AH$10:$AH$509,U$21)</f>
        <v>0</v>
      </c>
      <c r="V23" s="36" t="n">
        <f aca="false">SUMIFS(Hours_Log!$E$5:$E$1004,Hours_Log!$A$5:$A$1004,"&gt;="&amp;$R23,Hours_Log!$A$5:$A$1004,"&lt;"&amp;$R23+Inputs!$C$18,Hours_Log!$D$5:$D$1004,V$21)+SUMIFS(Toggl_Import!$AI$10:$AI$509,Toggl_Import!$AF$10:$AF$509,"&gt;="&amp;$R23,Toggl_Import!$AF$10:$AF$509,"&lt;"&amp;$R23+Inputs!$C$18,Toggl_Import!$AH$10:$AH$509,V$21)</f>
        <v>0</v>
      </c>
      <c r="W23" s="36" t="n">
        <f aca="false">SUMIFS(Hours_Log!$E$5:$E$1004,Hours_Log!$A$5:$A$1004,"&gt;="&amp;$R23,Hours_Log!$A$5:$A$1004,"&lt;"&amp;$R23+Inputs!$C$18,Hours_Log!$D$5:$D$1004,W$21)+SUMIFS(Toggl_Import!$AI$10:$AI$509,Toggl_Import!$AF$10:$AF$509,"&gt;="&amp;$R23,Toggl_Import!$AF$10:$AF$509,"&lt;"&amp;$R23+Inputs!$C$18,Toggl_Import!$AH$10:$AH$509,W$21)</f>
        <v>0</v>
      </c>
      <c r="X23" s="36" t="n">
        <f aca="false">SUMIFS(Hours_Log!$E$5:$E$1004,Hours_Log!$A$5:$A$1004,"&gt;="&amp;$R23,Hours_Log!$A$5:$A$1004,"&lt;"&amp;$R23+Inputs!$C$18,Hours_Log!$D$5:$D$1004,X$21)+SUMIFS(Toggl_Import!$AI$10:$AI$509,Toggl_Import!$AF$10:$AF$509,"&gt;="&amp;$R23,Toggl_Import!$AF$10:$AF$509,"&lt;"&amp;$R23+Inputs!$C$18,Toggl_Import!$AH$10:$AH$509,X$21)</f>
        <v>0</v>
      </c>
      <c r="Y23" s="36" t="n">
        <f aca="false">SUMIFS(Hours_Log!$E$5:$E$1004,Hours_Log!$A$5:$A$1004,"&gt;="&amp;$R23,Hours_Log!$A$5:$A$1004,"&lt;"&amp;$R23+Inputs!$C$18,Hours_Log!$D$5:$D$1004,Y$21)+SUMIFS(Toggl_Import!$AI$10:$AI$509,Toggl_Import!$AF$10:$AF$509,"&gt;="&amp;$R23,Toggl_Import!$AF$10:$AF$509,"&lt;"&amp;$R23+Inputs!$C$18,Toggl_Import!$AH$10:$AH$509,Y$21)</f>
        <v>0</v>
      </c>
      <c r="Z23" s="38" t="n">
        <f aca="false">SUM(S23:Y23)</f>
        <v>0</v>
      </c>
      <c r="AA23" s="36" t="n">
        <f aca="false">SUMIFS(Hours_Log!$E$5:$E$1004,Hours_Log!$A$5:$A$1004,"&gt;="&amp;$R23,Hours_Log!$A$5:$A$1004,"&lt;"&amp;$R23+Inputs!$C$18,Hours_Log!$B$5:$B$1004,Inputs!$C$30&amp;"*")+SUMIFS(Toggl_Import!$AI$10:$AI$509,Toggl_Import!$AF$10:$AF$509,"&gt;="&amp;$R23,Toggl_Import!$AF$10:$AF$509,"&lt;"&amp;$R23+Inputs!$C$18,Toggl_Import!$AG$10:$AG$509,Inputs!$C$30&amp;"*")</f>
        <v>0</v>
      </c>
    </row>
    <row r="24" customFormat="false" ht="15" hidden="false" customHeight="false" outlineLevel="0" collapsed="false">
      <c r="A24" s="102"/>
      <c r="B24" s="103"/>
      <c r="C24" s="103"/>
      <c r="D24" s="103"/>
      <c r="E24" s="104"/>
      <c r="F24" s="103"/>
      <c r="Q24" s="30" t="n">
        <v>3</v>
      </c>
      <c r="R24" s="18" t="n">
        <f aca="false">R23+Inputs!$C$18</f>
        <v>46335</v>
      </c>
      <c r="S24" s="36" t="n">
        <f aca="false">SUMIFS(Hours_Log!$E$5:$E$1004,Hours_Log!$A$5:$A$1004,"&gt;="&amp;$R24,Hours_Log!$A$5:$A$1004,"&lt;"&amp;$R24+Inputs!$C$18,Hours_Log!$D$5:$D$1004,S$21)+SUMIFS(Toggl_Import!$AI$10:$AI$509,Toggl_Import!$AF$10:$AF$509,"&gt;="&amp;$R24,Toggl_Import!$AF$10:$AF$509,"&lt;"&amp;$R24+Inputs!$C$18,Toggl_Import!$AH$10:$AH$509,S$21)</f>
        <v>0</v>
      </c>
      <c r="T24" s="36" t="n">
        <f aca="false">SUMIFS(Hours_Log!$E$5:$E$1004,Hours_Log!$A$5:$A$1004,"&gt;="&amp;$R24,Hours_Log!$A$5:$A$1004,"&lt;"&amp;$R24+Inputs!$C$18,Hours_Log!$D$5:$D$1004,T$21)+SUMIFS(Toggl_Import!$AI$10:$AI$509,Toggl_Import!$AF$10:$AF$509,"&gt;="&amp;$R24,Toggl_Import!$AF$10:$AF$509,"&lt;"&amp;$R24+Inputs!$C$18,Toggl_Import!$AH$10:$AH$509,T$21)</f>
        <v>0</v>
      </c>
      <c r="U24" s="36" t="n">
        <f aca="false">SUMIFS(Hours_Log!$E$5:$E$1004,Hours_Log!$A$5:$A$1004,"&gt;="&amp;$R24,Hours_Log!$A$5:$A$1004,"&lt;"&amp;$R24+Inputs!$C$18,Hours_Log!$D$5:$D$1004,U$21)+SUMIFS(Toggl_Import!$AI$10:$AI$509,Toggl_Import!$AF$10:$AF$509,"&gt;="&amp;$R24,Toggl_Import!$AF$10:$AF$509,"&lt;"&amp;$R24+Inputs!$C$18,Toggl_Import!$AH$10:$AH$509,U$21)</f>
        <v>0</v>
      </c>
      <c r="V24" s="36" t="n">
        <f aca="false">SUMIFS(Hours_Log!$E$5:$E$1004,Hours_Log!$A$5:$A$1004,"&gt;="&amp;$R24,Hours_Log!$A$5:$A$1004,"&lt;"&amp;$R24+Inputs!$C$18,Hours_Log!$D$5:$D$1004,V$21)+SUMIFS(Toggl_Import!$AI$10:$AI$509,Toggl_Import!$AF$10:$AF$509,"&gt;="&amp;$R24,Toggl_Import!$AF$10:$AF$509,"&lt;"&amp;$R24+Inputs!$C$18,Toggl_Import!$AH$10:$AH$509,V$21)</f>
        <v>0</v>
      </c>
      <c r="W24" s="36" t="n">
        <f aca="false">SUMIFS(Hours_Log!$E$5:$E$1004,Hours_Log!$A$5:$A$1004,"&gt;="&amp;$R24,Hours_Log!$A$5:$A$1004,"&lt;"&amp;$R24+Inputs!$C$18,Hours_Log!$D$5:$D$1004,W$21)+SUMIFS(Toggl_Import!$AI$10:$AI$509,Toggl_Import!$AF$10:$AF$509,"&gt;="&amp;$R24,Toggl_Import!$AF$10:$AF$509,"&lt;"&amp;$R24+Inputs!$C$18,Toggl_Import!$AH$10:$AH$509,W$21)</f>
        <v>0</v>
      </c>
      <c r="X24" s="36" t="n">
        <f aca="false">SUMIFS(Hours_Log!$E$5:$E$1004,Hours_Log!$A$5:$A$1004,"&gt;="&amp;$R24,Hours_Log!$A$5:$A$1004,"&lt;"&amp;$R24+Inputs!$C$18,Hours_Log!$D$5:$D$1004,X$21)+SUMIFS(Toggl_Import!$AI$10:$AI$509,Toggl_Import!$AF$10:$AF$509,"&gt;="&amp;$R24,Toggl_Import!$AF$10:$AF$509,"&lt;"&amp;$R24+Inputs!$C$18,Toggl_Import!$AH$10:$AH$509,X$21)</f>
        <v>0</v>
      </c>
      <c r="Y24" s="36" t="n">
        <f aca="false">SUMIFS(Hours_Log!$E$5:$E$1004,Hours_Log!$A$5:$A$1004,"&gt;="&amp;$R24,Hours_Log!$A$5:$A$1004,"&lt;"&amp;$R24+Inputs!$C$18,Hours_Log!$D$5:$D$1004,Y$21)+SUMIFS(Toggl_Import!$AI$10:$AI$509,Toggl_Import!$AF$10:$AF$509,"&gt;="&amp;$R24,Toggl_Import!$AF$10:$AF$509,"&lt;"&amp;$R24+Inputs!$C$18,Toggl_Import!$AH$10:$AH$509,Y$21)</f>
        <v>0</v>
      </c>
      <c r="Z24" s="38" t="n">
        <f aca="false">SUM(S24:Y24)</f>
        <v>0</v>
      </c>
      <c r="AA24" s="36" t="n">
        <f aca="false">SUMIFS(Hours_Log!$E$5:$E$1004,Hours_Log!$A$5:$A$1004,"&gt;="&amp;$R24,Hours_Log!$A$5:$A$1004,"&lt;"&amp;$R24+Inputs!$C$18,Hours_Log!$B$5:$B$1004,Inputs!$C$30&amp;"*")+SUMIFS(Toggl_Import!$AI$10:$AI$509,Toggl_Import!$AF$10:$AF$509,"&gt;="&amp;$R24,Toggl_Import!$AF$10:$AF$509,"&lt;"&amp;$R24+Inputs!$C$18,Toggl_Import!$AG$10:$AG$509,Inputs!$C$30&amp;"*")</f>
        <v>0</v>
      </c>
    </row>
    <row r="25" customFormat="false" ht="15" hidden="false" customHeight="false" outlineLevel="0" collapsed="false">
      <c r="A25" s="102"/>
      <c r="B25" s="103"/>
      <c r="C25" s="103"/>
      <c r="D25" s="103"/>
      <c r="E25" s="104"/>
      <c r="F25" s="103"/>
      <c r="Q25" s="30" t="n">
        <v>4</v>
      </c>
      <c r="R25" s="18" t="n">
        <f aca="false">R24+Inputs!$C$18</f>
        <v>46342</v>
      </c>
      <c r="S25" s="36" t="n">
        <f aca="false">SUMIFS(Hours_Log!$E$5:$E$1004,Hours_Log!$A$5:$A$1004,"&gt;="&amp;$R25,Hours_Log!$A$5:$A$1004,"&lt;"&amp;$R25+Inputs!$C$18,Hours_Log!$D$5:$D$1004,S$21)+SUMIFS(Toggl_Import!$AI$10:$AI$509,Toggl_Import!$AF$10:$AF$509,"&gt;="&amp;$R25,Toggl_Import!$AF$10:$AF$509,"&lt;"&amp;$R25+Inputs!$C$18,Toggl_Import!$AH$10:$AH$509,S$21)</f>
        <v>0</v>
      </c>
      <c r="T25" s="36" t="n">
        <f aca="false">SUMIFS(Hours_Log!$E$5:$E$1004,Hours_Log!$A$5:$A$1004,"&gt;="&amp;$R25,Hours_Log!$A$5:$A$1004,"&lt;"&amp;$R25+Inputs!$C$18,Hours_Log!$D$5:$D$1004,T$21)+SUMIFS(Toggl_Import!$AI$10:$AI$509,Toggl_Import!$AF$10:$AF$509,"&gt;="&amp;$R25,Toggl_Import!$AF$10:$AF$509,"&lt;"&amp;$R25+Inputs!$C$18,Toggl_Import!$AH$10:$AH$509,T$21)</f>
        <v>0</v>
      </c>
      <c r="U25" s="36" t="n">
        <f aca="false">SUMIFS(Hours_Log!$E$5:$E$1004,Hours_Log!$A$5:$A$1004,"&gt;="&amp;$R25,Hours_Log!$A$5:$A$1004,"&lt;"&amp;$R25+Inputs!$C$18,Hours_Log!$D$5:$D$1004,U$21)+SUMIFS(Toggl_Import!$AI$10:$AI$509,Toggl_Import!$AF$10:$AF$509,"&gt;="&amp;$R25,Toggl_Import!$AF$10:$AF$509,"&lt;"&amp;$R25+Inputs!$C$18,Toggl_Import!$AH$10:$AH$509,U$21)</f>
        <v>0</v>
      </c>
      <c r="V25" s="36" t="n">
        <f aca="false">SUMIFS(Hours_Log!$E$5:$E$1004,Hours_Log!$A$5:$A$1004,"&gt;="&amp;$R25,Hours_Log!$A$5:$A$1004,"&lt;"&amp;$R25+Inputs!$C$18,Hours_Log!$D$5:$D$1004,V$21)+SUMIFS(Toggl_Import!$AI$10:$AI$509,Toggl_Import!$AF$10:$AF$509,"&gt;="&amp;$R25,Toggl_Import!$AF$10:$AF$509,"&lt;"&amp;$R25+Inputs!$C$18,Toggl_Import!$AH$10:$AH$509,V$21)</f>
        <v>0</v>
      </c>
      <c r="W25" s="36" t="n">
        <f aca="false">SUMIFS(Hours_Log!$E$5:$E$1004,Hours_Log!$A$5:$A$1004,"&gt;="&amp;$R25,Hours_Log!$A$5:$A$1004,"&lt;"&amp;$R25+Inputs!$C$18,Hours_Log!$D$5:$D$1004,W$21)+SUMIFS(Toggl_Import!$AI$10:$AI$509,Toggl_Import!$AF$10:$AF$509,"&gt;="&amp;$R25,Toggl_Import!$AF$10:$AF$509,"&lt;"&amp;$R25+Inputs!$C$18,Toggl_Import!$AH$10:$AH$509,W$21)</f>
        <v>0</v>
      </c>
      <c r="X25" s="36" t="n">
        <f aca="false">SUMIFS(Hours_Log!$E$5:$E$1004,Hours_Log!$A$5:$A$1004,"&gt;="&amp;$R25,Hours_Log!$A$5:$A$1004,"&lt;"&amp;$R25+Inputs!$C$18,Hours_Log!$D$5:$D$1004,X$21)+SUMIFS(Toggl_Import!$AI$10:$AI$509,Toggl_Import!$AF$10:$AF$509,"&gt;="&amp;$R25,Toggl_Import!$AF$10:$AF$509,"&lt;"&amp;$R25+Inputs!$C$18,Toggl_Import!$AH$10:$AH$509,X$21)</f>
        <v>0</v>
      </c>
      <c r="Y25" s="36" t="n">
        <f aca="false">SUMIFS(Hours_Log!$E$5:$E$1004,Hours_Log!$A$5:$A$1004,"&gt;="&amp;$R25,Hours_Log!$A$5:$A$1004,"&lt;"&amp;$R25+Inputs!$C$18,Hours_Log!$D$5:$D$1004,Y$21)+SUMIFS(Toggl_Import!$AI$10:$AI$509,Toggl_Import!$AF$10:$AF$509,"&gt;="&amp;$R25,Toggl_Import!$AF$10:$AF$509,"&lt;"&amp;$R25+Inputs!$C$18,Toggl_Import!$AH$10:$AH$509,Y$21)</f>
        <v>0</v>
      </c>
      <c r="Z25" s="38" t="n">
        <f aca="false">SUM(S25:Y25)</f>
        <v>0</v>
      </c>
      <c r="AA25" s="36" t="n">
        <f aca="false">SUMIFS(Hours_Log!$E$5:$E$1004,Hours_Log!$A$5:$A$1004,"&gt;="&amp;$R25,Hours_Log!$A$5:$A$1004,"&lt;"&amp;$R25+Inputs!$C$18,Hours_Log!$B$5:$B$1004,Inputs!$C$30&amp;"*")+SUMIFS(Toggl_Import!$AI$10:$AI$509,Toggl_Import!$AF$10:$AF$509,"&gt;="&amp;$R25,Toggl_Import!$AF$10:$AF$509,"&lt;"&amp;$R25+Inputs!$C$18,Toggl_Import!$AG$10:$AG$509,Inputs!$C$30&amp;"*")</f>
        <v>0</v>
      </c>
    </row>
    <row r="26" customFormat="false" ht="15" hidden="false" customHeight="false" outlineLevel="0" collapsed="false">
      <c r="A26" s="102"/>
      <c r="B26" s="103"/>
      <c r="C26" s="103"/>
      <c r="D26" s="103"/>
      <c r="E26" s="104"/>
      <c r="F26" s="103"/>
      <c r="Q26" s="30" t="n">
        <v>5</v>
      </c>
      <c r="R26" s="18" t="n">
        <f aca="false">R25+Inputs!$C$18</f>
        <v>46349</v>
      </c>
      <c r="S26" s="36" t="n">
        <f aca="false">SUMIFS(Hours_Log!$E$5:$E$1004,Hours_Log!$A$5:$A$1004,"&gt;="&amp;$R26,Hours_Log!$A$5:$A$1004,"&lt;"&amp;$R26+Inputs!$C$18,Hours_Log!$D$5:$D$1004,S$21)+SUMIFS(Toggl_Import!$AI$10:$AI$509,Toggl_Import!$AF$10:$AF$509,"&gt;="&amp;$R26,Toggl_Import!$AF$10:$AF$509,"&lt;"&amp;$R26+Inputs!$C$18,Toggl_Import!$AH$10:$AH$509,S$21)</f>
        <v>0</v>
      </c>
      <c r="T26" s="36" t="n">
        <f aca="false">SUMIFS(Hours_Log!$E$5:$E$1004,Hours_Log!$A$5:$A$1004,"&gt;="&amp;$R26,Hours_Log!$A$5:$A$1004,"&lt;"&amp;$R26+Inputs!$C$18,Hours_Log!$D$5:$D$1004,T$21)+SUMIFS(Toggl_Import!$AI$10:$AI$509,Toggl_Import!$AF$10:$AF$509,"&gt;="&amp;$R26,Toggl_Import!$AF$10:$AF$509,"&lt;"&amp;$R26+Inputs!$C$18,Toggl_Import!$AH$10:$AH$509,T$21)</f>
        <v>0</v>
      </c>
      <c r="U26" s="36" t="n">
        <f aca="false">SUMIFS(Hours_Log!$E$5:$E$1004,Hours_Log!$A$5:$A$1004,"&gt;="&amp;$R26,Hours_Log!$A$5:$A$1004,"&lt;"&amp;$R26+Inputs!$C$18,Hours_Log!$D$5:$D$1004,U$21)+SUMIFS(Toggl_Import!$AI$10:$AI$509,Toggl_Import!$AF$10:$AF$509,"&gt;="&amp;$R26,Toggl_Import!$AF$10:$AF$509,"&lt;"&amp;$R26+Inputs!$C$18,Toggl_Import!$AH$10:$AH$509,U$21)</f>
        <v>0</v>
      </c>
      <c r="V26" s="36" t="n">
        <f aca="false">SUMIFS(Hours_Log!$E$5:$E$1004,Hours_Log!$A$5:$A$1004,"&gt;="&amp;$R26,Hours_Log!$A$5:$A$1004,"&lt;"&amp;$R26+Inputs!$C$18,Hours_Log!$D$5:$D$1004,V$21)+SUMIFS(Toggl_Import!$AI$10:$AI$509,Toggl_Import!$AF$10:$AF$509,"&gt;="&amp;$R26,Toggl_Import!$AF$10:$AF$509,"&lt;"&amp;$R26+Inputs!$C$18,Toggl_Import!$AH$10:$AH$509,V$21)</f>
        <v>0</v>
      </c>
      <c r="W26" s="36" t="n">
        <f aca="false">SUMIFS(Hours_Log!$E$5:$E$1004,Hours_Log!$A$5:$A$1004,"&gt;="&amp;$R26,Hours_Log!$A$5:$A$1004,"&lt;"&amp;$R26+Inputs!$C$18,Hours_Log!$D$5:$D$1004,W$21)+SUMIFS(Toggl_Import!$AI$10:$AI$509,Toggl_Import!$AF$10:$AF$509,"&gt;="&amp;$R26,Toggl_Import!$AF$10:$AF$509,"&lt;"&amp;$R26+Inputs!$C$18,Toggl_Import!$AH$10:$AH$509,W$21)</f>
        <v>0</v>
      </c>
      <c r="X26" s="36" t="n">
        <f aca="false">SUMIFS(Hours_Log!$E$5:$E$1004,Hours_Log!$A$5:$A$1004,"&gt;="&amp;$R26,Hours_Log!$A$5:$A$1004,"&lt;"&amp;$R26+Inputs!$C$18,Hours_Log!$D$5:$D$1004,X$21)+SUMIFS(Toggl_Import!$AI$10:$AI$509,Toggl_Import!$AF$10:$AF$509,"&gt;="&amp;$R26,Toggl_Import!$AF$10:$AF$509,"&lt;"&amp;$R26+Inputs!$C$18,Toggl_Import!$AH$10:$AH$509,X$21)</f>
        <v>0</v>
      </c>
      <c r="Y26" s="36" t="n">
        <f aca="false">SUMIFS(Hours_Log!$E$5:$E$1004,Hours_Log!$A$5:$A$1004,"&gt;="&amp;$R26,Hours_Log!$A$5:$A$1004,"&lt;"&amp;$R26+Inputs!$C$18,Hours_Log!$D$5:$D$1004,Y$21)+SUMIFS(Toggl_Import!$AI$10:$AI$509,Toggl_Import!$AF$10:$AF$509,"&gt;="&amp;$R26,Toggl_Import!$AF$10:$AF$509,"&lt;"&amp;$R26+Inputs!$C$18,Toggl_Import!$AH$10:$AH$509,Y$21)</f>
        <v>0</v>
      </c>
      <c r="Z26" s="38" t="n">
        <f aca="false">SUM(S26:Y26)</f>
        <v>0</v>
      </c>
      <c r="AA26" s="36" t="n">
        <f aca="false">SUMIFS(Hours_Log!$E$5:$E$1004,Hours_Log!$A$5:$A$1004,"&gt;="&amp;$R26,Hours_Log!$A$5:$A$1004,"&lt;"&amp;$R26+Inputs!$C$18,Hours_Log!$B$5:$B$1004,Inputs!$C$30&amp;"*")+SUMIFS(Toggl_Import!$AI$10:$AI$509,Toggl_Import!$AF$10:$AF$509,"&gt;="&amp;$R26,Toggl_Import!$AF$10:$AF$509,"&lt;"&amp;$R26+Inputs!$C$18,Toggl_Import!$AG$10:$AG$509,Inputs!$C$30&amp;"*")</f>
        <v>0</v>
      </c>
    </row>
    <row r="27" customFormat="false" ht="15" hidden="false" customHeight="false" outlineLevel="0" collapsed="false">
      <c r="A27" s="102"/>
      <c r="B27" s="103"/>
      <c r="C27" s="103"/>
      <c r="D27" s="103"/>
      <c r="E27" s="104"/>
      <c r="F27" s="103"/>
      <c r="Q27" s="30" t="n">
        <v>6</v>
      </c>
      <c r="R27" s="18" t="n">
        <f aca="false">R26+Inputs!$C$18</f>
        <v>46356</v>
      </c>
      <c r="S27" s="36" t="n">
        <f aca="false">SUMIFS(Hours_Log!$E$5:$E$1004,Hours_Log!$A$5:$A$1004,"&gt;="&amp;$R27,Hours_Log!$A$5:$A$1004,"&lt;"&amp;$R27+Inputs!$C$18,Hours_Log!$D$5:$D$1004,S$21)+SUMIFS(Toggl_Import!$AI$10:$AI$509,Toggl_Import!$AF$10:$AF$509,"&gt;="&amp;$R27,Toggl_Import!$AF$10:$AF$509,"&lt;"&amp;$R27+Inputs!$C$18,Toggl_Import!$AH$10:$AH$509,S$21)</f>
        <v>0</v>
      </c>
      <c r="T27" s="36" t="n">
        <f aca="false">SUMIFS(Hours_Log!$E$5:$E$1004,Hours_Log!$A$5:$A$1004,"&gt;="&amp;$R27,Hours_Log!$A$5:$A$1004,"&lt;"&amp;$R27+Inputs!$C$18,Hours_Log!$D$5:$D$1004,T$21)+SUMIFS(Toggl_Import!$AI$10:$AI$509,Toggl_Import!$AF$10:$AF$509,"&gt;="&amp;$R27,Toggl_Import!$AF$10:$AF$509,"&lt;"&amp;$R27+Inputs!$C$18,Toggl_Import!$AH$10:$AH$509,T$21)</f>
        <v>0</v>
      </c>
      <c r="U27" s="36" t="n">
        <f aca="false">SUMIFS(Hours_Log!$E$5:$E$1004,Hours_Log!$A$5:$A$1004,"&gt;="&amp;$R27,Hours_Log!$A$5:$A$1004,"&lt;"&amp;$R27+Inputs!$C$18,Hours_Log!$D$5:$D$1004,U$21)+SUMIFS(Toggl_Import!$AI$10:$AI$509,Toggl_Import!$AF$10:$AF$509,"&gt;="&amp;$R27,Toggl_Import!$AF$10:$AF$509,"&lt;"&amp;$R27+Inputs!$C$18,Toggl_Import!$AH$10:$AH$509,U$21)</f>
        <v>0</v>
      </c>
      <c r="V27" s="36" t="n">
        <f aca="false">SUMIFS(Hours_Log!$E$5:$E$1004,Hours_Log!$A$5:$A$1004,"&gt;="&amp;$R27,Hours_Log!$A$5:$A$1004,"&lt;"&amp;$R27+Inputs!$C$18,Hours_Log!$D$5:$D$1004,V$21)+SUMIFS(Toggl_Import!$AI$10:$AI$509,Toggl_Import!$AF$10:$AF$509,"&gt;="&amp;$R27,Toggl_Import!$AF$10:$AF$509,"&lt;"&amp;$R27+Inputs!$C$18,Toggl_Import!$AH$10:$AH$509,V$21)</f>
        <v>0</v>
      </c>
      <c r="W27" s="36" t="n">
        <f aca="false">SUMIFS(Hours_Log!$E$5:$E$1004,Hours_Log!$A$5:$A$1004,"&gt;="&amp;$R27,Hours_Log!$A$5:$A$1004,"&lt;"&amp;$R27+Inputs!$C$18,Hours_Log!$D$5:$D$1004,W$21)+SUMIFS(Toggl_Import!$AI$10:$AI$509,Toggl_Import!$AF$10:$AF$509,"&gt;="&amp;$R27,Toggl_Import!$AF$10:$AF$509,"&lt;"&amp;$R27+Inputs!$C$18,Toggl_Import!$AH$10:$AH$509,W$21)</f>
        <v>0</v>
      </c>
      <c r="X27" s="36" t="n">
        <f aca="false">SUMIFS(Hours_Log!$E$5:$E$1004,Hours_Log!$A$5:$A$1004,"&gt;="&amp;$R27,Hours_Log!$A$5:$A$1004,"&lt;"&amp;$R27+Inputs!$C$18,Hours_Log!$D$5:$D$1004,X$21)+SUMIFS(Toggl_Import!$AI$10:$AI$509,Toggl_Import!$AF$10:$AF$509,"&gt;="&amp;$R27,Toggl_Import!$AF$10:$AF$509,"&lt;"&amp;$R27+Inputs!$C$18,Toggl_Import!$AH$10:$AH$509,X$21)</f>
        <v>0</v>
      </c>
      <c r="Y27" s="36" t="n">
        <f aca="false">SUMIFS(Hours_Log!$E$5:$E$1004,Hours_Log!$A$5:$A$1004,"&gt;="&amp;$R27,Hours_Log!$A$5:$A$1004,"&lt;"&amp;$R27+Inputs!$C$18,Hours_Log!$D$5:$D$1004,Y$21)+SUMIFS(Toggl_Import!$AI$10:$AI$509,Toggl_Import!$AF$10:$AF$509,"&gt;="&amp;$R27,Toggl_Import!$AF$10:$AF$509,"&lt;"&amp;$R27+Inputs!$C$18,Toggl_Import!$AH$10:$AH$509,Y$21)</f>
        <v>0</v>
      </c>
      <c r="Z27" s="38" t="n">
        <f aca="false">SUM(S27:Y27)</f>
        <v>0</v>
      </c>
      <c r="AA27" s="36" t="n">
        <f aca="false">SUMIFS(Hours_Log!$E$5:$E$1004,Hours_Log!$A$5:$A$1004,"&gt;="&amp;$R27,Hours_Log!$A$5:$A$1004,"&lt;"&amp;$R27+Inputs!$C$18,Hours_Log!$B$5:$B$1004,Inputs!$C$30&amp;"*")+SUMIFS(Toggl_Import!$AI$10:$AI$509,Toggl_Import!$AF$10:$AF$509,"&gt;="&amp;$R27,Toggl_Import!$AF$10:$AF$509,"&lt;"&amp;$R27+Inputs!$C$18,Toggl_Import!$AG$10:$AG$509,Inputs!$C$30&amp;"*")</f>
        <v>0</v>
      </c>
    </row>
    <row r="28" customFormat="false" ht="15" hidden="false" customHeight="false" outlineLevel="0" collapsed="false">
      <c r="A28" s="102"/>
      <c r="B28" s="103"/>
      <c r="C28" s="103"/>
      <c r="D28" s="103"/>
      <c r="E28" s="104"/>
      <c r="F28" s="103"/>
      <c r="Q28" s="30" t="n">
        <v>7</v>
      </c>
      <c r="R28" s="18" t="n">
        <f aca="false">R27+Inputs!$C$18</f>
        <v>46363</v>
      </c>
      <c r="S28" s="36" t="n">
        <f aca="false">SUMIFS(Hours_Log!$E$5:$E$1004,Hours_Log!$A$5:$A$1004,"&gt;="&amp;$R28,Hours_Log!$A$5:$A$1004,"&lt;"&amp;$R28+Inputs!$C$18,Hours_Log!$D$5:$D$1004,S$21)+SUMIFS(Toggl_Import!$AI$10:$AI$509,Toggl_Import!$AF$10:$AF$509,"&gt;="&amp;$R28,Toggl_Import!$AF$10:$AF$509,"&lt;"&amp;$R28+Inputs!$C$18,Toggl_Import!$AH$10:$AH$509,S$21)</f>
        <v>0</v>
      </c>
      <c r="T28" s="36" t="n">
        <f aca="false">SUMIFS(Hours_Log!$E$5:$E$1004,Hours_Log!$A$5:$A$1004,"&gt;="&amp;$R28,Hours_Log!$A$5:$A$1004,"&lt;"&amp;$R28+Inputs!$C$18,Hours_Log!$D$5:$D$1004,T$21)+SUMIFS(Toggl_Import!$AI$10:$AI$509,Toggl_Import!$AF$10:$AF$509,"&gt;="&amp;$R28,Toggl_Import!$AF$10:$AF$509,"&lt;"&amp;$R28+Inputs!$C$18,Toggl_Import!$AH$10:$AH$509,T$21)</f>
        <v>0</v>
      </c>
      <c r="U28" s="36" t="n">
        <f aca="false">SUMIFS(Hours_Log!$E$5:$E$1004,Hours_Log!$A$5:$A$1004,"&gt;="&amp;$R28,Hours_Log!$A$5:$A$1004,"&lt;"&amp;$R28+Inputs!$C$18,Hours_Log!$D$5:$D$1004,U$21)+SUMIFS(Toggl_Import!$AI$10:$AI$509,Toggl_Import!$AF$10:$AF$509,"&gt;="&amp;$R28,Toggl_Import!$AF$10:$AF$509,"&lt;"&amp;$R28+Inputs!$C$18,Toggl_Import!$AH$10:$AH$509,U$21)</f>
        <v>0</v>
      </c>
      <c r="V28" s="36" t="n">
        <f aca="false">SUMIFS(Hours_Log!$E$5:$E$1004,Hours_Log!$A$5:$A$1004,"&gt;="&amp;$R28,Hours_Log!$A$5:$A$1004,"&lt;"&amp;$R28+Inputs!$C$18,Hours_Log!$D$5:$D$1004,V$21)+SUMIFS(Toggl_Import!$AI$10:$AI$509,Toggl_Import!$AF$10:$AF$509,"&gt;="&amp;$R28,Toggl_Import!$AF$10:$AF$509,"&lt;"&amp;$R28+Inputs!$C$18,Toggl_Import!$AH$10:$AH$509,V$21)</f>
        <v>0</v>
      </c>
      <c r="W28" s="36" t="n">
        <f aca="false">SUMIFS(Hours_Log!$E$5:$E$1004,Hours_Log!$A$5:$A$1004,"&gt;="&amp;$R28,Hours_Log!$A$5:$A$1004,"&lt;"&amp;$R28+Inputs!$C$18,Hours_Log!$D$5:$D$1004,W$21)+SUMIFS(Toggl_Import!$AI$10:$AI$509,Toggl_Import!$AF$10:$AF$509,"&gt;="&amp;$R28,Toggl_Import!$AF$10:$AF$509,"&lt;"&amp;$R28+Inputs!$C$18,Toggl_Import!$AH$10:$AH$509,W$21)</f>
        <v>0</v>
      </c>
      <c r="X28" s="36" t="n">
        <f aca="false">SUMIFS(Hours_Log!$E$5:$E$1004,Hours_Log!$A$5:$A$1004,"&gt;="&amp;$R28,Hours_Log!$A$5:$A$1004,"&lt;"&amp;$R28+Inputs!$C$18,Hours_Log!$D$5:$D$1004,X$21)+SUMIFS(Toggl_Import!$AI$10:$AI$509,Toggl_Import!$AF$10:$AF$509,"&gt;="&amp;$R28,Toggl_Import!$AF$10:$AF$509,"&lt;"&amp;$R28+Inputs!$C$18,Toggl_Import!$AH$10:$AH$509,X$21)</f>
        <v>0</v>
      </c>
      <c r="Y28" s="36" t="n">
        <f aca="false">SUMIFS(Hours_Log!$E$5:$E$1004,Hours_Log!$A$5:$A$1004,"&gt;="&amp;$R28,Hours_Log!$A$5:$A$1004,"&lt;"&amp;$R28+Inputs!$C$18,Hours_Log!$D$5:$D$1004,Y$21)+SUMIFS(Toggl_Import!$AI$10:$AI$509,Toggl_Import!$AF$10:$AF$509,"&gt;="&amp;$R28,Toggl_Import!$AF$10:$AF$509,"&lt;"&amp;$R28+Inputs!$C$18,Toggl_Import!$AH$10:$AH$509,Y$21)</f>
        <v>0</v>
      </c>
      <c r="Z28" s="38" t="n">
        <f aca="false">SUM(S28:Y28)</f>
        <v>0</v>
      </c>
      <c r="AA28" s="36" t="n">
        <f aca="false">SUMIFS(Hours_Log!$E$5:$E$1004,Hours_Log!$A$5:$A$1004,"&gt;="&amp;$R28,Hours_Log!$A$5:$A$1004,"&lt;"&amp;$R28+Inputs!$C$18,Hours_Log!$B$5:$B$1004,Inputs!$C$30&amp;"*")+SUMIFS(Toggl_Import!$AI$10:$AI$509,Toggl_Import!$AF$10:$AF$509,"&gt;="&amp;$R28,Toggl_Import!$AF$10:$AF$509,"&lt;"&amp;$R28+Inputs!$C$18,Toggl_Import!$AG$10:$AG$509,Inputs!$C$30&amp;"*")</f>
        <v>0</v>
      </c>
    </row>
    <row r="29" customFormat="false" ht="15" hidden="false" customHeight="false" outlineLevel="0" collapsed="false">
      <c r="A29" s="102"/>
      <c r="B29" s="103"/>
      <c r="C29" s="103"/>
      <c r="D29" s="103"/>
      <c r="E29" s="104"/>
      <c r="F29" s="103"/>
      <c r="Q29" s="30" t="n">
        <v>8</v>
      </c>
      <c r="R29" s="18" t="n">
        <f aca="false">R28+Inputs!$C$18</f>
        <v>46370</v>
      </c>
      <c r="S29" s="36" t="n">
        <f aca="false">SUMIFS(Hours_Log!$E$5:$E$1004,Hours_Log!$A$5:$A$1004,"&gt;="&amp;$R29,Hours_Log!$A$5:$A$1004,"&lt;"&amp;$R29+Inputs!$C$18,Hours_Log!$D$5:$D$1004,S$21)+SUMIFS(Toggl_Import!$AI$10:$AI$509,Toggl_Import!$AF$10:$AF$509,"&gt;="&amp;$R29,Toggl_Import!$AF$10:$AF$509,"&lt;"&amp;$R29+Inputs!$C$18,Toggl_Import!$AH$10:$AH$509,S$21)</f>
        <v>0</v>
      </c>
      <c r="T29" s="36" t="n">
        <f aca="false">SUMIFS(Hours_Log!$E$5:$E$1004,Hours_Log!$A$5:$A$1004,"&gt;="&amp;$R29,Hours_Log!$A$5:$A$1004,"&lt;"&amp;$R29+Inputs!$C$18,Hours_Log!$D$5:$D$1004,T$21)+SUMIFS(Toggl_Import!$AI$10:$AI$509,Toggl_Import!$AF$10:$AF$509,"&gt;="&amp;$R29,Toggl_Import!$AF$10:$AF$509,"&lt;"&amp;$R29+Inputs!$C$18,Toggl_Import!$AH$10:$AH$509,T$21)</f>
        <v>0</v>
      </c>
      <c r="U29" s="36" t="n">
        <f aca="false">SUMIFS(Hours_Log!$E$5:$E$1004,Hours_Log!$A$5:$A$1004,"&gt;="&amp;$R29,Hours_Log!$A$5:$A$1004,"&lt;"&amp;$R29+Inputs!$C$18,Hours_Log!$D$5:$D$1004,U$21)+SUMIFS(Toggl_Import!$AI$10:$AI$509,Toggl_Import!$AF$10:$AF$509,"&gt;="&amp;$R29,Toggl_Import!$AF$10:$AF$509,"&lt;"&amp;$R29+Inputs!$C$18,Toggl_Import!$AH$10:$AH$509,U$21)</f>
        <v>0</v>
      </c>
      <c r="V29" s="36" t="n">
        <f aca="false">SUMIFS(Hours_Log!$E$5:$E$1004,Hours_Log!$A$5:$A$1004,"&gt;="&amp;$R29,Hours_Log!$A$5:$A$1004,"&lt;"&amp;$R29+Inputs!$C$18,Hours_Log!$D$5:$D$1004,V$21)+SUMIFS(Toggl_Import!$AI$10:$AI$509,Toggl_Import!$AF$10:$AF$509,"&gt;="&amp;$R29,Toggl_Import!$AF$10:$AF$509,"&lt;"&amp;$R29+Inputs!$C$18,Toggl_Import!$AH$10:$AH$509,V$21)</f>
        <v>0</v>
      </c>
      <c r="W29" s="36" t="n">
        <f aca="false">SUMIFS(Hours_Log!$E$5:$E$1004,Hours_Log!$A$5:$A$1004,"&gt;="&amp;$R29,Hours_Log!$A$5:$A$1004,"&lt;"&amp;$R29+Inputs!$C$18,Hours_Log!$D$5:$D$1004,W$21)+SUMIFS(Toggl_Import!$AI$10:$AI$509,Toggl_Import!$AF$10:$AF$509,"&gt;="&amp;$R29,Toggl_Import!$AF$10:$AF$509,"&lt;"&amp;$R29+Inputs!$C$18,Toggl_Import!$AH$10:$AH$509,W$21)</f>
        <v>0</v>
      </c>
      <c r="X29" s="36" t="n">
        <f aca="false">SUMIFS(Hours_Log!$E$5:$E$1004,Hours_Log!$A$5:$A$1004,"&gt;="&amp;$R29,Hours_Log!$A$5:$A$1004,"&lt;"&amp;$R29+Inputs!$C$18,Hours_Log!$D$5:$D$1004,X$21)+SUMIFS(Toggl_Import!$AI$10:$AI$509,Toggl_Import!$AF$10:$AF$509,"&gt;="&amp;$R29,Toggl_Import!$AF$10:$AF$509,"&lt;"&amp;$R29+Inputs!$C$18,Toggl_Import!$AH$10:$AH$509,X$21)</f>
        <v>0</v>
      </c>
      <c r="Y29" s="36" t="n">
        <f aca="false">SUMIFS(Hours_Log!$E$5:$E$1004,Hours_Log!$A$5:$A$1004,"&gt;="&amp;$R29,Hours_Log!$A$5:$A$1004,"&lt;"&amp;$R29+Inputs!$C$18,Hours_Log!$D$5:$D$1004,Y$21)+SUMIFS(Toggl_Import!$AI$10:$AI$509,Toggl_Import!$AF$10:$AF$509,"&gt;="&amp;$R29,Toggl_Import!$AF$10:$AF$509,"&lt;"&amp;$R29+Inputs!$C$18,Toggl_Import!$AH$10:$AH$509,Y$21)</f>
        <v>0</v>
      </c>
      <c r="Z29" s="38" t="n">
        <f aca="false">SUM(S29:Y29)</f>
        <v>0</v>
      </c>
      <c r="AA29" s="36" t="n">
        <f aca="false">SUMIFS(Hours_Log!$E$5:$E$1004,Hours_Log!$A$5:$A$1004,"&gt;="&amp;$R29,Hours_Log!$A$5:$A$1004,"&lt;"&amp;$R29+Inputs!$C$18,Hours_Log!$B$5:$B$1004,Inputs!$C$30&amp;"*")+SUMIFS(Toggl_Import!$AI$10:$AI$509,Toggl_Import!$AF$10:$AF$509,"&gt;="&amp;$R29,Toggl_Import!$AF$10:$AF$509,"&lt;"&amp;$R29+Inputs!$C$18,Toggl_Import!$AG$10:$AG$509,Inputs!$C$30&amp;"*")</f>
        <v>0</v>
      </c>
    </row>
    <row r="30" customFormat="false" ht="15" hidden="false" customHeight="false" outlineLevel="0" collapsed="false">
      <c r="A30" s="102"/>
      <c r="B30" s="103"/>
      <c r="C30" s="103"/>
      <c r="D30" s="103"/>
      <c r="E30" s="104"/>
      <c r="F30" s="103"/>
      <c r="Q30" s="30" t="n">
        <v>9</v>
      </c>
      <c r="R30" s="18" t="n">
        <f aca="false">R29+Inputs!$C$18</f>
        <v>46377</v>
      </c>
      <c r="S30" s="36" t="n">
        <f aca="false">SUMIFS(Hours_Log!$E$5:$E$1004,Hours_Log!$A$5:$A$1004,"&gt;="&amp;$R30,Hours_Log!$A$5:$A$1004,"&lt;"&amp;$R30+Inputs!$C$18,Hours_Log!$D$5:$D$1004,S$21)+SUMIFS(Toggl_Import!$AI$10:$AI$509,Toggl_Import!$AF$10:$AF$509,"&gt;="&amp;$R30,Toggl_Import!$AF$10:$AF$509,"&lt;"&amp;$R30+Inputs!$C$18,Toggl_Import!$AH$10:$AH$509,S$21)</f>
        <v>0</v>
      </c>
      <c r="T30" s="36" t="n">
        <f aca="false">SUMIFS(Hours_Log!$E$5:$E$1004,Hours_Log!$A$5:$A$1004,"&gt;="&amp;$R30,Hours_Log!$A$5:$A$1004,"&lt;"&amp;$R30+Inputs!$C$18,Hours_Log!$D$5:$D$1004,T$21)+SUMIFS(Toggl_Import!$AI$10:$AI$509,Toggl_Import!$AF$10:$AF$509,"&gt;="&amp;$R30,Toggl_Import!$AF$10:$AF$509,"&lt;"&amp;$R30+Inputs!$C$18,Toggl_Import!$AH$10:$AH$509,T$21)</f>
        <v>0</v>
      </c>
      <c r="U30" s="36" t="n">
        <f aca="false">SUMIFS(Hours_Log!$E$5:$E$1004,Hours_Log!$A$5:$A$1004,"&gt;="&amp;$R30,Hours_Log!$A$5:$A$1004,"&lt;"&amp;$R30+Inputs!$C$18,Hours_Log!$D$5:$D$1004,U$21)+SUMIFS(Toggl_Import!$AI$10:$AI$509,Toggl_Import!$AF$10:$AF$509,"&gt;="&amp;$R30,Toggl_Import!$AF$10:$AF$509,"&lt;"&amp;$R30+Inputs!$C$18,Toggl_Import!$AH$10:$AH$509,U$21)</f>
        <v>0</v>
      </c>
      <c r="V30" s="36" t="n">
        <f aca="false">SUMIFS(Hours_Log!$E$5:$E$1004,Hours_Log!$A$5:$A$1004,"&gt;="&amp;$R30,Hours_Log!$A$5:$A$1004,"&lt;"&amp;$R30+Inputs!$C$18,Hours_Log!$D$5:$D$1004,V$21)+SUMIFS(Toggl_Import!$AI$10:$AI$509,Toggl_Import!$AF$10:$AF$509,"&gt;="&amp;$R30,Toggl_Import!$AF$10:$AF$509,"&lt;"&amp;$R30+Inputs!$C$18,Toggl_Import!$AH$10:$AH$509,V$21)</f>
        <v>0</v>
      </c>
      <c r="W30" s="36" t="n">
        <f aca="false">SUMIFS(Hours_Log!$E$5:$E$1004,Hours_Log!$A$5:$A$1004,"&gt;="&amp;$R30,Hours_Log!$A$5:$A$1004,"&lt;"&amp;$R30+Inputs!$C$18,Hours_Log!$D$5:$D$1004,W$21)+SUMIFS(Toggl_Import!$AI$10:$AI$509,Toggl_Import!$AF$10:$AF$509,"&gt;="&amp;$R30,Toggl_Import!$AF$10:$AF$509,"&lt;"&amp;$R30+Inputs!$C$18,Toggl_Import!$AH$10:$AH$509,W$21)</f>
        <v>0</v>
      </c>
      <c r="X30" s="36" t="n">
        <f aca="false">SUMIFS(Hours_Log!$E$5:$E$1004,Hours_Log!$A$5:$A$1004,"&gt;="&amp;$R30,Hours_Log!$A$5:$A$1004,"&lt;"&amp;$R30+Inputs!$C$18,Hours_Log!$D$5:$D$1004,X$21)+SUMIFS(Toggl_Import!$AI$10:$AI$509,Toggl_Import!$AF$10:$AF$509,"&gt;="&amp;$R30,Toggl_Import!$AF$10:$AF$509,"&lt;"&amp;$R30+Inputs!$C$18,Toggl_Import!$AH$10:$AH$509,X$21)</f>
        <v>0</v>
      </c>
      <c r="Y30" s="36" t="n">
        <f aca="false">SUMIFS(Hours_Log!$E$5:$E$1004,Hours_Log!$A$5:$A$1004,"&gt;="&amp;$R30,Hours_Log!$A$5:$A$1004,"&lt;"&amp;$R30+Inputs!$C$18,Hours_Log!$D$5:$D$1004,Y$21)+SUMIFS(Toggl_Import!$AI$10:$AI$509,Toggl_Import!$AF$10:$AF$509,"&gt;="&amp;$R30,Toggl_Import!$AF$10:$AF$509,"&lt;"&amp;$R30+Inputs!$C$18,Toggl_Import!$AH$10:$AH$509,Y$21)</f>
        <v>0</v>
      </c>
      <c r="Z30" s="38" t="n">
        <f aca="false">SUM(S30:Y30)</f>
        <v>0</v>
      </c>
      <c r="AA30" s="36" t="n">
        <f aca="false">SUMIFS(Hours_Log!$E$5:$E$1004,Hours_Log!$A$5:$A$1004,"&gt;="&amp;$R30,Hours_Log!$A$5:$A$1004,"&lt;"&amp;$R30+Inputs!$C$18,Hours_Log!$B$5:$B$1004,Inputs!$C$30&amp;"*")+SUMIFS(Toggl_Import!$AI$10:$AI$509,Toggl_Import!$AF$10:$AF$509,"&gt;="&amp;$R30,Toggl_Import!$AF$10:$AF$509,"&lt;"&amp;$R30+Inputs!$C$18,Toggl_Import!$AG$10:$AG$509,Inputs!$C$30&amp;"*")</f>
        <v>0</v>
      </c>
    </row>
    <row r="31" customFormat="false" ht="15" hidden="false" customHeight="false" outlineLevel="0" collapsed="false">
      <c r="A31" s="102"/>
      <c r="B31" s="103"/>
      <c r="C31" s="103"/>
      <c r="D31" s="103"/>
      <c r="E31" s="104"/>
      <c r="F31" s="103"/>
      <c r="Q31" s="30" t="n">
        <v>10</v>
      </c>
      <c r="R31" s="18" t="n">
        <f aca="false">R30+Inputs!$C$18</f>
        <v>46384</v>
      </c>
      <c r="S31" s="36" t="n">
        <f aca="false">SUMIFS(Hours_Log!$E$5:$E$1004,Hours_Log!$A$5:$A$1004,"&gt;="&amp;$R31,Hours_Log!$A$5:$A$1004,"&lt;"&amp;$R31+Inputs!$C$18,Hours_Log!$D$5:$D$1004,S$21)+SUMIFS(Toggl_Import!$AI$10:$AI$509,Toggl_Import!$AF$10:$AF$509,"&gt;="&amp;$R31,Toggl_Import!$AF$10:$AF$509,"&lt;"&amp;$R31+Inputs!$C$18,Toggl_Import!$AH$10:$AH$509,S$21)</f>
        <v>0</v>
      </c>
      <c r="T31" s="36" t="n">
        <f aca="false">SUMIFS(Hours_Log!$E$5:$E$1004,Hours_Log!$A$5:$A$1004,"&gt;="&amp;$R31,Hours_Log!$A$5:$A$1004,"&lt;"&amp;$R31+Inputs!$C$18,Hours_Log!$D$5:$D$1004,T$21)+SUMIFS(Toggl_Import!$AI$10:$AI$509,Toggl_Import!$AF$10:$AF$509,"&gt;="&amp;$R31,Toggl_Import!$AF$10:$AF$509,"&lt;"&amp;$R31+Inputs!$C$18,Toggl_Import!$AH$10:$AH$509,T$21)</f>
        <v>0</v>
      </c>
      <c r="U31" s="36" t="n">
        <f aca="false">SUMIFS(Hours_Log!$E$5:$E$1004,Hours_Log!$A$5:$A$1004,"&gt;="&amp;$R31,Hours_Log!$A$5:$A$1004,"&lt;"&amp;$R31+Inputs!$C$18,Hours_Log!$D$5:$D$1004,U$21)+SUMIFS(Toggl_Import!$AI$10:$AI$509,Toggl_Import!$AF$10:$AF$509,"&gt;="&amp;$R31,Toggl_Import!$AF$10:$AF$509,"&lt;"&amp;$R31+Inputs!$C$18,Toggl_Import!$AH$10:$AH$509,U$21)</f>
        <v>0</v>
      </c>
      <c r="V31" s="36" t="n">
        <f aca="false">SUMIFS(Hours_Log!$E$5:$E$1004,Hours_Log!$A$5:$A$1004,"&gt;="&amp;$R31,Hours_Log!$A$5:$A$1004,"&lt;"&amp;$R31+Inputs!$C$18,Hours_Log!$D$5:$D$1004,V$21)+SUMIFS(Toggl_Import!$AI$10:$AI$509,Toggl_Import!$AF$10:$AF$509,"&gt;="&amp;$R31,Toggl_Import!$AF$10:$AF$509,"&lt;"&amp;$R31+Inputs!$C$18,Toggl_Import!$AH$10:$AH$509,V$21)</f>
        <v>0</v>
      </c>
      <c r="W31" s="36" t="n">
        <f aca="false">SUMIFS(Hours_Log!$E$5:$E$1004,Hours_Log!$A$5:$A$1004,"&gt;="&amp;$R31,Hours_Log!$A$5:$A$1004,"&lt;"&amp;$R31+Inputs!$C$18,Hours_Log!$D$5:$D$1004,W$21)+SUMIFS(Toggl_Import!$AI$10:$AI$509,Toggl_Import!$AF$10:$AF$509,"&gt;="&amp;$R31,Toggl_Import!$AF$10:$AF$509,"&lt;"&amp;$R31+Inputs!$C$18,Toggl_Import!$AH$10:$AH$509,W$21)</f>
        <v>0</v>
      </c>
      <c r="X31" s="36" t="n">
        <f aca="false">SUMIFS(Hours_Log!$E$5:$E$1004,Hours_Log!$A$5:$A$1004,"&gt;="&amp;$R31,Hours_Log!$A$5:$A$1004,"&lt;"&amp;$R31+Inputs!$C$18,Hours_Log!$D$5:$D$1004,X$21)+SUMIFS(Toggl_Import!$AI$10:$AI$509,Toggl_Import!$AF$10:$AF$509,"&gt;="&amp;$R31,Toggl_Import!$AF$10:$AF$509,"&lt;"&amp;$R31+Inputs!$C$18,Toggl_Import!$AH$10:$AH$509,X$21)</f>
        <v>0</v>
      </c>
      <c r="Y31" s="36" t="n">
        <f aca="false">SUMIFS(Hours_Log!$E$5:$E$1004,Hours_Log!$A$5:$A$1004,"&gt;="&amp;$R31,Hours_Log!$A$5:$A$1004,"&lt;"&amp;$R31+Inputs!$C$18,Hours_Log!$D$5:$D$1004,Y$21)+SUMIFS(Toggl_Import!$AI$10:$AI$509,Toggl_Import!$AF$10:$AF$509,"&gt;="&amp;$R31,Toggl_Import!$AF$10:$AF$509,"&lt;"&amp;$R31+Inputs!$C$18,Toggl_Import!$AH$10:$AH$509,Y$21)</f>
        <v>0</v>
      </c>
      <c r="Z31" s="38" t="n">
        <f aca="false">SUM(S31:Y31)</f>
        <v>0</v>
      </c>
      <c r="AA31" s="36" t="n">
        <f aca="false">SUMIFS(Hours_Log!$E$5:$E$1004,Hours_Log!$A$5:$A$1004,"&gt;="&amp;$R31,Hours_Log!$A$5:$A$1004,"&lt;"&amp;$R31+Inputs!$C$18,Hours_Log!$B$5:$B$1004,Inputs!$C$30&amp;"*")+SUMIFS(Toggl_Import!$AI$10:$AI$509,Toggl_Import!$AF$10:$AF$509,"&gt;="&amp;$R31,Toggl_Import!$AF$10:$AF$509,"&lt;"&amp;$R31+Inputs!$C$18,Toggl_Import!$AG$10:$AG$509,Inputs!$C$30&amp;"*")</f>
        <v>0</v>
      </c>
    </row>
    <row r="32" customFormat="false" ht="15" hidden="false" customHeight="false" outlineLevel="0" collapsed="false">
      <c r="A32" s="102"/>
      <c r="B32" s="103"/>
      <c r="C32" s="103"/>
      <c r="D32" s="103"/>
      <c r="E32" s="104"/>
      <c r="F32" s="103"/>
      <c r="Q32" s="30" t="n">
        <v>11</v>
      </c>
      <c r="R32" s="18" t="n">
        <f aca="false">R31+Inputs!$C$18</f>
        <v>46391</v>
      </c>
      <c r="S32" s="36" t="n">
        <f aca="false">SUMIFS(Hours_Log!$E$5:$E$1004,Hours_Log!$A$5:$A$1004,"&gt;="&amp;$R32,Hours_Log!$A$5:$A$1004,"&lt;"&amp;$R32+Inputs!$C$18,Hours_Log!$D$5:$D$1004,S$21)+SUMIFS(Toggl_Import!$AI$10:$AI$509,Toggl_Import!$AF$10:$AF$509,"&gt;="&amp;$R32,Toggl_Import!$AF$10:$AF$509,"&lt;"&amp;$R32+Inputs!$C$18,Toggl_Import!$AH$10:$AH$509,S$21)</f>
        <v>0</v>
      </c>
      <c r="T32" s="36" t="n">
        <f aca="false">SUMIFS(Hours_Log!$E$5:$E$1004,Hours_Log!$A$5:$A$1004,"&gt;="&amp;$R32,Hours_Log!$A$5:$A$1004,"&lt;"&amp;$R32+Inputs!$C$18,Hours_Log!$D$5:$D$1004,T$21)+SUMIFS(Toggl_Import!$AI$10:$AI$509,Toggl_Import!$AF$10:$AF$509,"&gt;="&amp;$R32,Toggl_Import!$AF$10:$AF$509,"&lt;"&amp;$R32+Inputs!$C$18,Toggl_Import!$AH$10:$AH$509,T$21)</f>
        <v>0</v>
      </c>
      <c r="U32" s="36" t="n">
        <f aca="false">SUMIFS(Hours_Log!$E$5:$E$1004,Hours_Log!$A$5:$A$1004,"&gt;="&amp;$R32,Hours_Log!$A$5:$A$1004,"&lt;"&amp;$R32+Inputs!$C$18,Hours_Log!$D$5:$D$1004,U$21)+SUMIFS(Toggl_Import!$AI$10:$AI$509,Toggl_Import!$AF$10:$AF$509,"&gt;="&amp;$R32,Toggl_Import!$AF$10:$AF$509,"&lt;"&amp;$R32+Inputs!$C$18,Toggl_Import!$AH$10:$AH$509,U$21)</f>
        <v>0</v>
      </c>
      <c r="V32" s="36" t="n">
        <f aca="false">SUMIFS(Hours_Log!$E$5:$E$1004,Hours_Log!$A$5:$A$1004,"&gt;="&amp;$R32,Hours_Log!$A$5:$A$1004,"&lt;"&amp;$R32+Inputs!$C$18,Hours_Log!$D$5:$D$1004,V$21)+SUMIFS(Toggl_Import!$AI$10:$AI$509,Toggl_Import!$AF$10:$AF$509,"&gt;="&amp;$R32,Toggl_Import!$AF$10:$AF$509,"&lt;"&amp;$R32+Inputs!$C$18,Toggl_Import!$AH$10:$AH$509,V$21)</f>
        <v>0</v>
      </c>
      <c r="W32" s="36" t="n">
        <f aca="false">SUMIFS(Hours_Log!$E$5:$E$1004,Hours_Log!$A$5:$A$1004,"&gt;="&amp;$R32,Hours_Log!$A$5:$A$1004,"&lt;"&amp;$R32+Inputs!$C$18,Hours_Log!$D$5:$D$1004,W$21)+SUMIFS(Toggl_Import!$AI$10:$AI$509,Toggl_Import!$AF$10:$AF$509,"&gt;="&amp;$R32,Toggl_Import!$AF$10:$AF$509,"&lt;"&amp;$R32+Inputs!$C$18,Toggl_Import!$AH$10:$AH$509,W$21)</f>
        <v>0</v>
      </c>
      <c r="X32" s="36" t="n">
        <f aca="false">SUMIFS(Hours_Log!$E$5:$E$1004,Hours_Log!$A$5:$A$1004,"&gt;="&amp;$R32,Hours_Log!$A$5:$A$1004,"&lt;"&amp;$R32+Inputs!$C$18,Hours_Log!$D$5:$D$1004,X$21)+SUMIFS(Toggl_Import!$AI$10:$AI$509,Toggl_Import!$AF$10:$AF$509,"&gt;="&amp;$R32,Toggl_Import!$AF$10:$AF$509,"&lt;"&amp;$R32+Inputs!$C$18,Toggl_Import!$AH$10:$AH$509,X$21)</f>
        <v>0</v>
      </c>
      <c r="Y32" s="36" t="n">
        <f aca="false">SUMIFS(Hours_Log!$E$5:$E$1004,Hours_Log!$A$5:$A$1004,"&gt;="&amp;$R32,Hours_Log!$A$5:$A$1004,"&lt;"&amp;$R32+Inputs!$C$18,Hours_Log!$D$5:$D$1004,Y$21)+SUMIFS(Toggl_Import!$AI$10:$AI$509,Toggl_Import!$AF$10:$AF$509,"&gt;="&amp;$R32,Toggl_Import!$AF$10:$AF$509,"&lt;"&amp;$R32+Inputs!$C$18,Toggl_Import!$AH$10:$AH$509,Y$21)</f>
        <v>0</v>
      </c>
      <c r="Z32" s="38" t="n">
        <f aca="false">SUM(S32:Y32)</f>
        <v>0</v>
      </c>
      <c r="AA32" s="36" t="n">
        <f aca="false">SUMIFS(Hours_Log!$E$5:$E$1004,Hours_Log!$A$5:$A$1004,"&gt;="&amp;$R32,Hours_Log!$A$5:$A$1004,"&lt;"&amp;$R32+Inputs!$C$18,Hours_Log!$B$5:$B$1004,Inputs!$C$30&amp;"*")+SUMIFS(Toggl_Import!$AI$10:$AI$509,Toggl_Import!$AF$10:$AF$509,"&gt;="&amp;$R32,Toggl_Import!$AF$10:$AF$509,"&lt;"&amp;$R32+Inputs!$C$18,Toggl_Import!$AG$10:$AG$509,Inputs!$C$30&amp;"*")</f>
        <v>0</v>
      </c>
    </row>
    <row r="33" customFormat="false" ht="15" hidden="false" customHeight="false" outlineLevel="0" collapsed="false">
      <c r="A33" s="102"/>
      <c r="B33" s="103"/>
      <c r="C33" s="103"/>
      <c r="D33" s="103"/>
      <c r="E33" s="104"/>
      <c r="F33" s="103"/>
      <c r="Q33" s="30" t="n">
        <v>12</v>
      </c>
      <c r="R33" s="18" t="n">
        <f aca="false">R32+Inputs!$C$18</f>
        <v>46398</v>
      </c>
      <c r="S33" s="36" t="n">
        <f aca="false">SUMIFS(Hours_Log!$E$5:$E$1004,Hours_Log!$A$5:$A$1004,"&gt;="&amp;$R33,Hours_Log!$A$5:$A$1004,"&lt;"&amp;$R33+Inputs!$C$18,Hours_Log!$D$5:$D$1004,S$21)+SUMIFS(Toggl_Import!$AI$10:$AI$509,Toggl_Import!$AF$10:$AF$509,"&gt;="&amp;$R33,Toggl_Import!$AF$10:$AF$509,"&lt;"&amp;$R33+Inputs!$C$18,Toggl_Import!$AH$10:$AH$509,S$21)</f>
        <v>0</v>
      </c>
      <c r="T33" s="36" t="n">
        <f aca="false">SUMIFS(Hours_Log!$E$5:$E$1004,Hours_Log!$A$5:$A$1004,"&gt;="&amp;$R33,Hours_Log!$A$5:$A$1004,"&lt;"&amp;$R33+Inputs!$C$18,Hours_Log!$D$5:$D$1004,T$21)+SUMIFS(Toggl_Import!$AI$10:$AI$509,Toggl_Import!$AF$10:$AF$509,"&gt;="&amp;$R33,Toggl_Import!$AF$10:$AF$509,"&lt;"&amp;$R33+Inputs!$C$18,Toggl_Import!$AH$10:$AH$509,T$21)</f>
        <v>0</v>
      </c>
      <c r="U33" s="36" t="n">
        <f aca="false">SUMIFS(Hours_Log!$E$5:$E$1004,Hours_Log!$A$5:$A$1004,"&gt;="&amp;$R33,Hours_Log!$A$5:$A$1004,"&lt;"&amp;$R33+Inputs!$C$18,Hours_Log!$D$5:$D$1004,U$21)+SUMIFS(Toggl_Import!$AI$10:$AI$509,Toggl_Import!$AF$10:$AF$509,"&gt;="&amp;$R33,Toggl_Import!$AF$10:$AF$509,"&lt;"&amp;$R33+Inputs!$C$18,Toggl_Import!$AH$10:$AH$509,U$21)</f>
        <v>0</v>
      </c>
      <c r="V33" s="36" t="n">
        <f aca="false">SUMIFS(Hours_Log!$E$5:$E$1004,Hours_Log!$A$5:$A$1004,"&gt;="&amp;$R33,Hours_Log!$A$5:$A$1004,"&lt;"&amp;$R33+Inputs!$C$18,Hours_Log!$D$5:$D$1004,V$21)+SUMIFS(Toggl_Import!$AI$10:$AI$509,Toggl_Import!$AF$10:$AF$509,"&gt;="&amp;$R33,Toggl_Import!$AF$10:$AF$509,"&lt;"&amp;$R33+Inputs!$C$18,Toggl_Import!$AH$10:$AH$509,V$21)</f>
        <v>0</v>
      </c>
      <c r="W33" s="36" t="n">
        <f aca="false">SUMIFS(Hours_Log!$E$5:$E$1004,Hours_Log!$A$5:$A$1004,"&gt;="&amp;$R33,Hours_Log!$A$5:$A$1004,"&lt;"&amp;$R33+Inputs!$C$18,Hours_Log!$D$5:$D$1004,W$21)+SUMIFS(Toggl_Import!$AI$10:$AI$509,Toggl_Import!$AF$10:$AF$509,"&gt;="&amp;$R33,Toggl_Import!$AF$10:$AF$509,"&lt;"&amp;$R33+Inputs!$C$18,Toggl_Import!$AH$10:$AH$509,W$21)</f>
        <v>0</v>
      </c>
      <c r="X33" s="36" t="n">
        <f aca="false">SUMIFS(Hours_Log!$E$5:$E$1004,Hours_Log!$A$5:$A$1004,"&gt;="&amp;$R33,Hours_Log!$A$5:$A$1004,"&lt;"&amp;$R33+Inputs!$C$18,Hours_Log!$D$5:$D$1004,X$21)+SUMIFS(Toggl_Import!$AI$10:$AI$509,Toggl_Import!$AF$10:$AF$509,"&gt;="&amp;$R33,Toggl_Import!$AF$10:$AF$509,"&lt;"&amp;$R33+Inputs!$C$18,Toggl_Import!$AH$10:$AH$509,X$21)</f>
        <v>0</v>
      </c>
      <c r="Y33" s="36" t="n">
        <f aca="false">SUMIFS(Hours_Log!$E$5:$E$1004,Hours_Log!$A$5:$A$1004,"&gt;="&amp;$R33,Hours_Log!$A$5:$A$1004,"&lt;"&amp;$R33+Inputs!$C$18,Hours_Log!$D$5:$D$1004,Y$21)+SUMIFS(Toggl_Import!$AI$10:$AI$509,Toggl_Import!$AF$10:$AF$509,"&gt;="&amp;$R33,Toggl_Import!$AF$10:$AF$509,"&lt;"&amp;$R33+Inputs!$C$18,Toggl_Import!$AH$10:$AH$509,Y$21)</f>
        <v>0</v>
      </c>
      <c r="Z33" s="38" t="n">
        <f aca="false">SUM(S33:Y33)</f>
        <v>0</v>
      </c>
      <c r="AA33" s="36" t="n">
        <f aca="false">SUMIFS(Hours_Log!$E$5:$E$1004,Hours_Log!$A$5:$A$1004,"&gt;="&amp;$R33,Hours_Log!$A$5:$A$1004,"&lt;"&amp;$R33+Inputs!$C$18,Hours_Log!$B$5:$B$1004,Inputs!$C$30&amp;"*")+SUMIFS(Toggl_Import!$AI$10:$AI$509,Toggl_Import!$AF$10:$AF$509,"&gt;="&amp;$R33,Toggl_Import!$AF$10:$AF$509,"&lt;"&amp;$R33+Inputs!$C$18,Toggl_Import!$AG$10:$AG$509,Inputs!$C$30&amp;"*")</f>
        <v>0</v>
      </c>
    </row>
    <row r="34" customFormat="false" ht="15" hidden="false" customHeight="false" outlineLevel="0" collapsed="false">
      <c r="A34" s="102"/>
      <c r="B34" s="103"/>
      <c r="C34" s="103"/>
      <c r="D34" s="103"/>
      <c r="E34" s="104"/>
      <c r="F34" s="103"/>
      <c r="Q34" s="30" t="n">
        <v>13</v>
      </c>
      <c r="R34" s="18" t="n">
        <f aca="false">R33+Inputs!$C$18</f>
        <v>46405</v>
      </c>
      <c r="S34" s="36" t="n">
        <f aca="false">SUMIFS(Hours_Log!$E$5:$E$1004,Hours_Log!$A$5:$A$1004,"&gt;="&amp;$R34,Hours_Log!$A$5:$A$1004,"&lt;"&amp;$R34+Inputs!$C$18,Hours_Log!$D$5:$D$1004,S$21)+SUMIFS(Toggl_Import!$AI$10:$AI$509,Toggl_Import!$AF$10:$AF$509,"&gt;="&amp;$R34,Toggl_Import!$AF$10:$AF$509,"&lt;"&amp;$R34+Inputs!$C$18,Toggl_Import!$AH$10:$AH$509,S$21)</f>
        <v>0</v>
      </c>
      <c r="T34" s="36" t="n">
        <f aca="false">SUMIFS(Hours_Log!$E$5:$E$1004,Hours_Log!$A$5:$A$1004,"&gt;="&amp;$R34,Hours_Log!$A$5:$A$1004,"&lt;"&amp;$R34+Inputs!$C$18,Hours_Log!$D$5:$D$1004,T$21)+SUMIFS(Toggl_Import!$AI$10:$AI$509,Toggl_Import!$AF$10:$AF$509,"&gt;="&amp;$R34,Toggl_Import!$AF$10:$AF$509,"&lt;"&amp;$R34+Inputs!$C$18,Toggl_Import!$AH$10:$AH$509,T$21)</f>
        <v>0</v>
      </c>
      <c r="U34" s="36" t="n">
        <f aca="false">SUMIFS(Hours_Log!$E$5:$E$1004,Hours_Log!$A$5:$A$1004,"&gt;="&amp;$R34,Hours_Log!$A$5:$A$1004,"&lt;"&amp;$R34+Inputs!$C$18,Hours_Log!$D$5:$D$1004,U$21)+SUMIFS(Toggl_Import!$AI$10:$AI$509,Toggl_Import!$AF$10:$AF$509,"&gt;="&amp;$R34,Toggl_Import!$AF$10:$AF$509,"&lt;"&amp;$R34+Inputs!$C$18,Toggl_Import!$AH$10:$AH$509,U$21)</f>
        <v>0</v>
      </c>
      <c r="V34" s="36" t="n">
        <f aca="false">SUMIFS(Hours_Log!$E$5:$E$1004,Hours_Log!$A$5:$A$1004,"&gt;="&amp;$R34,Hours_Log!$A$5:$A$1004,"&lt;"&amp;$R34+Inputs!$C$18,Hours_Log!$D$5:$D$1004,V$21)+SUMIFS(Toggl_Import!$AI$10:$AI$509,Toggl_Import!$AF$10:$AF$509,"&gt;="&amp;$R34,Toggl_Import!$AF$10:$AF$509,"&lt;"&amp;$R34+Inputs!$C$18,Toggl_Import!$AH$10:$AH$509,V$21)</f>
        <v>0</v>
      </c>
      <c r="W34" s="36" t="n">
        <f aca="false">SUMIFS(Hours_Log!$E$5:$E$1004,Hours_Log!$A$5:$A$1004,"&gt;="&amp;$R34,Hours_Log!$A$5:$A$1004,"&lt;"&amp;$R34+Inputs!$C$18,Hours_Log!$D$5:$D$1004,W$21)+SUMIFS(Toggl_Import!$AI$10:$AI$509,Toggl_Import!$AF$10:$AF$509,"&gt;="&amp;$R34,Toggl_Import!$AF$10:$AF$509,"&lt;"&amp;$R34+Inputs!$C$18,Toggl_Import!$AH$10:$AH$509,W$21)</f>
        <v>0</v>
      </c>
      <c r="X34" s="36" t="n">
        <f aca="false">SUMIFS(Hours_Log!$E$5:$E$1004,Hours_Log!$A$5:$A$1004,"&gt;="&amp;$R34,Hours_Log!$A$5:$A$1004,"&lt;"&amp;$R34+Inputs!$C$18,Hours_Log!$D$5:$D$1004,X$21)+SUMIFS(Toggl_Import!$AI$10:$AI$509,Toggl_Import!$AF$10:$AF$509,"&gt;="&amp;$R34,Toggl_Import!$AF$10:$AF$509,"&lt;"&amp;$R34+Inputs!$C$18,Toggl_Import!$AH$10:$AH$509,X$21)</f>
        <v>0</v>
      </c>
      <c r="Y34" s="36" t="n">
        <f aca="false">SUMIFS(Hours_Log!$E$5:$E$1004,Hours_Log!$A$5:$A$1004,"&gt;="&amp;$R34,Hours_Log!$A$5:$A$1004,"&lt;"&amp;$R34+Inputs!$C$18,Hours_Log!$D$5:$D$1004,Y$21)+SUMIFS(Toggl_Import!$AI$10:$AI$509,Toggl_Import!$AF$10:$AF$509,"&gt;="&amp;$R34,Toggl_Import!$AF$10:$AF$509,"&lt;"&amp;$R34+Inputs!$C$18,Toggl_Import!$AH$10:$AH$509,Y$21)</f>
        <v>0</v>
      </c>
      <c r="Z34" s="38" t="n">
        <f aca="false">SUM(S34:Y34)</f>
        <v>0</v>
      </c>
      <c r="AA34" s="36" t="n">
        <f aca="false">SUMIFS(Hours_Log!$E$5:$E$1004,Hours_Log!$A$5:$A$1004,"&gt;="&amp;$R34,Hours_Log!$A$5:$A$1004,"&lt;"&amp;$R34+Inputs!$C$18,Hours_Log!$B$5:$B$1004,Inputs!$C$30&amp;"*")+SUMIFS(Toggl_Import!$AI$10:$AI$509,Toggl_Import!$AF$10:$AF$509,"&gt;="&amp;$R34,Toggl_Import!$AF$10:$AF$509,"&lt;"&amp;$R34+Inputs!$C$18,Toggl_Import!$AG$10:$AG$509,Inputs!$C$30&amp;"*")</f>
        <v>0</v>
      </c>
    </row>
    <row r="35" customFormat="false" ht="15" hidden="false" customHeight="false" outlineLevel="0" collapsed="false">
      <c r="A35" s="102"/>
      <c r="B35" s="103"/>
      <c r="C35" s="103"/>
      <c r="D35" s="103"/>
      <c r="E35" s="104"/>
      <c r="F35" s="103"/>
      <c r="Q35" s="30" t="n">
        <v>14</v>
      </c>
      <c r="R35" s="18" t="n">
        <f aca="false">R34+Inputs!$C$18</f>
        <v>46412</v>
      </c>
      <c r="S35" s="36" t="n">
        <f aca="false">SUMIFS(Hours_Log!$E$5:$E$1004,Hours_Log!$A$5:$A$1004,"&gt;="&amp;$R35,Hours_Log!$A$5:$A$1004,"&lt;"&amp;$R35+Inputs!$C$18,Hours_Log!$D$5:$D$1004,S$21)+SUMIFS(Toggl_Import!$AI$10:$AI$509,Toggl_Import!$AF$10:$AF$509,"&gt;="&amp;$R35,Toggl_Import!$AF$10:$AF$509,"&lt;"&amp;$R35+Inputs!$C$18,Toggl_Import!$AH$10:$AH$509,S$21)</f>
        <v>0</v>
      </c>
      <c r="T35" s="36" t="n">
        <f aca="false">SUMIFS(Hours_Log!$E$5:$E$1004,Hours_Log!$A$5:$A$1004,"&gt;="&amp;$R35,Hours_Log!$A$5:$A$1004,"&lt;"&amp;$R35+Inputs!$C$18,Hours_Log!$D$5:$D$1004,T$21)+SUMIFS(Toggl_Import!$AI$10:$AI$509,Toggl_Import!$AF$10:$AF$509,"&gt;="&amp;$R35,Toggl_Import!$AF$10:$AF$509,"&lt;"&amp;$R35+Inputs!$C$18,Toggl_Import!$AH$10:$AH$509,T$21)</f>
        <v>0</v>
      </c>
      <c r="U35" s="36" t="n">
        <f aca="false">SUMIFS(Hours_Log!$E$5:$E$1004,Hours_Log!$A$5:$A$1004,"&gt;="&amp;$R35,Hours_Log!$A$5:$A$1004,"&lt;"&amp;$R35+Inputs!$C$18,Hours_Log!$D$5:$D$1004,U$21)+SUMIFS(Toggl_Import!$AI$10:$AI$509,Toggl_Import!$AF$10:$AF$509,"&gt;="&amp;$R35,Toggl_Import!$AF$10:$AF$509,"&lt;"&amp;$R35+Inputs!$C$18,Toggl_Import!$AH$10:$AH$509,U$21)</f>
        <v>0</v>
      </c>
      <c r="V35" s="36" t="n">
        <f aca="false">SUMIFS(Hours_Log!$E$5:$E$1004,Hours_Log!$A$5:$A$1004,"&gt;="&amp;$R35,Hours_Log!$A$5:$A$1004,"&lt;"&amp;$R35+Inputs!$C$18,Hours_Log!$D$5:$D$1004,V$21)+SUMIFS(Toggl_Import!$AI$10:$AI$509,Toggl_Import!$AF$10:$AF$509,"&gt;="&amp;$R35,Toggl_Import!$AF$10:$AF$509,"&lt;"&amp;$R35+Inputs!$C$18,Toggl_Import!$AH$10:$AH$509,V$21)</f>
        <v>0</v>
      </c>
      <c r="W35" s="36" t="n">
        <f aca="false">SUMIFS(Hours_Log!$E$5:$E$1004,Hours_Log!$A$5:$A$1004,"&gt;="&amp;$R35,Hours_Log!$A$5:$A$1004,"&lt;"&amp;$R35+Inputs!$C$18,Hours_Log!$D$5:$D$1004,W$21)+SUMIFS(Toggl_Import!$AI$10:$AI$509,Toggl_Import!$AF$10:$AF$509,"&gt;="&amp;$R35,Toggl_Import!$AF$10:$AF$509,"&lt;"&amp;$R35+Inputs!$C$18,Toggl_Import!$AH$10:$AH$509,W$21)</f>
        <v>0</v>
      </c>
      <c r="X35" s="36" t="n">
        <f aca="false">SUMIFS(Hours_Log!$E$5:$E$1004,Hours_Log!$A$5:$A$1004,"&gt;="&amp;$R35,Hours_Log!$A$5:$A$1004,"&lt;"&amp;$R35+Inputs!$C$18,Hours_Log!$D$5:$D$1004,X$21)+SUMIFS(Toggl_Import!$AI$10:$AI$509,Toggl_Import!$AF$10:$AF$509,"&gt;="&amp;$R35,Toggl_Import!$AF$10:$AF$509,"&lt;"&amp;$R35+Inputs!$C$18,Toggl_Import!$AH$10:$AH$509,X$21)</f>
        <v>0</v>
      </c>
      <c r="Y35" s="36" t="n">
        <f aca="false">SUMIFS(Hours_Log!$E$5:$E$1004,Hours_Log!$A$5:$A$1004,"&gt;="&amp;$R35,Hours_Log!$A$5:$A$1004,"&lt;"&amp;$R35+Inputs!$C$18,Hours_Log!$D$5:$D$1004,Y$21)+SUMIFS(Toggl_Import!$AI$10:$AI$509,Toggl_Import!$AF$10:$AF$509,"&gt;="&amp;$R35,Toggl_Import!$AF$10:$AF$509,"&lt;"&amp;$R35+Inputs!$C$18,Toggl_Import!$AH$10:$AH$509,Y$21)</f>
        <v>0</v>
      </c>
      <c r="Z35" s="38" t="n">
        <f aca="false">SUM(S35:Y35)</f>
        <v>0</v>
      </c>
      <c r="AA35" s="36" t="n">
        <f aca="false">SUMIFS(Hours_Log!$E$5:$E$1004,Hours_Log!$A$5:$A$1004,"&gt;="&amp;$R35,Hours_Log!$A$5:$A$1004,"&lt;"&amp;$R35+Inputs!$C$18,Hours_Log!$B$5:$B$1004,Inputs!$C$30&amp;"*")+SUMIFS(Toggl_Import!$AI$10:$AI$509,Toggl_Import!$AF$10:$AF$509,"&gt;="&amp;$R35,Toggl_Import!$AF$10:$AF$509,"&lt;"&amp;$R35+Inputs!$C$18,Toggl_Import!$AG$10:$AG$509,Inputs!$C$30&amp;"*")</f>
        <v>0</v>
      </c>
    </row>
    <row r="36" customFormat="false" ht="15" hidden="false" customHeight="false" outlineLevel="0" collapsed="false">
      <c r="A36" s="102"/>
      <c r="B36" s="103"/>
      <c r="C36" s="103"/>
      <c r="D36" s="103"/>
      <c r="E36" s="104"/>
      <c r="F36" s="103"/>
      <c r="Q36" s="30" t="n">
        <v>15</v>
      </c>
      <c r="R36" s="18" t="n">
        <f aca="false">R35+Inputs!$C$18</f>
        <v>46419</v>
      </c>
      <c r="S36" s="36" t="n">
        <f aca="false">SUMIFS(Hours_Log!$E$5:$E$1004,Hours_Log!$A$5:$A$1004,"&gt;="&amp;$R36,Hours_Log!$A$5:$A$1004,"&lt;"&amp;$R36+Inputs!$C$18,Hours_Log!$D$5:$D$1004,S$21)+SUMIFS(Toggl_Import!$AI$10:$AI$509,Toggl_Import!$AF$10:$AF$509,"&gt;="&amp;$R36,Toggl_Import!$AF$10:$AF$509,"&lt;"&amp;$R36+Inputs!$C$18,Toggl_Import!$AH$10:$AH$509,S$21)</f>
        <v>0</v>
      </c>
      <c r="T36" s="36" t="n">
        <f aca="false">SUMIFS(Hours_Log!$E$5:$E$1004,Hours_Log!$A$5:$A$1004,"&gt;="&amp;$R36,Hours_Log!$A$5:$A$1004,"&lt;"&amp;$R36+Inputs!$C$18,Hours_Log!$D$5:$D$1004,T$21)+SUMIFS(Toggl_Import!$AI$10:$AI$509,Toggl_Import!$AF$10:$AF$509,"&gt;="&amp;$R36,Toggl_Import!$AF$10:$AF$509,"&lt;"&amp;$R36+Inputs!$C$18,Toggl_Import!$AH$10:$AH$509,T$21)</f>
        <v>0</v>
      </c>
      <c r="U36" s="36" t="n">
        <f aca="false">SUMIFS(Hours_Log!$E$5:$E$1004,Hours_Log!$A$5:$A$1004,"&gt;="&amp;$R36,Hours_Log!$A$5:$A$1004,"&lt;"&amp;$R36+Inputs!$C$18,Hours_Log!$D$5:$D$1004,U$21)+SUMIFS(Toggl_Import!$AI$10:$AI$509,Toggl_Import!$AF$10:$AF$509,"&gt;="&amp;$R36,Toggl_Import!$AF$10:$AF$509,"&lt;"&amp;$R36+Inputs!$C$18,Toggl_Import!$AH$10:$AH$509,U$21)</f>
        <v>0</v>
      </c>
      <c r="V36" s="36" t="n">
        <f aca="false">SUMIFS(Hours_Log!$E$5:$E$1004,Hours_Log!$A$5:$A$1004,"&gt;="&amp;$R36,Hours_Log!$A$5:$A$1004,"&lt;"&amp;$R36+Inputs!$C$18,Hours_Log!$D$5:$D$1004,V$21)+SUMIFS(Toggl_Import!$AI$10:$AI$509,Toggl_Import!$AF$10:$AF$509,"&gt;="&amp;$R36,Toggl_Import!$AF$10:$AF$509,"&lt;"&amp;$R36+Inputs!$C$18,Toggl_Import!$AH$10:$AH$509,V$21)</f>
        <v>0</v>
      </c>
      <c r="W36" s="36" t="n">
        <f aca="false">SUMIFS(Hours_Log!$E$5:$E$1004,Hours_Log!$A$5:$A$1004,"&gt;="&amp;$R36,Hours_Log!$A$5:$A$1004,"&lt;"&amp;$R36+Inputs!$C$18,Hours_Log!$D$5:$D$1004,W$21)+SUMIFS(Toggl_Import!$AI$10:$AI$509,Toggl_Import!$AF$10:$AF$509,"&gt;="&amp;$R36,Toggl_Import!$AF$10:$AF$509,"&lt;"&amp;$R36+Inputs!$C$18,Toggl_Import!$AH$10:$AH$509,W$21)</f>
        <v>0</v>
      </c>
      <c r="X36" s="36" t="n">
        <f aca="false">SUMIFS(Hours_Log!$E$5:$E$1004,Hours_Log!$A$5:$A$1004,"&gt;="&amp;$R36,Hours_Log!$A$5:$A$1004,"&lt;"&amp;$R36+Inputs!$C$18,Hours_Log!$D$5:$D$1004,X$21)+SUMIFS(Toggl_Import!$AI$10:$AI$509,Toggl_Import!$AF$10:$AF$509,"&gt;="&amp;$R36,Toggl_Import!$AF$10:$AF$509,"&lt;"&amp;$R36+Inputs!$C$18,Toggl_Import!$AH$10:$AH$509,X$21)</f>
        <v>0</v>
      </c>
      <c r="Y36" s="36" t="n">
        <f aca="false">SUMIFS(Hours_Log!$E$5:$E$1004,Hours_Log!$A$5:$A$1004,"&gt;="&amp;$R36,Hours_Log!$A$5:$A$1004,"&lt;"&amp;$R36+Inputs!$C$18,Hours_Log!$D$5:$D$1004,Y$21)+SUMIFS(Toggl_Import!$AI$10:$AI$509,Toggl_Import!$AF$10:$AF$509,"&gt;="&amp;$R36,Toggl_Import!$AF$10:$AF$509,"&lt;"&amp;$R36+Inputs!$C$18,Toggl_Import!$AH$10:$AH$509,Y$21)</f>
        <v>0</v>
      </c>
      <c r="Z36" s="38" t="n">
        <f aca="false">SUM(S36:Y36)</f>
        <v>0</v>
      </c>
      <c r="AA36" s="36" t="n">
        <f aca="false">SUMIFS(Hours_Log!$E$5:$E$1004,Hours_Log!$A$5:$A$1004,"&gt;="&amp;$R36,Hours_Log!$A$5:$A$1004,"&lt;"&amp;$R36+Inputs!$C$18,Hours_Log!$B$5:$B$1004,Inputs!$C$30&amp;"*")+SUMIFS(Toggl_Import!$AI$10:$AI$509,Toggl_Import!$AF$10:$AF$509,"&gt;="&amp;$R36,Toggl_Import!$AF$10:$AF$509,"&lt;"&amp;$R36+Inputs!$C$18,Toggl_Import!$AG$10:$AG$509,Inputs!$C$30&amp;"*")</f>
        <v>0</v>
      </c>
    </row>
    <row r="37" customFormat="false" ht="15" hidden="false" customHeight="false" outlineLevel="0" collapsed="false">
      <c r="A37" s="102"/>
      <c r="B37" s="103"/>
      <c r="C37" s="103"/>
      <c r="D37" s="103"/>
      <c r="E37" s="104"/>
      <c r="F37" s="103"/>
      <c r="Q37" s="30" t="n">
        <v>16</v>
      </c>
      <c r="R37" s="18" t="n">
        <f aca="false">R36+Inputs!$C$18</f>
        <v>46426</v>
      </c>
      <c r="S37" s="36" t="n">
        <f aca="false">SUMIFS(Hours_Log!$E$5:$E$1004,Hours_Log!$A$5:$A$1004,"&gt;="&amp;$R37,Hours_Log!$A$5:$A$1004,"&lt;"&amp;$R37+Inputs!$C$18,Hours_Log!$D$5:$D$1004,S$21)+SUMIFS(Toggl_Import!$AI$10:$AI$509,Toggl_Import!$AF$10:$AF$509,"&gt;="&amp;$R37,Toggl_Import!$AF$10:$AF$509,"&lt;"&amp;$R37+Inputs!$C$18,Toggl_Import!$AH$10:$AH$509,S$21)</f>
        <v>0</v>
      </c>
      <c r="T37" s="36" t="n">
        <f aca="false">SUMIFS(Hours_Log!$E$5:$E$1004,Hours_Log!$A$5:$A$1004,"&gt;="&amp;$R37,Hours_Log!$A$5:$A$1004,"&lt;"&amp;$R37+Inputs!$C$18,Hours_Log!$D$5:$D$1004,T$21)+SUMIFS(Toggl_Import!$AI$10:$AI$509,Toggl_Import!$AF$10:$AF$509,"&gt;="&amp;$R37,Toggl_Import!$AF$10:$AF$509,"&lt;"&amp;$R37+Inputs!$C$18,Toggl_Import!$AH$10:$AH$509,T$21)</f>
        <v>0</v>
      </c>
      <c r="U37" s="36" t="n">
        <f aca="false">SUMIFS(Hours_Log!$E$5:$E$1004,Hours_Log!$A$5:$A$1004,"&gt;="&amp;$R37,Hours_Log!$A$5:$A$1004,"&lt;"&amp;$R37+Inputs!$C$18,Hours_Log!$D$5:$D$1004,U$21)+SUMIFS(Toggl_Import!$AI$10:$AI$509,Toggl_Import!$AF$10:$AF$509,"&gt;="&amp;$R37,Toggl_Import!$AF$10:$AF$509,"&lt;"&amp;$R37+Inputs!$C$18,Toggl_Import!$AH$10:$AH$509,U$21)</f>
        <v>0</v>
      </c>
      <c r="V37" s="36" t="n">
        <f aca="false">SUMIFS(Hours_Log!$E$5:$E$1004,Hours_Log!$A$5:$A$1004,"&gt;="&amp;$R37,Hours_Log!$A$5:$A$1004,"&lt;"&amp;$R37+Inputs!$C$18,Hours_Log!$D$5:$D$1004,V$21)+SUMIFS(Toggl_Import!$AI$10:$AI$509,Toggl_Import!$AF$10:$AF$509,"&gt;="&amp;$R37,Toggl_Import!$AF$10:$AF$509,"&lt;"&amp;$R37+Inputs!$C$18,Toggl_Import!$AH$10:$AH$509,V$21)</f>
        <v>0</v>
      </c>
      <c r="W37" s="36" t="n">
        <f aca="false">SUMIFS(Hours_Log!$E$5:$E$1004,Hours_Log!$A$5:$A$1004,"&gt;="&amp;$R37,Hours_Log!$A$5:$A$1004,"&lt;"&amp;$R37+Inputs!$C$18,Hours_Log!$D$5:$D$1004,W$21)+SUMIFS(Toggl_Import!$AI$10:$AI$509,Toggl_Import!$AF$10:$AF$509,"&gt;="&amp;$R37,Toggl_Import!$AF$10:$AF$509,"&lt;"&amp;$R37+Inputs!$C$18,Toggl_Import!$AH$10:$AH$509,W$21)</f>
        <v>0</v>
      </c>
      <c r="X37" s="36" t="n">
        <f aca="false">SUMIFS(Hours_Log!$E$5:$E$1004,Hours_Log!$A$5:$A$1004,"&gt;="&amp;$R37,Hours_Log!$A$5:$A$1004,"&lt;"&amp;$R37+Inputs!$C$18,Hours_Log!$D$5:$D$1004,X$21)+SUMIFS(Toggl_Import!$AI$10:$AI$509,Toggl_Import!$AF$10:$AF$509,"&gt;="&amp;$R37,Toggl_Import!$AF$10:$AF$509,"&lt;"&amp;$R37+Inputs!$C$18,Toggl_Import!$AH$10:$AH$509,X$21)</f>
        <v>0</v>
      </c>
      <c r="Y37" s="36" t="n">
        <f aca="false">SUMIFS(Hours_Log!$E$5:$E$1004,Hours_Log!$A$5:$A$1004,"&gt;="&amp;$R37,Hours_Log!$A$5:$A$1004,"&lt;"&amp;$R37+Inputs!$C$18,Hours_Log!$D$5:$D$1004,Y$21)+SUMIFS(Toggl_Import!$AI$10:$AI$509,Toggl_Import!$AF$10:$AF$509,"&gt;="&amp;$R37,Toggl_Import!$AF$10:$AF$509,"&lt;"&amp;$R37+Inputs!$C$18,Toggl_Import!$AH$10:$AH$509,Y$21)</f>
        <v>0</v>
      </c>
      <c r="Z37" s="38" t="n">
        <f aca="false">SUM(S37:Y37)</f>
        <v>0</v>
      </c>
      <c r="AA37" s="36" t="n">
        <f aca="false">SUMIFS(Hours_Log!$E$5:$E$1004,Hours_Log!$A$5:$A$1004,"&gt;="&amp;$R37,Hours_Log!$A$5:$A$1004,"&lt;"&amp;$R37+Inputs!$C$18,Hours_Log!$B$5:$B$1004,Inputs!$C$30&amp;"*")+SUMIFS(Toggl_Import!$AI$10:$AI$509,Toggl_Import!$AF$10:$AF$509,"&gt;="&amp;$R37,Toggl_Import!$AF$10:$AF$509,"&lt;"&amp;$R37+Inputs!$C$18,Toggl_Import!$AG$10:$AG$509,Inputs!$C$30&amp;"*")</f>
        <v>0</v>
      </c>
    </row>
    <row r="38" customFormat="false" ht="15" hidden="false" customHeight="false" outlineLevel="0" collapsed="false">
      <c r="A38" s="102"/>
      <c r="B38" s="103"/>
      <c r="C38" s="103"/>
      <c r="D38" s="103"/>
      <c r="E38" s="104"/>
      <c r="F38" s="103"/>
      <c r="Q38" s="30" t="n">
        <v>17</v>
      </c>
      <c r="R38" s="18" t="n">
        <f aca="false">R37+Inputs!$C$18</f>
        <v>46433</v>
      </c>
      <c r="S38" s="36" t="n">
        <f aca="false">SUMIFS(Hours_Log!$E$5:$E$1004,Hours_Log!$A$5:$A$1004,"&gt;="&amp;$R38,Hours_Log!$A$5:$A$1004,"&lt;"&amp;$R38+Inputs!$C$18,Hours_Log!$D$5:$D$1004,S$21)+SUMIFS(Toggl_Import!$AI$10:$AI$509,Toggl_Import!$AF$10:$AF$509,"&gt;="&amp;$R38,Toggl_Import!$AF$10:$AF$509,"&lt;"&amp;$R38+Inputs!$C$18,Toggl_Import!$AH$10:$AH$509,S$21)</f>
        <v>0</v>
      </c>
      <c r="T38" s="36" t="n">
        <f aca="false">SUMIFS(Hours_Log!$E$5:$E$1004,Hours_Log!$A$5:$A$1004,"&gt;="&amp;$R38,Hours_Log!$A$5:$A$1004,"&lt;"&amp;$R38+Inputs!$C$18,Hours_Log!$D$5:$D$1004,T$21)+SUMIFS(Toggl_Import!$AI$10:$AI$509,Toggl_Import!$AF$10:$AF$509,"&gt;="&amp;$R38,Toggl_Import!$AF$10:$AF$509,"&lt;"&amp;$R38+Inputs!$C$18,Toggl_Import!$AH$10:$AH$509,T$21)</f>
        <v>0</v>
      </c>
      <c r="U38" s="36" t="n">
        <f aca="false">SUMIFS(Hours_Log!$E$5:$E$1004,Hours_Log!$A$5:$A$1004,"&gt;="&amp;$R38,Hours_Log!$A$5:$A$1004,"&lt;"&amp;$R38+Inputs!$C$18,Hours_Log!$D$5:$D$1004,U$21)+SUMIFS(Toggl_Import!$AI$10:$AI$509,Toggl_Import!$AF$10:$AF$509,"&gt;="&amp;$R38,Toggl_Import!$AF$10:$AF$509,"&lt;"&amp;$R38+Inputs!$C$18,Toggl_Import!$AH$10:$AH$509,U$21)</f>
        <v>0</v>
      </c>
      <c r="V38" s="36" t="n">
        <f aca="false">SUMIFS(Hours_Log!$E$5:$E$1004,Hours_Log!$A$5:$A$1004,"&gt;="&amp;$R38,Hours_Log!$A$5:$A$1004,"&lt;"&amp;$R38+Inputs!$C$18,Hours_Log!$D$5:$D$1004,V$21)+SUMIFS(Toggl_Import!$AI$10:$AI$509,Toggl_Import!$AF$10:$AF$509,"&gt;="&amp;$R38,Toggl_Import!$AF$10:$AF$509,"&lt;"&amp;$R38+Inputs!$C$18,Toggl_Import!$AH$10:$AH$509,V$21)</f>
        <v>0</v>
      </c>
      <c r="W38" s="36" t="n">
        <f aca="false">SUMIFS(Hours_Log!$E$5:$E$1004,Hours_Log!$A$5:$A$1004,"&gt;="&amp;$R38,Hours_Log!$A$5:$A$1004,"&lt;"&amp;$R38+Inputs!$C$18,Hours_Log!$D$5:$D$1004,W$21)+SUMIFS(Toggl_Import!$AI$10:$AI$509,Toggl_Import!$AF$10:$AF$509,"&gt;="&amp;$R38,Toggl_Import!$AF$10:$AF$509,"&lt;"&amp;$R38+Inputs!$C$18,Toggl_Import!$AH$10:$AH$509,W$21)</f>
        <v>0</v>
      </c>
      <c r="X38" s="36" t="n">
        <f aca="false">SUMIFS(Hours_Log!$E$5:$E$1004,Hours_Log!$A$5:$A$1004,"&gt;="&amp;$R38,Hours_Log!$A$5:$A$1004,"&lt;"&amp;$R38+Inputs!$C$18,Hours_Log!$D$5:$D$1004,X$21)+SUMIFS(Toggl_Import!$AI$10:$AI$509,Toggl_Import!$AF$10:$AF$509,"&gt;="&amp;$R38,Toggl_Import!$AF$10:$AF$509,"&lt;"&amp;$R38+Inputs!$C$18,Toggl_Import!$AH$10:$AH$509,X$21)</f>
        <v>0</v>
      </c>
      <c r="Y38" s="36" t="n">
        <f aca="false">SUMIFS(Hours_Log!$E$5:$E$1004,Hours_Log!$A$5:$A$1004,"&gt;="&amp;$R38,Hours_Log!$A$5:$A$1004,"&lt;"&amp;$R38+Inputs!$C$18,Hours_Log!$D$5:$D$1004,Y$21)+SUMIFS(Toggl_Import!$AI$10:$AI$509,Toggl_Import!$AF$10:$AF$509,"&gt;="&amp;$R38,Toggl_Import!$AF$10:$AF$509,"&lt;"&amp;$R38+Inputs!$C$18,Toggl_Import!$AH$10:$AH$509,Y$21)</f>
        <v>0</v>
      </c>
      <c r="Z38" s="38" t="n">
        <f aca="false">SUM(S38:Y38)</f>
        <v>0</v>
      </c>
      <c r="AA38" s="36" t="n">
        <f aca="false">SUMIFS(Hours_Log!$E$5:$E$1004,Hours_Log!$A$5:$A$1004,"&gt;="&amp;$R38,Hours_Log!$A$5:$A$1004,"&lt;"&amp;$R38+Inputs!$C$18,Hours_Log!$B$5:$B$1004,Inputs!$C$30&amp;"*")+SUMIFS(Toggl_Import!$AI$10:$AI$509,Toggl_Import!$AF$10:$AF$509,"&gt;="&amp;$R38,Toggl_Import!$AF$10:$AF$509,"&lt;"&amp;$R38+Inputs!$C$18,Toggl_Import!$AG$10:$AG$509,Inputs!$C$30&amp;"*")</f>
        <v>0</v>
      </c>
    </row>
    <row r="39" customFormat="false" ht="15" hidden="false" customHeight="false" outlineLevel="0" collapsed="false">
      <c r="A39" s="102"/>
      <c r="B39" s="103"/>
      <c r="C39" s="103"/>
      <c r="D39" s="103"/>
      <c r="E39" s="104"/>
      <c r="F39" s="103"/>
      <c r="Q39" s="30" t="n">
        <v>18</v>
      </c>
      <c r="R39" s="18" t="n">
        <f aca="false">R38+Inputs!$C$18</f>
        <v>46440</v>
      </c>
      <c r="S39" s="36" t="n">
        <f aca="false">SUMIFS(Hours_Log!$E$5:$E$1004,Hours_Log!$A$5:$A$1004,"&gt;="&amp;$R39,Hours_Log!$A$5:$A$1004,"&lt;"&amp;$R39+Inputs!$C$18,Hours_Log!$D$5:$D$1004,S$21)+SUMIFS(Toggl_Import!$AI$10:$AI$509,Toggl_Import!$AF$10:$AF$509,"&gt;="&amp;$R39,Toggl_Import!$AF$10:$AF$509,"&lt;"&amp;$R39+Inputs!$C$18,Toggl_Import!$AH$10:$AH$509,S$21)</f>
        <v>0</v>
      </c>
      <c r="T39" s="36" t="n">
        <f aca="false">SUMIFS(Hours_Log!$E$5:$E$1004,Hours_Log!$A$5:$A$1004,"&gt;="&amp;$R39,Hours_Log!$A$5:$A$1004,"&lt;"&amp;$R39+Inputs!$C$18,Hours_Log!$D$5:$D$1004,T$21)+SUMIFS(Toggl_Import!$AI$10:$AI$509,Toggl_Import!$AF$10:$AF$509,"&gt;="&amp;$R39,Toggl_Import!$AF$10:$AF$509,"&lt;"&amp;$R39+Inputs!$C$18,Toggl_Import!$AH$10:$AH$509,T$21)</f>
        <v>0</v>
      </c>
      <c r="U39" s="36" t="n">
        <f aca="false">SUMIFS(Hours_Log!$E$5:$E$1004,Hours_Log!$A$5:$A$1004,"&gt;="&amp;$R39,Hours_Log!$A$5:$A$1004,"&lt;"&amp;$R39+Inputs!$C$18,Hours_Log!$D$5:$D$1004,U$21)+SUMIFS(Toggl_Import!$AI$10:$AI$509,Toggl_Import!$AF$10:$AF$509,"&gt;="&amp;$R39,Toggl_Import!$AF$10:$AF$509,"&lt;"&amp;$R39+Inputs!$C$18,Toggl_Import!$AH$10:$AH$509,U$21)</f>
        <v>0</v>
      </c>
      <c r="V39" s="36" t="n">
        <f aca="false">SUMIFS(Hours_Log!$E$5:$E$1004,Hours_Log!$A$5:$A$1004,"&gt;="&amp;$R39,Hours_Log!$A$5:$A$1004,"&lt;"&amp;$R39+Inputs!$C$18,Hours_Log!$D$5:$D$1004,V$21)+SUMIFS(Toggl_Import!$AI$10:$AI$509,Toggl_Import!$AF$10:$AF$509,"&gt;="&amp;$R39,Toggl_Import!$AF$10:$AF$509,"&lt;"&amp;$R39+Inputs!$C$18,Toggl_Import!$AH$10:$AH$509,V$21)</f>
        <v>0</v>
      </c>
      <c r="W39" s="36" t="n">
        <f aca="false">SUMIFS(Hours_Log!$E$5:$E$1004,Hours_Log!$A$5:$A$1004,"&gt;="&amp;$R39,Hours_Log!$A$5:$A$1004,"&lt;"&amp;$R39+Inputs!$C$18,Hours_Log!$D$5:$D$1004,W$21)+SUMIFS(Toggl_Import!$AI$10:$AI$509,Toggl_Import!$AF$10:$AF$509,"&gt;="&amp;$R39,Toggl_Import!$AF$10:$AF$509,"&lt;"&amp;$R39+Inputs!$C$18,Toggl_Import!$AH$10:$AH$509,W$21)</f>
        <v>0</v>
      </c>
      <c r="X39" s="36" t="n">
        <f aca="false">SUMIFS(Hours_Log!$E$5:$E$1004,Hours_Log!$A$5:$A$1004,"&gt;="&amp;$R39,Hours_Log!$A$5:$A$1004,"&lt;"&amp;$R39+Inputs!$C$18,Hours_Log!$D$5:$D$1004,X$21)+SUMIFS(Toggl_Import!$AI$10:$AI$509,Toggl_Import!$AF$10:$AF$509,"&gt;="&amp;$R39,Toggl_Import!$AF$10:$AF$509,"&lt;"&amp;$R39+Inputs!$C$18,Toggl_Import!$AH$10:$AH$509,X$21)</f>
        <v>0</v>
      </c>
      <c r="Y39" s="36" t="n">
        <f aca="false">SUMIFS(Hours_Log!$E$5:$E$1004,Hours_Log!$A$5:$A$1004,"&gt;="&amp;$R39,Hours_Log!$A$5:$A$1004,"&lt;"&amp;$R39+Inputs!$C$18,Hours_Log!$D$5:$D$1004,Y$21)+SUMIFS(Toggl_Import!$AI$10:$AI$509,Toggl_Import!$AF$10:$AF$509,"&gt;="&amp;$R39,Toggl_Import!$AF$10:$AF$509,"&lt;"&amp;$R39+Inputs!$C$18,Toggl_Import!$AH$10:$AH$509,Y$21)</f>
        <v>0</v>
      </c>
      <c r="Z39" s="38" t="n">
        <f aca="false">SUM(S39:Y39)</f>
        <v>0</v>
      </c>
      <c r="AA39" s="36" t="n">
        <f aca="false">SUMIFS(Hours_Log!$E$5:$E$1004,Hours_Log!$A$5:$A$1004,"&gt;="&amp;$R39,Hours_Log!$A$5:$A$1004,"&lt;"&amp;$R39+Inputs!$C$18,Hours_Log!$B$5:$B$1004,Inputs!$C$30&amp;"*")+SUMIFS(Toggl_Import!$AI$10:$AI$509,Toggl_Import!$AF$10:$AF$509,"&gt;="&amp;$R39,Toggl_Import!$AF$10:$AF$509,"&lt;"&amp;$R39+Inputs!$C$18,Toggl_Import!$AG$10:$AG$509,Inputs!$C$30&amp;"*")</f>
        <v>0</v>
      </c>
    </row>
    <row r="40" customFormat="false" ht="15" hidden="false" customHeight="false" outlineLevel="0" collapsed="false">
      <c r="A40" s="102"/>
      <c r="B40" s="103"/>
      <c r="C40" s="103"/>
      <c r="D40" s="103"/>
      <c r="E40" s="104"/>
      <c r="F40" s="103"/>
      <c r="Q40" s="30" t="n">
        <v>19</v>
      </c>
      <c r="R40" s="18" t="n">
        <f aca="false">R39+Inputs!$C$18</f>
        <v>46447</v>
      </c>
      <c r="S40" s="36" t="n">
        <f aca="false">SUMIFS(Hours_Log!$E$5:$E$1004,Hours_Log!$A$5:$A$1004,"&gt;="&amp;$R40,Hours_Log!$A$5:$A$1004,"&lt;"&amp;$R40+Inputs!$C$18,Hours_Log!$D$5:$D$1004,S$21)+SUMIFS(Toggl_Import!$AI$10:$AI$509,Toggl_Import!$AF$10:$AF$509,"&gt;="&amp;$R40,Toggl_Import!$AF$10:$AF$509,"&lt;"&amp;$R40+Inputs!$C$18,Toggl_Import!$AH$10:$AH$509,S$21)</f>
        <v>0</v>
      </c>
      <c r="T40" s="36" t="n">
        <f aca="false">SUMIFS(Hours_Log!$E$5:$E$1004,Hours_Log!$A$5:$A$1004,"&gt;="&amp;$R40,Hours_Log!$A$5:$A$1004,"&lt;"&amp;$R40+Inputs!$C$18,Hours_Log!$D$5:$D$1004,T$21)+SUMIFS(Toggl_Import!$AI$10:$AI$509,Toggl_Import!$AF$10:$AF$509,"&gt;="&amp;$R40,Toggl_Import!$AF$10:$AF$509,"&lt;"&amp;$R40+Inputs!$C$18,Toggl_Import!$AH$10:$AH$509,T$21)</f>
        <v>0</v>
      </c>
      <c r="U40" s="36" t="n">
        <f aca="false">SUMIFS(Hours_Log!$E$5:$E$1004,Hours_Log!$A$5:$A$1004,"&gt;="&amp;$R40,Hours_Log!$A$5:$A$1004,"&lt;"&amp;$R40+Inputs!$C$18,Hours_Log!$D$5:$D$1004,U$21)+SUMIFS(Toggl_Import!$AI$10:$AI$509,Toggl_Import!$AF$10:$AF$509,"&gt;="&amp;$R40,Toggl_Import!$AF$10:$AF$509,"&lt;"&amp;$R40+Inputs!$C$18,Toggl_Import!$AH$10:$AH$509,U$21)</f>
        <v>0</v>
      </c>
      <c r="V40" s="36" t="n">
        <f aca="false">SUMIFS(Hours_Log!$E$5:$E$1004,Hours_Log!$A$5:$A$1004,"&gt;="&amp;$R40,Hours_Log!$A$5:$A$1004,"&lt;"&amp;$R40+Inputs!$C$18,Hours_Log!$D$5:$D$1004,V$21)+SUMIFS(Toggl_Import!$AI$10:$AI$509,Toggl_Import!$AF$10:$AF$509,"&gt;="&amp;$R40,Toggl_Import!$AF$10:$AF$509,"&lt;"&amp;$R40+Inputs!$C$18,Toggl_Import!$AH$10:$AH$509,V$21)</f>
        <v>0</v>
      </c>
      <c r="W40" s="36" t="n">
        <f aca="false">SUMIFS(Hours_Log!$E$5:$E$1004,Hours_Log!$A$5:$A$1004,"&gt;="&amp;$R40,Hours_Log!$A$5:$A$1004,"&lt;"&amp;$R40+Inputs!$C$18,Hours_Log!$D$5:$D$1004,W$21)+SUMIFS(Toggl_Import!$AI$10:$AI$509,Toggl_Import!$AF$10:$AF$509,"&gt;="&amp;$R40,Toggl_Import!$AF$10:$AF$509,"&lt;"&amp;$R40+Inputs!$C$18,Toggl_Import!$AH$10:$AH$509,W$21)</f>
        <v>0</v>
      </c>
      <c r="X40" s="36" t="n">
        <f aca="false">SUMIFS(Hours_Log!$E$5:$E$1004,Hours_Log!$A$5:$A$1004,"&gt;="&amp;$R40,Hours_Log!$A$5:$A$1004,"&lt;"&amp;$R40+Inputs!$C$18,Hours_Log!$D$5:$D$1004,X$21)+SUMIFS(Toggl_Import!$AI$10:$AI$509,Toggl_Import!$AF$10:$AF$509,"&gt;="&amp;$R40,Toggl_Import!$AF$10:$AF$509,"&lt;"&amp;$R40+Inputs!$C$18,Toggl_Import!$AH$10:$AH$509,X$21)</f>
        <v>0</v>
      </c>
      <c r="Y40" s="36" t="n">
        <f aca="false">SUMIFS(Hours_Log!$E$5:$E$1004,Hours_Log!$A$5:$A$1004,"&gt;="&amp;$R40,Hours_Log!$A$5:$A$1004,"&lt;"&amp;$R40+Inputs!$C$18,Hours_Log!$D$5:$D$1004,Y$21)+SUMIFS(Toggl_Import!$AI$10:$AI$509,Toggl_Import!$AF$10:$AF$509,"&gt;="&amp;$R40,Toggl_Import!$AF$10:$AF$509,"&lt;"&amp;$R40+Inputs!$C$18,Toggl_Import!$AH$10:$AH$509,Y$21)</f>
        <v>0</v>
      </c>
      <c r="Z40" s="38" t="n">
        <f aca="false">SUM(S40:Y40)</f>
        <v>0</v>
      </c>
      <c r="AA40" s="36" t="n">
        <f aca="false">SUMIFS(Hours_Log!$E$5:$E$1004,Hours_Log!$A$5:$A$1004,"&gt;="&amp;$R40,Hours_Log!$A$5:$A$1004,"&lt;"&amp;$R40+Inputs!$C$18,Hours_Log!$B$5:$B$1004,Inputs!$C$30&amp;"*")+SUMIFS(Toggl_Import!$AI$10:$AI$509,Toggl_Import!$AF$10:$AF$509,"&gt;="&amp;$R40,Toggl_Import!$AF$10:$AF$509,"&lt;"&amp;$R40+Inputs!$C$18,Toggl_Import!$AG$10:$AG$509,Inputs!$C$30&amp;"*")</f>
        <v>0</v>
      </c>
    </row>
    <row r="41" customFormat="false" ht="15" hidden="false" customHeight="false" outlineLevel="0" collapsed="false">
      <c r="A41" s="102"/>
      <c r="B41" s="103"/>
      <c r="C41" s="103"/>
      <c r="D41" s="103"/>
      <c r="E41" s="104"/>
      <c r="F41" s="103"/>
      <c r="Q41" s="30" t="n">
        <v>20</v>
      </c>
      <c r="R41" s="18" t="n">
        <f aca="false">R40+Inputs!$C$18</f>
        <v>46454</v>
      </c>
      <c r="S41" s="36" t="n">
        <f aca="false">SUMIFS(Hours_Log!$E$5:$E$1004,Hours_Log!$A$5:$A$1004,"&gt;="&amp;$R41,Hours_Log!$A$5:$A$1004,"&lt;"&amp;$R41+Inputs!$C$18,Hours_Log!$D$5:$D$1004,S$21)+SUMIFS(Toggl_Import!$AI$10:$AI$509,Toggl_Import!$AF$10:$AF$509,"&gt;="&amp;$R41,Toggl_Import!$AF$10:$AF$509,"&lt;"&amp;$R41+Inputs!$C$18,Toggl_Import!$AH$10:$AH$509,S$21)</f>
        <v>0</v>
      </c>
      <c r="T41" s="36" t="n">
        <f aca="false">SUMIFS(Hours_Log!$E$5:$E$1004,Hours_Log!$A$5:$A$1004,"&gt;="&amp;$R41,Hours_Log!$A$5:$A$1004,"&lt;"&amp;$R41+Inputs!$C$18,Hours_Log!$D$5:$D$1004,T$21)+SUMIFS(Toggl_Import!$AI$10:$AI$509,Toggl_Import!$AF$10:$AF$509,"&gt;="&amp;$R41,Toggl_Import!$AF$10:$AF$509,"&lt;"&amp;$R41+Inputs!$C$18,Toggl_Import!$AH$10:$AH$509,T$21)</f>
        <v>0</v>
      </c>
      <c r="U41" s="36" t="n">
        <f aca="false">SUMIFS(Hours_Log!$E$5:$E$1004,Hours_Log!$A$5:$A$1004,"&gt;="&amp;$R41,Hours_Log!$A$5:$A$1004,"&lt;"&amp;$R41+Inputs!$C$18,Hours_Log!$D$5:$D$1004,U$21)+SUMIFS(Toggl_Import!$AI$10:$AI$509,Toggl_Import!$AF$10:$AF$509,"&gt;="&amp;$R41,Toggl_Import!$AF$10:$AF$509,"&lt;"&amp;$R41+Inputs!$C$18,Toggl_Import!$AH$10:$AH$509,U$21)</f>
        <v>0</v>
      </c>
      <c r="V41" s="36" t="n">
        <f aca="false">SUMIFS(Hours_Log!$E$5:$E$1004,Hours_Log!$A$5:$A$1004,"&gt;="&amp;$R41,Hours_Log!$A$5:$A$1004,"&lt;"&amp;$R41+Inputs!$C$18,Hours_Log!$D$5:$D$1004,V$21)+SUMIFS(Toggl_Import!$AI$10:$AI$509,Toggl_Import!$AF$10:$AF$509,"&gt;="&amp;$R41,Toggl_Import!$AF$10:$AF$509,"&lt;"&amp;$R41+Inputs!$C$18,Toggl_Import!$AH$10:$AH$509,V$21)</f>
        <v>0</v>
      </c>
      <c r="W41" s="36" t="n">
        <f aca="false">SUMIFS(Hours_Log!$E$5:$E$1004,Hours_Log!$A$5:$A$1004,"&gt;="&amp;$R41,Hours_Log!$A$5:$A$1004,"&lt;"&amp;$R41+Inputs!$C$18,Hours_Log!$D$5:$D$1004,W$21)+SUMIFS(Toggl_Import!$AI$10:$AI$509,Toggl_Import!$AF$10:$AF$509,"&gt;="&amp;$R41,Toggl_Import!$AF$10:$AF$509,"&lt;"&amp;$R41+Inputs!$C$18,Toggl_Import!$AH$10:$AH$509,W$21)</f>
        <v>0</v>
      </c>
      <c r="X41" s="36" t="n">
        <f aca="false">SUMIFS(Hours_Log!$E$5:$E$1004,Hours_Log!$A$5:$A$1004,"&gt;="&amp;$R41,Hours_Log!$A$5:$A$1004,"&lt;"&amp;$R41+Inputs!$C$18,Hours_Log!$D$5:$D$1004,X$21)+SUMIFS(Toggl_Import!$AI$10:$AI$509,Toggl_Import!$AF$10:$AF$509,"&gt;="&amp;$R41,Toggl_Import!$AF$10:$AF$509,"&lt;"&amp;$R41+Inputs!$C$18,Toggl_Import!$AH$10:$AH$509,X$21)</f>
        <v>0</v>
      </c>
      <c r="Y41" s="36" t="n">
        <f aca="false">SUMIFS(Hours_Log!$E$5:$E$1004,Hours_Log!$A$5:$A$1004,"&gt;="&amp;$R41,Hours_Log!$A$5:$A$1004,"&lt;"&amp;$R41+Inputs!$C$18,Hours_Log!$D$5:$D$1004,Y$21)+SUMIFS(Toggl_Import!$AI$10:$AI$509,Toggl_Import!$AF$10:$AF$509,"&gt;="&amp;$R41,Toggl_Import!$AF$10:$AF$509,"&lt;"&amp;$R41+Inputs!$C$18,Toggl_Import!$AH$10:$AH$509,Y$21)</f>
        <v>0</v>
      </c>
      <c r="Z41" s="38" t="n">
        <f aca="false">SUM(S41:Y41)</f>
        <v>0</v>
      </c>
      <c r="AA41" s="36" t="n">
        <f aca="false">SUMIFS(Hours_Log!$E$5:$E$1004,Hours_Log!$A$5:$A$1004,"&gt;="&amp;$R41,Hours_Log!$A$5:$A$1004,"&lt;"&amp;$R41+Inputs!$C$18,Hours_Log!$B$5:$B$1004,Inputs!$C$30&amp;"*")+SUMIFS(Toggl_Import!$AI$10:$AI$509,Toggl_Import!$AF$10:$AF$509,"&gt;="&amp;$R41,Toggl_Import!$AF$10:$AF$509,"&lt;"&amp;$R41+Inputs!$C$18,Toggl_Import!$AG$10:$AG$509,Inputs!$C$30&amp;"*")</f>
        <v>0</v>
      </c>
    </row>
    <row r="42" customFormat="false" ht="15" hidden="false" customHeight="false" outlineLevel="0" collapsed="false">
      <c r="A42" s="102"/>
      <c r="B42" s="103"/>
      <c r="C42" s="103"/>
      <c r="D42" s="103"/>
      <c r="E42" s="104"/>
      <c r="F42" s="103"/>
      <c r="Q42" s="30" t="n">
        <v>21</v>
      </c>
      <c r="R42" s="18" t="n">
        <f aca="false">R41+Inputs!$C$18</f>
        <v>46461</v>
      </c>
      <c r="S42" s="36" t="n">
        <f aca="false">SUMIFS(Hours_Log!$E$5:$E$1004,Hours_Log!$A$5:$A$1004,"&gt;="&amp;$R42,Hours_Log!$A$5:$A$1004,"&lt;"&amp;$R42+Inputs!$C$18,Hours_Log!$D$5:$D$1004,S$21)+SUMIFS(Toggl_Import!$AI$10:$AI$509,Toggl_Import!$AF$10:$AF$509,"&gt;="&amp;$R42,Toggl_Import!$AF$10:$AF$509,"&lt;"&amp;$R42+Inputs!$C$18,Toggl_Import!$AH$10:$AH$509,S$21)</f>
        <v>0</v>
      </c>
      <c r="T42" s="36" t="n">
        <f aca="false">SUMIFS(Hours_Log!$E$5:$E$1004,Hours_Log!$A$5:$A$1004,"&gt;="&amp;$R42,Hours_Log!$A$5:$A$1004,"&lt;"&amp;$R42+Inputs!$C$18,Hours_Log!$D$5:$D$1004,T$21)+SUMIFS(Toggl_Import!$AI$10:$AI$509,Toggl_Import!$AF$10:$AF$509,"&gt;="&amp;$R42,Toggl_Import!$AF$10:$AF$509,"&lt;"&amp;$R42+Inputs!$C$18,Toggl_Import!$AH$10:$AH$509,T$21)</f>
        <v>0</v>
      </c>
      <c r="U42" s="36" t="n">
        <f aca="false">SUMIFS(Hours_Log!$E$5:$E$1004,Hours_Log!$A$5:$A$1004,"&gt;="&amp;$R42,Hours_Log!$A$5:$A$1004,"&lt;"&amp;$R42+Inputs!$C$18,Hours_Log!$D$5:$D$1004,U$21)+SUMIFS(Toggl_Import!$AI$10:$AI$509,Toggl_Import!$AF$10:$AF$509,"&gt;="&amp;$R42,Toggl_Import!$AF$10:$AF$509,"&lt;"&amp;$R42+Inputs!$C$18,Toggl_Import!$AH$10:$AH$509,U$21)</f>
        <v>0</v>
      </c>
      <c r="V42" s="36" t="n">
        <f aca="false">SUMIFS(Hours_Log!$E$5:$E$1004,Hours_Log!$A$5:$A$1004,"&gt;="&amp;$R42,Hours_Log!$A$5:$A$1004,"&lt;"&amp;$R42+Inputs!$C$18,Hours_Log!$D$5:$D$1004,V$21)+SUMIFS(Toggl_Import!$AI$10:$AI$509,Toggl_Import!$AF$10:$AF$509,"&gt;="&amp;$R42,Toggl_Import!$AF$10:$AF$509,"&lt;"&amp;$R42+Inputs!$C$18,Toggl_Import!$AH$10:$AH$509,V$21)</f>
        <v>0</v>
      </c>
      <c r="W42" s="36" t="n">
        <f aca="false">SUMIFS(Hours_Log!$E$5:$E$1004,Hours_Log!$A$5:$A$1004,"&gt;="&amp;$R42,Hours_Log!$A$5:$A$1004,"&lt;"&amp;$R42+Inputs!$C$18,Hours_Log!$D$5:$D$1004,W$21)+SUMIFS(Toggl_Import!$AI$10:$AI$509,Toggl_Import!$AF$10:$AF$509,"&gt;="&amp;$R42,Toggl_Import!$AF$10:$AF$509,"&lt;"&amp;$R42+Inputs!$C$18,Toggl_Import!$AH$10:$AH$509,W$21)</f>
        <v>0</v>
      </c>
      <c r="X42" s="36" t="n">
        <f aca="false">SUMIFS(Hours_Log!$E$5:$E$1004,Hours_Log!$A$5:$A$1004,"&gt;="&amp;$R42,Hours_Log!$A$5:$A$1004,"&lt;"&amp;$R42+Inputs!$C$18,Hours_Log!$D$5:$D$1004,X$21)+SUMIFS(Toggl_Import!$AI$10:$AI$509,Toggl_Import!$AF$10:$AF$509,"&gt;="&amp;$R42,Toggl_Import!$AF$10:$AF$509,"&lt;"&amp;$R42+Inputs!$C$18,Toggl_Import!$AH$10:$AH$509,X$21)</f>
        <v>0</v>
      </c>
      <c r="Y42" s="36" t="n">
        <f aca="false">SUMIFS(Hours_Log!$E$5:$E$1004,Hours_Log!$A$5:$A$1004,"&gt;="&amp;$R42,Hours_Log!$A$5:$A$1004,"&lt;"&amp;$R42+Inputs!$C$18,Hours_Log!$D$5:$D$1004,Y$21)+SUMIFS(Toggl_Import!$AI$10:$AI$509,Toggl_Import!$AF$10:$AF$509,"&gt;="&amp;$R42,Toggl_Import!$AF$10:$AF$509,"&lt;"&amp;$R42+Inputs!$C$18,Toggl_Import!$AH$10:$AH$509,Y$21)</f>
        <v>0</v>
      </c>
      <c r="Z42" s="38" t="n">
        <f aca="false">SUM(S42:Y42)</f>
        <v>0</v>
      </c>
      <c r="AA42" s="36" t="n">
        <f aca="false">SUMIFS(Hours_Log!$E$5:$E$1004,Hours_Log!$A$5:$A$1004,"&gt;="&amp;$R42,Hours_Log!$A$5:$A$1004,"&lt;"&amp;$R42+Inputs!$C$18,Hours_Log!$B$5:$B$1004,Inputs!$C$30&amp;"*")+SUMIFS(Toggl_Import!$AI$10:$AI$509,Toggl_Import!$AF$10:$AF$509,"&gt;="&amp;$R42,Toggl_Import!$AF$10:$AF$509,"&lt;"&amp;$R42+Inputs!$C$18,Toggl_Import!$AG$10:$AG$509,Inputs!$C$30&amp;"*")</f>
        <v>0</v>
      </c>
    </row>
    <row r="43" customFormat="false" ht="15" hidden="false" customHeight="false" outlineLevel="0" collapsed="false">
      <c r="A43" s="102"/>
      <c r="B43" s="103"/>
      <c r="C43" s="103"/>
      <c r="D43" s="103"/>
      <c r="E43" s="104"/>
      <c r="F43" s="103"/>
      <c r="Q43" s="30" t="n">
        <v>22</v>
      </c>
      <c r="R43" s="18" t="n">
        <f aca="false">R42+Inputs!$C$18</f>
        <v>46468</v>
      </c>
      <c r="S43" s="36" t="n">
        <f aca="false">SUMIFS(Hours_Log!$E$5:$E$1004,Hours_Log!$A$5:$A$1004,"&gt;="&amp;$R43,Hours_Log!$A$5:$A$1004,"&lt;"&amp;$R43+Inputs!$C$18,Hours_Log!$D$5:$D$1004,S$21)+SUMIFS(Toggl_Import!$AI$10:$AI$509,Toggl_Import!$AF$10:$AF$509,"&gt;="&amp;$R43,Toggl_Import!$AF$10:$AF$509,"&lt;"&amp;$R43+Inputs!$C$18,Toggl_Import!$AH$10:$AH$509,S$21)</f>
        <v>0</v>
      </c>
      <c r="T43" s="36" t="n">
        <f aca="false">SUMIFS(Hours_Log!$E$5:$E$1004,Hours_Log!$A$5:$A$1004,"&gt;="&amp;$R43,Hours_Log!$A$5:$A$1004,"&lt;"&amp;$R43+Inputs!$C$18,Hours_Log!$D$5:$D$1004,T$21)+SUMIFS(Toggl_Import!$AI$10:$AI$509,Toggl_Import!$AF$10:$AF$509,"&gt;="&amp;$R43,Toggl_Import!$AF$10:$AF$509,"&lt;"&amp;$R43+Inputs!$C$18,Toggl_Import!$AH$10:$AH$509,T$21)</f>
        <v>0</v>
      </c>
      <c r="U43" s="36" t="n">
        <f aca="false">SUMIFS(Hours_Log!$E$5:$E$1004,Hours_Log!$A$5:$A$1004,"&gt;="&amp;$R43,Hours_Log!$A$5:$A$1004,"&lt;"&amp;$R43+Inputs!$C$18,Hours_Log!$D$5:$D$1004,U$21)+SUMIFS(Toggl_Import!$AI$10:$AI$509,Toggl_Import!$AF$10:$AF$509,"&gt;="&amp;$R43,Toggl_Import!$AF$10:$AF$509,"&lt;"&amp;$R43+Inputs!$C$18,Toggl_Import!$AH$10:$AH$509,U$21)</f>
        <v>0</v>
      </c>
      <c r="V43" s="36" t="n">
        <f aca="false">SUMIFS(Hours_Log!$E$5:$E$1004,Hours_Log!$A$5:$A$1004,"&gt;="&amp;$R43,Hours_Log!$A$5:$A$1004,"&lt;"&amp;$R43+Inputs!$C$18,Hours_Log!$D$5:$D$1004,V$21)+SUMIFS(Toggl_Import!$AI$10:$AI$509,Toggl_Import!$AF$10:$AF$509,"&gt;="&amp;$R43,Toggl_Import!$AF$10:$AF$509,"&lt;"&amp;$R43+Inputs!$C$18,Toggl_Import!$AH$10:$AH$509,V$21)</f>
        <v>0</v>
      </c>
      <c r="W43" s="36" t="n">
        <f aca="false">SUMIFS(Hours_Log!$E$5:$E$1004,Hours_Log!$A$5:$A$1004,"&gt;="&amp;$R43,Hours_Log!$A$5:$A$1004,"&lt;"&amp;$R43+Inputs!$C$18,Hours_Log!$D$5:$D$1004,W$21)+SUMIFS(Toggl_Import!$AI$10:$AI$509,Toggl_Import!$AF$10:$AF$509,"&gt;="&amp;$R43,Toggl_Import!$AF$10:$AF$509,"&lt;"&amp;$R43+Inputs!$C$18,Toggl_Import!$AH$10:$AH$509,W$21)</f>
        <v>0</v>
      </c>
      <c r="X43" s="36" t="n">
        <f aca="false">SUMIFS(Hours_Log!$E$5:$E$1004,Hours_Log!$A$5:$A$1004,"&gt;="&amp;$R43,Hours_Log!$A$5:$A$1004,"&lt;"&amp;$R43+Inputs!$C$18,Hours_Log!$D$5:$D$1004,X$21)+SUMIFS(Toggl_Import!$AI$10:$AI$509,Toggl_Import!$AF$10:$AF$509,"&gt;="&amp;$R43,Toggl_Import!$AF$10:$AF$509,"&lt;"&amp;$R43+Inputs!$C$18,Toggl_Import!$AH$10:$AH$509,X$21)</f>
        <v>0</v>
      </c>
      <c r="Y43" s="36" t="n">
        <f aca="false">SUMIFS(Hours_Log!$E$5:$E$1004,Hours_Log!$A$5:$A$1004,"&gt;="&amp;$R43,Hours_Log!$A$5:$A$1004,"&lt;"&amp;$R43+Inputs!$C$18,Hours_Log!$D$5:$D$1004,Y$21)+SUMIFS(Toggl_Import!$AI$10:$AI$509,Toggl_Import!$AF$10:$AF$509,"&gt;="&amp;$R43,Toggl_Import!$AF$10:$AF$509,"&lt;"&amp;$R43+Inputs!$C$18,Toggl_Import!$AH$10:$AH$509,Y$21)</f>
        <v>0</v>
      </c>
      <c r="Z43" s="38" t="n">
        <f aca="false">SUM(S43:Y43)</f>
        <v>0</v>
      </c>
      <c r="AA43" s="36" t="n">
        <f aca="false">SUMIFS(Hours_Log!$E$5:$E$1004,Hours_Log!$A$5:$A$1004,"&gt;="&amp;$R43,Hours_Log!$A$5:$A$1004,"&lt;"&amp;$R43+Inputs!$C$18,Hours_Log!$B$5:$B$1004,Inputs!$C$30&amp;"*")+SUMIFS(Toggl_Import!$AI$10:$AI$509,Toggl_Import!$AF$10:$AF$509,"&gt;="&amp;$R43,Toggl_Import!$AF$10:$AF$509,"&lt;"&amp;$R43+Inputs!$C$18,Toggl_Import!$AG$10:$AG$509,Inputs!$C$30&amp;"*")</f>
        <v>0</v>
      </c>
    </row>
    <row r="44" customFormat="false" ht="15" hidden="false" customHeight="false" outlineLevel="0" collapsed="false">
      <c r="A44" s="102"/>
      <c r="B44" s="103"/>
      <c r="C44" s="103"/>
      <c r="D44" s="103"/>
      <c r="E44" s="104"/>
      <c r="F44" s="103"/>
      <c r="Q44" s="30" t="n">
        <v>23</v>
      </c>
      <c r="R44" s="18" t="n">
        <f aca="false">R43+Inputs!$C$18</f>
        <v>46475</v>
      </c>
      <c r="S44" s="36" t="n">
        <f aca="false">SUMIFS(Hours_Log!$E$5:$E$1004,Hours_Log!$A$5:$A$1004,"&gt;="&amp;$R44,Hours_Log!$A$5:$A$1004,"&lt;"&amp;$R44+Inputs!$C$18,Hours_Log!$D$5:$D$1004,S$21)+SUMIFS(Toggl_Import!$AI$10:$AI$509,Toggl_Import!$AF$10:$AF$509,"&gt;="&amp;$R44,Toggl_Import!$AF$10:$AF$509,"&lt;"&amp;$R44+Inputs!$C$18,Toggl_Import!$AH$10:$AH$509,S$21)</f>
        <v>0</v>
      </c>
      <c r="T44" s="36" t="n">
        <f aca="false">SUMIFS(Hours_Log!$E$5:$E$1004,Hours_Log!$A$5:$A$1004,"&gt;="&amp;$R44,Hours_Log!$A$5:$A$1004,"&lt;"&amp;$R44+Inputs!$C$18,Hours_Log!$D$5:$D$1004,T$21)+SUMIFS(Toggl_Import!$AI$10:$AI$509,Toggl_Import!$AF$10:$AF$509,"&gt;="&amp;$R44,Toggl_Import!$AF$10:$AF$509,"&lt;"&amp;$R44+Inputs!$C$18,Toggl_Import!$AH$10:$AH$509,T$21)</f>
        <v>0</v>
      </c>
      <c r="U44" s="36" t="n">
        <f aca="false">SUMIFS(Hours_Log!$E$5:$E$1004,Hours_Log!$A$5:$A$1004,"&gt;="&amp;$R44,Hours_Log!$A$5:$A$1004,"&lt;"&amp;$R44+Inputs!$C$18,Hours_Log!$D$5:$D$1004,U$21)+SUMIFS(Toggl_Import!$AI$10:$AI$509,Toggl_Import!$AF$10:$AF$509,"&gt;="&amp;$R44,Toggl_Import!$AF$10:$AF$509,"&lt;"&amp;$R44+Inputs!$C$18,Toggl_Import!$AH$10:$AH$509,U$21)</f>
        <v>0</v>
      </c>
      <c r="V44" s="36" t="n">
        <f aca="false">SUMIFS(Hours_Log!$E$5:$E$1004,Hours_Log!$A$5:$A$1004,"&gt;="&amp;$R44,Hours_Log!$A$5:$A$1004,"&lt;"&amp;$R44+Inputs!$C$18,Hours_Log!$D$5:$D$1004,V$21)+SUMIFS(Toggl_Import!$AI$10:$AI$509,Toggl_Import!$AF$10:$AF$509,"&gt;="&amp;$R44,Toggl_Import!$AF$10:$AF$509,"&lt;"&amp;$R44+Inputs!$C$18,Toggl_Import!$AH$10:$AH$509,V$21)</f>
        <v>0</v>
      </c>
      <c r="W44" s="36" t="n">
        <f aca="false">SUMIFS(Hours_Log!$E$5:$E$1004,Hours_Log!$A$5:$A$1004,"&gt;="&amp;$R44,Hours_Log!$A$5:$A$1004,"&lt;"&amp;$R44+Inputs!$C$18,Hours_Log!$D$5:$D$1004,W$21)+SUMIFS(Toggl_Import!$AI$10:$AI$509,Toggl_Import!$AF$10:$AF$509,"&gt;="&amp;$R44,Toggl_Import!$AF$10:$AF$509,"&lt;"&amp;$R44+Inputs!$C$18,Toggl_Import!$AH$10:$AH$509,W$21)</f>
        <v>0</v>
      </c>
      <c r="X44" s="36" t="n">
        <f aca="false">SUMIFS(Hours_Log!$E$5:$E$1004,Hours_Log!$A$5:$A$1004,"&gt;="&amp;$R44,Hours_Log!$A$5:$A$1004,"&lt;"&amp;$R44+Inputs!$C$18,Hours_Log!$D$5:$D$1004,X$21)+SUMIFS(Toggl_Import!$AI$10:$AI$509,Toggl_Import!$AF$10:$AF$509,"&gt;="&amp;$R44,Toggl_Import!$AF$10:$AF$509,"&lt;"&amp;$R44+Inputs!$C$18,Toggl_Import!$AH$10:$AH$509,X$21)</f>
        <v>0</v>
      </c>
      <c r="Y44" s="36" t="n">
        <f aca="false">SUMIFS(Hours_Log!$E$5:$E$1004,Hours_Log!$A$5:$A$1004,"&gt;="&amp;$R44,Hours_Log!$A$5:$A$1004,"&lt;"&amp;$R44+Inputs!$C$18,Hours_Log!$D$5:$D$1004,Y$21)+SUMIFS(Toggl_Import!$AI$10:$AI$509,Toggl_Import!$AF$10:$AF$509,"&gt;="&amp;$R44,Toggl_Import!$AF$10:$AF$509,"&lt;"&amp;$R44+Inputs!$C$18,Toggl_Import!$AH$10:$AH$509,Y$21)</f>
        <v>0</v>
      </c>
      <c r="Z44" s="38" t="n">
        <f aca="false">SUM(S44:Y44)</f>
        <v>0</v>
      </c>
      <c r="AA44" s="36" t="n">
        <f aca="false">SUMIFS(Hours_Log!$E$5:$E$1004,Hours_Log!$A$5:$A$1004,"&gt;="&amp;$R44,Hours_Log!$A$5:$A$1004,"&lt;"&amp;$R44+Inputs!$C$18,Hours_Log!$B$5:$B$1004,Inputs!$C$30&amp;"*")+SUMIFS(Toggl_Import!$AI$10:$AI$509,Toggl_Import!$AF$10:$AF$509,"&gt;="&amp;$R44,Toggl_Import!$AF$10:$AF$509,"&lt;"&amp;$R44+Inputs!$C$18,Toggl_Import!$AG$10:$AG$509,Inputs!$C$30&amp;"*")</f>
        <v>0</v>
      </c>
    </row>
    <row r="45" customFormat="false" ht="15" hidden="false" customHeight="false" outlineLevel="0" collapsed="false">
      <c r="A45" s="102"/>
      <c r="B45" s="103"/>
      <c r="C45" s="103"/>
      <c r="D45" s="103"/>
      <c r="E45" s="104"/>
      <c r="F45" s="103"/>
      <c r="Q45" s="30" t="n">
        <v>24</v>
      </c>
      <c r="R45" s="18" t="n">
        <f aca="false">R44+Inputs!$C$18</f>
        <v>46482</v>
      </c>
      <c r="S45" s="36" t="n">
        <f aca="false">SUMIFS(Hours_Log!$E$5:$E$1004,Hours_Log!$A$5:$A$1004,"&gt;="&amp;$R45,Hours_Log!$A$5:$A$1004,"&lt;"&amp;$R45+Inputs!$C$18,Hours_Log!$D$5:$D$1004,S$21)+SUMIFS(Toggl_Import!$AI$10:$AI$509,Toggl_Import!$AF$10:$AF$509,"&gt;="&amp;$R45,Toggl_Import!$AF$10:$AF$509,"&lt;"&amp;$R45+Inputs!$C$18,Toggl_Import!$AH$10:$AH$509,S$21)</f>
        <v>0</v>
      </c>
      <c r="T45" s="36" t="n">
        <f aca="false">SUMIFS(Hours_Log!$E$5:$E$1004,Hours_Log!$A$5:$A$1004,"&gt;="&amp;$R45,Hours_Log!$A$5:$A$1004,"&lt;"&amp;$R45+Inputs!$C$18,Hours_Log!$D$5:$D$1004,T$21)+SUMIFS(Toggl_Import!$AI$10:$AI$509,Toggl_Import!$AF$10:$AF$509,"&gt;="&amp;$R45,Toggl_Import!$AF$10:$AF$509,"&lt;"&amp;$R45+Inputs!$C$18,Toggl_Import!$AH$10:$AH$509,T$21)</f>
        <v>0</v>
      </c>
      <c r="U45" s="36" t="n">
        <f aca="false">SUMIFS(Hours_Log!$E$5:$E$1004,Hours_Log!$A$5:$A$1004,"&gt;="&amp;$R45,Hours_Log!$A$5:$A$1004,"&lt;"&amp;$R45+Inputs!$C$18,Hours_Log!$D$5:$D$1004,U$21)+SUMIFS(Toggl_Import!$AI$10:$AI$509,Toggl_Import!$AF$10:$AF$509,"&gt;="&amp;$R45,Toggl_Import!$AF$10:$AF$509,"&lt;"&amp;$R45+Inputs!$C$18,Toggl_Import!$AH$10:$AH$509,U$21)</f>
        <v>0</v>
      </c>
      <c r="V45" s="36" t="n">
        <f aca="false">SUMIFS(Hours_Log!$E$5:$E$1004,Hours_Log!$A$5:$A$1004,"&gt;="&amp;$R45,Hours_Log!$A$5:$A$1004,"&lt;"&amp;$R45+Inputs!$C$18,Hours_Log!$D$5:$D$1004,V$21)+SUMIFS(Toggl_Import!$AI$10:$AI$509,Toggl_Import!$AF$10:$AF$509,"&gt;="&amp;$R45,Toggl_Import!$AF$10:$AF$509,"&lt;"&amp;$R45+Inputs!$C$18,Toggl_Import!$AH$10:$AH$509,V$21)</f>
        <v>0</v>
      </c>
      <c r="W45" s="36" t="n">
        <f aca="false">SUMIFS(Hours_Log!$E$5:$E$1004,Hours_Log!$A$5:$A$1004,"&gt;="&amp;$R45,Hours_Log!$A$5:$A$1004,"&lt;"&amp;$R45+Inputs!$C$18,Hours_Log!$D$5:$D$1004,W$21)+SUMIFS(Toggl_Import!$AI$10:$AI$509,Toggl_Import!$AF$10:$AF$509,"&gt;="&amp;$R45,Toggl_Import!$AF$10:$AF$509,"&lt;"&amp;$R45+Inputs!$C$18,Toggl_Import!$AH$10:$AH$509,W$21)</f>
        <v>0</v>
      </c>
      <c r="X45" s="36" t="n">
        <f aca="false">SUMIFS(Hours_Log!$E$5:$E$1004,Hours_Log!$A$5:$A$1004,"&gt;="&amp;$R45,Hours_Log!$A$5:$A$1004,"&lt;"&amp;$R45+Inputs!$C$18,Hours_Log!$D$5:$D$1004,X$21)+SUMIFS(Toggl_Import!$AI$10:$AI$509,Toggl_Import!$AF$10:$AF$509,"&gt;="&amp;$R45,Toggl_Import!$AF$10:$AF$509,"&lt;"&amp;$R45+Inputs!$C$18,Toggl_Import!$AH$10:$AH$509,X$21)</f>
        <v>0</v>
      </c>
      <c r="Y45" s="36" t="n">
        <f aca="false">SUMIFS(Hours_Log!$E$5:$E$1004,Hours_Log!$A$5:$A$1004,"&gt;="&amp;$R45,Hours_Log!$A$5:$A$1004,"&lt;"&amp;$R45+Inputs!$C$18,Hours_Log!$D$5:$D$1004,Y$21)+SUMIFS(Toggl_Import!$AI$10:$AI$509,Toggl_Import!$AF$10:$AF$509,"&gt;="&amp;$R45,Toggl_Import!$AF$10:$AF$509,"&lt;"&amp;$R45+Inputs!$C$18,Toggl_Import!$AH$10:$AH$509,Y$21)</f>
        <v>0</v>
      </c>
      <c r="Z45" s="38" t="n">
        <f aca="false">SUM(S45:Y45)</f>
        <v>0</v>
      </c>
      <c r="AA45" s="36" t="n">
        <f aca="false">SUMIFS(Hours_Log!$E$5:$E$1004,Hours_Log!$A$5:$A$1004,"&gt;="&amp;$R45,Hours_Log!$A$5:$A$1004,"&lt;"&amp;$R45+Inputs!$C$18,Hours_Log!$B$5:$B$1004,Inputs!$C$30&amp;"*")+SUMIFS(Toggl_Import!$AI$10:$AI$509,Toggl_Import!$AF$10:$AF$509,"&gt;="&amp;$R45,Toggl_Import!$AF$10:$AF$509,"&lt;"&amp;$R45+Inputs!$C$18,Toggl_Import!$AG$10:$AG$509,Inputs!$C$30&amp;"*")</f>
        <v>0</v>
      </c>
    </row>
    <row r="46" customFormat="false" ht="15" hidden="false" customHeight="false" outlineLevel="0" collapsed="false">
      <c r="A46" s="102"/>
      <c r="B46" s="103"/>
      <c r="C46" s="103"/>
      <c r="D46" s="103"/>
      <c r="E46" s="104"/>
      <c r="F46" s="103"/>
      <c r="Q46" s="30" t="n">
        <v>25</v>
      </c>
      <c r="R46" s="18" t="n">
        <f aca="false">R45+Inputs!$C$18</f>
        <v>46489</v>
      </c>
      <c r="S46" s="36" t="n">
        <f aca="false">SUMIFS(Hours_Log!$E$5:$E$1004,Hours_Log!$A$5:$A$1004,"&gt;="&amp;$R46,Hours_Log!$A$5:$A$1004,"&lt;"&amp;$R46+Inputs!$C$18,Hours_Log!$D$5:$D$1004,S$21)+SUMIFS(Toggl_Import!$AI$10:$AI$509,Toggl_Import!$AF$10:$AF$509,"&gt;="&amp;$R46,Toggl_Import!$AF$10:$AF$509,"&lt;"&amp;$R46+Inputs!$C$18,Toggl_Import!$AH$10:$AH$509,S$21)</f>
        <v>0</v>
      </c>
      <c r="T46" s="36" t="n">
        <f aca="false">SUMIFS(Hours_Log!$E$5:$E$1004,Hours_Log!$A$5:$A$1004,"&gt;="&amp;$R46,Hours_Log!$A$5:$A$1004,"&lt;"&amp;$R46+Inputs!$C$18,Hours_Log!$D$5:$D$1004,T$21)+SUMIFS(Toggl_Import!$AI$10:$AI$509,Toggl_Import!$AF$10:$AF$509,"&gt;="&amp;$R46,Toggl_Import!$AF$10:$AF$509,"&lt;"&amp;$R46+Inputs!$C$18,Toggl_Import!$AH$10:$AH$509,T$21)</f>
        <v>0</v>
      </c>
      <c r="U46" s="36" t="n">
        <f aca="false">SUMIFS(Hours_Log!$E$5:$E$1004,Hours_Log!$A$5:$A$1004,"&gt;="&amp;$R46,Hours_Log!$A$5:$A$1004,"&lt;"&amp;$R46+Inputs!$C$18,Hours_Log!$D$5:$D$1004,U$21)+SUMIFS(Toggl_Import!$AI$10:$AI$509,Toggl_Import!$AF$10:$AF$509,"&gt;="&amp;$R46,Toggl_Import!$AF$10:$AF$509,"&lt;"&amp;$R46+Inputs!$C$18,Toggl_Import!$AH$10:$AH$509,U$21)</f>
        <v>0</v>
      </c>
      <c r="V46" s="36" t="n">
        <f aca="false">SUMIFS(Hours_Log!$E$5:$E$1004,Hours_Log!$A$5:$A$1004,"&gt;="&amp;$R46,Hours_Log!$A$5:$A$1004,"&lt;"&amp;$R46+Inputs!$C$18,Hours_Log!$D$5:$D$1004,V$21)+SUMIFS(Toggl_Import!$AI$10:$AI$509,Toggl_Import!$AF$10:$AF$509,"&gt;="&amp;$R46,Toggl_Import!$AF$10:$AF$509,"&lt;"&amp;$R46+Inputs!$C$18,Toggl_Import!$AH$10:$AH$509,V$21)</f>
        <v>0</v>
      </c>
      <c r="W46" s="36" t="n">
        <f aca="false">SUMIFS(Hours_Log!$E$5:$E$1004,Hours_Log!$A$5:$A$1004,"&gt;="&amp;$R46,Hours_Log!$A$5:$A$1004,"&lt;"&amp;$R46+Inputs!$C$18,Hours_Log!$D$5:$D$1004,W$21)+SUMIFS(Toggl_Import!$AI$10:$AI$509,Toggl_Import!$AF$10:$AF$509,"&gt;="&amp;$R46,Toggl_Import!$AF$10:$AF$509,"&lt;"&amp;$R46+Inputs!$C$18,Toggl_Import!$AH$10:$AH$509,W$21)</f>
        <v>0</v>
      </c>
      <c r="X46" s="36" t="n">
        <f aca="false">SUMIFS(Hours_Log!$E$5:$E$1004,Hours_Log!$A$5:$A$1004,"&gt;="&amp;$R46,Hours_Log!$A$5:$A$1004,"&lt;"&amp;$R46+Inputs!$C$18,Hours_Log!$D$5:$D$1004,X$21)+SUMIFS(Toggl_Import!$AI$10:$AI$509,Toggl_Import!$AF$10:$AF$509,"&gt;="&amp;$R46,Toggl_Import!$AF$10:$AF$509,"&lt;"&amp;$R46+Inputs!$C$18,Toggl_Import!$AH$10:$AH$509,X$21)</f>
        <v>0</v>
      </c>
      <c r="Y46" s="36" t="n">
        <f aca="false">SUMIFS(Hours_Log!$E$5:$E$1004,Hours_Log!$A$5:$A$1004,"&gt;="&amp;$R46,Hours_Log!$A$5:$A$1004,"&lt;"&amp;$R46+Inputs!$C$18,Hours_Log!$D$5:$D$1004,Y$21)+SUMIFS(Toggl_Import!$AI$10:$AI$509,Toggl_Import!$AF$10:$AF$509,"&gt;="&amp;$R46,Toggl_Import!$AF$10:$AF$509,"&lt;"&amp;$R46+Inputs!$C$18,Toggl_Import!$AH$10:$AH$509,Y$21)</f>
        <v>0</v>
      </c>
      <c r="Z46" s="38" t="n">
        <f aca="false">SUM(S46:Y46)</f>
        <v>0</v>
      </c>
      <c r="AA46" s="36" t="n">
        <f aca="false">SUMIFS(Hours_Log!$E$5:$E$1004,Hours_Log!$A$5:$A$1004,"&gt;="&amp;$R46,Hours_Log!$A$5:$A$1004,"&lt;"&amp;$R46+Inputs!$C$18,Hours_Log!$B$5:$B$1004,Inputs!$C$30&amp;"*")+SUMIFS(Toggl_Import!$AI$10:$AI$509,Toggl_Import!$AF$10:$AF$509,"&gt;="&amp;$R46,Toggl_Import!$AF$10:$AF$509,"&lt;"&amp;$R46+Inputs!$C$18,Toggl_Import!$AG$10:$AG$509,Inputs!$C$30&amp;"*")</f>
        <v>0</v>
      </c>
    </row>
    <row r="47" customFormat="false" ht="15" hidden="false" customHeight="false" outlineLevel="0" collapsed="false">
      <c r="A47" s="102"/>
      <c r="B47" s="103"/>
      <c r="C47" s="103"/>
      <c r="D47" s="103"/>
      <c r="E47" s="104"/>
      <c r="F47" s="103"/>
      <c r="Q47" s="30" t="n">
        <v>26</v>
      </c>
      <c r="R47" s="18" t="n">
        <f aca="false">R46+Inputs!$C$18</f>
        <v>46496</v>
      </c>
      <c r="S47" s="36" t="n">
        <f aca="false">SUMIFS(Hours_Log!$E$5:$E$1004,Hours_Log!$A$5:$A$1004,"&gt;="&amp;$R47,Hours_Log!$A$5:$A$1004,"&lt;"&amp;$R47+Inputs!$C$18,Hours_Log!$D$5:$D$1004,S$21)+SUMIFS(Toggl_Import!$AI$10:$AI$509,Toggl_Import!$AF$10:$AF$509,"&gt;="&amp;$R47,Toggl_Import!$AF$10:$AF$509,"&lt;"&amp;$R47+Inputs!$C$18,Toggl_Import!$AH$10:$AH$509,S$21)</f>
        <v>0</v>
      </c>
      <c r="T47" s="36" t="n">
        <f aca="false">SUMIFS(Hours_Log!$E$5:$E$1004,Hours_Log!$A$5:$A$1004,"&gt;="&amp;$R47,Hours_Log!$A$5:$A$1004,"&lt;"&amp;$R47+Inputs!$C$18,Hours_Log!$D$5:$D$1004,T$21)+SUMIFS(Toggl_Import!$AI$10:$AI$509,Toggl_Import!$AF$10:$AF$509,"&gt;="&amp;$R47,Toggl_Import!$AF$10:$AF$509,"&lt;"&amp;$R47+Inputs!$C$18,Toggl_Import!$AH$10:$AH$509,T$21)</f>
        <v>0</v>
      </c>
      <c r="U47" s="36" t="n">
        <f aca="false">SUMIFS(Hours_Log!$E$5:$E$1004,Hours_Log!$A$5:$A$1004,"&gt;="&amp;$R47,Hours_Log!$A$5:$A$1004,"&lt;"&amp;$R47+Inputs!$C$18,Hours_Log!$D$5:$D$1004,U$21)+SUMIFS(Toggl_Import!$AI$10:$AI$509,Toggl_Import!$AF$10:$AF$509,"&gt;="&amp;$R47,Toggl_Import!$AF$10:$AF$509,"&lt;"&amp;$R47+Inputs!$C$18,Toggl_Import!$AH$10:$AH$509,U$21)</f>
        <v>0</v>
      </c>
      <c r="V47" s="36" t="n">
        <f aca="false">SUMIFS(Hours_Log!$E$5:$E$1004,Hours_Log!$A$5:$A$1004,"&gt;="&amp;$R47,Hours_Log!$A$5:$A$1004,"&lt;"&amp;$R47+Inputs!$C$18,Hours_Log!$D$5:$D$1004,V$21)+SUMIFS(Toggl_Import!$AI$10:$AI$509,Toggl_Import!$AF$10:$AF$509,"&gt;="&amp;$R47,Toggl_Import!$AF$10:$AF$509,"&lt;"&amp;$R47+Inputs!$C$18,Toggl_Import!$AH$10:$AH$509,V$21)</f>
        <v>0</v>
      </c>
      <c r="W47" s="36" t="n">
        <f aca="false">SUMIFS(Hours_Log!$E$5:$E$1004,Hours_Log!$A$5:$A$1004,"&gt;="&amp;$R47,Hours_Log!$A$5:$A$1004,"&lt;"&amp;$R47+Inputs!$C$18,Hours_Log!$D$5:$D$1004,W$21)+SUMIFS(Toggl_Import!$AI$10:$AI$509,Toggl_Import!$AF$10:$AF$509,"&gt;="&amp;$R47,Toggl_Import!$AF$10:$AF$509,"&lt;"&amp;$R47+Inputs!$C$18,Toggl_Import!$AH$10:$AH$509,W$21)</f>
        <v>0</v>
      </c>
      <c r="X47" s="36" t="n">
        <f aca="false">SUMIFS(Hours_Log!$E$5:$E$1004,Hours_Log!$A$5:$A$1004,"&gt;="&amp;$R47,Hours_Log!$A$5:$A$1004,"&lt;"&amp;$R47+Inputs!$C$18,Hours_Log!$D$5:$D$1004,X$21)+SUMIFS(Toggl_Import!$AI$10:$AI$509,Toggl_Import!$AF$10:$AF$509,"&gt;="&amp;$R47,Toggl_Import!$AF$10:$AF$509,"&lt;"&amp;$R47+Inputs!$C$18,Toggl_Import!$AH$10:$AH$509,X$21)</f>
        <v>0</v>
      </c>
      <c r="Y47" s="36" t="n">
        <f aca="false">SUMIFS(Hours_Log!$E$5:$E$1004,Hours_Log!$A$5:$A$1004,"&gt;="&amp;$R47,Hours_Log!$A$5:$A$1004,"&lt;"&amp;$R47+Inputs!$C$18,Hours_Log!$D$5:$D$1004,Y$21)+SUMIFS(Toggl_Import!$AI$10:$AI$509,Toggl_Import!$AF$10:$AF$509,"&gt;="&amp;$R47,Toggl_Import!$AF$10:$AF$509,"&lt;"&amp;$R47+Inputs!$C$18,Toggl_Import!$AH$10:$AH$509,Y$21)</f>
        <v>0</v>
      </c>
      <c r="Z47" s="38" t="n">
        <f aca="false">SUM(S47:Y47)</f>
        <v>0</v>
      </c>
      <c r="AA47" s="36" t="n">
        <f aca="false">SUMIFS(Hours_Log!$E$5:$E$1004,Hours_Log!$A$5:$A$1004,"&gt;="&amp;$R47,Hours_Log!$A$5:$A$1004,"&lt;"&amp;$R47+Inputs!$C$18,Hours_Log!$B$5:$B$1004,Inputs!$C$30&amp;"*")+SUMIFS(Toggl_Import!$AI$10:$AI$509,Toggl_Import!$AF$10:$AF$509,"&gt;="&amp;$R47,Toggl_Import!$AF$10:$AF$509,"&lt;"&amp;$R47+Inputs!$C$18,Toggl_Import!$AG$10:$AG$509,Inputs!$C$30&amp;"*")</f>
        <v>0</v>
      </c>
    </row>
    <row r="48" customFormat="false" ht="15" hidden="false" customHeight="false" outlineLevel="0" collapsed="false">
      <c r="A48" s="102"/>
      <c r="B48" s="103"/>
      <c r="C48" s="103"/>
      <c r="D48" s="103"/>
      <c r="E48" s="104"/>
      <c r="F48" s="103"/>
      <c r="Q48" s="30" t="s">
        <v>1085</v>
      </c>
      <c r="S48" s="38" t="n">
        <f aca="false">SUM(S22:S47)</f>
        <v>0</v>
      </c>
      <c r="T48" s="38" t="n">
        <f aca="false">SUM(T22:T47)</f>
        <v>0</v>
      </c>
      <c r="U48" s="38" t="n">
        <f aca="false">SUM(U22:U47)</f>
        <v>0</v>
      </c>
      <c r="V48" s="38" t="n">
        <f aca="false">SUM(V22:V47)</f>
        <v>0</v>
      </c>
      <c r="W48" s="38" t="n">
        <f aca="false">SUM(W22:W47)</f>
        <v>0</v>
      </c>
      <c r="X48" s="38" t="n">
        <f aca="false">SUM(X22:X47)</f>
        <v>0</v>
      </c>
      <c r="Y48" s="38" t="n">
        <f aca="false">SUM(Y22:Y47)</f>
        <v>0</v>
      </c>
      <c r="Z48" s="38" t="n">
        <f aca="false">SUM(Z22:Z47)</f>
        <v>0</v>
      </c>
      <c r="AA48" s="38" t="n">
        <f aca="false">SUM(AA22:AA47)</f>
        <v>0</v>
      </c>
    </row>
    <row r="49" customFormat="false" ht="15" hidden="false" customHeight="false" outlineLevel="0" collapsed="false">
      <c r="A49" s="102"/>
      <c r="B49" s="103"/>
      <c r="C49" s="103"/>
      <c r="D49" s="103"/>
      <c r="E49" s="104"/>
      <c r="F49" s="103"/>
    </row>
    <row r="50" customFormat="false" ht="15" hidden="false" customHeight="false" outlineLevel="0" collapsed="false">
      <c r="A50" s="102"/>
      <c r="B50" s="103"/>
      <c r="C50" s="103"/>
      <c r="D50" s="103"/>
      <c r="E50" s="104"/>
      <c r="F50" s="103"/>
      <c r="Q50" s="30" t="s">
        <v>1460</v>
      </c>
      <c r="Z50" s="22" t="n">
        <f aca="false">COUNTA(Hours_Log!$D$5:$D$1004)-SUMPRODUCT(COUNTIF(Hours_Log!$D$5:$D$1004,Lists!$C$4:$C$10))</f>
        <v>0</v>
      </c>
    </row>
    <row r="51" customFormat="false" ht="15" hidden="false" customHeight="false" outlineLevel="0" collapsed="false">
      <c r="A51" s="102"/>
      <c r="B51" s="103"/>
      <c r="C51" s="103"/>
      <c r="D51" s="103"/>
      <c r="E51" s="104"/>
      <c r="F51" s="103"/>
      <c r="Q51" s="30" t="s">
        <v>1461</v>
      </c>
      <c r="Z51" s="22" t="n">
        <f aca="false">SUMPRODUCT((Hours_Log!$B$5:$B$1004&lt;&gt;"")*(COUNTIF(Schedule!$A$7:$A$18,Hours_Log!$B$5:$B$1004)=0))</f>
        <v>0</v>
      </c>
    </row>
    <row r="52" customFormat="false" ht="15" hidden="false" customHeight="false" outlineLevel="0" collapsed="false">
      <c r="A52" s="102"/>
      <c r="B52" s="103"/>
      <c r="C52" s="103"/>
      <c r="D52" s="103"/>
      <c r="E52" s="104"/>
      <c r="F52" s="103"/>
      <c r="Q52" s="30" t="s">
        <v>1462</v>
      </c>
      <c r="Z52" s="38" t="n">
        <f aca="false">Y17-Z48</f>
        <v>0</v>
      </c>
    </row>
    <row r="53" customFormat="false" ht="15" hidden="false" customHeight="false" outlineLevel="0" collapsed="false">
      <c r="A53" s="102"/>
      <c r="B53" s="103"/>
      <c r="C53" s="103"/>
      <c r="D53" s="103"/>
      <c r="E53" s="104"/>
      <c r="F53" s="103"/>
      <c r="Q53" s="30" t="s">
        <v>1463</v>
      </c>
      <c r="Z53" s="38" t="n">
        <f aca="false">Z48-AA48</f>
        <v>0</v>
      </c>
    </row>
    <row r="54" customFormat="false" ht="15" hidden="false" customHeight="false" outlineLevel="0" collapsed="false">
      <c r="A54" s="102"/>
      <c r="B54" s="103"/>
      <c r="C54" s="103"/>
      <c r="D54" s="103"/>
      <c r="E54" s="104"/>
      <c r="F54" s="103"/>
    </row>
    <row r="55" customFormat="false" ht="15" hidden="false" customHeight="false" outlineLevel="0" collapsed="false">
      <c r="A55" s="102"/>
      <c r="B55" s="103"/>
      <c r="C55" s="103"/>
      <c r="D55" s="103"/>
      <c r="E55" s="104"/>
      <c r="F55" s="103"/>
    </row>
    <row r="56" customFormat="false" ht="15" hidden="false" customHeight="false" outlineLevel="0" collapsed="false">
      <c r="A56" s="102"/>
      <c r="B56" s="103"/>
      <c r="C56" s="103"/>
      <c r="D56" s="103"/>
      <c r="E56" s="104"/>
      <c r="F56" s="103"/>
    </row>
    <row r="57" customFormat="false" ht="15" hidden="false" customHeight="false" outlineLevel="0" collapsed="false">
      <c r="A57" s="102"/>
      <c r="B57" s="103"/>
      <c r="C57" s="103"/>
      <c r="D57" s="103"/>
      <c r="E57" s="104"/>
      <c r="F57" s="103"/>
    </row>
    <row r="58" customFormat="false" ht="15" hidden="false" customHeight="false" outlineLevel="0" collapsed="false">
      <c r="A58" s="102"/>
      <c r="B58" s="103"/>
      <c r="C58" s="103"/>
      <c r="D58" s="103"/>
      <c r="E58" s="104"/>
      <c r="F58" s="103"/>
    </row>
    <row r="59" customFormat="false" ht="15" hidden="false" customHeight="false" outlineLevel="0" collapsed="false">
      <c r="A59" s="102"/>
      <c r="B59" s="103"/>
      <c r="C59" s="103"/>
      <c r="D59" s="103"/>
      <c r="E59" s="104"/>
      <c r="F59" s="103"/>
    </row>
    <row r="60" customFormat="false" ht="15" hidden="false" customHeight="false" outlineLevel="0" collapsed="false">
      <c r="A60" s="102"/>
      <c r="B60" s="103"/>
      <c r="C60" s="103"/>
      <c r="D60" s="103"/>
      <c r="E60" s="104"/>
      <c r="F60" s="103"/>
    </row>
    <row r="61" customFormat="false" ht="15" hidden="false" customHeight="false" outlineLevel="0" collapsed="false">
      <c r="A61" s="102"/>
      <c r="B61" s="103"/>
      <c r="C61" s="103"/>
      <c r="D61" s="103"/>
      <c r="E61" s="104"/>
      <c r="F61" s="103"/>
    </row>
    <row r="62" customFormat="false" ht="15" hidden="false" customHeight="false" outlineLevel="0" collapsed="false">
      <c r="A62" s="102"/>
      <c r="B62" s="103"/>
      <c r="C62" s="103"/>
      <c r="D62" s="103"/>
      <c r="E62" s="104"/>
      <c r="F62" s="103"/>
    </row>
    <row r="63" customFormat="false" ht="15" hidden="false" customHeight="false" outlineLevel="0" collapsed="false">
      <c r="A63" s="102"/>
      <c r="B63" s="103"/>
      <c r="C63" s="103"/>
      <c r="D63" s="103"/>
      <c r="E63" s="104"/>
      <c r="F63" s="103"/>
    </row>
    <row r="64" customFormat="false" ht="15" hidden="false" customHeight="false" outlineLevel="0" collapsed="false">
      <c r="A64" s="102"/>
      <c r="B64" s="103"/>
      <c r="C64" s="103"/>
      <c r="D64" s="103"/>
      <c r="E64" s="104"/>
      <c r="F64" s="103"/>
    </row>
    <row r="65" customFormat="false" ht="15" hidden="false" customHeight="false" outlineLevel="0" collapsed="false">
      <c r="A65" s="102"/>
      <c r="B65" s="103"/>
      <c r="C65" s="103"/>
      <c r="D65" s="103"/>
      <c r="E65" s="104"/>
      <c r="F65" s="103"/>
    </row>
    <row r="66" customFormat="false" ht="15" hidden="false" customHeight="false" outlineLevel="0" collapsed="false">
      <c r="A66" s="102"/>
      <c r="B66" s="103"/>
      <c r="C66" s="103"/>
      <c r="D66" s="103"/>
      <c r="E66" s="104"/>
      <c r="F66" s="103"/>
    </row>
    <row r="67" customFormat="false" ht="15" hidden="false" customHeight="false" outlineLevel="0" collapsed="false">
      <c r="A67" s="102"/>
      <c r="B67" s="103"/>
      <c r="C67" s="103"/>
      <c r="D67" s="103"/>
      <c r="E67" s="104"/>
      <c r="F67" s="103"/>
    </row>
    <row r="68" customFormat="false" ht="15" hidden="false" customHeight="false" outlineLevel="0" collapsed="false">
      <c r="A68" s="102"/>
      <c r="B68" s="103"/>
      <c r="C68" s="103"/>
      <c r="D68" s="103"/>
      <c r="E68" s="104"/>
      <c r="F68" s="103"/>
    </row>
    <row r="69" customFormat="false" ht="15" hidden="false" customHeight="false" outlineLevel="0" collapsed="false">
      <c r="A69" s="102"/>
      <c r="B69" s="103"/>
      <c r="C69" s="103"/>
      <c r="D69" s="103"/>
      <c r="E69" s="104"/>
      <c r="F69" s="103"/>
    </row>
    <row r="70" customFormat="false" ht="15" hidden="false" customHeight="false" outlineLevel="0" collapsed="false">
      <c r="A70" s="102"/>
      <c r="B70" s="103"/>
      <c r="C70" s="103"/>
      <c r="D70" s="103"/>
      <c r="E70" s="104"/>
      <c r="F70" s="103"/>
    </row>
    <row r="71" customFormat="false" ht="15" hidden="false" customHeight="false" outlineLevel="0" collapsed="false">
      <c r="A71" s="102"/>
      <c r="B71" s="103"/>
      <c r="C71" s="103"/>
      <c r="D71" s="103"/>
      <c r="E71" s="104"/>
      <c r="F71" s="103"/>
    </row>
    <row r="72" customFormat="false" ht="15" hidden="false" customHeight="false" outlineLevel="0" collapsed="false">
      <c r="A72" s="102"/>
      <c r="B72" s="103"/>
      <c r="C72" s="103"/>
      <c r="D72" s="103"/>
      <c r="E72" s="104"/>
      <c r="F72" s="103"/>
    </row>
    <row r="73" customFormat="false" ht="15" hidden="false" customHeight="false" outlineLevel="0" collapsed="false">
      <c r="A73" s="102"/>
      <c r="B73" s="103"/>
      <c r="C73" s="103"/>
      <c r="D73" s="103"/>
      <c r="E73" s="104"/>
      <c r="F73" s="103"/>
    </row>
    <row r="74" customFormat="false" ht="15" hidden="false" customHeight="false" outlineLevel="0" collapsed="false">
      <c r="A74" s="102"/>
      <c r="B74" s="103"/>
      <c r="C74" s="103"/>
      <c r="D74" s="103"/>
      <c r="E74" s="104"/>
      <c r="F74" s="103"/>
    </row>
    <row r="75" customFormat="false" ht="15" hidden="false" customHeight="false" outlineLevel="0" collapsed="false">
      <c r="A75" s="102"/>
      <c r="B75" s="103"/>
      <c r="C75" s="103"/>
      <c r="D75" s="103"/>
      <c r="E75" s="104"/>
      <c r="F75" s="103"/>
    </row>
    <row r="76" customFormat="false" ht="15" hidden="false" customHeight="false" outlineLevel="0" collapsed="false">
      <c r="A76" s="102"/>
      <c r="B76" s="103"/>
      <c r="C76" s="103"/>
      <c r="D76" s="103"/>
      <c r="E76" s="104"/>
      <c r="F76" s="103"/>
    </row>
    <row r="77" customFormat="false" ht="15" hidden="false" customHeight="false" outlineLevel="0" collapsed="false">
      <c r="A77" s="102"/>
      <c r="B77" s="103"/>
      <c r="C77" s="103"/>
      <c r="D77" s="103"/>
      <c r="E77" s="104"/>
      <c r="F77" s="103"/>
    </row>
    <row r="78" customFormat="false" ht="15" hidden="false" customHeight="false" outlineLevel="0" collapsed="false">
      <c r="A78" s="102"/>
      <c r="B78" s="103"/>
      <c r="C78" s="103"/>
      <c r="D78" s="103"/>
      <c r="E78" s="104"/>
      <c r="F78" s="103"/>
    </row>
    <row r="79" customFormat="false" ht="15" hidden="false" customHeight="false" outlineLevel="0" collapsed="false">
      <c r="A79" s="102"/>
      <c r="B79" s="103"/>
      <c r="C79" s="103"/>
      <c r="D79" s="103"/>
      <c r="E79" s="104"/>
      <c r="F79" s="103"/>
    </row>
    <row r="80" customFormat="false" ht="15" hidden="false" customHeight="false" outlineLevel="0" collapsed="false">
      <c r="A80" s="102"/>
      <c r="B80" s="103"/>
      <c r="C80" s="103"/>
      <c r="D80" s="103"/>
      <c r="E80" s="104"/>
      <c r="F80" s="103"/>
    </row>
    <row r="81" customFormat="false" ht="15" hidden="false" customHeight="false" outlineLevel="0" collapsed="false">
      <c r="A81" s="102"/>
      <c r="B81" s="103"/>
      <c r="C81" s="103"/>
      <c r="D81" s="103"/>
      <c r="E81" s="104"/>
      <c r="F81" s="103"/>
    </row>
    <row r="82" customFormat="false" ht="15" hidden="false" customHeight="false" outlineLevel="0" collapsed="false">
      <c r="A82" s="102"/>
      <c r="B82" s="103"/>
      <c r="C82" s="103"/>
      <c r="D82" s="103"/>
      <c r="E82" s="104"/>
      <c r="F82" s="103"/>
    </row>
    <row r="83" customFormat="false" ht="15" hidden="false" customHeight="false" outlineLevel="0" collapsed="false">
      <c r="A83" s="102"/>
      <c r="B83" s="103"/>
      <c r="C83" s="103"/>
      <c r="D83" s="103"/>
      <c r="E83" s="104"/>
      <c r="F83" s="103"/>
    </row>
    <row r="84" customFormat="false" ht="15" hidden="false" customHeight="false" outlineLevel="0" collapsed="false">
      <c r="A84" s="102"/>
      <c r="B84" s="103"/>
      <c r="C84" s="103"/>
      <c r="D84" s="103"/>
      <c r="E84" s="104"/>
      <c r="F84" s="103"/>
    </row>
    <row r="85" customFormat="false" ht="15" hidden="false" customHeight="false" outlineLevel="0" collapsed="false">
      <c r="A85" s="102"/>
      <c r="B85" s="103"/>
      <c r="C85" s="103"/>
      <c r="D85" s="103"/>
      <c r="E85" s="104"/>
      <c r="F85" s="103"/>
    </row>
    <row r="86" customFormat="false" ht="15" hidden="false" customHeight="false" outlineLevel="0" collapsed="false">
      <c r="A86" s="102"/>
      <c r="B86" s="103"/>
      <c r="C86" s="103"/>
      <c r="D86" s="103"/>
      <c r="E86" s="104"/>
      <c r="F86" s="103"/>
    </row>
    <row r="87" customFormat="false" ht="15" hidden="false" customHeight="false" outlineLevel="0" collapsed="false">
      <c r="A87" s="102"/>
      <c r="B87" s="103"/>
      <c r="C87" s="103"/>
      <c r="D87" s="103"/>
      <c r="E87" s="104"/>
      <c r="F87" s="103"/>
    </row>
    <row r="88" customFormat="false" ht="15" hidden="false" customHeight="false" outlineLevel="0" collapsed="false">
      <c r="A88" s="102"/>
      <c r="B88" s="103"/>
      <c r="C88" s="103"/>
      <c r="D88" s="103"/>
      <c r="E88" s="104"/>
      <c r="F88" s="103"/>
    </row>
    <row r="89" customFormat="false" ht="15" hidden="false" customHeight="false" outlineLevel="0" collapsed="false">
      <c r="A89" s="102"/>
      <c r="B89" s="103"/>
      <c r="C89" s="103"/>
      <c r="D89" s="103"/>
      <c r="E89" s="104"/>
      <c r="F89" s="103"/>
    </row>
    <row r="90" customFormat="false" ht="15" hidden="false" customHeight="false" outlineLevel="0" collapsed="false">
      <c r="A90" s="102"/>
      <c r="B90" s="103"/>
      <c r="C90" s="103"/>
      <c r="D90" s="103"/>
      <c r="E90" s="104"/>
      <c r="F90" s="103"/>
    </row>
    <row r="91" customFormat="false" ht="15" hidden="false" customHeight="false" outlineLevel="0" collapsed="false">
      <c r="A91" s="102"/>
      <c r="B91" s="103"/>
      <c r="C91" s="103"/>
      <c r="D91" s="103"/>
      <c r="E91" s="104"/>
      <c r="F91" s="103"/>
    </row>
    <row r="92" customFormat="false" ht="15" hidden="false" customHeight="false" outlineLevel="0" collapsed="false">
      <c r="A92" s="102"/>
      <c r="B92" s="103"/>
      <c r="C92" s="103"/>
      <c r="D92" s="103"/>
      <c r="E92" s="104"/>
      <c r="F92" s="103"/>
    </row>
    <row r="93" customFormat="false" ht="15" hidden="false" customHeight="false" outlineLevel="0" collapsed="false">
      <c r="A93" s="102"/>
      <c r="B93" s="103"/>
      <c r="C93" s="103"/>
      <c r="D93" s="103"/>
      <c r="E93" s="104"/>
      <c r="F93" s="103"/>
    </row>
    <row r="94" customFormat="false" ht="15" hidden="false" customHeight="false" outlineLevel="0" collapsed="false">
      <c r="A94" s="102"/>
      <c r="B94" s="103"/>
      <c r="C94" s="103"/>
      <c r="D94" s="103"/>
      <c r="E94" s="104"/>
      <c r="F94" s="103"/>
    </row>
    <row r="95" customFormat="false" ht="15" hidden="false" customHeight="false" outlineLevel="0" collapsed="false">
      <c r="A95" s="102"/>
      <c r="B95" s="103"/>
      <c r="C95" s="103"/>
      <c r="D95" s="103"/>
      <c r="E95" s="104"/>
      <c r="F95" s="103"/>
    </row>
    <row r="96" customFormat="false" ht="15" hidden="false" customHeight="false" outlineLevel="0" collapsed="false">
      <c r="A96" s="102"/>
      <c r="B96" s="103"/>
      <c r="C96" s="103"/>
      <c r="D96" s="103"/>
      <c r="E96" s="104"/>
      <c r="F96" s="103"/>
    </row>
    <row r="97" customFormat="false" ht="15" hidden="false" customHeight="false" outlineLevel="0" collapsed="false">
      <c r="A97" s="102"/>
      <c r="B97" s="103"/>
      <c r="C97" s="103"/>
      <c r="D97" s="103"/>
      <c r="E97" s="104"/>
      <c r="F97" s="103"/>
    </row>
    <row r="98" customFormat="false" ht="15" hidden="false" customHeight="false" outlineLevel="0" collapsed="false">
      <c r="A98" s="102"/>
      <c r="B98" s="103"/>
      <c r="C98" s="103"/>
      <c r="D98" s="103"/>
      <c r="E98" s="104"/>
      <c r="F98" s="103"/>
    </row>
    <row r="99" customFormat="false" ht="15" hidden="false" customHeight="false" outlineLevel="0" collapsed="false">
      <c r="A99" s="102"/>
      <c r="B99" s="103"/>
      <c r="C99" s="103"/>
      <c r="D99" s="103"/>
      <c r="E99" s="104"/>
      <c r="F99" s="103"/>
    </row>
    <row r="100" customFormat="false" ht="15" hidden="false" customHeight="false" outlineLevel="0" collapsed="false">
      <c r="A100" s="102"/>
      <c r="B100" s="103"/>
      <c r="C100" s="103"/>
      <c r="D100" s="103"/>
      <c r="E100" s="104"/>
      <c r="F100" s="103"/>
    </row>
    <row r="101" customFormat="false" ht="15" hidden="false" customHeight="false" outlineLevel="0" collapsed="false">
      <c r="A101" s="102"/>
      <c r="B101" s="103"/>
      <c r="C101" s="103"/>
      <c r="D101" s="103"/>
      <c r="E101" s="104"/>
      <c r="F101" s="103"/>
    </row>
    <row r="102" customFormat="false" ht="15" hidden="false" customHeight="false" outlineLevel="0" collapsed="false">
      <c r="A102" s="102"/>
      <c r="B102" s="103"/>
      <c r="C102" s="103"/>
      <c r="D102" s="103"/>
      <c r="E102" s="104"/>
      <c r="F102" s="103"/>
    </row>
    <row r="103" customFormat="false" ht="15" hidden="false" customHeight="false" outlineLevel="0" collapsed="false">
      <c r="A103" s="102"/>
      <c r="B103" s="103"/>
      <c r="C103" s="103"/>
      <c r="D103" s="103"/>
      <c r="E103" s="104"/>
      <c r="F103" s="103"/>
    </row>
    <row r="104" customFormat="false" ht="15" hidden="false" customHeight="false" outlineLevel="0" collapsed="false">
      <c r="A104" s="102"/>
      <c r="B104" s="103"/>
      <c r="C104" s="103"/>
      <c r="D104" s="103"/>
      <c r="E104" s="104"/>
      <c r="F104" s="103"/>
    </row>
    <row r="105" customFormat="false" ht="15" hidden="false" customHeight="false" outlineLevel="0" collapsed="false">
      <c r="A105" s="102"/>
      <c r="B105" s="103"/>
      <c r="C105" s="103"/>
      <c r="D105" s="103"/>
      <c r="E105" s="104"/>
      <c r="F105" s="103"/>
    </row>
    <row r="106" customFormat="false" ht="15" hidden="false" customHeight="false" outlineLevel="0" collapsed="false">
      <c r="A106" s="102"/>
      <c r="B106" s="103"/>
      <c r="C106" s="103"/>
      <c r="D106" s="103"/>
      <c r="E106" s="104"/>
      <c r="F106" s="103"/>
    </row>
    <row r="107" customFormat="false" ht="15" hidden="false" customHeight="false" outlineLevel="0" collapsed="false">
      <c r="A107" s="102"/>
      <c r="B107" s="103"/>
      <c r="C107" s="103"/>
      <c r="D107" s="103"/>
      <c r="E107" s="104"/>
      <c r="F107" s="103"/>
    </row>
    <row r="108" customFormat="false" ht="15" hidden="false" customHeight="false" outlineLevel="0" collapsed="false">
      <c r="A108" s="102"/>
      <c r="B108" s="103"/>
      <c r="C108" s="103"/>
      <c r="D108" s="103"/>
      <c r="E108" s="104"/>
      <c r="F108" s="103"/>
    </row>
    <row r="109" customFormat="false" ht="15" hidden="false" customHeight="false" outlineLevel="0" collapsed="false">
      <c r="A109" s="102"/>
      <c r="B109" s="103"/>
      <c r="C109" s="103"/>
      <c r="D109" s="103"/>
      <c r="E109" s="104"/>
      <c r="F109" s="103"/>
    </row>
    <row r="110" customFormat="false" ht="15" hidden="false" customHeight="false" outlineLevel="0" collapsed="false">
      <c r="A110" s="102"/>
      <c r="B110" s="103"/>
      <c r="C110" s="103"/>
      <c r="D110" s="103"/>
      <c r="E110" s="104"/>
      <c r="F110" s="103"/>
    </row>
    <row r="111" customFormat="false" ht="15" hidden="false" customHeight="false" outlineLevel="0" collapsed="false">
      <c r="A111" s="102"/>
      <c r="B111" s="103"/>
      <c r="C111" s="103"/>
      <c r="D111" s="103"/>
      <c r="E111" s="104"/>
      <c r="F111" s="103"/>
    </row>
    <row r="112" customFormat="false" ht="15" hidden="false" customHeight="false" outlineLevel="0" collapsed="false">
      <c r="A112" s="102"/>
      <c r="B112" s="103"/>
      <c r="C112" s="103"/>
      <c r="D112" s="103"/>
      <c r="E112" s="104"/>
      <c r="F112" s="103"/>
    </row>
    <row r="113" customFormat="false" ht="15" hidden="false" customHeight="false" outlineLevel="0" collapsed="false">
      <c r="A113" s="102"/>
      <c r="B113" s="103"/>
      <c r="C113" s="103"/>
      <c r="D113" s="103"/>
      <c r="E113" s="104"/>
      <c r="F113" s="103"/>
    </row>
    <row r="114" customFormat="false" ht="15" hidden="false" customHeight="false" outlineLevel="0" collapsed="false">
      <c r="A114" s="102"/>
      <c r="B114" s="103"/>
      <c r="C114" s="103"/>
      <c r="D114" s="103"/>
      <c r="E114" s="104"/>
      <c r="F114" s="103"/>
    </row>
    <row r="115" customFormat="false" ht="15" hidden="false" customHeight="false" outlineLevel="0" collapsed="false">
      <c r="A115" s="102"/>
      <c r="B115" s="103"/>
      <c r="C115" s="103"/>
      <c r="D115" s="103"/>
      <c r="E115" s="104"/>
      <c r="F115" s="103"/>
    </row>
    <row r="116" customFormat="false" ht="15" hidden="false" customHeight="false" outlineLevel="0" collapsed="false">
      <c r="A116" s="102"/>
      <c r="B116" s="103"/>
      <c r="C116" s="103"/>
      <c r="D116" s="103"/>
      <c r="E116" s="104"/>
      <c r="F116" s="103"/>
    </row>
    <row r="117" customFormat="false" ht="15" hidden="false" customHeight="false" outlineLevel="0" collapsed="false">
      <c r="A117" s="102"/>
      <c r="B117" s="103"/>
      <c r="C117" s="103"/>
      <c r="D117" s="103"/>
      <c r="E117" s="104"/>
      <c r="F117" s="103"/>
    </row>
    <row r="118" customFormat="false" ht="15" hidden="false" customHeight="false" outlineLevel="0" collapsed="false">
      <c r="A118" s="102"/>
      <c r="B118" s="103"/>
      <c r="C118" s="103"/>
      <c r="D118" s="103"/>
      <c r="E118" s="104"/>
      <c r="F118" s="103"/>
    </row>
    <row r="119" customFormat="false" ht="15" hidden="false" customHeight="false" outlineLevel="0" collapsed="false">
      <c r="A119" s="102"/>
      <c r="B119" s="103"/>
      <c r="C119" s="103"/>
      <c r="D119" s="103"/>
      <c r="E119" s="104"/>
      <c r="F119" s="103"/>
    </row>
    <row r="120" customFormat="false" ht="15" hidden="false" customHeight="false" outlineLevel="0" collapsed="false">
      <c r="A120" s="102"/>
      <c r="B120" s="103"/>
      <c r="C120" s="103"/>
      <c r="D120" s="103"/>
      <c r="E120" s="104"/>
      <c r="F120" s="103"/>
    </row>
    <row r="121" customFormat="false" ht="15" hidden="false" customHeight="false" outlineLevel="0" collapsed="false">
      <c r="A121" s="102"/>
      <c r="B121" s="103"/>
      <c r="C121" s="103"/>
      <c r="D121" s="103"/>
      <c r="E121" s="104"/>
      <c r="F121" s="103"/>
    </row>
    <row r="122" customFormat="false" ht="15" hidden="false" customHeight="false" outlineLevel="0" collapsed="false">
      <c r="A122" s="102"/>
      <c r="B122" s="103"/>
      <c r="C122" s="103"/>
      <c r="D122" s="103"/>
      <c r="E122" s="104"/>
      <c r="F122" s="103"/>
    </row>
    <row r="123" customFormat="false" ht="15" hidden="false" customHeight="false" outlineLevel="0" collapsed="false">
      <c r="A123" s="102"/>
      <c r="B123" s="103"/>
      <c r="C123" s="103"/>
      <c r="D123" s="103"/>
      <c r="E123" s="104"/>
      <c r="F123" s="103"/>
    </row>
    <row r="124" customFormat="false" ht="15" hidden="false" customHeight="false" outlineLevel="0" collapsed="false">
      <c r="A124" s="102"/>
      <c r="B124" s="103"/>
      <c r="C124" s="103"/>
      <c r="D124" s="103"/>
      <c r="E124" s="104"/>
      <c r="F124" s="103"/>
    </row>
    <row r="125" customFormat="false" ht="15" hidden="false" customHeight="false" outlineLevel="0" collapsed="false">
      <c r="A125" s="102"/>
      <c r="B125" s="103"/>
      <c r="C125" s="103"/>
      <c r="D125" s="103"/>
      <c r="E125" s="104"/>
      <c r="F125" s="103"/>
    </row>
    <row r="126" customFormat="false" ht="15" hidden="false" customHeight="false" outlineLevel="0" collapsed="false">
      <c r="A126" s="102"/>
      <c r="B126" s="103"/>
      <c r="C126" s="103"/>
      <c r="D126" s="103"/>
      <c r="E126" s="104"/>
      <c r="F126" s="103"/>
    </row>
    <row r="127" customFormat="false" ht="15" hidden="false" customHeight="false" outlineLevel="0" collapsed="false">
      <c r="A127" s="102"/>
      <c r="B127" s="103"/>
      <c r="C127" s="103"/>
      <c r="D127" s="103"/>
      <c r="E127" s="104"/>
      <c r="F127" s="103"/>
    </row>
    <row r="128" customFormat="false" ht="15" hidden="false" customHeight="false" outlineLevel="0" collapsed="false">
      <c r="A128" s="102"/>
      <c r="B128" s="103"/>
      <c r="C128" s="103"/>
      <c r="D128" s="103"/>
      <c r="E128" s="104"/>
      <c r="F128" s="103"/>
    </row>
    <row r="129" customFormat="false" ht="15" hidden="false" customHeight="false" outlineLevel="0" collapsed="false">
      <c r="A129" s="102"/>
      <c r="B129" s="103"/>
      <c r="C129" s="103"/>
      <c r="D129" s="103"/>
      <c r="E129" s="104"/>
      <c r="F129" s="103"/>
    </row>
    <row r="130" customFormat="false" ht="15" hidden="false" customHeight="false" outlineLevel="0" collapsed="false">
      <c r="A130" s="102"/>
      <c r="B130" s="103"/>
      <c r="C130" s="103"/>
      <c r="D130" s="103"/>
      <c r="E130" s="104"/>
      <c r="F130" s="103"/>
    </row>
    <row r="131" customFormat="false" ht="15" hidden="false" customHeight="false" outlineLevel="0" collapsed="false">
      <c r="A131" s="102"/>
      <c r="B131" s="103"/>
      <c r="C131" s="103"/>
      <c r="D131" s="103"/>
      <c r="E131" s="104"/>
      <c r="F131" s="103"/>
    </row>
    <row r="132" customFormat="false" ht="15" hidden="false" customHeight="false" outlineLevel="0" collapsed="false">
      <c r="A132" s="102"/>
      <c r="B132" s="103"/>
      <c r="C132" s="103"/>
      <c r="D132" s="103"/>
      <c r="E132" s="104"/>
      <c r="F132" s="103"/>
    </row>
    <row r="133" customFormat="false" ht="15" hidden="false" customHeight="false" outlineLevel="0" collapsed="false">
      <c r="A133" s="102"/>
      <c r="B133" s="103"/>
      <c r="C133" s="103"/>
      <c r="D133" s="103"/>
      <c r="E133" s="104"/>
      <c r="F133" s="103"/>
    </row>
    <row r="134" customFormat="false" ht="15" hidden="false" customHeight="false" outlineLevel="0" collapsed="false">
      <c r="A134" s="102"/>
      <c r="B134" s="103"/>
      <c r="C134" s="103"/>
      <c r="D134" s="103"/>
      <c r="E134" s="104"/>
      <c r="F134" s="103"/>
    </row>
    <row r="135" customFormat="false" ht="15" hidden="false" customHeight="false" outlineLevel="0" collapsed="false">
      <c r="A135" s="102"/>
      <c r="B135" s="103"/>
      <c r="C135" s="103"/>
      <c r="D135" s="103"/>
      <c r="E135" s="104"/>
      <c r="F135" s="103"/>
    </row>
    <row r="136" customFormat="false" ht="15" hidden="false" customHeight="false" outlineLevel="0" collapsed="false">
      <c r="A136" s="102"/>
      <c r="B136" s="103"/>
      <c r="C136" s="103"/>
      <c r="D136" s="103"/>
      <c r="E136" s="104"/>
      <c r="F136" s="103"/>
    </row>
    <row r="137" customFormat="false" ht="15" hidden="false" customHeight="false" outlineLevel="0" collapsed="false">
      <c r="A137" s="102"/>
      <c r="B137" s="103"/>
      <c r="C137" s="103"/>
      <c r="D137" s="103"/>
      <c r="E137" s="104"/>
      <c r="F137" s="103"/>
    </row>
    <row r="138" customFormat="false" ht="15" hidden="false" customHeight="false" outlineLevel="0" collapsed="false">
      <c r="A138" s="102"/>
      <c r="B138" s="103"/>
      <c r="C138" s="103"/>
      <c r="D138" s="103"/>
      <c r="E138" s="104"/>
      <c r="F138" s="103"/>
    </row>
    <row r="139" customFormat="false" ht="15" hidden="false" customHeight="false" outlineLevel="0" collapsed="false">
      <c r="A139" s="102"/>
      <c r="B139" s="103"/>
      <c r="C139" s="103"/>
      <c r="D139" s="103"/>
      <c r="E139" s="104"/>
      <c r="F139" s="103"/>
    </row>
    <row r="140" customFormat="false" ht="15" hidden="false" customHeight="false" outlineLevel="0" collapsed="false">
      <c r="A140" s="102"/>
      <c r="B140" s="103"/>
      <c r="C140" s="103"/>
      <c r="D140" s="103"/>
      <c r="E140" s="104"/>
      <c r="F140" s="103"/>
    </row>
    <row r="141" customFormat="false" ht="15" hidden="false" customHeight="false" outlineLevel="0" collapsed="false">
      <c r="A141" s="102"/>
      <c r="B141" s="103"/>
      <c r="C141" s="103"/>
      <c r="D141" s="103"/>
      <c r="E141" s="104"/>
      <c r="F141" s="103"/>
    </row>
    <row r="142" customFormat="false" ht="15" hidden="false" customHeight="false" outlineLevel="0" collapsed="false">
      <c r="A142" s="102"/>
      <c r="B142" s="103"/>
      <c r="C142" s="103"/>
      <c r="D142" s="103"/>
      <c r="E142" s="104"/>
      <c r="F142" s="103"/>
    </row>
    <row r="143" customFormat="false" ht="15" hidden="false" customHeight="false" outlineLevel="0" collapsed="false">
      <c r="A143" s="102"/>
      <c r="B143" s="103"/>
      <c r="C143" s="103"/>
      <c r="D143" s="103"/>
      <c r="E143" s="104"/>
      <c r="F143" s="103"/>
    </row>
    <row r="144" customFormat="false" ht="15" hidden="false" customHeight="false" outlineLevel="0" collapsed="false">
      <c r="A144" s="102"/>
      <c r="B144" s="103"/>
      <c r="C144" s="103"/>
      <c r="D144" s="103"/>
      <c r="E144" s="104"/>
      <c r="F144" s="103"/>
    </row>
    <row r="145" customFormat="false" ht="15" hidden="false" customHeight="false" outlineLevel="0" collapsed="false">
      <c r="A145" s="102"/>
      <c r="B145" s="103"/>
      <c r="C145" s="103"/>
      <c r="D145" s="103"/>
      <c r="E145" s="104"/>
      <c r="F145" s="103"/>
    </row>
    <row r="146" customFormat="false" ht="15" hidden="false" customHeight="false" outlineLevel="0" collapsed="false">
      <c r="A146" s="102"/>
      <c r="B146" s="103"/>
      <c r="C146" s="103"/>
      <c r="D146" s="103"/>
      <c r="E146" s="104"/>
      <c r="F146" s="103"/>
    </row>
    <row r="147" customFormat="false" ht="15" hidden="false" customHeight="false" outlineLevel="0" collapsed="false">
      <c r="A147" s="102"/>
      <c r="B147" s="103"/>
      <c r="C147" s="103"/>
      <c r="D147" s="103"/>
      <c r="E147" s="104"/>
      <c r="F147" s="103"/>
    </row>
    <row r="148" customFormat="false" ht="15" hidden="false" customHeight="false" outlineLevel="0" collapsed="false">
      <c r="A148" s="102"/>
      <c r="B148" s="103"/>
      <c r="C148" s="103"/>
      <c r="D148" s="103"/>
      <c r="E148" s="104"/>
      <c r="F148" s="103"/>
    </row>
    <row r="149" customFormat="false" ht="15" hidden="false" customHeight="false" outlineLevel="0" collapsed="false">
      <c r="A149" s="102"/>
      <c r="B149" s="103"/>
      <c r="C149" s="103"/>
      <c r="D149" s="103"/>
      <c r="E149" s="104"/>
      <c r="F149" s="103"/>
    </row>
    <row r="150" customFormat="false" ht="15" hidden="false" customHeight="false" outlineLevel="0" collapsed="false">
      <c r="A150" s="102"/>
      <c r="B150" s="103"/>
      <c r="C150" s="103"/>
      <c r="D150" s="103"/>
      <c r="E150" s="104"/>
      <c r="F150" s="103"/>
    </row>
    <row r="151" customFormat="false" ht="15" hidden="false" customHeight="false" outlineLevel="0" collapsed="false">
      <c r="A151" s="102"/>
      <c r="B151" s="103"/>
      <c r="C151" s="103"/>
      <c r="D151" s="103"/>
      <c r="E151" s="104"/>
      <c r="F151" s="103"/>
    </row>
    <row r="152" customFormat="false" ht="15" hidden="false" customHeight="false" outlineLevel="0" collapsed="false">
      <c r="A152" s="102"/>
      <c r="B152" s="103"/>
      <c r="C152" s="103"/>
      <c r="D152" s="103"/>
      <c r="E152" s="104"/>
      <c r="F152" s="103"/>
    </row>
    <row r="153" customFormat="false" ht="15" hidden="false" customHeight="false" outlineLevel="0" collapsed="false">
      <c r="A153" s="102"/>
      <c r="B153" s="103"/>
      <c r="C153" s="103"/>
      <c r="D153" s="103"/>
      <c r="E153" s="104"/>
      <c r="F153" s="103"/>
    </row>
    <row r="154" customFormat="false" ht="15" hidden="false" customHeight="false" outlineLevel="0" collapsed="false">
      <c r="A154" s="102"/>
      <c r="B154" s="103"/>
      <c r="C154" s="103"/>
      <c r="D154" s="103"/>
      <c r="E154" s="104"/>
      <c r="F154" s="103"/>
    </row>
    <row r="155" customFormat="false" ht="15" hidden="false" customHeight="false" outlineLevel="0" collapsed="false">
      <c r="A155" s="102"/>
      <c r="B155" s="103"/>
      <c r="C155" s="103"/>
      <c r="D155" s="103"/>
      <c r="E155" s="104"/>
      <c r="F155" s="103"/>
    </row>
    <row r="156" customFormat="false" ht="15" hidden="false" customHeight="false" outlineLevel="0" collapsed="false">
      <c r="A156" s="102"/>
      <c r="B156" s="103"/>
      <c r="C156" s="103"/>
      <c r="D156" s="103"/>
      <c r="E156" s="104"/>
      <c r="F156" s="103"/>
    </row>
    <row r="157" customFormat="false" ht="15" hidden="false" customHeight="false" outlineLevel="0" collapsed="false">
      <c r="A157" s="102"/>
      <c r="B157" s="103"/>
      <c r="C157" s="103"/>
      <c r="D157" s="103"/>
      <c r="E157" s="104"/>
      <c r="F157" s="103"/>
    </row>
    <row r="158" customFormat="false" ht="15" hidden="false" customHeight="false" outlineLevel="0" collapsed="false">
      <c r="A158" s="102"/>
      <c r="B158" s="103"/>
      <c r="C158" s="103"/>
      <c r="D158" s="103"/>
      <c r="E158" s="104"/>
      <c r="F158" s="103"/>
    </row>
    <row r="159" customFormat="false" ht="15" hidden="false" customHeight="false" outlineLevel="0" collapsed="false">
      <c r="A159" s="102"/>
      <c r="B159" s="103"/>
      <c r="C159" s="103"/>
      <c r="D159" s="103"/>
      <c r="E159" s="104"/>
      <c r="F159" s="103"/>
    </row>
    <row r="160" customFormat="false" ht="15" hidden="false" customHeight="false" outlineLevel="0" collapsed="false">
      <c r="A160" s="102"/>
      <c r="B160" s="103"/>
      <c r="C160" s="103"/>
      <c r="D160" s="103"/>
      <c r="E160" s="104"/>
      <c r="F160" s="103"/>
    </row>
    <row r="161" customFormat="false" ht="15" hidden="false" customHeight="false" outlineLevel="0" collapsed="false">
      <c r="A161" s="102"/>
      <c r="B161" s="103"/>
      <c r="C161" s="103"/>
      <c r="D161" s="103"/>
      <c r="E161" s="104"/>
      <c r="F161" s="103"/>
    </row>
    <row r="162" customFormat="false" ht="15" hidden="false" customHeight="false" outlineLevel="0" collapsed="false">
      <c r="A162" s="102"/>
      <c r="B162" s="103"/>
      <c r="C162" s="103"/>
      <c r="D162" s="103"/>
      <c r="E162" s="104"/>
      <c r="F162" s="103"/>
    </row>
    <row r="163" customFormat="false" ht="15" hidden="false" customHeight="false" outlineLevel="0" collapsed="false">
      <c r="A163" s="102"/>
      <c r="B163" s="103"/>
      <c r="C163" s="103"/>
      <c r="D163" s="103"/>
      <c r="E163" s="104"/>
      <c r="F163" s="103"/>
    </row>
    <row r="164" customFormat="false" ht="15" hidden="false" customHeight="false" outlineLevel="0" collapsed="false">
      <c r="A164" s="102"/>
      <c r="B164" s="103"/>
      <c r="C164" s="103"/>
      <c r="D164" s="103"/>
      <c r="E164" s="104"/>
      <c r="F164" s="103"/>
    </row>
    <row r="165" customFormat="false" ht="15" hidden="false" customHeight="false" outlineLevel="0" collapsed="false">
      <c r="A165" s="102"/>
      <c r="B165" s="103"/>
      <c r="C165" s="103"/>
      <c r="D165" s="103"/>
      <c r="E165" s="104"/>
      <c r="F165" s="103"/>
    </row>
    <row r="166" customFormat="false" ht="15" hidden="false" customHeight="false" outlineLevel="0" collapsed="false">
      <c r="A166" s="102"/>
      <c r="B166" s="103"/>
      <c r="C166" s="103"/>
      <c r="D166" s="103"/>
      <c r="E166" s="104"/>
      <c r="F166" s="103"/>
    </row>
    <row r="167" customFormat="false" ht="15" hidden="false" customHeight="false" outlineLevel="0" collapsed="false">
      <c r="A167" s="102"/>
      <c r="B167" s="103"/>
      <c r="C167" s="103"/>
      <c r="D167" s="103"/>
      <c r="E167" s="104"/>
      <c r="F167" s="103"/>
    </row>
    <row r="168" customFormat="false" ht="15" hidden="false" customHeight="false" outlineLevel="0" collapsed="false">
      <c r="A168" s="102"/>
      <c r="B168" s="103"/>
      <c r="C168" s="103"/>
      <c r="D168" s="103"/>
      <c r="E168" s="104"/>
      <c r="F168" s="103"/>
    </row>
    <row r="169" customFormat="false" ht="15" hidden="false" customHeight="false" outlineLevel="0" collapsed="false">
      <c r="A169" s="102"/>
      <c r="B169" s="103"/>
      <c r="C169" s="103"/>
      <c r="D169" s="103"/>
      <c r="E169" s="104"/>
      <c r="F169" s="103"/>
    </row>
    <row r="170" customFormat="false" ht="15" hidden="false" customHeight="false" outlineLevel="0" collapsed="false">
      <c r="A170" s="102"/>
      <c r="B170" s="103"/>
      <c r="C170" s="103"/>
      <c r="D170" s="103"/>
      <c r="E170" s="104"/>
      <c r="F170" s="103"/>
    </row>
    <row r="171" customFormat="false" ht="15" hidden="false" customHeight="false" outlineLevel="0" collapsed="false">
      <c r="A171" s="102"/>
      <c r="B171" s="103"/>
      <c r="C171" s="103"/>
      <c r="D171" s="103"/>
      <c r="E171" s="104"/>
      <c r="F171" s="103"/>
    </row>
    <row r="172" customFormat="false" ht="15" hidden="false" customHeight="false" outlineLevel="0" collapsed="false">
      <c r="A172" s="102"/>
      <c r="B172" s="103"/>
      <c r="C172" s="103"/>
      <c r="D172" s="103"/>
      <c r="E172" s="104"/>
      <c r="F172" s="103"/>
    </row>
    <row r="173" customFormat="false" ht="15" hidden="false" customHeight="false" outlineLevel="0" collapsed="false">
      <c r="A173" s="102"/>
      <c r="B173" s="103"/>
      <c r="C173" s="103"/>
      <c r="D173" s="103"/>
      <c r="E173" s="104"/>
      <c r="F173" s="103"/>
    </row>
    <row r="174" customFormat="false" ht="15" hidden="false" customHeight="false" outlineLevel="0" collapsed="false">
      <c r="A174" s="102"/>
      <c r="B174" s="103"/>
      <c r="C174" s="103"/>
      <c r="D174" s="103"/>
      <c r="E174" s="104"/>
      <c r="F174" s="103"/>
    </row>
    <row r="175" customFormat="false" ht="15" hidden="false" customHeight="false" outlineLevel="0" collapsed="false">
      <c r="A175" s="102"/>
      <c r="B175" s="103"/>
      <c r="C175" s="103"/>
      <c r="D175" s="103"/>
      <c r="E175" s="104"/>
      <c r="F175" s="103"/>
    </row>
    <row r="176" customFormat="false" ht="15" hidden="false" customHeight="false" outlineLevel="0" collapsed="false">
      <c r="A176" s="102"/>
      <c r="B176" s="103"/>
      <c r="C176" s="103"/>
      <c r="D176" s="103"/>
      <c r="E176" s="104"/>
      <c r="F176" s="103"/>
    </row>
    <row r="177" customFormat="false" ht="15" hidden="false" customHeight="false" outlineLevel="0" collapsed="false">
      <c r="A177" s="102"/>
      <c r="B177" s="103"/>
      <c r="C177" s="103"/>
      <c r="D177" s="103"/>
      <c r="E177" s="104"/>
      <c r="F177" s="103"/>
    </row>
    <row r="178" customFormat="false" ht="15" hidden="false" customHeight="false" outlineLevel="0" collapsed="false">
      <c r="A178" s="102"/>
      <c r="B178" s="103"/>
      <c r="C178" s="103"/>
      <c r="D178" s="103"/>
      <c r="E178" s="104"/>
      <c r="F178" s="103"/>
    </row>
    <row r="179" customFormat="false" ht="15" hidden="false" customHeight="false" outlineLevel="0" collapsed="false">
      <c r="A179" s="102"/>
      <c r="B179" s="103"/>
      <c r="C179" s="103"/>
      <c r="D179" s="103"/>
      <c r="E179" s="104"/>
      <c r="F179" s="103"/>
    </row>
    <row r="180" customFormat="false" ht="15" hidden="false" customHeight="false" outlineLevel="0" collapsed="false">
      <c r="A180" s="102"/>
      <c r="B180" s="103"/>
      <c r="C180" s="103"/>
      <c r="D180" s="103"/>
      <c r="E180" s="104"/>
      <c r="F180" s="103"/>
    </row>
    <row r="181" customFormat="false" ht="15" hidden="false" customHeight="false" outlineLevel="0" collapsed="false">
      <c r="A181" s="102"/>
      <c r="B181" s="103"/>
      <c r="C181" s="103"/>
      <c r="D181" s="103"/>
      <c r="E181" s="104"/>
      <c r="F181" s="103"/>
    </row>
    <row r="182" customFormat="false" ht="15" hidden="false" customHeight="false" outlineLevel="0" collapsed="false">
      <c r="A182" s="102"/>
      <c r="B182" s="103"/>
      <c r="C182" s="103"/>
      <c r="D182" s="103"/>
      <c r="E182" s="104"/>
      <c r="F182" s="103"/>
    </row>
    <row r="183" customFormat="false" ht="15" hidden="false" customHeight="false" outlineLevel="0" collapsed="false">
      <c r="A183" s="102"/>
      <c r="B183" s="103"/>
      <c r="C183" s="103"/>
      <c r="D183" s="103"/>
      <c r="E183" s="104"/>
      <c r="F183" s="103"/>
    </row>
    <row r="184" customFormat="false" ht="15" hidden="false" customHeight="false" outlineLevel="0" collapsed="false">
      <c r="A184" s="102"/>
      <c r="B184" s="103"/>
      <c r="C184" s="103"/>
      <c r="D184" s="103"/>
      <c r="E184" s="104"/>
      <c r="F184" s="103"/>
    </row>
    <row r="185" customFormat="false" ht="15" hidden="false" customHeight="false" outlineLevel="0" collapsed="false">
      <c r="A185" s="102"/>
      <c r="B185" s="103"/>
      <c r="C185" s="103"/>
      <c r="D185" s="103"/>
      <c r="E185" s="104"/>
      <c r="F185" s="103"/>
    </row>
    <row r="186" customFormat="false" ht="15" hidden="false" customHeight="false" outlineLevel="0" collapsed="false">
      <c r="A186" s="102"/>
      <c r="B186" s="103"/>
      <c r="C186" s="103"/>
      <c r="D186" s="103"/>
      <c r="E186" s="104"/>
      <c r="F186" s="103"/>
    </row>
    <row r="187" customFormat="false" ht="15" hidden="false" customHeight="false" outlineLevel="0" collapsed="false">
      <c r="A187" s="102"/>
      <c r="B187" s="103"/>
      <c r="C187" s="103"/>
      <c r="D187" s="103"/>
      <c r="E187" s="104"/>
      <c r="F187" s="103"/>
    </row>
    <row r="188" customFormat="false" ht="15" hidden="false" customHeight="false" outlineLevel="0" collapsed="false">
      <c r="A188" s="102"/>
      <c r="B188" s="103"/>
      <c r="C188" s="103"/>
      <c r="D188" s="103"/>
      <c r="E188" s="104"/>
      <c r="F188" s="103"/>
    </row>
    <row r="189" customFormat="false" ht="15" hidden="false" customHeight="false" outlineLevel="0" collapsed="false">
      <c r="A189" s="102"/>
      <c r="B189" s="103"/>
      <c r="C189" s="103"/>
      <c r="D189" s="103"/>
      <c r="E189" s="104"/>
      <c r="F189" s="103"/>
    </row>
    <row r="190" customFormat="false" ht="15" hidden="false" customHeight="false" outlineLevel="0" collapsed="false">
      <c r="A190" s="102"/>
      <c r="B190" s="103"/>
      <c r="C190" s="103"/>
      <c r="D190" s="103"/>
      <c r="E190" s="104"/>
      <c r="F190" s="103"/>
    </row>
    <row r="191" customFormat="false" ht="15" hidden="false" customHeight="false" outlineLevel="0" collapsed="false">
      <c r="A191" s="102"/>
      <c r="B191" s="103"/>
      <c r="C191" s="103"/>
      <c r="D191" s="103"/>
      <c r="E191" s="104"/>
      <c r="F191" s="103"/>
    </row>
    <row r="192" customFormat="false" ht="15" hidden="false" customHeight="false" outlineLevel="0" collapsed="false">
      <c r="A192" s="102"/>
      <c r="B192" s="103"/>
      <c r="C192" s="103"/>
      <c r="D192" s="103"/>
      <c r="E192" s="104"/>
      <c r="F192" s="103"/>
    </row>
    <row r="193" customFormat="false" ht="15" hidden="false" customHeight="false" outlineLevel="0" collapsed="false">
      <c r="A193" s="102"/>
      <c r="B193" s="103"/>
      <c r="C193" s="103"/>
      <c r="D193" s="103"/>
      <c r="E193" s="104"/>
      <c r="F193" s="103"/>
    </row>
    <row r="194" customFormat="false" ht="15" hidden="false" customHeight="false" outlineLevel="0" collapsed="false">
      <c r="A194" s="102"/>
      <c r="B194" s="103"/>
      <c r="C194" s="103"/>
      <c r="D194" s="103"/>
      <c r="E194" s="104"/>
      <c r="F194" s="103"/>
    </row>
    <row r="195" customFormat="false" ht="15" hidden="false" customHeight="false" outlineLevel="0" collapsed="false">
      <c r="A195" s="102"/>
      <c r="B195" s="103"/>
      <c r="C195" s="103"/>
      <c r="D195" s="103"/>
      <c r="E195" s="104"/>
      <c r="F195" s="103"/>
    </row>
    <row r="196" customFormat="false" ht="15" hidden="false" customHeight="false" outlineLevel="0" collapsed="false">
      <c r="A196" s="102"/>
      <c r="B196" s="103"/>
      <c r="C196" s="103"/>
      <c r="D196" s="103"/>
      <c r="E196" s="104"/>
      <c r="F196" s="103"/>
    </row>
    <row r="197" customFormat="false" ht="15" hidden="false" customHeight="false" outlineLevel="0" collapsed="false">
      <c r="A197" s="102"/>
      <c r="B197" s="103"/>
      <c r="C197" s="103"/>
      <c r="D197" s="103"/>
      <c r="E197" s="104"/>
      <c r="F197" s="103"/>
    </row>
    <row r="198" customFormat="false" ht="15" hidden="false" customHeight="false" outlineLevel="0" collapsed="false">
      <c r="A198" s="102"/>
      <c r="B198" s="103"/>
      <c r="C198" s="103"/>
      <c r="D198" s="103"/>
      <c r="E198" s="104"/>
      <c r="F198" s="103"/>
    </row>
    <row r="199" customFormat="false" ht="15" hidden="false" customHeight="false" outlineLevel="0" collapsed="false">
      <c r="A199" s="102"/>
      <c r="B199" s="103"/>
      <c r="C199" s="103"/>
      <c r="D199" s="103"/>
      <c r="E199" s="104"/>
      <c r="F199" s="103"/>
    </row>
    <row r="200" customFormat="false" ht="15" hidden="false" customHeight="false" outlineLevel="0" collapsed="false">
      <c r="A200" s="102"/>
      <c r="B200" s="103"/>
      <c r="C200" s="103"/>
      <c r="D200" s="103"/>
      <c r="E200" s="104"/>
      <c r="F200" s="103"/>
    </row>
    <row r="201" customFormat="false" ht="15" hidden="false" customHeight="false" outlineLevel="0" collapsed="false">
      <c r="A201" s="102"/>
      <c r="B201" s="103"/>
      <c r="C201" s="103"/>
      <c r="D201" s="103"/>
      <c r="E201" s="104"/>
      <c r="F201" s="103"/>
    </row>
    <row r="202" customFormat="false" ht="15" hidden="false" customHeight="false" outlineLevel="0" collapsed="false">
      <c r="A202" s="102"/>
      <c r="B202" s="103"/>
      <c r="C202" s="103"/>
      <c r="D202" s="103"/>
      <c r="E202" s="104"/>
      <c r="F202" s="103"/>
    </row>
    <row r="203" customFormat="false" ht="15" hidden="false" customHeight="false" outlineLevel="0" collapsed="false">
      <c r="A203" s="102"/>
      <c r="B203" s="103"/>
      <c r="C203" s="103"/>
      <c r="D203" s="103"/>
      <c r="E203" s="104"/>
      <c r="F203" s="103"/>
    </row>
    <row r="204" customFormat="false" ht="15" hidden="false" customHeight="false" outlineLevel="0" collapsed="false">
      <c r="A204" s="102"/>
      <c r="B204" s="103"/>
      <c r="C204" s="103"/>
      <c r="D204" s="103"/>
      <c r="E204" s="104"/>
      <c r="F204" s="103"/>
    </row>
    <row r="205" customFormat="false" ht="15" hidden="false" customHeight="false" outlineLevel="0" collapsed="false">
      <c r="A205" s="102"/>
      <c r="B205" s="103"/>
      <c r="C205" s="103"/>
      <c r="D205" s="103"/>
      <c r="E205" s="104"/>
      <c r="F205" s="103"/>
    </row>
    <row r="206" customFormat="false" ht="15" hidden="false" customHeight="false" outlineLevel="0" collapsed="false">
      <c r="A206" s="102"/>
      <c r="B206" s="103"/>
      <c r="C206" s="103"/>
      <c r="D206" s="103"/>
      <c r="E206" s="104"/>
      <c r="F206" s="103"/>
    </row>
    <row r="207" customFormat="false" ht="15" hidden="false" customHeight="false" outlineLevel="0" collapsed="false">
      <c r="A207" s="102"/>
      <c r="B207" s="103"/>
      <c r="C207" s="103"/>
      <c r="D207" s="103"/>
      <c r="E207" s="104"/>
      <c r="F207" s="103"/>
    </row>
    <row r="208" customFormat="false" ht="15" hidden="false" customHeight="false" outlineLevel="0" collapsed="false">
      <c r="A208" s="102"/>
      <c r="B208" s="103"/>
      <c r="C208" s="103"/>
      <c r="D208" s="103"/>
      <c r="E208" s="104"/>
      <c r="F208" s="103"/>
    </row>
    <row r="209" customFormat="false" ht="15" hidden="false" customHeight="false" outlineLevel="0" collapsed="false">
      <c r="A209" s="102"/>
      <c r="B209" s="103"/>
      <c r="C209" s="103"/>
      <c r="D209" s="103"/>
      <c r="E209" s="104"/>
      <c r="F209" s="103"/>
    </row>
    <row r="210" customFormat="false" ht="15" hidden="false" customHeight="false" outlineLevel="0" collapsed="false">
      <c r="A210" s="102"/>
      <c r="B210" s="103"/>
      <c r="C210" s="103"/>
      <c r="D210" s="103"/>
      <c r="E210" s="104"/>
      <c r="F210" s="103"/>
    </row>
    <row r="211" customFormat="false" ht="15" hidden="false" customHeight="false" outlineLevel="0" collapsed="false">
      <c r="A211" s="102"/>
      <c r="B211" s="103"/>
      <c r="C211" s="103"/>
      <c r="D211" s="103"/>
      <c r="E211" s="104"/>
      <c r="F211" s="103"/>
    </row>
    <row r="212" customFormat="false" ht="15" hidden="false" customHeight="false" outlineLevel="0" collapsed="false">
      <c r="A212" s="102"/>
      <c r="B212" s="103"/>
      <c r="C212" s="103"/>
      <c r="D212" s="103"/>
      <c r="E212" s="104"/>
      <c r="F212" s="103"/>
    </row>
    <row r="213" customFormat="false" ht="15" hidden="false" customHeight="false" outlineLevel="0" collapsed="false">
      <c r="A213" s="102"/>
      <c r="B213" s="103"/>
      <c r="C213" s="103"/>
      <c r="D213" s="103"/>
      <c r="E213" s="104"/>
      <c r="F213" s="103"/>
    </row>
    <row r="214" customFormat="false" ht="15" hidden="false" customHeight="false" outlineLevel="0" collapsed="false">
      <c r="A214" s="102"/>
      <c r="B214" s="103"/>
      <c r="C214" s="103"/>
      <c r="D214" s="103"/>
      <c r="E214" s="104"/>
      <c r="F214" s="103"/>
    </row>
    <row r="215" customFormat="false" ht="15" hidden="false" customHeight="false" outlineLevel="0" collapsed="false">
      <c r="A215" s="102"/>
      <c r="B215" s="103"/>
      <c r="C215" s="103"/>
      <c r="D215" s="103"/>
      <c r="E215" s="104"/>
      <c r="F215" s="103"/>
    </row>
    <row r="216" customFormat="false" ht="15" hidden="false" customHeight="false" outlineLevel="0" collapsed="false">
      <c r="A216" s="102"/>
      <c r="B216" s="103"/>
      <c r="C216" s="103"/>
      <c r="D216" s="103"/>
      <c r="E216" s="104"/>
      <c r="F216" s="103"/>
    </row>
    <row r="217" customFormat="false" ht="15" hidden="false" customHeight="false" outlineLevel="0" collapsed="false">
      <c r="A217" s="102"/>
      <c r="B217" s="103"/>
      <c r="C217" s="103"/>
      <c r="D217" s="103"/>
      <c r="E217" s="104"/>
      <c r="F217" s="103"/>
    </row>
    <row r="218" customFormat="false" ht="15" hidden="false" customHeight="false" outlineLevel="0" collapsed="false">
      <c r="A218" s="102"/>
      <c r="B218" s="103"/>
      <c r="C218" s="103"/>
      <c r="D218" s="103"/>
      <c r="E218" s="104"/>
      <c r="F218" s="103"/>
    </row>
    <row r="219" customFormat="false" ht="15" hidden="false" customHeight="false" outlineLevel="0" collapsed="false">
      <c r="A219" s="102"/>
      <c r="B219" s="103"/>
      <c r="C219" s="103"/>
      <c r="D219" s="103"/>
      <c r="E219" s="104"/>
      <c r="F219" s="103"/>
    </row>
    <row r="220" customFormat="false" ht="15" hidden="false" customHeight="false" outlineLevel="0" collapsed="false">
      <c r="A220" s="102"/>
      <c r="B220" s="103"/>
      <c r="C220" s="103"/>
      <c r="D220" s="103"/>
      <c r="E220" s="104"/>
      <c r="F220" s="103"/>
    </row>
    <row r="221" customFormat="false" ht="15" hidden="false" customHeight="false" outlineLevel="0" collapsed="false">
      <c r="A221" s="102"/>
      <c r="B221" s="103"/>
      <c r="C221" s="103"/>
      <c r="D221" s="103"/>
      <c r="E221" s="104"/>
      <c r="F221" s="103"/>
    </row>
    <row r="222" customFormat="false" ht="15" hidden="false" customHeight="false" outlineLevel="0" collapsed="false">
      <c r="A222" s="102"/>
      <c r="B222" s="103"/>
      <c r="C222" s="103"/>
      <c r="D222" s="103"/>
      <c r="E222" s="104"/>
      <c r="F222" s="103"/>
    </row>
    <row r="223" customFormat="false" ht="15" hidden="false" customHeight="false" outlineLevel="0" collapsed="false">
      <c r="A223" s="102"/>
      <c r="B223" s="103"/>
      <c r="C223" s="103"/>
      <c r="D223" s="103"/>
      <c r="E223" s="104"/>
      <c r="F223" s="103"/>
    </row>
    <row r="224" customFormat="false" ht="15" hidden="false" customHeight="false" outlineLevel="0" collapsed="false">
      <c r="A224" s="102"/>
      <c r="B224" s="103"/>
      <c r="C224" s="103"/>
      <c r="D224" s="103"/>
      <c r="E224" s="104"/>
      <c r="F224" s="103"/>
    </row>
    <row r="225" customFormat="false" ht="15" hidden="false" customHeight="false" outlineLevel="0" collapsed="false">
      <c r="A225" s="102"/>
      <c r="B225" s="103"/>
      <c r="C225" s="103"/>
      <c r="D225" s="103"/>
      <c r="E225" s="104"/>
      <c r="F225" s="103"/>
    </row>
    <row r="226" customFormat="false" ht="15" hidden="false" customHeight="false" outlineLevel="0" collapsed="false">
      <c r="A226" s="102"/>
      <c r="B226" s="103"/>
      <c r="C226" s="103"/>
      <c r="D226" s="103"/>
      <c r="E226" s="104"/>
      <c r="F226" s="103"/>
    </row>
    <row r="227" customFormat="false" ht="15" hidden="false" customHeight="false" outlineLevel="0" collapsed="false">
      <c r="A227" s="102"/>
      <c r="B227" s="103"/>
      <c r="C227" s="103"/>
      <c r="D227" s="103"/>
      <c r="E227" s="104"/>
      <c r="F227" s="103"/>
    </row>
    <row r="228" customFormat="false" ht="15" hidden="false" customHeight="false" outlineLevel="0" collapsed="false">
      <c r="A228" s="102"/>
      <c r="B228" s="103"/>
      <c r="C228" s="103"/>
      <c r="D228" s="103"/>
      <c r="E228" s="104"/>
      <c r="F228" s="103"/>
    </row>
    <row r="229" customFormat="false" ht="15" hidden="false" customHeight="false" outlineLevel="0" collapsed="false">
      <c r="A229" s="102"/>
      <c r="B229" s="103"/>
      <c r="C229" s="103"/>
      <c r="D229" s="103"/>
      <c r="E229" s="104"/>
      <c r="F229" s="103"/>
    </row>
    <row r="230" customFormat="false" ht="15" hidden="false" customHeight="false" outlineLevel="0" collapsed="false">
      <c r="A230" s="102"/>
      <c r="B230" s="103"/>
      <c r="C230" s="103"/>
      <c r="D230" s="103"/>
      <c r="E230" s="104"/>
      <c r="F230" s="103"/>
    </row>
    <row r="231" customFormat="false" ht="15" hidden="false" customHeight="false" outlineLevel="0" collapsed="false">
      <c r="A231" s="102"/>
      <c r="B231" s="103"/>
      <c r="C231" s="103"/>
      <c r="D231" s="103"/>
      <c r="E231" s="104"/>
      <c r="F231" s="103"/>
    </row>
    <row r="232" customFormat="false" ht="15" hidden="false" customHeight="false" outlineLevel="0" collapsed="false">
      <c r="A232" s="102"/>
      <c r="B232" s="103"/>
      <c r="C232" s="103"/>
      <c r="D232" s="103"/>
      <c r="E232" s="104"/>
      <c r="F232" s="103"/>
    </row>
    <row r="233" customFormat="false" ht="15" hidden="false" customHeight="false" outlineLevel="0" collapsed="false">
      <c r="A233" s="102"/>
      <c r="B233" s="103"/>
      <c r="C233" s="103"/>
      <c r="D233" s="103"/>
      <c r="E233" s="104"/>
      <c r="F233" s="103"/>
    </row>
    <row r="234" customFormat="false" ht="15" hidden="false" customHeight="false" outlineLevel="0" collapsed="false">
      <c r="A234" s="102"/>
      <c r="B234" s="103"/>
      <c r="C234" s="103"/>
      <c r="D234" s="103"/>
      <c r="E234" s="104"/>
      <c r="F234" s="103"/>
    </row>
    <row r="235" customFormat="false" ht="15" hidden="false" customHeight="false" outlineLevel="0" collapsed="false">
      <c r="A235" s="102"/>
      <c r="B235" s="103"/>
      <c r="C235" s="103"/>
      <c r="D235" s="103"/>
      <c r="E235" s="104"/>
      <c r="F235" s="103"/>
    </row>
    <row r="236" customFormat="false" ht="15" hidden="false" customHeight="false" outlineLevel="0" collapsed="false">
      <c r="A236" s="102"/>
      <c r="B236" s="103"/>
      <c r="C236" s="103"/>
      <c r="D236" s="103"/>
      <c r="E236" s="104"/>
      <c r="F236" s="103"/>
    </row>
    <row r="237" customFormat="false" ht="15" hidden="false" customHeight="false" outlineLevel="0" collapsed="false">
      <c r="A237" s="102"/>
      <c r="B237" s="103"/>
      <c r="C237" s="103"/>
      <c r="D237" s="103"/>
      <c r="E237" s="104"/>
      <c r="F237" s="103"/>
    </row>
    <row r="238" customFormat="false" ht="15" hidden="false" customHeight="false" outlineLevel="0" collapsed="false">
      <c r="A238" s="102"/>
      <c r="B238" s="103"/>
      <c r="C238" s="103"/>
      <c r="D238" s="103"/>
      <c r="E238" s="104"/>
      <c r="F238" s="103"/>
    </row>
    <row r="239" customFormat="false" ht="15" hidden="false" customHeight="false" outlineLevel="0" collapsed="false">
      <c r="A239" s="102"/>
      <c r="B239" s="103"/>
      <c r="C239" s="103"/>
      <c r="D239" s="103"/>
      <c r="E239" s="104"/>
      <c r="F239" s="103"/>
    </row>
    <row r="240" customFormat="false" ht="15" hidden="false" customHeight="false" outlineLevel="0" collapsed="false">
      <c r="A240" s="102"/>
      <c r="B240" s="103"/>
      <c r="C240" s="103"/>
      <c r="D240" s="103"/>
      <c r="E240" s="104"/>
      <c r="F240" s="103"/>
    </row>
    <row r="241" customFormat="false" ht="15" hidden="false" customHeight="false" outlineLevel="0" collapsed="false">
      <c r="A241" s="102"/>
      <c r="B241" s="103"/>
      <c r="C241" s="103"/>
      <c r="D241" s="103"/>
      <c r="E241" s="104"/>
      <c r="F241" s="103"/>
    </row>
    <row r="242" customFormat="false" ht="15" hidden="false" customHeight="false" outlineLevel="0" collapsed="false">
      <c r="A242" s="102"/>
      <c r="B242" s="103"/>
      <c r="C242" s="103"/>
      <c r="D242" s="103"/>
      <c r="E242" s="104"/>
      <c r="F242" s="103"/>
    </row>
    <row r="243" customFormat="false" ht="15" hidden="false" customHeight="false" outlineLevel="0" collapsed="false">
      <c r="A243" s="102"/>
      <c r="B243" s="103"/>
      <c r="C243" s="103"/>
      <c r="D243" s="103"/>
      <c r="E243" s="104"/>
      <c r="F243" s="103"/>
    </row>
    <row r="244" customFormat="false" ht="15" hidden="false" customHeight="false" outlineLevel="0" collapsed="false">
      <c r="A244" s="102"/>
      <c r="B244" s="103"/>
      <c r="C244" s="103"/>
      <c r="D244" s="103"/>
      <c r="E244" s="104"/>
      <c r="F244" s="103"/>
    </row>
    <row r="245" customFormat="false" ht="15" hidden="false" customHeight="false" outlineLevel="0" collapsed="false">
      <c r="A245" s="102"/>
      <c r="B245" s="103"/>
      <c r="C245" s="103"/>
      <c r="D245" s="103"/>
      <c r="E245" s="104"/>
      <c r="F245" s="103"/>
    </row>
    <row r="246" customFormat="false" ht="15" hidden="false" customHeight="false" outlineLevel="0" collapsed="false">
      <c r="A246" s="102"/>
      <c r="B246" s="103"/>
      <c r="C246" s="103"/>
      <c r="D246" s="103"/>
      <c r="E246" s="104"/>
      <c r="F246" s="103"/>
    </row>
    <row r="247" customFormat="false" ht="15" hidden="false" customHeight="false" outlineLevel="0" collapsed="false">
      <c r="A247" s="102"/>
      <c r="B247" s="103"/>
      <c r="C247" s="103"/>
      <c r="D247" s="103"/>
      <c r="E247" s="104"/>
      <c r="F247" s="103"/>
    </row>
    <row r="248" customFormat="false" ht="15" hidden="false" customHeight="false" outlineLevel="0" collapsed="false">
      <c r="A248" s="102"/>
      <c r="B248" s="103"/>
      <c r="C248" s="103"/>
      <c r="D248" s="103"/>
      <c r="E248" s="104"/>
      <c r="F248" s="103"/>
    </row>
    <row r="249" customFormat="false" ht="15" hidden="false" customHeight="false" outlineLevel="0" collapsed="false">
      <c r="A249" s="102"/>
      <c r="B249" s="103"/>
      <c r="C249" s="103"/>
      <c r="D249" s="103"/>
      <c r="E249" s="104"/>
      <c r="F249" s="103"/>
    </row>
    <row r="250" customFormat="false" ht="15" hidden="false" customHeight="false" outlineLevel="0" collapsed="false">
      <c r="A250" s="102"/>
      <c r="B250" s="103"/>
      <c r="C250" s="103"/>
      <c r="D250" s="103"/>
      <c r="E250" s="104"/>
      <c r="F250" s="103"/>
    </row>
    <row r="251" customFormat="false" ht="15" hidden="false" customHeight="false" outlineLevel="0" collapsed="false">
      <c r="A251" s="102"/>
      <c r="B251" s="103"/>
      <c r="C251" s="103"/>
      <c r="D251" s="103"/>
      <c r="E251" s="104"/>
      <c r="F251" s="103"/>
    </row>
    <row r="252" customFormat="false" ht="15" hidden="false" customHeight="false" outlineLevel="0" collapsed="false">
      <c r="A252" s="102"/>
      <c r="B252" s="103"/>
      <c r="C252" s="103"/>
      <c r="D252" s="103"/>
      <c r="E252" s="104"/>
      <c r="F252" s="103"/>
    </row>
    <row r="253" customFormat="false" ht="15" hidden="false" customHeight="false" outlineLevel="0" collapsed="false">
      <c r="A253" s="102"/>
      <c r="B253" s="103"/>
      <c r="C253" s="103"/>
      <c r="D253" s="103"/>
      <c r="E253" s="104"/>
      <c r="F253" s="103"/>
    </row>
    <row r="254" customFormat="false" ht="15" hidden="false" customHeight="false" outlineLevel="0" collapsed="false">
      <c r="A254" s="102"/>
      <c r="B254" s="103"/>
      <c r="C254" s="103"/>
      <c r="D254" s="103"/>
      <c r="E254" s="104"/>
      <c r="F254" s="103"/>
    </row>
    <row r="255" customFormat="false" ht="15" hidden="false" customHeight="false" outlineLevel="0" collapsed="false">
      <c r="A255" s="102"/>
      <c r="B255" s="103"/>
      <c r="C255" s="103"/>
      <c r="D255" s="103"/>
      <c r="E255" s="104"/>
      <c r="F255" s="103"/>
    </row>
    <row r="256" customFormat="false" ht="15" hidden="false" customHeight="false" outlineLevel="0" collapsed="false">
      <c r="A256" s="102"/>
      <c r="B256" s="103"/>
      <c r="C256" s="103"/>
      <c r="D256" s="103"/>
      <c r="E256" s="104"/>
      <c r="F256" s="103"/>
    </row>
    <row r="257" customFormat="false" ht="15" hidden="false" customHeight="false" outlineLevel="0" collapsed="false">
      <c r="A257" s="102"/>
      <c r="B257" s="103"/>
      <c r="C257" s="103"/>
      <c r="D257" s="103"/>
      <c r="E257" s="104"/>
      <c r="F257" s="103"/>
    </row>
    <row r="258" customFormat="false" ht="15" hidden="false" customHeight="false" outlineLevel="0" collapsed="false">
      <c r="A258" s="102"/>
      <c r="B258" s="103"/>
      <c r="C258" s="103"/>
      <c r="D258" s="103"/>
      <c r="E258" s="104"/>
      <c r="F258" s="103"/>
    </row>
    <row r="259" customFormat="false" ht="15" hidden="false" customHeight="false" outlineLevel="0" collapsed="false">
      <c r="A259" s="102"/>
      <c r="B259" s="103"/>
      <c r="C259" s="103"/>
      <c r="D259" s="103"/>
      <c r="E259" s="104"/>
      <c r="F259" s="103"/>
    </row>
    <row r="260" customFormat="false" ht="15" hidden="false" customHeight="false" outlineLevel="0" collapsed="false">
      <c r="A260" s="102"/>
      <c r="B260" s="103"/>
      <c r="C260" s="103"/>
      <c r="D260" s="103"/>
      <c r="E260" s="104"/>
      <c r="F260" s="103"/>
    </row>
    <row r="261" customFormat="false" ht="15" hidden="false" customHeight="false" outlineLevel="0" collapsed="false">
      <c r="A261" s="102"/>
      <c r="B261" s="103"/>
      <c r="C261" s="103"/>
      <c r="D261" s="103"/>
      <c r="E261" s="104"/>
      <c r="F261" s="103"/>
    </row>
    <row r="262" customFormat="false" ht="15" hidden="false" customHeight="false" outlineLevel="0" collapsed="false">
      <c r="A262" s="102"/>
      <c r="B262" s="103"/>
      <c r="C262" s="103"/>
      <c r="D262" s="103"/>
      <c r="E262" s="104"/>
      <c r="F262" s="103"/>
    </row>
    <row r="263" customFormat="false" ht="15" hidden="false" customHeight="false" outlineLevel="0" collapsed="false">
      <c r="A263" s="102"/>
      <c r="B263" s="103"/>
      <c r="C263" s="103"/>
      <c r="D263" s="103"/>
      <c r="E263" s="104"/>
      <c r="F263" s="103"/>
    </row>
    <row r="264" customFormat="false" ht="15" hidden="false" customHeight="false" outlineLevel="0" collapsed="false">
      <c r="A264" s="102"/>
      <c r="B264" s="103"/>
      <c r="C264" s="103"/>
      <c r="D264" s="103"/>
      <c r="E264" s="104"/>
      <c r="F264" s="103"/>
    </row>
    <row r="265" customFormat="false" ht="15" hidden="false" customHeight="false" outlineLevel="0" collapsed="false">
      <c r="A265" s="102"/>
      <c r="B265" s="103"/>
      <c r="C265" s="103"/>
      <c r="D265" s="103"/>
      <c r="E265" s="104"/>
      <c r="F265" s="103"/>
    </row>
    <row r="266" customFormat="false" ht="15" hidden="false" customHeight="false" outlineLevel="0" collapsed="false">
      <c r="A266" s="102"/>
      <c r="B266" s="103"/>
      <c r="C266" s="103"/>
      <c r="D266" s="103"/>
      <c r="E266" s="104"/>
      <c r="F266" s="103"/>
    </row>
    <row r="267" customFormat="false" ht="15" hidden="false" customHeight="false" outlineLevel="0" collapsed="false">
      <c r="A267" s="102"/>
      <c r="B267" s="103"/>
      <c r="C267" s="103"/>
      <c r="D267" s="103"/>
      <c r="E267" s="104"/>
      <c r="F267" s="103"/>
    </row>
    <row r="268" customFormat="false" ht="15" hidden="false" customHeight="false" outlineLevel="0" collapsed="false">
      <c r="A268" s="102"/>
      <c r="B268" s="103"/>
      <c r="C268" s="103"/>
      <c r="D268" s="103"/>
      <c r="E268" s="104"/>
      <c r="F268" s="103"/>
    </row>
    <row r="269" customFormat="false" ht="15" hidden="false" customHeight="false" outlineLevel="0" collapsed="false">
      <c r="A269" s="102"/>
      <c r="B269" s="103"/>
      <c r="C269" s="103"/>
      <c r="D269" s="103"/>
      <c r="E269" s="104"/>
      <c r="F269" s="103"/>
    </row>
    <row r="270" customFormat="false" ht="15" hidden="false" customHeight="false" outlineLevel="0" collapsed="false">
      <c r="A270" s="102"/>
      <c r="B270" s="103"/>
      <c r="C270" s="103"/>
      <c r="D270" s="103"/>
      <c r="E270" s="104"/>
      <c r="F270" s="103"/>
    </row>
    <row r="271" customFormat="false" ht="15" hidden="false" customHeight="false" outlineLevel="0" collapsed="false">
      <c r="A271" s="102"/>
      <c r="B271" s="103"/>
      <c r="C271" s="103"/>
      <c r="D271" s="103"/>
      <c r="E271" s="104"/>
      <c r="F271" s="103"/>
    </row>
    <row r="272" customFormat="false" ht="15" hidden="false" customHeight="false" outlineLevel="0" collapsed="false">
      <c r="A272" s="102"/>
      <c r="B272" s="103"/>
      <c r="C272" s="103"/>
      <c r="D272" s="103"/>
      <c r="E272" s="104"/>
      <c r="F272" s="103"/>
    </row>
    <row r="273" customFormat="false" ht="15" hidden="false" customHeight="false" outlineLevel="0" collapsed="false">
      <c r="A273" s="102"/>
      <c r="B273" s="103"/>
      <c r="C273" s="103"/>
      <c r="D273" s="103"/>
      <c r="E273" s="104"/>
      <c r="F273" s="103"/>
    </row>
    <row r="274" customFormat="false" ht="15" hidden="false" customHeight="false" outlineLevel="0" collapsed="false">
      <c r="A274" s="102"/>
      <c r="B274" s="103"/>
      <c r="C274" s="103"/>
      <c r="D274" s="103"/>
      <c r="E274" s="104"/>
      <c r="F274" s="103"/>
    </row>
    <row r="275" customFormat="false" ht="15" hidden="false" customHeight="false" outlineLevel="0" collapsed="false">
      <c r="A275" s="102"/>
      <c r="B275" s="103"/>
      <c r="C275" s="103"/>
      <c r="D275" s="103"/>
      <c r="E275" s="104"/>
      <c r="F275" s="103"/>
    </row>
    <row r="276" customFormat="false" ht="15" hidden="false" customHeight="false" outlineLevel="0" collapsed="false">
      <c r="A276" s="102"/>
      <c r="B276" s="103"/>
      <c r="C276" s="103"/>
      <c r="D276" s="103"/>
      <c r="E276" s="104"/>
      <c r="F276" s="103"/>
    </row>
    <row r="277" customFormat="false" ht="15" hidden="false" customHeight="false" outlineLevel="0" collapsed="false">
      <c r="A277" s="102"/>
      <c r="B277" s="103"/>
      <c r="C277" s="103"/>
      <c r="D277" s="103"/>
      <c r="E277" s="104"/>
      <c r="F277" s="103"/>
    </row>
    <row r="278" customFormat="false" ht="15" hidden="false" customHeight="false" outlineLevel="0" collapsed="false">
      <c r="A278" s="102"/>
      <c r="B278" s="103"/>
      <c r="C278" s="103"/>
      <c r="D278" s="103"/>
      <c r="E278" s="104"/>
      <c r="F278" s="103"/>
    </row>
    <row r="279" customFormat="false" ht="15" hidden="false" customHeight="false" outlineLevel="0" collapsed="false">
      <c r="A279" s="102"/>
      <c r="B279" s="103"/>
      <c r="C279" s="103"/>
      <c r="D279" s="103"/>
      <c r="E279" s="104"/>
      <c r="F279" s="103"/>
    </row>
    <row r="280" customFormat="false" ht="15" hidden="false" customHeight="false" outlineLevel="0" collapsed="false">
      <c r="A280" s="102"/>
      <c r="B280" s="103"/>
      <c r="C280" s="103"/>
      <c r="D280" s="103"/>
      <c r="E280" s="104"/>
      <c r="F280" s="103"/>
    </row>
    <row r="281" customFormat="false" ht="15" hidden="false" customHeight="false" outlineLevel="0" collapsed="false">
      <c r="A281" s="102"/>
      <c r="B281" s="103"/>
      <c r="C281" s="103"/>
      <c r="D281" s="103"/>
      <c r="E281" s="104"/>
      <c r="F281" s="103"/>
    </row>
    <row r="282" customFormat="false" ht="15" hidden="false" customHeight="false" outlineLevel="0" collapsed="false">
      <c r="A282" s="102"/>
      <c r="B282" s="103"/>
      <c r="C282" s="103"/>
      <c r="D282" s="103"/>
      <c r="E282" s="104"/>
      <c r="F282" s="103"/>
    </row>
    <row r="283" customFormat="false" ht="15" hidden="false" customHeight="false" outlineLevel="0" collapsed="false">
      <c r="A283" s="102"/>
      <c r="B283" s="103"/>
      <c r="C283" s="103"/>
      <c r="D283" s="103"/>
      <c r="E283" s="104"/>
      <c r="F283" s="103"/>
    </row>
    <row r="284" customFormat="false" ht="15" hidden="false" customHeight="false" outlineLevel="0" collapsed="false">
      <c r="A284" s="102"/>
      <c r="B284" s="103"/>
      <c r="C284" s="103"/>
      <c r="D284" s="103"/>
      <c r="E284" s="104"/>
      <c r="F284" s="103"/>
    </row>
    <row r="285" customFormat="false" ht="15" hidden="false" customHeight="false" outlineLevel="0" collapsed="false">
      <c r="A285" s="102"/>
      <c r="B285" s="103"/>
      <c r="C285" s="103"/>
      <c r="D285" s="103"/>
      <c r="E285" s="104"/>
      <c r="F285" s="103"/>
    </row>
    <row r="286" customFormat="false" ht="15" hidden="false" customHeight="false" outlineLevel="0" collapsed="false">
      <c r="A286" s="102"/>
      <c r="B286" s="103"/>
      <c r="C286" s="103"/>
      <c r="D286" s="103"/>
      <c r="E286" s="104"/>
      <c r="F286" s="103"/>
    </row>
    <row r="287" customFormat="false" ht="15" hidden="false" customHeight="false" outlineLevel="0" collapsed="false">
      <c r="A287" s="102"/>
      <c r="B287" s="103"/>
      <c r="C287" s="103"/>
      <c r="D287" s="103"/>
      <c r="E287" s="104"/>
      <c r="F287" s="103"/>
    </row>
    <row r="288" customFormat="false" ht="15" hidden="false" customHeight="false" outlineLevel="0" collapsed="false">
      <c r="A288" s="102"/>
      <c r="B288" s="103"/>
      <c r="C288" s="103"/>
      <c r="D288" s="103"/>
      <c r="E288" s="104"/>
      <c r="F288" s="103"/>
    </row>
    <row r="289" customFormat="false" ht="15" hidden="false" customHeight="false" outlineLevel="0" collapsed="false">
      <c r="A289" s="102"/>
      <c r="B289" s="103"/>
      <c r="C289" s="103"/>
      <c r="D289" s="103"/>
      <c r="E289" s="104"/>
      <c r="F289" s="103"/>
    </row>
    <row r="290" customFormat="false" ht="15" hidden="false" customHeight="false" outlineLevel="0" collapsed="false">
      <c r="A290" s="102"/>
      <c r="B290" s="103"/>
      <c r="C290" s="103"/>
      <c r="D290" s="103"/>
      <c r="E290" s="104"/>
      <c r="F290" s="103"/>
    </row>
    <row r="291" customFormat="false" ht="15" hidden="false" customHeight="false" outlineLevel="0" collapsed="false">
      <c r="A291" s="102"/>
      <c r="B291" s="103"/>
      <c r="C291" s="103"/>
      <c r="D291" s="103"/>
      <c r="E291" s="104"/>
      <c r="F291" s="103"/>
    </row>
    <row r="292" customFormat="false" ht="15" hidden="false" customHeight="false" outlineLevel="0" collapsed="false">
      <c r="A292" s="102"/>
      <c r="B292" s="103"/>
      <c r="C292" s="103"/>
      <c r="D292" s="103"/>
      <c r="E292" s="104"/>
      <c r="F292" s="103"/>
    </row>
    <row r="293" customFormat="false" ht="15" hidden="false" customHeight="false" outlineLevel="0" collapsed="false">
      <c r="A293" s="102"/>
      <c r="B293" s="103"/>
      <c r="C293" s="103"/>
      <c r="D293" s="103"/>
      <c r="E293" s="104"/>
      <c r="F293" s="103"/>
    </row>
    <row r="294" customFormat="false" ht="15" hidden="false" customHeight="false" outlineLevel="0" collapsed="false">
      <c r="A294" s="102"/>
      <c r="B294" s="103"/>
      <c r="C294" s="103"/>
      <c r="D294" s="103"/>
      <c r="E294" s="104"/>
      <c r="F294" s="103"/>
    </row>
    <row r="295" customFormat="false" ht="15" hidden="false" customHeight="false" outlineLevel="0" collapsed="false">
      <c r="A295" s="102"/>
      <c r="B295" s="103"/>
      <c r="C295" s="103"/>
      <c r="D295" s="103"/>
      <c r="E295" s="104"/>
      <c r="F295" s="103"/>
    </row>
    <row r="296" customFormat="false" ht="15" hidden="false" customHeight="false" outlineLevel="0" collapsed="false">
      <c r="A296" s="102"/>
      <c r="B296" s="103"/>
      <c r="C296" s="103"/>
      <c r="D296" s="103"/>
      <c r="E296" s="104"/>
      <c r="F296" s="103"/>
    </row>
    <row r="297" customFormat="false" ht="15" hidden="false" customHeight="false" outlineLevel="0" collapsed="false">
      <c r="A297" s="102"/>
      <c r="B297" s="103"/>
      <c r="C297" s="103"/>
      <c r="D297" s="103"/>
      <c r="E297" s="104"/>
      <c r="F297" s="103"/>
    </row>
    <row r="298" customFormat="false" ht="15" hidden="false" customHeight="false" outlineLevel="0" collapsed="false">
      <c r="A298" s="102"/>
      <c r="B298" s="103"/>
      <c r="C298" s="103"/>
      <c r="D298" s="103"/>
      <c r="E298" s="104"/>
      <c r="F298" s="103"/>
    </row>
    <row r="299" customFormat="false" ht="15" hidden="false" customHeight="false" outlineLevel="0" collapsed="false">
      <c r="A299" s="102"/>
      <c r="B299" s="103"/>
      <c r="C299" s="103"/>
      <c r="D299" s="103"/>
      <c r="E299" s="104"/>
      <c r="F299" s="103"/>
    </row>
    <row r="300" customFormat="false" ht="15" hidden="false" customHeight="false" outlineLevel="0" collapsed="false">
      <c r="A300" s="102"/>
      <c r="B300" s="103"/>
      <c r="C300" s="103"/>
      <c r="D300" s="103"/>
      <c r="E300" s="104"/>
      <c r="F300" s="103"/>
    </row>
    <row r="301" customFormat="false" ht="15" hidden="false" customHeight="false" outlineLevel="0" collapsed="false">
      <c r="A301" s="102"/>
      <c r="B301" s="103"/>
      <c r="C301" s="103"/>
      <c r="D301" s="103"/>
      <c r="E301" s="104"/>
      <c r="F301" s="103"/>
    </row>
    <row r="302" customFormat="false" ht="15" hidden="false" customHeight="false" outlineLevel="0" collapsed="false">
      <c r="A302" s="102"/>
      <c r="B302" s="103"/>
      <c r="C302" s="103"/>
      <c r="D302" s="103"/>
      <c r="E302" s="104"/>
      <c r="F302" s="103"/>
    </row>
    <row r="303" customFormat="false" ht="15" hidden="false" customHeight="false" outlineLevel="0" collapsed="false">
      <c r="A303" s="102"/>
      <c r="B303" s="103"/>
      <c r="C303" s="103"/>
      <c r="D303" s="103"/>
      <c r="E303" s="104"/>
      <c r="F303" s="103"/>
    </row>
    <row r="304" customFormat="false" ht="15" hidden="false" customHeight="false" outlineLevel="0" collapsed="false">
      <c r="A304" s="102"/>
      <c r="B304" s="103"/>
      <c r="C304" s="103"/>
      <c r="D304" s="103"/>
      <c r="E304" s="104"/>
      <c r="F304" s="103"/>
    </row>
    <row r="305" customFormat="false" ht="15" hidden="false" customHeight="false" outlineLevel="0" collapsed="false">
      <c r="A305" s="102"/>
      <c r="B305" s="103"/>
      <c r="C305" s="103"/>
      <c r="D305" s="103"/>
      <c r="E305" s="104"/>
      <c r="F305" s="103"/>
    </row>
    <row r="306" customFormat="false" ht="15" hidden="false" customHeight="false" outlineLevel="0" collapsed="false">
      <c r="A306" s="102"/>
      <c r="B306" s="103"/>
      <c r="C306" s="103"/>
      <c r="D306" s="103"/>
      <c r="E306" s="104"/>
      <c r="F306" s="103"/>
    </row>
    <row r="307" customFormat="false" ht="15" hidden="false" customHeight="false" outlineLevel="0" collapsed="false">
      <c r="A307" s="102"/>
      <c r="B307" s="103"/>
      <c r="C307" s="103"/>
      <c r="D307" s="103"/>
      <c r="E307" s="104"/>
      <c r="F307" s="103"/>
    </row>
    <row r="308" customFormat="false" ht="15" hidden="false" customHeight="false" outlineLevel="0" collapsed="false">
      <c r="A308" s="102"/>
      <c r="B308" s="103"/>
      <c r="C308" s="103"/>
      <c r="D308" s="103"/>
      <c r="E308" s="104"/>
      <c r="F308" s="103"/>
    </row>
    <row r="309" customFormat="false" ht="15" hidden="false" customHeight="false" outlineLevel="0" collapsed="false">
      <c r="A309" s="102"/>
      <c r="B309" s="103"/>
      <c r="C309" s="103"/>
      <c r="D309" s="103"/>
      <c r="E309" s="104"/>
      <c r="F309" s="103"/>
    </row>
    <row r="310" customFormat="false" ht="15" hidden="false" customHeight="false" outlineLevel="0" collapsed="false">
      <c r="A310" s="102"/>
      <c r="B310" s="103"/>
      <c r="C310" s="103"/>
      <c r="D310" s="103"/>
      <c r="E310" s="104"/>
      <c r="F310" s="103"/>
    </row>
    <row r="311" customFormat="false" ht="15" hidden="false" customHeight="false" outlineLevel="0" collapsed="false">
      <c r="A311" s="102"/>
      <c r="B311" s="103"/>
      <c r="C311" s="103"/>
      <c r="D311" s="103"/>
      <c r="E311" s="104"/>
      <c r="F311" s="103"/>
    </row>
    <row r="312" customFormat="false" ht="15" hidden="false" customHeight="false" outlineLevel="0" collapsed="false">
      <c r="A312" s="102"/>
      <c r="B312" s="103"/>
      <c r="C312" s="103"/>
      <c r="D312" s="103"/>
      <c r="E312" s="104"/>
      <c r="F312" s="103"/>
    </row>
    <row r="313" customFormat="false" ht="15" hidden="false" customHeight="false" outlineLevel="0" collapsed="false">
      <c r="A313" s="102"/>
      <c r="B313" s="103"/>
      <c r="C313" s="103"/>
      <c r="D313" s="103"/>
      <c r="E313" s="104"/>
      <c r="F313" s="103"/>
    </row>
    <row r="314" customFormat="false" ht="15" hidden="false" customHeight="false" outlineLevel="0" collapsed="false">
      <c r="A314" s="102"/>
      <c r="B314" s="103"/>
      <c r="C314" s="103"/>
      <c r="D314" s="103"/>
      <c r="E314" s="104"/>
      <c r="F314" s="103"/>
    </row>
    <row r="315" customFormat="false" ht="15" hidden="false" customHeight="false" outlineLevel="0" collapsed="false">
      <c r="A315" s="102"/>
      <c r="B315" s="103"/>
      <c r="C315" s="103"/>
      <c r="D315" s="103"/>
      <c r="E315" s="104"/>
      <c r="F315" s="103"/>
    </row>
    <row r="316" customFormat="false" ht="15" hidden="false" customHeight="false" outlineLevel="0" collapsed="false">
      <c r="A316" s="102"/>
      <c r="B316" s="103"/>
      <c r="C316" s="103"/>
      <c r="D316" s="103"/>
      <c r="E316" s="104"/>
      <c r="F316" s="103"/>
    </row>
    <row r="317" customFormat="false" ht="15" hidden="false" customHeight="false" outlineLevel="0" collapsed="false">
      <c r="A317" s="102"/>
      <c r="B317" s="103"/>
      <c r="C317" s="103"/>
      <c r="D317" s="103"/>
      <c r="E317" s="104"/>
      <c r="F317" s="103"/>
    </row>
    <row r="318" customFormat="false" ht="15" hidden="false" customHeight="false" outlineLevel="0" collapsed="false">
      <c r="A318" s="102"/>
      <c r="B318" s="103"/>
      <c r="C318" s="103"/>
      <c r="D318" s="103"/>
      <c r="E318" s="104"/>
      <c r="F318" s="103"/>
    </row>
    <row r="319" customFormat="false" ht="15" hidden="false" customHeight="false" outlineLevel="0" collapsed="false">
      <c r="A319" s="102"/>
      <c r="B319" s="103"/>
      <c r="C319" s="103"/>
      <c r="D319" s="103"/>
      <c r="E319" s="104"/>
      <c r="F319" s="103"/>
    </row>
    <row r="320" customFormat="false" ht="15" hidden="false" customHeight="false" outlineLevel="0" collapsed="false">
      <c r="A320" s="102"/>
      <c r="B320" s="103"/>
      <c r="C320" s="103"/>
      <c r="D320" s="103"/>
      <c r="E320" s="104"/>
      <c r="F320" s="103"/>
    </row>
    <row r="321" customFormat="false" ht="15" hidden="false" customHeight="false" outlineLevel="0" collapsed="false">
      <c r="A321" s="102"/>
      <c r="B321" s="103"/>
      <c r="C321" s="103"/>
      <c r="D321" s="103"/>
      <c r="E321" s="104"/>
      <c r="F321" s="103"/>
    </row>
    <row r="322" customFormat="false" ht="15" hidden="false" customHeight="false" outlineLevel="0" collapsed="false">
      <c r="A322" s="102"/>
      <c r="B322" s="103"/>
      <c r="C322" s="103"/>
      <c r="D322" s="103"/>
      <c r="E322" s="104"/>
      <c r="F322" s="103"/>
    </row>
    <row r="323" customFormat="false" ht="15" hidden="false" customHeight="false" outlineLevel="0" collapsed="false">
      <c r="A323" s="102"/>
      <c r="B323" s="103"/>
      <c r="C323" s="103"/>
      <c r="D323" s="103"/>
      <c r="E323" s="104"/>
      <c r="F323" s="103"/>
    </row>
    <row r="324" customFormat="false" ht="15" hidden="false" customHeight="false" outlineLevel="0" collapsed="false">
      <c r="A324" s="102"/>
      <c r="B324" s="103"/>
      <c r="C324" s="103"/>
      <c r="D324" s="103"/>
      <c r="E324" s="104"/>
      <c r="F324" s="103"/>
    </row>
    <row r="325" customFormat="false" ht="15" hidden="false" customHeight="false" outlineLevel="0" collapsed="false">
      <c r="A325" s="102"/>
      <c r="B325" s="103"/>
      <c r="C325" s="103"/>
      <c r="D325" s="103"/>
      <c r="E325" s="104"/>
      <c r="F325" s="103"/>
    </row>
    <row r="326" customFormat="false" ht="15" hidden="false" customHeight="false" outlineLevel="0" collapsed="false">
      <c r="A326" s="102"/>
      <c r="B326" s="103"/>
      <c r="C326" s="103"/>
      <c r="D326" s="103"/>
      <c r="E326" s="104"/>
      <c r="F326" s="103"/>
    </row>
    <row r="327" customFormat="false" ht="15" hidden="false" customHeight="false" outlineLevel="0" collapsed="false">
      <c r="A327" s="102"/>
      <c r="B327" s="103"/>
      <c r="C327" s="103"/>
      <c r="D327" s="103"/>
      <c r="E327" s="104"/>
      <c r="F327" s="103"/>
    </row>
    <row r="328" customFormat="false" ht="15" hidden="false" customHeight="false" outlineLevel="0" collapsed="false">
      <c r="A328" s="102"/>
      <c r="B328" s="103"/>
      <c r="C328" s="103"/>
      <c r="D328" s="103"/>
      <c r="E328" s="104"/>
      <c r="F328" s="103"/>
    </row>
    <row r="329" customFormat="false" ht="15" hidden="false" customHeight="false" outlineLevel="0" collapsed="false">
      <c r="A329" s="102"/>
      <c r="B329" s="103"/>
      <c r="C329" s="103"/>
      <c r="D329" s="103"/>
      <c r="E329" s="104"/>
      <c r="F329" s="103"/>
    </row>
    <row r="330" customFormat="false" ht="15" hidden="false" customHeight="false" outlineLevel="0" collapsed="false">
      <c r="A330" s="102"/>
      <c r="B330" s="103"/>
      <c r="C330" s="103"/>
      <c r="D330" s="103"/>
      <c r="E330" s="104"/>
      <c r="F330" s="103"/>
    </row>
    <row r="331" customFormat="false" ht="15" hidden="false" customHeight="false" outlineLevel="0" collapsed="false">
      <c r="A331" s="102"/>
      <c r="B331" s="103"/>
      <c r="C331" s="103"/>
      <c r="D331" s="103"/>
      <c r="E331" s="104"/>
      <c r="F331" s="103"/>
    </row>
    <row r="332" customFormat="false" ht="15" hidden="false" customHeight="false" outlineLevel="0" collapsed="false">
      <c r="A332" s="102"/>
      <c r="B332" s="103"/>
      <c r="C332" s="103"/>
      <c r="D332" s="103"/>
      <c r="E332" s="104"/>
      <c r="F332" s="103"/>
    </row>
    <row r="333" customFormat="false" ht="15" hidden="false" customHeight="false" outlineLevel="0" collapsed="false">
      <c r="A333" s="102"/>
      <c r="B333" s="103"/>
      <c r="C333" s="103"/>
      <c r="D333" s="103"/>
      <c r="E333" s="104"/>
      <c r="F333" s="103"/>
    </row>
    <row r="334" customFormat="false" ht="15" hidden="false" customHeight="false" outlineLevel="0" collapsed="false">
      <c r="A334" s="102"/>
      <c r="B334" s="103"/>
      <c r="C334" s="103"/>
      <c r="D334" s="103"/>
      <c r="E334" s="104"/>
      <c r="F334" s="103"/>
    </row>
    <row r="335" customFormat="false" ht="15" hidden="false" customHeight="false" outlineLevel="0" collapsed="false">
      <c r="A335" s="102"/>
      <c r="B335" s="103"/>
      <c r="C335" s="103"/>
      <c r="D335" s="103"/>
      <c r="E335" s="104"/>
      <c r="F335" s="103"/>
    </row>
    <row r="336" customFormat="false" ht="15" hidden="false" customHeight="false" outlineLevel="0" collapsed="false">
      <c r="A336" s="102"/>
      <c r="B336" s="103"/>
      <c r="C336" s="103"/>
      <c r="D336" s="103"/>
      <c r="E336" s="104"/>
      <c r="F336" s="103"/>
    </row>
    <row r="337" customFormat="false" ht="15" hidden="false" customHeight="false" outlineLevel="0" collapsed="false">
      <c r="A337" s="102"/>
      <c r="B337" s="103"/>
      <c r="C337" s="103"/>
      <c r="D337" s="103"/>
      <c r="E337" s="104"/>
      <c r="F337" s="103"/>
    </row>
    <row r="338" customFormat="false" ht="15" hidden="false" customHeight="false" outlineLevel="0" collapsed="false">
      <c r="A338" s="102"/>
      <c r="B338" s="103"/>
      <c r="C338" s="103"/>
      <c r="D338" s="103"/>
      <c r="E338" s="104"/>
      <c r="F338" s="103"/>
    </row>
    <row r="339" customFormat="false" ht="15" hidden="false" customHeight="false" outlineLevel="0" collapsed="false">
      <c r="A339" s="102"/>
      <c r="B339" s="103"/>
      <c r="C339" s="103"/>
      <c r="D339" s="103"/>
      <c r="E339" s="104"/>
      <c r="F339" s="103"/>
    </row>
    <row r="340" customFormat="false" ht="15" hidden="false" customHeight="false" outlineLevel="0" collapsed="false">
      <c r="A340" s="102"/>
      <c r="B340" s="103"/>
      <c r="C340" s="103"/>
      <c r="D340" s="103"/>
      <c r="E340" s="104"/>
      <c r="F340" s="103"/>
    </row>
    <row r="341" customFormat="false" ht="15" hidden="false" customHeight="false" outlineLevel="0" collapsed="false">
      <c r="A341" s="102"/>
      <c r="B341" s="103"/>
      <c r="C341" s="103"/>
      <c r="D341" s="103"/>
      <c r="E341" s="104"/>
      <c r="F341" s="103"/>
    </row>
    <row r="342" customFormat="false" ht="15" hidden="false" customHeight="false" outlineLevel="0" collapsed="false">
      <c r="A342" s="102"/>
      <c r="B342" s="103"/>
      <c r="C342" s="103"/>
      <c r="D342" s="103"/>
      <c r="E342" s="104"/>
      <c r="F342" s="103"/>
    </row>
    <row r="343" customFormat="false" ht="15" hidden="false" customHeight="false" outlineLevel="0" collapsed="false">
      <c r="A343" s="102"/>
      <c r="B343" s="103"/>
      <c r="C343" s="103"/>
      <c r="D343" s="103"/>
      <c r="E343" s="104"/>
      <c r="F343" s="103"/>
    </row>
    <row r="344" customFormat="false" ht="15" hidden="false" customHeight="false" outlineLevel="0" collapsed="false">
      <c r="A344" s="102"/>
      <c r="B344" s="103"/>
      <c r="C344" s="103"/>
      <c r="D344" s="103"/>
      <c r="E344" s="104"/>
      <c r="F344" s="103"/>
    </row>
    <row r="345" customFormat="false" ht="15" hidden="false" customHeight="false" outlineLevel="0" collapsed="false">
      <c r="A345" s="102"/>
      <c r="B345" s="103"/>
      <c r="C345" s="103"/>
      <c r="D345" s="103"/>
      <c r="E345" s="104"/>
      <c r="F345" s="103"/>
    </row>
    <row r="346" customFormat="false" ht="15" hidden="false" customHeight="false" outlineLevel="0" collapsed="false">
      <c r="A346" s="102"/>
      <c r="B346" s="103"/>
      <c r="C346" s="103"/>
      <c r="D346" s="103"/>
      <c r="E346" s="104"/>
      <c r="F346" s="103"/>
    </row>
    <row r="347" customFormat="false" ht="15" hidden="false" customHeight="false" outlineLevel="0" collapsed="false">
      <c r="A347" s="102"/>
      <c r="B347" s="103"/>
      <c r="C347" s="103"/>
      <c r="D347" s="103"/>
      <c r="E347" s="104"/>
      <c r="F347" s="103"/>
    </row>
    <row r="348" customFormat="false" ht="15" hidden="false" customHeight="false" outlineLevel="0" collapsed="false">
      <c r="A348" s="102"/>
      <c r="B348" s="103"/>
      <c r="C348" s="103"/>
      <c r="D348" s="103"/>
      <c r="E348" s="104"/>
      <c r="F348" s="103"/>
    </row>
    <row r="349" customFormat="false" ht="15" hidden="false" customHeight="false" outlineLevel="0" collapsed="false">
      <c r="A349" s="102"/>
      <c r="B349" s="103"/>
      <c r="C349" s="103"/>
      <c r="D349" s="103"/>
      <c r="E349" s="104"/>
      <c r="F349" s="103"/>
    </row>
    <row r="350" customFormat="false" ht="15" hidden="false" customHeight="false" outlineLevel="0" collapsed="false">
      <c r="A350" s="102"/>
      <c r="B350" s="103"/>
      <c r="C350" s="103"/>
      <c r="D350" s="103"/>
      <c r="E350" s="104"/>
      <c r="F350" s="103"/>
    </row>
    <row r="351" customFormat="false" ht="15" hidden="false" customHeight="false" outlineLevel="0" collapsed="false">
      <c r="A351" s="102"/>
      <c r="B351" s="103"/>
      <c r="C351" s="103"/>
      <c r="D351" s="103"/>
      <c r="E351" s="104"/>
      <c r="F351" s="103"/>
    </row>
    <row r="352" customFormat="false" ht="15" hidden="false" customHeight="false" outlineLevel="0" collapsed="false">
      <c r="A352" s="102"/>
      <c r="B352" s="103"/>
      <c r="C352" s="103"/>
      <c r="D352" s="103"/>
      <c r="E352" s="104"/>
      <c r="F352" s="103"/>
    </row>
    <row r="353" customFormat="false" ht="15" hidden="false" customHeight="false" outlineLevel="0" collapsed="false">
      <c r="A353" s="102"/>
      <c r="B353" s="103"/>
      <c r="C353" s="103"/>
      <c r="D353" s="103"/>
      <c r="E353" s="104"/>
      <c r="F353" s="103"/>
    </row>
    <row r="354" customFormat="false" ht="15" hidden="false" customHeight="false" outlineLevel="0" collapsed="false">
      <c r="A354" s="102"/>
      <c r="B354" s="103"/>
      <c r="C354" s="103"/>
      <c r="D354" s="103"/>
      <c r="E354" s="104"/>
      <c r="F354" s="103"/>
    </row>
    <row r="355" customFormat="false" ht="15" hidden="false" customHeight="false" outlineLevel="0" collapsed="false">
      <c r="A355" s="102"/>
      <c r="B355" s="103"/>
      <c r="C355" s="103"/>
      <c r="D355" s="103"/>
      <c r="E355" s="104"/>
      <c r="F355" s="103"/>
    </row>
    <row r="356" customFormat="false" ht="15" hidden="false" customHeight="false" outlineLevel="0" collapsed="false">
      <c r="A356" s="102"/>
      <c r="B356" s="103"/>
      <c r="C356" s="103"/>
      <c r="D356" s="103"/>
      <c r="E356" s="104"/>
      <c r="F356" s="103"/>
    </row>
    <row r="357" customFormat="false" ht="15" hidden="false" customHeight="false" outlineLevel="0" collapsed="false">
      <c r="A357" s="102"/>
      <c r="B357" s="103"/>
      <c r="C357" s="103"/>
      <c r="D357" s="103"/>
      <c r="E357" s="104"/>
      <c r="F357" s="103"/>
    </row>
    <row r="358" customFormat="false" ht="15" hidden="false" customHeight="false" outlineLevel="0" collapsed="false">
      <c r="A358" s="102"/>
      <c r="B358" s="103"/>
      <c r="C358" s="103"/>
      <c r="D358" s="103"/>
      <c r="E358" s="104"/>
      <c r="F358" s="103"/>
    </row>
    <row r="359" customFormat="false" ht="15" hidden="false" customHeight="false" outlineLevel="0" collapsed="false">
      <c r="A359" s="102"/>
      <c r="B359" s="103"/>
      <c r="C359" s="103"/>
      <c r="D359" s="103"/>
      <c r="E359" s="104"/>
      <c r="F359" s="103"/>
    </row>
    <row r="360" customFormat="false" ht="15" hidden="false" customHeight="false" outlineLevel="0" collapsed="false">
      <c r="A360" s="102"/>
      <c r="B360" s="103"/>
      <c r="C360" s="103"/>
      <c r="D360" s="103"/>
      <c r="E360" s="104"/>
      <c r="F360" s="103"/>
    </row>
    <row r="361" customFormat="false" ht="15" hidden="false" customHeight="false" outlineLevel="0" collapsed="false">
      <c r="A361" s="102"/>
      <c r="B361" s="103"/>
      <c r="C361" s="103"/>
      <c r="D361" s="103"/>
      <c r="E361" s="104"/>
      <c r="F361" s="103"/>
    </row>
    <row r="362" customFormat="false" ht="15" hidden="false" customHeight="false" outlineLevel="0" collapsed="false">
      <c r="A362" s="102"/>
      <c r="B362" s="103"/>
      <c r="C362" s="103"/>
      <c r="D362" s="103"/>
      <c r="E362" s="104"/>
      <c r="F362" s="103"/>
    </row>
    <row r="363" customFormat="false" ht="15" hidden="false" customHeight="false" outlineLevel="0" collapsed="false">
      <c r="A363" s="102"/>
      <c r="B363" s="103"/>
      <c r="C363" s="103"/>
      <c r="D363" s="103"/>
      <c r="E363" s="104"/>
      <c r="F363" s="103"/>
    </row>
    <row r="364" customFormat="false" ht="15" hidden="false" customHeight="false" outlineLevel="0" collapsed="false">
      <c r="A364" s="102"/>
      <c r="B364" s="103"/>
      <c r="C364" s="103"/>
      <c r="D364" s="103"/>
      <c r="E364" s="104"/>
      <c r="F364" s="103"/>
    </row>
    <row r="365" customFormat="false" ht="15" hidden="false" customHeight="false" outlineLevel="0" collapsed="false">
      <c r="A365" s="102"/>
      <c r="B365" s="103"/>
      <c r="C365" s="103"/>
      <c r="D365" s="103"/>
      <c r="E365" s="104"/>
      <c r="F365" s="103"/>
    </row>
    <row r="366" customFormat="false" ht="15" hidden="false" customHeight="false" outlineLevel="0" collapsed="false">
      <c r="A366" s="102"/>
      <c r="B366" s="103"/>
      <c r="C366" s="103"/>
      <c r="D366" s="103"/>
      <c r="E366" s="104"/>
      <c r="F366" s="103"/>
    </row>
    <row r="367" customFormat="false" ht="15" hidden="false" customHeight="false" outlineLevel="0" collapsed="false">
      <c r="A367" s="102"/>
      <c r="B367" s="103"/>
      <c r="C367" s="103"/>
      <c r="D367" s="103"/>
      <c r="E367" s="104"/>
      <c r="F367" s="103"/>
    </row>
    <row r="368" customFormat="false" ht="15" hidden="false" customHeight="false" outlineLevel="0" collapsed="false">
      <c r="A368" s="102"/>
      <c r="B368" s="103"/>
      <c r="C368" s="103"/>
      <c r="D368" s="103"/>
      <c r="E368" s="104"/>
      <c r="F368" s="103"/>
    </row>
    <row r="369" customFormat="false" ht="15" hidden="false" customHeight="false" outlineLevel="0" collapsed="false">
      <c r="A369" s="102"/>
      <c r="B369" s="103"/>
      <c r="C369" s="103"/>
      <c r="D369" s="103"/>
      <c r="E369" s="104"/>
      <c r="F369" s="103"/>
    </row>
    <row r="370" customFormat="false" ht="15" hidden="false" customHeight="false" outlineLevel="0" collapsed="false">
      <c r="A370" s="102"/>
      <c r="B370" s="103"/>
      <c r="C370" s="103"/>
      <c r="D370" s="103"/>
      <c r="E370" s="104"/>
      <c r="F370" s="103"/>
    </row>
    <row r="371" customFormat="false" ht="15" hidden="false" customHeight="false" outlineLevel="0" collapsed="false">
      <c r="A371" s="102"/>
      <c r="B371" s="103"/>
      <c r="C371" s="103"/>
      <c r="D371" s="103"/>
      <c r="E371" s="104"/>
      <c r="F371" s="103"/>
    </row>
    <row r="372" customFormat="false" ht="15" hidden="false" customHeight="false" outlineLevel="0" collapsed="false">
      <c r="A372" s="102"/>
      <c r="B372" s="103"/>
      <c r="C372" s="103"/>
      <c r="D372" s="103"/>
      <c r="E372" s="104"/>
      <c r="F372" s="103"/>
    </row>
    <row r="373" customFormat="false" ht="15" hidden="false" customHeight="false" outlineLevel="0" collapsed="false">
      <c r="A373" s="102"/>
      <c r="B373" s="103"/>
      <c r="C373" s="103"/>
      <c r="D373" s="103"/>
      <c r="E373" s="104"/>
      <c r="F373" s="103"/>
    </row>
    <row r="374" customFormat="false" ht="15" hidden="false" customHeight="false" outlineLevel="0" collapsed="false">
      <c r="A374" s="102"/>
      <c r="B374" s="103"/>
      <c r="C374" s="103"/>
      <c r="D374" s="103"/>
      <c r="E374" s="104"/>
      <c r="F374" s="103"/>
    </row>
    <row r="375" customFormat="false" ht="15" hidden="false" customHeight="false" outlineLevel="0" collapsed="false">
      <c r="A375" s="102"/>
      <c r="B375" s="103"/>
      <c r="C375" s="103"/>
      <c r="D375" s="103"/>
      <c r="E375" s="104"/>
      <c r="F375" s="103"/>
    </row>
    <row r="376" customFormat="false" ht="15" hidden="false" customHeight="false" outlineLevel="0" collapsed="false">
      <c r="A376" s="102"/>
      <c r="B376" s="103"/>
      <c r="C376" s="103"/>
      <c r="D376" s="103"/>
      <c r="E376" s="104"/>
      <c r="F376" s="103"/>
    </row>
    <row r="377" customFormat="false" ht="15" hidden="false" customHeight="false" outlineLevel="0" collapsed="false">
      <c r="A377" s="102"/>
      <c r="B377" s="103"/>
      <c r="C377" s="103"/>
      <c r="D377" s="103"/>
      <c r="E377" s="104"/>
      <c r="F377" s="103"/>
    </row>
    <row r="378" customFormat="false" ht="15" hidden="false" customHeight="false" outlineLevel="0" collapsed="false">
      <c r="A378" s="102"/>
      <c r="B378" s="103"/>
      <c r="C378" s="103"/>
      <c r="D378" s="103"/>
      <c r="E378" s="104"/>
      <c r="F378" s="103"/>
    </row>
    <row r="379" customFormat="false" ht="15" hidden="false" customHeight="false" outlineLevel="0" collapsed="false">
      <c r="A379" s="102"/>
      <c r="B379" s="103"/>
      <c r="C379" s="103"/>
      <c r="D379" s="103"/>
      <c r="E379" s="104"/>
      <c r="F379" s="103"/>
    </row>
    <row r="380" customFormat="false" ht="15" hidden="false" customHeight="false" outlineLevel="0" collapsed="false">
      <c r="A380" s="102"/>
      <c r="B380" s="103"/>
      <c r="C380" s="103"/>
      <c r="D380" s="103"/>
      <c r="E380" s="104"/>
      <c r="F380" s="103"/>
    </row>
    <row r="381" customFormat="false" ht="15" hidden="false" customHeight="false" outlineLevel="0" collapsed="false">
      <c r="A381" s="102"/>
      <c r="B381" s="103"/>
      <c r="C381" s="103"/>
      <c r="D381" s="103"/>
      <c r="E381" s="104"/>
      <c r="F381" s="103"/>
    </row>
    <row r="382" customFormat="false" ht="15" hidden="false" customHeight="false" outlineLevel="0" collapsed="false">
      <c r="A382" s="102"/>
      <c r="B382" s="103"/>
      <c r="C382" s="103"/>
      <c r="D382" s="103"/>
      <c r="E382" s="104"/>
      <c r="F382" s="103"/>
    </row>
    <row r="383" customFormat="false" ht="15" hidden="false" customHeight="false" outlineLevel="0" collapsed="false">
      <c r="A383" s="102"/>
      <c r="B383" s="103"/>
      <c r="C383" s="103"/>
      <c r="D383" s="103"/>
      <c r="E383" s="104"/>
      <c r="F383" s="103"/>
    </row>
    <row r="384" customFormat="false" ht="15" hidden="false" customHeight="false" outlineLevel="0" collapsed="false">
      <c r="A384" s="102"/>
      <c r="B384" s="103"/>
      <c r="C384" s="103"/>
      <c r="D384" s="103"/>
      <c r="E384" s="104"/>
      <c r="F384" s="103"/>
    </row>
    <row r="385" customFormat="false" ht="15" hidden="false" customHeight="false" outlineLevel="0" collapsed="false">
      <c r="A385" s="102"/>
      <c r="B385" s="103"/>
      <c r="C385" s="103"/>
      <c r="D385" s="103"/>
      <c r="E385" s="104"/>
      <c r="F385" s="103"/>
    </row>
    <row r="386" customFormat="false" ht="15" hidden="false" customHeight="false" outlineLevel="0" collapsed="false">
      <c r="A386" s="102"/>
      <c r="B386" s="103"/>
      <c r="C386" s="103"/>
      <c r="D386" s="103"/>
      <c r="E386" s="104"/>
      <c r="F386" s="103"/>
    </row>
    <row r="387" customFormat="false" ht="15" hidden="false" customHeight="false" outlineLevel="0" collapsed="false">
      <c r="A387" s="102"/>
      <c r="B387" s="103"/>
      <c r="C387" s="103"/>
      <c r="D387" s="103"/>
      <c r="E387" s="104"/>
      <c r="F387" s="103"/>
    </row>
    <row r="388" customFormat="false" ht="15" hidden="false" customHeight="false" outlineLevel="0" collapsed="false">
      <c r="A388" s="102"/>
      <c r="B388" s="103"/>
      <c r="C388" s="103"/>
      <c r="D388" s="103"/>
      <c r="E388" s="104"/>
      <c r="F388" s="103"/>
    </row>
    <row r="389" customFormat="false" ht="15" hidden="false" customHeight="false" outlineLevel="0" collapsed="false">
      <c r="A389" s="102"/>
      <c r="B389" s="103"/>
      <c r="C389" s="103"/>
      <c r="D389" s="103"/>
      <c r="E389" s="104"/>
      <c r="F389" s="103"/>
    </row>
    <row r="390" customFormat="false" ht="15" hidden="false" customHeight="false" outlineLevel="0" collapsed="false">
      <c r="A390" s="102"/>
      <c r="B390" s="103"/>
      <c r="C390" s="103"/>
      <c r="D390" s="103"/>
      <c r="E390" s="104"/>
      <c r="F390" s="103"/>
    </row>
    <row r="391" customFormat="false" ht="15" hidden="false" customHeight="false" outlineLevel="0" collapsed="false">
      <c r="A391" s="102"/>
      <c r="B391" s="103"/>
      <c r="C391" s="103"/>
      <c r="D391" s="103"/>
      <c r="E391" s="104"/>
      <c r="F391" s="103"/>
    </row>
    <row r="392" customFormat="false" ht="15" hidden="false" customHeight="false" outlineLevel="0" collapsed="false">
      <c r="A392" s="102"/>
      <c r="B392" s="103"/>
      <c r="C392" s="103"/>
      <c r="D392" s="103"/>
      <c r="E392" s="104"/>
      <c r="F392" s="103"/>
    </row>
    <row r="393" customFormat="false" ht="15" hidden="false" customHeight="false" outlineLevel="0" collapsed="false">
      <c r="A393" s="102"/>
      <c r="B393" s="103"/>
      <c r="C393" s="103"/>
      <c r="D393" s="103"/>
      <c r="E393" s="104"/>
      <c r="F393" s="103"/>
    </row>
    <row r="394" customFormat="false" ht="15" hidden="false" customHeight="false" outlineLevel="0" collapsed="false">
      <c r="A394" s="102"/>
      <c r="B394" s="103"/>
      <c r="C394" s="103"/>
      <c r="D394" s="103"/>
      <c r="E394" s="104"/>
      <c r="F394" s="103"/>
    </row>
    <row r="395" customFormat="false" ht="15" hidden="false" customHeight="false" outlineLevel="0" collapsed="false">
      <c r="A395" s="102"/>
      <c r="B395" s="103"/>
      <c r="C395" s="103"/>
      <c r="D395" s="103"/>
      <c r="E395" s="104"/>
      <c r="F395" s="103"/>
    </row>
    <row r="396" customFormat="false" ht="15" hidden="false" customHeight="false" outlineLevel="0" collapsed="false">
      <c r="A396" s="102"/>
      <c r="B396" s="103"/>
      <c r="C396" s="103"/>
      <c r="D396" s="103"/>
      <c r="E396" s="104"/>
      <c r="F396" s="103"/>
    </row>
    <row r="397" customFormat="false" ht="15" hidden="false" customHeight="false" outlineLevel="0" collapsed="false">
      <c r="A397" s="102"/>
      <c r="B397" s="103"/>
      <c r="C397" s="103"/>
      <c r="D397" s="103"/>
      <c r="E397" s="104"/>
      <c r="F397" s="103"/>
    </row>
    <row r="398" customFormat="false" ht="15" hidden="false" customHeight="false" outlineLevel="0" collapsed="false">
      <c r="A398" s="102"/>
      <c r="B398" s="103"/>
      <c r="C398" s="103"/>
      <c r="D398" s="103"/>
      <c r="E398" s="104"/>
      <c r="F398" s="103"/>
    </row>
    <row r="399" customFormat="false" ht="15" hidden="false" customHeight="false" outlineLevel="0" collapsed="false">
      <c r="A399" s="102"/>
      <c r="B399" s="103"/>
      <c r="C399" s="103"/>
      <c r="D399" s="103"/>
      <c r="E399" s="104"/>
      <c r="F399" s="103"/>
    </row>
    <row r="400" customFormat="false" ht="15" hidden="false" customHeight="false" outlineLevel="0" collapsed="false">
      <c r="A400" s="102"/>
      <c r="B400" s="103"/>
      <c r="C400" s="103"/>
      <c r="D400" s="103"/>
      <c r="E400" s="104"/>
      <c r="F400" s="103"/>
    </row>
    <row r="401" customFormat="false" ht="15" hidden="false" customHeight="false" outlineLevel="0" collapsed="false">
      <c r="A401" s="102"/>
      <c r="B401" s="103"/>
      <c r="C401" s="103"/>
      <c r="D401" s="103"/>
      <c r="E401" s="104"/>
      <c r="F401" s="103"/>
    </row>
    <row r="402" customFormat="false" ht="15" hidden="false" customHeight="false" outlineLevel="0" collapsed="false">
      <c r="A402" s="102"/>
      <c r="B402" s="103"/>
      <c r="C402" s="103"/>
      <c r="D402" s="103"/>
      <c r="E402" s="104"/>
      <c r="F402" s="103"/>
    </row>
    <row r="403" customFormat="false" ht="15" hidden="false" customHeight="false" outlineLevel="0" collapsed="false">
      <c r="A403" s="102"/>
      <c r="B403" s="103"/>
      <c r="C403" s="103"/>
      <c r="D403" s="103"/>
      <c r="E403" s="104"/>
      <c r="F403" s="103"/>
    </row>
    <row r="404" customFormat="false" ht="15" hidden="false" customHeight="false" outlineLevel="0" collapsed="false">
      <c r="A404" s="102"/>
      <c r="B404" s="103"/>
      <c r="C404" s="103"/>
      <c r="D404" s="103"/>
      <c r="E404" s="104"/>
      <c r="F404" s="103"/>
    </row>
    <row r="405" customFormat="false" ht="15" hidden="false" customHeight="false" outlineLevel="0" collapsed="false">
      <c r="A405" s="102"/>
      <c r="B405" s="103"/>
      <c r="C405" s="103"/>
      <c r="D405" s="103"/>
      <c r="E405" s="104"/>
      <c r="F405" s="103"/>
    </row>
    <row r="406" customFormat="false" ht="15" hidden="false" customHeight="false" outlineLevel="0" collapsed="false">
      <c r="A406" s="102"/>
      <c r="B406" s="103"/>
      <c r="C406" s="103"/>
      <c r="D406" s="103"/>
      <c r="E406" s="104"/>
      <c r="F406" s="103"/>
    </row>
    <row r="407" customFormat="false" ht="15" hidden="false" customHeight="false" outlineLevel="0" collapsed="false">
      <c r="A407" s="102"/>
      <c r="B407" s="103"/>
      <c r="C407" s="103"/>
      <c r="D407" s="103"/>
      <c r="E407" s="104"/>
      <c r="F407" s="103"/>
    </row>
    <row r="408" customFormat="false" ht="15" hidden="false" customHeight="false" outlineLevel="0" collapsed="false">
      <c r="A408" s="102"/>
      <c r="B408" s="103"/>
      <c r="C408" s="103"/>
      <c r="D408" s="103"/>
      <c r="E408" s="104"/>
      <c r="F408" s="103"/>
    </row>
    <row r="409" customFormat="false" ht="15" hidden="false" customHeight="false" outlineLevel="0" collapsed="false">
      <c r="A409" s="102"/>
      <c r="B409" s="103"/>
      <c r="C409" s="103"/>
      <c r="D409" s="103"/>
      <c r="E409" s="104"/>
      <c r="F409" s="103"/>
    </row>
    <row r="410" customFormat="false" ht="15" hidden="false" customHeight="false" outlineLevel="0" collapsed="false">
      <c r="A410" s="102"/>
      <c r="B410" s="103"/>
      <c r="C410" s="103"/>
      <c r="D410" s="103"/>
      <c r="E410" s="104"/>
      <c r="F410" s="103"/>
    </row>
    <row r="411" customFormat="false" ht="15" hidden="false" customHeight="false" outlineLevel="0" collapsed="false">
      <c r="A411" s="102"/>
      <c r="B411" s="103"/>
      <c r="C411" s="103"/>
      <c r="D411" s="103"/>
      <c r="E411" s="104"/>
      <c r="F411" s="103"/>
    </row>
    <row r="412" customFormat="false" ht="15" hidden="false" customHeight="false" outlineLevel="0" collapsed="false">
      <c r="A412" s="102"/>
      <c r="B412" s="103"/>
      <c r="C412" s="103"/>
      <c r="D412" s="103"/>
      <c r="E412" s="104"/>
      <c r="F412" s="103"/>
    </row>
    <row r="413" customFormat="false" ht="15" hidden="false" customHeight="false" outlineLevel="0" collapsed="false">
      <c r="A413" s="102"/>
      <c r="B413" s="103"/>
      <c r="C413" s="103"/>
      <c r="D413" s="103"/>
      <c r="E413" s="104"/>
      <c r="F413" s="103"/>
    </row>
    <row r="414" customFormat="false" ht="15" hidden="false" customHeight="false" outlineLevel="0" collapsed="false">
      <c r="A414" s="102"/>
      <c r="B414" s="103"/>
      <c r="C414" s="103"/>
      <c r="D414" s="103"/>
      <c r="E414" s="104"/>
      <c r="F414" s="103"/>
    </row>
    <row r="415" customFormat="false" ht="15" hidden="false" customHeight="false" outlineLevel="0" collapsed="false">
      <c r="A415" s="102"/>
      <c r="B415" s="103"/>
      <c r="C415" s="103"/>
      <c r="D415" s="103"/>
      <c r="E415" s="104"/>
      <c r="F415" s="103"/>
    </row>
    <row r="416" customFormat="false" ht="15" hidden="false" customHeight="false" outlineLevel="0" collapsed="false">
      <c r="A416" s="102"/>
      <c r="B416" s="103"/>
      <c r="C416" s="103"/>
      <c r="D416" s="103"/>
      <c r="E416" s="104"/>
      <c r="F416" s="103"/>
    </row>
    <row r="417" customFormat="false" ht="15" hidden="false" customHeight="false" outlineLevel="0" collapsed="false">
      <c r="A417" s="102"/>
      <c r="B417" s="103"/>
      <c r="C417" s="103"/>
      <c r="D417" s="103"/>
      <c r="E417" s="104"/>
      <c r="F417" s="103"/>
    </row>
    <row r="418" customFormat="false" ht="15" hidden="false" customHeight="false" outlineLevel="0" collapsed="false">
      <c r="A418" s="102"/>
      <c r="B418" s="103"/>
      <c r="C418" s="103"/>
      <c r="D418" s="103"/>
      <c r="E418" s="104"/>
      <c r="F418" s="103"/>
    </row>
    <row r="419" customFormat="false" ht="15" hidden="false" customHeight="false" outlineLevel="0" collapsed="false">
      <c r="A419" s="102"/>
      <c r="B419" s="103"/>
      <c r="C419" s="103"/>
      <c r="D419" s="103"/>
      <c r="E419" s="104"/>
      <c r="F419" s="103"/>
    </row>
    <row r="420" customFormat="false" ht="15" hidden="false" customHeight="false" outlineLevel="0" collapsed="false">
      <c r="A420" s="102"/>
      <c r="B420" s="103"/>
      <c r="C420" s="103"/>
      <c r="D420" s="103"/>
      <c r="E420" s="104"/>
      <c r="F420" s="103"/>
    </row>
    <row r="421" customFormat="false" ht="15" hidden="false" customHeight="false" outlineLevel="0" collapsed="false">
      <c r="A421" s="102"/>
      <c r="B421" s="103"/>
      <c r="C421" s="103"/>
      <c r="D421" s="103"/>
      <c r="E421" s="104"/>
      <c r="F421" s="103"/>
    </row>
    <row r="422" customFormat="false" ht="15" hidden="false" customHeight="false" outlineLevel="0" collapsed="false">
      <c r="A422" s="102"/>
      <c r="B422" s="103"/>
      <c r="C422" s="103"/>
      <c r="D422" s="103"/>
      <c r="E422" s="104"/>
      <c r="F422" s="103"/>
    </row>
    <row r="423" customFormat="false" ht="15" hidden="false" customHeight="false" outlineLevel="0" collapsed="false">
      <c r="A423" s="102"/>
      <c r="B423" s="103"/>
      <c r="C423" s="103"/>
      <c r="D423" s="103"/>
      <c r="E423" s="104"/>
      <c r="F423" s="103"/>
    </row>
    <row r="424" customFormat="false" ht="15" hidden="false" customHeight="false" outlineLevel="0" collapsed="false">
      <c r="A424" s="102"/>
      <c r="B424" s="103"/>
      <c r="C424" s="103"/>
      <c r="D424" s="103"/>
      <c r="E424" s="104"/>
      <c r="F424" s="103"/>
    </row>
    <row r="425" customFormat="false" ht="15" hidden="false" customHeight="false" outlineLevel="0" collapsed="false">
      <c r="A425" s="102"/>
      <c r="B425" s="103"/>
      <c r="C425" s="103"/>
      <c r="D425" s="103"/>
      <c r="E425" s="104"/>
      <c r="F425" s="103"/>
    </row>
    <row r="426" customFormat="false" ht="15" hidden="false" customHeight="false" outlineLevel="0" collapsed="false">
      <c r="A426" s="102"/>
      <c r="B426" s="103"/>
      <c r="C426" s="103"/>
      <c r="D426" s="103"/>
      <c r="E426" s="104"/>
      <c r="F426" s="103"/>
    </row>
    <row r="427" customFormat="false" ht="15" hidden="false" customHeight="false" outlineLevel="0" collapsed="false">
      <c r="A427" s="102"/>
      <c r="B427" s="103"/>
      <c r="C427" s="103"/>
      <c r="D427" s="103"/>
      <c r="E427" s="104"/>
      <c r="F427" s="103"/>
    </row>
    <row r="428" customFormat="false" ht="15" hidden="false" customHeight="false" outlineLevel="0" collapsed="false">
      <c r="A428" s="102"/>
      <c r="B428" s="103"/>
      <c r="C428" s="103"/>
      <c r="D428" s="103"/>
      <c r="E428" s="104"/>
      <c r="F428" s="103"/>
    </row>
    <row r="429" customFormat="false" ht="15" hidden="false" customHeight="false" outlineLevel="0" collapsed="false">
      <c r="A429" s="102"/>
      <c r="B429" s="103"/>
      <c r="C429" s="103"/>
      <c r="D429" s="103"/>
      <c r="E429" s="104"/>
      <c r="F429" s="103"/>
    </row>
    <row r="430" customFormat="false" ht="15" hidden="false" customHeight="false" outlineLevel="0" collapsed="false">
      <c r="A430" s="102"/>
      <c r="B430" s="103"/>
      <c r="C430" s="103"/>
      <c r="D430" s="103"/>
      <c r="E430" s="104"/>
      <c r="F430" s="103"/>
    </row>
    <row r="431" customFormat="false" ht="15" hidden="false" customHeight="false" outlineLevel="0" collapsed="false">
      <c r="A431" s="102"/>
      <c r="B431" s="103"/>
      <c r="C431" s="103"/>
      <c r="D431" s="103"/>
      <c r="E431" s="104"/>
      <c r="F431" s="103"/>
    </row>
    <row r="432" customFormat="false" ht="15" hidden="false" customHeight="false" outlineLevel="0" collapsed="false">
      <c r="A432" s="102"/>
      <c r="B432" s="103"/>
      <c r="C432" s="103"/>
      <c r="D432" s="103"/>
      <c r="E432" s="104"/>
      <c r="F432" s="103"/>
    </row>
    <row r="433" customFormat="false" ht="15" hidden="false" customHeight="false" outlineLevel="0" collapsed="false">
      <c r="A433" s="102"/>
      <c r="B433" s="103"/>
      <c r="C433" s="103"/>
      <c r="D433" s="103"/>
      <c r="E433" s="104"/>
      <c r="F433" s="103"/>
    </row>
    <row r="434" customFormat="false" ht="15" hidden="false" customHeight="false" outlineLevel="0" collapsed="false">
      <c r="A434" s="102"/>
      <c r="B434" s="103"/>
      <c r="C434" s="103"/>
      <c r="D434" s="103"/>
      <c r="E434" s="104"/>
      <c r="F434" s="103"/>
    </row>
    <row r="435" customFormat="false" ht="15" hidden="false" customHeight="false" outlineLevel="0" collapsed="false">
      <c r="A435" s="102"/>
      <c r="B435" s="103"/>
      <c r="C435" s="103"/>
      <c r="D435" s="103"/>
      <c r="E435" s="104"/>
      <c r="F435" s="103"/>
    </row>
    <row r="436" customFormat="false" ht="15" hidden="false" customHeight="false" outlineLevel="0" collapsed="false">
      <c r="A436" s="102"/>
      <c r="B436" s="103"/>
      <c r="C436" s="103"/>
      <c r="D436" s="103"/>
      <c r="E436" s="104"/>
      <c r="F436" s="103"/>
    </row>
    <row r="437" customFormat="false" ht="15" hidden="false" customHeight="false" outlineLevel="0" collapsed="false">
      <c r="A437" s="102"/>
      <c r="B437" s="103"/>
      <c r="C437" s="103"/>
      <c r="D437" s="103"/>
      <c r="E437" s="104"/>
      <c r="F437" s="103"/>
    </row>
    <row r="438" customFormat="false" ht="15" hidden="false" customHeight="false" outlineLevel="0" collapsed="false">
      <c r="A438" s="102"/>
      <c r="B438" s="103"/>
      <c r="C438" s="103"/>
      <c r="D438" s="103"/>
      <c r="E438" s="104"/>
      <c r="F438" s="103"/>
    </row>
    <row r="439" customFormat="false" ht="15" hidden="false" customHeight="false" outlineLevel="0" collapsed="false">
      <c r="A439" s="102"/>
      <c r="B439" s="103"/>
      <c r="C439" s="103"/>
      <c r="D439" s="103"/>
      <c r="E439" s="104"/>
      <c r="F439" s="103"/>
    </row>
    <row r="440" customFormat="false" ht="15" hidden="false" customHeight="false" outlineLevel="0" collapsed="false">
      <c r="A440" s="102"/>
      <c r="B440" s="103"/>
      <c r="C440" s="103"/>
      <c r="D440" s="103"/>
      <c r="E440" s="104"/>
      <c r="F440" s="103"/>
    </row>
    <row r="441" customFormat="false" ht="15" hidden="false" customHeight="false" outlineLevel="0" collapsed="false">
      <c r="A441" s="102"/>
      <c r="B441" s="103"/>
      <c r="C441" s="103"/>
      <c r="D441" s="103"/>
      <c r="E441" s="104"/>
      <c r="F441" s="103"/>
    </row>
    <row r="442" customFormat="false" ht="15" hidden="false" customHeight="false" outlineLevel="0" collapsed="false">
      <c r="A442" s="102"/>
      <c r="B442" s="103"/>
      <c r="C442" s="103"/>
      <c r="D442" s="103"/>
      <c r="E442" s="104"/>
      <c r="F442" s="103"/>
    </row>
    <row r="443" customFormat="false" ht="15" hidden="false" customHeight="false" outlineLevel="0" collapsed="false">
      <c r="A443" s="102"/>
      <c r="B443" s="103"/>
      <c r="C443" s="103"/>
      <c r="D443" s="103"/>
      <c r="E443" s="104"/>
      <c r="F443" s="103"/>
    </row>
    <row r="444" customFormat="false" ht="15" hidden="false" customHeight="false" outlineLevel="0" collapsed="false">
      <c r="A444" s="102"/>
      <c r="B444" s="103"/>
      <c r="C444" s="103"/>
      <c r="D444" s="103"/>
      <c r="E444" s="104"/>
      <c r="F444" s="103"/>
    </row>
    <row r="445" customFormat="false" ht="15" hidden="false" customHeight="false" outlineLevel="0" collapsed="false">
      <c r="A445" s="102"/>
      <c r="B445" s="103"/>
      <c r="C445" s="103"/>
      <c r="D445" s="103"/>
      <c r="E445" s="104"/>
      <c r="F445" s="103"/>
    </row>
    <row r="446" customFormat="false" ht="15" hidden="false" customHeight="false" outlineLevel="0" collapsed="false">
      <c r="A446" s="102"/>
      <c r="B446" s="103"/>
      <c r="C446" s="103"/>
      <c r="D446" s="103"/>
      <c r="E446" s="104"/>
      <c r="F446" s="103"/>
    </row>
    <row r="447" customFormat="false" ht="15" hidden="false" customHeight="false" outlineLevel="0" collapsed="false">
      <c r="A447" s="102"/>
      <c r="B447" s="103"/>
      <c r="C447" s="103"/>
      <c r="D447" s="103"/>
      <c r="E447" s="104"/>
      <c r="F447" s="103"/>
    </row>
    <row r="448" customFormat="false" ht="15" hidden="false" customHeight="false" outlineLevel="0" collapsed="false">
      <c r="A448" s="102"/>
      <c r="B448" s="103"/>
      <c r="C448" s="103"/>
      <c r="D448" s="103"/>
      <c r="E448" s="104"/>
      <c r="F448" s="103"/>
    </row>
    <row r="449" customFormat="false" ht="15" hidden="false" customHeight="false" outlineLevel="0" collapsed="false">
      <c r="A449" s="102"/>
      <c r="B449" s="103"/>
      <c r="C449" s="103"/>
      <c r="D449" s="103"/>
      <c r="E449" s="104"/>
      <c r="F449" s="103"/>
    </row>
    <row r="450" customFormat="false" ht="15" hidden="false" customHeight="false" outlineLevel="0" collapsed="false">
      <c r="A450" s="102"/>
      <c r="B450" s="103"/>
      <c r="C450" s="103"/>
      <c r="D450" s="103"/>
      <c r="E450" s="104"/>
      <c r="F450" s="103"/>
    </row>
    <row r="451" customFormat="false" ht="15" hidden="false" customHeight="false" outlineLevel="0" collapsed="false">
      <c r="A451" s="102"/>
      <c r="B451" s="103"/>
      <c r="C451" s="103"/>
      <c r="D451" s="103"/>
      <c r="E451" s="104"/>
      <c r="F451" s="103"/>
    </row>
    <row r="452" customFormat="false" ht="15" hidden="false" customHeight="false" outlineLevel="0" collapsed="false">
      <c r="A452" s="102"/>
      <c r="B452" s="103"/>
      <c r="C452" s="103"/>
      <c r="D452" s="103"/>
      <c r="E452" s="104"/>
      <c r="F452" s="103"/>
    </row>
    <row r="453" customFormat="false" ht="15" hidden="false" customHeight="false" outlineLevel="0" collapsed="false">
      <c r="A453" s="102"/>
      <c r="B453" s="103"/>
      <c r="C453" s="103"/>
      <c r="D453" s="103"/>
      <c r="E453" s="104"/>
      <c r="F453" s="103"/>
    </row>
    <row r="454" customFormat="false" ht="15" hidden="false" customHeight="false" outlineLevel="0" collapsed="false">
      <c r="A454" s="102"/>
      <c r="B454" s="103"/>
      <c r="C454" s="103"/>
      <c r="D454" s="103"/>
      <c r="E454" s="104"/>
      <c r="F454" s="103"/>
    </row>
    <row r="455" customFormat="false" ht="15" hidden="false" customHeight="false" outlineLevel="0" collapsed="false">
      <c r="A455" s="102"/>
      <c r="B455" s="103"/>
      <c r="C455" s="103"/>
      <c r="D455" s="103"/>
      <c r="E455" s="104"/>
      <c r="F455" s="103"/>
    </row>
    <row r="456" customFormat="false" ht="15" hidden="false" customHeight="false" outlineLevel="0" collapsed="false">
      <c r="A456" s="102"/>
      <c r="B456" s="103"/>
      <c r="C456" s="103"/>
      <c r="D456" s="103"/>
      <c r="E456" s="104"/>
      <c r="F456" s="103"/>
    </row>
    <row r="457" customFormat="false" ht="15" hidden="false" customHeight="false" outlineLevel="0" collapsed="false">
      <c r="A457" s="102"/>
      <c r="B457" s="103"/>
      <c r="C457" s="103"/>
      <c r="D457" s="103"/>
      <c r="E457" s="104"/>
      <c r="F457" s="103"/>
    </row>
    <row r="458" customFormat="false" ht="15" hidden="false" customHeight="false" outlineLevel="0" collapsed="false">
      <c r="A458" s="102"/>
      <c r="B458" s="103"/>
      <c r="C458" s="103"/>
      <c r="D458" s="103"/>
      <c r="E458" s="104"/>
      <c r="F458" s="103"/>
    </row>
    <row r="459" customFormat="false" ht="15" hidden="false" customHeight="false" outlineLevel="0" collapsed="false">
      <c r="A459" s="102"/>
      <c r="B459" s="103"/>
      <c r="C459" s="103"/>
      <c r="D459" s="103"/>
      <c r="E459" s="104"/>
      <c r="F459" s="103"/>
    </row>
    <row r="460" customFormat="false" ht="15" hidden="false" customHeight="false" outlineLevel="0" collapsed="false">
      <c r="A460" s="102"/>
      <c r="B460" s="103"/>
      <c r="C460" s="103"/>
      <c r="D460" s="103"/>
      <c r="E460" s="104"/>
      <c r="F460" s="103"/>
    </row>
    <row r="461" customFormat="false" ht="15" hidden="false" customHeight="false" outlineLevel="0" collapsed="false">
      <c r="A461" s="102"/>
      <c r="B461" s="103"/>
      <c r="C461" s="103"/>
      <c r="D461" s="103"/>
      <c r="E461" s="104"/>
      <c r="F461" s="103"/>
    </row>
    <row r="462" customFormat="false" ht="15" hidden="false" customHeight="false" outlineLevel="0" collapsed="false">
      <c r="A462" s="102"/>
      <c r="B462" s="103"/>
      <c r="C462" s="103"/>
      <c r="D462" s="103"/>
      <c r="E462" s="104"/>
      <c r="F462" s="103"/>
    </row>
    <row r="463" customFormat="false" ht="15" hidden="false" customHeight="false" outlineLevel="0" collapsed="false">
      <c r="A463" s="102"/>
      <c r="B463" s="103"/>
      <c r="C463" s="103"/>
      <c r="D463" s="103"/>
      <c r="E463" s="104"/>
      <c r="F463" s="103"/>
    </row>
    <row r="464" customFormat="false" ht="15" hidden="false" customHeight="false" outlineLevel="0" collapsed="false">
      <c r="A464" s="102"/>
      <c r="B464" s="103"/>
      <c r="C464" s="103"/>
      <c r="D464" s="103"/>
      <c r="E464" s="104"/>
      <c r="F464" s="103"/>
    </row>
    <row r="465" customFormat="false" ht="15" hidden="false" customHeight="false" outlineLevel="0" collapsed="false">
      <c r="A465" s="102"/>
      <c r="B465" s="103"/>
      <c r="C465" s="103"/>
      <c r="D465" s="103"/>
      <c r="E465" s="104"/>
      <c r="F465" s="103"/>
    </row>
    <row r="466" customFormat="false" ht="15" hidden="false" customHeight="false" outlineLevel="0" collapsed="false">
      <c r="A466" s="102"/>
      <c r="B466" s="103"/>
      <c r="C466" s="103"/>
      <c r="D466" s="103"/>
      <c r="E466" s="104"/>
      <c r="F466" s="103"/>
    </row>
    <row r="467" customFormat="false" ht="15" hidden="false" customHeight="false" outlineLevel="0" collapsed="false">
      <c r="A467" s="102"/>
      <c r="B467" s="103"/>
      <c r="C467" s="103"/>
      <c r="D467" s="103"/>
      <c r="E467" s="104"/>
      <c r="F467" s="103"/>
    </row>
    <row r="468" customFormat="false" ht="15" hidden="false" customHeight="false" outlineLevel="0" collapsed="false">
      <c r="A468" s="102"/>
      <c r="B468" s="103"/>
      <c r="C468" s="103"/>
      <c r="D468" s="103"/>
      <c r="E468" s="104"/>
      <c r="F468" s="103"/>
    </row>
    <row r="469" customFormat="false" ht="15" hidden="false" customHeight="false" outlineLevel="0" collapsed="false">
      <c r="A469" s="102"/>
      <c r="B469" s="103"/>
      <c r="C469" s="103"/>
      <c r="D469" s="103"/>
      <c r="E469" s="104"/>
      <c r="F469" s="103"/>
    </row>
    <row r="470" customFormat="false" ht="15" hidden="false" customHeight="false" outlineLevel="0" collapsed="false">
      <c r="A470" s="102"/>
      <c r="B470" s="103"/>
      <c r="C470" s="103"/>
      <c r="D470" s="103"/>
      <c r="E470" s="104"/>
      <c r="F470" s="103"/>
    </row>
    <row r="471" customFormat="false" ht="15" hidden="false" customHeight="false" outlineLevel="0" collapsed="false">
      <c r="A471" s="102"/>
      <c r="B471" s="103"/>
      <c r="C471" s="103"/>
      <c r="D471" s="103"/>
      <c r="E471" s="104"/>
      <c r="F471" s="103"/>
    </row>
    <row r="472" customFormat="false" ht="15" hidden="false" customHeight="false" outlineLevel="0" collapsed="false">
      <c r="A472" s="102"/>
      <c r="B472" s="103"/>
      <c r="C472" s="103"/>
      <c r="D472" s="103"/>
      <c r="E472" s="104"/>
      <c r="F472" s="103"/>
    </row>
    <row r="473" customFormat="false" ht="15" hidden="false" customHeight="false" outlineLevel="0" collapsed="false">
      <c r="A473" s="102"/>
      <c r="B473" s="103"/>
      <c r="C473" s="103"/>
      <c r="D473" s="103"/>
      <c r="E473" s="104"/>
      <c r="F473" s="103"/>
    </row>
    <row r="474" customFormat="false" ht="15" hidden="false" customHeight="false" outlineLevel="0" collapsed="false">
      <c r="A474" s="102"/>
      <c r="B474" s="103"/>
      <c r="C474" s="103"/>
      <c r="D474" s="103"/>
      <c r="E474" s="104"/>
      <c r="F474" s="103"/>
    </row>
    <row r="475" customFormat="false" ht="15" hidden="false" customHeight="false" outlineLevel="0" collapsed="false">
      <c r="A475" s="102"/>
      <c r="B475" s="103"/>
      <c r="C475" s="103"/>
      <c r="D475" s="103"/>
      <c r="E475" s="104"/>
      <c r="F475" s="103"/>
    </row>
    <row r="476" customFormat="false" ht="15" hidden="false" customHeight="false" outlineLevel="0" collapsed="false">
      <c r="A476" s="102"/>
      <c r="B476" s="103"/>
      <c r="C476" s="103"/>
      <c r="D476" s="103"/>
      <c r="E476" s="104"/>
      <c r="F476" s="103"/>
    </row>
    <row r="477" customFormat="false" ht="15" hidden="false" customHeight="false" outlineLevel="0" collapsed="false">
      <c r="A477" s="102"/>
      <c r="B477" s="103"/>
      <c r="C477" s="103"/>
      <c r="D477" s="103"/>
      <c r="E477" s="104"/>
      <c r="F477" s="103"/>
    </row>
    <row r="478" customFormat="false" ht="15" hidden="false" customHeight="false" outlineLevel="0" collapsed="false">
      <c r="A478" s="102"/>
      <c r="B478" s="103"/>
      <c r="C478" s="103"/>
      <c r="D478" s="103"/>
      <c r="E478" s="104"/>
      <c r="F478" s="103"/>
    </row>
    <row r="479" customFormat="false" ht="15" hidden="false" customHeight="false" outlineLevel="0" collapsed="false">
      <c r="A479" s="102"/>
      <c r="B479" s="103"/>
      <c r="C479" s="103"/>
      <c r="D479" s="103"/>
      <c r="E479" s="104"/>
      <c r="F479" s="103"/>
    </row>
    <row r="480" customFormat="false" ht="15" hidden="false" customHeight="false" outlineLevel="0" collapsed="false">
      <c r="A480" s="102"/>
      <c r="B480" s="103"/>
      <c r="C480" s="103"/>
      <c r="D480" s="103"/>
      <c r="E480" s="104"/>
      <c r="F480" s="103"/>
    </row>
    <row r="481" customFormat="false" ht="15" hidden="false" customHeight="false" outlineLevel="0" collapsed="false">
      <c r="A481" s="102"/>
      <c r="B481" s="103"/>
      <c r="C481" s="103"/>
      <c r="D481" s="103"/>
      <c r="E481" s="104"/>
      <c r="F481" s="103"/>
    </row>
    <row r="482" customFormat="false" ht="15" hidden="false" customHeight="false" outlineLevel="0" collapsed="false">
      <c r="A482" s="102"/>
      <c r="B482" s="103"/>
      <c r="C482" s="103"/>
      <c r="D482" s="103"/>
      <c r="E482" s="104"/>
      <c r="F482" s="103"/>
    </row>
    <row r="483" customFormat="false" ht="15" hidden="false" customHeight="false" outlineLevel="0" collapsed="false">
      <c r="A483" s="102"/>
      <c r="B483" s="103"/>
      <c r="C483" s="103"/>
      <c r="D483" s="103"/>
      <c r="E483" s="104"/>
      <c r="F483" s="103"/>
    </row>
    <row r="484" customFormat="false" ht="15" hidden="false" customHeight="false" outlineLevel="0" collapsed="false">
      <c r="A484" s="102"/>
      <c r="B484" s="103"/>
      <c r="C484" s="103"/>
      <c r="D484" s="103"/>
      <c r="E484" s="104"/>
      <c r="F484" s="103"/>
    </row>
    <row r="485" customFormat="false" ht="15" hidden="false" customHeight="false" outlineLevel="0" collapsed="false">
      <c r="A485" s="102"/>
      <c r="B485" s="103"/>
      <c r="C485" s="103"/>
      <c r="D485" s="103"/>
      <c r="E485" s="104"/>
      <c r="F485" s="103"/>
    </row>
    <row r="486" customFormat="false" ht="15" hidden="false" customHeight="false" outlineLevel="0" collapsed="false">
      <c r="A486" s="102"/>
      <c r="B486" s="103"/>
      <c r="C486" s="103"/>
      <c r="D486" s="103"/>
      <c r="E486" s="104"/>
      <c r="F486" s="103"/>
    </row>
    <row r="487" customFormat="false" ht="15" hidden="false" customHeight="false" outlineLevel="0" collapsed="false">
      <c r="A487" s="102"/>
      <c r="B487" s="103"/>
      <c r="C487" s="103"/>
      <c r="D487" s="103"/>
      <c r="E487" s="104"/>
      <c r="F487" s="103"/>
    </row>
    <row r="488" customFormat="false" ht="15" hidden="false" customHeight="false" outlineLevel="0" collapsed="false">
      <c r="A488" s="102"/>
      <c r="B488" s="103"/>
      <c r="C488" s="103"/>
      <c r="D488" s="103"/>
      <c r="E488" s="104"/>
      <c r="F488" s="103"/>
    </row>
    <row r="489" customFormat="false" ht="15" hidden="false" customHeight="false" outlineLevel="0" collapsed="false">
      <c r="A489" s="102"/>
      <c r="B489" s="103"/>
      <c r="C489" s="103"/>
      <c r="D489" s="103"/>
      <c r="E489" s="104"/>
      <c r="F489" s="103"/>
    </row>
    <row r="490" customFormat="false" ht="15" hidden="false" customHeight="false" outlineLevel="0" collapsed="false">
      <c r="A490" s="102"/>
      <c r="B490" s="103"/>
      <c r="C490" s="103"/>
      <c r="D490" s="103"/>
      <c r="E490" s="104"/>
      <c r="F490" s="103"/>
    </row>
    <row r="491" customFormat="false" ht="15" hidden="false" customHeight="false" outlineLevel="0" collapsed="false">
      <c r="A491" s="102"/>
      <c r="B491" s="103"/>
      <c r="C491" s="103"/>
      <c r="D491" s="103"/>
      <c r="E491" s="104"/>
      <c r="F491" s="103"/>
    </row>
    <row r="492" customFormat="false" ht="15" hidden="false" customHeight="false" outlineLevel="0" collapsed="false">
      <c r="A492" s="102"/>
      <c r="B492" s="103"/>
      <c r="C492" s="103"/>
      <c r="D492" s="103"/>
      <c r="E492" s="104"/>
      <c r="F492" s="103"/>
    </row>
    <row r="493" customFormat="false" ht="15" hidden="false" customHeight="false" outlineLevel="0" collapsed="false">
      <c r="A493" s="102"/>
      <c r="B493" s="103"/>
      <c r="C493" s="103"/>
      <c r="D493" s="103"/>
      <c r="E493" s="104"/>
      <c r="F493" s="103"/>
    </row>
    <row r="494" customFormat="false" ht="15" hidden="false" customHeight="false" outlineLevel="0" collapsed="false">
      <c r="A494" s="102"/>
      <c r="B494" s="103"/>
      <c r="C494" s="103"/>
      <c r="D494" s="103"/>
      <c r="E494" s="104"/>
      <c r="F494" s="103"/>
    </row>
    <row r="495" customFormat="false" ht="15" hidden="false" customHeight="false" outlineLevel="0" collapsed="false">
      <c r="A495" s="102"/>
      <c r="B495" s="103"/>
      <c r="C495" s="103"/>
      <c r="D495" s="103"/>
      <c r="E495" s="104"/>
      <c r="F495" s="103"/>
    </row>
    <row r="496" customFormat="false" ht="15" hidden="false" customHeight="false" outlineLevel="0" collapsed="false">
      <c r="A496" s="102"/>
      <c r="B496" s="103"/>
      <c r="C496" s="103"/>
      <c r="D496" s="103"/>
      <c r="E496" s="104"/>
      <c r="F496" s="103"/>
    </row>
    <row r="497" customFormat="false" ht="15" hidden="false" customHeight="false" outlineLevel="0" collapsed="false">
      <c r="A497" s="102"/>
      <c r="B497" s="103"/>
      <c r="C497" s="103"/>
      <c r="D497" s="103"/>
      <c r="E497" s="104"/>
      <c r="F497" s="103"/>
    </row>
    <row r="498" customFormat="false" ht="15" hidden="false" customHeight="false" outlineLevel="0" collapsed="false">
      <c r="A498" s="102"/>
      <c r="B498" s="103"/>
      <c r="C498" s="103"/>
      <c r="D498" s="103"/>
      <c r="E498" s="104"/>
      <c r="F498" s="103"/>
    </row>
    <row r="499" customFormat="false" ht="15" hidden="false" customHeight="false" outlineLevel="0" collapsed="false">
      <c r="A499" s="102"/>
      <c r="B499" s="103"/>
      <c r="C499" s="103"/>
      <c r="D499" s="103"/>
      <c r="E499" s="104"/>
      <c r="F499" s="103"/>
    </row>
    <row r="500" customFormat="false" ht="15" hidden="false" customHeight="false" outlineLevel="0" collapsed="false">
      <c r="A500" s="102"/>
      <c r="B500" s="103"/>
      <c r="C500" s="103"/>
      <c r="D500" s="103"/>
      <c r="E500" s="104"/>
      <c r="F500" s="103"/>
    </row>
    <row r="501" customFormat="false" ht="15" hidden="false" customHeight="false" outlineLevel="0" collapsed="false">
      <c r="A501" s="102"/>
      <c r="B501" s="103"/>
      <c r="C501" s="103"/>
      <c r="D501" s="103"/>
      <c r="E501" s="104"/>
      <c r="F501" s="103"/>
    </row>
    <row r="502" customFormat="false" ht="15" hidden="false" customHeight="false" outlineLevel="0" collapsed="false">
      <c r="A502" s="102"/>
      <c r="B502" s="103"/>
      <c r="C502" s="103"/>
      <c r="D502" s="103"/>
      <c r="E502" s="104"/>
      <c r="F502" s="103"/>
    </row>
    <row r="503" customFormat="false" ht="15" hidden="false" customHeight="false" outlineLevel="0" collapsed="false">
      <c r="A503" s="102"/>
      <c r="B503" s="103"/>
      <c r="C503" s="103"/>
      <c r="D503" s="103"/>
      <c r="E503" s="104"/>
      <c r="F503" s="103"/>
    </row>
    <row r="504" customFormat="false" ht="15" hidden="false" customHeight="false" outlineLevel="0" collapsed="false">
      <c r="A504" s="102"/>
      <c r="B504" s="103"/>
      <c r="C504" s="103"/>
      <c r="D504" s="103"/>
      <c r="E504" s="104"/>
      <c r="F504" s="103"/>
    </row>
    <row r="505" customFormat="false" ht="15" hidden="false" customHeight="false" outlineLevel="0" collapsed="false">
      <c r="A505" s="102"/>
      <c r="B505" s="103"/>
      <c r="C505" s="103"/>
      <c r="D505" s="103"/>
      <c r="E505" s="104"/>
      <c r="F505" s="103"/>
    </row>
    <row r="506" customFormat="false" ht="15" hidden="false" customHeight="false" outlineLevel="0" collapsed="false">
      <c r="A506" s="102"/>
      <c r="B506" s="103"/>
      <c r="C506" s="103"/>
      <c r="D506" s="103"/>
      <c r="E506" s="104"/>
      <c r="F506" s="103"/>
    </row>
    <row r="507" customFormat="false" ht="15" hidden="false" customHeight="false" outlineLevel="0" collapsed="false">
      <c r="A507" s="102"/>
      <c r="B507" s="103"/>
      <c r="C507" s="103"/>
      <c r="D507" s="103"/>
      <c r="E507" s="104"/>
      <c r="F507" s="103"/>
    </row>
    <row r="508" customFormat="false" ht="15" hidden="false" customHeight="false" outlineLevel="0" collapsed="false">
      <c r="A508" s="102"/>
      <c r="B508" s="103"/>
      <c r="C508" s="103"/>
      <c r="D508" s="103"/>
      <c r="E508" s="104"/>
      <c r="F508" s="103"/>
    </row>
    <row r="509" customFormat="false" ht="15" hidden="false" customHeight="false" outlineLevel="0" collapsed="false">
      <c r="A509" s="102"/>
      <c r="B509" s="103"/>
      <c r="C509" s="103"/>
      <c r="D509" s="103"/>
      <c r="E509" s="104"/>
      <c r="F509" s="103"/>
    </row>
    <row r="510" customFormat="false" ht="15" hidden="false" customHeight="false" outlineLevel="0" collapsed="false">
      <c r="A510" s="102"/>
      <c r="B510" s="103"/>
      <c r="C510" s="103"/>
      <c r="D510" s="103"/>
      <c r="E510" s="104"/>
      <c r="F510" s="103"/>
    </row>
    <row r="511" customFormat="false" ht="15" hidden="false" customHeight="false" outlineLevel="0" collapsed="false">
      <c r="A511" s="102"/>
      <c r="B511" s="103"/>
      <c r="C511" s="103"/>
      <c r="D511" s="103"/>
      <c r="E511" s="104"/>
      <c r="F511" s="103"/>
    </row>
    <row r="512" customFormat="false" ht="15" hidden="false" customHeight="false" outlineLevel="0" collapsed="false">
      <c r="A512" s="102"/>
      <c r="B512" s="103"/>
      <c r="C512" s="103"/>
      <c r="D512" s="103"/>
      <c r="E512" s="104"/>
      <c r="F512" s="103"/>
    </row>
    <row r="513" customFormat="false" ht="15" hidden="false" customHeight="false" outlineLevel="0" collapsed="false">
      <c r="A513" s="102"/>
      <c r="B513" s="103"/>
      <c r="C513" s="103"/>
      <c r="D513" s="103"/>
      <c r="E513" s="104"/>
      <c r="F513" s="103"/>
    </row>
    <row r="514" customFormat="false" ht="15" hidden="false" customHeight="false" outlineLevel="0" collapsed="false">
      <c r="A514" s="102"/>
      <c r="B514" s="103"/>
      <c r="C514" s="103"/>
      <c r="D514" s="103"/>
      <c r="E514" s="104"/>
      <c r="F514" s="103"/>
    </row>
    <row r="515" customFormat="false" ht="15" hidden="false" customHeight="false" outlineLevel="0" collapsed="false">
      <c r="A515" s="102"/>
      <c r="B515" s="103"/>
      <c r="C515" s="103"/>
      <c r="D515" s="103"/>
      <c r="E515" s="104"/>
      <c r="F515" s="103"/>
    </row>
    <row r="516" customFormat="false" ht="15" hidden="false" customHeight="false" outlineLevel="0" collapsed="false">
      <c r="A516" s="102"/>
      <c r="B516" s="103"/>
      <c r="C516" s="103"/>
      <c r="D516" s="103"/>
      <c r="E516" s="104"/>
      <c r="F516" s="103"/>
    </row>
    <row r="517" customFormat="false" ht="15" hidden="false" customHeight="false" outlineLevel="0" collapsed="false">
      <c r="A517" s="102"/>
      <c r="B517" s="103"/>
      <c r="C517" s="103"/>
      <c r="D517" s="103"/>
      <c r="E517" s="104"/>
      <c r="F517" s="103"/>
    </row>
    <row r="518" customFormat="false" ht="15" hidden="false" customHeight="false" outlineLevel="0" collapsed="false">
      <c r="A518" s="102"/>
      <c r="B518" s="103"/>
      <c r="C518" s="103"/>
      <c r="D518" s="103"/>
      <c r="E518" s="104"/>
      <c r="F518" s="103"/>
    </row>
    <row r="519" customFormat="false" ht="15" hidden="false" customHeight="false" outlineLevel="0" collapsed="false">
      <c r="A519" s="102"/>
      <c r="B519" s="103"/>
      <c r="C519" s="103"/>
      <c r="D519" s="103"/>
      <c r="E519" s="104"/>
      <c r="F519" s="103"/>
    </row>
    <row r="520" customFormat="false" ht="15" hidden="false" customHeight="false" outlineLevel="0" collapsed="false">
      <c r="A520" s="102"/>
      <c r="B520" s="103"/>
      <c r="C520" s="103"/>
      <c r="D520" s="103"/>
      <c r="E520" s="104"/>
      <c r="F520" s="103"/>
    </row>
    <row r="521" customFormat="false" ht="15" hidden="false" customHeight="false" outlineLevel="0" collapsed="false">
      <c r="A521" s="102"/>
      <c r="B521" s="103"/>
      <c r="C521" s="103"/>
      <c r="D521" s="103"/>
      <c r="E521" s="104"/>
      <c r="F521" s="103"/>
    </row>
    <row r="522" customFormat="false" ht="15" hidden="false" customHeight="false" outlineLevel="0" collapsed="false">
      <c r="A522" s="102"/>
      <c r="B522" s="103"/>
      <c r="C522" s="103"/>
      <c r="D522" s="103"/>
      <c r="E522" s="104"/>
      <c r="F522" s="103"/>
    </row>
    <row r="523" customFormat="false" ht="15" hidden="false" customHeight="false" outlineLevel="0" collapsed="false">
      <c r="A523" s="102"/>
      <c r="B523" s="103"/>
      <c r="C523" s="103"/>
      <c r="D523" s="103"/>
      <c r="E523" s="104"/>
      <c r="F523" s="103"/>
    </row>
    <row r="524" customFormat="false" ht="15" hidden="false" customHeight="false" outlineLevel="0" collapsed="false">
      <c r="A524" s="102"/>
      <c r="B524" s="103"/>
      <c r="C524" s="103"/>
      <c r="D524" s="103"/>
      <c r="E524" s="104"/>
      <c r="F524" s="103"/>
    </row>
    <row r="525" customFormat="false" ht="15" hidden="false" customHeight="false" outlineLevel="0" collapsed="false">
      <c r="A525" s="102"/>
      <c r="B525" s="103"/>
      <c r="C525" s="103"/>
      <c r="D525" s="103"/>
      <c r="E525" s="104"/>
      <c r="F525" s="103"/>
    </row>
    <row r="526" customFormat="false" ht="15" hidden="false" customHeight="false" outlineLevel="0" collapsed="false">
      <c r="A526" s="102"/>
      <c r="B526" s="103"/>
      <c r="C526" s="103"/>
      <c r="D526" s="103"/>
      <c r="E526" s="104"/>
      <c r="F526" s="103"/>
    </row>
    <row r="527" customFormat="false" ht="15" hidden="false" customHeight="false" outlineLevel="0" collapsed="false">
      <c r="A527" s="102"/>
      <c r="B527" s="103"/>
      <c r="C527" s="103"/>
      <c r="D527" s="103"/>
      <c r="E527" s="104"/>
      <c r="F527" s="103"/>
    </row>
    <row r="528" customFormat="false" ht="15" hidden="false" customHeight="false" outlineLevel="0" collapsed="false">
      <c r="A528" s="102"/>
      <c r="B528" s="103"/>
      <c r="C528" s="103"/>
      <c r="D528" s="103"/>
      <c r="E528" s="104"/>
      <c r="F528" s="103"/>
    </row>
    <row r="529" customFormat="false" ht="15" hidden="false" customHeight="false" outlineLevel="0" collapsed="false">
      <c r="A529" s="102"/>
      <c r="B529" s="103"/>
      <c r="C529" s="103"/>
      <c r="D529" s="103"/>
      <c r="E529" s="104"/>
      <c r="F529" s="103"/>
    </row>
    <row r="530" customFormat="false" ht="15" hidden="false" customHeight="false" outlineLevel="0" collapsed="false">
      <c r="A530" s="102"/>
      <c r="B530" s="103"/>
      <c r="C530" s="103"/>
      <c r="D530" s="103"/>
      <c r="E530" s="104"/>
      <c r="F530" s="103"/>
    </row>
    <row r="531" customFormat="false" ht="15" hidden="false" customHeight="false" outlineLevel="0" collapsed="false">
      <c r="A531" s="102"/>
      <c r="B531" s="103"/>
      <c r="C531" s="103"/>
      <c r="D531" s="103"/>
      <c r="E531" s="104"/>
      <c r="F531" s="103"/>
    </row>
    <row r="532" customFormat="false" ht="15" hidden="false" customHeight="false" outlineLevel="0" collapsed="false">
      <c r="A532" s="102"/>
      <c r="B532" s="103"/>
      <c r="C532" s="103"/>
      <c r="D532" s="103"/>
      <c r="E532" s="104"/>
      <c r="F532" s="103"/>
    </row>
    <row r="533" customFormat="false" ht="15" hidden="false" customHeight="false" outlineLevel="0" collapsed="false">
      <c r="A533" s="102"/>
      <c r="B533" s="103"/>
      <c r="C533" s="103"/>
      <c r="D533" s="103"/>
      <c r="E533" s="104"/>
      <c r="F533" s="103"/>
    </row>
    <row r="534" customFormat="false" ht="15" hidden="false" customHeight="false" outlineLevel="0" collapsed="false">
      <c r="A534" s="102"/>
      <c r="B534" s="103"/>
      <c r="C534" s="103"/>
      <c r="D534" s="103"/>
      <c r="E534" s="104"/>
      <c r="F534" s="103"/>
    </row>
    <row r="535" customFormat="false" ht="15" hidden="false" customHeight="false" outlineLevel="0" collapsed="false">
      <c r="A535" s="102"/>
      <c r="B535" s="103"/>
      <c r="C535" s="103"/>
      <c r="D535" s="103"/>
      <c r="E535" s="104"/>
      <c r="F535" s="103"/>
    </row>
    <row r="536" customFormat="false" ht="15" hidden="false" customHeight="false" outlineLevel="0" collapsed="false">
      <c r="A536" s="102"/>
      <c r="B536" s="103"/>
      <c r="C536" s="103"/>
      <c r="D536" s="103"/>
      <c r="E536" s="104"/>
      <c r="F536" s="103"/>
    </row>
    <row r="537" customFormat="false" ht="15" hidden="false" customHeight="false" outlineLevel="0" collapsed="false">
      <c r="A537" s="102"/>
      <c r="B537" s="103"/>
      <c r="C537" s="103"/>
      <c r="D537" s="103"/>
      <c r="E537" s="104"/>
      <c r="F537" s="103"/>
    </row>
    <row r="538" customFormat="false" ht="15" hidden="false" customHeight="false" outlineLevel="0" collapsed="false">
      <c r="A538" s="102"/>
      <c r="B538" s="103"/>
      <c r="C538" s="103"/>
      <c r="D538" s="103"/>
      <c r="E538" s="104"/>
      <c r="F538" s="103"/>
    </row>
    <row r="539" customFormat="false" ht="15" hidden="false" customHeight="false" outlineLevel="0" collapsed="false">
      <c r="A539" s="102"/>
      <c r="B539" s="103"/>
      <c r="C539" s="103"/>
      <c r="D539" s="103"/>
      <c r="E539" s="104"/>
      <c r="F539" s="103"/>
    </row>
    <row r="540" customFormat="false" ht="15" hidden="false" customHeight="false" outlineLevel="0" collapsed="false">
      <c r="A540" s="102"/>
      <c r="B540" s="103"/>
      <c r="C540" s="103"/>
      <c r="D540" s="103"/>
      <c r="E540" s="104"/>
      <c r="F540" s="103"/>
    </row>
    <row r="541" customFormat="false" ht="15" hidden="false" customHeight="false" outlineLevel="0" collapsed="false">
      <c r="A541" s="102"/>
      <c r="B541" s="103"/>
      <c r="C541" s="103"/>
      <c r="D541" s="103"/>
      <c r="E541" s="104"/>
      <c r="F541" s="103"/>
    </row>
    <row r="542" customFormat="false" ht="15" hidden="false" customHeight="false" outlineLevel="0" collapsed="false">
      <c r="A542" s="102"/>
      <c r="B542" s="103"/>
      <c r="C542" s="103"/>
      <c r="D542" s="103"/>
      <c r="E542" s="104"/>
      <c r="F542" s="103"/>
    </row>
    <row r="543" customFormat="false" ht="15" hidden="false" customHeight="false" outlineLevel="0" collapsed="false">
      <c r="A543" s="102"/>
      <c r="B543" s="103"/>
      <c r="C543" s="103"/>
      <c r="D543" s="103"/>
      <c r="E543" s="104"/>
      <c r="F543" s="103"/>
    </row>
    <row r="544" customFormat="false" ht="15" hidden="false" customHeight="false" outlineLevel="0" collapsed="false">
      <c r="A544" s="102"/>
      <c r="B544" s="103"/>
      <c r="C544" s="103"/>
      <c r="D544" s="103"/>
      <c r="E544" s="104"/>
      <c r="F544" s="103"/>
    </row>
    <row r="545" customFormat="false" ht="15" hidden="false" customHeight="false" outlineLevel="0" collapsed="false">
      <c r="A545" s="102"/>
      <c r="B545" s="103"/>
      <c r="C545" s="103"/>
      <c r="D545" s="103"/>
      <c r="E545" s="104"/>
      <c r="F545" s="103"/>
    </row>
    <row r="546" customFormat="false" ht="15" hidden="false" customHeight="false" outlineLevel="0" collapsed="false">
      <c r="A546" s="102"/>
      <c r="B546" s="103"/>
      <c r="C546" s="103"/>
      <c r="D546" s="103"/>
      <c r="E546" s="104"/>
      <c r="F546" s="103"/>
    </row>
    <row r="547" customFormat="false" ht="15" hidden="false" customHeight="false" outlineLevel="0" collapsed="false">
      <c r="A547" s="102"/>
      <c r="B547" s="103"/>
      <c r="C547" s="103"/>
      <c r="D547" s="103"/>
      <c r="E547" s="104"/>
      <c r="F547" s="103"/>
    </row>
    <row r="548" customFormat="false" ht="15" hidden="false" customHeight="false" outlineLevel="0" collapsed="false">
      <c r="A548" s="102"/>
      <c r="B548" s="103"/>
      <c r="C548" s="103"/>
      <c r="D548" s="103"/>
      <c r="E548" s="104"/>
      <c r="F548" s="103"/>
    </row>
    <row r="549" customFormat="false" ht="15" hidden="false" customHeight="false" outlineLevel="0" collapsed="false">
      <c r="A549" s="102"/>
      <c r="B549" s="103"/>
      <c r="C549" s="103"/>
      <c r="D549" s="103"/>
      <c r="E549" s="104"/>
      <c r="F549" s="103"/>
    </row>
    <row r="550" customFormat="false" ht="15" hidden="false" customHeight="false" outlineLevel="0" collapsed="false">
      <c r="A550" s="102"/>
      <c r="B550" s="103"/>
      <c r="C550" s="103"/>
      <c r="D550" s="103"/>
      <c r="E550" s="104"/>
      <c r="F550" s="103"/>
    </row>
    <row r="551" customFormat="false" ht="15" hidden="false" customHeight="false" outlineLevel="0" collapsed="false">
      <c r="A551" s="102"/>
      <c r="B551" s="103"/>
      <c r="C551" s="103"/>
      <c r="D551" s="103"/>
      <c r="E551" s="104"/>
      <c r="F551" s="103"/>
    </row>
    <row r="552" customFormat="false" ht="15" hidden="false" customHeight="false" outlineLevel="0" collapsed="false">
      <c r="A552" s="102"/>
      <c r="B552" s="103"/>
      <c r="C552" s="103"/>
      <c r="D552" s="103"/>
      <c r="E552" s="104"/>
      <c r="F552" s="103"/>
    </row>
    <row r="553" customFormat="false" ht="15" hidden="false" customHeight="false" outlineLevel="0" collapsed="false">
      <c r="A553" s="102"/>
      <c r="B553" s="103"/>
      <c r="C553" s="103"/>
      <c r="D553" s="103"/>
      <c r="E553" s="104"/>
      <c r="F553" s="103"/>
    </row>
    <row r="554" customFormat="false" ht="15" hidden="false" customHeight="false" outlineLevel="0" collapsed="false">
      <c r="A554" s="102"/>
      <c r="B554" s="103"/>
      <c r="C554" s="103"/>
      <c r="D554" s="103"/>
      <c r="E554" s="104"/>
      <c r="F554" s="103"/>
    </row>
    <row r="555" customFormat="false" ht="15" hidden="false" customHeight="false" outlineLevel="0" collapsed="false">
      <c r="A555" s="102"/>
      <c r="B555" s="103"/>
      <c r="C555" s="103"/>
      <c r="D555" s="103"/>
      <c r="E555" s="104"/>
      <c r="F555" s="103"/>
    </row>
    <row r="556" customFormat="false" ht="15" hidden="false" customHeight="false" outlineLevel="0" collapsed="false">
      <c r="A556" s="102"/>
      <c r="B556" s="103"/>
      <c r="C556" s="103"/>
      <c r="D556" s="103"/>
      <c r="E556" s="104"/>
      <c r="F556" s="103"/>
    </row>
    <row r="557" customFormat="false" ht="15" hidden="false" customHeight="false" outlineLevel="0" collapsed="false">
      <c r="A557" s="102"/>
      <c r="B557" s="103"/>
      <c r="C557" s="103"/>
      <c r="D557" s="103"/>
      <c r="E557" s="104"/>
      <c r="F557" s="103"/>
    </row>
    <row r="558" customFormat="false" ht="15" hidden="false" customHeight="false" outlineLevel="0" collapsed="false">
      <c r="A558" s="102"/>
      <c r="B558" s="103"/>
      <c r="C558" s="103"/>
      <c r="D558" s="103"/>
      <c r="E558" s="104"/>
      <c r="F558" s="103"/>
    </row>
    <row r="559" customFormat="false" ht="15" hidden="false" customHeight="false" outlineLevel="0" collapsed="false">
      <c r="A559" s="102"/>
      <c r="B559" s="103"/>
      <c r="C559" s="103"/>
      <c r="D559" s="103"/>
      <c r="E559" s="104"/>
      <c r="F559" s="103"/>
    </row>
    <row r="560" customFormat="false" ht="15" hidden="false" customHeight="false" outlineLevel="0" collapsed="false">
      <c r="A560" s="102"/>
      <c r="B560" s="103"/>
      <c r="C560" s="103"/>
      <c r="D560" s="103"/>
      <c r="E560" s="104"/>
      <c r="F560" s="103"/>
    </row>
    <row r="561" customFormat="false" ht="15" hidden="false" customHeight="false" outlineLevel="0" collapsed="false">
      <c r="A561" s="102"/>
      <c r="B561" s="103"/>
      <c r="C561" s="103"/>
      <c r="D561" s="103"/>
      <c r="E561" s="104"/>
      <c r="F561" s="103"/>
    </row>
    <row r="562" customFormat="false" ht="15" hidden="false" customHeight="false" outlineLevel="0" collapsed="false">
      <c r="A562" s="102"/>
      <c r="B562" s="103"/>
      <c r="C562" s="103"/>
      <c r="D562" s="103"/>
      <c r="E562" s="104"/>
      <c r="F562" s="103"/>
    </row>
    <row r="563" customFormat="false" ht="15" hidden="false" customHeight="false" outlineLevel="0" collapsed="false">
      <c r="A563" s="102"/>
      <c r="B563" s="103"/>
      <c r="C563" s="103"/>
      <c r="D563" s="103"/>
      <c r="E563" s="104"/>
      <c r="F563" s="103"/>
    </row>
    <row r="564" customFormat="false" ht="15" hidden="false" customHeight="false" outlineLevel="0" collapsed="false">
      <c r="A564" s="102"/>
      <c r="B564" s="103"/>
      <c r="C564" s="103"/>
      <c r="D564" s="103"/>
      <c r="E564" s="104"/>
      <c r="F564" s="103"/>
    </row>
    <row r="565" customFormat="false" ht="15" hidden="false" customHeight="false" outlineLevel="0" collapsed="false">
      <c r="A565" s="102"/>
      <c r="B565" s="103"/>
      <c r="C565" s="103"/>
      <c r="D565" s="103"/>
      <c r="E565" s="104"/>
      <c r="F565" s="103"/>
    </row>
    <row r="566" customFormat="false" ht="15" hidden="false" customHeight="false" outlineLevel="0" collapsed="false">
      <c r="A566" s="102"/>
      <c r="B566" s="103"/>
      <c r="C566" s="103"/>
      <c r="D566" s="103"/>
      <c r="E566" s="104"/>
      <c r="F566" s="103"/>
    </row>
    <row r="567" customFormat="false" ht="15" hidden="false" customHeight="false" outlineLevel="0" collapsed="false">
      <c r="A567" s="102"/>
      <c r="B567" s="103"/>
      <c r="C567" s="103"/>
      <c r="D567" s="103"/>
      <c r="E567" s="104"/>
      <c r="F567" s="103"/>
    </row>
    <row r="568" customFormat="false" ht="15" hidden="false" customHeight="false" outlineLevel="0" collapsed="false">
      <c r="A568" s="102"/>
      <c r="B568" s="103"/>
      <c r="C568" s="103"/>
      <c r="D568" s="103"/>
      <c r="E568" s="104"/>
      <c r="F568" s="103"/>
    </row>
    <row r="569" customFormat="false" ht="15" hidden="false" customHeight="false" outlineLevel="0" collapsed="false">
      <c r="A569" s="102"/>
      <c r="B569" s="103"/>
      <c r="C569" s="103"/>
      <c r="D569" s="103"/>
      <c r="E569" s="104"/>
      <c r="F569" s="103"/>
    </row>
    <row r="570" customFormat="false" ht="15" hidden="false" customHeight="false" outlineLevel="0" collapsed="false">
      <c r="A570" s="102"/>
      <c r="B570" s="103"/>
      <c r="C570" s="103"/>
      <c r="D570" s="103"/>
      <c r="E570" s="104"/>
      <c r="F570" s="103"/>
    </row>
    <row r="571" customFormat="false" ht="15" hidden="false" customHeight="false" outlineLevel="0" collapsed="false">
      <c r="A571" s="102"/>
      <c r="B571" s="103"/>
      <c r="C571" s="103"/>
      <c r="D571" s="103"/>
      <c r="E571" s="104"/>
      <c r="F571" s="103"/>
    </row>
    <row r="572" customFormat="false" ht="15" hidden="false" customHeight="false" outlineLevel="0" collapsed="false">
      <c r="A572" s="102"/>
      <c r="B572" s="103"/>
      <c r="C572" s="103"/>
      <c r="D572" s="103"/>
      <c r="E572" s="104"/>
      <c r="F572" s="103"/>
    </row>
    <row r="573" customFormat="false" ht="15" hidden="false" customHeight="false" outlineLevel="0" collapsed="false">
      <c r="A573" s="102"/>
      <c r="B573" s="103"/>
      <c r="C573" s="103"/>
      <c r="D573" s="103"/>
      <c r="E573" s="104"/>
      <c r="F573" s="103"/>
    </row>
    <row r="574" customFormat="false" ht="15" hidden="false" customHeight="false" outlineLevel="0" collapsed="false">
      <c r="A574" s="102"/>
      <c r="B574" s="103"/>
      <c r="C574" s="103"/>
      <c r="D574" s="103"/>
      <c r="E574" s="104"/>
      <c r="F574" s="103"/>
    </row>
    <row r="575" customFormat="false" ht="15" hidden="false" customHeight="false" outlineLevel="0" collapsed="false">
      <c r="A575" s="102"/>
      <c r="B575" s="103"/>
      <c r="C575" s="103"/>
      <c r="D575" s="103"/>
      <c r="E575" s="104"/>
      <c r="F575" s="103"/>
    </row>
    <row r="576" customFormat="false" ht="15" hidden="false" customHeight="false" outlineLevel="0" collapsed="false">
      <c r="A576" s="102"/>
      <c r="B576" s="103"/>
      <c r="C576" s="103"/>
      <c r="D576" s="103"/>
      <c r="E576" s="104"/>
      <c r="F576" s="103"/>
    </row>
    <row r="577" customFormat="false" ht="15" hidden="false" customHeight="false" outlineLevel="0" collapsed="false">
      <c r="A577" s="102"/>
      <c r="B577" s="103"/>
      <c r="C577" s="103"/>
      <c r="D577" s="103"/>
      <c r="E577" s="104"/>
      <c r="F577" s="103"/>
    </row>
    <row r="578" customFormat="false" ht="15" hidden="false" customHeight="false" outlineLevel="0" collapsed="false">
      <c r="A578" s="102"/>
      <c r="B578" s="103"/>
      <c r="C578" s="103"/>
      <c r="D578" s="103"/>
      <c r="E578" s="104"/>
      <c r="F578" s="103"/>
    </row>
    <row r="579" customFormat="false" ht="15" hidden="false" customHeight="false" outlineLevel="0" collapsed="false">
      <c r="A579" s="102"/>
      <c r="B579" s="103"/>
      <c r="C579" s="103"/>
      <c r="D579" s="103"/>
      <c r="E579" s="104"/>
      <c r="F579" s="103"/>
    </row>
    <row r="580" customFormat="false" ht="15" hidden="false" customHeight="false" outlineLevel="0" collapsed="false">
      <c r="A580" s="102"/>
      <c r="B580" s="103"/>
      <c r="C580" s="103"/>
      <c r="D580" s="103"/>
      <c r="E580" s="104"/>
      <c r="F580" s="103"/>
    </row>
    <row r="581" customFormat="false" ht="15" hidden="false" customHeight="false" outlineLevel="0" collapsed="false">
      <c r="A581" s="102"/>
      <c r="B581" s="103"/>
      <c r="C581" s="103"/>
      <c r="D581" s="103"/>
      <c r="E581" s="104"/>
      <c r="F581" s="103"/>
    </row>
    <row r="582" customFormat="false" ht="15" hidden="false" customHeight="false" outlineLevel="0" collapsed="false">
      <c r="A582" s="102"/>
      <c r="B582" s="103"/>
      <c r="C582" s="103"/>
      <c r="D582" s="103"/>
      <c r="E582" s="104"/>
      <c r="F582" s="103"/>
    </row>
    <row r="583" customFormat="false" ht="15" hidden="false" customHeight="false" outlineLevel="0" collapsed="false">
      <c r="A583" s="102"/>
      <c r="B583" s="103"/>
      <c r="C583" s="103"/>
      <c r="D583" s="103"/>
      <c r="E583" s="104"/>
      <c r="F583" s="103"/>
    </row>
    <row r="584" customFormat="false" ht="15" hidden="false" customHeight="false" outlineLevel="0" collapsed="false">
      <c r="A584" s="102"/>
      <c r="B584" s="103"/>
      <c r="C584" s="103"/>
      <c r="D584" s="103"/>
      <c r="E584" s="104"/>
      <c r="F584" s="103"/>
    </row>
    <row r="585" customFormat="false" ht="15" hidden="false" customHeight="false" outlineLevel="0" collapsed="false">
      <c r="A585" s="102"/>
      <c r="B585" s="103"/>
      <c r="C585" s="103"/>
      <c r="D585" s="103"/>
      <c r="E585" s="104"/>
      <c r="F585" s="103"/>
    </row>
    <row r="586" customFormat="false" ht="15" hidden="false" customHeight="false" outlineLevel="0" collapsed="false">
      <c r="A586" s="102"/>
      <c r="B586" s="103"/>
      <c r="C586" s="103"/>
      <c r="D586" s="103"/>
      <c r="E586" s="104"/>
      <c r="F586" s="103"/>
    </row>
    <row r="587" customFormat="false" ht="15" hidden="false" customHeight="false" outlineLevel="0" collapsed="false">
      <c r="A587" s="102"/>
      <c r="B587" s="103"/>
      <c r="C587" s="103"/>
      <c r="D587" s="103"/>
      <c r="E587" s="104"/>
      <c r="F587" s="103"/>
    </row>
    <row r="588" customFormat="false" ht="15" hidden="false" customHeight="false" outlineLevel="0" collapsed="false">
      <c r="A588" s="102"/>
      <c r="B588" s="103"/>
      <c r="C588" s="103"/>
      <c r="D588" s="103"/>
      <c r="E588" s="104"/>
      <c r="F588" s="103"/>
    </row>
    <row r="589" customFormat="false" ht="15" hidden="false" customHeight="false" outlineLevel="0" collapsed="false">
      <c r="A589" s="102"/>
      <c r="B589" s="103"/>
      <c r="C589" s="103"/>
      <c r="D589" s="103"/>
      <c r="E589" s="104"/>
      <c r="F589" s="103"/>
    </row>
    <row r="590" customFormat="false" ht="15" hidden="false" customHeight="false" outlineLevel="0" collapsed="false">
      <c r="A590" s="102"/>
      <c r="B590" s="103"/>
      <c r="C590" s="103"/>
      <c r="D590" s="103"/>
      <c r="E590" s="104"/>
      <c r="F590" s="103"/>
    </row>
    <row r="591" customFormat="false" ht="15" hidden="false" customHeight="false" outlineLevel="0" collapsed="false">
      <c r="A591" s="102"/>
      <c r="B591" s="103"/>
      <c r="C591" s="103"/>
      <c r="D591" s="103"/>
      <c r="E591" s="104"/>
      <c r="F591" s="103"/>
    </row>
    <row r="592" customFormat="false" ht="15" hidden="false" customHeight="false" outlineLevel="0" collapsed="false">
      <c r="A592" s="102"/>
      <c r="B592" s="103"/>
      <c r="C592" s="103"/>
      <c r="D592" s="103"/>
      <c r="E592" s="104"/>
      <c r="F592" s="103"/>
    </row>
    <row r="593" customFormat="false" ht="15" hidden="false" customHeight="false" outlineLevel="0" collapsed="false">
      <c r="A593" s="102"/>
      <c r="B593" s="103"/>
      <c r="C593" s="103"/>
      <c r="D593" s="103"/>
      <c r="E593" s="104"/>
      <c r="F593" s="103"/>
    </row>
    <row r="594" customFormat="false" ht="15" hidden="false" customHeight="false" outlineLevel="0" collapsed="false">
      <c r="A594" s="102"/>
      <c r="B594" s="103"/>
      <c r="C594" s="103"/>
      <c r="D594" s="103"/>
      <c r="E594" s="104"/>
      <c r="F594" s="103"/>
    </row>
    <row r="595" customFormat="false" ht="15" hidden="false" customHeight="false" outlineLevel="0" collapsed="false">
      <c r="A595" s="102"/>
      <c r="B595" s="103"/>
      <c r="C595" s="103"/>
      <c r="D595" s="103"/>
      <c r="E595" s="104"/>
      <c r="F595" s="103"/>
    </row>
    <row r="596" customFormat="false" ht="15" hidden="false" customHeight="false" outlineLevel="0" collapsed="false">
      <c r="A596" s="102"/>
      <c r="B596" s="103"/>
      <c r="C596" s="103"/>
      <c r="D596" s="103"/>
      <c r="E596" s="104"/>
      <c r="F596" s="103"/>
    </row>
    <row r="597" customFormat="false" ht="15" hidden="false" customHeight="false" outlineLevel="0" collapsed="false">
      <c r="A597" s="102"/>
      <c r="B597" s="103"/>
      <c r="C597" s="103"/>
      <c r="D597" s="103"/>
      <c r="E597" s="104"/>
      <c r="F597" s="103"/>
    </row>
    <row r="598" customFormat="false" ht="15" hidden="false" customHeight="false" outlineLevel="0" collapsed="false">
      <c r="A598" s="102"/>
      <c r="B598" s="103"/>
      <c r="C598" s="103"/>
      <c r="D598" s="103"/>
      <c r="E598" s="104"/>
      <c r="F598" s="103"/>
    </row>
    <row r="599" customFormat="false" ht="15" hidden="false" customHeight="false" outlineLevel="0" collapsed="false">
      <c r="A599" s="102"/>
      <c r="B599" s="103"/>
      <c r="C599" s="103"/>
      <c r="D599" s="103"/>
      <c r="E599" s="104"/>
      <c r="F599" s="103"/>
    </row>
    <row r="600" customFormat="false" ht="15" hidden="false" customHeight="false" outlineLevel="0" collapsed="false">
      <c r="A600" s="102"/>
      <c r="B600" s="103"/>
      <c r="C600" s="103"/>
      <c r="D600" s="103"/>
      <c r="E600" s="104"/>
      <c r="F600" s="103"/>
    </row>
    <row r="601" customFormat="false" ht="15" hidden="false" customHeight="false" outlineLevel="0" collapsed="false">
      <c r="A601" s="102"/>
      <c r="B601" s="103"/>
      <c r="C601" s="103"/>
      <c r="D601" s="103"/>
      <c r="E601" s="104"/>
      <c r="F601" s="103"/>
    </row>
    <row r="602" customFormat="false" ht="15" hidden="false" customHeight="false" outlineLevel="0" collapsed="false">
      <c r="A602" s="102"/>
      <c r="B602" s="103"/>
      <c r="C602" s="103"/>
      <c r="D602" s="103"/>
      <c r="E602" s="104"/>
      <c r="F602" s="103"/>
    </row>
    <row r="603" customFormat="false" ht="15" hidden="false" customHeight="false" outlineLevel="0" collapsed="false">
      <c r="A603" s="102"/>
      <c r="B603" s="103"/>
      <c r="C603" s="103"/>
      <c r="D603" s="103"/>
      <c r="E603" s="104"/>
      <c r="F603" s="103"/>
    </row>
    <row r="604" customFormat="false" ht="15" hidden="false" customHeight="false" outlineLevel="0" collapsed="false">
      <c r="A604" s="102"/>
      <c r="B604" s="103"/>
      <c r="C604" s="103"/>
      <c r="D604" s="103"/>
      <c r="E604" s="104"/>
      <c r="F604" s="103"/>
    </row>
    <row r="605" customFormat="false" ht="15" hidden="false" customHeight="false" outlineLevel="0" collapsed="false">
      <c r="A605" s="102"/>
      <c r="B605" s="103"/>
      <c r="C605" s="103"/>
      <c r="D605" s="103"/>
      <c r="E605" s="104"/>
      <c r="F605" s="103"/>
    </row>
    <row r="606" customFormat="false" ht="15" hidden="false" customHeight="false" outlineLevel="0" collapsed="false">
      <c r="A606" s="102"/>
      <c r="B606" s="103"/>
      <c r="C606" s="103"/>
      <c r="D606" s="103"/>
      <c r="E606" s="104"/>
      <c r="F606" s="103"/>
    </row>
    <row r="607" customFormat="false" ht="15" hidden="false" customHeight="false" outlineLevel="0" collapsed="false">
      <c r="A607" s="102"/>
      <c r="B607" s="103"/>
      <c r="C607" s="103"/>
      <c r="D607" s="103"/>
      <c r="E607" s="104"/>
      <c r="F607" s="103"/>
    </row>
    <row r="608" customFormat="false" ht="15" hidden="false" customHeight="false" outlineLevel="0" collapsed="false">
      <c r="A608" s="102"/>
      <c r="B608" s="103"/>
      <c r="C608" s="103"/>
      <c r="D608" s="103"/>
      <c r="E608" s="104"/>
      <c r="F608" s="103"/>
    </row>
    <row r="609" customFormat="false" ht="15" hidden="false" customHeight="false" outlineLevel="0" collapsed="false">
      <c r="A609" s="102"/>
      <c r="B609" s="103"/>
      <c r="C609" s="103"/>
      <c r="D609" s="103"/>
      <c r="E609" s="104"/>
      <c r="F609" s="103"/>
    </row>
    <row r="610" customFormat="false" ht="15" hidden="false" customHeight="false" outlineLevel="0" collapsed="false">
      <c r="A610" s="102"/>
      <c r="B610" s="103"/>
      <c r="C610" s="103"/>
      <c r="D610" s="103"/>
      <c r="E610" s="104"/>
      <c r="F610" s="103"/>
    </row>
    <row r="611" customFormat="false" ht="15" hidden="false" customHeight="false" outlineLevel="0" collapsed="false">
      <c r="A611" s="102"/>
      <c r="B611" s="103"/>
      <c r="C611" s="103"/>
      <c r="D611" s="103"/>
      <c r="E611" s="104"/>
      <c r="F611" s="103"/>
    </row>
    <row r="612" customFormat="false" ht="15" hidden="false" customHeight="false" outlineLevel="0" collapsed="false">
      <c r="A612" s="102"/>
      <c r="B612" s="103"/>
      <c r="C612" s="103"/>
      <c r="D612" s="103"/>
      <c r="E612" s="104"/>
      <c r="F612" s="103"/>
    </row>
    <row r="613" customFormat="false" ht="15" hidden="false" customHeight="false" outlineLevel="0" collapsed="false">
      <c r="A613" s="102"/>
      <c r="B613" s="103"/>
      <c r="C613" s="103"/>
      <c r="D613" s="103"/>
      <c r="E613" s="104"/>
      <c r="F613" s="103"/>
    </row>
    <row r="614" customFormat="false" ht="15" hidden="false" customHeight="false" outlineLevel="0" collapsed="false">
      <c r="A614" s="102"/>
      <c r="B614" s="103"/>
      <c r="C614" s="103"/>
      <c r="D614" s="103"/>
      <c r="E614" s="104"/>
      <c r="F614" s="103"/>
    </row>
    <row r="615" customFormat="false" ht="15" hidden="false" customHeight="false" outlineLevel="0" collapsed="false">
      <c r="A615" s="102"/>
      <c r="B615" s="103"/>
      <c r="C615" s="103"/>
      <c r="D615" s="103"/>
      <c r="E615" s="104"/>
      <c r="F615" s="103"/>
    </row>
    <row r="616" customFormat="false" ht="15" hidden="false" customHeight="false" outlineLevel="0" collapsed="false">
      <c r="A616" s="102"/>
      <c r="B616" s="103"/>
      <c r="C616" s="103"/>
      <c r="D616" s="103"/>
      <c r="E616" s="104"/>
      <c r="F616" s="103"/>
    </row>
    <row r="617" customFormat="false" ht="15" hidden="false" customHeight="false" outlineLevel="0" collapsed="false">
      <c r="A617" s="102"/>
      <c r="B617" s="103"/>
      <c r="C617" s="103"/>
      <c r="D617" s="103"/>
      <c r="E617" s="104"/>
      <c r="F617" s="103"/>
    </row>
    <row r="618" customFormat="false" ht="15" hidden="false" customHeight="false" outlineLevel="0" collapsed="false">
      <c r="A618" s="102"/>
      <c r="B618" s="103"/>
      <c r="C618" s="103"/>
      <c r="D618" s="103"/>
      <c r="E618" s="104"/>
      <c r="F618" s="103"/>
    </row>
    <row r="619" customFormat="false" ht="15" hidden="false" customHeight="false" outlineLevel="0" collapsed="false">
      <c r="A619" s="102"/>
      <c r="B619" s="103"/>
      <c r="C619" s="103"/>
      <c r="D619" s="103"/>
      <c r="E619" s="104"/>
      <c r="F619" s="103"/>
    </row>
    <row r="620" customFormat="false" ht="15" hidden="false" customHeight="false" outlineLevel="0" collapsed="false">
      <c r="A620" s="102"/>
      <c r="B620" s="103"/>
      <c r="C620" s="103"/>
      <c r="D620" s="103"/>
      <c r="E620" s="104"/>
      <c r="F620" s="103"/>
    </row>
    <row r="621" customFormat="false" ht="15" hidden="false" customHeight="false" outlineLevel="0" collapsed="false">
      <c r="A621" s="102"/>
      <c r="B621" s="103"/>
      <c r="C621" s="103"/>
      <c r="D621" s="103"/>
      <c r="E621" s="104"/>
      <c r="F621" s="103"/>
    </row>
    <row r="622" customFormat="false" ht="15" hidden="false" customHeight="false" outlineLevel="0" collapsed="false">
      <c r="A622" s="102"/>
      <c r="B622" s="103"/>
      <c r="C622" s="103"/>
      <c r="D622" s="103"/>
      <c r="E622" s="104"/>
      <c r="F622" s="103"/>
    </row>
    <row r="623" customFormat="false" ht="15" hidden="false" customHeight="false" outlineLevel="0" collapsed="false">
      <c r="A623" s="102"/>
      <c r="B623" s="103"/>
      <c r="C623" s="103"/>
      <c r="D623" s="103"/>
      <c r="E623" s="104"/>
      <c r="F623" s="103"/>
    </row>
    <row r="624" customFormat="false" ht="15" hidden="false" customHeight="false" outlineLevel="0" collapsed="false">
      <c r="A624" s="102"/>
      <c r="B624" s="103"/>
      <c r="C624" s="103"/>
      <c r="D624" s="103"/>
      <c r="E624" s="104"/>
      <c r="F624" s="103"/>
    </row>
    <row r="625" customFormat="false" ht="15" hidden="false" customHeight="false" outlineLevel="0" collapsed="false">
      <c r="A625" s="102"/>
      <c r="B625" s="103"/>
      <c r="C625" s="103"/>
      <c r="D625" s="103"/>
      <c r="E625" s="104"/>
      <c r="F625" s="103"/>
    </row>
    <row r="626" customFormat="false" ht="15" hidden="false" customHeight="false" outlineLevel="0" collapsed="false">
      <c r="A626" s="102"/>
      <c r="B626" s="103"/>
      <c r="C626" s="103"/>
      <c r="D626" s="103"/>
      <c r="E626" s="104"/>
      <c r="F626" s="103"/>
    </row>
    <row r="627" customFormat="false" ht="15" hidden="false" customHeight="false" outlineLevel="0" collapsed="false">
      <c r="A627" s="102"/>
      <c r="B627" s="103"/>
      <c r="C627" s="103"/>
      <c r="D627" s="103"/>
      <c r="E627" s="104"/>
      <c r="F627" s="103"/>
    </row>
    <row r="628" customFormat="false" ht="15" hidden="false" customHeight="false" outlineLevel="0" collapsed="false">
      <c r="A628" s="102"/>
      <c r="B628" s="103"/>
      <c r="C628" s="103"/>
      <c r="D628" s="103"/>
      <c r="E628" s="104"/>
      <c r="F628" s="103"/>
    </row>
    <row r="629" customFormat="false" ht="15" hidden="false" customHeight="false" outlineLevel="0" collapsed="false">
      <c r="A629" s="102"/>
      <c r="B629" s="103"/>
      <c r="C629" s="103"/>
      <c r="D629" s="103"/>
      <c r="E629" s="104"/>
      <c r="F629" s="103"/>
    </row>
    <row r="630" customFormat="false" ht="15" hidden="false" customHeight="false" outlineLevel="0" collapsed="false">
      <c r="A630" s="102"/>
      <c r="B630" s="103"/>
      <c r="C630" s="103"/>
      <c r="D630" s="103"/>
      <c r="E630" s="104"/>
      <c r="F630" s="103"/>
    </row>
    <row r="631" customFormat="false" ht="15" hidden="false" customHeight="false" outlineLevel="0" collapsed="false">
      <c r="A631" s="102"/>
      <c r="B631" s="103"/>
      <c r="C631" s="103"/>
      <c r="D631" s="103"/>
      <c r="E631" s="104"/>
      <c r="F631" s="103"/>
    </row>
    <row r="632" customFormat="false" ht="15" hidden="false" customHeight="false" outlineLevel="0" collapsed="false">
      <c r="A632" s="102"/>
      <c r="B632" s="103"/>
      <c r="C632" s="103"/>
      <c r="D632" s="103"/>
      <c r="E632" s="104"/>
      <c r="F632" s="103"/>
    </row>
    <row r="633" customFormat="false" ht="15" hidden="false" customHeight="false" outlineLevel="0" collapsed="false">
      <c r="A633" s="102"/>
      <c r="B633" s="103"/>
      <c r="C633" s="103"/>
      <c r="D633" s="103"/>
      <c r="E633" s="104"/>
      <c r="F633" s="103"/>
    </row>
    <row r="634" customFormat="false" ht="15" hidden="false" customHeight="false" outlineLevel="0" collapsed="false">
      <c r="A634" s="102"/>
      <c r="B634" s="103"/>
      <c r="C634" s="103"/>
      <c r="D634" s="103"/>
      <c r="E634" s="104"/>
      <c r="F634" s="103"/>
    </row>
    <row r="635" customFormat="false" ht="15" hidden="false" customHeight="false" outlineLevel="0" collapsed="false">
      <c r="A635" s="102"/>
      <c r="B635" s="103"/>
      <c r="C635" s="103"/>
      <c r="D635" s="103"/>
      <c r="E635" s="104"/>
      <c r="F635" s="103"/>
    </row>
    <row r="636" customFormat="false" ht="15" hidden="false" customHeight="false" outlineLevel="0" collapsed="false">
      <c r="A636" s="102"/>
      <c r="B636" s="103"/>
      <c r="C636" s="103"/>
      <c r="D636" s="103"/>
      <c r="E636" s="104"/>
      <c r="F636" s="103"/>
    </row>
    <row r="637" customFormat="false" ht="15" hidden="false" customHeight="false" outlineLevel="0" collapsed="false">
      <c r="A637" s="102"/>
      <c r="B637" s="103"/>
      <c r="C637" s="103"/>
      <c r="D637" s="103"/>
      <c r="E637" s="104"/>
      <c r="F637" s="103"/>
    </row>
    <row r="638" customFormat="false" ht="15" hidden="false" customHeight="false" outlineLevel="0" collapsed="false">
      <c r="A638" s="102"/>
      <c r="B638" s="103"/>
      <c r="C638" s="103"/>
      <c r="D638" s="103"/>
      <c r="E638" s="104"/>
      <c r="F638" s="103"/>
    </row>
    <row r="639" customFormat="false" ht="15" hidden="false" customHeight="false" outlineLevel="0" collapsed="false">
      <c r="A639" s="102"/>
      <c r="B639" s="103"/>
      <c r="C639" s="103"/>
      <c r="D639" s="103"/>
      <c r="E639" s="104"/>
      <c r="F639" s="103"/>
    </row>
    <row r="640" customFormat="false" ht="15" hidden="false" customHeight="false" outlineLevel="0" collapsed="false">
      <c r="A640" s="102"/>
      <c r="B640" s="103"/>
      <c r="C640" s="103"/>
      <c r="D640" s="103"/>
      <c r="E640" s="104"/>
      <c r="F640" s="103"/>
    </row>
    <row r="641" customFormat="false" ht="15" hidden="false" customHeight="false" outlineLevel="0" collapsed="false">
      <c r="A641" s="102"/>
      <c r="B641" s="103"/>
      <c r="C641" s="103"/>
      <c r="D641" s="103"/>
      <c r="E641" s="104"/>
      <c r="F641" s="103"/>
    </row>
    <row r="642" customFormat="false" ht="15" hidden="false" customHeight="false" outlineLevel="0" collapsed="false">
      <c r="A642" s="102"/>
      <c r="B642" s="103"/>
      <c r="C642" s="103"/>
      <c r="D642" s="103"/>
      <c r="E642" s="104"/>
      <c r="F642" s="103"/>
    </row>
    <row r="643" customFormat="false" ht="15" hidden="false" customHeight="false" outlineLevel="0" collapsed="false">
      <c r="A643" s="102"/>
      <c r="B643" s="103"/>
      <c r="C643" s="103"/>
      <c r="D643" s="103"/>
      <c r="E643" s="104"/>
      <c r="F643" s="103"/>
    </row>
    <row r="644" customFormat="false" ht="15" hidden="false" customHeight="false" outlineLevel="0" collapsed="false">
      <c r="A644" s="102"/>
      <c r="B644" s="103"/>
      <c r="C644" s="103"/>
      <c r="D644" s="103"/>
      <c r="E644" s="104"/>
      <c r="F644" s="103"/>
    </row>
    <row r="645" customFormat="false" ht="15" hidden="false" customHeight="false" outlineLevel="0" collapsed="false">
      <c r="A645" s="102"/>
      <c r="B645" s="103"/>
      <c r="C645" s="103"/>
      <c r="D645" s="103"/>
      <c r="E645" s="104"/>
      <c r="F645" s="103"/>
    </row>
    <row r="646" customFormat="false" ht="15" hidden="false" customHeight="false" outlineLevel="0" collapsed="false">
      <c r="A646" s="102"/>
      <c r="B646" s="103"/>
      <c r="C646" s="103"/>
      <c r="D646" s="103"/>
      <c r="E646" s="104"/>
      <c r="F646" s="103"/>
    </row>
    <row r="647" customFormat="false" ht="15" hidden="false" customHeight="false" outlineLevel="0" collapsed="false">
      <c r="A647" s="102"/>
      <c r="B647" s="103"/>
      <c r="C647" s="103"/>
      <c r="D647" s="103"/>
      <c r="E647" s="104"/>
      <c r="F647" s="103"/>
    </row>
    <row r="648" customFormat="false" ht="15" hidden="false" customHeight="false" outlineLevel="0" collapsed="false">
      <c r="A648" s="102"/>
      <c r="B648" s="103"/>
      <c r="C648" s="103"/>
      <c r="D648" s="103"/>
      <c r="E648" s="104"/>
      <c r="F648" s="103"/>
    </row>
    <row r="649" customFormat="false" ht="15" hidden="false" customHeight="false" outlineLevel="0" collapsed="false">
      <c r="A649" s="102"/>
      <c r="B649" s="103"/>
      <c r="C649" s="103"/>
      <c r="D649" s="103"/>
      <c r="E649" s="104"/>
      <c r="F649" s="103"/>
    </row>
    <row r="650" customFormat="false" ht="15" hidden="false" customHeight="false" outlineLevel="0" collapsed="false">
      <c r="A650" s="102"/>
      <c r="B650" s="103"/>
      <c r="C650" s="103"/>
      <c r="D650" s="103"/>
      <c r="E650" s="104"/>
      <c r="F650" s="103"/>
    </row>
    <row r="651" customFormat="false" ht="15" hidden="false" customHeight="false" outlineLevel="0" collapsed="false">
      <c r="A651" s="102"/>
      <c r="B651" s="103"/>
      <c r="C651" s="103"/>
      <c r="D651" s="103"/>
      <c r="E651" s="104"/>
      <c r="F651" s="103"/>
    </row>
    <row r="652" customFormat="false" ht="15" hidden="false" customHeight="false" outlineLevel="0" collapsed="false">
      <c r="A652" s="102"/>
      <c r="B652" s="103"/>
      <c r="C652" s="103"/>
      <c r="D652" s="103"/>
      <c r="E652" s="104"/>
      <c r="F652" s="103"/>
    </row>
    <row r="653" customFormat="false" ht="15" hidden="false" customHeight="false" outlineLevel="0" collapsed="false">
      <c r="A653" s="102"/>
      <c r="B653" s="103"/>
      <c r="C653" s="103"/>
      <c r="D653" s="103"/>
      <c r="E653" s="104"/>
      <c r="F653" s="103"/>
    </row>
    <row r="654" customFormat="false" ht="15" hidden="false" customHeight="false" outlineLevel="0" collapsed="false">
      <c r="A654" s="102"/>
      <c r="B654" s="103"/>
      <c r="C654" s="103"/>
      <c r="D654" s="103"/>
      <c r="E654" s="104"/>
      <c r="F654" s="103"/>
    </row>
    <row r="655" customFormat="false" ht="15" hidden="false" customHeight="false" outlineLevel="0" collapsed="false">
      <c r="A655" s="102"/>
      <c r="B655" s="103"/>
      <c r="C655" s="103"/>
      <c r="D655" s="103"/>
      <c r="E655" s="104"/>
      <c r="F655" s="103"/>
    </row>
    <row r="656" customFormat="false" ht="15" hidden="false" customHeight="false" outlineLevel="0" collapsed="false">
      <c r="A656" s="102"/>
      <c r="B656" s="103"/>
      <c r="C656" s="103"/>
      <c r="D656" s="103"/>
      <c r="E656" s="104"/>
      <c r="F656" s="103"/>
    </row>
    <row r="657" customFormat="false" ht="15" hidden="false" customHeight="false" outlineLevel="0" collapsed="false">
      <c r="A657" s="102"/>
      <c r="B657" s="103"/>
      <c r="C657" s="103"/>
      <c r="D657" s="103"/>
      <c r="E657" s="104"/>
      <c r="F657" s="103"/>
    </row>
    <row r="658" customFormat="false" ht="15" hidden="false" customHeight="false" outlineLevel="0" collapsed="false">
      <c r="A658" s="102"/>
      <c r="B658" s="103"/>
      <c r="C658" s="103"/>
      <c r="D658" s="103"/>
      <c r="E658" s="104"/>
      <c r="F658" s="103"/>
    </row>
    <row r="659" customFormat="false" ht="15" hidden="false" customHeight="false" outlineLevel="0" collapsed="false">
      <c r="A659" s="102"/>
      <c r="B659" s="103"/>
      <c r="C659" s="103"/>
      <c r="D659" s="103"/>
      <c r="E659" s="104"/>
      <c r="F659" s="103"/>
    </row>
    <row r="660" customFormat="false" ht="15" hidden="false" customHeight="false" outlineLevel="0" collapsed="false">
      <c r="A660" s="102"/>
      <c r="B660" s="103"/>
      <c r="C660" s="103"/>
      <c r="D660" s="103"/>
      <c r="E660" s="104"/>
      <c r="F660" s="103"/>
    </row>
    <row r="661" customFormat="false" ht="15" hidden="false" customHeight="false" outlineLevel="0" collapsed="false">
      <c r="A661" s="102"/>
      <c r="B661" s="103"/>
      <c r="C661" s="103"/>
      <c r="D661" s="103"/>
      <c r="E661" s="104"/>
      <c r="F661" s="103"/>
    </row>
    <row r="662" customFormat="false" ht="15" hidden="false" customHeight="false" outlineLevel="0" collapsed="false">
      <c r="A662" s="102"/>
      <c r="B662" s="103"/>
      <c r="C662" s="103"/>
      <c r="D662" s="103"/>
      <c r="E662" s="104"/>
      <c r="F662" s="103"/>
    </row>
    <row r="663" customFormat="false" ht="15" hidden="false" customHeight="false" outlineLevel="0" collapsed="false">
      <c r="A663" s="102"/>
      <c r="B663" s="103"/>
      <c r="C663" s="103"/>
      <c r="D663" s="103"/>
      <c r="E663" s="104"/>
      <c r="F663" s="103"/>
    </row>
    <row r="664" customFormat="false" ht="15" hidden="false" customHeight="false" outlineLevel="0" collapsed="false">
      <c r="A664" s="102"/>
      <c r="B664" s="103"/>
      <c r="C664" s="103"/>
      <c r="D664" s="103"/>
      <c r="E664" s="104"/>
      <c r="F664" s="103"/>
    </row>
    <row r="665" customFormat="false" ht="15" hidden="false" customHeight="false" outlineLevel="0" collapsed="false">
      <c r="A665" s="102"/>
      <c r="B665" s="103"/>
      <c r="C665" s="103"/>
      <c r="D665" s="103"/>
      <c r="E665" s="104"/>
      <c r="F665" s="103"/>
    </row>
    <row r="666" customFormat="false" ht="15" hidden="false" customHeight="false" outlineLevel="0" collapsed="false">
      <c r="A666" s="102"/>
      <c r="B666" s="103"/>
      <c r="C666" s="103"/>
      <c r="D666" s="103"/>
      <c r="E666" s="104"/>
      <c r="F666" s="103"/>
    </row>
    <row r="667" customFormat="false" ht="15" hidden="false" customHeight="false" outlineLevel="0" collapsed="false">
      <c r="A667" s="102"/>
      <c r="B667" s="103"/>
      <c r="C667" s="103"/>
      <c r="D667" s="103"/>
      <c r="E667" s="104"/>
      <c r="F667" s="103"/>
    </row>
    <row r="668" customFormat="false" ht="15" hidden="false" customHeight="false" outlineLevel="0" collapsed="false">
      <c r="A668" s="102"/>
      <c r="B668" s="103"/>
      <c r="C668" s="103"/>
      <c r="D668" s="103"/>
      <c r="E668" s="104"/>
      <c r="F668" s="103"/>
    </row>
    <row r="669" customFormat="false" ht="15" hidden="false" customHeight="false" outlineLevel="0" collapsed="false">
      <c r="A669" s="102"/>
      <c r="B669" s="103"/>
      <c r="C669" s="103"/>
      <c r="D669" s="103"/>
      <c r="E669" s="104"/>
      <c r="F669" s="103"/>
    </row>
    <row r="670" customFormat="false" ht="15" hidden="false" customHeight="false" outlineLevel="0" collapsed="false">
      <c r="A670" s="102"/>
      <c r="B670" s="103"/>
      <c r="C670" s="103"/>
      <c r="D670" s="103"/>
      <c r="E670" s="104"/>
      <c r="F670" s="103"/>
    </row>
    <row r="671" customFormat="false" ht="15" hidden="false" customHeight="false" outlineLevel="0" collapsed="false">
      <c r="A671" s="102"/>
      <c r="B671" s="103"/>
      <c r="C671" s="103"/>
      <c r="D671" s="103"/>
      <c r="E671" s="104"/>
      <c r="F671" s="103"/>
    </row>
    <row r="672" customFormat="false" ht="15" hidden="false" customHeight="false" outlineLevel="0" collapsed="false">
      <c r="A672" s="102"/>
      <c r="B672" s="103"/>
      <c r="C672" s="103"/>
      <c r="D672" s="103"/>
      <c r="E672" s="104"/>
      <c r="F672" s="103"/>
    </row>
    <row r="673" customFormat="false" ht="15" hidden="false" customHeight="false" outlineLevel="0" collapsed="false">
      <c r="A673" s="102"/>
      <c r="B673" s="103"/>
      <c r="C673" s="103"/>
      <c r="D673" s="103"/>
      <c r="E673" s="104"/>
      <c r="F673" s="103"/>
    </row>
    <row r="674" customFormat="false" ht="15" hidden="false" customHeight="false" outlineLevel="0" collapsed="false">
      <c r="A674" s="102"/>
      <c r="B674" s="103"/>
      <c r="C674" s="103"/>
      <c r="D674" s="103"/>
      <c r="E674" s="104"/>
      <c r="F674" s="103"/>
    </row>
    <row r="675" customFormat="false" ht="15" hidden="false" customHeight="false" outlineLevel="0" collapsed="false">
      <c r="A675" s="102"/>
      <c r="B675" s="103"/>
      <c r="C675" s="103"/>
      <c r="D675" s="103"/>
      <c r="E675" s="104"/>
      <c r="F675" s="103"/>
    </row>
    <row r="676" customFormat="false" ht="15" hidden="false" customHeight="false" outlineLevel="0" collapsed="false">
      <c r="A676" s="102"/>
      <c r="B676" s="103"/>
      <c r="C676" s="103"/>
      <c r="D676" s="103"/>
      <c r="E676" s="104"/>
      <c r="F676" s="103"/>
    </row>
    <row r="677" customFormat="false" ht="15" hidden="false" customHeight="false" outlineLevel="0" collapsed="false">
      <c r="A677" s="102"/>
      <c r="B677" s="103"/>
      <c r="C677" s="103"/>
      <c r="D677" s="103"/>
      <c r="E677" s="104"/>
      <c r="F677" s="103"/>
    </row>
    <row r="678" customFormat="false" ht="15" hidden="false" customHeight="false" outlineLevel="0" collapsed="false">
      <c r="A678" s="102"/>
      <c r="B678" s="103"/>
      <c r="C678" s="103"/>
      <c r="D678" s="103"/>
      <c r="E678" s="104"/>
      <c r="F678" s="103"/>
    </row>
    <row r="679" customFormat="false" ht="15" hidden="false" customHeight="false" outlineLevel="0" collapsed="false">
      <c r="A679" s="102"/>
      <c r="B679" s="103"/>
      <c r="C679" s="103"/>
      <c r="D679" s="103"/>
      <c r="E679" s="104"/>
      <c r="F679" s="103"/>
    </row>
    <row r="680" customFormat="false" ht="15" hidden="false" customHeight="false" outlineLevel="0" collapsed="false">
      <c r="A680" s="102"/>
      <c r="B680" s="103"/>
      <c r="C680" s="103"/>
      <c r="D680" s="103"/>
      <c r="E680" s="104"/>
      <c r="F680" s="103"/>
    </row>
    <row r="681" customFormat="false" ht="15" hidden="false" customHeight="false" outlineLevel="0" collapsed="false">
      <c r="A681" s="102"/>
      <c r="B681" s="103"/>
      <c r="C681" s="103"/>
      <c r="D681" s="103"/>
      <c r="E681" s="104"/>
      <c r="F681" s="103"/>
    </row>
    <row r="682" customFormat="false" ht="15" hidden="false" customHeight="false" outlineLevel="0" collapsed="false">
      <c r="A682" s="102"/>
      <c r="B682" s="103"/>
      <c r="C682" s="103"/>
      <c r="D682" s="103"/>
      <c r="E682" s="104"/>
      <c r="F682" s="103"/>
    </row>
    <row r="683" customFormat="false" ht="15" hidden="false" customHeight="false" outlineLevel="0" collapsed="false">
      <c r="A683" s="102"/>
      <c r="B683" s="103"/>
      <c r="C683" s="103"/>
      <c r="D683" s="103"/>
      <c r="E683" s="104"/>
      <c r="F683" s="103"/>
    </row>
    <row r="684" customFormat="false" ht="15" hidden="false" customHeight="false" outlineLevel="0" collapsed="false">
      <c r="A684" s="102"/>
      <c r="B684" s="103"/>
      <c r="C684" s="103"/>
      <c r="D684" s="103"/>
      <c r="E684" s="104"/>
      <c r="F684" s="103"/>
    </row>
    <row r="685" customFormat="false" ht="15" hidden="false" customHeight="false" outlineLevel="0" collapsed="false">
      <c r="A685" s="102"/>
      <c r="B685" s="103"/>
      <c r="C685" s="103"/>
      <c r="D685" s="103"/>
      <c r="E685" s="104"/>
      <c r="F685" s="103"/>
    </row>
    <row r="686" customFormat="false" ht="15" hidden="false" customHeight="false" outlineLevel="0" collapsed="false">
      <c r="A686" s="102"/>
      <c r="B686" s="103"/>
      <c r="C686" s="103"/>
      <c r="D686" s="103"/>
      <c r="E686" s="104"/>
      <c r="F686" s="103"/>
    </row>
    <row r="687" customFormat="false" ht="15" hidden="false" customHeight="false" outlineLevel="0" collapsed="false">
      <c r="A687" s="102"/>
      <c r="B687" s="103"/>
      <c r="C687" s="103"/>
      <c r="D687" s="103"/>
      <c r="E687" s="104"/>
      <c r="F687" s="103"/>
    </row>
    <row r="688" customFormat="false" ht="15" hidden="false" customHeight="false" outlineLevel="0" collapsed="false">
      <c r="A688" s="102"/>
      <c r="B688" s="103"/>
      <c r="C688" s="103"/>
      <c r="D688" s="103"/>
      <c r="E688" s="104"/>
      <c r="F688" s="103"/>
    </row>
    <row r="689" customFormat="false" ht="15" hidden="false" customHeight="false" outlineLevel="0" collapsed="false">
      <c r="A689" s="102"/>
      <c r="B689" s="103"/>
      <c r="C689" s="103"/>
      <c r="D689" s="103"/>
      <c r="E689" s="104"/>
      <c r="F689" s="103"/>
    </row>
    <row r="690" customFormat="false" ht="15" hidden="false" customHeight="false" outlineLevel="0" collapsed="false">
      <c r="A690" s="102"/>
      <c r="B690" s="103"/>
      <c r="C690" s="103"/>
      <c r="D690" s="103"/>
      <c r="E690" s="104"/>
      <c r="F690" s="103"/>
    </row>
    <row r="691" customFormat="false" ht="15" hidden="false" customHeight="false" outlineLevel="0" collapsed="false">
      <c r="A691" s="102"/>
      <c r="B691" s="103"/>
      <c r="C691" s="103"/>
      <c r="D691" s="103"/>
      <c r="E691" s="104"/>
      <c r="F691" s="103"/>
    </row>
    <row r="692" customFormat="false" ht="15" hidden="false" customHeight="false" outlineLevel="0" collapsed="false">
      <c r="A692" s="102"/>
      <c r="B692" s="103"/>
      <c r="C692" s="103"/>
      <c r="D692" s="103"/>
      <c r="E692" s="104"/>
      <c r="F692" s="103"/>
    </row>
    <row r="693" customFormat="false" ht="15" hidden="false" customHeight="false" outlineLevel="0" collapsed="false">
      <c r="A693" s="102"/>
      <c r="B693" s="103"/>
      <c r="C693" s="103"/>
      <c r="D693" s="103"/>
      <c r="E693" s="104"/>
      <c r="F693" s="103"/>
    </row>
    <row r="694" customFormat="false" ht="15" hidden="false" customHeight="false" outlineLevel="0" collapsed="false">
      <c r="A694" s="102"/>
      <c r="B694" s="103"/>
      <c r="C694" s="103"/>
      <c r="D694" s="103"/>
      <c r="E694" s="104"/>
      <c r="F694" s="103"/>
    </row>
    <row r="695" customFormat="false" ht="15" hidden="false" customHeight="false" outlineLevel="0" collapsed="false">
      <c r="A695" s="102"/>
      <c r="B695" s="103"/>
      <c r="C695" s="103"/>
      <c r="D695" s="103"/>
      <c r="E695" s="104"/>
      <c r="F695" s="103"/>
    </row>
    <row r="696" customFormat="false" ht="15" hidden="false" customHeight="false" outlineLevel="0" collapsed="false">
      <c r="A696" s="102"/>
      <c r="B696" s="103"/>
      <c r="C696" s="103"/>
      <c r="D696" s="103"/>
      <c r="E696" s="104"/>
      <c r="F696" s="103"/>
    </row>
    <row r="697" customFormat="false" ht="15" hidden="false" customHeight="false" outlineLevel="0" collapsed="false">
      <c r="A697" s="102"/>
      <c r="B697" s="103"/>
      <c r="C697" s="103"/>
      <c r="D697" s="103"/>
      <c r="E697" s="104"/>
      <c r="F697" s="103"/>
    </row>
    <row r="698" customFormat="false" ht="15" hidden="false" customHeight="false" outlineLevel="0" collapsed="false">
      <c r="A698" s="102"/>
      <c r="B698" s="103"/>
      <c r="C698" s="103"/>
      <c r="D698" s="103"/>
      <c r="E698" s="104"/>
      <c r="F698" s="103"/>
    </row>
    <row r="699" customFormat="false" ht="15" hidden="false" customHeight="false" outlineLevel="0" collapsed="false">
      <c r="A699" s="102"/>
      <c r="B699" s="103"/>
      <c r="C699" s="103"/>
      <c r="D699" s="103"/>
      <c r="E699" s="104"/>
      <c r="F699" s="103"/>
    </row>
    <row r="700" customFormat="false" ht="15" hidden="false" customHeight="false" outlineLevel="0" collapsed="false">
      <c r="A700" s="102"/>
      <c r="B700" s="103"/>
      <c r="C700" s="103"/>
      <c r="D700" s="103"/>
      <c r="E700" s="104"/>
      <c r="F700" s="103"/>
    </row>
    <row r="701" customFormat="false" ht="15" hidden="false" customHeight="false" outlineLevel="0" collapsed="false">
      <c r="A701" s="102"/>
      <c r="B701" s="103"/>
      <c r="C701" s="103"/>
      <c r="D701" s="103"/>
      <c r="E701" s="104"/>
      <c r="F701" s="103"/>
    </row>
    <row r="702" customFormat="false" ht="15" hidden="false" customHeight="false" outlineLevel="0" collapsed="false">
      <c r="A702" s="102"/>
      <c r="B702" s="103"/>
      <c r="C702" s="103"/>
      <c r="D702" s="103"/>
      <c r="E702" s="104"/>
      <c r="F702" s="103"/>
    </row>
    <row r="703" customFormat="false" ht="15" hidden="false" customHeight="false" outlineLevel="0" collapsed="false">
      <c r="A703" s="102"/>
      <c r="B703" s="103"/>
      <c r="C703" s="103"/>
      <c r="D703" s="103"/>
      <c r="E703" s="104"/>
      <c r="F703" s="103"/>
    </row>
    <row r="704" customFormat="false" ht="15" hidden="false" customHeight="false" outlineLevel="0" collapsed="false">
      <c r="A704" s="102"/>
      <c r="B704" s="103"/>
      <c r="C704" s="103"/>
      <c r="D704" s="103"/>
      <c r="E704" s="104"/>
      <c r="F704" s="103"/>
    </row>
    <row r="705" customFormat="false" ht="15" hidden="false" customHeight="false" outlineLevel="0" collapsed="false">
      <c r="A705" s="102"/>
      <c r="B705" s="103"/>
      <c r="C705" s="103"/>
      <c r="D705" s="103"/>
      <c r="E705" s="104"/>
      <c r="F705" s="103"/>
    </row>
    <row r="706" customFormat="false" ht="15" hidden="false" customHeight="false" outlineLevel="0" collapsed="false">
      <c r="A706" s="102"/>
      <c r="B706" s="103"/>
      <c r="C706" s="103"/>
      <c r="D706" s="103"/>
      <c r="E706" s="104"/>
      <c r="F706" s="103"/>
    </row>
    <row r="707" customFormat="false" ht="15" hidden="false" customHeight="false" outlineLevel="0" collapsed="false">
      <c r="A707" s="102"/>
      <c r="B707" s="103"/>
      <c r="C707" s="103"/>
      <c r="D707" s="103"/>
      <c r="E707" s="104"/>
      <c r="F707" s="103"/>
    </row>
    <row r="708" customFormat="false" ht="15" hidden="false" customHeight="false" outlineLevel="0" collapsed="false">
      <c r="A708" s="102"/>
      <c r="B708" s="103"/>
      <c r="C708" s="103"/>
      <c r="D708" s="103"/>
      <c r="E708" s="104"/>
      <c r="F708" s="103"/>
    </row>
    <row r="709" customFormat="false" ht="15" hidden="false" customHeight="false" outlineLevel="0" collapsed="false">
      <c r="A709" s="102"/>
      <c r="B709" s="103"/>
      <c r="C709" s="103"/>
      <c r="D709" s="103"/>
      <c r="E709" s="104"/>
      <c r="F709" s="103"/>
    </row>
    <row r="710" customFormat="false" ht="15" hidden="false" customHeight="false" outlineLevel="0" collapsed="false">
      <c r="A710" s="102"/>
      <c r="B710" s="103"/>
      <c r="C710" s="103"/>
      <c r="D710" s="103"/>
      <c r="E710" s="104"/>
      <c r="F710" s="103"/>
    </row>
    <row r="711" customFormat="false" ht="15" hidden="false" customHeight="false" outlineLevel="0" collapsed="false">
      <c r="A711" s="102"/>
      <c r="B711" s="103"/>
      <c r="C711" s="103"/>
      <c r="D711" s="103"/>
      <c r="E711" s="104"/>
      <c r="F711" s="103"/>
    </row>
    <row r="712" customFormat="false" ht="15" hidden="false" customHeight="false" outlineLevel="0" collapsed="false">
      <c r="A712" s="102"/>
      <c r="B712" s="103"/>
      <c r="C712" s="103"/>
      <c r="D712" s="103"/>
      <c r="E712" s="104"/>
      <c r="F712" s="103"/>
    </row>
    <row r="713" customFormat="false" ht="15" hidden="false" customHeight="false" outlineLevel="0" collapsed="false">
      <c r="A713" s="102"/>
      <c r="B713" s="103"/>
      <c r="C713" s="103"/>
      <c r="D713" s="103"/>
      <c r="E713" s="104"/>
      <c r="F713" s="103"/>
    </row>
    <row r="714" customFormat="false" ht="15" hidden="false" customHeight="false" outlineLevel="0" collapsed="false">
      <c r="A714" s="102"/>
      <c r="B714" s="103"/>
      <c r="C714" s="103"/>
      <c r="D714" s="103"/>
      <c r="E714" s="104"/>
      <c r="F714" s="103"/>
    </row>
    <row r="715" customFormat="false" ht="15" hidden="false" customHeight="false" outlineLevel="0" collapsed="false">
      <c r="A715" s="102"/>
      <c r="B715" s="103"/>
      <c r="C715" s="103"/>
      <c r="D715" s="103"/>
      <c r="E715" s="104"/>
      <c r="F715" s="103"/>
    </row>
    <row r="716" customFormat="false" ht="15" hidden="false" customHeight="false" outlineLevel="0" collapsed="false">
      <c r="A716" s="102"/>
      <c r="B716" s="103"/>
      <c r="C716" s="103"/>
      <c r="D716" s="103"/>
      <c r="E716" s="104"/>
      <c r="F716" s="103"/>
    </row>
    <row r="717" customFormat="false" ht="15" hidden="false" customHeight="false" outlineLevel="0" collapsed="false">
      <c r="A717" s="102"/>
      <c r="B717" s="103"/>
      <c r="C717" s="103"/>
      <c r="D717" s="103"/>
      <c r="E717" s="104"/>
      <c r="F717" s="103"/>
    </row>
    <row r="718" customFormat="false" ht="15" hidden="false" customHeight="false" outlineLevel="0" collapsed="false">
      <c r="A718" s="102"/>
      <c r="B718" s="103"/>
      <c r="C718" s="103"/>
      <c r="D718" s="103"/>
      <c r="E718" s="104"/>
      <c r="F718" s="103"/>
    </row>
    <row r="719" customFormat="false" ht="15" hidden="false" customHeight="false" outlineLevel="0" collapsed="false">
      <c r="A719" s="102"/>
      <c r="B719" s="103"/>
      <c r="C719" s="103"/>
      <c r="D719" s="103"/>
      <c r="E719" s="104"/>
      <c r="F719" s="103"/>
    </row>
    <row r="720" customFormat="false" ht="15" hidden="false" customHeight="false" outlineLevel="0" collapsed="false">
      <c r="A720" s="102"/>
      <c r="B720" s="103"/>
      <c r="C720" s="103"/>
      <c r="D720" s="103"/>
      <c r="E720" s="104"/>
      <c r="F720" s="103"/>
    </row>
    <row r="721" customFormat="false" ht="15" hidden="false" customHeight="false" outlineLevel="0" collapsed="false">
      <c r="A721" s="102"/>
      <c r="B721" s="103"/>
      <c r="C721" s="103"/>
      <c r="D721" s="103"/>
      <c r="E721" s="104"/>
      <c r="F721" s="103"/>
    </row>
    <row r="722" customFormat="false" ht="15" hidden="false" customHeight="false" outlineLevel="0" collapsed="false">
      <c r="A722" s="102"/>
      <c r="B722" s="103"/>
      <c r="C722" s="103"/>
      <c r="D722" s="103"/>
      <c r="E722" s="104"/>
      <c r="F722" s="103"/>
    </row>
    <row r="723" customFormat="false" ht="15" hidden="false" customHeight="false" outlineLevel="0" collapsed="false">
      <c r="A723" s="102"/>
      <c r="B723" s="103"/>
      <c r="C723" s="103"/>
      <c r="D723" s="103"/>
      <c r="E723" s="104"/>
      <c r="F723" s="103"/>
    </row>
    <row r="724" customFormat="false" ht="15" hidden="false" customHeight="false" outlineLevel="0" collapsed="false">
      <c r="A724" s="102"/>
      <c r="B724" s="103"/>
      <c r="C724" s="103"/>
      <c r="D724" s="103"/>
      <c r="E724" s="104"/>
      <c r="F724" s="103"/>
    </row>
    <row r="725" customFormat="false" ht="15" hidden="false" customHeight="false" outlineLevel="0" collapsed="false">
      <c r="A725" s="102"/>
      <c r="B725" s="103"/>
      <c r="C725" s="103"/>
      <c r="D725" s="103"/>
      <c r="E725" s="104"/>
      <c r="F725" s="103"/>
    </row>
    <row r="726" customFormat="false" ht="15" hidden="false" customHeight="false" outlineLevel="0" collapsed="false">
      <c r="A726" s="102"/>
      <c r="B726" s="103"/>
      <c r="C726" s="103"/>
      <c r="D726" s="103"/>
      <c r="E726" s="104"/>
      <c r="F726" s="103"/>
    </row>
    <row r="727" customFormat="false" ht="15" hidden="false" customHeight="false" outlineLevel="0" collapsed="false">
      <c r="A727" s="102"/>
      <c r="B727" s="103"/>
      <c r="C727" s="103"/>
      <c r="D727" s="103"/>
      <c r="E727" s="104"/>
      <c r="F727" s="103"/>
    </row>
    <row r="728" customFormat="false" ht="15" hidden="false" customHeight="false" outlineLevel="0" collapsed="false">
      <c r="A728" s="102"/>
      <c r="B728" s="103"/>
      <c r="C728" s="103"/>
      <c r="D728" s="103"/>
      <c r="E728" s="104"/>
      <c r="F728" s="103"/>
    </row>
    <row r="729" customFormat="false" ht="15" hidden="false" customHeight="false" outlineLevel="0" collapsed="false">
      <c r="A729" s="102"/>
      <c r="B729" s="103"/>
      <c r="C729" s="103"/>
      <c r="D729" s="103"/>
      <c r="E729" s="104"/>
      <c r="F729" s="103"/>
    </row>
    <row r="730" customFormat="false" ht="15" hidden="false" customHeight="false" outlineLevel="0" collapsed="false">
      <c r="A730" s="102"/>
      <c r="B730" s="103"/>
      <c r="C730" s="103"/>
      <c r="D730" s="103"/>
      <c r="E730" s="104"/>
      <c r="F730" s="103"/>
    </row>
    <row r="731" customFormat="false" ht="15" hidden="false" customHeight="false" outlineLevel="0" collapsed="false">
      <c r="A731" s="102"/>
      <c r="B731" s="103"/>
      <c r="C731" s="103"/>
      <c r="D731" s="103"/>
      <c r="E731" s="104"/>
      <c r="F731" s="103"/>
    </row>
    <row r="732" customFormat="false" ht="15" hidden="false" customHeight="false" outlineLevel="0" collapsed="false">
      <c r="A732" s="102"/>
      <c r="B732" s="103"/>
      <c r="C732" s="103"/>
      <c r="D732" s="103"/>
      <c r="E732" s="104"/>
      <c r="F732" s="103"/>
    </row>
    <row r="733" customFormat="false" ht="15" hidden="false" customHeight="false" outlineLevel="0" collapsed="false">
      <c r="A733" s="102"/>
      <c r="B733" s="103"/>
      <c r="C733" s="103"/>
      <c r="D733" s="103"/>
      <c r="E733" s="104"/>
      <c r="F733" s="103"/>
    </row>
    <row r="734" customFormat="false" ht="15" hidden="false" customHeight="false" outlineLevel="0" collapsed="false">
      <c r="A734" s="102"/>
      <c r="B734" s="103"/>
      <c r="C734" s="103"/>
      <c r="D734" s="103"/>
      <c r="E734" s="104"/>
      <c r="F734" s="103"/>
    </row>
    <row r="735" customFormat="false" ht="15" hidden="false" customHeight="false" outlineLevel="0" collapsed="false">
      <c r="A735" s="102"/>
      <c r="B735" s="103"/>
      <c r="C735" s="103"/>
      <c r="D735" s="103"/>
      <c r="E735" s="104"/>
      <c r="F735" s="103"/>
    </row>
    <row r="736" customFormat="false" ht="15" hidden="false" customHeight="false" outlineLevel="0" collapsed="false">
      <c r="A736" s="102"/>
      <c r="B736" s="103"/>
      <c r="C736" s="103"/>
      <c r="D736" s="103"/>
      <c r="E736" s="104"/>
      <c r="F736" s="103"/>
    </row>
    <row r="737" customFormat="false" ht="15" hidden="false" customHeight="false" outlineLevel="0" collapsed="false">
      <c r="A737" s="102"/>
      <c r="B737" s="103"/>
      <c r="C737" s="103"/>
      <c r="D737" s="103"/>
      <c r="E737" s="104"/>
      <c r="F737" s="103"/>
    </row>
    <row r="738" customFormat="false" ht="15" hidden="false" customHeight="false" outlineLevel="0" collapsed="false">
      <c r="A738" s="102"/>
      <c r="B738" s="103"/>
      <c r="C738" s="103"/>
      <c r="D738" s="103"/>
      <c r="E738" s="104"/>
      <c r="F738" s="103"/>
    </row>
    <row r="739" customFormat="false" ht="15" hidden="false" customHeight="false" outlineLevel="0" collapsed="false">
      <c r="A739" s="102"/>
      <c r="B739" s="103"/>
      <c r="C739" s="103"/>
      <c r="D739" s="103"/>
      <c r="E739" s="104"/>
      <c r="F739" s="103"/>
    </row>
    <row r="740" customFormat="false" ht="15" hidden="false" customHeight="false" outlineLevel="0" collapsed="false">
      <c r="A740" s="102"/>
      <c r="B740" s="103"/>
      <c r="C740" s="103"/>
      <c r="D740" s="103"/>
      <c r="E740" s="104"/>
      <c r="F740" s="103"/>
    </row>
    <row r="741" customFormat="false" ht="15" hidden="false" customHeight="false" outlineLevel="0" collapsed="false">
      <c r="A741" s="102"/>
      <c r="B741" s="103"/>
      <c r="C741" s="103"/>
      <c r="D741" s="103"/>
      <c r="E741" s="104"/>
      <c r="F741" s="103"/>
    </row>
    <row r="742" customFormat="false" ht="15" hidden="false" customHeight="false" outlineLevel="0" collapsed="false">
      <c r="A742" s="102"/>
      <c r="B742" s="103"/>
      <c r="C742" s="103"/>
      <c r="D742" s="103"/>
      <c r="E742" s="104"/>
      <c r="F742" s="103"/>
    </row>
    <row r="743" customFormat="false" ht="15" hidden="false" customHeight="false" outlineLevel="0" collapsed="false">
      <c r="A743" s="102"/>
      <c r="B743" s="103"/>
      <c r="C743" s="103"/>
      <c r="D743" s="103"/>
      <c r="E743" s="104"/>
      <c r="F743" s="103"/>
    </row>
    <row r="744" customFormat="false" ht="15" hidden="false" customHeight="false" outlineLevel="0" collapsed="false">
      <c r="A744" s="102"/>
      <c r="B744" s="103"/>
      <c r="C744" s="103"/>
      <c r="D744" s="103"/>
      <c r="E744" s="104"/>
      <c r="F744" s="103"/>
    </row>
    <row r="745" customFormat="false" ht="15" hidden="false" customHeight="false" outlineLevel="0" collapsed="false">
      <c r="A745" s="102"/>
      <c r="B745" s="103"/>
      <c r="C745" s="103"/>
      <c r="D745" s="103"/>
      <c r="E745" s="104"/>
      <c r="F745" s="103"/>
    </row>
    <row r="746" customFormat="false" ht="15" hidden="false" customHeight="false" outlineLevel="0" collapsed="false">
      <c r="A746" s="102"/>
      <c r="B746" s="103"/>
      <c r="C746" s="103"/>
      <c r="D746" s="103"/>
      <c r="E746" s="104"/>
      <c r="F746" s="103"/>
    </row>
    <row r="747" customFormat="false" ht="15" hidden="false" customHeight="false" outlineLevel="0" collapsed="false">
      <c r="A747" s="102"/>
      <c r="B747" s="103"/>
      <c r="C747" s="103"/>
      <c r="D747" s="103"/>
      <c r="E747" s="104"/>
      <c r="F747" s="103"/>
    </row>
    <row r="748" customFormat="false" ht="15" hidden="false" customHeight="false" outlineLevel="0" collapsed="false">
      <c r="A748" s="102"/>
      <c r="B748" s="103"/>
      <c r="C748" s="103"/>
      <c r="D748" s="103"/>
      <c r="E748" s="104"/>
      <c r="F748" s="103"/>
    </row>
    <row r="749" customFormat="false" ht="15" hidden="false" customHeight="false" outlineLevel="0" collapsed="false">
      <c r="A749" s="102"/>
      <c r="B749" s="103"/>
      <c r="C749" s="103"/>
      <c r="D749" s="103"/>
      <c r="E749" s="104"/>
      <c r="F749" s="103"/>
    </row>
    <row r="750" customFormat="false" ht="15" hidden="false" customHeight="false" outlineLevel="0" collapsed="false">
      <c r="A750" s="102"/>
      <c r="B750" s="103"/>
      <c r="C750" s="103"/>
      <c r="D750" s="103"/>
      <c r="E750" s="104"/>
      <c r="F750" s="103"/>
    </row>
    <row r="751" customFormat="false" ht="15" hidden="false" customHeight="false" outlineLevel="0" collapsed="false">
      <c r="A751" s="102"/>
      <c r="B751" s="103"/>
      <c r="C751" s="103"/>
      <c r="D751" s="103"/>
      <c r="E751" s="104"/>
      <c r="F751" s="103"/>
    </row>
    <row r="752" customFormat="false" ht="15" hidden="false" customHeight="false" outlineLevel="0" collapsed="false">
      <c r="A752" s="102"/>
      <c r="B752" s="103"/>
      <c r="C752" s="103"/>
      <c r="D752" s="103"/>
      <c r="E752" s="104"/>
      <c r="F752" s="103"/>
    </row>
    <row r="753" customFormat="false" ht="15" hidden="false" customHeight="false" outlineLevel="0" collapsed="false">
      <c r="A753" s="102"/>
      <c r="B753" s="103"/>
      <c r="C753" s="103"/>
      <c r="D753" s="103"/>
      <c r="E753" s="104"/>
      <c r="F753" s="103"/>
    </row>
    <row r="754" customFormat="false" ht="15" hidden="false" customHeight="false" outlineLevel="0" collapsed="false">
      <c r="A754" s="102"/>
      <c r="B754" s="103"/>
      <c r="C754" s="103"/>
      <c r="D754" s="103"/>
      <c r="E754" s="104"/>
      <c r="F754" s="103"/>
    </row>
    <row r="755" customFormat="false" ht="15" hidden="false" customHeight="false" outlineLevel="0" collapsed="false">
      <c r="A755" s="102"/>
      <c r="B755" s="103"/>
      <c r="C755" s="103"/>
      <c r="D755" s="103"/>
      <c r="E755" s="104"/>
      <c r="F755" s="103"/>
    </row>
    <row r="756" customFormat="false" ht="15" hidden="false" customHeight="false" outlineLevel="0" collapsed="false">
      <c r="A756" s="102"/>
      <c r="B756" s="103"/>
      <c r="C756" s="103"/>
      <c r="D756" s="103"/>
      <c r="E756" s="104"/>
      <c r="F756" s="103"/>
    </row>
    <row r="757" customFormat="false" ht="15" hidden="false" customHeight="false" outlineLevel="0" collapsed="false">
      <c r="A757" s="102"/>
      <c r="B757" s="103"/>
      <c r="C757" s="103"/>
      <c r="D757" s="103"/>
      <c r="E757" s="104"/>
      <c r="F757" s="103"/>
    </row>
    <row r="758" customFormat="false" ht="15" hidden="false" customHeight="false" outlineLevel="0" collapsed="false">
      <c r="A758" s="102"/>
      <c r="B758" s="103"/>
      <c r="C758" s="103"/>
      <c r="D758" s="103"/>
      <c r="E758" s="104"/>
      <c r="F758" s="103"/>
    </row>
    <row r="759" customFormat="false" ht="15" hidden="false" customHeight="false" outlineLevel="0" collapsed="false">
      <c r="A759" s="102"/>
      <c r="B759" s="103"/>
      <c r="C759" s="103"/>
      <c r="D759" s="103"/>
      <c r="E759" s="104"/>
      <c r="F759" s="103"/>
    </row>
    <row r="760" customFormat="false" ht="15" hidden="false" customHeight="false" outlineLevel="0" collapsed="false">
      <c r="A760" s="102"/>
      <c r="B760" s="103"/>
      <c r="C760" s="103"/>
      <c r="D760" s="103"/>
      <c r="E760" s="104"/>
      <c r="F760" s="103"/>
    </row>
    <row r="761" customFormat="false" ht="15" hidden="false" customHeight="false" outlineLevel="0" collapsed="false">
      <c r="A761" s="102"/>
      <c r="B761" s="103"/>
      <c r="C761" s="103"/>
      <c r="D761" s="103"/>
      <c r="E761" s="104"/>
      <c r="F761" s="103"/>
    </row>
    <row r="762" customFormat="false" ht="15" hidden="false" customHeight="false" outlineLevel="0" collapsed="false">
      <c r="A762" s="102"/>
      <c r="B762" s="103"/>
      <c r="C762" s="103"/>
      <c r="D762" s="103"/>
      <c r="E762" s="104"/>
      <c r="F762" s="103"/>
    </row>
    <row r="763" customFormat="false" ht="15" hidden="false" customHeight="false" outlineLevel="0" collapsed="false">
      <c r="A763" s="102"/>
      <c r="B763" s="103"/>
      <c r="C763" s="103"/>
      <c r="D763" s="103"/>
      <c r="E763" s="104"/>
      <c r="F763" s="103"/>
    </row>
    <row r="764" customFormat="false" ht="15" hidden="false" customHeight="false" outlineLevel="0" collapsed="false">
      <c r="A764" s="102"/>
      <c r="B764" s="103"/>
      <c r="C764" s="103"/>
      <c r="D764" s="103"/>
      <c r="E764" s="104"/>
      <c r="F764" s="103"/>
    </row>
    <row r="765" customFormat="false" ht="15" hidden="false" customHeight="false" outlineLevel="0" collapsed="false">
      <c r="A765" s="102"/>
      <c r="B765" s="103"/>
      <c r="C765" s="103"/>
      <c r="D765" s="103"/>
      <c r="E765" s="104"/>
      <c r="F765" s="103"/>
    </row>
    <row r="766" customFormat="false" ht="15" hidden="false" customHeight="false" outlineLevel="0" collapsed="false">
      <c r="A766" s="102"/>
      <c r="B766" s="103"/>
      <c r="C766" s="103"/>
      <c r="D766" s="103"/>
      <c r="E766" s="104"/>
      <c r="F766" s="103"/>
    </row>
    <row r="767" customFormat="false" ht="15" hidden="false" customHeight="false" outlineLevel="0" collapsed="false">
      <c r="A767" s="102"/>
      <c r="B767" s="103"/>
      <c r="C767" s="103"/>
      <c r="D767" s="103"/>
      <c r="E767" s="104"/>
      <c r="F767" s="103"/>
    </row>
    <row r="768" customFormat="false" ht="15" hidden="false" customHeight="false" outlineLevel="0" collapsed="false">
      <c r="A768" s="102"/>
      <c r="B768" s="103"/>
      <c r="C768" s="103"/>
      <c r="D768" s="103"/>
      <c r="E768" s="104"/>
      <c r="F768" s="103"/>
    </row>
    <row r="769" customFormat="false" ht="15" hidden="false" customHeight="false" outlineLevel="0" collapsed="false">
      <c r="A769" s="102"/>
      <c r="B769" s="103"/>
      <c r="C769" s="103"/>
      <c r="D769" s="103"/>
      <c r="E769" s="104"/>
      <c r="F769" s="103"/>
    </row>
    <row r="770" customFormat="false" ht="15" hidden="false" customHeight="false" outlineLevel="0" collapsed="false">
      <c r="A770" s="102"/>
      <c r="B770" s="103"/>
      <c r="C770" s="103"/>
      <c r="D770" s="103"/>
      <c r="E770" s="104"/>
      <c r="F770" s="103"/>
    </row>
    <row r="771" customFormat="false" ht="15" hidden="false" customHeight="false" outlineLevel="0" collapsed="false">
      <c r="A771" s="102"/>
      <c r="B771" s="103"/>
      <c r="C771" s="103"/>
      <c r="D771" s="103"/>
      <c r="E771" s="104"/>
      <c r="F771" s="103"/>
    </row>
    <row r="772" customFormat="false" ht="15" hidden="false" customHeight="false" outlineLevel="0" collapsed="false">
      <c r="A772" s="102"/>
      <c r="B772" s="103"/>
      <c r="C772" s="103"/>
      <c r="D772" s="103"/>
      <c r="E772" s="104"/>
      <c r="F772" s="103"/>
    </row>
    <row r="773" customFormat="false" ht="15" hidden="false" customHeight="false" outlineLevel="0" collapsed="false">
      <c r="A773" s="102"/>
      <c r="B773" s="103"/>
      <c r="C773" s="103"/>
      <c r="D773" s="103"/>
      <c r="E773" s="104"/>
      <c r="F773" s="103"/>
    </row>
    <row r="774" customFormat="false" ht="15" hidden="false" customHeight="false" outlineLevel="0" collapsed="false">
      <c r="A774" s="102"/>
      <c r="B774" s="103"/>
      <c r="C774" s="103"/>
      <c r="D774" s="103"/>
      <c r="E774" s="104"/>
      <c r="F774" s="103"/>
    </row>
    <row r="775" customFormat="false" ht="15" hidden="false" customHeight="false" outlineLevel="0" collapsed="false">
      <c r="A775" s="102"/>
      <c r="B775" s="103"/>
      <c r="C775" s="103"/>
      <c r="D775" s="103"/>
      <c r="E775" s="104"/>
      <c r="F775" s="103"/>
    </row>
    <row r="776" customFormat="false" ht="15" hidden="false" customHeight="false" outlineLevel="0" collapsed="false">
      <c r="A776" s="102"/>
      <c r="B776" s="103"/>
      <c r="C776" s="103"/>
      <c r="D776" s="103"/>
      <c r="E776" s="104"/>
      <c r="F776" s="103"/>
    </row>
    <row r="777" customFormat="false" ht="15" hidden="false" customHeight="false" outlineLevel="0" collapsed="false">
      <c r="A777" s="102"/>
      <c r="B777" s="103"/>
      <c r="C777" s="103"/>
      <c r="D777" s="103"/>
      <c r="E777" s="104"/>
      <c r="F777" s="103"/>
    </row>
    <row r="778" customFormat="false" ht="15" hidden="false" customHeight="false" outlineLevel="0" collapsed="false">
      <c r="A778" s="102"/>
      <c r="B778" s="103"/>
      <c r="C778" s="103"/>
      <c r="D778" s="103"/>
      <c r="E778" s="104"/>
      <c r="F778" s="103"/>
    </row>
    <row r="779" customFormat="false" ht="15" hidden="false" customHeight="false" outlineLevel="0" collapsed="false">
      <c r="A779" s="102"/>
      <c r="B779" s="103"/>
      <c r="C779" s="103"/>
      <c r="D779" s="103"/>
      <c r="E779" s="104"/>
      <c r="F779" s="103"/>
    </row>
    <row r="780" customFormat="false" ht="15" hidden="false" customHeight="false" outlineLevel="0" collapsed="false">
      <c r="A780" s="102"/>
      <c r="B780" s="103"/>
      <c r="C780" s="103"/>
      <c r="D780" s="103"/>
      <c r="E780" s="104"/>
      <c r="F780" s="103"/>
    </row>
    <row r="781" customFormat="false" ht="15" hidden="false" customHeight="false" outlineLevel="0" collapsed="false">
      <c r="A781" s="102"/>
      <c r="B781" s="103"/>
      <c r="C781" s="103"/>
      <c r="D781" s="103"/>
      <c r="E781" s="104"/>
      <c r="F781" s="103"/>
    </row>
    <row r="782" customFormat="false" ht="15" hidden="false" customHeight="false" outlineLevel="0" collapsed="false">
      <c r="A782" s="102"/>
      <c r="B782" s="103"/>
      <c r="C782" s="103"/>
      <c r="D782" s="103"/>
      <c r="E782" s="104"/>
      <c r="F782" s="103"/>
    </row>
    <row r="783" customFormat="false" ht="15" hidden="false" customHeight="false" outlineLevel="0" collapsed="false">
      <c r="A783" s="102"/>
      <c r="B783" s="103"/>
      <c r="C783" s="103"/>
      <c r="D783" s="103"/>
      <c r="E783" s="104"/>
      <c r="F783" s="103"/>
    </row>
    <row r="784" customFormat="false" ht="15" hidden="false" customHeight="false" outlineLevel="0" collapsed="false">
      <c r="A784" s="102"/>
      <c r="B784" s="103"/>
      <c r="C784" s="103"/>
      <c r="D784" s="103"/>
      <c r="E784" s="104"/>
      <c r="F784" s="103"/>
    </row>
    <row r="785" customFormat="false" ht="15" hidden="false" customHeight="false" outlineLevel="0" collapsed="false">
      <c r="A785" s="102"/>
      <c r="B785" s="103"/>
      <c r="C785" s="103"/>
      <c r="D785" s="103"/>
      <c r="E785" s="104"/>
      <c r="F785" s="103"/>
    </row>
    <row r="786" customFormat="false" ht="15" hidden="false" customHeight="false" outlineLevel="0" collapsed="false">
      <c r="A786" s="102"/>
      <c r="B786" s="103"/>
      <c r="C786" s="103"/>
      <c r="D786" s="103"/>
      <c r="E786" s="104"/>
      <c r="F786" s="103"/>
    </row>
    <row r="787" customFormat="false" ht="15" hidden="false" customHeight="false" outlineLevel="0" collapsed="false">
      <c r="A787" s="102"/>
      <c r="B787" s="103"/>
      <c r="C787" s="103"/>
      <c r="D787" s="103"/>
      <c r="E787" s="104"/>
      <c r="F787" s="103"/>
    </row>
    <row r="788" customFormat="false" ht="15" hidden="false" customHeight="false" outlineLevel="0" collapsed="false">
      <c r="A788" s="102"/>
      <c r="B788" s="103"/>
      <c r="C788" s="103"/>
      <c r="D788" s="103"/>
      <c r="E788" s="104"/>
      <c r="F788" s="103"/>
    </row>
    <row r="789" customFormat="false" ht="15" hidden="false" customHeight="false" outlineLevel="0" collapsed="false">
      <c r="A789" s="102"/>
      <c r="B789" s="103"/>
      <c r="C789" s="103"/>
      <c r="D789" s="103"/>
      <c r="E789" s="104"/>
      <c r="F789" s="103"/>
    </row>
    <row r="790" customFormat="false" ht="15" hidden="false" customHeight="false" outlineLevel="0" collapsed="false">
      <c r="A790" s="102"/>
      <c r="B790" s="103"/>
      <c r="C790" s="103"/>
      <c r="D790" s="103"/>
      <c r="E790" s="104"/>
      <c r="F790" s="103"/>
    </row>
    <row r="791" customFormat="false" ht="15" hidden="false" customHeight="false" outlineLevel="0" collapsed="false">
      <c r="A791" s="102"/>
      <c r="B791" s="103"/>
      <c r="C791" s="103"/>
      <c r="D791" s="103"/>
      <c r="E791" s="104"/>
      <c r="F791" s="103"/>
    </row>
    <row r="792" customFormat="false" ht="15" hidden="false" customHeight="false" outlineLevel="0" collapsed="false">
      <c r="A792" s="102"/>
      <c r="B792" s="103"/>
      <c r="C792" s="103"/>
      <c r="D792" s="103"/>
      <c r="E792" s="104"/>
      <c r="F792" s="103"/>
    </row>
    <row r="793" customFormat="false" ht="15" hidden="false" customHeight="false" outlineLevel="0" collapsed="false">
      <c r="A793" s="102"/>
      <c r="B793" s="103"/>
      <c r="C793" s="103"/>
      <c r="D793" s="103"/>
      <c r="E793" s="104"/>
      <c r="F793" s="103"/>
    </row>
    <row r="794" customFormat="false" ht="15" hidden="false" customHeight="false" outlineLevel="0" collapsed="false">
      <c r="A794" s="102"/>
      <c r="B794" s="103"/>
      <c r="C794" s="103"/>
      <c r="D794" s="103"/>
      <c r="E794" s="104"/>
      <c r="F794" s="103"/>
    </row>
    <row r="795" customFormat="false" ht="15" hidden="false" customHeight="false" outlineLevel="0" collapsed="false">
      <c r="A795" s="102"/>
      <c r="B795" s="103"/>
      <c r="C795" s="103"/>
      <c r="D795" s="103"/>
      <c r="E795" s="104"/>
      <c r="F795" s="103"/>
    </row>
    <row r="796" customFormat="false" ht="15" hidden="false" customHeight="false" outlineLevel="0" collapsed="false">
      <c r="A796" s="102"/>
      <c r="B796" s="103"/>
      <c r="C796" s="103"/>
      <c r="D796" s="103"/>
      <c r="E796" s="104"/>
      <c r="F796" s="103"/>
    </row>
    <row r="797" customFormat="false" ht="15" hidden="false" customHeight="false" outlineLevel="0" collapsed="false">
      <c r="A797" s="102"/>
      <c r="B797" s="103"/>
      <c r="C797" s="103"/>
      <c r="D797" s="103"/>
      <c r="E797" s="104"/>
      <c r="F797" s="103"/>
    </row>
    <row r="798" customFormat="false" ht="15" hidden="false" customHeight="false" outlineLevel="0" collapsed="false">
      <c r="A798" s="102"/>
      <c r="B798" s="103"/>
      <c r="C798" s="103"/>
      <c r="D798" s="103"/>
      <c r="E798" s="104"/>
      <c r="F798" s="103"/>
    </row>
    <row r="799" customFormat="false" ht="15" hidden="false" customHeight="false" outlineLevel="0" collapsed="false">
      <c r="A799" s="102"/>
      <c r="B799" s="103"/>
      <c r="C799" s="103"/>
      <c r="D799" s="103"/>
      <c r="E799" s="104"/>
      <c r="F799" s="103"/>
    </row>
    <row r="800" customFormat="false" ht="15" hidden="false" customHeight="false" outlineLevel="0" collapsed="false">
      <c r="A800" s="102"/>
      <c r="B800" s="103"/>
      <c r="C800" s="103"/>
      <c r="D800" s="103"/>
      <c r="E800" s="104"/>
      <c r="F800" s="103"/>
    </row>
    <row r="801" customFormat="false" ht="15" hidden="false" customHeight="false" outlineLevel="0" collapsed="false">
      <c r="A801" s="102"/>
      <c r="B801" s="103"/>
      <c r="C801" s="103"/>
      <c r="D801" s="103"/>
      <c r="E801" s="104"/>
      <c r="F801" s="103"/>
    </row>
    <row r="802" customFormat="false" ht="15" hidden="false" customHeight="false" outlineLevel="0" collapsed="false">
      <c r="A802" s="102"/>
      <c r="B802" s="103"/>
      <c r="C802" s="103"/>
      <c r="D802" s="103"/>
      <c r="E802" s="104"/>
      <c r="F802" s="103"/>
    </row>
    <row r="803" customFormat="false" ht="15" hidden="false" customHeight="false" outlineLevel="0" collapsed="false">
      <c r="A803" s="102"/>
      <c r="B803" s="103"/>
      <c r="C803" s="103"/>
      <c r="D803" s="103"/>
      <c r="E803" s="104"/>
      <c r="F803" s="103"/>
    </row>
    <row r="804" customFormat="false" ht="15" hidden="false" customHeight="false" outlineLevel="0" collapsed="false">
      <c r="A804" s="102"/>
      <c r="B804" s="103"/>
      <c r="C804" s="103"/>
      <c r="D804" s="103"/>
      <c r="E804" s="104"/>
      <c r="F804" s="103"/>
    </row>
    <row r="805" customFormat="false" ht="15" hidden="false" customHeight="false" outlineLevel="0" collapsed="false">
      <c r="A805" s="102"/>
      <c r="B805" s="103"/>
      <c r="C805" s="103"/>
      <c r="D805" s="103"/>
      <c r="E805" s="104"/>
      <c r="F805" s="103"/>
    </row>
    <row r="806" customFormat="false" ht="15" hidden="false" customHeight="false" outlineLevel="0" collapsed="false">
      <c r="A806" s="102"/>
      <c r="B806" s="103"/>
      <c r="C806" s="103"/>
      <c r="D806" s="103"/>
      <c r="E806" s="104"/>
      <c r="F806" s="103"/>
    </row>
    <row r="807" customFormat="false" ht="15" hidden="false" customHeight="false" outlineLevel="0" collapsed="false">
      <c r="A807" s="102"/>
      <c r="B807" s="103"/>
      <c r="C807" s="103"/>
      <c r="D807" s="103"/>
      <c r="E807" s="104"/>
      <c r="F807" s="103"/>
    </row>
    <row r="808" customFormat="false" ht="15" hidden="false" customHeight="false" outlineLevel="0" collapsed="false">
      <c r="A808" s="102"/>
      <c r="B808" s="103"/>
      <c r="C808" s="103"/>
      <c r="D808" s="103"/>
      <c r="E808" s="104"/>
      <c r="F808" s="103"/>
    </row>
    <row r="809" customFormat="false" ht="15" hidden="false" customHeight="false" outlineLevel="0" collapsed="false">
      <c r="A809" s="102"/>
      <c r="B809" s="103"/>
      <c r="C809" s="103"/>
      <c r="D809" s="103"/>
      <c r="E809" s="104"/>
      <c r="F809" s="103"/>
    </row>
    <row r="810" customFormat="false" ht="15" hidden="false" customHeight="false" outlineLevel="0" collapsed="false">
      <c r="A810" s="102"/>
      <c r="B810" s="103"/>
      <c r="C810" s="103"/>
      <c r="D810" s="103"/>
      <c r="E810" s="104"/>
      <c r="F810" s="103"/>
    </row>
    <row r="811" customFormat="false" ht="15" hidden="false" customHeight="false" outlineLevel="0" collapsed="false">
      <c r="A811" s="102"/>
      <c r="B811" s="103"/>
      <c r="C811" s="103"/>
      <c r="D811" s="103"/>
      <c r="E811" s="104"/>
      <c r="F811" s="103"/>
    </row>
    <row r="812" customFormat="false" ht="15" hidden="false" customHeight="false" outlineLevel="0" collapsed="false">
      <c r="A812" s="102"/>
      <c r="B812" s="103"/>
      <c r="C812" s="103"/>
      <c r="D812" s="103"/>
      <c r="E812" s="104"/>
      <c r="F812" s="103"/>
    </row>
    <row r="813" customFormat="false" ht="15" hidden="false" customHeight="false" outlineLevel="0" collapsed="false">
      <c r="A813" s="102"/>
      <c r="B813" s="103"/>
      <c r="C813" s="103"/>
      <c r="D813" s="103"/>
      <c r="E813" s="104"/>
      <c r="F813" s="103"/>
    </row>
    <row r="814" customFormat="false" ht="15" hidden="false" customHeight="false" outlineLevel="0" collapsed="false">
      <c r="A814" s="102"/>
      <c r="B814" s="103"/>
      <c r="C814" s="103"/>
      <c r="D814" s="103"/>
      <c r="E814" s="104"/>
      <c r="F814" s="103"/>
    </row>
    <row r="815" customFormat="false" ht="15" hidden="false" customHeight="false" outlineLevel="0" collapsed="false">
      <c r="A815" s="102"/>
      <c r="B815" s="103"/>
      <c r="C815" s="103"/>
      <c r="D815" s="103"/>
      <c r="E815" s="104"/>
      <c r="F815" s="103"/>
    </row>
    <row r="816" customFormat="false" ht="15" hidden="false" customHeight="false" outlineLevel="0" collapsed="false">
      <c r="A816" s="102"/>
      <c r="B816" s="103"/>
      <c r="C816" s="103"/>
      <c r="D816" s="103"/>
      <c r="E816" s="104"/>
      <c r="F816" s="103"/>
    </row>
    <row r="817" customFormat="false" ht="15" hidden="false" customHeight="false" outlineLevel="0" collapsed="false">
      <c r="A817" s="102"/>
      <c r="B817" s="103"/>
      <c r="C817" s="103"/>
      <c r="D817" s="103"/>
      <c r="E817" s="104"/>
      <c r="F817" s="103"/>
    </row>
    <row r="818" customFormat="false" ht="15" hidden="false" customHeight="false" outlineLevel="0" collapsed="false">
      <c r="A818" s="102"/>
      <c r="B818" s="103"/>
      <c r="C818" s="103"/>
      <c r="D818" s="103"/>
      <c r="E818" s="104"/>
      <c r="F818" s="103"/>
    </row>
    <row r="819" customFormat="false" ht="15" hidden="false" customHeight="false" outlineLevel="0" collapsed="false">
      <c r="A819" s="102"/>
      <c r="B819" s="103"/>
      <c r="C819" s="103"/>
      <c r="D819" s="103"/>
      <c r="E819" s="104"/>
      <c r="F819" s="103"/>
    </row>
    <row r="820" customFormat="false" ht="15" hidden="false" customHeight="false" outlineLevel="0" collapsed="false">
      <c r="A820" s="102"/>
      <c r="B820" s="103"/>
      <c r="C820" s="103"/>
      <c r="D820" s="103"/>
      <c r="E820" s="104"/>
      <c r="F820" s="103"/>
    </row>
    <row r="821" customFormat="false" ht="15" hidden="false" customHeight="false" outlineLevel="0" collapsed="false">
      <c r="A821" s="102"/>
      <c r="B821" s="103"/>
      <c r="C821" s="103"/>
      <c r="D821" s="103"/>
      <c r="E821" s="104"/>
      <c r="F821" s="103"/>
    </row>
    <row r="822" customFormat="false" ht="15" hidden="false" customHeight="false" outlineLevel="0" collapsed="false">
      <c r="A822" s="102"/>
      <c r="B822" s="103"/>
      <c r="C822" s="103"/>
      <c r="D822" s="103"/>
      <c r="E822" s="104"/>
      <c r="F822" s="103"/>
    </row>
    <row r="823" customFormat="false" ht="15" hidden="false" customHeight="false" outlineLevel="0" collapsed="false">
      <c r="A823" s="102"/>
      <c r="B823" s="103"/>
      <c r="C823" s="103"/>
      <c r="D823" s="103"/>
      <c r="E823" s="104"/>
      <c r="F823" s="103"/>
    </row>
    <row r="824" customFormat="false" ht="15" hidden="false" customHeight="false" outlineLevel="0" collapsed="false">
      <c r="A824" s="102"/>
      <c r="B824" s="103"/>
      <c r="C824" s="103"/>
      <c r="D824" s="103"/>
      <c r="E824" s="104"/>
      <c r="F824" s="103"/>
    </row>
    <row r="825" customFormat="false" ht="15" hidden="false" customHeight="false" outlineLevel="0" collapsed="false">
      <c r="A825" s="102"/>
      <c r="B825" s="103"/>
      <c r="C825" s="103"/>
      <c r="D825" s="103"/>
      <c r="E825" s="104"/>
      <c r="F825" s="103"/>
    </row>
    <row r="826" customFormat="false" ht="15" hidden="false" customHeight="false" outlineLevel="0" collapsed="false">
      <c r="A826" s="102"/>
      <c r="B826" s="103"/>
      <c r="C826" s="103"/>
      <c r="D826" s="103"/>
      <c r="E826" s="104"/>
      <c r="F826" s="103"/>
    </row>
    <row r="827" customFormat="false" ht="15" hidden="false" customHeight="false" outlineLevel="0" collapsed="false">
      <c r="A827" s="102"/>
      <c r="B827" s="103"/>
      <c r="C827" s="103"/>
      <c r="D827" s="103"/>
      <c r="E827" s="104"/>
      <c r="F827" s="103"/>
    </row>
    <row r="828" customFormat="false" ht="15" hidden="false" customHeight="false" outlineLevel="0" collapsed="false">
      <c r="A828" s="102"/>
      <c r="B828" s="103"/>
      <c r="C828" s="103"/>
      <c r="D828" s="103"/>
      <c r="E828" s="104"/>
      <c r="F828" s="103"/>
    </row>
    <row r="829" customFormat="false" ht="15" hidden="false" customHeight="false" outlineLevel="0" collapsed="false">
      <c r="A829" s="102"/>
      <c r="B829" s="103"/>
      <c r="C829" s="103"/>
      <c r="D829" s="103"/>
      <c r="E829" s="104"/>
      <c r="F829" s="103"/>
    </row>
    <row r="830" customFormat="false" ht="15" hidden="false" customHeight="false" outlineLevel="0" collapsed="false">
      <c r="A830" s="102"/>
      <c r="B830" s="103"/>
      <c r="C830" s="103"/>
      <c r="D830" s="103"/>
      <c r="E830" s="104"/>
      <c r="F830" s="103"/>
    </row>
    <row r="831" customFormat="false" ht="15" hidden="false" customHeight="false" outlineLevel="0" collapsed="false">
      <c r="A831" s="102"/>
      <c r="B831" s="103"/>
      <c r="C831" s="103"/>
      <c r="D831" s="103"/>
      <c r="E831" s="104"/>
      <c r="F831" s="103"/>
    </row>
    <row r="832" customFormat="false" ht="15" hidden="false" customHeight="false" outlineLevel="0" collapsed="false">
      <c r="A832" s="102"/>
      <c r="B832" s="103"/>
      <c r="C832" s="103"/>
      <c r="D832" s="103"/>
      <c r="E832" s="104"/>
      <c r="F832" s="103"/>
    </row>
    <row r="833" customFormat="false" ht="15" hidden="false" customHeight="false" outlineLevel="0" collapsed="false">
      <c r="A833" s="102"/>
      <c r="B833" s="103"/>
      <c r="C833" s="103"/>
      <c r="D833" s="103"/>
      <c r="E833" s="104"/>
      <c r="F833" s="103"/>
    </row>
    <row r="834" customFormat="false" ht="15" hidden="false" customHeight="false" outlineLevel="0" collapsed="false">
      <c r="A834" s="102"/>
      <c r="B834" s="103"/>
      <c r="C834" s="103"/>
      <c r="D834" s="103"/>
      <c r="E834" s="104"/>
      <c r="F834" s="103"/>
    </row>
    <row r="835" customFormat="false" ht="15" hidden="false" customHeight="false" outlineLevel="0" collapsed="false">
      <c r="A835" s="102"/>
      <c r="B835" s="103"/>
      <c r="C835" s="103"/>
      <c r="D835" s="103"/>
      <c r="E835" s="104"/>
      <c r="F835" s="103"/>
    </row>
    <row r="836" customFormat="false" ht="15" hidden="false" customHeight="false" outlineLevel="0" collapsed="false">
      <c r="A836" s="102"/>
      <c r="B836" s="103"/>
      <c r="C836" s="103"/>
      <c r="D836" s="103"/>
      <c r="E836" s="104"/>
      <c r="F836" s="103"/>
    </row>
    <row r="837" customFormat="false" ht="15" hidden="false" customHeight="false" outlineLevel="0" collapsed="false">
      <c r="A837" s="102"/>
      <c r="B837" s="103"/>
      <c r="C837" s="103"/>
      <c r="D837" s="103"/>
      <c r="E837" s="104"/>
      <c r="F837" s="103"/>
    </row>
    <row r="838" customFormat="false" ht="15" hidden="false" customHeight="false" outlineLevel="0" collapsed="false">
      <c r="A838" s="102"/>
      <c r="B838" s="103"/>
      <c r="C838" s="103"/>
      <c r="D838" s="103"/>
      <c r="E838" s="104"/>
      <c r="F838" s="103"/>
    </row>
    <row r="839" customFormat="false" ht="15" hidden="false" customHeight="false" outlineLevel="0" collapsed="false">
      <c r="A839" s="102"/>
      <c r="B839" s="103"/>
      <c r="C839" s="103"/>
      <c r="D839" s="103"/>
      <c r="E839" s="104"/>
      <c r="F839" s="103"/>
    </row>
    <row r="840" customFormat="false" ht="15" hidden="false" customHeight="false" outlineLevel="0" collapsed="false">
      <c r="A840" s="102"/>
      <c r="B840" s="103"/>
      <c r="C840" s="103"/>
      <c r="D840" s="103"/>
      <c r="E840" s="104"/>
      <c r="F840" s="103"/>
    </row>
    <row r="841" customFormat="false" ht="15" hidden="false" customHeight="false" outlineLevel="0" collapsed="false">
      <c r="A841" s="102"/>
      <c r="B841" s="103"/>
      <c r="C841" s="103"/>
      <c r="D841" s="103"/>
      <c r="E841" s="104"/>
      <c r="F841" s="103"/>
    </row>
    <row r="842" customFormat="false" ht="15" hidden="false" customHeight="false" outlineLevel="0" collapsed="false">
      <c r="A842" s="102"/>
      <c r="B842" s="103"/>
      <c r="C842" s="103"/>
      <c r="D842" s="103"/>
      <c r="E842" s="104"/>
      <c r="F842" s="103"/>
    </row>
    <row r="843" customFormat="false" ht="15" hidden="false" customHeight="false" outlineLevel="0" collapsed="false">
      <c r="A843" s="102"/>
      <c r="B843" s="103"/>
      <c r="C843" s="103"/>
      <c r="D843" s="103"/>
      <c r="E843" s="104"/>
      <c r="F843" s="103"/>
    </row>
    <row r="844" customFormat="false" ht="15" hidden="false" customHeight="false" outlineLevel="0" collapsed="false">
      <c r="A844" s="102"/>
      <c r="B844" s="103"/>
      <c r="C844" s="103"/>
      <c r="D844" s="103"/>
      <c r="E844" s="104"/>
      <c r="F844" s="103"/>
    </row>
    <row r="845" customFormat="false" ht="15" hidden="false" customHeight="false" outlineLevel="0" collapsed="false">
      <c r="A845" s="102"/>
      <c r="B845" s="103"/>
      <c r="C845" s="103"/>
      <c r="D845" s="103"/>
      <c r="E845" s="104"/>
      <c r="F845" s="103"/>
    </row>
    <row r="846" customFormat="false" ht="15" hidden="false" customHeight="false" outlineLevel="0" collapsed="false">
      <c r="A846" s="102"/>
      <c r="B846" s="103"/>
      <c r="C846" s="103"/>
      <c r="D846" s="103"/>
      <c r="E846" s="104"/>
      <c r="F846" s="103"/>
    </row>
    <row r="847" customFormat="false" ht="15" hidden="false" customHeight="false" outlineLevel="0" collapsed="false">
      <c r="A847" s="102"/>
      <c r="B847" s="103"/>
      <c r="C847" s="103"/>
      <c r="D847" s="103"/>
      <c r="E847" s="104"/>
      <c r="F847" s="103"/>
    </row>
    <row r="848" customFormat="false" ht="15" hidden="false" customHeight="false" outlineLevel="0" collapsed="false">
      <c r="A848" s="102"/>
      <c r="B848" s="103"/>
      <c r="C848" s="103"/>
      <c r="D848" s="103"/>
      <c r="E848" s="104"/>
      <c r="F848" s="103"/>
    </row>
    <row r="849" customFormat="false" ht="15" hidden="false" customHeight="false" outlineLevel="0" collapsed="false">
      <c r="A849" s="102"/>
      <c r="B849" s="103"/>
      <c r="C849" s="103"/>
      <c r="D849" s="103"/>
      <c r="E849" s="104"/>
      <c r="F849" s="103"/>
    </row>
    <row r="850" customFormat="false" ht="15" hidden="false" customHeight="false" outlineLevel="0" collapsed="false">
      <c r="A850" s="102"/>
      <c r="B850" s="103"/>
      <c r="C850" s="103"/>
      <c r="D850" s="103"/>
      <c r="E850" s="104"/>
      <c r="F850" s="103"/>
    </row>
    <row r="851" customFormat="false" ht="15" hidden="false" customHeight="false" outlineLevel="0" collapsed="false">
      <c r="A851" s="102"/>
      <c r="B851" s="103"/>
      <c r="C851" s="103"/>
      <c r="D851" s="103"/>
      <c r="E851" s="104"/>
      <c r="F851" s="103"/>
    </row>
    <row r="852" customFormat="false" ht="15" hidden="false" customHeight="false" outlineLevel="0" collapsed="false">
      <c r="A852" s="102"/>
      <c r="B852" s="103"/>
      <c r="C852" s="103"/>
      <c r="D852" s="103"/>
      <c r="E852" s="104"/>
      <c r="F852" s="103"/>
    </row>
    <row r="853" customFormat="false" ht="15" hidden="false" customHeight="false" outlineLevel="0" collapsed="false">
      <c r="A853" s="102"/>
      <c r="B853" s="103"/>
      <c r="C853" s="103"/>
      <c r="D853" s="103"/>
      <c r="E853" s="104"/>
      <c r="F853" s="103"/>
    </row>
    <row r="854" customFormat="false" ht="15" hidden="false" customHeight="false" outlineLevel="0" collapsed="false">
      <c r="A854" s="102"/>
      <c r="B854" s="103"/>
      <c r="C854" s="103"/>
      <c r="D854" s="103"/>
      <c r="E854" s="104"/>
      <c r="F854" s="103"/>
    </row>
    <row r="855" customFormat="false" ht="15" hidden="false" customHeight="false" outlineLevel="0" collapsed="false">
      <c r="A855" s="102"/>
      <c r="B855" s="103"/>
      <c r="C855" s="103"/>
      <c r="D855" s="103"/>
      <c r="E855" s="104"/>
      <c r="F855" s="103"/>
    </row>
    <row r="856" customFormat="false" ht="15" hidden="false" customHeight="false" outlineLevel="0" collapsed="false">
      <c r="A856" s="102"/>
      <c r="B856" s="103"/>
      <c r="C856" s="103"/>
      <c r="D856" s="103"/>
      <c r="E856" s="104"/>
      <c r="F856" s="103"/>
    </row>
    <row r="857" customFormat="false" ht="15" hidden="false" customHeight="false" outlineLevel="0" collapsed="false">
      <c r="A857" s="102"/>
      <c r="B857" s="103"/>
      <c r="C857" s="103"/>
      <c r="D857" s="103"/>
      <c r="E857" s="104"/>
      <c r="F857" s="103"/>
    </row>
    <row r="858" customFormat="false" ht="15" hidden="false" customHeight="false" outlineLevel="0" collapsed="false">
      <c r="A858" s="102"/>
      <c r="B858" s="103"/>
      <c r="C858" s="103"/>
      <c r="D858" s="103"/>
      <c r="E858" s="104"/>
      <c r="F858" s="103"/>
    </row>
    <row r="859" customFormat="false" ht="15" hidden="false" customHeight="false" outlineLevel="0" collapsed="false">
      <c r="A859" s="102"/>
      <c r="B859" s="103"/>
      <c r="C859" s="103"/>
      <c r="D859" s="103"/>
      <c r="E859" s="104"/>
      <c r="F859" s="103"/>
    </row>
    <row r="860" customFormat="false" ht="15" hidden="false" customHeight="false" outlineLevel="0" collapsed="false">
      <c r="A860" s="102"/>
      <c r="B860" s="103"/>
      <c r="C860" s="103"/>
      <c r="D860" s="103"/>
      <c r="E860" s="104"/>
      <c r="F860" s="103"/>
    </row>
    <row r="861" customFormat="false" ht="15" hidden="false" customHeight="false" outlineLevel="0" collapsed="false">
      <c r="A861" s="102"/>
      <c r="B861" s="103"/>
      <c r="C861" s="103"/>
      <c r="D861" s="103"/>
      <c r="E861" s="104"/>
      <c r="F861" s="103"/>
    </row>
    <row r="862" customFormat="false" ht="15" hidden="false" customHeight="false" outlineLevel="0" collapsed="false">
      <c r="A862" s="102"/>
      <c r="B862" s="103"/>
      <c r="C862" s="103"/>
      <c r="D862" s="103"/>
      <c r="E862" s="104"/>
      <c r="F862" s="103"/>
    </row>
    <row r="863" customFormat="false" ht="15" hidden="false" customHeight="false" outlineLevel="0" collapsed="false">
      <c r="A863" s="102"/>
      <c r="B863" s="103"/>
      <c r="C863" s="103"/>
      <c r="D863" s="103"/>
      <c r="E863" s="104"/>
      <c r="F863" s="103"/>
    </row>
    <row r="864" customFormat="false" ht="15" hidden="false" customHeight="false" outlineLevel="0" collapsed="false">
      <c r="A864" s="102"/>
      <c r="B864" s="103"/>
      <c r="C864" s="103"/>
      <c r="D864" s="103"/>
      <c r="E864" s="104"/>
      <c r="F864" s="103"/>
    </row>
    <row r="865" customFormat="false" ht="15" hidden="false" customHeight="false" outlineLevel="0" collapsed="false">
      <c r="A865" s="102"/>
      <c r="B865" s="103"/>
      <c r="C865" s="103"/>
      <c r="D865" s="103"/>
      <c r="E865" s="104"/>
      <c r="F865" s="103"/>
    </row>
    <row r="866" customFormat="false" ht="15" hidden="false" customHeight="false" outlineLevel="0" collapsed="false">
      <c r="A866" s="102"/>
      <c r="B866" s="103"/>
      <c r="C866" s="103"/>
      <c r="D866" s="103"/>
      <c r="E866" s="104"/>
      <c r="F866" s="103"/>
    </row>
    <row r="867" customFormat="false" ht="15" hidden="false" customHeight="false" outlineLevel="0" collapsed="false">
      <c r="A867" s="102"/>
      <c r="B867" s="103"/>
      <c r="C867" s="103"/>
      <c r="D867" s="103"/>
      <c r="E867" s="104"/>
      <c r="F867" s="103"/>
    </row>
    <row r="868" customFormat="false" ht="15" hidden="false" customHeight="false" outlineLevel="0" collapsed="false">
      <c r="A868" s="102"/>
      <c r="B868" s="103"/>
      <c r="C868" s="103"/>
      <c r="D868" s="103"/>
      <c r="E868" s="104"/>
      <c r="F868" s="103"/>
    </row>
    <row r="869" customFormat="false" ht="15" hidden="false" customHeight="false" outlineLevel="0" collapsed="false">
      <c r="A869" s="102"/>
      <c r="B869" s="103"/>
      <c r="C869" s="103"/>
      <c r="D869" s="103"/>
      <c r="E869" s="104"/>
      <c r="F869" s="103"/>
    </row>
    <row r="870" customFormat="false" ht="15" hidden="false" customHeight="false" outlineLevel="0" collapsed="false">
      <c r="A870" s="102"/>
      <c r="B870" s="103"/>
      <c r="C870" s="103"/>
      <c r="D870" s="103"/>
      <c r="E870" s="104"/>
      <c r="F870" s="103"/>
    </row>
    <row r="871" customFormat="false" ht="15" hidden="false" customHeight="false" outlineLevel="0" collapsed="false">
      <c r="A871" s="102"/>
      <c r="B871" s="103"/>
      <c r="C871" s="103"/>
      <c r="D871" s="103"/>
      <c r="E871" s="104"/>
      <c r="F871" s="103"/>
    </row>
    <row r="872" customFormat="false" ht="15" hidden="false" customHeight="false" outlineLevel="0" collapsed="false">
      <c r="A872" s="102"/>
      <c r="B872" s="103"/>
      <c r="C872" s="103"/>
      <c r="D872" s="103"/>
      <c r="E872" s="104"/>
      <c r="F872" s="103"/>
    </row>
    <row r="873" customFormat="false" ht="15" hidden="false" customHeight="false" outlineLevel="0" collapsed="false">
      <c r="A873" s="102"/>
      <c r="B873" s="103"/>
      <c r="C873" s="103"/>
      <c r="D873" s="103"/>
      <c r="E873" s="104"/>
      <c r="F873" s="103"/>
    </row>
    <row r="874" customFormat="false" ht="15" hidden="false" customHeight="false" outlineLevel="0" collapsed="false">
      <c r="A874" s="102"/>
      <c r="B874" s="103"/>
      <c r="C874" s="103"/>
      <c r="D874" s="103"/>
      <c r="E874" s="104"/>
      <c r="F874" s="103"/>
    </row>
    <row r="875" customFormat="false" ht="15" hidden="false" customHeight="false" outlineLevel="0" collapsed="false">
      <c r="A875" s="102"/>
      <c r="B875" s="103"/>
      <c r="C875" s="103"/>
      <c r="D875" s="103"/>
      <c r="E875" s="104"/>
      <c r="F875" s="103"/>
    </row>
    <row r="876" customFormat="false" ht="15" hidden="false" customHeight="false" outlineLevel="0" collapsed="false">
      <c r="A876" s="102"/>
      <c r="B876" s="103"/>
      <c r="C876" s="103"/>
      <c r="D876" s="103"/>
      <c r="E876" s="104"/>
      <c r="F876" s="103"/>
    </row>
    <row r="877" customFormat="false" ht="15" hidden="false" customHeight="false" outlineLevel="0" collapsed="false">
      <c r="A877" s="102"/>
      <c r="B877" s="103"/>
      <c r="C877" s="103"/>
      <c r="D877" s="103"/>
      <c r="E877" s="104"/>
      <c r="F877" s="103"/>
    </row>
    <row r="878" customFormat="false" ht="15" hidden="false" customHeight="false" outlineLevel="0" collapsed="false">
      <c r="A878" s="102"/>
      <c r="B878" s="103"/>
      <c r="C878" s="103"/>
      <c r="D878" s="103"/>
      <c r="E878" s="104"/>
      <c r="F878" s="103"/>
    </row>
    <row r="879" customFormat="false" ht="15" hidden="false" customHeight="false" outlineLevel="0" collapsed="false">
      <c r="A879" s="102"/>
      <c r="B879" s="103"/>
      <c r="C879" s="103"/>
      <c r="D879" s="103"/>
      <c r="E879" s="104"/>
      <c r="F879" s="103"/>
    </row>
    <row r="880" customFormat="false" ht="15" hidden="false" customHeight="false" outlineLevel="0" collapsed="false">
      <c r="A880" s="102"/>
      <c r="B880" s="103"/>
      <c r="C880" s="103"/>
      <c r="D880" s="103"/>
      <c r="E880" s="104"/>
      <c r="F880" s="103"/>
    </row>
    <row r="881" customFormat="false" ht="15" hidden="false" customHeight="false" outlineLevel="0" collapsed="false">
      <c r="A881" s="102"/>
      <c r="B881" s="103"/>
      <c r="C881" s="103"/>
      <c r="D881" s="103"/>
      <c r="E881" s="104"/>
      <c r="F881" s="103"/>
    </row>
    <row r="882" customFormat="false" ht="15" hidden="false" customHeight="false" outlineLevel="0" collapsed="false">
      <c r="A882" s="102"/>
      <c r="B882" s="103"/>
      <c r="C882" s="103"/>
      <c r="D882" s="103"/>
      <c r="E882" s="104"/>
      <c r="F882" s="103"/>
    </row>
    <row r="883" customFormat="false" ht="15" hidden="false" customHeight="false" outlineLevel="0" collapsed="false">
      <c r="A883" s="102"/>
      <c r="B883" s="103"/>
      <c r="C883" s="103"/>
      <c r="D883" s="103"/>
      <c r="E883" s="104"/>
      <c r="F883" s="103"/>
    </row>
    <row r="884" customFormat="false" ht="15" hidden="false" customHeight="false" outlineLevel="0" collapsed="false">
      <c r="A884" s="102"/>
      <c r="B884" s="103"/>
      <c r="C884" s="103"/>
      <c r="D884" s="103"/>
      <c r="E884" s="104"/>
      <c r="F884" s="103"/>
    </row>
    <row r="885" customFormat="false" ht="15" hidden="false" customHeight="false" outlineLevel="0" collapsed="false">
      <c r="A885" s="102"/>
      <c r="B885" s="103"/>
      <c r="C885" s="103"/>
      <c r="D885" s="103"/>
      <c r="E885" s="104"/>
      <c r="F885" s="103"/>
    </row>
    <row r="886" customFormat="false" ht="15" hidden="false" customHeight="false" outlineLevel="0" collapsed="false">
      <c r="A886" s="102"/>
      <c r="B886" s="103"/>
      <c r="C886" s="103"/>
      <c r="D886" s="103"/>
      <c r="E886" s="104"/>
      <c r="F886" s="103"/>
    </row>
    <row r="887" customFormat="false" ht="15" hidden="false" customHeight="false" outlineLevel="0" collapsed="false">
      <c r="A887" s="102"/>
      <c r="B887" s="103"/>
      <c r="C887" s="103"/>
      <c r="D887" s="103"/>
      <c r="E887" s="104"/>
      <c r="F887" s="103"/>
    </row>
    <row r="888" customFormat="false" ht="15" hidden="false" customHeight="false" outlineLevel="0" collapsed="false">
      <c r="A888" s="102"/>
      <c r="B888" s="103"/>
      <c r="C888" s="103"/>
      <c r="D888" s="103"/>
      <c r="E888" s="104"/>
      <c r="F888" s="103"/>
    </row>
    <row r="889" customFormat="false" ht="15" hidden="false" customHeight="false" outlineLevel="0" collapsed="false">
      <c r="A889" s="102"/>
      <c r="B889" s="103"/>
      <c r="C889" s="103"/>
      <c r="D889" s="103"/>
      <c r="E889" s="104"/>
      <c r="F889" s="103"/>
    </row>
    <row r="890" customFormat="false" ht="15" hidden="false" customHeight="false" outlineLevel="0" collapsed="false">
      <c r="A890" s="102"/>
      <c r="B890" s="103"/>
      <c r="C890" s="103"/>
      <c r="D890" s="103"/>
      <c r="E890" s="104"/>
      <c r="F890" s="103"/>
    </row>
    <row r="891" customFormat="false" ht="15" hidden="false" customHeight="false" outlineLevel="0" collapsed="false">
      <c r="A891" s="102"/>
      <c r="B891" s="103"/>
      <c r="C891" s="103"/>
      <c r="D891" s="103"/>
      <c r="E891" s="104"/>
      <c r="F891" s="103"/>
    </row>
    <row r="892" customFormat="false" ht="15" hidden="false" customHeight="false" outlineLevel="0" collapsed="false">
      <c r="A892" s="102"/>
      <c r="B892" s="103"/>
      <c r="C892" s="103"/>
      <c r="D892" s="103"/>
      <c r="E892" s="104"/>
      <c r="F892" s="103"/>
    </row>
    <row r="893" customFormat="false" ht="15" hidden="false" customHeight="false" outlineLevel="0" collapsed="false">
      <c r="A893" s="102"/>
      <c r="B893" s="103"/>
      <c r="C893" s="103"/>
      <c r="D893" s="103"/>
      <c r="E893" s="104"/>
      <c r="F893" s="103"/>
    </row>
    <row r="894" customFormat="false" ht="15" hidden="false" customHeight="false" outlineLevel="0" collapsed="false">
      <c r="A894" s="102"/>
      <c r="B894" s="103"/>
      <c r="C894" s="103"/>
      <c r="D894" s="103"/>
      <c r="E894" s="104"/>
      <c r="F894" s="103"/>
    </row>
    <row r="895" customFormat="false" ht="15" hidden="false" customHeight="false" outlineLevel="0" collapsed="false">
      <c r="A895" s="102"/>
      <c r="B895" s="103"/>
      <c r="C895" s="103"/>
      <c r="D895" s="103"/>
      <c r="E895" s="104"/>
      <c r="F895" s="103"/>
    </row>
    <row r="896" customFormat="false" ht="15" hidden="false" customHeight="false" outlineLevel="0" collapsed="false">
      <c r="A896" s="102"/>
      <c r="B896" s="103"/>
      <c r="C896" s="103"/>
      <c r="D896" s="103"/>
      <c r="E896" s="104"/>
      <c r="F896" s="103"/>
    </row>
    <row r="897" customFormat="false" ht="15" hidden="false" customHeight="false" outlineLevel="0" collapsed="false">
      <c r="A897" s="102"/>
      <c r="B897" s="103"/>
      <c r="C897" s="103"/>
      <c r="D897" s="103"/>
      <c r="E897" s="104"/>
      <c r="F897" s="103"/>
    </row>
    <row r="898" customFormat="false" ht="15" hidden="false" customHeight="false" outlineLevel="0" collapsed="false">
      <c r="A898" s="102"/>
      <c r="B898" s="103"/>
      <c r="C898" s="103"/>
      <c r="D898" s="103"/>
      <c r="E898" s="104"/>
      <c r="F898" s="103"/>
    </row>
    <row r="899" customFormat="false" ht="15" hidden="false" customHeight="false" outlineLevel="0" collapsed="false">
      <c r="A899" s="102"/>
      <c r="B899" s="103"/>
      <c r="C899" s="103"/>
      <c r="D899" s="103"/>
      <c r="E899" s="104"/>
      <c r="F899" s="103"/>
    </row>
    <row r="900" customFormat="false" ht="15" hidden="false" customHeight="false" outlineLevel="0" collapsed="false">
      <c r="A900" s="102"/>
      <c r="B900" s="103"/>
      <c r="C900" s="103"/>
      <c r="D900" s="103"/>
      <c r="E900" s="104"/>
      <c r="F900" s="103"/>
    </row>
    <row r="901" customFormat="false" ht="15" hidden="false" customHeight="false" outlineLevel="0" collapsed="false">
      <c r="A901" s="102"/>
      <c r="B901" s="103"/>
      <c r="C901" s="103"/>
      <c r="D901" s="103"/>
      <c r="E901" s="104"/>
      <c r="F901" s="103"/>
    </row>
    <row r="902" customFormat="false" ht="15" hidden="false" customHeight="false" outlineLevel="0" collapsed="false">
      <c r="A902" s="102"/>
      <c r="B902" s="103"/>
      <c r="C902" s="103"/>
      <c r="D902" s="103"/>
      <c r="E902" s="104"/>
      <c r="F902" s="103"/>
    </row>
    <row r="903" customFormat="false" ht="15" hidden="false" customHeight="false" outlineLevel="0" collapsed="false">
      <c r="A903" s="102"/>
      <c r="B903" s="103"/>
      <c r="C903" s="103"/>
      <c r="D903" s="103"/>
      <c r="E903" s="104"/>
      <c r="F903" s="103"/>
    </row>
    <row r="904" customFormat="false" ht="15" hidden="false" customHeight="false" outlineLevel="0" collapsed="false">
      <c r="A904" s="102"/>
      <c r="B904" s="103"/>
      <c r="C904" s="103"/>
      <c r="D904" s="103"/>
      <c r="E904" s="104"/>
      <c r="F904" s="103"/>
    </row>
    <row r="905" customFormat="false" ht="15" hidden="false" customHeight="false" outlineLevel="0" collapsed="false">
      <c r="A905" s="102"/>
      <c r="B905" s="103"/>
      <c r="C905" s="103"/>
      <c r="D905" s="103"/>
      <c r="E905" s="104"/>
      <c r="F905" s="103"/>
    </row>
    <row r="906" customFormat="false" ht="15" hidden="false" customHeight="false" outlineLevel="0" collapsed="false">
      <c r="A906" s="102"/>
      <c r="B906" s="103"/>
      <c r="C906" s="103"/>
      <c r="D906" s="103"/>
      <c r="E906" s="104"/>
      <c r="F906" s="103"/>
    </row>
    <row r="907" customFormat="false" ht="15" hidden="false" customHeight="false" outlineLevel="0" collapsed="false">
      <c r="A907" s="102"/>
      <c r="B907" s="103"/>
      <c r="C907" s="103"/>
      <c r="D907" s="103"/>
      <c r="E907" s="104"/>
      <c r="F907" s="103"/>
    </row>
    <row r="908" customFormat="false" ht="15" hidden="false" customHeight="false" outlineLevel="0" collapsed="false">
      <c r="A908" s="102"/>
      <c r="B908" s="103"/>
      <c r="C908" s="103"/>
      <c r="D908" s="103"/>
      <c r="E908" s="104"/>
      <c r="F908" s="103"/>
    </row>
    <row r="909" customFormat="false" ht="15" hidden="false" customHeight="false" outlineLevel="0" collapsed="false">
      <c r="A909" s="102"/>
      <c r="B909" s="103"/>
      <c r="C909" s="103"/>
      <c r="D909" s="103"/>
      <c r="E909" s="104"/>
      <c r="F909" s="103"/>
    </row>
    <row r="910" customFormat="false" ht="15" hidden="false" customHeight="false" outlineLevel="0" collapsed="false">
      <c r="A910" s="102"/>
      <c r="B910" s="103"/>
      <c r="C910" s="103"/>
      <c r="D910" s="103"/>
      <c r="E910" s="104"/>
      <c r="F910" s="103"/>
    </row>
    <row r="911" customFormat="false" ht="15" hidden="false" customHeight="false" outlineLevel="0" collapsed="false">
      <c r="A911" s="102"/>
      <c r="B911" s="103"/>
      <c r="C911" s="103"/>
      <c r="D911" s="103"/>
      <c r="E911" s="104"/>
      <c r="F911" s="103"/>
    </row>
    <row r="912" customFormat="false" ht="15" hidden="false" customHeight="false" outlineLevel="0" collapsed="false">
      <c r="A912" s="102"/>
      <c r="B912" s="103"/>
      <c r="C912" s="103"/>
      <c r="D912" s="103"/>
      <c r="E912" s="104"/>
      <c r="F912" s="103"/>
    </row>
    <row r="913" customFormat="false" ht="15" hidden="false" customHeight="false" outlineLevel="0" collapsed="false">
      <c r="A913" s="102"/>
      <c r="B913" s="103"/>
      <c r="C913" s="103"/>
      <c r="D913" s="103"/>
      <c r="E913" s="104"/>
      <c r="F913" s="103"/>
    </row>
    <row r="914" customFormat="false" ht="15" hidden="false" customHeight="false" outlineLevel="0" collapsed="false">
      <c r="A914" s="102"/>
      <c r="B914" s="103"/>
      <c r="C914" s="103"/>
      <c r="D914" s="103"/>
      <c r="E914" s="104"/>
      <c r="F914" s="103"/>
    </row>
    <row r="915" customFormat="false" ht="15" hidden="false" customHeight="false" outlineLevel="0" collapsed="false">
      <c r="A915" s="102"/>
      <c r="B915" s="103"/>
      <c r="C915" s="103"/>
      <c r="D915" s="103"/>
      <c r="E915" s="104"/>
      <c r="F915" s="103"/>
    </row>
    <row r="916" customFormat="false" ht="15" hidden="false" customHeight="false" outlineLevel="0" collapsed="false">
      <c r="A916" s="102"/>
      <c r="B916" s="103"/>
      <c r="C916" s="103"/>
      <c r="D916" s="103"/>
      <c r="E916" s="104"/>
      <c r="F916" s="103"/>
    </row>
    <row r="917" customFormat="false" ht="15" hidden="false" customHeight="false" outlineLevel="0" collapsed="false">
      <c r="A917" s="102"/>
      <c r="B917" s="103"/>
      <c r="C917" s="103"/>
      <c r="D917" s="103"/>
      <c r="E917" s="104"/>
      <c r="F917" s="103"/>
    </row>
    <row r="918" customFormat="false" ht="15" hidden="false" customHeight="false" outlineLevel="0" collapsed="false">
      <c r="A918" s="102"/>
      <c r="B918" s="103"/>
      <c r="C918" s="103"/>
      <c r="D918" s="103"/>
      <c r="E918" s="104"/>
      <c r="F918" s="103"/>
    </row>
    <row r="919" customFormat="false" ht="15" hidden="false" customHeight="false" outlineLevel="0" collapsed="false">
      <c r="A919" s="102"/>
      <c r="B919" s="103"/>
      <c r="C919" s="103"/>
      <c r="D919" s="103"/>
      <c r="E919" s="104"/>
      <c r="F919" s="103"/>
    </row>
    <row r="920" customFormat="false" ht="15" hidden="false" customHeight="false" outlineLevel="0" collapsed="false">
      <c r="A920" s="102"/>
      <c r="B920" s="103"/>
      <c r="C920" s="103"/>
      <c r="D920" s="103"/>
      <c r="E920" s="104"/>
      <c r="F920" s="103"/>
    </row>
    <row r="921" customFormat="false" ht="15" hidden="false" customHeight="false" outlineLevel="0" collapsed="false">
      <c r="A921" s="102"/>
      <c r="B921" s="103"/>
      <c r="C921" s="103"/>
      <c r="D921" s="103"/>
      <c r="E921" s="104"/>
      <c r="F921" s="103"/>
    </row>
    <row r="922" customFormat="false" ht="15" hidden="false" customHeight="false" outlineLevel="0" collapsed="false">
      <c r="A922" s="102"/>
      <c r="B922" s="103"/>
      <c r="C922" s="103"/>
      <c r="D922" s="103"/>
      <c r="E922" s="104"/>
      <c r="F922" s="103"/>
    </row>
    <row r="923" customFormat="false" ht="15" hidden="false" customHeight="false" outlineLevel="0" collapsed="false">
      <c r="A923" s="102"/>
      <c r="B923" s="103"/>
      <c r="C923" s="103"/>
      <c r="D923" s="103"/>
      <c r="E923" s="104"/>
      <c r="F923" s="103"/>
    </row>
    <row r="924" customFormat="false" ht="15" hidden="false" customHeight="false" outlineLevel="0" collapsed="false">
      <c r="A924" s="102"/>
      <c r="B924" s="103"/>
      <c r="C924" s="103"/>
      <c r="D924" s="103"/>
      <c r="E924" s="104"/>
      <c r="F924" s="103"/>
    </row>
    <row r="925" customFormat="false" ht="15" hidden="false" customHeight="false" outlineLevel="0" collapsed="false">
      <c r="A925" s="102"/>
      <c r="B925" s="103"/>
      <c r="C925" s="103"/>
      <c r="D925" s="103"/>
      <c r="E925" s="104"/>
      <c r="F925" s="103"/>
    </row>
    <row r="926" customFormat="false" ht="15" hidden="false" customHeight="false" outlineLevel="0" collapsed="false">
      <c r="A926" s="102"/>
      <c r="B926" s="103"/>
      <c r="C926" s="103"/>
      <c r="D926" s="103"/>
      <c r="E926" s="104"/>
      <c r="F926" s="103"/>
    </row>
    <row r="927" customFormat="false" ht="15" hidden="false" customHeight="false" outlineLevel="0" collapsed="false">
      <c r="A927" s="102"/>
      <c r="B927" s="103"/>
      <c r="C927" s="103"/>
      <c r="D927" s="103"/>
      <c r="E927" s="104"/>
      <c r="F927" s="103"/>
    </row>
    <row r="928" customFormat="false" ht="15" hidden="false" customHeight="false" outlineLevel="0" collapsed="false">
      <c r="A928" s="102"/>
      <c r="B928" s="103"/>
      <c r="C928" s="103"/>
      <c r="D928" s="103"/>
      <c r="E928" s="104"/>
      <c r="F928" s="103"/>
    </row>
    <row r="929" customFormat="false" ht="15" hidden="false" customHeight="false" outlineLevel="0" collapsed="false">
      <c r="A929" s="102"/>
      <c r="B929" s="103"/>
      <c r="C929" s="103"/>
      <c r="D929" s="103"/>
      <c r="E929" s="104"/>
      <c r="F929" s="103"/>
    </row>
    <row r="930" customFormat="false" ht="15" hidden="false" customHeight="false" outlineLevel="0" collapsed="false">
      <c r="A930" s="102"/>
      <c r="B930" s="103"/>
      <c r="C930" s="103"/>
      <c r="D930" s="103"/>
      <c r="E930" s="104"/>
      <c r="F930" s="103"/>
    </row>
    <row r="931" customFormat="false" ht="15" hidden="false" customHeight="false" outlineLevel="0" collapsed="false">
      <c r="A931" s="102"/>
      <c r="B931" s="103"/>
      <c r="C931" s="103"/>
      <c r="D931" s="103"/>
      <c r="E931" s="104"/>
      <c r="F931" s="103"/>
    </row>
    <row r="932" customFormat="false" ht="15" hidden="false" customHeight="false" outlineLevel="0" collapsed="false">
      <c r="A932" s="102"/>
      <c r="B932" s="103"/>
      <c r="C932" s="103"/>
      <c r="D932" s="103"/>
      <c r="E932" s="104"/>
      <c r="F932" s="103"/>
    </row>
    <row r="933" customFormat="false" ht="15" hidden="false" customHeight="false" outlineLevel="0" collapsed="false">
      <c r="A933" s="102"/>
      <c r="B933" s="103"/>
      <c r="C933" s="103"/>
      <c r="D933" s="103"/>
      <c r="E933" s="104"/>
      <c r="F933" s="103"/>
    </row>
    <row r="934" customFormat="false" ht="15" hidden="false" customHeight="false" outlineLevel="0" collapsed="false">
      <c r="A934" s="102"/>
      <c r="B934" s="103"/>
      <c r="C934" s="103"/>
      <c r="D934" s="103"/>
      <c r="E934" s="104"/>
      <c r="F934" s="103"/>
    </row>
    <row r="935" customFormat="false" ht="15" hidden="false" customHeight="false" outlineLevel="0" collapsed="false">
      <c r="A935" s="102"/>
      <c r="B935" s="103"/>
      <c r="C935" s="103"/>
      <c r="D935" s="103"/>
      <c r="E935" s="104"/>
      <c r="F935" s="103"/>
    </row>
    <row r="936" customFormat="false" ht="15" hidden="false" customHeight="false" outlineLevel="0" collapsed="false">
      <c r="A936" s="102"/>
      <c r="B936" s="103"/>
      <c r="C936" s="103"/>
      <c r="D936" s="103"/>
      <c r="E936" s="104"/>
      <c r="F936" s="103"/>
    </row>
    <row r="937" customFormat="false" ht="15" hidden="false" customHeight="false" outlineLevel="0" collapsed="false">
      <c r="A937" s="102"/>
      <c r="B937" s="103"/>
      <c r="C937" s="103"/>
      <c r="D937" s="103"/>
      <c r="E937" s="104"/>
      <c r="F937" s="103"/>
    </row>
    <row r="938" customFormat="false" ht="15" hidden="false" customHeight="false" outlineLevel="0" collapsed="false">
      <c r="A938" s="102"/>
      <c r="B938" s="103"/>
      <c r="C938" s="103"/>
      <c r="D938" s="103"/>
      <c r="E938" s="104"/>
      <c r="F938" s="103"/>
    </row>
    <row r="939" customFormat="false" ht="15" hidden="false" customHeight="false" outlineLevel="0" collapsed="false">
      <c r="A939" s="102"/>
      <c r="B939" s="103"/>
      <c r="C939" s="103"/>
      <c r="D939" s="103"/>
      <c r="E939" s="104"/>
      <c r="F939" s="103"/>
    </row>
    <row r="940" customFormat="false" ht="15" hidden="false" customHeight="false" outlineLevel="0" collapsed="false">
      <c r="A940" s="102"/>
      <c r="B940" s="103"/>
      <c r="C940" s="103"/>
      <c r="D940" s="103"/>
      <c r="E940" s="104"/>
      <c r="F940" s="103"/>
    </row>
    <row r="941" customFormat="false" ht="15" hidden="false" customHeight="false" outlineLevel="0" collapsed="false">
      <c r="A941" s="102"/>
      <c r="B941" s="103"/>
      <c r="C941" s="103"/>
      <c r="D941" s="103"/>
      <c r="E941" s="104"/>
      <c r="F941" s="103"/>
    </row>
    <row r="942" customFormat="false" ht="15" hidden="false" customHeight="false" outlineLevel="0" collapsed="false">
      <c r="A942" s="102"/>
      <c r="B942" s="103"/>
      <c r="C942" s="103"/>
      <c r="D942" s="103"/>
      <c r="E942" s="104"/>
      <c r="F942" s="103"/>
    </row>
    <row r="943" customFormat="false" ht="15" hidden="false" customHeight="false" outlineLevel="0" collapsed="false">
      <c r="A943" s="102"/>
      <c r="B943" s="103"/>
      <c r="C943" s="103"/>
      <c r="D943" s="103"/>
      <c r="E943" s="104"/>
      <c r="F943" s="103"/>
    </row>
    <row r="944" customFormat="false" ht="15" hidden="false" customHeight="false" outlineLevel="0" collapsed="false">
      <c r="A944" s="102"/>
      <c r="B944" s="103"/>
      <c r="C944" s="103"/>
      <c r="D944" s="103"/>
      <c r="E944" s="104"/>
      <c r="F944" s="103"/>
    </row>
    <row r="945" customFormat="false" ht="15" hidden="false" customHeight="false" outlineLevel="0" collapsed="false">
      <c r="A945" s="102"/>
      <c r="B945" s="103"/>
      <c r="C945" s="103"/>
      <c r="D945" s="103"/>
      <c r="E945" s="104"/>
      <c r="F945" s="103"/>
    </row>
    <row r="946" customFormat="false" ht="15" hidden="false" customHeight="false" outlineLevel="0" collapsed="false">
      <c r="A946" s="102"/>
      <c r="B946" s="103"/>
      <c r="C946" s="103"/>
      <c r="D946" s="103"/>
      <c r="E946" s="104"/>
      <c r="F946" s="103"/>
    </row>
    <row r="947" customFormat="false" ht="15" hidden="false" customHeight="false" outlineLevel="0" collapsed="false">
      <c r="A947" s="102"/>
      <c r="B947" s="103"/>
      <c r="C947" s="103"/>
      <c r="D947" s="103"/>
      <c r="E947" s="104"/>
      <c r="F947" s="103"/>
    </row>
    <row r="948" customFormat="false" ht="15" hidden="false" customHeight="false" outlineLevel="0" collapsed="false">
      <c r="A948" s="102"/>
      <c r="B948" s="103"/>
      <c r="C948" s="103"/>
      <c r="D948" s="103"/>
      <c r="E948" s="104"/>
      <c r="F948" s="103"/>
    </row>
    <row r="949" customFormat="false" ht="15" hidden="false" customHeight="false" outlineLevel="0" collapsed="false">
      <c r="A949" s="102"/>
      <c r="B949" s="103"/>
      <c r="C949" s="103"/>
      <c r="D949" s="103"/>
      <c r="E949" s="104"/>
      <c r="F949" s="103"/>
    </row>
    <row r="950" customFormat="false" ht="15" hidden="false" customHeight="false" outlineLevel="0" collapsed="false">
      <c r="A950" s="102"/>
      <c r="B950" s="103"/>
      <c r="C950" s="103"/>
      <c r="D950" s="103"/>
      <c r="E950" s="104"/>
      <c r="F950" s="103"/>
    </row>
    <row r="951" customFormat="false" ht="15" hidden="false" customHeight="false" outlineLevel="0" collapsed="false">
      <c r="A951" s="102"/>
      <c r="B951" s="103"/>
      <c r="C951" s="103"/>
      <c r="D951" s="103"/>
      <c r="E951" s="104"/>
      <c r="F951" s="103"/>
    </row>
    <row r="952" customFormat="false" ht="15" hidden="false" customHeight="false" outlineLevel="0" collapsed="false">
      <c r="A952" s="102"/>
      <c r="B952" s="103"/>
      <c r="C952" s="103"/>
      <c r="D952" s="103"/>
      <c r="E952" s="104"/>
      <c r="F952" s="103"/>
    </row>
    <row r="953" customFormat="false" ht="15" hidden="false" customHeight="false" outlineLevel="0" collapsed="false">
      <c r="A953" s="102"/>
      <c r="B953" s="103"/>
      <c r="C953" s="103"/>
      <c r="D953" s="103"/>
      <c r="E953" s="104"/>
      <c r="F953" s="103"/>
    </row>
    <row r="954" customFormat="false" ht="15" hidden="false" customHeight="false" outlineLevel="0" collapsed="false">
      <c r="A954" s="102"/>
      <c r="B954" s="103"/>
      <c r="C954" s="103"/>
      <c r="D954" s="103"/>
      <c r="E954" s="104"/>
      <c r="F954" s="103"/>
    </row>
    <row r="955" customFormat="false" ht="15" hidden="false" customHeight="false" outlineLevel="0" collapsed="false">
      <c r="A955" s="102"/>
      <c r="B955" s="103"/>
      <c r="C955" s="103"/>
      <c r="D955" s="103"/>
      <c r="E955" s="104"/>
      <c r="F955" s="103"/>
    </row>
    <row r="956" customFormat="false" ht="15" hidden="false" customHeight="false" outlineLevel="0" collapsed="false">
      <c r="A956" s="102"/>
      <c r="B956" s="103"/>
      <c r="C956" s="103"/>
      <c r="D956" s="103"/>
      <c r="E956" s="104"/>
      <c r="F956" s="103"/>
    </row>
    <row r="957" customFormat="false" ht="15" hidden="false" customHeight="false" outlineLevel="0" collapsed="false">
      <c r="A957" s="102"/>
      <c r="B957" s="103"/>
      <c r="C957" s="103"/>
      <c r="D957" s="103"/>
      <c r="E957" s="104"/>
      <c r="F957" s="103"/>
    </row>
    <row r="958" customFormat="false" ht="15" hidden="false" customHeight="false" outlineLevel="0" collapsed="false">
      <c r="A958" s="102"/>
      <c r="B958" s="103"/>
      <c r="C958" s="103"/>
      <c r="D958" s="103"/>
      <c r="E958" s="104"/>
      <c r="F958" s="103"/>
    </row>
    <row r="959" customFormat="false" ht="15" hidden="false" customHeight="false" outlineLevel="0" collapsed="false">
      <c r="A959" s="102"/>
      <c r="B959" s="103"/>
      <c r="C959" s="103"/>
      <c r="D959" s="103"/>
      <c r="E959" s="104"/>
      <c r="F959" s="103"/>
    </row>
    <row r="960" customFormat="false" ht="15" hidden="false" customHeight="false" outlineLevel="0" collapsed="false">
      <c r="A960" s="102"/>
      <c r="B960" s="103"/>
      <c r="C960" s="103"/>
      <c r="D960" s="103"/>
      <c r="E960" s="104"/>
      <c r="F960" s="103"/>
    </row>
    <row r="961" customFormat="false" ht="15" hidden="false" customHeight="false" outlineLevel="0" collapsed="false">
      <c r="A961" s="102"/>
      <c r="B961" s="103"/>
      <c r="C961" s="103"/>
      <c r="D961" s="103"/>
      <c r="E961" s="104"/>
      <c r="F961" s="103"/>
    </row>
    <row r="962" customFormat="false" ht="15" hidden="false" customHeight="false" outlineLevel="0" collapsed="false">
      <c r="A962" s="102"/>
      <c r="B962" s="103"/>
      <c r="C962" s="103"/>
      <c r="D962" s="103"/>
      <c r="E962" s="104"/>
      <c r="F962" s="103"/>
    </row>
    <row r="963" customFormat="false" ht="15" hidden="false" customHeight="false" outlineLevel="0" collapsed="false">
      <c r="A963" s="102"/>
      <c r="B963" s="103"/>
      <c r="C963" s="103"/>
      <c r="D963" s="103"/>
      <c r="E963" s="104"/>
      <c r="F963" s="103"/>
    </row>
    <row r="964" customFormat="false" ht="15" hidden="false" customHeight="false" outlineLevel="0" collapsed="false">
      <c r="A964" s="102"/>
      <c r="B964" s="103"/>
      <c r="C964" s="103"/>
      <c r="D964" s="103"/>
      <c r="E964" s="104"/>
      <c r="F964" s="103"/>
    </row>
    <row r="965" customFormat="false" ht="15" hidden="false" customHeight="false" outlineLevel="0" collapsed="false">
      <c r="A965" s="102"/>
      <c r="B965" s="103"/>
      <c r="C965" s="103"/>
      <c r="D965" s="103"/>
      <c r="E965" s="104"/>
      <c r="F965" s="103"/>
    </row>
    <row r="966" customFormat="false" ht="15" hidden="false" customHeight="false" outlineLevel="0" collapsed="false">
      <c r="A966" s="102"/>
      <c r="B966" s="103"/>
      <c r="C966" s="103"/>
      <c r="D966" s="103"/>
      <c r="E966" s="104"/>
      <c r="F966" s="103"/>
    </row>
    <row r="967" customFormat="false" ht="15" hidden="false" customHeight="false" outlineLevel="0" collapsed="false">
      <c r="A967" s="102"/>
      <c r="B967" s="103"/>
      <c r="C967" s="103"/>
      <c r="D967" s="103"/>
      <c r="E967" s="104"/>
      <c r="F967" s="103"/>
    </row>
    <row r="968" customFormat="false" ht="15" hidden="false" customHeight="false" outlineLevel="0" collapsed="false">
      <c r="A968" s="102"/>
      <c r="B968" s="103"/>
      <c r="C968" s="103"/>
      <c r="D968" s="103"/>
      <c r="E968" s="104"/>
      <c r="F968" s="103"/>
    </row>
    <row r="969" customFormat="false" ht="15" hidden="false" customHeight="false" outlineLevel="0" collapsed="false">
      <c r="A969" s="102"/>
      <c r="B969" s="103"/>
      <c r="C969" s="103"/>
      <c r="D969" s="103"/>
      <c r="E969" s="104"/>
      <c r="F969" s="103"/>
    </row>
    <row r="970" customFormat="false" ht="15" hidden="false" customHeight="false" outlineLevel="0" collapsed="false">
      <c r="A970" s="102"/>
      <c r="B970" s="103"/>
      <c r="C970" s="103"/>
      <c r="D970" s="103"/>
      <c r="E970" s="104"/>
      <c r="F970" s="103"/>
    </row>
    <row r="971" customFormat="false" ht="15" hidden="false" customHeight="false" outlineLevel="0" collapsed="false">
      <c r="A971" s="102"/>
      <c r="B971" s="103"/>
      <c r="C971" s="103"/>
      <c r="D971" s="103"/>
      <c r="E971" s="104"/>
      <c r="F971" s="103"/>
    </row>
    <row r="972" customFormat="false" ht="15" hidden="false" customHeight="false" outlineLevel="0" collapsed="false">
      <c r="A972" s="102"/>
      <c r="B972" s="103"/>
      <c r="C972" s="103"/>
      <c r="D972" s="103"/>
      <c r="E972" s="104"/>
      <c r="F972" s="103"/>
    </row>
    <row r="973" customFormat="false" ht="15" hidden="false" customHeight="false" outlineLevel="0" collapsed="false">
      <c r="A973" s="102"/>
      <c r="B973" s="103"/>
      <c r="C973" s="103"/>
      <c r="D973" s="103"/>
      <c r="E973" s="104"/>
      <c r="F973" s="103"/>
    </row>
    <row r="974" customFormat="false" ht="15" hidden="false" customHeight="false" outlineLevel="0" collapsed="false">
      <c r="A974" s="102"/>
      <c r="B974" s="103"/>
      <c r="C974" s="103"/>
      <c r="D974" s="103"/>
      <c r="E974" s="104"/>
      <c r="F974" s="103"/>
    </row>
    <row r="975" customFormat="false" ht="15" hidden="false" customHeight="false" outlineLevel="0" collapsed="false">
      <c r="A975" s="102"/>
      <c r="B975" s="103"/>
      <c r="C975" s="103"/>
      <c r="D975" s="103"/>
      <c r="E975" s="104"/>
      <c r="F975" s="103"/>
    </row>
    <row r="976" customFormat="false" ht="15" hidden="false" customHeight="false" outlineLevel="0" collapsed="false">
      <c r="A976" s="102"/>
      <c r="B976" s="103"/>
      <c r="C976" s="103"/>
      <c r="D976" s="103"/>
      <c r="E976" s="104"/>
      <c r="F976" s="103"/>
    </row>
    <row r="977" customFormat="false" ht="15" hidden="false" customHeight="false" outlineLevel="0" collapsed="false">
      <c r="A977" s="102"/>
      <c r="B977" s="103"/>
      <c r="C977" s="103"/>
      <c r="D977" s="103"/>
      <c r="E977" s="104"/>
      <c r="F977" s="103"/>
    </row>
    <row r="978" customFormat="false" ht="15" hidden="false" customHeight="false" outlineLevel="0" collapsed="false">
      <c r="A978" s="102"/>
      <c r="B978" s="103"/>
      <c r="C978" s="103"/>
      <c r="D978" s="103"/>
      <c r="E978" s="104"/>
      <c r="F978" s="103"/>
    </row>
    <row r="979" customFormat="false" ht="15" hidden="false" customHeight="false" outlineLevel="0" collapsed="false">
      <c r="A979" s="102"/>
      <c r="B979" s="103"/>
      <c r="C979" s="103"/>
      <c r="D979" s="103"/>
      <c r="E979" s="104"/>
      <c r="F979" s="103"/>
    </row>
    <row r="980" customFormat="false" ht="15" hidden="false" customHeight="false" outlineLevel="0" collapsed="false">
      <c r="A980" s="102"/>
      <c r="B980" s="103"/>
      <c r="C980" s="103"/>
      <c r="D980" s="103"/>
      <c r="E980" s="104"/>
      <c r="F980" s="103"/>
    </row>
    <row r="981" customFormat="false" ht="15" hidden="false" customHeight="false" outlineLevel="0" collapsed="false">
      <c r="A981" s="102"/>
      <c r="B981" s="103"/>
      <c r="C981" s="103"/>
      <c r="D981" s="103"/>
      <c r="E981" s="104"/>
      <c r="F981" s="103"/>
    </row>
    <row r="982" customFormat="false" ht="15" hidden="false" customHeight="false" outlineLevel="0" collapsed="false">
      <c r="A982" s="102"/>
      <c r="B982" s="103"/>
      <c r="C982" s="103"/>
      <c r="D982" s="103"/>
      <c r="E982" s="104"/>
      <c r="F982" s="103"/>
    </row>
    <row r="983" customFormat="false" ht="15" hidden="false" customHeight="false" outlineLevel="0" collapsed="false">
      <c r="A983" s="102"/>
      <c r="B983" s="103"/>
      <c r="C983" s="103"/>
      <c r="D983" s="103"/>
      <c r="E983" s="104"/>
      <c r="F983" s="103"/>
    </row>
    <row r="984" customFormat="false" ht="15" hidden="false" customHeight="false" outlineLevel="0" collapsed="false">
      <c r="A984" s="102"/>
      <c r="B984" s="103"/>
      <c r="C984" s="103"/>
      <c r="D984" s="103"/>
      <c r="E984" s="104"/>
      <c r="F984" s="103"/>
    </row>
    <row r="985" customFormat="false" ht="15" hidden="false" customHeight="false" outlineLevel="0" collapsed="false">
      <c r="A985" s="102"/>
      <c r="B985" s="103"/>
      <c r="C985" s="103"/>
      <c r="D985" s="103"/>
      <c r="E985" s="104"/>
      <c r="F985" s="103"/>
    </row>
    <row r="986" customFormat="false" ht="15" hidden="false" customHeight="false" outlineLevel="0" collapsed="false">
      <c r="A986" s="102"/>
      <c r="B986" s="103"/>
      <c r="C986" s="103"/>
      <c r="D986" s="103"/>
      <c r="E986" s="104"/>
      <c r="F986" s="103"/>
    </row>
    <row r="987" customFormat="false" ht="15" hidden="false" customHeight="false" outlineLevel="0" collapsed="false">
      <c r="A987" s="102"/>
      <c r="B987" s="103"/>
      <c r="C987" s="103"/>
      <c r="D987" s="103"/>
      <c r="E987" s="104"/>
      <c r="F987" s="103"/>
    </row>
    <row r="988" customFormat="false" ht="15" hidden="false" customHeight="false" outlineLevel="0" collapsed="false">
      <c r="A988" s="102"/>
      <c r="B988" s="103"/>
      <c r="C988" s="103"/>
      <c r="D988" s="103"/>
      <c r="E988" s="104"/>
      <c r="F988" s="103"/>
    </row>
    <row r="989" customFormat="false" ht="15" hidden="false" customHeight="false" outlineLevel="0" collapsed="false">
      <c r="A989" s="102"/>
      <c r="B989" s="103"/>
      <c r="C989" s="103"/>
      <c r="D989" s="103"/>
      <c r="E989" s="104"/>
      <c r="F989" s="103"/>
    </row>
    <row r="990" customFormat="false" ht="15" hidden="false" customHeight="false" outlineLevel="0" collapsed="false">
      <c r="A990" s="102"/>
      <c r="B990" s="103"/>
      <c r="C990" s="103"/>
      <c r="D990" s="103"/>
      <c r="E990" s="104"/>
      <c r="F990" s="103"/>
    </row>
    <row r="991" customFormat="false" ht="15" hidden="false" customHeight="false" outlineLevel="0" collapsed="false">
      <c r="A991" s="102"/>
      <c r="B991" s="103"/>
      <c r="C991" s="103"/>
      <c r="D991" s="103"/>
      <c r="E991" s="104"/>
      <c r="F991" s="103"/>
    </row>
    <row r="992" customFormat="false" ht="15" hidden="false" customHeight="false" outlineLevel="0" collapsed="false">
      <c r="A992" s="102"/>
      <c r="B992" s="103"/>
      <c r="C992" s="103"/>
      <c r="D992" s="103"/>
      <c r="E992" s="104"/>
      <c r="F992" s="103"/>
    </row>
    <row r="993" customFormat="false" ht="15" hidden="false" customHeight="false" outlineLevel="0" collapsed="false">
      <c r="A993" s="102"/>
      <c r="B993" s="103"/>
      <c r="C993" s="103"/>
      <c r="D993" s="103"/>
      <c r="E993" s="104"/>
      <c r="F993" s="103"/>
    </row>
    <row r="994" customFormat="false" ht="15" hidden="false" customHeight="false" outlineLevel="0" collapsed="false">
      <c r="A994" s="102"/>
      <c r="B994" s="103"/>
      <c r="C994" s="103"/>
      <c r="D994" s="103"/>
      <c r="E994" s="104"/>
      <c r="F994" s="103"/>
    </row>
    <row r="995" customFormat="false" ht="15" hidden="false" customHeight="false" outlineLevel="0" collapsed="false">
      <c r="A995" s="102"/>
      <c r="B995" s="103"/>
      <c r="C995" s="103"/>
      <c r="D995" s="103"/>
      <c r="E995" s="104"/>
      <c r="F995" s="103"/>
    </row>
    <row r="996" customFormat="false" ht="15" hidden="false" customHeight="false" outlineLevel="0" collapsed="false">
      <c r="A996" s="102"/>
      <c r="B996" s="103"/>
      <c r="C996" s="103"/>
      <c r="D996" s="103"/>
      <c r="E996" s="104"/>
      <c r="F996" s="103"/>
    </row>
    <row r="997" customFormat="false" ht="15" hidden="false" customHeight="false" outlineLevel="0" collapsed="false">
      <c r="A997" s="102"/>
      <c r="B997" s="103"/>
      <c r="C997" s="103"/>
      <c r="D997" s="103"/>
      <c r="E997" s="104"/>
      <c r="F997" s="103"/>
    </row>
    <row r="998" customFormat="false" ht="15" hidden="false" customHeight="false" outlineLevel="0" collapsed="false">
      <c r="A998" s="102"/>
      <c r="B998" s="103"/>
      <c r="C998" s="103"/>
      <c r="D998" s="103"/>
      <c r="E998" s="104"/>
      <c r="F998" s="103"/>
    </row>
    <row r="999" customFormat="false" ht="15" hidden="false" customHeight="false" outlineLevel="0" collapsed="false">
      <c r="A999" s="102"/>
      <c r="B999" s="103"/>
      <c r="C999" s="103"/>
      <c r="D999" s="103"/>
      <c r="E999" s="104"/>
      <c r="F999" s="103"/>
    </row>
    <row r="1000" customFormat="false" ht="15" hidden="false" customHeight="false" outlineLevel="0" collapsed="false">
      <c r="A1000" s="102"/>
      <c r="B1000" s="103"/>
      <c r="C1000" s="103"/>
      <c r="D1000" s="103"/>
      <c r="E1000" s="104"/>
      <c r="F1000" s="103"/>
    </row>
    <row r="1001" customFormat="false" ht="15" hidden="false" customHeight="false" outlineLevel="0" collapsed="false">
      <c r="A1001" s="102"/>
      <c r="B1001" s="103"/>
      <c r="C1001" s="103"/>
      <c r="D1001" s="103"/>
      <c r="E1001" s="104"/>
      <c r="F1001" s="103"/>
    </row>
    <row r="1002" customFormat="false" ht="15" hidden="false" customHeight="false" outlineLevel="0" collapsed="false">
      <c r="A1002" s="102"/>
      <c r="B1002" s="103"/>
      <c r="C1002" s="103"/>
      <c r="D1002" s="103"/>
      <c r="E1002" s="104"/>
      <c r="F1002" s="103"/>
    </row>
    <row r="1003" customFormat="false" ht="15" hidden="false" customHeight="false" outlineLevel="0" collapsed="false">
      <c r="A1003" s="102"/>
      <c r="B1003" s="103"/>
      <c r="C1003" s="103"/>
      <c r="D1003" s="103"/>
      <c r="E1003" s="104"/>
      <c r="F1003" s="103"/>
    </row>
    <row r="1004" customFormat="false" ht="15" hidden="false" customHeight="false" outlineLevel="0" collapsed="false">
      <c r="A1004" s="102"/>
      <c r="B1004" s="103"/>
      <c r="C1004" s="103"/>
      <c r="D1004" s="103"/>
      <c r="E1004" s="104"/>
      <c r="F1004" s="103"/>
    </row>
  </sheetData>
  <mergeCells count="1">
    <mergeCell ref="A3:F3"/>
  </mergeCells>
  <dataValidations count="1">
    <dataValidation allowBlank="true" error="Pick a value from the list." errorStyle="stop" errorTitle="Not in the list" operator="between" showDropDown="false" showErrorMessage="false" showInputMessage="false" sqref="D5:D1004" type="list">
      <formula1>Lists!$C$4:$C$10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FB98B"/>
    <pageSetUpPr fitToPage="false"/>
  </sheetPr>
  <dimension ref="A1:AL509"/>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9" topLeftCell="A10"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2" style="0" width="30"/>
    <col collapsed="false" customWidth="true" hidden="false" outlineLevel="0" max="3" min="3" style="0" width="16"/>
    <col collapsed="false" customWidth="true" hidden="false" outlineLevel="0" max="4" min="4" style="0" width="8"/>
    <col collapsed="false" customWidth="true" hidden="false" outlineLevel="0" max="5" min="5" style="0" width="20"/>
    <col collapsed="false" customWidth="true" hidden="false" outlineLevel="0" max="32" min="32" style="0" width="12"/>
    <col collapsed="false" customWidth="true" hidden="false" outlineLevel="0" max="33" min="33" style="0" width="10"/>
    <col collapsed="false" customWidth="true" hidden="false" outlineLevel="0" max="34" min="34" style="0" width="20"/>
    <col collapsed="false" customWidth="true" hidden="false" outlineLevel="0" max="35" min="35" style="0" width="8"/>
    <col collapsed="false" customWidth="true" hidden="false" outlineLevel="0" max="37" min="37" style="0" width="44"/>
    <col collapsed="false" customWidth="true" hidden="false" outlineLevel="0" max="38" min="38" style="0" width="10"/>
  </cols>
  <sheetData>
    <row r="1" customFormat="false" ht="18.55" hidden="false" customHeight="false" outlineLevel="0" collapsed="false">
      <c r="A1" s="1" t="s">
        <v>1464</v>
      </c>
    </row>
    <row r="2" customFormat="false" ht="15" hidden="false" customHeight="false" outlineLevel="0" collapsed="false">
      <c r="A2" s="2" t="s">
        <v>1465</v>
      </c>
    </row>
    <row r="3" customFormat="false" ht="30" hidden="false" customHeight="true" outlineLevel="0" collapsed="false">
      <c r="B3" s="9" t="s">
        <v>1466</v>
      </c>
      <c r="G3" s="8" t="s">
        <v>1467</v>
      </c>
      <c r="H3" s="8"/>
      <c r="I3" s="8"/>
      <c r="J3" s="8"/>
      <c r="K3" s="8"/>
      <c r="L3" s="8"/>
      <c r="M3" s="8"/>
      <c r="N3" s="8"/>
      <c r="O3" s="8"/>
      <c r="P3" s="8"/>
    </row>
    <row r="4" customFormat="false" ht="15" hidden="false" customHeight="false" outlineLevel="0" collapsed="false">
      <c r="B4" s="30" t="s">
        <v>366</v>
      </c>
      <c r="C4" s="39" t="s">
        <v>1468</v>
      </c>
      <c r="D4" s="21" t="str">
        <f aca="false">IFERROR(MATCH(C4,$A$9:$AD$9,0),"")</f>
        <v/>
      </c>
      <c r="E4" s="32" t="str">
        <f aca="false">IF(D4="","not found in row 9","column found")</f>
        <v>not found in row 9</v>
      </c>
      <c r="G4" s="8"/>
      <c r="H4" s="8"/>
      <c r="I4" s="8"/>
      <c r="J4" s="8"/>
      <c r="K4" s="8"/>
      <c r="L4" s="8"/>
      <c r="M4" s="8"/>
      <c r="N4" s="8"/>
      <c r="O4" s="8"/>
      <c r="P4" s="8"/>
    </row>
    <row r="5" customFormat="false" ht="15" hidden="false" customHeight="false" outlineLevel="0" collapsed="false">
      <c r="B5" s="30" t="s">
        <v>1469</v>
      </c>
      <c r="C5" s="39" t="s">
        <v>1470</v>
      </c>
      <c r="D5" s="21" t="str">
        <f aca="false">IFERROR(MATCH(C5,$A$9:$AD$9,0),"")</f>
        <v/>
      </c>
      <c r="E5" s="32" t="str">
        <f aca="false">IF(D5="","not found in row 9","column found")</f>
        <v>not found in row 9</v>
      </c>
      <c r="G5" s="8"/>
      <c r="H5" s="8"/>
      <c r="I5" s="8"/>
      <c r="J5" s="8"/>
      <c r="K5" s="8"/>
      <c r="L5" s="8"/>
      <c r="M5" s="8"/>
      <c r="N5" s="8"/>
      <c r="O5" s="8"/>
      <c r="P5" s="8"/>
    </row>
    <row r="6" customFormat="false" ht="15" hidden="false" customHeight="false" outlineLevel="0" collapsed="false">
      <c r="B6" s="30" t="s">
        <v>1471</v>
      </c>
      <c r="C6" s="39" t="s">
        <v>1472</v>
      </c>
      <c r="D6" s="21" t="str">
        <f aca="false">IFERROR(MATCH(C6,$A$9:$AD$9,0),"")</f>
        <v/>
      </c>
      <c r="E6" s="32" t="str">
        <f aca="false">IF(D6="","not found in row 9","column found")</f>
        <v>not found in row 9</v>
      </c>
      <c r="G6" s="8"/>
      <c r="H6" s="8"/>
      <c r="I6" s="8"/>
      <c r="J6" s="8"/>
      <c r="K6" s="8"/>
      <c r="L6" s="8"/>
      <c r="M6" s="8"/>
      <c r="N6" s="8"/>
      <c r="O6" s="8"/>
      <c r="P6" s="8"/>
    </row>
    <row r="7" customFormat="false" ht="15" hidden="false" customHeight="false" outlineLevel="0" collapsed="false">
      <c r="B7" s="30" t="s">
        <v>1473</v>
      </c>
      <c r="C7" s="39" t="s">
        <v>1474</v>
      </c>
      <c r="D7" s="21" t="str">
        <f aca="false">IFERROR(MATCH(C7,$A$9:$AD$9,0),"")</f>
        <v/>
      </c>
      <c r="E7" s="32" t="str">
        <f aca="false">IF(D7="","not found in row 9","column found")</f>
        <v>not found in row 9</v>
      </c>
      <c r="G7" s="8"/>
      <c r="H7" s="8"/>
      <c r="I7" s="8"/>
      <c r="J7" s="8"/>
      <c r="K7" s="8"/>
      <c r="L7" s="8"/>
      <c r="M7" s="8"/>
      <c r="N7" s="8"/>
      <c r="O7" s="8"/>
      <c r="P7" s="8"/>
    </row>
    <row r="8" customFormat="false" ht="15" hidden="false" customHeight="false" outlineLevel="0" collapsed="false">
      <c r="B8" s="9" t="s">
        <v>1475</v>
      </c>
    </row>
    <row r="9" customFormat="false" ht="30" hidden="false" customHeight="true" outlineLevel="0" collapsed="false">
      <c r="A9" s="103"/>
      <c r="B9" s="103"/>
      <c r="C9" s="103"/>
      <c r="D9" s="103"/>
      <c r="E9" s="103"/>
      <c r="F9" s="103"/>
      <c r="G9" s="103"/>
      <c r="H9" s="103"/>
      <c r="I9" s="103"/>
      <c r="J9" s="103"/>
      <c r="K9" s="103"/>
      <c r="L9" s="103"/>
      <c r="M9" s="103"/>
      <c r="N9" s="103"/>
      <c r="O9" s="103"/>
      <c r="P9" s="103"/>
      <c r="Q9" s="103"/>
      <c r="R9" s="103"/>
      <c r="S9" s="103"/>
      <c r="T9" s="103"/>
      <c r="U9" s="103"/>
      <c r="V9" s="103"/>
      <c r="W9" s="103"/>
      <c r="X9" s="103"/>
      <c r="Y9" s="103"/>
      <c r="Z9" s="103"/>
      <c r="AA9" s="103"/>
      <c r="AB9" s="103"/>
      <c r="AC9" s="103"/>
      <c r="AD9" s="103"/>
      <c r="AF9" s="12" t="s">
        <v>366</v>
      </c>
      <c r="AG9" s="12" t="s">
        <v>324</v>
      </c>
      <c r="AH9" s="12" t="s">
        <v>1452</v>
      </c>
      <c r="AI9" s="12" t="s">
        <v>407</v>
      </c>
      <c r="AK9" s="9" t="s">
        <v>58</v>
      </c>
    </row>
    <row r="10" customFormat="false" ht="15" hidden="false" customHeight="false" outlineLevel="0" collapsed="false">
      <c r="AF10" s="18" t="str">
        <f aca="false">IF($D$4="","",IF(INDEX($A10:$AD10,1,$D$4)="","",IF(ISNUMBER(INDEX($A10:$AD10,1,$D$4)),INDEX($A10:$AD10,1,$D$4),IFERROR(DATEVALUE(INDEX($A10:$AD10,1,$D$4)),""))))</f>
        <v/>
      </c>
      <c r="AG10" s="30" t="str">
        <f aca="false">IF(OR(AF10="",$D$6=""),"",IF(LEFT(INDEX($A10:$AD10,1,$D$6),LEN(Inputs!$C$30))=Inputs!$C$30,INDEX($A10:$AD10,1,$D$6),""))</f>
        <v/>
      </c>
      <c r="AH10" s="30" t="str">
        <f aca="false">IF(OR(AF10="",$D$7=""),"",TRIM(IFERROR(LEFT(INDEX($A10:$AD10,1,$D$7),FIND(",",INDEX($A10:$AD10,1,$D$7))-1),INDEX($A10:$AD10,1,$D$7))))</f>
        <v/>
      </c>
      <c r="AI10" s="36" t="n">
        <f aca="false">IF(OR(AF10="",$D$5=""),0,IFERROR(IF(ISNUMBER(INDEX($A10:$AD10,1,$D$5)),INDEX($A10:$AD10,1,$D$5),TIMEVALUE(INDEX($A10:$AD10,1,$D$5)))*Inputs!$C$22,0))</f>
        <v>0</v>
      </c>
      <c r="AK10" s="30" t="s">
        <v>1476</v>
      </c>
      <c r="AL10" s="21" t="n">
        <f aca="false">COUNTIFS(Toggl_Import!$AF$10:$AF$509,"&gt;0",Toggl_Import!$AI$10:$AI$509,0)</f>
        <v>0</v>
      </c>
    </row>
    <row r="11" customFormat="false" ht="15" hidden="false" customHeight="false" outlineLevel="0" collapsed="false">
      <c r="AF11" s="18" t="str">
        <f aca="false">IF($D$4="","",IF(INDEX($A11:$AD11,1,$D$4)="","",IF(ISNUMBER(INDEX($A11:$AD11,1,$D$4)),INDEX($A11:$AD11,1,$D$4),IFERROR(DATEVALUE(INDEX($A11:$AD11,1,$D$4)),""))))</f>
        <v/>
      </c>
      <c r="AG11" s="30" t="str">
        <f aca="false">IF(OR(AF11="",$D$6=""),"",IF(LEFT(INDEX($A11:$AD11,1,$D$6),LEN(Inputs!$C$30))=Inputs!$C$30,INDEX($A11:$AD11,1,$D$6),""))</f>
        <v/>
      </c>
      <c r="AH11" s="30" t="str">
        <f aca="false">IF(OR(AF11="",$D$7=""),"",TRIM(IFERROR(LEFT(INDEX($A11:$AD11,1,$D$7),FIND(",",INDEX($A11:$AD11,1,$D$7))-1),INDEX($A11:$AD11,1,$D$7))))</f>
        <v/>
      </c>
      <c r="AI11" s="36" t="n">
        <f aca="false">IF(OR(AF11="",$D$5=""),0,IFERROR(IF(ISNUMBER(INDEX($A11:$AD11,1,$D$5)),INDEX($A11:$AD11,1,$D$5),TIMEVALUE(INDEX($A11:$AD11,1,$D$5)))*Inputs!$C$22,0))</f>
        <v>0</v>
      </c>
      <c r="AK11" s="30" t="s">
        <v>1477</v>
      </c>
      <c r="AL11" s="21" t="n">
        <f aca="false">COUNTIF(Toggl_Import!$AF$10:$AF$509,"&gt;0")-SUMPRODUCT(COUNTIF(Toggl_Import!$AH$10:$AH$509,Lists!$C$4:$C$10))</f>
        <v>0</v>
      </c>
    </row>
    <row r="12" customFormat="false" ht="15" hidden="false" customHeight="false" outlineLevel="0" collapsed="false">
      <c r="AF12" s="18" t="str">
        <f aca="false">IF($D$4="","",IF(INDEX($A12:$AD12,1,$D$4)="","",IF(ISNUMBER(INDEX($A12:$AD12,1,$D$4)),INDEX($A12:$AD12,1,$D$4),IFERROR(DATEVALUE(INDEX($A12:$AD12,1,$D$4)),""))))</f>
        <v/>
      </c>
      <c r="AG12" s="30" t="str">
        <f aca="false">IF(OR(AF12="",$D$6=""),"",IF(LEFT(INDEX($A12:$AD12,1,$D$6),LEN(Inputs!$C$30))=Inputs!$C$30,INDEX($A12:$AD12,1,$D$6),""))</f>
        <v/>
      </c>
      <c r="AH12" s="30" t="str">
        <f aca="false">IF(OR(AF12="",$D$7=""),"",TRIM(IFERROR(LEFT(INDEX($A12:$AD12,1,$D$7),FIND(",",INDEX($A12:$AD12,1,$D$7))-1),INDEX($A12:$AD12,1,$D$7))))</f>
        <v/>
      </c>
      <c r="AI12" s="36" t="n">
        <f aca="false">IF(OR(AF12="",$D$5=""),0,IFERROR(IF(ISNUMBER(INDEX($A12:$AD12,1,$D$5)),INDEX($A12:$AD12,1,$D$5),TIMEVALUE(INDEX($A12:$AD12,1,$D$5)))*Inputs!$C$22,0))</f>
        <v>0</v>
      </c>
      <c r="AK12" s="30" t="s">
        <v>1478</v>
      </c>
      <c r="AL12" s="36" t="n">
        <f aca="false">SUM(Toggl_Import!$AI$10:$AI$509)</f>
        <v>0</v>
      </c>
    </row>
    <row r="13" customFormat="false" ht="15" hidden="false" customHeight="false" outlineLevel="0" collapsed="false">
      <c r="AF13" s="18" t="str">
        <f aca="false">IF($D$4="","",IF(INDEX($A13:$AD13,1,$D$4)="","",IF(ISNUMBER(INDEX($A13:$AD13,1,$D$4)),INDEX($A13:$AD13,1,$D$4),IFERROR(DATEVALUE(INDEX($A13:$AD13,1,$D$4)),""))))</f>
        <v/>
      </c>
      <c r="AG13" s="30" t="str">
        <f aca="false">IF(OR(AF13="",$D$6=""),"",IF(LEFT(INDEX($A13:$AD13,1,$D$6),LEN(Inputs!$C$30))=Inputs!$C$30,INDEX($A13:$AD13,1,$D$6),""))</f>
        <v/>
      </c>
      <c r="AH13" s="30" t="str">
        <f aca="false">IF(OR(AF13="",$D$7=""),"",TRIM(IFERROR(LEFT(INDEX($A13:$AD13,1,$D$7),FIND(",",INDEX($A13:$AD13,1,$D$7))-1),INDEX($A13:$AD13,1,$D$7))))</f>
        <v/>
      </c>
      <c r="AI13" s="36" t="n">
        <f aca="false">IF(OR(AF13="",$D$5=""),0,IFERROR(IF(ISNUMBER(INDEX($A13:$AD13,1,$D$5)),INDEX($A13:$AD13,1,$D$5),TIMEVALUE(INDEX($A13:$AD13,1,$D$5)))*Inputs!$C$22,0))</f>
        <v>0</v>
      </c>
    </row>
    <row r="14" customFormat="false" ht="15" hidden="false" customHeight="false" outlineLevel="0" collapsed="false">
      <c r="AF14" s="18" t="str">
        <f aca="false">IF($D$4="","",IF(INDEX($A14:$AD14,1,$D$4)="","",IF(ISNUMBER(INDEX($A14:$AD14,1,$D$4)),INDEX($A14:$AD14,1,$D$4),IFERROR(DATEVALUE(INDEX($A14:$AD14,1,$D$4)),""))))</f>
        <v/>
      </c>
      <c r="AG14" s="30" t="str">
        <f aca="false">IF(OR(AF14="",$D$6=""),"",IF(LEFT(INDEX($A14:$AD14,1,$D$6),LEN(Inputs!$C$30))=Inputs!$C$30,INDEX($A14:$AD14,1,$D$6),""))</f>
        <v/>
      </c>
      <c r="AH14" s="30" t="str">
        <f aca="false">IF(OR(AF14="",$D$7=""),"",TRIM(IFERROR(LEFT(INDEX($A14:$AD14,1,$D$7),FIND(",",INDEX($A14:$AD14,1,$D$7))-1),INDEX($A14:$AD14,1,$D$7))))</f>
        <v/>
      </c>
      <c r="AI14" s="36" t="n">
        <f aca="false">IF(OR(AF14="",$D$5=""),0,IFERROR(IF(ISNUMBER(INDEX($A14:$AD14,1,$D$5)),INDEX($A14:$AD14,1,$D$5),TIMEVALUE(INDEX($A14:$AD14,1,$D$5)))*Inputs!$C$22,0))</f>
        <v>0</v>
      </c>
    </row>
    <row r="15" customFormat="false" ht="15" hidden="false" customHeight="false" outlineLevel="0" collapsed="false">
      <c r="AF15" s="18" t="str">
        <f aca="false">IF($D$4="","",IF(INDEX($A15:$AD15,1,$D$4)="","",IF(ISNUMBER(INDEX($A15:$AD15,1,$D$4)),INDEX($A15:$AD15,1,$D$4),IFERROR(DATEVALUE(INDEX($A15:$AD15,1,$D$4)),""))))</f>
        <v/>
      </c>
      <c r="AG15" s="30" t="str">
        <f aca="false">IF(OR(AF15="",$D$6=""),"",IF(LEFT(INDEX($A15:$AD15,1,$D$6),LEN(Inputs!$C$30))=Inputs!$C$30,INDEX($A15:$AD15,1,$D$6),""))</f>
        <v/>
      </c>
      <c r="AH15" s="30" t="str">
        <f aca="false">IF(OR(AF15="",$D$7=""),"",TRIM(IFERROR(LEFT(INDEX($A15:$AD15,1,$D$7),FIND(",",INDEX($A15:$AD15,1,$D$7))-1),INDEX($A15:$AD15,1,$D$7))))</f>
        <v/>
      </c>
      <c r="AI15" s="36" t="n">
        <f aca="false">IF(OR(AF15="",$D$5=""),0,IFERROR(IF(ISNUMBER(INDEX($A15:$AD15,1,$D$5)),INDEX($A15:$AD15,1,$D$5),TIMEVALUE(INDEX($A15:$AD15,1,$D$5)))*Inputs!$C$22,0))</f>
        <v>0</v>
      </c>
    </row>
    <row r="16" customFormat="false" ht="15" hidden="false" customHeight="false" outlineLevel="0" collapsed="false">
      <c r="AF16" s="18" t="str">
        <f aca="false">IF($D$4="","",IF(INDEX($A16:$AD16,1,$D$4)="","",IF(ISNUMBER(INDEX($A16:$AD16,1,$D$4)),INDEX($A16:$AD16,1,$D$4),IFERROR(DATEVALUE(INDEX($A16:$AD16,1,$D$4)),""))))</f>
        <v/>
      </c>
      <c r="AG16" s="30" t="str">
        <f aca="false">IF(OR(AF16="",$D$6=""),"",IF(LEFT(INDEX($A16:$AD16,1,$D$6),LEN(Inputs!$C$30))=Inputs!$C$30,INDEX($A16:$AD16,1,$D$6),""))</f>
        <v/>
      </c>
      <c r="AH16" s="30" t="str">
        <f aca="false">IF(OR(AF16="",$D$7=""),"",TRIM(IFERROR(LEFT(INDEX($A16:$AD16,1,$D$7),FIND(",",INDEX($A16:$AD16,1,$D$7))-1),INDEX($A16:$AD16,1,$D$7))))</f>
        <v/>
      </c>
      <c r="AI16" s="36" t="n">
        <f aca="false">IF(OR(AF16="",$D$5=""),0,IFERROR(IF(ISNUMBER(INDEX($A16:$AD16,1,$D$5)),INDEX($A16:$AD16,1,$D$5),TIMEVALUE(INDEX($A16:$AD16,1,$D$5)))*Inputs!$C$22,0))</f>
        <v>0</v>
      </c>
    </row>
    <row r="17" customFormat="false" ht="15" hidden="false" customHeight="false" outlineLevel="0" collapsed="false">
      <c r="AF17" s="18" t="str">
        <f aca="false">IF($D$4="","",IF(INDEX($A17:$AD17,1,$D$4)="","",IF(ISNUMBER(INDEX($A17:$AD17,1,$D$4)),INDEX($A17:$AD17,1,$D$4),IFERROR(DATEVALUE(INDEX($A17:$AD17,1,$D$4)),""))))</f>
        <v/>
      </c>
      <c r="AG17" s="30" t="str">
        <f aca="false">IF(OR(AF17="",$D$6=""),"",IF(LEFT(INDEX($A17:$AD17,1,$D$6),LEN(Inputs!$C$30))=Inputs!$C$30,INDEX($A17:$AD17,1,$D$6),""))</f>
        <v/>
      </c>
      <c r="AH17" s="30" t="str">
        <f aca="false">IF(OR(AF17="",$D$7=""),"",TRIM(IFERROR(LEFT(INDEX($A17:$AD17,1,$D$7),FIND(",",INDEX($A17:$AD17,1,$D$7))-1),INDEX($A17:$AD17,1,$D$7))))</f>
        <v/>
      </c>
      <c r="AI17" s="36" t="n">
        <f aca="false">IF(OR(AF17="",$D$5=""),0,IFERROR(IF(ISNUMBER(INDEX($A17:$AD17,1,$D$5)),INDEX($A17:$AD17,1,$D$5),TIMEVALUE(INDEX($A17:$AD17,1,$D$5)))*Inputs!$C$22,0))</f>
        <v>0</v>
      </c>
    </row>
    <row r="18" customFormat="false" ht="15" hidden="false" customHeight="false" outlineLevel="0" collapsed="false">
      <c r="AF18" s="18" t="str">
        <f aca="false">IF($D$4="","",IF(INDEX($A18:$AD18,1,$D$4)="","",IF(ISNUMBER(INDEX($A18:$AD18,1,$D$4)),INDEX($A18:$AD18,1,$D$4),IFERROR(DATEVALUE(INDEX($A18:$AD18,1,$D$4)),""))))</f>
        <v/>
      </c>
      <c r="AG18" s="30" t="str">
        <f aca="false">IF(OR(AF18="",$D$6=""),"",IF(LEFT(INDEX($A18:$AD18,1,$D$6),LEN(Inputs!$C$30))=Inputs!$C$30,INDEX($A18:$AD18,1,$D$6),""))</f>
        <v/>
      </c>
      <c r="AH18" s="30" t="str">
        <f aca="false">IF(OR(AF18="",$D$7=""),"",TRIM(IFERROR(LEFT(INDEX($A18:$AD18,1,$D$7),FIND(",",INDEX($A18:$AD18,1,$D$7))-1),INDEX($A18:$AD18,1,$D$7))))</f>
        <v/>
      </c>
      <c r="AI18" s="36" t="n">
        <f aca="false">IF(OR(AF18="",$D$5=""),0,IFERROR(IF(ISNUMBER(INDEX($A18:$AD18,1,$D$5)),INDEX($A18:$AD18,1,$D$5),TIMEVALUE(INDEX($A18:$AD18,1,$D$5)))*Inputs!$C$22,0))</f>
        <v>0</v>
      </c>
    </row>
    <row r="19" customFormat="false" ht="15" hidden="false" customHeight="false" outlineLevel="0" collapsed="false">
      <c r="AF19" s="18" t="str">
        <f aca="false">IF($D$4="","",IF(INDEX($A19:$AD19,1,$D$4)="","",IF(ISNUMBER(INDEX($A19:$AD19,1,$D$4)),INDEX($A19:$AD19,1,$D$4),IFERROR(DATEVALUE(INDEX($A19:$AD19,1,$D$4)),""))))</f>
        <v/>
      </c>
      <c r="AG19" s="30" t="str">
        <f aca="false">IF(OR(AF19="",$D$6=""),"",IF(LEFT(INDEX($A19:$AD19,1,$D$6),LEN(Inputs!$C$30))=Inputs!$C$30,INDEX($A19:$AD19,1,$D$6),""))</f>
        <v/>
      </c>
      <c r="AH19" s="30" t="str">
        <f aca="false">IF(OR(AF19="",$D$7=""),"",TRIM(IFERROR(LEFT(INDEX($A19:$AD19,1,$D$7),FIND(",",INDEX($A19:$AD19,1,$D$7))-1),INDEX($A19:$AD19,1,$D$7))))</f>
        <v/>
      </c>
      <c r="AI19" s="36" t="n">
        <f aca="false">IF(OR(AF19="",$D$5=""),0,IFERROR(IF(ISNUMBER(INDEX($A19:$AD19,1,$D$5)),INDEX($A19:$AD19,1,$D$5),TIMEVALUE(INDEX($A19:$AD19,1,$D$5)))*Inputs!$C$22,0))</f>
        <v>0</v>
      </c>
    </row>
    <row r="20" customFormat="false" ht="15" hidden="false" customHeight="false" outlineLevel="0" collapsed="false">
      <c r="AF20" s="18" t="str">
        <f aca="false">IF($D$4="","",IF(INDEX($A20:$AD20,1,$D$4)="","",IF(ISNUMBER(INDEX($A20:$AD20,1,$D$4)),INDEX($A20:$AD20,1,$D$4),IFERROR(DATEVALUE(INDEX($A20:$AD20,1,$D$4)),""))))</f>
        <v/>
      </c>
      <c r="AG20" s="30" t="str">
        <f aca="false">IF(OR(AF20="",$D$6=""),"",IF(LEFT(INDEX($A20:$AD20,1,$D$6),LEN(Inputs!$C$30))=Inputs!$C$30,INDEX($A20:$AD20,1,$D$6),""))</f>
        <v/>
      </c>
      <c r="AH20" s="30" t="str">
        <f aca="false">IF(OR(AF20="",$D$7=""),"",TRIM(IFERROR(LEFT(INDEX($A20:$AD20,1,$D$7),FIND(",",INDEX($A20:$AD20,1,$D$7))-1),INDEX($A20:$AD20,1,$D$7))))</f>
        <v/>
      </c>
      <c r="AI20" s="36" t="n">
        <f aca="false">IF(OR(AF20="",$D$5=""),0,IFERROR(IF(ISNUMBER(INDEX($A20:$AD20,1,$D$5)),INDEX($A20:$AD20,1,$D$5),TIMEVALUE(INDEX($A20:$AD20,1,$D$5)))*Inputs!$C$22,0))</f>
        <v>0</v>
      </c>
    </row>
    <row r="21" customFormat="false" ht="15" hidden="false" customHeight="false" outlineLevel="0" collapsed="false">
      <c r="AF21" s="18" t="str">
        <f aca="false">IF($D$4="","",IF(INDEX($A21:$AD21,1,$D$4)="","",IF(ISNUMBER(INDEX($A21:$AD21,1,$D$4)),INDEX($A21:$AD21,1,$D$4),IFERROR(DATEVALUE(INDEX($A21:$AD21,1,$D$4)),""))))</f>
        <v/>
      </c>
      <c r="AG21" s="30" t="str">
        <f aca="false">IF(OR(AF21="",$D$6=""),"",IF(LEFT(INDEX($A21:$AD21,1,$D$6),LEN(Inputs!$C$30))=Inputs!$C$30,INDEX($A21:$AD21,1,$D$6),""))</f>
        <v/>
      </c>
      <c r="AH21" s="30" t="str">
        <f aca="false">IF(OR(AF21="",$D$7=""),"",TRIM(IFERROR(LEFT(INDEX($A21:$AD21,1,$D$7),FIND(",",INDEX($A21:$AD21,1,$D$7))-1),INDEX($A21:$AD21,1,$D$7))))</f>
        <v/>
      </c>
      <c r="AI21" s="36" t="n">
        <f aca="false">IF(OR(AF21="",$D$5=""),0,IFERROR(IF(ISNUMBER(INDEX($A21:$AD21,1,$D$5)),INDEX($A21:$AD21,1,$D$5),TIMEVALUE(INDEX($A21:$AD21,1,$D$5)))*Inputs!$C$22,0))</f>
        <v>0</v>
      </c>
    </row>
    <row r="22" customFormat="false" ht="15" hidden="false" customHeight="false" outlineLevel="0" collapsed="false">
      <c r="AF22" s="18" t="str">
        <f aca="false">IF($D$4="","",IF(INDEX($A22:$AD22,1,$D$4)="","",IF(ISNUMBER(INDEX($A22:$AD22,1,$D$4)),INDEX($A22:$AD22,1,$D$4),IFERROR(DATEVALUE(INDEX($A22:$AD22,1,$D$4)),""))))</f>
        <v/>
      </c>
      <c r="AG22" s="30" t="str">
        <f aca="false">IF(OR(AF22="",$D$6=""),"",IF(LEFT(INDEX($A22:$AD22,1,$D$6),LEN(Inputs!$C$30))=Inputs!$C$30,INDEX($A22:$AD22,1,$D$6),""))</f>
        <v/>
      </c>
      <c r="AH22" s="30" t="str">
        <f aca="false">IF(OR(AF22="",$D$7=""),"",TRIM(IFERROR(LEFT(INDEX($A22:$AD22,1,$D$7),FIND(",",INDEX($A22:$AD22,1,$D$7))-1),INDEX($A22:$AD22,1,$D$7))))</f>
        <v/>
      </c>
      <c r="AI22" s="36" t="n">
        <f aca="false">IF(OR(AF22="",$D$5=""),0,IFERROR(IF(ISNUMBER(INDEX($A22:$AD22,1,$D$5)),INDEX($A22:$AD22,1,$D$5),TIMEVALUE(INDEX($A22:$AD22,1,$D$5)))*Inputs!$C$22,0))</f>
        <v>0</v>
      </c>
    </row>
    <row r="23" customFormat="false" ht="15" hidden="false" customHeight="false" outlineLevel="0" collapsed="false">
      <c r="AF23" s="18" t="str">
        <f aca="false">IF($D$4="","",IF(INDEX($A23:$AD23,1,$D$4)="","",IF(ISNUMBER(INDEX($A23:$AD23,1,$D$4)),INDEX($A23:$AD23,1,$D$4),IFERROR(DATEVALUE(INDEX($A23:$AD23,1,$D$4)),""))))</f>
        <v/>
      </c>
      <c r="AG23" s="30" t="str">
        <f aca="false">IF(OR(AF23="",$D$6=""),"",IF(LEFT(INDEX($A23:$AD23,1,$D$6),LEN(Inputs!$C$30))=Inputs!$C$30,INDEX($A23:$AD23,1,$D$6),""))</f>
        <v/>
      </c>
      <c r="AH23" s="30" t="str">
        <f aca="false">IF(OR(AF23="",$D$7=""),"",TRIM(IFERROR(LEFT(INDEX($A23:$AD23,1,$D$7),FIND(",",INDEX($A23:$AD23,1,$D$7))-1),INDEX($A23:$AD23,1,$D$7))))</f>
        <v/>
      </c>
      <c r="AI23" s="36" t="n">
        <f aca="false">IF(OR(AF23="",$D$5=""),0,IFERROR(IF(ISNUMBER(INDEX($A23:$AD23,1,$D$5)),INDEX($A23:$AD23,1,$D$5),TIMEVALUE(INDEX($A23:$AD23,1,$D$5)))*Inputs!$C$22,0))</f>
        <v>0</v>
      </c>
    </row>
    <row r="24" customFormat="false" ht="15" hidden="false" customHeight="false" outlineLevel="0" collapsed="false">
      <c r="AF24" s="18" t="str">
        <f aca="false">IF($D$4="","",IF(INDEX($A24:$AD24,1,$D$4)="","",IF(ISNUMBER(INDEX($A24:$AD24,1,$D$4)),INDEX($A24:$AD24,1,$D$4),IFERROR(DATEVALUE(INDEX($A24:$AD24,1,$D$4)),""))))</f>
        <v/>
      </c>
      <c r="AG24" s="30" t="str">
        <f aca="false">IF(OR(AF24="",$D$6=""),"",IF(LEFT(INDEX($A24:$AD24,1,$D$6),LEN(Inputs!$C$30))=Inputs!$C$30,INDEX($A24:$AD24,1,$D$6),""))</f>
        <v/>
      </c>
      <c r="AH24" s="30" t="str">
        <f aca="false">IF(OR(AF24="",$D$7=""),"",TRIM(IFERROR(LEFT(INDEX($A24:$AD24,1,$D$7),FIND(",",INDEX($A24:$AD24,1,$D$7))-1),INDEX($A24:$AD24,1,$D$7))))</f>
        <v/>
      </c>
      <c r="AI24" s="36" t="n">
        <f aca="false">IF(OR(AF24="",$D$5=""),0,IFERROR(IF(ISNUMBER(INDEX($A24:$AD24,1,$D$5)),INDEX($A24:$AD24,1,$D$5),TIMEVALUE(INDEX($A24:$AD24,1,$D$5)))*Inputs!$C$22,0))</f>
        <v>0</v>
      </c>
    </row>
    <row r="25" customFormat="false" ht="15" hidden="false" customHeight="false" outlineLevel="0" collapsed="false">
      <c r="AF25" s="18" t="str">
        <f aca="false">IF($D$4="","",IF(INDEX($A25:$AD25,1,$D$4)="","",IF(ISNUMBER(INDEX($A25:$AD25,1,$D$4)),INDEX($A25:$AD25,1,$D$4),IFERROR(DATEVALUE(INDEX($A25:$AD25,1,$D$4)),""))))</f>
        <v/>
      </c>
      <c r="AG25" s="30" t="str">
        <f aca="false">IF(OR(AF25="",$D$6=""),"",IF(LEFT(INDEX($A25:$AD25,1,$D$6),LEN(Inputs!$C$30))=Inputs!$C$30,INDEX($A25:$AD25,1,$D$6),""))</f>
        <v/>
      </c>
      <c r="AH25" s="30" t="str">
        <f aca="false">IF(OR(AF25="",$D$7=""),"",TRIM(IFERROR(LEFT(INDEX($A25:$AD25,1,$D$7),FIND(",",INDEX($A25:$AD25,1,$D$7))-1),INDEX($A25:$AD25,1,$D$7))))</f>
        <v/>
      </c>
      <c r="AI25" s="36" t="n">
        <f aca="false">IF(OR(AF25="",$D$5=""),0,IFERROR(IF(ISNUMBER(INDEX($A25:$AD25,1,$D$5)),INDEX($A25:$AD25,1,$D$5),TIMEVALUE(INDEX($A25:$AD25,1,$D$5)))*Inputs!$C$22,0))</f>
        <v>0</v>
      </c>
    </row>
    <row r="26" customFormat="false" ht="15" hidden="false" customHeight="false" outlineLevel="0" collapsed="false">
      <c r="AF26" s="18" t="str">
        <f aca="false">IF($D$4="","",IF(INDEX($A26:$AD26,1,$D$4)="","",IF(ISNUMBER(INDEX($A26:$AD26,1,$D$4)),INDEX($A26:$AD26,1,$D$4),IFERROR(DATEVALUE(INDEX($A26:$AD26,1,$D$4)),""))))</f>
        <v/>
      </c>
      <c r="AG26" s="30" t="str">
        <f aca="false">IF(OR(AF26="",$D$6=""),"",IF(LEFT(INDEX($A26:$AD26,1,$D$6),LEN(Inputs!$C$30))=Inputs!$C$30,INDEX($A26:$AD26,1,$D$6),""))</f>
        <v/>
      </c>
      <c r="AH26" s="30" t="str">
        <f aca="false">IF(OR(AF26="",$D$7=""),"",TRIM(IFERROR(LEFT(INDEX($A26:$AD26,1,$D$7),FIND(",",INDEX($A26:$AD26,1,$D$7))-1),INDEX($A26:$AD26,1,$D$7))))</f>
        <v/>
      </c>
      <c r="AI26" s="36" t="n">
        <f aca="false">IF(OR(AF26="",$D$5=""),0,IFERROR(IF(ISNUMBER(INDEX($A26:$AD26,1,$D$5)),INDEX($A26:$AD26,1,$D$5),TIMEVALUE(INDEX($A26:$AD26,1,$D$5)))*Inputs!$C$22,0))</f>
        <v>0</v>
      </c>
    </row>
    <row r="27" customFormat="false" ht="15" hidden="false" customHeight="false" outlineLevel="0" collapsed="false">
      <c r="AF27" s="18" t="str">
        <f aca="false">IF($D$4="","",IF(INDEX($A27:$AD27,1,$D$4)="","",IF(ISNUMBER(INDEX($A27:$AD27,1,$D$4)),INDEX($A27:$AD27,1,$D$4),IFERROR(DATEVALUE(INDEX($A27:$AD27,1,$D$4)),""))))</f>
        <v/>
      </c>
      <c r="AG27" s="30" t="str">
        <f aca="false">IF(OR(AF27="",$D$6=""),"",IF(LEFT(INDEX($A27:$AD27,1,$D$6),LEN(Inputs!$C$30))=Inputs!$C$30,INDEX($A27:$AD27,1,$D$6),""))</f>
        <v/>
      </c>
      <c r="AH27" s="30" t="str">
        <f aca="false">IF(OR(AF27="",$D$7=""),"",TRIM(IFERROR(LEFT(INDEX($A27:$AD27,1,$D$7),FIND(",",INDEX($A27:$AD27,1,$D$7))-1),INDEX($A27:$AD27,1,$D$7))))</f>
        <v/>
      </c>
      <c r="AI27" s="36" t="n">
        <f aca="false">IF(OR(AF27="",$D$5=""),0,IFERROR(IF(ISNUMBER(INDEX($A27:$AD27,1,$D$5)),INDEX($A27:$AD27,1,$D$5),TIMEVALUE(INDEX($A27:$AD27,1,$D$5)))*Inputs!$C$22,0))</f>
        <v>0</v>
      </c>
    </row>
    <row r="28" customFormat="false" ht="15" hidden="false" customHeight="false" outlineLevel="0" collapsed="false">
      <c r="AF28" s="18" t="str">
        <f aca="false">IF($D$4="","",IF(INDEX($A28:$AD28,1,$D$4)="","",IF(ISNUMBER(INDEX($A28:$AD28,1,$D$4)),INDEX($A28:$AD28,1,$D$4),IFERROR(DATEVALUE(INDEX($A28:$AD28,1,$D$4)),""))))</f>
        <v/>
      </c>
      <c r="AG28" s="30" t="str">
        <f aca="false">IF(OR(AF28="",$D$6=""),"",IF(LEFT(INDEX($A28:$AD28,1,$D$6),LEN(Inputs!$C$30))=Inputs!$C$30,INDEX($A28:$AD28,1,$D$6),""))</f>
        <v/>
      </c>
      <c r="AH28" s="30" t="str">
        <f aca="false">IF(OR(AF28="",$D$7=""),"",TRIM(IFERROR(LEFT(INDEX($A28:$AD28,1,$D$7),FIND(",",INDEX($A28:$AD28,1,$D$7))-1),INDEX($A28:$AD28,1,$D$7))))</f>
        <v/>
      </c>
      <c r="AI28" s="36" t="n">
        <f aca="false">IF(OR(AF28="",$D$5=""),0,IFERROR(IF(ISNUMBER(INDEX($A28:$AD28,1,$D$5)),INDEX($A28:$AD28,1,$D$5),TIMEVALUE(INDEX($A28:$AD28,1,$D$5)))*Inputs!$C$22,0))</f>
        <v>0</v>
      </c>
    </row>
    <row r="29" customFormat="false" ht="15" hidden="false" customHeight="false" outlineLevel="0" collapsed="false">
      <c r="AF29" s="18" t="str">
        <f aca="false">IF($D$4="","",IF(INDEX($A29:$AD29,1,$D$4)="","",IF(ISNUMBER(INDEX($A29:$AD29,1,$D$4)),INDEX($A29:$AD29,1,$D$4),IFERROR(DATEVALUE(INDEX($A29:$AD29,1,$D$4)),""))))</f>
        <v/>
      </c>
      <c r="AG29" s="30" t="str">
        <f aca="false">IF(OR(AF29="",$D$6=""),"",IF(LEFT(INDEX($A29:$AD29,1,$D$6),LEN(Inputs!$C$30))=Inputs!$C$30,INDEX($A29:$AD29,1,$D$6),""))</f>
        <v/>
      </c>
      <c r="AH29" s="30" t="str">
        <f aca="false">IF(OR(AF29="",$D$7=""),"",TRIM(IFERROR(LEFT(INDEX($A29:$AD29,1,$D$7),FIND(",",INDEX($A29:$AD29,1,$D$7))-1),INDEX($A29:$AD29,1,$D$7))))</f>
        <v/>
      </c>
      <c r="AI29" s="36" t="n">
        <f aca="false">IF(OR(AF29="",$D$5=""),0,IFERROR(IF(ISNUMBER(INDEX($A29:$AD29,1,$D$5)),INDEX($A29:$AD29,1,$D$5),TIMEVALUE(INDEX($A29:$AD29,1,$D$5)))*Inputs!$C$22,0))</f>
        <v>0</v>
      </c>
    </row>
    <row r="30" customFormat="false" ht="15" hidden="false" customHeight="false" outlineLevel="0" collapsed="false">
      <c r="AF30" s="18" t="str">
        <f aca="false">IF($D$4="","",IF(INDEX($A30:$AD30,1,$D$4)="","",IF(ISNUMBER(INDEX($A30:$AD30,1,$D$4)),INDEX($A30:$AD30,1,$D$4),IFERROR(DATEVALUE(INDEX($A30:$AD30,1,$D$4)),""))))</f>
        <v/>
      </c>
      <c r="AG30" s="30" t="str">
        <f aca="false">IF(OR(AF30="",$D$6=""),"",IF(LEFT(INDEX($A30:$AD30,1,$D$6),LEN(Inputs!$C$30))=Inputs!$C$30,INDEX($A30:$AD30,1,$D$6),""))</f>
        <v/>
      </c>
      <c r="AH30" s="30" t="str">
        <f aca="false">IF(OR(AF30="",$D$7=""),"",TRIM(IFERROR(LEFT(INDEX($A30:$AD30,1,$D$7),FIND(",",INDEX($A30:$AD30,1,$D$7))-1),INDEX($A30:$AD30,1,$D$7))))</f>
        <v/>
      </c>
      <c r="AI30" s="36" t="n">
        <f aca="false">IF(OR(AF30="",$D$5=""),0,IFERROR(IF(ISNUMBER(INDEX($A30:$AD30,1,$D$5)),INDEX($A30:$AD30,1,$D$5),TIMEVALUE(INDEX($A30:$AD30,1,$D$5)))*Inputs!$C$22,0))</f>
        <v>0</v>
      </c>
    </row>
    <row r="31" customFormat="false" ht="15" hidden="false" customHeight="false" outlineLevel="0" collapsed="false">
      <c r="AF31" s="18" t="str">
        <f aca="false">IF($D$4="","",IF(INDEX($A31:$AD31,1,$D$4)="","",IF(ISNUMBER(INDEX($A31:$AD31,1,$D$4)),INDEX($A31:$AD31,1,$D$4),IFERROR(DATEVALUE(INDEX($A31:$AD31,1,$D$4)),""))))</f>
        <v/>
      </c>
      <c r="AG31" s="30" t="str">
        <f aca="false">IF(OR(AF31="",$D$6=""),"",IF(LEFT(INDEX($A31:$AD31,1,$D$6),LEN(Inputs!$C$30))=Inputs!$C$30,INDEX($A31:$AD31,1,$D$6),""))</f>
        <v/>
      </c>
      <c r="AH31" s="30" t="str">
        <f aca="false">IF(OR(AF31="",$D$7=""),"",TRIM(IFERROR(LEFT(INDEX($A31:$AD31,1,$D$7),FIND(",",INDEX($A31:$AD31,1,$D$7))-1),INDEX($A31:$AD31,1,$D$7))))</f>
        <v/>
      </c>
      <c r="AI31" s="36" t="n">
        <f aca="false">IF(OR(AF31="",$D$5=""),0,IFERROR(IF(ISNUMBER(INDEX($A31:$AD31,1,$D$5)),INDEX($A31:$AD31,1,$D$5),TIMEVALUE(INDEX($A31:$AD31,1,$D$5)))*Inputs!$C$22,0))</f>
        <v>0</v>
      </c>
    </row>
    <row r="32" customFormat="false" ht="15" hidden="false" customHeight="false" outlineLevel="0" collapsed="false">
      <c r="AF32" s="18" t="str">
        <f aca="false">IF($D$4="","",IF(INDEX($A32:$AD32,1,$D$4)="","",IF(ISNUMBER(INDEX($A32:$AD32,1,$D$4)),INDEX($A32:$AD32,1,$D$4),IFERROR(DATEVALUE(INDEX($A32:$AD32,1,$D$4)),""))))</f>
        <v/>
      </c>
      <c r="AG32" s="30" t="str">
        <f aca="false">IF(OR(AF32="",$D$6=""),"",IF(LEFT(INDEX($A32:$AD32,1,$D$6),LEN(Inputs!$C$30))=Inputs!$C$30,INDEX($A32:$AD32,1,$D$6),""))</f>
        <v/>
      </c>
      <c r="AH32" s="30" t="str">
        <f aca="false">IF(OR(AF32="",$D$7=""),"",TRIM(IFERROR(LEFT(INDEX($A32:$AD32,1,$D$7),FIND(",",INDEX($A32:$AD32,1,$D$7))-1),INDEX($A32:$AD32,1,$D$7))))</f>
        <v/>
      </c>
      <c r="AI32" s="36" t="n">
        <f aca="false">IF(OR(AF32="",$D$5=""),0,IFERROR(IF(ISNUMBER(INDEX($A32:$AD32,1,$D$5)),INDEX($A32:$AD32,1,$D$5),TIMEVALUE(INDEX($A32:$AD32,1,$D$5)))*Inputs!$C$22,0))</f>
        <v>0</v>
      </c>
    </row>
    <row r="33" customFormat="false" ht="15" hidden="false" customHeight="false" outlineLevel="0" collapsed="false">
      <c r="AF33" s="18" t="str">
        <f aca="false">IF($D$4="","",IF(INDEX($A33:$AD33,1,$D$4)="","",IF(ISNUMBER(INDEX($A33:$AD33,1,$D$4)),INDEX($A33:$AD33,1,$D$4),IFERROR(DATEVALUE(INDEX($A33:$AD33,1,$D$4)),""))))</f>
        <v/>
      </c>
      <c r="AG33" s="30" t="str">
        <f aca="false">IF(OR(AF33="",$D$6=""),"",IF(LEFT(INDEX($A33:$AD33,1,$D$6),LEN(Inputs!$C$30))=Inputs!$C$30,INDEX($A33:$AD33,1,$D$6),""))</f>
        <v/>
      </c>
      <c r="AH33" s="30" t="str">
        <f aca="false">IF(OR(AF33="",$D$7=""),"",TRIM(IFERROR(LEFT(INDEX($A33:$AD33,1,$D$7),FIND(",",INDEX($A33:$AD33,1,$D$7))-1),INDEX($A33:$AD33,1,$D$7))))</f>
        <v/>
      </c>
      <c r="AI33" s="36" t="n">
        <f aca="false">IF(OR(AF33="",$D$5=""),0,IFERROR(IF(ISNUMBER(INDEX($A33:$AD33,1,$D$5)),INDEX($A33:$AD33,1,$D$5),TIMEVALUE(INDEX($A33:$AD33,1,$D$5)))*Inputs!$C$22,0))</f>
        <v>0</v>
      </c>
    </row>
    <row r="34" customFormat="false" ht="15" hidden="false" customHeight="false" outlineLevel="0" collapsed="false">
      <c r="AF34" s="18" t="str">
        <f aca="false">IF($D$4="","",IF(INDEX($A34:$AD34,1,$D$4)="","",IF(ISNUMBER(INDEX($A34:$AD34,1,$D$4)),INDEX($A34:$AD34,1,$D$4),IFERROR(DATEVALUE(INDEX($A34:$AD34,1,$D$4)),""))))</f>
        <v/>
      </c>
      <c r="AG34" s="30" t="str">
        <f aca="false">IF(OR(AF34="",$D$6=""),"",IF(LEFT(INDEX($A34:$AD34,1,$D$6),LEN(Inputs!$C$30))=Inputs!$C$30,INDEX($A34:$AD34,1,$D$6),""))</f>
        <v/>
      </c>
      <c r="AH34" s="30" t="str">
        <f aca="false">IF(OR(AF34="",$D$7=""),"",TRIM(IFERROR(LEFT(INDEX($A34:$AD34,1,$D$7),FIND(",",INDEX($A34:$AD34,1,$D$7))-1),INDEX($A34:$AD34,1,$D$7))))</f>
        <v/>
      </c>
      <c r="AI34" s="36" t="n">
        <f aca="false">IF(OR(AF34="",$D$5=""),0,IFERROR(IF(ISNUMBER(INDEX($A34:$AD34,1,$D$5)),INDEX($A34:$AD34,1,$D$5),TIMEVALUE(INDEX($A34:$AD34,1,$D$5)))*Inputs!$C$22,0))</f>
        <v>0</v>
      </c>
    </row>
    <row r="35" customFormat="false" ht="15" hidden="false" customHeight="false" outlineLevel="0" collapsed="false">
      <c r="AF35" s="18" t="str">
        <f aca="false">IF($D$4="","",IF(INDEX($A35:$AD35,1,$D$4)="","",IF(ISNUMBER(INDEX($A35:$AD35,1,$D$4)),INDEX($A35:$AD35,1,$D$4),IFERROR(DATEVALUE(INDEX($A35:$AD35,1,$D$4)),""))))</f>
        <v/>
      </c>
      <c r="AG35" s="30" t="str">
        <f aca="false">IF(OR(AF35="",$D$6=""),"",IF(LEFT(INDEX($A35:$AD35,1,$D$6),LEN(Inputs!$C$30))=Inputs!$C$30,INDEX($A35:$AD35,1,$D$6),""))</f>
        <v/>
      </c>
      <c r="AH35" s="30" t="str">
        <f aca="false">IF(OR(AF35="",$D$7=""),"",TRIM(IFERROR(LEFT(INDEX($A35:$AD35,1,$D$7),FIND(",",INDEX($A35:$AD35,1,$D$7))-1),INDEX($A35:$AD35,1,$D$7))))</f>
        <v/>
      </c>
      <c r="AI35" s="36" t="n">
        <f aca="false">IF(OR(AF35="",$D$5=""),0,IFERROR(IF(ISNUMBER(INDEX($A35:$AD35,1,$D$5)),INDEX($A35:$AD35,1,$D$5),TIMEVALUE(INDEX($A35:$AD35,1,$D$5)))*Inputs!$C$22,0))</f>
        <v>0</v>
      </c>
    </row>
    <row r="36" customFormat="false" ht="15" hidden="false" customHeight="false" outlineLevel="0" collapsed="false">
      <c r="AF36" s="18" t="str">
        <f aca="false">IF($D$4="","",IF(INDEX($A36:$AD36,1,$D$4)="","",IF(ISNUMBER(INDEX($A36:$AD36,1,$D$4)),INDEX($A36:$AD36,1,$D$4),IFERROR(DATEVALUE(INDEX($A36:$AD36,1,$D$4)),""))))</f>
        <v/>
      </c>
      <c r="AG36" s="30" t="str">
        <f aca="false">IF(OR(AF36="",$D$6=""),"",IF(LEFT(INDEX($A36:$AD36,1,$D$6),LEN(Inputs!$C$30))=Inputs!$C$30,INDEX($A36:$AD36,1,$D$6),""))</f>
        <v/>
      </c>
      <c r="AH36" s="30" t="str">
        <f aca="false">IF(OR(AF36="",$D$7=""),"",TRIM(IFERROR(LEFT(INDEX($A36:$AD36,1,$D$7),FIND(",",INDEX($A36:$AD36,1,$D$7))-1),INDEX($A36:$AD36,1,$D$7))))</f>
        <v/>
      </c>
      <c r="AI36" s="36" t="n">
        <f aca="false">IF(OR(AF36="",$D$5=""),0,IFERROR(IF(ISNUMBER(INDEX($A36:$AD36,1,$D$5)),INDEX($A36:$AD36,1,$D$5),TIMEVALUE(INDEX($A36:$AD36,1,$D$5)))*Inputs!$C$22,0))</f>
        <v>0</v>
      </c>
    </row>
    <row r="37" customFormat="false" ht="15" hidden="false" customHeight="false" outlineLevel="0" collapsed="false">
      <c r="AF37" s="18" t="str">
        <f aca="false">IF($D$4="","",IF(INDEX($A37:$AD37,1,$D$4)="","",IF(ISNUMBER(INDEX($A37:$AD37,1,$D$4)),INDEX($A37:$AD37,1,$D$4),IFERROR(DATEVALUE(INDEX($A37:$AD37,1,$D$4)),""))))</f>
        <v/>
      </c>
      <c r="AG37" s="30" t="str">
        <f aca="false">IF(OR(AF37="",$D$6=""),"",IF(LEFT(INDEX($A37:$AD37,1,$D$6),LEN(Inputs!$C$30))=Inputs!$C$30,INDEX($A37:$AD37,1,$D$6),""))</f>
        <v/>
      </c>
      <c r="AH37" s="30" t="str">
        <f aca="false">IF(OR(AF37="",$D$7=""),"",TRIM(IFERROR(LEFT(INDEX($A37:$AD37,1,$D$7),FIND(",",INDEX($A37:$AD37,1,$D$7))-1),INDEX($A37:$AD37,1,$D$7))))</f>
        <v/>
      </c>
      <c r="AI37" s="36" t="n">
        <f aca="false">IF(OR(AF37="",$D$5=""),0,IFERROR(IF(ISNUMBER(INDEX($A37:$AD37,1,$D$5)),INDEX($A37:$AD37,1,$D$5),TIMEVALUE(INDEX($A37:$AD37,1,$D$5)))*Inputs!$C$22,0))</f>
        <v>0</v>
      </c>
    </row>
    <row r="38" customFormat="false" ht="15" hidden="false" customHeight="false" outlineLevel="0" collapsed="false">
      <c r="AF38" s="18" t="str">
        <f aca="false">IF($D$4="","",IF(INDEX($A38:$AD38,1,$D$4)="","",IF(ISNUMBER(INDEX($A38:$AD38,1,$D$4)),INDEX($A38:$AD38,1,$D$4),IFERROR(DATEVALUE(INDEX($A38:$AD38,1,$D$4)),""))))</f>
        <v/>
      </c>
      <c r="AG38" s="30" t="str">
        <f aca="false">IF(OR(AF38="",$D$6=""),"",IF(LEFT(INDEX($A38:$AD38,1,$D$6),LEN(Inputs!$C$30))=Inputs!$C$30,INDEX($A38:$AD38,1,$D$6),""))</f>
        <v/>
      </c>
      <c r="AH38" s="30" t="str">
        <f aca="false">IF(OR(AF38="",$D$7=""),"",TRIM(IFERROR(LEFT(INDEX($A38:$AD38,1,$D$7),FIND(",",INDEX($A38:$AD38,1,$D$7))-1),INDEX($A38:$AD38,1,$D$7))))</f>
        <v/>
      </c>
      <c r="AI38" s="36" t="n">
        <f aca="false">IF(OR(AF38="",$D$5=""),0,IFERROR(IF(ISNUMBER(INDEX($A38:$AD38,1,$D$5)),INDEX($A38:$AD38,1,$D$5),TIMEVALUE(INDEX($A38:$AD38,1,$D$5)))*Inputs!$C$22,0))</f>
        <v>0</v>
      </c>
    </row>
    <row r="39" customFormat="false" ht="15" hidden="false" customHeight="false" outlineLevel="0" collapsed="false">
      <c r="AF39" s="18" t="str">
        <f aca="false">IF($D$4="","",IF(INDEX($A39:$AD39,1,$D$4)="","",IF(ISNUMBER(INDEX($A39:$AD39,1,$D$4)),INDEX($A39:$AD39,1,$D$4),IFERROR(DATEVALUE(INDEX($A39:$AD39,1,$D$4)),""))))</f>
        <v/>
      </c>
      <c r="AG39" s="30" t="str">
        <f aca="false">IF(OR(AF39="",$D$6=""),"",IF(LEFT(INDEX($A39:$AD39,1,$D$6),LEN(Inputs!$C$30))=Inputs!$C$30,INDEX($A39:$AD39,1,$D$6),""))</f>
        <v/>
      </c>
      <c r="AH39" s="30" t="str">
        <f aca="false">IF(OR(AF39="",$D$7=""),"",TRIM(IFERROR(LEFT(INDEX($A39:$AD39,1,$D$7),FIND(",",INDEX($A39:$AD39,1,$D$7))-1),INDEX($A39:$AD39,1,$D$7))))</f>
        <v/>
      </c>
      <c r="AI39" s="36" t="n">
        <f aca="false">IF(OR(AF39="",$D$5=""),0,IFERROR(IF(ISNUMBER(INDEX($A39:$AD39,1,$D$5)),INDEX($A39:$AD39,1,$D$5),TIMEVALUE(INDEX($A39:$AD39,1,$D$5)))*Inputs!$C$22,0))</f>
        <v>0</v>
      </c>
    </row>
    <row r="40" customFormat="false" ht="15" hidden="false" customHeight="false" outlineLevel="0" collapsed="false">
      <c r="AF40" s="18" t="str">
        <f aca="false">IF($D$4="","",IF(INDEX($A40:$AD40,1,$D$4)="","",IF(ISNUMBER(INDEX($A40:$AD40,1,$D$4)),INDEX($A40:$AD40,1,$D$4),IFERROR(DATEVALUE(INDEX($A40:$AD40,1,$D$4)),""))))</f>
        <v/>
      </c>
      <c r="AG40" s="30" t="str">
        <f aca="false">IF(OR(AF40="",$D$6=""),"",IF(LEFT(INDEX($A40:$AD40,1,$D$6),LEN(Inputs!$C$30))=Inputs!$C$30,INDEX($A40:$AD40,1,$D$6),""))</f>
        <v/>
      </c>
      <c r="AH40" s="30" t="str">
        <f aca="false">IF(OR(AF40="",$D$7=""),"",TRIM(IFERROR(LEFT(INDEX($A40:$AD40,1,$D$7),FIND(",",INDEX($A40:$AD40,1,$D$7))-1),INDEX($A40:$AD40,1,$D$7))))</f>
        <v/>
      </c>
      <c r="AI40" s="36" t="n">
        <f aca="false">IF(OR(AF40="",$D$5=""),0,IFERROR(IF(ISNUMBER(INDEX($A40:$AD40,1,$D$5)),INDEX($A40:$AD40,1,$D$5),TIMEVALUE(INDEX($A40:$AD40,1,$D$5)))*Inputs!$C$22,0))</f>
        <v>0</v>
      </c>
    </row>
    <row r="41" customFormat="false" ht="15" hidden="false" customHeight="false" outlineLevel="0" collapsed="false">
      <c r="AF41" s="18" t="str">
        <f aca="false">IF($D$4="","",IF(INDEX($A41:$AD41,1,$D$4)="","",IF(ISNUMBER(INDEX($A41:$AD41,1,$D$4)),INDEX($A41:$AD41,1,$D$4),IFERROR(DATEVALUE(INDEX($A41:$AD41,1,$D$4)),""))))</f>
        <v/>
      </c>
      <c r="AG41" s="30" t="str">
        <f aca="false">IF(OR(AF41="",$D$6=""),"",IF(LEFT(INDEX($A41:$AD41,1,$D$6),LEN(Inputs!$C$30))=Inputs!$C$30,INDEX($A41:$AD41,1,$D$6),""))</f>
        <v/>
      </c>
      <c r="AH41" s="30" t="str">
        <f aca="false">IF(OR(AF41="",$D$7=""),"",TRIM(IFERROR(LEFT(INDEX($A41:$AD41,1,$D$7),FIND(",",INDEX($A41:$AD41,1,$D$7))-1),INDEX($A41:$AD41,1,$D$7))))</f>
        <v/>
      </c>
      <c r="AI41" s="36" t="n">
        <f aca="false">IF(OR(AF41="",$D$5=""),0,IFERROR(IF(ISNUMBER(INDEX($A41:$AD41,1,$D$5)),INDEX($A41:$AD41,1,$D$5),TIMEVALUE(INDEX($A41:$AD41,1,$D$5)))*Inputs!$C$22,0))</f>
        <v>0</v>
      </c>
    </row>
    <row r="42" customFormat="false" ht="15" hidden="false" customHeight="false" outlineLevel="0" collapsed="false">
      <c r="AF42" s="18" t="str">
        <f aca="false">IF($D$4="","",IF(INDEX($A42:$AD42,1,$D$4)="","",IF(ISNUMBER(INDEX($A42:$AD42,1,$D$4)),INDEX($A42:$AD42,1,$D$4),IFERROR(DATEVALUE(INDEX($A42:$AD42,1,$D$4)),""))))</f>
        <v/>
      </c>
      <c r="AG42" s="30" t="str">
        <f aca="false">IF(OR(AF42="",$D$6=""),"",IF(LEFT(INDEX($A42:$AD42,1,$D$6),LEN(Inputs!$C$30))=Inputs!$C$30,INDEX($A42:$AD42,1,$D$6),""))</f>
        <v/>
      </c>
      <c r="AH42" s="30" t="str">
        <f aca="false">IF(OR(AF42="",$D$7=""),"",TRIM(IFERROR(LEFT(INDEX($A42:$AD42,1,$D$7),FIND(",",INDEX($A42:$AD42,1,$D$7))-1),INDEX($A42:$AD42,1,$D$7))))</f>
        <v/>
      </c>
      <c r="AI42" s="36" t="n">
        <f aca="false">IF(OR(AF42="",$D$5=""),0,IFERROR(IF(ISNUMBER(INDEX($A42:$AD42,1,$D$5)),INDEX($A42:$AD42,1,$D$5),TIMEVALUE(INDEX($A42:$AD42,1,$D$5)))*Inputs!$C$22,0))</f>
        <v>0</v>
      </c>
    </row>
    <row r="43" customFormat="false" ht="15" hidden="false" customHeight="false" outlineLevel="0" collapsed="false">
      <c r="AF43" s="18" t="str">
        <f aca="false">IF($D$4="","",IF(INDEX($A43:$AD43,1,$D$4)="","",IF(ISNUMBER(INDEX($A43:$AD43,1,$D$4)),INDEX($A43:$AD43,1,$D$4),IFERROR(DATEVALUE(INDEX($A43:$AD43,1,$D$4)),""))))</f>
        <v/>
      </c>
      <c r="AG43" s="30" t="str">
        <f aca="false">IF(OR(AF43="",$D$6=""),"",IF(LEFT(INDEX($A43:$AD43,1,$D$6),LEN(Inputs!$C$30))=Inputs!$C$30,INDEX($A43:$AD43,1,$D$6),""))</f>
        <v/>
      </c>
      <c r="AH43" s="30" t="str">
        <f aca="false">IF(OR(AF43="",$D$7=""),"",TRIM(IFERROR(LEFT(INDEX($A43:$AD43,1,$D$7),FIND(",",INDEX($A43:$AD43,1,$D$7))-1),INDEX($A43:$AD43,1,$D$7))))</f>
        <v/>
      </c>
      <c r="AI43" s="36" t="n">
        <f aca="false">IF(OR(AF43="",$D$5=""),0,IFERROR(IF(ISNUMBER(INDEX($A43:$AD43,1,$D$5)),INDEX($A43:$AD43,1,$D$5),TIMEVALUE(INDEX($A43:$AD43,1,$D$5)))*Inputs!$C$22,0))</f>
        <v>0</v>
      </c>
    </row>
    <row r="44" customFormat="false" ht="15" hidden="false" customHeight="false" outlineLevel="0" collapsed="false">
      <c r="AF44" s="18" t="str">
        <f aca="false">IF($D$4="","",IF(INDEX($A44:$AD44,1,$D$4)="","",IF(ISNUMBER(INDEX($A44:$AD44,1,$D$4)),INDEX($A44:$AD44,1,$D$4),IFERROR(DATEVALUE(INDEX($A44:$AD44,1,$D$4)),""))))</f>
        <v/>
      </c>
      <c r="AG44" s="30" t="str">
        <f aca="false">IF(OR(AF44="",$D$6=""),"",IF(LEFT(INDEX($A44:$AD44,1,$D$6),LEN(Inputs!$C$30))=Inputs!$C$30,INDEX($A44:$AD44,1,$D$6),""))</f>
        <v/>
      </c>
      <c r="AH44" s="30" t="str">
        <f aca="false">IF(OR(AF44="",$D$7=""),"",TRIM(IFERROR(LEFT(INDEX($A44:$AD44,1,$D$7),FIND(",",INDEX($A44:$AD44,1,$D$7))-1),INDEX($A44:$AD44,1,$D$7))))</f>
        <v/>
      </c>
      <c r="AI44" s="36" t="n">
        <f aca="false">IF(OR(AF44="",$D$5=""),0,IFERROR(IF(ISNUMBER(INDEX($A44:$AD44,1,$D$5)),INDEX($A44:$AD44,1,$D$5),TIMEVALUE(INDEX($A44:$AD44,1,$D$5)))*Inputs!$C$22,0))</f>
        <v>0</v>
      </c>
    </row>
    <row r="45" customFormat="false" ht="15" hidden="false" customHeight="false" outlineLevel="0" collapsed="false">
      <c r="AF45" s="18" t="str">
        <f aca="false">IF($D$4="","",IF(INDEX($A45:$AD45,1,$D$4)="","",IF(ISNUMBER(INDEX($A45:$AD45,1,$D$4)),INDEX($A45:$AD45,1,$D$4),IFERROR(DATEVALUE(INDEX($A45:$AD45,1,$D$4)),""))))</f>
        <v/>
      </c>
      <c r="AG45" s="30" t="str">
        <f aca="false">IF(OR(AF45="",$D$6=""),"",IF(LEFT(INDEX($A45:$AD45,1,$D$6),LEN(Inputs!$C$30))=Inputs!$C$30,INDEX($A45:$AD45,1,$D$6),""))</f>
        <v/>
      </c>
      <c r="AH45" s="30" t="str">
        <f aca="false">IF(OR(AF45="",$D$7=""),"",TRIM(IFERROR(LEFT(INDEX($A45:$AD45,1,$D$7),FIND(",",INDEX($A45:$AD45,1,$D$7))-1),INDEX($A45:$AD45,1,$D$7))))</f>
        <v/>
      </c>
      <c r="AI45" s="36" t="n">
        <f aca="false">IF(OR(AF45="",$D$5=""),0,IFERROR(IF(ISNUMBER(INDEX($A45:$AD45,1,$D$5)),INDEX($A45:$AD45,1,$D$5),TIMEVALUE(INDEX($A45:$AD45,1,$D$5)))*Inputs!$C$22,0))</f>
        <v>0</v>
      </c>
    </row>
    <row r="46" customFormat="false" ht="15" hidden="false" customHeight="false" outlineLevel="0" collapsed="false">
      <c r="AF46" s="18" t="str">
        <f aca="false">IF($D$4="","",IF(INDEX($A46:$AD46,1,$D$4)="","",IF(ISNUMBER(INDEX($A46:$AD46,1,$D$4)),INDEX($A46:$AD46,1,$D$4),IFERROR(DATEVALUE(INDEX($A46:$AD46,1,$D$4)),""))))</f>
        <v/>
      </c>
      <c r="AG46" s="30" t="str">
        <f aca="false">IF(OR(AF46="",$D$6=""),"",IF(LEFT(INDEX($A46:$AD46,1,$D$6),LEN(Inputs!$C$30))=Inputs!$C$30,INDEX($A46:$AD46,1,$D$6),""))</f>
        <v/>
      </c>
      <c r="AH46" s="30" t="str">
        <f aca="false">IF(OR(AF46="",$D$7=""),"",TRIM(IFERROR(LEFT(INDEX($A46:$AD46,1,$D$7),FIND(",",INDEX($A46:$AD46,1,$D$7))-1),INDEX($A46:$AD46,1,$D$7))))</f>
        <v/>
      </c>
      <c r="AI46" s="36" t="n">
        <f aca="false">IF(OR(AF46="",$D$5=""),0,IFERROR(IF(ISNUMBER(INDEX($A46:$AD46,1,$D$5)),INDEX($A46:$AD46,1,$D$5),TIMEVALUE(INDEX($A46:$AD46,1,$D$5)))*Inputs!$C$22,0))</f>
        <v>0</v>
      </c>
    </row>
    <row r="47" customFormat="false" ht="15" hidden="false" customHeight="false" outlineLevel="0" collapsed="false">
      <c r="AF47" s="18" t="str">
        <f aca="false">IF($D$4="","",IF(INDEX($A47:$AD47,1,$D$4)="","",IF(ISNUMBER(INDEX($A47:$AD47,1,$D$4)),INDEX($A47:$AD47,1,$D$4),IFERROR(DATEVALUE(INDEX($A47:$AD47,1,$D$4)),""))))</f>
        <v/>
      </c>
      <c r="AG47" s="30" t="str">
        <f aca="false">IF(OR(AF47="",$D$6=""),"",IF(LEFT(INDEX($A47:$AD47,1,$D$6),LEN(Inputs!$C$30))=Inputs!$C$30,INDEX($A47:$AD47,1,$D$6),""))</f>
        <v/>
      </c>
      <c r="AH47" s="30" t="str">
        <f aca="false">IF(OR(AF47="",$D$7=""),"",TRIM(IFERROR(LEFT(INDEX($A47:$AD47,1,$D$7),FIND(",",INDEX($A47:$AD47,1,$D$7))-1),INDEX($A47:$AD47,1,$D$7))))</f>
        <v/>
      </c>
      <c r="AI47" s="36" t="n">
        <f aca="false">IF(OR(AF47="",$D$5=""),0,IFERROR(IF(ISNUMBER(INDEX($A47:$AD47,1,$D$5)),INDEX($A47:$AD47,1,$D$5),TIMEVALUE(INDEX($A47:$AD47,1,$D$5)))*Inputs!$C$22,0))</f>
        <v>0</v>
      </c>
    </row>
    <row r="48" customFormat="false" ht="15" hidden="false" customHeight="false" outlineLevel="0" collapsed="false">
      <c r="AF48" s="18" t="str">
        <f aca="false">IF($D$4="","",IF(INDEX($A48:$AD48,1,$D$4)="","",IF(ISNUMBER(INDEX($A48:$AD48,1,$D$4)),INDEX($A48:$AD48,1,$D$4),IFERROR(DATEVALUE(INDEX($A48:$AD48,1,$D$4)),""))))</f>
        <v/>
      </c>
      <c r="AG48" s="30" t="str">
        <f aca="false">IF(OR(AF48="",$D$6=""),"",IF(LEFT(INDEX($A48:$AD48,1,$D$6),LEN(Inputs!$C$30))=Inputs!$C$30,INDEX($A48:$AD48,1,$D$6),""))</f>
        <v/>
      </c>
      <c r="AH48" s="30" t="str">
        <f aca="false">IF(OR(AF48="",$D$7=""),"",TRIM(IFERROR(LEFT(INDEX($A48:$AD48,1,$D$7),FIND(",",INDEX($A48:$AD48,1,$D$7))-1),INDEX($A48:$AD48,1,$D$7))))</f>
        <v/>
      </c>
      <c r="AI48" s="36" t="n">
        <f aca="false">IF(OR(AF48="",$D$5=""),0,IFERROR(IF(ISNUMBER(INDEX($A48:$AD48,1,$D$5)),INDEX($A48:$AD48,1,$D$5),TIMEVALUE(INDEX($A48:$AD48,1,$D$5)))*Inputs!$C$22,0))</f>
        <v>0</v>
      </c>
    </row>
    <row r="49" customFormat="false" ht="15" hidden="false" customHeight="false" outlineLevel="0" collapsed="false">
      <c r="AF49" s="18" t="str">
        <f aca="false">IF($D$4="","",IF(INDEX($A49:$AD49,1,$D$4)="","",IF(ISNUMBER(INDEX($A49:$AD49,1,$D$4)),INDEX($A49:$AD49,1,$D$4),IFERROR(DATEVALUE(INDEX($A49:$AD49,1,$D$4)),""))))</f>
        <v/>
      </c>
      <c r="AG49" s="30" t="str">
        <f aca="false">IF(OR(AF49="",$D$6=""),"",IF(LEFT(INDEX($A49:$AD49,1,$D$6),LEN(Inputs!$C$30))=Inputs!$C$30,INDEX($A49:$AD49,1,$D$6),""))</f>
        <v/>
      </c>
      <c r="AH49" s="30" t="str">
        <f aca="false">IF(OR(AF49="",$D$7=""),"",TRIM(IFERROR(LEFT(INDEX($A49:$AD49,1,$D$7),FIND(",",INDEX($A49:$AD49,1,$D$7))-1),INDEX($A49:$AD49,1,$D$7))))</f>
        <v/>
      </c>
      <c r="AI49" s="36" t="n">
        <f aca="false">IF(OR(AF49="",$D$5=""),0,IFERROR(IF(ISNUMBER(INDEX($A49:$AD49,1,$D$5)),INDEX($A49:$AD49,1,$D$5),TIMEVALUE(INDEX($A49:$AD49,1,$D$5)))*Inputs!$C$22,0))</f>
        <v>0</v>
      </c>
    </row>
    <row r="50" customFormat="false" ht="15" hidden="false" customHeight="false" outlineLevel="0" collapsed="false">
      <c r="AF50" s="18" t="str">
        <f aca="false">IF($D$4="","",IF(INDEX($A50:$AD50,1,$D$4)="","",IF(ISNUMBER(INDEX($A50:$AD50,1,$D$4)),INDEX($A50:$AD50,1,$D$4),IFERROR(DATEVALUE(INDEX($A50:$AD50,1,$D$4)),""))))</f>
        <v/>
      </c>
      <c r="AG50" s="30" t="str">
        <f aca="false">IF(OR(AF50="",$D$6=""),"",IF(LEFT(INDEX($A50:$AD50,1,$D$6),LEN(Inputs!$C$30))=Inputs!$C$30,INDEX($A50:$AD50,1,$D$6),""))</f>
        <v/>
      </c>
      <c r="AH50" s="30" t="str">
        <f aca="false">IF(OR(AF50="",$D$7=""),"",TRIM(IFERROR(LEFT(INDEX($A50:$AD50,1,$D$7),FIND(",",INDEX($A50:$AD50,1,$D$7))-1),INDEX($A50:$AD50,1,$D$7))))</f>
        <v/>
      </c>
      <c r="AI50" s="36" t="n">
        <f aca="false">IF(OR(AF50="",$D$5=""),0,IFERROR(IF(ISNUMBER(INDEX($A50:$AD50,1,$D$5)),INDEX($A50:$AD50,1,$D$5),TIMEVALUE(INDEX($A50:$AD50,1,$D$5)))*Inputs!$C$22,0))</f>
        <v>0</v>
      </c>
    </row>
    <row r="51" customFormat="false" ht="15" hidden="false" customHeight="false" outlineLevel="0" collapsed="false">
      <c r="AF51" s="18" t="str">
        <f aca="false">IF($D$4="","",IF(INDEX($A51:$AD51,1,$D$4)="","",IF(ISNUMBER(INDEX($A51:$AD51,1,$D$4)),INDEX($A51:$AD51,1,$D$4),IFERROR(DATEVALUE(INDEX($A51:$AD51,1,$D$4)),""))))</f>
        <v/>
      </c>
      <c r="AG51" s="30" t="str">
        <f aca="false">IF(OR(AF51="",$D$6=""),"",IF(LEFT(INDEX($A51:$AD51,1,$D$6),LEN(Inputs!$C$30))=Inputs!$C$30,INDEX($A51:$AD51,1,$D$6),""))</f>
        <v/>
      </c>
      <c r="AH51" s="30" t="str">
        <f aca="false">IF(OR(AF51="",$D$7=""),"",TRIM(IFERROR(LEFT(INDEX($A51:$AD51,1,$D$7),FIND(",",INDEX($A51:$AD51,1,$D$7))-1),INDEX($A51:$AD51,1,$D$7))))</f>
        <v/>
      </c>
      <c r="AI51" s="36" t="n">
        <f aca="false">IF(OR(AF51="",$D$5=""),0,IFERROR(IF(ISNUMBER(INDEX($A51:$AD51,1,$D$5)),INDEX($A51:$AD51,1,$D$5),TIMEVALUE(INDEX($A51:$AD51,1,$D$5)))*Inputs!$C$22,0))</f>
        <v>0</v>
      </c>
    </row>
    <row r="52" customFormat="false" ht="15" hidden="false" customHeight="false" outlineLevel="0" collapsed="false">
      <c r="AF52" s="18" t="str">
        <f aca="false">IF($D$4="","",IF(INDEX($A52:$AD52,1,$D$4)="","",IF(ISNUMBER(INDEX($A52:$AD52,1,$D$4)),INDEX($A52:$AD52,1,$D$4),IFERROR(DATEVALUE(INDEX($A52:$AD52,1,$D$4)),""))))</f>
        <v/>
      </c>
      <c r="AG52" s="30" t="str">
        <f aca="false">IF(OR(AF52="",$D$6=""),"",IF(LEFT(INDEX($A52:$AD52,1,$D$6),LEN(Inputs!$C$30))=Inputs!$C$30,INDEX($A52:$AD52,1,$D$6),""))</f>
        <v/>
      </c>
      <c r="AH52" s="30" t="str">
        <f aca="false">IF(OR(AF52="",$D$7=""),"",TRIM(IFERROR(LEFT(INDEX($A52:$AD52,1,$D$7),FIND(",",INDEX($A52:$AD52,1,$D$7))-1),INDEX($A52:$AD52,1,$D$7))))</f>
        <v/>
      </c>
      <c r="AI52" s="36" t="n">
        <f aca="false">IF(OR(AF52="",$D$5=""),0,IFERROR(IF(ISNUMBER(INDEX($A52:$AD52,1,$D$5)),INDEX($A52:$AD52,1,$D$5),TIMEVALUE(INDEX($A52:$AD52,1,$D$5)))*Inputs!$C$22,0))</f>
        <v>0</v>
      </c>
    </row>
    <row r="53" customFormat="false" ht="15" hidden="false" customHeight="false" outlineLevel="0" collapsed="false">
      <c r="AF53" s="18" t="str">
        <f aca="false">IF($D$4="","",IF(INDEX($A53:$AD53,1,$D$4)="","",IF(ISNUMBER(INDEX($A53:$AD53,1,$D$4)),INDEX($A53:$AD53,1,$D$4),IFERROR(DATEVALUE(INDEX($A53:$AD53,1,$D$4)),""))))</f>
        <v/>
      </c>
      <c r="AG53" s="30" t="str">
        <f aca="false">IF(OR(AF53="",$D$6=""),"",IF(LEFT(INDEX($A53:$AD53,1,$D$6),LEN(Inputs!$C$30))=Inputs!$C$30,INDEX($A53:$AD53,1,$D$6),""))</f>
        <v/>
      </c>
      <c r="AH53" s="30" t="str">
        <f aca="false">IF(OR(AF53="",$D$7=""),"",TRIM(IFERROR(LEFT(INDEX($A53:$AD53,1,$D$7),FIND(",",INDEX($A53:$AD53,1,$D$7))-1),INDEX($A53:$AD53,1,$D$7))))</f>
        <v/>
      </c>
      <c r="AI53" s="36" t="n">
        <f aca="false">IF(OR(AF53="",$D$5=""),0,IFERROR(IF(ISNUMBER(INDEX($A53:$AD53,1,$D$5)),INDEX($A53:$AD53,1,$D$5),TIMEVALUE(INDEX($A53:$AD53,1,$D$5)))*Inputs!$C$22,0))</f>
        <v>0</v>
      </c>
    </row>
    <row r="54" customFormat="false" ht="15" hidden="false" customHeight="false" outlineLevel="0" collapsed="false">
      <c r="AF54" s="18" t="str">
        <f aca="false">IF($D$4="","",IF(INDEX($A54:$AD54,1,$D$4)="","",IF(ISNUMBER(INDEX($A54:$AD54,1,$D$4)),INDEX($A54:$AD54,1,$D$4),IFERROR(DATEVALUE(INDEX($A54:$AD54,1,$D$4)),""))))</f>
        <v/>
      </c>
      <c r="AG54" s="30" t="str">
        <f aca="false">IF(OR(AF54="",$D$6=""),"",IF(LEFT(INDEX($A54:$AD54,1,$D$6),LEN(Inputs!$C$30))=Inputs!$C$30,INDEX($A54:$AD54,1,$D$6),""))</f>
        <v/>
      </c>
      <c r="AH54" s="30" t="str">
        <f aca="false">IF(OR(AF54="",$D$7=""),"",TRIM(IFERROR(LEFT(INDEX($A54:$AD54,1,$D$7),FIND(",",INDEX($A54:$AD54,1,$D$7))-1),INDEX($A54:$AD54,1,$D$7))))</f>
        <v/>
      </c>
      <c r="AI54" s="36" t="n">
        <f aca="false">IF(OR(AF54="",$D$5=""),0,IFERROR(IF(ISNUMBER(INDEX($A54:$AD54,1,$D$5)),INDEX($A54:$AD54,1,$D$5),TIMEVALUE(INDEX($A54:$AD54,1,$D$5)))*Inputs!$C$22,0))</f>
        <v>0</v>
      </c>
    </row>
    <row r="55" customFormat="false" ht="15" hidden="false" customHeight="false" outlineLevel="0" collapsed="false">
      <c r="AF55" s="18" t="str">
        <f aca="false">IF($D$4="","",IF(INDEX($A55:$AD55,1,$D$4)="","",IF(ISNUMBER(INDEX($A55:$AD55,1,$D$4)),INDEX($A55:$AD55,1,$D$4),IFERROR(DATEVALUE(INDEX($A55:$AD55,1,$D$4)),""))))</f>
        <v/>
      </c>
      <c r="AG55" s="30" t="str">
        <f aca="false">IF(OR(AF55="",$D$6=""),"",IF(LEFT(INDEX($A55:$AD55,1,$D$6),LEN(Inputs!$C$30))=Inputs!$C$30,INDEX($A55:$AD55,1,$D$6),""))</f>
        <v/>
      </c>
      <c r="AH55" s="30" t="str">
        <f aca="false">IF(OR(AF55="",$D$7=""),"",TRIM(IFERROR(LEFT(INDEX($A55:$AD55,1,$D$7),FIND(",",INDEX($A55:$AD55,1,$D$7))-1),INDEX($A55:$AD55,1,$D$7))))</f>
        <v/>
      </c>
      <c r="AI55" s="36" t="n">
        <f aca="false">IF(OR(AF55="",$D$5=""),0,IFERROR(IF(ISNUMBER(INDEX($A55:$AD55,1,$D$5)),INDEX($A55:$AD55,1,$D$5),TIMEVALUE(INDEX($A55:$AD55,1,$D$5)))*Inputs!$C$22,0))</f>
        <v>0</v>
      </c>
    </row>
    <row r="56" customFormat="false" ht="15" hidden="false" customHeight="false" outlineLevel="0" collapsed="false">
      <c r="AF56" s="18" t="str">
        <f aca="false">IF($D$4="","",IF(INDEX($A56:$AD56,1,$D$4)="","",IF(ISNUMBER(INDEX($A56:$AD56,1,$D$4)),INDEX($A56:$AD56,1,$D$4),IFERROR(DATEVALUE(INDEX($A56:$AD56,1,$D$4)),""))))</f>
        <v/>
      </c>
      <c r="AG56" s="30" t="str">
        <f aca="false">IF(OR(AF56="",$D$6=""),"",IF(LEFT(INDEX($A56:$AD56,1,$D$6),LEN(Inputs!$C$30))=Inputs!$C$30,INDEX($A56:$AD56,1,$D$6),""))</f>
        <v/>
      </c>
      <c r="AH56" s="30" t="str">
        <f aca="false">IF(OR(AF56="",$D$7=""),"",TRIM(IFERROR(LEFT(INDEX($A56:$AD56,1,$D$7),FIND(",",INDEX($A56:$AD56,1,$D$7))-1),INDEX($A56:$AD56,1,$D$7))))</f>
        <v/>
      </c>
      <c r="AI56" s="36" t="n">
        <f aca="false">IF(OR(AF56="",$D$5=""),0,IFERROR(IF(ISNUMBER(INDEX($A56:$AD56,1,$D$5)),INDEX($A56:$AD56,1,$D$5),TIMEVALUE(INDEX($A56:$AD56,1,$D$5)))*Inputs!$C$22,0))</f>
        <v>0</v>
      </c>
    </row>
    <row r="57" customFormat="false" ht="15" hidden="false" customHeight="false" outlineLevel="0" collapsed="false">
      <c r="AF57" s="18" t="str">
        <f aca="false">IF($D$4="","",IF(INDEX($A57:$AD57,1,$D$4)="","",IF(ISNUMBER(INDEX($A57:$AD57,1,$D$4)),INDEX($A57:$AD57,1,$D$4),IFERROR(DATEVALUE(INDEX($A57:$AD57,1,$D$4)),""))))</f>
        <v/>
      </c>
      <c r="AG57" s="30" t="str">
        <f aca="false">IF(OR(AF57="",$D$6=""),"",IF(LEFT(INDEX($A57:$AD57,1,$D$6),LEN(Inputs!$C$30))=Inputs!$C$30,INDEX($A57:$AD57,1,$D$6),""))</f>
        <v/>
      </c>
      <c r="AH57" s="30" t="str">
        <f aca="false">IF(OR(AF57="",$D$7=""),"",TRIM(IFERROR(LEFT(INDEX($A57:$AD57,1,$D$7),FIND(",",INDEX($A57:$AD57,1,$D$7))-1),INDEX($A57:$AD57,1,$D$7))))</f>
        <v/>
      </c>
      <c r="AI57" s="36" t="n">
        <f aca="false">IF(OR(AF57="",$D$5=""),0,IFERROR(IF(ISNUMBER(INDEX($A57:$AD57,1,$D$5)),INDEX($A57:$AD57,1,$D$5),TIMEVALUE(INDEX($A57:$AD57,1,$D$5)))*Inputs!$C$22,0))</f>
        <v>0</v>
      </c>
    </row>
    <row r="58" customFormat="false" ht="15" hidden="false" customHeight="false" outlineLevel="0" collapsed="false">
      <c r="AF58" s="18" t="str">
        <f aca="false">IF($D$4="","",IF(INDEX($A58:$AD58,1,$D$4)="","",IF(ISNUMBER(INDEX($A58:$AD58,1,$D$4)),INDEX($A58:$AD58,1,$D$4),IFERROR(DATEVALUE(INDEX($A58:$AD58,1,$D$4)),""))))</f>
        <v/>
      </c>
      <c r="AG58" s="30" t="str">
        <f aca="false">IF(OR(AF58="",$D$6=""),"",IF(LEFT(INDEX($A58:$AD58,1,$D$6),LEN(Inputs!$C$30))=Inputs!$C$30,INDEX($A58:$AD58,1,$D$6),""))</f>
        <v/>
      </c>
      <c r="AH58" s="30" t="str">
        <f aca="false">IF(OR(AF58="",$D$7=""),"",TRIM(IFERROR(LEFT(INDEX($A58:$AD58,1,$D$7),FIND(",",INDEX($A58:$AD58,1,$D$7))-1),INDEX($A58:$AD58,1,$D$7))))</f>
        <v/>
      </c>
      <c r="AI58" s="36" t="n">
        <f aca="false">IF(OR(AF58="",$D$5=""),0,IFERROR(IF(ISNUMBER(INDEX($A58:$AD58,1,$D$5)),INDEX($A58:$AD58,1,$D$5),TIMEVALUE(INDEX($A58:$AD58,1,$D$5)))*Inputs!$C$22,0))</f>
        <v>0</v>
      </c>
    </row>
    <row r="59" customFormat="false" ht="15" hidden="false" customHeight="false" outlineLevel="0" collapsed="false">
      <c r="AF59" s="18" t="str">
        <f aca="false">IF($D$4="","",IF(INDEX($A59:$AD59,1,$D$4)="","",IF(ISNUMBER(INDEX($A59:$AD59,1,$D$4)),INDEX($A59:$AD59,1,$D$4),IFERROR(DATEVALUE(INDEX($A59:$AD59,1,$D$4)),""))))</f>
        <v/>
      </c>
      <c r="AG59" s="30" t="str">
        <f aca="false">IF(OR(AF59="",$D$6=""),"",IF(LEFT(INDEX($A59:$AD59,1,$D$6),LEN(Inputs!$C$30))=Inputs!$C$30,INDEX($A59:$AD59,1,$D$6),""))</f>
        <v/>
      </c>
      <c r="AH59" s="30" t="str">
        <f aca="false">IF(OR(AF59="",$D$7=""),"",TRIM(IFERROR(LEFT(INDEX($A59:$AD59,1,$D$7),FIND(",",INDEX($A59:$AD59,1,$D$7))-1),INDEX($A59:$AD59,1,$D$7))))</f>
        <v/>
      </c>
      <c r="AI59" s="36" t="n">
        <f aca="false">IF(OR(AF59="",$D$5=""),0,IFERROR(IF(ISNUMBER(INDEX($A59:$AD59,1,$D$5)),INDEX($A59:$AD59,1,$D$5),TIMEVALUE(INDEX($A59:$AD59,1,$D$5)))*Inputs!$C$22,0))</f>
        <v>0</v>
      </c>
    </row>
    <row r="60" customFormat="false" ht="15" hidden="false" customHeight="false" outlineLevel="0" collapsed="false">
      <c r="AF60" s="18" t="str">
        <f aca="false">IF($D$4="","",IF(INDEX($A60:$AD60,1,$D$4)="","",IF(ISNUMBER(INDEX($A60:$AD60,1,$D$4)),INDEX($A60:$AD60,1,$D$4),IFERROR(DATEVALUE(INDEX($A60:$AD60,1,$D$4)),""))))</f>
        <v/>
      </c>
      <c r="AG60" s="30" t="str">
        <f aca="false">IF(OR(AF60="",$D$6=""),"",IF(LEFT(INDEX($A60:$AD60,1,$D$6),LEN(Inputs!$C$30))=Inputs!$C$30,INDEX($A60:$AD60,1,$D$6),""))</f>
        <v/>
      </c>
      <c r="AH60" s="30" t="str">
        <f aca="false">IF(OR(AF60="",$D$7=""),"",TRIM(IFERROR(LEFT(INDEX($A60:$AD60,1,$D$7),FIND(",",INDEX($A60:$AD60,1,$D$7))-1),INDEX($A60:$AD60,1,$D$7))))</f>
        <v/>
      </c>
      <c r="AI60" s="36" t="n">
        <f aca="false">IF(OR(AF60="",$D$5=""),0,IFERROR(IF(ISNUMBER(INDEX($A60:$AD60,1,$D$5)),INDEX($A60:$AD60,1,$D$5),TIMEVALUE(INDEX($A60:$AD60,1,$D$5)))*Inputs!$C$22,0))</f>
        <v>0</v>
      </c>
    </row>
    <row r="61" customFormat="false" ht="15" hidden="false" customHeight="false" outlineLevel="0" collapsed="false">
      <c r="AF61" s="18" t="str">
        <f aca="false">IF($D$4="","",IF(INDEX($A61:$AD61,1,$D$4)="","",IF(ISNUMBER(INDEX($A61:$AD61,1,$D$4)),INDEX($A61:$AD61,1,$D$4),IFERROR(DATEVALUE(INDEX($A61:$AD61,1,$D$4)),""))))</f>
        <v/>
      </c>
      <c r="AG61" s="30" t="str">
        <f aca="false">IF(OR(AF61="",$D$6=""),"",IF(LEFT(INDEX($A61:$AD61,1,$D$6),LEN(Inputs!$C$30))=Inputs!$C$30,INDEX($A61:$AD61,1,$D$6),""))</f>
        <v/>
      </c>
      <c r="AH61" s="30" t="str">
        <f aca="false">IF(OR(AF61="",$D$7=""),"",TRIM(IFERROR(LEFT(INDEX($A61:$AD61,1,$D$7),FIND(",",INDEX($A61:$AD61,1,$D$7))-1),INDEX($A61:$AD61,1,$D$7))))</f>
        <v/>
      </c>
      <c r="AI61" s="36" t="n">
        <f aca="false">IF(OR(AF61="",$D$5=""),0,IFERROR(IF(ISNUMBER(INDEX($A61:$AD61,1,$D$5)),INDEX($A61:$AD61,1,$D$5),TIMEVALUE(INDEX($A61:$AD61,1,$D$5)))*Inputs!$C$22,0))</f>
        <v>0</v>
      </c>
    </row>
    <row r="62" customFormat="false" ht="15" hidden="false" customHeight="false" outlineLevel="0" collapsed="false">
      <c r="AF62" s="18" t="str">
        <f aca="false">IF($D$4="","",IF(INDEX($A62:$AD62,1,$D$4)="","",IF(ISNUMBER(INDEX($A62:$AD62,1,$D$4)),INDEX($A62:$AD62,1,$D$4),IFERROR(DATEVALUE(INDEX($A62:$AD62,1,$D$4)),""))))</f>
        <v/>
      </c>
      <c r="AG62" s="30" t="str">
        <f aca="false">IF(OR(AF62="",$D$6=""),"",IF(LEFT(INDEX($A62:$AD62,1,$D$6),LEN(Inputs!$C$30))=Inputs!$C$30,INDEX($A62:$AD62,1,$D$6),""))</f>
        <v/>
      </c>
      <c r="AH62" s="30" t="str">
        <f aca="false">IF(OR(AF62="",$D$7=""),"",TRIM(IFERROR(LEFT(INDEX($A62:$AD62,1,$D$7),FIND(",",INDEX($A62:$AD62,1,$D$7))-1),INDEX($A62:$AD62,1,$D$7))))</f>
        <v/>
      </c>
      <c r="AI62" s="36" t="n">
        <f aca="false">IF(OR(AF62="",$D$5=""),0,IFERROR(IF(ISNUMBER(INDEX($A62:$AD62,1,$D$5)),INDEX($A62:$AD62,1,$D$5),TIMEVALUE(INDEX($A62:$AD62,1,$D$5)))*Inputs!$C$22,0))</f>
        <v>0</v>
      </c>
    </row>
    <row r="63" customFormat="false" ht="15" hidden="false" customHeight="false" outlineLevel="0" collapsed="false">
      <c r="AF63" s="18" t="str">
        <f aca="false">IF($D$4="","",IF(INDEX($A63:$AD63,1,$D$4)="","",IF(ISNUMBER(INDEX($A63:$AD63,1,$D$4)),INDEX($A63:$AD63,1,$D$4),IFERROR(DATEVALUE(INDEX($A63:$AD63,1,$D$4)),""))))</f>
        <v/>
      </c>
      <c r="AG63" s="30" t="str">
        <f aca="false">IF(OR(AF63="",$D$6=""),"",IF(LEFT(INDEX($A63:$AD63,1,$D$6),LEN(Inputs!$C$30))=Inputs!$C$30,INDEX($A63:$AD63,1,$D$6),""))</f>
        <v/>
      </c>
      <c r="AH63" s="30" t="str">
        <f aca="false">IF(OR(AF63="",$D$7=""),"",TRIM(IFERROR(LEFT(INDEX($A63:$AD63,1,$D$7),FIND(",",INDEX($A63:$AD63,1,$D$7))-1),INDEX($A63:$AD63,1,$D$7))))</f>
        <v/>
      </c>
      <c r="AI63" s="36" t="n">
        <f aca="false">IF(OR(AF63="",$D$5=""),0,IFERROR(IF(ISNUMBER(INDEX($A63:$AD63,1,$D$5)),INDEX($A63:$AD63,1,$D$5),TIMEVALUE(INDEX($A63:$AD63,1,$D$5)))*Inputs!$C$22,0))</f>
        <v>0</v>
      </c>
    </row>
    <row r="64" customFormat="false" ht="15" hidden="false" customHeight="false" outlineLevel="0" collapsed="false">
      <c r="AF64" s="18" t="str">
        <f aca="false">IF($D$4="","",IF(INDEX($A64:$AD64,1,$D$4)="","",IF(ISNUMBER(INDEX($A64:$AD64,1,$D$4)),INDEX($A64:$AD64,1,$D$4),IFERROR(DATEVALUE(INDEX($A64:$AD64,1,$D$4)),""))))</f>
        <v/>
      </c>
      <c r="AG64" s="30" t="str">
        <f aca="false">IF(OR(AF64="",$D$6=""),"",IF(LEFT(INDEX($A64:$AD64,1,$D$6),LEN(Inputs!$C$30))=Inputs!$C$30,INDEX($A64:$AD64,1,$D$6),""))</f>
        <v/>
      </c>
      <c r="AH64" s="30" t="str">
        <f aca="false">IF(OR(AF64="",$D$7=""),"",TRIM(IFERROR(LEFT(INDEX($A64:$AD64,1,$D$7),FIND(",",INDEX($A64:$AD64,1,$D$7))-1),INDEX($A64:$AD64,1,$D$7))))</f>
        <v/>
      </c>
      <c r="AI64" s="36" t="n">
        <f aca="false">IF(OR(AF64="",$D$5=""),0,IFERROR(IF(ISNUMBER(INDEX($A64:$AD64,1,$D$5)),INDEX($A64:$AD64,1,$D$5),TIMEVALUE(INDEX($A64:$AD64,1,$D$5)))*Inputs!$C$22,0))</f>
        <v>0</v>
      </c>
    </row>
    <row r="65" customFormat="false" ht="15" hidden="false" customHeight="false" outlineLevel="0" collapsed="false">
      <c r="AF65" s="18" t="str">
        <f aca="false">IF($D$4="","",IF(INDEX($A65:$AD65,1,$D$4)="","",IF(ISNUMBER(INDEX($A65:$AD65,1,$D$4)),INDEX($A65:$AD65,1,$D$4),IFERROR(DATEVALUE(INDEX($A65:$AD65,1,$D$4)),""))))</f>
        <v/>
      </c>
      <c r="AG65" s="30" t="str">
        <f aca="false">IF(OR(AF65="",$D$6=""),"",IF(LEFT(INDEX($A65:$AD65,1,$D$6),LEN(Inputs!$C$30))=Inputs!$C$30,INDEX($A65:$AD65,1,$D$6),""))</f>
        <v/>
      </c>
      <c r="AH65" s="30" t="str">
        <f aca="false">IF(OR(AF65="",$D$7=""),"",TRIM(IFERROR(LEFT(INDEX($A65:$AD65,1,$D$7),FIND(",",INDEX($A65:$AD65,1,$D$7))-1),INDEX($A65:$AD65,1,$D$7))))</f>
        <v/>
      </c>
      <c r="AI65" s="36" t="n">
        <f aca="false">IF(OR(AF65="",$D$5=""),0,IFERROR(IF(ISNUMBER(INDEX($A65:$AD65,1,$D$5)),INDEX($A65:$AD65,1,$D$5),TIMEVALUE(INDEX($A65:$AD65,1,$D$5)))*Inputs!$C$22,0))</f>
        <v>0</v>
      </c>
    </row>
    <row r="66" customFormat="false" ht="15" hidden="false" customHeight="false" outlineLevel="0" collapsed="false">
      <c r="AF66" s="18" t="str">
        <f aca="false">IF($D$4="","",IF(INDEX($A66:$AD66,1,$D$4)="","",IF(ISNUMBER(INDEX($A66:$AD66,1,$D$4)),INDEX($A66:$AD66,1,$D$4),IFERROR(DATEVALUE(INDEX($A66:$AD66,1,$D$4)),""))))</f>
        <v/>
      </c>
      <c r="AG66" s="30" t="str">
        <f aca="false">IF(OR(AF66="",$D$6=""),"",IF(LEFT(INDEX($A66:$AD66,1,$D$6),LEN(Inputs!$C$30))=Inputs!$C$30,INDEX($A66:$AD66,1,$D$6),""))</f>
        <v/>
      </c>
      <c r="AH66" s="30" t="str">
        <f aca="false">IF(OR(AF66="",$D$7=""),"",TRIM(IFERROR(LEFT(INDEX($A66:$AD66,1,$D$7),FIND(",",INDEX($A66:$AD66,1,$D$7))-1),INDEX($A66:$AD66,1,$D$7))))</f>
        <v/>
      </c>
      <c r="AI66" s="36" t="n">
        <f aca="false">IF(OR(AF66="",$D$5=""),0,IFERROR(IF(ISNUMBER(INDEX($A66:$AD66,1,$D$5)),INDEX($A66:$AD66,1,$D$5),TIMEVALUE(INDEX($A66:$AD66,1,$D$5)))*Inputs!$C$22,0))</f>
        <v>0</v>
      </c>
    </row>
    <row r="67" customFormat="false" ht="15" hidden="false" customHeight="false" outlineLevel="0" collapsed="false">
      <c r="AF67" s="18" t="str">
        <f aca="false">IF($D$4="","",IF(INDEX($A67:$AD67,1,$D$4)="","",IF(ISNUMBER(INDEX($A67:$AD67,1,$D$4)),INDEX($A67:$AD67,1,$D$4),IFERROR(DATEVALUE(INDEX($A67:$AD67,1,$D$4)),""))))</f>
        <v/>
      </c>
      <c r="AG67" s="30" t="str">
        <f aca="false">IF(OR(AF67="",$D$6=""),"",IF(LEFT(INDEX($A67:$AD67,1,$D$6),LEN(Inputs!$C$30))=Inputs!$C$30,INDEX($A67:$AD67,1,$D$6),""))</f>
        <v/>
      </c>
      <c r="AH67" s="30" t="str">
        <f aca="false">IF(OR(AF67="",$D$7=""),"",TRIM(IFERROR(LEFT(INDEX($A67:$AD67,1,$D$7),FIND(",",INDEX($A67:$AD67,1,$D$7))-1),INDEX($A67:$AD67,1,$D$7))))</f>
        <v/>
      </c>
      <c r="AI67" s="36" t="n">
        <f aca="false">IF(OR(AF67="",$D$5=""),0,IFERROR(IF(ISNUMBER(INDEX($A67:$AD67,1,$D$5)),INDEX($A67:$AD67,1,$D$5),TIMEVALUE(INDEX($A67:$AD67,1,$D$5)))*Inputs!$C$22,0))</f>
        <v>0</v>
      </c>
    </row>
    <row r="68" customFormat="false" ht="15" hidden="false" customHeight="false" outlineLevel="0" collapsed="false">
      <c r="AF68" s="18" t="str">
        <f aca="false">IF($D$4="","",IF(INDEX($A68:$AD68,1,$D$4)="","",IF(ISNUMBER(INDEX($A68:$AD68,1,$D$4)),INDEX($A68:$AD68,1,$D$4),IFERROR(DATEVALUE(INDEX($A68:$AD68,1,$D$4)),""))))</f>
        <v/>
      </c>
      <c r="AG68" s="30" t="str">
        <f aca="false">IF(OR(AF68="",$D$6=""),"",IF(LEFT(INDEX($A68:$AD68,1,$D$6),LEN(Inputs!$C$30))=Inputs!$C$30,INDEX($A68:$AD68,1,$D$6),""))</f>
        <v/>
      </c>
      <c r="AH68" s="30" t="str">
        <f aca="false">IF(OR(AF68="",$D$7=""),"",TRIM(IFERROR(LEFT(INDEX($A68:$AD68,1,$D$7),FIND(",",INDEX($A68:$AD68,1,$D$7))-1),INDEX($A68:$AD68,1,$D$7))))</f>
        <v/>
      </c>
      <c r="AI68" s="36" t="n">
        <f aca="false">IF(OR(AF68="",$D$5=""),0,IFERROR(IF(ISNUMBER(INDEX($A68:$AD68,1,$D$5)),INDEX($A68:$AD68,1,$D$5),TIMEVALUE(INDEX($A68:$AD68,1,$D$5)))*Inputs!$C$22,0))</f>
        <v>0</v>
      </c>
    </row>
    <row r="69" customFormat="false" ht="15" hidden="false" customHeight="false" outlineLevel="0" collapsed="false">
      <c r="AF69" s="18" t="str">
        <f aca="false">IF($D$4="","",IF(INDEX($A69:$AD69,1,$D$4)="","",IF(ISNUMBER(INDEX($A69:$AD69,1,$D$4)),INDEX($A69:$AD69,1,$D$4),IFERROR(DATEVALUE(INDEX($A69:$AD69,1,$D$4)),""))))</f>
        <v/>
      </c>
      <c r="AG69" s="30" t="str">
        <f aca="false">IF(OR(AF69="",$D$6=""),"",IF(LEFT(INDEX($A69:$AD69,1,$D$6),LEN(Inputs!$C$30))=Inputs!$C$30,INDEX($A69:$AD69,1,$D$6),""))</f>
        <v/>
      </c>
      <c r="AH69" s="30" t="str">
        <f aca="false">IF(OR(AF69="",$D$7=""),"",TRIM(IFERROR(LEFT(INDEX($A69:$AD69,1,$D$7),FIND(",",INDEX($A69:$AD69,1,$D$7))-1),INDEX($A69:$AD69,1,$D$7))))</f>
        <v/>
      </c>
      <c r="AI69" s="36" t="n">
        <f aca="false">IF(OR(AF69="",$D$5=""),0,IFERROR(IF(ISNUMBER(INDEX($A69:$AD69,1,$D$5)),INDEX($A69:$AD69,1,$D$5),TIMEVALUE(INDEX($A69:$AD69,1,$D$5)))*Inputs!$C$22,0))</f>
        <v>0</v>
      </c>
    </row>
    <row r="70" customFormat="false" ht="15" hidden="false" customHeight="false" outlineLevel="0" collapsed="false">
      <c r="AF70" s="18" t="str">
        <f aca="false">IF($D$4="","",IF(INDEX($A70:$AD70,1,$D$4)="","",IF(ISNUMBER(INDEX($A70:$AD70,1,$D$4)),INDEX($A70:$AD70,1,$D$4),IFERROR(DATEVALUE(INDEX($A70:$AD70,1,$D$4)),""))))</f>
        <v/>
      </c>
      <c r="AG70" s="30" t="str">
        <f aca="false">IF(OR(AF70="",$D$6=""),"",IF(LEFT(INDEX($A70:$AD70,1,$D$6),LEN(Inputs!$C$30))=Inputs!$C$30,INDEX($A70:$AD70,1,$D$6),""))</f>
        <v/>
      </c>
      <c r="AH70" s="30" t="str">
        <f aca="false">IF(OR(AF70="",$D$7=""),"",TRIM(IFERROR(LEFT(INDEX($A70:$AD70,1,$D$7),FIND(",",INDEX($A70:$AD70,1,$D$7))-1),INDEX($A70:$AD70,1,$D$7))))</f>
        <v/>
      </c>
      <c r="AI70" s="36" t="n">
        <f aca="false">IF(OR(AF70="",$D$5=""),0,IFERROR(IF(ISNUMBER(INDEX($A70:$AD70,1,$D$5)),INDEX($A70:$AD70,1,$D$5),TIMEVALUE(INDEX($A70:$AD70,1,$D$5)))*Inputs!$C$22,0))</f>
        <v>0</v>
      </c>
    </row>
    <row r="71" customFormat="false" ht="15" hidden="false" customHeight="false" outlineLevel="0" collapsed="false">
      <c r="AF71" s="18" t="str">
        <f aca="false">IF($D$4="","",IF(INDEX($A71:$AD71,1,$D$4)="","",IF(ISNUMBER(INDEX($A71:$AD71,1,$D$4)),INDEX($A71:$AD71,1,$D$4),IFERROR(DATEVALUE(INDEX($A71:$AD71,1,$D$4)),""))))</f>
        <v/>
      </c>
      <c r="AG71" s="30" t="str">
        <f aca="false">IF(OR(AF71="",$D$6=""),"",IF(LEFT(INDEX($A71:$AD71,1,$D$6),LEN(Inputs!$C$30))=Inputs!$C$30,INDEX($A71:$AD71,1,$D$6),""))</f>
        <v/>
      </c>
      <c r="AH71" s="30" t="str">
        <f aca="false">IF(OR(AF71="",$D$7=""),"",TRIM(IFERROR(LEFT(INDEX($A71:$AD71,1,$D$7),FIND(",",INDEX($A71:$AD71,1,$D$7))-1),INDEX($A71:$AD71,1,$D$7))))</f>
        <v/>
      </c>
      <c r="AI71" s="36" t="n">
        <f aca="false">IF(OR(AF71="",$D$5=""),0,IFERROR(IF(ISNUMBER(INDEX($A71:$AD71,1,$D$5)),INDEX($A71:$AD71,1,$D$5),TIMEVALUE(INDEX($A71:$AD71,1,$D$5)))*Inputs!$C$22,0))</f>
        <v>0</v>
      </c>
    </row>
    <row r="72" customFormat="false" ht="15" hidden="false" customHeight="false" outlineLevel="0" collapsed="false">
      <c r="AF72" s="18" t="str">
        <f aca="false">IF($D$4="","",IF(INDEX($A72:$AD72,1,$D$4)="","",IF(ISNUMBER(INDEX($A72:$AD72,1,$D$4)),INDEX($A72:$AD72,1,$D$4),IFERROR(DATEVALUE(INDEX($A72:$AD72,1,$D$4)),""))))</f>
        <v/>
      </c>
      <c r="AG72" s="30" t="str">
        <f aca="false">IF(OR(AF72="",$D$6=""),"",IF(LEFT(INDEX($A72:$AD72,1,$D$6),LEN(Inputs!$C$30))=Inputs!$C$30,INDEX($A72:$AD72,1,$D$6),""))</f>
        <v/>
      </c>
      <c r="AH72" s="30" t="str">
        <f aca="false">IF(OR(AF72="",$D$7=""),"",TRIM(IFERROR(LEFT(INDEX($A72:$AD72,1,$D$7),FIND(",",INDEX($A72:$AD72,1,$D$7))-1),INDEX($A72:$AD72,1,$D$7))))</f>
        <v/>
      </c>
      <c r="AI72" s="36" t="n">
        <f aca="false">IF(OR(AF72="",$D$5=""),0,IFERROR(IF(ISNUMBER(INDEX($A72:$AD72,1,$D$5)),INDEX($A72:$AD72,1,$D$5),TIMEVALUE(INDEX($A72:$AD72,1,$D$5)))*Inputs!$C$22,0))</f>
        <v>0</v>
      </c>
    </row>
    <row r="73" customFormat="false" ht="15" hidden="false" customHeight="false" outlineLevel="0" collapsed="false">
      <c r="AF73" s="18" t="str">
        <f aca="false">IF($D$4="","",IF(INDEX($A73:$AD73,1,$D$4)="","",IF(ISNUMBER(INDEX($A73:$AD73,1,$D$4)),INDEX($A73:$AD73,1,$D$4),IFERROR(DATEVALUE(INDEX($A73:$AD73,1,$D$4)),""))))</f>
        <v/>
      </c>
      <c r="AG73" s="30" t="str">
        <f aca="false">IF(OR(AF73="",$D$6=""),"",IF(LEFT(INDEX($A73:$AD73,1,$D$6),LEN(Inputs!$C$30))=Inputs!$C$30,INDEX($A73:$AD73,1,$D$6),""))</f>
        <v/>
      </c>
      <c r="AH73" s="30" t="str">
        <f aca="false">IF(OR(AF73="",$D$7=""),"",TRIM(IFERROR(LEFT(INDEX($A73:$AD73,1,$D$7),FIND(",",INDEX($A73:$AD73,1,$D$7))-1),INDEX($A73:$AD73,1,$D$7))))</f>
        <v/>
      </c>
      <c r="AI73" s="36" t="n">
        <f aca="false">IF(OR(AF73="",$D$5=""),0,IFERROR(IF(ISNUMBER(INDEX($A73:$AD73,1,$D$5)),INDEX($A73:$AD73,1,$D$5),TIMEVALUE(INDEX($A73:$AD73,1,$D$5)))*Inputs!$C$22,0))</f>
        <v>0</v>
      </c>
    </row>
    <row r="74" customFormat="false" ht="15" hidden="false" customHeight="false" outlineLevel="0" collapsed="false">
      <c r="AF74" s="18" t="str">
        <f aca="false">IF($D$4="","",IF(INDEX($A74:$AD74,1,$D$4)="","",IF(ISNUMBER(INDEX($A74:$AD74,1,$D$4)),INDEX($A74:$AD74,1,$D$4),IFERROR(DATEVALUE(INDEX($A74:$AD74,1,$D$4)),""))))</f>
        <v/>
      </c>
      <c r="AG74" s="30" t="str">
        <f aca="false">IF(OR(AF74="",$D$6=""),"",IF(LEFT(INDEX($A74:$AD74,1,$D$6),LEN(Inputs!$C$30))=Inputs!$C$30,INDEX($A74:$AD74,1,$D$6),""))</f>
        <v/>
      </c>
      <c r="AH74" s="30" t="str">
        <f aca="false">IF(OR(AF74="",$D$7=""),"",TRIM(IFERROR(LEFT(INDEX($A74:$AD74,1,$D$7),FIND(",",INDEX($A74:$AD74,1,$D$7))-1),INDEX($A74:$AD74,1,$D$7))))</f>
        <v/>
      </c>
      <c r="AI74" s="36" t="n">
        <f aca="false">IF(OR(AF74="",$D$5=""),0,IFERROR(IF(ISNUMBER(INDEX($A74:$AD74,1,$D$5)),INDEX($A74:$AD74,1,$D$5),TIMEVALUE(INDEX($A74:$AD74,1,$D$5)))*Inputs!$C$22,0))</f>
        <v>0</v>
      </c>
    </row>
    <row r="75" customFormat="false" ht="15" hidden="false" customHeight="false" outlineLevel="0" collapsed="false">
      <c r="AF75" s="18" t="str">
        <f aca="false">IF($D$4="","",IF(INDEX($A75:$AD75,1,$D$4)="","",IF(ISNUMBER(INDEX($A75:$AD75,1,$D$4)),INDEX($A75:$AD75,1,$D$4),IFERROR(DATEVALUE(INDEX($A75:$AD75,1,$D$4)),""))))</f>
        <v/>
      </c>
      <c r="AG75" s="30" t="str">
        <f aca="false">IF(OR(AF75="",$D$6=""),"",IF(LEFT(INDEX($A75:$AD75,1,$D$6),LEN(Inputs!$C$30))=Inputs!$C$30,INDEX($A75:$AD75,1,$D$6),""))</f>
        <v/>
      </c>
      <c r="AH75" s="30" t="str">
        <f aca="false">IF(OR(AF75="",$D$7=""),"",TRIM(IFERROR(LEFT(INDEX($A75:$AD75,1,$D$7),FIND(",",INDEX($A75:$AD75,1,$D$7))-1),INDEX($A75:$AD75,1,$D$7))))</f>
        <v/>
      </c>
      <c r="AI75" s="36" t="n">
        <f aca="false">IF(OR(AF75="",$D$5=""),0,IFERROR(IF(ISNUMBER(INDEX($A75:$AD75,1,$D$5)),INDEX($A75:$AD75,1,$D$5),TIMEVALUE(INDEX($A75:$AD75,1,$D$5)))*Inputs!$C$22,0))</f>
        <v>0</v>
      </c>
    </row>
    <row r="76" customFormat="false" ht="15" hidden="false" customHeight="false" outlineLevel="0" collapsed="false">
      <c r="AF76" s="18" t="str">
        <f aca="false">IF($D$4="","",IF(INDEX($A76:$AD76,1,$D$4)="","",IF(ISNUMBER(INDEX($A76:$AD76,1,$D$4)),INDEX($A76:$AD76,1,$D$4),IFERROR(DATEVALUE(INDEX($A76:$AD76,1,$D$4)),""))))</f>
        <v/>
      </c>
      <c r="AG76" s="30" t="str">
        <f aca="false">IF(OR(AF76="",$D$6=""),"",IF(LEFT(INDEX($A76:$AD76,1,$D$6),LEN(Inputs!$C$30))=Inputs!$C$30,INDEX($A76:$AD76,1,$D$6),""))</f>
        <v/>
      </c>
      <c r="AH76" s="30" t="str">
        <f aca="false">IF(OR(AF76="",$D$7=""),"",TRIM(IFERROR(LEFT(INDEX($A76:$AD76,1,$D$7),FIND(",",INDEX($A76:$AD76,1,$D$7))-1),INDEX($A76:$AD76,1,$D$7))))</f>
        <v/>
      </c>
      <c r="AI76" s="36" t="n">
        <f aca="false">IF(OR(AF76="",$D$5=""),0,IFERROR(IF(ISNUMBER(INDEX($A76:$AD76,1,$D$5)),INDEX($A76:$AD76,1,$D$5),TIMEVALUE(INDEX($A76:$AD76,1,$D$5)))*Inputs!$C$22,0))</f>
        <v>0</v>
      </c>
    </row>
    <row r="77" customFormat="false" ht="15" hidden="false" customHeight="false" outlineLevel="0" collapsed="false">
      <c r="AF77" s="18" t="str">
        <f aca="false">IF($D$4="","",IF(INDEX($A77:$AD77,1,$D$4)="","",IF(ISNUMBER(INDEX($A77:$AD77,1,$D$4)),INDEX($A77:$AD77,1,$D$4),IFERROR(DATEVALUE(INDEX($A77:$AD77,1,$D$4)),""))))</f>
        <v/>
      </c>
      <c r="AG77" s="30" t="str">
        <f aca="false">IF(OR(AF77="",$D$6=""),"",IF(LEFT(INDEX($A77:$AD77,1,$D$6),LEN(Inputs!$C$30))=Inputs!$C$30,INDEX($A77:$AD77,1,$D$6),""))</f>
        <v/>
      </c>
      <c r="AH77" s="30" t="str">
        <f aca="false">IF(OR(AF77="",$D$7=""),"",TRIM(IFERROR(LEFT(INDEX($A77:$AD77,1,$D$7),FIND(",",INDEX($A77:$AD77,1,$D$7))-1),INDEX($A77:$AD77,1,$D$7))))</f>
        <v/>
      </c>
      <c r="AI77" s="36" t="n">
        <f aca="false">IF(OR(AF77="",$D$5=""),0,IFERROR(IF(ISNUMBER(INDEX($A77:$AD77,1,$D$5)),INDEX($A77:$AD77,1,$D$5),TIMEVALUE(INDEX($A77:$AD77,1,$D$5)))*Inputs!$C$22,0))</f>
        <v>0</v>
      </c>
    </row>
    <row r="78" customFormat="false" ht="15" hidden="false" customHeight="false" outlineLevel="0" collapsed="false">
      <c r="AF78" s="18" t="str">
        <f aca="false">IF($D$4="","",IF(INDEX($A78:$AD78,1,$D$4)="","",IF(ISNUMBER(INDEX($A78:$AD78,1,$D$4)),INDEX($A78:$AD78,1,$D$4),IFERROR(DATEVALUE(INDEX($A78:$AD78,1,$D$4)),""))))</f>
        <v/>
      </c>
      <c r="AG78" s="30" t="str">
        <f aca="false">IF(OR(AF78="",$D$6=""),"",IF(LEFT(INDEX($A78:$AD78,1,$D$6),LEN(Inputs!$C$30))=Inputs!$C$30,INDEX($A78:$AD78,1,$D$6),""))</f>
        <v/>
      </c>
      <c r="AH78" s="30" t="str">
        <f aca="false">IF(OR(AF78="",$D$7=""),"",TRIM(IFERROR(LEFT(INDEX($A78:$AD78,1,$D$7),FIND(",",INDEX($A78:$AD78,1,$D$7))-1),INDEX($A78:$AD78,1,$D$7))))</f>
        <v/>
      </c>
      <c r="AI78" s="36" t="n">
        <f aca="false">IF(OR(AF78="",$D$5=""),0,IFERROR(IF(ISNUMBER(INDEX($A78:$AD78,1,$D$5)),INDEX($A78:$AD78,1,$D$5),TIMEVALUE(INDEX($A78:$AD78,1,$D$5)))*Inputs!$C$22,0))</f>
        <v>0</v>
      </c>
    </row>
    <row r="79" customFormat="false" ht="15" hidden="false" customHeight="false" outlineLevel="0" collapsed="false">
      <c r="AF79" s="18" t="str">
        <f aca="false">IF($D$4="","",IF(INDEX($A79:$AD79,1,$D$4)="","",IF(ISNUMBER(INDEX($A79:$AD79,1,$D$4)),INDEX($A79:$AD79,1,$D$4),IFERROR(DATEVALUE(INDEX($A79:$AD79,1,$D$4)),""))))</f>
        <v/>
      </c>
      <c r="AG79" s="30" t="str">
        <f aca="false">IF(OR(AF79="",$D$6=""),"",IF(LEFT(INDEX($A79:$AD79,1,$D$6),LEN(Inputs!$C$30))=Inputs!$C$30,INDEX($A79:$AD79,1,$D$6),""))</f>
        <v/>
      </c>
      <c r="AH79" s="30" t="str">
        <f aca="false">IF(OR(AF79="",$D$7=""),"",TRIM(IFERROR(LEFT(INDEX($A79:$AD79,1,$D$7),FIND(",",INDEX($A79:$AD79,1,$D$7))-1),INDEX($A79:$AD79,1,$D$7))))</f>
        <v/>
      </c>
      <c r="AI79" s="36" t="n">
        <f aca="false">IF(OR(AF79="",$D$5=""),0,IFERROR(IF(ISNUMBER(INDEX($A79:$AD79,1,$D$5)),INDEX($A79:$AD79,1,$D$5),TIMEVALUE(INDEX($A79:$AD79,1,$D$5)))*Inputs!$C$22,0))</f>
        <v>0</v>
      </c>
    </row>
    <row r="80" customFormat="false" ht="15" hidden="false" customHeight="false" outlineLevel="0" collapsed="false">
      <c r="AF80" s="18" t="str">
        <f aca="false">IF($D$4="","",IF(INDEX($A80:$AD80,1,$D$4)="","",IF(ISNUMBER(INDEX($A80:$AD80,1,$D$4)),INDEX($A80:$AD80,1,$D$4),IFERROR(DATEVALUE(INDEX($A80:$AD80,1,$D$4)),""))))</f>
        <v/>
      </c>
      <c r="AG80" s="30" t="str">
        <f aca="false">IF(OR(AF80="",$D$6=""),"",IF(LEFT(INDEX($A80:$AD80,1,$D$6),LEN(Inputs!$C$30))=Inputs!$C$30,INDEX($A80:$AD80,1,$D$6),""))</f>
        <v/>
      </c>
      <c r="AH80" s="30" t="str">
        <f aca="false">IF(OR(AF80="",$D$7=""),"",TRIM(IFERROR(LEFT(INDEX($A80:$AD80,1,$D$7),FIND(",",INDEX($A80:$AD80,1,$D$7))-1),INDEX($A80:$AD80,1,$D$7))))</f>
        <v/>
      </c>
      <c r="AI80" s="36" t="n">
        <f aca="false">IF(OR(AF80="",$D$5=""),0,IFERROR(IF(ISNUMBER(INDEX($A80:$AD80,1,$D$5)),INDEX($A80:$AD80,1,$D$5),TIMEVALUE(INDEX($A80:$AD80,1,$D$5)))*Inputs!$C$22,0))</f>
        <v>0</v>
      </c>
    </row>
    <row r="81" customFormat="false" ht="15" hidden="false" customHeight="false" outlineLevel="0" collapsed="false">
      <c r="AF81" s="18" t="str">
        <f aca="false">IF($D$4="","",IF(INDEX($A81:$AD81,1,$D$4)="","",IF(ISNUMBER(INDEX($A81:$AD81,1,$D$4)),INDEX($A81:$AD81,1,$D$4),IFERROR(DATEVALUE(INDEX($A81:$AD81,1,$D$4)),""))))</f>
        <v/>
      </c>
      <c r="AG81" s="30" t="str">
        <f aca="false">IF(OR(AF81="",$D$6=""),"",IF(LEFT(INDEX($A81:$AD81,1,$D$6),LEN(Inputs!$C$30))=Inputs!$C$30,INDEX($A81:$AD81,1,$D$6),""))</f>
        <v/>
      </c>
      <c r="AH81" s="30" t="str">
        <f aca="false">IF(OR(AF81="",$D$7=""),"",TRIM(IFERROR(LEFT(INDEX($A81:$AD81,1,$D$7),FIND(",",INDEX($A81:$AD81,1,$D$7))-1),INDEX($A81:$AD81,1,$D$7))))</f>
        <v/>
      </c>
      <c r="AI81" s="36" t="n">
        <f aca="false">IF(OR(AF81="",$D$5=""),0,IFERROR(IF(ISNUMBER(INDEX($A81:$AD81,1,$D$5)),INDEX($A81:$AD81,1,$D$5),TIMEVALUE(INDEX($A81:$AD81,1,$D$5)))*Inputs!$C$22,0))</f>
        <v>0</v>
      </c>
    </row>
    <row r="82" customFormat="false" ht="15" hidden="false" customHeight="false" outlineLevel="0" collapsed="false">
      <c r="AF82" s="18" t="str">
        <f aca="false">IF($D$4="","",IF(INDEX($A82:$AD82,1,$D$4)="","",IF(ISNUMBER(INDEX($A82:$AD82,1,$D$4)),INDEX($A82:$AD82,1,$D$4),IFERROR(DATEVALUE(INDEX($A82:$AD82,1,$D$4)),""))))</f>
        <v/>
      </c>
      <c r="AG82" s="30" t="str">
        <f aca="false">IF(OR(AF82="",$D$6=""),"",IF(LEFT(INDEX($A82:$AD82,1,$D$6),LEN(Inputs!$C$30))=Inputs!$C$30,INDEX($A82:$AD82,1,$D$6),""))</f>
        <v/>
      </c>
      <c r="AH82" s="30" t="str">
        <f aca="false">IF(OR(AF82="",$D$7=""),"",TRIM(IFERROR(LEFT(INDEX($A82:$AD82,1,$D$7),FIND(",",INDEX($A82:$AD82,1,$D$7))-1),INDEX($A82:$AD82,1,$D$7))))</f>
        <v/>
      </c>
      <c r="AI82" s="36" t="n">
        <f aca="false">IF(OR(AF82="",$D$5=""),0,IFERROR(IF(ISNUMBER(INDEX($A82:$AD82,1,$D$5)),INDEX($A82:$AD82,1,$D$5),TIMEVALUE(INDEX($A82:$AD82,1,$D$5)))*Inputs!$C$22,0))</f>
        <v>0</v>
      </c>
    </row>
    <row r="83" customFormat="false" ht="15" hidden="false" customHeight="false" outlineLevel="0" collapsed="false">
      <c r="AF83" s="18" t="str">
        <f aca="false">IF($D$4="","",IF(INDEX($A83:$AD83,1,$D$4)="","",IF(ISNUMBER(INDEX($A83:$AD83,1,$D$4)),INDEX($A83:$AD83,1,$D$4),IFERROR(DATEVALUE(INDEX($A83:$AD83,1,$D$4)),""))))</f>
        <v/>
      </c>
      <c r="AG83" s="30" t="str">
        <f aca="false">IF(OR(AF83="",$D$6=""),"",IF(LEFT(INDEX($A83:$AD83,1,$D$6),LEN(Inputs!$C$30))=Inputs!$C$30,INDEX($A83:$AD83,1,$D$6),""))</f>
        <v/>
      </c>
      <c r="AH83" s="30" t="str">
        <f aca="false">IF(OR(AF83="",$D$7=""),"",TRIM(IFERROR(LEFT(INDEX($A83:$AD83,1,$D$7),FIND(",",INDEX($A83:$AD83,1,$D$7))-1),INDEX($A83:$AD83,1,$D$7))))</f>
        <v/>
      </c>
      <c r="AI83" s="36" t="n">
        <f aca="false">IF(OR(AF83="",$D$5=""),0,IFERROR(IF(ISNUMBER(INDEX($A83:$AD83,1,$D$5)),INDEX($A83:$AD83,1,$D$5),TIMEVALUE(INDEX($A83:$AD83,1,$D$5)))*Inputs!$C$22,0))</f>
        <v>0</v>
      </c>
    </row>
    <row r="84" customFormat="false" ht="15" hidden="false" customHeight="false" outlineLevel="0" collapsed="false">
      <c r="AF84" s="18" t="str">
        <f aca="false">IF($D$4="","",IF(INDEX($A84:$AD84,1,$D$4)="","",IF(ISNUMBER(INDEX($A84:$AD84,1,$D$4)),INDEX($A84:$AD84,1,$D$4),IFERROR(DATEVALUE(INDEX($A84:$AD84,1,$D$4)),""))))</f>
        <v/>
      </c>
      <c r="AG84" s="30" t="str">
        <f aca="false">IF(OR(AF84="",$D$6=""),"",IF(LEFT(INDEX($A84:$AD84,1,$D$6),LEN(Inputs!$C$30))=Inputs!$C$30,INDEX($A84:$AD84,1,$D$6),""))</f>
        <v/>
      </c>
      <c r="AH84" s="30" t="str">
        <f aca="false">IF(OR(AF84="",$D$7=""),"",TRIM(IFERROR(LEFT(INDEX($A84:$AD84,1,$D$7),FIND(",",INDEX($A84:$AD84,1,$D$7))-1),INDEX($A84:$AD84,1,$D$7))))</f>
        <v/>
      </c>
      <c r="AI84" s="36" t="n">
        <f aca="false">IF(OR(AF84="",$D$5=""),0,IFERROR(IF(ISNUMBER(INDEX($A84:$AD84,1,$D$5)),INDEX($A84:$AD84,1,$D$5),TIMEVALUE(INDEX($A84:$AD84,1,$D$5)))*Inputs!$C$22,0))</f>
        <v>0</v>
      </c>
    </row>
    <row r="85" customFormat="false" ht="15" hidden="false" customHeight="false" outlineLevel="0" collapsed="false">
      <c r="AF85" s="18" t="str">
        <f aca="false">IF($D$4="","",IF(INDEX($A85:$AD85,1,$D$4)="","",IF(ISNUMBER(INDEX($A85:$AD85,1,$D$4)),INDEX($A85:$AD85,1,$D$4),IFERROR(DATEVALUE(INDEX($A85:$AD85,1,$D$4)),""))))</f>
        <v/>
      </c>
      <c r="AG85" s="30" t="str">
        <f aca="false">IF(OR(AF85="",$D$6=""),"",IF(LEFT(INDEX($A85:$AD85,1,$D$6),LEN(Inputs!$C$30))=Inputs!$C$30,INDEX($A85:$AD85,1,$D$6),""))</f>
        <v/>
      </c>
      <c r="AH85" s="30" t="str">
        <f aca="false">IF(OR(AF85="",$D$7=""),"",TRIM(IFERROR(LEFT(INDEX($A85:$AD85,1,$D$7),FIND(",",INDEX($A85:$AD85,1,$D$7))-1),INDEX($A85:$AD85,1,$D$7))))</f>
        <v/>
      </c>
      <c r="AI85" s="36" t="n">
        <f aca="false">IF(OR(AF85="",$D$5=""),0,IFERROR(IF(ISNUMBER(INDEX($A85:$AD85,1,$D$5)),INDEX($A85:$AD85,1,$D$5),TIMEVALUE(INDEX($A85:$AD85,1,$D$5)))*Inputs!$C$22,0))</f>
        <v>0</v>
      </c>
    </row>
    <row r="86" customFormat="false" ht="15" hidden="false" customHeight="false" outlineLevel="0" collapsed="false">
      <c r="AF86" s="18" t="str">
        <f aca="false">IF($D$4="","",IF(INDEX($A86:$AD86,1,$D$4)="","",IF(ISNUMBER(INDEX($A86:$AD86,1,$D$4)),INDEX($A86:$AD86,1,$D$4),IFERROR(DATEVALUE(INDEX($A86:$AD86,1,$D$4)),""))))</f>
        <v/>
      </c>
      <c r="AG86" s="30" t="str">
        <f aca="false">IF(OR(AF86="",$D$6=""),"",IF(LEFT(INDEX($A86:$AD86,1,$D$6),LEN(Inputs!$C$30))=Inputs!$C$30,INDEX($A86:$AD86,1,$D$6),""))</f>
        <v/>
      </c>
      <c r="AH86" s="30" t="str">
        <f aca="false">IF(OR(AF86="",$D$7=""),"",TRIM(IFERROR(LEFT(INDEX($A86:$AD86,1,$D$7),FIND(",",INDEX($A86:$AD86,1,$D$7))-1),INDEX($A86:$AD86,1,$D$7))))</f>
        <v/>
      </c>
      <c r="AI86" s="36" t="n">
        <f aca="false">IF(OR(AF86="",$D$5=""),0,IFERROR(IF(ISNUMBER(INDEX($A86:$AD86,1,$D$5)),INDEX($A86:$AD86,1,$D$5),TIMEVALUE(INDEX($A86:$AD86,1,$D$5)))*Inputs!$C$22,0))</f>
        <v>0</v>
      </c>
    </row>
    <row r="87" customFormat="false" ht="15" hidden="false" customHeight="false" outlineLevel="0" collapsed="false">
      <c r="AF87" s="18" t="str">
        <f aca="false">IF($D$4="","",IF(INDEX($A87:$AD87,1,$D$4)="","",IF(ISNUMBER(INDEX($A87:$AD87,1,$D$4)),INDEX($A87:$AD87,1,$D$4),IFERROR(DATEVALUE(INDEX($A87:$AD87,1,$D$4)),""))))</f>
        <v/>
      </c>
      <c r="AG87" s="30" t="str">
        <f aca="false">IF(OR(AF87="",$D$6=""),"",IF(LEFT(INDEX($A87:$AD87,1,$D$6),LEN(Inputs!$C$30))=Inputs!$C$30,INDEX($A87:$AD87,1,$D$6),""))</f>
        <v/>
      </c>
      <c r="AH87" s="30" t="str">
        <f aca="false">IF(OR(AF87="",$D$7=""),"",TRIM(IFERROR(LEFT(INDEX($A87:$AD87,1,$D$7),FIND(",",INDEX($A87:$AD87,1,$D$7))-1),INDEX($A87:$AD87,1,$D$7))))</f>
        <v/>
      </c>
      <c r="AI87" s="36" t="n">
        <f aca="false">IF(OR(AF87="",$D$5=""),0,IFERROR(IF(ISNUMBER(INDEX($A87:$AD87,1,$D$5)),INDEX($A87:$AD87,1,$D$5),TIMEVALUE(INDEX($A87:$AD87,1,$D$5)))*Inputs!$C$22,0))</f>
        <v>0</v>
      </c>
    </row>
    <row r="88" customFormat="false" ht="15" hidden="false" customHeight="false" outlineLevel="0" collapsed="false">
      <c r="AF88" s="18" t="str">
        <f aca="false">IF($D$4="","",IF(INDEX($A88:$AD88,1,$D$4)="","",IF(ISNUMBER(INDEX($A88:$AD88,1,$D$4)),INDEX($A88:$AD88,1,$D$4),IFERROR(DATEVALUE(INDEX($A88:$AD88,1,$D$4)),""))))</f>
        <v/>
      </c>
      <c r="AG88" s="30" t="str">
        <f aca="false">IF(OR(AF88="",$D$6=""),"",IF(LEFT(INDEX($A88:$AD88,1,$D$6),LEN(Inputs!$C$30))=Inputs!$C$30,INDEX($A88:$AD88,1,$D$6),""))</f>
        <v/>
      </c>
      <c r="AH88" s="30" t="str">
        <f aca="false">IF(OR(AF88="",$D$7=""),"",TRIM(IFERROR(LEFT(INDEX($A88:$AD88,1,$D$7),FIND(",",INDEX($A88:$AD88,1,$D$7))-1),INDEX($A88:$AD88,1,$D$7))))</f>
        <v/>
      </c>
      <c r="AI88" s="36" t="n">
        <f aca="false">IF(OR(AF88="",$D$5=""),0,IFERROR(IF(ISNUMBER(INDEX($A88:$AD88,1,$D$5)),INDEX($A88:$AD88,1,$D$5),TIMEVALUE(INDEX($A88:$AD88,1,$D$5)))*Inputs!$C$22,0))</f>
        <v>0</v>
      </c>
    </row>
    <row r="89" customFormat="false" ht="15" hidden="false" customHeight="false" outlineLevel="0" collapsed="false">
      <c r="AF89" s="18" t="str">
        <f aca="false">IF($D$4="","",IF(INDEX($A89:$AD89,1,$D$4)="","",IF(ISNUMBER(INDEX($A89:$AD89,1,$D$4)),INDEX($A89:$AD89,1,$D$4),IFERROR(DATEVALUE(INDEX($A89:$AD89,1,$D$4)),""))))</f>
        <v/>
      </c>
      <c r="AG89" s="30" t="str">
        <f aca="false">IF(OR(AF89="",$D$6=""),"",IF(LEFT(INDEX($A89:$AD89,1,$D$6),LEN(Inputs!$C$30))=Inputs!$C$30,INDEX($A89:$AD89,1,$D$6),""))</f>
        <v/>
      </c>
      <c r="AH89" s="30" t="str">
        <f aca="false">IF(OR(AF89="",$D$7=""),"",TRIM(IFERROR(LEFT(INDEX($A89:$AD89,1,$D$7),FIND(",",INDEX($A89:$AD89,1,$D$7))-1),INDEX($A89:$AD89,1,$D$7))))</f>
        <v/>
      </c>
      <c r="AI89" s="36" t="n">
        <f aca="false">IF(OR(AF89="",$D$5=""),0,IFERROR(IF(ISNUMBER(INDEX($A89:$AD89,1,$D$5)),INDEX($A89:$AD89,1,$D$5),TIMEVALUE(INDEX($A89:$AD89,1,$D$5)))*Inputs!$C$22,0))</f>
        <v>0</v>
      </c>
    </row>
    <row r="90" customFormat="false" ht="15" hidden="false" customHeight="false" outlineLevel="0" collapsed="false">
      <c r="AF90" s="18" t="str">
        <f aca="false">IF($D$4="","",IF(INDEX($A90:$AD90,1,$D$4)="","",IF(ISNUMBER(INDEX($A90:$AD90,1,$D$4)),INDEX($A90:$AD90,1,$D$4),IFERROR(DATEVALUE(INDEX($A90:$AD90,1,$D$4)),""))))</f>
        <v/>
      </c>
      <c r="AG90" s="30" t="str">
        <f aca="false">IF(OR(AF90="",$D$6=""),"",IF(LEFT(INDEX($A90:$AD90,1,$D$6),LEN(Inputs!$C$30))=Inputs!$C$30,INDEX($A90:$AD90,1,$D$6),""))</f>
        <v/>
      </c>
      <c r="AH90" s="30" t="str">
        <f aca="false">IF(OR(AF90="",$D$7=""),"",TRIM(IFERROR(LEFT(INDEX($A90:$AD90,1,$D$7),FIND(",",INDEX($A90:$AD90,1,$D$7))-1),INDEX($A90:$AD90,1,$D$7))))</f>
        <v/>
      </c>
      <c r="AI90" s="36" t="n">
        <f aca="false">IF(OR(AF90="",$D$5=""),0,IFERROR(IF(ISNUMBER(INDEX($A90:$AD90,1,$D$5)),INDEX($A90:$AD90,1,$D$5),TIMEVALUE(INDEX($A90:$AD90,1,$D$5)))*Inputs!$C$22,0))</f>
        <v>0</v>
      </c>
    </row>
    <row r="91" customFormat="false" ht="15" hidden="false" customHeight="false" outlineLevel="0" collapsed="false">
      <c r="AF91" s="18" t="str">
        <f aca="false">IF($D$4="","",IF(INDEX($A91:$AD91,1,$D$4)="","",IF(ISNUMBER(INDEX($A91:$AD91,1,$D$4)),INDEX($A91:$AD91,1,$D$4),IFERROR(DATEVALUE(INDEX($A91:$AD91,1,$D$4)),""))))</f>
        <v/>
      </c>
      <c r="AG91" s="30" t="str">
        <f aca="false">IF(OR(AF91="",$D$6=""),"",IF(LEFT(INDEX($A91:$AD91,1,$D$6),LEN(Inputs!$C$30))=Inputs!$C$30,INDEX($A91:$AD91,1,$D$6),""))</f>
        <v/>
      </c>
      <c r="AH91" s="30" t="str">
        <f aca="false">IF(OR(AF91="",$D$7=""),"",TRIM(IFERROR(LEFT(INDEX($A91:$AD91,1,$D$7),FIND(",",INDEX($A91:$AD91,1,$D$7))-1),INDEX($A91:$AD91,1,$D$7))))</f>
        <v/>
      </c>
      <c r="AI91" s="36" t="n">
        <f aca="false">IF(OR(AF91="",$D$5=""),0,IFERROR(IF(ISNUMBER(INDEX($A91:$AD91,1,$D$5)),INDEX($A91:$AD91,1,$D$5),TIMEVALUE(INDEX($A91:$AD91,1,$D$5)))*Inputs!$C$22,0))</f>
        <v>0</v>
      </c>
    </row>
    <row r="92" customFormat="false" ht="15" hidden="false" customHeight="false" outlineLevel="0" collapsed="false">
      <c r="AF92" s="18" t="str">
        <f aca="false">IF($D$4="","",IF(INDEX($A92:$AD92,1,$D$4)="","",IF(ISNUMBER(INDEX($A92:$AD92,1,$D$4)),INDEX($A92:$AD92,1,$D$4),IFERROR(DATEVALUE(INDEX($A92:$AD92,1,$D$4)),""))))</f>
        <v/>
      </c>
      <c r="AG92" s="30" t="str">
        <f aca="false">IF(OR(AF92="",$D$6=""),"",IF(LEFT(INDEX($A92:$AD92,1,$D$6),LEN(Inputs!$C$30))=Inputs!$C$30,INDEX($A92:$AD92,1,$D$6),""))</f>
        <v/>
      </c>
      <c r="AH92" s="30" t="str">
        <f aca="false">IF(OR(AF92="",$D$7=""),"",TRIM(IFERROR(LEFT(INDEX($A92:$AD92,1,$D$7),FIND(",",INDEX($A92:$AD92,1,$D$7))-1),INDEX($A92:$AD92,1,$D$7))))</f>
        <v/>
      </c>
      <c r="AI92" s="36" t="n">
        <f aca="false">IF(OR(AF92="",$D$5=""),0,IFERROR(IF(ISNUMBER(INDEX($A92:$AD92,1,$D$5)),INDEX($A92:$AD92,1,$D$5),TIMEVALUE(INDEX($A92:$AD92,1,$D$5)))*Inputs!$C$22,0))</f>
        <v>0</v>
      </c>
    </row>
    <row r="93" customFormat="false" ht="15" hidden="false" customHeight="false" outlineLevel="0" collapsed="false">
      <c r="AF93" s="18" t="str">
        <f aca="false">IF($D$4="","",IF(INDEX($A93:$AD93,1,$D$4)="","",IF(ISNUMBER(INDEX($A93:$AD93,1,$D$4)),INDEX($A93:$AD93,1,$D$4),IFERROR(DATEVALUE(INDEX($A93:$AD93,1,$D$4)),""))))</f>
        <v/>
      </c>
      <c r="AG93" s="30" t="str">
        <f aca="false">IF(OR(AF93="",$D$6=""),"",IF(LEFT(INDEX($A93:$AD93,1,$D$6),LEN(Inputs!$C$30))=Inputs!$C$30,INDEX($A93:$AD93,1,$D$6),""))</f>
        <v/>
      </c>
      <c r="AH93" s="30" t="str">
        <f aca="false">IF(OR(AF93="",$D$7=""),"",TRIM(IFERROR(LEFT(INDEX($A93:$AD93,1,$D$7),FIND(",",INDEX($A93:$AD93,1,$D$7))-1),INDEX($A93:$AD93,1,$D$7))))</f>
        <v/>
      </c>
      <c r="AI93" s="36" t="n">
        <f aca="false">IF(OR(AF93="",$D$5=""),0,IFERROR(IF(ISNUMBER(INDEX($A93:$AD93,1,$D$5)),INDEX($A93:$AD93,1,$D$5),TIMEVALUE(INDEX($A93:$AD93,1,$D$5)))*Inputs!$C$22,0))</f>
        <v>0</v>
      </c>
    </row>
    <row r="94" customFormat="false" ht="15" hidden="false" customHeight="false" outlineLevel="0" collapsed="false">
      <c r="AF94" s="18" t="str">
        <f aca="false">IF($D$4="","",IF(INDEX($A94:$AD94,1,$D$4)="","",IF(ISNUMBER(INDEX($A94:$AD94,1,$D$4)),INDEX($A94:$AD94,1,$D$4),IFERROR(DATEVALUE(INDEX($A94:$AD94,1,$D$4)),""))))</f>
        <v/>
      </c>
      <c r="AG94" s="30" t="str">
        <f aca="false">IF(OR(AF94="",$D$6=""),"",IF(LEFT(INDEX($A94:$AD94,1,$D$6),LEN(Inputs!$C$30))=Inputs!$C$30,INDEX($A94:$AD94,1,$D$6),""))</f>
        <v/>
      </c>
      <c r="AH94" s="30" t="str">
        <f aca="false">IF(OR(AF94="",$D$7=""),"",TRIM(IFERROR(LEFT(INDEX($A94:$AD94,1,$D$7),FIND(",",INDEX($A94:$AD94,1,$D$7))-1),INDEX($A94:$AD94,1,$D$7))))</f>
        <v/>
      </c>
      <c r="AI94" s="36" t="n">
        <f aca="false">IF(OR(AF94="",$D$5=""),0,IFERROR(IF(ISNUMBER(INDEX($A94:$AD94,1,$D$5)),INDEX($A94:$AD94,1,$D$5),TIMEVALUE(INDEX($A94:$AD94,1,$D$5)))*Inputs!$C$22,0))</f>
        <v>0</v>
      </c>
    </row>
    <row r="95" customFormat="false" ht="15" hidden="false" customHeight="false" outlineLevel="0" collapsed="false">
      <c r="AF95" s="18" t="str">
        <f aca="false">IF($D$4="","",IF(INDEX($A95:$AD95,1,$D$4)="","",IF(ISNUMBER(INDEX($A95:$AD95,1,$D$4)),INDEX($A95:$AD95,1,$D$4),IFERROR(DATEVALUE(INDEX($A95:$AD95,1,$D$4)),""))))</f>
        <v/>
      </c>
      <c r="AG95" s="30" t="str">
        <f aca="false">IF(OR(AF95="",$D$6=""),"",IF(LEFT(INDEX($A95:$AD95,1,$D$6),LEN(Inputs!$C$30))=Inputs!$C$30,INDEX($A95:$AD95,1,$D$6),""))</f>
        <v/>
      </c>
      <c r="AH95" s="30" t="str">
        <f aca="false">IF(OR(AF95="",$D$7=""),"",TRIM(IFERROR(LEFT(INDEX($A95:$AD95,1,$D$7),FIND(",",INDEX($A95:$AD95,1,$D$7))-1),INDEX($A95:$AD95,1,$D$7))))</f>
        <v/>
      </c>
      <c r="AI95" s="36" t="n">
        <f aca="false">IF(OR(AF95="",$D$5=""),0,IFERROR(IF(ISNUMBER(INDEX($A95:$AD95,1,$D$5)),INDEX($A95:$AD95,1,$D$5),TIMEVALUE(INDEX($A95:$AD95,1,$D$5)))*Inputs!$C$22,0))</f>
        <v>0</v>
      </c>
    </row>
    <row r="96" customFormat="false" ht="15" hidden="false" customHeight="false" outlineLevel="0" collapsed="false">
      <c r="AF96" s="18" t="str">
        <f aca="false">IF($D$4="","",IF(INDEX($A96:$AD96,1,$D$4)="","",IF(ISNUMBER(INDEX($A96:$AD96,1,$D$4)),INDEX($A96:$AD96,1,$D$4),IFERROR(DATEVALUE(INDEX($A96:$AD96,1,$D$4)),""))))</f>
        <v/>
      </c>
      <c r="AG96" s="30" t="str">
        <f aca="false">IF(OR(AF96="",$D$6=""),"",IF(LEFT(INDEX($A96:$AD96,1,$D$6),LEN(Inputs!$C$30))=Inputs!$C$30,INDEX($A96:$AD96,1,$D$6),""))</f>
        <v/>
      </c>
      <c r="AH96" s="30" t="str">
        <f aca="false">IF(OR(AF96="",$D$7=""),"",TRIM(IFERROR(LEFT(INDEX($A96:$AD96,1,$D$7),FIND(",",INDEX($A96:$AD96,1,$D$7))-1),INDEX($A96:$AD96,1,$D$7))))</f>
        <v/>
      </c>
      <c r="AI96" s="36" t="n">
        <f aca="false">IF(OR(AF96="",$D$5=""),0,IFERROR(IF(ISNUMBER(INDEX($A96:$AD96,1,$D$5)),INDEX($A96:$AD96,1,$D$5),TIMEVALUE(INDEX($A96:$AD96,1,$D$5)))*Inputs!$C$22,0))</f>
        <v>0</v>
      </c>
    </row>
    <row r="97" customFormat="false" ht="15" hidden="false" customHeight="false" outlineLevel="0" collapsed="false">
      <c r="AF97" s="18" t="str">
        <f aca="false">IF($D$4="","",IF(INDEX($A97:$AD97,1,$D$4)="","",IF(ISNUMBER(INDEX($A97:$AD97,1,$D$4)),INDEX($A97:$AD97,1,$D$4),IFERROR(DATEVALUE(INDEX($A97:$AD97,1,$D$4)),""))))</f>
        <v/>
      </c>
      <c r="AG97" s="30" t="str">
        <f aca="false">IF(OR(AF97="",$D$6=""),"",IF(LEFT(INDEX($A97:$AD97,1,$D$6),LEN(Inputs!$C$30))=Inputs!$C$30,INDEX($A97:$AD97,1,$D$6),""))</f>
        <v/>
      </c>
      <c r="AH97" s="30" t="str">
        <f aca="false">IF(OR(AF97="",$D$7=""),"",TRIM(IFERROR(LEFT(INDEX($A97:$AD97,1,$D$7),FIND(",",INDEX($A97:$AD97,1,$D$7))-1),INDEX($A97:$AD97,1,$D$7))))</f>
        <v/>
      </c>
      <c r="AI97" s="36" t="n">
        <f aca="false">IF(OR(AF97="",$D$5=""),0,IFERROR(IF(ISNUMBER(INDEX($A97:$AD97,1,$D$5)),INDEX($A97:$AD97,1,$D$5),TIMEVALUE(INDEX($A97:$AD97,1,$D$5)))*Inputs!$C$22,0))</f>
        <v>0</v>
      </c>
    </row>
    <row r="98" customFormat="false" ht="15" hidden="false" customHeight="false" outlineLevel="0" collapsed="false">
      <c r="AF98" s="18" t="str">
        <f aca="false">IF($D$4="","",IF(INDEX($A98:$AD98,1,$D$4)="","",IF(ISNUMBER(INDEX($A98:$AD98,1,$D$4)),INDEX($A98:$AD98,1,$D$4),IFERROR(DATEVALUE(INDEX($A98:$AD98,1,$D$4)),""))))</f>
        <v/>
      </c>
      <c r="AG98" s="30" t="str">
        <f aca="false">IF(OR(AF98="",$D$6=""),"",IF(LEFT(INDEX($A98:$AD98,1,$D$6),LEN(Inputs!$C$30))=Inputs!$C$30,INDEX($A98:$AD98,1,$D$6),""))</f>
        <v/>
      </c>
      <c r="AH98" s="30" t="str">
        <f aca="false">IF(OR(AF98="",$D$7=""),"",TRIM(IFERROR(LEFT(INDEX($A98:$AD98,1,$D$7),FIND(",",INDEX($A98:$AD98,1,$D$7))-1),INDEX($A98:$AD98,1,$D$7))))</f>
        <v/>
      </c>
      <c r="AI98" s="36" t="n">
        <f aca="false">IF(OR(AF98="",$D$5=""),0,IFERROR(IF(ISNUMBER(INDEX($A98:$AD98,1,$D$5)),INDEX($A98:$AD98,1,$D$5),TIMEVALUE(INDEX($A98:$AD98,1,$D$5)))*Inputs!$C$22,0))</f>
        <v>0</v>
      </c>
    </row>
    <row r="99" customFormat="false" ht="15" hidden="false" customHeight="false" outlineLevel="0" collapsed="false">
      <c r="AF99" s="18" t="str">
        <f aca="false">IF($D$4="","",IF(INDEX($A99:$AD99,1,$D$4)="","",IF(ISNUMBER(INDEX($A99:$AD99,1,$D$4)),INDEX($A99:$AD99,1,$D$4),IFERROR(DATEVALUE(INDEX($A99:$AD99,1,$D$4)),""))))</f>
        <v/>
      </c>
      <c r="AG99" s="30" t="str">
        <f aca="false">IF(OR(AF99="",$D$6=""),"",IF(LEFT(INDEX($A99:$AD99,1,$D$6),LEN(Inputs!$C$30))=Inputs!$C$30,INDEX($A99:$AD99,1,$D$6),""))</f>
        <v/>
      </c>
      <c r="AH99" s="30" t="str">
        <f aca="false">IF(OR(AF99="",$D$7=""),"",TRIM(IFERROR(LEFT(INDEX($A99:$AD99,1,$D$7),FIND(",",INDEX($A99:$AD99,1,$D$7))-1),INDEX($A99:$AD99,1,$D$7))))</f>
        <v/>
      </c>
      <c r="AI99" s="36" t="n">
        <f aca="false">IF(OR(AF99="",$D$5=""),0,IFERROR(IF(ISNUMBER(INDEX($A99:$AD99,1,$D$5)),INDEX($A99:$AD99,1,$D$5),TIMEVALUE(INDEX($A99:$AD99,1,$D$5)))*Inputs!$C$22,0))</f>
        <v>0</v>
      </c>
    </row>
    <row r="100" customFormat="false" ht="15" hidden="false" customHeight="false" outlineLevel="0" collapsed="false">
      <c r="AF100" s="18" t="str">
        <f aca="false">IF($D$4="","",IF(INDEX($A100:$AD100,1,$D$4)="","",IF(ISNUMBER(INDEX($A100:$AD100,1,$D$4)),INDEX($A100:$AD100,1,$D$4),IFERROR(DATEVALUE(INDEX($A100:$AD100,1,$D$4)),""))))</f>
        <v/>
      </c>
      <c r="AG100" s="30" t="str">
        <f aca="false">IF(OR(AF100="",$D$6=""),"",IF(LEFT(INDEX($A100:$AD100,1,$D$6),LEN(Inputs!$C$30))=Inputs!$C$30,INDEX($A100:$AD100,1,$D$6),""))</f>
        <v/>
      </c>
      <c r="AH100" s="30" t="str">
        <f aca="false">IF(OR(AF100="",$D$7=""),"",TRIM(IFERROR(LEFT(INDEX($A100:$AD100,1,$D$7),FIND(",",INDEX($A100:$AD100,1,$D$7))-1),INDEX($A100:$AD100,1,$D$7))))</f>
        <v/>
      </c>
      <c r="AI100" s="36" t="n">
        <f aca="false">IF(OR(AF100="",$D$5=""),0,IFERROR(IF(ISNUMBER(INDEX($A100:$AD100,1,$D$5)),INDEX($A100:$AD100,1,$D$5),TIMEVALUE(INDEX($A100:$AD100,1,$D$5)))*Inputs!$C$22,0))</f>
        <v>0</v>
      </c>
    </row>
    <row r="101" customFormat="false" ht="15" hidden="false" customHeight="false" outlineLevel="0" collapsed="false">
      <c r="AF101" s="18" t="str">
        <f aca="false">IF($D$4="","",IF(INDEX($A101:$AD101,1,$D$4)="","",IF(ISNUMBER(INDEX($A101:$AD101,1,$D$4)),INDEX($A101:$AD101,1,$D$4),IFERROR(DATEVALUE(INDEX($A101:$AD101,1,$D$4)),""))))</f>
        <v/>
      </c>
      <c r="AG101" s="30" t="str">
        <f aca="false">IF(OR(AF101="",$D$6=""),"",IF(LEFT(INDEX($A101:$AD101,1,$D$6),LEN(Inputs!$C$30))=Inputs!$C$30,INDEX($A101:$AD101,1,$D$6),""))</f>
        <v/>
      </c>
      <c r="AH101" s="30" t="str">
        <f aca="false">IF(OR(AF101="",$D$7=""),"",TRIM(IFERROR(LEFT(INDEX($A101:$AD101,1,$D$7),FIND(",",INDEX($A101:$AD101,1,$D$7))-1),INDEX($A101:$AD101,1,$D$7))))</f>
        <v/>
      </c>
      <c r="AI101" s="36" t="n">
        <f aca="false">IF(OR(AF101="",$D$5=""),0,IFERROR(IF(ISNUMBER(INDEX($A101:$AD101,1,$D$5)),INDEX($A101:$AD101,1,$D$5),TIMEVALUE(INDEX($A101:$AD101,1,$D$5)))*Inputs!$C$22,0))</f>
        <v>0</v>
      </c>
    </row>
    <row r="102" customFormat="false" ht="15" hidden="false" customHeight="false" outlineLevel="0" collapsed="false">
      <c r="AF102" s="18" t="str">
        <f aca="false">IF($D$4="","",IF(INDEX($A102:$AD102,1,$D$4)="","",IF(ISNUMBER(INDEX($A102:$AD102,1,$D$4)),INDEX($A102:$AD102,1,$D$4),IFERROR(DATEVALUE(INDEX($A102:$AD102,1,$D$4)),""))))</f>
        <v/>
      </c>
      <c r="AG102" s="30" t="str">
        <f aca="false">IF(OR(AF102="",$D$6=""),"",IF(LEFT(INDEX($A102:$AD102,1,$D$6),LEN(Inputs!$C$30))=Inputs!$C$30,INDEX($A102:$AD102,1,$D$6),""))</f>
        <v/>
      </c>
      <c r="AH102" s="30" t="str">
        <f aca="false">IF(OR(AF102="",$D$7=""),"",TRIM(IFERROR(LEFT(INDEX($A102:$AD102,1,$D$7),FIND(",",INDEX($A102:$AD102,1,$D$7))-1),INDEX($A102:$AD102,1,$D$7))))</f>
        <v/>
      </c>
      <c r="AI102" s="36" t="n">
        <f aca="false">IF(OR(AF102="",$D$5=""),0,IFERROR(IF(ISNUMBER(INDEX($A102:$AD102,1,$D$5)),INDEX($A102:$AD102,1,$D$5),TIMEVALUE(INDEX($A102:$AD102,1,$D$5)))*Inputs!$C$22,0))</f>
        <v>0</v>
      </c>
    </row>
    <row r="103" customFormat="false" ht="15" hidden="false" customHeight="false" outlineLevel="0" collapsed="false">
      <c r="AF103" s="18" t="str">
        <f aca="false">IF($D$4="","",IF(INDEX($A103:$AD103,1,$D$4)="","",IF(ISNUMBER(INDEX($A103:$AD103,1,$D$4)),INDEX($A103:$AD103,1,$D$4),IFERROR(DATEVALUE(INDEX($A103:$AD103,1,$D$4)),""))))</f>
        <v/>
      </c>
      <c r="AG103" s="30" t="str">
        <f aca="false">IF(OR(AF103="",$D$6=""),"",IF(LEFT(INDEX($A103:$AD103,1,$D$6),LEN(Inputs!$C$30))=Inputs!$C$30,INDEX($A103:$AD103,1,$D$6),""))</f>
        <v/>
      </c>
      <c r="AH103" s="30" t="str">
        <f aca="false">IF(OR(AF103="",$D$7=""),"",TRIM(IFERROR(LEFT(INDEX($A103:$AD103,1,$D$7),FIND(",",INDEX($A103:$AD103,1,$D$7))-1),INDEX($A103:$AD103,1,$D$7))))</f>
        <v/>
      </c>
      <c r="AI103" s="36" t="n">
        <f aca="false">IF(OR(AF103="",$D$5=""),0,IFERROR(IF(ISNUMBER(INDEX($A103:$AD103,1,$D$5)),INDEX($A103:$AD103,1,$D$5),TIMEVALUE(INDEX($A103:$AD103,1,$D$5)))*Inputs!$C$22,0))</f>
        <v>0</v>
      </c>
    </row>
    <row r="104" customFormat="false" ht="15" hidden="false" customHeight="false" outlineLevel="0" collapsed="false">
      <c r="AF104" s="18" t="str">
        <f aca="false">IF($D$4="","",IF(INDEX($A104:$AD104,1,$D$4)="","",IF(ISNUMBER(INDEX($A104:$AD104,1,$D$4)),INDEX($A104:$AD104,1,$D$4),IFERROR(DATEVALUE(INDEX($A104:$AD104,1,$D$4)),""))))</f>
        <v/>
      </c>
      <c r="AG104" s="30" t="str">
        <f aca="false">IF(OR(AF104="",$D$6=""),"",IF(LEFT(INDEX($A104:$AD104,1,$D$6),LEN(Inputs!$C$30))=Inputs!$C$30,INDEX($A104:$AD104,1,$D$6),""))</f>
        <v/>
      </c>
      <c r="AH104" s="30" t="str">
        <f aca="false">IF(OR(AF104="",$D$7=""),"",TRIM(IFERROR(LEFT(INDEX($A104:$AD104,1,$D$7),FIND(",",INDEX($A104:$AD104,1,$D$7))-1),INDEX($A104:$AD104,1,$D$7))))</f>
        <v/>
      </c>
      <c r="AI104" s="36" t="n">
        <f aca="false">IF(OR(AF104="",$D$5=""),0,IFERROR(IF(ISNUMBER(INDEX($A104:$AD104,1,$D$5)),INDEX($A104:$AD104,1,$D$5),TIMEVALUE(INDEX($A104:$AD104,1,$D$5)))*Inputs!$C$22,0))</f>
        <v>0</v>
      </c>
    </row>
    <row r="105" customFormat="false" ht="15" hidden="false" customHeight="false" outlineLevel="0" collapsed="false">
      <c r="AF105" s="18" t="str">
        <f aca="false">IF($D$4="","",IF(INDEX($A105:$AD105,1,$D$4)="","",IF(ISNUMBER(INDEX($A105:$AD105,1,$D$4)),INDEX($A105:$AD105,1,$D$4),IFERROR(DATEVALUE(INDEX($A105:$AD105,1,$D$4)),""))))</f>
        <v/>
      </c>
      <c r="AG105" s="30" t="str">
        <f aca="false">IF(OR(AF105="",$D$6=""),"",IF(LEFT(INDEX($A105:$AD105,1,$D$6),LEN(Inputs!$C$30))=Inputs!$C$30,INDEX($A105:$AD105,1,$D$6),""))</f>
        <v/>
      </c>
      <c r="AH105" s="30" t="str">
        <f aca="false">IF(OR(AF105="",$D$7=""),"",TRIM(IFERROR(LEFT(INDEX($A105:$AD105,1,$D$7),FIND(",",INDEX($A105:$AD105,1,$D$7))-1),INDEX($A105:$AD105,1,$D$7))))</f>
        <v/>
      </c>
      <c r="AI105" s="36" t="n">
        <f aca="false">IF(OR(AF105="",$D$5=""),0,IFERROR(IF(ISNUMBER(INDEX($A105:$AD105,1,$D$5)),INDEX($A105:$AD105,1,$D$5),TIMEVALUE(INDEX($A105:$AD105,1,$D$5)))*Inputs!$C$22,0))</f>
        <v>0</v>
      </c>
    </row>
    <row r="106" customFormat="false" ht="15" hidden="false" customHeight="false" outlineLevel="0" collapsed="false">
      <c r="AF106" s="18" t="str">
        <f aca="false">IF($D$4="","",IF(INDEX($A106:$AD106,1,$D$4)="","",IF(ISNUMBER(INDEX($A106:$AD106,1,$D$4)),INDEX($A106:$AD106,1,$D$4),IFERROR(DATEVALUE(INDEX($A106:$AD106,1,$D$4)),""))))</f>
        <v/>
      </c>
      <c r="AG106" s="30" t="str">
        <f aca="false">IF(OR(AF106="",$D$6=""),"",IF(LEFT(INDEX($A106:$AD106,1,$D$6),LEN(Inputs!$C$30))=Inputs!$C$30,INDEX($A106:$AD106,1,$D$6),""))</f>
        <v/>
      </c>
      <c r="AH106" s="30" t="str">
        <f aca="false">IF(OR(AF106="",$D$7=""),"",TRIM(IFERROR(LEFT(INDEX($A106:$AD106,1,$D$7),FIND(",",INDEX($A106:$AD106,1,$D$7))-1),INDEX($A106:$AD106,1,$D$7))))</f>
        <v/>
      </c>
      <c r="AI106" s="36" t="n">
        <f aca="false">IF(OR(AF106="",$D$5=""),0,IFERROR(IF(ISNUMBER(INDEX($A106:$AD106,1,$D$5)),INDEX($A106:$AD106,1,$D$5),TIMEVALUE(INDEX($A106:$AD106,1,$D$5)))*Inputs!$C$22,0))</f>
        <v>0</v>
      </c>
    </row>
    <row r="107" customFormat="false" ht="15" hidden="false" customHeight="false" outlineLevel="0" collapsed="false">
      <c r="AF107" s="18" t="str">
        <f aca="false">IF($D$4="","",IF(INDEX($A107:$AD107,1,$D$4)="","",IF(ISNUMBER(INDEX($A107:$AD107,1,$D$4)),INDEX($A107:$AD107,1,$D$4),IFERROR(DATEVALUE(INDEX($A107:$AD107,1,$D$4)),""))))</f>
        <v/>
      </c>
      <c r="AG107" s="30" t="str">
        <f aca="false">IF(OR(AF107="",$D$6=""),"",IF(LEFT(INDEX($A107:$AD107,1,$D$6),LEN(Inputs!$C$30))=Inputs!$C$30,INDEX($A107:$AD107,1,$D$6),""))</f>
        <v/>
      </c>
      <c r="AH107" s="30" t="str">
        <f aca="false">IF(OR(AF107="",$D$7=""),"",TRIM(IFERROR(LEFT(INDEX($A107:$AD107,1,$D$7),FIND(",",INDEX($A107:$AD107,1,$D$7))-1),INDEX($A107:$AD107,1,$D$7))))</f>
        <v/>
      </c>
      <c r="AI107" s="36" t="n">
        <f aca="false">IF(OR(AF107="",$D$5=""),0,IFERROR(IF(ISNUMBER(INDEX($A107:$AD107,1,$D$5)),INDEX($A107:$AD107,1,$D$5),TIMEVALUE(INDEX($A107:$AD107,1,$D$5)))*Inputs!$C$22,0))</f>
        <v>0</v>
      </c>
    </row>
    <row r="108" customFormat="false" ht="15" hidden="false" customHeight="false" outlineLevel="0" collapsed="false">
      <c r="AF108" s="18" t="str">
        <f aca="false">IF($D$4="","",IF(INDEX($A108:$AD108,1,$D$4)="","",IF(ISNUMBER(INDEX($A108:$AD108,1,$D$4)),INDEX($A108:$AD108,1,$D$4),IFERROR(DATEVALUE(INDEX($A108:$AD108,1,$D$4)),""))))</f>
        <v/>
      </c>
      <c r="AG108" s="30" t="str">
        <f aca="false">IF(OR(AF108="",$D$6=""),"",IF(LEFT(INDEX($A108:$AD108,1,$D$6),LEN(Inputs!$C$30))=Inputs!$C$30,INDEX($A108:$AD108,1,$D$6),""))</f>
        <v/>
      </c>
      <c r="AH108" s="30" t="str">
        <f aca="false">IF(OR(AF108="",$D$7=""),"",TRIM(IFERROR(LEFT(INDEX($A108:$AD108,1,$D$7),FIND(",",INDEX($A108:$AD108,1,$D$7))-1),INDEX($A108:$AD108,1,$D$7))))</f>
        <v/>
      </c>
      <c r="AI108" s="36" t="n">
        <f aca="false">IF(OR(AF108="",$D$5=""),0,IFERROR(IF(ISNUMBER(INDEX($A108:$AD108,1,$D$5)),INDEX($A108:$AD108,1,$D$5),TIMEVALUE(INDEX($A108:$AD108,1,$D$5)))*Inputs!$C$22,0))</f>
        <v>0</v>
      </c>
    </row>
    <row r="109" customFormat="false" ht="15" hidden="false" customHeight="false" outlineLevel="0" collapsed="false">
      <c r="AF109" s="18" t="str">
        <f aca="false">IF($D$4="","",IF(INDEX($A109:$AD109,1,$D$4)="","",IF(ISNUMBER(INDEX($A109:$AD109,1,$D$4)),INDEX($A109:$AD109,1,$D$4),IFERROR(DATEVALUE(INDEX($A109:$AD109,1,$D$4)),""))))</f>
        <v/>
      </c>
      <c r="AG109" s="30" t="str">
        <f aca="false">IF(OR(AF109="",$D$6=""),"",IF(LEFT(INDEX($A109:$AD109,1,$D$6),LEN(Inputs!$C$30))=Inputs!$C$30,INDEX($A109:$AD109,1,$D$6),""))</f>
        <v/>
      </c>
      <c r="AH109" s="30" t="str">
        <f aca="false">IF(OR(AF109="",$D$7=""),"",TRIM(IFERROR(LEFT(INDEX($A109:$AD109,1,$D$7),FIND(",",INDEX($A109:$AD109,1,$D$7))-1),INDEX($A109:$AD109,1,$D$7))))</f>
        <v/>
      </c>
      <c r="AI109" s="36" t="n">
        <f aca="false">IF(OR(AF109="",$D$5=""),0,IFERROR(IF(ISNUMBER(INDEX($A109:$AD109,1,$D$5)),INDEX($A109:$AD109,1,$D$5),TIMEVALUE(INDEX($A109:$AD109,1,$D$5)))*Inputs!$C$22,0))</f>
        <v>0</v>
      </c>
    </row>
    <row r="110" customFormat="false" ht="15" hidden="false" customHeight="false" outlineLevel="0" collapsed="false">
      <c r="AF110" s="18" t="str">
        <f aca="false">IF($D$4="","",IF(INDEX($A110:$AD110,1,$D$4)="","",IF(ISNUMBER(INDEX($A110:$AD110,1,$D$4)),INDEX($A110:$AD110,1,$D$4),IFERROR(DATEVALUE(INDEX($A110:$AD110,1,$D$4)),""))))</f>
        <v/>
      </c>
      <c r="AG110" s="30" t="str">
        <f aca="false">IF(OR(AF110="",$D$6=""),"",IF(LEFT(INDEX($A110:$AD110,1,$D$6),LEN(Inputs!$C$30))=Inputs!$C$30,INDEX($A110:$AD110,1,$D$6),""))</f>
        <v/>
      </c>
      <c r="AH110" s="30" t="str">
        <f aca="false">IF(OR(AF110="",$D$7=""),"",TRIM(IFERROR(LEFT(INDEX($A110:$AD110,1,$D$7),FIND(",",INDEX($A110:$AD110,1,$D$7))-1),INDEX($A110:$AD110,1,$D$7))))</f>
        <v/>
      </c>
      <c r="AI110" s="36" t="n">
        <f aca="false">IF(OR(AF110="",$D$5=""),0,IFERROR(IF(ISNUMBER(INDEX($A110:$AD110,1,$D$5)),INDEX($A110:$AD110,1,$D$5),TIMEVALUE(INDEX($A110:$AD110,1,$D$5)))*Inputs!$C$22,0))</f>
        <v>0</v>
      </c>
    </row>
    <row r="111" customFormat="false" ht="15" hidden="false" customHeight="false" outlineLevel="0" collapsed="false">
      <c r="AF111" s="18" t="str">
        <f aca="false">IF($D$4="","",IF(INDEX($A111:$AD111,1,$D$4)="","",IF(ISNUMBER(INDEX($A111:$AD111,1,$D$4)),INDEX($A111:$AD111,1,$D$4),IFERROR(DATEVALUE(INDEX($A111:$AD111,1,$D$4)),""))))</f>
        <v/>
      </c>
      <c r="AG111" s="30" t="str">
        <f aca="false">IF(OR(AF111="",$D$6=""),"",IF(LEFT(INDEX($A111:$AD111,1,$D$6),LEN(Inputs!$C$30))=Inputs!$C$30,INDEX($A111:$AD111,1,$D$6),""))</f>
        <v/>
      </c>
      <c r="AH111" s="30" t="str">
        <f aca="false">IF(OR(AF111="",$D$7=""),"",TRIM(IFERROR(LEFT(INDEX($A111:$AD111,1,$D$7),FIND(",",INDEX($A111:$AD111,1,$D$7))-1),INDEX($A111:$AD111,1,$D$7))))</f>
        <v/>
      </c>
      <c r="AI111" s="36" t="n">
        <f aca="false">IF(OR(AF111="",$D$5=""),0,IFERROR(IF(ISNUMBER(INDEX($A111:$AD111,1,$D$5)),INDEX($A111:$AD111,1,$D$5),TIMEVALUE(INDEX($A111:$AD111,1,$D$5)))*Inputs!$C$22,0))</f>
        <v>0</v>
      </c>
    </row>
    <row r="112" customFormat="false" ht="15" hidden="false" customHeight="false" outlineLevel="0" collapsed="false">
      <c r="AF112" s="18" t="str">
        <f aca="false">IF($D$4="","",IF(INDEX($A112:$AD112,1,$D$4)="","",IF(ISNUMBER(INDEX($A112:$AD112,1,$D$4)),INDEX($A112:$AD112,1,$D$4),IFERROR(DATEVALUE(INDEX($A112:$AD112,1,$D$4)),""))))</f>
        <v/>
      </c>
      <c r="AG112" s="30" t="str">
        <f aca="false">IF(OR(AF112="",$D$6=""),"",IF(LEFT(INDEX($A112:$AD112,1,$D$6),LEN(Inputs!$C$30))=Inputs!$C$30,INDEX($A112:$AD112,1,$D$6),""))</f>
        <v/>
      </c>
      <c r="AH112" s="30" t="str">
        <f aca="false">IF(OR(AF112="",$D$7=""),"",TRIM(IFERROR(LEFT(INDEX($A112:$AD112,1,$D$7),FIND(",",INDEX($A112:$AD112,1,$D$7))-1),INDEX($A112:$AD112,1,$D$7))))</f>
        <v/>
      </c>
      <c r="AI112" s="36" t="n">
        <f aca="false">IF(OR(AF112="",$D$5=""),0,IFERROR(IF(ISNUMBER(INDEX($A112:$AD112,1,$D$5)),INDEX($A112:$AD112,1,$D$5),TIMEVALUE(INDEX($A112:$AD112,1,$D$5)))*Inputs!$C$22,0))</f>
        <v>0</v>
      </c>
    </row>
    <row r="113" customFormat="false" ht="15" hidden="false" customHeight="false" outlineLevel="0" collapsed="false">
      <c r="AF113" s="18" t="str">
        <f aca="false">IF($D$4="","",IF(INDEX($A113:$AD113,1,$D$4)="","",IF(ISNUMBER(INDEX($A113:$AD113,1,$D$4)),INDEX($A113:$AD113,1,$D$4),IFERROR(DATEVALUE(INDEX($A113:$AD113,1,$D$4)),""))))</f>
        <v/>
      </c>
      <c r="AG113" s="30" t="str">
        <f aca="false">IF(OR(AF113="",$D$6=""),"",IF(LEFT(INDEX($A113:$AD113,1,$D$6),LEN(Inputs!$C$30))=Inputs!$C$30,INDEX($A113:$AD113,1,$D$6),""))</f>
        <v/>
      </c>
      <c r="AH113" s="30" t="str">
        <f aca="false">IF(OR(AF113="",$D$7=""),"",TRIM(IFERROR(LEFT(INDEX($A113:$AD113,1,$D$7),FIND(",",INDEX($A113:$AD113,1,$D$7))-1),INDEX($A113:$AD113,1,$D$7))))</f>
        <v/>
      </c>
      <c r="AI113" s="36" t="n">
        <f aca="false">IF(OR(AF113="",$D$5=""),0,IFERROR(IF(ISNUMBER(INDEX($A113:$AD113,1,$D$5)),INDEX($A113:$AD113,1,$D$5),TIMEVALUE(INDEX($A113:$AD113,1,$D$5)))*Inputs!$C$22,0))</f>
        <v>0</v>
      </c>
    </row>
    <row r="114" customFormat="false" ht="15" hidden="false" customHeight="false" outlineLevel="0" collapsed="false">
      <c r="AF114" s="18" t="str">
        <f aca="false">IF($D$4="","",IF(INDEX($A114:$AD114,1,$D$4)="","",IF(ISNUMBER(INDEX($A114:$AD114,1,$D$4)),INDEX($A114:$AD114,1,$D$4),IFERROR(DATEVALUE(INDEX($A114:$AD114,1,$D$4)),""))))</f>
        <v/>
      </c>
      <c r="AG114" s="30" t="str">
        <f aca="false">IF(OR(AF114="",$D$6=""),"",IF(LEFT(INDEX($A114:$AD114,1,$D$6),LEN(Inputs!$C$30))=Inputs!$C$30,INDEX($A114:$AD114,1,$D$6),""))</f>
        <v/>
      </c>
      <c r="AH114" s="30" t="str">
        <f aca="false">IF(OR(AF114="",$D$7=""),"",TRIM(IFERROR(LEFT(INDEX($A114:$AD114,1,$D$7),FIND(",",INDEX($A114:$AD114,1,$D$7))-1),INDEX($A114:$AD114,1,$D$7))))</f>
        <v/>
      </c>
      <c r="AI114" s="36" t="n">
        <f aca="false">IF(OR(AF114="",$D$5=""),0,IFERROR(IF(ISNUMBER(INDEX($A114:$AD114,1,$D$5)),INDEX($A114:$AD114,1,$D$5),TIMEVALUE(INDEX($A114:$AD114,1,$D$5)))*Inputs!$C$22,0))</f>
        <v>0</v>
      </c>
    </row>
    <row r="115" customFormat="false" ht="15" hidden="false" customHeight="false" outlineLevel="0" collapsed="false">
      <c r="AF115" s="18" t="str">
        <f aca="false">IF($D$4="","",IF(INDEX($A115:$AD115,1,$D$4)="","",IF(ISNUMBER(INDEX($A115:$AD115,1,$D$4)),INDEX($A115:$AD115,1,$D$4),IFERROR(DATEVALUE(INDEX($A115:$AD115,1,$D$4)),""))))</f>
        <v/>
      </c>
      <c r="AG115" s="30" t="str">
        <f aca="false">IF(OR(AF115="",$D$6=""),"",IF(LEFT(INDEX($A115:$AD115,1,$D$6),LEN(Inputs!$C$30))=Inputs!$C$30,INDEX($A115:$AD115,1,$D$6),""))</f>
        <v/>
      </c>
      <c r="AH115" s="30" t="str">
        <f aca="false">IF(OR(AF115="",$D$7=""),"",TRIM(IFERROR(LEFT(INDEX($A115:$AD115,1,$D$7),FIND(",",INDEX($A115:$AD115,1,$D$7))-1),INDEX($A115:$AD115,1,$D$7))))</f>
        <v/>
      </c>
      <c r="AI115" s="36" t="n">
        <f aca="false">IF(OR(AF115="",$D$5=""),0,IFERROR(IF(ISNUMBER(INDEX($A115:$AD115,1,$D$5)),INDEX($A115:$AD115,1,$D$5),TIMEVALUE(INDEX($A115:$AD115,1,$D$5)))*Inputs!$C$22,0))</f>
        <v>0</v>
      </c>
    </row>
    <row r="116" customFormat="false" ht="15" hidden="false" customHeight="false" outlineLevel="0" collapsed="false">
      <c r="AF116" s="18" t="str">
        <f aca="false">IF($D$4="","",IF(INDEX($A116:$AD116,1,$D$4)="","",IF(ISNUMBER(INDEX($A116:$AD116,1,$D$4)),INDEX($A116:$AD116,1,$D$4),IFERROR(DATEVALUE(INDEX($A116:$AD116,1,$D$4)),""))))</f>
        <v/>
      </c>
      <c r="AG116" s="30" t="str">
        <f aca="false">IF(OR(AF116="",$D$6=""),"",IF(LEFT(INDEX($A116:$AD116,1,$D$6),LEN(Inputs!$C$30))=Inputs!$C$30,INDEX($A116:$AD116,1,$D$6),""))</f>
        <v/>
      </c>
      <c r="AH116" s="30" t="str">
        <f aca="false">IF(OR(AF116="",$D$7=""),"",TRIM(IFERROR(LEFT(INDEX($A116:$AD116,1,$D$7),FIND(",",INDEX($A116:$AD116,1,$D$7))-1),INDEX($A116:$AD116,1,$D$7))))</f>
        <v/>
      </c>
      <c r="AI116" s="36" t="n">
        <f aca="false">IF(OR(AF116="",$D$5=""),0,IFERROR(IF(ISNUMBER(INDEX($A116:$AD116,1,$D$5)),INDEX($A116:$AD116,1,$D$5),TIMEVALUE(INDEX($A116:$AD116,1,$D$5)))*Inputs!$C$22,0))</f>
        <v>0</v>
      </c>
    </row>
    <row r="117" customFormat="false" ht="15" hidden="false" customHeight="false" outlineLevel="0" collapsed="false">
      <c r="AF117" s="18" t="str">
        <f aca="false">IF($D$4="","",IF(INDEX($A117:$AD117,1,$D$4)="","",IF(ISNUMBER(INDEX($A117:$AD117,1,$D$4)),INDEX($A117:$AD117,1,$D$4),IFERROR(DATEVALUE(INDEX($A117:$AD117,1,$D$4)),""))))</f>
        <v/>
      </c>
      <c r="AG117" s="30" t="str">
        <f aca="false">IF(OR(AF117="",$D$6=""),"",IF(LEFT(INDEX($A117:$AD117,1,$D$6),LEN(Inputs!$C$30))=Inputs!$C$30,INDEX($A117:$AD117,1,$D$6),""))</f>
        <v/>
      </c>
      <c r="AH117" s="30" t="str">
        <f aca="false">IF(OR(AF117="",$D$7=""),"",TRIM(IFERROR(LEFT(INDEX($A117:$AD117,1,$D$7),FIND(",",INDEX($A117:$AD117,1,$D$7))-1),INDEX($A117:$AD117,1,$D$7))))</f>
        <v/>
      </c>
      <c r="AI117" s="36" t="n">
        <f aca="false">IF(OR(AF117="",$D$5=""),0,IFERROR(IF(ISNUMBER(INDEX($A117:$AD117,1,$D$5)),INDEX($A117:$AD117,1,$D$5),TIMEVALUE(INDEX($A117:$AD117,1,$D$5)))*Inputs!$C$22,0))</f>
        <v>0</v>
      </c>
    </row>
    <row r="118" customFormat="false" ht="15" hidden="false" customHeight="false" outlineLevel="0" collapsed="false">
      <c r="AF118" s="18" t="str">
        <f aca="false">IF($D$4="","",IF(INDEX($A118:$AD118,1,$D$4)="","",IF(ISNUMBER(INDEX($A118:$AD118,1,$D$4)),INDEX($A118:$AD118,1,$D$4),IFERROR(DATEVALUE(INDEX($A118:$AD118,1,$D$4)),""))))</f>
        <v/>
      </c>
      <c r="AG118" s="30" t="str">
        <f aca="false">IF(OR(AF118="",$D$6=""),"",IF(LEFT(INDEX($A118:$AD118,1,$D$6),LEN(Inputs!$C$30))=Inputs!$C$30,INDEX($A118:$AD118,1,$D$6),""))</f>
        <v/>
      </c>
      <c r="AH118" s="30" t="str">
        <f aca="false">IF(OR(AF118="",$D$7=""),"",TRIM(IFERROR(LEFT(INDEX($A118:$AD118,1,$D$7),FIND(",",INDEX($A118:$AD118,1,$D$7))-1),INDEX($A118:$AD118,1,$D$7))))</f>
        <v/>
      </c>
      <c r="AI118" s="36" t="n">
        <f aca="false">IF(OR(AF118="",$D$5=""),0,IFERROR(IF(ISNUMBER(INDEX($A118:$AD118,1,$D$5)),INDEX($A118:$AD118,1,$D$5),TIMEVALUE(INDEX($A118:$AD118,1,$D$5)))*Inputs!$C$22,0))</f>
        <v>0</v>
      </c>
    </row>
    <row r="119" customFormat="false" ht="15" hidden="false" customHeight="false" outlineLevel="0" collapsed="false">
      <c r="AF119" s="18" t="str">
        <f aca="false">IF($D$4="","",IF(INDEX($A119:$AD119,1,$D$4)="","",IF(ISNUMBER(INDEX($A119:$AD119,1,$D$4)),INDEX($A119:$AD119,1,$D$4),IFERROR(DATEVALUE(INDEX($A119:$AD119,1,$D$4)),""))))</f>
        <v/>
      </c>
      <c r="AG119" s="30" t="str">
        <f aca="false">IF(OR(AF119="",$D$6=""),"",IF(LEFT(INDEX($A119:$AD119,1,$D$6),LEN(Inputs!$C$30))=Inputs!$C$30,INDEX($A119:$AD119,1,$D$6),""))</f>
        <v/>
      </c>
      <c r="AH119" s="30" t="str">
        <f aca="false">IF(OR(AF119="",$D$7=""),"",TRIM(IFERROR(LEFT(INDEX($A119:$AD119,1,$D$7),FIND(",",INDEX($A119:$AD119,1,$D$7))-1),INDEX($A119:$AD119,1,$D$7))))</f>
        <v/>
      </c>
      <c r="AI119" s="36" t="n">
        <f aca="false">IF(OR(AF119="",$D$5=""),0,IFERROR(IF(ISNUMBER(INDEX($A119:$AD119,1,$D$5)),INDEX($A119:$AD119,1,$D$5),TIMEVALUE(INDEX($A119:$AD119,1,$D$5)))*Inputs!$C$22,0))</f>
        <v>0</v>
      </c>
    </row>
    <row r="120" customFormat="false" ht="15" hidden="false" customHeight="false" outlineLevel="0" collapsed="false">
      <c r="AF120" s="18" t="str">
        <f aca="false">IF($D$4="","",IF(INDEX($A120:$AD120,1,$D$4)="","",IF(ISNUMBER(INDEX($A120:$AD120,1,$D$4)),INDEX($A120:$AD120,1,$D$4),IFERROR(DATEVALUE(INDEX($A120:$AD120,1,$D$4)),""))))</f>
        <v/>
      </c>
      <c r="AG120" s="30" t="str">
        <f aca="false">IF(OR(AF120="",$D$6=""),"",IF(LEFT(INDEX($A120:$AD120,1,$D$6),LEN(Inputs!$C$30))=Inputs!$C$30,INDEX($A120:$AD120,1,$D$6),""))</f>
        <v/>
      </c>
      <c r="AH120" s="30" t="str">
        <f aca="false">IF(OR(AF120="",$D$7=""),"",TRIM(IFERROR(LEFT(INDEX($A120:$AD120,1,$D$7),FIND(",",INDEX($A120:$AD120,1,$D$7))-1),INDEX($A120:$AD120,1,$D$7))))</f>
        <v/>
      </c>
      <c r="AI120" s="36" t="n">
        <f aca="false">IF(OR(AF120="",$D$5=""),0,IFERROR(IF(ISNUMBER(INDEX($A120:$AD120,1,$D$5)),INDEX($A120:$AD120,1,$D$5),TIMEVALUE(INDEX($A120:$AD120,1,$D$5)))*Inputs!$C$22,0))</f>
        <v>0</v>
      </c>
    </row>
    <row r="121" customFormat="false" ht="15" hidden="false" customHeight="false" outlineLevel="0" collapsed="false">
      <c r="AF121" s="18" t="str">
        <f aca="false">IF($D$4="","",IF(INDEX($A121:$AD121,1,$D$4)="","",IF(ISNUMBER(INDEX($A121:$AD121,1,$D$4)),INDEX($A121:$AD121,1,$D$4),IFERROR(DATEVALUE(INDEX($A121:$AD121,1,$D$4)),""))))</f>
        <v/>
      </c>
      <c r="AG121" s="30" t="str">
        <f aca="false">IF(OR(AF121="",$D$6=""),"",IF(LEFT(INDEX($A121:$AD121,1,$D$6),LEN(Inputs!$C$30))=Inputs!$C$30,INDEX($A121:$AD121,1,$D$6),""))</f>
        <v/>
      </c>
      <c r="AH121" s="30" t="str">
        <f aca="false">IF(OR(AF121="",$D$7=""),"",TRIM(IFERROR(LEFT(INDEX($A121:$AD121,1,$D$7),FIND(",",INDEX($A121:$AD121,1,$D$7))-1),INDEX($A121:$AD121,1,$D$7))))</f>
        <v/>
      </c>
      <c r="AI121" s="36" t="n">
        <f aca="false">IF(OR(AF121="",$D$5=""),0,IFERROR(IF(ISNUMBER(INDEX($A121:$AD121,1,$D$5)),INDEX($A121:$AD121,1,$D$5),TIMEVALUE(INDEX($A121:$AD121,1,$D$5)))*Inputs!$C$22,0))</f>
        <v>0</v>
      </c>
    </row>
    <row r="122" customFormat="false" ht="15" hidden="false" customHeight="false" outlineLevel="0" collapsed="false">
      <c r="AF122" s="18" t="str">
        <f aca="false">IF($D$4="","",IF(INDEX($A122:$AD122,1,$D$4)="","",IF(ISNUMBER(INDEX($A122:$AD122,1,$D$4)),INDEX($A122:$AD122,1,$D$4),IFERROR(DATEVALUE(INDEX($A122:$AD122,1,$D$4)),""))))</f>
        <v/>
      </c>
      <c r="AG122" s="30" t="str">
        <f aca="false">IF(OR(AF122="",$D$6=""),"",IF(LEFT(INDEX($A122:$AD122,1,$D$6),LEN(Inputs!$C$30))=Inputs!$C$30,INDEX($A122:$AD122,1,$D$6),""))</f>
        <v/>
      </c>
      <c r="AH122" s="30" t="str">
        <f aca="false">IF(OR(AF122="",$D$7=""),"",TRIM(IFERROR(LEFT(INDEX($A122:$AD122,1,$D$7),FIND(",",INDEX($A122:$AD122,1,$D$7))-1),INDEX($A122:$AD122,1,$D$7))))</f>
        <v/>
      </c>
      <c r="AI122" s="36" t="n">
        <f aca="false">IF(OR(AF122="",$D$5=""),0,IFERROR(IF(ISNUMBER(INDEX($A122:$AD122,1,$D$5)),INDEX($A122:$AD122,1,$D$5),TIMEVALUE(INDEX($A122:$AD122,1,$D$5)))*Inputs!$C$22,0))</f>
        <v>0</v>
      </c>
    </row>
    <row r="123" customFormat="false" ht="15" hidden="false" customHeight="false" outlineLevel="0" collapsed="false">
      <c r="AF123" s="18" t="str">
        <f aca="false">IF($D$4="","",IF(INDEX($A123:$AD123,1,$D$4)="","",IF(ISNUMBER(INDEX($A123:$AD123,1,$D$4)),INDEX($A123:$AD123,1,$D$4),IFERROR(DATEVALUE(INDEX($A123:$AD123,1,$D$4)),""))))</f>
        <v/>
      </c>
      <c r="AG123" s="30" t="str">
        <f aca="false">IF(OR(AF123="",$D$6=""),"",IF(LEFT(INDEX($A123:$AD123,1,$D$6),LEN(Inputs!$C$30))=Inputs!$C$30,INDEX($A123:$AD123,1,$D$6),""))</f>
        <v/>
      </c>
      <c r="AH123" s="30" t="str">
        <f aca="false">IF(OR(AF123="",$D$7=""),"",TRIM(IFERROR(LEFT(INDEX($A123:$AD123,1,$D$7),FIND(",",INDEX($A123:$AD123,1,$D$7))-1),INDEX($A123:$AD123,1,$D$7))))</f>
        <v/>
      </c>
      <c r="AI123" s="36" t="n">
        <f aca="false">IF(OR(AF123="",$D$5=""),0,IFERROR(IF(ISNUMBER(INDEX($A123:$AD123,1,$D$5)),INDEX($A123:$AD123,1,$D$5),TIMEVALUE(INDEX($A123:$AD123,1,$D$5)))*Inputs!$C$22,0))</f>
        <v>0</v>
      </c>
    </row>
    <row r="124" customFormat="false" ht="15" hidden="false" customHeight="false" outlineLevel="0" collapsed="false">
      <c r="AF124" s="18" t="str">
        <f aca="false">IF($D$4="","",IF(INDEX($A124:$AD124,1,$D$4)="","",IF(ISNUMBER(INDEX($A124:$AD124,1,$D$4)),INDEX($A124:$AD124,1,$D$4),IFERROR(DATEVALUE(INDEX($A124:$AD124,1,$D$4)),""))))</f>
        <v/>
      </c>
      <c r="AG124" s="30" t="str">
        <f aca="false">IF(OR(AF124="",$D$6=""),"",IF(LEFT(INDEX($A124:$AD124,1,$D$6),LEN(Inputs!$C$30))=Inputs!$C$30,INDEX($A124:$AD124,1,$D$6),""))</f>
        <v/>
      </c>
      <c r="AH124" s="30" t="str">
        <f aca="false">IF(OR(AF124="",$D$7=""),"",TRIM(IFERROR(LEFT(INDEX($A124:$AD124,1,$D$7),FIND(",",INDEX($A124:$AD124,1,$D$7))-1),INDEX($A124:$AD124,1,$D$7))))</f>
        <v/>
      </c>
      <c r="AI124" s="36" t="n">
        <f aca="false">IF(OR(AF124="",$D$5=""),0,IFERROR(IF(ISNUMBER(INDEX($A124:$AD124,1,$D$5)),INDEX($A124:$AD124,1,$D$5),TIMEVALUE(INDEX($A124:$AD124,1,$D$5)))*Inputs!$C$22,0))</f>
        <v>0</v>
      </c>
    </row>
    <row r="125" customFormat="false" ht="15" hidden="false" customHeight="false" outlineLevel="0" collapsed="false">
      <c r="AF125" s="18" t="str">
        <f aca="false">IF($D$4="","",IF(INDEX($A125:$AD125,1,$D$4)="","",IF(ISNUMBER(INDEX($A125:$AD125,1,$D$4)),INDEX($A125:$AD125,1,$D$4),IFERROR(DATEVALUE(INDEX($A125:$AD125,1,$D$4)),""))))</f>
        <v/>
      </c>
      <c r="AG125" s="30" t="str">
        <f aca="false">IF(OR(AF125="",$D$6=""),"",IF(LEFT(INDEX($A125:$AD125,1,$D$6),LEN(Inputs!$C$30))=Inputs!$C$30,INDEX($A125:$AD125,1,$D$6),""))</f>
        <v/>
      </c>
      <c r="AH125" s="30" t="str">
        <f aca="false">IF(OR(AF125="",$D$7=""),"",TRIM(IFERROR(LEFT(INDEX($A125:$AD125,1,$D$7),FIND(",",INDEX($A125:$AD125,1,$D$7))-1),INDEX($A125:$AD125,1,$D$7))))</f>
        <v/>
      </c>
      <c r="AI125" s="36" t="n">
        <f aca="false">IF(OR(AF125="",$D$5=""),0,IFERROR(IF(ISNUMBER(INDEX($A125:$AD125,1,$D$5)),INDEX($A125:$AD125,1,$D$5),TIMEVALUE(INDEX($A125:$AD125,1,$D$5)))*Inputs!$C$22,0))</f>
        <v>0</v>
      </c>
    </row>
    <row r="126" customFormat="false" ht="15" hidden="false" customHeight="false" outlineLevel="0" collapsed="false">
      <c r="AF126" s="18" t="str">
        <f aca="false">IF($D$4="","",IF(INDEX($A126:$AD126,1,$D$4)="","",IF(ISNUMBER(INDEX($A126:$AD126,1,$D$4)),INDEX($A126:$AD126,1,$D$4),IFERROR(DATEVALUE(INDEX($A126:$AD126,1,$D$4)),""))))</f>
        <v/>
      </c>
      <c r="AG126" s="30" t="str">
        <f aca="false">IF(OR(AF126="",$D$6=""),"",IF(LEFT(INDEX($A126:$AD126,1,$D$6),LEN(Inputs!$C$30))=Inputs!$C$30,INDEX($A126:$AD126,1,$D$6),""))</f>
        <v/>
      </c>
      <c r="AH126" s="30" t="str">
        <f aca="false">IF(OR(AF126="",$D$7=""),"",TRIM(IFERROR(LEFT(INDEX($A126:$AD126,1,$D$7),FIND(",",INDEX($A126:$AD126,1,$D$7))-1),INDEX($A126:$AD126,1,$D$7))))</f>
        <v/>
      </c>
      <c r="AI126" s="36" t="n">
        <f aca="false">IF(OR(AF126="",$D$5=""),0,IFERROR(IF(ISNUMBER(INDEX($A126:$AD126,1,$D$5)),INDEX($A126:$AD126,1,$D$5),TIMEVALUE(INDEX($A126:$AD126,1,$D$5)))*Inputs!$C$22,0))</f>
        <v>0</v>
      </c>
    </row>
    <row r="127" customFormat="false" ht="15" hidden="false" customHeight="false" outlineLevel="0" collapsed="false">
      <c r="AF127" s="18" t="str">
        <f aca="false">IF($D$4="","",IF(INDEX($A127:$AD127,1,$D$4)="","",IF(ISNUMBER(INDEX($A127:$AD127,1,$D$4)),INDEX($A127:$AD127,1,$D$4),IFERROR(DATEVALUE(INDEX($A127:$AD127,1,$D$4)),""))))</f>
        <v/>
      </c>
      <c r="AG127" s="30" t="str">
        <f aca="false">IF(OR(AF127="",$D$6=""),"",IF(LEFT(INDEX($A127:$AD127,1,$D$6),LEN(Inputs!$C$30))=Inputs!$C$30,INDEX($A127:$AD127,1,$D$6),""))</f>
        <v/>
      </c>
      <c r="AH127" s="30" t="str">
        <f aca="false">IF(OR(AF127="",$D$7=""),"",TRIM(IFERROR(LEFT(INDEX($A127:$AD127,1,$D$7),FIND(",",INDEX($A127:$AD127,1,$D$7))-1),INDEX($A127:$AD127,1,$D$7))))</f>
        <v/>
      </c>
      <c r="AI127" s="36" t="n">
        <f aca="false">IF(OR(AF127="",$D$5=""),0,IFERROR(IF(ISNUMBER(INDEX($A127:$AD127,1,$D$5)),INDEX($A127:$AD127,1,$D$5),TIMEVALUE(INDEX($A127:$AD127,1,$D$5)))*Inputs!$C$22,0))</f>
        <v>0</v>
      </c>
    </row>
    <row r="128" customFormat="false" ht="15" hidden="false" customHeight="false" outlineLevel="0" collapsed="false">
      <c r="AF128" s="18" t="str">
        <f aca="false">IF($D$4="","",IF(INDEX($A128:$AD128,1,$D$4)="","",IF(ISNUMBER(INDEX($A128:$AD128,1,$D$4)),INDEX($A128:$AD128,1,$D$4),IFERROR(DATEVALUE(INDEX($A128:$AD128,1,$D$4)),""))))</f>
        <v/>
      </c>
      <c r="AG128" s="30" t="str">
        <f aca="false">IF(OR(AF128="",$D$6=""),"",IF(LEFT(INDEX($A128:$AD128,1,$D$6),LEN(Inputs!$C$30))=Inputs!$C$30,INDEX($A128:$AD128,1,$D$6),""))</f>
        <v/>
      </c>
      <c r="AH128" s="30" t="str">
        <f aca="false">IF(OR(AF128="",$D$7=""),"",TRIM(IFERROR(LEFT(INDEX($A128:$AD128,1,$D$7),FIND(",",INDEX($A128:$AD128,1,$D$7))-1),INDEX($A128:$AD128,1,$D$7))))</f>
        <v/>
      </c>
      <c r="AI128" s="36" t="n">
        <f aca="false">IF(OR(AF128="",$D$5=""),0,IFERROR(IF(ISNUMBER(INDEX($A128:$AD128,1,$D$5)),INDEX($A128:$AD128,1,$D$5),TIMEVALUE(INDEX($A128:$AD128,1,$D$5)))*Inputs!$C$22,0))</f>
        <v>0</v>
      </c>
    </row>
    <row r="129" customFormat="false" ht="15" hidden="false" customHeight="false" outlineLevel="0" collapsed="false">
      <c r="AF129" s="18" t="str">
        <f aca="false">IF($D$4="","",IF(INDEX($A129:$AD129,1,$D$4)="","",IF(ISNUMBER(INDEX($A129:$AD129,1,$D$4)),INDEX($A129:$AD129,1,$D$4),IFERROR(DATEVALUE(INDEX($A129:$AD129,1,$D$4)),""))))</f>
        <v/>
      </c>
      <c r="AG129" s="30" t="str">
        <f aca="false">IF(OR(AF129="",$D$6=""),"",IF(LEFT(INDEX($A129:$AD129,1,$D$6),LEN(Inputs!$C$30))=Inputs!$C$30,INDEX($A129:$AD129,1,$D$6),""))</f>
        <v/>
      </c>
      <c r="AH129" s="30" t="str">
        <f aca="false">IF(OR(AF129="",$D$7=""),"",TRIM(IFERROR(LEFT(INDEX($A129:$AD129,1,$D$7),FIND(",",INDEX($A129:$AD129,1,$D$7))-1),INDEX($A129:$AD129,1,$D$7))))</f>
        <v/>
      </c>
      <c r="AI129" s="36" t="n">
        <f aca="false">IF(OR(AF129="",$D$5=""),0,IFERROR(IF(ISNUMBER(INDEX($A129:$AD129,1,$D$5)),INDEX($A129:$AD129,1,$D$5),TIMEVALUE(INDEX($A129:$AD129,1,$D$5)))*Inputs!$C$22,0))</f>
        <v>0</v>
      </c>
    </row>
    <row r="130" customFormat="false" ht="15" hidden="false" customHeight="false" outlineLevel="0" collapsed="false">
      <c r="AF130" s="18" t="str">
        <f aca="false">IF($D$4="","",IF(INDEX($A130:$AD130,1,$D$4)="","",IF(ISNUMBER(INDEX($A130:$AD130,1,$D$4)),INDEX($A130:$AD130,1,$D$4),IFERROR(DATEVALUE(INDEX($A130:$AD130,1,$D$4)),""))))</f>
        <v/>
      </c>
      <c r="AG130" s="30" t="str">
        <f aca="false">IF(OR(AF130="",$D$6=""),"",IF(LEFT(INDEX($A130:$AD130,1,$D$6),LEN(Inputs!$C$30))=Inputs!$C$30,INDEX($A130:$AD130,1,$D$6),""))</f>
        <v/>
      </c>
      <c r="AH130" s="30" t="str">
        <f aca="false">IF(OR(AF130="",$D$7=""),"",TRIM(IFERROR(LEFT(INDEX($A130:$AD130,1,$D$7),FIND(",",INDEX($A130:$AD130,1,$D$7))-1),INDEX($A130:$AD130,1,$D$7))))</f>
        <v/>
      </c>
      <c r="AI130" s="36" t="n">
        <f aca="false">IF(OR(AF130="",$D$5=""),0,IFERROR(IF(ISNUMBER(INDEX($A130:$AD130,1,$D$5)),INDEX($A130:$AD130,1,$D$5),TIMEVALUE(INDEX($A130:$AD130,1,$D$5)))*Inputs!$C$22,0))</f>
        <v>0</v>
      </c>
    </row>
    <row r="131" customFormat="false" ht="15" hidden="false" customHeight="false" outlineLevel="0" collapsed="false">
      <c r="AF131" s="18" t="str">
        <f aca="false">IF($D$4="","",IF(INDEX($A131:$AD131,1,$D$4)="","",IF(ISNUMBER(INDEX($A131:$AD131,1,$D$4)),INDEX($A131:$AD131,1,$D$4),IFERROR(DATEVALUE(INDEX($A131:$AD131,1,$D$4)),""))))</f>
        <v/>
      </c>
      <c r="AG131" s="30" t="str">
        <f aca="false">IF(OR(AF131="",$D$6=""),"",IF(LEFT(INDEX($A131:$AD131,1,$D$6),LEN(Inputs!$C$30))=Inputs!$C$30,INDEX($A131:$AD131,1,$D$6),""))</f>
        <v/>
      </c>
      <c r="AH131" s="30" t="str">
        <f aca="false">IF(OR(AF131="",$D$7=""),"",TRIM(IFERROR(LEFT(INDEX($A131:$AD131,1,$D$7),FIND(",",INDEX($A131:$AD131,1,$D$7))-1),INDEX($A131:$AD131,1,$D$7))))</f>
        <v/>
      </c>
      <c r="AI131" s="36" t="n">
        <f aca="false">IF(OR(AF131="",$D$5=""),0,IFERROR(IF(ISNUMBER(INDEX($A131:$AD131,1,$D$5)),INDEX($A131:$AD131,1,$D$5),TIMEVALUE(INDEX($A131:$AD131,1,$D$5)))*Inputs!$C$22,0))</f>
        <v>0</v>
      </c>
    </row>
    <row r="132" customFormat="false" ht="15" hidden="false" customHeight="false" outlineLevel="0" collapsed="false">
      <c r="AF132" s="18" t="str">
        <f aca="false">IF($D$4="","",IF(INDEX($A132:$AD132,1,$D$4)="","",IF(ISNUMBER(INDEX($A132:$AD132,1,$D$4)),INDEX($A132:$AD132,1,$D$4),IFERROR(DATEVALUE(INDEX($A132:$AD132,1,$D$4)),""))))</f>
        <v/>
      </c>
      <c r="AG132" s="30" t="str">
        <f aca="false">IF(OR(AF132="",$D$6=""),"",IF(LEFT(INDEX($A132:$AD132,1,$D$6),LEN(Inputs!$C$30))=Inputs!$C$30,INDEX($A132:$AD132,1,$D$6),""))</f>
        <v/>
      </c>
      <c r="AH132" s="30" t="str">
        <f aca="false">IF(OR(AF132="",$D$7=""),"",TRIM(IFERROR(LEFT(INDEX($A132:$AD132,1,$D$7),FIND(",",INDEX($A132:$AD132,1,$D$7))-1),INDEX($A132:$AD132,1,$D$7))))</f>
        <v/>
      </c>
      <c r="AI132" s="36" t="n">
        <f aca="false">IF(OR(AF132="",$D$5=""),0,IFERROR(IF(ISNUMBER(INDEX($A132:$AD132,1,$D$5)),INDEX($A132:$AD132,1,$D$5),TIMEVALUE(INDEX($A132:$AD132,1,$D$5)))*Inputs!$C$22,0))</f>
        <v>0</v>
      </c>
    </row>
    <row r="133" customFormat="false" ht="15" hidden="false" customHeight="false" outlineLevel="0" collapsed="false">
      <c r="AF133" s="18" t="str">
        <f aca="false">IF($D$4="","",IF(INDEX($A133:$AD133,1,$D$4)="","",IF(ISNUMBER(INDEX($A133:$AD133,1,$D$4)),INDEX($A133:$AD133,1,$D$4),IFERROR(DATEVALUE(INDEX($A133:$AD133,1,$D$4)),""))))</f>
        <v/>
      </c>
      <c r="AG133" s="30" t="str">
        <f aca="false">IF(OR(AF133="",$D$6=""),"",IF(LEFT(INDEX($A133:$AD133,1,$D$6),LEN(Inputs!$C$30))=Inputs!$C$30,INDEX($A133:$AD133,1,$D$6),""))</f>
        <v/>
      </c>
      <c r="AH133" s="30" t="str">
        <f aca="false">IF(OR(AF133="",$D$7=""),"",TRIM(IFERROR(LEFT(INDEX($A133:$AD133,1,$D$7),FIND(",",INDEX($A133:$AD133,1,$D$7))-1),INDEX($A133:$AD133,1,$D$7))))</f>
        <v/>
      </c>
      <c r="AI133" s="36" t="n">
        <f aca="false">IF(OR(AF133="",$D$5=""),0,IFERROR(IF(ISNUMBER(INDEX($A133:$AD133,1,$D$5)),INDEX($A133:$AD133,1,$D$5),TIMEVALUE(INDEX($A133:$AD133,1,$D$5)))*Inputs!$C$22,0))</f>
        <v>0</v>
      </c>
    </row>
    <row r="134" customFormat="false" ht="15" hidden="false" customHeight="false" outlineLevel="0" collapsed="false">
      <c r="AF134" s="18" t="str">
        <f aca="false">IF($D$4="","",IF(INDEX($A134:$AD134,1,$D$4)="","",IF(ISNUMBER(INDEX($A134:$AD134,1,$D$4)),INDEX($A134:$AD134,1,$D$4),IFERROR(DATEVALUE(INDEX($A134:$AD134,1,$D$4)),""))))</f>
        <v/>
      </c>
      <c r="AG134" s="30" t="str">
        <f aca="false">IF(OR(AF134="",$D$6=""),"",IF(LEFT(INDEX($A134:$AD134,1,$D$6),LEN(Inputs!$C$30))=Inputs!$C$30,INDEX($A134:$AD134,1,$D$6),""))</f>
        <v/>
      </c>
      <c r="AH134" s="30" t="str">
        <f aca="false">IF(OR(AF134="",$D$7=""),"",TRIM(IFERROR(LEFT(INDEX($A134:$AD134,1,$D$7),FIND(",",INDEX($A134:$AD134,1,$D$7))-1),INDEX($A134:$AD134,1,$D$7))))</f>
        <v/>
      </c>
      <c r="AI134" s="36" t="n">
        <f aca="false">IF(OR(AF134="",$D$5=""),0,IFERROR(IF(ISNUMBER(INDEX($A134:$AD134,1,$D$5)),INDEX($A134:$AD134,1,$D$5),TIMEVALUE(INDEX($A134:$AD134,1,$D$5)))*Inputs!$C$22,0))</f>
        <v>0</v>
      </c>
    </row>
    <row r="135" customFormat="false" ht="15" hidden="false" customHeight="false" outlineLevel="0" collapsed="false">
      <c r="AF135" s="18" t="str">
        <f aca="false">IF($D$4="","",IF(INDEX($A135:$AD135,1,$D$4)="","",IF(ISNUMBER(INDEX($A135:$AD135,1,$D$4)),INDEX($A135:$AD135,1,$D$4),IFERROR(DATEVALUE(INDEX($A135:$AD135,1,$D$4)),""))))</f>
        <v/>
      </c>
      <c r="AG135" s="30" t="str">
        <f aca="false">IF(OR(AF135="",$D$6=""),"",IF(LEFT(INDEX($A135:$AD135,1,$D$6),LEN(Inputs!$C$30))=Inputs!$C$30,INDEX($A135:$AD135,1,$D$6),""))</f>
        <v/>
      </c>
      <c r="AH135" s="30" t="str">
        <f aca="false">IF(OR(AF135="",$D$7=""),"",TRIM(IFERROR(LEFT(INDEX($A135:$AD135,1,$D$7),FIND(",",INDEX($A135:$AD135,1,$D$7))-1),INDEX($A135:$AD135,1,$D$7))))</f>
        <v/>
      </c>
      <c r="AI135" s="36" t="n">
        <f aca="false">IF(OR(AF135="",$D$5=""),0,IFERROR(IF(ISNUMBER(INDEX($A135:$AD135,1,$D$5)),INDEX($A135:$AD135,1,$D$5),TIMEVALUE(INDEX($A135:$AD135,1,$D$5)))*Inputs!$C$22,0))</f>
        <v>0</v>
      </c>
    </row>
    <row r="136" customFormat="false" ht="15" hidden="false" customHeight="false" outlineLevel="0" collapsed="false">
      <c r="AF136" s="18" t="str">
        <f aca="false">IF($D$4="","",IF(INDEX($A136:$AD136,1,$D$4)="","",IF(ISNUMBER(INDEX($A136:$AD136,1,$D$4)),INDEX($A136:$AD136,1,$D$4),IFERROR(DATEVALUE(INDEX($A136:$AD136,1,$D$4)),""))))</f>
        <v/>
      </c>
      <c r="AG136" s="30" t="str">
        <f aca="false">IF(OR(AF136="",$D$6=""),"",IF(LEFT(INDEX($A136:$AD136,1,$D$6),LEN(Inputs!$C$30))=Inputs!$C$30,INDEX($A136:$AD136,1,$D$6),""))</f>
        <v/>
      </c>
      <c r="AH136" s="30" t="str">
        <f aca="false">IF(OR(AF136="",$D$7=""),"",TRIM(IFERROR(LEFT(INDEX($A136:$AD136,1,$D$7),FIND(",",INDEX($A136:$AD136,1,$D$7))-1),INDEX($A136:$AD136,1,$D$7))))</f>
        <v/>
      </c>
      <c r="AI136" s="36" t="n">
        <f aca="false">IF(OR(AF136="",$D$5=""),0,IFERROR(IF(ISNUMBER(INDEX($A136:$AD136,1,$D$5)),INDEX($A136:$AD136,1,$D$5),TIMEVALUE(INDEX($A136:$AD136,1,$D$5)))*Inputs!$C$22,0))</f>
        <v>0</v>
      </c>
    </row>
    <row r="137" customFormat="false" ht="15" hidden="false" customHeight="false" outlineLevel="0" collapsed="false">
      <c r="AF137" s="18" t="str">
        <f aca="false">IF($D$4="","",IF(INDEX($A137:$AD137,1,$D$4)="","",IF(ISNUMBER(INDEX($A137:$AD137,1,$D$4)),INDEX($A137:$AD137,1,$D$4),IFERROR(DATEVALUE(INDEX($A137:$AD137,1,$D$4)),""))))</f>
        <v/>
      </c>
      <c r="AG137" s="30" t="str">
        <f aca="false">IF(OR(AF137="",$D$6=""),"",IF(LEFT(INDEX($A137:$AD137,1,$D$6),LEN(Inputs!$C$30))=Inputs!$C$30,INDEX($A137:$AD137,1,$D$6),""))</f>
        <v/>
      </c>
      <c r="AH137" s="30" t="str">
        <f aca="false">IF(OR(AF137="",$D$7=""),"",TRIM(IFERROR(LEFT(INDEX($A137:$AD137,1,$D$7),FIND(",",INDEX($A137:$AD137,1,$D$7))-1),INDEX($A137:$AD137,1,$D$7))))</f>
        <v/>
      </c>
      <c r="AI137" s="36" t="n">
        <f aca="false">IF(OR(AF137="",$D$5=""),0,IFERROR(IF(ISNUMBER(INDEX($A137:$AD137,1,$D$5)),INDEX($A137:$AD137,1,$D$5),TIMEVALUE(INDEX($A137:$AD137,1,$D$5)))*Inputs!$C$22,0))</f>
        <v>0</v>
      </c>
    </row>
    <row r="138" customFormat="false" ht="15" hidden="false" customHeight="false" outlineLevel="0" collapsed="false">
      <c r="AF138" s="18" t="str">
        <f aca="false">IF($D$4="","",IF(INDEX($A138:$AD138,1,$D$4)="","",IF(ISNUMBER(INDEX($A138:$AD138,1,$D$4)),INDEX($A138:$AD138,1,$D$4),IFERROR(DATEVALUE(INDEX($A138:$AD138,1,$D$4)),""))))</f>
        <v/>
      </c>
      <c r="AG138" s="30" t="str">
        <f aca="false">IF(OR(AF138="",$D$6=""),"",IF(LEFT(INDEX($A138:$AD138,1,$D$6),LEN(Inputs!$C$30))=Inputs!$C$30,INDEX($A138:$AD138,1,$D$6),""))</f>
        <v/>
      </c>
      <c r="AH138" s="30" t="str">
        <f aca="false">IF(OR(AF138="",$D$7=""),"",TRIM(IFERROR(LEFT(INDEX($A138:$AD138,1,$D$7),FIND(",",INDEX($A138:$AD138,1,$D$7))-1),INDEX($A138:$AD138,1,$D$7))))</f>
        <v/>
      </c>
      <c r="AI138" s="36" t="n">
        <f aca="false">IF(OR(AF138="",$D$5=""),0,IFERROR(IF(ISNUMBER(INDEX($A138:$AD138,1,$D$5)),INDEX($A138:$AD138,1,$D$5),TIMEVALUE(INDEX($A138:$AD138,1,$D$5)))*Inputs!$C$22,0))</f>
        <v>0</v>
      </c>
    </row>
    <row r="139" customFormat="false" ht="15" hidden="false" customHeight="false" outlineLevel="0" collapsed="false">
      <c r="AF139" s="18" t="str">
        <f aca="false">IF($D$4="","",IF(INDEX($A139:$AD139,1,$D$4)="","",IF(ISNUMBER(INDEX($A139:$AD139,1,$D$4)),INDEX($A139:$AD139,1,$D$4),IFERROR(DATEVALUE(INDEX($A139:$AD139,1,$D$4)),""))))</f>
        <v/>
      </c>
      <c r="AG139" s="30" t="str">
        <f aca="false">IF(OR(AF139="",$D$6=""),"",IF(LEFT(INDEX($A139:$AD139,1,$D$6),LEN(Inputs!$C$30))=Inputs!$C$30,INDEX($A139:$AD139,1,$D$6),""))</f>
        <v/>
      </c>
      <c r="AH139" s="30" t="str">
        <f aca="false">IF(OR(AF139="",$D$7=""),"",TRIM(IFERROR(LEFT(INDEX($A139:$AD139,1,$D$7),FIND(",",INDEX($A139:$AD139,1,$D$7))-1),INDEX($A139:$AD139,1,$D$7))))</f>
        <v/>
      </c>
      <c r="AI139" s="36" t="n">
        <f aca="false">IF(OR(AF139="",$D$5=""),0,IFERROR(IF(ISNUMBER(INDEX($A139:$AD139,1,$D$5)),INDEX($A139:$AD139,1,$D$5),TIMEVALUE(INDEX($A139:$AD139,1,$D$5)))*Inputs!$C$22,0))</f>
        <v>0</v>
      </c>
    </row>
    <row r="140" customFormat="false" ht="15" hidden="false" customHeight="false" outlineLevel="0" collapsed="false">
      <c r="AF140" s="18" t="str">
        <f aca="false">IF($D$4="","",IF(INDEX($A140:$AD140,1,$D$4)="","",IF(ISNUMBER(INDEX($A140:$AD140,1,$D$4)),INDEX($A140:$AD140,1,$D$4),IFERROR(DATEVALUE(INDEX($A140:$AD140,1,$D$4)),""))))</f>
        <v/>
      </c>
      <c r="AG140" s="30" t="str">
        <f aca="false">IF(OR(AF140="",$D$6=""),"",IF(LEFT(INDEX($A140:$AD140,1,$D$6),LEN(Inputs!$C$30))=Inputs!$C$30,INDEX($A140:$AD140,1,$D$6),""))</f>
        <v/>
      </c>
      <c r="AH140" s="30" t="str">
        <f aca="false">IF(OR(AF140="",$D$7=""),"",TRIM(IFERROR(LEFT(INDEX($A140:$AD140,1,$D$7),FIND(",",INDEX($A140:$AD140,1,$D$7))-1),INDEX($A140:$AD140,1,$D$7))))</f>
        <v/>
      </c>
      <c r="AI140" s="36" t="n">
        <f aca="false">IF(OR(AF140="",$D$5=""),0,IFERROR(IF(ISNUMBER(INDEX($A140:$AD140,1,$D$5)),INDEX($A140:$AD140,1,$D$5),TIMEVALUE(INDEX($A140:$AD140,1,$D$5)))*Inputs!$C$22,0))</f>
        <v>0</v>
      </c>
    </row>
    <row r="141" customFormat="false" ht="15" hidden="false" customHeight="false" outlineLevel="0" collapsed="false">
      <c r="AF141" s="18" t="str">
        <f aca="false">IF($D$4="","",IF(INDEX($A141:$AD141,1,$D$4)="","",IF(ISNUMBER(INDEX($A141:$AD141,1,$D$4)),INDEX($A141:$AD141,1,$D$4),IFERROR(DATEVALUE(INDEX($A141:$AD141,1,$D$4)),""))))</f>
        <v/>
      </c>
      <c r="AG141" s="30" t="str">
        <f aca="false">IF(OR(AF141="",$D$6=""),"",IF(LEFT(INDEX($A141:$AD141,1,$D$6),LEN(Inputs!$C$30))=Inputs!$C$30,INDEX($A141:$AD141,1,$D$6),""))</f>
        <v/>
      </c>
      <c r="AH141" s="30" t="str">
        <f aca="false">IF(OR(AF141="",$D$7=""),"",TRIM(IFERROR(LEFT(INDEX($A141:$AD141,1,$D$7),FIND(",",INDEX($A141:$AD141,1,$D$7))-1),INDEX($A141:$AD141,1,$D$7))))</f>
        <v/>
      </c>
      <c r="AI141" s="36" t="n">
        <f aca="false">IF(OR(AF141="",$D$5=""),0,IFERROR(IF(ISNUMBER(INDEX($A141:$AD141,1,$D$5)),INDEX($A141:$AD141,1,$D$5),TIMEVALUE(INDEX($A141:$AD141,1,$D$5)))*Inputs!$C$22,0))</f>
        <v>0</v>
      </c>
    </row>
    <row r="142" customFormat="false" ht="15" hidden="false" customHeight="false" outlineLevel="0" collapsed="false">
      <c r="AF142" s="18" t="str">
        <f aca="false">IF($D$4="","",IF(INDEX($A142:$AD142,1,$D$4)="","",IF(ISNUMBER(INDEX($A142:$AD142,1,$D$4)),INDEX($A142:$AD142,1,$D$4),IFERROR(DATEVALUE(INDEX($A142:$AD142,1,$D$4)),""))))</f>
        <v/>
      </c>
      <c r="AG142" s="30" t="str">
        <f aca="false">IF(OR(AF142="",$D$6=""),"",IF(LEFT(INDEX($A142:$AD142,1,$D$6),LEN(Inputs!$C$30))=Inputs!$C$30,INDEX($A142:$AD142,1,$D$6),""))</f>
        <v/>
      </c>
      <c r="AH142" s="30" t="str">
        <f aca="false">IF(OR(AF142="",$D$7=""),"",TRIM(IFERROR(LEFT(INDEX($A142:$AD142,1,$D$7),FIND(",",INDEX($A142:$AD142,1,$D$7))-1),INDEX($A142:$AD142,1,$D$7))))</f>
        <v/>
      </c>
      <c r="AI142" s="36" t="n">
        <f aca="false">IF(OR(AF142="",$D$5=""),0,IFERROR(IF(ISNUMBER(INDEX($A142:$AD142,1,$D$5)),INDEX($A142:$AD142,1,$D$5),TIMEVALUE(INDEX($A142:$AD142,1,$D$5)))*Inputs!$C$22,0))</f>
        <v>0</v>
      </c>
    </row>
    <row r="143" customFormat="false" ht="15" hidden="false" customHeight="false" outlineLevel="0" collapsed="false">
      <c r="AF143" s="18" t="str">
        <f aca="false">IF($D$4="","",IF(INDEX($A143:$AD143,1,$D$4)="","",IF(ISNUMBER(INDEX($A143:$AD143,1,$D$4)),INDEX($A143:$AD143,1,$D$4),IFERROR(DATEVALUE(INDEX($A143:$AD143,1,$D$4)),""))))</f>
        <v/>
      </c>
      <c r="AG143" s="30" t="str">
        <f aca="false">IF(OR(AF143="",$D$6=""),"",IF(LEFT(INDEX($A143:$AD143,1,$D$6),LEN(Inputs!$C$30))=Inputs!$C$30,INDEX($A143:$AD143,1,$D$6),""))</f>
        <v/>
      </c>
      <c r="AH143" s="30" t="str">
        <f aca="false">IF(OR(AF143="",$D$7=""),"",TRIM(IFERROR(LEFT(INDEX($A143:$AD143,1,$D$7),FIND(",",INDEX($A143:$AD143,1,$D$7))-1),INDEX($A143:$AD143,1,$D$7))))</f>
        <v/>
      </c>
      <c r="AI143" s="36" t="n">
        <f aca="false">IF(OR(AF143="",$D$5=""),0,IFERROR(IF(ISNUMBER(INDEX($A143:$AD143,1,$D$5)),INDEX($A143:$AD143,1,$D$5),TIMEVALUE(INDEX($A143:$AD143,1,$D$5)))*Inputs!$C$22,0))</f>
        <v>0</v>
      </c>
    </row>
    <row r="144" customFormat="false" ht="15" hidden="false" customHeight="false" outlineLevel="0" collapsed="false">
      <c r="AF144" s="18" t="str">
        <f aca="false">IF($D$4="","",IF(INDEX($A144:$AD144,1,$D$4)="","",IF(ISNUMBER(INDEX($A144:$AD144,1,$D$4)),INDEX($A144:$AD144,1,$D$4),IFERROR(DATEVALUE(INDEX($A144:$AD144,1,$D$4)),""))))</f>
        <v/>
      </c>
      <c r="AG144" s="30" t="str">
        <f aca="false">IF(OR(AF144="",$D$6=""),"",IF(LEFT(INDEX($A144:$AD144,1,$D$6),LEN(Inputs!$C$30))=Inputs!$C$30,INDEX($A144:$AD144,1,$D$6),""))</f>
        <v/>
      </c>
      <c r="AH144" s="30" t="str">
        <f aca="false">IF(OR(AF144="",$D$7=""),"",TRIM(IFERROR(LEFT(INDEX($A144:$AD144,1,$D$7),FIND(",",INDEX($A144:$AD144,1,$D$7))-1),INDEX($A144:$AD144,1,$D$7))))</f>
        <v/>
      </c>
      <c r="AI144" s="36" t="n">
        <f aca="false">IF(OR(AF144="",$D$5=""),0,IFERROR(IF(ISNUMBER(INDEX($A144:$AD144,1,$D$5)),INDEX($A144:$AD144,1,$D$5),TIMEVALUE(INDEX($A144:$AD144,1,$D$5)))*Inputs!$C$22,0))</f>
        <v>0</v>
      </c>
    </row>
    <row r="145" customFormat="false" ht="15" hidden="false" customHeight="false" outlineLevel="0" collapsed="false">
      <c r="AF145" s="18" t="str">
        <f aca="false">IF($D$4="","",IF(INDEX($A145:$AD145,1,$D$4)="","",IF(ISNUMBER(INDEX($A145:$AD145,1,$D$4)),INDEX($A145:$AD145,1,$D$4),IFERROR(DATEVALUE(INDEX($A145:$AD145,1,$D$4)),""))))</f>
        <v/>
      </c>
      <c r="AG145" s="30" t="str">
        <f aca="false">IF(OR(AF145="",$D$6=""),"",IF(LEFT(INDEX($A145:$AD145,1,$D$6),LEN(Inputs!$C$30))=Inputs!$C$30,INDEX($A145:$AD145,1,$D$6),""))</f>
        <v/>
      </c>
      <c r="AH145" s="30" t="str">
        <f aca="false">IF(OR(AF145="",$D$7=""),"",TRIM(IFERROR(LEFT(INDEX($A145:$AD145,1,$D$7),FIND(",",INDEX($A145:$AD145,1,$D$7))-1),INDEX($A145:$AD145,1,$D$7))))</f>
        <v/>
      </c>
      <c r="AI145" s="36" t="n">
        <f aca="false">IF(OR(AF145="",$D$5=""),0,IFERROR(IF(ISNUMBER(INDEX($A145:$AD145,1,$D$5)),INDEX($A145:$AD145,1,$D$5),TIMEVALUE(INDEX($A145:$AD145,1,$D$5)))*Inputs!$C$22,0))</f>
        <v>0</v>
      </c>
    </row>
    <row r="146" customFormat="false" ht="15" hidden="false" customHeight="false" outlineLevel="0" collapsed="false">
      <c r="AF146" s="18" t="str">
        <f aca="false">IF($D$4="","",IF(INDEX($A146:$AD146,1,$D$4)="","",IF(ISNUMBER(INDEX($A146:$AD146,1,$D$4)),INDEX($A146:$AD146,1,$D$4),IFERROR(DATEVALUE(INDEX($A146:$AD146,1,$D$4)),""))))</f>
        <v/>
      </c>
      <c r="AG146" s="30" t="str">
        <f aca="false">IF(OR(AF146="",$D$6=""),"",IF(LEFT(INDEX($A146:$AD146,1,$D$6),LEN(Inputs!$C$30))=Inputs!$C$30,INDEX($A146:$AD146,1,$D$6),""))</f>
        <v/>
      </c>
      <c r="AH146" s="30" t="str">
        <f aca="false">IF(OR(AF146="",$D$7=""),"",TRIM(IFERROR(LEFT(INDEX($A146:$AD146,1,$D$7),FIND(",",INDEX($A146:$AD146,1,$D$7))-1),INDEX($A146:$AD146,1,$D$7))))</f>
        <v/>
      </c>
      <c r="AI146" s="36" t="n">
        <f aca="false">IF(OR(AF146="",$D$5=""),0,IFERROR(IF(ISNUMBER(INDEX($A146:$AD146,1,$D$5)),INDEX($A146:$AD146,1,$D$5),TIMEVALUE(INDEX($A146:$AD146,1,$D$5)))*Inputs!$C$22,0))</f>
        <v>0</v>
      </c>
    </row>
    <row r="147" customFormat="false" ht="15" hidden="false" customHeight="false" outlineLevel="0" collapsed="false">
      <c r="AF147" s="18" t="str">
        <f aca="false">IF($D$4="","",IF(INDEX($A147:$AD147,1,$D$4)="","",IF(ISNUMBER(INDEX($A147:$AD147,1,$D$4)),INDEX($A147:$AD147,1,$D$4),IFERROR(DATEVALUE(INDEX($A147:$AD147,1,$D$4)),""))))</f>
        <v/>
      </c>
      <c r="AG147" s="30" t="str">
        <f aca="false">IF(OR(AF147="",$D$6=""),"",IF(LEFT(INDEX($A147:$AD147,1,$D$6),LEN(Inputs!$C$30))=Inputs!$C$30,INDEX($A147:$AD147,1,$D$6),""))</f>
        <v/>
      </c>
      <c r="AH147" s="30" t="str">
        <f aca="false">IF(OR(AF147="",$D$7=""),"",TRIM(IFERROR(LEFT(INDEX($A147:$AD147,1,$D$7),FIND(",",INDEX($A147:$AD147,1,$D$7))-1),INDEX($A147:$AD147,1,$D$7))))</f>
        <v/>
      </c>
      <c r="AI147" s="36" t="n">
        <f aca="false">IF(OR(AF147="",$D$5=""),0,IFERROR(IF(ISNUMBER(INDEX($A147:$AD147,1,$D$5)),INDEX($A147:$AD147,1,$D$5),TIMEVALUE(INDEX($A147:$AD147,1,$D$5)))*Inputs!$C$22,0))</f>
        <v>0</v>
      </c>
    </row>
    <row r="148" customFormat="false" ht="15" hidden="false" customHeight="false" outlineLevel="0" collapsed="false">
      <c r="AF148" s="18" t="str">
        <f aca="false">IF($D$4="","",IF(INDEX($A148:$AD148,1,$D$4)="","",IF(ISNUMBER(INDEX($A148:$AD148,1,$D$4)),INDEX($A148:$AD148,1,$D$4),IFERROR(DATEVALUE(INDEX($A148:$AD148,1,$D$4)),""))))</f>
        <v/>
      </c>
      <c r="AG148" s="30" t="str">
        <f aca="false">IF(OR(AF148="",$D$6=""),"",IF(LEFT(INDEX($A148:$AD148,1,$D$6),LEN(Inputs!$C$30))=Inputs!$C$30,INDEX($A148:$AD148,1,$D$6),""))</f>
        <v/>
      </c>
      <c r="AH148" s="30" t="str">
        <f aca="false">IF(OR(AF148="",$D$7=""),"",TRIM(IFERROR(LEFT(INDEX($A148:$AD148,1,$D$7),FIND(",",INDEX($A148:$AD148,1,$D$7))-1),INDEX($A148:$AD148,1,$D$7))))</f>
        <v/>
      </c>
      <c r="AI148" s="36" t="n">
        <f aca="false">IF(OR(AF148="",$D$5=""),0,IFERROR(IF(ISNUMBER(INDEX($A148:$AD148,1,$D$5)),INDEX($A148:$AD148,1,$D$5),TIMEVALUE(INDEX($A148:$AD148,1,$D$5)))*Inputs!$C$22,0))</f>
        <v>0</v>
      </c>
    </row>
    <row r="149" customFormat="false" ht="15" hidden="false" customHeight="false" outlineLevel="0" collapsed="false">
      <c r="AF149" s="18" t="str">
        <f aca="false">IF($D$4="","",IF(INDEX($A149:$AD149,1,$D$4)="","",IF(ISNUMBER(INDEX($A149:$AD149,1,$D$4)),INDEX($A149:$AD149,1,$D$4),IFERROR(DATEVALUE(INDEX($A149:$AD149,1,$D$4)),""))))</f>
        <v/>
      </c>
      <c r="AG149" s="30" t="str">
        <f aca="false">IF(OR(AF149="",$D$6=""),"",IF(LEFT(INDEX($A149:$AD149,1,$D$6),LEN(Inputs!$C$30))=Inputs!$C$30,INDEX($A149:$AD149,1,$D$6),""))</f>
        <v/>
      </c>
      <c r="AH149" s="30" t="str">
        <f aca="false">IF(OR(AF149="",$D$7=""),"",TRIM(IFERROR(LEFT(INDEX($A149:$AD149,1,$D$7),FIND(",",INDEX($A149:$AD149,1,$D$7))-1),INDEX($A149:$AD149,1,$D$7))))</f>
        <v/>
      </c>
      <c r="AI149" s="36" t="n">
        <f aca="false">IF(OR(AF149="",$D$5=""),0,IFERROR(IF(ISNUMBER(INDEX($A149:$AD149,1,$D$5)),INDEX($A149:$AD149,1,$D$5),TIMEVALUE(INDEX($A149:$AD149,1,$D$5)))*Inputs!$C$22,0))</f>
        <v>0</v>
      </c>
    </row>
    <row r="150" customFormat="false" ht="15" hidden="false" customHeight="false" outlineLevel="0" collapsed="false">
      <c r="AF150" s="18" t="str">
        <f aca="false">IF($D$4="","",IF(INDEX($A150:$AD150,1,$D$4)="","",IF(ISNUMBER(INDEX($A150:$AD150,1,$D$4)),INDEX($A150:$AD150,1,$D$4),IFERROR(DATEVALUE(INDEX($A150:$AD150,1,$D$4)),""))))</f>
        <v/>
      </c>
      <c r="AG150" s="30" t="str">
        <f aca="false">IF(OR(AF150="",$D$6=""),"",IF(LEFT(INDEX($A150:$AD150,1,$D$6),LEN(Inputs!$C$30))=Inputs!$C$30,INDEX($A150:$AD150,1,$D$6),""))</f>
        <v/>
      </c>
      <c r="AH150" s="30" t="str">
        <f aca="false">IF(OR(AF150="",$D$7=""),"",TRIM(IFERROR(LEFT(INDEX($A150:$AD150,1,$D$7),FIND(",",INDEX($A150:$AD150,1,$D$7))-1),INDEX($A150:$AD150,1,$D$7))))</f>
        <v/>
      </c>
      <c r="AI150" s="36" t="n">
        <f aca="false">IF(OR(AF150="",$D$5=""),0,IFERROR(IF(ISNUMBER(INDEX($A150:$AD150,1,$D$5)),INDEX($A150:$AD150,1,$D$5),TIMEVALUE(INDEX($A150:$AD150,1,$D$5)))*Inputs!$C$22,0))</f>
        <v>0</v>
      </c>
    </row>
    <row r="151" customFormat="false" ht="15" hidden="false" customHeight="false" outlineLevel="0" collapsed="false">
      <c r="AF151" s="18" t="str">
        <f aca="false">IF($D$4="","",IF(INDEX($A151:$AD151,1,$D$4)="","",IF(ISNUMBER(INDEX($A151:$AD151,1,$D$4)),INDEX($A151:$AD151,1,$D$4),IFERROR(DATEVALUE(INDEX($A151:$AD151,1,$D$4)),""))))</f>
        <v/>
      </c>
      <c r="AG151" s="30" t="str">
        <f aca="false">IF(OR(AF151="",$D$6=""),"",IF(LEFT(INDEX($A151:$AD151,1,$D$6),LEN(Inputs!$C$30))=Inputs!$C$30,INDEX($A151:$AD151,1,$D$6),""))</f>
        <v/>
      </c>
      <c r="AH151" s="30" t="str">
        <f aca="false">IF(OR(AF151="",$D$7=""),"",TRIM(IFERROR(LEFT(INDEX($A151:$AD151,1,$D$7),FIND(",",INDEX($A151:$AD151,1,$D$7))-1),INDEX($A151:$AD151,1,$D$7))))</f>
        <v/>
      </c>
      <c r="AI151" s="36" t="n">
        <f aca="false">IF(OR(AF151="",$D$5=""),0,IFERROR(IF(ISNUMBER(INDEX($A151:$AD151,1,$D$5)),INDEX($A151:$AD151,1,$D$5),TIMEVALUE(INDEX($A151:$AD151,1,$D$5)))*Inputs!$C$22,0))</f>
        <v>0</v>
      </c>
    </row>
    <row r="152" customFormat="false" ht="15" hidden="false" customHeight="false" outlineLevel="0" collapsed="false">
      <c r="AF152" s="18" t="str">
        <f aca="false">IF($D$4="","",IF(INDEX($A152:$AD152,1,$D$4)="","",IF(ISNUMBER(INDEX($A152:$AD152,1,$D$4)),INDEX($A152:$AD152,1,$D$4),IFERROR(DATEVALUE(INDEX($A152:$AD152,1,$D$4)),""))))</f>
        <v/>
      </c>
      <c r="AG152" s="30" t="str">
        <f aca="false">IF(OR(AF152="",$D$6=""),"",IF(LEFT(INDEX($A152:$AD152,1,$D$6),LEN(Inputs!$C$30))=Inputs!$C$30,INDEX($A152:$AD152,1,$D$6),""))</f>
        <v/>
      </c>
      <c r="AH152" s="30" t="str">
        <f aca="false">IF(OR(AF152="",$D$7=""),"",TRIM(IFERROR(LEFT(INDEX($A152:$AD152,1,$D$7),FIND(",",INDEX($A152:$AD152,1,$D$7))-1),INDEX($A152:$AD152,1,$D$7))))</f>
        <v/>
      </c>
      <c r="AI152" s="36" t="n">
        <f aca="false">IF(OR(AF152="",$D$5=""),0,IFERROR(IF(ISNUMBER(INDEX($A152:$AD152,1,$D$5)),INDEX($A152:$AD152,1,$D$5),TIMEVALUE(INDEX($A152:$AD152,1,$D$5)))*Inputs!$C$22,0))</f>
        <v>0</v>
      </c>
    </row>
    <row r="153" customFormat="false" ht="15" hidden="false" customHeight="false" outlineLevel="0" collapsed="false">
      <c r="AF153" s="18" t="str">
        <f aca="false">IF($D$4="","",IF(INDEX($A153:$AD153,1,$D$4)="","",IF(ISNUMBER(INDEX($A153:$AD153,1,$D$4)),INDEX($A153:$AD153,1,$D$4),IFERROR(DATEVALUE(INDEX($A153:$AD153,1,$D$4)),""))))</f>
        <v/>
      </c>
      <c r="AG153" s="30" t="str">
        <f aca="false">IF(OR(AF153="",$D$6=""),"",IF(LEFT(INDEX($A153:$AD153,1,$D$6),LEN(Inputs!$C$30))=Inputs!$C$30,INDEX($A153:$AD153,1,$D$6),""))</f>
        <v/>
      </c>
      <c r="AH153" s="30" t="str">
        <f aca="false">IF(OR(AF153="",$D$7=""),"",TRIM(IFERROR(LEFT(INDEX($A153:$AD153,1,$D$7),FIND(",",INDEX($A153:$AD153,1,$D$7))-1),INDEX($A153:$AD153,1,$D$7))))</f>
        <v/>
      </c>
      <c r="AI153" s="36" t="n">
        <f aca="false">IF(OR(AF153="",$D$5=""),0,IFERROR(IF(ISNUMBER(INDEX($A153:$AD153,1,$D$5)),INDEX($A153:$AD153,1,$D$5),TIMEVALUE(INDEX($A153:$AD153,1,$D$5)))*Inputs!$C$22,0))</f>
        <v>0</v>
      </c>
    </row>
    <row r="154" customFormat="false" ht="15" hidden="false" customHeight="false" outlineLevel="0" collapsed="false">
      <c r="AF154" s="18" t="str">
        <f aca="false">IF($D$4="","",IF(INDEX($A154:$AD154,1,$D$4)="","",IF(ISNUMBER(INDEX($A154:$AD154,1,$D$4)),INDEX($A154:$AD154,1,$D$4),IFERROR(DATEVALUE(INDEX($A154:$AD154,1,$D$4)),""))))</f>
        <v/>
      </c>
      <c r="AG154" s="30" t="str">
        <f aca="false">IF(OR(AF154="",$D$6=""),"",IF(LEFT(INDEX($A154:$AD154,1,$D$6),LEN(Inputs!$C$30))=Inputs!$C$30,INDEX($A154:$AD154,1,$D$6),""))</f>
        <v/>
      </c>
      <c r="AH154" s="30" t="str">
        <f aca="false">IF(OR(AF154="",$D$7=""),"",TRIM(IFERROR(LEFT(INDEX($A154:$AD154,1,$D$7),FIND(",",INDEX($A154:$AD154,1,$D$7))-1),INDEX($A154:$AD154,1,$D$7))))</f>
        <v/>
      </c>
      <c r="AI154" s="36" t="n">
        <f aca="false">IF(OR(AF154="",$D$5=""),0,IFERROR(IF(ISNUMBER(INDEX($A154:$AD154,1,$D$5)),INDEX($A154:$AD154,1,$D$5),TIMEVALUE(INDEX($A154:$AD154,1,$D$5)))*Inputs!$C$22,0))</f>
        <v>0</v>
      </c>
    </row>
    <row r="155" customFormat="false" ht="15" hidden="false" customHeight="false" outlineLevel="0" collapsed="false">
      <c r="AF155" s="18" t="str">
        <f aca="false">IF($D$4="","",IF(INDEX($A155:$AD155,1,$D$4)="","",IF(ISNUMBER(INDEX($A155:$AD155,1,$D$4)),INDEX($A155:$AD155,1,$D$4),IFERROR(DATEVALUE(INDEX($A155:$AD155,1,$D$4)),""))))</f>
        <v/>
      </c>
      <c r="AG155" s="30" t="str">
        <f aca="false">IF(OR(AF155="",$D$6=""),"",IF(LEFT(INDEX($A155:$AD155,1,$D$6),LEN(Inputs!$C$30))=Inputs!$C$30,INDEX($A155:$AD155,1,$D$6),""))</f>
        <v/>
      </c>
      <c r="AH155" s="30" t="str">
        <f aca="false">IF(OR(AF155="",$D$7=""),"",TRIM(IFERROR(LEFT(INDEX($A155:$AD155,1,$D$7),FIND(",",INDEX($A155:$AD155,1,$D$7))-1),INDEX($A155:$AD155,1,$D$7))))</f>
        <v/>
      </c>
      <c r="AI155" s="36" t="n">
        <f aca="false">IF(OR(AF155="",$D$5=""),0,IFERROR(IF(ISNUMBER(INDEX($A155:$AD155,1,$D$5)),INDEX($A155:$AD155,1,$D$5),TIMEVALUE(INDEX($A155:$AD155,1,$D$5)))*Inputs!$C$22,0))</f>
        <v>0</v>
      </c>
    </row>
    <row r="156" customFormat="false" ht="15" hidden="false" customHeight="false" outlineLevel="0" collapsed="false">
      <c r="AF156" s="18" t="str">
        <f aca="false">IF($D$4="","",IF(INDEX($A156:$AD156,1,$D$4)="","",IF(ISNUMBER(INDEX($A156:$AD156,1,$D$4)),INDEX($A156:$AD156,1,$D$4),IFERROR(DATEVALUE(INDEX($A156:$AD156,1,$D$4)),""))))</f>
        <v/>
      </c>
      <c r="AG156" s="30" t="str">
        <f aca="false">IF(OR(AF156="",$D$6=""),"",IF(LEFT(INDEX($A156:$AD156,1,$D$6),LEN(Inputs!$C$30))=Inputs!$C$30,INDEX($A156:$AD156,1,$D$6),""))</f>
        <v/>
      </c>
      <c r="AH156" s="30" t="str">
        <f aca="false">IF(OR(AF156="",$D$7=""),"",TRIM(IFERROR(LEFT(INDEX($A156:$AD156,1,$D$7),FIND(",",INDEX($A156:$AD156,1,$D$7))-1),INDEX($A156:$AD156,1,$D$7))))</f>
        <v/>
      </c>
      <c r="AI156" s="36" t="n">
        <f aca="false">IF(OR(AF156="",$D$5=""),0,IFERROR(IF(ISNUMBER(INDEX($A156:$AD156,1,$D$5)),INDEX($A156:$AD156,1,$D$5),TIMEVALUE(INDEX($A156:$AD156,1,$D$5)))*Inputs!$C$22,0))</f>
        <v>0</v>
      </c>
    </row>
    <row r="157" customFormat="false" ht="15" hidden="false" customHeight="false" outlineLevel="0" collapsed="false">
      <c r="AF157" s="18" t="str">
        <f aca="false">IF($D$4="","",IF(INDEX($A157:$AD157,1,$D$4)="","",IF(ISNUMBER(INDEX($A157:$AD157,1,$D$4)),INDEX($A157:$AD157,1,$D$4),IFERROR(DATEVALUE(INDEX($A157:$AD157,1,$D$4)),""))))</f>
        <v/>
      </c>
      <c r="AG157" s="30" t="str">
        <f aca="false">IF(OR(AF157="",$D$6=""),"",IF(LEFT(INDEX($A157:$AD157,1,$D$6),LEN(Inputs!$C$30))=Inputs!$C$30,INDEX($A157:$AD157,1,$D$6),""))</f>
        <v/>
      </c>
      <c r="AH157" s="30" t="str">
        <f aca="false">IF(OR(AF157="",$D$7=""),"",TRIM(IFERROR(LEFT(INDEX($A157:$AD157,1,$D$7),FIND(",",INDEX($A157:$AD157,1,$D$7))-1),INDEX($A157:$AD157,1,$D$7))))</f>
        <v/>
      </c>
      <c r="AI157" s="36" t="n">
        <f aca="false">IF(OR(AF157="",$D$5=""),0,IFERROR(IF(ISNUMBER(INDEX($A157:$AD157,1,$D$5)),INDEX($A157:$AD157,1,$D$5),TIMEVALUE(INDEX($A157:$AD157,1,$D$5)))*Inputs!$C$22,0))</f>
        <v>0</v>
      </c>
    </row>
    <row r="158" customFormat="false" ht="15" hidden="false" customHeight="false" outlineLevel="0" collapsed="false">
      <c r="AF158" s="18" t="str">
        <f aca="false">IF($D$4="","",IF(INDEX($A158:$AD158,1,$D$4)="","",IF(ISNUMBER(INDEX($A158:$AD158,1,$D$4)),INDEX($A158:$AD158,1,$D$4),IFERROR(DATEVALUE(INDEX($A158:$AD158,1,$D$4)),""))))</f>
        <v/>
      </c>
      <c r="AG158" s="30" t="str">
        <f aca="false">IF(OR(AF158="",$D$6=""),"",IF(LEFT(INDEX($A158:$AD158,1,$D$6),LEN(Inputs!$C$30))=Inputs!$C$30,INDEX($A158:$AD158,1,$D$6),""))</f>
        <v/>
      </c>
      <c r="AH158" s="30" t="str">
        <f aca="false">IF(OR(AF158="",$D$7=""),"",TRIM(IFERROR(LEFT(INDEX($A158:$AD158,1,$D$7),FIND(",",INDEX($A158:$AD158,1,$D$7))-1),INDEX($A158:$AD158,1,$D$7))))</f>
        <v/>
      </c>
      <c r="AI158" s="36" t="n">
        <f aca="false">IF(OR(AF158="",$D$5=""),0,IFERROR(IF(ISNUMBER(INDEX($A158:$AD158,1,$D$5)),INDEX($A158:$AD158,1,$D$5),TIMEVALUE(INDEX($A158:$AD158,1,$D$5)))*Inputs!$C$22,0))</f>
        <v>0</v>
      </c>
    </row>
    <row r="159" customFormat="false" ht="15" hidden="false" customHeight="false" outlineLevel="0" collapsed="false">
      <c r="AF159" s="18" t="str">
        <f aca="false">IF($D$4="","",IF(INDEX($A159:$AD159,1,$D$4)="","",IF(ISNUMBER(INDEX($A159:$AD159,1,$D$4)),INDEX($A159:$AD159,1,$D$4),IFERROR(DATEVALUE(INDEX($A159:$AD159,1,$D$4)),""))))</f>
        <v/>
      </c>
      <c r="AG159" s="30" t="str">
        <f aca="false">IF(OR(AF159="",$D$6=""),"",IF(LEFT(INDEX($A159:$AD159,1,$D$6),LEN(Inputs!$C$30))=Inputs!$C$30,INDEX($A159:$AD159,1,$D$6),""))</f>
        <v/>
      </c>
      <c r="AH159" s="30" t="str">
        <f aca="false">IF(OR(AF159="",$D$7=""),"",TRIM(IFERROR(LEFT(INDEX($A159:$AD159,1,$D$7),FIND(",",INDEX($A159:$AD159,1,$D$7))-1),INDEX($A159:$AD159,1,$D$7))))</f>
        <v/>
      </c>
      <c r="AI159" s="36" t="n">
        <f aca="false">IF(OR(AF159="",$D$5=""),0,IFERROR(IF(ISNUMBER(INDEX($A159:$AD159,1,$D$5)),INDEX($A159:$AD159,1,$D$5),TIMEVALUE(INDEX($A159:$AD159,1,$D$5)))*Inputs!$C$22,0))</f>
        <v>0</v>
      </c>
    </row>
    <row r="160" customFormat="false" ht="15" hidden="false" customHeight="false" outlineLevel="0" collapsed="false">
      <c r="AF160" s="18" t="str">
        <f aca="false">IF($D$4="","",IF(INDEX($A160:$AD160,1,$D$4)="","",IF(ISNUMBER(INDEX($A160:$AD160,1,$D$4)),INDEX($A160:$AD160,1,$D$4),IFERROR(DATEVALUE(INDEX($A160:$AD160,1,$D$4)),""))))</f>
        <v/>
      </c>
      <c r="AG160" s="30" t="str">
        <f aca="false">IF(OR(AF160="",$D$6=""),"",IF(LEFT(INDEX($A160:$AD160,1,$D$6),LEN(Inputs!$C$30))=Inputs!$C$30,INDEX($A160:$AD160,1,$D$6),""))</f>
        <v/>
      </c>
      <c r="AH160" s="30" t="str">
        <f aca="false">IF(OR(AF160="",$D$7=""),"",TRIM(IFERROR(LEFT(INDEX($A160:$AD160,1,$D$7),FIND(",",INDEX($A160:$AD160,1,$D$7))-1),INDEX($A160:$AD160,1,$D$7))))</f>
        <v/>
      </c>
      <c r="AI160" s="36" t="n">
        <f aca="false">IF(OR(AF160="",$D$5=""),0,IFERROR(IF(ISNUMBER(INDEX($A160:$AD160,1,$D$5)),INDEX($A160:$AD160,1,$D$5),TIMEVALUE(INDEX($A160:$AD160,1,$D$5)))*Inputs!$C$22,0))</f>
        <v>0</v>
      </c>
    </row>
    <row r="161" customFormat="false" ht="15" hidden="false" customHeight="false" outlineLevel="0" collapsed="false">
      <c r="AF161" s="18" t="str">
        <f aca="false">IF($D$4="","",IF(INDEX($A161:$AD161,1,$D$4)="","",IF(ISNUMBER(INDEX($A161:$AD161,1,$D$4)),INDEX($A161:$AD161,1,$D$4),IFERROR(DATEVALUE(INDEX($A161:$AD161,1,$D$4)),""))))</f>
        <v/>
      </c>
      <c r="AG161" s="30" t="str">
        <f aca="false">IF(OR(AF161="",$D$6=""),"",IF(LEFT(INDEX($A161:$AD161,1,$D$6),LEN(Inputs!$C$30))=Inputs!$C$30,INDEX($A161:$AD161,1,$D$6),""))</f>
        <v/>
      </c>
      <c r="AH161" s="30" t="str">
        <f aca="false">IF(OR(AF161="",$D$7=""),"",TRIM(IFERROR(LEFT(INDEX($A161:$AD161,1,$D$7),FIND(",",INDEX($A161:$AD161,1,$D$7))-1),INDEX($A161:$AD161,1,$D$7))))</f>
        <v/>
      </c>
      <c r="AI161" s="36" t="n">
        <f aca="false">IF(OR(AF161="",$D$5=""),0,IFERROR(IF(ISNUMBER(INDEX($A161:$AD161,1,$D$5)),INDEX($A161:$AD161,1,$D$5),TIMEVALUE(INDEX($A161:$AD161,1,$D$5)))*Inputs!$C$22,0))</f>
        <v>0</v>
      </c>
    </row>
    <row r="162" customFormat="false" ht="15" hidden="false" customHeight="false" outlineLevel="0" collapsed="false">
      <c r="AF162" s="18" t="str">
        <f aca="false">IF($D$4="","",IF(INDEX($A162:$AD162,1,$D$4)="","",IF(ISNUMBER(INDEX($A162:$AD162,1,$D$4)),INDEX($A162:$AD162,1,$D$4),IFERROR(DATEVALUE(INDEX($A162:$AD162,1,$D$4)),""))))</f>
        <v/>
      </c>
      <c r="AG162" s="30" t="str">
        <f aca="false">IF(OR(AF162="",$D$6=""),"",IF(LEFT(INDEX($A162:$AD162,1,$D$6),LEN(Inputs!$C$30))=Inputs!$C$30,INDEX($A162:$AD162,1,$D$6),""))</f>
        <v/>
      </c>
      <c r="AH162" s="30" t="str">
        <f aca="false">IF(OR(AF162="",$D$7=""),"",TRIM(IFERROR(LEFT(INDEX($A162:$AD162,1,$D$7),FIND(",",INDEX($A162:$AD162,1,$D$7))-1),INDEX($A162:$AD162,1,$D$7))))</f>
        <v/>
      </c>
      <c r="AI162" s="36" t="n">
        <f aca="false">IF(OR(AF162="",$D$5=""),0,IFERROR(IF(ISNUMBER(INDEX($A162:$AD162,1,$D$5)),INDEX($A162:$AD162,1,$D$5),TIMEVALUE(INDEX($A162:$AD162,1,$D$5)))*Inputs!$C$22,0))</f>
        <v>0</v>
      </c>
    </row>
    <row r="163" customFormat="false" ht="15" hidden="false" customHeight="false" outlineLevel="0" collapsed="false">
      <c r="AF163" s="18" t="str">
        <f aca="false">IF($D$4="","",IF(INDEX($A163:$AD163,1,$D$4)="","",IF(ISNUMBER(INDEX($A163:$AD163,1,$D$4)),INDEX($A163:$AD163,1,$D$4),IFERROR(DATEVALUE(INDEX($A163:$AD163,1,$D$4)),""))))</f>
        <v/>
      </c>
      <c r="AG163" s="30" t="str">
        <f aca="false">IF(OR(AF163="",$D$6=""),"",IF(LEFT(INDEX($A163:$AD163,1,$D$6),LEN(Inputs!$C$30))=Inputs!$C$30,INDEX($A163:$AD163,1,$D$6),""))</f>
        <v/>
      </c>
      <c r="AH163" s="30" t="str">
        <f aca="false">IF(OR(AF163="",$D$7=""),"",TRIM(IFERROR(LEFT(INDEX($A163:$AD163,1,$D$7),FIND(",",INDEX($A163:$AD163,1,$D$7))-1),INDEX($A163:$AD163,1,$D$7))))</f>
        <v/>
      </c>
      <c r="AI163" s="36" t="n">
        <f aca="false">IF(OR(AF163="",$D$5=""),0,IFERROR(IF(ISNUMBER(INDEX($A163:$AD163,1,$D$5)),INDEX($A163:$AD163,1,$D$5),TIMEVALUE(INDEX($A163:$AD163,1,$D$5)))*Inputs!$C$22,0))</f>
        <v>0</v>
      </c>
    </row>
    <row r="164" customFormat="false" ht="15" hidden="false" customHeight="false" outlineLevel="0" collapsed="false">
      <c r="AF164" s="18" t="str">
        <f aca="false">IF($D$4="","",IF(INDEX($A164:$AD164,1,$D$4)="","",IF(ISNUMBER(INDEX($A164:$AD164,1,$D$4)),INDEX($A164:$AD164,1,$D$4),IFERROR(DATEVALUE(INDEX($A164:$AD164,1,$D$4)),""))))</f>
        <v/>
      </c>
      <c r="AG164" s="30" t="str">
        <f aca="false">IF(OR(AF164="",$D$6=""),"",IF(LEFT(INDEX($A164:$AD164,1,$D$6),LEN(Inputs!$C$30))=Inputs!$C$30,INDEX($A164:$AD164,1,$D$6),""))</f>
        <v/>
      </c>
      <c r="AH164" s="30" t="str">
        <f aca="false">IF(OR(AF164="",$D$7=""),"",TRIM(IFERROR(LEFT(INDEX($A164:$AD164,1,$D$7),FIND(",",INDEX($A164:$AD164,1,$D$7))-1),INDEX($A164:$AD164,1,$D$7))))</f>
        <v/>
      </c>
      <c r="AI164" s="36" t="n">
        <f aca="false">IF(OR(AF164="",$D$5=""),0,IFERROR(IF(ISNUMBER(INDEX($A164:$AD164,1,$D$5)),INDEX($A164:$AD164,1,$D$5),TIMEVALUE(INDEX($A164:$AD164,1,$D$5)))*Inputs!$C$22,0))</f>
        <v>0</v>
      </c>
    </row>
    <row r="165" customFormat="false" ht="15" hidden="false" customHeight="false" outlineLevel="0" collapsed="false">
      <c r="AF165" s="18" t="str">
        <f aca="false">IF($D$4="","",IF(INDEX($A165:$AD165,1,$D$4)="","",IF(ISNUMBER(INDEX($A165:$AD165,1,$D$4)),INDEX($A165:$AD165,1,$D$4),IFERROR(DATEVALUE(INDEX($A165:$AD165,1,$D$4)),""))))</f>
        <v/>
      </c>
      <c r="AG165" s="30" t="str">
        <f aca="false">IF(OR(AF165="",$D$6=""),"",IF(LEFT(INDEX($A165:$AD165,1,$D$6),LEN(Inputs!$C$30))=Inputs!$C$30,INDEX($A165:$AD165,1,$D$6),""))</f>
        <v/>
      </c>
      <c r="AH165" s="30" t="str">
        <f aca="false">IF(OR(AF165="",$D$7=""),"",TRIM(IFERROR(LEFT(INDEX($A165:$AD165,1,$D$7),FIND(",",INDEX($A165:$AD165,1,$D$7))-1),INDEX($A165:$AD165,1,$D$7))))</f>
        <v/>
      </c>
      <c r="AI165" s="36" t="n">
        <f aca="false">IF(OR(AF165="",$D$5=""),0,IFERROR(IF(ISNUMBER(INDEX($A165:$AD165,1,$D$5)),INDEX($A165:$AD165,1,$D$5),TIMEVALUE(INDEX($A165:$AD165,1,$D$5)))*Inputs!$C$22,0))</f>
        <v>0</v>
      </c>
    </row>
    <row r="166" customFormat="false" ht="15" hidden="false" customHeight="false" outlineLevel="0" collapsed="false">
      <c r="AF166" s="18" t="str">
        <f aca="false">IF($D$4="","",IF(INDEX($A166:$AD166,1,$D$4)="","",IF(ISNUMBER(INDEX($A166:$AD166,1,$D$4)),INDEX($A166:$AD166,1,$D$4),IFERROR(DATEVALUE(INDEX($A166:$AD166,1,$D$4)),""))))</f>
        <v/>
      </c>
      <c r="AG166" s="30" t="str">
        <f aca="false">IF(OR(AF166="",$D$6=""),"",IF(LEFT(INDEX($A166:$AD166,1,$D$6),LEN(Inputs!$C$30))=Inputs!$C$30,INDEX($A166:$AD166,1,$D$6),""))</f>
        <v/>
      </c>
      <c r="AH166" s="30" t="str">
        <f aca="false">IF(OR(AF166="",$D$7=""),"",TRIM(IFERROR(LEFT(INDEX($A166:$AD166,1,$D$7),FIND(",",INDEX($A166:$AD166,1,$D$7))-1),INDEX($A166:$AD166,1,$D$7))))</f>
        <v/>
      </c>
      <c r="AI166" s="36" t="n">
        <f aca="false">IF(OR(AF166="",$D$5=""),0,IFERROR(IF(ISNUMBER(INDEX($A166:$AD166,1,$D$5)),INDEX($A166:$AD166,1,$D$5),TIMEVALUE(INDEX($A166:$AD166,1,$D$5)))*Inputs!$C$22,0))</f>
        <v>0</v>
      </c>
    </row>
    <row r="167" customFormat="false" ht="15" hidden="false" customHeight="false" outlineLevel="0" collapsed="false">
      <c r="AF167" s="18" t="str">
        <f aca="false">IF($D$4="","",IF(INDEX($A167:$AD167,1,$D$4)="","",IF(ISNUMBER(INDEX($A167:$AD167,1,$D$4)),INDEX($A167:$AD167,1,$D$4),IFERROR(DATEVALUE(INDEX($A167:$AD167,1,$D$4)),""))))</f>
        <v/>
      </c>
      <c r="AG167" s="30" t="str">
        <f aca="false">IF(OR(AF167="",$D$6=""),"",IF(LEFT(INDEX($A167:$AD167,1,$D$6),LEN(Inputs!$C$30))=Inputs!$C$30,INDEX($A167:$AD167,1,$D$6),""))</f>
        <v/>
      </c>
      <c r="AH167" s="30" t="str">
        <f aca="false">IF(OR(AF167="",$D$7=""),"",TRIM(IFERROR(LEFT(INDEX($A167:$AD167,1,$D$7),FIND(",",INDEX($A167:$AD167,1,$D$7))-1),INDEX($A167:$AD167,1,$D$7))))</f>
        <v/>
      </c>
      <c r="AI167" s="36" t="n">
        <f aca="false">IF(OR(AF167="",$D$5=""),0,IFERROR(IF(ISNUMBER(INDEX($A167:$AD167,1,$D$5)),INDEX($A167:$AD167,1,$D$5),TIMEVALUE(INDEX($A167:$AD167,1,$D$5)))*Inputs!$C$22,0))</f>
        <v>0</v>
      </c>
    </row>
    <row r="168" customFormat="false" ht="15" hidden="false" customHeight="false" outlineLevel="0" collapsed="false">
      <c r="AF168" s="18" t="str">
        <f aca="false">IF($D$4="","",IF(INDEX($A168:$AD168,1,$D$4)="","",IF(ISNUMBER(INDEX($A168:$AD168,1,$D$4)),INDEX($A168:$AD168,1,$D$4),IFERROR(DATEVALUE(INDEX($A168:$AD168,1,$D$4)),""))))</f>
        <v/>
      </c>
      <c r="AG168" s="30" t="str">
        <f aca="false">IF(OR(AF168="",$D$6=""),"",IF(LEFT(INDEX($A168:$AD168,1,$D$6),LEN(Inputs!$C$30))=Inputs!$C$30,INDEX($A168:$AD168,1,$D$6),""))</f>
        <v/>
      </c>
      <c r="AH168" s="30" t="str">
        <f aca="false">IF(OR(AF168="",$D$7=""),"",TRIM(IFERROR(LEFT(INDEX($A168:$AD168,1,$D$7),FIND(",",INDEX($A168:$AD168,1,$D$7))-1),INDEX($A168:$AD168,1,$D$7))))</f>
        <v/>
      </c>
      <c r="AI168" s="36" t="n">
        <f aca="false">IF(OR(AF168="",$D$5=""),0,IFERROR(IF(ISNUMBER(INDEX($A168:$AD168,1,$D$5)),INDEX($A168:$AD168,1,$D$5),TIMEVALUE(INDEX($A168:$AD168,1,$D$5)))*Inputs!$C$22,0))</f>
        <v>0</v>
      </c>
    </row>
    <row r="169" customFormat="false" ht="15" hidden="false" customHeight="false" outlineLevel="0" collapsed="false">
      <c r="AF169" s="18" t="str">
        <f aca="false">IF($D$4="","",IF(INDEX($A169:$AD169,1,$D$4)="","",IF(ISNUMBER(INDEX($A169:$AD169,1,$D$4)),INDEX($A169:$AD169,1,$D$4),IFERROR(DATEVALUE(INDEX($A169:$AD169,1,$D$4)),""))))</f>
        <v/>
      </c>
      <c r="AG169" s="30" t="str">
        <f aca="false">IF(OR(AF169="",$D$6=""),"",IF(LEFT(INDEX($A169:$AD169,1,$D$6),LEN(Inputs!$C$30))=Inputs!$C$30,INDEX($A169:$AD169,1,$D$6),""))</f>
        <v/>
      </c>
      <c r="AH169" s="30" t="str">
        <f aca="false">IF(OR(AF169="",$D$7=""),"",TRIM(IFERROR(LEFT(INDEX($A169:$AD169,1,$D$7),FIND(",",INDEX($A169:$AD169,1,$D$7))-1),INDEX($A169:$AD169,1,$D$7))))</f>
        <v/>
      </c>
      <c r="AI169" s="36" t="n">
        <f aca="false">IF(OR(AF169="",$D$5=""),0,IFERROR(IF(ISNUMBER(INDEX($A169:$AD169,1,$D$5)),INDEX($A169:$AD169,1,$D$5),TIMEVALUE(INDEX($A169:$AD169,1,$D$5)))*Inputs!$C$22,0))</f>
        <v>0</v>
      </c>
    </row>
    <row r="170" customFormat="false" ht="15" hidden="false" customHeight="false" outlineLevel="0" collapsed="false">
      <c r="AF170" s="18" t="str">
        <f aca="false">IF($D$4="","",IF(INDEX($A170:$AD170,1,$D$4)="","",IF(ISNUMBER(INDEX($A170:$AD170,1,$D$4)),INDEX($A170:$AD170,1,$D$4),IFERROR(DATEVALUE(INDEX($A170:$AD170,1,$D$4)),""))))</f>
        <v/>
      </c>
      <c r="AG170" s="30" t="str">
        <f aca="false">IF(OR(AF170="",$D$6=""),"",IF(LEFT(INDEX($A170:$AD170,1,$D$6),LEN(Inputs!$C$30))=Inputs!$C$30,INDEX($A170:$AD170,1,$D$6),""))</f>
        <v/>
      </c>
      <c r="AH170" s="30" t="str">
        <f aca="false">IF(OR(AF170="",$D$7=""),"",TRIM(IFERROR(LEFT(INDEX($A170:$AD170,1,$D$7),FIND(",",INDEX($A170:$AD170,1,$D$7))-1),INDEX($A170:$AD170,1,$D$7))))</f>
        <v/>
      </c>
      <c r="AI170" s="36" t="n">
        <f aca="false">IF(OR(AF170="",$D$5=""),0,IFERROR(IF(ISNUMBER(INDEX($A170:$AD170,1,$D$5)),INDEX($A170:$AD170,1,$D$5),TIMEVALUE(INDEX($A170:$AD170,1,$D$5)))*Inputs!$C$22,0))</f>
        <v>0</v>
      </c>
    </row>
    <row r="171" customFormat="false" ht="15" hidden="false" customHeight="false" outlineLevel="0" collapsed="false">
      <c r="AF171" s="18" t="str">
        <f aca="false">IF($D$4="","",IF(INDEX($A171:$AD171,1,$D$4)="","",IF(ISNUMBER(INDEX($A171:$AD171,1,$D$4)),INDEX($A171:$AD171,1,$D$4),IFERROR(DATEVALUE(INDEX($A171:$AD171,1,$D$4)),""))))</f>
        <v/>
      </c>
      <c r="AG171" s="30" t="str">
        <f aca="false">IF(OR(AF171="",$D$6=""),"",IF(LEFT(INDEX($A171:$AD171,1,$D$6),LEN(Inputs!$C$30))=Inputs!$C$30,INDEX($A171:$AD171,1,$D$6),""))</f>
        <v/>
      </c>
      <c r="AH171" s="30" t="str">
        <f aca="false">IF(OR(AF171="",$D$7=""),"",TRIM(IFERROR(LEFT(INDEX($A171:$AD171,1,$D$7),FIND(",",INDEX($A171:$AD171,1,$D$7))-1),INDEX($A171:$AD171,1,$D$7))))</f>
        <v/>
      </c>
      <c r="AI171" s="36" t="n">
        <f aca="false">IF(OR(AF171="",$D$5=""),0,IFERROR(IF(ISNUMBER(INDEX($A171:$AD171,1,$D$5)),INDEX($A171:$AD171,1,$D$5),TIMEVALUE(INDEX($A171:$AD171,1,$D$5)))*Inputs!$C$22,0))</f>
        <v>0</v>
      </c>
    </row>
    <row r="172" customFormat="false" ht="15" hidden="false" customHeight="false" outlineLevel="0" collapsed="false">
      <c r="AF172" s="18" t="str">
        <f aca="false">IF($D$4="","",IF(INDEX($A172:$AD172,1,$D$4)="","",IF(ISNUMBER(INDEX($A172:$AD172,1,$D$4)),INDEX($A172:$AD172,1,$D$4),IFERROR(DATEVALUE(INDEX($A172:$AD172,1,$D$4)),""))))</f>
        <v/>
      </c>
      <c r="AG172" s="30" t="str">
        <f aca="false">IF(OR(AF172="",$D$6=""),"",IF(LEFT(INDEX($A172:$AD172,1,$D$6),LEN(Inputs!$C$30))=Inputs!$C$30,INDEX($A172:$AD172,1,$D$6),""))</f>
        <v/>
      </c>
      <c r="AH172" s="30" t="str">
        <f aca="false">IF(OR(AF172="",$D$7=""),"",TRIM(IFERROR(LEFT(INDEX($A172:$AD172,1,$D$7),FIND(",",INDEX($A172:$AD172,1,$D$7))-1),INDEX($A172:$AD172,1,$D$7))))</f>
        <v/>
      </c>
      <c r="AI172" s="36" t="n">
        <f aca="false">IF(OR(AF172="",$D$5=""),0,IFERROR(IF(ISNUMBER(INDEX($A172:$AD172,1,$D$5)),INDEX($A172:$AD172,1,$D$5),TIMEVALUE(INDEX($A172:$AD172,1,$D$5)))*Inputs!$C$22,0))</f>
        <v>0</v>
      </c>
    </row>
    <row r="173" customFormat="false" ht="15" hidden="false" customHeight="false" outlineLevel="0" collapsed="false">
      <c r="AF173" s="18" t="str">
        <f aca="false">IF($D$4="","",IF(INDEX($A173:$AD173,1,$D$4)="","",IF(ISNUMBER(INDEX($A173:$AD173,1,$D$4)),INDEX($A173:$AD173,1,$D$4),IFERROR(DATEVALUE(INDEX($A173:$AD173,1,$D$4)),""))))</f>
        <v/>
      </c>
      <c r="AG173" s="30" t="str">
        <f aca="false">IF(OR(AF173="",$D$6=""),"",IF(LEFT(INDEX($A173:$AD173,1,$D$6),LEN(Inputs!$C$30))=Inputs!$C$30,INDEX($A173:$AD173,1,$D$6),""))</f>
        <v/>
      </c>
      <c r="AH173" s="30" t="str">
        <f aca="false">IF(OR(AF173="",$D$7=""),"",TRIM(IFERROR(LEFT(INDEX($A173:$AD173,1,$D$7),FIND(",",INDEX($A173:$AD173,1,$D$7))-1),INDEX($A173:$AD173,1,$D$7))))</f>
        <v/>
      </c>
      <c r="AI173" s="36" t="n">
        <f aca="false">IF(OR(AF173="",$D$5=""),0,IFERROR(IF(ISNUMBER(INDEX($A173:$AD173,1,$D$5)),INDEX($A173:$AD173,1,$D$5),TIMEVALUE(INDEX($A173:$AD173,1,$D$5)))*Inputs!$C$22,0))</f>
        <v>0</v>
      </c>
    </row>
    <row r="174" customFormat="false" ht="15" hidden="false" customHeight="false" outlineLevel="0" collapsed="false">
      <c r="AF174" s="18" t="str">
        <f aca="false">IF($D$4="","",IF(INDEX($A174:$AD174,1,$D$4)="","",IF(ISNUMBER(INDEX($A174:$AD174,1,$D$4)),INDEX($A174:$AD174,1,$D$4),IFERROR(DATEVALUE(INDEX($A174:$AD174,1,$D$4)),""))))</f>
        <v/>
      </c>
      <c r="AG174" s="30" t="str">
        <f aca="false">IF(OR(AF174="",$D$6=""),"",IF(LEFT(INDEX($A174:$AD174,1,$D$6),LEN(Inputs!$C$30))=Inputs!$C$30,INDEX($A174:$AD174,1,$D$6),""))</f>
        <v/>
      </c>
      <c r="AH174" s="30" t="str">
        <f aca="false">IF(OR(AF174="",$D$7=""),"",TRIM(IFERROR(LEFT(INDEX($A174:$AD174,1,$D$7),FIND(",",INDEX($A174:$AD174,1,$D$7))-1),INDEX($A174:$AD174,1,$D$7))))</f>
        <v/>
      </c>
      <c r="AI174" s="36" t="n">
        <f aca="false">IF(OR(AF174="",$D$5=""),0,IFERROR(IF(ISNUMBER(INDEX($A174:$AD174,1,$D$5)),INDEX($A174:$AD174,1,$D$5),TIMEVALUE(INDEX($A174:$AD174,1,$D$5)))*Inputs!$C$22,0))</f>
        <v>0</v>
      </c>
    </row>
    <row r="175" customFormat="false" ht="15" hidden="false" customHeight="false" outlineLevel="0" collapsed="false">
      <c r="AF175" s="18" t="str">
        <f aca="false">IF($D$4="","",IF(INDEX($A175:$AD175,1,$D$4)="","",IF(ISNUMBER(INDEX($A175:$AD175,1,$D$4)),INDEX($A175:$AD175,1,$D$4),IFERROR(DATEVALUE(INDEX($A175:$AD175,1,$D$4)),""))))</f>
        <v/>
      </c>
      <c r="AG175" s="30" t="str">
        <f aca="false">IF(OR(AF175="",$D$6=""),"",IF(LEFT(INDEX($A175:$AD175,1,$D$6),LEN(Inputs!$C$30))=Inputs!$C$30,INDEX($A175:$AD175,1,$D$6),""))</f>
        <v/>
      </c>
      <c r="AH175" s="30" t="str">
        <f aca="false">IF(OR(AF175="",$D$7=""),"",TRIM(IFERROR(LEFT(INDEX($A175:$AD175,1,$D$7),FIND(",",INDEX($A175:$AD175,1,$D$7))-1),INDEX($A175:$AD175,1,$D$7))))</f>
        <v/>
      </c>
      <c r="AI175" s="36" t="n">
        <f aca="false">IF(OR(AF175="",$D$5=""),0,IFERROR(IF(ISNUMBER(INDEX($A175:$AD175,1,$D$5)),INDEX($A175:$AD175,1,$D$5),TIMEVALUE(INDEX($A175:$AD175,1,$D$5)))*Inputs!$C$22,0))</f>
        <v>0</v>
      </c>
    </row>
    <row r="176" customFormat="false" ht="15" hidden="false" customHeight="false" outlineLevel="0" collapsed="false">
      <c r="AF176" s="18" t="str">
        <f aca="false">IF($D$4="","",IF(INDEX($A176:$AD176,1,$D$4)="","",IF(ISNUMBER(INDEX($A176:$AD176,1,$D$4)),INDEX($A176:$AD176,1,$D$4),IFERROR(DATEVALUE(INDEX($A176:$AD176,1,$D$4)),""))))</f>
        <v/>
      </c>
      <c r="AG176" s="30" t="str">
        <f aca="false">IF(OR(AF176="",$D$6=""),"",IF(LEFT(INDEX($A176:$AD176,1,$D$6),LEN(Inputs!$C$30))=Inputs!$C$30,INDEX($A176:$AD176,1,$D$6),""))</f>
        <v/>
      </c>
      <c r="AH176" s="30" t="str">
        <f aca="false">IF(OR(AF176="",$D$7=""),"",TRIM(IFERROR(LEFT(INDEX($A176:$AD176,1,$D$7),FIND(",",INDEX($A176:$AD176,1,$D$7))-1),INDEX($A176:$AD176,1,$D$7))))</f>
        <v/>
      </c>
      <c r="AI176" s="36" t="n">
        <f aca="false">IF(OR(AF176="",$D$5=""),0,IFERROR(IF(ISNUMBER(INDEX($A176:$AD176,1,$D$5)),INDEX($A176:$AD176,1,$D$5),TIMEVALUE(INDEX($A176:$AD176,1,$D$5)))*Inputs!$C$22,0))</f>
        <v>0</v>
      </c>
    </row>
    <row r="177" customFormat="false" ht="15" hidden="false" customHeight="false" outlineLevel="0" collapsed="false">
      <c r="AF177" s="18" t="str">
        <f aca="false">IF($D$4="","",IF(INDEX($A177:$AD177,1,$D$4)="","",IF(ISNUMBER(INDEX($A177:$AD177,1,$D$4)),INDEX($A177:$AD177,1,$D$4),IFERROR(DATEVALUE(INDEX($A177:$AD177,1,$D$4)),""))))</f>
        <v/>
      </c>
      <c r="AG177" s="30" t="str">
        <f aca="false">IF(OR(AF177="",$D$6=""),"",IF(LEFT(INDEX($A177:$AD177,1,$D$6),LEN(Inputs!$C$30))=Inputs!$C$30,INDEX($A177:$AD177,1,$D$6),""))</f>
        <v/>
      </c>
      <c r="AH177" s="30" t="str">
        <f aca="false">IF(OR(AF177="",$D$7=""),"",TRIM(IFERROR(LEFT(INDEX($A177:$AD177,1,$D$7),FIND(",",INDEX($A177:$AD177,1,$D$7))-1),INDEX($A177:$AD177,1,$D$7))))</f>
        <v/>
      </c>
      <c r="AI177" s="36" t="n">
        <f aca="false">IF(OR(AF177="",$D$5=""),0,IFERROR(IF(ISNUMBER(INDEX($A177:$AD177,1,$D$5)),INDEX($A177:$AD177,1,$D$5),TIMEVALUE(INDEX($A177:$AD177,1,$D$5)))*Inputs!$C$22,0))</f>
        <v>0</v>
      </c>
    </row>
    <row r="178" customFormat="false" ht="15" hidden="false" customHeight="false" outlineLevel="0" collapsed="false">
      <c r="AF178" s="18" t="str">
        <f aca="false">IF($D$4="","",IF(INDEX($A178:$AD178,1,$D$4)="","",IF(ISNUMBER(INDEX($A178:$AD178,1,$D$4)),INDEX($A178:$AD178,1,$D$4),IFERROR(DATEVALUE(INDEX($A178:$AD178,1,$D$4)),""))))</f>
        <v/>
      </c>
      <c r="AG178" s="30" t="str">
        <f aca="false">IF(OR(AF178="",$D$6=""),"",IF(LEFT(INDEX($A178:$AD178,1,$D$6),LEN(Inputs!$C$30))=Inputs!$C$30,INDEX($A178:$AD178,1,$D$6),""))</f>
        <v/>
      </c>
      <c r="AH178" s="30" t="str">
        <f aca="false">IF(OR(AF178="",$D$7=""),"",TRIM(IFERROR(LEFT(INDEX($A178:$AD178,1,$D$7),FIND(",",INDEX($A178:$AD178,1,$D$7))-1),INDEX($A178:$AD178,1,$D$7))))</f>
        <v/>
      </c>
      <c r="AI178" s="36" t="n">
        <f aca="false">IF(OR(AF178="",$D$5=""),0,IFERROR(IF(ISNUMBER(INDEX($A178:$AD178,1,$D$5)),INDEX($A178:$AD178,1,$D$5),TIMEVALUE(INDEX($A178:$AD178,1,$D$5)))*Inputs!$C$22,0))</f>
        <v>0</v>
      </c>
    </row>
    <row r="179" customFormat="false" ht="15" hidden="false" customHeight="false" outlineLevel="0" collapsed="false">
      <c r="AF179" s="18" t="str">
        <f aca="false">IF($D$4="","",IF(INDEX($A179:$AD179,1,$D$4)="","",IF(ISNUMBER(INDEX($A179:$AD179,1,$D$4)),INDEX($A179:$AD179,1,$D$4),IFERROR(DATEVALUE(INDEX($A179:$AD179,1,$D$4)),""))))</f>
        <v/>
      </c>
      <c r="AG179" s="30" t="str">
        <f aca="false">IF(OR(AF179="",$D$6=""),"",IF(LEFT(INDEX($A179:$AD179,1,$D$6),LEN(Inputs!$C$30))=Inputs!$C$30,INDEX($A179:$AD179,1,$D$6),""))</f>
        <v/>
      </c>
      <c r="AH179" s="30" t="str">
        <f aca="false">IF(OR(AF179="",$D$7=""),"",TRIM(IFERROR(LEFT(INDEX($A179:$AD179,1,$D$7),FIND(",",INDEX($A179:$AD179,1,$D$7))-1),INDEX($A179:$AD179,1,$D$7))))</f>
        <v/>
      </c>
      <c r="AI179" s="36" t="n">
        <f aca="false">IF(OR(AF179="",$D$5=""),0,IFERROR(IF(ISNUMBER(INDEX($A179:$AD179,1,$D$5)),INDEX($A179:$AD179,1,$D$5),TIMEVALUE(INDEX($A179:$AD179,1,$D$5)))*Inputs!$C$22,0))</f>
        <v>0</v>
      </c>
    </row>
    <row r="180" customFormat="false" ht="15" hidden="false" customHeight="false" outlineLevel="0" collapsed="false">
      <c r="AF180" s="18" t="str">
        <f aca="false">IF($D$4="","",IF(INDEX($A180:$AD180,1,$D$4)="","",IF(ISNUMBER(INDEX($A180:$AD180,1,$D$4)),INDEX($A180:$AD180,1,$D$4),IFERROR(DATEVALUE(INDEX($A180:$AD180,1,$D$4)),""))))</f>
        <v/>
      </c>
      <c r="AG180" s="30" t="str">
        <f aca="false">IF(OR(AF180="",$D$6=""),"",IF(LEFT(INDEX($A180:$AD180,1,$D$6),LEN(Inputs!$C$30))=Inputs!$C$30,INDEX($A180:$AD180,1,$D$6),""))</f>
        <v/>
      </c>
      <c r="AH180" s="30" t="str">
        <f aca="false">IF(OR(AF180="",$D$7=""),"",TRIM(IFERROR(LEFT(INDEX($A180:$AD180,1,$D$7),FIND(",",INDEX($A180:$AD180,1,$D$7))-1),INDEX($A180:$AD180,1,$D$7))))</f>
        <v/>
      </c>
      <c r="AI180" s="36" t="n">
        <f aca="false">IF(OR(AF180="",$D$5=""),0,IFERROR(IF(ISNUMBER(INDEX($A180:$AD180,1,$D$5)),INDEX($A180:$AD180,1,$D$5),TIMEVALUE(INDEX($A180:$AD180,1,$D$5)))*Inputs!$C$22,0))</f>
        <v>0</v>
      </c>
    </row>
    <row r="181" customFormat="false" ht="15" hidden="false" customHeight="false" outlineLevel="0" collapsed="false">
      <c r="AF181" s="18" t="str">
        <f aca="false">IF($D$4="","",IF(INDEX($A181:$AD181,1,$D$4)="","",IF(ISNUMBER(INDEX($A181:$AD181,1,$D$4)),INDEX($A181:$AD181,1,$D$4),IFERROR(DATEVALUE(INDEX($A181:$AD181,1,$D$4)),""))))</f>
        <v/>
      </c>
      <c r="AG181" s="30" t="str">
        <f aca="false">IF(OR(AF181="",$D$6=""),"",IF(LEFT(INDEX($A181:$AD181,1,$D$6),LEN(Inputs!$C$30))=Inputs!$C$30,INDEX($A181:$AD181,1,$D$6),""))</f>
        <v/>
      </c>
      <c r="AH181" s="30" t="str">
        <f aca="false">IF(OR(AF181="",$D$7=""),"",TRIM(IFERROR(LEFT(INDEX($A181:$AD181,1,$D$7),FIND(",",INDEX($A181:$AD181,1,$D$7))-1),INDEX($A181:$AD181,1,$D$7))))</f>
        <v/>
      </c>
      <c r="AI181" s="36" t="n">
        <f aca="false">IF(OR(AF181="",$D$5=""),0,IFERROR(IF(ISNUMBER(INDEX($A181:$AD181,1,$D$5)),INDEX($A181:$AD181,1,$D$5),TIMEVALUE(INDEX($A181:$AD181,1,$D$5)))*Inputs!$C$22,0))</f>
        <v>0</v>
      </c>
    </row>
    <row r="182" customFormat="false" ht="15" hidden="false" customHeight="false" outlineLevel="0" collapsed="false">
      <c r="AF182" s="18" t="str">
        <f aca="false">IF($D$4="","",IF(INDEX($A182:$AD182,1,$D$4)="","",IF(ISNUMBER(INDEX($A182:$AD182,1,$D$4)),INDEX($A182:$AD182,1,$D$4),IFERROR(DATEVALUE(INDEX($A182:$AD182,1,$D$4)),""))))</f>
        <v/>
      </c>
      <c r="AG182" s="30" t="str">
        <f aca="false">IF(OR(AF182="",$D$6=""),"",IF(LEFT(INDEX($A182:$AD182,1,$D$6),LEN(Inputs!$C$30))=Inputs!$C$30,INDEX($A182:$AD182,1,$D$6),""))</f>
        <v/>
      </c>
      <c r="AH182" s="30" t="str">
        <f aca="false">IF(OR(AF182="",$D$7=""),"",TRIM(IFERROR(LEFT(INDEX($A182:$AD182,1,$D$7),FIND(",",INDEX($A182:$AD182,1,$D$7))-1),INDEX($A182:$AD182,1,$D$7))))</f>
        <v/>
      </c>
      <c r="AI182" s="36" t="n">
        <f aca="false">IF(OR(AF182="",$D$5=""),0,IFERROR(IF(ISNUMBER(INDEX($A182:$AD182,1,$D$5)),INDEX($A182:$AD182,1,$D$5),TIMEVALUE(INDEX($A182:$AD182,1,$D$5)))*Inputs!$C$22,0))</f>
        <v>0</v>
      </c>
    </row>
    <row r="183" customFormat="false" ht="15" hidden="false" customHeight="false" outlineLevel="0" collapsed="false">
      <c r="AF183" s="18" t="str">
        <f aca="false">IF($D$4="","",IF(INDEX($A183:$AD183,1,$D$4)="","",IF(ISNUMBER(INDEX($A183:$AD183,1,$D$4)),INDEX($A183:$AD183,1,$D$4),IFERROR(DATEVALUE(INDEX($A183:$AD183,1,$D$4)),""))))</f>
        <v/>
      </c>
      <c r="AG183" s="30" t="str">
        <f aca="false">IF(OR(AF183="",$D$6=""),"",IF(LEFT(INDEX($A183:$AD183,1,$D$6),LEN(Inputs!$C$30))=Inputs!$C$30,INDEX($A183:$AD183,1,$D$6),""))</f>
        <v/>
      </c>
      <c r="AH183" s="30" t="str">
        <f aca="false">IF(OR(AF183="",$D$7=""),"",TRIM(IFERROR(LEFT(INDEX($A183:$AD183,1,$D$7),FIND(",",INDEX($A183:$AD183,1,$D$7))-1),INDEX($A183:$AD183,1,$D$7))))</f>
        <v/>
      </c>
      <c r="AI183" s="36" t="n">
        <f aca="false">IF(OR(AF183="",$D$5=""),0,IFERROR(IF(ISNUMBER(INDEX($A183:$AD183,1,$D$5)),INDEX($A183:$AD183,1,$D$5),TIMEVALUE(INDEX($A183:$AD183,1,$D$5)))*Inputs!$C$22,0))</f>
        <v>0</v>
      </c>
    </row>
    <row r="184" customFormat="false" ht="15" hidden="false" customHeight="false" outlineLevel="0" collapsed="false">
      <c r="AF184" s="18" t="str">
        <f aca="false">IF($D$4="","",IF(INDEX($A184:$AD184,1,$D$4)="","",IF(ISNUMBER(INDEX($A184:$AD184,1,$D$4)),INDEX($A184:$AD184,1,$D$4),IFERROR(DATEVALUE(INDEX($A184:$AD184,1,$D$4)),""))))</f>
        <v/>
      </c>
      <c r="AG184" s="30" t="str">
        <f aca="false">IF(OR(AF184="",$D$6=""),"",IF(LEFT(INDEX($A184:$AD184,1,$D$6),LEN(Inputs!$C$30))=Inputs!$C$30,INDEX($A184:$AD184,1,$D$6),""))</f>
        <v/>
      </c>
      <c r="AH184" s="30" t="str">
        <f aca="false">IF(OR(AF184="",$D$7=""),"",TRIM(IFERROR(LEFT(INDEX($A184:$AD184,1,$D$7),FIND(",",INDEX($A184:$AD184,1,$D$7))-1),INDEX($A184:$AD184,1,$D$7))))</f>
        <v/>
      </c>
      <c r="AI184" s="36" t="n">
        <f aca="false">IF(OR(AF184="",$D$5=""),0,IFERROR(IF(ISNUMBER(INDEX($A184:$AD184,1,$D$5)),INDEX($A184:$AD184,1,$D$5),TIMEVALUE(INDEX($A184:$AD184,1,$D$5)))*Inputs!$C$22,0))</f>
        <v>0</v>
      </c>
    </row>
    <row r="185" customFormat="false" ht="15" hidden="false" customHeight="false" outlineLevel="0" collapsed="false">
      <c r="AF185" s="18" t="str">
        <f aca="false">IF($D$4="","",IF(INDEX($A185:$AD185,1,$D$4)="","",IF(ISNUMBER(INDEX($A185:$AD185,1,$D$4)),INDEX($A185:$AD185,1,$D$4),IFERROR(DATEVALUE(INDEX($A185:$AD185,1,$D$4)),""))))</f>
        <v/>
      </c>
      <c r="AG185" s="30" t="str">
        <f aca="false">IF(OR(AF185="",$D$6=""),"",IF(LEFT(INDEX($A185:$AD185,1,$D$6),LEN(Inputs!$C$30))=Inputs!$C$30,INDEX($A185:$AD185,1,$D$6),""))</f>
        <v/>
      </c>
      <c r="AH185" s="30" t="str">
        <f aca="false">IF(OR(AF185="",$D$7=""),"",TRIM(IFERROR(LEFT(INDEX($A185:$AD185,1,$D$7),FIND(",",INDEX($A185:$AD185,1,$D$7))-1),INDEX($A185:$AD185,1,$D$7))))</f>
        <v/>
      </c>
      <c r="AI185" s="36" t="n">
        <f aca="false">IF(OR(AF185="",$D$5=""),0,IFERROR(IF(ISNUMBER(INDEX($A185:$AD185,1,$D$5)),INDEX($A185:$AD185,1,$D$5),TIMEVALUE(INDEX($A185:$AD185,1,$D$5)))*Inputs!$C$22,0))</f>
        <v>0</v>
      </c>
    </row>
    <row r="186" customFormat="false" ht="15" hidden="false" customHeight="false" outlineLevel="0" collapsed="false">
      <c r="AF186" s="18" t="str">
        <f aca="false">IF($D$4="","",IF(INDEX($A186:$AD186,1,$D$4)="","",IF(ISNUMBER(INDEX($A186:$AD186,1,$D$4)),INDEX($A186:$AD186,1,$D$4),IFERROR(DATEVALUE(INDEX($A186:$AD186,1,$D$4)),""))))</f>
        <v/>
      </c>
      <c r="AG186" s="30" t="str">
        <f aca="false">IF(OR(AF186="",$D$6=""),"",IF(LEFT(INDEX($A186:$AD186,1,$D$6),LEN(Inputs!$C$30))=Inputs!$C$30,INDEX($A186:$AD186,1,$D$6),""))</f>
        <v/>
      </c>
      <c r="AH186" s="30" t="str">
        <f aca="false">IF(OR(AF186="",$D$7=""),"",TRIM(IFERROR(LEFT(INDEX($A186:$AD186,1,$D$7),FIND(",",INDEX($A186:$AD186,1,$D$7))-1),INDEX($A186:$AD186,1,$D$7))))</f>
        <v/>
      </c>
      <c r="AI186" s="36" t="n">
        <f aca="false">IF(OR(AF186="",$D$5=""),0,IFERROR(IF(ISNUMBER(INDEX($A186:$AD186,1,$D$5)),INDEX($A186:$AD186,1,$D$5),TIMEVALUE(INDEX($A186:$AD186,1,$D$5)))*Inputs!$C$22,0))</f>
        <v>0</v>
      </c>
    </row>
    <row r="187" customFormat="false" ht="15" hidden="false" customHeight="false" outlineLevel="0" collapsed="false">
      <c r="AF187" s="18" t="str">
        <f aca="false">IF($D$4="","",IF(INDEX($A187:$AD187,1,$D$4)="","",IF(ISNUMBER(INDEX($A187:$AD187,1,$D$4)),INDEX($A187:$AD187,1,$D$4),IFERROR(DATEVALUE(INDEX($A187:$AD187,1,$D$4)),""))))</f>
        <v/>
      </c>
      <c r="AG187" s="30" t="str">
        <f aca="false">IF(OR(AF187="",$D$6=""),"",IF(LEFT(INDEX($A187:$AD187,1,$D$6),LEN(Inputs!$C$30))=Inputs!$C$30,INDEX($A187:$AD187,1,$D$6),""))</f>
        <v/>
      </c>
      <c r="AH187" s="30" t="str">
        <f aca="false">IF(OR(AF187="",$D$7=""),"",TRIM(IFERROR(LEFT(INDEX($A187:$AD187,1,$D$7),FIND(",",INDEX($A187:$AD187,1,$D$7))-1),INDEX($A187:$AD187,1,$D$7))))</f>
        <v/>
      </c>
      <c r="AI187" s="36" t="n">
        <f aca="false">IF(OR(AF187="",$D$5=""),0,IFERROR(IF(ISNUMBER(INDEX($A187:$AD187,1,$D$5)),INDEX($A187:$AD187,1,$D$5),TIMEVALUE(INDEX($A187:$AD187,1,$D$5)))*Inputs!$C$22,0))</f>
        <v>0</v>
      </c>
    </row>
    <row r="188" customFormat="false" ht="15" hidden="false" customHeight="false" outlineLevel="0" collapsed="false">
      <c r="AF188" s="18" t="str">
        <f aca="false">IF($D$4="","",IF(INDEX($A188:$AD188,1,$D$4)="","",IF(ISNUMBER(INDEX($A188:$AD188,1,$D$4)),INDEX($A188:$AD188,1,$D$4),IFERROR(DATEVALUE(INDEX($A188:$AD188,1,$D$4)),""))))</f>
        <v/>
      </c>
      <c r="AG188" s="30" t="str">
        <f aca="false">IF(OR(AF188="",$D$6=""),"",IF(LEFT(INDEX($A188:$AD188,1,$D$6),LEN(Inputs!$C$30))=Inputs!$C$30,INDEX($A188:$AD188,1,$D$6),""))</f>
        <v/>
      </c>
      <c r="AH188" s="30" t="str">
        <f aca="false">IF(OR(AF188="",$D$7=""),"",TRIM(IFERROR(LEFT(INDEX($A188:$AD188,1,$D$7),FIND(",",INDEX($A188:$AD188,1,$D$7))-1),INDEX($A188:$AD188,1,$D$7))))</f>
        <v/>
      </c>
      <c r="AI188" s="36" t="n">
        <f aca="false">IF(OR(AF188="",$D$5=""),0,IFERROR(IF(ISNUMBER(INDEX($A188:$AD188,1,$D$5)),INDEX($A188:$AD188,1,$D$5),TIMEVALUE(INDEX($A188:$AD188,1,$D$5)))*Inputs!$C$22,0))</f>
        <v>0</v>
      </c>
    </row>
    <row r="189" customFormat="false" ht="15" hidden="false" customHeight="false" outlineLevel="0" collapsed="false">
      <c r="AF189" s="18" t="str">
        <f aca="false">IF($D$4="","",IF(INDEX($A189:$AD189,1,$D$4)="","",IF(ISNUMBER(INDEX($A189:$AD189,1,$D$4)),INDEX($A189:$AD189,1,$D$4),IFERROR(DATEVALUE(INDEX($A189:$AD189,1,$D$4)),""))))</f>
        <v/>
      </c>
      <c r="AG189" s="30" t="str">
        <f aca="false">IF(OR(AF189="",$D$6=""),"",IF(LEFT(INDEX($A189:$AD189,1,$D$6),LEN(Inputs!$C$30))=Inputs!$C$30,INDEX($A189:$AD189,1,$D$6),""))</f>
        <v/>
      </c>
      <c r="AH189" s="30" t="str">
        <f aca="false">IF(OR(AF189="",$D$7=""),"",TRIM(IFERROR(LEFT(INDEX($A189:$AD189,1,$D$7),FIND(",",INDEX($A189:$AD189,1,$D$7))-1),INDEX($A189:$AD189,1,$D$7))))</f>
        <v/>
      </c>
      <c r="AI189" s="36" t="n">
        <f aca="false">IF(OR(AF189="",$D$5=""),0,IFERROR(IF(ISNUMBER(INDEX($A189:$AD189,1,$D$5)),INDEX($A189:$AD189,1,$D$5),TIMEVALUE(INDEX($A189:$AD189,1,$D$5)))*Inputs!$C$22,0))</f>
        <v>0</v>
      </c>
    </row>
    <row r="190" customFormat="false" ht="15" hidden="false" customHeight="false" outlineLevel="0" collapsed="false">
      <c r="AF190" s="18" t="str">
        <f aca="false">IF($D$4="","",IF(INDEX($A190:$AD190,1,$D$4)="","",IF(ISNUMBER(INDEX($A190:$AD190,1,$D$4)),INDEX($A190:$AD190,1,$D$4),IFERROR(DATEVALUE(INDEX($A190:$AD190,1,$D$4)),""))))</f>
        <v/>
      </c>
      <c r="AG190" s="30" t="str">
        <f aca="false">IF(OR(AF190="",$D$6=""),"",IF(LEFT(INDEX($A190:$AD190,1,$D$6),LEN(Inputs!$C$30))=Inputs!$C$30,INDEX($A190:$AD190,1,$D$6),""))</f>
        <v/>
      </c>
      <c r="AH190" s="30" t="str">
        <f aca="false">IF(OR(AF190="",$D$7=""),"",TRIM(IFERROR(LEFT(INDEX($A190:$AD190,1,$D$7),FIND(",",INDEX($A190:$AD190,1,$D$7))-1),INDEX($A190:$AD190,1,$D$7))))</f>
        <v/>
      </c>
      <c r="AI190" s="36" t="n">
        <f aca="false">IF(OR(AF190="",$D$5=""),0,IFERROR(IF(ISNUMBER(INDEX($A190:$AD190,1,$D$5)),INDEX($A190:$AD190,1,$D$5),TIMEVALUE(INDEX($A190:$AD190,1,$D$5)))*Inputs!$C$22,0))</f>
        <v>0</v>
      </c>
    </row>
    <row r="191" customFormat="false" ht="15" hidden="false" customHeight="false" outlineLevel="0" collapsed="false">
      <c r="AF191" s="18" t="str">
        <f aca="false">IF($D$4="","",IF(INDEX($A191:$AD191,1,$D$4)="","",IF(ISNUMBER(INDEX($A191:$AD191,1,$D$4)),INDEX($A191:$AD191,1,$D$4),IFERROR(DATEVALUE(INDEX($A191:$AD191,1,$D$4)),""))))</f>
        <v/>
      </c>
      <c r="AG191" s="30" t="str">
        <f aca="false">IF(OR(AF191="",$D$6=""),"",IF(LEFT(INDEX($A191:$AD191,1,$D$6),LEN(Inputs!$C$30))=Inputs!$C$30,INDEX($A191:$AD191,1,$D$6),""))</f>
        <v/>
      </c>
      <c r="AH191" s="30" t="str">
        <f aca="false">IF(OR(AF191="",$D$7=""),"",TRIM(IFERROR(LEFT(INDEX($A191:$AD191,1,$D$7),FIND(",",INDEX($A191:$AD191,1,$D$7))-1),INDEX($A191:$AD191,1,$D$7))))</f>
        <v/>
      </c>
      <c r="AI191" s="36" t="n">
        <f aca="false">IF(OR(AF191="",$D$5=""),0,IFERROR(IF(ISNUMBER(INDEX($A191:$AD191,1,$D$5)),INDEX($A191:$AD191,1,$D$5),TIMEVALUE(INDEX($A191:$AD191,1,$D$5)))*Inputs!$C$22,0))</f>
        <v>0</v>
      </c>
    </row>
    <row r="192" customFormat="false" ht="15" hidden="false" customHeight="false" outlineLevel="0" collapsed="false">
      <c r="AF192" s="18" t="str">
        <f aca="false">IF($D$4="","",IF(INDEX($A192:$AD192,1,$D$4)="","",IF(ISNUMBER(INDEX($A192:$AD192,1,$D$4)),INDEX($A192:$AD192,1,$D$4),IFERROR(DATEVALUE(INDEX($A192:$AD192,1,$D$4)),""))))</f>
        <v/>
      </c>
      <c r="AG192" s="30" t="str">
        <f aca="false">IF(OR(AF192="",$D$6=""),"",IF(LEFT(INDEX($A192:$AD192,1,$D$6),LEN(Inputs!$C$30))=Inputs!$C$30,INDEX($A192:$AD192,1,$D$6),""))</f>
        <v/>
      </c>
      <c r="AH192" s="30" t="str">
        <f aca="false">IF(OR(AF192="",$D$7=""),"",TRIM(IFERROR(LEFT(INDEX($A192:$AD192,1,$D$7),FIND(",",INDEX($A192:$AD192,1,$D$7))-1),INDEX($A192:$AD192,1,$D$7))))</f>
        <v/>
      </c>
      <c r="AI192" s="36" t="n">
        <f aca="false">IF(OR(AF192="",$D$5=""),0,IFERROR(IF(ISNUMBER(INDEX($A192:$AD192,1,$D$5)),INDEX($A192:$AD192,1,$D$5),TIMEVALUE(INDEX($A192:$AD192,1,$D$5)))*Inputs!$C$22,0))</f>
        <v>0</v>
      </c>
    </row>
    <row r="193" customFormat="false" ht="15" hidden="false" customHeight="false" outlineLevel="0" collapsed="false">
      <c r="AF193" s="18" t="str">
        <f aca="false">IF($D$4="","",IF(INDEX($A193:$AD193,1,$D$4)="","",IF(ISNUMBER(INDEX($A193:$AD193,1,$D$4)),INDEX($A193:$AD193,1,$D$4),IFERROR(DATEVALUE(INDEX($A193:$AD193,1,$D$4)),""))))</f>
        <v/>
      </c>
      <c r="AG193" s="30" t="str">
        <f aca="false">IF(OR(AF193="",$D$6=""),"",IF(LEFT(INDEX($A193:$AD193,1,$D$6),LEN(Inputs!$C$30))=Inputs!$C$30,INDEX($A193:$AD193,1,$D$6),""))</f>
        <v/>
      </c>
      <c r="AH193" s="30" t="str">
        <f aca="false">IF(OR(AF193="",$D$7=""),"",TRIM(IFERROR(LEFT(INDEX($A193:$AD193,1,$D$7),FIND(",",INDEX($A193:$AD193,1,$D$7))-1),INDEX($A193:$AD193,1,$D$7))))</f>
        <v/>
      </c>
      <c r="AI193" s="36" t="n">
        <f aca="false">IF(OR(AF193="",$D$5=""),0,IFERROR(IF(ISNUMBER(INDEX($A193:$AD193,1,$D$5)),INDEX($A193:$AD193,1,$D$5),TIMEVALUE(INDEX($A193:$AD193,1,$D$5)))*Inputs!$C$22,0))</f>
        <v>0</v>
      </c>
    </row>
    <row r="194" customFormat="false" ht="15" hidden="false" customHeight="false" outlineLevel="0" collapsed="false">
      <c r="AF194" s="18" t="str">
        <f aca="false">IF($D$4="","",IF(INDEX($A194:$AD194,1,$D$4)="","",IF(ISNUMBER(INDEX($A194:$AD194,1,$D$4)),INDEX($A194:$AD194,1,$D$4),IFERROR(DATEVALUE(INDEX($A194:$AD194,1,$D$4)),""))))</f>
        <v/>
      </c>
      <c r="AG194" s="30" t="str">
        <f aca="false">IF(OR(AF194="",$D$6=""),"",IF(LEFT(INDEX($A194:$AD194,1,$D$6),LEN(Inputs!$C$30))=Inputs!$C$30,INDEX($A194:$AD194,1,$D$6),""))</f>
        <v/>
      </c>
      <c r="AH194" s="30" t="str">
        <f aca="false">IF(OR(AF194="",$D$7=""),"",TRIM(IFERROR(LEFT(INDEX($A194:$AD194,1,$D$7),FIND(",",INDEX($A194:$AD194,1,$D$7))-1),INDEX($A194:$AD194,1,$D$7))))</f>
        <v/>
      </c>
      <c r="AI194" s="36" t="n">
        <f aca="false">IF(OR(AF194="",$D$5=""),0,IFERROR(IF(ISNUMBER(INDEX($A194:$AD194,1,$D$5)),INDEX($A194:$AD194,1,$D$5),TIMEVALUE(INDEX($A194:$AD194,1,$D$5)))*Inputs!$C$22,0))</f>
        <v>0</v>
      </c>
    </row>
    <row r="195" customFormat="false" ht="15" hidden="false" customHeight="false" outlineLevel="0" collapsed="false">
      <c r="AF195" s="18" t="str">
        <f aca="false">IF($D$4="","",IF(INDEX($A195:$AD195,1,$D$4)="","",IF(ISNUMBER(INDEX($A195:$AD195,1,$D$4)),INDEX($A195:$AD195,1,$D$4),IFERROR(DATEVALUE(INDEX($A195:$AD195,1,$D$4)),""))))</f>
        <v/>
      </c>
      <c r="AG195" s="30" t="str">
        <f aca="false">IF(OR(AF195="",$D$6=""),"",IF(LEFT(INDEX($A195:$AD195,1,$D$6),LEN(Inputs!$C$30))=Inputs!$C$30,INDEX($A195:$AD195,1,$D$6),""))</f>
        <v/>
      </c>
      <c r="AH195" s="30" t="str">
        <f aca="false">IF(OR(AF195="",$D$7=""),"",TRIM(IFERROR(LEFT(INDEX($A195:$AD195,1,$D$7),FIND(",",INDEX($A195:$AD195,1,$D$7))-1),INDEX($A195:$AD195,1,$D$7))))</f>
        <v/>
      </c>
      <c r="AI195" s="36" t="n">
        <f aca="false">IF(OR(AF195="",$D$5=""),0,IFERROR(IF(ISNUMBER(INDEX($A195:$AD195,1,$D$5)),INDEX($A195:$AD195,1,$D$5),TIMEVALUE(INDEX($A195:$AD195,1,$D$5)))*Inputs!$C$22,0))</f>
        <v>0</v>
      </c>
    </row>
    <row r="196" customFormat="false" ht="15" hidden="false" customHeight="false" outlineLevel="0" collapsed="false">
      <c r="AF196" s="18" t="str">
        <f aca="false">IF($D$4="","",IF(INDEX($A196:$AD196,1,$D$4)="","",IF(ISNUMBER(INDEX($A196:$AD196,1,$D$4)),INDEX($A196:$AD196,1,$D$4),IFERROR(DATEVALUE(INDEX($A196:$AD196,1,$D$4)),""))))</f>
        <v/>
      </c>
      <c r="AG196" s="30" t="str">
        <f aca="false">IF(OR(AF196="",$D$6=""),"",IF(LEFT(INDEX($A196:$AD196,1,$D$6),LEN(Inputs!$C$30))=Inputs!$C$30,INDEX($A196:$AD196,1,$D$6),""))</f>
        <v/>
      </c>
      <c r="AH196" s="30" t="str">
        <f aca="false">IF(OR(AF196="",$D$7=""),"",TRIM(IFERROR(LEFT(INDEX($A196:$AD196,1,$D$7),FIND(",",INDEX($A196:$AD196,1,$D$7))-1),INDEX($A196:$AD196,1,$D$7))))</f>
        <v/>
      </c>
      <c r="AI196" s="36" t="n">
        <f aca="false">IF(OR(AF196="",$D$5=""),0,IFERROR(IF(ISNUMBER(INDEX($A196:$AD196,1,$D$5)),INDEX($A196:$AD196,1,$D$5),TIMEVALUE(INDEX($A196:$AD196,1,$D$5)))*Inputs!$C$22,0))</f>
        <v>0</v>
      </c>
    </row>
    <row r="197" customFormat="false" ht="15" hidden="false" customHeight="false" outlineLevel="0" collapsed="false">
      <c r="AF197" s="18" t="str">
        <f aca="false">IF($D$4="","",IF(INDEX($A197:$AD197,1,$D$4)="","",IF(ISNUMBER(INDEX($A197:$AD197,1,$D$4)),INDEX($A197:$AD197,1,$D$4),IFERROR(DATEVALUE(INDEX($A197:$AD197,1,$D$4)),""))))</f>
        <v/>
      </c>
      <c r="AG197" s="30" t="str">
        <f aca="false">IF(OR(AF197="",$D$6=""),"",IF(LEFT(INDEX($A197:$AD197,1,$D$6),LEN(Inputs!$C$30))=Inputs!$C$30,INDEX($A197:$AD197,1,$D$6),""))</f>
        <v/>
      </c>
      <c r="AH197" s="30" t="str">
        <f aca="false">IF(OR(AF197="",$D$7=""),"",TRIM(IFERROR(LEFT(INDEX($A197:$AD197,1,$D$7),FIND(",",INDEX($A197:$AD197,1,$D$7))-1),INDEX($A197:$AD197,1,$D$7))))</f>
        <v/>
      </c>
      <c r="AI197" s="36" t="n">
        <f aca="false">IF(OR(AF197="",$D$5=""),0,IFERROR(IF(ISNUMBER(INDEX($A197:$AD197,1,$D$5)),INDEX($A197:$AD197,1,$D$5),TIMEVALUE(INDEX($A197:$AD197,1,$D$5)))*Inputs!$C$22,0))</f>
        <v>0</v>
      </c>
    </row>
    <row r="198" customFormat="false" ht="15" hidden="false" customHeight="false" outlineLevel="0" collapsed="false">
      <c r="AF198" s="18" t="str">
        <f aca="false">IF($D$4="","",IF(INDEX($A198:$AD198,1,$D$4)="","",IF(ISNUMBER(INDEX($A198:$AD198,1,$D$4)),INDEX($A198:$AD198,1,$D$4),IFERROR(DATEVALUE(INDEX($A198:$AD198,1,$D$4)),""))))</f>
        <v/>
      </c>
      <c r="AG198" s="30" t="str">
        <f aca="false">IF(OR(AF198="",$D$6=""),"",IF(LEFT(INDEX($A198:$AD198,1,$D$6),LEN(Inputs!$C$30))=Inputs!$C$30,INDEX($A198:$AD198,1,$D$6),""))</f>
        <v/>
      </c>
      <c r="AH198" s="30" t="str">
        <f aca="false">IF(OR(AF198="",$D$7=""),"",TRIM(IFERROR(LEFT(INDEX($A198:$AD198,1,$D$7),FIND(",",INDEX($A198:$AD198,1,$D$7))-1),INDEX($A198:$AD198,1,$D$7))))</f>
        <v/>
      </c>
      <c r="AI198" s="36" t="n">
        <f aca="false">IF(OR(AF198="",$D$5=""),0,IFERROR(IF(ISNUMBER(INDEX($A198:$AD198,1,$D$5)),INDEX($A198:$AD198,1,$D$5),TIMEVALUE(INDEX($A198:$AD198,1,$D$5)))*Inputs!$C$22,0))</f>
        <v>0</v>
      </c>
    </row>
    <row r="199" customFormat="false" ht="15" hidden="false" customHeight="false" outlineLevel="0" collapsed="false">
      <c r="AF199" s="18" t="str">
        <f aca="false">IF($D$4="","",IF(INDEX($A199:$AD199,1,$D$4)="","",IF(ISNUMBER(INDEX($A199:$AD199,1,$D$4)),INDEX($A199:$AD199,1,$D$4),IFERROR(DATEVALUE(INDEX($A199:$AD199,1,$D$4)),""))))</f>
        <v/>
      </c>
      <c r="AG199" s="30" t="str">
        <f aca="false">IF(OR(AF199="",$D$6=""),"",IF(LEFT(INDEX($A199:$AD199,1,$D$6),LEN(Inputs!$C$30))=Inputs!$C$30,INDEX($A199:$AD199,1,$D$6),""))</f>
        <v/>
      </c>
      <c r="AH199" s="30" t="str">
        <f aca="false">IF(OR(AF199="",$D$7=""),"",TRIM(IFERROR(LEFT(INDEX($A199:$AD199,1,$D$7),FIND(",",INDEX($A199:$AD199,1,$D$7))-1),INDEX($A199:$AD199,1,$D$7))))</f>
        <v/>
      </c>
      <c r="AI199" s="36" t="n">
        <f aca="false">IF(OR(AF199="",$D$5=""),0,IFERROR(IF(ISNUMBER(INDEX($A199:$AD199,1,$D$5)),INDEX($A199:$AD199,1,$D$5),TIMEVALUE(INDEX($A199:$AD199,1,$D$5)))*Inputs!$C$22,0))</f>
        <v>0</v>
      </c>
    </row>
    <row r="200" customFormat="false" ht="15" hidden="false" customHeight="false" outlineLevel="0" collapsed="false">
      <c r="AF200" s="18" t="str">
        <f aca="false">IF($D$4="","",IF(INDEX($A200:$AD200,1,$D$4)="","",IF(ISNUMBER(INDEX($A200:$AD200,1,$D$4)),INDEX($A200:$AD200,1,$D$4),IFERROR(DATEVALUE(INDEX($A200:$AD200,1,$D$4)),""))))</f>
        <v/>
      </c>
      <c r="AG200" s="30" t="str">
        <f aca="false">IF(OR(AF200="",$D$6=""),"",IF(LEFT(INDEX($A200:$AD200,1,$D$6),LEN(Inputs!$C$30))=Inputs!$C$30,INDEX($A200:$AD200,1,$D$6),""))</f>
        <v/>
      </c>
      <c r="AH200" s="30" t="str">
        <f aca="false">IF(OR(AF200="",$D$7=""),"",TRIM(IFERROR(LEFT(INDEX($A200:$AD200,1,$D$7),FIND(",",INDEX($A200:$AD200,1,$D$7))-1),INDEX($A200:$AD200,1,$D$7))))</f>
        <v/>
      </c>
      <c r="AI200" s="36" t="n">
        <f aca="false">IF(OR(AF200="",$D$5=""),0,IFERROR(IF(ISNUMBER(INDEX($A200:$AD200,1,$D$5)),INDEX($A200:$AD200,1,$D$5),TIMEVALUE(INDEX($A200:$AD200,1,$D$5)))*Inputs!$C$22,0))</f>
        <v>0</v>
      </c>
    </row>
    <row r="201" customFormat="false" ht="15" hidden="false" customHeight="false" outlineLevel="0" collapsed="false">
      <c r="AF201" s="18" t="str">
        <f aca="false">IF($D$4="","",IF(INDEX($A201:$AD201,1,$D$4)="","",IF(ISNUMBER(INDEX($A201:$AD201,1,$D$4)),INDEX($A201:$AD201,1,$D$4),IFERROR(DATEVALUE(INDEX($A201:$AD201,1,$D$4)),""))))</f>
        <v/>
      </c>
      <c r="AG201" s="30" t="str">
        <f aca="false">IF(OR(AF201="",$D$6=""),"",IF(LEFT(INDEX($A201:$AD201,1,$D$6),LEN(Inputs!$C$30))=Inputs!$C$30,INDEX($A201:$AD201,1,$D$6),""))</f>
        <v/>
      </c>
      <c r="AH201" s="30" t="str">
        <f aca="false">IF(OR(AF201="",$D$7=""),"",TRIM(IFERROR(LEFT(INDEX($A201:$AD201,1,$D$7),FIND(",",INDEX($A201:$AD201,1,$D$7))-1),INDEX($A201:$AD201,1,$D$7))))</f>
        <v/>
      </c>
      <c r="AI201" s="36" t="n">
        <f aca="false">IF(OR(AF201="",$D$5=""),0,IFERROR(IF(ISNUMBER(INDEX($A201:$AD201,1,$D$5)),INDEX($A201:$AD201,1,$D$5),TIMEVALUE(INDEX($A201:$AD201,1,$D$5)))*Inputs!$C$22,0))</f>
        <v>0</v>
      </c>
    </row>
    <row r="202" customFormat="false" ht="15" hidden="false" customHeight="false" outlineLevel="0" collapsed="false">
      <c r="AF202" s="18" t="str">
        <f aca="false">IF($D$4="","",IF(INDEX($A202:$AD202,1,$D$4)="","",IF(ISNUMBER(INDEX($A202:$AD202,1,$D$4)),INDEX($A202:$AD202,1,$D$4),IFERROR(DATEVALUE(INDEX($A202:$AD202,1,$D$4)),""))))</f>
        <v/>
      </c>
      <c r="AG202" s="30" t="str">
        <f aca="false">IF(OR(AF202="",$D$6=""),"",IF(LEFT(INDEX($A202:$AD202,1,$D$6),LEN(Inputs!$C$30))=Inputs!$C$30,INDEX($A202:$AD202,1,$D$6),""))</f>
        <v/>
      </c>
      <c r="AH202" s="30" t="str">
        <f aca="false">IF(OR(AF202="",$D$7=""),"",TRIM(IFERROR(LEFT(INDEX($A202:$AD202,1,$D$7),FIND(",",INDEX($A202:$AD202,1,$D$7))-1),INDEX($A202:$AD202,1,$D$7))))</f>
        <v/>
      </c>
      <c r="AI202" s="36" t="n">
        <f aca="false">IF(OR(AF202="",$D$5=""),0,IFERROR(IF(ISNUMBER(INDEX($A202:$AD202,1,$D$5)),INDEX($A202:$AD202,1,$D$5),TIMEVALUE(INDEX($A202:$AD202,1,$D$5)))*Inputs!$C$22,0))</f>
        <v>0</v>
      </c>
    </row>
    <row r="203" customFormat="false" ht="15" hidden="false" customHeight="false" outlineLevel="0" collapsed="false">
      <c r="AF203" s="18" t="str">
        <f aca="false">IF($D$4="","",IF(INDEX($A203:$AD203,1,$D$4)="","",IF(ISNUMBER(INDEX($A203:$AD203,1,$D$4)),INDEX($A203:$AD203,1,$D$4),IFERROR(DATEVALUE(INDEX($A203:$AD203,1,$D$4)),""))))</f>
        <v/>
      </c>
      <c r="AG203" s="30" t="str">
        <f aca="false">IF(OR(AF203="",$D$6=""),"",IF(LEFT(INDEX($A203:$AD203,1,$D$6),LEN(Inputs!$C$30))=Inputs!$C$30,INDEX($A203:$AD203,1,$D$6),""))</f>
        <v/>
      </c>
      <c r="AH203" s="30" t="str">
        <f aca="false">IF(OR(AF203="",$D$7=""),"",TRIM(IFERROR(LEFT(INDEX($A203:$AD203,1,$D$7),FIND(",",INDEX($A203:$AD203,1,$D$7))-1),INDEX($A203:$AD203,1,$D$7))))</f>
        <v/>
      </c>
      <c r="AI203" s="36" t="n">
        <f aca="false">IF(OR(AF203="",$D$5=""),0,IFERROR(IF(ISNUMBER(INDEX($A203:$AD203,1,$D$5)),INDEX($A203:$AD203,1,$D$5),TIMEVALUE(INDEX($A203:$AD203,1,$D$5)))*Inputs!$C$22,0))</f>
        <v>0</v>
      </c>
    </row>
    <row r="204" customFormat="false" ht="15" hidden="false" customHeight="false" outlineLevel="0" collapsed="false">
      <c r="AF204" s="18" t="str">
        <f aca="false">IF($D$4="","",IF(INDEX($A204:$AD204,1,$D$4)="","",IF(ISNUMBER(INDEX($A204:$AD204,1,$D$4)),INDEX($A204:$AD204,1,$D$4),IFERROR(DATEVALUE(INDEX($A204:$AD204,1,$D$4)),""))))</f>
        <v/>
      </c>
      <c r="AG204" s="30" t="str">
        <f aca="false">IF(OR(AF204="",$D$6=""),"",IF(LEFT(INDEX($A204:$AD204,1,$D$6),LEN(Inputs!$C$30))=Inputs!$C$30,INDEX($A204:$AD204,1,$D$6),""))</f>
        <v/>
      </c>
      <c r="AH204" s="30" t="str">
        <f aca="false">IF(OR(AF204="",$D$7=""),"",TRIM(IFERROR(LEFT(INDEX($A204:$AD204,1,$D$7),FIND(",",INDEX($A204:$AD204,1,$D$7))-1),INDEX($A204:$AD204,1,$D$7))))</f>
        <v/>
      </c>
      <c r="AI204" s="36" t="n">
        <f aca="false">IF(OR(AF204="",$D$5=""),0,IFERROR(IF(ISNUMBER(INDEX($A204:$AD204,1,$D$5)),INDEX($A204:$AD204,1,$D$5),TIMEVALUE(INDEX($A204:$AD204,1,$D$5)))*Inputs!$C$22,0))</f>
        <v>0</v>
      </c>
    </row>
    <row r="205" customFormat="false" ht="15" hidden="false" customHeight="false" outlineLevel="0" collapsed="false">
      <c r="AF205" s="18" t="str">
        <f aca="false">IF($D$4="","",IF(INDEX($A205:$AD205,1,$D$4)="","",IF(ISNUMBER(INDEX($A205:$AD205,1,$D$4)),INDEX($A205:$AD205,1,$D$4),IFERROR(DATEVALUE(INDEX($A205:$AD205,1,$D$4)),""))))</f>
        <v/>
      </c>
      <c r="AG205" s="30" t="str">
        <f aca="false">IF(OR(AF205="",$D$6=""),"",IF(LEFT(INDEX($A205:$AD205,1,$D$6),LEN(Inputs!$C$30))=Inputs!$C$30,INDEX($A205:$AD205,1,$D$6),""))</f>
        <v/>
      </c>
      <c r="AH205" s="30" t="str">
        <f aca="false">IF(OR(AF205="",$D$7=""),"",TRIM(IFERROR(LEFT(INDEX($A205:$AD205,1,$D$7),FIND(",",INDEX($A205:$AD205,1,$D$7))-1),INDEX($A205:$AD205,1,$D$7))))</f>
        <v/>
      </c>
      <c r="AI205" s="36" t="n">
        <f aca="false">IF(OR(AF205="",$D$5=""),0,IFERROR(IF(ISNUMBER(INDEX($A205:$AD205,1,$D$5)),INDEX($A205:$AD205,1,$D$5),TIMEVALUE(INDEX($A205:$AD205,1,$D$5)))*Inputs!$C$22,0))</f>
        <v>0</v>
      </c>
    </row>
    <row r="206" customFormat="false" ht="15" hidden="false" customHeight="false" outlineLevel="0" collapsed="false">
      <c r="AF206" s="18" t="str">
        <f aca="false">IF($D$4="","",IF(INDEX($A206:$AD206,1,$D$4)="","",IF(ISNUMBER(INDEX($A206:$AD206,1,$D$4)),INDEX($A206:$AD206,1,$D$4),IFERROR(DATEVALUE(INDEX($A206:$AD206,1,$D$4)),""))))</f>
        <v/>
      </c>
      <c r="AG206" s="30" t="str">
        <f aca="false">IF(OR(AF206="",$D$6=""),"",IF(LEFT(INDEX($A206:$AD206,1,$D$6),LEN(Inputs!$C$30))=Inputs!$C$30,INDEX($A206:$AD206,1,$D$6),""))</f>
        <v/>
      </c>
      <c r="AH206" s="30" t="str">
        <f aca="false">IF(OR(AF206="",$D$7=""),"",TRIM(IFERROR(LEFT(INDEX($A206:$AD206,1,$D$7),FIND(",",INDEX($A206:$AD206,1,$D$7))-1),INDEX($A206:$AD206,1,$D$7))))</f>
        <v/>
      </c>
      <c r="AI206" s="36" t="n">
        <f aca="false">IF(OR(AF206="",$D$5=""),0,IFERROR(IF(ISNUMBER(INDEX($A206:$AD206,1,$D$5)),INDEX($A206:$AD206,1,$D$5),TIMEVALUE(INDEX($A206:$AD206,1,$D$5)))*Inputs!$C$22,0))</f>
        <v>0</v>
      </c>
    </row>
    <row r="207" customFormat="false" ht="15" hidden="false" customHeight="false" outlineLevel="0" collapsed="false">
      <c r="AF207" s="18" t="str">
        <f aca="false">IF($D$4="","",IF(INDEX($A207:$AD207,1,$D$4)="","",IF(ISNUMBER(INDEX($A207:$AD207,1,$D$4)),INDEX($A207:$AD207,1,$D$4),IFERROR(DATEVALUE(INDEX($A207:$AD207,1,$D$4)),""))))</f>
        <v/>
      </c>
      <c r="AG207" s="30" t="str">
        <f aca="false">IF(OR(AF207="",$D$6=""),"",IF(LEFT(INDEX($A207:$AD207,1,$D$6),LEN(Inputs!$C$30))=Inputs!$C$30,INDEX($A207:$AD207,1,$D$6),""))</f>
        <v/>
      </c>
      <c r="AH207" s="30" t="str">
        <f aca="false">IF(OR(AF207="",$D$7=""),"",TRIM(IFERROR(LEFT(INDEX($A207:$AD207,1,$D$7),FIND(",",INDEX($A207:$AD207,1,$D$7))-1),INDEX($A207:$AD207,1,$D$7))))</f>
        <v/>
      </c>
      <c r="AI207" s="36" t="n">
        <f aca="false">IF(OR(AF207="",$D$5=""),0,IFERROR(IF(ISNUMBER(INDEX($A207:$AD207,1,$D$5)),INDEX($A207:$AD207,1,$D$5),TIMEVALUE(INDEX($A207:$AD207,1,$D$5)))*Inputs!$C$22,0))</f>
        <v>0</v>
      </c>
    </row>
    <row r="208" customFormat="false" ht="15" hidden="false" customHeight="false" outlineLevel="0" collapsed="false">
      <c r="AF208" s="18" t="str">
        <f aca="false">IF($D$4="","",IF(INDEX($A208:$AD208,1,$D$4)="","",IF(ISNUMBER(INDEX($A208:$AD208,1,$D$4)),INDEX($A208:$AD208,1,$D$4),IFERROR(DATEVALUE(INDEX($A208:$AD208,1,$D$4)),""))))</f>
        <v/>
      </c>
      <c r="AG208" s="30" t="str">
        <f aca="false">IF(OR(AF208="",$D$6=""),"",IF(LEFT(INDEX($A208:$AD208,1,$D$6),LEN(Inputs!$C$30))=Inputs!$C$30,INDEX($A208:$AD208,1,$D$6),""))</f>
        <v/>
      </c>
      <c r="AH208" s="30" t="str">
        <f aca="false">IF(OR(AF208="",$D$7=""),"",TRIM(IFERROR(LEFT(INDEX($A208:$AD208,1,$D$7),FIND(",",INDEX($A208:$AD208,1,$D$7))-1),INDEX($A208:$AD208,1,$D$7))))</f>
        <v/>
      </c>
      <c r="AI208" s="36" t="n">
        <f aca="false">IF(OR(AF208="",$D$5=""),0,IFERROR(IF(ISNUMBER(INDEX($A208:$AD208,1,$D$5)),INDEX($A208:$AD208,1,$D$5),TIMEVALUE(INDEX($A208:$AD208,1,$D$5)))*Inputs!$C$22,0))</f>
        <v>0</v>
      </c>
    </row>
    <row r="209" customFormat="false" ht="15" hidden="false" customHeight="false" outlineLevel="0" collapsed="false">
      <c r="AF209" s="18" t="str">
        <f aca="false">IF($D$4="","",IF(INDEX($A209:$AD209,1,$D$4)="","",IF(ISNUMBER(INDEX($A209:$AD209,1,$D$4)),INDEX($A209:$AD209,1,$D$4),IFERROR(DATEVALUE(INDEX($A209:$AD209,1,$D$4)),""))))</f>
        <v/>
      </c>
      <c r="AG209" s="30" t="str">
        <f aca="false">IF(OR(AF209="",$D$6=""),"",IF(LEFT(INDEX($A209:$AD209,1,$D$6),LEN(Inputs!$C$30))=Inputs!$C$30,INDEX($A209:$AD209,1,$D$6),""))</f>
        <v/>
      </c>
      <c r="AH209" s="30" t="str">
        <f aca="false">IF(OR(AF209="",$D$7=""),"",TRIM(IFERROR(LEFT(INDEX($A209:$AD209,1,$D$7),FIND(",",INDEX($A209:$AD209,1,$D$7))-1),INDEX($A209:$AD209,1,$D$7))))</f>
        <v/>
      </c>
      <c r="AI209" s="36" t="n">
        <f aca="false">IF(OR(AF209="",$D$5=""),0,IFERROR(IF(ISNUMBER(INDEX($A209:$AD209,1,$D$5)),INDEX($A209:$AD209,1,$D$5),TIMEVALUE(INDEX($A209:$AD209,1,$D$5)))*Inputs!$C$22,0))</f>
        <v>0</v>
      </c>
    </row>
    <row r="210" customFormat="false" ht="15" hidden="false" customHeight="false" outlineLevel="0" collapsed="false">
      <c r="AF210" s="18" t="str">
        <f aca="false">IF($D$4="","",IF(INDEX($A210:$AD210,1,$D$4)="","",IF(ISNUMBER(INDEX($A210:$AD210,1,$D$4)),INDEX($A210:$AD210,1,$D$4),IFERROR(DATEVALUE(INDEX($A210:$AD210,1,$D$4)),""))))</f>
        <v/>
      </c>
      <c r="AG210" s="30" t="str">
        <f aca="false">IF(OR(AF210="",$D$6=""),"",IF(LEFT(INDEX($A210:$AD210,1,$D$6),LEN(Inputs!$C$30))=Inputs!$C$30,INDEX($A210:$AD210,1,$D$6),""))</f>
        <v/>
      </c>
      <c r="AH210" s="30" t="str">
        <f aca="false">IF(OR(AF210="",$D$7=""),"",TRIM(IFERROR(LEFT(INDEX($A210:$AD210,1,$D$7),FIND(",",INDEX($A210:$AD210,1,$D$7))-1),INDEX($A210:$AD210,1,$D$7))))</f>
        <v/>
      </c>
      <c r="AI210" s="36" t="n">
        <f aca="false">IF(OR(AF210="",$D$5=""),0,IFERROR(IF(ISNUMBER(INDEX($A210:$AD210,1,$D$5)),INDEX($A210:$AD210,1,$D$5),TIMEVALUE(INDEX($A210:$AD210,1,$D$5)))*Inputs!$C$22,0))</f>
        <v>0</v>
      </c>
    </row>
    <row r="211" customFormat="false" ht="15" hidden="false" customHeight="false" outlineLevel="0" collapsed="false">
      <c r="AF211" s="18" t="str">
        <f aca="false">IF($D$4="","",IF(INDEX($A211:$AD211,1,$D$4)="","",IF(ISNUMBER(INDEX($A211:$AD211,1,$D$4)),INDEX($A211:$AD211,1,$D$4),IFERROR(DATEVALUE(INDEX($A211:$AD211,1,$D$4)),""))))</f>
        <v/>
      </c>
      <c r="AG211" s="30" t="str">
        <f aca="false">IF(OR(AF211="",$D$6=""),"",IF(LEFT(INDEX($A211:$AD211,1,$D$6),LEN(Inputs!$C$30))=Inputs!$C$30,INDEX($A211:$AD211,1,$D$6),""))</f>
        <v/>
      </c>
      <c r="AH211" s="30" t="str">
        <f aca="false">IF(OR(AF211="",$D$7=""),"",TRIM(IFERROR(LEFT(INDEX($A211:$AD211,1,$D$7),FIND(",",INDEX($A211:$AD211,1,$D$7))-1),INDEX($A211:$AD211,1,$D$7))))</f>
        <v/>
      </c>
      <c r="AI211" s="36" t="n">
        <f aca="false">IF(OR(AF211="",$D$5=""),0,IFERROR(IF(ISNUMBER(INDEX($A211:$AD211,1,$D$5)),INDEX($A211:$AD211,1,$D$5),TIMEVALUE(INDEX($A211:$AD211,1,$D$5)))*Inputs!$C$22,0))</f>
        <v>0</v>
      </c>
    </row>
    <row r="212" customFormat="false" ht="15" hidden="false" customHeight="false" outlineLevel="0" collapsed="false">
      <c r="AF212" s="18" t="str">
        <f aca="false">IF($D$4="","",IF(INDEX($A212:$AD212,1,$D$4)="","",IF(ISNUMBER(INDEX($A212:$AD212,1,$D$4)),INDEX($A212:$AD212,1,$D$4),IFERROR(DATEVALUE(INDEX($A212:$AD212,1,$D$4)),""))))</f>
        <v/>
      </c>
      <c r="AG212" s="30" t="str">
        <f aca="false">IF(OR(AF212="",$D$6=""),"",IF(LEFT(INDEX($A212:$AD212,1,$D$6),LEN(Inputs!$C$30))=Inputs!$C$30,INDEX($A212:$AD212,1,$D$6),""))</f>
        <v/>
      </c>
      <c r="AH212" s="30" t="str">
        <f aca="false">IF(OR(AF212="",$D$7=""),"",TRIM(IFERROR(LEFT(INDEX($A212:$AD212,1,$D$7),FIND(",",INDEX($A212:$AD212,1,$D$7))-1),INDEX($A212:$AD212,1,$D$7))))</f>
        <v/>
      </c>
      <c r="AI212" s="36" t="n">
        <f aca="false">IF(OR(AF212="",$D$5=""),0,IFERROR(IF(ISNUMBER(INDEX($A212:$AD212,1,$D$5)),INDEX($A212:$AD212,1,$D$5),TIMEVALUE(INDEX($A212:$AD212,1,$D$5)))*Inputs!$C$22,0))</f>
        <v>0</v>
      </c>
    </row>
    <row r="213" customFormat="false" ht="15" hidden="false" customHeight="false" outlineLevel="0" collapsed="false">
      <c r="AF213" s="18" t="str">
        <f aca="false">IF($D$4="","",IF(INDEX($A213:$AD213,1,$D$4)="","",IF(ISNUMBER(INDEX($A213:$AD213,1,$D$4)),INDEX($A213:$AD213,1,$D$4),IFERROR(DATEVALUE(INDEX($A213:$AD213,1,$D$4)),""))))</f>
        <v/>
      </c>
      <c r="AG213" s="30" t="str">
        <f aca="false">IF(OR(AF213="",$D$6=""),"",IF(LEFT(INDEX($A213:$AD213,1,$D$6),LEN(Inputs!$C$30))=Inputs!$C$30,INDEX($A213:$AD213,1,$D$6),""))</f>
        <v/>
      </c>
      <c r="AH213" s="30" t="str">
        <f aca="false">IF(OR(AF213="",$D$7=""),"",TRIM(IFERROR(LEFT(INDEX($A213:$AD213,1,$D$7),FIND(",",INDEX($A213:$AD213,1,$D$7))-1),INDEX($A213:$AD213,1,$D$7))))</f>
        <v/>
      </c>
      <c r="AI213" s="36" t="n">
        <f aca="false">IF(OR(AF213="",$D$5=""),0,IFERROR(IF(ISNUMBER(INDEX($A213:$AD213,1,$D$5)),INDEX($A213:$AD213,1,$D$5),TIMEVALUE(INDEX($A213:$AD213,1,$D$5)))*Inputs!$C$22,0))</f>
        <v>0</v>
      </c>
    </row>
    <row r="214" customFormat="false" ht="15" hidden="false" customHeight="false" outlineLevel="0" collapsed="false">
      <c r="AF214" s="18" t="str">
        <f aca="false">IF($D$4="","",IF(INDEX($A214:$AD214,1,$D$4)="","",IF(ISNUMBER(INDEX($A214:$AD214,1,$D$4)),INDEX($A214:$AD214,1,$D$4),IFERROR(DATEVALUE(INDEX($A214:$AD214,1,$D$4)),""))))</f>
        <v/>
      </c>
      <c r="AG214" s="30" t="str">
        <f aca="false">IF(OR(AF214="",$D$6=""),"",IF(LEFT(INDEX($A214:$AD214,1,$D$6),LEN(Inputs!$C$30))=Inputs!$C$30,INDEX($A214:$AD214,1,$D$6),""))</f>
        <v/>
      </c>
      <c r="AH214" s="30" t="str">
        <f aca="false">IF(OR(AF214="",$D$7=""),"",TRIM(IFERROR(LEFT(INDEX($A214:$AD214,1,$D$7),FIND(",",INDEX($A214:$AD214,1,$D$7))-1),INDEX($A214:$AD214,1,$D$7))))</f>
        <v/>
      </c>
      <c r="AI214" s="36" t="n">
        <f aca="false">IF(OR(AF214="",$D$5=""),0,IFERROR(IF(ISNUMBER(INDEX($A214:$AD214,1,$D$5)),INDEX($A214:$AD214,1,$D$5),TIMEVALUE(INDEX($A214:$AD214,1,$D$5)))*Inputs!$C$22,0))</f>
        <v>0</v>
      </c>
    </row>
    <row r="215" customFormat="false" ht="15" hidden="false" customHeight="false" outlineLevel="0" collapsed="false">
      <c r="AF215" s="18" t="str">
        <f aca="false">IF($D$4="","",IF(INDEX($A215:$AD215,1,$D$4)="","",IF(ISNUMBER(INDEX($A215:$AD215,1,$D$4)),INDEX($A215:$AD215,1,$D$4),IFERROR(DATEVALUE(INDEX($A215:$AD215,1,$D$4)),""))))</f>
        <v/>
      </c>
      <c r="AG215" s="30" t="str">
        <f aca="false">IF(OR(AF215="",$D$6=""),"",IF(LEFT(INDEX($A215:$AD215,1,$D$6),LEN(Inputs!$C$30))=Inputs!$C$30,INDEX($A215:$AD215,1,$D$6),""))</f>
        <v/>
      </c>
      <c r="AH215" s="30" t="str">
        <f aca="false">IF(OR(AF215="",$D$7=""),"",TRIM(IFERROR(LEFT(INDEX($A215:$AD215,1,$D$7),FIND(",",INDEX($A215:$AD215,1,$D$7))-1),INDEX($A215:$AD215,1,$D$7))))</f>
        <v/>
      </c>
      <c r="AI215" s="36" t="n">
        <f aca="false">IF(OR(AF215="",$D$5=""),0,IFERROR(IF(ISNUMBER(INDEX($A215:$AD215,1,$D$5)),INDEX($A215:$AD215,1,$D$5),TIMEVALUE(INDEX($A215:$AD215,1,$D$5)))*Inputs!$C$22,0))</f>
        <v>0</v>
      </c>
    </row>
    <row r="216" customFormat="false" ht="15" hidden="false" customHeight="false" outlineLevel="0" collapsed="false">
      <c r="AF216" s="18" t="str">
        <f aca="false">IF($D$4="","",IF(INDEX($A216:$AD216,1,$D$4)="","",IF(ISNUMBER(INDEX($A216:$AD216,1,$D$4)),INDEX($A216:$AD216,1,$D$4),IFERROR(DATEVALUE(INDEX($A216:$AD216,1,$D$4)),""))))</f>
        <v/>
      </c>
      <c r="AG216" s="30" t="str">
        <f aca="false">IF(OR(AF216="",$D$6=""),"",IF(LEFT(INDEX($A216:$AD216,1,$D$6),LEN(Inputs!$C$30))=Inputs!$C$30,INDEX($A216:$AD216,1,$D$6),""))</f>
        <v/>
      </c>
      <c r="AH216" s="30" t="str">
        <f aca="false">IF(OR(AF216="",$D$7=""),"",TRIM(IFERROR(LEFT(INDEX($A216:$AD216,1,$D$7),FIND(",",INDEX($A216:$AD216,1,$D$7))-1),INDEX($A216:$AD216,1,$D$7))))</f>
        <v/>
      </c>
      <c r="AI216" s="36" t="n">
        <f aca="false">IF(OR(AF216="",$D$5=""),0,IFERROR(IF(ISNUMBER(INDEX($A216:$AD216,1,$D$5)),INDEX($A216:$AD216,1,$D$5),TIMEVALUE(INDEX($A216:$AD216,1,$D$5)))*Inputs!$C$22,0))</f>
        <v>0</v>
      </c>
    </row>
    <row r="217" customFormat="false" ht="15" hidden="false" customHeight="false" outlineLevel="0" collapsed="false">
      <c r="AF217" s="18" t="str">
        <f aca="false">IF($D$4="","",IF(INDEX($A217:$AD217,1,$D$4)="","",IF(ISNUMBER(INDEX($A217:$AD217,1,$D$4)),INDEX($A217:$AD217,1,$D$4),IFERROR(DATEVALUE(INDEX($A217:$AD217,1,$D$4)),""))))</f>
        <v/>
      </c>
      <c r="AG217" s="30" t="str">
        <f aca="false">IF(OR(AF217="",$D$6=""),"",IF(LEFT(INDEX($A217:$AD217,1,$D$6),LEN(Inputs!$C$30))=Inputs!$C$30,INDEX($A217:$AD217,1,$D$6),""))</f>
        <v/>
      </c>
      <c r="AH217" s="30" t="str">
        <f aca="false">IF(OR(AF217="",$D$7=""),"",TRIM(IFERROR(LEFT(INDEX($A217:$AD217,1,$D$7),FIND(",",INDEX($A217:$AD217,1,$D$7))-1),INDEX($A217:$AD217,1,$D$7))))</f>
        <v/>
      </c>
      <c r="AI217" s="36" t="n">
        <f aca="false">IF(OR(AF217="",$D$5=""),0,IFERROR(IF(ISNUMBER(INDEX($A217:$AD217,1,$D$5)),INDEX($A217:$AD217,1,$D$5),TIMEVALUE(INDEX($A217:$AD217,1,$D$5)))*Inputs!$C$22,0))</f>
        <v>0</v>
      </c>
    </row>
    <row r="218" customFormat="false" ht="15" hidden="false" customHeight="false" outlineLevel="0" collapsed="false">
      <c r="AF218" s="18" t="str">
        <f aca="false">IF($D$4="","",IF(INDEX($A218:$AD218,1,$D$4)="","",IF(ISNUMBER(INDEX($A218:$AD218,1,$D$4)),INDEX($A218:$AD218,1,$D$4),IFERROR(DATEVALUE(INDEX($A218:$AD218,1,$D$4)),""))))</f>
        <v/>
      </c>
      <c r="AG218" s="30" t="str">
        <f aca="false">IF(OR(AF218="",$D$6=""),"",IF(LEFT(INDEX($A218:$AD218,1,$D$6),LEN(Inputs!$C$30))=Inputs!$C$30,INDEX($A218:$AD218,1,$D$6),""))</f>
        <v/>
      </c>
      <c r="AH218" s="30" t="str">
        <f aca="false">IF(OR(AF218="",$D$7=""),"",TRIM(IFERROR(LEFT(INDEX($A218:$AD218,1,$D$7),FIND(",",INDEX($A218:$AD218,1,$D$7))-1),INDEX($A218:$AD218,1,$D$7))))</f>
        <v/>
      </c>
      <c r="AI218" s="36" t="n">
        <f aca="false">IF(OR(AF218="",$D$5=""),0,IFERROR(IF(ISNUMBER(INDEX($A218:$AD218,1,$D$5)),INDEX($A218:$AD218,1,$D$5),TIMEVALUE(INDEX($A218:$AD218,1,$D$5)))*Inputs!$C$22,0))</f>
        <v>0</v>
      </c>
    </row>
    <row r="219" customFormat="false" ht="15" hidden="false" customHeight="false" outlineLevel="0" collapsed="false">
      <c r="AF219" s="18" t="str">
        <f aca="false">IF($D$4="","",IF(INDEX($A219:$AD219,1,$D$4)="","",IF(ISNUMBER(INDEX($A219:$AD219,1,$D$4)),INDEX($A219:$AD219,1,$D$4),IFERROR(DATEVALUE(INDEX($A219:$AD219,1,$D$4)),""))))</f>
        <v/>
      </c>
      <c r="AG219" s="30" t="str">
        <f aca="false">IF(OR(AF219="",$D$6=""),"",IF(LEFT(INDEX($A219:$AD219,1,$D$6),LEN(Inputs!$C$30))=Inputs!$C$30,INDEX($A219:$AD219,1,$D$6),""))</f>
        <v/>
      </c>
      <c r="AH219" s="30" t="str">
        <f aca="false">IF(OR(AF219="",$D$7=""),"",TRIM(IFERROR(LEFT(INDEX($A219:$AD219,1,$D$7),FIND(",",INDEX($A219:$AD219,1,$D$7))-1),INDEX($A219:$AD219,1,$D$7))))</f>
        <v/>
      </c>
      <c r="AI219" s="36" t="n">
        <f aca="false">IF(OR(AF219="",$D$5=""),0,IFERROR(IF(ISNUMBER(INDEX($A219:$AD219,1,$D$5)),INDEX($A219:$AD219,1,$D$5),TIMEVALUE(INDEX($A219:$AD219,1,$D$5)))*Inputs!$C$22,0))</f>
        <v>0</v>
      </c>
    </row>
    <row r="220" customFormat="false" ht="15" hidden="false" customHeight="false" outlineLevel="0" collapsed="false">
      <c r="AF220" s="18" t="str">
        <f aca="false">IF($D$4="","",IF(INDEX($A220:$AD220,1,$D$4)="","",IF(ISNUMBER(INDEX($A220:$AD220,1,$D$4)),INDEX($A220:$AD220,1,$D$4),IFERROR(DATEVALUE(INDEX($A220:$AD220,1,$D$4)),""))))</f>
        <v/>
      </c>
      <c r="AG220" s="30" t="str">
        <f aca="false">IF(OR(AF220="",$D$6=""),"",IF(LEFT(INDEX($A220:$AD220,1,$D$6),LEN(Inputs!$C$30))=Inputs!$C$30,INDEX($A220:$AD220,1,$D$6),""))</f>
        <v/>
      </c>
      <c r="AH220" s="30" t="str">
        <f aca="false">IF(OR(AF220="",$D$7=""),"",TRIM(IFERROR(LEFT(INDEX($A220:$AD220,1,$D$7),FIND(",",INDEX($A220:$AD220,1,$D$7))-1),INDEX($A220:$AD220,1,$D$7))))</f>
        <v/>
      </c>
      <c r="AI220" s="36" t="n">
        <f aca="false">IF(OR(AF220="",$D$5=""),0,IFERROR(IF(ISNUMBER(INDEX($A220:$AD220,1,$D$5)),INDEX($A220:$AD220,1,$D$5),TIMEVALUE(INDEX($A220:$AD220,1,$D$5)))*Inputs!$C$22,0))</f>
        <v>0</v>
      </c>
    </row>
    <row r="221" customFormat="false" ht="15" hidden="false" customHeight="false" outlineLevel="0" collapsed="false">
      <c r="AF221" s="18" t="str">
        <f aca="false">IF($D$4="","",IF(INDEX($A221:$AD221,1,$D$4)="","",IF(ISNUMBER(INDEX($A221:$AD221,1,$D$4)),INDEX($A221:$AD221,1,$D$4),IFERROR(DATEVALUE(INDEX($A221:$AD221,1,$D$4)),""))))</f>
        <v/>
      </c>
      <c r="AG221" s="30" t="str">
        <f aca="false">IF(OR(AF221="",$D$6=""),"",IF(LEFT(INDEX($A221:$AD221,1,$D$6),LEN(Inputs!$C$30))=Inputs!$C$30,INDEX($A221:$AD221,1,$D$6),""))</f>
        <v/>
      </c>
      <c r="AH221" s="30" t="str">
        <f aca="false">IF(OR(AF221="",$D$7=""),"",TRIM(IFERROR(LEFT(INDEX($A221:$AD221,1,$D$7),FIND(",",INDEX($A221:$AD221,1,$D$7))-1),INDEX($A221:$AD221,1,$D$7))))</f>
        <v/>
      </c>
      <c r="AI221" s="36" t="n">
        <f aca="false">IF(OR(AF221="",$D$5=""),0,IFERROR(IF(ISNUMBER(INDEX($A221:$AD221,1,$D$5)),INDEX($A221:$AD221,1,$D$5),TIMEVALUE(INDEX($A221:$AD221,1,$D$5)))*Inputs!$C$22,0))</f>
        <v>0</v>
      </c>
    </row>
    <row r="222" customFormat="false" ht="15" hidden="false" customHeight="false" outlineLevel="0" collapsed="false">
      <c r="AF222" s="18" t="str">
        <f aca="false">IF($D$4="","",IF(INDEX($A222:$AD222,1,$D$4)="","",IF(ISNUMBER(INDEX($A222:$AD222,1,$D$4)),INDEX($A222:$AD222,1,$D$4),IFERROR(DATEVALUE(INDEX($A222:$AD222,1,$D$4)),""))))</f>
        <v/>
      </c>
      <c r="AG222" s="30" t="str">
        <f aca="false">IF(OR(AF222="",$D$6=""),"",IF(LEFT(INDEX($A222:$AD222,1,$D$6),LEN(Inputs!$C$30))=Inputs!$C$30,INDEX($A222:$AD222,1,$D$6),""))</f>
        <v/>
      </c>
      <c r="AH222" s="30" t="str">
        <f aca="false">IF(OR(AF222="",$D$7=""),"",TRIM(IFERROR(LEFT(INDEX($A222:$AD222,1,$D$7),FIND(",",INDEX($A222:$AD222,1,$D$7))-1),INDEX($A222:$AD222,1,$D$7))))</f>
        <v/>
      </c>
      <c r="AI222" s="36" t="n">
        <f aca="false">IF(OR(AF222="",$D$5=""),0,IFERROR(IF(ISNUMBER(INDEX($A222:$AD222,1,$D$5)),INDEX($A222:$AD222,1,$D$5),TIMEVALUE(INDEX($A222:$AD222,1,$D$5)))*Inputs!$C$22,0))</f>
        <v>0</v>
      </c>
    </row>
    <row r="223" customFormat="false" ht="15" hidden="false" customHeight="false" outlineLevel="0" collapsed="false">
      <c r="AF223" s="18" t="str">
        <f aca="false">IF($D$4="","",IF(INDEX($A223:$AD223,1,$D$4)="","",IF(ISNUMBER(INDEX($A223:$AD223,1,$D$4)),INDEX($A223:$AD223,1,$D$4),IFERROR(DATEVALUE(INDEX($A223:$AD223,1,$D$4)),""))))</f>
        <v/>
      </c>
      <c r="AG223" s="30" t="str">
        <f aca="false">IF(OR(AF223="",$D$6=""),"",IF(LEFT(INDEX($A223:$AD223,1,$D$6),LEN(Inputs!$C$30))=Inputs!$C$30,INDEX($A223:$AD223,1,$D$6),""))</f>
        <v/>
      </c>
      <c r="AH223" s="30" t="str">
        <f aca="false">IF(OR(AF223="",$D$7=""),"",TRIM(IFERROR(LEFT(INDEX($A223:$AD223,1,$D$7),FIND(",",INDEX($A223:$AD223,1,$D$7))-1),INDEX($A223:$AD223,1,$D$7))))</f>
        <v/>
      </c>
      <c r="AI223" s="36" t="n">
        <f aca="false">IF(OR(AF223="",$D$5=""),0,IFERROR(IF(ISNUMBER(INDEX($A223:$AD223,1,$D$5)),INDEX($A223:$AD223,1,$D$5),TIMEVALUE(INDEX($A223:$AD223,1,$D$5)))*Inputs!$C$22,0))</f>
        <v>0</v>
      </c>
    </row>
    <row r="224" customFormat="false" ht="15" hidden="false" customHeight="false" outlineLevel="0" collapsed="false">
      <c r="AF224" s="18" t="str">
        <f aca="false">IF($D$4="","",IF(INDEX($A224:$AD224,1,$D$4)="","",IF(ISNUMBER(INDEX($A224:$AD224,1,$D$4)),INDEX($A224:$AD224,1,$D$4),IFERROR(DATEVALUE(INDEX($A224:$AD224,1,$D$4)),""))))</f>
        <v/>
      </c>
      <c r="AG224" s="30" t="str">
        <f aca="false">IF(OR(AF224="",$D$6=""),"",IF(LEFT(INDEX($A224:$AD224,1,$D$6),LEN(Inputs!$C$30))=Inputs!$C$30,INDEX($A224:$AD224,1,$D$6),""))</f>
        <v/>
      </c>
      <c r="AH224" s="30" t="str">
        <f aca="false">IF(OR(AF224="",$D$7=""),"",TRIM(IFERROR(LEFT(INDEX($A224:$AD224,1,$D$7),FIND(",",INDEX($A224:$AD224,1,$D$7))-1),INDEX($A224:$AD224,1,$D$7))))</f>
        <v/>
      </c>
      <c r="AI224" s="36" t="n">
        <f aca="false">IF(OR(AF224="",$D$5=""),0,IFERROR(IF(ISNUMBER(INDEX($A224:$AD224,1,$D$5)),INDEX($A224:$AD224,1,$D$5),TIMEVALUE(INDEX($A224:$AD224,1,$D$5)))*Inputs!$C$22,0))</f>
        <v>0</v>
      </c>
    </row>
    <row r="225" customFormat="false" ht="15" hidden="false" customHeight="false" outlineLevel="0" collapsed="false">
      <c r="AF225" s="18" t="str">
        <f aca="false">IF($D$4="","",IF(INDEX($A225:$AD225,1,$D$4)="","",IF(ISNUMBER(INDEX($A225:$AD225,1,$D$4)),INDEX($A225:$AD225,1,$D$4),IFERROR(DATEVALUE(INDEX($A225:$AD225,1,$D$4)),""))))</f>
        <v/>
      </c>
      <c r="AG225" s="30" t="str">
        <f aca="false">IF(OR(AF225="",$D$6=""),"",IF(LEFT(INDEX($A225:$AD225,1,$D$6),LEN(Inputs!$C$30))=Inputs!$C$30,INDEX($A225:$AD225,1,$D$6),""))</f>
        <v/>
      </c>
      <c r="AH225" s="30" t="str">
        <f aca="false">IF(OR(AF225="",$D$7=""),"",TRIM(IFERROR(LEFT(INDEX($A225:$AD225,1,$D$7),FIND(",",INDEX($A225:$AD225,1,$D$7))-1),INDEX($A225:$AD225,1,$D$7))))</f>
        <v/>
      </c>
      <c r="AI225" s="36" t="n">
        <f aca="false">IF(OR(AF225="",$D$5=""),0,IFERROR(IF(ISNUMBER(INDEX($A225:$AD225,1,$D$5)),INDEX($A225:$AD225,1,$D$5),TIMEVALUE(INDEX($A225:$AD225,1,$D$5)))*Inputs!$C$22,0))</f>
        <v>0</v>
      </c>
    </row>
    <row r="226" customFormat="false" ht="15" hidden="false" customHeight="false" outlineLevel="0" collapsed="false">
      <c r="AF226" s="18" t="str">
        <f aca="false">IF($D$4="","",IF(INDEX($A226:$AD226,1,$D$4)="","",IF(ISNUMBER(INDEX($A226:$AD226,1,$D$4)),INDEX($A226:$AD226,1,$D$4),IFERROR(DATEVALUE(INDEX($A226:$AD226,1,$D$4)),""))))</f>
        <v/>
      </c>
      <c r="AG226" s="30" t="str">
        <f aca="false">IF(OR(AF226="",$D$6=""),"",IF(LEFT(INDEX($A226:$AD226,1,$D$6),LEN(Inputs!$C$30))=Inputs!$C$30,INDEX($A226:$AD226,1,$D$6),""))</f>
        <v/>
      </c>
      <c r="AH226" s="30" t="str">
        <f aca="false">IF(OR(AF226="",$D$7=""),"",TRIM(IFERROR(LEFT(INDEX($A226:$AD226,1,$D$7),FIND(",",INDEX($A226:$AD226,1,$D$7))-1),INDEX($A226:$AD226,1,$D$7))))</f>
        <v/>
      </c>
      <c r="AI226" s="36" t="n">
        <f aca="false">IF(OR(AF226="",$D$5=""),0,IFERROR(IF(ISNUMBER(INDEX($A226:$AD226,1,$D$5)),INDEX($A226:$AD226,1,$D$5),TIMEVALUE(INDEX($A226:$AD226,1,$D$5)))*Inputs!$C$22,0))</f>
        <v>0</v>
      </c>
    </row>
    <row r="227" customFormat="false" ht="15" hidden="false" customHeight="false" outlineLevel="0" collapsed="false">
      <c r="AF227" s="18" t="str">
        <f aca="false">IF($D$4="","",IF(INDEX($A227:$AD227,1,$D$4)="","",IF(ISNUMBER(INDEX($A227:$AD227,1,$D$4)),INDEX($A227:$AD227,1,$D$4),IFERROR(DATEVALUE(INDEX($A227:$AD227,1,$D$4)),""))))</f>
        <v/>
      </c>
      <c r="AG227" s="30" t="str">
        <f aca="false">IF(OR(AF227="",$D$6=""),"",IF(LEFT(INDEX($A227:$AD227,1,$D$6),LEN(Inputs!$C$30))=Inputs!$C$30,INDEX($A227:$AD227,1,$D$6),""))</f>
        <v/>
      </c>
      <c r="AH227" s="30" t="str">
        <f aca="false">IF(OR(AF227="",$D$7=""),"",TRIM(IFERROR(LEFT(INDEX($A227:$AD227,1,$D$7),FIND(",",INDEX($A227:$AD227,1,$D$7))-1),INDEX($A227:$AD227,1,$D$7))))</f>
        <v/>
      </c>
      <c r="AI227" s="36" t="n">
        <f aca="false">IF(OR(AF227="",$D$5=""),0,IFERROR(IF(ISNUMBER(INDEX($A227:$AD227,1,$D$5)),INDEX($A227:$AD227,1,$D$5),TIMEVALUE(INDEX($A227:$AD227,1,$D$5)))*Inputs!$C$22,0))</f>
        <v>0</v>
      </c>
    </row>
    <row r="228" customFormat="false" ht="15" hidden="false" customHeight="false" outlineLevel="0" collapsed="false">
      <c r="AF228" s="18" t="str">
        <f aca="false">IF($D$4="","",IF(INDEX($A228:$AD228,1,$D$4)="","",IF(ISNUMBER(INDEX($A228:$AD228,1,$D$4)),INDEX($A228:$AD228,1,$D$4),IFERROR(DATEVALUE(INDEX($A228:$AD228,1,$D$4)),""))))</f>
        <v/>
      </c>
      <c r="AG228" s="30" t="str">
        <f aca="false">IF(OR(AF228="",$D$6=""),"",IF(LEFT(INDEX($A228:$AD228,1,$D$6),LEN(Inputs!$C$30))=Inputs!$C$30,INDEX($A228:$AD228,1,$D$6),""))</f>
        <v/>
      </c>
      <c r="AH228" s="30" t="str">
        <f aca="false">IF(OR(AF228="",$D$7=""),"",TRIM(IFERROR(LEFT(INDEX($A228:$AD228,1,$D$7),FIND(",",INDEX($A228:$AD228,1,$D$7))-1),INDEX($A228:$AD228,1,$D$7))))</f>
        <v/>
      </c>
      <c r="AI228" s="36" t="n">
        <f aca="false">IF(OR(AF228="",$D$5=""),0,IFERROR(IF(ISNUMBER(INDEX($A228:$AD228,1,$D$5)),INDEX($A228:$AD228,1,$D$5),TIMEVALUE(INDEX($A228:$AD228,1,$D$5)))*Inputs!$C$22,0))</f>
        <v>0</v>
      </c>
    </row>
    <row r="229" customFormat="false" ht="15" hidden="false" customHeight="false" outlineLevel="0" collapsed="false">
      <c r="AF229" s="18" t="str">
        <f aca="false">IF($D$4="","",IF(INDEX($A229:$AD229,1,$D$4)="","",IF(ISNUMBER(INDEX($A229:$AD229,1,$D$4)),INDEX($A229:$AD229,1,$D$4),IFERROR(DATEVALUE(INDEX($A229:$AD229,1,$D$4)),""))))</f>
        <v/>
      </c>
      <c r="AG229" s="30" t="str">
        <f aca="false">IF(OR(AF229="",$D$6=""),"",IF(LEFT(INDEX($A229:$AD229,1,$D$6),LEN(Inputs!$C$30))=Inputs!$C$30,INDEX($A229:$AD229,1,$D$6),""))</f>
        <v/>
      </c>
      <c r="AH229" s="30" t="str">
        <f aca="false">IF(OR(AF229="",$D$7=""),"",TRIM(IFERROR(LEFT(INDEX($A229:$AD229,1,$D$7),FIND(",",INDEX($A229:$AD229,1,$D$7))-1),INDEX($A229:$AD229,1,$D$7))))</f>
        <v/>
      </c>
      <c r="AI229" s="36" t="n">
        <f aca="false">IF(OR(AF229="",$D$5=""),0,IFERROR(IF(ISNUMBER(INDEX($A229:$AD229,1,$D$5)),INDEX($A229:$AD229,1,$D$5),TIMEVALUE(INDEX($A229:$AD229,1,$D$5)))*Inputs!$C$22,0))</f>
        <v>0</v>
      </c>
    </row>
    <row r="230" customFormat="false" ht="15" hidden="false" customHeight="false" outlineLevel="0" collapsed="false">
      <c r="AF230" s="18" t="str">
        <f aca="false">IF($D$4="","",IF(INDEX($A230:$AD230,1,$D$4)="","",IF(ISNUMBER(INDEX($A230:$AD230,1,$D$4)),INDEX($A230:$AD230,1,$D$4),IFERROR(DATEVALUE(INDEX($A230:$AD230,1,$D$4)),""))))</f>
        <v/>
      </c>
      <c r="AG230" s="30" t="str">
        <f aca="false">IF(OR(AF230="",$D$6=""),"",IF(LEFT(INDEX($A230:$AD230,1,$D$6),LEN(Inputs!$C$30))=Inputs!$C$30,INDEX($A230:$AD230,1,$D$6),""))</f>
        <v/>
      </c>
      <c r="AH230" s="30" t="str">
        <f aca="false">IF(OR(AF230="",$D$7=""),"",TRIM(IFERROR(LEFT(INDEX($A230:$AD230,1,$D$7),FIND(",",INDEX($A230:$AD230,1,$D$7))-1),INDEX($A230:$AD230,1,$D$7))))</f>
        <v/>
      </c>
      <c r="AI230" s="36" t="n">
        <f aca="false">IF(OR(AF230="",$D$5=""),0,IFERROR(IF(ISNUMBER(INDEX($A230:$AD230,1,$D$5)),INDEX($A230:$AD230,1,$D$5),TIMEVALUE(INDEX($A230:$AD230,1,$D$5)))*Inputs!$C$22,0))</f>
        <v>0</v>
      </c>
    </row>
    <row r="231" customFormat="false" ht="15" hidden="false" customHeight="false" outlineLevel="0" collapsed="false">
      <c r="AF231" s="18" t="str">
        <f aca="false">IF($D$4="","",IF(INDEX($A231:$AD231,1,$D$4)="","",IF(ISNUMBER(INDEX($A231:$AD231,1,$D$4)),INDEX($A231:$AD231,1,$D$4),IFERROR(DATEVALUE(INDEX($A231:$AD231,1,$D$4)),""))))</f>
        <v/>
      </c>
      <c r="AG231" s="30" t="str">
        <f aca="false">IF(OR(AF231="",$D$6=""),"",IF(LEFT(INDEX($A231:$AD231,1,$D$6),LEN(Inputs!$C$30))=Inputs!$C$30,INDEX($A231:$AD231,1,$D$6),""))</f>
        <v/>
      </c>
      <c r="AH231" s="30" t="str">
        <f aca="false">IF(OR(AF231="",$D$7=""),"",TRIM(IFERROR(LEFT(INDEX($A231:$AD231,1,$D$7),FIND(",",INDEX($A231:$AD231,1,$D$7))-1),INDEX($A231:$AD231,1,$D$7))))</f>
        <v/>
      </c>
      <c r="AI231" s="36" t="n">
        <f aca="false">IF(OR(AF231="",$D$5=""),0,IFERROR(IF(ISNUMBER(INDEX($A231:$AD231,1,$D$5)),INDEX($A231:$AD231,1,$D$5),TIMEVALUE(INDEX($A231:$AD231,1,$D$5)))*Inputs!$C$22,0))</f>
        <v>0</v>
      </c>
    </row>
    <row r="232" customFormat="false" ht="15" hidden="false" customHeight="false" outlineLevel="0" collapsed="false">
      <c r="AF232" s="18" t="str">
        <f aca="false">IF($D$4="","",IF(INDEX($A232:$AD232,1,$D$4)="","",IF(ISNUMBER(INDEX($A232:$AD232,1,$D$4)),INDEX($A232:$AD232,1,$D$4),IFERROR(DATEVALUE(INDEX($A232:$AD232,1,$D$4)),""))))</f>
        <v/>
      </c>
      <c r="AG232" s="30" t="str">
        <f aca="false">IF(OR(AF232="",$D$6=""),"",IF(LEFT(INDEX($A232:$AD232,1,$D$6),LEN(Inputs!$C$30))=Inputs!$C$30,INDEX($A232:$AD232,1,$D$6),""))</f>
        <v/>
      </c>
      <c r="AH232" s="30" t="str">
        <f aca="false">IF(OR(AF232="",$D$7=""),"",TRIM(IFERROR(LEFT(INDEX($A232:$AD232,1,$D$7),FIND(",",INDEX($A232:$AD232,1,$D$7))-1),INDEX($A232:$AD232,1,$D$7))))</f>
        <v/>
      </c>
      <c r="AI232" s="36" t="n">
        <f aca="false">IF(OR(AF232="",$D$5=""),0,IFERROR(IF(ISNUMBER(INDEX($A232:$AD232,1,$D$5)),INDEX($A232:$AD232,1,$D$5),TIMEVALUE(INDEX($A232:$AD232,1,$D$5)))*Inputs!$C$22,0))</f>
        <v>0</v>
      </c>
    </row>
    <row r="233" customFormat="false" ht="15" hidden="false" customHeight="false" outlineLevel="0" collapsed="false">
      <c r="AF233" s="18" t="str">
        <f aca="false">IF($D$4="","",IF(INDEX($A233:$AD233,1,$D$4)="","",IF(ISNUMBER(INDEX($A233:$AD233,1,$D$4)),INDEX($A233:$AD233,1,$D$4),IFERROR(DATEVALUE(INDEX($A233:$AD233,1,$D$4)),""))))</f>
        <v/>
      </c>
      <c r="AG233" s="30" t="str">
        <f aca="false">IF(OR(AF233="",$D$6=""),"",IF(LEFT(INDEX($A233:$AD233,1,$D$6),LEN(Inputs!$C$30))=Inputs!$C$30,INDEX($A233:$AD233,1,$D$6),""))</f>
        <v/>
      </c>
      <c r="AH233" s="30" t="str">
        <f aca="false">IF(OR(AF233="",$D$7=""),"",TRIM(IFERROR(LEFT(INDEX($A233:$AD233,1,$D$7),FIND(",",INDEX($A233:$AD233,1,$D$7))-1),INDEX($A233:$AD233,1,$D$7))))</f>
        <v/>
      </c>
      <c r="AI233" s="36" t="n">
        <f aca="false">IF(OR(AF233="",$D$5=""),0,IFERROR(IF(ISNUMBER(INDEX($A233:$AD233,1,$D$5)),INDEX($A233:$AD233,1,$D$5),TIMEVALUE(INDEX($A233:$AD233,1,$D$5)))*Inputs!$C$22,0))</f>
        <v>0</v>
      </c>
    </row>
    <row r="234" customFormat="false" ht="15" hidden="false" customHeight="false" outlineLevel="0" collapsed="false">
      <c r="AF234" s="18" t="str">
        <f aca="false">IF($D$4="","",IF(INDEX($A234:$AD234,1,$D$4)="","",IF(ISNUMBER(INDEX($A234:$AD234,1,$D$4)),INDEX($A234:$AD234,1,$D$4),IFERROR(DATEVALUE(INDEX($A234:$AD234,1,$D$4)),""))))</f>
        <v/>
      </c>
      <c r="AG234" s="30" t="str">
        <f aca="false">IF(OR(AF234="",$D$6=""),"",IF(LEFT(INDEX($A234:$AD234,1,$D$6),LEN(Inputs!$C$30))=Inputs!$C$30,INDEX($A234:$AD234,1,$D$6),""))</f>
        <v/>
      </c>
      <c r="AH234" s="30" t="str">
        <f aca="false">IF(OR(AF234="",$D$7=""),"",TRIM(IFERROR(LEFT(INDEX($A234:$AD234,1,$D$7),FIND(",",INDEX($A234:$AD234,1,$D$7))-1),INDEX($A234:$AD234,1,$D$7))))</f>
        <v/>
      </c>
      <c r="AI234" s="36" t="n">
        <f aca="false">IF(OR(AF234="",$D$5=""),0,IFERROR(IF(ISNUMBER(INDEX($A234:$AD234,1,$D$5)),INDEX($A234:$AD234,1,$D$5),TIMEVALUE(INDEX($A234:$AD234,1,$D$5)))*Inputs!$C$22,0))</f>
        <v>0</v>
      </c>
    </row>
    <row r="235" customFormat="false" ht="15" hidden="false" customHeight="false" outlineLevel="0" collapsed="false">
      <c r="AF235" s="18" t="str">
        <f aca="false">IF($D$4="","",IF(INDEX($A235:$AD235,1,$D$4)="","",IF(ISNUMBER(INDEX($A235:$AD235,1,$D$4)),INDEX($A235:$AD235,1,$D$4),IFERROR(DATEVALUE(INDEX($A235:$AD235,1,$D$4)),""))))</f>
        <v/>
      </c>
      <c r="AG235" s="30" t="str">
        <f aca="false">IF(OR(AF235="",$D$6=""),"",IF(LEFT(INDEX($A235:$AD235,1,$D$6),LEN(Inputs!$C$30))=Inputs!$C$30,INDEX($A235:$AD235,1,$D$6),""))</f>
        <v/>
      </c>
      <c r="AH235" s="30" t="str">
        <f aca="false">IF(OR(AF235="",$D$7=""),"",TRIM(IFERROR(LEFT(INDEX($A235:$AD235,1,$D$7),FIND(",",INDEX($A235:$AD235,1,$D$7))-1),INDEX($A235:$AD235,1,$D$7))))</f>
        <v/>
      </c>
      <c r="AI235" s="36" t="n">
        <f aca="false">IF(OR(AF235="",$D$5=""),0,IFERROR(IF(ISNUMBER(INDEX($A235:$AD235,1,$D$5)),INDEX($A235:$AD235,1,$D$5),TIMEVALUE(INDEX($A235:$AD235,1,$D$5)))*Inputs!$C$22,0))</f>
        <v>0</v>
      </c>
    </row>
    <row r="236" customFormat="false" ht="15" hidden="false" customHeight="false" outlineLevel="0" collapsed="false">
      <c r="AF236" s="18" t="str">
        <f aca="false">IF($D$4="","",IF(INDEX($A236:$AD236,1,$D$4)="","",IF(ISNUMBER(INDEX($A236:$AD236,1,$D$4)),INDEX($A236:$AD236,1,$D$4),IFERROR(DATEVALUE(INDEX($A236:$AD236,1,$D$4)),""))))</f>
        <v/>
      </c>
      <c r="AG236" s="30" t="str">
        <f aca="false">IF(OR(AF236="",$D$6=""),"",IF(LEFT(INDEX($A236:$AD236,1,$D$6),LEN(Inputs!$C$30))=Inputs!$C$30,INDEX($A236:$AD236,1,$D$6),""))</f>
        <v/>
      </c>
      <c r="AH236" s="30" t="str">
        <f aca="false">IF(OR(AF236="",$D$7=""),"",TRIM(IFERROR(LEFT(INDEX($A236:$AD236,1,$D$7),FIND(",",INDEX($A236:$AD236,1,$D$7))-1),INDEX($A236:$AD236,1,$D$7))))</f>
        <v/>
      </c>
      <c r="AI236" s="36" t="n">
        <f aca="false">IF(OR(AF236="",$D$5=""),0,IFERROR(IF(ISNUMBER(INDEX($A236:$AD236,1,$D$5)),INDEX($A236:$AD236,1,$D$5),TIMEVALUE(INDEX($A236:$AD236,1,$D$5)))*Inputs!$C$22,0))</f>
        <v>0</v>
      </c>
    </row>
    <row r="237" customFormat="false" ht="15" hidden="false" customHeight="false" outlineLevel="0" collapsed="false">
      <c r="AF237" s="18" t="str">
        <f aca="false">IF($D$4="","",IF(INDEX($A237:$AD237,1,$D$4)="","",IF(ISNUMBER(INDEX($A237:$AD237,1,$D$4)),INDEX($A237:$AD237,1,$D$4),IFERROR(DATEVALUE(INDEX($A237:$AD237,1,$D$4)),""))))</f>
        <v/>
      </c>
      <c r="AG237" s="30" t="str">
        <f aca="false">IF(OR(AF237="",$D$6=""),"",IF(LEFT(INDEX($A237:$AD237,1,$D$6),LEN(Inputs!$C$30))=Inputs!$C$30,INDEX($A237:$AD237,1,$D$6),""))</f>
        <v/>
      </c>
      <c r="AH237" s="30" t="str">
        <f aca="false">IF(OR(AF237="",$D$7=""),"",TRIM(IFERROR(LEFT(INDEX($A237:$AD237,1,$D$7),FIND(",",INDEX($A237:$AD237,1,$D$7))-1),INDEX($A237:$AD237,1,$D$7))))</f>
        <v/>
      </c>
      <c r="AI237" s="36" t="n">
        <f aca="false">IF(OR(AF237="",$D$5=""),0,IFERROR(IF(ISNUMBER(INDEX($A237:$AD237,1,$D$5)),INDEX($A237:$AD237,1,$D$5),TIMEVALUE(INDEX($A237:$AD237,1,$D$5)))*Inputs!$C$22,0))</f>
        <v>0</v>
      </c>
    </row>
    <row r="238" customFormat="false" ht="15" hidden="false" customHeight="false" outlineLevel="0" collapsed="false">
      <c r="AF238" s="18" t="str">
        <f aca="false">IF($D$4="","",IF(INDEX($A238:$AD238,1,$D$4)="","",IF(ISNUMBER(INDEX($A238:$AD238,1,$D$4)),INDEX($A238:$AD238,1,$D$4),IFERROR(DATEVALUE(INDEX($A238:$AD238,1,$D$4)),""))))</f>
        <v/>
      </c>
      <c r="AG238" s="30" t="str">
        <f aca="false">IF(OR(AF238="",$D$6=""),"",IF(LEFT(INDEX($A238:$AD238,1,$D$6),LEN(Inputs!$C$30))=Inputs!$C$30,INDEX($A238:$AD238,1,$D$6),""))</f>
        <v/>
      </c>
      <c r="AH238" s="30" t="str">
        <f aca="false">IF(OR(AF238="",$D$7=""),"",TRIM(IFERROR(LEFT(INDEX($A238:$AD238,1,$D$7),FIND(",",INDEX($A238:$AD238,1,$D$7))-1),INDEX($A238:$AD238,1,$D$7))))</f>
        <v/>
      </c>
      <c r="AI238" s="36" t="n">
        <f aca="false">IF(OR(AF238="",$D$5=""),0,IFERROR(IF(ISNUMBER(INDEX($A238:$AD238,1,$D$5)),INDEX($A238:$AD238,1,$D$5),TIMEVALUE(INDEX($A238:$AD238,1,$D$5)))*Inputs!$C$22,0))</f>
        <v>0</v>
      </c>
    </row>
    <row r="239" customFormat="false" ht="15" hidden="false" customHeight="false" outlineLevel="0" collapsed="false">
      <c r="AF239" s="18" t="str">
        <f aca="false">IF($D$4="","",IF(INDEX($A239:$AD239,1,$D$4)="","",IF(ISNUMBER(INDEX($A239:$AD239,1,$D$4)),INDEX($A239:$AD239,1,$D$4),IFERROR(DATEVALUE(INDEX($A239:$AD239,1,$D$4)),""))))</f>
        <v/>
      </c>
      <c r="AG239" s="30" t="str">
        <f aca="false">IF(OR(AF239="",$D$6=""),"",IF(LEFT(INDEX($A239:$AD239,1,$D$6),LEN(Inputs!$C$30))=Inputs!$C$30,INDEX($A239:$AD239,1,$D$6),""))</f>
        <v/>
      </c>
      <c r="AH239" s="30" t="str">
        <f aca="false">IF(OR(AF239="",$D$7=""),"",TRIM(IFERROR(LEFT(INDEX($A239:$AD239,1,$D$7),FIND(",",INDEX($A239:$AD239,1,$D$7))-1),INDEX($A239:$AD239,1,$D$7))))</f>
        <v/>
      </c>
      <c r="AI239" s="36" t="n">
        <f aca="false">IF(OR(AF239="",$D$5=""),0,IFERROR(IF(ISNUMBER(INDEX($A239:$AD239,1,$D$5)),INDEX($A239:$AD239,1,$D$5),TIMEVALUE(INDEX($A239:$AD239,1,$D$5)))*Inputs!$C$22,0))</f>
        <v>0</v>
      </c>
    </row>
    <row r="240" customFormat="false" ht="15" hidden="false" customHeight="false" outlineLevel="0" collapsed="false">
      <c r="AF240" s="18" t="str">
        <f aca="false">IF($D$4="","",IF(INDEX($A240:$AD240,1,$D$4)="","",IF(ISNUMBER(INDEX($A240:$AD240,1,$D$4)),INDEX($A240:$AD240,1,$D$4),IFERROR(DATEVALUE(INDEX($A240:$AD240,1,$D$4)),""))))</f>
        <v/>
      </c>
      <c r="AG240" s="30" t="str">
        <f aca="false">IF(OR(AF240="",$D$6=""),"",IF(LEFT(INDEX($A240:$AD240,1,$D$6),LEN(Inputs!$C$30))=Inputs!$C$30,INDEX($A240:$AD240,1,$D$6),""))</f>
        <v/>
      </c>
      <c r="AH240" s="30" t="str">
        <f aca="false">IF(OR(AF240="",$D$7=""),"",TRIM(IFERROR(LEFT(INDEX($A240:$AD240,1,$D$7),FIND(",",INDEX($A240:$AD240,1,$D$7))-1),INDEX($A240:$AD240,1,$D$7))))</f>
        <v/>
      </c>
      <c r="AI240" s="36" t="n">
        <f aca="false">IF(OR(AF240="",$D$5=""),0,IFERROR(IF(ISNUMBER(INDEX($A240:$AD240,1,$D$5)),INDEX($A240:$AD240,1,$D$5),TIMEVALUE(INDEX($A240:$AD240,1,$D$5)))*Inputs!$C$22,0))</f>
        <v>0</v>
      </c>
    </row>
    <row r="241" customFormat="false" ht="15" hidden="false" customHeight="false" outlineLevel="0" collapsed="false">
      <c r="AF241" s="18" t="str">
        <f aca="false">IF($D$4="","",IF(INDEX($A241:$AD241,1,$D$4)="","",IF(ISNUMBER(INDEX($A241:$AD241,1,$D$4)),INDEX($A241:$AD241,1,$D$4),IFERROR(DATEVALUE(INDEX($A241:$AD241,1,$D$4)),""))))</f>
        <v/>
      </c>
      <c r="AG241" s="30" t="str">
        <f aca="false">IF(OR(AF241="",$D$6=""),"",IF(LEFT(INDEX($A241:$AD241,1,$D$6),LEN(Inputs!$C$30))=Inputs!$C$30,INDEX($A241:$AD241,1,$D$6),""))</f>
        <v/>
      </c>
      <c r="AH241" s="30" t="str">
        <f aca="false">IF(OR(AF241="",$D$7=""),"",TRIM(IFERROR(LEFT(INDEX($A241:$AD241,1,$D$7),FIND(",",INDEX($A241:$AD241,1,$D$7))-1),INDEX($A241:$AD241,1,$D$7))))</f>
        <v/>
      </c>
      <c r="AI241" s="36" t="n">
        <f aca="false">IF(OR(AF241="",$D$5=""),0,IFERROR(IF(ISNUMBER(INDEX($A241:$AD241,1,$D$5)),INDEX($A241:$AD241,1,$D$5),TIMEVALUE(INDEX($A241:$AD241,1,$D$5)))*Inputs!$C$22,0))</f>
        <v>0</v>
      </c>
    </row>
    <row r="242" customFormat="false" ht="15" hidden="false" customHeight="false" outlineLevel="0" collapsed="false">
      <c r="AF242" s="18" t="str">
        <f aca="false">IF($D$4="","",IF(INDEX($A242:$AD242,1,$D$4)="","",IF(ISNUMBER(INDEX($A242:$AD242,1,$D$4)),INDEX($A242:$AD242,1,$D$4),IFERROR(DATEVALUE(INDEX($A242:$AD242,1,$D$4)),""))))</f>
        <v/>
      </c>
      <c r="AG242" s="30" t="str">
        <f aca="false">IF(OR(AF242="",$D$6=""),"",IF(LEFT(INDEX($A242:$AD242,1,$D$6),LEN(Inputs!$C$30))=Inputs!$C$30,INDEX($A242:$AD242,1,$D$6),""))</f>
        <v/>
      </c>
      <c r="AH242" s="30" t="str">
        <f aca="false">IF(OR(AF242="",$D$7=""),"",TRIM(IFERROR(LEFT(INDEX($A242:$AD242,1,$D$7),FIND(",",INDEX($A242:$AD242,1,$D$7))-1),INDEX($A242:$AD242,1,$D$7))))</f>
        <v/>
      </c>
      <c r="AI242" s="36" t="n">
        <f aca="false">IF(OR(AF242="",$D$5=""),0,IFERROR(IF(ISNUMBER(INDEX($A242:$AD242,1,$D$5)),INDEX($A242:$AD242,1,$D$5),TIMEVALUE(INDEX($A242:$AD242,1,$D$5)))*Inputs!$C$22,0))</f>
        <v>0</v>
      </c>
    </row>
    <row r="243" customFormat="false" ht="15" hidden="false" customHeight="false" outlineLevel="0" collapsed="false">
      <c r="AF243" s="18" t="str">
        <f aca="false">IF($D$4="","",IF(INDEX($A243:$AD243,1,$D$4)="","",IF(ISNUMBER(INDEX($A243:$AD243,1,$D$4)),INDEX($A243:$AD243,1,$D$4),IFERROR(DATEVALUE(INDEX($A243:$AD243,1,$D$4)),""))))</f>
        <v/>
      </c>
      <c r="AG243" s="30" t="str">
        <f aca="false">IF(OR(AF243="",$D$6=""),"",IF(LEFT(INDEX($A243:$AD243,1,$D$6),LEN(Inputs!$C$30))=Inputs!$C$30,INDEX($A243:$AD243,1,$D$6),""))</f>
        <v/>
      </c>
      <c r="AH243" s="30" t="str">
        <f aca="false">IF(OR(AF243="",$D$7=""),"",TRIM(IFERROR(LEFT(INDEX($A243:$AD243,1,$D$7),FIND(",",INDEX($A243:$AD243,1,$D$7))-1),INDEX($A243:$AD243,1,$D$7))))</f>
        <v/>
      </c>
      <c r="AI243" s="36" t="n">
        <f aca="false">IF(OR(AF243="",$D$5=""),0,IFERROR(IF(ISNUMBER(INDEX($A243:$AD243,1,$D$5)),INDEX($A243:$AD243,1,$D$5),TIMEVALUE(INDEX($A243:$AD243,1,$D$5)))*Inputs!$C$22,0))</f>
        <v>0</v>
      </c>
    </row>
    <row r="244" customFormat="false" ht="15" hidden="false" customHeight="false" outlineLevel="0" collapsed="false">
      <c r="AF244" s="18" t="str">
        <f aca="false">IF($D$4="","",IF(INDEX($A244:$AD244,1,$D$4)="","",IF(ISNUMBER(INDEX($A244:$AD244,1,$D$4)),INDEX($A244:$AD244,1,$D$4),IFERROR(DATEVALUE(INDEX($A244:$AD244,1,$D$4)),""))))</f>
        <v/>
      </c>
      <c r="AG244" s="30" t="str">
        <f aca="false">IF(OR(AF244="",$D$6=""),"",IF(LEFT(INDEX($A244:$AD244,1,$D$6),LEN(Inputs!$C$30))=Inputs!$C$30,INDEX($A244:$AD244,1,$D$6),""))</f>
        <v/>
      </c>
      <c r="AH244" s="30" t="str">
        <f aca="false">IF(OR(AF244="",$D$7=""),"",TRIM(IFERROR(LEFT(INDEX($A244:$AD244,1,$D$7),FIND(",",INDEX($A244:$AD244,1,$D$7))-1),INDEX($A244:$AD244,1,$D$7))))</f>
        <v/>
      </c>
      <c r="AI244" s="36" t="n">
        <f aca="false">IF(OR(AF244="",$D$5=""),0,IFERROR(IF(ISNUMBER(INDEX($A244:$AD244,1,$D$5)),INDEX($A244:$AD244,1,$D$5),TIMEVALUE(INDEX($A244:$AD244,1,$D$5)))*Inputs!$C$22,0))</f>
        <v>0</v>
      </c>
    </row>
    <row r="245" customFormat="false" ht="15" hidden="false" customHeight="false" outlineLevel="0" collapsed="false">
      <c r="AF245" s="18" t="str">
        <f aca="false">IF($D$4="","",IF(INDEX($A245:$AD245,1,$D$4)="","",IF(ISNUMBER(INDEX($A245:$AD245,1,$D$4)),INDEX($A245:$AD245,1,$D$4),IFERROR(DATEVALUE(INDEX($A245:$AD245,1,$D$4)),""))))</f>
        <v/>
      </c>
      <c r="AG245" s="30" t="str">
        <f aca="false">IF(OR(AF245="",$D$6=""),"",IF(LEFT(INDEX($A245:$AD245,1,$D$6),LEN(Inputs!$C$30))=Inputs!$C$30,INDEX($A245:$AD245,1,$D$6),""))</f>
        <v/>
      </c>
      <c r="AH245" s="30" t="str">
        <f aca="false">IF(OR(AF245="",$D$7=""),"",TRIM(IFERROR(LEFT(INDEX($A245:$AD245,1,$D$7),FIND(",",INDEX($A245:$AD245,1,$D$7))-1),INDEX($A245:$AD245,1,$D$7))))</f>
        <v/>
      </c>
      <c r="AI245" s="36" t="n">
        <f aca="false">IF(OR(AF245="",$D$5=""),0,IFERROR(IF(ISNUMBER(INDEX($A245:$AD245,1,$D$5)),INDEX($A245:$AD245,1,$D$5),TIMEVALUE(INDEX($A245:$AD245,1,$D$5)))*Inputs!$C$22,0))</f>
        <v>0</v>
      </c>
    </row>
    <row r="246" customFormat="false" ht="15" hidden="false" customHeight="false" outlineLevel="0" collapsed="false">
      <c r="AF246" s="18" t="str">
        <f aca="false">IF($D$4="","",IF(INDEX($A246:$AD246,1,$D$4)="","",IF(ISNUMBER(INDEX($A246:$AD246,1,$D$4)),INDEX($A246:$AD246,1,$D$4),IFERROR(DATEVALUE(INDEX($A246:$AD246,1,$D$4)),""))))</f>
        <v/>
      </c>
      <c r="AG246" s="30" t="str">
        <f aca="false">IF(OR(AF246="",$D$6=""),"",IF(LEFT(INDEX($A246:$AD246,1,$D$6),LEN(Inputs!$C$30))=Inputs!$C$30,INDEX($A246:$AD246,1,$D$6),""))</f>
        <v/>
      </c>
      <c r="AH246" s="30" t="str">
        <f aca="false">IF(OR(AF246="",$D$7=""),"",TRIM(IFERROR(LEFT(INDEX($A246:$AD246,1,$D$7),FIND(",",INDEX($A246:$AD246,1,$D$7))-1),INDEX($A246:$AD246,1,$D$7))))</f>
        <v/>
      </c>
      <c r="AI246" s="36" t="n">
        <f aca="false">IF(OR(AF246="",$D$5=""),0,IFERROR(IF(ISNUMBER(INDEX($A246:$AD246,1,$D$5)),INDEX($A246:$AD246,1,$D$5),TIMEVALUE(INDEX($A246:$AD246,1,$D$5)))*Inputs!$C$22,0))</f>
        <v>0</v>
      </c>
    </row>
    <row r="247" customFormat="false" ht="15" hidden="false" customHeight="false" outlineLevel="0" collapsed="false">
      <c r="AF247" s="18" t="str">
        <f aca="false">IF($D$4="","",IF(INDEX($A247:$AD247,1,$D$4)="","",IF(ISNUMBER(INDEX($A247:$AD247,1,$D$4)),INDEX($A247:$AD247,1,$D$4),IFERROR(DATEVALUE(INDEX($A247:$AD247,1,$D$4)),""))))</f>
        <v/>
      </c>
      <c r="AG247" s="30" t="str">
        <f aca="false">IF(OR(AF247="",$D$6=""),"",IF(LEFT(INDEX($A247:$AD247,1,$D$6),LEN(Inputs!$C$30))=Inputs!$C$30,INDEX($A247:$AD247,1,$D$6),""))</f>
        <v/>
      </c>
      <c r="AH247" s="30" t="str">
        <f aca="false">IF(OR(AF247="",$D$7=""),"",TRIM(IFERROR(LEFT(INDEX($A247:$AD247,1,$D$7),FIND(",",INDEX($A247:$AD247,1,$D$7))-1),INDEX($A247:$AD247,1,$D$7))))</f>
        <v/>
      </c>
      <c r="AI247" s="36" t="n">
        <f aca="false">IF(OR(AF247="",$D$5=""),0,IFERROR(IF(ISNUMBER(INDEX($A247:$AD247,1,$D$5)),INDEX($A247:$AD247,1,$D$5),TIMEVALUE(INDEX($A247:$AD247,1,$D$5)))*Inputs!$C$22,0))</f>
        <v>0</v>
      </c>
    </row>
    <row r="248" customFormat="false" ht="15" hidden="false" customHeight="false" outlineLevel="0" collapsed="false">
      <c r="AF248" s="18" t="str">
        <f aca="false">IF($D$4="","",IF(INDEX($A248:$AD248,1,$D$4)="","",IF(ISNUMBER(INDEX($A248:$AD248,1,$D$4)),INDEX($A248:$AD248,1,$D$4),IFERROR(DATEVALUE(INDEX($A248:$AD248,1,$D$4)),""))))</f>
        <v/>
      </c>
      <c r="AG248" s="30" t="str">
        <f aca="false">IF(OR(AF248="",$D$6=""),"",IF(LEFT(INDEX($A248:$AD248,1,$D$6),LEN(Inputs!$C$30))=Inputs!$C$30,INDEX($A248:$AD248,1,$D$6),""))</f>
        <v/>
      </c>
      <c r="AH248" s="30" t="str">
        <f aca="false">IF(OR(AF248="",$D$7=""),"",TRIM(IFERROR(LEFT(INDEX($A248:$AD248,1,$D$7),FIND(",",INDEX($A248:$AD248,1,$D$7))-1),INDEX($A248:$AD248,1,$D$7))))</f>
        <v/>
      </c>
      <c r="AI248" s="36" t="n">
        <f aca="false">IF(OR(AF248="",$D$5=""),0,IFERROR(IF(ISNUMBER(INDEX($A248:$AD248,1,$D$5)),INDEX($A248:$AD248,1,$D$5),TIMEVALUE(INDEX($A248:$AD248,1,$D$5)))*Inputs!$C$22,0))</f>
        <v>0</v>
      </c>
    </row>
    <row r="249" customFormat="false" ht="15" hidden="false" customHeight="false" outlineLevel="0" collapsed="false">
      <c r="AF249" s="18" t="str">
        <f aca="false">IF($D$4="","",IF(INDEX($A249:$AD249,1,$D$4)="","",IF(ISNUMBER(INDEX($A249:$AD249,1,$D$4)),INDEX($A249:$AD249,1,$D$4),IFERROR(DATEVALUE(INDEX($A249:$AD249,1,$D$4)),""))))</f>
        <v/>
      </c>
      <c r="AG249" s="30" t="str">
        <f aca="false">IF(OR(AF249="",$D$6=""),"",IF(LEFT(INDEX($A249:$AD249,1,$D$6),LEN(Inputs!$C$30))=Inputs!$C$30,INDEX($A249:$AD249,1,$D$6),""))</f>
        <v/>
      </c>
      <c r="AH249" s="30" t="str">
        <f aca="false">IF(OR(AF249="",$D$7=""),"",TRIM(IFERROR(LEFT(INDEX($A249:$AD249,1,$D$7),FIND(",",INDEX($A249:$AD249,1,$D$7))-1),INDEX($A249:$AD249,1,$D$7))))</f>
        <v/>
      </c>
      <c r="AI249" s="36" t="n">
        <f aca="false">IF(OR(AF249="",$D$5=""),0,IFERROR(IF(ISNUMBER(INDEX($A249:$AD249,1,$D$5)),INDEX($A249:$AD249,1,$D$5),TIMEVALUE(INDEX($A249:$AD249,1,$D$5)))*Inputs!$C$22,0))</f>
        <v>0</v>
      </c>
    </row>
    <row r="250" customFormat="false" ht="15" hidden="false" customHeight="false" outlineLevel="0" collapsed="false">
      <c r="AF250" s="18" t="str">
        <f aca="false">IF($D$4="","",IF(INDEX($A250:$AD250,1,$D$4)="","",IF(ISNUMBER(INDEX($A250:$AD250,1,$D$4)),INDEX($A250:$AD250,1,$D$4),IFERROR(DATEVALUE(INDEX($A250:$AD250,1,$D$4)),""))))</f>
        <v/>
      </c>
      <c r="AG250" s="30" t="str">
        <f aca="false">IF(OR(AF250="",$D$6=""),"",IF(LEFT(INDEX($A250:$AD250,1,$D$6),LEN(Inputs!$C$30))=Inputs!$C$30,INDEX($A250:$AD250,1,$D$6),""))</f>
        <v/>
      </c>
      <c r="AH250" s="30" t="str">
        <f aca="false">IF(OR(AF250="",$D$7=""),"",TRIM(IFERROR(LEFT(INDEX($A250:$AD250,1,$D$7),FIND(",",INDEX($A250:$AD250,1,$D$7))-1),INDEX($A250:$AD250,1,$D$7))))</f>
        <v/>
      </c>
      <c r="AI250" s="36" t="n">
        <f aca="false">IF(OR(AF250="",$D$5=""),0,IFERROR(IF(ISNUMBER(INDEX($A250:$AD250,1,$D$5)),INDEX($A250:$AD250,1,$D$5),TIMEVALUE(INDEX($A250:$AD250,1,$D$5)))*Inputs!$C$22,0))</f>
        <v>0</v>
      </c>
    </row>
    <row r="251" customFormat="false" ht="15" hidden="false" customHeight="false" outlineLevel="0" collapsed="false">
      <c r="AF251" s="18" t="str">
        <f aca="false">IF($D$4="","",IF(INDEX($A251:$AD251,1,$D$4)="","",IF(ISNUMBER(INDEX($A251:$AD251,1,$D$4)),INDEX($A251:$AD251,1,$D$4),IFERROR(DATEVALUE(INDEX($A251:$AD251,1,$D$4)),""))))</f>
        <v/>
      </c>
      <c r="AG251" s="30" t="str">
        <f aca="false">IF(OR(AF251="",$D$6=""),"",IF(LEFT(INDEX($A251:$AD251,1,$D$6),LEN(Inputs!$C$30))=Inputs!$C$30,INDEX($A251:$AD251,1,$D$6),""))</f>
        <v/>
      </c>
      <c r="AH251" s="30" t="str">
        <f aca="false">IF(OR(AF251="",$D$7=""),"",TRIM(IFERROR(LEFT(INDEX($A251:$AD251,1,$D$7),FIND(",",INDEX($A251:$AD251,1,$D$7))-1),INDEX($A251:$AD251,1,$D$7))))</f>
        <v/>
      </c>
      <c r="AI251" s="36" t="n">
        <f aca="false">IF(OR(AF251="",$D$5=""),0,IFERROR(IF(ISNUMBER(INDEX($A251:$AD251,1,$D$5)),INDEX($A251:$AD251,1,$D$5),TIMEVALUE(INDEX($A251:$AD251,1,$D$5)))*Inputs!$C$22,0))</f>
        <v>0</v>
      </c>
    </row>
    <row r="252" customFormat="false" ht="15" hidden="false" customHeight="false" outlineLevel="0" collapsed="false">
      <c r="AF252" s="18" t="str">
        <f aca="false">IF($D$4="","",IF(INDEX($A252:$AD252,1,$D$4)="","",IF(ISNUMBER(INDEX($A252:$AD252,1,$D$4)),INDEX($A252:$AD252,1,$D$4),IFERROR(DATEVALUE(INDEX($A252:$AD252,1,$D$4)),""))))</f>
        <v/>
      </c>
      <c r="AG252" s="30" t="str">
        <f aca="false">IF(OR(AF252="",$D$6=""),"",IF(LEFT(INDEX($A252:$AD252,1,$D$6),LEN(Inputs!$C$30))=Inputs!$C$30,INDEX($A252:$AD252,1,$D$6),""))</f>
        <v/>
      </c>
      <c r="AH252" s="30" t="str">
        <f aca="false">IF(OR(AF252="",$D$7=""),"",TRIM(IFERROR(LEFT(INDEX($A252:$AD252,1,$D$7),FIND(",",INDEX($A252:$AD252,1,$D$7))-1),INDEX($A252:$AD252,1,$D$7))))</f>
        <v/>
      </c>
      <c r="AI252" s="36" t="n">
        <f aca="false">IF(OR(AF252="",$D$5=""),0,IFERROR(IF(ISNUMBER(INDEX($A252:$AD252,1,$D$5)),INDEX($A252:$AD252,1,$D$5),TIMEVALUE(INDEX($A252:$AD252,1,$D$5)))*Inputs!$C$22,0))</f>
        <v>0</v>
      </c>
    </row>
    <row r="253" customFormat="false" ht="15" hidden="false" customHeight="false" outlineLevel="0" collapsed="false">
      <c r="AF253" s="18" t="str">
        <f aca="false">IF($D$4="","",IF(INDEX($A253:$AD253,1,$D$4)="","",IF(ISNUMBER(INDEX($A253:$AD253,1,$D$4)),INDEX($A253:$AD253,1,$D$4),IFERROR(DATEVALUE(INDEX($A253:$AD253,1,$D$4)),""))))</f>
        <v/>
      </c>
      <c r="AG253" s="30" t="str">
        <f aca="false">IF(OR(AF253="",$D$6=""),"",IF(LEFT(INDEX($A253:$AD253,1,$D$6),LEN(Inputs!$C$30))=Inputs!$C$30,INDEX($A253:$AD253,1,$D$6),""))</f>
        <v/>
      </c>
      <c r="AH253" s="30" t="str">
        <f aca="false">IF(OR(AF253="",$D$7=""),"",TRIM(IFERROR(LEFT(INDEX($A253:$AD253,1,$D$7),FIND(",",INDEX($A253:$AD253,1,$D$7))-1),INDEX($A253:$AD253,1,$D$7))))</f>
        <v/>
      </c>
      <c r="AI253" s="36" t="n">
        <f aca="false">IF(OR(AF253="",$D$5=""),0,IFERROR(IF(ISNUMBER(INDEX($A253:$AD253,1,$D$5)),INDEX($A253:$AD253,1,$D$5),TIMEVALUE(INDEX($A253:$AD253,1,$D$5)))*Inputs!$C$22,0))</f>
        <v>0</v>
      </c>
    </row>
    <row r="254" customFormat="false" ht="15" hidden="false" customHeight="false" outlineLevel="0" collapsed="false">
      <c r="AF254" s="18" t="str">
        <f aca="false">IF($D$4="","",IF(INDEX($A254:$AD254,1,$D$4)="","",IF(ISNUMBER(INDEX($A254:$AD254,1,$D$4)),INDEX($A254:$AD254,1,$D$4),IFERROR(DATEVALUE(INDEX($A254:$AD254,1,$D$4)),""))))</f>
        <v/>
      </c>
      <c r="AG254" s="30" t="str">
        <f aca="false">IF(OR(AF254="",$D$6=""),"",IF(LEFT(INDEX($A254:$AD254,1,$D$6),LEN(Inputs!$C$30))=Inputs!$C$30,INDEX($A254:$AD254,1,$D$6),""))</f>
        <v/>
      </c>
      <c r="AH254" s="30" t="str">
        <f aca="false">IF(OR(AF254="",$D$7=""),"",TRIM(IFERROR(LEFT(INDEX($A254:$AD254,1,$D$7),FIND(",",INDEX($A254:$AD254,1,$D$7))-1),INDEX($A254:$AD254,1,$D$7))))</f>
        <v/>
      </c>
      <c r="AI254" s="36" t="n">
        <f aca="false">IF(OR(AF254="",$D$5=""),0,IFERROR(IF(ISNUMBER(INDEX($A254:$AD254,1,$D$5)),INDEX($A254:$AD254,1,$D$5),TIMEVALUE(INDEX($A254:$AD254,1,$D$5)))*Inputs!$C$22,0))</f>
        <v>0</v>
      </c>
    </row>
    <row r="255" customFormat="false" ht="15" hidden="false" customHeight="false" outlineLevel="0" collapsed="false">
      <c r="AF255" s="18" t="str">
        <f aca="false">IF($D$4="","",IF(INDEX($A255:$AD255,1,$D$4)="","",IF(ISNUMBER(INDEX($A255:$AD255,1,$D$4)),INDEX($A255:$AD255,1,$D$4),IFERROR(DATEVALUE(INDEX($A255:$AD255,1,$D$4)),""))))</f>
        <v/>
      </c>
      <c r="AG255" s="30" t="str">
        <f aca="false">IF(OR(AF255="",$D$6=""),"",IF(LEFT(INDEX($A255:$AD255,1,$D$6),LEN(Inputs!$C$30))=Inputs!$C$30,INDEX($A255:$AD255,1,$D$6),""))</f>
        <v/>
      </c>
      <c r="AH255" s="30" t="str">
        <f aca="false">IF(OR(AF255="",$D$7=""),"",TRIM(IFERROR(LEFT(INDEX($A255:$AD255,1,$D$7),FIND(",",INDEX($A255:$AD255,1,$D$7))-1),INDEX($A255:$AD255,1,$D$7))))</f>
        <v/>
      </c>
      <c r="AI255" s="36" t="n">
        <f aca="false">IF(OR(AF255="",$D$5=""),0,IFERROR(IF(ISNUMBER(INDEX($A255:$AD255,1,$D$5)),INDEX($A255:$AD255,1,$D$5),TIMEVALUE(INDEX($A255:$AD255,1,$D$5)))*Inputs!$C$22,0))</f>
        <v>0</v>
      </c>
    </row>
    <row r="256" customFormat="false" ht="15" hidden="false" customHeight="false" outlineLevel="0" collapsed="false">
      <c r="AF256" s="18" t="str">
        <f aca="false">IF($D$4="","",IF(INDEX($A256:$AD256,1,$D$4)="","",IF(ISNUMBER(INDEX($A256:$AD256,1,$D$4)),INDEX($A256:$AD256,1,$D$4),IFERROR(DATEVALUE(INDEX($A256:$AD256,1,$D$4)),""))))</f>
        <v/>
      </c>
      <c r="AG256" s="30" t="str">
        <f aca="false">IF(OR(AF256="",$D$6=""),"",IF(LEFT(INDEX($A256:$AD256,1,$D$6),LEN(Inputs!$C$30))=Inputs!$C$30,INDEX($A256:$AD256,1,$D$6),""))</f>
        <v/>
      </c>
      <c r="AH256" s="30" t="str">
        <f aca="false">IF(OR(AF256="",$D$7=""),"",TRIM(IFERROR(LEFT(INDEX($A256:$AD256,1,$D$7),FIND(",",INDEX($A256:$AD256,1,$D$7))-1),INDEX($A256:$AD256,1,$D$7))))</f>
        <v/>
      </c>
      <c r="AI256" s="36" t="n">
        <f aca="false">IF(OR(AF256="",$D$5=""),0,IFERROR(IF(ISNUMBER(INDEX($A256:$AD256,1,$D$5)),INDEX($A256:$AD256,1,$D$5),TIMEVALUE(INDEX($A256:$AD256,1,$D$5)))*Inputs!$C$22,0))</f>
        <v>0</v>
      </c>
    </row>
    <row r="257" customFormat="false" ht="15" hidden="false" customHeight="false" outlineLevel="0" collapsed="false">
      <c r="AF257" s="18" t="str">
        <f aca="false">IF($D$4="","",IF(INDEX($A257:$AD257,1,$D$4)="","",IF(ISNUMBER(INDEX($A257:$AD257,1,$D$4)),INDEX($A257:$AD257,1,$D$4),IFERROR(DATEVALUE(INDEX($A257:$AD257,1,$D$4)),""))))</f>
        <v/>
      </c>
      <c r="AG257" s="30" t="str">
        <f aca="false">IF(OR(AF257="",$D$6=""),"",IF(LEFT(INDEX($A257:$AD257,1,$D$6),LEN(Inputs!$C$30))=Inputs!$C$30,INDEX($A257:$AD257,1,$D$6),""))</f>
        <v/>
      </c>
      <c r="AH257" s="30" t="str">
        <f aca="false">IF(OR(AF257="",$D$7=""),"",TRIM(IFERROR(LEFT(INDEX($A257:$AD257,1,$D$7),FIND(",",INDEX($A257:$AD257,1,$D$7))-1),INDEX($A257:$AD257,1,$D$7))))</f>
        <v/>
      </c>
      <c r="AI257" s="36" t="n">
        <f aca="false">IF(OR(AF257="",$D$5=""),0,IFERROR(IF(ISNUMBER(INDEX($A257:$AD257,1,$D$5)),INDEX($A257:$AD257,1,$D$5),TIMEVALUE(INDEX($A257:$AD257,1,$D$5)))*Inputs!$C$22,0))</f>
        <v>0</v>
      </c>
    </row>
    <row r="258" customFormat="false" ht="15" hidden="false" customHeight="false" outlineLevel="0" collapsed="false">
      <c r="AF258" s="18" t="str">
        <f aca="false">IF($D$4="","",IF(INDEX($A258:$AD258,1,$D$4)="","",IF(ISNUMBER(INDEX($A258:$AD258,1,$D$4)),INDEX($A258:$AD258,1,$D$4),IFERROR(DATEVALUE(INDEX($A258:$AD258,1,$D$4)),""))))</f>
        <v/>
      </c>
      <c r="AG258" s="30" t="str">
        <f aca="false">IF(OR(AF258="",$D$6=""),"",IF(LEFT(INDEX($A258:$AD258,1,$D$6),LEN(Inputs!$C$30))=Inputs!$C$30,INDEX($A258:$AD258,1,$D$6),""))</f>
        <v/>
      </c>
      <c r="AH258" s="30" t="str">
        <f aca="false">IF(OR(AF258="",$D$7=""),"",TRIM(IFERROR(LEFT(INDEX($A258:$AD258,1,$D$7),FIND(",",INDEX($A258:$AD258,1,$D$7))-1),INDEX($A258:$AD258,1,$D$7))))</f>
        <v/>
      </c>
      <c r="AI258" s="36" t="n">
        <f aca="false">IF(OR(AF258="",$D$5=""),0,IFERROR(IF(ISNUMBER(INDEX($A258:$AD258,1,$D$5)),INDEX($A258:$AD258,1,$D$5),TIMEVALUE(INDEX($A258:$AD258,1,$D$5)))*Inputs!$C$22,0))</f>
        <v>0</v>
      </c>
    </row>
    <row r="259" customFormat="false" ht="15" hidden="false" customHeight="false" outlineLevel="0" collapsed="false">
      <c r="AF259" s="18" t="str">
        <f aca="false">IF($D$4="","",IF(INDEX($A259:$AD259,1,$D$4)="","",IF(ISNUMBER(INDEX($A259:$AD259,1,$D$4)),INDEX($A259:$AD259,1,$D$4),IFERROR(DATEVALUE(INDEX($A259:$AD259,1,$D$4)),""))))</f>
        <v/>
      </c>
      <c r="AG259" s="30" t="str">
        <f aca="false">IF(OR(AF259="",$D$6=""),"",IF(LEFT(INDEX($A259:$AD259,1,$D$6),LEN(Inputs!$C$30))=Inputs!$C$30,INDEX($A259:$AD259,1,$D$6),""))</f>
        <v/>
      </c>
      <c r="AH259" s="30" t="str">
        <f aca="false">IF(OR(AF259="",$D$7=""),"",TRIM(IFERROR(LEFT(INDEX($A259:$AD259,1,$D$7),FIND(",",INDEX($A259:$AD259,1,$D$7))-1),INDEX($A259:$AD259,1,$D$7))))</f>
        <v/>
      </c>
      <c r="AI259" s="36" t="n">
        <f aca="false">IF(OR(AF259="",$D$5=""),0,IFERROR(IF(ISNUMBER(INDEX($A259:$AD259,1,$D$5)),INDEX($A259:$AD259,1,$D$5),TIMEVALUE(INDEX($A259:$AD259,1,$D$5)))*Inputs!$C$22,0))</f>
        <v>0</v>
      </c>
    </row>
    <row r="260" customFormat="false" ht="15" hidden="false" customHeight="false" outlineLevel="0" collapsed="false">
      <c r="AF260" s="18" t="str">
        <f aca="false">IF($D$4="","",IF(INDEX($A260:$AD260,1,$D$4)="","",IF(ISNUMBER(INDEX($A260:$AD260,1,$D$4)),INDEX($A260:$AD260,1,$D$4),IFERROR(DATEVALUE(INDEX($A260:$AD260,1,$D$4)),""))))</f>
        <v/>
      </c>
      <c r="AG260" s="30" t="str">
        <f aca="false">IF(OR(AF260="",$D$6=""),"",IF(LEFT(INDEX($A260:$AD260,1,$D$6),LEN(Inputs!$C$30))=Inputs!$C$30,INDEX($A260:$AD260,1,$D$6),""))</f>
        <v/>
      </c>
      <c r="AH260" s="30" t="str">
        <f aca="false">IF(OR(AF260="",$D$7=""),"",TRIM(IFERROR(LEFT(INDEX($A260:$AD260,1,$D$7),FIND(",",INDEX($A260:$AD260,1,$D$7))-1),INDEX($A260:$AD260,1,$D$7))))</f>
        <v/>
      </c>
      <c r="AI260" s="36" t="n">
        <f aca="false">IF(OR(AF260="",$D$5=""),0,IFERROR(IF(ISNUMBER(INDEX($A260:$AD260,1,$D$5)),INDEX($A260:$AD260,1,$D$5),TIMEVALUE(INDEX($A260:$AD260,1,$D$5)))*Inputs!$C$22,0))</f>
        <v>0</v>
      </c>
    </row>
    <row r="261" customFormat="false" ht="15" hidden="false" customHeight="false" outlineLevel="0" collapsed="false">
      <c r="AF261" s="18" t="str">
        <f aca="false">IF($D$4="","",IF(INDEX($A261:$AD261,1,$D$4)="","",IF(ISNUMBER(INDEX($A261:$AD261,1,$D$4)),INDEX($A261:$AD261,1,$D$4),IFERROR(DATEVALUE(INDEX($A261:$AD261,1,$D$4)),""))))</f>
        <v/>
      </c>
      <c r="AG261" s="30" t="str">
        <f aca="false">IF(OR(AF261="",$D$6=""),"",IF(LEFT(INDEX($A261:$AD261,1,$D$6),LEN(Inputs!$C$30))=Inputs!$C$30,INDEX($A261:$AD261,1,$D$6),""))</f>
        <v/>
      </c>
      <c r="AH261" s="30" t="str">
        <f aca="false">IF(OR(AF261="",$D$7=""),"",TRIM(IFERROR(LEFT(INDEX($A261:$AD261,1,$D$7),FIND(",",INDEX($A261:$AD261,1,$D$7))-1),INDEX($A261:$AD261,1,$D$7))))</f>
        <v/>
      </c>
      <c r="AI261" s="36" t="n">
        <f aca="false">IF(OR(AF261="",$D$5=""),0,IFERROR(IF(ISNUMBER(INDEX($A261:$AD261,1,$D$5)),INDEX($A261:$AD261,1,$D$5),TIMEVALUE(INDEX($A261:$AD261,1,$D$5)))*Inputs!$C$22,0))</f>
        <v>0</v>
      </c>
    </row>
    <row r="262" customFormat="false" ht="15" hidden="false" customHeight="false" outlineLevel="0" collapsed="false">
      <c r="AF262" s="18" t="str">
        <f aca="false">IF($D$4="","",IF(INDEX($A262:$AD262,1,$D$4)="","",IF(ISNUMBER(INDEX($A262:$AD262,1,$D$4)),INDEX($A262:$AD262,1,$D$4),IFERROR(DATEVALUE(INDEX($A262:$AD262,1,$D$4)),""))))</f>
        <v/>
      </c>
      <c r="AG262" s="30" t="str">
        <f aca="false">IF(OR(AF262="",$D$6=""),"",IF(LEFT(INDEX($A262:$AD262,1,$D$6),LEN(Inputs!$C$30))=Inputs!$C$30,INDEX($A262:$AD262,1,$D$6),""))</f>
        <v/>
      </c>
      <c r="AH262" s="30" t="str">
        <f aca="false">IF(OR(AF262="",$D$7=""),"",TRIM(IFERROR(LEFT(INDEX($A262:$AD262,1,$D$7),FIND(",",INDEX($A262:$AD262,1,$D$7))-1),INDEX($A262:$AD262,1,$D$7))))</f>
        <v/>
      </c>
      <c r="AI262" s="36" t="n">
        <f aca="false">IF(OR(AF262="",$D$5=""),0,IFERROR(IF(ISNUMBER(INDEX($A262:$AD262,1,$D$5)),INDEX($A262:$AD262,1,$D$5),TIMEVALUE(INDEX($A262:$AD262,1,$D$5)))*Inputs!$C$22,0))</f>
        <v>0</v>
      </c>
    </row>
    <row r="263" customFormat="false" ht="15" hidden="false" customHeight="false" outlineLevel="0" collapsed="false">
      <c r="AF263" s="18" t="str">
        <f aca="false">IF($D$4="","",IF(INDEX($A263:$AD263,1,$D$4)="","",IF(ISNUMBER(INDEX($A263:$AD263,1,$D$4)),INDEX($A263:$AD263,1,$D$4),IFERROR(DATEVALUE(INDEX($A263:$AD263,1,$D$4)),""))))</f>
        <v/>
      </c>
      <c r="AG263" s="30" t="str">
        <f aca="false">IF(OR(AF263="",$D$6=""),"",IF(LEFT(INDEX($A263:$AD263,1,$D$6),LEN(Inputs!$C$30))=Inputs!$C$30,INDEX($A263:$AD263,1,$D$6),""))</f>
        <v/>
      </c>
      <c r="AH263" s="30" t="str">
        <f aca="false">IF(OR(AF263="",$D$7=""),"",TRIM(IFERROR(LEFT(INDEX($A263:$AD263,1,$D$7),FIND(",",INDEX($A263:$AD263,1,$D$7))-1),INDEX($A263:$AD263,1,$D$7))))</f>
        <v/>
      </c>
      <c r="AI263" s="36" t="n">
        <f aca="false">IF(OR(AF263="",$D$5=""),0,IFERROR(IF(ISNUMBER(INDEX($A263:$AD263,1,$D$5)),INDEX($A263:$AD263,1,$D$5),TIMEVALUE(INDEX($A263:$AD263,1,$D$5)))*Inputs!$C$22,0))</f>
        <v>0</v>
      </c>
    </row>
    <row r="264" customFormat="false" ht="15" hidden="false" customHeight="false" outlineLevel="0" collapsed="false">
      <c r="AF264" s="18" t="str">
        <f aca="false">IF($D$4="","",IF(INDEX($A264:$AD264,1,$D$4)="","",IF(ISNUMBER(INDEX($A264:$AD264,1,$D$4)),INDEX($A264:$AD264,1,$D$4),IFERROR(DATEVALUE(INDEX($A264:$AD264,1,$D$4)),""))))</f>
        <v/>
      </c>
      <c r="AG264" s="30" t="str">
        <f aca="false">IF(OR(AF264="",$D$6=""),"",IF(LEFT(INDEX($A264:$AD264,1,$D$6),LEN(Inputs!$C$30))=Inputs!$C$30,INDEX($A264:$AD264,1,$D$6),""))</f>
        <v/>
      </c>
      <c r="AH264" s="30" t="str">
        <f aca="false">IF(OR(AF264="",$D$7=""),"",TRIM(IFERROR(LEFT(INDEX($A264:$AD264,1,$D$7),FIND(",",INDEX($A264:$AD264,1,$D$7))-1),INDEX($A264:$AD264,1,$D$7))))</f>
        <v/>
      </c>
      <c r="AI264" s="36" t="n">
        <f aca="false">IF(OR(AF264="",$D$5=""),0,IFERROR(IF(ISNUMBER(INDEX($A264:$AD264,1,$D$5)),INDEX($A264:$AD264,1,$D$5),TIMEVALUE(INDEX($A264:$AD264,1,$D$5)))*Inputs!$C$22,0))</f>
        <v>0</v>
      </c>
    </row>
    <row r="265" customFormat="false" ht="15" hidden="false" customHeight="false" outlineLevel="0" collapsed="false">
      <c r="AF265" s="18" t="str">
        <f aca="false">IF($D$4="","",IF(INDEX($A265:$AD265,1,$D$4)="","",IF(ISNUMBER(INDEX($A265:$AD265,1,$D$4)),INDEX($A265:$AD265,1,$D$4),IFERROR(DATEVALUE(INDEX($A265:$AD265,1,$D$4)),""))))</f>
        <v/>
      </c>
      <c r="AG265" s="30" t="str">
        <f aca="false">IF(OR(AF265="",$D$6=""),"",IF(LEFT(INDEX($A265:$AD265,1,$D$6),LEN(Inputs!$C$30))=Inputs!$C$30,INDEX($A265:$AD265,1,$D$6),""))</f>
        <v/>
      </c>
      <c r="AH265" s="30" t="str">
        <f aca="false">IF(OR(AF265="",$D$7=""),"",TRIM(IFERROR(LEFT(INDEX($A265:$AD265,1,$D$7),FIND(",",INDEX($A265:$AD265,1,$D$7))-1),INDEX($A265:$AD265,1,$D$7))))</f>
        <v/>
      </c>
      <c r="AI265" s="36" t="n">
        <f aca="false">IF(OR(AF265="",$D$5=""),0,IFERROR(IF(ISNUMBER(INDEX($A265:$AD265,1,$D$5)),INDEX($A265:$AD265,1,$D$5),TIMEVALUE(INDEX($A265:$AD265,1,$D$5)))*Inputs!$C$22,0))</f>
        <v>0</v>
      </c>
    </row>
    <row r="266" customFormat="false" ht="15" hidden="false" customHeight="false" outlineLevel="0" collapsed="false">
      <c r="AF266" s="18" t="str">
        <f aca="false">IF($D$4="","",IF(INDEX($A266:$AD266,1,$D$4)="","",IF(ISNUMBER(INDEX($A266:$AD266,1,$D$4)),INDEX($A266:$AD266,1,$D$4),IFERROR(DATEVALUE(INDEX($A266:$AD266,1,$D$4)),""))))</f>
        <v/>
      </c>
      <c r="AG266" s="30" t="str">
        <f aca="false">IF(OR(AF266="",$D$6=""),"",IF(LEFT(INDEX($A266:$AD266,1,$D$6),LEN(Inputs!$C$30))=Inputs!$C$30,INDEX($A266:$AD266,1,$D$6),""))</f>
        <v/>
      </c>
      <c r="AH266" s="30" t="str">
        <f aca="false">IF(OR(AF266="",$D$7=""),"",TRIM(IFERROR(LEFT(INDEX($A266:$AD266,1,$D$7),FIND(",",INDEX($A266:$AD266,1,$D$7))-1),INDEX($A266:$AD266,1,$D$7))))</f>
        <v/>
      </c>
      <c r="AI266" s="36" t="n">
        <f aca="false">IF(OR(AF266="",$D$5=""),0,IFERROR(IF(ISNUMBER(INDEX($A266:$AD266,1,$D$5)),INDEX($A266:$AD266,1,$D$5),TIMEVALUE(INDEX($A266:$AD266,1,$D$5)))*Inputs!$C$22,0))</f>
        <v>0</v>
      </c>
    </row>
    <row r="267" customFormat="false" ht="15" hidden="false" customHeight="false" outlineLevel="0" collapsed="false">
      <c r="AF267" s="18" t="str">
        <f aca="false">IF($D$4="","",IF(INDEX($A267:$AD267,1,$D$4)="","",IF(ISNUMBER(INDEX($A267:$AD267,1,$D$4)),INDEX($A267:$AD267,1,$D$4),IFERROR(DATEVALUE(INDEX($A267:$AD267,1,$D$4)),""))))</f>
        <v/>
      </c>
      <c r="AG267" s="30" t="str">
        <f aca="false">IF(OR(AF267="",$D$6=""),"",IF(LEFT(INDEX($A267:$AD267,1,$D$6),LEN(Inputs!$C$30))=Inputs!$C$30,INDEX($A267:$AD267,1,$D$6),""))</f>
        <v/>
      </c>
      <c r="AH267" s="30" t="str">
        <f aca="false">IF(OR(AF267="",$D$7=""),"",TRIM(IFERROR(LEFT(INDEX($A267:$AD267,1,$D$7),FIND(",",INDEX($A267:$AD267,1,$D$7))-1),INDEX($A267:$AD267,1,$D$7))))</f>
        <v/>
      </c>
      <c r="AI267" s="36" t="n">
        <f aca="false">IF(OR(AF267="",$D$5=""),0,IFERROR(IF(ISNUMBER(INDEX($A267:$AD267,1,$D$5)),INDEX($A267:$AD267,1,$D$5),TIMEVALUE(INDEX($A267:$AD267,1,$D$5)))*Inputs!$C$22,0))</f>
        <v>0</v>
      </c>
    </row>
    <row r="268" customFormat="false" ht="15" hidden="false" customHeight="false" outlineLevel="0" collapsed="false">
      <c r="AF268" s="18" t="str">
        <f aca="false">IF($D$4="","",IF(INDEX($A268:$AD268,1,$D$4)="","",IF(ISNUMBER(INDEX($A268:$AD268,1,$D$4)),INDEX($A268:$AD268,1,$D$4),IFERROR(DATEVALUE(INDEX($A268:$AD268,1,$D$4)),""))))</f>
        <v/>
      </c>
      <c r="AG268" s="30" t="str">
        <f aca="false">IF(OR(AF268="",$D$6=""),"",IF(LEFT(INDEX($A268:$AD268,1,$D$6),LEN(Inputs!$C$30))=Inputs!$C$30,INDEX($A268:$AD268,1,$D$6),""))</f>
        <v/>
      </c>
      <c r="AH268" s="30" t="str">
        <f aca="false">IF(OR(AF268="",$D$7=""),"",TRIM(IFERROR(LEFT(INDEX($A268:$AD268,1,$D$7),FIND(",",INDEX($A268:$AD268,1,$D$7))-1),INDEX($A268:$AD268,1,$D$7))))</f>
        <v/>
      </c>
      <c r="AI268" s="36" t="n">
        <f aca="false">IF(OR(AF268="",$D$5=""),0,IFERROR(IF(ISNUMBER(INDEX($A268:$AD268,1,$D$5)),INDEX($A268:$AD268,1,$D$5),TIMEVALUE(INDEX($A268:$AD268,1,$D$5)))*Inputs!$C$22,0))</f>
        <v>0</v>
      </c>
    </row>
    <row r="269" customFormat="false" ht="15" hidden="false" customHeight="false" outlineLevel="0" collapsed="false">
      <c r="AF269" s="18" t="str">
        <f aca="false">IF($D$4="","",IF(INDEX($A269:$AD269,1,$D$4)="","",IF(ISNUMBER(INDEX($A269:$AD269,1,$D$4)),INDEX($A269:$AD269,1,$D$4),IFERROR(DATEVALUE(INDEX($A269:$AD269,1,$D$4)),""))))</f>
        <v/>
      </c>
      <c r="AG269" s="30" t="str">
        <f aca="false">IF(OR(AF269="",$D$6=""),"",IF(LEFT(INDEX($A269:$AD269,1,$D$6),LEN(Inputs!$C$30))=Inputs!$C$30,INDEX($A269:$AD269,1,$D$6),""))</f>
        <v/>
      </c>
      <c r="AH269" s="30" t="str">
        <f aca="false">IF(OR(AF269="",$D$7=""),"",TRIM(IFERROR(LEFT(INDEX($A269:$AD269,1,$D$7),FIND(",",INDEX($A269:$AD269,1,$D$7))-1),INDEX($A269:$AD269,1,$D$7))))</f>
        <v/>
      </c>
      <c r="AI269" s="36" t="n">
        <f aca="false">IF(OR(AF269="",$D$5=""),0,IFERROR(IF(ISNUMBER(INDEX($A269:$AD269,1,$D$5)),INDEX($A269:$AD269,1,$D$5),TIMEVALUE(INDEX($A269:$AD269,1,$D$5)))*Inputs!$C$22,0))</f>
        <v>0</v>
      </c>
    </row>
    <row r="270" customFormat="false" ht="15" hidden="false" customHeight="false" outlineLevel="0" collapsed="false">
      <c r="AF270" s="18" t="str">
        <f aca="false">IF($D$4="","",IF(INDEX($A270:$AD270,1,$D$4)="","",IF(ISNUMBER(INDEX($A270:$AD270,1,$D$4)),INDEX($A270:$AD270,1,$D$4),IFERROR(DATEVALUE(INDEX($A270:$AD270,1,$D$4)),""))))</f>
        <v/>
      </c>
      <c r="AG270" s="30" t="str">
        <f aca="false">IF(OR(AF270="",$D$6=""),"",IF(LEFT(INDEX($A270:$AD270,1,$D$6),LEN(Inputs!$C$30))=Inputs!$C$30,INDEX($A270:$AD270,1,$D$6),""))</f>
        <v/>
      </c>
      <c r="AH270" s="30" t="str">
        <f aca="false">IF(OR(AF270="",$D$7=""),"",TRIM(IFERROR(LEFT(INDEX($A270:$AD270,1,$D$7),FIND(",",INDEX($A270:$AD270,1,$D$7))-1),INDEX($A270:$AD270,1,$D$7))))</f>
        <v/>
      </c>
      <c r="AI270" s="36" t="n">
        <f aca="false">IF(OR(AF270="",$D$5=""),0,IFERROR(IF(ISNUMBER(INDEX($A270:$AD270,1,$D$5)),INDEX($A270:$AD270,1,$D$5),TIMEVALUE(INDEX($A270:$AD270,1,$D$5)))*Inputs!$C$22,0))</f>
        <v>0</v>
      </c>
    </row>
    <row r="271" customFormat="false" ht="15" hidden="false" customHeight="false" outlineLevel="0" collapsed="false">
      <c r="AF271" s="18" t="str">
        <f aca="false">IF($D$4="","",IF(INDEX($A271:$AD271,1,$D$4)="","",IF(ISNUMBER(INDEX($A271:$AD271,1,$D$4)),INDEX($A271:$AD271,1,$D$4),IFERROR(DATEVALUE(INDEX($A271:$AD271,1,$D$4)),""))))</f>
        <v/>
      </c>
      <c r="AG271" s="30" t="str">
        <f aca="false">IF(OR(AF271="",$D$6=""),"",IF(LEFT(INDEX($A271:$AD271,1,$D$6),LEN(Inputs!$C$30))=Inputs!$C$30,INDEX($A271:$AD271,1,$D$6),""))</f>
        <v/>
      </c>
      <c r="AH271" s="30" t="str">
        <f aca="false">IF(OR(AF271="",$D$7=""),"",TRIM(IFERROR(LEFT(INDEX($A271:$AD271,1,$D$7),FIND(",",INDEX($A271:$AD271,1,$D$7))-1),INDEX($A271:$AD271,1,$D$7))))</f>
        <v/>
      </c>
      <c r="AI271" s="36" t="n">
        <f aca="false">IF(OR(AF271="",$D$5=""),0,IFERROR(IF(ISNUMBER(INDEX($A271:$AD271,1,$D$5)),INDEX($A271:$AD271,1,$D$5),TIMEVALUE(INDEX($A271:$AD271,1,$D$5)))*Inputs!$C$22,0))</f>
        <v>0</v>
      </c>
    </row>
    <row r="272" customFormat="false" ht="15" hidden="false" customHeight="false" outlineLevel="0" collapsed="false">
      <c r="AF272" s="18" t="str">
        <f aca="false">IF($D$4="","",IF(INDEX($A272:$AD272,1,$D$4)="","",IF(ISNUMBER(INDEX($A272:$AD272,1,$D$4)),INDEX($A272:$AD272,1,$D$4),IFERROR(DATEVALUE(INDEX($A272:$AD272,1,$D$4)),""))))</f>
        <v/>
      </c>
      <c r="AG272" s="30" t="str">
        <f aca="false">IF(OR(AF272="",$D$6=""),"",IF(LEFT(INDEX($A272:$AD272,1,$D$6),LEN(Inputs!$C$30))=Inputs!$C$30,INDEX($A272:$AD272,1,$D$6),""))</f>
        <v/>
      </c>
      <c r="AH272" s="30" t="str">
        <f aca="false">IF(OR(AF272="",$D$7=""),"",TRIM(IFERROR(LEFT(INDEX($A272:$AD272,1,$D$7),FIND(",",INDEX($A272:$AD272,1,$D$7))-1),INDEX($A272:$AD272,1,$D$7))))</f>
        <v/>
      </c>
      <c r="AI272" s="36" t="n">
        <f aca="false">IF(OR(AF272="",$D$5=""),0,IFERROR(IF(ISNUMBER(INDEX($A272:$AD272,1,$D$5)),INDEX($A272:$AD272,1,$D$5),TIMEVALUE(INDEX($A272:$AD272,1,$D$5)))*Inputs!$C$22,0))</f>
        <v>0</v>
      </c>
    </row>
    <row r="273" customFormat="false" ht="15" hidden="false" customHeight="false" outlineLevel="0" collapsed="false">
      <c r="AF273" s="18" t="str">
        <f aca="false">IF($D$4="","",IF(INDEX($A273:$AD273,1,$D$4)="","",IF(ISNUMBER(INDEX($A273:$AD273,1,$D$4)),INDEX($A273:$AD273,1,$D$4),IFERROR(DATEVALUE(INDEX($A273:$AD273,1,$D$4)),""))))</f>
        <v/>
      </c>
      <c r="AG273" s="30" t="str">
        <f aca="false">IF(OR(AF273="",$D$6=""),"",IF(LEFT(INDEX($A273:$AD273,1,$D$6),LEN(Inputs!$C$30))=Inputs!$C$30,INDEX($A273:$AD273,1,$D$6),""))</f>
        <v/>
      </c>
      <c r="AH273" s="30" t="str">
        <f aca="false">IF(OR(AF273="",$D$7=""),"",TRIM(IFERROR(LEFT(INDEX($A273:$AD273,1,$D$7),FIND(",",INDEX($A273:$AD273,1,$D$7))-1),INDEX($A273:$AD273,1,$D$7))))</f>
        <v/>
      </c>
      <c r="AI273" s="36" t="n">
        <f aca="false">IF(OR(AF273="",$D$5=""),0,IFERROR(IF(ISNUMBER(INDEX($A273:$AD273,1,$D$5)),INDEX($A273:$AD273,1,$D$5),TIMEVALUE(INDEX($A273:$AD273,1,$D$5)))*Inputs!$C$22,0))</f>
        <v>0</v>
      </c>
    </row>
    <row r="274" customFormat="false" ht="15" hidden="false" customHeight="false" outlineLevel="0" collapsed="false">
      <c r="AF274" s="18" t="str">
        <f aca="false">IF($D$4="","",IF(INDEX($A274:$AD274,1,$D$4)="","",IF(ISNUMBER(INDEX($A274:$AD274,1,$D$4)),INDEX($A274:$AD274,1,$D$4),IFERROR(DATEVALUE(INDEX($A274:$AD274,1,$D$4)),""))))</f>
        <v/>
      </c>
      <c r="AG274" s="30" t="str">
        <f aca="false">IF(OR(AF274="",$D$6=""),"",IF(LEFT(INDEX($A274:$AD274,1,$D$6),LEN(Inputs!$C$30))=Inputs!$C$30,INDEX($A274:$AD274,1,$D$6),""))</f>
        <v/>
      </c>
      <c r="AH274" s="30" t="str">
        <f aca="false">IF(OR(AF274="",$D$7=""),"",TRIM(IFERROR(LEFT(INDEX($A274:$AD274,1,$D$7),FIND(",",INDEX($A274:$AD274,1,$D$7))-1),INDEX($A274:$AD274,1,$D$7))))</f>
        <v/>
      </c>
      <c r="AI274" s="36" t="n">
        <f aca="false">IF(OR(AF274="",$D$5=""),0,IFERROR(IF(ISNUMBER(INDEX($A274:$AD274,1,$D$5)),INDEX($A274:$AD274,1,$D$5),TIMEVALUE(INDEX($A274:$AD274,1,$D$5)))*Inputs!$C$22,0))</f>
        <v>0</v>
      </c>
    </row>
    <row r="275" customFormat="false" ht="15" hidden="false" customHeight="false" outlineLevel="0" collapsed="false">
      <c r="AF275" s="18" t="str">
        <f aca="false">IF($D$4="","",IF(INDEX($A275:$AD275,1,$D$4)="","",IF(ISNUMBER(INDEX($A275:$AD275,1,$D$4)),INDEX($A275:$AD275,1,$D$4),IFERROR(DATEVALUE(INDEX($A275:$AD275,1,$D$4)),""))))</f>
        <v/>
      </c>
      <c r="AG275" s="30" t="str">
        <f aca="false">IF(OR(AF275="",$D$6=""),"",IF(LEFT(INDEX($A275:$AD275,1,$D$6),LEN(Inputs!$C$30))=Inputs!$C$30,INDEX($A275:$AD275,1,$D$6),""))</f>
        <v/>
      </c>
      <c r="AH275" s="30" t="str">
        <f aca="false">IF(OR(AF275="",$D$7=""),"",TRIM(IFERROR(LEFT(INDEX($A275:$AD275,1,$D$7),FIND(",",INDEX($A275:$AD275,1,$D$7))-1),INDEX($A275:$AD275,1,$D$7))))</f>
        <v/>
      </c>
      <c r="AI275" s="36" t="n">
        <f aca="false">IF(OR(AF275="",$D$5=""),0,IFERROR(IF(ISNUMBER(INDEX($A275:$AD275,1,$D$5)),INDEX($A275:$AD275,1,$D$5),TIMEVALUE(INDEX($A275:$AD275,1,$D$5)))*Inputs!$C$22,0))</f>
        <v>0</v>
      </c>
    </row>
    <row r="276" customFormat="false" ht="15" hidden="false" customHeight="false" outlineLevel="0" collapsed="false">
      <c r="AF276" s="18" t="str">
        <f aca="false">IF($D$4="","",IF(INDEX($A276:$AD276,1,$D$4)="","",IF(ISNUMBER(INDEX($A276:$AD276,1,$D$4)),INDEX($A276:$AD276,1,$D$4),IFERROR(DATEVALUE(INDEX($A276:$AD276,1,$D$4)),""))))</f>
        <v/>
      </c>
      <c r="AG276" s="30" t="str">
        <f aca="false">IF(OR(AF276="",$D$6=""),"",IF(LEFT(INDEX($A276:$AD276,1,$D$6),LEN(Inputs!$C$30))=Inputs!$C$30,INDEX($A276:$AD276,1,$D$6),""))</f>
        <v/>
      </c>
      <c r="AH276" s="30" t="str">
        <f aca="false">IF(OR(AF276="",$D$7=""),"",TRIM(IFERROR(LEFT(INDEX($A276:$AD276,1,$D$7),FIND(",",INDEX($A276:$AD276,1,$D$7))-1),INDEX($A276:$AD276,1,$D$7))))</f>
        <v/>
      </c>
      <c r="AI276" s="36" t="n">
        <f aca="false">IF(OR(AF276="",$D$5=""),0,IFERROR(IF(ISNUMBER(INDEX($A276:$AD276,1,$D$5)),INDEX($A276:$AD276,1,$D$5),TIMEVALUE(INDEX($A276:$AD276,1,$D$5)))*Inputs!$C$22,0))</f>
        <v>0</v>
      </c>
    </row>
    <row r="277" customFormat="false" ht="15" hidden="false" customHeight="false" outlineLevel="0" collapsed="false">
      <c r="AF277" s="18" t="str">
        <f aca="false">IF($D$4="","",IF(INDEX($A277:$AD277,1,$D$4)="","",IF(ISNUMBER(INDEX($A277:$AD277,1,$D$4)),INDEX($A277:$AD277,1,$D$4),IFERROR(DATEVALUE(INDEX($A277:$AD277,1,$D$4)),""))))</f>
        <v/>
      </c>
      <c r="AG277" s="30" t="str">
        <f aca="false">IF(OR(AF277="",$D$6=""),"",IF(LEFT(INDEX($A277:$AD277,1,$D$6),LEN(Inputs!$C$30))=Inputs!$C$30,INDEX($A277:$AD277,1,$D$6),""))</f>
        <v/>
      </c>
      <c r="AH277" s="30" t="str">
        <f aca="false">IF(OR(AF277="",$D$7=""),"",TRIM(IFERROR(LEFT(INDEX($A277:$AD277,1,$D$7),FIND(",",INDEX($A277:$AD277,1,$D$7))-1),INDEX($A277:$AD277,1,$D$7))))</f>
        <v/>
      </c>
      <c r="AI277" s="36" t="n">
        <f aca="false">IF(OR(AF277="",$D$5=""),0,IFERROR(IF(ISNUMBER(INDEX($A277:$AD277,1,$D$5)),INDEX($A277:$AD277,1,$D$5),TIMEVALUE(INDEX($A277:$AD277,1,$D$5)))*Inputs!$C$22,0))</f>
        <v>0</v>
      </c>
    </row>
    <row r="278" customFormat="false" ht="15" hidden="false" customHeight="false" outlineLevel="0" collapsed="false">
      <c r="AF278" s="18" t="str">
        <f aca="false">IF($D$4="","",IF(INDEX($A278:$AD278,1,$D$4)="","",IF(ISNUMBER(INDEX($A278:$AD278,1,$D$4)),INDEX($A278:$AD278,1,$D$4),IFERROR(DATEVALUE(INDEX($A278:$AD278,1,$D$4)),""))))</f>
        <v/>
      </c>
      <c r="AG278" s="30" t="str">
        <f aca="false">IF(OR(AF278="",$D$6=""),"",IF(LEFT(INDEX($A278:$AD278,1,$D$6),LEN(Inputs!$C$30))=Inputs!$C$30,INDEX($A278:$AD278,1,$D$6),""))</f>
        <v/>
      </c>
      <c r="AH278" s="30" t="str">
        <f aca="false">IF(OR(AF278="",$D$7=""),"",TRIM(IFERROR(LEFT(INDEX($A278:$AD278,1,$D$7),FIND(",",INDEX($A278:$AD278,1,$D$7))-1),INDEX($A278:$AD278,1,$D$7))))</f>
        <v/>
      </c>
      <c r="AI278" s="36" t="n">
        <f aca="false">IF(OR(AF278="",$D$5=""),0,IFERROR(IF(ISNUMBER(INDEX($A278:$AD278,1,$D$5)),INDEX($A278:$AD278,1,$D$5),TIMEVALUE(INDEX($A278:$AD278,1,$D$5)))*Inputs!$C$22,0))</f>
        <v>0</v>
      </c>
    </row>
    <row r="279" customFormat="false" ht="15" hidden="false" customHeight="false" outlineLevel="0" collapsed="false">
      <c r="AF279" s="18" t="str">
        <f aca="false">IF($D$4="","",IF(INDEX($A279:$AD279,1,$D$4)="","",IF(ISNUMBER(INDEX($A279:$AD279,1,$D$4)),INDEX($A279:$AD279,1,$D$4),IFERROR(DATEVALUE(INDEX($A279:$AD279,1,$D$4)),""))))</f>
        <v/>
      </c>
      <c r="AG279" s="30" t="str">
        <f aca="false">IF(OR(AF279="",$D$6=""),"",IF(LEFT(INDEX($A279:$AD279,1,$D$6),LEN(Inputs!$C$30))=Inputs!$C$30,INDEX($A279:$AD279,1,$D$6),""))</f>
        <v/>
      </c>
      <c r="AH279" s="30" t="str">
        <f aca="false">IF(OR(AF279="",$D$7=""),"",TRIM(IFERROR(LEFT(INDEX($A279:$AD279,1,$D$7),FIND(",",INDEX($A279:$AD279,1,$D$7))-1),INDEX($A279:$AD279,1,$D$7))))</f>
        <v/>
      </c>
      <c r="AI279" s="36" t="n">
        <f aca="false">IF(OR(AF279="",$D$5=""),0,IFERROR(IF(ISNUMBER(INDEX($A279:$AD279,1,$D$5)),INDEX($A279:$AD279,1,$D$5),TIMEVALUE(INDEX($A279:$AD279,1,$D$5)))*Inputs!$C$22,0))</f>
        <v>0</v>
      </c>
    </row>
    <row r="280" customFormat="false" ht="15" hidden="false" customHeight="false" outlineLevel="0" collapsed="false">
      <c r="AF280" s="18" t="str">
        <f aca="false">IF($D$4="","",IF(INDEX($A280:$AD280,1,$D$4)="","",IF(ISNUMBER(INDEX($A280:$AD280,1,$D$4)),INDEX($A280:$AD280,1,$D$4),IFERROR(DATEVALUE(INDEX($A280:$AD280,1,$D$4)),""))))</f>
        <v/>
      </c>
      <c r="AG280" s="30" t="str">
        <f aca="false">IF(OR(AF280="",$D$6=""),"",IF(LEFT(INDEX($A280:$AD280,1,$D$6),LEN(Inputs!$C$30))=Inputs!$C$30,INDEX($A280:$AD280,1,$D$6),""))</f>
        <v/>
      </c>
      <c r="AH280" s="30" t="str">
        <f aca="false">IF(OR(AF280="",$D$7=""),"",TRIM(IFERROR(LEFT(INDEX($A280:$AD280,1,$D$7),FIND(",",INDEX($A280:$AD280,1,$D$7))-1),INDEX($A280:$AD280,1,$D$7))))</f>
        <v/>
      </c>
      <c r="AI280" s="36" t="n">
        <f aca="false">IF(OR(AF280="",$D$5=""),0,IFERROR(IF(ISNUMBER(INDEX($A280:$AD280,1,$D$5)),INDEX($A280:$AD280,1,$D$5),TIMEVALUE(INDEX($A280:$AD280,1,$D$5)))*Inputs!$C$22,0))</f>
        <v>0</v>
      </c>
    </row>
    <row r="281" customFormat="false" ht="15" hidden="false" customHeight="false" outlineLevel="0" collapsed="false">
      <c r="AF281" s="18" t="str">
        <f aca="false">IF($D$4="","",IF(INDEX($A281:$AD281,1,$D$4)="","",IF(ISNUMBER(INDEX($A281:$AD281,1,$D$4)),INDEX($A281:$AD281,1,$D$4),IFERROR(DATEVALUE(INDEX($A281:$AD281,1,$D$4)),""))))</f>
        <v/>
      </c>
      <c r="AG281" s="30" t="str">
        <f aca="false">IF(OR(AF281="",$D$6=""),"",IF(LEFT(INDEX($A281:$AD281,1,$D$6),LEN(Inputs!$C$30))=Inputs!$C$30,INDEX($A281:$AD281,1,$D$6),""))</f>
        <v/>
      </c>
      <c r="AH281" s="30" t="str">
        <f aca="false">IF(OR(AF281="",$D$7=""),"",TRIM(IFERROR(LEFT(INDEX($A281:$AD281,1,$D$7),FIND(",",INDEX($A281:$AD281,1,$D$7))-1),INDEX($A281:$AD281,1,$D$7))))</f>
        <v/>
      </c>
      <c r="AI281" s="36" t="n">
        <f aca="false">IF(OR(AF281="",$D$5=""),0,IFERROR(IF(ISNUMBER(INDEX($A281:$AD281,1,$D$5)),INDEX($A281:$AD281,1,$D$5),TIMEVALUE(INDEX($A281:$AD281,1,$D$5)))*Inputs!$C$22,0))</f>
        <v>0</v>
      </c>
    </row>
    <row r="282" customFormat="false" ht="15" hidden="false" customHeight="false" outlineLevel="0" collapsed="false">
      <c r="AF282" s="18" t="str">
        <f aca="false">IF($D$4="","",IF(INDEX($A282:$AD282,1,$D$4)="","",IF(ISNUMBER(INDEX($A282:$AD282,1,$D$4)),INDEX($A282:$AD282,1,$D$4),IFERROR(DATEVALUE(INDEX($A282:$AD282,1,$D$4)),""))))</f>
        <v/>
      </c>
      <c r="AG282" s="30" t="str">
        <f aca="false">IF(OR(AF282="",$D$6=""),"",IF(LEFT(INDEX($A282:$AD282,1,$D$6),LEN(Inputs!$C$30))=Inputs!$C$30,INDEX($A282:$AD282,1,$D$6),""))</f>
        <v/>
      </c>
      <c r="AH282" s="30" t="str">
        <f aca="false">IF(OR(AF282="",$D$7=""),"",TRIM(IFERROR(LEFT(INDEX($A282:$AD282,1,$D$7),FIND(",",INDEX($A282:$AD282,1,$D$7))-1),INDEX($A282:$AD282,1,$D$7))))</f>
        <v/>
      </c>
      <c r="AI282" s="36" t="n">
        <f aca="false">IF(OR(AF282="",$D$5=""),0,IFERROR(IF(ISNUMBER(INDEX($A282:$AD282,1,$D$5)),INDEX($A282:$AD282,1,$D$5),TIMEVALUE(INDEX($A282:$AD282,1,$D$5)))*Inputs!$C$22,0))</f>
        <v>0</v>
      </c>
    </row>
    <row r="283" customFormat="false" ht="15" hidden="false" customHeight="false" outlineLevel="0" collapsed="false">
      <c r="AF283" s="18" t="str">
        <f aca="false">IF($D$4="","",IF(INDEX($A283:$AD283,1,$D$4)="","",IF(ISNUMBER(INDEX($A283:$AD283,1,$D$4)),INDEX($A283:$AD283,1,$D$4),IFERROR(DATEVALUE(INDEX($A283:$AD283,1,$D$4)),""))))</f>
        <v/>
      </c>
      <c r="AG283" s="30" t="str">
        <f aca="false">IF(OR(AF283="",$D$6=""),"",IF(LEFT(INDEX($A283:$AD283,1,$D$6),LEN(Inputs!$C$30))=Inputs!$C$30,INDEX($A283:$AD283,1,$D$6),""))</f>
        <v/>
      </c>
      <c r="AH283" s="30" t="str">
        <f aca="false">IF(OR(AF283="",$D$7=""),"",TRIM(IFERROR(LEFT(INDEX($A283:$AD283,1,$D$7),FIND(",",INDEX($A283:$AD283,1,$D$7))-1),INDEX($A283:$AD283,1,$D$7))))</f>
        <v/>
      </c>
      <c r="AI283" s="36" t="n">
        <f aca="false">IF(OR(AF283="",$D$5=""),0,IFERROR(IF(ISNUMBER(INDEX($A283:$AD283,1,$D$5)),INDEX($A283:$AD283,1,$D$5),TIMEVALUE(INDEX($A283:$AD283,1,$D$5)))*Inputs!$C$22,0))</f>
        <v>0</v>
      </c>
    </row>
    <row r="284" customFormat="false" ht="15" hidden="false" customHeight="false" outlineLevel="0" collapsed="false">
      <c r="AF284" s="18" t="str">
        <f aca="false">IF($D$4="","",IF(INDEX($A284:$AD284,1,$D$4)="","",IF(ISNUMBER(INDEX($A284:$AD284,1,$D$4)),INDEX($A284:$AD284,1,$D$4),IFERROR(DATEVALUE(INDEX($A284:$AD284,1,$D$4)),""))))</f>
        <v/>
      </c>
      <c r="AG284" s="30" t="str">
        <f aca="false">IF(OR(AF284="",$D$6=""),"",IF(LEFT(INDEX($A284:$AD284,1,$D$6),LEN(Inputs!$C$30))=Inputs!$C$30,INDEX($A284:$AD284,1,$D$6),""))</f>
        <v/>
      </c>
      <c r="AH284" s="30" t="str">
        <f aca="false">IF(OR(AF284="",$D$7=""),"",TRIM(IFERROR(LEFT(INDEX($A284:$AD284,1,$D$7),FIND(",",INDEX($A284:$AD284,1,$D$7))-1),INDEX($A284:$AD284,1,$D$7))))</f>
        <v/>
      </c>
      <c r="AI284" s="36" t="n">
        <f aca="false">IF(OR(AF284="",$D$5=""),0,IFERROR(IF(ISNUMBER(INDEX($A284:$AD284,1,$D$5)),INDEX($A284:$AD284,1,$D$5),TIMEVALUE(INDEX($A284:$AD284,1,$D$5)))*Inputs!$C$22,0))</f>
        <v>0</v>
      </c>
    </row>
    <row r="285" customFormat="false" ht="15" hidden="false" customHeight="false" outlineLevel="0" collapsed="false">
      <c r="AF285" s="18" t="str">
        <f aca="false">IF($D$4="","",IF(INDEX($A285:$AD285,1,$D$4)="","",IF(ISNUMBER(INDEX($A285:$AD285,1,$D$4)),INDEX($A285:$AD285,1,$D$4),IFERROR(DATEVALUE(INDEX($A285:$AD285,1,$D$4)),""))))</f>
        <v/>
      </c>
      <c r="AG285" s="30" t="str">
        <f aca="false">IF(OR(AF285="",$D$6=""),"",IF(LEFT(INDEX($A285:$AD285,1,$D$6),LEN(Inputs!$C$30))=Inputs!$C$30,INDEX($A285:$AD285,1,$D$6),""))</f>
        <v/>
      </c>
      <c r="AH285" s="30" t="str">
        <f aca="false">IF(OR(AF285="",$D$7=""),"",TRIM(IFERROR(LEFT(INDEX($A285:$AD285,1,$D$7),FIND(",",INDEX($A285:$AD285,1,$D$7))-1),INDEX($A285:$AD285,1,$D$7))))</f>
        <v/>
      </c>
      <c r="AI285" s="36" t="n">
        <f aca="false">IF(OR(AF285="",$D$5=""),0,IFERROR(IF(ISNUMBER(INDEX($A285:$AD285,1,$D$5)),INDEX($A285:$AD285,1,$D$5),TIMEVALUE(INDEX($A285:$AD285,1,$D$5)))*Inputs!$C$22,0))</f>
        <v>0</v>
      </c>
    </row>
    <row r="286" customFormat="false" ht="15" hidden="false" customHeight="false" outlineLevel="0" collapsed="false">
      <c r="AF286" s="18" t="str">
        <f aca="false">IF($D$4="","",IF(INDEX($A286:$AD286,1,$D$4)="","",IF(ISNUMBER(INDEX($A286:$AD286,1,$D$4)),INDEX($A286:$AD286,1,$D$4),IFERROR(DATEVALUE(INDEX($A286:$AD286,1,$D$4)),""))))</f>
        <v/>
      </c>
      <c r="AG286" s="30" t="str">
        <f aca="false">IF(OR(AF286="",$D$6=""),"",IF(LEFT(INDEX($A286:$AD286,1,$D$6),LEN(Inputs!$C$30))=Inputs!$C$30,INDEX($A286:$AD286,1,$D$6),""))</f>
        <v/>
      </c>
      <c r="AH286" s="30" t="str">
        <f aca="false">IF(OR(AF286="",$D$7=""),"",TRIM(IFERROR(LEFT(INDEX($A286:$AD286,1,$D$7),FIND(",",INDEX($A286:$AD286,1,$D$7))-1),INDEX($A286:$AD286,1,$D$7))))</f>
        <v/>
      </c>
      <c r="AI286" s="36" t="n">
        <f aca="false">IF(OR(AF286="",$D$5=""),0,IFERROR(IF(ISNUMBER(INDEX($A286:$AD286,1,$D$5)),INDEX($A286:$AD286,1,$D$5),TIMEVALUE(INDEX($A286:$AD286,1,$D$5)))*Inputs!$C$22,0))</f>
        <v>0</v>
      </c>
    </row>
    <row r="287" customFormat="false" ht="15" hidden="false" customHeight="false" outlineLevel="0" collapsed="false">
      <c r="AF287" s="18" t="str">
        <f aca="false">IF($D$4="","",IF(INDEX($A287:$AD287,1,$D$4)="","",IF(ISNUMBER(INDEX($A287:$AD287,1,$D$4)),INDEX($A287:$AD287,1,$D$4),IFERROR(DATEVALUE(INDEX($A287:$AD287,1,$D$4)),""))))</f>
        <v/>
      </c>
      <c r="AG287" s="30" t="str">
        <f aca="false">IF(OR(AF287="",$D$6=""),"",IF(LEFT(INDEX($A287:$AD287,1,$D$6),LEN(Inputs!$C$30))=Inputs!$C$30,INDEX($A287:$AD287,1,$D$6),""))</f>
        <v/>
      </c>
      <c r="AH287" s="30" t="str">
        <f aca="false">IF(OR(AF287="",$D$7=""),"",TRIM(IFERROR(LEFT(INDEX($A287:$AD287,1,$D$7),FIND(",",INDEX($A287:$AD287,1,$D$7))-1),INDEX($A287:$AD287,1,$D$7))))</f>
        <v/>
      </c>
      <c r="AI287" s="36" t="n">
        <f aca="false">IF(OR(AF287="",$D$5=""),0,IFERROR(IF(ISNUMBER(INDEX($A287:$AD287,1,$D$5)),INDEX($A287:$AD287,1,$D$5),TIMEVALUE(INDEX($A287:$AD287,1,$D$5)))*Inputs!$C$22,0))</f>
        <v>0</v>
      </c>
    </row>
    <row r="288" customFormat="false" ht="15" hidden="false" customHeight="false" outlineLevel="0" collapsed="false">
      <c r="AF288" s="18" t="str">
        <f aca="false">IF($D$4="","",IF(INDEX($A288:$AD288,1,$D$4)="","",IF(ISNUMBER(INDEX($A288:$AD288,1,$D$4)),INDEX($A288:$AD288,1,$D$4),IFERROR(DATEVALUE(INDEX($A288:$AD288,1,$D$4)),""))))</f>
        <v/>
      </c>
      <c r="AG288" s="30" t="str">
        <f aca="false">IF(OR(AF288="",$D$6=""),"",IF(LEFT(INDEX($A288:$AD288,1,$D$6),LEN(Inputs!$C$30))=Inputs!$C$30,INDEX($A288:$AD288,1,$D$6),""))</f>
        <v/>
      </c>
      <c r="AH288" s="30" t="str">
        <f aca="false">IF(OR(AF288="",$D$7=""),"",TRIM(IFERROR(LEFT(INDEX($A288:$AD288,1,$D$7),FIND(",",INDEX($A288:$AD288,1,$D$7))-1),INDEX($A288:$AD288,1,$D$7))))</f>
        <v/>
      </c>
      <c r="AI288" s="36" t="n">
        <f aca="false">IF(OR(AF288="",$D$5=""),0,IFERROR(IF(ISNUMBER(INDEX($A288:$AD288,1,$D$5)),INDEX($A288:$AD288,1,$D$5),TIMEVALUE(INDEX($A288:$AD288,1,$D$5)))*Inputs!$C$22,0))</f>
        <v>0</v>
      </c>
    </row>
    <row r="289" customFormat="false" ht="15" hidden="false" customHeight="false" outlineLevel="0" collapsed="false">
      <c r="AF289" s="18" t="str">
        <f aca="false">IF($D$4="","",IF(INDEX($A289:$AD289,1,$D$4)="","",IF(ISNUMBER(INDEX($A289:$AD289,1,$D$4)),INDEX($A289:$AD289,1,$D$4),IFERROR(DATEVALUE(INDEX($A289:$AD289,1,$D$4)),""))))</f>
        <v/>
      </c>
      <c r="AG289" s="30" t="str">
        <f aca="false">IF(OR(AF289="",$D$6=""),"",IF(LEFT(INDEX($A289:$AD289,1,$D$6),LEN(Inputs!$C$30))=Inputs!$C$30,INDEX($A289:$AD289,1,$D$6),""))</f>
        <v/>
      </c>
      <c r="AH289" s="30" t="str">
        <f aca="false">IF(OR(AF289="",$D$7=""),"",TRIM(IFERROR(LEFT(INDEX($A289:$AD289,1,$D$7),FIND(",",INDEX($A289:$AD289,1,$D$7))-1),INDEX($A289:$AD289,1,$D$7))))</f>
        <v/>
      </c>
      <c r="AI289" s="36" t="n">
        <f aca="false">IF(OR(AF289="",$D$5=""),0,IFERROR(IF(ISNUMBER(INDEX($A289:$AD289,1,$D$5)),INDEX($A289:$AD289,1,$D$5),TIMEVALUE(INDEX($A289:$AD289,1,$D$5)))*Inputs!$C$22,0))</f>
        <v>0</v>
      </c>
    </row>
    <row r="290" customFormat="false" ht="15" hidden="false" customHeight="false" outlineLevel="0" collapsed="false">
      <c r="AF290" s="18" t="str">
        <f aca="false">IF($D$4="","",IF(INDEX($A290:$AD290,1,$D$4)="","",IF(ISNUMBER(INDEX($A290:$AD290,1,$D$4)),INDEX($A290:$AD290,1,$D$4),IFERROR(DATEVALUE(INDEX($A290:$AD290,1,$D$4)),""))))</f>
        <v/>
      </c>
      <c r="AG290" s="30" t="str">
        <f aca="false">IF(OR(AF290="",$D$6=""),"",IF(LEFT(INDEX($A290:$AD290,1,$D$6),LEN(Inputs!$C$30))=Inputs!$C$30,INDEX($A290:$AD290,1,$D$6),""))</f>
        <v/>
      </c>
      <c r="AH290" s="30" t="str">
        <f aca="false">IF(OR(AF290="",$D$7=""),"",TRIM(IFERROR(LEFT(INDEX($A290:$AD290,1,$D$7),FIND(",",INDEX($A290:$AD290,1,$D$7))-1),INDEX($A290:$AD290,1,$D$7))))</f>
        <v/>
      </c>
      <c r="AI290" s="36" t="n">
        <f aca="false">IF(OR(AF290="",$D$5=""),0,IFERROR(IF(ISNUMBER(INDEX($A290:$AD290,1,$D$5)),INDEX($A290:$AD290,1,$D$5),TIMEVALUE(INDEX($A290:$AD290,1,$D$5)))*Inputs!$C$22,0))</f>
        <v>0</v>
      </c>
    </row>
    <row r="291" customFormat="false" ht="15" hidden="false" customHeight="false" outlineLevel="0" collapsed="false">
      <c r="AF291" s="18" t="str">
        <f aca="false">IF($D$4="","",IF(INDEX($A291:$AD291,1,$D$4)="","",IF(ISNUMBER(INDEX($A291:$AD291,1,$D$4)),INDEX($A291:$AD291,1,$D$4),IFERROR(DATEVALUE(INDEX($A291:$AD291,1,$D$4)),""))))</f>
        <v/>
      </c>
      <c r="AG291" s="30" t="str">
        <f aca="false">IF(OR(AF291="",$D$6=""),"",IF(LEFT(INDEX($A291:$AD291,1,$D$6),LEN(Inputs!$C$30))=Inputs!$C$30,INDEX($A291:$AD291,1,$D$6),""))</f>
        <v/>
      </c>
      <c r="AH291" s="30" t="str">
        <f aca="false">IF(OR(AF291="",$D$7=""),"",TRIM(IFERROR(LEFT(INDEX($A291:$AD291,1,$D$7),FIND(",",INDEX($A291:$AD291,1,$D$7))-1),INDEX($A291:$AD291,1,$D$7))))</f>
        <v/>
      </c>
      <c r="AI291" s="36" t="n">
        <f aca="false">IF(OR(AF291="",$D$5=""),0,IFERROR(IF(ISNUMBER(INDEX($A291:$AD291,1,$D$5)),INDEX($A291:$AD291,1,$D$5),TIMEVALUE(INDEX($A291:$AD291,1,$D$5)))*Inputs!$C$22,0))</f>
        <v>0</v>
      </c>
    </row>
    <row r="292" customFormat="false" ht="15" hidden="false" customHeight="false" outlineLevel="0" collapsed="false">
      <c r="AF292" s="18" t="str">
        <f aca="false">IF($D$4="","",IF(INDEX($A292:$AD292,1,$D$4)="","",IF(ISNUMBER(INDEX($A292:$AD292,1,$D$4)),INDEX($A292:$AD292,1,$D$4),IFERROR(DATEVALUE(INDEX($A292:$AD292,1,$D$4)),""))))</f>
        <v/>
      </c>
      <c r="AG292" s="30" t="str">
        <f aca="false">IF(OR(AF292="",$D$6=""),"",IF(LEFT(INDEX($A292:$AD292,1,$D$6),LEN(Inputs!$C$30))=Inputs!$C$30,INDEX($A292:$AD292,1,$D$6),""))</f>
        <v/>
      </c>
      <c r="AH292" s="30" t="str">
        <f aca="false">IF(OR(AF292="",$D$7=""),"",TRIM(IFERROR(LEFT(INDEX($A292:$AD292,1,$D$7),FIND(",",INDEX($A292:$AD292,1,$D$7))-1),INDEX($A292:$AD292,1,$D$7))))</f>
        <v/>
      </c>
      <c r="AI292" s="36" t="n">
        <f aca="false">IF(OR(AF292="",$D$5=""),0,IFERROR(IF(ISNUMBER(INDEX($A292:$AD292,1,$D$5)),INDEX($A292:$AD292,1,$D$5),TIMEVALUE(INDEX($A292:$AD292,1,$D$5)))*Inputs!$C$22,0))</f>
        <v>0</v>
      </c>
    </row>
    <row r="293" customFormat="false" ht="15" hidden="false" customHeight="false" outlineLevel="0" collapsed="false">
      <c r="AF293" s="18" t="str">
        <f aca="false">IF($D$4="","",IF(INDEX($A293:$AD293,1,$D$4)="","",IF(ISNUMBER(INDEX($A293:$AD293,1,$D$4)),INDEX($A293:$AD293,1,$D$4),IFERROR(DATEVALUE(INDEX($A293:$AD293,1,$D$4)),""))))</f>
        <v/>
      </c>
      <c r="AG293" s="30" t="str">
        <f aca="false">IF(OR(AF293="",$D$6=""),"",IF(LEFT(INDEX($A293:$AD293,1,$D$6),LEN(Inputs!$C$30))=Inputs!$C$30,INDEX($A293:$AD293,1,$D$6),""))</f>
        <v/>
      </c>
      <c r="AH293" s="30" t="str">
        <f aca="false">IF(OR(AF293="",$D$7=""),"",TRIM(IFERROR(LEFT(INDEX($A293:$AD293,1,$D$7),FIND(",",INDEX($A293:$AD293,1,$D$7))-1),INDEX($A293:$AD293,1,$D$7))))</f>
        <v/>
      </c>
      <c r="AI293" s="36" t="n">
        <f aca="false">IF(OR(AF293="",$D$5=""),0,IFERROR(IF(ISNUMBER(INDEX($A293:$AD293,1,$D$5)),INDEX($A293:$AD293,1,$D$5),TIMEVALUE(INDEX($A293:$AD293,1,$D$5)))*Inputs!$C$22,0))</f>
        <v>0</v>
      </c>
    </row>
    <row r="294" customFormat="false" ht="15" hidden="false" customHeight="false" outlineLevel="0" collapsed="false">
      <c r="AF294" s="18" t="str">
        <f aca="false">IF($D$4="","",IF(INDEX($A294:$AD294,1,$D$4)="","",IF(ISNUMBER(INDEX($A294:$AD294,1,$D$4)),INDEX($A294:$AD294,1,$D$4),IFERROR(DATEVALUE(INDEX($A294:$AD294,1,$D$4)),""))))</f>
        <v/>
      </c>
      <c r="AG294" s="30" t="str">
        <f aca="false">IF(OR(AF294="",$D$6=""),"",IF(LEFT(INDEX($A294:$AD294,1,$D$6),LEN(Inputs!$C$30))=Inputs!$C$30,INDEX($A294:$AD294,1,$D$6),""))</f>
        <v/>
      </c>
      <c r="AH294" s="30" t="str">
        <f aca="false">IF(OR(AF294="",$D$7=""),"",TRIM(IFERROR(LEFT(INDEX($A294:$AD294,1,$D$7),FIND(",",INDEX($A294:$AD294,1,$D$7))-1),INDEX($A294:$AD294,1,$D$7))))</f>
        <v/>
      </c>
      <c r="AI294" s="36" t="n">
        <f aca="false">IF(OR(AF294="",$D$5=""),0,IFERROR(IF(ISNUMBER(INDEX($A294:$AD294,1,$D$5)),INDEX($A294:$AD294,1,$D$5),TIMEVALUE(INDEX($A294:$AD294,1,$D$5)))*Inputs!$C$22,0))</f>
        <v>0</v>
      </c>
    </row>
    <row r="295" customFormat="false" ht="15" hidden="false" customHeight="false" outlineLevel="0" collapsed="false">
      <c r="AF295" s="18" t="str">
        <f aca="false">IF($D$4="","",IF(INDEX($A295:$AD295,1,$D$4)="","",IF(ISNUMBER(INDEX($A295:$AD295,1,$D$4)),INDEX($A295:$AD295,1,$D$4),IFERROR(DATEVALUE(INDEX($A295:$AD295,1,$D$4)),""))))</f>
        <v/>
      </c>
      <c r="AG295" s="30" t="str">
        <f aca="false">IF(OR(AF295="",$D$6=""),"",IF(LEFT(INDEX($A295:$AD295,1,$D$6),LEN(Inputs!$C$30))=Inputs!$C$30,INDEX($A295:$AD295,1,$D$6),""))</f>
        <v/>
      </c>
      <c r="AH295" s="30" t="str">
        <f aca="false">IF(OR(AF295="",$D$7=""),"",TRIM(IFERROR(LEFT(INDEX($A295:$AD295,1,$D$7),FIND(",",INDEX($A295:$AD295,1,$D$7))-1),INDEX($A295:$AD295,1,$D$7))))</f>
        <v/>
      </c>
      <c r="AI295" s="36" t="n">
        <f aca="false">IF(OR(AF295="",$D$5=""),0,IFERROR(IF(ISNUMBER(INDEX($A295:$AD295,1,$D$5)),INDEX($A295:$AD295,1,$D$5),TIMEVALUE(INDEX($A295:$AD295,1,$D$5)))*Inputs!$C$22,0))</f>
        <v>0</v>
      </c>
    </row>
    <row r="296" customFormat="false" ht="15" hidden="false" customHeight="false" outlineLevel="0" collapsed="false">
      <c r="AF296" s="18" t="str">
        <f aca="false">IF($D$4="","",IF(INDEX($A296:$AD296,1,$D$4)="","",IF(ISNUMBER(INDEX($A296:$AD296,1,$D$4)),INDEX($A296:$AD296,1,$D$4),IFERROR(DATEVALUE(INDEX($A296:$AD296,1,$D$4)),""))))</f>
        <v/>
      </c>
      <c r="AG296" s="30" t="str">
        <f aca="false">IF(OR(AF296="",$D$6=""),"",IF(LEFT(INDEX($A296:$AD296,1,$D$6),LEN(Inputs!$C$30))=Inputs!$C$30,INDEX($A296:$AD296,1,$D$6),""))</f>
        <v/>
      </c>
      <c r="AH296" s="30" t="str">
        <f aca="false">IF(OR(AF296="",$D$7=""),"",TRIM(IFERROR(LEFT(INDEX($A296:$AD296,1,$D$7),FIND(",",INDEX($A296:$AD296,1,$D$7))-1),INDEX($A296:$AD296,1,$D$7))))</f>
        <v/>
      </c>
      <c r="AI296" s="36" t="n">
        <f aca="false">IF(OR(AF296="",$D$5=""),0,IFERROR(IF(ISNUMBER(INDEX($A296:$AD296,1,$D$5)),INDEX($A296:$AD296,1,$D$5),TIMEVALUE(INDEX($A296:$AD296,1,$D$5)))*Inputs!$C$22,0))</f>
        <v>0</v>
      </c>
    </row>
    <row r="297" customFormat="false" ht="15" hidden="false" customHeight="false" outlineLevel="0" collapsed="false">
      <c r="AF297" s="18" t="str">
        <f aca="false">IF($D$4="","",IF(INDEX($A297:$AD297,1,$D$4)="","",IF(ISNUMBER(INDEX($A297:$AD297,1,$D$4)),INDEX($A297:$AD297,1,$D$4),IFERROR(DATEVALUE(INDEX($A297:$AD297,1,$D$4)),""))))</f>
        <v/>
      </c>
      <c r="AG297" s="30" t="str">
        <f aca="false">IF(OR(AF297="",$D$6=""),"",IF(LEFT(INDEX($A297:$AD297,1,$D$6),LEN(Inputs!$C$30))=Inputs!$C$30,INDEX($A297:$AD297,1,$D$6),""))</f>
        <v/>
      </c>
      <c r="AH297" s="30" t="str">
        <f aca="false">IF(OR(AF297="",$D$7=""),"",TRIM(IFERROR(LEFT(INDEX($A297:$AD297,1,$D$7),FIND(",",INDEX($A297:$AD297,1,$D$7))-1),INDEX($A297:$AD297,1,$D$7))))</f>
        <v/>
      </c>
      <c r="AI297" s="36" t="n">
        <f aca="false">IF(OR(AF297="",$D$5=""),0,IFERROR(IF(ISNUMBER(INDEX($A297:$AD297,1,$D$5)),INDEX($A297:$AD297,1,$D$5),TIMEVALUE(INDEX($A297:$AD297,1,$D$5)))*Inputs!$C$22,0))</f>
        <v>0</v>
      </c>
    </row>
    <row r="298" customFormat="false" ht="15" hidden="false" customHeight="false" outlineLevel="0" collapsed="false">
      <c r="AF298" s="18" t="str">
        <f aca="false">IF($D$4="","",IF(INDEX($A298:$AD298,1,$D$4)="","",IF(ISNUMBER(INDEX($A298:$AD298,1,$D$4)),INDEX($A298:$AD298,1,$D$4),IFERROR(DATEVALUE(INDEX($A298:$AD298,1,$D$4)),""))))</f>
        <v/>
      </c>
      <c r="AG298" s="30" t="str">
        <f aca="false">IF(OR(AF298="",$D$6=""),"",IF(LEFT(INDEX($A298:$AD298,1,$D$6),LEN(Inputs!$C$30))=Inputs!$C$30,INDEX($A298:$AD298,1,$D$6),""))</f>
        <v/>
      </c>
      <c r="AH298" s="30" t="str">
        <f aca="false">IF(OR(AF298="",$D$7=""),"",TRIM(IFERROR(LEFT(INDEX($A298:$AD298,1,$D$7),FIND(",",INDEX($A298:$AD298,1,$D$7))-1),INDEX($A298:$AD298,1,$D$7))))</f>
        <v/>
      </c>
      <c r="AI298" s="36" t="n">
        <f aca="false">IF(OR(AF298="",$D$5=""),0,IFERROR(IF(ISNUMBER(INDEX($A298:$AD298,1,$D$5)),INDEX($A298:$AD298,1,$D$5),TIMEVALUE(INDEX($A298:$AD298,1,$D$5)))*Inputs!$C$22,0))</f>
        <v>0</v>
      </c>
    </row>
    <row r="299" customFormat="false" ht="15" hidden="false" customHeight="false" outlineLevel="0" collapsed="false">
      <c r="AF299" s="18" t="str">
        <f aca="false">IF($D$4="","",IF(INDEX($A299:$AD299,1,$D$4)="","",IF(ISNUMBER(INDEX($A299:$AD299,1,$D$4)),INDEX($A299:$AD299,1,$D$4),IFERROR(DATEVALUE(INDEX($A299:$AD299,1,$D$4)),""))))</f>
        <v/>
      </c>
      <c r="AG299" s="30" t="str">
        <f aca="false">IF(OR(AF299="",$D$6=""),"",IF(LEFT(INDEX($A299:$AD299,1,$D$6),LEN(Inputs!$C$30))=Inputs!$C$30,INDEX($A299:$AD299,1,$D$6),""))</f>
        <v/>
      </c>
      <c r="AH299" s="30" t="str">
        <f aca="false">IF(OR(AF299="",$D$7=""),"",TRIM(IFERROR(LEFT(INDEX($A299:$AD299,1,$D$7),FIND(",",INDEX($A299:$AD299,1,$D$7))-1),INDEX($A299:$AD299,1,$D$7))))</f>
        <v/>
      </c>
      <c r="AI299" s="36" t="n">
        <f aca="false">IF(OR(AF299="",$D$5=""),0,IFERROR(IF(ISNUMBER(INDEX($A299:$AD299,1,$D$5)),INDEX($A299:$AD299,1,$D$5),TIMEVALUE(INDEX($A299:$AD299,1,$D$5)))*Inputs!$C$22,0))</f>
        <v>0</v>
      </c>
    </row>
    <row r="300" customFormat="false" ht="15" hidden="false" customHeight="false" outlineLevel="0" collapsed="false">
      <c r="AF300" s="18" t="str">
        <f aca="false">IF($D$4="","",IF(INDEX($A300:$AD300,1,$D$4)="","",IF(ISNUMBER(INDEX($A300:$AD300,1,$D$4)),INDEX($A300:$AD300,1,$D$4),IFERROR(DATEVALUE(INDEX($A300:$AD300,1,$D$4)),""))))</f>
        <v/>
      </c>
      <c r="AG300" s="30" t="str">
        <f aca="false">IF(OR(AF300="",$D$6=""),"",IF(LEFT(INDEX($A300:$AD300,1,$D$6),LEN(Inputs!$C$30))=Inputs!$C$30,INDEX($A300:$AD300,1,$D$6),""))</f>
        <v/>
      </c>
      <c r="AH300" s="30" t="str">
        <f aca="false">IF(OR(AF300="",$D$7=""),"",TRIM(IFERROR(LEFT(INDEX($A300:$AD300,1,$D$7),FIND(",",INDEX($A300:$AD300,1,$D$7))-1),INDEX($A300:$AD300,1,$D$7))))</f>
        <v/>
      </c>
      <c r="AI300" s="36" t="n">
        <f aca="false">IF(OR(AF300="",$D$5=""),0,IFERROR(IF(ISNUMBER(INDEX($A300:$AD300,1,$D$5)),INDEX($A300:$AD300,1,$D$5),TIMEVALUE(INDEX($A300:$AD300,1,$D$5)))*Inputs!$C$22,0))</f>
        <v>0</v>
      </c>
    </row>
    <row r="301" customFormat="false" ht="15" hidden="false" customHeight="false" outlineLevel="0" collapsed="false">
      <c r="AF301" s="18" t="str">
        <f aca="false">IF($D$4="","",IF(INDEX($A301:$AD301,1,$D$4)="","",IF(ISNUMBER(INDEX($A301:$AD301,1,$D$4)),INDEX($A301:$AD301,1,$D$4),IFERROR(DATEVALUE(INDEX($A301:$AD301,1,$D$4)),""))))</f>
        <v/>
      </c>
      <c r="AG301" s="30" t="str">
        <f aca="false">IF(OR(AF301="",$D$6=""),"",IF(LEFT(INDEX($A301:$AD301,1,$D$6),LEN(Inputs!$C$30))=Inputs!$C$30,INDEX($A301:$AD301,1,$D$6),""))</f>
        <v/>
      </c>
      <c r="AH301" s="30" t="str">
        <f aca="false">IF(OR(AF301="",$D$7=""),"",TRIM(IFERROR(LEFT(INDEX($A301:$AD301,1,$D$7),FIND(",",INDEX($A301:$AD301,1,$D$7))-1),INDEX($A301:$AD301,1,$D$7))))</f>
        <v/>
      </c>
      <c r="AI301" s="36" t="n">
        <f aca="false">IF(OR(AF301="",$D$5=""),0,IFERROR(IF(ISNUMBER(INDEX($A301:$AD301,1,$D$5)),INDEX($A301:$AD301,1,$D$5),TIMEVALUE(INDEX($A301:$AD301,1,$D$5)))*Inputs!$C$22,0))</f>
        <v>0</v>
      </c>
    </row>
    <row r="302" customFormat="false" ht="15" hidden="false" customHeight="false" outlineLevel="0" collapsed="false">
      <c r="AF302" s="18" t="str">
        <f aca="false">IF($D$4="","",IF(INDEX($A302:$AD302,1,$D$4)="","",IF(ISNUMBER(INDEX($A302:$AD302,1,$D$4)),INDEX($A302:$AD302,1,$D$4),IFERROR(DATEVALUE(INDEX($A302:$AD302,1,$D$4)),""))))</f>
        <v/>
      </c>
      <c r="AG302" s="30" t="str">
        <f aca="false">IF(OR(AF302="",$D$6=""),"",IF(LEFT(INDEX($A302:$AD302,1,$D$6),LEN(Inputs!$C$30))=Inputs!$C$30,INDEX($A302:$AD302,1,$D$6),""))</f>
        <v/>
      </c>
      <c r="AH302" s="30" t="str">
        <f aca="false">IF(OR(AF302="",$D$7=""),"",TRIM(IFERROR(LEFT(INDEX($A302:$AD302,1,$D$7),FIND(",",INDEX($A302:$AD302,1,$D$7))-1),INDEX($A302:$AD302,1,$D$7))))</f>
        <v/>
      </c>
      <c r="AI302" s="36" t="n">
        <f aca="false">IF(OR(AF302="",$D$5=""),0,IFERROR(IF(ISNUMBER(INDEX($A302:$AD302,1,$D$5)),INDEX($A302:$AD302,1,$D$5),TIMEVALUE(INDEX($A302:$AD302,1,$D$5)))*Inputs!$C$22,0))</f>
        <v>0</v>
      </c>
    </row>
    <row r="303" customFormat="false" ht="15" hidden="false" customHeight="false" outlineLevel="0" collapsed="false">
      <c r="AF303" s="18" t="str">
        <f aca="false">IF($D$4="","",IF(INDEX($A303:$AD303,1,$D$4)="","",IF(ISNUMBER(INDEX($A303:$AD303,1,$D$4)),INDEX($A303:$AD303,1,$D$4),IFERROR(DATEVALUE(INDEX($A303:$AD303,1,$D$4)),""))))</f>
        <v/>
      </c>
      <c r="AG303" s="30" t="str">
        <f aca="false">IF(OR(AF303="",$D$6=""),"",IF(LEFT(INDEX($A303:$AD303,1,$D$6),LEN(Inputs!$C$30))=Inputs!$C$30,INDEX($A303:$AD303,1,$D$6),""))</f>
        <v/>
      </c>
      <c r="AH303" s="30" t="str">
        <f aca="false">IF(OR(AF303="",$D$7=""),"",TRIM(IFERROR(LEFT(INDEX($A303:$AD303,1,$D$7),FIND(",",INDEX($A303:$AD303,1,$D$7))-1),INDEX($A303:$AD303,1,$D$7))))</f>
        <v/>
      </c>
      <c r="AI303" s="36" t="n">
        <f aca="false">IF(OR(AF303="",$D$5=""),0,IFERROR(IF(ISNUMBER(INDEX($A303:$AD303,1,$D$5)),INDEX($A303:$AD303,1,$D$5),TIMEVALUE(INDEX($A303:$AD303,1,$D$5)))*Inputs!$C$22,0))</f>
        <v>0</v>
      </c>
    </row>
    <row r="304" customFormat="false" ht="15" hidden="false" customHeight="false" outlineLevel="0" collapsed="false">
      <c r="AF304" s="18" t="str">
        <f aca="false">IF($D$4="","",IF(INDEX($A304:$AD304,1,$D$4)="","",IF(ISNUMBER(INDEX($A304:$AD304,1,$D$4)),INDEX($A304:$AD304,1,$D$4),IFERROR(DATEVALUE(INDEX($A304:$AD304,1,$D$4)),""))))</f>
        <v/>
      </c>
      <c r="AG304" s="30" t="str">
        <f aca="false">IF(OR(AF304="",$D$6=""),"",IF(LEFT(INDEX($A304:$AD304,1,$D$6),LEN(Inputs!$C$30))=Inputs!$C$30,INDEX($A304:$AD304,1,$D$6),""))</f>
        <v/>
      </c>
      <c r="AH304" s="30" t="str">
        <f aca="false">IF(OR(AF304="",$D$7=""),"",TRIM(IFERROR(LEFT(INDEX($A304:$AD304,1,$D$7),FIND(",",INDEX($A304:$AD304,1,$D$7))-1),INDEX($A304:$AD304,1,$D$7))))</f>
        <v/>
      </c>
      <c r="AI304" s="36" t="n">
        <f aca="false">IF(OR(AF304="",$D$5=""),0,IFERROR(IF(ISNUMBER(INDEX($A304:$AD304,1,$D$5)),INDEX($A304:$AD304,1,$D$5),TIMEVALUE(INDEX($A304:$AD304,1,$D$5)))*Inputs!$C$22,0))</f>
        <v>0</v>
      </c>
    </row>
    <row r="305" customFormat="false" ht="15" hidden="false" customHeight="false" outlineLevel="0" collapsed="false">
      <c r="AF305" s="18" t="str">
        <f aca="false">IF($D$4="","",IF(INDEX($A305:$AD305,1,$D$4)="","",IF(ISNUMBER(INDEX($A305:$AD305,1,$D$4)),INDEX($A305:$AD305,1,$D$4),IFERROR(DATEVALUE(INDEX($A305:$AD305,1,$D$4)),""))))</f>
        <v/>
      </c>
      <c r="AG305" s="30" t="str">
        <f aca="false">IF(OR(AF305="",$D$6=""),"",IF(LEFT(INDEX($A305:$AD305,1,$D$6),LEN(Inputs!$C$30))=Inputs!$C$30,INDEX($A305:$AD305,1,$D$6),""))</f>
        <v/>
      </c>
      <c r="AH305" s="30" t="str">
        <f aca="false">IF(OR(AF305="",$D$7=""),"",TRIM(IFERROR(LEFT(INDEX($A305:$AD305,1,$D$7),FIND(",",INDEX($A305:$AD305,1,$D$7))-1),INDEX($A305:$AD305,1,$D$7))))</f>
        <v/>
      </c>
      <c r="AI305" s="36" t="n">
        <f aca="false">IF(OR(AF305="",$D$5=""),0,IFERROR(IF(ISNUMBER(INDEX($A305:$AD305,1,$D$5)),INDEX($A305:$AD305,1,$D$5),TIMEVALUE(INDEX($A305:$AD305,1,$D$5)))*Inputs!$C$22,0))</f>
        <v>0</v>
      </c>
    </row>
    <row r="306" customFormat="false" ht="15" hidden="false" customHeight="false" outlineLevel="0" collapsed="false">
      <c r="AF306" s="18" t="str">
        <f aca="false">IF($D$4="","",IF(INDEX($A306:$AD306,1,$D$4)="","",IF(ISNUMBER(INDEX($A306:$AD306,1,$D$4)),INDEX($A306:$AD306,1,$D$4),IFERROR(DATEVALUE(INDEX($A306:$AD306,1,$D$4)),""))))</f>
        <v/>
      </c>
      <c r="AG306" s="30" t="str">
        <f aca="false">IF(OR(AF306="",$D$6=""),"",IF(LEFT(INDEX($A306:$AD306,1,$D$6),LEN(Inputs!$C$30))=Inputs!$C$30,INDEX($A306:$AD306,1,$D$6),""))</f>
        <v/>
      </c>
      <c r="AH306" s="30" t="str">
        <f aca="false">IF(OR(AF306="",$D$7=""),"",TRIM(IFERROR(LEFT(INDEX($A306:$AD306,1,$D$7),FIND(",",INDEX($A306:$AD306,1,$D$7))-1),INDEX($A306:$AD306,1,$D$7))))</f>
        <v/>
      </c>
      <c r="AI306" s="36" t="n">
        <f aca="false">IF(OR(AF306="",$D$5=""),0,IFERROR(IF(ISNUMBER(INDEX($A306:$AD306,1,$D$5)),INDEX($A306:$AD306,1,$D$5),TIMEVALUE(INDEX($A306:$AD306,1,$D$5)))*Inputs!$C$22,0))</f>
        <v>0</v>
      </c>
    </row>
    <row r="307" customFormat="false" ht="15" hidden="false" customHeight="false" outlineLevel="0" collapsed="false">
      <c r="AF307" s="18" t="str">
        <f aca="false">IF($D$4="","",IF(INDEX($A307:$AD307,1,$D$4)="","",IF(ISNUMBER(INDEX($A307:$AD307,1,$D$4)),INDEX($A307:$AD307,1,$D$4),IFERROR(DATEVALUE(INDEX($A307:$AD307,1,$D$4)),""))))</f>
        <v/>
      </c>
      <c r="AG307" s="30" t="str">
        <f aca="false">IF(OR(AF307="",$D$6=""),"",IF(LEFT(INDEX($A307:$AD307,1,$D$6),LEN(Inputs!$C$30))=Inputs!$C$30,INDEX($A307:$AD307,1,$D$6),""))</f>
        <v/>
      </c>
      <c r="AH307" s="30" t="str">
        <f aca="false">IF(OR(AF307="",$D$7=""),"",TRIM(IFERROR(LEFT(INDEX($A307:$AD307,1,$D$7),FIND(",",INDEX($A307:$AD307,1,$D$7))-1),INDEX($A307:$AD307,1,$D$7))))</f>
        <v/>
      </c>
      <c r="AI307" s="36" t="n">
        <f aca="false">IF(OR(AF307="",$D$5=""),0,IFERROR(IF(ISNUMBER(INDEX($A307:$AD307,1,$D$5)),INDEX($A307:$AD307,1,$D$5),TIMEVALUE(INDEX($A307:$AD307,1,$D$5)))*Inputs!$C$22,0))</f>
        <v>0</v>
      </c>
    </row>
    <row r="308" customFormat="false" ht="15" hidden="false" customHeight="false" outlineLevel="0" collapsed="false">
      <c r="AF308" s="18" t="str">
        <f aca="false">IF($D$4="","",IF(INDEX($A308:$AD308,1,$D$4)="","",IF(ISNUMBER(INDEX($A308:$AD308,1,$D$4)),INDEX($A308:$AD308,1,$D$4),IFERROR(DATEVALUE(INDEX($A308:$AD308,1,$D$4)),""))))</f>
        <v/>
      </c>
      <c r="AG308" s="30" t="str">
        <f aca="false">IF(OR(AF308="",$D$6=""),"",IF(LEFT(INDEX($A308:$AD308,1,$D$6),LEN(Inputs!$C$30))=Inputs!$C$30,INDEX($A308:$AD308,1,$D$6),""))</f>
        <v/>
      </c>
      <c r="AH308" s="30" t="str">
        <f aca="false">IF(OR(AF308="",$D$7=""),"",TRIM(IFERROR(LEFT(INDEX($A308:$AD308,1,$D$7),FIND(",",INDEX($A308:$AD308,1,$D$7))-1),INDEX($A308:$AD308,1,$D$7))))</f>
        <v/>
      </c>
      <c r="AI308" s="36" t="n">
        <f aca="false">IF(OR(AF308="",$D$5=""),0,IFERROR(IF(ISNUMBER(INDEX($A308:$AD308,1,$D$5)),INDEX($A308:$AD308,1,$D$5),TIMEVALUE(INDEX($A308:$AD308,1,$D$5)))*Inputs!$C$22,0))</f>
        <v>0</v>
      </c>
    </row>
    <row r="309" customFormat="false" ht="15" hidden="false" customHeight="false" outlineLevel="0" collapsed="false">
      <c r="AF309" s="18" t="str">
        <f aca="false">IF($D$4="","",IF(INDEX($A309:$AD309,1,$D$4)="","",IF(ISNUMBER(INDEX($A309:$AD309,1,$D$4)),INDEX($A309:$AD309,1,$D$4),IFERROR(DATEVALUE(INDEX($A309:$AD309,1,$D$4)),""))))</f>
        <v/>
      </c>
      <c r="AG309" s="30" t="str">
        <f aca="false">IF(OR(AF309="",$D$6=""),"",IF(LEFT(INDEX($A309:$AD309,1,$D$6),LEN(Inputs!$C$30))=Inputs!$C$30,INDEX($A309:$AD309,1,$D$6),""))</f>
        <v/>
      </c>
      <c r="AH309" s="30" t="str">
        <f aca="false">IF(OR(AF309="",$D$7=""),"",TRIM(IFERROR(LEFT(INDEX($A309:$AD309,1,$D$7),FIND(",",INDEX($A309:$AD309,1,$D$7))-1),INDEX($A309:$AD309,1,$D$7))))</f>
        <v/>
      </c>
      <c r="AI309" s="36" t="n">
        <f aca="false">IF(OR(AF309="",$D$5=""),0,IFERROR(IF(ISNUMBER(INDEX($A309:$AD309,1,$D$5)),INDEX($A309:$AD309,1,$D$5),TIMEVALUE(INDEX($A309:$AD309,1,$D$5)))*Inputs!$C$22,0))</f>
        <v>0</v>
      </c>
    </row>
    <row r="310" customFormat="false" ht="15" hidden="false" customHeight="false" outlineLevel="0" collapsed="false">
      <c r="AF310" s="18" t="str">
        <f aca="false">IF($D$4="","",IF(INDEX($A310:$AD310,1,$D$4)="","",IF(ISNUMBER(INDEX($A310:$AD310,1,$D$4)),INDEX($A310:$AD310,1,$D$4),IFERROR(DATEVALUE(INDEX($A310:$AD310,1,$D$4)),""))))</f>
        <v/>
      </c>
      <c r="AG310" s="30" t="str">
        <f aca="false">IF(OR(AF310="",$D$6=""),"",IF(LEFT(INDEX($A310:$AD310,1,$D$6),LEN(Inputs!$C$30))=Inputs!$C$30,INDEX($A310:$AD310,1,$D$6),""))</f>
        <v/>
      </c>
      <c r="AH310" s="30" t="str">
        <f aca="false">IF(OR(AF310="",$D$7=""),"",TRIM(IFERROR(LEFT(INDEX($A310:$AD310,1,$D$7),FIND(",",INDEX($A310:$AD310,1,$D$7))-1),INDEX($A310:$AD310,1,$D$7))))</f>
        <v/>
      </c>
      <c r="AI310" s="36" t="n">
        <f aca="false">IF(OR(AF310="",$D$5=""),0,IFERROR(IF(ISNUMBER(INDEX($A310:$AD310,1,$D$5)),INDEX($A310:$AD310,1,$D$5),TIMEVALUE(INDEX($A310:$AD310,1,$D$5)))*Inputs!$C$22,0))</f>
        <v>0</v>
      </c>
    </row>
    <row r="311" customFormat="false" ht="15" hidden="false" customHeight="false" outlineLevel="0" collapsed="false">
      <c r="AF311" s="18" t="str">
        <f aca="false">IF($D$4="","",IF(INDEX($A311:$AD311,1,$D$4)="","",IF(ISNUMBER(INDEX($A311:$AD311,1,$D$4)),INDEX($A311:$AD311,1,$D$4),IFERROR(DATEVALUE(INDEX($A311:$AD311,1,$D$4)),""))))</f>
        <v/>
      </c>
      <c r="AG311" s="30" t="str">
        <f aca="false">IF(OR(AF311="",$D$6=""),"",IF(LEFT(INDEX($A311:$AD311,1,$D$6),LEN(Inputs!$C$30))=Inputs!$C$30,INDEX($A311:$AD311,1,$D$6),""))</f>
        <v/>
      </c>
      <c r="AH311" s="30" t="str">
        <f aca="false">IF(OR(AF311="",$D$7=""),"",TRIM(IFERROR(LEFT(INDEX($A311:$AD311,1,$D$7),FIND(",",INDEX($A311:$AD311,1,$D$7))-1),INDEX($A311:$AD311,1,$D$7))))</f>
        <v/>
      </c>
      <c r="AI311" s="36" t="n">
        <f aca="false">IF(OR(AF311="",$D$5=""),0,IFERROR(IF(ISNUMBER(INDEX($A311:$AD311,1,$D$5)),INDEX($A311:$AD311,1,$D$5),TIMEVALUE(INDEX($A311:$AD311,1,$D$5)))*Inputs!$C$22,0))</f>
        <v>0</v>
      </c>
    </row>
    <row r="312" customFormat="false" ht="15" hidden="false" customHeight="false" outlineLevel="0" collapsed="false">
      <c r="AF312" s="18" t="str">
        <f aca="false">IF($D$4="","",IF(INDEX($A312:$AD312,1,$D$4)="","",IF(ISNUMBER(INDEX($A312:$AD312,1,$D$4)),INDEX($A312:$AD312,1,$D$4),IFERROR(DATEVALUE(INDEX($A312:$AD312,1,$D$4)),""))))</f>
        <v/>
      </c>
      <c r="AG312" s="30" t="str">
        <f aca="false">IF(OR(AF312="",$D$6=""),"",IF(LEFT(INDEX($A312:$AD312,1,$D$6),LEN(Inputs!$C$30))=Inputs!$C$30,INDEX($A312:$AD312,1,$D$6),""))</f>
        <v/>
      </c>
      <c r="AH312" s="30" t="str">
        <f aca="false">IF(OR(AF312="",$D$7=""),"",TRIM(IFERROR(LEFT(INDEX($A312:$AD312,1,$D$7),FIND(",",INDEX($A312:$AD312,1,$D$7))-1),INDEX($A312:$AD312,1,$D$7))))</f>
        <v/>
      </c>
      <c r="AI312" s="36" t="n">
        <f aca="false">IF(OR(AF312="",$D$5=""),0,IFERROR(IF(ISNUMBER(INDEX($A312:$AD312,1,$D$5)),INDEX($A312:$AD312,1,$D$5),TIMEVALUE(INDEX($A312:$AD312,1,$D$5)))*Inputs!$C$22,0))</f>
        <v>0</v>
      </c>
    </row>
    <row r="313" customFormat="false" ht="15" hidden="false" customHeight="false" outlineLevel="0" collapsed="false">
      <c r="AF313" s="18" t="str">
        <f aca="false">IF($D$4="","",IF(INDEX($A313:$AD313,1,$D$4)="","",IF(ISNUMBER(INDEX($A313:$AD313,1,$D$4)),INDEX($A313:$AD313,1,$D$4),IFERROR(DATEVALUE(INDEX($A313:$AD313,1,$D$4)),""))))</f>
        <v/>
      </c>
      <c r="AG313" s="30" t="str">
        <f aca="false">IF(OR(AF313="",$D$6=""),"",IF(LEFT(INDEX($A313:$AD313,1,$D$6),LEN(Inputs!$C$30))=Inputs!$C$30,INDEX($A313:$AD313,1,$D$6),""))</f>
        <v/>
      </c>
      <c r="AH313" s="30" t="str">
        <f aca="false">IF(OR(AF313="",$D$7=""),"",TRIM(IFERROR(LEFT(INDEX($A313:$AD313,1,$D$7),FIND(",",INDEX($A313:$AD313,1,$D$7))-1),INDEX($A313:$AD313,1,$D$7))))</f>
        <v/>
      </c>
      <c r="AI313" s="36" t="n">
        <f aca="false">IF(OR(AF313="",$D$5=""),0,IFERROR(IF(ISNUMBER(INDEX($A313:$AD313,1,$D$5)),INDEX($A313:$AD313,1,$D$5),TIMEVALUE(INDEX($A313:$AD313,1,$D$5)))*Inputs!$C$22,0))</f>
        <v>0</v>
      </c>
    </row>
    <row r="314" customFormat="false" ht="15" hidden="false" customHeight="false" outlineLevel="0" collapsed="false">
      <c r="AF314" s="18" t="str">
        <f aca="false">IF($D$4="","",IF(INDEX($A314:$AD314,1,$D$4)="","",IF(ISNUMBER(INDEX($A314:$AD314,1,$D$4)),INDEX($A314:$AD314,1,$D$4),IFERROR(DATEVALUE(INDEX($A314:$AD314,1,$D$4)),""))))</f>
        <v/>
      </c>
      <c r="AG314" s="30" t="str">
        <f aca="false">IF(OR(AF314="",$D$6=""),"",IF(LEFT(INDEX($A314:$AD314,1,$D$6),LEN(Inputs!$C$30))=Inputs!$C$30,INDEX($A314:$AD314,1,$D$6),""))</f>
        <v/>
      </c>
      <c r="AH314" s="30" t="str">
        <f aca="false">IF(OR(AF314="",$D$7=""),"",TRIM(IFERROR(LEFT(INDEX($A314:$AD314,1,$D$7),FIND(",",INDEX($A314:$AD314,1,$D$7))-1),INDEX($A314:$AD314,1,$D$7))))</f>
        <v/>
      </c>
      <c r="AI314" s="36" t="n">
        <f aca="false">IF(OR(AF314="",$D$5=""),0,IFERROR(IF(ISNUMBER(INDEX($A314:$AD314,1,$D$5)),INDEX($A314:$AD314,1,$D$5),TIMEVALUE(INDEX($A314:$AD314,1,$D$5)))*Inputs!$C$22,0))</f>
        <v>0</v>
      </c>
    </row>
    <row r="315" customFormat="false" ht="15" hidden="false" customHeight="false" outlineLevel="0" collapsed="false">
      <c r="AF315" s="18" t="str">
        <f aca="false">IF($D$4="","",IF(INDEX($A315:$AD315,1,$D$4)="","",IF(ISNUMBER(INDEX($A315:$AD315,1,$D$4)),INDEX($A315:$AD315,1,$D$4),IFERROR(DATEVALUE(INDEX($A315:$AD315,1,$D$4)),""))))</f>
        <v/>
      </c>
      <c r="AG315" s="30" t="str">
        <f aca="false">IF(OR(AF315="",$D$6=""),"",IF(LEFT(INDEX($A315:$AD315,1,$D$6),LEN(Inputs!$C$30))=Inputs!$C$30,INDEX($A315:$AD315,1,$D$6),""))</f>
        <v/>
      </c>
      <c r="AH315" s="30" t="str">
        <f aca="false">IF(OR(AF315="",$D$7=""),"",TRIM(IFERROR(LEFT(INDEX($A315:$AD315,1,$D$7),FIND(",",INDEX($A315:$AD315,1,$D$7))-1),INDEX($A315:$AD315,1,$D$7))))</f>
        <v/>
      </c>
      <c r="AI315" s="36" t="n">
        <f aca="false">IF(OR(AF315="",$D$5=""),0,IFERROR(IF(ISNUMBER(INDEX($A315:$AD315,1,$D$5)),INDEX($A315:$AD315,1,$D$5),TIMEVALUE(INDEX($A315:$AD315,1,$D$5)))*Inputs!$C$22,0))</f>
        <v>0</v>
      </c>
    </row>
    <row r="316" customFormat="false" ht="15" hidden="false" customHeight="false" outlineLevel="0" collapsed="false">
      <c r="AF316" s="18" t="str">
        <f aca="false">IF($D$4="","",IF(INDEX($A316:$AD316,1,$D$4)="","",IF(ISNUMBER(INDEX($A316:$AD316,1,$D$4)),INDEX($A316:$AD316,1,$D$4),IFERROR(DATEVALUE(INDEX($A316:$AD316,1,$D$4)),""))))</f>
        <v/>
      </c>
      <c r="AG316" s="30" t="str">
        <f aca="false">IF(OR(AF316="",$D$6=""),"",IF(LEFT(INDEX($A316:$AD316,1,$D$6),LEN(Inputs!$C$30))=Inputs!$C$30,INDEX($A316:$AD316,1,$D$6),""))</f>
        <v/>
      </c>
      <c r="AH316" s="30" t="str">
        <f aca="false">IF(OR(AF316="",$D$7=""),"",TRIM(IFERROR(LEFT(INDEX($A316:$AD316,1,$D$7),FIND(",",INDEX($A316:$AD316,1,$D$7))-1),INDEX($A316:$AD316,1,$D$7))))</f>
        <v/>
      </c>
      <c r="AI316" s="36" t="n">
        <f aca="false">IF(OR(AF316="",$D$5=""),0,IFERROR(IF(ISNUMBER(INDEX($A316:$AD316,1,$D$5)),INDEX($A316:$AD316,1,$D$5),TIMEVALUE(INDEX($A316:$AD316,1,$D$5)))*Inputs!$C$22,0))</f>
        <v>0</v>
      </c>
    </row>
    <row r="317" customFormat="false" ht="15" hidden="false" customHeight="false" outlineLevel="0" collapsed="false">
      <c r="AF317" s="18" t="str">
        <f aca="false">IF($D$4="","",IF(INDEX($A317:$AD317,1,$D$4)="","",IF(ISNUMBER(INDEX($A317:$AD317,1,$D$4)),INDEX($A317:$AD317,1,$D$4),IFERROR(DATEVALUE(INDEX($A317:$AD317,1,$D$4)),""))))</f>
        <v/>
      </c>
      <c r="AG317" s="30" t="str">
        <f aca="false">IF(OR(AF317="",$D$6=""),"",IF(LEFT(INDEX($A317:$AD317,1,$D$6),LEN(Inputs!$C$30))=Inputs!$C$30,INDEX($A317:$AD317,1,$D$6),""))</f>
        <v/>
      </c>
      <c r="AH317" s="30" t="str">
        <f aca="false">IF(OR(AF317="",$D$7=""),"",TRIM(IFERROR(LEFT(INDEX($A317:$AD317,1,$D$7),FIND(",",INDEX($A317:$AD317,1,$D$7))-1),INDEX($A317:$AD317,1,$D$7))))</f>
        <v/>
      </c>
      <c r="AI317" s="36" t="n">
        <f aca="false">IF(OR(AF317="",$D$5=""),0,IFERROR(IF(ISNUMBER(INDEX($A317:$AD317,1,$D$5)),INDEX($A317:$AD317,1,$D$5),TIMEVALUE(INDEX($A317:$AD317,1,$D$5)))*Inputs!$C$22,0))</f>
        <v>0</v>
      </c>
    </row>
    <row r="318" customFormat="false" ht="15" hidden="false" customHeight="false" outlineLevel="0" collapsed="false">
      <c r="AF318" s="18" t="str">
        <f aca="false">IF($D$4="","",IF(INDEX($A318:$AD318,1,$D$4)="","",IF(ISNUMBER(INDEX($A318:$AD318,1,$D$4)),INDEX($A318:$AD318,1,$D$4),IFERROR(DATEVALUE(INDEX($A318:$AD318,1,$D$4)),""))))</f>
        <v/>
      </c>
      <c r="AG318" s="30" t="str">
        <f aca="false">IF(OR(AF318="",$D$6=""),"",IF(LEFT(INDEX($A318:$AD318,1,$D$6),LEN(Inputs!$C$30))=Inputs!$C$30,INDEX($A318:$AD318,1,$D$6),""))</f>
        <v/>
      </c>
      <c r="AH318" s="30" t="str">
        <f aca="false">IF(OR(AF318="",$D$7=""),"",TRIM(IFERROR(LEFT(INDEX($A318:$AD318,1,$D$7),FIND(",",INDEX($A318:$AD318,1,$D$7))-1),INDEX($A318:$AD318,1,$D$7))))</f>
        <v/>
      </c>
      <c r="AI318" s="36" t="n">
        <f aca="false">IF(OR(AF318="",$D$5=""),0,IFERROR(IF(ISNUMBER(INDEX($A318:$AD318,1,$D$5)),INDEX($A318:$AD318,1,$D$5),TIMEVALUE(INDEX($A318:$AD318,1,$D$5)))*Inputs!$C$22,0))</f>
        <v>0</v>
      </c>
    </row>
    <row r="319" customFormat="false" ht="15" hidden="false" customHeight="false" outlineLevel="0" collapsed="false">
      <c r="AF319" s="18" t="str">
        <f aca="false">IF($D$4="","",IF(INDEX($A319:$AD319,1,$D$4)="","",IF(ISNUMBER(INDEX($A319:$AD319,1,$D$4)),INDEX($A319:$AD319,1,$D$4),IFERROR(DATEVALUE(INDEX($A319:$AD319,1,$D$4)),""))))</f>
        <v/>
      </c>
      <c r="AG319" s="30" t="str">
        <f aca="false">IF(OR(AF319="",$D$6=""),"",IF(LEFT(INDEX($A319:$AD319,1,$D$6),LEN(Inputs!$C$30))=Inputs!$C$30,INDEX($A319:$AD319,1,$D$6),""))</f>
        <v/>
      </c>
      <c r="AH319" s="30" t="str">
        <f aca="false">IF(OR(AF319="",$D$7=""),"",TRIM(IFERROR(LEFT(INDEX($A319:$AD319,1,$D$7),FIND(",",INDEX($A319:$AD319,1,$D$7))-1),INDEX($A319:$AD319,1,$D$7))))</f>
        <v/>
      </c>
      <c r="AI319" s="36" t="n">
        <f aca="false">IF(OR(AF319="",$D$5=""),0,IFERROR(IF(ISNUMBER(INDEX($A319:$AD319,1,$D$5)),INDEX($A319:$AD319,1,$D$5),TIMEVALUE(INDEX($A319:$AD319,1,$D$5)))*Inputs!$C$22,0))</f>
        <v>0</v>
      </c>
    </row>
    <row r="320" customFormat="false" ht="15" hidden="false" customHeight="false" outlineLevel="0" collapsed="false">
      <c r="AF320" s="18" t="str">
        <f aca="false">IF($D$4="","",IF(INDEX($A320:$AD320,1,$D$4)="","",IF(ISNUMBER(INDEX($A320:$AD320,1,$D$4)),INDEX($A320:$AD320,1,$D$4),IFERROR(DATEVALUE(INDEX($A320:$AD320,1,$D$4)),""))))</f>
        <v/>
      </c>
      <c r="AG320" s="30" t="str">
        <f aca="false">IF(OR(AF320="",$D$6=""),"",IF(LEFT(INDEX($A320:$AD320,1,$D$6),LEN(Inputs!$C$30))=Inputs!$C$30,INDEX($A320:$AD320,1,$D$6),""))</f>
        <v/>
      </c>
      <c r="AH320" s="30" t="str">
        <f aca="false">IF(OR(AF320="",$D$7=""),"",TRIM(IFERROR(LEFT(INDEX($A320:$AD320,1,$D$7),FIND(",",INDEX($A320:$AD320,1,$D$7))-1),INDEX($A320:$AD320,1,$D$7))))</f>
        <v/>
      </c>
      <c r="AI320" s="36" t="n">
        <f aca="false">IF(OR(AF320="",$D$5=""),0,IFERROR(IF(ISNUMBER(INDEX($A320:$AD320,1,$D$5)),INDEX($A320:$AD320,1,$D$5),TIMEVALUE(INDEX($A320:$AD320,1,$D$5)))*Inputs!$C$22,0))</f>
        <v>0</v>
      </c>
    </row>
    <row r="321" customFormat="false" ht="15" hidden="false" customHeight="false" outlineLevel="0" collapsed="false">
      <c r="AF321" s="18" t="str">
        <f aca="false">IF($D$4="","",IF(INDEX($A321:$AD321,1,$D$4)="","",IF(ISNUMBER(INDEX($A321:$AD321,1,$D$4)),INDEX($A321:$AD321,1,$D$4),IFERROR(DATEVALUE(INDEX($A321:$AD321,1,$D$4)),""))))</f>
        <v/>
      </c>
      <c r="AG321" s="30" t="str">
        <f aca="false">IF(OR(AF321="",$D$6=""),"",IF(LEFT(INDEX($A321:$AD321,1,$D$6),LEN(Inputs!$C$30))=Inputs!$C$30,INDEX($A321:$AD321,1,$D$6),""))</f>
        <v/>
      </c>
      <c r="AH321" s="30" t="str">
        <f aca="false">IF(OR(AF321="",$D$7=""),"",TRIM(IFERROR(LEFT(INDEX($A321:$AD321,1,$D$7),FIND(",",INDEX($A321:$AD321,1,$D$7))-1),INDEX($A321:$AD321,1,$D$7))))</f>
        <v/>
      </c>
      <c r="AI321" s="36" t="n">
        <f aca="false">IF(OR(AF321="",$D$5=""),0,IFERROR(IF(ISNUMBER(INDEX($A321:$AD321,1,$D$5)),INDEX($A321:$AD321,1,$D$5),TIMEVALUE(INDEX($A321:$AD321,1,$D$5)))*Inputs!$C$22,0))</f>
        <v>0</v>
      </c>
    </row>
    <row r="322" customFormat="false" ht="15" hidden="false" customHeight="false" outlineLevel="0" collapsed="false">
      <c r="AF322" s="18" t="str">
        <f aca="false">IF($D$4="","",IF(INDEX($A322:$AD322,1,$D$4)="","",IF(ISNUMBER(INDEX($A322:$AD322,1,$D$4)),INDEX($A322:$AD322,1,$D$4),IFERROR(DATEVALUE(INDEX($A322:$AD322,1,$D$4)),""))))</f>
        <v/>
      </c>
      <c r="AG322" s="30" t="str">
        <f aca="false">IF(OR(AF322="",$D$6=""),"",IF(LEFT(INDEX($A322:$AD322,1,$D$6),LEN(Inputs!$C$30))=Inputs!$C$30,INDEX($A322:$AD322,1,$D$6),""))</f>
        <v/>
      </c>
      <c r="AH322" s="30" t="str">
        <f aca="false">IF(OR(AF322="",$D$7=""),"",TRIM(IFERROR(LEFT(INDEX($A322:$AD322,1,$D$7),FIND(",",INDEX($A322:$AD322,1,$D$7))-1),INDEX($A322:$AD322,1,$D$7))))</f>
        <v/>
      </c>
      <c r="AI322" s="36" t="n">
        <f aca="false">IF(OR(AF322="",$D$5=""),0,IFERROR(IF(ISNUMBER(INDEX($A322:$AD322,1,$D$5)),INDEX($A322:$AD322,1,$D$5),TIMEVALUE(INDEX($A322:$AD322,1,$D$5)))*Inputs!$C$22,0))</f>
        <v>0</v>
      </c>
    </row>
    <row r="323" customFormat="false" ht="15" hidden="false" customHeight="false" outlineLevel="0" collapsed="false">
      <c r="AF323" s="18" t="str">
        <f aca="false">IF($D$4="","",IF(INDEX($A323:$AD323,1,$D$4)="","",IF(ISNUMBER(INDEX($A323:$AD323,1,$D$4)),INDEX($A323:$AD323,1,$D$4),IFERROR(DATEVALUE(INDEX($A323:$AD323,1,$D$4)),""))))</f>
        <v/>
      </c>
      <c r="AG323" s="30" t="str">
        <f aca="false">IF(OR(AF323="",$D$6=""),"",IF(LEFT(INDEX($A323:$AD323,1,$D$6),LEN(Inputs!$C$30))=Inputs!$C$30,INDEX($A323:$AD323,1,$D$6),""))</f>
        <v/>
      </c>
      <c r="AH323" s="30" t="str">
        <f aca="false">IF(OR(AF323="",$D$7=""),"",TRIM(IFERROR(LEFT(INDEX($A323:$AD323,1,$D$7),FIND(",",INDEX($A323:$AD323,1,$D$7))-1),INDEX($A323:$AD323,1,$D$7))))</f>
        <v/>
      </c>
      <c r="AI323" s="36" t="n">
        <f aca="false">IF(OR(AF323="",$D$5=""),0,IFERROR(IF(ISNUMBER(INDEX($A323:$AD323,1,$D$5)),INDEX($A323:$AD323,1,$D$5),TIMEVALUE(INDEX($A323:$AD323,1,$D$5)))*Inputs!$C$22,0))</f>
        <v>0</v>
      </c>
    </row>
    <row r="324" customFormat="false" ht="15" hidden="false" customHeight="false" outlineLevel="0" collapsed="false">
      <c r="AF324" s="18" t="str">
        <f aca="false">IF($D$4="","",IF(INDEX($A324:$AD324,1,$D$4)="","",IF(ISNUMBER(INDEX($A324:$AD324,1,$D$4)),INDEX($A324:$AD324,1,$D$4),IFERROR(DATEVALUE(INDEX($A324:$AD324,1,$D$4)),""))))</f>
        <v/>
      </c>
      <c r="AG324" s="30" t="str">
        <f aca="false">IF(OR(AF324="",$D$6=""),"",IF(LEFT(INDEX($A324:$AD324,1,$D$6),LEN(Inputs!$C$30))=Inputs!$C$30,INDEX($A324:$AD324,1,$D$6),""))</f>
        <v/>
      </c>
      <c r="AH324" s="30" t="str">
        <f aca="false">IF(OR(AF324="",$D$7=""),"",TRIM(IFERROR(LEFT(INDEX($A324:$AD324,1,$D$7),FIND(",",INDEX($A324:$AD324,1,$D$7))-1),INDEX($A324:$AD324,1,$D$7))))</f>
        <v/>
      </c>
      <c r="AI324" s="36" t="n">
        <f aca="false">IF(OR(AF324="",$D$5=""),0,IFERROR(IF(ISNUMBER(INDEX($A324:$AD324,1,$D$5)),INDEX($A324:$AD324,1,$D$5),TIMEVALUE(INDEX($A324:$AD324,1,$D$5)))*Inputs!$C$22,0))</f>
        <v>0</v>
      </c>
    </row>
    <row r="325" customFormat="false" ht="15" hidden="false" customHeight="false" outlineLevel="0" collapsed="false">
      <c r="AF325" s="18" t="str">
        <f aca="false">IF($D$4="","",IF(INDEX($A325:$AD325,1,$D$4)="","",IF(ISNUMBER(INDEX($A325:$AD325,1,$D$4)),INDEX($A325:$AD325,1,$D$4),IFERROR(DATEVALUE(INDEX($A325:$AD325,1,$D$4)),""))))</f>
        <v/>
      </c>
      <c r="AG325" s="30" t="str">
        <f aca="false">IF(OR(AF325="",$D$6=""),"",IF(LEFT(INDEX($A325:$AD325,1,$D$6),LEN(Inputs!$C$30))=Inputs!$C$30,INDEX($A325:$AD325,1,$D$6),""))</f>
        <v/>
      </c>
      <c r="AH325" s="30" t="str">
        <f aca="false">IF(OR(AF325="",$D$7=""),"",TRIM(IFERROR(LEFT(INDEX($A325:$AD325,1,$D$7),FIND(",",INDEX($A325:$AD325,1,$D$7))-1),INDEX($A325:$AD325,1,$D$7))))</f>
        <v/>
      </c>
      <c r="AI325" s="36" t="n">
        <f aca="false">IF(OR(AF325="",$D$5=""),0,IFERROR(IF(ISNUMBER(INDEX($A325:$AD325,1,$D$5)),INDEX($A325:$AD325,1,$D$5),TIMEVALUE(INDEX($A325:$AD325,1,$D$5)))*Inputs!$C$22,0))</f>
        <v>0</v>
      </c>
    </row>
    <row r="326" customFormat="false" ht="15" hidden="false" customHeight="false" outlineLevel="0" collapsed="false">
      <c r="AF326" s="18" t="str">
        <f aca="false">IF($D$4="","",IF(INDEX($A326:$AD326,1,$D$4)="","",IF(ISNUMBER(INDEX($A326:$AD326,1,$D$4)),INDEX($A326:$AD326,1,$D$4),IFERROR(DATEVALUE(INDEX($A326:$AD326,1,$D$4)),""))))</f>
        <v/>
      </c>
      <c r="AG326" s="30" t="str">
        <f aca="false">IF(OR(AF326="",$D$6=""),"",IF(LEFT(INDEX($A326:$AD326,1,$D$6),LEN(Inputs!$C$30))=Inputs!$C$30,INDEX($A326:$AD326,1,$D$6),""))</f>
        <v/>
      </c>
      <c r="AH326" s="30" t="str">
        <f aca="false">IF(OR(AF326="",$D$7=""),"",TRIM(IFERROR(LEFT(INDEX($A326:$AD326,1,$D$7),FIND(",",INDEX($A326:$AD326,1,$D$7))-1),INDEX($A326:$AD326,1,$D$7))))</f>
        <v/>
      </c>
      <c r="AI326" s="36" t="n">
        <f aca="false">IF(OR(AF326="",$D$5=""),0,IFERROR(IF(ISNUMBER(INDEX($A326:$AD326,1,$D$5)),INDEX($A326:$AD326,1,$D$5),TIMEVALUE(INDEX($A326:$AD326,1,$D$5)))*Inputs!$C$22,0))</f>
        <v>0</v>
      </c>
    </row>
    <row r="327" customFormat="false" ht="15" hidden="false" customHeight="false" outlineLevel="0" collapsed="false">
      <c r="AF327" s="18" t="str">
        <f aca="false">IF($D$4="","",IF(INDEX($A327:$AD327,1,$D$4)="","",IF(ISNUMBER(INDEX($A327:$AD327,1,$D$4)),INDEX($A327:$AD327,1,$D$4),IFERROR(DATEVALUE(INDEX($A327:$AD327,1,$D$4)),""))))</f>
        <v/>
      </c>
      <c r="AG327" s="30" t="str">
        <f aca="false">IF(OR(AF327="",$D$6=""),"",IF(LEFT(INDEX($A327:$AD327,1,$D$6),LEN(Inputs!$C$30))=Inputs!$C$30,INDEX($A327:$AD327,1,$D$6),""))</f>
        <v/>
      </c>
      <c r="AH327" s="30" t="str">
        <f aca="false">IF(OR(AF327="",$D$7=""),"",TRIM(IFERROR(LEFT(INDEX($A327:$AD327,1,$D$7),FIND(",",INDEX($A327:$AD327,1,$D$7))-1),INDEX($A327:$AD327,1,$D$7))))</f>
        <v/>
      </c>
      <c r="AI327" s="36" t="n">
        <f aca="false">IF(OR(AF327="",$D$5=""),0,IFERROR(IF(ISNUMBER(INDEX($A327:$AD327,1,$D$5)),INDEX($A327:$AD327,1,$D$5),TIMEVALUE(INDEX($A327:$AD327,1,$D$5)))*Inputs!$C$22,0))</f>
        <v>0</v>
      </c>
    </row>
    <row r="328" customFormat="false" ht="15" hidden="false" customHeight="false" outlineLevel="0" collapsed="false">
      <c r="AF328" s="18" t="str">
        <f aca="false">IF($D$4="","",IF(INDEX($A328:$AD328,1,$D$4)="","",IF(ISNUMBER(INDEX($A328:$AD328,1,$D$4)),INDEX($A328:$AD328,1,$D$4),IFERROR(DATEVALUE(INDEX($A328:$AD328,1,$D$4)),""))))</f>
        <v/>
      </c>
      <c r="AG328" s="30" t="str">
        <f aca="false">IF(OR(AF328="",$D$6=""),"",IF(LEFT(INDEX($A328:$AD328,1,$D$6),LEN(Inputs!$C$30))=Inputs!$C$30,INDEX($A328:$AD328,1,$D$6),""))</f>
        <v/>
      </c>
      <c r="AH328" s="30" t="str">
        <f aca="false">IF(OR(AF328="",$D$7=""),"",TRIM(IFERROR(LEFT(INDEX($A328:$AD328,1,$D$7),FIND(",",INDEX($A328:$AD328,1,$D$7))-1),INDEX($A328:$AD328,1,$D$7))))</f>
        <v/>
      </c>
      <c r="AI328" s="36" t="n">
        <f aca="false">IF(OR(AF328="",$D$5=""),0,IFERROR(IF(ISNUMBER(INDEX($A328:$AD328,1,$D$5)),INDEX($A328:$AD328,1,$D$5),TIMEVALUE(INDEX($A328:$AD328,1,$D$5)))*Inputs!$C$22,0))</f>
        <v>0</v>
      </c>
    </row>
    <row r="329" customFormat="false" ht="15" hidden="false" customHeight="false" outlineLevel="0" collapsed="false">
      <c r="AF329" s="18" t="str">
        <f aca="false">IF($D$4="","",IF(INDEX($A329:$AD329,1,$D$4)="","",IF(ISNUMBER(INDEX($A329:$AD329,1,$D$4)),INDEX($A329:$AD329,1,$D$4),IFERROR(DATEVALUE(INDEX($A329:$AD329,1,$D$4)),""))))</f>
        <v/>
      </c>
      <c r="AG329" s="30" t="str">
        <f aca="false">IF(OR(AF329="",$D$6=""),"",IF(LEFT(INDEX($A329:$AD329,1,$D$6),LEN(Inputs!$C$30))=Inputs!$C$30,INDEX($A329:$AD329,1,$D$6),""))</f>
        <v/>
      </c>
      <c r="AH329" s="30" t="str">
        <f aca="false">IF(OR(AF329="",$D$7=""),"",TRIM(IFERROR(LEFT(INDEX($A329:$AD329,1,$D$7),FIND(",",INDEX($A329:$AD329,1,$D$7))-1),INDEX($A329:$AD329,1,$D$7))))</f>
        <v/>
      </c>
      <c r="AI329" s="36" t="n">
        <f aca="false">IF(OR(AF329="",$D$5=""),0,IFERROR(IF(ISNUMBER(INDEX($A329:$AD329,1,$D$5)),INDEX($A329:$AD329,1,$D$5),TIMEVALUE(INDEX($A329:$AD329,1,$D$5)))*Inputs!$C$22,0))</f>
        <v>0</v>
      </c>
    </row>
    <row r="330" customFormat="false" ht="15" hidden="false" customHeight="false" outlineLevel="0" collapsed="false">
      <c r="AF330" s="18" t="str">
        <f aca="false">IF($D$4="","",IF(INDEX($A330:$AD330,1,$D$4)="","",IF(ISNUMBER(INDEX($A330:$AD330,1,$D$4)),INDEX($A330:$AD330,1,$D$4),IFERROR(DATEVALUE(INDEX($A330:$AD330,1,$D$4)),""))))</f>
        <v/>
      </c>
      <c r="AG330" s="30" t="str">
        <f aca="false">IF(OR(AF330="",$D$6=""),"",IF(LEFT(INDEX($A330:$AD330,1,$D$6),LEN(Inputs!$C$30))=Inputs!$C$30,INDEX($A330:$AD330,1,$D$6),""))</f>
        <v/>
      </c>
      <c r="AH330" s="30" t="str">
        <f aca="false">IF(OR(AF330="",$D$7=""),"",TRIM(IFERROR(LEFT(INDEX($A330:$AD330,1,$D$7),FIND(",",INDEX($A330:$AD330,1,$D$7))-1),INDEX($A330:$AD330,1,$D$7))))</f>
        <v/>
      </c>
      <c r="AI330" s="36" t="n">
        <f aca="false">IF(OR(AF330="",$D$5=""),0,IFERROR(IF(ISNUMBER(INDEX($A330:$AD330,1,$D$5)),INDEX($A330:$AD330,1,$D$5),TIMEVALUE(INDEX($A330:$AD330,1,$D$5)))*Inputs!$C$22,0))</f>
        <v>0</v>
      </c>
    </row>
    <row r="331" customFormat="false" ht="15" hidden="false" customHeight="false" outlineLevel="0" collapsed="false">
      <c r="AF331" s="18" t="str">
        <f aca="false">IF($D$4="","",IF(INDEX($A331:$AD331,1,$D$4)="","",IF(ISNUMBER(INDEX($A331:$AD331,1,$D$4)),INDEX($A331:$AD331,1,$D$4),IFERROR(DATEVALUE(INDEX($A331:$AD331,1,$D$4)),""))))</f>
        <v/>
      </c>
      <c r="AG331" s="30" t="str">
        <f aca="false">IF(OR(AF331="",$D$6=""),"",IF(LEFT(INDEX($A331:$AD331,1,$D$6),LEN(Inputs!$C$30))=Inputs!$C$30,INDEX($A331:$AD331,1,$D$6),""))</f>
        <v/>
      </c>
      <c r="AH331" s="30" t="str">
        <f aca="false">IF(OR(AF331="",$D$7=""),"",TRIM(IFERROR(LEFT(INDEX($A331:$AD331,1,$D$7),FIND(",",INDEX($A331:$AD331,1,$D$7))-1),INDEX($A331:$AD331,1,$D$7))))</f>
        <v/>
      </c>
      <c r="AI331" s="36" t="n">
        <f aca="false">IF(OR(AF331="",$D$5=""),0,IFERROR(IF(ISNUMBER(INDEX($A331:$AD331,1,$D$5)),INDEX($A331:$AD331,1,$D$5),TIMEVALUE(INDEX($A331:$AD331,1,$D$5)))*Inputs!$C$22,0))</f>
        <v>0</v>
      </c>
    </row>
    <row r="332" customFormat="false" ht="15" hidden="false" customHeight="false" outlineLevel="0" collapsed="false">
      <c r="AF332" s="18" t="str">
        <f aca="false">IF($D$4="","",IF(INDEX($A332:$AD332,1,$D$4)="","",IF(ISNUMBER(INDEX($A332:$AD332,1,$D$4)),INDEX($A332:$AD332,1,$D$4),IFERROR(DATEVALUE(INDEX($A332:$AD332,1,$D$4)),""))))</f>
        <v/>
      </c>
      <c r="AG332" s="30" t="str">
        <f aca="false">IF(OR(AF332="",$D$6=""),"",IF(LEFT(INDEX($A332:$AD332,1,$D$6),LEN(Inputs!$C$30))=Inputs!$C$30,INDEX($A332:$AD332,1,$D$6),""))</f>
        <v/>
      </c>
      <c r="AH332" s="30" t="str">
        <f aca="false">IF(OR(AF332="",$D$7=""),"",TRIM(IFERROR(LEFT(INDEX($A332:$AD332,1,$D$7),FIND(",",INDEX($A332:$AD332,1,$D$7))-1),INDEX($A332:$AD332,1,$D$7))))</f>
        <v/>
      </c>
      <c r="AI332" s="36" t="n">
        <f aca="false">IF(OR(AF332="",$D$5=""),0,IFERROR(IF(ISNUMBER(INDEX($A332:$AD332,1,$D$5)),INDEX($A332:$AD332,1,$D$5),TIMEVALUE(INDEX($A332:$AD332,1,$D$5)))*Inputs!$C$22,0))</f>
        <v>0</v>
      </c>
    </row>
    <row r="333" customFormat="false" ht="15" hidden="false" customHeight="false" outlineLevel="0" collapsed="false">
      <c r="AF333" s="18" t="str">
        <f aca="false">IF($D$4="","",IF(INDEX($A333:$AD333,1,$D$4)="","",IF(ISNUMBER(INDEX($A333:$AD333,1,$D$4)),INDEX($A333:$AD333,1,$D$4),IFERROR(DATEVALUE(INDEX($A333:$AD333,1,$D$4)),""))))</f>
        <v/>
      </c>
      <c r="AG333" s="30" t="str">
        <f aca="false">IF(OR(AF333="",$D$6=""),"",IF(LEFT(INDEX($A333:$AD333,1,$D$6),LEN(Inputs!$C$30))=Inputs!$C$30,INDEX($A333:$AD333,1,$D$6),""))</f>
        <v/>
      </c>
      <c r="AH333" s="30" t="str">
        <f aca="false">IF(OR(AF333="",$D$7=""),"",TRIM(IFERROR(LEFT(INDEX($A333:$AD333,1,$D$7),FIND(",",INDEX($A333:$AD333,1,$D$7))-1),INDEX($A333:$AD333,1,$D$7))))</f>
        <v/>
      </c>
      <c r="AI333" s="36" t="n">
        <f aca="false">IF(OR(AF333="",$D$5=""),0,IFERROR(IF(ISNUMBER(INDEX($A333:$AD333,1,$D$5)),INDEX($A333:$AD333,1,$D$5),TIMEVALUE(INDEX($A333:$AD333,1,$D$5)))*Inputs!$C$22,0))</f>
        <v>0</v>
      </c>
    </row>
    <row r="334" customFormat="false" ht="15" hidden="false" customHeight="false" outlineLevel="0" collapsed="false">
      <c r="AF334" s="18" t="str">
        <f aca="false">IF($D$4="","",IF(INDEX($A334:$AD334,1,$D$4)="","",IF(ISNUMBER(INDEX($A334:$AD334,1,$D$4)),INDEX($A334:$AD334,1,$D$4),IFERROR(DATEVALUE(INDEX($A334:$AD334,1,$D$4)),""))))</f>
        <v/>
      </c>
      <c r="AG334" s="30" t="str">
        <f aca="false">IF(OR(AF334="",$D$6=""),"",IF(LEFT(INDEX($A334:$AD334,1,$D$6),LEN(Inputs!$C$30))=Inputs!$C$30,INDEX($A334:$AD334,1,$D$6),""))</f>
        <v/>
      </c>
      <c r="AH334" s="30" t="str">
        <f aca="false">IF(OR(AF334="",$D$7=""),"",TRIM(IFERROR(LEFT(INDEX($A334:$AD334,1,$D$7),FIND(",",INDEX($A334:$AD334,1,$D$7))-1),INDEX($A334:$AD334,1,$D$7))))</f>
        <v/>
      </c>
      <c r="AI334" s="36" t="n">
        <f aca="false">IF(OR(AF334="",$D$5=""),0,IFERROR(IF(ISNUMBER(INDEX($A334:$AD334,1,$D$5)),INDEX($A334:$AD334,1,$D$5),TIMEVALUE(INDEX($A334:$AD334,1,$D$5)))*Inputs!$C$22,0))</f>
        <v>0</v>
      </c>
    </row>
    <row r="335" customFormat="false" ht="15" hidden="false" customHeight="false" outlineLevel="0" collapsed="false">
      <c r="AF335" s="18" t="str">
        <f aca="false">IF($D$4="","",IF(INDEX($A335:$AD335,1,$D$4)="","",IF(ISNUMBER(INDEX($A335:$AD335,1,$D$4)),INDEX($A335:$AD335,1,$D$4),IFERROR(DATEVALUE(INDEX($A335:$AD335,1,$D$4)),""))))</f>
        <v/>
      </c>
      <c r="AG335" s="30" t="str">
        <f aca="false">IF(OR(AF335="",$D$6=""),"",IF(LEFT(INDEX($A335:$AD335,1,$D$6),LEN(Inputs!$C$30))=Inputs!$C$30,INDEX($A335:$AD335,1,$D$6),""))</f>
        <v/>
      </c>
      <c r="AH335" s="30" t="str">
        <f aca="false">IF(OR(AF335="",$D$7=""),"",TRIM(IFERROR(LEFT(INDEX($A335:$AD335,1,$D$7),FIND(",",INDEX($A335:$AD335,1,$D$7))-1),INDEX($A335:$AD335,1,$D$7))))</f>
        <v/>
      </c>
      <c r="AI335" s="36" t="n">
        <f aca="false">IF(OR(AF335="",$D$5=""),0,IFERROR(IF(ISNUMBER(INDEX($A335:$AD335,1,$D$5)),INDEX($A335:$AD335,1,$D$5),TIMEVALUE(INDEX($A335:$AD335,1,$D$5)))*Inputs!$C$22,0))</f>
        <v>0</v>
      </c>
    </row>
    <row r="336" customFormat="false" ht="15" hidden="false" customHeight="false" outlineLevel="0" collapsed="false">
      <c r="AF336" s="18" t="str">
        <f aca="false">IF($D$4="","",IF(INDEX($A336:$AD336,1,$D$4)="","",IF(ISNUMBER(INDEX($A336:$AD336,1,$D$4)),INDEX($A336:$AD336,1,$D$4),IFERROR(DATEVALUE(INDEX($A336:$AD336,1,$D$4)),""))))</f>
        <v/>
      </c>
      <c r="AG336" s="30" t="str">
        <f aca="false">IF(OR(AF336="",$D$6=""),"",IF(LEFT(INDEX($A336:$AD336,1,$D$6),LEN(Inputs!$C$30))=Inputs!$C$30,INDEX($A336:$AD336,1,$D$6),""))</f>
        <v/>
      </c>
      <c r="AH336" s="30" t="str">
        <f aca="false">IF(OR(AF336="",$D$7=""),"",TRIM(IFERROR(LEFT(INDEX($A336:$AD336,1,$D$7),FIND(",",INDEX($A336:$AD336,1,$D$7))-1),INDEX($A336:$AD336,1,$D$7))))</f>
        <v/>
      </c>
      <c r="AI336" s="36" t="n">
        <f aca="false">IF(OR(AF336="",$D$5=""),0,IFERROR(IF(ISNUMBER(INDEX($A336:$AD336,1,$D$5)),INDEX($A336:$AD336,1,$D$5),TIMEVALUE(INDEX($A336:$AD336,1,$D$5)))*Inputs!$C$22,0))</f>
        <v>0</v>
      </c>
    </row>
    <row r="337" customFormat="false" ht="15" hidden="false" customHeight="false" outlineLevel="0" collapsed="false">
      <c r="AF337" s="18" t="str">
        <f aca="false">IF($D$4="","",IF(INDEX($A337:$AD337,1,$D$4)="","",IF(ISNUMBER(INDEX($A337:$AD337,1,$D$4)),INDEX($A337:$AD337,1,$D$4),IFERROR(DATEVALUE(INDEX($A337:$AD337,1,$D$4)),""))))</f>
        <v/>
      </c>
      <c r="AG337" s="30" t="str">
        <f aca="false">IF(OR(AF337="",$D$6=""),"",IF(LEFT(INDEX($A337:$AD337,1,$D$6),LEN(Inputs!$C$30))=Inputs!$C$30,INDEX($A337:$AD337,1,$D$6),""))</f>
        <v/>
      </c>
      <c r="AH337" s="30" t="str">
        <f aca="false">IF(OR(AF337="",$D$7=""),"",TRIM(IFERROR(LEFT(INDEX($A337:$AD337,1,$D$7),FIND(",",INDEX($A337:$AD337,1,$D$7))-1),INDEX($A337:$AD337,1,$D$7))))</f>
        <v/>
      </c>
      <c r="AI337" s="36" t="n">
        <f aca="false">IF(OR(AF337="",$D$5=""),0,IFERROR(IF(ISNUMBER(INDEX($A337:$AD337,1,$D$5)),INDEX($A337:$AD337,1,$D$5),TIMEVALUE(INDEX($A337:$AD337,1,$D$5)))*Inputs!$C$22,0))</f>
        <v>0</v>
      </c>
    </row>
    <row r="338" customFormat="false" ht="15" hidden="false" customHeight="false" outlineLevel="0" collapsed="false">
      <c r="AF338" s="18" t="str">
        <f aca="false">IF($D$4="","",IF(INDEX($A338:$AD338,1,$D$4)="","",IF(ISNUMBER(INDEX($A338:$AD338,1,$D$4)),INDEX($A338:$AD338,1,$D$4),IFERROR(DATEVALUE(INDEX($A338:$AD338,1,$D$4)),""))))</f>
        <v/>
      </c>
      <c r="AG338" s="30" t="str">
        <f aca="false">IF(OR(AF338="",$D$6=""),"",IF(LEFT(INDEX($A338:$AD338,1,$D$6),LEN(Inputs!$C$30))=Inputs!$C$30,INDEX($A338:$AD338,1,$D$6),""))</f>
        <v/>
      </c>
      <c r="AH338" s="30" t="str">
        <f aca="false">IF(OR(AF338="",$D$7=""),"",TRIM(IFERROR(LEFT(INDEX($A338:$AD338,1,$D$7),FIND(",",INDEX($A338:$AD338,1,$D$7))-1),INDEX($A338:$AD338,1,$D$7))))</f>
        <v/>
      </c>
      <c r="AI338" s="36" t="n">
        <f aca="false">IF(OR(AF338="",$D$5=""),0,IFERROR(IF(ISNUMBER(INDEX($A338:$AD338,1,$D$5)),INDEX($A338:$AD338,1,$D$5),TIMEVALUE(INDEX($A338:$AD338,1,$D$5)))*Inputs!$C$22,0))</f>
        <v>0</v>
      </c>
    </row>
    <row r="339" customFormat="false" ht="15" hidden="false" customHeight="false" outlineLevel="0" collapsed="false">
      <c r="AF339" s="18" t="str">
        <f aca="false">IF($D$4="","",IF(INDEX($A339:$AD339,1,$D$4)="","",IF(ISNUMBER(INDEX($A339:$AD339,1,$D$4)),INDEX($A339:$AD339,1,$D$4),IFERROR(DATEVALUE(INDEX($A339:$AD339,1,$D$4)),""))))</f>
        <v/>
      </c>
      <c r="AG339" s="30" t="str">
        <f aca="false">IF(OR(AF339="",$D$6=""),"",IF(LEFT(INDEX($A339:$AD339,1,$D$6),LEN(Inputs!$C$30))=Inputs!$C$30,INDEX($A339:$AD339,1,$D$6),""))</f>
        <v/>
      </c>
      <c r="AH339" s="30" t="str">
        <f aca="false">IF(OR(AF339="",$D$7=""),"",TRIM(IFERROR(LEFT(INDEX($A339:$AD339,1,$D$7),FIND(",",INDEX($A339:$AD339,1,$D$7))-1),INDEX($A339:$AD339,1,$D$7))))</f>
        <v/>
      </c>
      <c r="AI339" s="36" t="n">
        <f aca="false">IF(OR(AF339="",$D$5=""),0,IFERROR(IF(ISNUMBER(INDEX($A339:$AD339,1,$D$5)),INDEX($A339:$AD339,1,$D$5),TIMEVALUE(INDEX($A339:$AD339,1,$D$5)))*Inputs!$C$22,0))</f>
        <v>0</v>
      </c>
    </row>
    <row r="340" customFormat="false" ht="15" hidden="false" customHeight="false" outlineLevel="0" collapsed="false">
      <c r="AF340" s="18" t="str">
        <f aca="false">IF($D$4="","",IF(INDEX($A340:$AD340,1,$D$4)="","",IF(ISNUMBER(INDEX($A340:$AD340,1,$D$4)),INDEX($A340:$AD340,1,$D$4),IFERROR(DATEVALUE(INDEX($A340:$AD340,1,$D$4)),""))))</f>
        <v/>
      </c>
      <c r="AG340" s="30" t="str">
        <f aca="false">IF(OR(AF340="",$D$6=""),"",IF(LEFT(INDEX($A340:$AD340,1,$D$6),LEN(Inputs!$C$30))=Inputs!$C$30,INDEX($A340:$AD340,1,$D$6),""))</f>
        <v/>
      </c>
      <c r="AH340" s="30" t="str">
        <f aca="false">IF(OR(AF340="",$D$7=""),"",TRIM(IFERROR(LEFT(INDEX($A340:$AD340,1,$D$7),FIND(",",INDEX($A340:$AD340,1,$D$7))-1),INDEX($A340:$AD340,1,$D$7))))</f>
        <v/>
      </c>
      <c r="AI340" s="36" t="n">
        <f aca="false">IF(OR(AF340="",$D$5=""),0,IFERROR(IF(ISNUMBER(INDEX($A340:$AD340,1,$D$5)),INDEX($A340:$AD340,1,$D$5),TIMEVALUE(INDEX($A340:$AD340,1,$D$5)))*Inputs!$C$22,0))</f>
        <v>0</v>
      </c>
    </row>
    <row r="341" customFormat="false" ht="15" hidden="false" customHeight="false" outlineLevel="0" collapsed="false">
      <c r="AF341" s="18" t="str">
        <f aca="false">IF($D$4="","",IF(INDEX($A341:$AD341,1,$D$4)="","",IF(ISNUMBER(INDEX($A341:$AD341,1,$D$4)),INDEX($A341:$AD341,1,$D$4),IFERROR(DATEVALUE(INDEX($A341:$AD341,1,$D$4)),""))))</f>
        <v/>
      </c>
      <c r="AG341" s="30" t="str">
        <f aca="false">IF(OR(AF341="",$D$6=""),"",IF(LEFT(INDEX($A341:$AD341,1,$D$6),LEN(Inputs!$C$30))=Inputs!$C$30,INDEX($A341:$AD341,1,$D$6),""))</f>
        <v/>
      </c>
      <c r="AH341" s="30" t="str">
        <f aca="false">IF(OR(AF341="",$D$7=""),"",TRIM(IFERROR(LEFT(INDEX($A341:$AD341,1,$D$7),FIND(",",INDEX($A341:$AD341,1,$D$7))-1),INDEX($A341:$AD341,1,$D$7))))</f>
        <v/>
      </c>
      <c r="AI341" s="36" t="n">
        <f aca="false">IF(OR(AF341="",$D$5=""),0,IFERROR(IF(ISNUMBER(INDEX($A341:$AD341,1,$D$5)),INDEX($A341:$AD341,1,$D$5),TIMEVALUE(INDEX($A341:$AD341,1,$D$5)))*Inputs!$C$22,0))</f>
        <v>0</v>
      </c>
    </row>
    <row r="342" customFormat="false" ht="15" hidden="false" customHeight="false" outlineLevel="0" collapsed="false">
      <c r="AF342" s="18" t="str">
        <f aca="false">IF($D$4="","",IF(INDEX($A342:$AD342,1,$D$4)="","",IF(ISNUMBER(INDEX($A342:$AD342,1,$D$4)),INDEX($A342:$AD342,1,$D$4),IFERROR(DATEVALUE(INDEX($A342:$AD342,1,$D$4)),""))))</f>
        <v/>
      </c>
      <c r="AG342" s="30" t="str">
        <f aca="false">IF(OR(AF342="",$D$6=""),"",IF(LEFT(INDEX($A342:$AD342,1,$D$6),LEN(Inputs!$C$30))=Inputs!$C$30,INDEX($A342:$AD342,1,$D$6),""))</f>
        <v/>
      </c>
      <c r="AH342" s="30" t="str">
        <f aca="false">IF(OR(AF342="",$D$7=""),"",TRIM(IFERROR(LEFT(INDEX($A342:$AD342,1,$D$7),FIND(",",INDEX($A342:$AD342,1,$D$7))-1),INDEX($A342:$AD342,1,$D$7))))</f>
        <v/>
      </c>
      <c r="AI342" s="36" t="n">
        <f aca="false">IF(OR(AF342="",$D$5=""),0,IFERROR(IF(ISNUMBER(INDEX($A342:$AD342,1,$D$5)),INDEX($A342:$AD342,1,$D$5),TIMEVALUE(INDEX($A342:$AD342,1,$D$5)))*Inputs!$C$22,0))</f>
        <v>0</v>
      </c>
    </row>
    <row r="343" customFormat="false" ht="15" hidden="false" customHeight="false" outlineLevel="0" collapsed="false">
      <c r="AF343" s="18" t="str">
        <f aca="false">IF($D$4="","",IF(INDEX($A343:$AD343,1,$D$4)="","",IF(ISNUMBER(INDEX($A343:$AD343,1,$D$4)),INDEX($A343:$AD343,1,$D$4),IFERROR(DATEVALUE(INDEX($A343:$AD343,1,$D$4)),""))))</f>
        <v/>
      </c>
      <c r="AG343" s="30" t="str">
        <f aca="false">IF(OR(AF343="",$D$6=""),"",IF(LEFT(INDEX($A343:$AD343,1,$D$6),LEN(Inputs!$C$30))=Inputs!$C$30,INDEX($A343:$AD343,1,$D$6),""))</f>
        <v/>
      </c>
      <c r="AH343" s="30" t="str">
        <f aca="false">IF(OR(AF343="",$D$7=""),"",TRIM(IFERROR(LEFT(INDEX($A343:$AD343,1,$D$7),FIND(",",INDEX($A343:$AD343,1,$D$7))-1),INDEX($A343:$AD343,1,$D$7))))</f>
        <v/>
      </c>
      <c r="AI343" s="36" t="n">
        <f aca="false">IF(OR(AF343="",$D$5=""),0,IFERROR(IF(ISNUMBER(INDEX($A343:$AD343,1,$D$5)),INDEX($A343:$AD343,1,$D$5),TIMEVALUE(INDEX($A343:$AD343,1,$D$5)))*Inputs!$C$22,0))</f>
        <v>0</v>
      </c>
    </row>
    <row r="344" customFormat="false" ht="15" hidden="false" customHeight="false" outlineLevel="0" collapsed="false">
      <c r="AF344" s="18" t="str">
        <f aca="false">IF($D$4="","",IF(INDEX($A344:$AD344,1,$D$4)="","",IF(ISNUMBER(INDEX($A344:$AD344,1,$D$4)),INDEX($A344:$AD344,1,$D$4),IFERROR(DATEVALUE(INDEX($A344:$AD344,1,$D$4)),""))))</f>
        <v/>
      </c>
      <c r="AG344" s="30" t="str">
        <f aca="false">IF(OR(AF344="",$D$6=""),"",IF(LEFT(INDEX($A344:$AD344,1,$D$6),LEN(Inputs!$C$30))=Inputs!$C$30,INDEX($A344:$AD344,1,$D$6),""))</f>
        <v/>
      </c>
      <c r="AH344" s="30" t="str">
        <f aca="false">IF(OR(AF344="",$D$7=""),"",TRIM(IFERROR(LEFT(INDEX($A344:$AD344,1,$D$7),FIND(",",INDEX($A344:$AD344,1,$D$7))-1),INDEX($A344:$AD344,1,$D$7))))</f>
        <v/>
      </c>
      <c r="AI344" s="36" t="n">
        <f aca="false">IF(OR(AF344="",$D$5=""),0,IFERROR(IF(ISNUMBER(INDEX($A344:$AD344,1,$D$5)),INDEX($A344:$AD344,1,$D$5),TIMEVALUE(INDEX($A344:$AD344,1,$D$5)))*Inputs!$C$22,0))</f>
        <v>0</v>
      </c>
    </row>
    <row r="345" customFormat="false" ht="15" hidden="false" customHeight="false" outlineLevel="0" collapsed="false">
      <c r="AF345" s="18" t="str">
        <f aca="false">IF($D$4="","",IF(INDEX($A345:$AD345,1,$D$4)="","",IF(ISNUMBER(INDEX($A345:$AD345,1,$D$4)),INDEX($A345:$AD345,1,$D$4),IFERROR(DATEVALUE(INDEX($A345:$AD345,1,$D$4)),""))))</f>
        <v/>
      </c>
      <c r="AG345" s="30" t="str">
        <f aca="false">IF(OR(AF345="",$D$6=""),"",IF(LEFT(INDEX($A345:$AD345,1,$D$6),LEN(Inputs!$C$30))=Inputs!$C$30,INDEX($A345:$AD345,1,$D$6),""))</f>
        <v/>
      </c>
      <c r="AH345" s="30" t="str">
        <f aca="false">IF(OR(AF345="",$D$7=""),"",TRIM(IFERROR(LEFT(INDEX($A345:$AD345,1,$D$7),FIND(",",INDEX($A345:$AD345,1,$D$7))-1),INDEX($A345:$AD345,1,$D$7))))</f>
        <v/>
      </c>
      <c r="AI345" s="36" t="n">
        <f aca="false">IF(OR(AF345="",$D$5=""),0,IFERROR(IF(ISNUMBER(INDEX($A345:$AD345,1,$D$5)),INDEX($A345:$AD345,1,$D$5),TIMEVALUE(INDEX($A345:$AD345,1,$D$5)))*Inputs!$C$22,0))</f>
        <v>0</v>
      </c>
    </row>
    <row r="346" customFormat="false" ht="15" hidden="false" customHeight="false" outlineLevel="0" collapsed="false">
      <c r="AF346" s="18" t="str">
        <f aca="false">IF($D$4="","",IF(INDEX($A346:$AD346,1,$D$4)="","",IF(ISNUMBER(INDEX($A346:$AD346,1,$D$4)),INDEX($A346:$AD346,1,$D$4),IFERROR(DATEVALUE(INDEX($A346:$AD346,1,$D$4)),""))))</f>
        <v/>
      </c>
      <c r="AG346" s="30" t="str">
        <f aca="false">IF(OR(AF346="",$D$6=""),"",IF(LEFT(INDEX($A346:$AD346,1,$D$6),LEN(Inputs!$C$30))=Inputs!$C$30,INDEX($A346:$AD346,1,$D$6),""))</f>
        <v/>
      </c>
      <c r="AH346" s="30" t="str">
        <f aca="false">IF(OR(AF346="",$D$7=""),"",TRIM(IFERROR(LEFT(INDEX($A346:$AD346,1,$D$7),FIND(",",INDEX($A346:$AD346,1,$D$7))-1),INDEX($A346:$AD346,1,$D$7))))</f>
        <v/>
      </c>
      <c r="AI346" s="36" t="n">
        <f aca="false">IF(OR(AF346="",$D$5=""),0,IFERROR(IF(ISNUMBER(INDEX($A346:$AD346,1,$D$5)),INDEX($A346:$AD346,1,$D$5),TIMEVALUE(INDEX($A346:$AD346,1,$D$5)))*Inputs!$C$22,0))</f>
        <v>0</v>
      </c>
    </row>
    <row r="347" customFormat="false" ht="15" hidden="false" customHeight="false" outlineLevel="0" collapsed="false">
      <c r="AF347" s="18" t="str">
        <f aca="false">IF($D$4="","",IF(INDEX($A347:$AD347,1,$D$4)="","",IF(ISNUMBER(INDEX($A347:$AD347,1,$D$4)),INDEX($A347:$AD347,1,$D$4),IFERROR(DATEVALUE(INDEX($A347:$AD347,1,$D$4)),""))))</f>
        <v/>
      </c>
      <c r="AG347" s="30" t="str">
        <f aca="false">IF(OR(AF347="",$D$6=""),"",IF(LEFT(INDEX($A347:$AD347,1,$D$6),LEN(Inputs!$C$30))=Inputs!$C$30,INDEX($A347:$AD347,1,$D$6),""))</f>
        <v/>
      </c>
      <c r="AH347" s="30" t="str">
        <f aca="false">IF(OR(AF347="",$D$7=""),"",TRIM(IFERROR(LEFT(INDEX($A347:$AD347,1,$D$7),FIND(",",INDEX($A347:$AD347,1,$D$7))-1),INDEX($A347:$AD347,1,$D$7))))</f>
        <v/>
      </c>
      <c r="AI347" s="36" t="n">
        <f aca="false">IF(OR(AF347="",$D$5=""),0,IFERROR(IF(ISNUMBER(INDEX($A347:$AD347,1,$D$5)),INDEX($A347:$AD347,1,$D$5),TIMEVALUE(INDEX($A347:$AD347,1,$D$5)))*Inputs!$C$22,0))</f>
        <v>0</v>
      </c>
    </row>
    <row r="348" customFormat="false" ht="15" hidden="false" customHeight="false" outlineLevel="0" collapsed="false">
      <c r="AF348" s="18" t="str">
        <f aca="false">IF($D$4="","",IF(INDEX($A348:$AD348,1,$D$4)="","",IF(ISNUMBER(INDEX($A348:$AD348,1,$D$4)),INDEX($A348:$AD348,1,$D$4),IFERROR(DATEVALUE(INDEX($A348:$AD348,1,$D$4)),""))))</f>
        <v/>
      </c>
      <c r="AG348" s="30" t="str">
        <f aca="false">IF(OR(AF348="",$D$6=""),"",IF(LEFT(INDEX($A348:$AD348,1,$D$6),LEN(Inputs!$C$30))=Inputs!$C$30,INDEX($A348:$AD348,1,$D$6),""))</f>
        <v/>
      </c>
      <c r="AH348" s="30" t="str">
        <f aca="false">IF(OR(AF348="",$D$7=""),"",TRIM(IFERROR(LEFT(INDEX($A348:$AD348,1,$D$7),FIND(",",INDEX($A348:$AD348,1,$D$7))-1),INDEX($A348:$AD348,1,$D$7))))</f>
        <v/>
      </c>
      <c r="AI348" s="36" t="n">
        <f aca="false">IF(OR(AF348="",$D$5=""),0,IFERROR(IF(ISNUMBER(INDEX($A348:$AD348,1,$D$5)),INDEX($A348:$AD348,1,$D$5),TIMEVALUE(INDEX($A348:$AD348,1,$D$5)))*Inputs!$C$22,0))</f>
        <v>0</v>
      </c>
    </row>
    <row r="349" customFormat="false" ht="15" hidden="false" customHeight="false" outlineLevel="0" collapsed="false">
      <c r="AF349" s="18" t="str">
        <f aca="false">IF($D$4="","",IF(INDEX($A349:$AD349,1,$D$4)="","",IF(ISNUMBER(INDEX($A349:$AD349,1,$D$4)),INDEX($A349:$AD349,1,$D$4),IFERROR(DATEVALUE(INDEX($A349:$AD349,1,$D$4)),""))))</f>
        <v/>
      </c>
      <c r="AG349" s="30" t="str">
        <f aca="false">IF(OR(AF349="",$D$6=""),"",IF(LEFT(INDEX($A349:$AD349,1,$D$6),LEN(Inputs!$C$30))=Inputs!$C$30,INDEX($A349:$AD349,1,$D$6),""))</f>
        <v/>
      </c>
      <c r="AH349" s="30" t="str">
        <f aca="false">IF(OR(AF349="",$D$7=""),"",TRIM(IFERROR(LEFT(INDEX($A349:$AD349,1,$D$7),FIND(",",INDEX($A349:$AD349,1,$D$7))-1),INDEX($A349:$AD349,1,$D$7))))</f>
        <v/>
      </c>
      <c r="AI349" s="36" t="n">
        <f aca="false">IF(OR(AF349="",$D$5=""),0,IFERROR(IF(ISNUMBER(INDEX($A349:$AD349,1,$D$5)),INDEX($A349:$AD349,1,$D$5),TIMEVALUE(INDEX($A349:$AD349,1,$D$5)))*Inputs!$C$22,0))</f>
        <v>0</v>
      </c>
    </row>
    <row r="350" customFormat="false" ht="15" hidden="false" customHeight="false" outlineLevel="0" collapsed="false">
      <c r="AF350" s="18" t="str">
        <f aca="false">IF($D$4="","",IF(INDEX($A350:$AD350,1,$D$4)="","",IF(ISNUMBER(INDEX($A350:$AD350,1,$D$4)),INDEX($A350:$AD350,1,$D$4),IFERROR(DATEVALUE(INDEX($A350:$AD350,1,$D$4)),""))))</f>
        <v/>
      </c>
      <c r="AG350" s="30" t="str">
        <f aca="false">IF(OR(AF350="",$D$6=""),"",IF(LEFT(INDEX($A350:$AD350,1,$D$6),LEN(Inputs!$C$30))=Inputs!$C$30,INDEX($A350:$AD350,1,$D$6),""))</f>
        <v/>
      </c>
      <c r="AH350" s="30" t="str">
        <f aca="false">IF(OR(AF350="",$D$7=""),"",TRIM(IFERROR(LEFT(INDEX($A350:$AD350,1,$D$7),FIND(",",INDEX($A350:$AD350,1,$D$7))-1),INDEX($A350:$AD350,1,$D$7))))</f>
        <v/>
      </c>
      <c r="AI350" s="36" t="n">
        <f aca="false">IF(OR(AF350="",$D$5=""),0,IFERROR(IF(ISNUMBER(INDEX($A350:$AD350,1,$D$5)),INDEX($A350:$AD350,1,$D$5),TIMEVALUE(INDEX($A350:$AD350,1,$D$5)))*Inputs!$C$22,0))</f>
        <v>0</v>
      </c>
    </row>
    <row r="351" customFormat="false" ht="15" hidden="false" customHeight="false" outlineLevel="0" collapsed="false">
      <c r="AF351" s="18" t="str">
        <f aca="false">IF($D$4="","",IF(INDEX($A351:$AD351,1,$D$4)="","",IF(ISNUMBER(INDEX($A351:$AD351,1,$D$4)),INDEX($A351:$AD351,1,$D$4),IFERROR(DATEVALUE(INDEX($A351:$AD351,1,$D$4)),""))))</f>
        <v/>
      </c>
      <c r="AG351" s="30" t="str">
        <f aca="false">IF(OR(AF351="",$D$6=""),"",IF(LEFT(INDEX($A351:$AD351,1,$D$6),LEN(Inputs!$C$30))=Inputs!$C$30,INDEX($A351:$AD351,1,$D$6),""))</f>
        <v/>
      </c>
      <c r="AH351" s="30" t="str">
        <f aca="false">IF(OR(AF351="",$D$7=""),"",TRIM(IFERROR(LEFT(INDEX($A351:$AD351,1,$D$7),FIND(",",INDEX($A351:$AD351,1,$D$7))-1),INDEX($A351:$AD351,1,$D$7))))</f>
        <v/>
      </c>
      <c r="AI351" s="36" t="n">
        <f aca="false">IF(OR(AF351="",$D$5=""),0,IFERROR(IF(ISNUMBER(INDEX($A351:$AD351,1,$D$5)),INDEX($A351:$AD351,1,$D$5),TIMEVALUE(INDEX($A351:$AD351,1,$D$5)))*Inputs!$C$22,0))</f>
        <v>0</v>
      </c>
    </row>
    <row r="352" customFormat="false" ht="15" hidden="false" customHeight="false" outlineLevel="0" collapsed="false">
      <c r="AF352" s="18" t="str">
        <f aca="false">IF($D$4="","",IF(INDEX($A352:$AD352,1,$D$4)="","",IF(ISNUMBER(INDEX($A352:$AD352,1,$D$4)),INDEX($A352:$AD352,1,$D$4),IFERROR(DATEVALUE(INDEX($A352:$AD352,1,$D$4)),""))))</f>
        <v/>
      </c>
      <c r="AG352" s="30" t="str">
        <f aca="false">IF(OR(AF352="",$D$6=""),"",IF(LEFT(INDEX($A352:$AD352,1,$D$6),LEN(Inputs!$C$30))=Inputs!$C$30,INDEX($A352:$AD352,1,$D$6),""))</f>
        <v/>
      </c>
      <c r="AH352" s="30" t="str">
        <f aca="false">IF(OR(AF352="",$D$7=""),"",TRIM(IFERROR(LEFT(INDEX($A352:$AD352,1,$D$7),FIND(",",INDEX($A352:$AD352,1,$D$7))-1),INDEX($A352:$AD352,1,$D$7))))</f>
        <v/>
      </c>
      <c r="AI352" s="36" t="n">
        <f aca="false">IF(OR(AF352="",$D$5=""),0,IFERROR(IF(ISNUMBER(INDEX($A352:$AD352,1,$D$5)),INDEX($A352:$AD352,1,$D$5),TIMEVALUE(INDEX($A352:$AD352,1,$D$5)))*Inputs!$C$22,0))</f>
        <v>0</v>
      </c>
    </row>
    <row r="353" customFormat="false" ht="15" hidden="false" customHeight="false" outlineLevel="0" collapsed="false">
      <c r="AF353" s="18" t="str">
        <f aca="false">IF($D$4="","",IF(INDEX($A353:$AD353,1,$D$4)="","",IF(ISNUMBER(INDEX($A353:$AD353,1,$D$4)),INDEX($A353:$AD353,1,$D$4),IFERROR(DATEVALUE(INDEX($A353:$AD353,1,$D$4)),""))))</f>
        <v/>
      </c>
      <c r="AG353" s="30" t="str">
        <f aca="false">IF(OR(AF353="",$D$6=""),"",IF(LEFT(INDEX($A353:$AD353,1,$D$6),LEN(Inputs!$C$30))=Inputs!$C$30,INDEX($A353:$AD353,1,$D$6),""))</f>
        <v/>
      </c>
      <c r="AH353" s="30" t="str">
        <f aca="false">IF(OR(AF353="",$D$7=""),"",TRIM(IFERROR(LEFT(INDEX($A353:$AD353,1,$D$7),FIND(",",INDEX($A353:$AD353,1,$D$7))-1),INDEX($A353:$AD353,1,$D$7))))</f>
        <v/>
      </c>
      <c r="AI353" s="36" t="n">
        <f aca="false">IF(OR(AF353="",$D$5=""),0,IFERROR(IF(ISNUMBER(INDEX($A353:$AD353,1,$D$5)),INDEX($A353:$AD353,1,$D$5),TIMEVALUE(INDEX($A353:$AD353,1,$D$5)))*Inputs!$C$22,0))</f>
        <v>0</v>
      </c>
    </row>
    <row r="354" customFormat="false" ht="15" hidden="false" customHeight="false" outlineLevel="0" collapsed="false">
      <c r="AF354" s="18" t="str">
        <f aca="false">IF($D$4="","",IF(INDEX($A354:$AD354,1,$D$4)="","",IF(ISNUMBER(INDEX($A354:$AD354,1,$D$4)),INDEX($A354:$AD354,1,$D$4),IFERROR(DATEVALUE(INDEX($A354:$AD354,1,$D$4)),""))))</f>
        <v/>
      </c>
      <c r="AG354" s="30" t="str">
        <f aca="false">IF(OR(AF354="",$D$6=""),"",IF(LEFT(INDEX($A354:$AD354,1,$D$6),LEN(Inputs!$C$30))=Inputs!$C$30,INDEX($A354:$AD354,1,$D$6),""))</f>
        <v/>
      </c>
      <c r="AH354" s="30" t="str">
        <f aca="false">IF(OR(AF354="",$D$7=""),"",TRIM(IFERROR(LEFT(INDEX($A354:$AD354,1,$D$7),FIND(",",INDEX($A354:$AD354,1,$D$7))-1),INDEX($A354:$AD354,1,$D$7))))</f>
        <v/>
      </c>
      <c r="AI354" s="36" t="n">
        <f aca="false">IF(OR(AF354="",$D$5=""),0,IFERROR(IF(ISNUMBER(INDEX($A354:$AD354,1,$D$5)),INDEX($A354:$AD354,1,$D$5),TIMEVALUE(INDEX($A354:$AD354,1,$D$5)))*Inputs!$C$22,0))</f>
        <v>0</v>
      </c>
    </row>
    <row r="355" customFormat="false" ht="15" hidden="false" customHeight="false" outlineLevel="0" collapsed="false">
      <c r="AF355" s="18" t="str">
        <f aca="false">IF($D$4="","",IF(INDEX($A355:$AD355,1,$D$4)="","",IF(ISNUMBER(INDEX($A355:$AD355,1,$D$4)),INDEX($A355:$AD355,1,$D$4),IFERROR(DATEVALUE(INDEX($A355:$AD355,1,$D$4)),""))))</f>
        <v/>
      </c>
      <c r="AG355" s="30" t="str">
        <f aca="false">IF(OR(AF355="",$D$6=""),"",IF(LEFT(INDEX($A355:$AD355,1,$D$6),LEN(Inputs!$C$30))=Inputs!$C$30,INDEX($A355:$AD355,1,$D$6),""))</f>
        <v/>
      </c>
      <c r="AH355" s="30" t="str">
        <f aca="false">IF(OR(AF355="",$D$7=""),"",TRIM(IFERROR(LEFT(INDEX($A355:$AD355,1,$D$7),FIND(",",INDEX($A355:$AD355,1,$D$7))-1),INDEX($A355:$AD355,1,$D$7))))</f>
        <v/>
      </c>
      <c r="AI355" s="36" t="n">
        <f aca="false">IF(OR(AF355="",$D$5=""),0,IFERROR(IF(ISNUMBER(INDEX($A355:$AD355,1,$D$5)),INDEX($A355:$AD355,1,$D$5),TIMEVALUE(INDEX($A355:$AD355,1,$D$5)))*Inputs!$C$22,0))</f>
        <v>0</v>
      </c>
    </row>
    <row r="356" customFormat="false" ht="15" hidden="false" customHeight="false" outlineLevel="0" collapsed="false">
      <c r="AF356" s="18" t="str">
        <f aca="false">IF($D$4="","",IF(INDEX($A356:$AD356,1,$D$4)="","",IF(ISNUMBER(INDEX($A356:$AD356,1,$D$4)),INDEX($A356:$AD356,1,$D$4),IFERROR(DATEVALUE(INDEX($A356:$AD356,1,$D$4)),""))))</f>
        <v/>
      </c>
      <c r="AG356" s="30" t="str">
        <f aca="false">IF(OR(AF356="",$D$6=""),"",IF(LEFT(INDEX($A356:$AD356,1,$D$6),LEN(Inputs!$C$30))=Inputs!$C$30,INDEX($A356:$AD356,1,$D$6),""))</f>
        <v/>
      </c>
      <c r="AH356" s="30" t="str">
        <f aca="false">IF(OR(AF356="",$D$7=""),"",TRIM(IFERROR(LEFT(INDEX($A356:$AD356,1,$D$7),FIND(",",INDEX($A356:$AD356,1,$D$7))-1),INDEX($A356:$AD356,1,$D$7))))</f>
        <v/>
      </c>
      <c r="AI356" s="36" t="n">
        <f aca="false">IF(OR(AF356="",$D$5=""),0,IFERROR(IF(ISNUMBER(INDEX($A356:$AD356,1,$D$5)),INDEX($A356:$AD356,1,$D$5),TIMEVALUE(INDEX($A356:$AD356,1,$D$5)))*Inputs!$C$22,0))</f>
        <v>0</v>
      </c>
    </row>
    <row r="357" customFormat="false" ht="15" hidden="false" customHeight="false" outlineLevel="0" collapsed="false">
      <c r="AF357" s="18" t="str">
        <f aca="false">IF($D$4="","",IF(INDEX($A357:$AD357,1,$D$4)="","",IF(ISNUMBER(INDEX($A357:$AD357,1,$D$4)),INDEX($A357:$AD357,1,$D$4),IFERROR(DATEVALUE(INDEX($A357:$AD357,1,$D$4)),""))))</f>
        <v/>
      </c>
      <c r="AG357" s="30" t="str">
        <f aca="false">IF(OR(AF357="",$D$6=""),"",IF(LEFT(INDEX($A357:$AD357,1,$D$6),LEN(Inputs!$C$30))=Inputs!$C$30,INDEX($A357:$AD357,1,$D$6),""))</f>
        <v/>
      </c>
      <c r="AH357" s="30" t="str">
        <f aca="false">IF(OR(AF357="",$D$7=""),"",TRIM(IFERROR(LEFT(INDEX($A357:$AD357,1,$D$7),FIND(",",INDEX($A357:$AD357,1,$D$7))-1),INDEX($A357:$AD357,1,$D$7))))</f>
        <v/>
      </c>
      <c r="AI357" s="36" t="n">
        <f aca="false">IF(OR(AF357="",$D$5=""),0,IFERROR(IF(ISNUMBER(INDEX($A357:$AD357,1,$D$5)),INDEX($A357:$AD357,1,$D$5),TIMEVALUE(INDEX($A357:$AD357,1,$D$5)))*Inputs!$C$22,0))</f>
        <v>0</v>
      </c>
    </row>
    <row r="358" customFormat="false" ht="15" hidden="false" customHeight="false" outlineLevel="0" collapsed="false">
      <c r="AF358" s="18" t="str">
        <f aca="false">IF($D$4="","",IF(INDEX($A358:$AD358,1,$D$4)="","",IF(ISNUMBER(INDEX($A358:$AD358,1,$D$4)),INDEX($A358:$AD358,1,$D$4),IFERROR(DATEVALUE(INDEX($A358:$AD358,1,$D$4)),""))))</f>
        <v/>
      </c>
      <c r="AG358" s="30" t="str">
        <f aca="false">IF(OR(AF358="",$D$6=""),"",IF(LEFT(INDEX($A358:$AD358,1,$D$6),LEN(Inputs!$C$30))=Inputs!$C$30,INDEX($A358:$AD358,1,$D$6),""))</f>
        <v/>
      </c>
      <c r="AH358" s="30" t="str">
        <f aca="false">IF(OR(AF358="",$D$7=""),"",TRIM(IFERROR(LEFT(INDEX($A358:$AD358,1,$D$7),FIND(",",INDEX($A358:$AD358,1,$D$7))-1),INDEX($A358:$AD358,1,$D$7))))</f>
        <v/>
      </c>
      <c r="AI358" s="36" t="n">
        <f aca="false">IF(OR(AF358="",$D$5=""),0,IFERROR(IF(ISNUMBER(INDEX($A358:$AD358,1,$D$5)),INDEX($A358:$AD358,1,$D$5),TIMEVALUE(INDEX($A358:$AD358,1,$D$5)))*Inputs!$C$22,0))</f>
        <v>0</v>
      </c>
    </row>
    <row r="359" customFormat="false" ht="15" hidden="false" customHeight="false" outlineLevel="0" collapsed="false">
      <c r="AF359" s="18" t="str">
        <f aca="false">IF($D$4="","",IF(INDEX($A359:$AD359,1,$D$4)="","",IF(ISNUMBER(INDEX($A359:$AD359,1,$D$4)),INDEX($A359:$AD359,1,$D$4),IFERROR(DATEVALUE(INDEX($A359:$AD359,1,$D$4)),""))))</f>
        <v/>
      </c>
      <c r="AG359" s="30" t="str">
        <f aca="false">IF(OR(AF359="",$D$6=""),"",IF(LEFT(INDEX($A359:$AD359,1,$D$6),LEN(Inputs!$C$30))=Inputs!$C$30,INDEX($A359:$AD359,1,$D$6),""))</f>
        <v/>
      </c>
      <c r="AH359" s="30" t="str">
        <f aca="false">IF(OR(AF359="",$D$7=""),"",TRIM(IFERROR(LEFT(INDEX($A359:$AD359,1,$D$7),FIND(",",INDEX($A359:$AD359,1,$D$7))-1),INDEX($A359:$AD359,1,$D$7))))</f>
        <v/>
      </c>
      <c r="AI359" s="36" t="n">
        <f aca="false">IF(OR(AF359="",$D$5=""),0,IFERROR(IF(ISNUMBER(INDEX($A359:$AD359,1,$D$5)),INDEX($A359:$AD359,1,$D$5),TIMEVALUE(INDEX($A359:$AD359,1,$D$5)))*Inputs!$C$22,0))</f>
        <v>0</v>
      </c>
    </row>
    <row r="360" customFormat="false" ht="15" hidden="false" customHeight="false" outlineLevel="0" collapsed="false">
      <c r="AF360" s="18" t="str">
        <f aca="false">IF($D$4="","",IF(INDEX($A360:$AD360,1,$D$4)="","",IF(ISNUMBER(INDEX($A360:$AD360,1,$D$4)),INDEX($A360:$AD360,1,$D$4),IFERROR(DATEVALUE(INDEX($A360:$AD360,1,$D$4)),""))))</f>
        <v/>
      </c>
      <c r="AG360" s="30" t="str">
        <f aca="false">IF(OR(AF360="",$D$6=""),"",IF(LEFT(INDEX($A360:$AD360,1,$D$6),LEN(Inputs!$C$30))=Inputs!$C$30,INDEX($A360:$AD360,1,$D$6),""))</f>
        <v/>
      </c>
      <c r="AH360" s="30" t="str">
        <f aca="false">IF(OR(AF360="",$D$7=""),"",TRIM(IFERROR(LEFT(INDEX($A360:$AD360,1,$D$7),FIND(",",INDEX($A360:$AD360,1,$D$7))-1),INDEX($A360:$AD360,1,$D$7))))</f>
        <v/>
      </c>
      <c r="AI360" s="36" t="n">
        <f aca="false">IF(OR(AF360="",$D$5=""),0,IFERROR(IF(ISNUMBER(INDEX($A360:$AD360,1,$D$5)),INDEX($A360:$AD360,1,$D$5),TIMEVALUE(INDEX($A360:$AD360,1,$D$5)))*Inputs!$C$22,0))</f>
        <v>0</v>
      </c>
    </row>
    <row r="361" customFormat="false" ht="15" hidden="false" customHeight="false" outlineLevel="0" collapsed="false">
      <c r="AF361" s="18" t="str">
        <f aca="false">IF($D$4="","",IF(INDEX($A361:$AD361,1,$D$4)="","",IF(ISNUMBER(INDEX($A361:$AD361,1,$D$4)),INDEX($A361:$AD361,1,$D$4),IFERROR(DATEVALUE(INDEX($A361:$AD361,1,$D$4)),""))))</f>
        <v/>
      </c>
      <c r="AG361" s="30" t="str">
        <f aca="false">IF(OR(AF361="",$D$6=""),"",IF(LEFT(INDEX($A361:$AD361,1,$D$6),LEN(Inputs!$C$30))=Inputs!$C$30,INDEX($A361:$AD361,1,$D$6),""))</f>
        <v/>
      </c>
      <c r="AH361" s="30" t="str">
        <f aca="false">IF(OR(AF361="",$D$7=""),"",TRIM(IFERROR(LEFT(INDEX($A361:$AD361,1,$D$7),FIND(",",INDEX($A361:$AD361,1,$D$7))-1),INDEX($A361:$AD361,1,$D$7))))</f>
        <v/>
      </c>
      <c r="AI361" s="36" t="n">
        <f aca="false">IF(OR(AF361="",$D$5=""),0,IFERROR(IF(ISNUMBER(INDEX($A361:$AD361,1,$D$5)),INDEX($A361:$AD361,1,$D$5),TIMEVALUE(INDEX($A361:$AD361,1,$D$5)))*Inputs!$C$22,0))</f>
        <v>0</v>
      </c>
    </row>
    <row r="362" customFormat="false" ht="15" hidden="false" customHeight="false" outlineLevel="0" collapsed="false">
      <c r="AF362" s="18" t="str">
        <f aca="false">IF($D$4="","",IF(INDEX($A362:$AD362,1,$D$4)="","",IF(ISNUMBER(INDEX($A362:$AD362,1,$D$4)),INDEX($A362:$AD362,1,$D$4),IFERROR(DATEVALUE(INDEX($A362:$AD362,1,$D$4)),""))))</f>
        <v/>
      </c>
      <c r="AG362" s="30" t="str">
        <f aca="false">IF(OR(AF362="",$D$6=""),"",IF(LEFT(INDEX($A362:$AD362,1,$D$6),LEN(Inputs!$C$30))=Inputs!$C$30,INDEX($A362:$AD362,1,$D$6),""))</f>
        <v/>
      </c>
      <c r="AH362" s="30" t="str">
        <f aca="false">IF(OR(AF362="",$D$7=""),"",TRIM(IFERROR(LEFT(INDEX($A362:$AD362,1,$D$7),FIND(",",INDEX($A362:$AD362,1,$D$7))-1),INDEX($A362:$AD362,1,$D$7))))</f>
        <v/>
      </c>
      <c r="AI362" s="36" t="n">
        <f aca="false">IF(OR(AF362="",$D$5=""),0,IFERROR(IF(ISNUMBER(INDEX($A362:$AD362,1,$D$5)),INDEX($A362:$AD362,1,$D$5),TIMEVALUE(INDEX($A362:$AD362,1,$D$5)))*Inputs!$C$22,0))</f>
        <v>0</v>
      </c>
    </row>
    <row r="363" customFormat="false" ht="15" hidden="false" customHeight="false" outlineLevel="0" collapsed="false">
      <c r="AF363" s="18" t="str">
        <f aca="false">IF($D$4="","",IF(INDEX($A363:$AD363,1,$D$4)="","",IF(ISNUMBER(INDEX($A363:$AD363,1,$D$4)),INDEX($A363:$AD363,1,$D$4),IFERROR(DATEVALUE(INDEX($A363:$AD363,1,$D$4)),""))))</f>
        <v/>
      </c>
      <c r="AG363" s="30" t="str">
        <f aca="false">IF(OR(AF363="",$D$6=""),"",IF(LEFT(INDEX($A363:$AD363,1,$D$6),LEN(Inputs!$C$30))=Inputs!$C$30,INDEX($A363:$AD363,1,$D$6),""))</f>
        <v/>
      </c>
      <c r="AH363" s="30" t="str">
        <f aca="false">IF(OR(AF363="",$D$7=""),"",TRIM(IFERROR(LEFT(INDEX($A363:$AD363,1,$D$7),FIND(",",INDEX($A363:$AD363,1,$D$7))-1),INDEX($A363:$AD363,1,$D$7))))</f>
        <v/>
      </c>
      <c r="AI363" s="36" t="n">
        <f aca="false">IF(OR(AF363="",$D$5=""),0,IFERROR(IF(ISNUMBER(INDEX($A363:$AD363,1,$D$5)),INDEX($A363:$AD363,1,$D$5),TIMEVALUE(INDEX($A363:$AD363,1,$D$5)))*Inputs!$C$22,0))</f>
        <v>0</v>
      </c>
    </row>
    <row r="364" customFormat="false" ht="15" hidden="false" customHeight="false" outlineLevel="0" collapsed="false">
      <c r="AF364" s="18" t="str">
        <f aca="false">IF($D$4="","",IF(INDEX($A364:$AD364,1,$D$4)="","",IF(ISNUMBER(INDEX($A364:$AD364,1,$D$4)),INDEX($A364:$AD364,1,$D$4),IFERROR(DATEVALUE(INDEX($A364:$AD364,1,$D$4)),""))))</f>
        <v/>
      </c>
      <c r="AG364" s="30" t="str">
        <f aca="false">IF(OR(AF364="",$D$6=""),"",IF(LEFT(INDEX($A364:$AD364,1,$D$6),LEN(Inputs!$C$30))=Inputs!$C$30,INDEX($A364:$AD364,1,$D$6),""))</f>
        <v/>
      </c>
      <c r="AH364" s="30" t="str">
        <f aca="false">IF(OR(AF364="",$D$7=""),"",TRIM(IFERROR(LEFT(INDEX($A364:$AD364,1,$D$7),FIND(",",INDEX($A364:$AD364,1,$D$7))-1),INDEX($A364:$AD364,1,$D$7))))</f>
        <v/>
      </c>
      <c r="AI364" s="36" t="n">
        <f aca="false">IF(OR(AF364="",$D$5=""),0,IFERROR(IF(ISNUMBER(INDEX($A364:$AD364,1,$D$5)),INDEX($A364:$AD364,1,$D$5),TIMEVALUE(INDEX($A364:$AD364,1,$D$5)))*Inputs!$C$22,0))</f>
        <v>0</v>
      </c>
    </row>
    <row r="365" customFormat="false" ht="15" hidden="false" customHeight="false" outlineLevel="0" collapsed="false">
      <c r="AF365" s="18" t="str">
        <f aca="false">IF($D$4="","",IF(INDEX($A365:$AD365,1,$D$4)="","",IF(ISNUMBER(INDEX($A365:$AD365,1,$D$4)),INDEX($A365:$AD365,1,$D$4),IFERROR(DATEVALUE(INDEX($A365:$AD365,1,$D$4)),""))))</f>
        <v/>
      </c>
      <c r="AG365" s="30" t="str">
        <f aca="false">IF(OR(AF365="",$D$6=""),"",IF(LEFT(INDEX($A365:$AD365,1,$D$6),LEN(Inputs!$C$30))=Inputs!$C$30,INDEX($A365:$AD365,1,$D$6),""))</f>
        <v/>
      </c>
      <c r="AH365" s="30" t="str">
        <f aca="false">IF(OR(AF365="",$D$7=""),"",TRIM(IFERROR(LEFT(INDEX($A365:$AD365,1,$D$7),FIND(",",INDEX($A365:$AD365,1,$D$7))-1),INDEX($A365:$AD365,1,$D$7))))</f>
        <v/>
      </c>
      <c r="AI365" s="36" t="n">
        <f aca="false">IF(OR(AF365="",$D$5=""),0,IFERROR(IF(ISNUMBER(INDEX($A365:$AD365,1,$D$5)),INDEX($A365:$AD365,1,$D$5),TIMEVALUE(INDEX($A365:$AD365,1,$D$5)))*Inputs!$C$22,0))</f>
        <v>0</v>
      </c>
    </row>
    <row r="366" customFormat="false" ht="15" hidden="false" customHeight="false" outlineLevel="0" collapsed="false">
      <c r="AF366" s="18" t="str">
        <f aca="false">IF($D$4="","",IF(INDEX($A366:$AD366,1,$D$4)="","",IF(ISNUMBER(INDEX($A366:$AD366,1,$D$4)),INDEX($A366:$AD366,1,$D$4),IFERROR(DATEVALUE(INDEX($A366:$AD366,1,$D$4)),""))))</f>
        <v/>
      </c>
      <c r="AG366" s="30" t="str">
        <f aca="false">IF(OR(AF366="",$D$6=""),"",IF(LEFT(INDEX($A366:$AD366,1,$D$6),LEN(Inputs!$C$30))=Inputs!$C$30,INDEX($A366:$AD366,1,$D$6),""))</f>
        <v/>
      </c>
      <c r="AH366" s="30" t="str">
        <f aca="false">IF(OR(AF366="",$D$7=""),"",TRIM(IFERROR(LEFT(INDEX($A366:$AD366,1,$D$7),FIND(",",INDEX($A366:$AD366,1,$D$7))-1),INDEX($A366:$AD366,1,$D$7))))</f>
        <v/>
      </c>
      <c r="AI366" s="36" t="n">
        <f aca="false">IF(OR(AF366="",$D$5=""),0,IFERROR(IF(ISNUMBER(INDEX($A366:$AD366,1,$D$5)),INDEX($A366:$AD366,1,$D$5),TIMEVALUE(INDEX($A366:$AD366,1,$D$5)))*Inputs!$C$22,0))</f>
        <v>0</v>
      </c>
    </row>
    <row r="367" customFormat="false" ht="15" hidden="false" customHeight="false" outlineLevel="0" collapsed="false">
      <c r="AF367" s="18" t="str">
        <f aca="false">IF($D$4="","",IF(INDEX($A367:$AD367,1,$D$4)="","",IF(ISNUMBER(INDEX($A367:$AD367,1,$D$4)),INDEX($A367:$AD367,1,$D$4),IFERROR(DATEVALUE(INDEX($A367:$AD367,1,$D$4)),""))))</f>
        <v/>
      </c>
      <c r="AG367" s="30" t="str">
        <f aca="false">IF(OR(AF367="",$D$6=""),"",IF(LEFT(INDEX($A367:$AD367,1,$D$6),LEN(Inputs!$C$30))=Inputs!$C$30,INDEX($A367:$AD367,1,$D$6),""))</f>
        <v/>
      </c>
      <c r="AH367" s="30" t="str">
        <f aca="false">IF(OR(AF367="",$D$7=""),"",TRIM(IFERROR(LEFT(INDEX($A367:$AD367,1,$D$7),FIND(",",INDEX($A367:$AD367,1,$D$7))-1),INDEX($A367:$AD367,1,$D$7))))</f>
        <v/>
      </c>
      <c r="AI367" s="36" t="n">
        <f aca="false">IF(OR(AF367="",$D$5=""),0,IFERROR(IF(ISNUMBER(INDEX($A367:$AD367,1,$D$5)),INDEX($A367:$AD367,1,$D$5),TIMEVALUE(INDEX($A367:$AD367,1,$D$5)))*Inputs!$C$22,0))</f>
        <v>0</v>
      </c>
    </row>
    <row r="368" customFormat="false" ht="15" hidden="false" customHeight="false" outlineLevel="0" collapsed="false">
      <c r="AF368" s="18" t="str">
        <f aca="false">IF($D$4="","",IF(INDEX($A368:$AD368,1,$D$4)="","",IF(ISNUMBER(INDEX($A368:$AD368,1,$D$4)),INDEX($A368:$AD368,1,$D$4),IFERROR(DATEVALUE(INDEX($A368:$AD368,1,$D$4)),""))))</f>
        <v/>
      </c>
      <c r="AG368" s="30" t="str">
        <f aca="false">IF(OR(AF368="",$D$6=""),"",IF(LEFT(INDEX($A368:$AD368,1,$D$6),LEN(Inputs!$C$30))=Inputs!$C$30,INDEX($A368:$AD368,1,$D$6),""))</f>
        <v/>
      </c>
      <c r="AH368" s="30" t="str">
        <f aca="false">IF(OR(AF368="",$D$7=""),"",TRIM(IFERROR(LEFT(INDEX($A368:$AD368,1,$D$7),FIND(",",INDEX($A368:$AD368,1,$D$7))-1),INDEX($A368:$AD368,1,$D$7))))</f>
        <v/>
      </c>
      <c r="AI368" s="36" t="n">
        <f aca="false">IF(OR(AF368="",$D$5=""),0,IFERROR(IF(ISNUMBER(INDEX($A368:$AD368,1,$D$5)),INDEX($A368:$AD368,1,$D$5),TIMEVALUE(INDEX($A368:$AD368,1,$D$5)))*Inputs!$C$22,0))</f>
        <v>0</v>
      </c>
    </row>
    <row r="369" customFormat="false" ht="15" hidden="false" customHeight="false" outlineLevel="0" collapsed="false">
      <c r="AF369" s="18" t="str">
        <f aca="false">IF($D$4="","",IF(INDEX($A369:$AD369,1,$D$4)="","",IF(ISNUMBER(INDEX($A369:$AD369,1,$D$4)),INDEX($A369:$AD369,1,$D$4),IFERROR(DATEVALUE(INDEX($A369:$AD369,1,$D$4)),""))))</f>
        <v/>
      </c>
      <c r="AG369" s="30" t="str">
        <f aca="false">IF(OR(AF369="",$D$6=""),"",IF(LEFT(INDEX($A369:$AD369,1,$D$6),LEN(Inputs!$C$30))=Inputs!$C$30,INDEX($A369:$AD369,1,$D$6),""))</f>
        <v/>
      </c>
      <c r="AH369" s="30" t="str">
        <f aca="false">IF(OR(AF369="",$D$7=""),"",TRIM(IFERROR(LEFT(INDEX($A369:$AD369,1,$D$7),FIND(",",INDEX($A369:$AD369,1,$D$7))-1),INDEX($A369:$AD369,1,$D$7))))</f>
        <v/>
      </c>
      <c r="AI369" s="36" t="n">
        <f aca="false">IF(OR(AF369="",$D$5=""),0,IFERROR(IF(ISNUMBER(INDEX($A369:$AD369,1,$D$5)),INDEX($A369:$AD369,1,$D$5),TIMEVALUE(INDEX($A369:$AD369,1,$D$5)))*Inputs!$C$22,0))</f>
        <v>0</v>
      </c>
    </row>
    <row r="370" customFormat="false" ht="15" hidden="false" customHeight="false" outlineLevel="0" collapsed="false">
      <c r="AF370" s="18" t="str">
        <f aca="false">IF($D$4="","",IF(INDEX($A370:$AD370,1,$D$4)="","",IF(ISNUMBER(INDEX($A370:$AD370,1,$D$4)),INDEX($A370:$AD370,1,$D$4),IFERROR(DATEVALUE(INDEX($A370:$AD370,1,$D$4)),""))))</f>
        <v/>
      </c>
      <c r="AG370" s="30" t="str">
        <f aca="false">IF(OR(AF370="",$D$6=""),"",IF(LEFT(INDEX($A370:$AD370,1,$D$6),LEN(Inputs!$C$30))=Inputs!$C$30,INDEX($A370:$AD370,1,$D$6),""))</f>
        <v/>
      </c>
      <c r="AH370" s="30" t="str">
        <f aca="false">IF(OR(AF370="",$D$7=""),"",TRIM(IFERROR(LEFT(INDEX($A370:$AD370,1,$D$7),FIND(",",INDEX($A370:$AD370,1,$D$7))-1),INDEX($A370:$AD370,1,$D$7))))</f>
        <v/>
      </c>
      <c r="AI370" s="36" t="n">
        <f aca="false">IF(OR(AF370="",$D$5=""),0,IFERROR(IF(ISNUMBER(INDEX($A370:$AD370,1,$D$5)),INDEX($A370:$AD370,1,$D$5),TIMEVALUE(INDEX($A370:$AD370,1,$D$5)))*Inputs!$C$22,0))</f>
        <v>0</v>
      </c>
    </row>
    <row r="371" customFormat="false" ht="15" hidden="false" customHeight="false" outlineLevel="0" collapsed="false">
      <c r="AF371" s="18" t="str">
        <f aca="false">IF($D$4="","",IF(INDEX($A371:$AD371,1,$D$4)="","",IF(ISNUMBER(INDEX($A371:$AD371,1,$D$4)),INDEX($A371:$AD371,1,$D$4),IFERROR(DATEVALUE(INDEX($A371:$AD371,1,$D$4)),""))))</f>
        <v/>
      </c>
      <c r="AG371" s="30" t="str">
        <f aca="false">IF(OR(AF371="",$D$6=""),"",IF(LEFT(INDEX($A371:$AD371,1,$D$6),LEN(Inputs!$C$30))=Inputs!$C$30,INDEX($A371:$AD371,1,$D$6),""))</f>
        <v/>
      </c>
      <c r="AH371" s="30" t="str">
        <f aca="false">IF(OR(AF371="",$D$7=""),"",TRIM(IFERROR(LEFT(INDEX($A371:$AD371,1,$D$7),FIND(",",INDEX($A371:$AD371,1,$D$7))-1),INDEX($A371:$AD371,1,$D$7))))</f>
        <v/>
      </c>
      <c r="AI371" s="36" t="n">
        <f aca="false">IF(OR(AF371="",$D$5=""),0,IFERROR(IF(ISNUMBER(INDEX($A371:$AD371,1,$D$5)),INDEX($A371:$AD371,1,$D$5),TIMEVALUE(INDEX($A371:$AD371,1,$D$5)))*Inputs!$C$22,0))</f>
        <v>0</v>
      </c>
    </row>
    <row r="372" customFormat="false" ht="15" hidden="false" customHeight="false" outlineLevel="0" collapsed="false">
      <c r="AF372" s="18" t="str">
        <f aca="false">IF($D$4="","",IF(INDEX($A372:$AD372,1,$D$4)="","",IF(ISNUMBER(INDEX($A372:$AD372,1,$D$4)),INDEX($A372:$AD372,1,$D$4),IFERROR(DATEVALUE(INDEX($A372:$AD372,1,$D$4)),""))))</f>
        <v/>
      </c>
      <c r="AG372" s="30" t="str">
        <f aca="false">IF(OR(AF372="",$D$6=""),"",IF(LEFT(INDEX($A372:$AD372,1,$D$6),LEN(Inputs!$C$30))=Inputs!$C$30,INDEX($A372:$AD372,1,$D$6),""))</f>
        <v/>
      </c>
      <c r="AH372" s="30" t="str">
        <f aca="false">IF(OR(AF372="",$D$7=""),"",TRIM(IFERROR(LEFT(INDEX($A372:$AD372,1,$D$7),FIND(",",INDEX($A372:$AD372,1,$D$7))-1),INDEX($A372:$AD372,1,$D$7))))</f>
        <v/>
      </c>
      <c r="AI372" s="36" t="n">
        <f aca="false">IF(OR(AF372="",$D$5=""),0,IFERROR(IF(ISNUMBER(INDEX($A372:$AD372,1,$D$5)),INDEX($A372:$AD372,1,$D$5),TIMEVALUE(INDEX($A372:$AD372,1,$D$5)))*Inputs!$C$22,0))</f>
        <v>0</v>
      </c>
    </row>
    <row r="373" customFormat="false" ht="15" hidden="false" customHeight="false" outlineLevel="0" collapsed="false">
      <c r="AF373" s="18" t="str">
        <f aca="false">IF($D$4="","",IF(INDEX($A373:$AD373,1,$D$4)="","",IF(ISNUMBER(INDEX($A373:$AD373,1,$D$4)),INDEX($A373:$AD373,1,$D$4),IFERROR(DATEVALUE(INDEX($A373:$AD373,1,$D$4)),""))))</f>
        <v/>
      </c>
      <c r="AG373" s="30" t="str">
        <f aca="false">IF(OR(AF373="",$D$6=""),"",IF(LEFT(INDEX($A373:$AD373,1,$D$6),LEN(Inputs!$C$30))=Inputs!$C$30,INDEX($A373:$AD373,1,$D$6),""))</f>
        <v/>
      </c>
      <c r="AH373" s="30" t="str">
        <f aca="false">IF(OR(AF373="",$D$7=""),"",TRIM(IFERROR(LEFT(INDEX($A373:$AD373,1,$D$7),FIND(",",INDEX($A373:$AD373,1,$D$7))-1),INDEX($A373:$AD373,1,$D$7))))</f>
        <v/>
      </c>
      <c r="AI373" s="36" t="n">
        <f aca="false">IF(OR(AF373="",$D$5=""),0,IFERROR(IF(ISNUMBER(INDEX($A373:$AD373,1,$D$5)),INDEX($A373:$AD373,1,$D$5),TIMEVALUE(INDEX($A373:$AD373,1,$D$5)))*Inputs!$C$22,0))</f>
        <v>0</v>
      </c>
    </row>
    <row r="374" customFormat="false" ht="15" hidden="false" customHeight="false" outlineLevel="0" collapsed="false">
      <c r="AF374" s="18" t="str">
        <f aca="false">IF($D$4="","",IF(INDEX($A374:$AD374,1,$D$4)="","",IF(ISNUMBER(INDEX($A374:$AD374,1,$D$4)),INDEX($A374:$AD374,1,$D$4),IFERROR(DATEVALUE(INDEX($A374:$AD374,1,$D$4)),""))))</f>
        <v/>
      </c>
      <c r="AG374" s="30" t="str">
        <f aca="false">IF(OR(AF374="",$D$6=""),"",IF(LEFT(INDEX($A374:$AD374,1,$D$6),LEN(Inputs!$C$30))=Inputs!$C$30,INDEX($A374:$AD374,1,$D$6),""))</f>
        <v/>
      </c>
      <c r="AH374" s="30" t="str">
        <f aca="false">IF(OR(AF374="",$D$7=""),"",TRIM(IFERROR(LEFT(INDEX($A374:$AD374,1,$D$7),FIND(",",INDEX($A374:$AD374,1,$D$7))-1),INDEX($A374:$AD374,1,$D$7))))</f>
        <v/>
      </c>
      <c r="AI374" s="36" t="n">
        <f aca="false">IF(OR(AF374="",$D$5=""),0,IFERROR(IF(ISNUMBER(INDEX($A374:$AD374,1,$D$5)),INDEX($A374:$AD374,1,$D$5),TIMEVALUE(INDEX($A374:$AD374,1,$D$5)))*Inputs!$C$22,0))</f>
        <v>0</v>
      </c>
    </row>
    <row r="375" customFormat="false" ht="15" hidden="false" customHeight="false" outlineLevel="0" collapsed="false">
      <c r="AF375" s="18" t="str">
        <f aca="false">IF($D$4="","",IF(INDEX($A375:$AD375,1,$D$4)="","",IF(ISNUMBER(INDEX($A375:$AD375,1,$D$4)),INDEX($A375:$AD375,1,$D$4),IFERROR(DATEVALUE(INDEX($A375:$AD375,1,$D$4)),""))))</f>
        <v/>
      </c>
      <c r="AG375" s="30" t="str">
        <f aca="false">IF(OR(AF375="",$D$6=""),"",IF(LEFT(INDEX($A375:$AD375,1,$D$6),LEN(Inputs!$C$30))=Inputs!$C$30,INDEX($A375:$AD375,1,$D$6),""))</f>
        <v/>
      </c>
      <c r="AH375" s="30" t="str">
        <f aca="false">IF(OR(AF375="",$D$7=""),"",TRIM(IFERROR(LEFT(INDEX($A375:$AD375,1,$D$7),FIND(",",INDEX($A375:$AD375,1,$D$7))-1),INDEX($A375:$AD375,1,$D$7))))</f>
        <v/>
      </c>
      <c r="AI375" s="36" t="n">
        <f aca="false">IF(OR(AF375="",$D$5=""),0,IFERROR(IF(ISNUMBER(INDEX($A375:$AD375,1,$D$5)),INDEX($A375:$AD375,1,$D$5),TIMEVALUE(INDEX($A375:$AD375,1,$D$5)))*Inputs!$C$22,0))</f>
        <v>0</v>
      </c>
    </row>
    <row r="376" customFormat="false" ht="15" hidden="false" customHeight="false" outlineLevel="0" collapsed="false">
      <c r="AF376" s="18" t="str">
        <f aca="false">IF($D$4="","",IF(INDEX($A376:$AD376,1,$D$4)="","",IF(ISNUMBER(INDEX($A376:$AD376,1,$D$4)),INDEX($A376:$AD376,1,$D$4),IFERROR(DATEVALUE(INDEX($A376:$AD376,1,$D$4)),""))))</f>
        <v/>
      </c>
      <c r="AG376" s="30" t="str">
        <f aca="false">IF(OR(AF376="",$D$6=""),"",IF(LEFT(INDEX($A376:$AD376,1,$D$6),LEN(Inputs!$C$30))=Inputs!$C$30,INDEX($A376:$AD376,1,$D$6),""))</f>
        <v/>
      </c>
      <c r="AH376" s="30" t="str">
        <f aca="false">IF(OR(AF376="",$D$7=""),"",TRIM(IFERROR(LEFT(INDEX($A376:$AD376,1,$D$7),FIND(",",INDEX($A376:$AD376,1,$D$7))-1),INDEX($A376:$AD376,1,$D$7))))</f>
        <v/>
      </c>
      <c r="AI376" s="36" t="n">
        <f aca="false">IF(OR(AF376="",$D$5=""),0,IFERROR(IF(ISNUMBER(INDEX($A376:$AD376,1,$D$5)),INDEX($A376:$AD376,1,$D$5),TIMEVALUE(INDEX($A376:$AD376,1,$D$5)))*Inputs!$C$22,0))</f>
        <v>0</v>
      </c>
    </row>
    <row r="377" customFormat="false" ht="15" hidden="false" customHeight="false" outlineLevel="0" collapsed="false">
      <c r="AF377" s="18" t="str">
        <f aca="false">IF($D$4="","",IF(INDEX($A377:$AD377,1,$D$4)="","",IF(ISNUMBER(INDEX($A377:$AD377,1,$D$4)),INDEX($A377:$AD377,1,$D$4),IFERROR(DATEVALUE(INDEX($A377:$AD377,1,$D$4)),""))))</f>
        <v/>
      </c>
      <c r="AG377" s="30" t="str">
        <f aca="false">IF(OR(AF377="",$D$6=""),"",IF(LEFT(INDEX($A377:$AD377,1,$D$6),LEN(Inputs!$C$30))=Inputs!$C$30,INDEX($A377:$AD377,1,$D$6),""))</f>
        <v/>
      </c>
      <c r="AH377" s="30" t="str">
        <f aca="false">IF(OR(AF377="",$D$7=""),"",TRIM(IFERROR(LEFT(INDEX($A377:$AD377,1,$D$7),FIND(",",INDEX($A377:$AD377,1,$D$7))-1),INDEX($A377:$AD377,1,$D$7))))</f>
        <v/>
      </c>
      <c r="AI377" s="36" t="n">
        <f aca="false">IF(OR(AF377="",$D$5=""),0,IFERROR(IF(ISNUMBER(INDEX($A377:$AD377,1,$D$5)),INDEX($A377:$AD377,1,$D$5),TIMEVALUE(INDEX($A377:$AD377,1,$D$5)))*Inputs!$C$22,0))</f>
        <v>0</v>
      </c>
    </row>
    <row r="378" customFormat="false" ht="15" hidden="false" customHeight="false" outlineLevel="0" collapsed="false">
      <c r="AF378" s="18" t="str">
        <f aca="false">IF($D$4="","",IF(INDEX($A378:$AD378,1,$D$4)="","",IF(ISNUMBER(INDEX($A378:$AD378,1,$D$4)),INDEX($A378:$AD378,1,$D$4),IFERROR(DATEVALUE(INDEX($A378:$AD378,1,$D$4)),""))))</f>
        <v/>
      </c>
      <c r="AG378" s="30" t="str">
        <f aca="false">IF(OR(AF378="",$D$6=""),"",IF(LEFT(INDEX($A378:$AD378,1,$D$6),LEN(Inputs!$C$30))=Inputs!$C$30,INDEX($A378:$AD378,1,$D$6),""))</f>
        <v/>
      </c>
      <c r="AH378" s="30" t="str">
        <f aca="false">IF(OR(AF378="",$D$7=""),"",TRIM(IFERROR(LEFT(INDEX($A378:$AD378,1,$D$7),FIND(",",INDEX($A378:$AD378,1,$D$7))-1),INDEX($A378:$AD378,1,$D$7))))</f>
        <v/>
      </c>
      <c r="AI378" s="36" t="n">
        <f aca="false">IF(OR(AF378="",$D$5=""),0,IFERROR(IF(ISNUMBER(INDEX($A378:$AD378,1,$D$5)),INDEX($A378:$AD378,1,$D$5),TIMEVALUE(INDEX($A378:$AD378,1,$D$5)))*Inputs!$C$22,0))</f>
        <v>0</v>
      </c>
    </row>
    <row r="379" customFormat="false" ht="15" hidden="false" customHeight="false" outlineLevel="0" collapsed="false">
      <c r="AF379" s="18" t="str">
        <f aca="false">IF($D$4="","",IF(INDEX($A379:$AD379,1,$D$4)="","",IF(ISNUMBER(INDEX($A379:$AD379,1,$D$4)),INDEX($A379:$AD379,1,$D$4),IFERROR(DATEVALUE(INDEX($A379:$AD379,1,$D$4)),""))))</f>
        <v/>
      </c>
      <c r="AG379" s="30" t="str">
        <f aca="false">IF(OR(AF379="",$D$6=""),"",IF(LEFT(INDEX($A379:$AD379,1,$D$6),LEN(Inputs!$C$30))=Inputs!$C$30,INDEX($A379:$AD379,1,$D$6),""))</f>
        <v/>
      </c>
      <c r="AH379" s="30" t="str">
        <f aca="false">IF(OR(AF379="",$D$7=""),"",TRIM(IFERROR(LEFT(INDEX($A379:$AD379,1,$D$7),FIND(",",INDEX($A379:$AD379,1,$D$7))-1),INDEX($A379:$AD379,1,$D$7))))</f>
        <v/>
      </c>
      <c r="AI379" s="36" t="n">
        <f aca="false">IF(OR(AF379="",$D$5=""),0,IFERROR(IF(ISNUMBER(INDEX($A379:$AD379,1,$D$5)),INDEX($A379:$AD379,1,$D$5),TIMEVALUE(INDEX($A379:$AD379,1,$D$5)))*Inputs!$C$22,0))</f>
        <v>0</v>
      </c>
    </row>
    <row r="380" customFormat="false" ht="15" hidden="false" customHeight="false" outlineLevel="0" collapsed="false">
      <c r="AF380" s="18" t="str">
        <f aca="false">IF($D$4="","",IF(INDEX($A380:$AD380,1,$D$4)="","",IF(ISNUMBER(INDEX($A380:$AD380,1,$D$4)),INDEX($A380:$AD380,1,$D$4),IFERROR(DATEVALUE(INDEX($A380:$AD380,1,$D$4)),""))))</f>
        <v/>
      </c>
      <c r="AG380" s="30" t="str">
        <f aca="false">IF(OR(AF380="",$D$6=""),"",IF(LEFT(INDEX($A380:$AD380,1,$D$6),LEN(Inputs!$C$30))=Inputs!$C$30,INDEX($A380:$AD380,1,$D$6),""))</f>
        <v/>
      </c>
      <c r="AH380" s="30" t="str">
        <f aca="false">IF(OR(AF380="",$D$7=""),"",TRIM(IFERROR(LEFT(INDEX($A380:$AD380,1,$D$7),FIND(",",INDEX($A380:$AD380,1,$D$7))-1),INDEX($A380:$AD380,1,$D$7))))</f>
        <v/>
      </c>
      <c r="AI380" s="36" t="n">
        <f aca="false">IF(OR(AF380="",$D$5=""),0,IFERROR(IF(ISNUMBER(INDEX($A380:$AD380,1,$D$5)),INDEX($A380:$AD380,1,$D$5),TIMEVALUE(INDEX($A380:$AD380,1,$D$5)))*Inputs!$C$22,0))</f>
        <v>0</v>
      </c>
    </row>
    <row r="381" customFormat="false" ht="15" hidden="false" customHeight="false" outlineLevel="0" collapsed="false">
      <c r="AF381" s="18" t="str">
        <f aca="false">IF($D$4="","",IF(INDEX($A381:$AD381,1,$D$4)="","",IF(ISNUMBER(INDEX($A381:$AD381,1,$D$4)),INDEX($A381:$AD381,1,$D$4),IFERROR(DATEVALUE(INDEX($A381:$AD381,1,$D$4)),""))))</f>
        <v/>
      </c>
      <c r="AG381" s="30" t="str">
        <f aca="false">IF(OR(AF381="",$D$6=""),"",IF(LEFT(INDEX($A381:$AD381,1,$D$6),LEN(Inputs!$C$30))=Inputs!$C$30,INDEX($A381:$AD381,1,$D$6),""))</f>
        <v/>
      </c>
      <c r="AH381" s="30" t="str">
        <f aca="false">IF(OR(AF381="",$D$7=""),"",TRIM(IFERROR(LEFT(INDEX($A381:$AD381,1,$D$7),FIND(",",INDEX($A381:$AD381,1,$D$7))-1),INDEX($A381:$AD381,1,$D$7))))</f>
        <v/>
      </c>
      <c r="AI381" s="36" t="n">
        <f aca="false">IF(OR(AF381="",$D$5=""),0,IFERROR(IF(ISNUMBER(INDEX($A381:$AD381,1,$D$5)),INDEX($A381:$AD381,1,$D$5),TIMEVALUE(INDEX($A381:$AD381,1,$D$5)))*Inputs!$C$22,0))</f>
        <v>0</v>
      </c>
    </row>
    <row r="382" customFormat="false" ht="15" hidden="false" customHeight="false" outlineLevel="0" collapsed="false">
      <c r="AF382" s="18" t="str">
        <f aca="false">IF($D$4="","",IF(INDEX($A382:$AD382,1,$D$4)="","",IF(ISNUMBER(INDEX($A382:$AD382,1,$D$4)),INDEX($A382:$AD382,1,$D$4),IFERROR(DATEVALUE(INDEX($A382:$AD382,1,$D$4)),""))))</f>
        <v/>
      </c>
      <c r="AG382" s="30" t="str">
        <f aca="false">IF(OR(AF382="",$D$6=""),"",IF(LEFT(INDEX($A382:$AD382,1,$D$6),LEN(Inputs!$C$30))=Inputs!$C$30,INDEX($A382:$AD382,1,$D$6),""))</f>
        <v/>
      </c>
      <c r="AH382" s="30" t="str">
        <f aca="false">IF(OR(AF382="",$D$7=""),"",TRIM(IFERROR(LEFT(INDEX($A382:$AD382,1,$D$7),FIND(",",INDEX($A382:$AD382,1,$D$7))-1),INDEX($A382:$AD382,1,$D$7))))</f>
        <v/>
      </c>
      <c r="AI382" s="36" t="n">
        <f aca="false">IF(OR(AF382="",$D$5=""),0,IFERROR(IF(ISNUMBER(INDEX($A382:$AD382,1,$D$5)),INDEX($A382:$AD382,1,$D$5),TIMEVALUE(INDEX($A382:$AD382,1,$D$5)))*Inputs!$C$22,0))</f>
        <v>0</v>
      </c>
    </row>
    <row r="383" customFormat="false" ht="15" hidden="false" customHeight="false" outlineLevel="0" collapsed="false">
      <c r="AF383" s="18" t="str">
        <f aca="false">IF($D$4="","",IF(INDEX($A383:$AD383,1,$D$4)="","",IF(ISNUMBER(INDEX($A383:$AD383,1,$D$4)),INDEX($A383:$AD383,1,$D$4),IFERROR(DATEVALUE(INDEX($A383:$AD383,1,$D$4)),""))))</f>
        <v/>
      </c>
      <c r="AG383" s="30" t="str">
        <f aca="false">IF(OR(AF383="",$D$6=""),"",IF(LEFT(INDEX($A383:$AD383,1,$D$6),LEN(Inputs!$C$30))=Inputs!$C$30,INDEX($A383:$AD383,1,$D$6),""))</f>
        <v/>
      </c>
      <c r="AH383" s="30" t="str">
        <f aca="false">IF(OR(AF383="",$D$7=""),"",TRIM(IFERROR(LEFT(INDEX($A383:$AD383,1,$D$7),FIND(",",INDEX($A383:$AD383,1,$D$7))-1),INDEX($A383:$AD383,1,$D$7))))</f>
        <v/>
      </c>
      <c r="AI383" s="36" t="n">
        <f aca="false">IF(OR(AF383="",$D$5=""),0,IFERROR(IF(ISNUMBER(INDEX($A383:$AD383,1,$D$5)),INDEX($A383:$AD383,1,$D$5),TIMEVALUE(INDEX($A383:$AD383,1,$D$5)))*Inputs!$C$22,0))</f>
        <v>0</v>
      </c>
    </row>
    <row r="384" customFormat="false" ht="15" hidden="false" customHeight="false" outlineLevel="0" collapsed="false">
      <c r="AF384" s="18" t="str">
        <f aca="false">IF($D$4="","",IF(INDEX($A384:$AD384,1,$D$4)="","",IF(ISNUMBER(INDEX($A384:$AD384,1,$D$4)),INDEX($A384:$AD384,1,$D$4),IFERROR(DATEVALUE(INDEX($A384:$AD384,1,$D$4)),""))))</f>
        <v/>
      </c>
      <c r="AG384" s="30" t="str">
        <f aca="false">IF(OR(AF384="",$D$6=""),"",IF(LEFT(INDEX($A384:$AD384,1,$D$6),LEN(Inputs!$C$30))=Inputs!$C$30,INDEX($A384:$AD384,1,$D$6),""))</f>
        <v/>
      </c>
      <c r="AH384" s="30" t="str">
        <f aca="false">IF(OR(AF384="",$D$7=""),"",TRIM(IFERROR(LEFT(INDEX($A384:$AD384,1,$D$7),FIND(",",INDEX($A384:$AD384,1,$D$7))-1),INDEX($A384:$AD384,1,$D$7))))</f>
        <v/>
      </c>
      <c r="AI384" s="36" t="n">
        <f aca="false">IF(OR(AF384="",$D$5=""),0,IFERROR(IF(ISNUMBER(INDEX($A384:$AD384,1,$D$5)),INDEX($A384:$AD384,1,$D$5),TIMEVALUE(INDEX($A384:$AD384,1,$D$5)))*Inputs!$C$22,0))</f>
        <v>0</v>
      </c>
    </row>
    <row r="385" customFormat="false" ht="15" hidden="false" customHeight="false" outlineLevel="0" collapsed="false">
      <c r="AF385" s="18" t="str">
        <f aca="false">IF($D$4="","",IF(INDEX($A385:$AD385,1,$D$4)="","",IF(ISNUMBER(INDEX($A385:$AD385,1,$D$4)),INDEX($A385:$AD385,1,$D$4),IFERROR(DATEVALUE(INDEX($A385:$AD385,1,$D$4)),""))))</f>
        <v/>
      </c>
      <c r="AG385" s="30" t="str">
        <f aca="false">IF(OR(AF385="",$D$6=""),"",IF(LEFT(INDEX($A385:$AD385,1,$D$6),LEN(Inputs!$C$30))=Inputs!$C$30,INDEX($A385:$AD385,1,$D$6),""))</f>
        <v/>
      </c>
      <c r="AH385" s="30" t="str">
        <f aca="false">IF(OR(AF385="",$D$7=""),"",TRIM(IFERROR(LEFT(INDEX($A385:$AD385,1,$D$7),FIND(",",INDEX($A385:$AD385,1,$D$7))-1),INDEX($A385:$AD385,1,$D$7))))</f>
        <v/>
      </c>
      <c r="AI385" s="36" t="n">
        <f aca="false">IF(OR(AF385="",$D$5=""),0,IFERROR(IF(ISNUMBER(INDEX($A385:$AD385,1,$D$5)),INDEX($A385:$AD385,1,$D$5),TIMEVALUE(INDEX($A385:$AD385,1,$D$5)))*Inputs!$C$22,0))</f>
        <v>0</v>
      </c>
    </row>
    <row r="386" customFormat="false" ht="15" hidden="false" customHeight="false" outlineLevel="0" collapsed="false">
      <c r="AF386" s="18" t="str">
        <f aca="false">IF($D$4="","",IF(INDEX($A386:$AD386,1,$D$4)="","",IF(ISNUMBER(INDEX($A386:$AD386,1,$D$4)),INDEX($A386:$AD386,1,$D$4),IFERROR(DATEVALUE(INDEX($A386:$AD386,1,$D$4)),""))))</f>
        <v/>
      </c>
      <c r="AG386" s="30" t="str">
        <f aca="false">IF(OR(AF386="",$D$6=""),"",IF(LEFT(INDEX($A386:$AD386,1,$D$6),LEN(Inputs!$C$30))=Inputs!$C$30,INDEX($A386:$AD386,1,$D$6),""))</f>
        <v/>
      </c>
      <c r="AH386" s="30" t="str">
        <f aca="false">IF(OR(AF386="",$D$7=""),"",TRIM(IFERROR(LEFT(INDEX($A386:$AD386,1,$D$7),FIND(",",INDEX($A386:$AD386,1,$D$7))-1),INDEX($A386:$AD386,1,$D$7))))</f>
        <v/>
      </c>
      <c r="AI386" s="36" t="n">
        <f aca="false">IF(OR(AF386="",$D$5=""),0,IFERROR(IF(ISNUMBER(INDEX($A386:$AD386,1,$D$5)),INDEX($A386:$AD386,1,$D$5),TIMEVALUE(INDEX($A386:$AD386,1,$D$5)))*Inputs!$C$22,0))</f>
        <v>0</v>
      </c>
    </row>
    <row r="387" customFormat="false" ht="15" hidden="false" customHeight="false" outlineLevel="0" collapsed="false">
      <c r="AF387" s="18" t="str">
        <f aca="false">IF($D$4="","",IF(INDEX($A387:$AD387,1,$D$4)="","",IF(ISNUMBER(INDEX($A387:$AD387,1,$D$4)),INDEX($A387:$AD387,1,$D$4),IFERROR(DATEVALUE(INDEX($A387:$AD387,1,$D$4)),""))))</f>
        <v/>
      </c>
      <c r="AG387" s="30" t="str">
        <f aca="false">IF(OR(AF387="",$D$6=""),"",IF(LEFT(INDEX($A387:$AD387,1,$D$6),LEN(Inputs!$C$30))=Inputs!$C$30,INDEX($A387:$AD387,1,$D$6),""))</f>
        <v/>
      </c>
      <c r="AH387" s="30" t="str">
        <f aca="false">IF(OR(AF387="",$D$7=""),"",TRIM(IFERROR(LEFT(INDEX($A387:$AD387,1,$D$7),FIND(",",INDEX($A387:$AD387,1,$D$7))-1),INDEX($A387:$AD387,1,$D$7))))</f>
        <v/>
      </c>
      <c r="AI387" s="36" t="n">
        <f aca="false">IF(OR(AF387="",$D$5=""),0,IFERROR(IF(ISNUMBER(INDEX($A387:$AD387,1,$D$5)),INDEX($A387:$AD387,1,$D$5),TIMEVALUE(INDEX($A387:$AD387,1,$D$5)))*Inputs!$C$22,0))</f>
        <v>0</v>
      </c>
    </row>
    <row r="388" customFormat="false" ht="15" hidden="false" customHeight="false" outlineLevel="0" collapsed="false">
      <c r="AF388" s="18" t="str">
        <f aca="false">IF($D$4="","",IF(INDEX($A388:$AD388,1,$D$4)="","",IF(ISNUMBER(INDEX($A388:$AD388,1,$D$4)),INDEX($A388:$AD388,1,$D$4),IFERROR(DATEVALUE(INDEX($A388:$AD388,1,$D$4)),""))))</f>
        <v/>
      </c>
      <c r="AG388" s="30" t="str">
        <f aca="false">IF(OR(AF388="",$D$6=""),"",IF(LEFT(INDEX($A388:$AD388,1,$D$6),LEN(Inputs!$C$30))=Inputs!$C$30,INDEX($A388:$AD388,1,$D$6),""))</f>
        <v/>
      </c>
      <c r="AH388" s="30" t="str">
        <f aca="false">IF(OR(AF388="",$D$7=""),"",TRIM(IFERROR(LEFT(INDEX($A388:$AD388,1,$D$7),FIND(",",INDEX($A388:$AD388,1,$D$7))-1),INDEX($A388:$AD388,1,$D$7))))</f>
        <v/>
      </c>
      <c r="AI388" s="36" t="n">
        <f aca="false">IF(OR(AF388="",$D$5=""),0,IFERROR(IF(ISNUMBER(INDEX($A388:$AD388,1,$D$5)),INDEX($A388:$AD388,1,$D$5),TIMEVALUE(INDEX($A388:$AD388,1,$D$5)))*Inputs!$C$22,0))</f>
        <v>0</v>
      </c>
    </row>
    <row r="389" customFormat="false" ht="15" hidden="false" customHeight="false" outlineLevel="0" collapsed="false">
      <c r="AF389" s="18" t="str">
        <f aca="false">IF($D$4="","",IF(INDEX($A389:$AD389,1,$D$4)="","",IF(ISNUMBER(INDEX($A389:$AD389,1,$D$4)),INDEX($A389:$AD389,1,$D$4),IFERROR(DATEVALUE(INDEX($A389:$AD389,1,$D$4)),""))))</f>
        <v/>
      </c>
      <c r="AG389" s="30" t="str">
        <f aca="false">IF(OR(AF389="",$D$6=""),"",IF(LEFT(INDEX($A389:$AD389,1,$D$6),LEN(Inputs!$C$30))=Inputs!$C$30,INDEX($A389:$AD389,1,$D$6),""))</f>
        <v/>
      </c>
      <c r="AH389" s="30" t="str">
        <f aca="false">IF(OR(AF389="",$D$7=""),"",TRIM(IFERROR(LEFT(INDEX($A389:$AD389,1,$D$7),FIND(",",INDEX($A389:$AD389,1,$D$7))-1),INDEX($A389:$AD389,1,$D$7))))</f>
        <v/>
      </c>
      <c r="AI389" s="36" t="n">
        <f aca="false">IF(OR(AF389="",$D$5=""),0,IFERROR(IF(ISNUMBER(INDEX($A389:$AD389,1,$D$5)),INDEX($A389:$AD389,1,$D$5),TIMEVALUE(INDEX($A389:$AD389,1,$D$5)))*Inputs!$C$22,0))</f>
        <v>0</v>
      </c>
    </row>
    <row r="390" customFormat="false" ht="15" hidden="false" customHeight="false" outlineLevel="0" collapsed="false">
      <c r="AF390" s="18" t="str">
        <f aca="false">IF($D$4="","",IF(INDEX($A390:$AD390,1,$D$4)="","",IF(ISNUMBER(INDEX($A390:$AD390,1,$D$4)),INDEX($A390:$AD390,1,$D$4),IFERROR(DATEVALUE(INDEX($A390:$AD390,1,$D$4)),""))))</f>
        <v/>
      </c>
      <c r="AG390" s="30" t="str">
        <f aca="false">IF(OR(AF390="",$D$6=""),"",IF(LEFT(INDEX($A390:$AD390,1,$D$6),LEN(Inputs!$C$30))=Inputs!$C$30,INDEX($A390:$AD390,1,$D$6),""))</f>
        <v/>
      </c>
      <c r="AH390" s="30" t="str">
        <f aca="false">IF(OR(AF390="",$D$7=""),"",TRIM(IFERROR(LEFT(INDEX($A390:$AD390,1,$D$7),FIND(",",INDEX($A390:$AD390,1,$D$7))-1),INDEX($A390:$AD390,1,$D$7))))</f>
        <v/>
      </c>
      <c r="AI390" s="36" t="n">
        <f aca="false">IF(OR(AF390="",$D$5=""),0,IFERROR(IF(ISNUMBER(INDEX($A390:$AD390,1,$D$5)),INDEX($A390:$AD390,1,$D$5),TIMEVALUE(INDEX($A390:$AD390,1,$D$5)))*Inputs!$C$22,0))</f>
        <v>0</v>
      </c>
    </row>
    <row r="391" customFormat="false" ht="15" hidden="false" customHeight="false" outlineLevel="0" collapsed="false">
      <c r="AF391" s="18" t="str">
        <f aca="false">IF($D$4="","",IF(INDEX($A391:$AD391,1,$D$4)="","",IF(ISNUMBER(INDEX($A391:$AD391,1,$D$4)),INDEX($A391:$AD391,1,$D$4),IFERROR(DATEVALUE(INDEX($A391:$AD391,1,$D$4)),""))))</f>
        <v/>
      </c>
      <c r="AG391" s="30" t="str">
        <f aca="false">IF(OR(AF391="",$D$6=""),"",IF(LEFT(INDEX($A391:$AD391,1,$D$6),LEN(Inputs!$C$30))=Inputs!$C$30,INDEX($A391:$AD391,1,$D$6),""))</f>
        <v/>
      </c>
      <c r="AH391" s="30" t="str">
        <f aca="false">IF(OR(AF391="",$D$7=""),"",TRIM(IFERROR(LEFT(INDEX($A391:$AD391,1,$D$7),FIND(",",INDEX($A391:$AD391,1,$D$7))-1),INDEX($A391:$AD391,1,$D$7))))</f>
        <v/>
      </c>
      <c r="AI391" s="36" t="n">
        <f aca="false">IF(OR(AF391="",$D$5=""),0,IFERROR(IF(ISNUMBER(INDEX($A391:$AD391,1,$D$5)),INDEX($A391:$AD391,1,$D$5),TIMEVALUE(INDEX($A391:$AD391,1,$D$5)))*Inputs!$C$22,0))</f>
        <v>0</v>
      </c>
    </row>
    <row r="392" customFormat="false" ht="15" hidden="false" customHeight="false" outlineLevel="0" collapsed="false">
      <c r="AF392" s="18" t="str">
        <f aca="false">IF($D$4="","",IF(INDEX($A392:$AD392,1,$D$4)="","",IF(ISNUMBER(INDEX($A392:$AD392,1,$D$4)),INDEX($A392:$AD392,1,$D$4),IFERROR(DATEVALUE(INDEX($A392:$AD392,1,$D$4)),""))))</f>
        <v/>
      </c>
      <c r="AG392" s="30" t="str">
        <f aca="false">IF(OR(AF392="",$D$6=""),"",IF(LEFT(INDEX($A392:$AD392,1,$D$6),LEN(Inputs!$C$30))=Inputs!$C$30,INDEX($A392:$AD392,1,$D$6),""))</f>
        <v/>
      </c>
      <c r="AH392" s="30" t="str">
        <f aca="false">IF(OR(AF392="",$D$7=""),"",TRIM(IFERROR(LEFT(INDEX($A392:$AD392,1,$D$7),FIND(",",INDEX($A392:$AD392,1,$D$7))-1),INDEX($A392:$AD392,1,$D$7))))</f>
        <v/>
      </c>
      <c r="AI392" s="36" t="n">
        <f aca="false">IF(OR(AF392="",$D$5=""),0,IFERROR(IF(ISNUMBER(INDEX($A392:$AD392,1,$D$5)),INDEX($A392:$AD392,1,$D$5),TIMEVALUE(INDEX($A392:$AD392,1,$D$5)))*Inputs!$C$22,0))</f>
        <v>0</v>
      </c>
    </row>
    <row r="393" customFormat="false" ht="15" hidden="false" customHeight="false" outlineLevel="0" collapsed="false">
      <c r="AF393" s="18" t="str">
        <f aca="false">IF($D$4="","",IF(INDEX($A393:$AD393,1,$D$4)="","",IF(ISNUMBER(INDEX($A393:$AD393,1,$D$4)),INDEX($A393:$AD393,1,$D$4),IFERROR(DATEVALUE(INDEX($A393:$AD393,1,$D$4)),""))))</f>
        <v/>
      </c>
      <c r="AG393" s="30" t="str">
        <f aca="false">IF(OR(AF393="",$D$6=""),"",IF(LEFT(INDEX($A393:$AD393,1,$D$6),LEN(Inputs!$C$30))=Inputs!$C$30,INDEX($A393:$AD393,1,$D$6),""))</f>
        <v/>
      </c>
      <c r="AH393" s="30" t="str">
        <f aca="false">IF(OR(AF393="",$D$7=""),"",TRIM(IFERROR(LEFT(INDEX($A393:$AD393,1,$D$7),FIND(",",INDEX($A393:$AD393,1,$D$7))-1),INDEX($A393:$AD393,1,$D$7))))</f>
        <v/>
      </c>
      <c r="AI393" s="36" t="n">
        <f aca="false">IF(OR(AF393="",$D$5=""),0,IFERROR(IF(ISNUMBER(INDEX($A393:$AD393,1,$D$5)),INDEX($A393:$AD393,1,$D$5),TIMEVALUE(INDEX($A393:$AD393,1,$D$5)))*Inputs!$C$22,0))</f>
        <v>0</v>
      </c>
    </row>
    <row r="394" customFormat="false" ht="15" hidden="false" customHeight="false" outlineLevel="0" collapsed="false">
      <c r="AF394" s="18" t="str">
        <f aca="false">IF($D$4="","",IF(INDEX($A394:$AD394,1,$D$4)="","",IF(ISNUMBER(INDEX($A394:$AD394,1,$D$4)),INDEX($A394:$AD394,1,$D$4),IFERROR(DATEVALUE(INDEX($A394:$AD394,1,$D$4)),""))))</f>
        <v/>
      </c>
      <c r="AG394" s="30" t="str">
        <f aca="false">IF(OR(AF394="",$D$6=""),"",IF(LEFT(INDEX($A394:$AD394,1,$D$6),LEN(Inputs!$C$30))=Inputs!$C$30,INDEX($A394:$AD394,1,$D$6),""))</f>
        <v/>
      </c>
      <c r="AH394" s="30" t="str">
        <f aca="false">IF(OR(AF394="",$D$7=""),"",TRIM(IFERROR(LEFT(INDEX($A394:$AD394,1,$D$7),FIND(",",INDEX($A394:$AD394,1,$D$7))-1),INDEX($A394:$AD394,1,$D$7))))</f>
        <v/>
      </c>
      <c r="AI394" s="36" t="n">
        <f aca="false">IF(OR(AF394="",$D$5=""),0,IFERROR(IF(ISNUMBER(INDEX($A394:$AD394,1,$D$5)),INDEX($A394:$AD394,1,$D$5),TIMEVALUE(INDEX($A394:$AD394,1,$D$5)))*Inputs!$C$22,0))</f>
        <v>0</v>
      </c>
    </row>
    <row r="395" customFormat="false" ht="15" hidden="false" customHeight="false" outlineLevel="0" collapsed="false">
      <c r="AF395" s="18" t="str">
        <f aca="false">IF($D$4="","",IF(INDEX($A395:$AD395,1,$D$4)="","",IF(ISNUMBER(INDEX($A395:$AD395,1,$D$4)),INDEX($A395:$AD395,1,$D$4),IFERROR(DATEVALUE(INDEX($A395:$AD395,1,$D$4)),""))))</f>
        <v/>
      </c>
      <c r="AG395" s="30" t="str">
        <f aca="false">IF(OR(AF395="",$D$6=""),"",IF(LEFT(INDEX($A395:$AD395,1,$D$6),LEN(Inputs!$C$30))=Inputs!$C$30,INDEX($A395:$AD395,1,$D$6),""))</f>
        <v/>
      </c>
      <c r="AH395" s="30" t="str">
        <f aca="false">IF(OR(AF395="",$D$7=""),"",TRIM(IFERROR(LEFT(INDEX($A395:$AD395,1,$D$7),FIND(",",INDEX($A395:$AD395,1,$D$7))-1),INDEX($A395:$AD395,1,$D$7))))</f>
        <v/>
      </c>
      <c r="AI395" s="36" t="n">
        <f aca="false">IF(OR(AF395="",$D$5=""),0,IFERROR(IF(ISNUMBER(INDEX($A395:$AD395,1,$D$5)),INDEX($A395:$AD395,1,$D$5),TIMEVALUE(INDEX($A395:$AD395,1,$D$5)))*Inputs!$C$22,0))</f>
        <v>0</v>
      </c>
    </row>
    <row r="396" customFormat="false" ht="15" hidden="false" customHeight="false" outlineLevel="0" collapsed="false">
      <c r="AF396" s="18" t="str">
        <f aca="false">IF($D$4="","",IF(INDEX($A396:$AD396,1,$D$4)="","",IF(ISNUMBER(INDEX($A396:$AD396,1,$D$4)),INDEX($A396:$AD396,1,$D$4),IFERROR(DATEVALUE(INDEX($A396:$AD396,1,$D$4)),""))))</f>
        <v/>
      </c>
      <c r="AG396" s="30" t="str">
        <f aca="false">IF(OR(AF396="",$D$6=""),"",IF(LEFT(INDEX($A396:$AD396,1,$D$6),LEN(Inputs!$C$30))=Inputs!$C$30,INDEX($A396:$AD396,1,$D$6),""))</f>
        <v/>
      </c>
      <c r="AH396" s="30" t="str">
        <f aca="false">IF(OR(AF396="",$D$7=""),"",TRIM(IFERROR(LEFT(INDEX($A396:$AD396,1,$D$7),FIND(",",INDEX($A396:$AD396,1,$D$7))-1),INDEX($A396:$AD396,1,$D$7))))</f>
        <v/>
      </c>
      <c r="AI396" s="36" t="n">
        <f aca="false">IF(OR(AF396="",$D$5=""),0,IFERROR(IF(ISNUMBER(INDEX($A396:$AD396,1,$D$5)),INDEX($A396:$AD396,1,$D$5),TIMEVALUE(INDEX($A396:$AD396,1,$D$5)))*Inputs!$C$22,0))</f>
        <v>0</v>
      </c>
    </row>
    <row r="397" customFormat="false" ht="15" hidden="false" customHeight="false" outlineLevel="0" collapsed="false">
      <c r="AF397" s="18" t="str">
        <f aca="false">IF($D$4="","",IF(INDEX($A397:$AD397,1,$D$4)="","",IF(ISNUMBER(INDEX($A397:$AD397,1,$D$4)),INDEX($A397:$AD397,1,$D$4),IFERROR(DATEVALUE(INDEX($A397:$AD397,1,$D$4)),""))))</f>
        <v/>
      </c>
      <c r="AG397" s="30" t="str">
        <f aca="false">IF(OR(AF397="",$D$6=""),"",IF(LEFT(INDEX($A397:$AD397,1,$D$6),LEN(Inputs!$C$30))=Inputs!$C$30,INDEX($A397:$AD397,1,$D$6),""))</f>
        <v/>
      </c>
      <c r="AH397" s="30" t="str">
        <f aca="false">IF(OR(AF397="",$D$7=""),"",TRIM(IFERROR(LEFT(INDEX($A397:$AD397,1,$D$7),FIND(",",INDEX($A397:$AD397,1,$D$7))-1),INDEX($A397:$AD397,1,$D$7))))</f>
        <v/>
      </c>
      <c r="AI397" s="36" t="n">
        <f aca="false">IF(OR(AF397="",$D$5=""),0,IFERROR(IF(ISNUMBER(INDEX($A397:$AD397,1,$D$5)),INDEX($A397:$AD397,1,$D$5),TIMEVALUE(INDEX($A397:$AD397,1,$D$5)))*Inputs!$C$22,0))</f>
        <v>0</v>
      </c>
    </row>
    <row r="398" customFormat="false" ht="15" hidden="false" customHeight="false" outlineLevel="0" collapsed="false">
      <c r="AF398" s="18" t="str">
        <f aca="false">IF($D$4="","",IF(INDEX($A398:$AD398,1,$D$4)="","",IF(ISNUMBER(INDEX($A398:$AD398,1,$D$4)),INDEX($A398:$AD398,1,$D$4),IFERROR(DATEVALUE(INDEX($A398:$AD398,1,$D$4)),""))))</f>
        <v/>
      </c>
      <c r="AG398" s="30" t="str">
        <f aca="false">IF(OR(AF398="",$D$6=""),"",IF(LEFT(INDEX($A398:$AD398,1,$D$6),LEN(Inputs!$C$30))=Inputs!$C$30,INDEX($A398:$AD398,1,$D$6),""))</f>
        <v/>
      </c>
      <c r="AH398" s="30" t="str">
        <f aca="false">IF(OR(AF398="",$D$7=""),"",TRIM(IFERROR(LEFT(INDEX($A398:$AD398,1,$D$7),FIND(",",INDEX($A398:$AD398,1,$D$7))-1),INDEX($A398:$AD398,1,$D$7))))</f>
        <v/>
      </c>
      <c r="AI398" s="36" t="n">
        <f aca="false">IF(OR(AF398="",$D$5=""),0,IFERROR(IF(ISNUMBER(INDEX($A398:$AD398,1,$D$5)),INDEX($A398:$AD398,1,$D$5),TIMEVALUE(INDEX($A398:$AD398,1,$D$5)))*Inputs!$C$22,0))</f>
        <v>0</v>
      </c>
    </row>
    <row r="399" customFormat="false" ht="15" hidden="false" customHeight="false" outlineLevel="0" collapsed="false">
      <c r="AF399" s="18" t="str">
        <f aca="false">IF($D$4="","",IF(INDEX($A399:$AD399,1,$D$4)="","",IF(ISNUMBER(INDEX($A399:$AD399,1,$D$4)),INDEX($A399:$AD399,1,$D$4),IFERROR(DATEVALUE(INDEX($A399:$AD399,1,$D$4)),""))))</f>
        <v/>
      </c>
      <c r="AG399" s="30" t="str">
        <f aca="false">IF(OR(AF399="",$D$6=""),"",IF(LEFT(INDEX($A399:$AD399,1,$D$6),LEN(Inputs!$C$30))=Inputs!$C$30,INDEX($A399:$AD399,1,$D$6),""))</f>
        <v/>
      </c>
      <c r="AH399" s="30" t="str">
        <f aca="false">IF(OR(AF399="",$D$7=""),"",TRIM(IFERROR(LEFT(INDEX($A399:$AD399,1,$D$7),FIND(",",INDEX($A399:$AD399,1,$D$7))-1),INDEX($A399:$AD399,1,$D$7))))</f>
        <v/>
      </c>
      <c r="AI399" s="36" t="n">
        <f aca="false">IF(OR(AF399="",$D$5=""),0,IFERROR(IF(ISNUMBER(INDEX($A399:$AD399,1,$D$5)),INDEX($A399:$AD399,1,$D$5),TIMEVALUE(INDEX($A399:$AD399,1,$D$5)))*Inputs!$C$22,0))</f>
        <v>0</v>
      </c>
    </row>
    <row r="400" customFormat="false" ht="15" hidden="false" customHeight="false" outlineLevel="0" collapsed="false">
      <c r="AF400" s="18" t="str">
        <f aca="false">IF($D$4="","",IF(INDEX($A400:$AD400,1,$D$4)="","",IF(ISNUMBER(INDEX($A400:$AD400,1,$D$4)),INDEX($A400:$AD400,1,$D$4),IFERROR(DATEVALUE(INDEX($A400:$AD400,1,$D$4)),""))))</f>
        <v/>
      </c>
      <c r="AG400" s="30" t="str">
        <f aca="false">IF(OR(AF400="",$D$6=""),"",IF(LEFT(INDEX($A400:$AD400,1,$D$6),LEN(Inputs!$C$30))=Inputs!$C$30,INDEX($A400:$AD400,1,$D$6),""))</f>
        <v/>
      </c>
      <c r="AH400" s="30" t="str">
        <f aca="false">IF(OR(AF400="",$D$7=""),"",TRIM(IFERROR(LEFT(INDEX($A400:$AD400,1,$D$7),FIND(",",INDEX($A400:$AD400,1,$D$7))-1),INDEX($A400:$AD400,1,$D$7))))</f>
        <v/>
      </c>
      <c r="AI400" s="36" t="n">
        <f aca="false">IF(OR(AF400="",$D$5=""),0,IFERROR(IF(ISNUMBER(INDEX($A400:$AD400,1,$D$5)),INDEX($A400:$AD400,1,$D$5),TIMEVALUE(INDEX($A400:$AD400,1,$D$5)))*Inputs!$C$22,0))</f>
        <v>0</v>
      </c>
    </row>
    <row r="401" customFormat="false" ht="15" hidden="false" customHeight="false" outlineLevel="0" collapsed="false">
      <c r="AF401" s="18" t="str">
        <f aca="false">IF($D$4="","",IF(INDEX($A401:$AD401,1,$D$4)="","",IF(ISNUMBER(INDEX($A401:$AD401,1,$D$4)),INDEX($A401:$AD401,1,$D$4),IFERROR(DATEVALUE(INDEX($A401:$AD401,1,$D$4)),""))))</f>
        <v/>
      </c>
      <c r="AG401" s="30" t="str">
        <f aca="false">IF(OR(AF401="",$D$6=""),"",IF(LEFT(INDEX($A401:$AD401,1,$D$6),LEN(Inputs!$C$30))=Inputs!$C$30,INDEX($A401:$AD401,1,$D$6),""))</f>
        <v/>
      </c>
      <c r="AH401" s="30" t="str">
        <f aca="false">IF(OR(AF401="",$D$7=""),"",TRIM(IFERROR(LEFT(INDEX($A401:$AD401,1,$D$7),FIND(",",INDEX($A401:$AD401,1,$D$7))-1),INDEX($A401:$AD401,1,$D$7))))</f>
        <v/>
      </c>
      <c r="AI401" s="36" t="n">
        <f aca="false">IF(OR(AF401="",$D$5=""),0,IFERROR(IF(ISNUMBER(INDEX($A401:$AD401,1,$D$5)),INDEX($A401:$AD401,1,$D$5),TIMEVALUE(INDEX($A401:$AD401,1,$D$5)))*Inputs!$C$22,0))</f>
        <v>0</v>
      </c>
    </row>
    <row r="402" customFormat="false" ht="15" hidden="false" customHeight="false" outlineLevel="0" collapsed="false">
      <c r="AF402" s="18" t="str">
        <f aca="false">IF($D$4="","",IF(INDEX($A402:$AD402,1,$D$4)="","",IF(ISNUMBER(INDEX($A402:$AD402,1,$D$4)),INDEX($A402:$AD402,1,$D$4),IFERROR(DATEVALUE(INDEX($A402:$AD402,1,$D$4)),""))))</f>
        <v/>
      </c>
      <c r="AG402" s="30" t="str">
        <f aca="false">IF(OR(AF402="",$D$6=""),"",IF(LEFT(INDEX($A402:$AD402,1,$D$6),LEN(Inputs!$C$30))=Inputs!$C$30,INDEX($A402:$AD402,1,$D$6),""))</f>
        <v/>
      </c>
      <c r="AH402" s="30" t="str">
        <f aca="false">IF(OR(AF402="",$D$7=""),"",TRIM(IFERROR(LEFT(INDEX($A402:$AD402,1,$D$7),FIND(",",INDEX($A402:$AD402,1,$D$7))-1),INDEX($A402:$AD402,1,$D$7))))</f>
        <v/>
      </c>
      <c r="AI402" s="36" t="n">
        <f aca="false">IF(OR(AF402="",$D$5=""),0,IFERROR(IF(ISNUMBER(INDEX($A402:$AD402,1,$D$5)),INDEX($A402:$AD402,1,$D$5),TIMEVALUE(INDEX($A402:$AD402,1,$D$5)))*Inputs!$C$22,0))</f>
        <v>0</v>
      </c>
    </row>
    <row r="403" customFormat="false" ht="15" hidden="false" customHeight="false" outlineLevel="0" collapsed="false">
      <c r="AF403" s="18" t="str">
        <f aca="false">IF($D$4="","",IF(INDEX($A403:$AD403,1,$D$4)="","",IF(ISNUMBER(INDEX($A403:$AD403,1,$D$4)),INDEX($A403:$AD403,1,$D$4),IFERROR(DATEVALUE(INDEX($A403:$AD403,1,$D$4)),""))))</f>
        <v/>
      </c>
      <c r="AG403" s="30" t="str">
        <f aca="false">IF(OR(AF403="",$D$6=""),"",IF(LEFT(INDEX($A403:$AD403,1,$D$6),LEN(Inputs!$C$30))=Inputs!$C$30,INDEX($A403:$AD403,1,$D$6),""))</f>
        <v/>
      </c>
      <c r="AH403" s="30" t="str">
        <f aca="false">IF(OR(AF403="",$D$7=""),"",TRIM(IFERROR(LEFT(INDEX($A403:$AD403,1,$D$7),FIND(",",INDEX($A403:$AD403,1,$D$7))-1),INDEX($A403:$AD403,1,$D$7))))</f>
        <v/>
      </c>
      <c r="AI403" s="36" t="n">
        <f aca="false">IF(OR(AF403="",$D$5=""),0,IFERROR(IF(ISNUMBER(INDEX($A403:$AD403,1,$D$5)),INDEX($A403:$AD403,1,$D$5),TIMEVALUE(INDEX($A403:$AD403,1,$D$5)))*Inputs!$C$22,0))</f>
        <v>0</v>
      </c>
    </row>
    <row r="404" customFormat="false" ht="15" hidden="false" customHeight="false" outlineLevel="0" collapsed="false">
      <c r="AF404" s="18" t="str">
        <f aca="false">IF($D$4="","",IF(INDEX($A404:$AD404,1,$D$4)="","",IF(ISNUMBER(INDEX($A404:$AD404,1,$D$4)),INDEX($A404:$AD404,1,$D$4),IFERROR(DATEVALUE(INDEX($A404:$AD404,1,$D$4)),""))))</f>
        <v/>
      </c>
      <c r="AG404" s="30" t="str">
        <f aca="false">IF(OR(AF404="",$D$6=""),"",IF(LEFT(INDEX($A404:$AD404,1,$D$6),LEN(Inputs!$C$30))=Inputs!$C$30,INDEX($A404:$AD404,1,$D$6),""))</f>
        <v/>
      </c>
      <c r="AH404" s="30" t="str">
        <f aca="false">IF(OR(AF404="",$D$7=""),"",TRIM(IFERROR(LEFT(INDEX($A404:$AD404,1,$D$7),FIND(",",INDEX($A404:$AD404,1,$D$7))-1),INDEX($A404:$AD404,1,$D$7))))</f>
        <v/>
      </c>
      <c r="AI404" s="36" t="n">
        <f aca="false">IF(OR(AF404="",$D$5=""),0,IFERROR(IF(ISNUMBER(INDEX($A404:$AD404,1,$D$5)),INDEX($A404:$AD404,1,$D$5),TIMEVALUE(INDEX($A404:$AD404,1,$D$5)))*Inputs!$C$22,0))</f>
        <v>0</v>
      </c>
    </row>
    <row r="405" customFormat="false" ht="15" hidden="false" customHeight="false" outlineLevel="0" collapsed="false">
      <c r="AF405" s="18" t="str">
        <f aca="false">IF($D$4="","",IF(INDEX($A405:$AD405,1,$D$4)="","",IF(ISNUMBER(INDEX($A405:$AD405,1,$D$4)),INDEX($A405:$AD405,1,$D$4),IFERROR(DATEVALUE(INDEX($A405:$AD405,1,$D$4)),""))))</f>
        <v/>
      </c>
      <c r="AG405" s="30" t="str">
        <f aca="false">IF(OR(AF405="",$D$6=""),"",IF(LEFT(INDEX($A405:$AD405,1,$D$6),LEN(Inputs!$C$30))=Inputs!$C$30,INDEX($A405:$AD405,1,$D$6),""))</f>
        <v/>
      </c>
      <c r="AH405" s="30" t="str">
        <f aca="false">IF(OR(AF405="",$D$7=""),"",TRIM(IFERROR(LEFT(INDEX($A405:$AD405,1,$D$7),FIND(",",INDEX($A405:$AD405,1,$D$7))-1),INDEX($A405:$AD405,1,$D$7))))</f>
        <v/>
      </c>
      <c r="AI405" s="36" t="n">
        <f aca="false">IF(OR(AF405="",$D$5=""),0,IFERROR(IF(ISNUMBER(INDEX($A405:$AD405,1,$D$5)),INDEX($A405:$AD405,1,$D$5),TIMEVALUE(INDEX($A405:$AD405,1,$D$5)))*Inputs!$C$22,0))</f>
        <v>0</v>
      </c>
    </row>
    <row r="406" customFormat="false" ht="15" hidden="false" customHeight="false" outlineLevel="0" collapsed="false">
      <c r="AF406" s="18" t="str">
        <f aca="false">IF($D$4="","",IF(INDEX($A406:$AD406,1,$D$4)="","",IF(ISNUMBER(INDEX($A406:$AD406,1,$D$4)),INDEX($A406:$AD406,1,$D$4),IFERROR(DATEVALUE(INDEX($A406:$AD406,1,$D$4)),""))))</f>
        <v/>
      </c>
      <c r="AG406" s="30" t="str">
        <f aca="false">IF(OR(AF406="",$D$6=""),"",IF(LEFT(INDEX($A406:$AD406,1,$D$6),LEN(Inputs!$C$30))=Inputs!$C$30,INDEX($A406:$AD406,1,$D$6),""))</f>
        <v/>
      </c>
      <c r="AH406" s="30" t="str">
        <f aca="false">IF(OR(AF406="",$D$7=""),"",TRIM(IFERROR(LEFT(INDEX($A406:$AD406,1,$D$7),FIND(",",INDEX($A406:$AD406,1,$D$7))-1),INDEX($A406:$AD406,1,$D$7))))</f>
        <v/>
      </c>
      <c r="AI406" s="36" t="n">
        <f aca="false">IF(OR(AF406="",$D$5=""),0,IFERROR(IF(ISNUMBER(INDEX($A406:$AD406,1,$D$5)),INDEX($A406:$AD406,1,$D$5),TIMEVALUE(INDEX($A406:$AD406,1,$D$5)))*Inputs!$C$22,0))</f>
        <v>0</v>
      </c>
    </row>
    <row r="407" customFormat="false" ht="15" hidden="false" customHeight="false" outlineLevel="0" collapsed="false">
      <c r="AF407" s="18" t="str">
        <f aca="false">IF($D$4="","",IF(INDEX($A407:$AD407,1,$D$4)="","",IF(ISNUMBER(INDEX($A407:$AD407,1,$D$4)),INDEX($A407:$AD407,1,$D$4),IFERROR(DATEVALUE(INDEX($A407:$AD407,1,$D$4)),""))))</f>
        <v/>
      </c>
      <c r="AG407" s="30" t="str">
        <f aca="false">IF(OR(AF407="",$D$6=""),"",IF(LEFT(INDEX($A407:$AD407,1,$D$6),LEN(Inputs!$C$30))=Inputs!$C$30,INDEX($A407:$AD407,1,$D$6),""))</f>
        <v/>
      </c>
      <c r="AH407" s="30" t="str">
        <f aca="false">IF(OR(AF407="",$D$7=""),"",TRIM(IFERROR(LEFT(INDEX($A407:$AD407,1,$D$7),FIND(",",INDEX($A407:$AD407,1,$D$7))-1),INDEX($A407:$AD407,1,$D$7))))</f>
        <v/>
      </c>
      <c r="AI407" s="36" t="n">
        <f aca="false">IF(OR(AF407="",$D$5=""),0,IFERROR(IF(ISNUMBER(INDEX($A407:$AD407,1,$D$5)),INDEX($A407:$AD407,1,$D$5),TIMEVALUE(INDEX($A407:$AD407,1,$D$5)))*Inputs!$C$22,0))</f>
        <v>0</v>
      </c>
    </row>
    <row r="408" customFormat="false" ht="15" hidden="false" customHeight="false" outlineLevel="0" collapsed="false">
      <c r="AF408" s="18" t="str">
        <f aca="false">IF($D$4="","",IF(INDEX($A408:$AD408,1,$D$4)="","",IF(ISNUMBER(INDEX($A408:$AD408,1,$D$4)),INDEX($A408:$AD408,1,$D$4),IFERROR(DATEVALUE(INDEX($A408:$AD408,1,$D$4)),""))))</f>
        <v/>
      </c>
      <c r="AG408" s="30" t="str">
        <f aca="false">IF(OR(AF408="",$D$6=""),"",IF(LEFT(INDEX($A408:$AD408,1,$D$6),LEN(Inputs!$C$30))=Inputs!$C$30,INDEX($A408:$AD408,1,$D$6),""))</f>
        <v/>
      </c>
      <c r="AH408" s="30" t="str">
        <f aca="false">IF(OR(AF408="",$D$7=""),"",TRIM(IFERROR(LEFT(INDEX($A408:$AD408,1,$D$7),FIND(",",INDEX($A408:$AD408,1,$D$7))-1),INDEX($A408:$AD408,1,$D$7))))</f>
        <v/>
      </c>
      <c r="AI408" s="36" t="n">
        <f aca="false">IF(OR(AF408="",$D$5=""),0,IFERROR(IF(ISNUMBER(INDEX($A408:$AD408,1,$D$5)),INDEX($A408:$AD408,1,$D$5),TIMEVALUE(INDEX($A408:$AD408,1,$D$5)))*Inputs!$C$22,0))</f>
        <v>0</v>
      </c>
    </row>
    <row r="409" customFormat="false" ht="15" hidden="false" customHeight="false" outlineLevel="0" collapsed="false">
      <c r="AF409" s="18" t="str">
        <f aca="false">IF($D$4="","",IF(INDEX($A409:$AD409,1,$D$4)="","",IF(ISNUMBER(INDEX($A409:$AD409,1,$D$4)),INDEX($A409:$AD409,1,$D$4),IFERROR(DATEVALUE(INDEX($A409:$AD409,1,$D$4)),""))))</f>
        <v/>
      </c>
      <c r="AG409" s="30" t="str">
        <f aca="false">IF(OR(AF409="",$D$6=""),"",IF(LEFT(INDEX($A409:$AD409,1,$D$6),LEN(Inputs!$C$30))=Inputs!$C$30,INDEX($A409:$AD409,1,$D$6),""))</f>
        <v/>
      </c>
      <c r="AH409" s="30" t="str">
        <f aca="false">IF(OR(AF409="",$D$7=""),"",TRIM(IFERROR(LEFT(INDEX($A409:$AD409,1,$D$7),FIND(",",INDEX($A409:$AD409,1,$D$7))-1),INDEX($A409:$AD409,1,$D$7))))</f>
        <v/>
      </c>
      <c r="AI409" s="36" t="n">
        <f aca="false">IF(OR(AF409="",$D$5=""),0,IFERROR(IF(ISNUMBER(INDEX($A409:$AD409,1,$D$5)),INDEX($A409:$AD409,1,$D$5),TIMEVALUE(INDEX($A409:$AD409,1,$D$5)))*Inputs!$C$22,0))</f>
        <v>0</v>
      </c>
    </row>
    <row r="410" customFormat="false" ht="15" hidden="false" customHeight="false" outlineLevel="0" collapsed="false">
      <c r="AF410" s="18" t="str">
        <f aca="false">IF($D$4="","",IF(INDEX($A410:$AD410,1,$D$4)="","",IF(ISNUMBER(INDEX($A410:$AD410,1,$D$4)),INDEX($A410:$AD410,1,$D$4),IFERROR(DATEVALUE(INDEX($A410:$AD410,1,$D$4)),""))))</f>
        <v/>
      </c>
      <c r="AG410" s="30" t="str">
        <f aca="false">IF(OR(AF410="",$D$6=""),"",IF(LEFT(INDEX($A410:$AD410,1,$D$6),LEN(Inputs!$C$30))=Inputs!$C$30,INDEX($A410:$AD410,1,$D$6),""))</f>
        <v/>
      </c>
      <c r="AH410" s="30" t="str">
        <f aca="false">IF(OR(AF410="",$D$7=""),"",TRIM(IFERROR(LEFT(INDEX($A410:$AD410,1,$D$7),FIND(",",INDEX($A410:$AD410,1,$D$7))-1),INDEX($A410:$AD410,1,$D$7))))</f>
        <v/>
      </c>
      <c r="AI410" s="36" t="n">
        <f aca="false">IF(OR(AF410="",$D$5=""),0,IFERROR(IF(ISNUMBER(INDEX($A410:$AD410,1,$D$5)),INDEX($A410:$AD410,1,$D$5),TIMEVALUE(INDEX($A410:$AD410,1,$D$5)))*Inputs!$C$22,0))</f>
        <v>0</v>
      </c>
    </row>
    <row r="411" customFormat="false" ht="15" hidden="false" customHeight="false" outlineLevel="0" collapsed="false">
      <c r="AF411" s="18" t="str">
        <f aca="false">IF($D$4="","",IF(INDEX($A411:$AD411,1,$D$4)="","",IF(ISNUMBER(INDEX($A411:$AD411,1,$D$4)),INDEX($A411:$AD411,1,$D$4),IFERROR(DATEVALUE(INDEX($A411:$AD411,1,$D$4)),""))))</f>
        <v/>
      </c>
      <c r="AG411" s="30" t="str">
        <f aca="false">IF(OR(AF411="",$D$6=""),"",IF(LEFT(INDEX($A411:$AD411,1,$D$6),LEN(Inputs!$C$30))=Inputs!$C$30,INDEX($A411:$AD411,1,$D$6),""))</f>
        <v/>
      </c>
      <c r="AH411" s="30" t="str">
        <f aca="false">IF(OR(AF411="",$D$7=""),"",TRIM(IFERROR(LEFT(INDEX($A411:$AD411,1,$D$7),FIND(",",INDEX($A411:$AD411,1,$D$7))-1),INDEX($A411:$AD411,1,$D$7))))</f>
        <v/>
      </c>
      <c r="AI411" s="36" t="n">
        <f aca="false">IF(OR(AF411="",$D$5=""),0,IFERROR(IF(ISNUMBER(INDEX($A411:$AD411,1,$D$5)),INDEX($A411:$AD411,1,$D$5),TIMEVALUE(INDEX($A411:$AD411,1,$D$5)))*Inputs!$C$22,0))</f>
        <v>0</v>
      </c>
    </row>
    <row r="412" customFormat="false" ht="15" hidden="false" customHeight="false" outlineLevel="0" collapsed="false">
      <c r="AF412" s="18" t="str">
        <f aca="false">IF($D$4="","",IF(INDEX($A412:$AD412,1,$D$4)="","",IF(ISNUMBER(INDEX($A412:$AD412,1,$D$4)),INDEX($A412:$AD412,1,$D$4),IFERROR(DATEVALUE(INDEX($A412:$AD412,1,$D$4)),""))))</f>
        <v/>
      </c>
      <c r="AG412" s="30" t="str">
        <f aca="false">IF(OR(AF412="",$D$6=""),"",IF(LEFT(INDEX($A412:$AD412,1,$D$6),LEN(Inputs!$C$30))=Inputs!$C$30,INDEX($A412:$AD412,1,$D$6),""))</f>
        <v/>
      </c>
      <c r="AH412" s="30" t="str">
        <f aca="false">IF(OR(AF412="",$D$7=""),"",TRIM(IFERROR(LEFT(INDEX($A412:$AD412,1,$D$7),FIND(",",INDEX($A412:$AD412,1,$D$7))-1),INDEX($A412:$AD412,1,$D$7))))</f>
        <v/>
      </c>
      <c r="AI412" s="36" t="n">
        <f aca="false">IF(OR(AF412="",$D$5=""),0,IFERROR(IF(ISNUMBER(INDEX($A412:$AD412,1,$D$5)),INDEX($A412:$AD412,1,$D$5),TIMEVALUE(INDEX($A412:$AD412,1,$D$5)))*Inputs!$C$22,0))</f>
        <v>0</v>
      </c>
    </row>
    <row r="413" customFormat="false" ht="15" hidden="false" customHeight="false" outlineLevel="0" collapsed="false">
      <c r="AF413" s="18" t="str">
        <f aca="false">IF($D$4="","",IF(INDEX($A413:$AD413,1,$D$4)="","",IF(ISNUMBER(INDEX($A413:$AD413,1,$D$4)),INDEX($A413:$AD413,1,$D$4),IFERROR(DATEVALUE(INDEX($A413:$AD413,1,$D$4)),""))))</f>
        <v/>
      </c>
      <c r="AG413" s="30" t="str">
        <f aca="false">IF(OR(AF413="",$D$6=""),"",IF(LEFT(INDEX($A413:$AD413,1,$D$6),LEN(Inputs!$C$30))=Inputs!$C$30,INDEX($A413:$AD413,1,$D$6),""))</f>
        <v/>
      </c>
      <c r="AH413" s="30" t="str">
        <f aca="false">IF(OR(AF413="",$D$7=""),"",TRIM(IFERROR(LEFT(INDEX($A413:$AD413,1,$D$7),FIND(",",INDEX($A413:$AD413,1,$D$7))-1),INDEX($A413:$AD413,1,$D$7))))</f>
        <v/>
      </c>
      <c r="AI413" s="36" t="n">
        <f aca="false">IF(OR(AF413="",$D$5=""),0,IFERROR(IF(ISNUMBER(INDEX($A413:$AD413,1,$D$5)),INDEX($A413:$AD413,1,$D$5),TIMEVALUE(INDEX($A413:$AD413,1,$D$5)))*Inputs!$C$22,0))</f>
        <v>0</v>
      </c>
    </row>
    <row r="414" customFormat="false" ht="15" hidden="false" customHeight="false" outlineLevel="0" collapsed="false">
      <c r="AF414" s="18" t="str">
        <f aca="false">IF($D$4="","",IF(INDEX($A414:$AD414,1,$D$4)="","",IF(ISNUMBER(INDEX($A414:$AD414,1,$D$4)),INDEX($A414:$AD414,1,$D$4),IFERROR(DATEVALUE(INDEX($A414:$AD414,1,$D$4)),""))))</f>
        <v/>
      </c>
      <c r="AG414" s="30" t="str">
        <f aca="false">IF(OR(AF414="",$D$6=""),"",IF(LEFT(INDEX($A414:$AD414,1,$D$6),LEN(Inputs!$C$30))=Inputs!$C$30,INDEX($A414:$AD414,1,$D$6),""))</f>
        <v/>
      </c>
      <c r="AH414" s="30" t="str">
        <f aca="false">IF(OR(AF414="",$D$7=""),"",TRIM(IFERROR(LEFT(INDEX($A414:$AD414,1,$D$7),FIND(",",INDEX($A414:$AD414,1,$D$7))-1),INDEX($A414:$AD414,1,$D$7))))</f>
        <v/>
      </c>
      <c r="AI414" s="36" t="n">
        <f aca="false">IF(OR(AF414="",$D$5=""),0,IFERROR(IF(ISNUMBER(INDEX($A414:$AD414,1,$D$5)),INDEX($A414:$AD414,1,$D$5),TIMEVALUE(INDEX($A414:$AD414,1,$D$5)))*Inputs!$C$22,0))</f>
        <v>0</v>
      </c>
    </row>
    <row r="415" customFormat="false" ht="15" hidden="false" customHeight="false" outlineLevel="0" collapsed="false">
      <c r="AF415" s="18" t="str">
        <f aca="false">IF($D$4="","",IF(INDEX($A415:$AD415,1,$D$4)="","",IF(ISNUMBER(INDEX($A415:$AD415,1,$D$4)),INDEX($A415:$AD415,1,$D$4),IFERROR(DATEVALUE(INDEX($A415:$AD415,1,$D$4)),""))))</f>
        <v/>
      </c>
      <c r="AG415" s="30" t="str">
        <f aca="false">IF(OR(AF415="",$D$6=""),"",IF(LEFT(INDEX($A415:$AD415,1,$D$6),LEN(Inputs!$C$30))=Inputs!$C$30,INDEX($A415:$AD415,1,$D$6),""))</f>
        <v/>
      </c>
      <c r="AH415" s="30" t="str">
        <f aca="false">IF(OR(AF415="",$D$7=""),"",TRIM(IFERROR(LEFT(INDEX($A415:$AD415,1,$D$7),FIND(",",INDEX($A415:$AD415,1,$D$7))-1),INDEX($A415:$AD415,1,$D$7))))</f>
        <v/>
      </c>
      <c r="AI415" s="36" t="n">
        <f aca="false">IF(OR(AF415="",$D$5=""),0,IFERROR(IF(ISNUMBER(INDEX($A415:$AD415,1,$D$5)),INDEX($A415:$AD415,1,$D$5),TIMEVALUE(INDEX($A415:$AD415,1,$D$5)))*Inputs!$C$22,0))</f>
        <v>0</v>
      </c>
    </row>
    <row r="416" customFormat="false" ht="15" hidden="false" customHeight="false" outlineLevel="0" collapsed="false">
      <c r="AF416" s="18" t="str">
        <f aca="false">IF($D$4="","",IF(INDEX($A416:$AD416,1,$D$4)="","",IF(ISNUMBER(INDEX($A416:$AD416,1,$D$4)),INDEX($A416:$AD416,1,$D$4),IFERROR(DATEVALUE(INDEX($A416:$AD416,1,$D$4)),""))))</f>
        <v/>
      </c>
      <c r="AG416" s="30" t="str">
        <f aca="false">IF(OR(AF416="",$D$6=""),"",IF(LEFT(INDEX($A416:$AD416,1,$D$6),LEN(Inputs!$C$30))=Inputs!$C$30,INDEX($A416:$AD416,1,$D$6),""))</f>
        <v/>
      </c>
      <c r="AH416" s="30" t="str">
        <f aca="false">IF(OR(AF416="",$D$7=""),"",TRIM(IFERROR(LEFT(INDEX($A416:$AD416,1,$D$7),FIND(",",INDEX($A416:$AD416,1,$D$7))-1),INDEX($A416:$AD416,1,$D$7))))</f>
        <v/>
      </c>
      <c r="AI416" s="36" t="n">
        <f aca="false">IF(OR(AF416="",$D$5=""),0,IFERROR(IF(ISNUMBER(INDEX($A416:$AD416,1,$D$5)),INDEX($A416:$AD416,1,$D$5),TIMEVALUE(INDEX($A416:$AD416,1,$D$5)))*Inputs!$C$22,0))</f>
        <v>0</v>
      </c>
    </row>
    <row r="417" customFormat="false" ht="15" hidden="false" customHeight="false" outlineLevel="0" collapsed="false">
      <c r="AF417" s="18" t="str">
        <f aca="false">IF($D$4="","",IF(INDEX($A417:$AD417,1,$D$4)="","",IF(ISNUMBER(INDEX($A417:$AD417,1,$D$4)),INDEX($A417:$AD417,1,$D$4),IFERROR(DATEVALUE(INDEX($A417:$AD417,1,$D$4)),""))))</f>
        <v/>
      </c>
      <c r="AG417" s="30" t="str">
        <f aca="false">IF(OR(AF417="",$D$6=""),"",IF(LEFT(INDEX($A417:$AD417,1,$D$6),LEN(Inputs!$C$30))=Inputs!$C$30,INDEX($A417:$AD417,1,$D$6),""))</f>
        <v/>
      </c>
      <c r="AH417" s="30" t="str">
        <f aca="false">IF(OR(AF417="",$D$7=""),"",TRIM(IFERROR(LEFT(INDEX($A417:$AD417,1,$D$7),FIND(",",INDEX($A417:$AD417,1,$D$7))-1),INDEX($A417:$AD417,1,$D$7))))</f>
        <v/>
      </c>
      <c r="AI417" s="36" t="n">
        <f aca="false">IF(OR(AF417="",$D$5=""),0,IFERROR(IF(ISNUMBER(INDEX($A417:$AD417,1,$D$5)),INDEX($A417:$AD417,1,$D$5),TIMEVALUE(INDEX($A417:$AD417,1,$D$5)))*Inputs!$C$22,0))</f>
        <v>0</v>
      </c>
    </row>
    <row r="418" customFormat="false" ht="15" hidden="false" customHeight="false" outlineLevel="0" collapsed="false">
      <c r="AF418" s="18" t="str">
        <f aca="false">IF($D$4="","",IF(INDEX($A418:$AD418,1,$D$4)="","",IF(ISNUMBER(INDEX($A418:$AD418,1,$D$4)),INDEX($A418:$AD418,1,$D$4),IFERROR(DATEVALUE(INDEX($A418:$AD418,1,$D$4)),""))))</f>
        <v/>
      </c>
      <c r="AG418" s="30" t="str">
        <f aca="false">IF(OR(AF418="",$D$6=""),"",IF(LEFT(INDEX($A418:$AD418,1,$D$6),LEN(Inputs!$C$30))=Inputs!$C$30,INDEX($A418:$AD418,1,$D$6),""))</f>
        <v/>
      </c>
      <c r="AH418" s="30" t="str">
        <f aca="false">IF(OR(AF418="",$D$7=""),"",TRIM(IFERROR(LEFT(INDEX($A418:$AD418,1,$D$7),FIND(",",INDEX($A418:$AD418,1,$D$7))-1),INDEX($A418:$AD418,1,$D$7))))</f>
        <v/>
      </c>
      <c r="AI418" s="36" t="n">
        <f aca="false">IF(OR(AF418="",$D$5=""),0,IFERROR(IF(ISNUMBER(INDEX($A418:$AD418,1,$D$5)),INDEX($A418:$AD418,1,$D$5),TIMEVALUE(INDEX($A418:$AD418,1,$D$5)))*Inputs!$C$22,0))</f>
        <v>0</v>
      </c>
    </row>
    <row r="419" customFormat="false" ht="15" hidden="false" customHeight="false" outlineLevel="0" collapsed="false">
      <c r="AF419" s="18" t="str">
        <f aca="false">IF($D$4="","",IF(INDEX($A419:$AD419,1,$D$4)="","",IF(ISNUMBER(INDEX($A419:$AD419,1,$D$4)),INDEX($A419:$AD419,1,$D$4),IFERROR(DATEVALUE(INDEX($A419:$AD419,1,$D$4)),""))))</f>
        <v/>
      </c>
      <c r="AG419" s="30" t="str">
        <f aca="false">IF(OR(AF419="",$D$6=""),"",IF(LEFT(INDEX($A419:$AD419,1,$D$6),LEN(Inputs!$C$30))=Inputs!$C$30,INDEX($A419:$AD419,1,$D$6),""))</f>
        <v/>
      </c>
      <c r="AH419" s="30" t="str">
        <f aca="false">IF(OR(AF419="",$D$7=""),"",TRIM(IFERROR(LEFT(INDEX($A419:$AD419,1,$D$7),FIND(",",INDEX($A419:$AD419,1,$D$7))-1),INDEX($A419:$AD419,1,$D$7))))</f>
        <v/>
      </c>
      <c r="AI419" s="36" t="n">
        <f aca="false">IF(OR(AF419="",$D$5=""),0,IFERROR(IF(ISNUMBER(INDEX($A419:$AD419,1,$D$5)),INDEX($A419:$AD419,1,$D$5),TIMEVALUE(INDEX($A419:$AD419,1,$D$5)))*Inputs!$C$22,0))</f>
        <v>0</v>
      </c>
    </row>
    <row r="420" customFormat="false" ht="15" hidden="false" customHeight="false" outlineLevel="0" collapsed="false">
      <c r="AF420" s="18" t="str">
        <f aca="false">IF($D$4="","",IF(INDEX($A420:$AD420,1,$D$4)="","",IF(ISNUMBER(INDEX($A420:$AD420,1,$D$4)),INDEX($A420:$AD420,1,$D$4),IFERROR(DATEVALUE(INDEX($A420:$AD420,1,$D$4)),""))))</f>
        <v/>
      </c>
      <c r="AG420" s="30" t="str">
        <f aca="false">IF(OR(AF420="",$D$6=""),"",IF(LEFT(INDEX($A420:$AD420,1,$D$6),LEN(Inputs!$C$30))=Inputs!$C$30,INDEX($A420:$AD420,1,$D$6),""))</f>
        <v/>
      </c>
      <c r="AH420" s="30" t="str">
        <f aca="false">IF(OR(AF420="",$D$7=""),"",TRIM(IFERROR(LEFT(INDEX($A420:$AD420,1,$D$7),FIND(",",INDEX($A420:$AD420,1,$D$7))-1),INDEX($A420:$AD420,1,$D$7))))</f>
        <v/>
      </c>
      <c r="AI420" s="36" t="n">
        <f aca="false">IF(OR(AF420="",$D$5=""),0,IFERROR(IF(ISNUMBER(INDEX($A420:$AD420,1,$D$5)),INDEX($A420:$AD420,1,$D$5),TIMEVALUE(INDEX($A420:$AD420,1,$D$5)))*Inputs!$C$22,0))</f>
        <v>0</v>
      </c>
    </row>
    <row r="421" customFormat="false" ht="15" hidden="false" customHeight="false" outlineLevel="0" collapsed="false">
      <c r="AF421" s="18" t="str">
        <f aca="false">IF($D$4="","",IF(INDEX($A421:$AD421,1,$D$4)="","",IF(ISNUMBER(INDEX($A421:$AD421,1,$D$4)),INDEX($A421:$AD421,1,$D$4),IFERROR(DATEVALUE(INDEX($A421:$AD421,1,$D$4)),""))))</f>
        <v/>
      </c>
      <c r="AG421" s="30" t="str">
        <f aca="false">IF(OR(AF421="",$D$6=""),"",IF(LEFT(INDEX($A421:$AD421,1,$D$6),LEN(Inputs!$C$30))=Inputs!$C$30,INDEX($A421:$AD421,1,$D$6),""))</f>
        <v/>
      </c>
      <c r="AH421" s="30" t="str">
        <f aca="false">IF(OR(AF421="",$D$7=""),"",TRIM(IFERROR(LEFT(INDEX($A421:$AD421,1,$D$7),FIND(",",INDEX($A421:$AD421,1,$D$7))-1),INDEX($A421:$AD421,1,$D$7))))</f>
        <v/>
      </c>
      <c r="AI421" s="36" t="n">
        <f aca="false">IF(OR(AF421="",$D$5=""),0,IFERROR(IF(ISNUMBER(INDEX($A421:$AD421,1,$D$5)),INDEX($A421:$AD421,1,$D$5),TIMEVALUE(INDEX($A421:$AD421,1,$D$5)))*Inputs!$C$22,0))</f>
        <v>0</v>
      </c>
    </row>
    <row r="422" customFormat="false" ht="15" hidden="false" customHeight="false" outlineLevel="0" collapsed="false">
      <c r="AF422" s="18" t="str">
        <f aca="false">IF($D$4="","",IF(INDEX($A422:$AD422,1,$D$4)="","",IF(ISNUMBER(INDEX($A422:$AD422,1,$D$4)),INDEX($A422:$AD422,1,$D$4),IFERROR(DATEVALUE(INDEX($A422:$AD422,1,$D$4)),""))))</f>
        <v/>
      </c>
      <c r="AG422" s="30" t="str">
        <f aca="false">IF(OR(AF422="",$D$6=""),"",IF(LEFT(INDEX($A422:$AD422,1,$D$6),LEN(Inputs!$C$30))=Inputs!$C$30,INDEX($A422:$AD422,1,$D$6),""))</f>
        <v/>
      </c>
      <c r="AH422" s="30" t="str">
        <f aca="false">IF(OR(AF422="",$D$7=""),"",TRIM(IFERROR(LEFT(INDEX($A422:$AD422,1,$D$7),FIND(",",INDEX($A422:$AD422,1,$D$7))-1),INDEX($A422:$AD422,1,$D$7))))</f>
        <v/>
      </c>
      <c r="AI422" s="36" t="n">
        <f aca="false">IF(OR(AF422="",$D$5=""),0,IFERROR(IF(ISNUMBER(INDEX($A422:$AD422,1,$D$5)),INDEX($A422:$AD422,1,$D$5),TIMEVALUE(INDEX($A422:$AD422,1,$D$5)))*Inputs!$C$22,0))</f>
        <v>0</v>
      </c>
    </row>
    <row r="423" customFormat="false" ht="15" hidden="false" customHeight="false" outlineLevel="0" collapsed="false">
      <c r="AF423" s="18" t="str">
        <f aca="false">IF($D$4="","",IF(INDEX($A423:$AD423,1,$D$4)="","",IF(ISNUMBER(INDEX($A423:$AD423,1,$D$4)),INDEX($A423:$AD423,1,$D$4),IFERROR(DATEVALUE(INDEX($A423:$AD423,1,$D$4)),""))))</f>
        <v/>
      </c>
      <c r="AG423" s="30" t="str">
        <f aca="false">IF(OR(AF423="",$D$6=""),"",IF(LEFT(INDEX($A423:$AD423,1,$D$6),LEN(Inputs!$C$30))=Inputs!$C$30,INDEX($A423:$AD423,1,$D$6),""))</f>
        <v/>
      </c>
      <c r="AH423" s="30" t="str">
        <f aca="false">IF(OR(AF423="",$D$7=""),"",TRIM(IFERROR(LEFT(INDEX($A423:$AD423,1,$D$7),FIND(",",INDEX($A423:$AD423,1,$D$7))-1),INDEX($A423:$AD423,1,$D$7))))</f>
        <v/>
      </c>
      <c r="AI423" s="36" t="n">
        <f aca="false">IF(OR(AF423="",$D$5=""),0,IFERROR(IF(ISNUMBER(INDEX($A423:$AD423,1,$D$5)),INDEX($A423:$AD423,1,$D$5),TIMEVALUE(INDEX($A423:$AD423,1,$D$5)))*Inputs!$C$22,0))</f>
        <v>0</v>
      </c>
    </row>
    <row r="424" customFormat="false" ht="15" hidden="false" customHeight="false" outlineLevel="0" collapsed="false">
      <c r="AF424" s="18" t="str">
        <f aca="false">IF($D$4="","",IF(INDEX($A424:$AD424,1,$D$4)="","",IF(ISNUMBER(INDEX($A424:$AD424,1,$D$4)),INDEX($A424:$AD424,1,$D$4),IFERROR(DATEVALUE(INDEX($A424:$AD424,1,$D$4)),""))))</f>
        <v/>
      </c>
      <c r="AG424" s="30" t="str">
        <f aca="false">IF(OR(AF424="",$D$6=""),"",IF(LEFT(INDEX($A424:$AD424,1,$D$6),LEN(Inputs!$C$30))=Inputs!$C$30,INDEX($A424:$AD424,1,$D$6),""))</f>
        <v/>
      </c>
      <c r="AH424" s="30" t="str">
        <f aca="false">IF(OR(AF424="",$D$7=""),"",TRIM(IFERROR(LEFT(INDEX($A424:$AD424,1,$D$7),FIND(",",INDEX($A424:$AD424,1,$D$7))-1),INDEX($A424:$AD424,1,$D$7))))</f>
        <v/>
      </c>
      <c r="AI424" s="36" t="n">
        <f aca="false">IF(OR(AF424="",$D$5=""),0,IFERROR(IF(ISNUMBER(INDEX($A424:$AD424,1,$D$5)),INDEX($A424:$AD424,1,$D$5),TIMEVALUE(INDEX($A424:$AD424,1,$D$5)))*Inputs!$C$22,0))</f>
        <v>0</v>
      </c>
    </row>
    <row r="425" customFormat="false" ht="15" hidden="false" customHeight="false" outlineLevel="0" collapsed="false">
      <c r="AF425" s="18" t="str">
        <f aca="false">IF($D$4="","",IF(INDEX($A425:$AD425,1,$D$4)="","",IF(ISNUMBER(INDEX($A425:$AD425,1,$D$4)),INDEX($A425:$AD425,1,$D$4),IFERROR(DATEVALUE(INDEX($A425:$AD425,1,$D$4)),""))))</f>
        <v/>
      </c>
      <c r="AG425" s="30" t="str">
        <f aca="false">IF(OR(AF425="",$D$6=""),"",IF(LEFT(INDEX($A425:$AD425,1,$D$6),LEN(Inputs!$C$30))=Inputs!$C$30,INDEX($A425:$AD425,1,$D$6),""))</f>
        <v/>
      </c>
      <c r="AH425" s="30" t="str">
        <f aca="false">IF(OR(AF425="",$D$7=""),"",TRIM(IFERROR(LEFT(INDEX($A425:$AD425,1,$D$7),FIND(",",INDEX($A425:$AD425,1,$D$7))-1),INDEX($A425:$AD425,1,$D$7))))</f>
        <v/>
      </c>
      <c r="AI425" s="36" t="n">
        <f aca="false">IF(OR(AF425="",$D$5=""),0,IFERROR(IF(ISNUMBER(INDEX($A425:$AD425,1,$D$5)),INDEX($A425:$AD425,1,$D$5),TIMEVALUE(INDEX($A425:$AD425,1,$D$5)))*Inputs!$C$22,0))</f>
        <v>0</v>
      </c>
    </row>
    <row r="426" customFormat="false" ht="15" hidden="false" customHeight="false" outlineLevel="0" collapsed="false">
      <c r="AF426" s="18" t="str">
        <f aca="false">IF($D$4="","",IF(INDEX($A426:$AD426,1,$D$4)="","",IF(ISNUMBER(INDEX($A426:$AD426,1,$D$4)),INDEX($A426:$AD426,1,$D$4),IFERROR(DATEVALUE(INDEX($A426:$AD426,1,$D$4)),""))))</f>
        <v/>
      </c>
      <c r="AG426" s="30" t="str">
        <f aca="false">IF(OR(AF426="",$D$6=""),"",IF(LEFT(INDEX($A426:$AD426,1,$D$6),LEN(Inputs!$C$30))=Inputs!$C$30,INDEX($A426:$AD426,1,$D$6),""))</f>
        <v/>
      </c>
      <c r="AH426" s="30" t="str">
        <f aca="false">IF(OR(AF426="",$D$7=""),"",TRIM(IFERROR(LEFT(INDEX($A426:$AD426,1,$D$7),FIND(",",INDEX($A426:$AD426,1,$D$7))-1),INDEX($A426:$AD426,1,$D$7))))</f>
        <v/>
      </c>
      <c r="AI426" s="36" t="n">
        <f aca="false">IF(OR(AF426="",$D$5=""),0,IFERROR(IF(ISNUMBER(INDEX($A426:$AD426,1,$D$5)),INDEX($A426:$AD426,1,$D$5),TIMEVALUE(INDEX($A426:$AD426,1,$D$5)))*Inputs!$C$22,0))</f>
        <v>0</v>
      </c>
    </row>
    <row r="427" customFormat="false" ht="15" hidden="false" customHeight="false" outlineLevel="0" collapsed="false">
      <c r="AF427" s="18" t="str">
        <f aca="false">IF($D$4="","",IF(INDEX($A427:$AD427,1,$D$4)="","",IF(ISNUMBER(INDEX($A427:$AD427,1,$D$4)),INDEX($A427:$AD427,1,$D$4),IFERROR(DATEVALUE(INDEX($A427:$AD427,1,$D$4)),""))))</f>
        <v/>
      </c>
      <c r="AG427" s="30" t="str">
        <f aca="false">IF(OR(AF427="",$D$6=""),"",IF(LEFT(INDEX($A427:$AD427,1,$D$6),LEN(Inputs!$C$30))=Inputs!$C$30,INDEX($A427:$AD427,1,$D$6),""))</f>
        <v/>
      </c>
      <c r="AH427" s="30" t="str">
        <f aca="false">IF(OR(AF427="",$D$7=""),"",TRIM(IFERROR(LEFT(INDEX($A427:$AD427,1,$D$7),FIND(",",INDEX($A427:$AD427,1,$D$7))-1),INDEX($A427:$AD427,1,$D$7))))</f>
        <v/>
      </c>
      <c r="AI427" s="36" t="n">
        <f aca="false">IF(OR(AF427="",$D$5=""),0,IFERROR(IF(ISNUMBER(INDEX($A427:$AD427,1,$D$5)),INDEX($A427:$AD427,1,$D$5),TIMEVALUE(INDEX($A427:$AD427,1,$D$5)))*Inputs!$C$22,0))</f>
        <v>0</v>
      </c>
    </row>
    <row r="428" customFormat="false" ht="15" hidden="false" customHeight="false" outlineLevel="0" collapsed="false">
      <c r="AF428" s="18" t="str">
        <f aca="false">IF($D$4="","",IF(INDEX($A428:$AD428,1,$D$4)="","",IF(ISNUMBER(INDEX($A428:$AD428,1,$D$4)),INDEX($A428:$AD428,1,$D$4),IFERROR(DATEVALUE(INDEX($A428:$AD428,1,$D$4)),""))))</f>
        <v/>
      </c>
      <c r="AG428" s="30" t="str">
        <f aca="false">IF(OR(AF428="",$D$6=""),"",IF(LEFT(INDEX($A428:$AD428,1,$D$6),LEN(Inputs!$C$30))=Inputs!$C$30,INDEX($A428:$AD428,1,$D$6),""))</f>
        <v/>
      </c>
      <c r="AH428" s="30" t="str">
        <f aca="false">IF(OR(AF428="",$D$7=""),"",TRIM(IFERROR(LEFT(INDEX($A428:$AD428,1,$D$7),FIND(",",INDEX($A428:$AD428,1,$D$7))-1),INDEX($A428:$AD428,1,$D$7))))</f>
        <v/>
      </c>
      <c r="AI428" s="36" t="n">
        <f aca="false">IF(OR(AF428="",$D$5=""),0,IFERROR(IF(ISNUMBER(INDEX($A428:$AD428,1,$D$5)),INDEX($A428:$AD428,1,$D$5),TIMEVALUE(INDEX($A428:$AD428,1,$D$5)))*Inputs!$C$22,0))</f>
        <v>0</v>
      </c>
    </row>
    <row r="429" customFormat="false" ht="15" hidden="false" customHeight="false" outlineLevel="0" collapsed="false">
      <c r="AF429" s="18" t="str">
        <f aca="false">IF($D$4="","",IF(INDEX($A429:$AD429,1,$D$4)="","",IF(ISNUMBER(INDEX($A429:$AD429,1,$D$4)),INDEX($A429:$AD429,1,$D$4),IFERROR(DATEVALUE(INDEX($A429:$AD429,1,$D$4)),""))))</f>
        <v/>
      </c>
      <c r="AG429" s="30" t="str">
        <f aca="false">IF(OR(AF429="",$D$6=""),"",IF(LEFT(INDEX($A429:$AD429,1,$D$6),LEN(Inputs!$C$30))=Inputs!$C$30,INDEX($A429:$AD429,1,$D$6),""))</f>
        <v/>
      </c>
      <c r="AH429" s="30" t="str">
        <f aca="false">IF(OR(AF429="",$D$7=""),"",TRIM(IFERROR(LEFT(INDEX($A429:$AD429,1,$D$7),FIND(",",INDEX($A429:$AD429,1,$D$7))-1),INDEX($A429:$AD429,1,$D$7))))</f>
        <v/>
      </c>
      <c r="AI429" s="36" t="n">
        <f aca="false">IF(OR(AF429="",$D$5=""),0,IFERROR(IF(ISNUMBER(INDEX($A429:$AD429,1,$D$5)),INDEX($A429:$AD429,1,$D$5),TIMEVALUE(INDEX($A429:$AD429,1,$D$5)))*Inputs!$C$22,0))</f>
        <v>0</v>
      </c>
    </row>
    <row r="430" customFormat="false" ht="15" hidden="false" customHeight="false" outlineLevel="0" collapsed="false">
      <c r="AF430" s="18" t="str">
        <f aca="false">IF($D$4="","",IF(INDEX($A430:$AD430,1,$D$4)="","",IF(ISNUMBER(INDEX($A430:$AD430,1,$D$4)),INDEX($A430:$AD430,1,$D$4),IFERROR(DATEVALUE(INDEX($A430:$AD430,1,$D$4)),""))))</f>
        <v/>
      </c>
      <c r="AG430" s="30" t="str">
        <f aca="false">IF(OR(AF430="",$D$6=""),"",IF(LEFT(INDEX($A430:$AD430,1,$D$6),LEN(Inputs!$C$30))=Inputs!$C$30,INDEX($A430:$AD430,1,$D$6),""))</f>
        <v/>
      </c>
      <c r="AH430" s="30" t="str">
        <f aca="false">IF(OR(AF430="",$D$7=""),"",TRIM(IFERROR(LEFT(INDEX($A430:$AD430,1,$D$7),FIND(",",INDEX($A430:$AD430,1,$D$7))-1),INDEX($A430:$AD430,1,$D$7))))</f>
        <v/>
      </c>
      <c r="AI430" s="36" t="n">
        <f aca="false">IF(OR(AF430="",$D$5=""),0,IFERROR(IF(ISNUMBER(INDEX($A430:$AD430,1,$D$5)),INDEX($A430:$AD430,1,$D$5),TIMEVALUE(INDEX($A430:$AD430,1,$D$5)))*Inputs!$C$22,0))</f>
        <v>0</v>
      </c>
    </row>
    <row r="431" customFormat="false" ht="15" hidden="false" customHeight="false" outlineLevel="0" collapsed="false">
      <c r="AF431" s="18" t="str">
        <f aca="false">IF($D$4="","",IF(INDEX($A431:$AD431,1,$D$4)="","",IF(ISNUMBER(INDEX($A431:$AD431,1,$D$4)),INDEX($A431:$AD431,1,$D$4),IFERROR(DATEVALUE(INDEX($A431:$AD431,1,$D$4)),""))))</f>
        <v/>
      </c>
      <c r="AG431" s="30" t="str">
        <f aca="false">IF(OR(AF431="",$D$6=""),"",IF(LEFT(INDEX($A431:$AD431,1,$D$6),LEN(Inputs!$C$30))=Inputs!$C$30,INDEX($A431:$AD431,1,$D$6),""))</f>
        <v/>
      </c>
      <c r="AH431" s="30" t="str">
        <f aca="false">IF(OR(AF431="",$D$7=""),"",TRIM(IFERROR(LEFT(INDEX($A431:$AD431,1,$D$7),FIND(",",INDEX($A431:$AD431,1,$D$7))-1),INDEX($A431:$AD431,1,$D$7))))</f>
        <v/>
      </c>
      <c r="AI431" s="36" t="n">
        <f aca="false">IF(OR(AF431="",$D$5=""),0,IFERROR(IF(ISNUMBER(INDEX($A431:$AD431,1,$D$5)),INDEX($A431:$AD431,1,$D$5),TIMEVALUE(INDEX($A431:$AD431,1,$D$5)))*Inputs!$C$22,0))</f>
        <v>0</v>
      </c>
    </row>
    <row r="432" customFormat="false" ht="15" hidden="false" customHeight="false" outlineLevel="0" collapsed="false">
      <c r="AF432" s="18" t="str">
        <f aca="false">IF($D$4="","",IF(INDEX($A432:$AD432,1,$D$4)="","",IF(ISNUMBER(INDEX($A432:$AD432,1,$D$4)),INDEX($A432:$AD432,1,$D$4),IFERROR(DATEVALUE(INDEX($A432:$AD432,1,$D$4)),""))))</f>
        <v/>
      </c>
      <c r="AG432" s="30" t="str">
        <f aca="false">IF(OR(AF432="",$D$6=""),"",IF(LEFT(INDEX($A432:$AD432,1,$D$6),LEN(Inputs!$C$30))=Inputs!$C$30,INDEX($A432:$AD432,1,$D$6),""))</f>
        <v/>
      </c>
      <c r="AH432" s="30" t="str">
        <f aca="false">IF(OR(AF432="",$D$7=""),"",TRIM(IFERROR(LEFT(INDEX($A432:$AD432,1,$D$7),FIND(",",INDEX($A432:$AD432,1,$D$7))-1),INDEX($A432:$AD432,1,$D$7))))</f>
        <v/>
      </c>
      <c r="AI432" s="36" t="n">
        <f aca="false">IF(OR(AF432="",$D$5=""),0,IFERROR(IF(ISNUMBER(INDEX($A432:$AD432,1,$D$5)),INDEX($A432:$AD432,1,$D$5),TIMEVALUE(INDEX($A432:$AD432,1,$D$5)))*Inputs!$C$22,0))</f>
        <v>0</v>
      </c>
    </row>
    <row r="433" customFormat="false" ht="15" hidden="false" customHeight="false" outlineLevel="0" collapsed="false">
      <c r="AF433" s="18" t="str">
        <f aca="false">IF($D$4="","",IF(INDEX($A433:$AD433,1,$D$4)="","",IF(ISNUMBER(INDEX($A433:$AD433,1,$D$4)),INDEX($A433:$AD433,1,$D$4),IFERROR(DATEVALUE(INDEX($A433:$AD433,1,$D$4)),""))))</f>
        <v/>
      </c>
      <c r="AG433" s="30" t="str">
        <f aca="false">IF(OR(AF433="",$D$6=""),"",IF(LEFT(INDEX($A433:$AD433,1,$D$6),LEN(Inputs!$C$30))=Inputs!$C$30,INDEX($A433:$AD433,1,$D$6),""))</f>
        <v/>
      </c>
      <c r="AH433" s="30" t="str">
        <f aca="false">IF(OR(AF433="",$D$7=""),"",TRIM(IFERROR(LEFT(INDEX($A433:$AD433,1,$D$7),FIND(",",INDEX($A433:$AD433,1,$D$7))-1),INDEX($A433:$AD433,1,$D$7))))</f>
        <v/>
      </c>
      <c r="AI433" s="36" t="n">
        <f aca="false">IF(OR(AF433="",$D$5=""),0,IFERROR(IF(ISNUMBER(INDEX($A433:$AD433,1,$D$5)),INDEX($A433:$AD433,1,$D$5),TIMEVALUE(INDEX($A433:$AD433,1,$D$5)))*Inputs!$C$22,0))</f>
        <v>0</v>
      </c>
    </row>
    <row r="434" customFormat="false" ht="15" hidden="false" customHeight="false" outlineLevel="0" collapsed="false">
      <c r="AF434" s="18" t="str">
        <f aca="false">IF($D$4="","",IF(INDEX($A434:$AD434,1,$D$4)="","",IF(ISNUMBER(INDEX($A434:$AD434,1,$D$4)),INDEX($A434:$AD434,1,$D$4),IFERROR(DATEVALUE(INDEX($A434:$AD434,1,$D$4)),""))))</f>
        <v/>
      </c>
      <c r="AG434" s="30" t="str">
        <f aca="false">IF(OR(AF434="",$D$6=""),"",IF(LEFT(INDEX($A434:$AD434,1,$D$6),LEN(Inputs!$C$30))=Inputs!$C$30,INDEX($A434:$AD434,1,$D$6),""))</f>
        <v/>
      </c>
      <c r="AH434" s="30" t="str">
        <f aca="false">IF(OR(AF434="",$D$7=""),"",TRIM(IFERROR(LEFT(INDEX($A434:$AD434,1,$D$7),FIND(",",INDEX($A434:$AD434,1,$D$7))-1),INDEX($A434:$AD434,1,$D$7))))</f>
        <v/>
      </c>
      <c r="AI434" s="36" t="n">
        <f aca="false">IF(OR(AF434="",$D$5=""),0,IFERROR(IF(ISNUMBER(INDEX($A434:$AD434,1,$D$5)),INDEX($A434:$AD434,1,$D$5),TIMEVALUE(INDEX($A434:$AD434,1,$D$5)))*Inputs!$C$22,0))</f>
        <v>0</v>
      </c>
    </row>
    <row r="435" customFormat="false" ht="15" hidden="false" customHeight="false" outlineLevel="0" collapsed="false">
      <c r="AF435" s="18" t="str">
        <f aca="false">IF($D$4="","",IF(INDEX($A435:$AD435,1,$D$4)="","",IF(ISNUMBER(INDEX($A435:$AD435,1,$D$4)),INDEX($A435:$AD435,1,$D$4),IFERROR(DATEVALUE(INDEX($A435:$AD435,1,$D$4)),""))))</f>
        <v/>
      </c>
      <c r="AG435" s="30" t="str">
        <f aca="false">IF(OR(AF435="",$D$6=""),"",IF(LEFT(INDEX($A435:$AD435,1,$D$6),LEN(Inputs!$C$30))=Inputs!$C$30,INDEX($A435:$AD435,1,$D$6),""))</f>
        <v/>
      </c>
      <c r="AH435" s="30" t="str">
        <f aca="false">IF(OR(AF435="",$D$7=""),"",TRIM(IFERROR(LEFT(INDEX($A435:$AD435,1,$D$7),FIND(",",INDEX($A435:$AD435,1,$D$7))-1),INDEX($A435:$AD435,1,$D$7))))</f>
        <v/>
      </c>
      <c r="AI435" s="36" t="n">
        <f aca="false">IF(OR(AF435="",$D$5=""),0,IFERROR(IF(ISNUMBER(INDEX($A435:$AD435,1,$D$5)),INDEX($A435:$AD435,1,$D$5),TIMEVALUE(INDEX($A435:$AD435,1,$D$5)))*Inputs!$C$22,0))</f>
        <v>0</v>
      </c>
    </row>
    <row r="436" customFormat="false" ht="15" hidden="false" customHeight="false" outlineLevel="0" collapsed="false">
      <c r="AF436" s="18" t="str">
        <f aca="false">IF($D$4="","",IF(INDEX($A436:$AD436,1,$D$4)="","",IF(ISNUMBER(INDEX($A436:$AD436,1,$D$4)),INDEX($A436:$AD436,1,$D$4),IFERROR(DATEVALUE(INDEX($A436:$AD436,1,$D$4)),""))))</f>
        <v/>
      </c>
      <c r="AG436" s="30" t="str">
        <f aca="false">IF(OR(AF436="",$D$6=""),"",IF(LEFT(INDEX($A436:$AD436,1,$D$6),LEN(Inputs!$C$30))=Inputs!$C$30,INDEX($A436:$AD436,1,$D$6),""))</f>
        <v/>
      </c>
      <c r="AH436" s="30" t="str">
        <f aca="false">IF(OR(AF436="",$D$7=""),"",TRIM(IFERROR(LEFT(INDEX($A436:$AD436,1,$D$7),FIND(",",INDEX($A436:$AD436,1,$D$7))-1),INDEX($A436:$AD436,1,$D$7))))</f>
        <v/>
      </c>
      <c r="AI436" s="36" t="n">
        <f aca="false">IF(OR(AF436="",$D$5=""),0,IFERROR(IF(ISNUMBER(INDEX($A436:$AD436,1,$D$5)),INDEX($A436:$AD436,1,$D$5),TIMEVALUE(INDEX($A436:$AD436,1,$D$5)))*Inputs!$C$22,0))</f>
        <v>0</v>
      </c>
    </row>
    <row r="437" customFormat="false" ht="15" hidden="false" customHeight="false" outlineLevel="0" collapsed="false">
      <c r="AF437" s="18" t="str">
        <f aca="false">IF($D$4="","",IF(INDEX($A437:$AD437,1,$D$4)="","",IF(ISNUMBER(INDEX($A437:$AD437,1,$D$4)),INDEX($A437:$AD437,1,$D$4),IFERROR(DATEVALUE(INDEX($A437:$AD437,1,$D$4)),""))))</f>
        <v/>
      </c>
      <c r="AG437" s="30" t="str">
        <f aca="false">IF(OR(AF437="",$D$6=""),"",IF(LEFT(INDEX($A437:$AD437,1,$D$6),LEN(Inputs!$C$30))=Inputs!$C$30,INDEX($A437:$AD437,1,$D$6),""))</f>
        <v/>
      </c>
      <c r="AH437" s="30" t="str">
        <f aca="false">IF(OR(AF437="",$D$7=""),"",TRIM(IFERROR(LEFT(INDEX($A437:$AD437,1,$D$7),FIND(",",INDEX($A437:$AD437,1,$D$7))-1),INDEX($A437:$AD437,1,$D$7))))</f>
        <v/>
      </c>
      <c r="AI437" s="36" t="n">
        <f aca="false">IF(OR(AF437="",$D$5=""),0,IFERROR(IF(ISNUMBER(INDEX($A437:$AD437,1,$D$5)),INDEX($A437:$AD437,1,$D$5),TIMEVALUE(INDEX($A437:$AD437,1,$D$5)))*Inputs!$C$22,0))</f>
        <v>0</v>
      </c>
    </row>
    <row r="438" customFormat="false" ht="15" hidden="false" customHeight="false" outlineLevel="0" collapsed="false">
      <c r="AF438" s="18" t="str">
        <f aca="false">IF($D$4="","",IF(INDEX($A438:$AD438,1,$D$4)="","",IF(ISNUMBER(INDEX($A438:$AD438,1,$D$4)),INDEX($A438:$AD438,1,$D$4),IFERROR(DATEVALUE(INDEX($A438:$AD438,1,$D$4)),""))))</f>
        <v/>
      </c>
      <c r="AG438" s="30" t="str">
        <f aca="false">IF(OR(AF438="",$D$6=""),"",IF(LEFT(INDEX($A438:$AD438,1,$D$6),LEN(Inputs!$C$30))=Inputs!$C$30,INDEX($A438:$AD438,1,$D$6),""))</f>
        <v/>
      </c>
      <c r="AH438" s="30" t="str">
        <f aca="false">IF(OR(AF438="",$D$7=""),"",TRIM(IFERROR(LEFT(INDEX($A438:$AD438,1,$D$7),FIND(",",INDEX($A438:$AD438,1,$D$7))-1),INDEX($A438:$AD438,1,$D$7))))</f>
        <v/>
      </c>
      <c r="AI438" s="36" t="n">
        <f aca="false">IF(OR(AF438="",$D$5=""),0,IFERROR(IF(ISNUMBER(INDEX($A438:$AD438,1,$D$5)),INDEX($A438:$AD438,1,$D$5),TIMEVALUE(INDEX($A438:$AD438,1,$D$5)))*Inputs!$C$22,0))</f>
        <v>0</v>
      </c>
    </row>
    <row r="439" customFormat="false" ht="15" hidden="false" customHeight="false" outlineLevel="0" collapsed="false">
      <c r="AF439" s="18" t="str">
        <f aca="false">IF($D$4="","",IF(INDEX($A439:$AD439,1,$D$4)="","",IF(ISNUMBER(INDEX($A439:$AD439,1,$D$4)),INDEX($A439:$AD439,1,$D$4),IFERROR(DATEVALUE(INDEX($A439:$AD439,1,$D$4)),""))))</f>
        <v/>
      </c>
      <c r="AG439" s="30" t="str">
        <f aca="false">IF(OR(AF439="",$D$6=""),"",IF(LEFT(INDEX($A439:$AD439,1,$D$6),LEN(Inputs!$C$30))=Inputs!$C$30,INDEX($A439:$AD439,1,$D$6),""))</f>
        <v/>
      </c>
      <c r="AH439" s="30" t="str">
        <f aca="false">IF(OR(AF439="",$D$7=""),"",TRIM(IFERROR(LEFT(INDEX($A439:$AD439,1,$D$7),FIND(",",INDEX($A439:$AD439,1,$D$7))-1),INDEX($A439:$AD439,1,$D$7))))</f>
        <v/>
      </c>
      <c r="AI439" s="36" t="n">
        <f aca="false">IF(OR(AF439="",$D$5=""),0,IFERROR(IF(ISNUMBER(INDEX($A439:$AD439,1,$D$5)),INDEX($A439:$AD439,1,$D$5),TIMEVALUE(INDEX($A439:$AD439,1,$D$5)))*Inputs!$C$22,0))</f>
        <v>0</v>
      </c>
    </row>
    <row r="440" customFormat="false" ht="15" hidden="false" customHeight="false" outlineLevel="0" collapsed="false">
      <c r="AF440" s="18" t="str">
        <f aca="false">IF($D$4="","",IF(INDEX($A440:$AD440,1,$D$4)="","",IF(ISNUMBER(INDEX($A440:$AD440,1,$D$4)),INDEX($A440:$AD440,1,$D$4),IFERROR(DATEVALUE(INDEX($A440:$AD440,1,$D$4)),""))))</f>
        <v/>
      </c>
      <c r="AG440" s="30" t="str">
        <f aca="false">IF(OR(AF440="",$D$6=""),"",IF(LEFT(INDEX($A440:$AD440,1,$D$6),LEN(Inputs!$C$30))=Inputs!$C$30,INDEX($A440:$AD440,1,$D$6),""))</f>
        <v/>
      </c>
      <c r="AH440" s="30" t="str">
        <f aca="false">IF(OR(AF440="",$D$7=""),"",TRIM(IFERROR(LEFT(INDEX($A440:$AD440,1,$D$7),FIND(",",INDEX($A440:$AD440,1,$D$7))-1),INDEX($A440:$AD440,1,$D$7))))</f>
        <v/>
      </c>
      <c r="AI440" s="36" t="n">
        <f aca="false">IF(OR(AF440="",$D$5=""),0,IFERROR(IF(ISNUMBER(INDEX($A440:$AD440,1,$D$5)),INDEX($A440:$AD440,1,$D$5),TIMEVALUE(INDEX($A440:$AD440,1,$D$5)))*Inputs!$C$22,0))</f>
        <v>0</v>
      </c>
    </row>
    <row r="441" customFormat="false" ht="15" hidden="false" customHeight="false" outlineLevel="0" collapsed="false">
      <c r="AF441" s="18" t="str">
        <f aca="false">IF($D$4="","",IF(INDEX($A441:$AD441,1,$D$4)="","",IF(ISNUMBER(INDEX($A441:$AD441,1,$D$4)),INDEX($A441:$AD441,1,$D$4),IFERROR(DATEVALUE(INDEX($A441:$AD441,1,$D$4)),""))))</f>
        <v/>
      </c>
      <c r="AG441" s="30" t="str">
        <f aca="false">IF(OR(AF441="",$D$6=""),"",IF(LEFT(INDEX($A441:$AD441,1,$D$6),LEN(Inputs!$C$30))=Inputs!$C$30,INDEX($A441:$AD441,1,$D$6),""))</f>
        <v/>
      </c>
      <c r="AH441" s="30" t="str">
        <f aca="false">IF(OR(AF441="",$D$7=""),"",TRIM(IFERROR(LEFT(INDEX($A441:$AD441,1,$D$7),FIND(",",INDEX($A441:$AD441,1,$D$7))-1),INDEX($A441:$AD441,1,$D$7))))</f>
        <v/>
      </c>
      <c r="AI441" s="36" t="n">
        <f aca="false">IF(OR(AF441="",$D$5=""),0,IFERROR(IF(ISNUMBER(INDEX($A441:$AD441,1,$D$5)),INDEX($A441:$AD441,1,$D$5),TIMEVALUE(INDEX($A441:$AD441,1,$D$5)))*Inputs!$C$22,0))</f>
        <v>0</v>
      </c>
    </row>
    <row r="442" customFormat="false" ht="15" hidden="false" customHeight="false" outlineLevel="0" collapsed="false">
      <c r="AF442" s="18" t="str">
        <f aca="false">IF($D$4="","",IF(INDEX($A442:$AD442,1,$D$4)="","",IF(ISNUMBER(INDEX($A442:$AD442,1,$D$4)),INDEX($A442:$AD442,1,$D$4),IFERROR(DATEVALUE(INDEX($A442:$AD442,1,$D$4)),""))))</f>
        <v/>
      </c>
      <c r="AG442" s="30" t="str">
        <f aca="false">IF(OR(AF442="",$D$6=""),"",IF(LEFT(INDEX($A442:$AD442,1,$D$6),LEN(Inputs!$C$30))=Inputs!$C$30,INDEX($A442:$AD442,1,$D$6),""))</f>
        <v/>
      </c>
      <c r="AH442" s="30" t="str">
        <f aca="false">IF(OR(AF442="",$D$7=""),"",TRIM(IFERROR(LEFT(INDEX($A442:$AD442,1,$D$7),FIND(",",INDEX($A442:$AD442,1,$D$7))-1),INDEX($A442:$AD442,1,$D$7))))</f>
        <v/>
      </c>
      <c r="AI442" s="36" t="n">
        <f aca="false">IF(OR(AF442="",$D$5=""),0,IFERROR(IF(ISNUMBER(INDEX($A442:$AD442,1,$D$5)),INDEX($A442:$AD442,1,$D$5),TIMEVALUE(INDEX($A442:$AD442,1,$D$5)))*Inputs!$C$22,0))</f>
        <v>0</v>
      </c>
    </row>
    <row r="443" customFormat="false" ht="15" hidden="false" customHeight="false" outlineLevel="0" collapsed="false">
      <c r="AF443" s="18" t="str">
        <f aca="false">IF($D$4="","",IF(INDEX($A443:$AD443,1,$D$4)="","",IF(ISNUMBER(INDEX($A443:$AD443,1,$D$4)),INDEX($A443:$AD443,1,$D$4),IFERROR(DATEVALUE(INDEX($A443:$AD443,1,$D$4)),""))))</f>
        <v/>
      </c>
      <c r="AG443" s="30" t="str">
        <f aca="false">IF(OR(AF443="",$D$6=""),"",IF(LEFT(INDEX($A443:$AD443,1,$D$6),LEN(Inputs!$C$30))=Inputs!$C$30,INDEX($A443:$AD443,1,$D$6),""))</f>
        <v/>
      </c>
      <c r="AH443" s="30" t="str">
        <f aca="false">IF(OR(AF443="",$D$7=""),"",TRIM(IFERROR(LEFT(INDEX($A443:$AD443,1,$D$7),FIND(",",INDEX($A443:$AD443,1,$D$7))-1),INDEX($A443:$AD443,1,$D$7))))</f>
        <v/>
      </c>
      <c r="AI443" s="36" t="n">
        <f aca="false">IF(OR(AF443="",$D$5=""),0,IFERROR(IF(ISNUMBER(INDEX($A443:$AD443,1,$D$5)),INDEX($A443:$AD443,1,$D$5),TIMEVALUE(INDEX($A443:$AD443,1,$D$5)))*Inputs!$C$22,0))</f>
        <v>0</v>
      </c>
    </row>
    <row r="444" customFormat="false" ht="15" hidden="false" customHeight="false" outlineLevel="0" collapsed="false">
      <c r="AF444" s="18" t="str">
        <f aca="false">IF($D$4="","",IF(INDEX($A444:$AD444,1,$D$4)="","",IF(ISNUMBER(INDEX($A444:$AD444,1,$D$4)),INDEX($A444:$AD444,1,$D$4),IFERROR(DATEVALUE(INDEX($A444:$AD444,1,$D$4)),""))))</f>
        <v/>
      </c>
      <c r="AG444" s="30" t="str">
        <f aca="false">IF(OR(AF444="",$D$6=""),"",IF(LEFT(INDEX($A444:$AD444,1,$D$6),LEN(Inputs!$C$30))=Inputs!$C$30,INDEX($A444:$AD444,1,$D$6),""))</f>
        <v/>
      </c>
      <c r="AH444" s="30" t="str">
        <f aca="false">IF(OR(AF444="",$D$7=""),"",TRIM(IFERROR(LEFT(INDEX($A444:$AD444,1,$D$7),FIND(",",INDEX($A444:$AD444,1,$D$7))-1),INDEX($A444:$AD444,1,$D$7))))</f>
        <v/>
      </c>
      <c r="AI444" s="36" t="n">
        <f aca="false">IF(OR(AF444="",$D$5=""),0,IFERROR(IF(ISNUMBER(INDEX($A444:$AD444,1,$D$5)),INDEX($A444:$AD444,1,$D$5),TIMEVALUE(INDEX($A444:$AD444,1,$D$5)))*Inputs!$C$22,0))</f>
        <v>0</v>
      </c>
    </row>
    <row r="445" customFormat="false" ht="15" hidden="false" customHeight="false" outlineLevel="0" collapsed="false">
      <c r="AF445" s="18" t="str">
        <f aca="false">IF($D$4="","",IF(INDEX($A445:$AD445,1,$D$4)="","",IF(ISNUMBER(INDEX($A445:$AD445,1,$D$4)),INDEX($A445:$AD445,1,$D$4),IFERROR(DATEVALUE(INDEX($A445:$AD445,1,$D$4)),""))))</f>
        <v/>
      </c>
      <c r="AG445" s="30" t="str">
        <f aca="false">IF(OR(AF445="",$D$6=""),"",IF(LEFT(INDEX($A445:$AD445,1,$D$6),LEN(Inputs!$C$30))=Inputs!$C$30,INDEX($A445:$AD445,1,$D$6),""))</f>
        <v/>
      </c>
      <c r="AH445" s="30" t="str">
        <f aca="false">IF(OR(AF445="",$D$7=""),"",TRIM(IFERROR(LEFT(INDEX($A445:$AD445,1,$D$7),FIND(",",INDEX($A445:$AD445,1,$D$7))-1),INDEX($A445:$AD445,1,$D$7))))</f>
        <v/>
      </c>
      <c r="AI445" s="36" t="n">
        <f aca="false">IF(OR(AF445="",$D$5=""),0,IFERROR(IF(ISNUMBER(INDEX($A445:$AD445,1,$D$5)),INDEX($A445:$AD445,1,$D$5),TIMEVALUE(INDEX($A445:$AD445,1,$D$5)))*Inputs!$C$22,0))</f>
        <v>0</v>
      </c>
    </row>
    <row r="446" customFormat="false" ht="15" hidden="false" customHeight="false" outlineLevel="0" collapsed="false">
      <c r="AF446" s="18" t="str">
        <f aca="false">IF($D$4="","",IF(INDEX($A446:$AD446,1,$D$4)="","",IF(ISNUMBER(INDEX($A446:$AD446,1,$D$4)),INDEX($A446:$AD446,1,$D$4),IFERROR(DATEVALUE(INDEX($A446:$AD446,1,$D$4)),""))))</f>
        <v/>
      </c>
      <c r="AG446" s="30" t="str">
        <f aca="false">IF(OR(AF446="",$D$6=""),"",IF(LEFT(INDEX($A446:$AD446,1,$D$6),LEN(Inputs!$C$30))=Inputs!$C$30,INDEX($A446:$AD446,1,$D$6),""))</f>
        <v/>
      </c>
      <c r="AH446" s="30" t="str">
        <f aca="false">IF(OR(AF446="",$D$7=""),"",TRIM(IFERROR(LEFT(INDEX($A446:$AD446,1,$D$7),FIND(",",INDEX($A446:$AD446,1,$D$7))-1),INDEX($A446:$AD446,1,$D$7))))</f>
        <v/>
      </c>
      <c r="AI446" s="36" t="n">
        <f aca="false">IF(OR(AF446="",$D$5=""),0,IFERROR(IF(ISNUMBER(INDEX($A446:$AD446,1,$D$5)),INDEX($A446:$AD446,1,$D$5),TIMEVALUE(INDEX($A446:$AD446,1,$D$5)))*Inputs!$C$22,0))</f>
        <v>0</v>
      </c>
    </row>
    <row r="447" customFormat="false" ht="15" hidden="false" customHeight="false" outlineLevel="0" collapsed="false">
      <c r="AF447" s="18" t="str">
        <f aca="false">IF($D$4="","",IF(INDEX($A447:$AD447,1,$D$4)="","",IF(ISNUMBER(INDEX($A447:$AD447,1,$D$4)),INDEX($A447:$AD447,1,$D$4),IFERROR(DATEVALUE(INDEX($A447:$AD447,1,$D$4)),""))))</f>
        <v/>
      </c>
      <c r="AG447" s="30" t="str">
        <f aca="false">IF(OR(AF447="",$D$6=""),"",IF(LEFT(INDEX($A447:$AD447,1,$D$6),LEN(Inputs!$C$30))=Inputs!$C$30,INDEX($A447:$AD447,1,$D$6),""))</f>
        <v/>
      </c>
      <c r="AH447" s="30" t="str">
        <f aca="false">IF(OR(AF447="",$D$7=""),"",TRIM(IFERROR(LEFT(INDEX($A447:$AD447,1,$D$7),FIND(",",INDEX($A447:$AD447,1,$D$7))-1),INDEX($A447:$AD447,1,$D$7))))</f>
        <v/>
      </c>
      <c r="AI447" s="36" t="n">
        <f aca="false">IF(OR(AF447="",$D$5=""),0,IFERROR(IF(ISNUMBER(INDEX($A447:$AD447,1,$D$5)),INDEX($A447:$AD447,1,$D$5),TIMEVALUE(INDEX($A447:$AD447,1,$D$5)))*Inputs!$C$22,0))</f>
        <v>0</v>
      </c>
    </row>
    <row r="448" customFormat="false" ht="15" hidden="false" customHeight="false" outlineLevel="0" collapsed="false">
      <c r="AF448" s="18" t="str">
        <f aca="false">IF($D$4="","",IF(INDEX($A448:$AD448,1,$D$4)="","",IF(ISNUMBER(INDEX($A448:$AD448,1,$D$4)),INDEX($A448:$AD448,1,$D$4),IFERROR(DATEVALUE(INDEX($A448:$AD448,1,$D$4)),""))))</f>
        <v/>
      </c>
      <c r="AG448" s="30" t="str">
        <f aca="false">IF(OR(AF448="",$D$6=""),"",IF(LEFT(INDEX($A448:$AD448,1,$D$6),LEN(Inputs!$C$30))=Inputs!$C$30,INDEX($A448:$AD448,1,$D$6),""))</f>
        <v/>
      </c>
      <c r="AH448" s="30" t="str">
        <f aca="false">IF(OR(AF448="",$D$7=""),"",TRIM(IFERROR(LEFT(INDEX($A448:$AD448,1,$D$7),FIND(",",INDEX($A448:$AD448,1,$D$7))-1),INDEX($A448:$AD448,1,$D$7))))</f>
        <v/>
      </c>
      <c r="AI448" s="36" t="n">
        <f aca="false">IF(OR(AF448="",$D$5=""),0,IFERROR(IF(ISNUMBER(INDEX($A448:$AD448,1,$D$5)),INDEX($A448:$AD448,1,$D$5),TIMEVALUE(INDEX($A448:$AD448,1,$D$5)))*Inputs!$C$22,0))</f>
        <v>0</v>
      </c>
    </row>
    <row r="449" customFormat="false" ht="15" hidden="false" customHeight="false" outlineLevel="0" collapsed="false">
      <c r="AF449" s="18" t="str">
        <f aca="false">IF($D$4="","",IF(INDEX($A449:$AD449,1,$D$4)="","",IF(ISNUMBER(INDEX($A449:$AD449,1,$D$4)),INDEX($A449:$AD449,1,$D$4),IFERROR(DATEVALUE(INDEX($A449:$AD449,1,$D$4)),""))))</f>
        <v/>
      </c>
      <c r="AG449" s="30" t="str">
        <f aca="false">IF(OR(AF449="",$D$6=""),"",IF(LEFT(INDEX($A449:$AD449,1,$D$6),LEN(Inputs!$C$30))=Inputs!$C$30,INDEX($A449:$AD449,1,$D$6),""))</f>
        <v/>
      </c>
      <c r="AH449" s="30" t="str">
        <f aca="false">IF(OR(AF449="",$D$7=""),"",TRIM(IFERROR(LEFT(INDEX($A449:$AD449,1,$D$7),FIND(",",INDEX($A449:$AD449,1,$D$7))-1),INDEX($A449:$AD449,1,$D$7))))</f>
        <v/>
      </c>
      <c r="AI449" s="36" t="n">
        <f aca="false">IF(OR(AF449="",$D$5=""),0,IFERROR(IF(ISNUMBER(INDEX($A449:$AD449,1,$D$5)),INDEX($A449:$AD449,1,$D$5),TIMEVALUE(INDEX($A449:$AD449,1,$D$5)))*Inputs!$C$22,0))</f>
        <v>0</v>
      </c>
    </row>
    <row r="450" customFormat="false" ht="15" hidden="false" customHeight="false" outlineLevel="0" collapsed="false">
      <c r="AF450" s="18" t="str">
        <f aca="false">IF($D$4="","",IF(INDEX($A450:$AD450,1,$D$4)="","",IF(ISNUMBER(INDEX($A450:$AD450,1,$D$4)),INDEX($A450:$AD450,1,$D$4),IFERROR(DATEVALUE(INDEX($A450:$AD450,1,$D$4)),""))))</f>
        <v/>
      </c>
      <c r="AG450" s="30" t="str">
        <f aca="false">IF(OR(AF450="",$D$6=""),"",IF(LEFT(INDEX($A450:$AD450,1,$D$6),LEN(Inputs!$C$30))=Inputs!$C$30,INDEX($A450:$AD450,1,$D$6),""))</f>
        <v/>
      </c>
      <c r="AH450" s="30" t="str">
        <f aca="false">IF(OR(AF450="",$D$7=""),"",TRIM(IFERROR(LEFT(INDEX($A450:$AD450,1,$D$7),FIND(",",INDEX($A450:$AD450,1,$D$7))-1),INDEX($A450:$AD450,1,$D$7))))</f>
        <v/>
      </c>
      <c r="AI450" s="36" t="n">
        <f aca="false">IF(OR(AF450="",$D$5=""),0,IFERROR(IF(ISNUMBER(INDEX($A450:$AD450,1,$D$5)),INDEX($A450:$AD450,1,$D$5),TIMEVALUE(INDEX($A450:$AD450,1,$D$5)))*Inputs!$C$22,0))</f>
        <v>0</v>
      </c>
    </row>
    <row r="451" customFormat="false" ht="15" hidden="false" customHeight="false" outlineLevel="0" collapsed="false">
      <c r="AF451" s="18" t="str">
        <f aca="false">IF($D$4="","",IF(INDEX($A451:$AD451,1,$D$4)="","",IF(ISNUMBER(INDEX($A451:$AD451,1,$D$4)),INDEX($A451:$AD451,1,$D$4),IFERROR(DATEVALUE(INDEX($A451:$AD451,1,$D$4)),""))))</f>
        <v/>
      </c>
      <c r="AG451" s="30" t="str">
        <f aca="false">IF(OR(AF451="",$D$6=""),"",IF(LEFT(INDEX($A451:$AD451,1,$D$6),LEN(Inputs!$C$30))=Inputs!$C$30,INDEX($A451:$AD451,1,$D$6),""))</f>
        <v/>
      </c>
      <c r="AH451" s="30" t="str">
        <f aca="false">IF(OR(AF451="",$D$7=""),"",TRIM(IFERROR(LEFT(INDEX($A451:$AD451,1,$D$7),FIND(",",INDEX($A451:$AD451,1,$D$7))-1),INDEX($A451:$AD451,1,$D$7))))</f>
        <v/>
      </c>
      <c r="AI451" s="36" t="n">
        <f aca="false">IF(OR(AF451="",$D$5=""),0,IFERROR(IF(ISNUMBER(INDEX($A451:$AD451,1,$D$5)),INDEX($A451:$AD451,1,$D$5),TIMEVALUE(INDEX($A451:$AD451,1,$D$5)))*Inputs!$C$22,0))</f>
        <v>0</v>
      </c>
    </row>
    <row r="452" customFormat="false" ht="15" hidden="false" customHeight="false" outlineLevel="0" collapsed="false">
      <c r="AF452" s="18" t="str">
        <f aca="false">IF($D$4="","",IF(INDEX($A452:$AD452,1,$D$4)="","",IF(ISNUMBER(INDEX($A452:$AD452,1,$D$4)),INDEX($A452:$AD452,1,$D$4),IFERROR(DATEVALUE(INDEX($A452:$AD452,1,$D$4)),""))))</f>
        <v/>
      </c>
      <c r="AG452" s="30" t="str">
        <f aca="false">IF(OR(AF452="",$D$6=""),"",IF(LEFT(INDEX($A452:$AD452,1,$D$6),LEN(Inputs!$C$30))=Inputs!$C$30,INDEX($A452:$AD452,1,$D$6),""))</f>
        <v/>
      </c>
      <c r="AH452" s="30" t="str">
        <f aca="false">IF(OR(AF452="",$D$7=""),"",TRIM(IFERROR(LEFT(INDEX($A452:$AD452,1,$D$7),FIND(",",INDEX($A452:$AD452,1,$D$7))-1),INDEX($A452:$AD452,1,$D$7))))</f>
        <v/>
      </c>
      <c r="AI452" s="36" t="n">
        <f aca="false">IF(OR(AF452="",$D$5=""),0,IFERROR(IF(ISNUMBER(INDEX($A452:$AD452,1,$D$5)),INDEX($A452:$AD452,1,$D$5),TIMEVALUE(INDEX($A452:$AD452,1,$D$5)))*Inputs!$C$22,0))</f>
        <v>0</v>
      </c>
    </row>
    <row r="453" customFormat="false" ht="15" hidden="false" customHeight="false" outlineLevel="0" collapsed="false">
      <c r="AF453" s="18" t="str">
        <f aca="false">IF($D$4="","",IF(INDEX($A453:$AD453,1,$D$4)="","",IF(ISNUMBER(INDEX($A453:$AD453,1,$D$4)),INDEX($A453:$AD453,1,$D$4),IFERROR(DATEVALUE(INDEX($A453:$AD453,1,$D$4)),""))))</f>
        <v/>
      </c>
      <c r="AG453" s="30" t="str">
        <f aca="false">IF(OR(AF453="",$D$6=""),"",IF(LEFT(INDEX($A453:$AD453,1,$D$6),LEN(Inputs!$C$30))=Inputs!$C$30,INDEX($A453:$AD453,1,$D$6),""))</f>
        <v/>
      </c>
      <c r="AH453" s="30" t="str">
        <f aca="false">IF(OR(AF453="",$D$7=""),"",TRIM(IFERROR(LEFT(INDEX($A453:$AD453,1,$D$7),FIND(",",INDEX($A453:$AD453,1,$D$7))-1),INDEX($A453:$AD453,1,$D$7))))</f>
        <v/>
      </c>
      <c r="AI453" s="36" t="n">
        <f aca="false">IF(OR(AF453="",$D$5=""),0,IFERROR(IF(ISNUMBER(INDEX($A453:$AD453,1,$D$5)),INDEX($A453:$AD453,1,$D$5),TIMEVALUE(INDEX($A453:$AD453,1,$D$5)))*Inputs!$C$22,0))</f>
        <v>0</v>
      </c>
    </row>
    <row r="454" customFormat="false" ht="15" hidden="false" customHeight="false" outlineLevel="0" collapsed="false">
      <c r="AF454" s="18" t="str">
        <f aca="false">IF($D$4="","",IF(INDEX($A454:$AD454,1,$D$4)="","",IF(ISNUMBER(INDEX($A454:$AD454,1,$D$4)),INDEX($A454:$AD454,1,$D$4),IFERROR(DATEVALUE(INDEX($A454:$AD454,1,$D$4)),""))))</f>
        <v/>
      </c>
      <c r="AG454" s="30" t="str">
        <f aca="false">IF(OR(AF454="",$D$6=""),"",IF(LEFT(INDEX($A454:$AD454,1,$D$6),LEN(Inputs!$C$30))=Inputs!$C$30,INDEX($A454:$AD454,1,$D$6),""))</f>
        <v/>
      </c>
      <c r="AH454" s="30" t="str">
        <f aca="false">IF(OR(AF454="",$D$7=""),"",TRIM(IFERROR(LEFT(INDEX($A454:$AD454,1,$D$7),FIND(",",INDEX($A454:$AD454,1,$D$7))-1),INDEX($A454:$AD454,1,$D$7))))</f>
        <v/>
      </c>
      <c r="AI454" s="36" t="n">
        <f aca="false">IF(OR(AF454="",$D$5=""),0,IFERROR(IF(ISNUMBER(INDEX($A454:$AD454,1,$D$5)),INDEX($A454:$AD454,1,$D$5),TIMEVALUE(INDEX($A454:$AD454,1,$D$5)))*Inputs!$C$22,0))</f>
        <v>0</v>
      </c>
    </row>
    <row r="455" customFormat="false" ht="15" hidden="false" customHeight="false" outlineLevel="0" collapsed="false">
      <c r="AF455" s="18" t="str">
        <f aca="false">IF($D$4="","",IF(INDEX($A455:$AD455,1,$D$4)="","",IF(ISNUMBER(INDEX($A455:$AD455,1,$D$4)),INDEX($A455:$AD455,1,$D$4),IFERROR(DATEVALUE(INDEX($A455:$AD455,1,$D$4)),""))))</f>
        <v/>
      </c>
      <c r="AG455" s="30" t="str">
        <f aca="false">IF(OR(AF455="",$D$6=""),"",IF(LEFT(INDEX($A455:$AD455,1,$D$6),LEN(Inputs!$C$30))=Inputs!$C$30,INDEX($A455:$AD455,1,$D$6),""))</f>
        <v/>
      </c>
      <c r="AH455" s="30" t="str">
        <f aca="false">IF(OR(AF455="",$D$7=""),"",TRIM(IFERROR(LEFT(INDEX($A455:$AD455,1,$D$7),FIND(",",INDEX($A455:$AD455,1,$D$7))-1),INDEX($A455:$AD455,1,$D$7))))</f>
        <v/>
      </c>
      <c r="AI455" s="36" t="n">
        <f aca="false">IF(OR(AF455="",$D$5=""),0,IFERROR(IF(ISNUMBER(INDEX($A455:$AD455,1,$D$5)),INDEX($A455:$AD455,1,$D$5),TIMEVALUE(INDEX($A455:$AD455,1,$D$5)))*Inputs!$C$22,0))</f>
        <v>0</v>
      </c>
    </row>
    <row r="456" customFormat="false" ht="15" hidden="false" customHeight="false" outlineLevel="0" collapsed="false">
      <c r="AF456" s="18" t="str">
        <f aca="false">IF($D$4="","",IF(INDEX($A456:$AD456,1,$D$4)="","",IF(ISNUMBER(INDEX($A456:$AD456,1,$D$4)),INDEX($A456:$AD456,1,$D$4),IFERROR(DATEVALUE(INDEX($A456:$AD456,1,$D$4)),""))))</f>
        <v/>
      </c>
      <c r="AG456" s="30" t="str">
        <f aca="false">IF(OR(AF456="",$D$6=""),"",IF(LEFT(INDEX($A456:$AD456,1,$D$6),LEN(Inputs!$C$30))=Inputs!$C$30,INDEX($A456:$AD456,1,$D$6),""))</f>
        <v/>
      </c>
      <c r="AH456" s="30" t="str">
        <f aca="false">IF(OR(AF456="",$D$7=""),"",TRIM(IFERROR(LEFT(INDEX($A456:$AD456,1,$D$7),FIND(",",INDEX($A456:$AD456,1,$D$7))-1),INDEX($A456:$AD456,1,$D$7))))</f>
        <v/>
      </c>
      <c r="AI456" s="36" t="n">
        <f aca="false">IF(OR(AF456="",$D$5=""),0,IFERROR(IF(ISNUMBER(INDEX($A456:$AD456,1,$D$5)),INDEX($A456:$AD456,1,$D$5),TIMEVALUE(INDEX($A456:$AD456,1,$D$5)))*Inputs!$C$22,0))</f>
        <v>0</v>
      </c>
    </row>
    <row r="457" customFormat="false" ht="15" hidden="false" customHeight="false" outlineLevel="0" collapsed="false">
      <c r="AF457" s="18" t="str">
        <f aca="false">IF($D$4="","",IF(INDEX($A457:$AD457,1,$D$4)="","",IF(ISNUMBER(INDEX($A457:$AD457,1,$D$4)),INDEX($A457:$AD457,1,$D$4),IFERROR(DATEVALUE(INDEX($A457:$AD457,1,$D$4)),""))))</f>
        <v/>
      </c>
      <c r="AG457" s="30" t="str">
        <f aca="false">IF(OR(AF457="",$D$6=""),"",IF(LEFT(INDEX($A457:$AD457,1,$D$6),LEN(Inputs!$C$30))=Inputs!$C$30,INDEX($A457:$AD457,1,$D$6),""))</f>
        <v/>
      </c>
      <c r="AH457" s="30" t="str">
        <f aca="false">IF(OR(AF457="",$D$7=""),"",TRIM(IFERROR(LEFT(INDEX($A457:$AD457,1,$D$7),FIND(",",INDEX($A457:$AD457,1,$D$7))-1),INDEX($A457:$AD457,1,$D$7))))</f>
        <v/>
      </c>
      <c r="AI457" s="36" t="n">
        <f aca="false">IF(OR(AF457="",$D$5=""),0,IFERROR(IF(ISNUMBER(INDEX($A457:$AD457,1,$D$5)),INDEX($A457:$AD457,1,$D$5),TIMEVALUE(INDEX($A457:$AD457,1,$D$5)))*Inputs!$C$22,0))</f>
        <v>0</v>
      </c>
    </row>
    <row r="458" customFormat="false" ht="15" hidden="false" customHeight="false" outlineLevel="0" collapsed="false">
      <c r="AF458" s="18" t="str">
        <f aca="false">IF($D$4="","",IF(INDEX($A458:$AD458,1,$D$4)="","",IF(ISNUMBER(INDEX($A458:$AD458,1,$D$4)),INDEX($A458:$AD458,1,$D$4),IFERROR(DATEVALUE(INDEX($A458:$AD458,1,$D$4)),""))))</f>
        <v/>
      </c>
      <c r="AG458" s="30" t="str">
        <f aca="false">IF(OR(AF458="",$D$6=""),"",IF(LEFT(INDEX($A458:$AD458,1,$D$6),LEN(Inputs!$C$30))=Inputs!$C$30,INDEX($A458:$AD458,1,$D$6),""))</f>
        <v/>
      </c>
      <c r="AH458" s="30" t="str">
        <f aca="false">IF(OR(AF458="",$D$7=""),"",TRIM(IFERROR(LEFT(INDEX($A458:$AD458,1,$D$7),FIND(",",INDEX($A458:$AD458,1,$D$7))-1),INDEX($A458:$AD458,1,$D$7))))</f>
        <v/>
      </c>
      <c r="AI458" s="36" t="n">
        <f aca="false">IF(OR(AF458="",$D$5=""),0,IFERROR(IF(ISNUMBER(INDEX($A458:$AD458,1,$D$5)),INDEX($A458:$AD458,1,$D$5),TIMEVALUE(INDEX($A458:$AD458,1,$D$5)))*Inputs!$C$22,0))</f>
        <v>0</v>
      </c>
    </row>
    <row r="459" customFormat="false" ht="15" hidden="false" customHeight="false" outlineLevel="0" collapsed="false">
      <c r="AF459" s="18" t="str">
        <f aca="false">IF($D$4="","",IF(INDEX($A459:$AD459,1,$D$4)="","",IF(ISNUMBER(INDEX($A459:$AD459,1,$D$4)),INDEX($A459:$AD459,1,$D$4),IFERROR(DATEVALUE(INDEX($A459:$AD459,1,$D$4)),""))))</f>
        <v/>
      </c>
      <c r="AG459" s="30" t="str">
        <f aca="false">IF(OR(AF459="",$D$6=""),"",IF(LEFT(INDEX($A459:$AD459,1,$D$6),LEN(Inputs!$C$30))=Inputs!$C$30,INDEX($A459:$AD459,1,$D$6),""))</f>
        <v/>
      </c>
      <c r="AH459" s="30" t="str">
        <f aca="false">IF(OR(AF459="",$D$7=""),"",TRIM(IFERROR(LEFT(INDEX($A459:$AD459,1,$D$7),FIND(",",INDEX($A459:$AD459,1,$D$7))-1),INDEX($A459:$AD459,1,$D$7))))</f>
        <v/>
      </c>
      <c r="AI459" s="36" t="n">
        <f aca="false">IF(OR(AF459="",$D$5=""),0,IFERROR(IF(ISNUMBER(INDEX($A459:$AD459,1,$D$5)),INDEX($A459:$AD459,1,$D$5),TIMEVALUE(INDEX($A459:$AD459,1,$D$5)))*Inputs!$C$22,0))</f>
        <v>0</v>
      </c>
    </row>
    <row r="460" customFormat="false" ht="15" hidden="false" customHeight="false" outlineLevel="0" collapsed="false">
      <c r="AF460" s="18" t="str">
        <f aca="false">IF($D$4="","",IF(INDEX($A460:$AD460,1,$D$4)="","",IF(ISNUMBER(INDEX($A460:$AD460,1,$D$4)),INDEX($A460:$AD460,1,$D$4),IFERROR(DATEVALUE(INDEX($A460:$AD460,1,$D$4)),""))))</f>
        <v/>
      </c>
      <c r="AG460" s="30" t="str">
        <f aca="false">IF(OR(AF460="",$D$6=""),"",IF(LEFT(INDEX($A460:$AD460,1,$D$6),LEN(Inputs!$C$30))=Inputs!$C$30,INDEX($A460:$AD460,1,$D$6),""))</f>
        <v/>
      </c>
      <c r="AH460" s="30" t="str">
        <f aca="false">IF(OR(AF460="",$D$7=""),"",TRIM(IFERROR(LEFT(INDEX($A460:$AD460,1,$D$7),FIND(",",INDEX($A460:$AD460,1,$D$7))-1),INDEX($A460:$AD460,1,$D$7))))</f>
        <v/>
      </c>
      <c r="AI460" s="36" t="n">
        <f aca="false">IF(OR(AF460="",$D$5=""),0,IFERROR(IF(ISNUMBER(INDEX($A460:$AD460,1,$D$5)),INDEX($A460:$AD460,1,$D$5),TIMEVALUE(INDEX($A460:$AD460,1,$D$5)))*Inputs!$C$22,0))</f>
        <v>0</v>
      </c>
    </row>
    <row r="461" customFormat="false" ht="15" hidden="false" customHeight="false" outlineLevel="0" collapsed="false">
      <c r="AF461" s="18" t="str">
        <f aca="false">IF($D$4="","",IF(INDEX($A461:$AD461,1,$D$4)="","",IF(ISNUMBER(INDEX($A461:$AD461,1,$D$4)),INDEX($A461:$AD461,1,$D$4),IFERROR(DATEVALUE(INDEX($A461:$AD461,1,$D$4)),""))))</f>
        <v/>
      </c>
      <c r="AG461" s="30" t="str">
        <f aca="false">IF(OR(AF461="",$D$6=""),"",IF(LEFT(INDEX($A461:$AD461,1,$D$6),LEN(Inputs!$C$30))=Inputs!$C$30,INDEX($A461:$AD461,1,$D$6),""))</f>
        <v/>
      </c>
      <c r="AH461" s="30" t="str">
        <f aca="false">IF(OR(AF461="",$D$7=""),"",TRIM(IFERROR(LEFT(INDEX($A461:$AD461,1,$D$7),FIND(",",INDEX($A461:$AD461,1,$D$7))-1),INDEX($A461:$AD461,1,$D$7))))</f>
        <v/>
      </c>
      <c r="AI461" s="36" t="n">
        <f aca="false">IF(OR(AF461="",$D$5=""),0,IFERROR(IF(ISNUMBER(INDEX($A461:$AD461,1,$D$5)),INDEX($A461:$AD461,1,$D$5),TIMEVALUE(INDEX($A461:$AD461,1,$D$5)))*Inputs!$C$22,0))</f>
        <v>0</v>
      </c>
    </row>
    <row r="462" customFormat="false" ht="15" hidden="false" customHeight="false" outlineLevel="0" collapsed="false">
      <c r="AF462" s="18" t="str">
        <f aca="false">IF($D$4="","",IF(INDEX($A462:$AD462,1,$D$4)="","",IF(ISNUMBER(INDEX($A462:$AD462,1,$D$4)),INDEX($A462:$AD462,1,$D$4),IFERROR(DATEVALUE(INDEX($A462:$AD462,1,$D$4)),""))))</f>
        <v/>
      </c>
      <c r="AG462" s="30" t="str">
        <f aca="false">IF(OR(AF462="",$D$6=""),"",IF(LEFT(INDEX($A462:$AD462,1,$D$6),LEN(Inputs!$C$30))=Inputs!$C$30,INDEX($A462:$AD462,1,$D$6),""))</f>
        <v/>
      </c>
      <c r="AH462" s="30" t="str">
        <f aca="false">IF(OR(AF462="",$D$7=""),"",TRIM(IFERROR(LEFT(INDEX($A462:$AD462,1,$D$7),FIND(",",INDEX($A462:$AD462,1,$D$7))-1),INDEX($A462:$AD462,1,$D$7))))</f>
        <v/>
      </c>
      <c r="AI462" s="36" t="n">
        <f aca="false">IF(OR(AF462="",$D$5=""),0,IFERROR(IF(ISNUMBER(INDEX($A462:$AD462,1,$D$5)),INDEX($A462:$AD462,1,$D$5),TIMEVALUE(INDEX($A462:$AD462,1,$D$5)))*Inputs!$C$22,0))</f>
        <v>0</v>
      </c>
    </row>
    <row r="463" customFormat="false" ht="15" hidden="false" customHeight="false" outlineLevel="0" collapsed="false">
      <c r="AF463" s="18" t="str">
        <f aca="false">IF($D$4="","",IF(INDEX($A463:$AD463,1,$D$4)="","",IF(ISNUMBER(INDEX($A463:$AD463,1,$D$4)),INDEX($A463:$AD463,1,$D$4),IFERROR(DATEVALUE(INDEX($A463:$AD463,1,$D$4)),""))))</f>
        <v/>
      </c>
      <c r="AG463" s="30" t="str">
        <f aca="false">IF(OR(AF463="",$D$6=""),"",IF(LEFT(INDEX($A463:$AD463,1,$D$6),LEN(Inputs!$C$30))=Inputs!$C$30,INDEX($A463:$AD463,1,$D$6),""))</f>
        <v/>
      </c>
      <c r="AH463" s="30" t="str">
        <f aca="false">IF(OR(AF463="",$D$7=""),"",TRIM(IFERROR(LEFT(INDEX($A463:$AD463,1,$D$7),FIND(",",INDEX($A463:$AD463,1,$D$7))-1),INDEX($A463:$AD463,1,$D$7))))</f>
        <v/>
      </c>
      <c r="AI463" s="36" t="n">
        <f aca="false">IF(OR(AF463="",$D$5=""),0,IFERROR(IF(ISNUMBER(INDEX($A463:$AD463,1,$D$5)),INDEX($A463:$AD463,1,$D$5),TIMEVALUE(INDEX($A463:$AD463,1,$D$5)))*Inputs!$C$22,0))</f>
        <v>0</v>
      </c>
    </row>
    <row r="464" customFormat="false" ht="15" hidden="false" customHeight="false" outlineLevel="0" collapsed="false">
      <c r="AF464" s="18" t="str">
        <f aca="false">IF($D$4="","",IF(INDEX($A464:$AD464,1,$D$4)="","",IF(ISNUMBER(INDEX($A464:$AD464,1,$D$4)),INDEX($A464:$AD464,1,$D$4),IFERROR(DATEVALUE(INDEX($A464:$AD464,1,$D$4)),""))))</f>
        <v/>
      </c>
      <c r="AG464" s="30" t="str">
        <f aca="false">IF(OR(AF464="",$D$6=""),"",IF(LEFT(INDEX($A464:$AD464,1,$D$6),LEN(Inputs!$C$30))=Inputs!$C$30,INDEX($A464:$AD464,1,$D$6),""))</f>
        <v/>
      </c>
      <c r="AH464" s="30" t="str">
        <f aca="false">IF(OR(AF464="",$D$7=""),"",TRIM(IFERROR(LEFT(INDEX($A464:$AD464,1,$D$7),FIND(",",INDEX($A464:$AD464,1,$D$7))-1),INDEX($A464:$AD464,1,$D$7))))</f>
        <v/>
      </c>
      <c r="AI464" s="36" t="n">
        <f aca="false">IF(OR(AF464="",$D$5=""),0,IFERROR(IF(ISNUMBER(INDEX($A464:$AD464,1,$D$5)),INDEX($A464:$AD464,1,$D$5),TIMEVALUE(INDEX($A464:$AD464,1,$D$5)))*Inputs!$C$22,0))</f>
        <v>0</v>
      </c>
    </row>
    <row r="465" customFormat="false" ht="15" hidden="false" customHeight="false" outlineLevel="0" collapsed="false">
      <c r="AF465" s="18" t="str">
        <f aca="false">IF($D$4="","",IF(INDEX($A465:$AD465,1,$D$4)="","",IF(ISNUMBER(INDEX($A465:$AD465,1,$D$4)),INDEX($A465:$AD465,1,$D$4),IFERROR(DATEVALUE(INDEX($A465:$AD465,1,$D$4)),""))))</f>
        <v/>
      </c>
      <c r="AG465" s="30" t="str">
        <f aca="false">IF(OR(AF465="",$D$6=""),"",IF(LEFT(INDEX($A465:$AD465,1,$D$6),LEN(Inputs!$C$30))=Inputs!$C$30,INDEX($A465:$AD465,1,$D$6),""))</f>
        <v/>
      </c>
      <c r="AH465" s="30" t="str">
        <f aca="false">IF(OR(AF465="",$D$7=""),"",TRIM(IFERROR(LEFT(INDEX($A465:$AD465,1,$D$7),FIND(",",INDEX($A465:$AD465,1,$D$7))-1),INDEX($A465:$AD465,1,$D$7))))</f>
        <v/>
      </c>
      <c r="AI465" s="36" t="n">
        <f aca="false">IF(OR(AF465="",$D$5=""),0,IFERROR(IF(ISNUMBER(INDEX($A465:$AD465,1,$D$5)),INDEX($A465:$AD465,1,$D$5),TIMEVALUE(INDEX($A465:$AD465,1,$D$5)))*Inputs!$C$22,0))</f>
        <v>0</v>
      </c>
    </row>
    <row r="466" customFormat="false" ht="15" hidden="false" customHeight="false" outlineLevel="0" collapsed="false">
      <c r="AF466" s="18" t="str">
        <f aca="false">IF($D$4="","",IF(INDEX($A466:$AD466,1,$D$4)="","",IF(ISNUMBER(INDEX($A466:$AD466,1,$D$4)),INDEX($A466:$AD466,1,$D$4),IFERROR(DATEVALUE(INDEX($A466:$AD466,1,$D$4)),""))))</f>
        <v/>
      </c>
      <c r="AG466" s="30" t="str">
        <f aca="false">IF(OR(AF466="",$D$6=""),"",IF(LEFT(INDEX($A466:$AD466,1,$D$6),LEN(Inputs!$C$30))=Inputs!$C$30,INDEX($A466:$AD466,1,$D$6),""))</f>
        <v/>
      </c>
      <c r="AH466" s="30" t="str">
        <f aca="false">IF(OR(AF466="",$D$7=""),"",TRIM(IFERROR(LEFT(INDEX($A466:$AD466,1,$D$7),FIND(",",INDEX($A466:$AD466,1,$D$7))-1),INDEX($A466:$AD466,1,$D$7))))</f>
        <v/>
      </c>
      <c r="AI466" s="36" t="n">
        <f aca="false">IF(OR(AF466="",$D$5=""),0,IFERROR(IF(ISNUMBER(INDEX($A466:$AD466,1,$D$5)),INDEX($A466:$AD466,1,$D$5),TIMEVALUE(INDEX($A466:$AD466,1,$D$5)))*Inputs!$C$22,0))</f>
        <v>0</v>
      </c>
    </row>
    <row r="467" customFormat="false" ht="15" hidden="false" customHeight="false" outlineLevel="0" collapsed="false">
      <c r="AF467" s="18" t="str">
        <f aca="false">IF($D$4="","",IF(INDEX($A467:$AD467,1,$D$4)="","",IF(ISNUMBER(INDEX($A467:$AD467,1,$D$4)),INDEX($A467:$AD467,1,$D$4),IFERROR(DATEVALUE(INDEX($A467:$AD467,1,$D$4)),""))))</f>
        <v/>
      </c>
      <c r="AG467" s="30" t="str">
        <f aca="false">IF(OR(AF467="",$D$6=""),"",IF(LEFT(INDEX($A467:$AD467,1,$D$6),LEN(Inputs!$C$30))=Inputs!$C$30,INDEX($A467:$AD467,1,$D$6),""))</f>
        <v/>
      </c>
      <c r="AH467" s="30" t="str">
        <f aca="false">IF(OR(AF467="",$D$7=""),"",TRIM(IFERROR(LEFT(INDEX($A467:$AD467,1,$D$7),FIND(",",INDEX($A467:$AD467,1,$D$7))-1),INDEX($A467:$AD467,1,$D$7))))</f>
        <v/>
      </c>
      <c r="AI467" s="36" t="n">
        <f aca="false">IF(OR(AF467="",$D$5=""),0,IFERROR(IF(ISNUMBER(INDEX($A467:$AD467,1,$D$5)),INDEX($A467:$AD467,1,$D$5),TIMEVALUE(INDEX($A467:$AD467,1,$D$5)))*Inputs!$C$22,0))</f>
        <v>0</v>
      </c>
    </row>
    <row r="468" customFormat="false" ht="15" hidden="false" customHeight="false" outlineLevel="0" collapsed="false">
      <c r="AF468" s="18" t="str">
        <f aca="false">IF($D$4="","",IF(INDEX($A468:$AD468,1,$D$4)="","",IF(ISNUMBER(INDEX($A468:$AD468,1,$D$4)),INDEX($A468:$AD468,1,$D$4),IFERROR(DATEVALUE(INDEX($A468:$AD468,1,$D$4)),""))))</f>
        <v/>
      </c>
      <c r="AG468" s="30" t="str">
        <f aca="false">IF(OR(AF468="",$D$6=""),"",IF(LEFT(INDEX($A468:$AD468,1,$D$6),LEN(Inputs!$C$30))=Inputs!$C$30,INDEX($A468:$AD468,1,$D$6),""))</f>
        <v/>
      </c>
      <c r="AH468" s="30" t="str">
        <f aca="false">IF(OR(AF468="",$D$7=""),"",TRIM(IFERROR(LEFT(INDEX($A468:$AD468,1,$D$7),FIND(",",INDEX($A468:$AD468,1,$D$7))-1),INDEX($A468:$AD468,1,$D$7))))</f>
        <v/>
      </c>
      <c r="AI468" s="36" t="n">
        <f aca="false">IF(OR(AF468="",$D$5=""),0,IFERROR(IF(ISNUMBER(INDEX($A468:$AD468,1,$D$5)),INDEX($A468:$AD468,1,$D$5),TIMEVALUE(INDEX($A468:$AD468,1,$D$5)))*Inputs!$C$22,0))</f>
        <v>0</v>
      </c>
    </row>
    <row r="469" customFormat="false" ht="15" hidden="false" customHeight="false" outlineLevel="0" collapsed="false">
      <c r="AF469" s="18" t="str">
        <f aca="false">IF($D$4="","",IF(INDEX($A469:$AD469,1,$D$4)="","",IF(ISNUMBER(INDEX($A469:$AD469,1,$D$4)),INDEX($A469:$AD469,1,$D$4),IFERROR(DATEVALUE(INDEX($A469:$AD469,1,$D$4)),""))))</f>
        <v/>
      </c>
      <c r="AG469" s="30" t="str">
        <f aca="false">IF(OR(AF469="",$D$6=""),"",IF(LEFT(INDEX($A469:$AD469,1,$D$6),LEN(Inputs!$C$30))=Inputs!$C$30,INDEX($A469:$AD469,1,$D$6),""))</f>
        <v/>
      </c>
      <c r="AH469" s="30" t="str">
        <f aca="false">IF(OR(AF469="",$D$7=""),"",TRIM(IFERROR(LEFT(INDEX($A469:$AD469,1,$D$7),FIND(",",INDEX($A469:$AD469,1,$D$7))-1),INDEX($A469:$AD469,1,$D$7))))</f>
        <v/>
      </c>
      <c r="AI469" s="36" t="n">
        <f aca="false">IF(OR(AF469="",$D$5=""),0,IFERROR(IF(ISNUMBER(INDEX($A469:$AD469,1,$D$5)),INDEX($A469:$AD469,1,$D$5),TIMEVALUE(INDEX($A469:$AD469,1,$D$5)))*Inputs!$C$22,0))</f>
        <v>0</v>
      </c>
    </row>
    <row r="470" customFormat="false" ht="15" hidden="false" customHeight="false" outlineLevel="0" collapsed="false">
      <c r="AF470" s="18" t="str">
        <f aca="false">IF($D$4="","",IF(INDEX($A470:$AD470,1,$D$4)="","",IF(ISNUMBER(INDEX($A470:$AD470,1,$D$4)),INDEX($A470:$AD470,1,$D$4),IFERROR(DATEVALUE(INDEX($A470:$AD470,1,$D$4)),""))))</f>
        <v/>
      </c>
      <c r="AG470" s="30" t="str">
        <f aca="false">IF(OR(AF470="",$D$6=""),"",IF(LEFT(INDEX($A470:$AD470,1,$D$6),LEN(Inputs!$C$30))=Inputs!$C$30,INDEX($A470:$AD470,1,$D$6),""))</f>
        <v/>
      </c>
      <c r="AH470" s="30" t="str">
        <f aca="false">IF(OR(AF470="",$D$7=""),"",TRIM(IFERROR(LEFT(INDEX($A470:$AD470,1,$D$7),FIND(",",INDEX($A470:$AD470,1,$D$7))-1),INDEX($A470:$AD470,1,$D$7))))</f>
        <v/>
      </c>
      <c r="AI470" s="36" t="n">
        <f aca="false">IF(OR(AF470="",$D$5=""),0,IFERROR(IF(ISNUMBER(INDEX($A470:$AD470,1,$D$5)),INDEX($A470:$AD470,1,$D$5),TIMEVALUE(INDEX($A470:$AD470,1,$D$5)))*Inputs!$C$22,0))</f>
        <v>0</v>
      </c>
    </row>
    <row r="471" customFormat="false" ht="15" hidden="false" customHeight="false" outlineLevel="0" collapsed="false">
      <c r="AF471" s="18" t="str">
        <f aca="false">IF($D$4="","",IF(INDEX($A471:$AD471,1,$D$4)="","",IF(ISNUMBER(INDEX($A471:$AD471,1,$D$4)),INDEX($A471:$AD471,1,$D$4),IFERROR(DATEVALUE(INDEX($A471:$AD471,1,$D$4)),""))))</f>
        <v/>
      </c>
      <c r="AG471" s="30" t="str">
        <f aca="false">IF(OR(AF471="",$D$6=""),"",IF(LEFT(INDEX($A471:$AD471,1,$D$6),LEN(Inputs!$C$30))=Inputs!$C$30,INDEX($A471:$AD471,1,$D$6),""))</f>
        <v/>
      </c>
      <c r="AH471" s="30" t="str">
        <f aca="false">IF(OR(AF471="",$D$7=""),"",TRIM(IFERROR(LEFT(INDEX($A471:$AD471,1,$D$7),FIND(",",INDEX($A471:$AD471,1,$D$7))-1),INDEX($A471:$AD471,1,$D$7))))</f>
        <v/>
      </c>
      <c r="AI471" s="36" t="n">
        <f aca="false">IF(OR(AF471="",$D$5=""),0,IFERROR(IF(ISNUMBER(INDEX($A471:$AD471,1,$D$5)),INDEX($A471:$AD471,1,$D$5),TIMEVALUE(INDEX($A471:$AD471,1,$D$5)))*Inputs!$C$22,0))</f>
        <v>0</v>
      </c>
    </row>
    <row r="472" customFormat="false" ht="15" hidden="false" customHeight="false" outlineLevel="0" collapsed="false">
      <c r="AF472" s="18" t="str">
        <f aca="false">IF($D$4="","",IF(INDEX($A472:$AD472,1,$D$4)="","",IF(ISNUMBER(INDEX($A472:$AD472,1,$D$4)),INDEX($A472:$AD472,1,$D$4),IFERROR(DATEVALUE(INDEX($A472:$AD472,1,$D$4)),""))))</f>
        <v/>
      </c>
      <c r="AG472" s="30" t="str">
        <f aca="false">IF(OR(AF472="",$D$6=""),"",IF(LEFT(INDEX($A472:$AD472,1,$D$6),LEN(Inputs!$C$30))=Inputs!$C$30,INDEX($A472:$AD472,1,$D$6),""))</f>
        <v/>
      </c>
      <c r="AH472" s="30" t="str">
        <f aca="false">IF(OR(AF472="",$D$7=""),"",TRIM(IFERROR(LEFT(INDEX($A472:$AD472,1,$D$7),FIND(",",INDEX($A472:$AD472,1,$D$7))-1),INDEX($A472:$AD472,1,$D$7))))</f>
        <v/>
      </c>
      <c r="AI472" s="36" t="n">
        <f aca="false">IF(OR(AF472="",$D$5=""),0,IFERROR(IF(ISNUMBER(INDEX($A472:$AD472,1,$D$5)),INDEX($A472:$AD472,1,$D$5),TIMEVALUE(INDEX($A472:$AD472,1,$D$5)))*Inputs!$C$22,0))</f>
        <v>0</v>
      </c>
    </row>
    <row r="473" customFormat="false" ht="15" hidden="false" customHeight="false" outlineLevel="0" collapsed="false">
      <c r="AF473" s="18" t="str">
        <f aca="false">IF($D$4="","",IF(INDEX($A473:$AD473,1,$D$4)="","",IF(ISNUMBER(INDEX($A473:$AD473,1,$D$4)),INDEX($A473:$AD473,1,$D$4),IFERROR(DATEVALUE(INDEX($A473:$AD473,1,$D$4)),""))))</f>
        <v/>
      </c>
      <c r="AG473" s="30" t="str">
        <f aca="false">IF(OR(AF473="",$D$6=""),"",IF(LEFT(INDEX($A473:$AD473,1,$D$6),LEN(Inputs!$C$30))=Inputs!$C$30,INDEX($A473:$AD473,1,$D$6),""))</f>
        <v/>
      </c>
      <c r="AH473" s="30" t="str">
        <f aca="false">IF(OR(AF473="",$D$7=""),"",TRIM(IFERROR(LEFT(INDEX($A473:$AD473,1,$D$7),FIND(",",INDEX($A473:$AD473,1,$D$7))-1),INDEX($A473:$AD473,1,$D$7))))</f>
        <v/>
      </c>
      <c r="AI473" s="36" t="n">
        <f aca="false">IF(OR(AF473="",$D$5=""),0,IFERROR(IF(ISNUMBER(INDEX($A473:$AD473,1,$D$5)),INDEX($A473:$AD473,1,$D$5),TIMEVALUE(INDEX($A473:$AD473,1,$D$5)))*Inputs!$C$22,0))</f>
        <v>0</v>
      </c>
    </row>
    <row r="474" customFormat="false" ht="15" hidden="false" customHeight="false" outlineLevel="0" collapsed="false">
      <c r="AF474" s="18" t="str">
        <f aca="false">IF($D$4="","",IF(INDEX($A474:$AD474,1,$D$4)="","",IF(ISNUMBER(INDEX($A474:$AD474,1,$D$4)),INDEX($A474:$AD474,1,$D$4),IFERROR(DATEVALUE(INDEX($A474:$AD474,1,$D$4)),""))))</f>
        <v/>
      </c>
      <c r="AG474" s="30" t="str">
        <f aca="false">IF(OR(AF474="",$D$6=""),"",IF(LEFT(INDEX($A474:$AD474,1,$D$6),LEN(Inputs!$C$30))=Inputs!$C$30,INDEX($A474:$AD474,1,$D$6),""))</f>
        <v/>
      </c>
      <c r="AH474" s="30" t="str">
        <f aca="false">IF(OR(AF474="",$D$7=""),"",TRIM(IFERROR(LEFT(INDEX($A474:$AD474,1,$D$7),FIND(",",INDEX($A474:$AD474,1,$D$7))-1),INDEX($A474:$AD474,1,$D$7))))</f>
        <v/>
      </c>
      <c r="AI474" s="36" t="n">
        <f aca="false">IF(OR(AF474="",$D$5=""),0,IFERROR(IF(ISNUMBER(INDEX($A474:$AD474,1,$D$5)),INDEX($A474:$AD474,1,$D$5),TIMEVALUE(INDEX($A474:$AD474,1,$D$5)))*Inputs!$C$22,0))</f>
        <v>0</v>
      </c>
    </row>
    <row r="475" customFormat="false" ht="15" hidden="false" customHeight="false" outlineLevel="0" collapsed="false">
      <c r="AF475" s="18" t="str">
        <f aca="false">IF($D$4="","",IF(INDEX($A475:$AD475,1,$D$4)="","",IF(ISNUMBER(INDEX($A475:$AD475,1,$D$4)),INDEX($A475:$AD475,1,$D$4),IFERROR(DATEVALUE(INDEX($A475:$AD475,1,$D$4)),""))))</f>
        <v/>
      </c>
      <c r="AG475" s="30" t="str">
        <f aca="false">IF(OR(AF475="",$D$6=""),"",IF(LEFT(INDEX($A475:$AD475,1,$D$6),LEN(Inputs!$C$30))=Inputs!$C$30,INDEX($A475:$AD475,1,$D$6),""))</f>
        <v/>
      </c>
      <c r="AH475" s="30" t="str">
        <f aca="false">IF(OR(AF475="",$D$7=""),"",TRIM(IFERROR(LEFT(INDEX($A475:$AD475,1,$D$7),FIND(",",INDEX($A475:$AD475,1,$D$7))-1),INDEX($A475:$AD475,1,$D$7))))</f>
        <v/>
      </c>
      <c r="AI475" s="36" t="n">
        <f aca="false">IF(OR(AF475="",$D$5=""),0,IFERROR(IF(ISNUMBER(INDEX($A475:$AD475,1,$D$5)),INDEX($A475:$AD475,1,$D$5),TIMEVALUE(INDEX($A475:$AD475,1,$D$5)))*Inputs!$C$22,0))</f>
        <v>0</v>
      </c>
    </row>
    <row r="476" customFormat="false" ht="15" hidden="false" customHeight="false" outlineLevel="0" collapsed="false">
      <c r="AF476" s="18" t="str">
        <f aca="false">IF($D$4="","",IF(INDEX($A476:$AD476,1,$D$4)="","",IF(ISNUMBER(INDEX($A476:$AD476,1,$D$4)),INDEX($A476:$AD476,1,$D$4),IFERROR(DATEVALUE(INDEX($A476:$AD476,1,$D$4)),""))))</f>
        <v/>
      </c>
      <c r="AG476" s="30" t="str">
        <f aca="false">IF(OR(AF476="",$D$6=""),"",IF(LEFT(INDEX($A476:$AD476,1,$D$6),LEN(Inputs!$C$30))=Inputs!$C$30,INDEX($A476:$AD476,1,$D$6),""))</f>
        <v/>
      </c>
      <c r="AH476" s="30" t="str">
        <f aca="false">IF(OR(AF476="",$D$7=""),"",TRIM(IFERROR(LEFT(INDEX($A476:$AD476,1,$D$7),FIND(",",INDEX($A476:$AD476,1,$D$7))-1),INDEX($A476:$AD476,1,$D$7))))</f>
        <v/>
      </c>
      <c r="AI476" s="36" t="n">
        <f aca="false">IF(OR(AF476="",$D$5=""),0,IFERROR(IF(ISNUMBER(INDEX($A476:$AD476,1,$D$5)),INDEX($A476:$AD476,1,$D$5),TIMEVALUE(INDEX($A476:$AD476,1,$D$5)))*Inputs!$C$22,0))</f>
        <v>0</v>
      </c>
    </row>
    <row r="477" customFormat="false" ht="15" hidden="false" customHeight="false" outlineLevel="0" collapsed="false">
      <c r="AF477" s="18" t="str">
        <f aca="false">IF($D$4="","",IF(INDEX($A477:$AD477,1,$D$4)="","",IF(ISNUMBER(INDEX($A477:$AD477,1,$D$4)),INDEX($A477:$AD477,1,$D$4),IFERROR(DATEVALUE(INDEX($A477:$AD477,1,$D$4)),""))))</f>
        <v/>
      </c>
      <c r="AG477" s="30" t="str">
        <f aca="false">IF(OR(AF477="",$D$6=""),"",IF(LEFT(INDEX($A477:$AD477,1,$D$6),LEN(Inputs!$C$30))=Inputs!$C$30,INDEX($A477:$AD477,1,$D$6),""))</f>
        <v/>
      </c>
      <c r="AH477" s="30" t="str">
        <f aca="false">IF(OR(AF477="",$D$7=""),"",TRIM(IFERROR(LEFT(INDEX($A477:$AD477,1,$D$7),FIND(",",INDEX($A477:$AD477,1,$D$7))-1),INDEX($A477:$AD477,1,$D$7))))</f>
        <v/>
      </c>
      <c r="AI477" s="36" t="n">
        <f aca="false">IF(OR(AF477="",$D$5=""),0,IFERROR(IF(ISNUMBER(INDEX($A477:$AD477,1,$D$5)),INDEX($A477:$AD477,1,$D$5),TIMEVALUE(INDEX($A477:$AD477,1,$D$5)))*Inputs!$C$22,0))</f>
        <v>0</v>
      </c>
    </row>
    <row r="478" customFormat="false" ht="15" hidden="false" customHeight="false" outlineLevel="0" collapsed="false">
      <c r="AF478" s="18" t="str">
        <f aca="false">IF($D$4="","",IF(INDEX($A478:$AD478,1,$D$4)="","",IF(ISNUMBER(INDEX($A478:$AD478,1,$D$4)),INDEX($A478:$AD478,1,$D$4),IFERROR(DATEVALUE(INDEX($A478:$AD478,1,$D$4)),""))))</f>
        <v/>
      </c>
      <c r="AG478" s="30" t="str">
        <f aca="false">IF(OR(AF478="",$D$6=""),"",IF(LEFT(INDEX($A478:$AD478,1,$D$6),LEN(Inputs!$C$30))=Inputs!$C$30,INDEX($A478:$AD478,1,$D$6),""))</f>
        <v/>
      </c>
      <c r="AH478" s="30" t="str">
        <f aca="false">IF(OR(AF478="",$D$7=""),"",TRIM(IFERROR(LEFT(INDEX($A478:$AD478,1,$D$7),FIND(",",INDEX($A478:$AD478,1,$D$7))-1),INDEX($A478:$AD478,1,$D$7))))</f>
        <v/>
      </c>
      <c r="AI478" s="36" t="n">
        <f aca="false">IF(OR(AF478="",$D$5=""),0,IFERROR(IF(ISNUMBER(INDEX($A478:$AD478,1,$D$5)),INDEX($A478:$AD478,1,$D$5),TIMEVALUE(INDEX($A478:$AD478,1,$D$5)))*Inputs!$C$22,0))</f>
        <v>0</v>
      </c>
    </row>
    <row r="479" customFormat="false" ht="15" hidden="false" customHeight="false" outlineLevel="0" collapsed="false">
      <c r="AF479" s="18" t="str">
        <f aca="false">IF($D$4="","",IF(INDEX($A479:$AD479,1,$D$4)="","",IF(ISNUMBER(INDEX($A479:$AD479,1,$D$4)),INDEX($A479:$AD479,1,$D$4),IFERROR(DATEVALUE(INDEX($A479:$AD479,1,$D$4)),""))))</f>
        <v/>
      </c>
      <c r="AG479" s="30" t="str">
        <f aca="false">IF(OR(AF479="",$D$6=""),"",IF(LEFT(INDEX($A479:$AD479,1,$D$6),LEN(Inputs!$C$30))=Inputs!$C$30,INDEX($A479:$AD479,1,$D$6),""))</f>
        <v/>
      </c>
      <c r="AH479" s="30" t="str">
        <f aca="false">IF(OR(AF479="",$D$7=""),"",TRIM(IFERROR(LEFT(INDEX($A479:$AD479,1,$D$7),FIND(",",INDEX($A479:$AD479,1,$D$7))-1),INDEX($A479:$AD479,1,$D$7))))</f>
        <v/>
      </c>
      <c r="AI479" s="36" t="n">
        <f aca="false">IF(OR(AF479="",$D$5=""),0,IFERROR(IF(ISNUMBER(INDEX($A479:$AD479,1,$D$5)),INDEX($A479:$AD479,1,$D$5),TIMEVALUE(INDEX($A479:$AD479,1,$D$5)))*Inputs!$C$22,0))</f>
        <v>0</v>
      </c>
    </row>
    <row r="480" customFormat="false" ht="15" hidden="false" customHeight="false" outlineLevel="0" collapsed="false">
      <c r="AF480" s="18" t="str">
        <f aca="false">IF($D$4="","",IF(INDEX($A480:$AD480,1,$D$4)="","",IF(ISNUMBER(INDEX($A480:$AD480,1,$D$4)),INDEX($A480:$AD480,1,$D$4),IFERROR(DATEVALUE(INDEX($A480:$AD480,1,$D$4)),""))))</f>
        <v/>
      </c>
      <c r="AG480" s="30" t="str">
        <f aca="false">IF(OR(AF480="",$D$6=""),"",IF(LEFT(INDEX($A480:$AD480,1,$D$6),LEN(Inputs!$C$30))=Inputs!$C$30,INDEX($A480:$AD480,1,$D$6),""))</f>
        <v/>
      </c>
      <c r="AH480" s="30" t="str">
        <f aca="false">IF(OR(AF480="",$D$7=""),"",TRIM(IFERROR(LEFT(INDEX($A480:$AD480,1,$D$7),FIND(",",INDEX($A480:$AD480,1,$D$7))-1),INDEX($A480:$AD480,1,$D$7))))</f>
        <v/>
      </c>
      <c r="AI480" s="36" t="n">
        <f aca="false">IF(OR(AF480="",$D$5=""),0,IFERROR(IF(ISNUMBER(INDEX($A480:$AD480,1,$D$5)),INDEX($A480:$AD480,1,$D$5),TIMEVALUE(INDEX($A480:$AD480,1,$D$5)))*Inputs!$C$22,0))</f>
        <v>0</v>
      </c>
    </row>
    <row r="481" customFormat="false" ht="15" hidden="false" customHeight="false" outlineLevel="0" collapsed="false">
      <c r="AF481" s="18" t="str">
        <f aca="false">IF($D$4="","",IF(INDEX($A481:$AD481,1,$D$4)="","",IF(ISNUMBER(INDEX($A481:$AD481,1,$D$4)),INDEX($A481:$AD481,1,$D$4),IFERROR(DATEVALUE(INDEX($A481:$AD481,1,$D$4)),""))))</f>
        <v/>
      </c>
      <c r="AG481" s="30" t="str">
        <f aca="false">IF(OR(AF481="",$D$6=""),"",IF(LEFT(INDEX($A481:$AD481,1,$D$6),LEN(Inputs!$C$30))=Inputs!$C$30,INDEX($A481:$AD481,1,$D$6),""))</f>
        <v/>
      </c>
      <c r="AH481" s="30" t="str">
        <f aca="false">IF(OR(AF481="",$D$7=""),"",TRIM(IFERROR(LEFT(INDEX($A481:$AD481,1,$D$7),FIND(",",INDEX($A481:$AD481,1,$D$7))-1),INDEX($A481:$AD481,1,$D$7))))</f>
        <v/>
      </c>
      <c r="AI481" s="36" t="n">
        <f aca="false">IF(OR(AF481="",$D$5=""),0,IFERROR(IF(ISNUMBER(INDEX($A481:$AD481,1,$D$5)),INDEX($A481:$AD481,1,$D$5),TIMEVALUE(INDEX($A481:$AD481,1,$D$5)))*Inputs!$C$22,0))</f>
        <v>0</v>
      </c>
    </row>
    <row r="482" customFormat="false" ht="15" hidden="false" customHeight="false" outlineLevel="0" collapsed="false">
      <c r="AF482" s="18" t="str">
        <f aca="false">IF($D$4="","",IF(INDEX($A482:$AD482,1,$D$4)="","",IF(ISNUMBER(INDEX($A482:$AD482,1,$D$4)),INDEX($A482:$AD482,1,$D$4),IFERROR(DATEVALUE(INDEX($A482:$AD482,1,$D$4)),""))))</f>
        <v/>
      </c>
      <c r="AG482" s="30" t="str">
        <f aca="false">IF(OR(AF482="",$D$6=""),"",IF(LEFT(INDEX($A482:$AD482,1,$D$6),LEN(Inputs!$C$30))=Inputs!$C$30,INDEX($A482:$AD482,1,$D$6),""))</f>
        <v/>
      </c>
      <c r="AH482" s="30" t="str">
        <f aca="false">IF(OR(AF482="",$D$7=""),"",TRIM(IFERROR(LEFT(INDEX($A482:$AD482,1,$D$7),FIND(",",INDEX($A482:$AD482,1,$D$7))-1),INDEX($A482:$AD482,1,$D$7))))</f>
        <v/>
      </c>
      <c r="AI482" s="36" t="n">
        <f aca="false">IF(OR(AF482="",$D$5=""),0,IFERROR(IF(ISNUMBER(INDEX($A482:$AD482,1,$D$5)),INDEX($A482:$AD482,1,$D$5),TIMEVALUE(INDEX($A482:$AD482,1,$D$5)))*Inputs!$C$22,0))</f>
        <v>0</v>
      </c>
    </row>
    <row r="483" customFormat="false" ht="15" hidden="false" customHeight="false" outlineLevel="0" collapsed="false">
      <c r="AF483" s="18" t="str">
        <f aca="false">IF($D$4="","",IF(INDEX($A483:$AD483,1,$D$4)="","",IF(ISNUMBER(INDEX($A483:$AD483,1,$D$4)),INDEX($A483:$AD483,1,$D$4),IFERROR(DATEVALUE(INDEX($A483:$AD483,1,$D$4)),""))))</f>
        <v/>
      </c>
      <c r="AG483" s="30" t="str">
        <f aca="false">IF(OR(AF483="",$D$6=""),"",IF(LEFT(INDEX($A483:$AD483,1,$D$6),LEN(Inputs!$C$30))=Inputs!$C$30,INDEX($A483:$AD483,1,$D$6),""))</f>
        <v/>
      </c>
      <c r="AH483" s="30" t="str">
        <f aca="false">IF(OR(AF483="",$D$7=""),"",TRIM(IFERROR(LEFT(INDEX($A483:$AD483,1,$D$7),FIND(",",INDEX($A483:$AD483,1,$D$7))-1),INDEX($A483:$AD483,1,$D$7))))</f>
        <v/>
      </c>
      <c r="AI483" s="36" t="n">
        <f aca="false">IF(OR(AF483="",$D$5=""),0,IFERROR(IF(ISNUMBER(INDEX($A483:$AD483,1,$D$5)),INDEX($A483:$AD483,1,$D$5),TIMEVALUE(INDEX($A483:$AD483,1,$D$5)))*Inputs!$C$22,0))</f>
        <v>0</v>
      </c>
    </row>
    <row r="484" customFormat="false" ht="15" hidden="false" customHeight="false" outlineLevel="0" collapsed="false">
      <c r="AF484" s="18" t="str">
        <f aca="false">IF($D$4="","",IF(INDEX($A484:$AD484,1,$D$4)="","",IF(ISNUMBER(INDEX($A484:$AD484,1,$D$4)),INDEX($A484:$AD484,1,$D$4),IFERROR(DATEVALUE(INDEX($A484:$AD484,1,$D$4)),""))))</f>
        <v/>
      </c>
      <c r="AG484" s="30" t="str">
        <f aca="false">IF(OR(AF484="",$D$6=""),"",IF(LEFT(INDEX($A484:$AD484,1,$D$6),LEN(Inputs!$C$30))=Inputs!$C$30,INDEX($A484:$AD484,1,$D$6),""))</f>
        <v/>
      </c>
      <c r="AH484" s="30" t="str">
        <f aca="false">IF(OR(AF484="",$D$7=""),"",TRIM(IFERROR(LEFT(INDEX($A484:$AD484,1,$D$7),FIND(",",INDEX($A484:$AD484,1,$D$7))-1),INDEX($A484:$AD484,1,$D$7))))</f>
        <v/>
      </c>
      <c r="AI484" s="36" t="n">
        <f aca="false">IF(OR(AF484="",$D$5=""),0,IFERROR(IF(ISNUMBER(INDEX($A484:$AD484,1,$D$5)),INDEX($A484:$AD484,1,$D$5),TIMEVALUE(INDEX($A484:$AD484,1,$D$5)))*Inputs!$C$22,0))</f>
        <v>0</v>
      </c>
    </row>
    <row r="485" customFormat="false" ht="15" hidden="false" customHeight="false" outlineLevel="0" collapsed="false">
      <c r="AF485" s="18" t="str">
        <f aca="false">IF($D$4="","",IF(INDEX($A485:$AD485,1,$D$4)="","",IF(ISNUMBER(INDEX($A485:$AD485,1,$D$4)),INDEX($A485:$AD485,1,$D$4),IFERROR(DATEVALUE(INDEX($A485:$AD485,1,$D$4)),""))))</f>
        <v/>
      </c>
      <c r="AG485" s="30" t="str">
        <f aca="false">IF(OR(AF485="",$D$6=""),"",IF(LEFT(INDEX($A485:$AD485,1,$D$6),LEN(Inputs!$C$30))=Inputs!$C$30,INDEX($A485:$AD485,1,$D$6),""))</f>
        <v/>
      </c>
      <c r="AH485" s="30" t="str">
        <f aca="false">IF(OR(AF485="",$D$7=""),"",TRIM(IFERROR(LEFT(INDEX($A485:$AD485,1,$D$7),FIND(",",INDEX($A485:$AD485,1,$D$7))-1),INDEX($A485:$AD485,1,$D$7))))</f>
        <v/>
      </c>
      <c r="AI485" s="36" t="n">
        <f aca="false">IF(OR(AF485="",$D$5=""),0,IFERROR(IF(ISNUMBER(INDEX($A485:$AD485,1,$D$5)),INDEX($A485:$AD485,1,$D$5),TIMEVALUE(INDEX($A485:$AD485,1,$D$5)))*Inputs!$C$22,0))</f>
        <v>0</v>
      </c>
    </row>
    <row r="486" customFormat="false" ht="15" hidden="false" customHeight="false" outlineLevel="0" collapsed="false">
      <c r="AF486" s="18" t="str">
        <f aca="false">IF($D$4="","",IF(INDEX($A486:$AD486,1,$D$4)="","",IF(ISNUMBER(INDEX($A486:$AD486,1,$D$4)),INDEX($A486:$AD486,1,$D$4),IFERROR(DATEVALUE(INDEX($A486:$AD486,1,$D$4)),""))))</f>
        <v/>
      </c>
      <c r="AG486" s="30" t="str">
        <f aca="false">IF(OR(AF486="",$D$6=""),"",IF(LEFT(INDEX($A486:$AD486,1,$D$6),LEN(Inputs!$C$30))=Inputs!$C$30,INDEX($A486:$AD486,1,$D$6),""))</f>
        <v/>
      </c>
      <c r="AH486" s="30" t="str">
        <f aca="false">IF(OR(AF486="",$D$7=""),"",TRIM(IFERROR(LEFT(INDEX($A486:$AD486,1,$D$7),FIND(",",INDEX($A486:$AD486,1,$D$7))-1),INDEX($A486:$AD486,1,$D$7))))</f>
        <v/>
      </c>
      <c r="AI486" s="36" t="n">
        <f aca="false">IF(OR(AF486="",$D$5=""),0,IFERROR(IF(ISNUMBER(INDEX($A486:$AD486,1,$D$5)),INDEX($A486:$AD486,1,$D$5),TIMEVALUE(INDEX($A486:$AD486,1,$D$5)))*Inputs!$C$22,0))</f>
        <v>0</v>
      </c>
    </row>
    <row r="487" customFormat="false" ht="15" hidden="false" customHeight="false" outlineLevel="0" collapsed="false">
      <c r="AF487" s="18" t="str">
        <f aca="false">IF($D$4="","",IF(INDEX($A487:$AD487,1,$D$4)="","",IF(ISNUMBER(INDEX($A487:$AD487,1,$D$4)),INDEX($A487:$AD487,1,$D$4),IFERROR(DATEVALUE(INDEX($A487:$AD487,1,$D$4)),""))))</f>
        <v/>
      </c>
      <c r="AG487" s="30" t="str">
        <f aca="false">IF(OR(AF487="",$D$6=""),"",IF(LEFT(INDEX($A487:$AD487,1,$D$6),LEN(Inputs!$C$30))=Inputs!$C$30,INDEX($A487:$AD487,1,$D$6),""))</f>
        <v/>
      </c>
      <c r="AH487" s="30" t="str">
        <f aca="false">IF(OR(AF487="",$D$7=""),"",TRIM(IFERROR(LEFT(INDEX($A487:$AD487,1,$D$7),FIND(",",INDEX($A487:$AD487,1,$D$7))-1),INDEX($A487:$AD487,1,$D$7))))</f>
        <v/>
      </c>
      <c r="AI487" s="36" t="n">
        <f aca="false">IF(OR(AF487="",$D$5=""),0,IFERROR(IF(ISNUMBER(INDEX($A487:$AD487,1,$D$5)),INDEX($A487:$AD487,1,$D$5),TIMEVALUE(INDEX($A487:$AD487,1,$D$5)))*Inputs!$C$22,0))</f>
        <v>0</v>
      </c>
    </row>
    <row r="488" customFormat="false" ht="15" hidden="false" customHeight="false" outlineLevel="0" collapsed="false">
      <c r="AF488" s="18" t="str">
        <f aca="false">IF($D$4="","",IF(INDEX($A488:$AD488,1,$D$4)="","",IF(ISNUMBER(INDEX($A488:$AD488,1,$D$4)),INDEX($A488:$AD488,1,$D$4),IFERROR(DATEVALUE(INDEX($A488:$AD488,1,$D$4)),""))))</f>
        <v/>
      </c>
      <c r="AG488" s="30" t="str">
        <f aca="false">IF(OR(AF488="",$D$6=""),"",IF(LEFT(INDEX($A488:$AD488,1,$D$6),LEN(Inputs!$C$30))=Inputs!$C$30,INDEX($A488:$AD488,1,$D$6),""))</f>
        <v/>
      </c>
      <c r="AH488" s="30" t="str">
        <f aca="false">IF(OR(AF488="",$D$7=""),"",TRIM(IFERROR(LEFT(INDEX($A488:$AD488,1,$D$7),FIND(",",INDEX($A488:$AD488,1,$D$7))-1),INDEX($A488:$AD488,1,$D$7))))</f>
        <v/>
      </c>
      <c r="AI488" s="36" t="n">
        <f aca="false">IF(OR(AF488="",$D$5=""),0,IFERROR(IF(ISNUMBER(INDEX($A488:$AD488,1,$D$5)),INDEX($A488:$AD488,1,$D$5),TIMEVALUE(INDEX($A488:$AD488,1,$D$5)))*Inputs!$C$22,0))</f>
        <v>0</v>
      </c>
    </row>
    <row r="489" customFormat="false" ht="15" hidden="false" customHeight="false" outlineLevel="0" collapsed="false">
      <c r="AF489" s="18" t="str">
        <f aca="false">IF($D$4="","",IF(INDEX($A489:$AD489,1,$D$4)="","",IF(ISNUMBER(INDEX($A489:$AD489,1,$D$4)),INDEX($A489:$AD489,1,$D$4),IFERROR(DATEVALUE(INDEX($A489:$AD489,1,$D$4)),""))))</f>
        <v/>
      </c>
      <c r="AG489" s="30" t="str">
        <f aca="false">IF(OR(AF489="",$D$6=""),"",IF(LEFT(INDEX($A489:$AD489,1,$D$6),LEN(Inputs!$C$30))=Inputs!$C$30,INDEX($A489:$AD489,1,$D$6),""))</f>
        <v/>
      </c>
      <c r="AH489" s="30" t="str">
        <f aca="false">IF(OR(AF489="",$D$7=""),"",TRIM(IFERROR(LEFT(INDEX($A489:$AD489,1,$D$7),FIND(",",INDEX($A489:$AD489,1,$D$7))-1),INDEX($A489:$AD489,1,$D$7))))</f>
        <v/>
      </c>
      <c r="AI489" s="36" t="n">
        <f aca="false">IF(OR(AF489="",$D$5=""),0,IFERROR(IF(ISNUMBER(INDEX($A489:$AD489,1,$D$5)),INDEX($A489:$AD489,1,$D$5),TIMEVALUE(INDEX($A489:$AD489,1,$D$5)))*Inputs!$C$22,0))</f>
        <v>0</v>
      </c>
    </row>
    <row r="490" customFormat="false" ht="15" hidden="false" customHeight="false" outlineLevel="0" collapsed="false">
      <c r="AF490" s="18" t="str">
        <f aca="false">IF($D$4="","",IF(INDEX($A490:$AD490,1,$D$4)="","",IF(ISNUMBER(INDEX($A490:$AD490,1,$D$4)),INDEX($A490:$AD490,1,$D$4),IFERROR(DATEVALUE(INDEX($A490:$AD490,1,$D$4)),""))))</f>
        <v/>
      </c>
      <c r="AG490" s="30" t="str">
        <f aca="false">IF(OR(AF490="",$D$6=""),"",IF(LEFT(INDEX($A490:$AD490,1,$D$6),LEN(Inputs!$C$30))=Inputs!$C$30,INDEX($A490:$AD490,1,$D$6),""))</f>
        <v/>
      </c>
      <c r="AH490" s="30" t="str">
        <f aca="false">IF(OR(AF490="",$D$7=""),"",TRIM(IFERROR(LEFT(INDEX($A490:$AD490,1,$D$7),FIND(",",INDEX($A490:$AD490,1,$D$7))-1),INDEX($A490:$AD490,1,$D$7))))</f>
        <v/>
      </c>
      <c r="AI490" s="36" t="n">
        <f aca="false">IF(OR(AF490="",$D$5=""),0,IFERROR(IF(ISNUMBER(INDEX($A490:$AD490,1,$D$5)),INDEX($A490:$AD490,1,$D$5),TIMEVALUE(INDEX($A490:$AD490,1,$D$5)))*Inputs!$C$22,0))</f>
        <v>0</v>
      </c>
    </row>
    <row r="491" customFormat="false" ht="15" hidden="false" customHeight="false" outlineLevel="0" collapsed="false">
      <c r="AF491" s="18" t="str">
        <f aca="false">IF($D$4="","",IF(INDEX($A491:$AD491,1,$D$4)="","",IF(ISNUMBER(INDEX($A491:$AD491,1,$D$4)),INDEX($A491:$AD491,1,$D$4),IFERROR(DATEVALUE(INDEX($A491:$AD491,1,$D$4)),""))))</f>
        <v/>
      </c>
      <c r="AG491" s="30" t="str">
        <f aca="false">IF(OR(AF491="",$D$6=""),"",IF(LEFT(INDEX($A491:$AD491,1,$D$6),LEN(Inputs!$C$30))=Inputs!$C$30,INDEX($A491:$AD491,1,$D$6),""))</f>
        <v/>
      </c>
      <c r="AH491" s="30" t="str">
        <f aca="false">IF(OR(AF491="",$D$7=""),"",TRIM(IFERROR(LEFT(INDEX($A491:$AD491,1,$D$7),FIND(",",INDEX($A491:$AD491,1,$D$7))-1),INDEX($A491:$AD491,1,$D$7))))</f>
        <v/>
      </c>
      <c r="AI491" s="36" t="n">
        <f aca="false">IF(OR(AF491="",$D$5=""),0,IFERROR(IF(ISNUMBER(INDEX($A491:$AD491,1,$D$5)),INDEX($A491:$AD491,1,$D$5),TIMEVALUE(INDEX($A491:$AD491,1,$D$5)))*Inputs!$C$22,0))</f>
        <v>0</v>
      </c>
    </row>
    <row r="492" customFormat="false" ht="15" hidden="false" customHeight="false" outlineLevel="0" collapsed="false">
      <c r="AF492" s="18" t="str">
        <f aca="false">IF($D$4="","",IF(INDEX($A492:$AD492,1,$D$4)="","",IF(ISNUMBER(INDEX($A492:$AD492,1,$D$4)),INDEX($A492:$AD492,1,$D$4),IFERROR(DATEVALUE(INDEX($A492:$AD492,1,$D$4)),""))))</f>
        <v/>
      </c>
      <c r="AG492" s="30" t="str">
        <f aca="false">IF(OR(AF492="",$D$6=""),"",IF(LEFT(INDEX($A492:$AD492,1,$D$6),LEN(Inputs!$C$30))=Inputs!$C$30,INDEX($A492:$AD492,1,$D$6),""))</f>
        <v/>
      </c>
      <c r="AH492" s="30" t="str">
        <f aca="false">IF(OR(AF492="",$D$7=""),"",TRIM(IFERROR(LEFT(INDEX($A492:$AD492,1,$D$7),FIND(",",INDEX($A492:$AD492,1,$D$7))-1),INDEX($A492:$AD492,1,$D$7))))</f>
        <v/>
      </c>
      <c r="AI492" s="36" t="n">
        <f aca="false">IF(OR(AF492="",$D$5=""),0,IFERROR(IF(ISNUMBER(INDEX($A492:$AD492,1,$D$5)),INDEX($A492:$AD492,1,$D$5),TIMEVALUE(INDEX($A492:$AD492,1,$D$5)))*Inputs!$C$22,0))</f>
        <v>0</v>
      </c>
    </row>
    <row r="493" customFormat="false" ht="15" hidden="false" customHeight="false" outlineLevel="0" collapsed="false">
      <c r="AF493" s="18" t="str">
        <f aca="false">IF($D$4="","",IF(INDEX($A493:$AD493,1,$D$4)="","",IF(ISNUMBER(INDEX($A493:$AD493,1,$D$4)),INDEX($A493:$AD493,1,$D$4),IFERROR(DATEVALUE(INDEX($A493:$AD493,1,$D$4)),""))))</f>
        <v/>
      </c>
      <c r="AG493" s="30" t="str">
        <f aca="false">IF(OR(AF493="",$D$6=""),"",IF(LEFT(INDEX($A493:$AD493,1,$D$6),LEN(Inputs!$C$30))=Inputs!$C$30,INDEX($A493:$AD493,1,$D$6),""))</f>
        <v/>
      </c>
      <c r="AH493" s="30" t="str">
        <f aca="false">IF(OR(AF493="",$D$7=""),"",TRIM(IFERROR(LEFT(INDEX($A493:$AD493,1,$D$7),FIND(",",INDEX($A493:$AD493,1,$D$7))-1),INDEX($A493:$AD493,1,$D$7))))</f>
        <v/>
      </c>
      <c r="AI493" s="36" t="n">
        <f aca="false">IF(OR(AF493="",$D$5=""),0,IFERROR(IF(ISNUMBER(INDEX($A493:$AD493,1,$D$5)),INDEX($A493:$AD493,1,$D$5),TIMEVALUE(INDEX($A493:$AD493,1,$D$5)))*Inputs!$C$22,0))</f>
        <v>0</v>
      </c>
    </row>
    <row r="494" customFormat="false" ht="15" hidden="false" customHeight="false" outlineLevel="0" collapsed="false">
      <c r="AF494" s="18" t="str">
        <f aca="false">IF($D$4="","",IF(INDEX($A494:$AD494,1,$D$4)="","",IF(ISNUMBER(INDEX($A494:$AD494,1,$D$4)),INDEX($A494:$AD494,1,$D$4),IFERROR(DATEVALUE(INDEX($A494:$AD494,1,$D$4)),""))))</f>
        <v/>
      </c>
      <c r="AG494" s="30" t="str">
        <f aca="false">IF(OR(AF494="",$D$6=""),"",IF(LEFT(INDEX($A494:$AD494,1,$D$6),LEN(Inputs!$C$30))=Inputs!$C$30,INDEX($A494:$AD494,1,$D$6),""))</f>
        <v/>
      </c>
      <c r="AH494" s="30" t="str">
        <f aca="false">IF(OR(AF494="",$D$7=""),"",TRIM(IFERROR(LEFT(INDEX($A494:$AD494,1,$D$7),FIND(",",INDEX($A494:$AD494,1,$D$7))-1),INDEX($A494:$AD494,1,$D$7))))</f>
        <v/>
      </c>
      <c r="AI494" s="36" t="n">
        <f aca="false">IF(OR(AF494="",$D$5=""),0,IFERROR(IF(ISNUMBER(INDEX($A494:$AD494,1,$D$5)),INDEX($A494:$AD494,1,$D$5),TIMEVALUE(INDEX($A494:$AD494,1,$D$5)))*Inputs!$C$22,0))</f>
        <v>0</v>
      </c>
    </row>
    <row r="495" customFormat="false" ht="15" hidden="false" customHeight="false" outlineLevel="0" collapsed="false">
      <c r="AF495" s="18" t="str">
        <f aca="false">IF($D$4="","",IF(INDEX($A495:$AD495,1,$D$4)="","",IF(ISNUMBER(INDEX($A495:$AD495,1,$D$4)),INDEX($A495:$AD495,1,$D$4),IFERROR(DATEVALUE(INDEX($A495:$AD495,1,$D$4)),""))))</f>
        <v/>
      </c>
      <c r="AG495" s="30" t="str">
        <f aca="false">IF(OR(AF495="",$D$6=""),"",IF(LEFT(INDEX($A495:$AD495,1,$D$6),LEN(Inputs!$C$30))=Inputs!$C$30,INDEX($A495:$AD495,1,$D$6),""))</f>
        <v/>
      </c>
      <c r="AH495" s="30" t="str">
        <f aca="false">IF(OR(AF495="",$D$7=""),"",TRIM(IFERROR(LEFT(INDEX($A495:$AD495,1,$D$7),FIND(",",INDEX($A495:$AD495,1,$D$7))-1),INDEX($A495:$AD495,1,$D$7))))</f>
        <v/>
      </c>
      <c r="AI495" s="36" t="n">
        <f aca="false">IF(OR(AF495="",$D$5=""),0,IFERROR(IF(ISNUMBER(INDEX($A495:$AD495,1,$D$5)),INDEX($A495:$AD495,1,$D$5),TIMEVALUE(INDEX($A495:$AD495,1,$D$5)))*Inputs!$C$22,0))</f>
        <v>0</v>
      </c>
    </row>
    <row r="496" customFormat="false" ht="15" hidden="false" customHeight="false" outlineLevel="0" collapsed="false">
      <c r="AF496" s="18" t="str">
        <f aca="false">IF($D$4="","",IF(INDEX($A496:$AD496,1,$D$4)="","",IF(ISNUMBER(INDEX($A496:$AD496,1,$D$4)),INDEX($A496:$AD496,1,$D$4),IFERROR(DATEVALUE(INDEX($A496:$AD496,1,$D$4)),""))))</f>
        <v/>
      </c>
      <c r="AG496" s="30" t="str">
        <f aca="false">IF(OR(AF496="",$D$6=""),"",IF(LEFT(INDEX($A496:$AD496,1,$D$6),LEN(Inputs!$C$30))=Inputs!$C$30,INDEX($A496:$AD496,1,$D$6),""))</f>
        <v/>
      </c>
      <c r="AH496" s="30" t="str">
        <f aca="false">IF(OR(AF496="",$D$7=""),"",TRIM(IFERROR(LEFT(INDEX($A496:$AD496,1,$D$7),FIND(",",INDEX($A496:$AD496,1,$D$7))-1),INDEX($A496:$AD496,1,$D$7))))</f>
        <v/>
      </c>
      <c r="AI496" s="36" t="n">
        <f aca="false">IF(OR(AF496="",$D$5=""),0,IFERROR(IF(ISNUMBER(INDEX($A496:$AD496,1,$D$5)),INDEX($A496:$AD496,1,$D$5),TIMEVALUE(INDEX($A496:$AD496,1,$D$5)))*Inputs!$C$22,0))</f>
        <v>0</v>
      </c>
    </row>
    <row r="497" customFormat="false" ht="15" hidden="false" customHeight="false" outlineLevel="0" collapsed="false">
      <c r="AF497" s="18" t="str">
        <f aca="false">IF($D$4="","",IF(INDEX($A497:$AD497,1,$D$4)="","",IF(ISNUMBER(INDEX($A497:$AD497,1,$D$4)),INDEX($A497:$AD497,1,$D$4),IFERROR(DATEVALUE(INDEX($A497:$AD497,1,$D$4)),""))))</f>
        <v/>
      </c>
      <c r="AG497" s="30" t="str">
        <f aca="false">IF(OR(AF497="",$D$6=""),"",IF(LEFT(INDEX($A497:$AD497,1,$D$6),LEN(Inputs!$C$30))=Inputs!$C$30,INDEX($A497:$AD497,1,$D$6),""))</f>
        <v/>
      </c>
      <c r="AH497" s="30" t="str">
        <f aca="false">IF(OR(AF497="",$D$7=""),"",TRIM(IFERROR(LEFT(INDEX($A497:$AD497,1,$D$7),FIND(",",INDEX($A497:$AD497,1,$D$7))-1),INDEX($A497:$AD497,1,$D$7))))</f>
        <v/>
      </c>
      <c r="AI497" s="36" t="n">
        <f aca="false">IF(OR(AF497="",$D$5=""),0,IFERROR(IF(ISNUMBER(INDEX($A497:$AD497,1,$D$5)),INDEX($A497:$AD497,1,$D$5),TIMEVALUE(INDEX($A497:$AD497,1,$D$5)))*Inputs!$C$22,0))</f>
        <v>0</v>
      </c>
    </row>
    <row r="498" customFormat="false" ht="15" hidden="false" customHeight="false" outlineLevel="0" collapsed="false">
      <c r="AF498" s="18" t="str">
        <f aca="false">IF($D$4="","",IF(INDEX($A498:$AD498,1,$D$4)="","",IF(ISNUMBER(INDEX($A498:$AD498,1,$D$4)),INDEX($A498:$AD498,1,$D$4),IFERROR(DATEVALUE(INDEX($A498:$AD498,1,$D$4)),""))))</f>
        <v/>
      </c>
      <c r="AG498" s="30" t="str">
        <f aca="false">IF(OR(AF498="",$D$6=""),"",IF(LEFT(INDEX($A498:$AD498,1,$D$6),LEN(Inputs!$C$30))=Inputs!$C$30,INDEX($A498:$AD498,1,$D$6),""))</f>
        <v/>
      </c>
      <c r="AH498" s="30" t="str">
        <f aca="false">IF(OR(AF498="",$D$7=""),"",TRIM(IFERROR(LEFT(INDEX($A498:$AD498,1,$D$7),FIND(",",INDEX($A498:$AD498,1,$D$7))-1),INDEX($A498:$AD498,1,$D$7))))</f>
        <v/>
      </c>
      <c r="AI498" s="36" t="n">
        <f aca="false">IF(OR(AF498="",$D$5=""),0,IFERROR(IF(ISNUMBER(INDEX($A498:$AD498,1,$D$5)),INDEX($A498:$AD498,1,$D$5),TIMEVALUE(INDEX($A498:$AD498,1,$D$5)))*Inputs!$C$22,0))</f>
        <v>0</v>
      </c>
    </row>
    <row r="499" customFormat="false" ht="15" hidden="false" customHeight="false" outlineLevel="0" collapsed="false">
      <c r="AF499" s="18" t="str">
        <f aca="false">IF($D$4="","",IF(INDEX($A499:$AD499,1,$D$4)="","",IF(ISNUMBER(INDEX($A499:$AD499,1,$D$4)),INDEX($A499:$AD499,1,$D$4),IFERROR(DATEVALUE(INDEX($A499:$AD499,1,$D$4)),""))))</f>
        <v/>
      </c>
      <c r="AG499" s="30" t="str">
        <f aca="false">IF(OR(AF499="",$D$6=""),"",IF(LEFT(INDEX($A499:$AD499,1,$D$6),LEN(Inputs!$C$30))=Inputs!$C$30,INDEX($A499:$AD499,1,$D$6),""))</f>
        <v/>
      </c>
      <c r="AH499" s="30" t="str">
        <f aca="false">IF(OR(AF499="",$D$7=""),"",TRIM(IFERROR(LEFT(INDEX($A499:$AD499,1,$D$7),FIND(",",INDEX($A499:$AD499,1,$D$7))-1),INDEX($A499:$AD499,1,$D$7))))</f>
        <v/>
      </c>
      <c r="AI499" s="36" t="n">
        <f aca="false">IF(OR(AF499="",$D$5=""),0,IFERROR(IF(ISNUMBER(INDEX($A499:$AD499,1,$D$5)),INDEX($A499:$AD499,1,$D$5),TIMEVALUE(INDEX($A499:$AD499,1,$D$5)))*Inputs!$C$22,0))</f>
        <v>0</v>
      </c>
    </row>
    <row r="500" customFormat="false" ht="15" hidden="false" customHeight="false" outlineLevel="0" collapsed="false">
      <c r="AF500" s="18" t="str">
        <f aca="false">IF($D$4="","",IF(INDEX($A500:$AD500,1,$D$4)="","",IF(ISNUMBER(INDEX($A500:$AD500,1,$D$4)),INDEX($A500:$AD500,1,$D$4),IFERROR(DATEVALUE(INDEX($A500:$AD500,1,$D$4)),""))))</f>
        <v/>
      </c>
      <c r="AG500" s="30" t="str">
        <f aca="false">IF(OR(AF500="",$D$6=""),"",IF(LEFT(INDEX($A500:$AD500,1,$D$6),LEN(Inputs!$C$30))=Inputs!$C$30,INDEX($A500:$AD500,1,$D$6),""))</f>
        <v/>
      </c>
      <c r="AH500" s="30" t="str">
        <f aca="false">IF(OR(AF500="",$D$7=""),"",TRIM(IFERROR(LEFT(INDEX($A500:$AD500,1,$D$7),FIND(",",INDEX($A500:$AD500,1,$D$7))-1),INDEX($A500:$AD500,1,$D$7))))</f>
        <v/>
      </c>
      <c r="AI500" s="36" t="n">
        <f aca="false">IF(OR(AF500="",$D$5=""),0,IFERROR(IF(ISNUMBER(INDEX($A500:$AD500,1,$D$5)),INDEX($A500:$AD500,1,$D$5),TIMEVALUE(INDEX($A500:$AD500,1,$D$5)))*Inputs!$C$22,0))</f>
        <v>0</v>
      </c>
    </row>
    <row r="501" customFormat="false" ht="15" hidden="false" customHeight="false" outlineLevel="0" collapsed="false">
      <c r="AF501" s="18" t="str">
        <f aca="false">IF($D$4="","",IF(INDEX($A501:$AD501,1,$D$4)="","",IF(ISNUMBER(INDEX($A501:$AD501,1,$D$4)),INDEX($A501:$AD501,1,$D$4),IFERROR(DATEVALUE(INDEX($A501:$AD501,1,$D$4)),""))))</f>
        <v/>
      </c>
      <c r="AG501" s="30" t="str">
        <f aca="false">IF(OR(AF501="",$D$6=""),"",IF(LEFT(INDEX($A501:$AD501,1,$D$6),LEN(Inputs!$C$30))=Inputs!$C$30,INDEX($A501:$AD501,1,$D$6),""))</f>
        <v/>
      </c>
      <c r="AH501" s="30" t="str">
        <f aca="false">IF(OR(AF501="",$D$7=""),"",TRIM(IFERROR(LEFT(INDEX($A501:$AD501,1,$D$7),FIND(",",INDEX($A501:$AD501,1,$D$7))-1),INDEX($A501:$AD501,1,$D$7))))</f>
        <v/>
      </c>
      <c r="AI501" s="36" t="n">
        <f aca="false">IF(OR(AF501="",$D$5=""),0,IFERROR(IF(ISNUMBER(INDEX($A501:$AD501,1,$D$5)),INDEX($A501:$AD501,1,$D$5),TIMEVALUE(INDEX($A501:$AD501,1,$D$5)))*Inputs!$C$22,0))</f>
        <v>0</v>
      </c>
    </row>
    <row r="502" customFormat="false" ht="15" hidden="false" customHeight="false" outlineLevel="0" collapsed="false">
      <c r="AF502" s="18" t="str">
        <f aca="false">IF($D$4="","",IF(INDEX($A502:$AD502,1,$D$4)="","",IF(ISNUMBER(INDEX($A502:$AD502,1,$D$4)),INDEX($A502:$AD502,1,$D$4),IFERROR(DATEVALUE(INDEX($A502:$AD502,1,$D$4)),""))))</f>
        <v/>
      </c>
      <c r="AG502" s="30" t="str">
        <f aca="false">IF(OR(AF502="",$D$6=""),"",IF(LEFT(INDEX($A502:$AD502,1,$D$6),LEN(Inputs!$C$30))=Inputs!$C$30,INDEX($A502:$AD502,1,$D$6),""))</f>
        <v/>
      </c>
      <c r="AH502" s="30" t="str">
        <f aca="false">IF(OR(AF502="",$D$7=""),"",TRIM(IFERROR(LEFT(INDEX($A502:$AD502,1,$D$7),FIND(",",INDEX($A502:$AD502,1,$D$7))-1),INDEX($A502:$AD502,1,$D$7))))</f>
        <v/>
      </c>
      <c r="AI502" s="36" t="n">
        <f aca="false">IF(OR(AF502="",$D$5=""),0,IFERROR(IF(ISNUMBER(INDEX($A502:$AD502,1,$D$5)),INDEX($A502:$AD502,1,$D$5),TIMEVALUE(INDEX($A502:$AD502,1,$D$5)))*Inputs!$C$22,0))</f>
        <v>0</v>
      </c>
    </row>
    <row r="503" customFormat="false" ht="15" hidden="false" customHeight="false" outlineLevel="0" collapsed="false">
      <c r="AF503" s="18" t="str">
        <f aca="false">IF($D$4="","",IF(INDEX($A503:$AD503,1,$D$4)="","",IF(ISNUMBER(INDEX($A503:$AD503,1,$D$4)),INDEX($A503:$AD503,1,$D$4),IFERROR(DATEVALUE(INDEX($A503:$AD503,1,$D$4)),""))))</f>
        <v/>
      </c>
      <c r="AG503" s="30" t="str">
        <f aca="false">IF(OR(AF503="",$D$6=""),"",IF(LEFT(INDEX($A503:$AD503,1,$D$6),LEN(Inputs!$C$30))=Inputs!$C$30,INDEX($A503:$AD503,1,$D$6),""))</f>
        <v/>
      </c>
      <c r="AH503" s="30" t="str">
        <f aca="false">IF(OR(AF503="",$D$7=""),"",TRIM(IFERROR(LEFT(INDEX($A503:$AD503,1,$D$7),FIND(",",INDEX($A503:$AD503,1,$D$7))-1),INDEX($A503:$AD503,1,$D$7))))</f>
        <v/>
      </c>
      <c r="AI503" s="36" t="n">
        <f aca="false">IF(OR(AF503="",$D$5=""),0,IFERROR(IF(ISNUMBER(INDEX($A503:$AD503,1,$D$5)),INDEX($A503:$AD503,1,$D$5),TIMEVALUE(INDEX($A503:$AD503,1,$D$5)))*Inputs!$C$22,0))</f>
        <v>0</v>
      </c>
    </row>
    <row r="504" customFormat="false" ht="15" hidden="false" customHeight="false" outlineLevel="0" collapsed="false">
      <c r="AF504" s="18" t="str">
        <f aca="false">IF($D$4="","",IF(INDEX($A504:$AD504,1,$D$4)="","",IF(ISNUMBER(INDEX($A504:$AD504,1,$D$4)),INDEX($A504:$AD504,1,$D$4),IFERROR(DATEVALUE(INDEX($A504:$AD504,1,$D$4)),""))))</f>
        <v/>
      </c>
      <c r="AG504" s="30" t="str">
        <f aca="false">IF(OR(AF504="",$D$6=""),"",IF(LEFT(INDEX($A504:$AD504,1,$D$6),LEN(Inputs!$C$30))=Inputs!$C$30,INDEX($A504:$AD504,1,$D$6),""))</f>
        <v/>
      </c>
      <c r="AH504" s="30" t="str">
        <f aca="false">IF(OR(AF504="",$D$7=""),"",TRIM(IFERROR(LEFT(INDEX($A504:$AD504,1,$D$7),FIND(",",INDEX($A504:$AD504,1,$D$7))-1),INDEX($A504:$AD504,1,$D$7))))</f>
        <v/>
      </c>
      <c r="AI504" s="36" t="n">
        <f aca="false">IF(OR(AF504="",$D$5=""),0,IFERROR(IF(ISNUMBER(INDEX($A504:$AD504,1,$D$5)),INDEX($A504:$AD504,1,$D$5),TIMEVALUE(INDEX($A504:$AD504,1,$D$5)))*Inputs!$C$22,0))</f>
        <v>0</v>
      </c>
    </row>
    <row r="505" customFormat="false" ht="15" hidden="false" customHeight="false" outlineLevel="0" collapsed="false">
      <c r="AF505" s="18" t="str">
        <f aca="false">IF($D$4="","",IF(INDEX($A505:$AD505,1,$D$4)="","",IF(ISNUMBER(INDEX($A505:$AD505,1,$D$4)),INDEX($A505:$AD505,1,$D$4),IFERROR(DATEVALUE(INDEX($A505:$AD505,1,$D$4)),""))))</f>
        <v/>
      </c>
      <c r="AG505" s="30" t="str">
        <f aca="false">IF(OR(AF505="",$D$6=""),"",IF(LEFT(INDEX($A505:$AD505,1,$D$6),LEN(Inputs!$C$30))=Inputs!$C$30,INDEX($A505:$AD505,1,$D$6),""))</f>
        <v/>
      </c>
      <c r="AH505" s="30" t="str">
        <f aca="false">IF(OR(AF505="",$D$7=""),"",TRIM(IFERROR(LEFT(INDEX($A505:$AD505,1,$D$7),FIND(",",INDEX($A505:$AD505,1,$D$7))-1),INDEX($A505:$AD505,1,$D$7))))</f>
        <v/>
      </c>
      <c r="AI505" s="36" t="n">
        <f aca="false">IF(OR(AF505="",$D$5=""),0,IFERROR(IF(ISNUMBER(INDEX($A505:$AD505,1,$D$5)),INDEX($A505:$AD505,1,$D$5),TIMEVALUE(INDEX($A505:$AD505,1,$D$5)))*Inputs!$C$22,0))</f>
        <v>0</v>
      </c>
    </row>
    <row r="506" customFormat="false" ht="15" hidden="false" customHeight="false" outlineLevel="0" collapsed="false">
      <c r="AF506" s="18" t="str">
        <f aca="false">IF($D$4="","",IF(INDEX($A506:$AD506,1,$D$4)="","",IF(ISNUMBER(INDEX($A506:$AD506,1,$D$4)),INDEX($A506:$AD506,1,$D$4),IFERROR(DATEVALUE(INDEX($A506:$AD506,1,$D$4)),""))))</f>
        <v/>
      </c>
      <c r="AG506" s="30" t="str">
        <f aca="false">IF(OR(AF506="",$D$6=""),"",IF(LEFT(INDEX($A506:$AD506,1,$D$6),LEN(Inputs!$C$30))=Inputs!$C$30,INDEX($A506:$AD506,1,$D$6),""))</f>
        <v/>
      </c>
      <c r="AH506" s="30" t="str">
        <f aca="false">IF(OR(AF506="",$D$7=""),"",TRIM(IFERROR(LEFT(INDEX($A506:$AD506,1,$D$7),FIND(",",INDEX($A506:$AD506,1,$D$7))-1),INDEX($A506:$AD506,1,$D$7))))</f>
        <v/>
      </c>
      <c r="AI506" s="36" t="n">
        <f aca="false">IF(OR(AF506="",$D$5=""),0,IFERROR(IF(ISNUMBER(INDEX($A506:$AD506,1,$D$5)),INDEX($A506:$AD506,1,$D$5),TIMEVALUE(INDEX($A506:$AD506,1,$D$5)))*Inputs!$C$22,0))</f>
        <v>0</v>
      </c>
    </row>
    <row r="507" customFormat="false" ht="15" hidden="false" customHeight="false" outlineLevel="0" collapsed="false">
      <c r="AF507" s="18" t="str">
        <f aca="false">IF($D$4="","",IF(INDEX($A507:$AD507,1,$D$4)="","",IF(ISNUMBER(INDEX($A507:$AD507,1,$D$4)),INDEX($A507:$AD507,1,$D$4),IFERROR(DATEVALUE(INDEX($A507:$AD507,1,$D$4)),""))))</f>
        <v/>
      </c>
      <c r="AG507" s="30" t="str">
        <f aca="false">IF(OR(AF507="",$D$6=""),"",IF(LEFT(INDEX($A507:$AD507,1,$D$6),LEN(Inputs!$C$30))=Inputs!$C$30,INDEX($A507:$AD507,1,$D$6),""))</f>
        <v/>
      </c>
      <c r="AH507" s="30" t="str">
        <f aca="false">IF(OR(AF507="",$D$7=""),"",TRIM(IFERROR(LEFT(INDEX($A507:$AD507,1,$D$7),FIND(",",INDEX($A507:$AD507,1,$D$7))-1),INDEX($A507:$AD507,1,$D$7))))</f>
        <v/>
      </c>
      <c r="AI507" s="36" t="n">
        <f aca="false">IF(OR(AF507="",$D$5=""),0,IFERROR(IF(ISNUMBER(INDEX($A507:$AD507,1,$D$5)),INDEX($A507:$AD507,1,$D$5),TIMEVALUE(INDEX($A507:$AD507,1,$D$5)))*Inputs!$C$22,0))</f>
        <v>0</v>
      </c>
    </row>
    <row r="508" customFormat="false" ht="15" hidden="false" customHeight="false" outlineLevel="0" collapsed="false">
      <c r="AF508" s="18" t="str">
        <f aca="false">IF($D$4="","",IF(INDEX($A508:$AD508,1,$D$4)="","",IF(ISNUMBER(INDEX($A508:$AD508,1,$D$4)),INDEX($A508:$AD508,1,$D$4),IFERROR(DATEVALUE(INDEX($A508:$AD508,1,$D$4)),""))))</f>
        <v/>
      </c>
      <c r="AG508" s="30" t="str">
        <f aca="false">IF(OR(AF508="",$D$6=""),"",IF(LEFT(INDEX($A508:$AD508,1,$D$6),LEN(Inputs!$C$30))=Inputs!$C$30,INDEX($A508:$AD508,1,$D$6),""))</f>
        <v/>
      </c>
      <c r="AH508" s="30" t="str">
        <f aca="false">IF(OR(AF508="",$D$7=""),"",TRIM(IFERROR(LEFT(INDEX($A508:$AD508,1,$D$7),FIND(",",INDEX($A508:$AD508,1,$D$7))-1),INDEX($A508:$AD508,1,$D$7))))</f>
        <v/>
      </c>
      <c r="AI508" s="36" t="n">
        <f aca="false">IF(OR(AF508="",$D$5=""),0,IFERROR(IF(ISNUMBER(INDEX($A508:$AD508,1,$D$5)),INDEX($A508:$AD508,1,$D$5),TIMEVALUE(INDEX($A508:$AD508,1,$D$5)))*Inputs!$C$22,0))</f>
        <v>0</v>
      </c>
    </row>
    <row r="509" customFormat="false" ht="15" hidden="false" customHeight="false" outlineLevel="0" collapsed="false">
      <c r="AF509" s="18" t="str">
        <f aca="false">IF($D$4="","",IF(INDEX($A509:$AD509,1,$D$4)="","",IF(ISNUMBER(INDEX($A509:$AD509,1,$D$4)),INDEX($A509:$AD509,1,$D$4),IFERROR(DATEVALUE(INDEX($A509:$AD509,1,$D$4)),""))))</f>
        <v/>
      </c>
      <c r="AG509" s="30" t="str">
        <f aca="false">IF(OR(AF509="",$D$6=""),"",IF(LEFT(INDEX($A509:$AD509,1,$D$6),LEN(Inputs!$C$30))=Inputs!$C$30,INDEX($A509:$AD509,1,$D$6),""))</f>
        <v/>
      </c>
      <c r="AH509" s="30" t="str">
        <f aca="false">IF(OR(AF509="",$D$7=""),"",TRIM(IFERROR(LEFT(INDEX($A509:$AD509,1,$D$7),FIND(",",INDEX($A509:$AD509,1,$D$7))-1),INDEX($A509:$AD509,1,$D$7))))</f>
        <v/>
      </c>
      <c r="AI509" s="36" t="n">
        <f aca="false">IF(OR(AF509="",$D$5=""),0,IFERROR(IF(ISNUMBER(INDEX($A509:$AD509,1,$D$5)),INDEX($A509:$AD509,1,$D$5),TIMEVALUE(INDEX($A509:$AD509,1,$D$5)))*Inputs!$C$22,0))</f>
        <v>0</v>
      </c>
    </row>
  </sheetData>
  <mergeCells count="1">
    <mergeCell ref="G3:P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FB98B"/>
    <pageSetUpPr fitToPage="false"/>
  </sheetPr>
  <dimension ref="A1:AI1004"/>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8"/>
    <col collapsed="false" customWidth="true" hidden="false" outlineLevel="0" max="3" min="3" style="0" width="10"/>
    <col collapsed="false" customWidth="true" hidden="false" outlineLevel="0" max="4" min="4" style="0" width="22"/>
    <col collapsed="false" customWidth="true" hidden="false" outlineLevel="0" max="5" min="5" style="0" width="16"/>
    <col collapsed="false" customWidth="true" hidden="false" outlineLevel="0" max="6" min="6" style="0" width="11"/>
    <col collapsed="false" customWidth="true" hidden="false" outlineLevel="0" max="7" min="7" style="0" width="30"/>
    <col collapsed="false" customWidth="true" hidden="false" outlineLevel="0" max="8" min="8" style="0" width="9"/>
    <col collapsed="false" customWidth="true" hidden="false" outlineLevel="0" max="9" min="9" style="0" width="24"/>
    <col collapsed="false" customWidth="true" hidden="false" outlineLevel="0" max="19" min="10" style="0" width="2"/>
    <col collapsed="false" customWidth="true" hidden="false" outlineLevel="0" max="20" min="20" style="0" width="9"/>
    <col collapsed="false" customWidth="true" hidden="false" outlineLevel="0" max="21" min="21" style="0" width="11"/>
    <col collapsed="false" customWidth="true" hidden="false" outlineLevel="0" max="22" min="22" style="0" width="8"/>
    <col collapsed="false" customWidth="true" hidden="false" outlineLevel="0" max="23" min="23" style="0" width="11"/>
    <col collapsed="false" customWidth="true" hidden="false" outlineLevel="0" max="24" min="24" style="0" width="8"/>
    <col collapsed="false" customWidth="true" hidden="false" outlineLevel="0" max="25" min="25" style="0" width="11"/>
    <col collapsed="false" customWidth="true" hidden="false" outlineLevel="0" max="26" min="26" style="0" width="9"/>
    <col collapsed="false" customWidth="true" hidden="false" outlineLevel="0" max="30" min="27" style="0" width="10"/>
    <col collapsed="false" customWidth="true" hidden="false" outlineLevel="0" max="31" min="31" style="0" width="12"/>
    <col collapsed="false" customWidth="true" hidden="false" outlineLevel="0" max="32" min="32" style="0" width="2"/>
    <col collapsed="false" customWidth="true" hidden="false" outlineLevel="0" max="33" min="33" style="0" width="46"/>
    <col collapsed="false" customWidth="true" hidden="false" outlineLevel="0" max="34" min="34" style="0" width="11"/>
    <col collapsed="false" customWidth="true" hidden="false" outlineLevel="0" max="35" min="35" style="0" width="12"/>
  </cols>
  <sheetData>
    <row r="1" customFormat="false" ht="18.55" hidden="false" customHeight="false" outlineLevel="0" collapsed="false">
      <c r="A1" s="1" t="s">
        <v>1479</v>
      </c>
    </row>
    <row r="2" customFormat="false" ht="15" hidden="false" customHeight="false" outlineLevel="0" collapsed="false">
      <c r="A2" s="2" t="s">
        <v>1480</v>
      </c>
    </row>
    <row r="3" customFormat="false" ht="30" hidden="false" customHeight="true" outlineLevel="0" collapsed="false">
      <c r="A3" s="8" t="s">
        <v>1481</v>
      </c>
      <c r="B3" s="8"/>
      <c r="C3" s="8"/>
      <c r="D3" s="8"/>
      <c r="E3" s="8"/>
      <c r="F3" s="8"/>
      <c r="G3" s="8"/>
      <c r="H3" s="8"/>
      <c r="I3" s="8"/>
      <c r="AG3" s="84" t="s">
        <v>1482</v>
      </c>
    </row>
    <row r="4" customFormat="false" ht="30" hidden="false" customHeight="true" outlineLevel="0" collapsed="false">
      <c r="A4" s="12" t="s">
        <v>366</v>
      </c>
      <c r="B4" s="12" t="s">
        <v>1483</v>
      </c>
      <c r="C4" s="12" t="s">
        <v>1484</v>
      </c>
      <c r="D4" s="12" t="s">
        <v>1485</v>
      </c>
      <c r="E4" s="12" t="s">
        <v>1486</v>
      </c>
      <c r="F4" s="12" t="s">
        <v>1487</v>
      </c>
      <c r="G4" s="12" t="s">
        <v>1488</v>
      </c>
      <c r="H4" s="12" t="s">
        <v>1489</v>
      </c>
      <c r="I4" s="12" t="s">
        <v>1490</v>
      </c>
      <c r="T4" s="12" t="s">
        <v>1491</v>
      </c>
      <c r="U4" s="12" t="s">
        <v>1492</v>
      </c>
      <c r="V4" s="12" t="s">
        <v>1493</v>
      </c>
      <c r="W4" s="12" t="s">
        <v>1494</v>
      </c>
      <c r="X4" s="12" t="s">
        <v>1495</v>
      </c>
      <c r="Y4" s="12" t="s">
        <v>1496</v>
      </c>
      <c r="Z4" s="12" t="s">
        <v>1497</v>
      </c>
      <c r="AA4" s="12" t="s">
        <v>1498</v>
      </c>
      <c r="AB4" s="12" t="s">
        <v>1499</v>
      </c>
      <c r="AC4" s="12" t="s">
        <v>1500</v>
      </c>
      <c r="AD4" s="12" t="s">
        <v>1501</v>
      </c>
      <c r="AE4" s="12" t="s">
        <v>1502</v>
      </c>
      <c r="AG4" s="12" t="s">
        <v>231</v>
      </c>
      <c r="AH4" s="12" t="s">
        <v>1503</v>
      </c>
      <c r="AI4" s="12" t="s">
        <v>1504</v>
      </c>
    </row>
    <row r="5" customFormat="false" ht="15" hidden="false" customHeight="false" outlineLevel="0" collapsed="false">
      <c r="A5" s="102"/>
      <c r="B5" s="103"/>
      <c r="C5" s="103"/>
      <c r="D5" s="103"/>
      <c r="E5" s="103"/>
      <c r="F5" s="103"/>
      <c r="G5" s="103"/>
      <c r="H5" s="103"/>
      <c r="I5" s="103"/>
      <c r="T5" s="30" t="str">
        <f aca="false">IF(C5="","",IF(COUNTIFS(C$5:C5,C5,E$5:E5,E5)=1,1,0))</f>
        <v/>
      </c>
      <c r="U5" s="30" t="n">
        <f aca="false">IF(C5="",0,IF(AND(B5="brand",E5="budget_probe",N(F5)&gt;=Inputs!$C$124,H5="Y"),1,0))</f>
        <v>0</v>
      </c>
      <c r="V5" s="30" t="n">
        <f aca="false">IF(U5=1,IF(COUNTIFS(C$5:C5,C5,U$5:U5,1)=1,1,0),0)</f>
        <v>0</v>
      </c>
      <c r="W5" s="30" t="n">
        <f aca="false">IF(C5="",0,IF(AND(B5="office",E5="budget_probe",N(F5)&gt;=Inputs!$C$139),1,0))</f>
        <v>0</v>
      </c>
      <c r="X5" s="30" t="n">
        <f aca="false">IF(W5=1,IF(COUNTIFS(C$5:C5,C5,W$5:W5,1)=1,1,0),0)</f>
        <v>0</v>
      </c>
      <c r="Y5" s="30" t="n">
        <f aca="false">IF(C5="",0,IF(AND(B5="brand",E5="renewal_answer",TRIM(G5)="yes",N(F5)&gt;=Inputs!$C$135),1,0))</f>
        <v>0</v>
      </c>
      <c r="Z5" s="30" t="n">
        <f aca="false">IF(Y5=1,IF(COUNTIFS(C$5:C5,C5,Y$5:Y5,1)=1,1,0),0)</f>
        <v>0</v>
      </c>
      <c r="AA5" s="30" t="n">
        <f aca="false">IF(AND(E5="budget_probe",ISNUMBER(F5),I5&lt;&gt;Lists!$X$4),1,0)</f>
        <v>0</v>
      </c>
      <c r="AB5" s="30" t="str">
        <f aca="false">IF(AND(B5="office",AA5=1,COUNTIFS(C$5:C5,C5,AA$5:AA5,1)=1),F5,"")</f>
        <v/>
      </c>
      <c r="AC5" s="30" t="str">
        <f aca="false">IF(AND(B5="brand",AA5=1,COUNTIFS(C$5:C5,C5,AA$5:AA5,1)=1),F5,"")</f>
        <v/>
      </c>
      <c r="AD5" s="30" t="str">
        <f aca="false">IF(AND(B5="brand",E5="budget_probe",ISNUMBER(F5),I5=Lists!$X$4),IF(COUNTIFS(C$5:C5,C5,E$5:E5,"budget_probe",I$5:I5,Lists!$X$4)=1,F5,""),"")</f>
        <v/>
      </c>
      <c r="AE5" s="30" t="n">
        <f aca="false">IF(AND(B5="brand",E5="paid",ISNUMBER(F5)),IF(AND(SUMIFS(F$5:F5,B$5:B5,"brand",C$5:C5,C5,E$5:E5,"paid")&gt;=Inputs!$C$44,SUMIFS(F$5:F5,B$5:B5,"brand",C$5:C5,C5,E$5:E5,"paid")-F5&lt;Inputs!$C$44),1,0),0)</f>
        <v>0</v>
      </c>
      <c r="AG5" s="7" t="s">
        <v>1505</v>
      </c>
      <c r="AH5" s="22" t="n">
        <f aca="false">SUMIFS(Pipeline!$T$5:$T$1004,Pipeline!$B$5:$B$1004,"office",Pipeline!$E$5:$E$1004,"conversation",Pipeline!$A$5:$A$1004,"&lt;="&amp;Inputs!$C$11)</f>
        <v>0</v>
      </c>
      <c r="AI5" s="18" t="n">
        <f aca="false">Inputs!$C$11</f>
        <v>46339</v>
      </c>
    </row>
    <row r="6" customFormat="false" ht="15" hidden="false" customHeight="false" outlineLevel="0" collapsed="false">
      <c r="A6" s="102"/>
      <c r="B6" s="103"/>
      <c r="C6" s="103"/>
      <c r="D6" s="103"/>
      <c r="E6" s="103"/>
      <c r="F6" s="103"/>
      <c r="G6" s="103"/>
      <c r="H6" s="103"/>
      <c r="I6" s="103"/>
      <c r="T6" s="30" t="str">
        <f aca="false">IF(C6="","",IF(COUNTIFS(C$5:C6,C6,E$5:E6,E6)=1,1,0))</f>
        <v/>
      </c>
      <c r="U6" s="30" t="n">
        <f aca="false">IF(C6="",0,IF(AND(B6="brand",E6="budget_probe",N(F6)&gt;=Inputs!$C$124,H6="Y"),1,0))</f>
        <v>0</v>
      </c>
      <c r="V6" s="30" t="n">
        <f aca="false">IF(U6=1,IF(COUNTIFS(C$5:C6,C6,U$5:U6,1)=1,1,0),0)</f>
        <v>0</v>
      </c>
      <c r="W6" s="30" t="n">
        <f aca="false">IF(C6="",0,IF(AND(B6="office",E6="budget_probe",N(F6)&gt;=Inputs!$C$139),1,0))</f>
        <v>0</v>
      </c>
      <c r="X6" s="30" t="n">
        <f aca="false">IF(W6=1,IF(COUNTIFS(C$5:C6,C6,W$5:W6,1)=1,1,0),0)</f>
        <v>0</v>
      </c>
      <c r="Y6" s="30" t="n">
        <f aca="false">IF(C6="",0,IF(AND(B6="brand",E6="renewal_answer",TRIM(G6)="yes",N(F6)&gt;=Inputs!$C$135),1,0))</f>
        <v>0</v>
      </c>
      <c r="Z6" s="30" t="n">
        <f aca="false">IF(Y6=1,IF(COUNTIFS(C$5:C6,C6,Y$5:Y6,1)=1,1,0),0)</f>
        <v>0</v>
      </c>
      <c r="AA6" s="30" t="n">
        <f aca="false">IF(AND(E6="budget_probe",ISNUMBER(F6),I6&lt;&gt;Lists!$X$4),1,0)</f>
        <v>0</v>
      </c>
      <c r="AB6" s="30" t="str">
        <f aca="false">IF(AND(B6="office",AA6=1,COUNTIFS(C$5:C6,C6,AA$5:AA6,1)=1),F6,"")</f>
        <v/>
      </c>
      <c r="AC6" s="30" t="str">
        <f aca="false">IF(AND(B6="brand",AA6=1,COUNTIFS(C$5:C6,C6,AA$5:AA6,1)=1),F6,"")</f>
        <v/>
      </c>
      <c r="AD6" s="30" t="str">
        <f aca="false">IF(AND(B6="brand",E6="budget_probe",ISNUMBER(F6),I6=Lists!$X$4),IF(COUNTIFS(C$5:C6,C6,E$5:E6,"budget_probe",I$5:I6,Lists!$X$4)=1,F6,""),"")</f>
        <v/>
      </c>
      <c r="AE6" s="30" t="n">
        <f aca="false">IF(AND(B6="brand",E6="paid",ISNUMBER(F6)),IF(AND(SUMIFS(F$5:F6,B$5:B6,"brand",C$5:C6,C6,E$5:E6,"paid")&gt;=Inputs!$C$44,SUMIFS(F$5:F6,B$5:B6,"brand",C$5:C6,C6,E$5:E6,"paid")-F6&lt;Inputs!$C$44),1,0),0)</f>
        <v>0</v>
      </c>
      <c r="AG6" s="7" t="s">
        <v>1506</v>
      </c>
      <c r="AH6" s="22" t="n">
        <f aca="false">SUMIFS(Pipeline!$T$5:$T$1004,Pipeline!$B$5:$B$1004,"office",Pipeline!$E$5:$E$1004,"yes_in_principle",Pipeline!$A$5:$A$1004,"&lt;="&amp;Inputs!$C$11)</f>
        <v>0</v>
      </c>
      <c r="AI6" s="18" t="n">
        <f aca="false">Inputs!$C$11</f>
        <v>46339</v>
      </c>
    </row>
    <row r="7" customFormat="false" ht="15" hidden="false" customHeight="false" outlineLevel="0" collapsed="false">
      <c r="A7" s="102"/>
      <c r="B7" s="103"/>
      <c r="C7" s="103"/>
      <c r="D7" s="103"/>
      <c r="E7" s="103"/>
      <c r="F7" s="103"/>
      <c r="G7" s="103"/>
      <c r="H7" s="103"/>
      <c r="I7" s="103"/>
      <c r="T7" s="30" t="str">
        <f aca="false">IF(C7="","",IF(COUNTIFS(C$5:C7,C7,E$5:E7,E7)=1,1,0))</f>
        <v/>
      </c>
      <c r="U7" s="30" t="n">
        <f aca="false">IF(C7="",0,IF(AND(B7="brand",E7="budget_probe",N(F7)&gt;=Inputs!$C$124,H7="Y"),1,0))</f>
        <v>0</v>
      </c>
      <c r="V7" s="30" t="n">
        <f aca="false">IF(U7=1,IF(COUNTIFS(C$5:C7,C7,U$5:U7,1)=1,1,0),0)</f>
        <v>0</v>
      </c>
      <c r="W7" s="30" t="n">
        <f aca="false">IF(C7="",0,IF(AND(B7="office",E7="budget_probe",N(F7)&gt;=Inputs!$C$139),1,0))</f>
        <v>0</v>
      </c>
      <c r="X7" s="30" t="n">
        <f aca="false">IF(W7=1,IF(COUNTIFS(C$5:C7,C7,W$5:W7,1)=1,1,0),0)</f>
        <v>0</v>
      </c>
      <c r="Y7" s="30" t="n">
        <f aca="false">IF(C7="",0,IF(AND(B7="brand",E7="renewal_answer",TRIM(G7)="yes",N(F7)&gt;=Inputs!$C$135),1,0))</f>
        <v>0</v>
      </c>
      <c r="Z7" s="30" t="n">
        <f aca="false">IF(Y7=1,IF(COUNTIFS(C$5:C7,C7,Y$5:Y7,1)=1,1,0),0)</f>
        <v>0</v>
      </c>
      <c r="AA7" s="30" t="n">
        <f aca="false">IF(AND(E7="budget_probe",ISNUMBER(F7),I7&lt;&gt;Lists!$X$4),1,0)</f>
        <v>0</v>
      </c>
      <c r="AB7" s="30" t="str">
        <f aca="false">IF(AND(B7="office",AA7=1,COUNTIFS(C$5:C7,C7,AA$5:AA7,1)=1),F7,"")</f>
        <v/>
      </c>
      <c r="AC7" s="30" t="str">
        <f aca="false">IF(AND(B7="brand",AA7=1,COUNTIFS(C$5:C7,C7,AA$5:AA7,1)=1),F7,"")</f>
        <v/>
      </c>
      <c r="AD7" s="30" t="str">
        <f aca="false">IF(AND(B7="brand",E7="budget_probe",ISNUMBER(F7),I7=Lists!$X$4),IF(COUNTIFS(C$5:C7,C7,E$5:E7,"budget_probe",I$5:I7,Lists!$X$4)=1,F7,""),"")</f>
        <v/>
      </c>
      <c r="AE7" s="30" t="n">
        <f aca="false">IF(AND(B7="brand",E7="paid",ISNUMBER(F7)),IF(AND(SUMIFS(F$5:F7,B$5:B7,"brand",C$5:C7,C7,E$5:E7,"paid")&gt;=Inputs!$C$44,SUMIFS(F$5:F7,B$5:B7,"brand",C$5:C7,C7,E$5:E7,"paid")-F7&lt;Inputs!$C$44),1,0),0)</f>
        <v>0</v>
      </c>
      <c r="AG7" s="7" t="s">
        <v>1507</v>
      </c>
      <c r="AH7" s="22" t="n">
        <f aca="false">SUMIFS(Pipeline!$T$5:$T$1004,Pipeline!$B$5:$B$1004,"brand",Pipeline!$E$5:$E$1004,"conversation",Pipeline!$A$5:$A$1004,"&lt;="&amp;Inputs!$C$11)</f>
        <v>0</v>
      </c>
      <c r="AI7" s="18" t="n">
        <f aca="false">Inputs!$C$11</f>
        <v>46339</v>
      </c>
    </row>
    <row r="8" customFormat="false" ht="28.35" hidden="false" customHeight="false" outlineLevel="0" collapsed="false">
      <c r="A8" s="102"/>
      <c r="B8" s="103"/>
      <c r="C8" s="103"/>
      <c r="D8" s="103"/>
      <c r="E8" s="103"/>
      <c r="F8" s="103"/>
      <c r="G8" s="103"/>
      <c r="H8" s="103"/>
      <c r="I8" s="103"/>
      <c r="T8" s="30" t="str">
        <f aca="false">IF(C8="","",IF(COUNTIFS(C$5:C8,C8,E$5:E8,E8)=1,1,0))</f>
        <v/>
      </c>
      <c r="U8" s="30" t="n">
        <f aca="false">IF(C8="",0,IF(AND(B8="brand",E8="budget_probe",N(F8)&gt;=Inputs!$C$124,H8="Y"),1,0))</f>
        <v>0</v>
      </c>
      <c r="V8" s="30" t="n">
        <f aca="false">IF(U8=1,IF(COUNTIFS(C$5:C8,C8,U$5:U8,1)=1,1,0),0)</f>
        <v>0</v>
      </c>
      <c r="W8" s="30" t="n">
        <f aca="false">IF(C8="",0,IF(AND(B8="office",E8="budget_probe",N(F8)&gt;=Inputs!$C$139),1,0))</f>
        <v>0</v>
      </c>
      <c r="X8" s="30" t="n">
        <f aca="false">IF(W8=1,IF(COUNTIFS(C$5:C8,C8,W$5:W8,1)=1,1,0),0)</f>
        <v>0</v>
      </c>
      <c r="Y8" s="30" t="n">
        <f aca="false">IF(C8="",0,IF(AND(B8="brand",E8="renewal_answer",TRIM(G8)="yes",N(F8)&gt;=Inputs!$C$135),1,0))</f>
        <v>0</v>
      </c>
      <c r="Z8" s="30" t="n">
        <f aca="false">IF(Y8=1,IF(COUNTIFS(C$5:C8,C8,Y$5:Y8,1)=1,1,0),0)</f>
        <v>0</v>
      </c>
      <c r="AA8" s="30" t="n">
        <f aca="false">IF(AND(E8="budget_probe",ISNUMBER(F8),I8&lt;&gt;Lists!$X$4),1,0)</f>
        <v>0</v>
      </c>
      <c r="AB8" s="30" t="str">
        <f aca="false">IF(AND(B8="office",AA8=1,COUNTIFS(C$5:C8,C8,AA$5:AA8,1)=1),F8,"")</f>
        <v/>
      </c>
      <c r="AC8" s="30" t="str">
        <f aca="false">IF(AND(B8="brand",AA8=1,COUNTIFS(C$5:C8,C8,AA$5:AA8,1)=1),F8,"")</f>
        <v/>
      </c>
      <c r="AD8" s="30" t="str">
        <f aca="false">IF(AND(B8="brand",E8="budget_probe",ISNUMBER(F8),I8=Lists!$X$4),IF(COUNTIFS(C$5:C8,C8,E$5:E8,"budget_probe",I$5:I8,Lists!$X$4)=1,F8,""),"")</f>
        <v/>
      </c>
      <c r="AE8" s="30" t="n">
        <f aca="false">IF(AND(B8="brand",E8="paid",ISNUMBER(F8)),IF(AND(SUMIFS(F$5:F8,B$5:B8,"brand",C$5:C8,C8,E$5:E8,"paid")&gt;=Inputs!$C$44,SUMIFS(F$5:F8,B$5:B8,"brand",C$5:C8,C8,E$5:E8,"paid")-F8&lt;Inputs!$C$44),1,0),0)</f>
        <v>0</v>
      </c>
      <c r="AG8" s="7" t="s">
        <v>1508</v>
      </c>
      <c r="AH8" s="22" t="n">
        <f aca="false">SUMIFS(Pipeline!$V$5:$V$1004,Pipeline!$A$5:$A$1004,"&lt;="&amp;Inputs!$C$11)</f>
        <v>0</v>
      </c>
      <c r="AI8" s="18" t="n">
        <f aca="false">Inputs!$C$11</f>
        <v>46339</v>
      </c>
    </row>
    <row r="9" customFormat="false" ht="15" hidden="false" customHeight="false" outlineLevel="0" collapsed="false">
      <c r="A9" s="102"/>
      <c r="B9" s="103"/>
      <c r="C9" s="103"/>
      <c r="D9" s="103"/>
      <c r="E9" s="103"/>
      <c r="F9" s="103"/>
      <c r="G9" s="103"/>
      <c r="H9" s="103"/>
      <c r="I9" s="103"/>
      <c r="T9" s="30" t="str">
        <f aca="false">IF(C9="","",IF(COUNTIFS(C$5:C9,C9,E$5:E9,E9)=1,1,0))</f>
        <v/>
      </c>
      <c r="U9" s="30" t="n">
        <f aca="false">IF(C9="",0,IF(AND(B9="brand",E9="budget_probe",N(F9)&gt;=Inputs!$C$124,H9="Y"),1,0))</f>
        <v>0</v>
      </c>
      <c r="V9" s="30" t="n">
        <f aca="false">IF(U9=1,IF(COUNTIFS(C$5:C9,C9,U$5:U9,1)=1,1,0),0)</f>
        <v>0</v>
      </c>
      <c r="W9" s="30" t="n">
        <f aca="false">IF(C9="",0,IF(AND(B9="office",E9="budget_probe",N(F9)&gt;=Inputs!$C$139),1,0))</f>
        <v>0</v>
      </c>
      <c r="X9" s="30" t="n">
        <f aca="false">IF(W9=1,IF(COUNTIFS(C$5:C9,C9,W$5:W9,1)=1,1,0),0)</f>
        <v>0</v>
      </c>
      <c r="Y9" s="30" t="n">
        <f aca="false">IF(C9="",0,IF(AND(B9="brand",E9="renewal_answer",TRIM(G9)="yes",N(F9)&gt;=Inputs!$C$135),1,0))</f>
        <v>0</v>
      </c>
      <c r="Z9" s="30" t="n">
        <f aca="false">IF(Y9=1,IF(COUNTIFS(C$5:C9,C9,Y$5:Y9,1)=1,1,0),0)</f>
        <v>0</v>
      </c>
      <c r="AA9" s="30" t="n">
        <f aca="false">IF(AND(E9="budget_probe",ISNUMBER(F9),I9&lt;&gt;Lists!$X$4),1,0)</f>
        <v>0</v>
      </c>
      <c r="AB9" s="30" t="str">
        <f aca="false">IF(AND(B9="office",AA9=1,COUNTIFS(C$5:C9,C9,AA$5:AA9,1)=1),F9,"")</f>
        <v/>
      </c>
      <c r="AC9" s="30" t="str">
        <f aca="false">IF(AND(B9="brand",AA9=1,COUNTIFS(C$5:C9,C9,AA$5:AA9,1)=1),F9,"")</f>
        <v/>
      </c>
      <c r="AD9" s="30" t="str">
        <f aca="false">IF(AND(B9="brand",E9="budget_probe",ISNUMBER(F9),I9=Lists!$X$4),IF(COUNTIFS(C$5:C9,C9,E$5:E9,"budget_probe",I$5:I9,Lists!$X$4)=1,F9,""),"")</f>
        <v/>
      </c>
      <c r="AE9" s="30" t="n">
        <f aca="false">IF(AND(B9="brand",E9="paid",ISNUMBER(F9)),IF(AND(SUMIFS(F$5:F9,B$5:B9,"brand",C$5:C9,C9,E$5:E9,"paid")&gt;=Inputs!$C$44,SUMIFS(F$5:F9,B$5:B9,"brand",C$5:C9,C9,E$5:E9,"paid")-F9&lt;Inputs!$C$44),1,0),0)</f>
        <v>0</v>
      </c>
      <c r="AG9" s="7" t="s">
        <v>1509</v>
      </c>
      <c r="AH9" s="22" t="n">
        <f aca="false">SUMIFS(Pipeline!$T$5:$T$1004,Pipeline!$B$5:$B$1004,"office",Pipeline!$E$5:$E$1004,"signed",Pipeline!$A$5:$A$1004,"&lt;="&amp;Inputs!$C$12)</f>
        <v>0</v>
      </c>
      <c r="AI9" s="18" t="n">
        <f aca="false">Inputs!$C$12</f>
        <v>46367</v>
      </c>
    </row>
    <row r="10" customFormat="false" ht="28.35" hidden="false" customHeight="false" outlineLevel="0" collapsed="false">
      <c r="A10" s="102"/>
      <c r="B10" s="103"/>
      <c r="C10" s="103"/>
      <c r="D10" s="103"/>
      <c r="E10" s="103"/>
      <c r="F10" s="103"/>
      <c r="G10" s="103"/>
      <c r="H10" s="103"/>
      <c r="I10" s="103"/>
      <c r="T10" s="30" t="str">
        <f aca="false">IF(C10="","",IF(COUNTIFS(C$5:C10,C10,E$5:E10,E10)=1,1,0))</f>
        <v/>
      </c>
      <c r="U10" s="30" t="n">
        <f aca="false">IF(C10="",0,IF(AND(B10="brand",E10="budget_probe",N(F10)&gt;=Inputs!$C$124,H10="Y"),1,0))</f>
        <v>0</v>
      </c>
      <c r="V10" s="30" t="n">
        <f aca="false">IF(U10=1,IF(COUNTIFS(C$5:C10,C10,U$5:U10,1)=1,1,0),0)</f>
        <v>0</v>
      </c>
      <c r="W10" s="30" t="n">
        <f aca="false">IF(C10="",0,IF(AND(B10="office",E10="budget_probe",N(F10)&gt;=Inputs!$C$139),1,0))</f>
        <v>0</v>
      </c>
      <c r="X10" s="30" t="n">
        <f aca="false">IF(W10=1,IF(COUNTIFS(C$5:C10,C10,W$5:W10,1)=1,1,0),0)</f>
        <v>0</v>
      </c>
      <c r="Y10" s="30" t="n">
        <f aca="false">IF(C10="",0,IF(AND(B10="brand",E10="renewal_answer",TRIM(G10)="yes",N(F10)&gt;=Inputs!$C$135),1,0))</f>
        <v>0</v>
      </c>
      <c r="Z10" s="30" t="n">
        <f aca="false">IF(Y10=1,IF(COUNTIFS(C$5:C10,C10,Y$5:Y10,1)=1,1,0),0)</f>
        <v>0</v>
      </c>
      <c r="AA10" s="30" t="n">
        <f aca="false">IF(AND(E10="budget_probe",ISNUMBER(F10),I10&lt;&gt;Lists!$X$4),1,0)</f>
        <v>0</v>
      </c>
      <c r="AB10" s="30" t="str">
        <f aca="false">IF(AND(B10="office",AA10=1,COUNTIFS(C$5:C10,C10,AA$5:AA10,1)=1),F10,"")</f>
        <v/>
      </c>
      <c r="AC10" s="30" t="str">
        <f aca="false">IF(AND(B10="brand",AA10=1,COUNTIFS(C$5:C10,C10,AA$5:AA10,1)=1),F10,"")</f>
        <v/>
      </c>
      <c r="AD10" s="30" t="str">
        <f aca="false">IF(AND(B10="brand",E10="budget_probe",ISNUMBER(F10),I10=Lists!$X$4),IF(COUNTIFS(C$5:C10,C10,E$5:E10,"budget_probe",I$5:I10,Lists!$X$4)=1,F10,""),"")</f>
        <v/>
      </c>
      <c r="AE10" s="30" t="n">
        <f aca="false">IF(AND(B10="brand",E10="paid",ISNUMBER(F10)),IF(AND(SUMIFS(F$5:F10,B$5:B10,"brand",C$5:C10,C10,E$5:E10,"paid")&gt;=Inputs!$C$44,SUMIFS(F$5:F10,B$5:B10,"brand",C$5:C10,C10,E$5:E10,"paid")-F10&lt;Inputs!$C$44),1,0),0)</f>
        <v>0</v>
      </c>
      <c r="AG10" s="7" t="s">
        <v>1510</v>
      </c>
      <c r="AH10" s="22" t="n">
        <f aca="false">SUMIFS(Pipeline!$F$5:$F$1004,Pipeline!$B$5:$B$1004,"office",Pipeline!$E$5:$E$1004,"signed",Pipeline!$T$5:$T$1004,1,Pipeline!$A$5:$A$1004,"&lt;="&amp;Inputs!$C$12)</f>
        <v>0</v>
      </c>
      <c r="AI10" s="18" t="n">
        <f aca="false">Inputs!$C$12</f>
        <v>46367</v>
      </c>
    </row>
    <row r="11" customFormat="false" ht="28.35" hidden="false" customHeight="false" outlineLevel="0" collapsed="false">
      <c r="A11" s="102"/>
      <c r="B11" s="103"/>
      <c r="C11" s="103"/>
      <c r="D11" s="103"/>
      <c r="E11" s="103"/>
      <c r="F11" s="103"/>
      <c r="G11" s="103"/>
      <c r="H11" s="103"/>
      <c r="I11" s="103"/>
      <c r="T11" s="30" t="str">
        <f aca="false">IF(C11="","",IF(COUNTIFS(C$5:C11,C11,E$5:E11,E11)=1,1,0))</f>
        <v/>
      </c>
      <c r="U11" s="30" t="n">
        <f aca="false">IF(C11="",0,IF(AND(B11="brand",E11="budget_probe",N(F11)&gt;=Inputs!$C$124,H11="Y"),1,0))</f>
        <v>0</v>
      </c>
      <c r="V11" s="30" t="n">
        <f aca="false">IF(U11=1,IF(COUNTIFS(C$5:C11,C11,U$5:U11,1)=1,1,0),0)</f>
        <v>0</v>
      </c>
      <c r="W11" s="30" t="n">
        <f aca="false">IF(C11="",0,IF(AND(B11="office",E11="budget_probe",N(F11)&gt;=Inputs!$C$139),1,0))</f>
        <v>0</v>
      </c>
      <c r="X11" s="30" t="n">
        <f aca="false">IF(W11=1,IF(COUNTIFS(C$5:C11,C11,W$5:W11,1)=1,1,0),0)</f>
        <v>0</v>
      </c>
      <c r="Y11" s="30" t="n">
        <f aca="false">IF(C11="",0,IF(AND(B11="brand",E11="renewal_answer",TRIM(G11)="yes",N(F11)&gt;=Inputs!$C$135),1,0))</f>
        <v>0</v>
      </c>
      <c r="Z11" s="30" t="n">
        <f aca="false">IF(Y11=1,IF(COUNTIFS(C$5:C11,C11,Y$5:Y11,1)=1,1,0),0)</f>
        <v>0</v>
      </c>
      <c r="AA11" s="30" t="n">
        <f aca="false">IF(AND(E11="budget_probe",ISNUMBER(F11),I11&lt;&gt;Lists!$X$4),1,0)</f>
        <v>0</v>
      </c>
      <c r="AB11" s="30" t="str">
        <f aca="false">IF(AND(B11="office",AA11=1,COUNTIFS(C$5:C11,C11,AA$5:AA11,1)=1),F11,"")</f>
        <v/>
      </c>
      <c r="AC11" s="30" t="str">
        <f aca="false">IF(AND(B11="brand",AA11=1,COUNTIFS(C$5:C11,C11,AA$5:AA11,1)=1),F11,"")</f>
        <v/>
      </c>
      <c r="AD11" s="30" t="str">
        <f aca="false">IF(AND(B11="brand",E11="budget_probe",ISNUMBER(F11),I11=Lists!$X$4),IF(COUNTIFS(C$5:C11,C11,E$5:E11,"budget_probe",I$5:I11,Lists!$X$4)=1,F11,""),"")</f>
        <v/>
      </c>
      <c r="AE11" s="30" t="n">
        <f aca="false">IF(AND(B11="brand",E11="paid",ISNUMBER(F11)),IF(AND(SUMIFS(F$5:F11,B$5:B11,"brand",C$5:C11,C11,E$5:E11,"paid")&gt;=Inputs!$C$44,SUMIFS(F$5:F11,B$5:B11,"brand",C$5:C11,C11,E$5:E11,"paid")-F11&lt;Inputs!$C$44),1,0),0)</f>
        <v>0</v>
      </c>
      <c r="AG11" s="7" t="s">
        <v>1511</v>
      </c>
      <c r="AH11" s="22" t="n">
        <f aca="false">SUMIFS(Pipeline!$AE$5:$AE$1004,Pipeline!$A$5:$A$1004,"&lt;="&amp;Inputs!$C$12)</f>
        <v>0</v>
      </c>
      <c r="AI11" s="18" t="n">
        <f aca="false">Inputs!$C$12</f>
        <v>46367</v>
      </c>
    </row>
    <row r="12" customFormat="false" ht="28.35" hidden="false" customHeight="false" outlineLevel="0" collapsed="false">
      <c r="A12" s="102"/>
      <c r="B12" s="103"/>
      <c r="C12" s="103"/>
      <c r="D12" s="103"/>
      <c r="E12" s="103"/>
      <c r="F12" s="103"/>
      <c r="G12" s="103"/>
      <c r="H12" s="103"/>
      <c r="I12" s="103"/>
      <c r="T12" s="30" t="str">
        <f aca="false">IF(C12="","",IF(COUNTIFS(C$5:C12,C12,E$5:E12,E12)=1,1,0))</f>
        <v/>
      </c>
      <c r="U12" s="30" t="n">
        <f aca="false">IF(C12="",0,IF(AND(B12="brand",E12="budget_probe",N(F12)&gt;=Inputs!$C$124,H12="Y"),1,0))</f>
        <v>0</v>
      </c>
      <c r="V12" s="30" t="n">
        <f aca="false">IF(U12=1,IF(COUNTIFS(C$5:C12,C12,U$5:U12,1)=1,1,0),0)</f>
        <v>0</v>
      </c>
      <c r="W12" s="30" t="n">
        <f aca="false">IF(C12="",0,IF(AND(B12="office",E12="budget_probe",N(F12)&gt;=Inputs!$C$139),1,0))</f>
        <v>0</v>
      </c>
      <c r="X12" s="30" t="n">
        <f aca="false">IF(W12=1,IF(COUNTIFS(C$5:C12,C12,W$5:W12,1)=1,1,0),0)</f>
        <v>0</v>
      </c>
      <c r="Y12" s="30" t="n">
        <f aca="false">IF(C12="",0,IF(AND(B12="brand",E12="renewal_answer",TRIM(G12)="yes",N(F12)&gt;=Inputs!$C$135),1,0))</f>
        <v>0</v>
      </c>
      <c r="Z12" s="30" t="n">
        <f aca="false">IF(Y12=1,IF(COUNTIFS(C$5:C12,C12,Y$5:Y12,1)=1,1,0),0)</f>
        <v>0</v>
      </c>
      <c r="AA12" s="30" t="n">
        <f aca="false">IF(AND(E12="budget_probe",ISNUMBER(F12),I12&lt;&gt;Lists!$X$4),1,0)</f>
        <v>0</v>
      </c>
      <c r="AB12" s="30" t="str">
        <f aca="false">IF(AND(B12="office",AA12=1,COUNTIFS(C$5:C12,C12,AA$5:AA12,1)=1),F12,"")</f>
        <v/>
      </c>
      <c r="AC12" s="30" t="str">
        <f aca="false">IF(AND(B12="brand",AA12=1,COUNTIFS(C$5:C12,C12,AA$5:AA12,1)=1),F12,"")</f>
        <v/>
      </c>
      <c r="AD12" s="30" t="str">
        <f aca="false">IF(AND(B12="brand",E12="budget_probe",ISNUMBER(F12),I12=Lists!$X$4),IF(COUNTIFS(C$5:C12,C12,E$5:E12,"budget_probe",I$5:I12,Lists!$X$4)=1,F12,""),"")</f>
        <v/>
      </c>
      <c r="AE12" s="30" t="n">
        <f aca="false">IF(AND(B12="brand",E12="paid",ISNUMBER(F12)),IF(AND(SUMIFS(F$5:F12,B$5:B12,"brand",C$5:C12,C12,E$5:E12,"paid")&gt;=Inputs!$C$44,SUMIFS(F$5:F12,B$5:B12,"brand",C$5:C12,C12,E$5:E12,"paid")-F12&lt;Inputs!$C$44),1,0),0)</f>
        <v>0</v>
      </c>
      <c r="AG12" s="7" t="s">
        <v>1512</v>
      </c>
      <c r="AH12" s="22" t="n">
        <f aca="false">SUMIFS(Pipeline!$Z$5:$Z$1004,Pipeline!$A$5:$A$1004,"&lt;="&amp;Inputs!$C$14)</f>
        <v>0</v>
      </c>
      <c r="AI12" s="18" t="n">
        <f aca="false">Inputs!$C$14</f>
        <v>46458</v>
      </c>
    </row>
    <row r="13" customFormat="false" ht="15" hidden="false" customHeight="false" outlineLevel="0" collapsed="false">
      <c r="A13" s="102"/>
      <c r="B13" s="103"/>
      <c r="C13" s="103"/>
      <c r="D13" s="103"/>
      <c r="E13" s="103"/>
      <c r="F13" s="103"/>
      <c r="G13" s="103"/>
      <c r="H13" s="103"/>
      <c r="I13" s="103"/>
      <c r="T13" s="30" t="str">
        <f aca="false">IF(C13="","",IF(COUNTIFS(C$5:C13,C13,E$5:E13,E13)=1,1,0))</f>
        <v/>
      </c>
      <c r="U13" s="30" t="n">
        <f aca="false">IF(C13="",0,IF(AND(B13="brand",E13="budget_probe",N(F13)&gt;=Inputs!$C$124,H13="Y"),1,0))</f>
        <v>0</v>
      </c>
      <c r="V13" s="30" t="n">
        <f aca="false">IF(U13=1,IF(COUNTIFS(C$5:C13,C13,U$5:U13,1)=1,1,0),0)</f>
        <v>0</v>
      </c>
      <c r="W13" s="30" t="n">
        <f aca="false">IF(C13="",0,IF(AND(B13="office",E13="budget_probe",N(F13)&gt;=Inputs!$C$139),1,0))</f>
        <v>0</v>
      </c>
      <c r="X13" s="30" t="n">
        <f aca="false">IF(W13=1,IF(COUNTIFS(C$5:C13,C13,W$5:W13,1)=1,1,0),0)</f>
        <v>0</v>
      </c>
      <c r="Y13" s="30" t="n">
        <f aca="false">IF(C13="",0,IF(AND(B13="brand",E13="renewal_answer",TRIM(G13)="yes",N(F13)&gt;=Inputs!$C$135),1,0))</f>
        <v>0</v>
      </c>
      <c r="Z13" s="30" t="n">
        <f aca="false">IF(Y13=1,IF(COUNTIFS(C$5:C13,C13,Y$5:Y13,1)=1,1,0),0)</f>
        <v>0</v>
      </c>
      <c r="AA13" s="30" t="n">
        <f aca="false">IF(AND(E13="budget_probe",ISNUMBER(F13),I13&lt;&gt;Lists!$X$4),1,0)</f>
        <v>0</v>
      </c>
      <c r="AB13" s="30" t="str">
        <f aca="false">IF(AND(B13="office",AA13=1,COUNTIFS(C$5:C13,C13,AA$5:AA13,1)=1),F13,"")</f>
        <v/>
      </c>
      <c r="AC13" s="30" t="str">
        <f aca="false">IF(AND(B13="brand",AA13=1,COUNTIFS(C$5:C13,C13,AA$5:AA13,1)=1),F13,"")</f>
        <v/>
      </c>
      <c r="AD13" s="30" t="str">
        <f aca="false">IF(AND(B13="brand",E13="budget_probe",ISNUMBER(F13),I13=Lists!$X$4),IF(COUNTIFS(C$5:C13,C13,E$5:E13,"budget_probe",I$5:I13,Lists!$X$4)=1,F13,""),"")</f>
        <v/>
      </c>
      <c r="AE13" s="30" t="n">
        <f aca="false">IF(AND(B13="brand",E13="paid",ISNUMBER(F13)),IF(AND(SUMIFS(F$5:F13,B$5:B13,"brand",C$5:C13,C13,E$5:E13,"paid")&gt;=Inputs!$C$44,SUMIFS(F$5:F13,B$5:B13,"brand",C$5:C13,C13,E$5:E13,"paid")-F13&lt;Inputs!$C$44),1,0),0)</f>
        <v>0</v>
      </c>
      <c r="AG13" s="7" t="s">
        <v>1513</v>
      </c>
      <c r="AH13" s="22" t="n">
        <f aca="false">SUMIFS(Pipeline!$X$5:$X$1004,Pipeline!$A$5:$A$1004,"&lt;="&amp;Inputs!$C$17)</f>
        <v>0</v>
      </c>
      <c r="AI13" s="18" t="n">
        <f aca="false">Inputs!$C$17</f>
        <v>46503</v>
      </c>
    </row>
    <row r="14" customFormat="false" ht="15" hidden="false" customHeight="false" outlineLevel="0" collapsed="false">
      <c r="A14" s="102"/>
      <c r="B14" s="103"/>
      <c r="C14" s="103"/>
      <c r="D14" s="103"/>
      <c r="E14" s="103"/>
      <c r="F14" s="103"/>
      <c r="G14" s="103"/>
      <c r="H14" s="103"/>
      <c r="I14" s="103"/>
      <c r="T14" s="30" t="str">
        <f aca="false">IF(C14="","",IF(COUNTIFS(C$5:C14,C14,E$5:E14,E14)=1,1,0))</f>
        <v/>
      </c>
      <c r="U14" s="30" t="n">
        <f aca="false">IF(C14="",0,IF(AND(B14="brand",E14="budget_probe",N(F14)&gt;=Inputs!$C$124,H14="Y"),1,0))</f>
        <v>0</v>
      </c>
      <c r="V14" s="30" t="n">
        <f aca="false">IF(U14=1,IF(COUNTIFS(C$5:C14,C14,U$5:U14,1)=1,1,0),0)</f>
        <v>0</v>
      </c>
      <c r="W14" s="30" t="n">
        <f aca="false">IF(C14="",0,IF(AND(B14="office",E14="budget_probe",N(F14)&gt;=Inputs!$C$139),1,0))</f>
        <v>0</v>
      </c>
      <c r="X14" s="30" t="n">
        <f aca="false">IF(W14=1,IF(COUNTIFS(C$5:C14,C14,W$5:W14,1)=1,1,0),0)</f>
        <v>0</v>
      </c>
      <c r="Y14" s="30" t="n">
        <f aca="false">IF(C14="",0,IF(AND(B14="brand",E14="renewal_answer",TRIM(G14)="yes",N(F14)&gt;=Inputs!$C$135),1,0))</f>
        <v>0</v>
      </c>
      <c r="Z14" s="30" t="n">
        <f aca="false">IF(Y14=1,IF(COUNTIFS(C$5:C14,C14,Y$5:Y14,1)=1,1,0),0)</f>
        <v>0</v>
      </c>
      <c r="AA14" s="30" t="n">
        <f aca="false">IF(AND(E14="budget_probe",ISNUMBER(F14),I14&lt;&gt;Lists!$X$4),1,0)</f>
        <v>0</v>
      </c>
      <c r="AB14" s="30" t="str">
        <f aca="false">IF(AND(B14="office",AA14=1,COUNTIFS(C$5:C14,C14,AA$5:AA14,1)=1),F14,"")</f>
        <v/>
      </c>
      <c r="AC14" s="30" t="str">
        <f aca="false">IF(AND(B14="brand",AA14=1,COUNTIFS(C$5:C14,C14,AA$5:AA14,1)=1),F14,"")</f>
        <v/>
      </c>
      <c r="AD14" s="30" t="str">
        <f aca="false">IF(AND(B14="brand",E14="budget_probe",ISNUMBER(F14),I14=Lists!$X$4),IF(COUNTIFS(C$5:C14,C14,E$5:E14,"budget_probe",I$5:I14,Lists!$X$4)=1,F14,""),"")</f>
        <v/>
      </c>
      <c r="AE14" s="30" t="n">
        <f aca="false">IF(AND(B14="brand",E14="paid",ISNUMBER(F14)),IF(AND(SUMIFS(F$5:F14,B$5:B14,"brand",C$5:C14,C14,E$5:E14,"paid")&gt;=Inputs!$C$44,SUMIFS(F$5:F14,B$5:B14,"brand",C$5:C14,C14,E$5:E14,"paid")-F14&lt;Inputs!$C$44),1,0),0)</f>
        <v>0</v>
      </c>
      <c r="AG14" s="7" t="s">
        <v>1514</v>
      </c>
      <c r="AH14" s="22" t="n">
        <f aca="false">SUMIFS(Pipeline!$T$5:$T$1004,Pipeline!$B$5:$B$1004,"office",Pipeline!$E$5:$E$1004,"signed",Pipeline!$A$5:$A$1004,"&lt;="&amp;Inputs!$C$17)</f>
        <v>0</v>
      </c>
      <c r="AI14" s="18" t="n">
        <f aca="false">Inputs!$C$17</f>
        <v>46503</v>
      </c>
    </row>
    <row r="15" customFormat="false" ht="15" hidden="false" customHeight="false" outlineLevel="0" collapsed="false">
      <c r="A15" s="102"/>
      <c r="B15" s="103"/>
      <c r="C15" s="103"/>
      <c r="D15" s="103"/>
      <c r="E15" s="103"/>
      <c r="F15" s="103"/>
      <c r="G15" s="103"/>
      <c r="H15" s="103"/>
      <c r="I15" s="103"/>
      <c r="T15" s="30" t="str">
        <f aca="false">IF(C15="","",IF(COUNTIFS(C$5:C15,C15,E$5:E15,E15)=1,1,0))</f>
        <v/>
      </c>
      <c r="U15" s="30" t="n">
        <f aca="false">IF(C15="",0,IF(AND(B15="brand",E15="budget_probe",N(F15)&gt;=Inputs!$C$124,H15="Y"),1,0))</f>
        <v>0</v>
      </c>
      <c r="V15" s="30" t="n">
        <f aca="false">IF(U15=1,IF(COUNTIFS(C$5:C15,C15,U$5:U15,1)=1,1,0),0)</f>
        <v>0</v>
      </c>
      <c r="W15" s="30" t="n">
        <f aca="false">IF(C15="",0,IF(AND(B15="office",E15="budget_probe",N(F15)&gt;=Inputs!$C$139),1,0))</f>
        <v>0</v>
      </c>
      <c r="X15" s="30" t="n">
        <f aca="false">IF(W15=1,IF(COUNTIFS(C$5:C15,C15,W$5:W15,1)=1,1,0),0)</f>
        <v>0</v>
      </c>
      <c r="Y15" s="30" t="n">
        <f aca="false">IF(C15="",0,IF(AND(B15="brand",E15="renewal_answer",TRIM(G15)="yes",N(F15)&gt;=Inputs!$C$135),1,0))</f>
        <v>0</v>
      </c>
      <c r="Z15" s="30" t="n">
        <f aca="false">IF(Y15=1,IF(COUNTIFS(C$5:C15,C15,Y$5:Y15,1)=1,1,0),0)</f>
        <v>0</v>
      </c>
      <c r="AA15" s="30" t="n">
        <f aca="false">IF(AND(E15="budget_probe",ISNUMBER(F15),I15&lt;&gt;Lists!$X$4),1,0)</f>
        <v>0</v>
      </c>
      <c r="AB15" s="30" t="str">
        <f aca="false">IF(AND(B15="office",AA15=1,COUNTIFS(C$5:C15,C15,AA$5:AA15,1)=1),F15,"")</f>
        <v/>
      </c>
      <c r="AC15" s="30" t="str">
        <f aca="false">IF(AND(B15="brand",AA15=1,COUNTIFS(C$5:C15,C15,AA$5:AA15,1)=1),F15,"")</f>
        <v/>
      </c>
      <c r="AD15" s="30" t="str">
        <f aca="false">IF(AND(B15="brand",E15="budget_probe",ISNUMBER(F15),I15=Lists!$X$4),IF(COUNTIFS(C$5:C15,C15,E$5:E15,"budget_probe",I$5:I15,Lists!$X$4)=1,F15,""),"")</f>
        <v/>
      </c>
      <c r="AE15" s="30" t="n">
        <f aca="false">IF(AND(B15="brand",E15="paid",ISNUMBER(F15)),IF(AND(SUMIFS(F$5:F15,B$5:B15,"brand",C$5:C15,C15,E$5:E15,"paid")&gt;=Inputs!$C$44,SUMIFS(F$5:F15,B$5:B15,"brand",C$5:C15,C15,E$5:E15,"paid")-F15&lt;Inputs!$C$44),1,0),0)</f>
        <v>0</v>
      </c>
      <c r="AG15" s="7" t="s">
        <v>1515</v>
      </c>
      <c r="AH15" s="22" t="n">
        <f aca="false">SUMIFS(Pipeline!$T$5:$T$1004,Pipeline!$B$5:$B$1004,"office",Pipeline!$E$5:$E$1004,"opt_out",Pipeline!$A$5:$A$1004,"&lt;="&amp;Inputs!$C$17)</f>
        <v>0</v>
      </c>
      <c r="AI15" s="18" t="n">
        <f aca="false">Inputs!$C$17</f>
        <v>46503</v>
      </c>
    </row>
    <row r="16" customFormat="false" ht="15" hidden="false" customHeight="false" outlineLevel="0" collapsed="false">
      <c r="A16" s="102"/>
      <c r="B16" s="103"/>
      <c r="C16" s="103"/>
      <c r="D16" s="103"/>
      <c r="E16" s="103"/>
      <c r="F16" s="103"/>
      <c r="G16" s="103"/>
      <c r="H16" s="103"/>
      <c r="I16" s="103"/>
      <c r="T16" s="30" t="str">
        <f aca="false">IF(C16="","",IF(COUNTIFS(C$5:C16,C16,E$5:E16,E16)=1,1,0))</f>
        <v/>
      </c>
      <c r="U16" s="30" t="n">
        <f aca="false">IF(C16="",0,IF(AND(B16="brand",E16="budget_probe",N(F16)&gt;=Inputs!$C$124,H16="Y"),1,0))</f>
        <v>0</v>
      </c>
      <c r="V16" s="30" t="n">
        <f aca="false">IF(U16=1,IF(COUNTIFS(C$5:C16,C16,U$5:U16,1)=1,1,0),0)</f>
        <v>0</v>
      </c>
      <c r="W16" s="30" t="n">
        <f aca="false">IF(C16="",0,IF(AND(B16="office",E16="budget_probe",N(F16)&gt;=Inputs!$C$139),1,0))</f>
        <v>0</v>
      </c>
      <c r="X16" s="30" t="n">
        <f aca="false">IF(W16=1,IF(COUNTIFS(C$5:C16,C16,W$5:W16,1)=1,1,0),0)</f>
        <v>0</v>
      </c>
      <c r="Y16" s="30" t="n">
        <f aca="false">IF(C16="",0,IF(AND(B16="brand",E16="renewal_answer",TRIM(G16)="yes",N(F16)&gt;=Inputs!$C$135),1,0))</f>
        <v>0</v>
      </c>
      <c r="Z16" s="30" t="n">
        <f aca="false">IF(Y16=1,IF(COUNTIFS(C$5:C16,C16,Y$5:Y16,1)=1,1,0),0)</f>
        <v>0</v>
      </c>
      <c r="AA16" s="30" t="n">
        <f aca="false">IF(AND(E16="budget_probe",ISNUMBER(F16),I16&lt;&gt;Lists!$X$4),1,0)</f>
        <v>0</v>
      </c>
      <c r="AB16" s="30" t="str">
        <f aca="false">IF(AND(B16="office",AA16=1,COUNTIFS(C$5:C16,C16,AA$5:AA16,1)=1),F16,"")</f>
        <v/>
      </c>
      <c r="AC16" s="30" t="str">
        <f aca="false">IF(AND(B16="brand",AA16=1,COUNTIFS(C$5:C16,C16,AA$5:AA16,1)=1),F16,"")</f>
        <v/>
      </c>
      <c r="AD16" s="30" t="str">
        <f aca="false">IF(AND(B16="brand",E16="budget_probe",ISNUMBER(F16),I16=Lists!$X$4),IF(COUNTIFS(C$5:C16,C16,E$5:E16,"budget_probe",I$5:I16,Lists!$X$4)=1,F16,""),"")</f>
        <v/>
      </c>
      <c r="AE16" s="30" t="n">
        <f aca="false">IF(AND(B16="brand",E16="paid",ISNUMBER(F16)),IF(AND(SUMIFS(F$5:F16,B$5:B16,"brand",C$5:C16,C16,E$5:E16,"paid")&gt;=Inputs!$C$44,SUMIFS(F$5:F16,B$5:B16,"brand",C$5:C16,C16,E$5:E16,"paid")-F16&lt;Inputs!$C$44),1,0),0)</f>
        <v>0</v>
      </c>
      <c r="AG16" s="7" t="s">
        <v>1516</v>
      </c>
      <c r="AH16" s="22" t="n">
        <f aca="false">SUMIFS(Pipeline!$T$5:$T$1004,Pipeline!$B$5:$B$1004,"brand",Pipeline!$E$5:$E$1004,"paid",Pipeline!$A$5:$A$1004,"&lt;="&amp;Inputs!$C$17)</f>
        <v>0</v>
      </c>
      <c r="AI16" s="18" t="n">
        <f aca="false">Inputs!$C$17</f>
        <v>46503</v>
      </c>
    </row>
    <row r="17" customFormat="false" ht="15" hidden="false" customHeight="false" outlineLevel="0" collapsed="false">
      <c r="A17" s="102"/>
      <c r="B17" s="103"/>
      <c r="C17" s="103"/>
      <c r="D17" s="103"/>
      <c r="E17" s="103"/>
      <c r="F17" s="103"/>
      <c r="G17" s="103"/>
      <c r="H17" s="103"/>
      <c r="I17" s="103"/>
      <c r="T17" s="30" t="str">
        <f aca="false">IF(C17="","",IF(COUNTIFS(C$5:C17,C17,E$5:E17,E17)=1,1,0))</f>
        <v/>
      </c>
      <c r="U17" s="30" t="n">
        <f aca="false">IF(C17="",0,IF(AND(B17="brand",E17="budget_probe",N(F17)&gt;=Inputs!$C$124,H17="Y"),1,0))</f>
        <v>0</v>
      </c>
      <c r="V17" s="30" t="n">
        <f aca="false">IF(U17=1,IF(COUNTIFS(C$5:C17,C17,U$5:U17,1)=1,1,0),0)</f>
        <v>0</v>
      </c>
      <c r="W17" s="30" t="n">
        <f aca="false">IF(C17="",0,IF(AND(B17="office",E17="budget_probe",N(F17)&gt;=Inputs!$C$139),1,0))</f>
        <v>0</v>
      </c>
      <c r="X17" s="30" t="n">
        <f aca="false">IF(W17=1,IF(COUNTIFS(C$5:C17,C17,W$5:W17,1)=1,1,0),0)</f>
        <v>0</v>
      </c>
      <c r="Y17" s="30" t="n">
        <f aca="false">IF(C17="",0,IF(AND(B17="brand",E17="renewal_answer",TRIM(G17)="yes",N(F17)&gt;=Inputs!$C$135),1,0))</f>
        <v>0</v>
      </c>
      <c r="Z17" s="30" t="n">
        <f aca="false">IF(Y17=1,IF(COUNTIFS(C$5:C17,C17,Y$5:Y17,1)=1,1,0),0)</f>
        <v>0</v>
      </c>
      <c r="AA17" s="30" t="n">
        <f aca="false">IF(AND(E17="budget_probe",ISNUMBER(F17),I17&lt;&gt;Lists!$X$4),1,0)</f>
        <v>0</v>
      </c>
      <c r="AB17" s="30" t="str">
        <f aca="false">IF(AND(B17="office",AA17=1,COUNTIFS(C$5:C17,C17,AA$5:AA17,1)=1),F17,"")</f>
        <v/>
      </c>
      <c r="AC17" s="30" t="str">
        <f aca="false">IF(AND(B17="brand",AA17=1,COUNTIFS(C$5:C17,C17,AA$5:AA17,1)=1),F17,"")</f>
        <v/>
      </c>
      <c r="AD17" s="30" t="str">
        <f aca="false">IF(AND(B17="brand",E17="budget_probe",ISNUMBER(F17),I17=Lists!$X$4),IF(COUNTIFS(C$5:C17,C17,E$5:E17,"budget_probe",I$5:I17,Lists!$X$4)=1,F17,""),"")</f>
        <v/>
      </c>
      <c r="AE17" s="30" t="n">
        <f aca="false">IF(AND(B17="brand",E17="paid",ISNUMBER(F17)),IF(AND(SUMIFS(F$5:F17,B$5:B17,"brand",C$5:C17,C17,E$5:E17,"paid")&gt;=Inputs!$C$44,SUMIFS(F$5:F17,B$5:B17,"brand",C$5:C17,C17,E$5:E17,"paid")-F17&lt;Inputs!$C$44),1,0),0)</f>
        <v>0</v>
      </c>
      <c r="AG17" s="7" t="s">
        <v>1517</v>
      </c>
      <c r="AH17" s="22" t="n">
        <f aca="false">SUMIFS(Pipeline!$T$5:$T$1004,Pipeline!$B$5:$B$1004,"brand",Pipeline!$E$5:$E$1004,"conversation",Pipeline!$A$5:$A$1004,"&lt;="&amp;Inputs!$C$17)</f>
        <v>0</v>
      </c>
      <c r="AI17" s="18" t="n">
        <f aca="false">Inputs!$C$17</f>
        <v>46503</v>
      </c>
    </row>
    <row r="18" customFormat="false" ht="28.35" hidden="false" customHeight="false" outlineLevel="0" collapsed="false">
      <c r="A18" s="102"/>
      <c r="B18" s="103"/>
      <c r="C18" s="103"/>
      <c r="D18" s="103"/>
      <c r="E18" s="103"/>
      <c r="F18" s="103"/>
      <c r="G18" s="103"/>
      <c r="H18" s="103"/>
      <c r="I18" s="103"/>
      <c r="T18" s="30" t="str">
        <f aca="false">IF(C18="","",IF(COUNTIFS(C$5:C18,C18,E$5:E18,E18)=1,1,0))</f>
        <v/>
      </c>
      <c r="U18" s="30" t="n">
        <f aca="false">IF(C18="",0,IF(AND(B18="brand",E18="budget_probe",N(F18)&gt;=Inputs!$C$124,H18="Y"),1,0))</f>
        <v>0</v>
      </c>
      <c r="V18" s="30" t="n">
        <f aca="false">IF(U18=1,IF(COUNTIFS(C$5:C18,C18,U$5:U18,1)=1,1,0),0)</f>
        <v>0</v>
      </c>
      <c r="W18" s="30" t="n">
        <f aca="false">IF(C18="",0,IF(AND(B18="office",E18="budget_probe",N(F18)&gt;=Inputs!$C$139),1,0))</f>
        <v>0</v>
      </c>
      <c r="X18" s="30" t="n">
        <f aca="false">IF(W18=1,IF(COUNTIFS(C$5:C18,C18,W$5:W18,1)=1,1,0),0)</f>
        <v>0</v>
      </c>
      <c r="Y18" s="30" t="n">
        <f aca="false">IF(C18="",0,IF(AND(B18="brand",E18="renewal_answer",TRIM(G18)="yes",N(F18)&gt;=Inputs!$C$135),1,0))</f>
        <v>0</v>
      </c>
      <c r="Z18" s="30" t="n">
        <f aca="false">IF(Y18=1,IF(COUNTIFS(C$5:C18,C18,Y$5:Y18,1)=1,1,0),0)</f>
        <v>0</v>
      </c>
      <c r="AA18" s="30" t="n">
        <f aca="false">IF(AND(E18="budget_probe",ISNUMBER(F18),I18&lt;&gt;Lists!$X$4),1,0)</f>
        <v>0</v>
      </c>
      <c r="AB18" s="30" t="str">
        <f aca="false">IF(AND(B18="office",AA18=1,COUNTIFS(C$5:C18,C18,AA$5:AA18,1)=1),F18,"")</f>
        <v/>
      </c>
      <c r="AC18" s="30" t="str">
        <f aca="false">IF(AND(B18="brand",AA18=1,COUNTIFS(C$5:C18,C18,AA$5:AA18,1)=1),F18,"")</f>
        <v/>
      </c>
      <c r="AD18" s="30" t="str">
        <f aca="false">IF(AND(B18="brand",E18="budget_probe",ISNUMBER(F18),I18=Lists!$X$4),IF(COUNTIFS(C$5:C18,C18,E$5:E18,"budget_probe",I$5:I18,Lists!$X$4)=1,F18,""),"")</f>
        <v/>
      </c>
      <c r="AE18" s="30" t="n">
        <f aca="false">IF(AND(B18="brand",E18="paid",ISNUMBER(F18)),IF(AND(SUMIFS(F$5:F18,B$5:B18,"brand",C$5:C18,C18,E$5:E18,"paid")&gt;=Inputs!$C$44,SUMIFS(F$5:F18,B$5:B18,"brand",C$5:C18,C18,E$5:E18,"paid")-F18&lt;Inputs!$C$44),1,0),0)</f>
        <v>0</v>
      </c>
      <c r="AG18" s="7" t="s">
        <v>1518</v>
      </c>
      <c r="AH18" s="22" t="n">
        <f aca="false">COUNTIFS(Pipeline!$E$5:$E$1004,"outreach_sent",Pipeline!$A$5:$A$1004,"&lt;="&amp;Inputs!$C$17)</f>
        <v>0</v>
      </c>
      <c r="AI18" s="18" t="n">
        <f aca="false">Inputs!$C$17</f>
        <v>46503</v>
      </c>
    </row>
    <row r="19" customFormat="false" ht="28.35" hidden="false" customHeight="false" outlineLevel="0" collapsed="false">
      <c r="A19" s="102"/>
      <c r="B19" s="103"/>
      <c r="C19" s="103"/>
      <c r="D19" s="103"/>
      <c r="E19" s="103"/>
      <c r="F19" s="103"/>
      <c r="G19" s="103"/>
      <c r="H19" s="103"/>
      <c r="I19" s="103"/>
      <c r="T19" s="30" t="str">
        <f aca="false">IF(C19="","",IF(COUNTIFS(C$5:C19,C19,E$5:E19,E19)=1,1,0))</f>
        <v/>
      </c>
      <c r="U19" s="30" t="n">
        <f aca="false">IF(C19="",0,IF(AND(B19="brand",E19="budget_probe",N(F19)&gt;=Inputs!$C$124,H19="Y"),1,0))</f>
        <v>0</v>
      </c>
      <c r="V19" s="30" t="n">
        <f aca="false">IF(U19=1,IF(COUNTIFS(C$5:C19,C19,U$5:U19,1)=1,1,0),0)</f>
        <v>0</v>
      </c>
      <c r="W19" s="30" t="n">
        <f aca="false">IF(C19="",0,IF(AND(B19="office",E19="budget_probe",N(F19)&gt;=Inputs!$C$139),1,0))</f>
        <v>0</v>
      </c>
      <c r="X19" s="30" t="n">
        <f aca="false">IF(W19=1,IF(COUNTIFS(C$5:C19,C19,W$5:W19,1)=1,1,0),0)</f>
        <v>0</v>
      </c>
      <c r="Y19" s="30" t="n">
        <f aca="false">IF(C19="",0,IF(AND(B19="brand",E19="renewal_answer",TRIM(G19)="yes",N(F19)&gt;=Inputs!$C$135),1,0))</f>
        <v>0</v>
      </c>
      <c r="Z19" s="30" t="n">
        <f aca="false">IF(Y19=1,IF(COUNTIFS(C$5:C19,C19,Y$5:Y19,1)=1,1,0),0)</f>
        <v>0</v>
      </c>
      <c r="AA19" s="30" t="n">
        <f aca="false">IF(AND(E19="budget_probe",ISNUMBER(F19),I19&lt;&gt;Lists!$X$4),1,0)</f>
        <v>0</v>
      </c>
      <c r="AB19" s="30" t="str">
        <f aca="false">IF(AND(B19="office",AA19=1,COUNTIFS(C$5:C19,C19,AA$5:AA19,1)=1),F19,"")</f>
        <v/>
      </c>
      <c r="AC19" s="30" t="str">
        <f aca="false">IF(AND(B19="brand",AA19=1,COUNTIFS(C$5:C19,C19,AA$5:AA19,1)=1),F19,"")</f>
        <v/>
      </c>
      <c r="AD19" s="30" t="str">
        <f aca="false">IF(AND(B19="brand",E19="budget_probe",ISNUMBER(F19),I19=Lists!$X$4),IF(COUNTIFS(C$5:C19,C19,E$5:E19,"budget_probe",I$5:I19,Lists!$X$4)=1,F19,""),"")</f>
        <v/>
      </c>
      <c r="AE19" s="30" t="n">
        <f aca="false">IF(AND(B19="brand",E19="paid",ISNUMBER(F19)),IF(AND(SUMIFS(F$5:F19,B$5:B19,"brand",C$5:C19,C19,E$5:E19,"paid")&gt;=Inputs!$C$44,SUMIFS(F$5:F19,B$5:B19,"brand",C$5:C19,C19,E$5:E19,"paid")-F19&lt;Inputs!$C$44),1,0),0)</f>
        <v>0</v>
      </c>
      <c r="AG19" s="7" t="s">
        <v>1519</v>
      </c>
      <c r="AH19" s="37" t="str">
        <f aca="false">IF(COUNT(Pipeline!$AB$5:$AB$1004)&gt;0,MEDIAN(Pipeline!$AB$5:$AB$1004),"")</f>
        <v/>
      </c>
      <c r="AI19" s="18"/>
    </row>
    <row r="20" customFormat="false" ht="28.35" hidden="false" customHeight="false" outlineLevel="0" collapsed="false">
      <c r="A20" s="102"/>
      <c r="B20" s="103"/>
      <c r="C20" s="103"/>
      <c r="D20" s="103"/>
      <c r="E20" s="103"/>
      <c r="F20" s="103"/>
      <c r="G20" s="103"/>
      <c r="H20" s="103"/>
      <c r="I20" s="103"/>
      <c r="T20" s="30" t="str">
        <f aca="false">IF(C20="","",IF(COUNTIFS(C$5:C20,C20,E$5:E20,E20)=1,1,0))</f>
        <v/>
      </c>
      <c r="U20" s="30" t="n">
        <f aca="false">IF(C20="",0,IF(AND(B20="brand",E20="budget_probe",N(F20)&gt;=Inputs!$C$124,H20="Y"),1,0))</f>
        <v>0</v>
      </c>
      <c r="V20" s="30" t="n">
        <f aca="false">IF(U20=1,IF(COUNTIFS(C$5:C20,C20,U$5:U20,1)=1,1,0),0)</f>
        <v>0</v>
      </c>
      <c r="W20" s="30" t="n">
        <f aca="false">IF(C20="",0,IF(AND(B20="office",E20="budget_probe",N(F20)&gt;=Inputs!$C$139),1,0))</f>
        <v>0</v>
      </c>
      <c r="X20" s="30" t="n">
        <f aca="false">IF(W20=1,IF(COUNTIFS(C$5:C20,C20,W$5:W20,1)=1,1,0),0)</f>
        <v>0</v>
      </c>
      <c r="Y20" s="30" t="n">
        <f aca="false">IF(C20="",0,IF(AND(B20="brand",E20="renewal_answer",TRIM(G20)="yes",N(F20)&gt;=Inputs!$C$135),1,0))</f>
        <v>0</v>
      </c>
      <c r="Z20" s="30" t="n">
        <f aca="false">IF(Y20=1,IF(COUNTIFS(C$5:C20,C20,Y$5:Y20,1)=1,1,0),0)</f>
        <v>0</v>
      </c>
      <c r="AA20" s="30" t="n">
        <f aca="false">IF(AND(E20="budget_probe",ISNUMBER(F20),I20&lt;&gt;Lists!$X$4),1,0)</f>
        <v>0</v>
      </c>
      <c r="AB20" s="30" t="str">
        <f aca="false">IF(AND(B20="office",AA20=1,COUNTIFS(C$5:C20,C20,AA$5:AA20,1)=1),F20,"")</f>
        <v/>
      </c>
      <c r="AC20" s="30" t="str">
        <f aca="false">IF(AND(B20="brand",AA20=1,COUNTIFS(C$5:C20,C20,AA$5:AA20,1)=1),F20,"")</f>
        <v/>
      </c>
      <c r="AD20" s="30" t="str">
        <f aca="false">IF(AND(B20="brand",E20="budget_probe",ISNUMBER(F20),I20=Lists!$X$4),IF(COUNTIFS(C$5:C20,C20,E$5:E20,"budget_probe",I$5:I20,Lists!$X$4)=1,F20,""),"")</f>
        <v/>
      </c>
      <c r="AE20" s="30" t="n">
        <f aca="false">IF(AND(B20="brand",E20="paid",ISNUMBER(F20)),IF(AND(SUMIFS(F$5:F20,B$5:B20,"brand",C$5:C20,C20,E$5:E20,"paid")&gt;=Inputs!$C$44,SUMIFS(F$5:F20,B$5:B20,"brand",C$5:C20,C20,E$5:E20,"paid")-F20&lt;Inputs!$C$44),1,0),0)</f>
        <v>0</v>
      </c>
      <c r="AG20" s="7" t="s">
        <v>1520</v>
      </c>
      <c r="AH20" s="37" t="str">
        <f aca="false">IF(COUNT(Pipeline!$AC$5:$AC$1004)&gt;0,MEDIAN(Pipeline!$AC$5:$AC$1004),"")</f>
        <v/>
      </c>
      <c r="AI20" s="18"/>
    </row>
    <row r="21" customFormat="false" ht="28.35" hidden="false" customHeight="false" outlineLevel="0" collapsed="false">
      <c r="A21" s="102"/>
      <c r="B21" s="103"/>
      <c r="C21" s="103"/>
      <c r="D21" s="103"/>
      <c r="E21" s="103"/>
      <c r="F21" s="103"/>
      <c r="G21" s="103"/>
      <c r="H21" s="103"/>
      <c r="I21" s="103"/>
      <c r="T21" s="30" t="str">
        <f aca="false">IF(C21="","",IF(COUNTIFS(C$5:C21,C21,E$5:E21,E21)=1,1,0))</f>
        <v/>
      </c>
      <c r="U21" s="30" t="n">
        <f aca="false">IF(C21="",0,IF(AND(B21="brand",E21="budget_probe",N(F21)&gt;=Inputs!$C$124,H21="Y"),1,0))</f>
        <v>0</v>
      </c>
      <c r="V21" s="30" t="n">
        <f aca="false">IF(U21=1,IF(COUNTIFS(C$5:C21,C21,U$5:U21,1)=1,1,0),0)</f>
        <v>0</v>
      </c>
      <c r="W21" s="30" t="n">
        <f aca="false">IF(C21="",0,IF(AND(B21="office",E21="budget_probe",N(F21)&gt;=Inputs!$C$139),1,0))</f>
        <v>0</v>
      </c>
      <c r="X21" s="30" t="n">
        <f aca="false">IF(W21=1,IF(COUNTIFS(C$5:C21,C21,W$5:W21,1)=1,1,0),0)</f>
        <v>0</v>
      </c>
      <c r="Y21" s="30" t="n">
        <f aca="false">IF(C21="",0,IF(AND(B21="brand",E21="renewal_answer",TRIM(G21)="yes",N(F21)&gt;=Inputs!$C$135),1,0))</f>
        <v>0</v>
      </c>
      <c r="Z21" s="30" t="n">
        <f aca="false">IF(Y21=1,IF(COUNTIFS(C$5:C21,C21,Y$5:Y21,1)=1,1,0),0)</f>
        <v>0</v>
      </c>
      <c r="AA21" s="30" t="n">
        <f aca="false">IF(AND(E21="budget_probe",ISNUMBER(F21),I21&lt;&gt;Lists!$X$4),1,0)</f>
        <v>0</v>
      </c>
      <c r="AB21" s="30" t="str">
        <f aca="false">IF(AND(B21="office",AA21=1,COUNTIFS(C$5:C21,C21,AA$5:AA21,1)=1),F21,"")</f>
        <v/>
      </c>
      <c r="AC21" s="30" t="str">
        <f aca="false">IF(AND(B21="brand",AA21=1,COUNTIFS(C$5:C21,C21,AA$5:AA21,1)=1),F21,"")</f>
        <v/>
      </c>
      <c r="AD21" s="30" t="str">
        <f aca="false">IF(AND(B21="brand",E21="budget_probe",ISNUMBER(F21),I21=Lists!$X$4),IF(COUNTIFS(C$5:C21,C21,E$5:E21,"budget_probe",I$5:I21,Lists!$X$4)=1,F21,""),"")</f>
        <v/>
      </c>
      <c r="AE21" s="30" t="n">
        <f aca="false">IF(AND(B21="brand",E21="paid",ISNUMBER(F21)),IF(AND(SUMIFS(F$5:F21,B$5:B21,"brand",C$5:C21,C21,E$5:E21,"paid")&gt;=Inputs!$C$44,SUMIFS(F$5:F21,B$5:B21,"brand",C$5:C21,C21,E$5:E21,"paid")-F21&lt;Inputs!$C$44),1,0),0)</f>
        <v>0</v>
      </c>
      <c r="AG21" s="7" t="s">
        <v>1521</v>
      </c>
      <c r="AH21" s="37" t="str">
        <f aca="false">IF(COUNT(Pipeline!$AD$5:$AD$1004)&gt;0,MEDIAN(Pipeline!$AD$5:$AD$1004),"")</f>
        <v/>
      </c>
      <c r="AI21" s="18"/>
    </row>
    <row r="22" customFormat="false" ht="15" hidden="false" customHeight="false" outlineLevel="0" collapsed="false">
      <c r="A22" s="102"/>
      <c r="B22" s="103"/>
      <c r="C22" s="103"/>
      <c r="D22" s="103"/>
      <c r="E22" s="103"/>
      <c r="F22" s="103"/>
      <c r="G22" s="103"/>
      <c r="H22" s="103"/>
      <c r="I22" s="103"/>
      <c r="T22" s="30" t="str">
        <f aca="false">IF(C22="","",IF(COUNTIFS(C$5:C22,C22,E$5:E22,E22)=1,1,0))</f>
        <v/>
      </c>
      <c r="U22" s="30" t="n">
        <f aca="false">IF(C22="",0,IF(AND(B22="brand",E22="budget_probe",N(F22)&gt;=Inputs!$C$124,H22="Y"),1,0))</f>
        <v>0</v>
      </c>
      <c r="V22" s="30" t="n">
        <f aca="false">IF(U22=1,IF(COUNTIFS(C$5:C22,C22,U$5:U22,1)=1,1,0),0)</f>
        <v>0</v>
      </c>
      <c r="W22" s="30" t="n">
        <f aca="false">IF(C22="",0,IF(AND(B22="office",E22="budget_probe",N(F22)&gt;=Inputs!$C$139),1,0))</f>
        <v>0</v>
      </c>
      <c r="X22" s="30" t="n">
        <f aca="false">IF(W22=1,IF(COUNTIFS(C$5:C22,C22,W$5:W22,1)=1,1,0),0)</f>
        <v>0</v>
      </c>
      <c r="Y22" s="30" t="n">
        <f aca="false">IF(C22="",0,IF(AND(B22="brand",E22="renewal_answer",TRIM(G22)="yes",N(F22)&gt;=Inputs!$C$135),1,0))</f>
        <v>0</v>
      </c>
      <c r="Z22" s="30" t="n">
        <f aca="false">IF(Y22=1,IF(COUNTIFS(C$5:C22,C22,Y$5:Y22,1)=1,1,0),0)</f>
        <v>0</v>
      </c>
      <c r="AA22" s="30" t="n">
        <f aca="false">IF(AND(E22="budget_probe",ISNUMBER(F22),I22&lt;&gt;Lists!$X$4),1,0)</f>
        <v>0</v>
      </c>
      <c r="AB22" s="30" t="str">
        <f aca="false">IF(AND(B22="office",AA22=1,COUNTIFS(C$5:C22,C22,AA$5:AA22,1)=1),F22,"")</f>
        <v/>
      </c>
      <c r="AC22" s="30" t="str">
        <f aca="false">IF(AND(B22="brand",AA22=1,COUNTIFS(C$5:C22,C22,AA$5:AA22,1)=1),F22,"")</f>
        <v/>
      </c>
      <c r="AD22" s="30" t="str">
        <f aca="false">IF(AND(B22="brand",E22="budget_probe",ISNUMBER(F22),I22=Lists!$X$4),IF(COUNTIFS(C$5:C22,C22,E$5:E22,"budget_probe",I$5:I22,Lists!$X$4)=1,F22,""),"")</f>
        <v/>
      </c>
      <c r="AE22" s="30" t="n">
        <f aca="false">IF(AND(B22="brand",E22="paid",ISNUMBER(F22)),IF(AND(SUMIFS(F$5:F22,B$5:B22,"brand",C$5:C22,C22,E$5:E22,"paid")&gt;=Inputs!$C$44,SUMIFS(F$5:F22,B$5:B22,"brand",C$5:C22,C22,E$5:E22,"paid")-F22&lt;Inputs!$C$44),1,0),0)</f>
        <v>0</v>
      </c>
      <c r="AG22" s="7" t="s">
        <v>1522</v>
      </c>
      <c r="AH22" s="22" t="n">
        <f aca="false">COUNTA(Pipeline!$E$5:$E$1004)-SUMPRODUCT(COUNTIF(Pipeline!$E$5:$E$1004,Lists!$H$4:$H$11))</f>
        <v>0</v>
      </c>
      <c r="AI22" s="18"/>
    </row>
    <row r="23" customFormat="false" ht="15" hidden="false" customHeight="false" outlineLevel="0" collapsed="false">
      <c r="A23" s="102"/>
      <c r="B23" s="103"/>
      <c r="C23" s="103"/>
      <c r="D23" s="103"/>
      <c r="E23" s="103"/>
      <c r="F23" s="103"/>
      <c r="G23" s="103"/>
      <c r="H23" s="103"/>
      <c r="I23" s="103"/>
      <c r="T23" s="30" t="str">
        <f aca="false">IF(C23="","",IF(COUNTIFS(C$5:C23,C23,E$5:E23,E23)=1,1,0))</f>
        <v/>
      </c>
      <c r="U23" s="30" t="n">
        <f aca="false">IF(C23="",0,IF(AND(B23="brand",E23="budget_probe",N(F23)&gt;=Inputs!$C$124,H23="Y"),1,0))</f>
        <v>0</v>
      </c>
      <c r="V23" s="30" t="n">
        <f aca="false">IF(U23=1,IF(COUNTIFS(C$5:C23,C23,U$5:U23,1)=1,1,0),0)</f>
        <v>0</v>
      </c>
      <c r="W23" s="30" t="n">
        <f aca="false">IF(C23="",0,IF(AND(B23="office",E23="budget_probe",N(F23)&gt;=Inputs!$C$139),1,0))</f>
        <v>0</v>
      </c>
      <c r="X23" s="30" t="n">
        <f aca="false">IF(W23=1,IF(COUNTIFS(C$5:C23,C23,W$5:W23,1)=1,1,0),0)</f>
        <v>0</v>
      </c>
      <c r="Y23" s="30" t="n">
        <f aca="false">IF(C23="",0,IF(AND(B23="brand",E23="renewal_answer",TRIM(G23)="yes",N(F23)&gt;=Inputs!$C$135),1,0))</f>
        <v>0</v>
      </c>
      <c r="Z23" s="30" t="n">
        <f aca="false">IF(Y23=1,IF(COUNTIFS(C$5:C23,C23,Y$5:Y23,1)=1,1,0),0)</f>
        <v>0</v>
      </c>
      <c r="AA23" s="30" t="n">
        <f aca="false">IF(AND(E23="budget_probe",ISNUMBER(F23),I23&lt;&gt;Lists!$X$4),1,0)</f>
        <v>0</v>
      </c>
      <c r="AB23" s="30" t="str">
        <f aca="false">IF(AND(B23="office",AA23=1,COUNTIFS(C$5:C23,C23,AA$5:AA23,1)=1),F23,"")</f>
        <v/>
      </c>
      <c r="AC23" s="30" t="str">
        <f aca="false">IF(AND(B23="brand",AA23=1,COUNTIFS(C$5:C23,C23,AA$5:AA23,1)=1),F23,"")</f>
        <v/>
      </c>
      <c r="AD23" s="30" t="str">
        <f aca="false">IF(AND(B23="brand",E23="budget_probe",ISNUMBER(F23),I23=Lists!$X$4),IF(COUNTIFS(C$5:C23,C23,E$5:E23,"budget_probe",I$5:I23,Lists!$X$4)=1,F23,""),"")</f>
        <v/>
      </c>
      <c r="AE23" s="30" t="n">
        <f aca="false">IF(AND(B23="brand",E23="paid",ISNUMBER(F23)),IF(AND(SUMIFS(F$5:F23,B$5:B23,"brand",C$5:C23,C23,E$5:E23,"paid")&gt;=Inputs!$C$44,SUMIFS(F$5:F23,B$5:B23,"brand",C$5:C23,C23,E$5:E23,"paid")-F23&lt;Inputs!$C$44),1,0),0)</f>
        <v>0</v>
      </c>
      <c r="AG23" s="7" t="s">
        <v>1523</v>
      </c>
      <c r="AH23" s="22" t="n">
        <f aca="false">COUNTA(Pipeline!$B$5:$B$1004)-SUMPRODUCT(COUNTIF(Pipeline!$B$5:$B$1004,Lists!$G$4:$G$5))</f>
        <v>0</v>
      </c>
      <c r="AI23" s="18"/>
    </row>
    <row r="24" customFormat="false" ht="15" hidden="false" customHeight="false" outlineLevel="0" collapsed="false">
      <c r="A24" s="102"/>
      <c r="B24" s="103"/>
      <c r="C24" s="103"/>
      <c r="D24" s="103"/>
      <c r="E24" s="103"/>
      <c r="F24" s="103"/>
      <c r="G24" s="103"/>
      <c r="H24" s="103"/>
      <c r="I24" s="103"/>
      <c r="T24" s="30" t="str">
        <f aca="false">IF(C24="","",IF(COUNTIFS(C$5:C24,C24,E$5:E24,E24)=1,1,0))</f>
        <v/>
      </c>
      <c r="U24" s="30" t="n">
        <f aca="false">IF(C24="",0,IF(AND(B24="brand",E24="budget_probe",N(F24)&gt;=Inputs!$C$124,H24="Y"),1,0))</f>
        <v>0</v>
      </c>
      <c r="V24" s="30" t="n">
        <f aca="false">IF(U24=1,IF(COUNTIFS(C$5:C24,C24,U$5:U24,1)=1,1,0),0)</f>
        <v>0</v>
      </c>
      <c r="W24" s="30" t="n">
        <f aca="false">IF(C24="",0,IF(AND(B24="office",E24="budget_probe",N(F24)&gt;=Inputs!$C$139),1,0))</f>
        <v>0</v>
      </c>
      <c r="X24" s="30" t="n">
        <f aca="false">IF(W24=1,IF(COUNTIFS(C$5:C24,C24,W$5:W24,1)=1,1,0),0)</f>
        <v>0</v>
      </c>
      <c r="Y24" s="30" t="n">
        <f aca="false">IF(C24="",0,IF(AND(B24="brand",E24="renewal_answer",TRIM(G24)="yes",N(F24)&gt;=Inputs!$C$135),1,0))</f>
        <v>0</v>
      </c>
      <c r="Z24" s="30" t="n">
        <f aca="false">IF(Y24=1,IF(COUNTIFS(C$5:C24,C24,Y$5:Y24,1)=1,1,0),0)</f>
        <v>0</v>
      </c>
      <c r="AA24" s="30" t="n">
        <f aca="false">IF(AND(E24="budget_probe",ISNUMBER(F24),I24&lt;&gt;Lists!$X$4),1,0)</f>
        <v>0</v>
      </c>
      <c r="AB24" s="30" t="str">
        <f aca="false">IF(AND(B24="office",AA24=1,COUNTIFS(C$5:C24,C24,AA$5:AA24,1)=1),F24,"")</f>
        <v/>
      </c>
      <c r="AC24" s="30" t="str">
        <f aca="false">IF(AND(B24="brand",AA24=1,COUNTIFS(C$5:C24,C24,AA$5:AA24,1)=1),F24,"")</f>
        <v/>
      </c>
      <c r="AD24" s="30" t="str">
        <f aca="false">IF(AND(B24="brand",E24="budget_probe",ISNUMBER(F24),I24=Lists!$X$4),IF(COUNTIFS(C$5:C24,C24,E$5:E24,"budget_probe",I$5:I24,Lists!$X$4)=1,F24,""),"")</f>
        <v/>
      </c>
      <c r="AE24" s="30" t="n">
        <f aca="false">IF(AND(B24="brand",E24="paid",ISNUMBER(F24)),IF(AND(SUMIFS(F$5:F24,B$5:B24,"brand",C$5:C24,C24,E$5:E24,"paid")&gt;=Inputs!$C$44,SUMIFS(F$5:F24,B$5:B24,"brand",C$5:C24,C24,E$5:E24,"paid")-F24&lt;Inputs!$C$44),1,0),0)</f>
        <v>0</v>
      </c>
      <c r="AG24" s="30" t="s">
        <v>1524</v>
      </c>
      <c r="AH24" s="22" t="n">
        <f aca="false">Pipeline!$AH$14-Pipeline!$AH$15</f>
        <v>0</v>
      </c>
    </row>
    <row r="25" customFormat="false" ht="15" hidden="false" customHeight="false" outlineLevel="0" collapsed="false">
      <c r="A25" s="102"/>
      <c r="B25" s="103"/>
      <c r="C25" s="103"/>
      <c r="D25" s="103"/>
      <c r="E25" s="103"/>
      <c r="F25" s="103"/>
      <c r="G25" s="103"/>
      <c r="H25" s="103"/>
      <c r="I25" s="103"/>
      <c r="T25" s="30" t="str">
        <f aca="false">IF(C25="","",IF(COUNTIFS(C$5:C25,C25,E$5:E25,E25)=1,1,0))</f>
        <v/>
      </c>
      <c r="U25" s="30" t="n">
        <f aca="false">IF(C25="",0,IF(AND(B25="brand",E25="budget_probe",N(F25)&gt;=Inputs!$C$124,H25="Y"),1,0))</f>
        <v>0</v>
      </c>
      <c r="V25" s="30" t="n">
        <f aca="false">IF(U25=1,IF(COUNTIFS(C$5:C25,C25,U$5:U25,1)=1,1,0),0)</f>
        <v>0</v>
      </c>
      <c r="W25" s="30" t="n">
        <f aca="false">IF(C25="",0,IF(AND(B25="office",E25="budget_probe",N(F25)&gt;=Inputs!$C$139),1,0))</f>
        <v>0</v>
      </c>
      <c r="X25" s="30" t="n">
        <f aca="false">IF(W25=1,IF(COUNTIFS(C$5:C25,C25,W$5:W25,1)=1,1,0),0)</f>
        <v>0</v>
      </c>
      <c r="Y25" s="30" t="n">
        <f aca="false">IF(C25="",0,IF(AND(B25="brand",E25="renewal_answer",TRIM(G25)="yes",N(F25)&gt;=Inputs!$C$135),1,0))</f>
        <v>0</v>
      </c>
      <c r="Z25" s="30" t="n">
        <f aca="false">IF(Y25=1,IF(COUNTIFS(C$5:C25,C25,Y$5:Y25,1)=1,1,0),0)</f>
        <v>0</v>
      </c>
      <c r="AA25" s="30" t="n">
        <f aca="false">IF(AND(E25="budget_probe",ISNUMBER(F25),I25&lt;&gt;Lists!$X$4),1,0)</f>
        <v>0</v>
      </c>
      <c r="AB25" s="30" t="str">
        <f aca="false">IF(AND(B25="office",AA25=1,COUNTIFS(C$5:C25,C25,AA$5:AA25,1)=1),F25,"")</f>
        <v/>
      </c>
      <c r="AC25" s="30" t="str">
        <f aca="false">IF(AND(B25="brand",AA25=1,COUNTIFS(C$5:C25,C25,AA$5:AA25,1)=1),F25,"")</f>
        <v/>
      </c>
      <c r="AD25" s="30" t="str">
        <f aca="false">IF(AND(B25="brand",E25="budget_probe",ISNUMBER(F25),I25=Lists!$X$4),IF(COUNTIFS(C$5:C25,C25,E$5:E25,"budget_probe",I$5:I25,Lists!$X$4)=1,F25,""),"")</f>
        <v/>
      </c>
      <c r="AE25" s="30" t="n">
        <f aca="false">IF(AND(B25="brand",E25="paid",ISNUMBER(F25)),IF(AND(SUMIFS(F$5:F25,B$5:B25,"brand",C$5:C25,C25,E$5:E25,"paid")&gt;=Inputs!$C$44,SUMIFS(F$5:F25,B$5:B25,"brand",C$5:C25,C25,E$5:E25,"paid")-F25&lt;Inputs!$C$44),1,0),0)</f>
        <v>0</v>
      </c>
    </row>
    <row r="26" customFormat="false" ht="15" hidden="false" customHeight="false" outlineLevel="0" collapsed="false">
      <c r="A26" s="102"/>
      <c r="B26" s="103"/>
      <c r="C26" s="103"/>
      <c r="D26" s="103"/>
      <c r="E26" s="103"/>
      <c r="F26" s="103"/>
      <c r="G26" s="103"/>
      <c r="H26" s="103"/>
      <c r="I26" s="103"/>
      <c r="T26" s="30" t="str">
        <f aca="false">IF(C26="","",IF(COUNTIFS(C$5:C26,C26,E$5:E26,E26)=1,1,0))</f>
        <v/>
      </c>
      <c r="U26" s="30" t="n">
        <f aca="false">IF(C26="",0,IF(AND(B26="brand",E26="budget_probe",N(F26)&gt;=Inputs!$C$124,H26="Y"),1,0))</f>
        <v>0</v>
      </c>
      <c r="V26" s="30" t="n">
        <f aca="false">IF(U26=1,IF(COUNTIFS(C$5:C26,C26,U$5:U26,1)=1,1,0),0)</f>
        <v>0</v>
      </c>
      <c r="W26" s="30" t="n">
        <f aca="false">IF(C26="",0,IF(AND(B26="office",E26="budget_probe",N(F26)&gt;=Inputs!$C$139),1,0))</f>
        <v>0</v>
      </c>
      <c r="X26" s="30" t="n">
        <f aca="false">IF(W26=1,IF(COUNTIFS(C$5:C26,C26,W$5:W26,1)=1,1,0),0)</f>
        <v>0</v>
      </c>
      <c r="Y26" s="30" t="n">
        <f aca="false">IF(C26="",0,IF(AND(B26="brand",E26="renewal_answer",TRIM(G26)="yes",N(F26)&gt;=Inputs!$C$135),1,0))</f>
        <v>0</v>
      </c>
      <c r="Z26" s="30" t="n">
        <f aca="false">IF(Y26=1,IF(COUNTIFS(C$5:C26,C26,Y$5:Y26,1)=1,1,0),0)</f>
        <v>0</v>
      </c>
      <c r="AA26" s="30" t="n">
        <f aca="false">IF(AND(E26="budget_probe",ISNUMBER(F26),I26&lt;&gt;Lists!$X$4),1,0)</f>
        <v>0</v>
      </c>
      <c r="AB26" s="30" t="str">
        <f aca="false">IF(AND(B26="office",AA26=1,COUNTIFS(C$5:C26,C26,AA$5:AA26,1)=1),F26,"")</f>
        <v/>
      </c>
      <c r="AC26" s="30" t="str">
        <f aca="false">IF(AND(B26="brand",AA26=1,COUNTIFS(C$5:C26,C26,AA$5:AA26,1)=1),F26,"")</f>
        <v/>
      </c>
      <c r="AD26" s="30" t="str">
        <f aca="false">IF(AND(B26="brand",E26="budget_probe",ISNUMBER(F26),I26=Lists!$X$4),IF(COUNTIFS(C$5:C26,C26,E$5:E26,"budget_probe",I$5:I26,Lists!$X$4)=1,F26,""),"")</f>
        <v/>
      </c>
      <c r="AE26" s="30" t="n">
        <f aca="false">IF(AND(B26="brand",E26="paid",ISNUMBER(F26)),IF(AND(SUMIFS(F$5:F26,B$5:B26,"brand",C$5:C26,C26,E$5:E26,"paid")&gt;=Inputs!$C$44,SUMIFS(F$5:F26,B$5:B26,"brand",C$5:C26,C26,E$5:E26,"paid")-F26&lt;Inputs!$C$44),1,0),0)</f>
        <v>0</v>
      </c>
    </row>
    <row r="27" customFormat="false" ht="15" hidden="false" customHeight="false" outlineLevel="0" collapsed="false">
      <c r="A27" s="102"/>
      <c r="B27" s="103"/>
      <c r="C27" s="103"/>
      <c r="D27" s="103"/>
      <c r="E27" s="103"/>
      <c r="F27" s="103"/>
      <c r="G27" s="103"/>
      <c r="H27" s="103"/>
      <c r="I27" s="103"/>
      <c r="T27" s="30" t="str">
        <f aca="false">IF(C27="","",IF(COUNTIFS(C$5:C27,C27,E$5:E27,E27)=1,1,0))</f>
        <v/>
      </c>
      <c r="U27" s="30" t="n">
        <f aca="false">IF(C27="",0,IF(AND(B27="brand",E27="budget_probe",N(F27)&gt;=Inputs!$C$124,H27="Y"),1,0))</f>
        <v>0</v>
      </c>
      <c r="V27" s="30" t="n">
        <f aca="false">IF(U27=1,IF(COUNTIFS(C$5:C27,C27,U$5:U27,1)=1,1,0),0)</f>
        <v>0</v>
      </c>
      <c r="W27" s="30" t="n">
        <f aca="false">IF(C27="",0,IF(AND(B27="office",E27="budget_probe",N(F27)&gt;=Inputs!$C$139),1,0))</f>
        <v>0</v>
      </c>
      <c r="X27" s="30" t="n">
        <f aca="false">IF(W27=1,IF(COUNTIFS(C$5:C27,C27,W$5:W27,1)=1,1,0),0)</f>
        <v>0</v>
      </c>
      <c r="Y27" s="30" t="n">
        <f aca="false">IF(C27="",0,IF(AND(B27="brand",E27="renewal_answer",TRIM(G27)="yes",N(F27)&gt;=Inputs!$C$135),1,0))</f>
        <v>0</v>
      </c>
      <c r="Z27" s="30" t="n">
        <f aca="false">IF(Y27=1,IF(COUNTIFS(C$5:C27,C27,Y$5:Y27,1)=1,1,0),0)</f>
        <v>0</v>
      </c>
      <c r="AA27" s="30" t="n">
        <f aca="false">IF(AND(E27="budget_probe",ISNUMBER(F27),I27&lt;&gt;Lists!$X$4),1,0)</f>
        <v>0</v>
      </c>
      <c r="AB27" s="30" t="str">
        <f aca="false">IF(AND(B27="office",AA27=1,COUNTIFS(C$5:C27,C27,AA$5:AA27,1)=1),F27,"")</f>
        <v/>
      </c>
      <c r="AC27" s="30" t="str">
        <f aca="false">IF(AND(B27="brand",AA27=1,COUNTIFS(C$5:C27,C27,AA$5:AA27,1)=1),F27,"")</f>
        <v/>
      </c>
      <c r="AD27" s="30" t="str">
        <f aca="false">IF(AND(B27="brand",E27="budget_probe",ISNUMBER(F27),I27=Lists!$X$4),IF(COUNTIFS(C$5:C27,C27,E$5:E27,"budget_probe",I$5:I27,Lists!$X$4)=1,F27,""),"")</f>
        <v/>
      </c>
      <c r="AE27" s="30" t="n">
        <f aca="false">IF(AND(B27="brand",E27="paid",ISNUMBER(F27)),IF(AND(SUMIFS(F$5:F27,B$5:B27,"brand",C$5:C27,C27,E$5:E27,"paid")&gt;=Inputs!$C$44,SUMIFS(F$5:F27,B$5:B27,"brand",C$5:C27,C27,E$5:E27,"paid")-F27&lt;Inputs!$C$44),1,0),0)</f>
        <v>0</v>
      </c>
    </row>
    <row r="28" customFormat="false" ht="15" hidden="false" customHeight="false" outlineLevel="0" collapsed="false">
      <c r="A28" s="102"/>
      <c r="B28" s="103"/>
      <c r="C28" s="103"/>
      <c r="D28" s="103"/>
      <c r="E28" s="103"/>
      <c r="F28" s="103"/>
      <c r="G28" s="103"/>
      <c r="H28" s="103"/>
      <c r="I28" s="103"/>
      <c r="T28" s="30" t="str">
        <f aca="false">IF(C28="","",IF(COUNTIFS(C$5:C28,C28,E$5:E28,E28)=1,1,0))</f>
        <v/>
      </c>
      <c r="U28" s="30" t="n">
        <f aca="false">IF(C28="",0,IF(AND(B28="brand",E28="budget_probe",N(F28)&gt;=Inputs!$C$124,H28="Y"),1,0))</f>
        <v>0</v>
      </c>
      <c r="V28" s="30" t="n">
        <f aca="false">IF(U28=1,IF(COUNTIFS(C$5:C28,C28,U$5:U28,1)=1,1,0),0)</f>
        <v>0</v>
      </c>
      <c r="W28" s="30" t="n">
        <f aca="false">IF(C28="",0,IF(AND(B28="office",E28="budget_probe",N(F28)&gt;=Inputs!$C$139),1,0))</f>
        <v>0</v>
      </c>
      <c r="X28" s="30" t="n">
        <f aca="false">IF(W28=1,IF(COUNTIFS(C$5:C28,C28,W$5:W28,1)=1,1,0),0)</f>
        <v>0</v>
      </c>
      <c r="Y28" s="30" t="n">
        <f aca="false">IF(C28="",0,IF(AND(B28="brand",E28="renewal_answer",TRIM(G28)="yes",N(F28)&gt;=Inputs!$C$135),1,0))</f>
        <v>0</v>
      </c>
      <c r="Z28" s="30" t="n">
        <f aca="false">IF(Y28=1,IF(COUNTIFS(C$5:C28,C28,Y$5:Y28,1)=1,1,0),0)</f>
        <v>0</v>
      </c>
      <c r="AA28" s="30" t="n">
        <f aca="false">IF(AND(E28="budget_probe",ISNUMBER(F28),I28&lt;&gt;Lists!$X$4),1,0)</f>
        <v>0</v>
      </c>
      <c r="AB28" s="30" t="str">
        <f aca="false">IF(AND(B28="office",AA28=1,COUNTIFS(C$5:C28,C28,AA$5:AA28,1)=1),F28,"")</f>
        <v/>
      </c>
      <c r="AC28" s="30" t="str">
        <f aca="false">IF(AND(B28="brand",AA28=1,COUNTIFS(C$5:C28,C28,AA$5:AA28,1)=1),F28,"")</f>
        <v/>
      </c>
      <c r="AD28" s="30" t="str">
        <f aca="false">IF(AND(B28="brand",E28="budget_probe",ISNUMBER(F28),I28=Lists!$X$4),IF(COUNTIFS(C$5:C28,C28,E$5:E28,"budget_probe",I$5:I28,Lists!$X$4)=1,F28,""),"")</f>
        <v/>
      </c>
      <c r="AE28" s="30" t="n">
        <f aca="false">IF(AND(B28="brand",E28="paid",ISNUMBER(F28)),IF(AND(SUMIFS(F$5:F28,B$5:B28,"brand",C$5:C28,C28,E$5:E28,"paid")&gt;=Inputs!$C$44,SUMIFS(F$5:F28,B$5:B28,"brand",C$5:C28,C28,E$5:E28,"paid")-F28&lt;Inputs!$C$44),1,0),0)</f>
        <v>0</v>
      </c>
    </row>
    <row r="29" customFormat="false" ht="15" hidden="false" customHeight="false" outlineLevel="0" collapsed="false">
      <c r="A29" s="102"/>
      <c r="B29" s="103"/>
      <c r="C29" s="103"/>
      <c r="D29" s="103"/>
      <c r="E29" s="103"/>
      <c r="F29" s="103"/>
      <c r="G29" s="103"/>
      <c r="H29" s="103"/>
      <c r="I29" s="103"/>
      <c r="T29" s="30" t="str">
        <f aca="false">IF(C29="","",IF(COUNTIFS(C$5:C29,C29,E$5:E29,E29)=1,1,0))</f>
        <v/>
      </c>
      <c r="U29" s="30" t="n">
        <f aca="false">IF(C29="",0,IF(AND(B29="brand",E29="budget_probe",N(F29)&gt;=Inputs!$C$124,H29="Y"),1,0))</f>
        <v>0</v>
      </c>
      <c r="V29" s="30" t="n">
        <f aca="false">IF(U29=1,IF(COUNTIFS(C$5:C29,C29,U$5:U29,1)=1,1,0),0)</f>
        <v>0</v>
      </c>
      <c r="W29" s="30" t="n">
        <f aca="false">IF(C29="",0,IF(AND(B29="office",E29="budget_probe",N(F29)&gt;=Inputs!$C$139),1,0))</f>
        <v>0</v>
      </c>
      <c r="X29" s="30" t="n">
        <f aca="false">IF(W29=1,IF(COUNTIFS(C$5:C29,C29,W$5:W29,1)=1,1,0),0)</f>
        <v>0</v>
      </c>
      <c r="Y29" s="30" t="n">
        <f aca="false">IF(C29="",0,IF(AND(B29="brand",E29="renewal_answer",TRIM(G29)="yes",N(F29)&gt;=Inputs!$C$135),1,0))</f>
        <v>0</v>
      </c>
      <c r="Z29" s="30" t="n">
        <f aca="false">IF(Y29=1,IF(COUNTIFS(C$5:C29,C29,Y$5:Y29,1)=1,1,0),0)</f>
        <v>0</v>
      </c>
      <c r="AA29" s="30" t="n">
        <f aca="false">IF(AND(E29="budget_probe",ISNUMBER(F29),I29&lt;&gt;Lists!$X$4),1,0)</f>
        <v>0</v>
      </c>
      <c r="AB29" s="30" t="str">
        <f aca="false">IF(AND(B29="office",AA29=1,COUNTIFS(C$5:C29,C29,AA$5:AA29,1)=1),F29,"")</f>
        <v/>
      </c>
      <c r="AC29" s="30" t="str">
        <f aca="false">IF(AND(B29="brand",AA29=1,COUNTIFS(C$5:C29,C29,AA$5:AA29,1)=1),F29,"")</f>
        <v/>
      </c>
      <c r="AD29" s="30" t="str">
        <f aca="false">IF(AND(B29="brand",E29="budget_probe",ISNUMBER(F29),I29=Lists!$X$4),IF(COUNTIFS(C$5:C29,C29,E$5:E29,"budget_probe",I$5:I29,Lists!$X$4)=1,F29,""),"")</f>
        <v/>
      </c>
      <c r="AE29" s="30" t="n">
        <f aca="false">IF(AND(B29="brand",E29="paid",ISNUMBER(F29)),IF(AND(SUMIFS(F$5:F29,B$5:B29,"brand",C$5:C29,C29,E$5:E29,"paid")&gt;=Inputs!$C$44,SUMIFS(F$5:F29,B$5:B29,"brand",C$5:C29,C29,E$5:E29,"paid")-F29&lt;Inputs!$C$44),1,0),0)</f>
        <v>0</v>
      </c>
    </row>
    <row r="30" customFormat="false" ht="15" hidden="false" customHeight="false" outlineLevel="0" collapsed="false">
      <c r="A30" s="102"/>
      <c r="B30" s="103"/>
      <c r="C30" s="103"/>
      <c r="D30" s="103"/>
      <c r="E30" s="103"/>
      <c r="F30" s="103"/>
      <c r="G30" s="103"/>
      <c r="H30" s="103"/>
      <c r="I30" s="103"/>
      <c r="T30" s="30" t="str">
        <f aca="false">IF(C30="","",IF(COUNTIFS(C$5:C30,C30,E$5:E30,E30)=1,1,0))</f>
        <v/>
      </c>
      <c r="U30" s="30" t="n">
        <f aca="false">IF(C30="",0,IF(AND(B30="brand",E30="budget_probe",N(F30)&gt;=Inputs!$C$124,H30="Y"),1,0))</f>
        <v>0</v>
      </c>
      <c r="V30" s="30" t="n">
        <f aca="false">IF(U30=1,IF(COUNTIFS(C$5:C30,C30,U$5:U30,1)=1,1,0),0)</f>
        <v>0</v>
      </c>
      <c r="W30" s="30" t="n">
        <f aca="false">IF(C30="",0,IF(AND(B30="office",E30="budget_probe",N(F30)&gt;=Inputs!$C$139),1,0))</f>
        <v>0</v>
      </c>
      <c r="X30" s="30" t="n">
        <f aca="false">IF(W30=1,IF(COUNTIFS(C$5:C30,C30,W$5:W30,1)=1,1,0),0)</f>
        <v>0</v>
      </c>
      <c r="Y30" s="30" t="n">
        <f aca="false">IF(C30="",0,IF(AND(B30="brand",E30="renewal_answer",TRIM(G30)="yes",N(F30)&gt;=Inputs!$C$135),1,0))</f>
        <v>0</v>
      </c>
      <c r="Z30" s="30" t="n">
        <f aca="false">IF(Y30=1,IF(COUNTIFS(C$5:C30,C30,Y$5:Y30,1)=1,1,0),0)</f>
        <v>0</v>
      </c>
      <c r="AA30" s="30" t="n">
        <f aca="false">IF(AND(E30="budget_probe",ISNUMBER(F30),I30&lt;&gt;Lists!$X$4),1,0)</f>
        <v>0</v>
      </c>
      <c r="AB30" s="30" t="str">
        <f aca="false">IF(AND(B30="office",AA30=1,COUNTIFS(C$5:C30,C30,AA$5:AA30,1)=1),F30,"")</f>
        <v/>
      </c>
      <c r="AC30" s="30" t="str">
        <f aca="false">IF(AND(B30="brand",AA30=1,COUNTIFS(C$5:C30,C30,AA$5:AA30,1)=1),F30,"")</f>
        <v/>
      </c>
      <c r="AD30" s="30" t="str">
        <f aca="false">IF(AND(B30="brand",E30="budget_probe",ISNUMBER(F30),I30=Lists!$X$4),IF(COUNTIFS(C$5:C30,C30,E$5:E30,"budget_probe",I$5:I30,Lists!$X$4)=1,F30,""),"")</f>
        <v/>
      </c>
      <c r="AE30" s="30" t="n">
        <f aca="false">IF(AND(B30="brand",E30="paid",ISNUMBER(F30)),IF(AND(SUMIFS(F$5:F30,B$5:B30,"brand",C$5:C30,C30,E$5:E30,"paid")&gt;=Inputs!$C$44,SUMIFS(F$5:F30,B$5:B30,"brand",C$5:C30,C30,E$5:E30,"paid")-F30&lt;Inputs!$C$44),1,0),0)</f>
        <v>0</v>
      </c>
    </row>
    <row r="31" customFormat="false" ht="15" hidden="false" customHeight="false" outlineLevel="0" collapsed="false">
      <c r="A31" s="102"/>
      <c r="B31" s="103"/>
      <c r="C31" s="103"/>
      <c r="D31" s="103"/>
      <c r="E31" s="103"/>
      <c r="F31" s="103"/>
      <c r="G31" s="103"/>
      <c r="H31" s="103"/>
      <c r="I31" s="103"/>
      <c r="T31" s="30" t="str">
        <f aca="false">IF(C31="","",IF(COUNTIFS(C$5:C31,C31,E$5:E31,E31)=1,1,0))</f>
        <v/>
      </c>
      <c r="U31" s="30" t="n">
        <f aca="false">IF(C31="",0,IF(AND(B31="brand",E31="budget_probe",N(F31)&gt;=Inputs!$C$124,H31="Y"),1,0))</f>
        <v>0</v>
      </c>
      <c r="V31" s="30" t="n">
        <f aca="false">IF(U31=1,IF(COUNTIFS(C$5:C31,C31,U$5:U31,1)=1,1,0),0)</f>
        <v>0</v>
      </c>
      <c r="W31" s="30" t="n">
        <f aca="false">IF(C31="",0,IF(AND(B31="office",E31="budget_probe",N(F31)&gt;=Inputs!$C$139),1,0))</f>
        <v>0</v>
      </c>
      <c r="X31" s="30" t="n">
        <f aca="false">IF(W31=1,IF(COUNTIFS(C$5:C31,C31,W$5:W31,1)=1,1,0),0)</f>
        <v>0</v>
      </c>
      <c r="Y31" s="30" t="n">
        <f aca="false">IF(C31="",0,IF(AND(B31="brand",E31="renewal_answer",TRIM(G31)="yes",N(F31)&gt;=Inputs!$C$135),1,0))</f>
        <v>0</v>
      </c>
      <c r="Z31" s="30" t="n">
        <f aca="false">IF(Y31=1,IF(COUNTIFS(C$5:C31,C31,Y$5:Y31,1)=1,1,0),0)</f>
        <v>0</v>
      </c>
      <c r="AA31" s="30" t="n">
        <f aca="false">IF(AND(E31="budget_probe",ISNUMBER(F31),I31&lt;&gt;Lists!$X$4),1,0)</f>
        <v>0</v>
      </c>
      <c r="AB31" s="30" t="str">
        <f aca="false">IF(AND(B31="office",AA31=1,COUNTIFS(C$5:C31,C31,AA$5:AA31,1)=1),F31,"")</f>
        <v/>
      </c>
      <c r="AC31" s="30" t="str">
        <f aca="false">IF(AND(B31="brand",AA31=1,COUNTIFS(C$5:C31,C31,AA$5:AA31,1)=1),F31,"")</f>
        <v/>
      </c>
      <c r="AD31" s="30" t="str">
        <f aca="false">IF(AND(B31="brand",E31="budget_probe",ISNUMBER(F31),I31=Lists!$X$4),IF(COUNTIFS(C$5:C31,C31,E$5:E31,"budget_probe",I$5:I31,Lists!$X$4)=1,F31,""),"")</f>
        <v/>
      </c>
      <c r="AE31" s="30" t="n">
        <f aca="false">IF(AND(B31="brand",E31="paid",ISNUMBER(F31)),IF(AND(SUMIFS(F$5:F31,B$5:B31,"brand",C$5:C31,C31,E$5:E31,"paid")&gt;=Inputs!$C$44,SUMIFS(F$5:F31,B$5:B31,"brand",C$5:C31,C31,E$5:E31,"paid")-F31&lt;Inputs!$C$44),1,0),0)</f>
        <v>0</v>
      </c>
    </row>
    <row r="32" customFormat="false" ht="15" hidden="false" customHeight="false" outlineLevel="0" collapsed="false">
      <c r="A32" s="102"/>
      <c r="B32" s="103"/>
      <c r="C32" s="103"/>
      <c r="D32" s="103"/>
      <c r="E32" s="103"/>
      <c r="F32" s="103"/>
      <c r="G32" s="103"/>
      <c r="H32" s="103"/>
      <c r="I32" s="103"/>
      <c r="T32" s="30" t="str">
        <f aca="false">IF(C32="","",IF(COUNTIFS(C$5:C32,C32,E$5:E32,E32)=1,1,0))</f>
        <v/>
      </c>
      <c r="U32" s="30" t="n">
        <f aca="false">IF(C32="",0,IF(AND(B32="brand",E32="budget_probe",N(F32)&gt;=Inputs!$C$124,H32="Y"),1,0))</f>
        <v>0</v>
      </c>
      <c r="V32" s="30" t="n">
        <f aca="false">IF(U32=1,IF(COUNTIFS(C$5:C32,C32,U$5:U32,1)=1,1,0),0)</f>
        <v>0</v>
      </c>
      <c r="W32" s="30" t="n">
        <f aca="false">IF(C32="",0,IF(AND(B32="office",E32="budget_probe",N(F32)&gt;=Inputs!$C$139),1,0))</f>
        <v>0</v>
      </c>
      <c r="X32" s="30" t="n">
        <f aca="false">IF(W32=1,IF(COUNTIFS(C$5:C32,C32,W$5:W32,1)=1,1,0),0)</f>
        <v>0</v>
      </c>
      <c r="Y32" s="30" t="n">
        <f aca="false">IF(C32="",0,IF(AND(B32="brand",E32="renewal_answer",TRIM(G32)="yes",N(F32)&gt;=Inputs!$C$135),1,0))</f>
        <v>0</v>
      </c>
      <c r="Z32" s="30" t="n">
        <f aca="false">IF(Y32=1,IF(COUNTIFS(C$5:C32,C32,Y$5:Y32,1)=1,1,0),0)</f>
        <v>0</v>
      </c>
      <c r="AA32" s="30" t="n">
        <f aca="false">IF(AND(E32="budget_probe",ISNUMBER(F32),I32&lt;&gt;Lists!$X$4),1,0)</f>
        <v>0</v>
      </c>
      <c r="AB32" s="30" t="str">
        <f aca="false">IF(AND(B32="office",AA32=1,COUNTIFS(C$5:C32,C32,AA$5:AA32,1)=1),F32,"")</f>
        <v/>
      </c>
      <c r="AC32" s="30" t="str">
        <f aca="false">IF(AND(B32="brand",AA32=1,COUNTIFS(C$5:C32,C32,AA$5:AA32,1)=1),F32,"")</f>
        <v/>
      </c>
      <c r="AD32" s="30" t="str">
        <f aca="false">IF(AND(B32="brand",E32="budget_probe",ISNUMBER(F32),I32=Lists!$X$4),IF(COUNTIFS(C$5:C32,C32,E$5:E32,"budget_probe",I$5:I32,Lists!$X$4)=1,F32,""),"")</f>
        <v/>
      </c>
      <c r="AE32" s="30" t="n">
        <f aca="false">IF(AND(B32="brand",E32="paid",ISNUMBER(F32)),IF(AND(SUMIFS(F$5:F32,B$5:B32,"brand",C$5:C32,C32,E$5:E32,"paid")&gt;=Inputs!$C$44,SUMIFS(F$5:F32,B$5:B32,"brand",C$5:C32,C32,E$5:E32,"paid")-F32&lt;Inputs!$C$44),1,0),0)</f>
        <v>0</v>
      </c>
    </row>
    <row r="33" customFormat="false" ht="15" hidden="false" customHeight="false" outlineLevel="0" collapsed="false">
      <c r="A33" s="102"/>
      <c r="B33" s="103"/>
      <c r="C33" s="103"/>
      <c r="D33" s="103"/>
      <c r="E33" s="103"/>
      <c r="F33" s="103"/>
      <c r="G33" s="103"/>
      <c r="H33" s="103"/>
      <c r="I33" s="103"/>
      <c r="T33" s="30" t="str">
        <f aca="false">IF(C33="","",IF(COUNTIFS(C$5:C33,C33,E$5:E33,E33)=1,1,0))</f>
        <v/>
      </c>
      <c r="U33" s="30" t="n">
        <f aca="false">IF(C33="",0,IF(AND(B33="brand",E33="budget_probe",N(F33)&gt;=Inputs!$C$124,H33="Y"),1,0))</f>
        <v>0</v>
      </c>
      <c r="V33" s="30" t="n">
        <f aca="false">IF(U33=1,IF(COUNTIFS(C$5:C33,C33,U$5:U33,1)=1,1,0),0)</f>
        <v>0</v>
      </c>
      <c r="W33" s="30" t="n">
        <f aca="false">IF(C33="",0,IF(AND(B33="office",E33="budget_probe",N(F33)&gt;=Inputs!$C$139),1,0))</f>
        <v>0</v>
      </c>
      <c r="X33" s="30" t="n">
        <f aca="false">IF(W33=1,IF(COUNTIFS(C$5:C33,C33,W$5:W33,1)=1,1,0),0)</f>
        <v>0</v>
      </c>
      <c r="Y33" s="30" t="n">
        <f aca="false">IF(C33="",0,IF(AND(B33="brand",E33="renewal_answer",TRIM(G33)="yes",N(F33)&gt;=Inputs!$C$135),1,0))</f>
        <v>0</v>
      </c>
      <c r="Z33" s="30" t="n">
        <f aca="false">IF(Y33=1,IF(COUNTIFS(C$5:C33,C33,Y$5:Y33,1)=1,1,0),0)</f>
        <v>0</v>
      </c>
      <c r="AA33" s="30" t="n">
        <f aca="false">IF(AND(E33="budget_probe",ISNUMBER(F33),I33&lt;&gt;Lists!$X$4),1,0)</f>
        <v>0</v>
      </c>
      <c r="AB33" s="30" t="str">
        <f aca="false">IF(AND(B33="office",AA33=1,COUNTIFS(C$5:C33,C33,AA$5:AA33,1)=1),F33,"")</f>
        <v/>
      </c>
      <c r="AC33" s="30" t="str">
        <f aca="false">IF(AND(B33="brand",AA33=1,COUNTIFS(C$5:C33,C33,AA$5:AA33,1)=1),F33,"")</f>
        <v/>
      </c>
      <c r="AD33" s="30" t="str">
        <f aca="false">IF(AND(B33="brand",E33="budget_probe",ISNUMBER(F33),I33=Lists!$X$4),IF(COUNTIFS(C$5:C33,C33,E$5:E33,"budget_probe",I$5:I33,Lists!$X$4)=1,F33,""),"")</f>
        <v/>
      </c>
      <c r="AE33" s="30" t="n">
        <f aca="false">IF(AND(B33="brand",E33="paid",ISNUMBER(F33)),IF(AND(SUMIFS(F$5:F33,B$5:B33,"brand",C$5:C33,C33,E$5:E33,"paid")&gt;=Inputs!$C$44,SUMIFS(F$5:F33,B$5:B33,"brand",C$5:C33,C33,E$5:E33,"paid")-F33&lt;Inputs!$C$44),1,0),0)</f>
        <v>0</v>
      </c>
    </row>
    <row r="34" customFormat="false" ht="15" hidden="false" customHeight="false" outlineLevel="0" collapsed="false">
      <c r="A34" s="102"/>
      <c r="B34" s="103"/>
      <c r="C34" s="103"/>
      <c r="D34" s="103"/>
      <c r="E34" s="103"/>
      <c r="F34" s="103"/>
      <c r="G34" s="103"/>
      <c r="H34" s="103"/>
      <c r="I34" s="103"/>
      <c r="T34" s="30" t="str">
        <f aca="false">IF(C34="","",IF(COUNTIFS(C$5:C34,C34,E$5:E34,E34)=1,1,0))</f>
        <v/>
      </c>
      <c r="U34" s="30" t="n">
        <f aca="false">IF(C34="",0,IF(AND(B34="brand",E34="budget_probe",N(F34)&gt;=Inputs!$C$124,H34="Y"),1,0))</f>
        <v>0</v>
      </c>
      <c r="V34" s="30" t="n">
        <f aca="false">IF(U34=1,IF(COUNTIFS(C$5:C34,C34,U$5:U34,1)=1,1,0),0)</f>
        <v>0</v>
      </c>
      <c r="W34" s="30" t="n">
        <f aca="false">IF(C34="",0,IF(AND(B34="office",E34="budget_probe",N(F34)&gt;=Inputs!$C$139),1,0))</f>
        <v>0</v>
      </c>
      <c r="X34" s="30" t="n">
        <f aca="false">IF(W34=1,IF(COUNTIFS(C$5:C34,C34,W$5:W34,1)=1,1,0),0)</f>
        <v>0</v>
      </c>
      <c r="Y34" s="30" t="n">
        <f aca="false">IF(C34="",0,IF(AND(B34="brand",E34="renewal_answer",TRIM(G34)="yes",N(F34)&gt;=Inputs!$C$135),1,0))</f>
        <v>0</v>
      </c>
      <c r="Z34" s="30" t="n">
        <f aca="false">IF(Y34=1,IF(COUNTIFS(C$5:C34,C34,Y$5:Y34,1)=1,1,0),0)</f>
        <v>0</v>
      </c>
      <c r="AA34" s="30" t="n">
        <f aca="false">IF(AND(E34="budget_probe",ISNUMBER(F34),I34&lt;&gt;Lists!$X$4),1,0)</f>
        <v>0</v>
      </c>
      <c r="AB34" s="30" t="str">
        <f aca="false">IF(AND(B34="office",AA34=1,COUNTIFS(C$5:C34,C34,AA$5:AA34,1)=1),F34,"")</f>
        <v/>
      </c>
      <c r="AC34" s="30" t="str">
        <f aca="false">IF(AND(B34="brand",AA34=1,COUNTIFS(C$5:C34,C34,AA$5:AA34,1)=1),F34,"")</f>
        <v/>
      </c>
      <c r="AD34" s="30" t="str">
        <f aca="false">IF(AND(B34="brand",E34="budget_probe",ISNUMBER(F34),I34=Lists!$X$4),IF(COUNTIFS(C$5:C34,C34,E$5:E34,"budget_probe",I$5:I34,Lists!$X$4)=1,F34,""),"")</f>
        <v/>
      </c>
      <c r="AE34" s="30" t="n">
        <f aca="false">IF(AND(B34="brand",E34="paid",ISNUMBER(F34)),IF(AND(SUMIFS(F$5:F34,B$5:B34,"brand",C$5:C34,C34,E$5:E34,"paid")&gt;=Inputs!$C$44,SUMIFS(F$5:F34,B$5:B34,"brand",C$5:C34,C34,E$5:E34,"paid")-F34&lt;Inputs!$C$44),1,0),0)</f>
        <v>0</v>
      </c>
    </row>
    <row r="35" customFormat="false" ht="15" hidden="false" customHeight="false" outlineLevel="0" collapsed="false">
      <c r="A35" s="102"/>
      <c r="B35" s="103"/>
      <c r="C35" s="103"/>
      <c r="D35" s="103"/>
      <c r="E35" s="103"/>
      <c r="F35" s="103"/>
      <c r="G35" s="103"/>
      <c r="H35" s="103"/>
      <c r="I35" s="103"/>
      <c r="T35" s="30" t="str">
        <f aca="false">IF(C35="","",IF(COUNTIFS(C$5:C35,C35,E$5:E35,E35)=1,1,0))</f>
        <v/>
      </c>
      <c r="U35" s="30" t="n">
        <f aca="false">IF(C35="",0,IF(AND(B35="brand",E35="budget_probe",N(F35)&gt;=Inputs!$C$124,H35="Y"),1,0))</f>
        <v>0</v>
      </c>
      <c r="V35" s="30" t="n">
        <f aca="false">IF(U35=1,IF(COUNTIFS(C$5:C35,C35,U$5:U35,1)=1,1,0),0)</f>
        <v>0</v>
      </c>
      <c r="W35" s="30" t="n">
        <f aca="false">IF(C35="",0,IF(AND(B35="office",E35="budget_probe",N(F35)&gt;=Inputs!$C$139),1,0))</f>
        <v>0</v>
      </c>
      <c r="X35" s="30" t="n">
        <f aca="false">IF(W35=1,IF(COUNTIFS(C$5:C35,C35,W$5:W35,1)=1,1,0),0)</f>
        <v>0</v>
      </c>
      <c r="Y35" s="30" t="n">
        <f aca="false">IF(C35="",0,IF(AND(B35="brand",E35="renewal_answer",TRIM(G35)="yes",N(F35)&gt;=Inputs!$C$135),1,0))</f>
        <v>0</v>
      </c>
      <c r="Z35" s="30" t="n">
        <f aca="false">IF(Y35=1,IF(COUNTIFS(C$5:C35,C35,Y$5:Y35,1)=1,1,0),0)</f>
        <v>0</v>
      </c>
      <c r="AA35" s="30" t="n">
        <f aca="false">IF(AND(E35="budget_probe",ISNUMBER(F35),I35&lt;&gt;Lists!$X$4),1,0)</f>
        <v>0</v>
      </c>
      <c r="AB35" s="30" t="str">
        <f aca="false">IF(AND(B35="office",AA35=1,COUNTIFS(C$5:C35,C35,AA$5:AA35,1)=1),F35,"")</f>
        <v/>
      </c>
      <c r="AC35" s="30" t="str">
        <f aca="false">IF(AND(B35="brand",AA35=1,COUNTIFS(C$5:C35,C35,AA$5:AA35,1)=1),F35,"")</f>
        <v/>
      </c>
      <c r="AD35" s="30" t="str">
        <f aca="false">IF(AND(B35="brand",E35="budget_probe",ISNUMBER(F35),I35=Lists!$X$4),IF(COUNTIFS(C$5:C35,C35,E$5:E35,"budget_probe",I$5:I35,Lists!$X$4)=1,F35,""),"")</f>
        <v/>
      </c>
      <c r="AE35" s="30" t="n">
        <f aca="false">IF(AND(B35="brand",E35="paid",ISNUMBER(F35)),IF(AND(SUMIFS(F$5:F35,B$5:B35,"brand",C$5:C35,C35,E$5:E35,"paid")&gt;=Inputs!$C$44,SUMIFS(F$5:F35,B$5:B35,"brand",C$5:C35,C35,E$5:E35,"paid")-F35&lt;Inputs!$C$44),1,0),0)</f>
        <v>0</v>
      </c>
    </row>
    <row r="36" customFormat="false" ht="15" hidden="false" customHeight="false" outlineLevel="0" collapsed="false">
      <c r="A36" s="102"/>
      <c r="B36" s="103"/>
      <c r="C36" s="103"/>
      <c r="D36" s="103"/>
      <c r="E36" s="103"/>
      <c r="F36" s="103"/>
      <c r="G36" s="103"/>
      <c r="H36" s="103"/>
      <c r="I36" s="103"/>
      <c r="T36" s="30" t="str">
        <f aca="false">IF(C36="","",IF(COUNTIFS(C$5:C36,C36,E$5:E36,E36)=1,1,0))</f>
        <v/>
      </c>
      <c r="U36" s="30" t="n">
        <f aca="false">IF(C36="",0,IF(AND(B36="brand",E36="budget_probe",N(F36)&gt;=Inputs!$C$124,H36="Y"),1,0))</f>
        <v>0</v>
      </c>
      <c r="V36" s="30" t="n">
        <f aca="false">IF(U36=1,IF(COUNTIFS(C$5:C36,C36,U$5:U36,1)=1,1,0),0)</f>
        <v>0</v>
      </c>
      <c r="W36" s="30" t="n">
        <f aca="false">IF(C36="",0,IF(AND(B36="office",E36="budget_probe",N(F36)&gt;=Inputs!$C$139),1,0))</f>
        <v>0</v>
      </c>
      <c r="X36" s="30" t="n">
        <f aca="false">IF(W36=1,IF(COUNTIFS(C$5:C36,C36,W$5:W36,1)=1,1,0),0)</f>
        <v>0</v>
      </c>
      <c r="Y36" s="30" t="n">
        <f aca="false">IF(C36="",0,IF(AND(B36="brand",E36="renewal_answer",TRIM(G36)="yes",N(F36)&gt;=Inputs!$C$135),1,0))</f>
        <v>0</v>
      </c>
      <c r="Z36" s="30" t="n">
        <f aca="false">IF(Y36=1,IF(COUNTIFS(C$5:C36,C36,Y$5:Y36,1)=1,1,0),0)</f>
        <v>0</v>
      </c>
      <c r="AA36" s="30" t="n">
        <f aca="false">IF(AND(E36="budget_probe",ISNUMBER(F36),I36&lt;&gt;Lists!$X$4),1,0)</f>
        <v>0</v>
      </c>
      <c r="AB36" s="30" t="str">
        <f aca="false">IF(AND(B36="office",AA36=1,COUNTIFS(C$5:C36,C36,AA$5:AA36,1)=1),F36,"")</f>
        <v/>
      </c>
      <c r="AC36" s="30" t="str">
        <f aca="false">IF(AND(B36="brand",AA36=1,COUNTIFS(C$5:C36,C36,AA$5:AA36,1)=1),F36,"")</f>
        <v/>
      </c>
      <c r="AD36" s="30" t="str">
        <f aca="false">IF(AND(B36="brand",E36="budget_probe",ISNUMBER(F36),I36=Lists!$X$4),IF(COUNTIFS(C$5:C36,C36,E$5:E36,"budget_probe",I$5:I36,Lists!$X$4)=1,F36,""),"")</f>
        <v/>
      </c>
      <c r="AE36" s="30" t="n">
        <f aca="false">IF(AND(B36="brand",E36="paid",ISNUMBER(F36)),IF(AND(SUMIFS(F$5:F36,B$5:B36,"brand",C$5:C36,C36,E$5:E36,"paid")&gt;=Inputs!$C$44,SUMIFS(F$5:F36,B$5:B36,"brand",C$5:C36,C36,E$5:E36,"paid")-F36&lt;Inputs!$C$44),1,0),0)</f>
        <v>0</v>
      </c>
    </row>
    <row r="37" customFormat="false" ht="15" hidden="false" customHeight="false" outlineLevel="0" collapsed="false">
      <c r="A37" s="102"/>
      <c r="B37" s="103"/>
      <c r="C37" s="103"/>
      <c r="D37" s="103"/>
      <c r="E37" s="103"/>
      <c r="F37" s="103"/>
      <c r="G37" s="103"/>
      <c r="H37" s="103"/>
      <c r="I37" s="103"/>
      <c r="T37" s="30" t="str">
        <f aca="false">IF(C37="","",IF(COUNTIFS(C$5:C37,C37,E$5:E37,E37)=1,1,0))</f>
        <v/>
      </c>
      <c r="U37" s="30" t="n">
        <f aca="false">IF(C37="",0,IF(AND(B37="brand",E37="budget_probe",N(F37)&gt;=Inputs!$C$124,H37="Y"),1,0))</f>
        <v>0</v>
      </c>
      <c r="V37" s="30" t="n">
        <f aca="false">IF(U37=1,IF(COUNTIFS(C$5:C37,C37,U$5:U37,1)=1,1,0),0)</f>
        <v>0</v>
      </c>
      <c r="W37" s="30" t="n">
        <f aca="false">IF(C37="",0,IF(AND(B37="office",E37="budget_probe",N(F37)&gt;=Inputs!$C$139),1,0))</f>
        <v>0</v>
      </c>
      <c r="X37" s="30" t="n">
        <f aca="false">IF(W37=1,IF(COUNTIFS(C$5:C37,C37,W$5:W37,1)=1,1,0),0)</f>
        <v>0</v>
      </c>
      <c r="Y37" s="30" t="n">
        <f aca="false">IF(C37="",0,IF(AND(B37="brand",E37="renewal_answer",TRIM(G37)="yes",N(F37)&gt;=Inputs!$C$135),1,0))</f>
        <v>0</v>
      </c>
      <c r="Z37" s="30" t="n">
        <f aca="false">IF(Y37=1,IF(COUNTIFS(C$5:C37,C37,Y$5:Y37,1)=1,1,0),0)</f>
        <v>0</v>
      </c>
      <c r="AA37" s="30" t="n">
        <f aca="false">IF(AND(E37="budget_probe",ISNUMBER(F37),I37&lt;&gt;Lists!$X$4),1,0)</f>
        <v>0</v>
      </c>
      <c r="AB37" s="30" t="str">
        <f aca="false">IF(AND(B37="office",AA37=1,COUNTIFS(C$5:C37,C37,AA$5:AA37,1)=1),F37,"")</f>
        <v/>
      </c>
      <c r="AC37" s="30" t="str">
        <f aca="false">IF(AND(B37="brand",AA37=1,COUNTIFS(C$5:C37,C37,AA$5:AA37,1)=1),F37,"")</f>
        <v/>
      </c>
      <c r="AD37" s="30" t="str">
        <f aca="false">IF(AND(B37="brand",E37="budget_probe",ISNUMBER(F37),I37=Lists!$X$4),IF(COUNTIFS(C$5:C37,C37,E$5:E37,"budget_probe",I$5:I37,Lists!$X$4)=1,F37,""),"")</f>
        <v/>
      </c>
      <c r="AE37" s="30" t="n">
        <f aca="false">IF(AND(B37="brand",E37="paid",ISNUMBER(F37)),IF(AND(SUMIFS(F$5:F37,B$5:B37,"brand",C$5:C37,C37,E$5:E37,"paid")&gt;=Inputs!$C$44,SUMIFS(F$5:F37,B$5:B37,"brand",C$5:C37,C37,E$5:E37,"paid")-F37&lt;Inputs!$C$44),1,0),0)</f>
        <v>0</v>
      </c>
    </row>
    <row r="38" customFormat="false" ht="15" hidden="false" customHeight="false" outlineLevel="0" collapsed="false">
      <c r="A38" s="102"/>
      <c r="B38" s="103"/>
      <c r="C38" s="103"/>
      <c r="D38" s="103"/>
      <c r="E38" s="103"/>
      <c r="F38" s="103"/>
      <c r="G38" s="103"/>
      <c r="H38" s="103"/>
      <c r="I38" s="103"/>
      <c r="T38" s="30" t="str">
        <f aca="false">IF(C38="","",IF(COUNTIFS(C$5:C38,C38,E$5:E38,E38)=1,1,0))</f>
        <v/>
      </c>
      <c r="U38" s="30" t="n">
        <f aca="false">IF(C38="",0,IF(AND(B38="brand",E38="budget_probe",N(F38)&gt;=Inputs!$C$124,H38="Y"),1,0))</f>
        <v>0</v>
      </c>
      <c r="V38" s="30" t="n">
        <f aca="false">IF(U38=1,IF(COUNTIFS(C$5:C38,C38,U$5:U38,1)=1,1,0),0)</f>
        <v>0</v>
      </c>
      <c r="W38" s="30" t="n">
        <f aca="false">IF(C38="",0,IF(AND(B38="office",E38="budget_probe",N(F38)&gt;=Inputs!$C$139),1,0))</f>
        <v>0</v>
      </c>
      <c r="X38" s="30" t="n">
        <f aca="false">IF(W38=1,IF(COUNTIFS(C$5:C38,C38,W$5:W38,1)=1,1,0),0)</f>
        <v>0</v>
      </c>
      <c r="Y38" s="30" t="n">
        <f aca="false">IF(C38="",0,IF(AND(B38="brand",E38="renewal_answer",TRIM(G38)="yes",N(F38)&gt;=Inputs!$C$135),1,0))</f>
        <v>0</v>
      </c>
      <c r="Z38" s="30" t="n">
        <f aca="false">IF(Y38=1,IF(COUNTIFS(C$5:C38,C38,Y$5:Y38,1)=1,1,0),0)</f>
        <v>0</v>
      </c>
      <c r="AA38" s="30" t="n">
        <f aca="false">IF(AND(E38="budget_probe",ISNUMBER(F38),I38&lt;&gt;Lists!$X$4),1,0)</f>
        <v>0</v>
      </c>
      <c r="AB38" s="30" t="str">
        <f aca="false">IF(AND(B38="office",AA38=1,COUNTIFS(C$5:C38,C38,AA$5:AA38,1)=1),F38,"")</f>
        <v/>
      </c>
      <c r="AC38" s="30" t="str">
        <f aca="false">IF(AND(B38="brand",AA38=1,COUNTIFS(C$5:C38,C38,AA$5:AA38,1)=1),F38,"")</f>
        <v/>
      </c>
      <c r="AD38" s="30" t="str">
        <f aca="false">IF(AND(B38="brand",E38="budget_probe",ISNUMBER(F38),I38=Lists!$X$4),IF(COUNTIFS(C$5:C38,C38,E$5:E38,"budget_probe",I$5:I38,Lists!$X$4)=1,F38,""),"")</f>
        <v/>
      </c>
      <c r="AE38" s="30" t="n">
        <f aca="false">IF(AND(B38="brand",E38="paid",ISNUMBER(F38)),IF(AND(SUMIFS(F$5:F38,B$5:B38,"brand",C$5:C38,C38,E$5:E38,"paid")&gt;=Inputs!$C$44,SUMIFS(F$5:F38,B$5:B38,"brand",C$5:C38,C38,E$5:E38,"paid")-F38&lt;Inputs!$C$44),1,0),0)</f>
        <v>0</v>
      </c>
    </row>
    <row r="39" customFormat="false" ht="15" hidden="false" customHeight="false" outlineLevel="0" collapsed="false">
      <c r="A39" s="102"/>
      <c r="B39" s="103"/>
      <c r="C39" s="103"/>
      <c r="D39" s="103"/>
      <c r="E39" s="103"/>
      <c r="F39" s="103"/>
      <c r="G39" s="103"/>
      <c r="H39" s="103"/>
      <c r="I39" s="103"/>
      <c r="T39" s="30" t="str">
        <f aca="false">IF(C39="","",IF(COUNTIFS(C$5:C39,C39,E$5:E39,E39)=1,1,0))</f>
        <v/>
      </c>
      <c r="U39" s="30" t="n">
        <f aca="false">IF(C39="",0,IF(AND(B39="brand",E39="budget_probe",N(F39)&gt;=Inputs!$C$124,H39="Y"),1,0))</f>
        <v>0</v>
      </c>
      <c r="V39" s="30" t="n">
        <f aca="false">IF(U39=1,IF(COUNTIFS(C$5:C39,C39,U$5:U39,1)=1,1,0),0)</f>
        <v>0</v>
      </c>
      <c r="W39" s="30" t="n">
        <f aca="false">IF(C39="",0,IF(AND(B39="office",E39="budget_probe",N(F39)&gt;=Inputs!$C$139),1,0))</f>
        <v>0</v>
      </c>
      <c r="X39" s="30" t="n">
        <f aca="false">IF(W39=1,IF(COUNTIFS(C$5:C39,C39,W$5:W39,1)=1,1,0),0)</f>
        <v>0</v>
      </c>
      <c r="Y39" s="30" t="n">
        <f aca="false">IF(C39="",0,IF(AND(B39="brand",E39="renewal_answer",TRIM(G39)="yes",N(F39)&gt;=Inputs!$C$135),1,0))</f>
        <v>0</v>
      </c>
      <c r="Z39" s="30" t="n">
        <f aca="false">IF(Y39=1,IF(COUNTIFS(C$5:C39,C39,Y$5:Y39,1)=1,1,0),0)</f>
        <v>0</v>
      </c>
      <c r="AA39" s="30" t="n">
        <f aca="false">IF(AND(E39="budget_probe",ISNUMBER(F39),I39&lt;&gt;Lists!$X$4),1,0)</f>
        <v>0</v>
      </c>
      <c r="AB39" s="30" t="str">
        <f aca="false">IF(AND(B39="office",AA39=1,COUNTIFS(C$5:C39,C39,AA$5:AA39,1)=1),F39,"")</f>
        <v/>
      </c>
      <c r="AC39" s="30" t="str">
        <f aca="false">IF(AND(B39="brand",AA39=1,COUNTIFS(C$5:C39,C39,AA$5:AA39,1)=1),F39,"")</f>
        <v/>
      </c>
      <c r="AD39" s="30" t="str">
        <f aca="false">IF(AND(B39="brand",E39="budget_probe",ISNUMBER(F39),I39=Lists!$X$4),IF(COUNTIFS(C$5:C39,C39,E$5:E39,"budget_probe",I$5:I39,Lists!$X$4)=1,F39,""),"")</f>
        <v/>
      </c>
      <c r="AE39" s="30" t="n">
        <f aca="false">IF(AND(B39="brand",E39="paid",ISNUMBER(F39)),IF(AND(SUMIFS(F$5:F39,B$5:B39,"brand",C$5:C39,C39,E$5:E39,"paid")&gt;=Inputs!$C$44,SUMIFS(F$5:F39,B$5:B39,"brand",C$5:C39,C39,E$5:E39,"paid")-F39&lt;Inputs!$C$44),1,0),0)</f>
        <v>0</v>
      </c>
    </row>
    <row r="40" customFormat="false" ht="15" hidden="false" customHeight="false" outlineLevel="0" collapsed="false">
      <c r="A40" s="102"/>
      <c r="B40" s="103"/>
      <c r="C40" s="103"/>
      <c r="D40" s="103"/>
      <c r="E40" s="103"/>
      <c r="F40" s="103"/>
      <c r="G40" s="103"/>
      <c r="H40" s="103"/>
      <c r="I40" s="103"/>
      <c r="T40" s="30" t="str">
        <f aca="false">IF(C40="","",IF(COUNTIFS(C$5:C40,C40,E$5:E40,E40)=1,1,0))</f>
        <v/>
      </c>
      <c r="U40" s="30" t="n">
        <f aca="false">IF(C40="",0,IF(AND(B40="brand",E40="budget_probe",N(F40)&gt;=Inputs!$C$124,H40="Y"),1,0))</f>
        <v>0</v>
      </c>
      <c r="V40" s="30" t="n">
        <f aca="false">IF(U40=1,IF(COUNTIFS(C$5:C40,C40,U$5:U40,1)=1,1,0),0)</f>
        <v>0</v>
      </c>
      <c r="W40" s="30" t="n">
        <f aca="false">IF(C40="",0,IF(AND(B40="office",E40="budget_probe",N(F40)&gt;=Inputs!$C$139),1,0))</f>
        <v>0</v>
      </c>
      <c r="X40" s="30" t="n">
        <f aca="false">IF(W40=1,IF(COUNTIFS(C$5:C40,C40,W$5:W40,1)=1,1,0),0)</f>
        <v>0</v>
      </c>
      <c r="Y40" s="30" t="n">
        <f aca="false">IF(C40="",0,IF(AND(B40="brand",E40="renewal_answer",TRIM(G40)="yes",N(F40)&gt;=Inputs!$C$135),1,0))</f>
        <v>0</v>
      </c>
      <c r="Z40" s="30" t="n">
        <f aca="false">IF(Y40=1,IF(COUNTIFS(C$5:C40,C40,Y$5:Y40,1)=1,1,0),0)</f>
        <v>0</v>
      </c>
      <c r="AA40" s="30" t="n">
        <f aca="false">IF(AND(E40="budget_probe",ISNUMBER(F40),I40&lt;&gt;Lists!$X$4),1,0)</f>
        <v>0</v>
      </c>
      <c r="AB40" s="30" t="str">
        <f aca="false">IF(AND(B40="office",AA40=1,COUNTIFS(C$5:C40,C40,AA$5:AA40,1)=1),F40,"")</f>
        <v/>
      </c>
      <c r="AC40" s="30" t="str">
        <f aca="false">IF(AND(B40="brand",AA40=1,COUNTIFS(C$5:C40,C40,AA$5:AA40,1)=1),F40,"")</f>
        <v/>
      </c>
      <c r="AD40" s="30" t="str">
        <f aca="false">IF(AND(B40="brand",E40="budget_probe",ISNUMBER(F40),I40=Lists!$X$4),IF(COUNTIFS(C$5:C40,C40,E$5:E40,"budget_probe",I$5:I40,Lists!$X$4)=1,F40,""),"")</f>
        <v/>
      </c>
      <c r="AE40" s="30" t="n">
        <f aca="false">IF(AND(B40="brand",E40="paid",ISNUMBER(F40)),IF(AND(SUMIFS(F$5:F40,B$5:B40,"brand",C$5:C40,C40,E$5:E40,"paid")&gt;=Inputs!$C$44,SUMIFS(F$5:F40,B$5:B40,"brand",C$5:C40,C40,E$5:E40,"paid")-F40&lt;Inputs!$C$44),1,0),0)</f>
        <v>0</v>
      </c>
    </row>
    <row r="41" customFormat="false" ht="15" hidden="false" customHeight="false" outlineLevel="0" collapsed="false">
      <c r="A41" s="102"/>
      <c r="B41" s="103"/>
      <c r="C41" s="103"/>
      <c r="D41" s="103"/>
      <c r="E41" s="103"/>
      <c r="F41" s="103"/>
      <c r="G41" s="103"/>
      <c r="H41" s="103"/>
      <c r="I41" s="103"/>
      <c r="T41" s="30" t="str">
        <f aca="false">IF(C41="","",IF(COUNTIFS(C$5:C41,C41,E$5:E41,E41)=1,1,0))</f>
        <v/>
      </c>
      <c r="U41" s="30" t="n">
        <f aca="false">IF(C41="",0,IF(AND(B41="brand",E41="budget_probe",N(F41)&gt;=Inputs!$C$124,H41="Y"),1,0))</f>
        <v>0</v>
      </c>
      <c r="V41" s="30" t="n">
        <f aca="false">IF(U41=1,IF(COUNTIFS(C$5:C41,C41,U$5:U41,1)=1,1,0),0)</f>
        <v>0</v>
      </c>
      <c r="W41" s="30" t="n">
        <f aca="false">IF(C41="",0,IF(AND(B41="office",E41="budget_probe",N(F41)&gt;=Inputs!$C$139),1,0))</f>
        <v>0</v>
      </c>
      <c r="X41" s="30" t="n">
        <f aca="false">IF(W41=1,IF(COUNTIFS(C$5:C41,C41,W$5:W41,1)=1,1,0),0)</f>
        <v>0</v>
      </c>
      <c r="Y41" s="30" t="n">
        <f aca="false">IF(C41="",0,IF(AND(B41="brand",E41="renewal_answer",TRIM(G41)="yes",N(F41)&gt;=Inputs!$C$135),1,0))</f>
        <v>0</v>
      </c>
      <c r="Z41" s="30" t="n">
        <f aca="false">IF(Y41=1,IF(COUNTIFS(C$5:C41,C41,Y$5:Y41,1)=1,1,0),0)</f>
        <v>0</v>
      </c>
      <c r="AA41" s="30" t="n">
        <f aca="false">IF(AND(E41="budget_probe",ISNUMBER(F41),I41&lt;&gt;Lists!$X$4),1,0)</f>
        <v>0</v>
      </c>
      <c r="AB41" s="30" t="str">
        <f aca="false">IF(AND(B41="office",AA41=1,COUNTIFS(C$5:C41,C41,AA$5:AA41,1)=1),F41,"")</f>
        <v/>
      </c>
      <c r="AC41" s="30" t="str">
        <f aca="false">IF(AND(B41="brand",AA41=1,COUNTIFS(C$5:C41,C41,AA$5:AA41,1)=1),F41,"")</f>
        <v/>
      </c>
      <c r="AD41" s="30" t="str">
        <f aca="false">IF(AND(B41="brand",E41="budget_probe",ISNUMBER(F41),I41=Lists!$X$4),IF(COUNTIFS(C$5:C41,C41,E$5:E41,"budget_probe",I$5:I41,Lists!$X$4)=1,F41,""),"")</f>
        <v/>
      </c>
      <c r="AE41" s="30" t="n">
        <f aca="false">IF(AND(B41="brand",E41="paid",ISNUMBER(F41)),IF(AND(SUMIFS(F$5:F41,B$5:B41,"brand",C$5:C41,C41,E$5:E41,"paid")&gt;=Inputs!$C$44,SUMIFS(F$5:F41,B$5:B41,"brand",C$5:C41,C41,E$5:E41,"paid")-F41&lt;Inputs!$C$44),1,0),0)</f>
        <v>0</v>
      </c>
    </row>
    <row r="42" customFormat="false" ht="15" hidden="false" customHeight="false" outlineLevel="0" collapsed="false">
      <c r="A42" s="102"/>
      <c r="B42" s="103"/>
      <c r="C42" s="103"/>
      <c r="D42" s="103"/>
      <c r="E42" s="103"/>
      <c r="F42" s="103"/>
      <c r="G42" s="103"/>
      <c r="H42" s="103"/>
      <c r="I42" s="103"/>
      <c r="T42" s="30" t="str">
        <f aca="false">IF(C42="","",IF(COUNTIFS(C$5:C42,C42,E$5:E42,E42)=1,1,0))</f>
        <v/>
      </c>
      <c r="U42" s="30" t="n">
        <f aca="false">IF(C42="",0,IF(AND(B42="brand",E42="budget_probe",N(F42)&gt;=Inputs!$C$124,H42="Y"),1,0))</f>
        <v>0</v>
      </c>
      <c r="V42" s="30" t="n">
        <f aca="false">IF(U42=1,IF(COUNTIFS(C$5:C42,C42,U$5:U42,1)=1,1,0),0)</f>
        <v>0</v>
      </c>
      <c r="W42" s="30" t="n">
        <f aca="false">IF(C42="",0,IF(AND(B42="office",E42="budget_probe",N(F42)&gt;=Inputs!$C$139),1,0))</f>
        <v>0</v>
      </c>
      <c r="X42" s="30" t="n">
        <f aca="false">IF(W42=1,IF(COUNTIFS(C$5:C42,C42,W$5:W42,1)=1,1,0),0)</f>
        <v>0</v>
      </c>
      <c r="Y42" s="30" t="n">
        <f aca="false">IF(C42="",0,IF(AND(B42="brand",E42="renewal_answer",TRIM(G42)="yes",N(F42)&gt;=Inputs!$C$135),1,0))</f>
        <v>0</v>
      </c>
      <c r="Z42" s="30" t="n">
        <f aca="false">IF(Y42=1,IF(COUNTIFS(C$5:C42,C42,Y$5:Y42,1)=1,1,0),0)</f>
        <v>0</v>
      </c>
      <c r="AA42" s="30" t="n">
        <f aca="false">IF(AND(E42="budget_probe",ISNUMBER(F42),I42&lt;&gt;Lists!$X$4),1,0)</f>
        <v>0</v>
      </c>
      <c r="AB42" s="30" t="str">
        <f aca="false">IF(AND(B42="office",AA42=1,COUNTIFS(C$5:C42,C42,AA$5:AA42,1)=1),F42,"")</f>
        <v/>
      </c>
      <c r="AC42" s="30" t="str">
        <f aca="false">IF(AND(B42="brand",AA42=1,COUNTIFS(C$5:C42,C42,AA$5:AA42,1)=1),F42,"")</f>
        <v/>
      </c>
      <c r="AD42" s="30" t="str">
        <f aca="false">IF(AND(B42="brand",E42="budget_probe",ISNUMBER(F42),I42=Lists!$X$4),IF(COUNTIFS(C$5:C42,C42,E$5:E42,"budget_probe",I$5:I42,Lists!$X$4)=1,F42,""),"")</f>
        <v/>
      </c>
      <c r="AE42" s="30" t="n">
        <f aca="false">IF(AND(B42="brand",E42="paid",ISNUMBER(F42)),IF(AND(SUMIFS(F$5:F42,B$5:B42,"brand",C$5:C42,C42,E$5:E42,"paid")&gt;=Inputs!$C$44,SUMIFS(F$5:F42,B$5:B42,"brand",C$5:C42,C42,E$5:E42,"paid")-F42&lt;Inputs!$C$44),1,0),0)</f>
        <v>0</v>
      </c>
    </row>
    <row r="43" customFormat="false" ht="15" hidden="false" customHeight="false" outlineLevel="0" collapsed="false">
      <c r="A43" s="102"/>
      <c r="B43" s="103"/>
      <c r="C43" s="103"/>
      <c r="D43" s="103"/>
      <c r="E43" s="103"/>
      <c r="F43" s="103"/>
      <c r="G43" s="103"/>
      <c r="H43" s="103"/>
      <c r="I43" s="103"/>
      <c r="T43" s="30" t="str">
        <f aca="false">IF(C43="","",IF(COUNTIFS(C$5:C43,C43,E$5:E43,E43)=1,1,0))</f>
        <v/>
      </c>
      <c r="U43" s="30" t="n">
        <f aca="false">IF(C43="",0,IF(AND(B43="brand",E43="budget_probe",N(F43)&gt;=Inputs!$C$124,H43="Y"),1,0))</f>
        <v>0</v>
      </c>
      <c r="V43" s="30" t="n">
        <f aca="false">IF(U43=1,IF(COUNTIFS(C$5:C43,C43,U$5:U43,1)=1,1,0),0)</f>
        <v>0</v>
      </c>
      <c r="W43" s="30" t="n">
        <f aca="false">IF(C43="",0,IF(AND(B43="office",E43="budget_probe",N(F43)&gt;=Inputs!$C$139),1,0))</f>
        <v>0</v>
      </c>
      <c r="X43" s="30" t="n">
        <f aca="false">IF(W43=1,IF(COUNTIFS(C$5:C43,C43,W$5:W43,1)=1,1,0),0)</f>
        <v>0</v>
      </c>
      <c r="Y43" s="30" t="n">
        <f aca="false">IF(C43="",0,IF(AND(B43="brand",E43="renewal_answer",TRIM(G43)="yes",N(F43)&gt;=Inputs!$C$135),1,0))</f>
        <v>0</v>
      </c>
      <c r="Z43" s="30" t="n">
        <f aca="false">IF(Y43=1,IF(COUNTIFS(C$5:C43,C43,Y$5:Y43,1)=1,1,0),0)</f>
        <v>0</v>
      </c>
      <c r="AA43" s="30" t="n">
        <f aca="false">IF(AND(E43="budget_probe",ISNUMBER(F43),I43&lt;&gt;Lists!$X$4),1,0)</f>
        <v>0</v>
      </c>
      <c r="AB43" s="30" t="str">
        <f aca="false">IF(AND(B43="office",AA43=1,COUNTIFS(C$5:C43,C43,AA$5:AA43,1)=1),F43,"")</f>
        <v/>
      </c>
      <c r="AC43" s="30" t="str">
        <f aca="false">IF(AND(B43="brand",AA43=1,COUNTIFS(C$5:C43,C43,AA$5:AA43,1)=1),F43,"")</f>
        <v/>
      </c>
      <c r="AD43" s="30" t="str">
        <f aca="false">IF(AND(B43="brand",E43="budget_probe",ISNUMBER(F43),I43=Lists!$X$4),IF(COUNTIFS(C$5:C43,C43,E$5:E43,"budget_probe",I$5:I43,Lists!$X$4)=1,F43,""),"")</f>
        <v/>
      </c>
      <c r="AE43" s="30" t="n">
        <f aca="false">IF(AND(B43="brand",E43="paid",ISNUMBER(F43)),IF(AND(SUMIFS(F$5:F43,B$5:B43,"brand",C$5:C43,C43,E$5:E43,"paid")&gt;=Inputs!$C$44,SUMIFS(F$5:F43,B$5:B43,"brand",C$5:C43,C43,E$5:E43,"paid")-F43&lt;Inputs!$C$44),1,0),0)</f>
        <v>0</v>
      </c>
    </row>
    <row r="44" customFormat="false" ht="15" hidden="false" customHeight="false" outlineLevel="0" collapsed="false">
      <c r="A44" s="102"/>
      <c r="B44" s="103"/>
      <c r="C44" s="103"/>
      <c r="D44" s="103"/>
      <c r="E44" s="103"/>
      <c r="F44" s="103"/>
      <c r="G44" s="103"/>
      <c r="H44" s="103"/>
      <c r="I44" s="103"/>
      <c r="T44" s="30" t="str">
        <f aca="false">IF(C44="","",IF(COUNTIFS(C$5:C44,C44,E$5:E44,E44)=1,1,0))</f>
        <v/>
      </c>
      <c r="U44" s="30" t="n">
        <f aca="false">IF(C44="",0,IF(AND(B44="brand",E44="budget_probe",N(F44)&gt;=Inputs!$C$124,H44="Y"),1,0))</f>
        <v>0</v>
      </c>
      <c r="V44" s="30" t="n">
        <f aca="false">IF(U44=1,IF(COUNTIFS(C$5:C44,C44,U$5:U44,1)=1,1,0),0)</f>
        <v>0</v>
      </c>
      <c r="W44" s="30" t="n">
        <f aca="false">IF(C44="",0,IF(AND(B44="office",E44="budget_probe",N(F44)&gt;=Inputs!$C$139),1,0))</f>
        <v>0</v>
      </c>
      <c r="X44" s="30" t="n">
        <f aca="false">IF(W44=1,IF(COUNTIFS(C$5:C44,C44,W$5:W44,1)=1,1,0),0)</f>
        <v>0</v>
      </c>
      <c r="Y44" s="30" t="n">
        <f aca="false">IF(C44="",0,IF(AND(B44="brand",E44="renewal_answer",TRIM(G44)="yes",N(F44)&gt;=Inputs!$C$135),1,0))</f>
        <v>0</v>
      </c>
      <c r="Z44" s="30" t="n">
        <f aca="false">IF(Y44=1,IF(COUNTIFS(C$5:C44,C44,Y$5:Y44,1)=1,1,0),0)</f>
        <v>0</v>
      </c>
      <c r="AA44" s="30" t="n">
        <f aca="false">IF(AND(E44="budget_probe",ISNUMBER(F44),I44&lt;&gt;Lists!$X$4),1,0)</f>
        <v>0</v>
      </c>
      <c r="AB44" s="30" t="str">
        <f aca="false">IF(AND(B44="office",AA44=1,COUNTIFS(C$5:C44,C44,AA$5:AA44,1)=1),F44,"")</f>
        <v/>
      </c>
      <c r="AC44" s="30" t="str">
        <f aca="false">IF(AND(B44="brand",AA44=1,COUNTIFS(C$5:C44,C44,AA$5:AA44,1)=1),F44,"")</f>
        <v/>
      </c>
      <c r="AD44" s="30" t="str">
        <f aca="false">IF(AND(B44="brand",E44="budget_probe",ISNUMBER(F44),I44=Lists!$X$4),IF(COUNTIFS(C$5:C44,C44,E$5:E44,"budget_probe",I$5:I44,Lists!$X$4)=1,F44,""),"")</f>
        <v/>
      </c>
      <c r="AE44" s="30" t="n">
        <f aca="false">IF(AND(B44="brand",E44="paid",ISNUMBER(F44)),IF(AND(SUMIFS(F$5:F44,B$5:B44,"brand",C$5:C44,C44,E$5:E44,"paid")&gt;=Inputs!$C$44,SUMIFS(F$5:F44,B$5:B44,"brand",C$5:C44,C44,E$5:E44,"paid")-F44&lt;Inputs!$C$44),1,0),0)</f>
        <v>0</v>
      </c>
    </row>
    <row r="45" customFormat="false" ht="15" hidden="false" customHeight="false" outlineLevel="0" collapsed="false">
      <c r="A45" s="102"/>
      <c r="B45" s="103"/>
      <c r="C45" s="103"/>
      <c r="D45" s="103"/>
      <c r="E45" s="103"/>
      <c r="F45" s="103"/>
      <c r="G45" s="103"/>
      <c r="H45" s="103"/>
      <c r="I45" s="103"/>
      <c r="T45" s="30" t="str">
        <f aca="false">IF(C45="","",IF(COUNTIFS(C$5:C45,C45,E$5:E45,E45)=1,1,0))</f>
        <v/>
      </c>
      <c r="U45" s="30" t="n">
        <f aca="false">IF(C45="",0,IF(AND(B45="brand",E45="budget_probe",N(F45)&gt;=Inputs!$C$124,H45="Y"),1,0))</f>
        <v>0</v>
      </c>
      <c r="V45" s="30" t="n">
        <f aca="false">IF(U45=1,IF(COUNTIFS(C$5:C45,C45,U$5:U45,1)=1,1,0),0)</f>
        <v>0</v>
      </c>
      <c r="W45" s="30" t="n">
        <f aca="false">IF(C45="",0,IF(AND(B45="office",E45="budget_probe",N(F45)&gt;=Inputs!$C$139),1,0))</f>
        <v>0</v>
      </c>
      <c r="X45" s="30" t="n">
        <f aca="false">IF(W45=1,IF(COUNTIFS(C$5:C45,C45,W$5:W45,1)=1,1,0),0)</f>
        <v>0</v>
      </c>
      <c r="Y45" s="30" t="n">
        <f aca="false">IF(C45="",0,IF(AND(B45="brand",E45="renewal_answer",TRIM(G45)="yes",N(F45)&gt;=Inputs!$C$135),1,0))</f>
        <v>0</v>
      </c>
      <c r="Z45" s="30" t="n">
        <f aca="false">IF(Y45=1,IF(COUNTIFS(C$5:C45,C45,Y$5:Y45,1)=1,1,0),0)</f>
        <v>0</v>
      </c>
      <c r="AA45" s="30" t="n">
        <f aca="false">IF(AND(E45="budget_probe",ISNUMBER(F45),I45&lt;&gt;Lists!$X$4),1,0)</f>
        <v>0</v>
      </c>
      <c r="AB45" s="30" t="str">
        <f aca="false">IF(AND(B45="office",AA45=1,COUNTIFS(C$5:C45,C45,AA$5:AA45,1)=1),F45,"")</f>
        <v/>
      </c>
      <c r="AC45" s="30" t="str">
        <f aca="false">IF(AND(B45="brand",AA45=1,COUNTIFS(C$5:C45,C45,AA$5:AA45,1)=1),F45,"")</f>
        <v/>
      </c>
      <c r="AD45" s="30" t="str">
        <f aca="false">IF(AND(B45="brand",E45="budget_probe",ISNUMBER(F45),I45=Lists!$X$4),IF(COUNTIFS(C$5:C45,C45,E$5:E45,"budget_probe",I$5:I45,Lists!$X$4)=1,F45,""),"")</f>
        <v/>
      </c>
      <c r="AE45" s="30" t="n">
        <f aca="false">IF(AND(B45="brand",E45="paid",ISNUMBER(F45)),IF(AND(SUMIFS(F$5:F45,B$5:B45,"brand",C$5:C45,C45,E$5:E45,"paid")&gt;=Inputs!$C$44,SUMIFS(F$5:F45,B$5:B45,"brand",C$5:C45,C45,E$5:E45,"paid")-F45&lt;Inputs!$C$44),1,0),0)</f>
        <v>0</v>
      </c>
    </row>
    <row r="46" customFormat="false" ht="15" hidden="false" customHeight="false" outlineLevel="0" collapsed="false">
      <c r="A46" s="102"/>
      <c r="B46" s="103"/>
      <c r="C46" s="103"/>
      <c r="D46" s="103"/>
      <c r="E46" s="103"/>
      <c r="F46" s="103"/>
      <c r="G46" s="103"/>
      <c r="H46" s="103"/>
      <c r="I46" s="103"/>
      <c r="T46" s="30" t="str">
        <f aca="false">IF(C46="","",IF(COUNTIFS(C$5:C46,C46,E$5:E46,E46)=1,1,0))</f>
        <v/>
      </c>
      <c r="U46" s="30" t="n">
        <f aca="false">IF(C46="",0,IF(AND(B46="brand",E46="budget_probe",N(F46)&gt;=Inputs!$C$124,H46="Y"),1,0))</f>
        <v>0</v>
      </c>
      <c r="V46" s="30" t="n">
        <f aca="false">IF(U46=1,IF(COUNTIFS(C$5:C46,C46,U$5:U46,1)=1,1,0),0)</f>
        <v>0</v>
      </c>
      <c r="W46" s="30" t="n">
        <f aca="false">IF(C46="",0,IF(AND(B46="office",E46="budget_probe",N(F46)&gt;=Inputs!$C$139),1,0))</f>
        <v>0</v>
      </c>
      <c r="X46" s="30" t="n">
        <f aca="false">IF(W46=1,IF(COUNTIFS(C$5:C46,C46,W$5:W46,1)=1,1,0),0)</f>
        <v>0</v>
      </c>
      <c r="Y46" s="30" t="n">
        <f aca="false">IF(C46="",0,IF(AND(B46="brand",E46="renewal_answer",TRIM(G46)="yes",N(F46)&gt;=Inputs!$C$135),1,0))</f>
        <v>0</v>
      </c>
      <c r="Z46" s="30" t="n">
        <f aca="false">IF(Y46=1,IF(COUNTIFS(C$5:C46,C46,Y$5:Y46,1)=1,1,0),0)</f>
        <v>0</v>
      </c>
      <c r="AA46" s="30" t="n">
        <f aca="false">IF(AND(E46="budget_probe",ISNUMBER(F46),I46&lt;&gt;Lists!$X$4),1,0)</f>
        <v>0</v>
      </c>
      <c r="AB46" s="30" t="str">
        <f aca="false">IF(AND(B46="office",AA46=1,COUNTIFS(C$5:C46,C46,AA$5:AA46,1)=1),F46,"")</f>
        <v/>
      </c>
      <c r="AC46" s="30" t="str">
        <f aca="false">IF(AND(B46="brand",AA46=1,COUNTIFS(C$5:C46,C46,AA$5:AA46,1)=1),F46,"")</f>
        <v/>
      </c>
      <c r="AD46" s="30" t="str">
        <f aca="false">IF(AND(B46="brand",E46="budget_probe",ISNUMBER(F46),I46=Lists!$X$4),IF(COUNTIFS(C$5:C46,C46,E$5:E46,"budget_probe",I$5:I46,Lists!$X$4)=1,F46,""),"")</f>
        <v/>
      </c>
      <c r="AE46" s="30" t="n">
        <f aca="false">IF(AND(B46="brand",E46="paid",ISNUMBER(F46)),IF(AND(SUMIFS(F$5:F46,B$5:B46,"brand",C$5:C46,C46,E$5:E46,"paid")&gt;=Inputs!$C$44,SUMIFS(F$5:F46,B$5:B46,"brand",C$5:C46,C46,E$5:E46,"paid")-F46&lt;Inputs!$C$44),1,0),0)</f>
        <v>0</v>
      </c>
    </row>
    <row r="47" customFormat="false" ht="15" hidden="false" customHeight="false" outlineLevel="0" collapsed="false">
      <c r="A47" s="102"/>
      <c r="B47" s="103"/>
      <c r="C47" s="103"/>
      <c r="D47" s="103"/>
      <c r="E47" s="103"/>
      <c r="F47" s="103"/>
      <c r="G47" s="103"/>
      <c r="H47" s="103"/>
      <c r="I47" s="103"/>
      <c r="T47" s="30" t="str">
        <f aca="false">IF(C47="","",IF(COUNTIFS(C$5:C47,C47,E$5:E47,E47)=1,1,0))</f>
        <v/>
      </c>
      <c r="U47" s="30" t="n">
        <f aca="false">IF(C47="",0,IF(AND(B47="brand",E47="budget_probe",N(F47)&gt;=Inputs!$C$124,H47="Y"),1,0))</f>
        <v>0</v>
      </c>
      <c r="V47" s="30" t="n">
        <f aca="false">IF(U47=1,IF(COUNTIFS(C$5:C47,C47,U$5:U47,1)=1,1,0),0)</f>
        <v>0</v>
      </c>
      <c r="W47" s="30" t="n">
        <f aca="false">IF(C47="",0,IF(AND(B47="office",E47="budget_probe",N(F47)&gt;=Inputs!$C$139),1,0))</f>
        <v>0</v>
      </c>
      <c r="X47" s="30" t="n">
        <f aca="false">IF(W47=1,IF(COUNTIFS(C$5:C47,C47,W$5:W47,1)=1,1,0),0)</f>
        <v>0</v>
      </c>
      <c r="Y47" s="30" t="n">
        <f aca="false">IF(C47="",0,IF(AND(B47="brand",E47="renewal_answer",TRIM(G47)="yes",N(F47)&gt;=Inputs!$C$135),1,0))</f>
        <v>0</v>
      </c>
      <c r="Z47" s="30" t="n">
        <f aca="false">IF(Y47=1,IF(COUNTIFS(C$5:C47,C47,Y$5:Y47,1)=1,1,0),0)</f>
        <v>0</v>
      </c>
      <c r="AA47" s="30" t="n">
        <f aca="false">IF(AND(E47="budget_probe",ISNUMBER(F47),I47&lt;&gt;Lists!$X$4),1,0)</f>
        <v>0</v>
      </c>
      <c r="AB47" s="30" t="str">
        <f aca="false">IF(AND(B47="office",AA47=1,COUNTIFS(C$5:C47,C47,AA$5:AA47,1)=1),F47,"")</f>
        <v/>
      </c>
      <c r="AC47" s="30" t="str">
        <f aca="false">IF(AND(B47="brand",AA47=1,COUNTIFS(C$5:C47,C47,AA$5:AA47,1)=1),F47,"")</f>
        <v/>
      </c>
      <c r="AD47" s="30" t="str">
        <f aca="false">IF(AND(B47="brand",E47="budget_probe",ISNUMBER(F47),I47=Lists!$X$4),IF(COUNTIFS(C$5:C47,C47,E$5:E47,"budget_probe",I$5:I47,Lists!$X$4)=1,F47,""),"")</f>
        <v/>
      </c>
      <c r="AE47" s="30" t="n">
        <f aca="false">IF(AND(B47="brand",E47="paid",ISNUMBER(F47)),IF(AND(SUMIFS(F$5:F47,B$5:B47,"brand",C$5:C47,C47,E$5:E47,"paid")&gt;=Inputs!$C$44,SUMIFS(F$5:F47,B$5:B47,"brand",C$5:C47,C47,E$5:E47,"paid")-F47&lt;Inputs!$C$44),1,0),0)</f>
        <v>0</v>
      </c>
    </row>
    <row r="48" customFormat="false" ht="15" hidden="false" customHeight="false" outlineLevel="0" collapsed="false">
      <c r="A48" s="102"/>
      <c r="B48" s="103"/>
      <c r="C48" s="103"/>
      <c r="D48" s="103"/>
      <c r="E48" s="103"/>
      <c r="F48" s="103"/>
      <c r="G48" s="103"/>
      <c r="H48" s="103"/>
      <c r="I48" s="103"/>
      <c r="T48" s="30" t="str">
        <f aca="false">IF(C48="","",IF(COUNTIFS(C$5:C48,C48,E$5:E48,E48)=1,1,0))</f>
        <v/>
      </c>
      <c r="U48" s="30" t="n">
        <f aca="false">IF(C48="",0,IF(AND(B48="brand",E48="budget_probe",N(F48)&gt;=Inputs!$C$124,H48="Y"),1,0))</f>
        <v>0</v>
      </c>
      <c r="V48" s="30" t="n">
        <f aca="false">IF(U48=1,IF(COUNTIFS(C$5:C48,C48,U$5:U48,1)=1,1,0),0)</f>
        <v>0</v>
      </c>
      <c r="W48" s="30" t="n">
        <f aca="false">IF(C48="",0,IF(AND(B48="office",E48="budget_probe",N(F48)&gt;=Inputs!$C$139),1,0))</f>
        <v>0</v>
      </c>
      <c r="X48" s="30" t="n">
        <f aca="false">IF(W48=1,IF(COUNTIFS(C$5:C48,C48,W$5:W48,1)=1,1,0),0)</f>
        <v>0</v>
      </c>
      <c r="Y48" s="30" t="n">
        <f aca="false">IF(C48="",0,IF(AND(B48="brand",E48="renewal_answer",TRIM(G48)="yes",N(F48)&gt;=Inputs!$C$135),1,0))</f>
        <v>0</v>
      </c>
      <c r="Z48" s="30" t="n">
        <f aca="false">IF(Y48=1,IF(COUNTIFS(C$5:C48,C48,Y$5:Y48,1)=1,1,0),0)</f>
        <v>0</v>
      </c>
      <c r="AA48" s="30" t="n">
        <f aca="false">IF(AND(E48="budget_probe",ISNUMBER(F48),I48&lt;&gt;Lists!$X$4),1,0)</f>
        <v>0</v>
      </c>
      <c r="AB48" s="30" t="str">
        <f aca="false">IF(AND(B48="office",AA48=1,COUNTIFS(C$5:C48,C48,AA$5:AA48,1)=1),F48,"")</f>
        <v/>
      </c>
      <c r="AC48" s="30" t="str">
        <f aca="false">IF(AND(B48="brand",AA48=1,COUNTIFS(C$5:C48,C48,AA$5:AA48,1)=1),F48,"")</f>
        <v/>
      </c>
      <c r="AD48" s="30" t="str">
        <f aca="false">IF(AND(B48="brand",E48="budget_probe",ISNUMBER(F48),I48=Lists!$X$4),IF(COUNTIFS(C$5:C48,C48,E$5:E48,"budget_probe",I$5:I48,Lists!$X$4)=1,F48,""),"")</f>
        <v/>
      </c>
      <c r="AE48" s="30" t="n">
        <f aca="false">IF(AND(B48="brand",E48="paid",ISNUMBER(F48)),IF(AND(SUMIFS(F$5:F48,B$5:B48,"brand",C$5:C48,C48,E$5:E48,"paid")&gt;=Inputs!$C$44,SUMIFS(F$5:F48,B$5:B48,"brand",C$5:C48,C48,E$5:E48,"paid")-F48&lt;Inputs!$C$44),1,0),0)</f>
        <v>0</v>
      </c>
    </row>
    <row r="49" customFormat="false" ht="15" hidden="false" customHeight="false" outlineLevel="0" collapsed="false">
      <c r="A49" s="102"/>
      <c r="B49" s="103"/>
      <c r="C49" s="103"/>
      <c r="D49" s="103"/>
      <c r="E49" s="103"/>
      <c r="F49" s="103"/>
      <c r="G49" s="103"/>
      <c r="H49" s="103"/>
      <c r="I49" s="103"/>
      <c r="T49" s="30" t="str">
        <f aca="false">IF(C49="","",IF(COUNTIFS(C$5:C49,C49,E$5:E49,E49)=1,1,0))</f>
        <v/>
      </c>
      <c r="U49" s="30" t="n">
        <f aca="false">IF(C49="",0,IF(AND(B49="brand",E49="budget_probe",N(F49)&gt;=Inputs!$C$124,H49="Y"),1,0))</f>
        <v>0</v>
      </c>
      <c r="V49" s="30" t="n">
        <f aca="false">IF(U49=1,IF(COUNTIFS(C$5:C49,C49,U$5:U49,1)=1,1,0),0)</f>
        <v>0</v>
      </c>
      <c r="W49" s="30" t="n">
        <f aca="false">IF(C49="",0,IF(AND(B49="office",E49="budget_probe",N(F49)&gt;=Inputs!$C$139),1,0))</f>
        <v>0</v>
      </c>
      <c r="X49" s="30" t="n">
        <f aca="false">IF(W49=1,IF(COUNTIFS(C$5:C49,C49,W$5:W49,1)=1,1,0),0)</f>
        <v>0</v>
      </c>
      <c r="Y49" s="30" t="n">
        <f aca="false">IF(C49="",0,IF(AND(B49="brand",E49="renewal_answer",TRIM(G49)="yes",N(F49)&gt;=Inputs!$C$135),1,0))</f>
        <v>0</v>
      </c>
      <c r="Z49" s="30" t="n">
        <f aca="false">IF(Y49=1,IF(COUNTIFS(C$5:C49,C49,Y$5:Y49,1)=1,1,0),0)</f>
        <v>0</v>
      </c>
      <c r="AA49" s="30" t="n">
        <f aca="false">IF(AND(E49="budget_probe",ISNUMBER(F49),I49&lt;&gt;Lists!$X$4),1,0)</f>
        <v>0</v>
      </c>
      <c r="AB49" s="30" t="str">
        <f aca="false">IF(AND(B49="office",AA49=1,COUNTIFS(C$5:C49,C49,AA$5:AA49,1)=1),F49,"")</f>
        <v/>
      </c>
      <c r="AC49" s="30" t="str">
        <f aca="false">IF(AND(B49="brand",AA49=1,COUNTIFS(C$5:C49,C49,AA$5:AA49,1)=1),F49,"")</f>
        <v/>
      </c>
      <c r="AD49" s="30" t="str">
        <f aca="false">IF(AND(B49="brand",E49="budget_probe",ISNUMBER(F49),I49=Lists!$X$4),IF(COUNTIFS(C$5:C49,C49,E$5:E49,"budget_probe",I$5:I49,Lists!$X$4)=1,F49,""),"")</f>
        <v/>
      </c>
      <c r="AE49" s="30" t="n">
        <f aca="false">IF(AND(B49="brand",E49="paid",ISNUMBER(F49)),IF(AND(SUMIFS(F$5:F49,B$5:B49,"brand",C$5:C49,C49,E$5:E49,"paid")&gt;=Inputs!$C$44,SUMIFS(F$5:F49,B$5:B49,"brand",C$5:C49,C49,E$5:E49,"paid")-F49&lt;Inputs!$C$44),1,0),0)</f>
        <v>0</v>
      </c>
    </row>
    <row r="50" customFormat="false" ht="15" hidden="false" customHeight="false" outlineLevel="0" collapsed="false">
      <c r="A50" s="102"/>
      <c r="B50" s="103"/>
      <c r="C50" s="103"/>
      <c r="D50" s="103"/>
      <c r="E50" s="103"/>
      <c r="F50" s="103"/>
      <c r="G50" s="103"/>
      <c r="H50" s="103"/>
      <c r="I50" s="103"/>
      <c r="T50" s="30" t="str">
        <f aca="false">IF(C50="","",IF(COUNTIFS(C$5:C50,C50,E$5:E50,E50)=1,1,0))</f>
        <v/>
      </c>
      <c r="U50" s="30" t="n">
        <f aca="false">IF(C50="",0,IF(AND(B50="brand",E50="budget_probe",N(F50)&gt;=Inputs!$C$124,H50="Y"),1,0))</f>
        <v>0</v>
      </c>
      <c r="V50" s="30" t="n">
        <f aca="false">IF(U50=1,IF(COUNTIFS(C$5:C50,C50,U$5:U50,1)=1,1,0),0)</f>
        <v>0</v>
      </c>
      <c r="W50" s="30" t="n">
        <f aca="false">IF(C50="",0,IF(AND(B50="office",E50="budget_probe",N(F50)&gt;=Inputs!$C$139),1,0))</f>
        <v>0</v>
      </c>
      <c r="X50" s="30" t="n">
        <f aca="false">IF(W50=1,IF(COUNTIFS(C$5:C50,C50,W$5:W50,1)=1,1,0),0)</f>
        <v>0</v>
      </c>
      <c r="Y50" s="30" t="n">
        <f aca="false">IF(C50="",0,IF(AND(B50="brand",E50="renewal_answer",TRIM(G50)="yes",N(F50)&gt;=Inputs!$C$135),1,0))</f>
        <v>0</v>
      </c>
      <c r="Z50" s="30" t="n">
        <f aca="false">IF(Y50=1,IF(COUNTIFS(C$5:C50,C50,Y$5:Y50,1)=1,1,0),0)</f>
        <v>0</v>
      </c>
      <c r="AA50" s="30" t="n">
        <f aca="false">IF(AND(E50="budget_probe",ISNUMBER(F50),I50&lt;&gt;Lists!$X$4),1,0)</f>
        <v>0</v>
      </c>
      <c r="AB50" s="30" t="str">
        <f aca="false">IF(AND(B50="office",AA50=1,COUNTIFS(C$5:C50,C50,AA$5:AA50,1)=1),F50,"")</f>
        <v/>
      </c>
      <c r="AC50" s="30" t="str">
        <f aca="false">IF(AND(B50="brand",AA50=1,COUNTIFS(C$5:C50,C50,AA$5:AA50,1)=1),F50,"")</f>
        <v/>
      </c>
      <c r="AD50" s="30" t="str">
        <f aca="false">IF(AND(B50="brand",E50="budget_probe",ISNUMBER(F50),I50=Lists!$X$4),IF(COUNTIFS(C$5:C50,C50,E$5:E50,"budget_probe",I$5:I50,Lists!$X$4)=1,F50,""),"")</f>
        <v/>
      </c>
      <c r="AE50" s="30" t="n">
        <f aca="false">IF(AND(B50="brand",E50="paid",ISNUMBER(F50)),IF(AND(SUMIFS(F$5:F50,B$5:B50,"brand",C$5:C50,C50,E$5:E50,"paid")&gt;=Inputs!$C$44,SUMIFS(F$5:F50,B$5:B50,"brand",C$5:C50,C50,E$5:E50,"paid")-F50&lt;Inputs!$C$44),1,0),0)</f>
        <v>0</v>
      </c>
    </row>
    <row r="51" customFormat="false" ht="15" hidden="false" customHeight="false" outlineLevel="0" collapsed="false">
      <c r="A51" s="102"/>
      <c r="B51" s="103"/>
      <c r="C51" s="103"/>
      <c r="D51" s="103"/>
      <c r="E51" s="103"/>
      <c r="F51" s="103"/>
      <c r="G51" s="103"/>
      <c r="H51" s="103"/>
      <c r="I51" s="103"/>
      <c r="T51" s="30" t="str">
        <f aca="false">IF(C51="","",IF(COUNTIFS(C$5:C51,C51,E$5:E51,E51)=1,1,0))</f>
        <v/>
      </c>
      <c r="U51" s="30" t="n">
        <f aca="false">IF(C51="",0,IF(AND(B51="brand",E51="budget_probe",N(F51)&gt;=Inputs!$C$124,H51="Y"),1,0))</f>
        <v>0</v>
      </c>
      <c r="V51" s="30" t="n">
        <f aca="false">IF(U51=1,IF(COUNTIFS(C$5:C51,C51,U$5:U51,1)=1,1,0),0)</f>
        <v>0</v>
      </c>
      <c r="W51" s="30" t="n">
        <f aca="false">IF(C51="",0,IF(AND(B51="office",E51="budget_probe",N(F51)&gt;=Inputs!$C$139),1,0))</f>
        <v>0</v>
      </c>
      <c r="X51" s="30" t="n">
        <f aca="false">IF(W51=1,IF(COUNTIFS(C$5:C51,C51,W$5:W51,1)=1,1,0),0)</f>
        <v>0</v>
      </c>
      <c r="Y51" s="30" t="n">
        <f aca="false">IF(C51="",0,IF(AND(B51="brand",E51="renewal_answer",TRIM(G51)="yes",N(F51)&gt;=Inputs!$C$135),1,0))</f>
        <v>0</v>
      </c>
      <c r="Z51" s="30" t="n">
        <f aca="false">IF(Y51=1,IF(COUNTIFS(C$5:C51,C51,Y$5:Y51,1)=1,1,0),0)</f>
        <v>0</v>
      </c>
      <c r="AA51" s="30" t="n">
        <f aca="false">IF(AND(E51="budget_probe",ISNUMBER(F51),I51&lt;&gt;Lists!$X$4),1,0)</f>
        <v>0</v>
      </c>
      <c r="AB51" s="30" t="str">
        <f aca="false">IF(AND(B51="office",AA51=1,COUNTIFS(C$5:C51,C51,AA$5:AA51,1)=1),F51,"")</f>
        <v/>
      </c>
      <c r="AC51" s="30" t="str">
        <f aca="false">IF(AND(B51="brand",AA51=1,COUNTIFS(C$5:C51,C51,AA$5:AA51,1)=1),F51,"")</f>
        <v/>
      </c>
      <c r="AD51" s="30" t="str">
        <f aca="false">IF(AND(B51="brand",E51="budget_probe",ISNUMBER(F51),I51=Lists!$X$4),IF(COUNTIFS(C$5:C51,C51,E$5:E51,"budget_probe",I$5:I51,Lists!$X$4)=1,F51,""),"")</f>
        <v/>
      </c>
      <c r="AE51" s="30" t="n">
        <f aca="false">IF(AND(B51="brand",E51="paid",ISNUMBER(F51)),IF(AND(SUMIFS(F$5:F51,B$5:B51,"brand",C$5:C51,C51,E$5:E51,"paid")&gt;=Inputs!$C$44,SUMIFS(F$5:F51,B$5:B51,"brand",C$5:C51,C51,E$5:E51,"paid")-F51&lt;Inputs!$C$44),1,0),0)</f>
        <v>0</v>
      </c>
    </row>
    <row r="52" customFormat="false" ht="15" hidden="false" customHeight="false" outlineLevel="0" collapsed="false">
      <c r="A52" s="102"/>
      <c r="B52" s="103"/>
      <c r="C52" s="103"/>
      <c r="D52" s="103"/>
      <c r="E52" s="103"/>
      <c r="F52" s="103"/>
      <c r="G52" s="103"/>
      <c r="H52" s="103"/>
      <c r="I52" s="103"/>
      <c r="T52" s="30" t="str">
        <f aca="false">IF(C52="","",IF(COUNTIFS(C$5:C52,C52,E$5:E52,E52)=1,1,0))</f>
        <v/>
      </c>
      <c r="U52" s="30" t="n">
        <f aca="false">IF(C52="",0,IF(AND(B52="brand",E52="budget_probe",N(F52)&gt;=Inputs!$C$124,H52="Y"),1,0))</f>
        <v>0</v>
      </c>
      <c r="V52" s="30" t="n">
        <f aca="false">IF(U52=1,IF(COUNTIFS(C$5:C52,C52,U$5:U52,1)=1,1,0),0)</f>
        <v>0</v>
      </c>
      <c r="W52" s="30" t="n">
        <f aca="false">IF(C52="",0,IF(AND(B52="office",E52="budget_probe",N(F52)&gt;=Inputs!$C$139),1,0))</f>
        <v>0</v>
      </c>
      <c r="X52" s="30" t="n">
        <f aca="false">IF(W52=1,IF(COUNTIFS(C$5:C52,C52,W$5:W52,1)=1,1,0),0)</f>
        <v>0</v>
      </c>
      <c r="Y52" s="30" t="n">
        <f aca="false">IF(C52="",0,IF(AND(B52="brand",E52="renewal_answer",TRIM(G52)="yes",N(F52)&gt;=Inputs!$C$135),1,0))</f>
        <v>0</v>
      </c>
      <c r="Z52" s="30" t="n">
        <f aca="false">IF(Y52=1,IF(COUNTIFS(C$5:C52,C52,Y$5:Y52,1)=1,1,0),0)</f>
        <v>0</v>
      </c>
      <c r="AA52" s="30" t="n">
        <f aca="false">IF(AND(E52="budget_probe",ISNUMBER(F52),I52&lt;&gt;Lists!$X$4),1,0)</f>
        <v>0</v>
      </c>
      <c r="AB52" s="30" t="str">
        <f aca="false">IF(AND(B52="office",AA52=1,COUNTIFS(C$5:C52,C52,AA$5:AA52,1)=1),F52,"")</f>
        <v/>
      </c>
      <c r="AC52" s="30" t="str">
        <f aca="false">IF(AND(B52="brand",AA52=1,COUNTIFS(C$5:C52,C52,AA$5:AA52,1)=1),F52,"")</f>
        <v/>
      </c>
      <c r="AD52" s="30" t="str">
        <f aca="false">IF(AND(B52="brand",E52="budget_probe",ISNUMBER(F52),I52=Lists!$X$4),IF(COUNTIFS(C$5:C52,C52,E$5:E52,"budget_probe",I$5:I52,Lists!$X$4)=1,F52,""),"")</f>
        <v/>
      </c>
      <c r="AE52" s="30" t="n">
        <f aca="false">IF(AND(B52="brand",E52="paid",ISNUMBER(F52)),IF(AND(SUMIFS(F$5:F52,B$5:B52,"brand",C$5:C52,C52,E$5:E52,"paid")&gt;=Inputs!$C$44,SUMIFS(F$5:F52,B$5:B52,"brand",C$5:C52,C52,E$5:E52,"paid")-F52&lt;Inputs!$C$44),1,0),0)</f>
        <v>0</v>
      </c>
    </row>
    <row r="53" customFormat="false" ht="15" hidden="false" customHeight="false" outlineLevel="0" collapsed="false">
      <c r="A53" s="102"/>
      <c r="B53" s="103"/>
      <c r="C53" s="103"/>
      <c r="D53" s="103"/>
      <c r="E53" s="103"/>
      <c r="F53" s="103"/>
      <c r="G53" s="103"/>
      <c r="H53" s="103"/>
      <c r="I53" s="103"/>
      <c r="T53" s="30" t="str">
        <f aca="false">IF(C53="","",IF(COUNTIFS(C$5:C53,C53,E$5:E53,E53)=1,1,0))</f>
        <v/>
      </c>
      <c r="U53" s="30" t="n">
        <f aca="false">IF(C53="",0,IF(AND(B53="brand",E53="budget_probe",N(F53)&gt;=Inputs!$C$124,H53="Y"),1,0))</f>
        <v>0</v>
      </c>
      <c r="V53" s="30" t="n">
        <f aca="false">IF(U53=1,IF(COUNTIFS(C$5:C53,C53,U$5:U53,1)=1,1,0),0)</f>
        <v>0</v>
      </c>
      <c r="W53" s="30" t="n">
        <f aca="false">IF(C53="",0,IF(AND(B53="office",E53="budget_probe",N(F53)&gt;=Inputs!$C$139),1,0))</f>
        <v>0</v>
      </c>
      <c r="X53" s="30" t="n">
        <f aca="false">IF(W53=1,IF(COUNTIFS(C$5:C53,C53,W$5:W53,1)=1,1,0),0)</f>
        <v>0</v>
      </c>
      <c r="Y53" s="30" t="n">
        <f aca="false">IF(C53="",0,IF(AND(B53="brand",E53="renewal_answer",TRIM(G53)="yes",N(F53)&gt;=Inputs!$C$135),1,0))</f>
        <v>0</v>
      </c>
      <c r="Z53" s="30" t="n">
        <f aca="false">IF(Y53=1,IF(COUNTIFS(C$5:C53,C53,Y$5:Y53,1)=1,1,0),0)</f>
        <v>0</v>
      </c>
      <c r="AA53" s="30" t="n">
        <f aca="false">IF(AND(E53="budget_probe",ISNUMBER(F53),I53&lt;&gt;Lists!$X$4),1,0)</f>
        <v>0</v>
      </c>
      <c r="AB53" s="30" t="str">
        <f aca="false">IF(AND(B53="office",AA53=1,COUNTIFS(C$5:C53,C53,AA$5:AA53,1)=1),F53,"")</f>
        <v/>
      </c>
      <c r="AC53" s="30" t="str">
        <f aca="false">IF(AND(B53="brand",AA53=1,COUNTIFS(C$5:C53,C53,AA$5:AA53,1)=1),F53,"")</f>
        <v/>
      </c>
      <c r="AD53" s="30" t="str">
        <f aca="false">IF(AND(B53="brand",E53="budget_probe",ISNUMBER(F53),I53=Lists!$X$4),IF(COUNTIFS(C$5:C53,C53,E$5:E53,"budget_probe",I$5:I53,Lists!$X$4)=1,F53,""),"")</f>
        <v/>
      </c>
      <c r="AE53" s="30" t="n">
        <f aca="false">IF(AND(B53="brand",E53="paid",ISNUMBER(F53)),IF(AND(SUMIFS(F$5:F53,B$5:B53,"brand",C$5:C53,C53,E$5:E53,"paid")&gt;=Inputs!$C$44,SUMIFS(F$5:F53,B$5:B53,"brand",C$5:C53,C53,E$5:E53,"paid")-F53&lt;Inputs!$C$44),1,0),0)</f>
        <v>0</v>
      </c>
    </row>
    <row r="54" customFormat="false" ht="15" hidden="false" customHeight="false" outlineLevel="0" collapsed="false">
      <c r="A54" s="102"/>
      <c r="B54" s="103"/>
      <c r="C54" s="103"/>
      <c r="D54" s="103"/>
      <c r="E54" s="103"/>
      <c r="F54" s="103"/>
      <c r="G54" s="103"/>
      <c r="H54" s="103"/>
      <c r="I54" s="103"/>
      <c r="T54" s="30" t="str">
        <f aca="false">IF(C54="","",IF(COUNTIFS(C$5:C54,C54,E$5:E54,E54)=1,1,0))</f>
        <v/>
      </c>
      <c r="U54" s="30" t="n">
        <f aca="false">IF(C54="",0,IF(AND(B54="brand",E54="budget_probe",N(F54)&gt;=Inputs!$C$124,H54="Y"),1,0))</f>
        <v>0</v>
      </c>
      <c r="V54" s="30" t="n">
        <f aca="false">IF(U54=1,IF(COUNTIFS(C$5:C54,C54,U$5:U54,1)=1,1,0),0)</f>
        <v>0</v>
      </c>
      <c r="W54" s="30" t="n">
        <f aca="false">IF(C54="",0,IF(AND(B54="office",E54="budget_probe",N(F54)&gt;=Inputs!$C$139),1,0))</f>
        <v>0</v>
      </c>
      <c r="X54" s="30" t="n">
        <f aca="false">IF(W54=1,IF(COUNTIFS(C$5:C54,C54,W$5:W54,1)=1,1,0),0)</f>
        <v>0</v>
      </c>
      <c r="Y54" s="30" t="n">
        <f aca="false">IF(C54="",0,IF(AND(B54="brand",E54="renewal_answer",TRIM(G54)="yes",N(F54)&gt;=Inputs!$C$135),1,0))</f>
        <v>0</v>
      </c>
      <c r="Z54" s="30" t="n">
        <f aca="false">IF(Y54=1,IF(COUNTIFS(C$5:C54,C54,Y$5:Y54,1)=1,1,0),0)</f>
        <v>0</v>
      </c>
      <c r="AA54" s="30" t="n">
        <f aca="false">IF(AND(E54="budget_probe",ISNUMBER(F54),I54&lt;&gt;Lists!$X$4),1,0)</f>
        <v>0</v>
      </c>
      <c r="AB54" s="30" t="str">
        <f aca="false">IF(AND(B54="office",AA54=1,COUNTIFS(C$5:C54,C54,AA$5:AA54,1)=1),F54,"")</f>
        <v/>
      </c>
      <c r="AC54" s="30" t="str">
        <f aca="false">IF(AND(B54="brand",AA54=1,COUNTIFS(C$5:C54,C54,AA$5:AA54,1)=1),F54,"")</f>
        <v/>
      </c>
      <c r="AD54" s="30" t="str">
        <f aca="false">IF(AND(B54="brand",E54="budget_probe",ISNUMBER(F54),I54=Lists!$X$4),IF(COUNTIFS(C$5:C54,C54,E$5:E54,"budget_probe",I$5:I54,Lists!$X$4)=1,F54,""),"")</f>
        <v/>
      </c>
      <c r="AE54" s="30" t="n">
        <f aca="false">IF(AND(B54="brand",E54="paid",ISNUMBER(F54)),IF(AND(SUMIFS(F$5:F54,B$5:B54,"brand",C$5:C54,C54,E$5:E54,"paid")&gt;=Inputs!$C$44,SUMIFS(F$5:F54,B$5:B54,"brand",C$5:C54,C54,E$5:E54,"paid")-F54&lt;Inputs!$C$44),1,0),0)</f>
        <v>0</v>
      </c>
    </row>
    <row r="55" customFormat="false" ht="15" hidden="false" customHeight="false" outlineLevel="0" collapsed="false">
      <c r="A55" s="102"/>
      <c r="B55" s="103"/>
      <c r="C55" s="103"/>
      <c r="D55" s="103"/>
      <c r="E55" s="103"/>
      <c r="F55" s="103"/>
      <c r="G55" s="103"/>
      <c r="H55" s="103"/>
      <c r="I55" s="103"/>
      <c r="T55" s="30" t="str">
        <f aca="false">IF(C55="","",IF(COUNTIFS(C$5:C55,C55,E$5:E55,E55)=1,1,0))</f>
        <v/>
      </c>
      <c r="U55" s="30" t="n">
        <f aca="false">IF(C55="",0,IF(AND(B55="brand",E55="budget_probe",N(F55)&gt;=Inputs!$C$124,H55="Y"),1,0))</f>
        <v>0</v>
      </c>
      <c r="V55" s="30" t="n">
        <f aca="false">IF(U55=1,IF(COUNTIFS(C$5:C55,C55,U$5:U55,1)=1,1,0),0)</f>
        <v>0</v>
      </c>
      <c r="W55" s="30" t="n">
        <f aca="false">IF(C55="",0,IF(AND(B55="office",E55="budget_probe",N(F55)&gt;=Inputs!$C$139),1,0))</f>
        <v>0</v>
      </c>
      <c r="X55" s="30" t="n">
        <f aca="false">IF(W55=1,IF(COUNTIFS(C$5:C55,C55,W$5:W55,1)=1,1,0),0)</f>
        <v>0</v>
      </c>
      <c r="Y55" s="30" t="n">
        <f aca="false">IF(C55="",0,IF(AND(B55="brand",E55="renewal_answer",TRIM(G55)="yes",N(F55)&gt;=Inputs!$C$135),1,0))</f>
        <v>0</v>
      </c>
      <c r="Z55" s="30" t="n">
        <f aca="false">IF(Y55=1,IF(COUNTIFS(C$5:C55,C55,Y$5:Y55,1)=1,1,0),0)</f>
        <v>0</v>
      </c>
      <c r="AA55" s="30" t="n">
        <f aca="false">IF(AND(E55="budget_probe",ISNUMBER(F55),I55&lt;&gt;Lists!$X$4),1,0)</f>
        <v>0</v>
      </c>
      <c r="AB55" s="30" t="str">
        <f aca="false">IF(AND(B55="office",AA55=1,COUNTIFS(C$5:C55,C55,AA$5:AA55,1)=1),F55,"")</f>
        <v/>
      </c>
      <c r="AC55" s="30" t="str">
        <f aca="false">IF(AND(B55="brand",AA55=1,COUNTIFS(C$5:C55,C55,AA$5:AA55,1)=1),F55,"")</f>
        <v/>
      </c>
      <c r="AD55" s="30" t="str">
        <f aca="false">IF(AND(B55="brand",E55="budget_probe",ISNUMBER(F55),I55=Lists!$X$4),IF(COUNTIFS(C$5:C55,C55,E$5:E55,"budget_probe",I$5:I55,Lists!$X$4)=1,F55,""),"")</f>
        <v/>
      </c>
      <c r="AE55" s="30" t="n">
        <f aca="false">IF(AND(B55="brand",E55="paid",ISNUMBER(F55)),IF(AND(SUMIFS(F$5:F55,B$5:B55,"brand",C$5:C55,C55,E$5:E55,"paid")&gt;=Inputs!$C$44,SUMIFS(F$5:F55,B$5:B55,"brand",C$5:C55,C55,E$5:E55,"paid")-F55&lt;Inputs!$C$44),1,0),0)</f>
        <v>0</v>
      </c>
    </row>
    <row r="56" customFormat="false" ht="15" hidden="false" customHeight="false" outlineLevel="0" collapsed="false">
      <c r="A56" s="102"/>
      <c r="B56" s="103"/>
      <c r="C56" s="103"/>
      <c r="D56" s="103"/>
      <c r="E56" s="103"/>
      <c r="F56" s="103"/>
      <c r="G56" s="103"/>
      <c r="H56" s="103"/>
      <c r="I56" s="103"/>
      <c r="T56" s="30" t="str">
        <f aca="false">IF(C56="","",IF(COUNTIFS(C$5:C56,C56,E$5:E56,E56)=1,1,0))</f>
        <v/>
      </c>
      <c r="U56" s="30" t="n">
        <f aca="false">IF(C56="",0,IF(AND(B56="brand",E56="budget_probe",N(F56)&gt;=Inputs!$C$124,H56="Y"),1,0))</f>
        <v>0</v>
      </c>
      <c r="V56" s="30" t="n">
        <f aca="false">IF(U56=1,IF(COUNTIFS(C$5:C56,C56,U$5:U56,1)=1,1,0),0)</f>
        <v>0</v>
      </c>
      <c r="W56" s="30" t="n">
        <f aca="false">IF(C56="",0,IF(AND(B56="office",E56="budget_probe",N(F56)&gt;=Inputs!$C$139),1,0))</f>
        <v>0</v>
      </c>
      <c r="X56" s="30" t="n">
        <f aca="false">IF(W56=1,IF(COUNTIFS(C$5:C56,C56,W$5:W56,1)=1,1,0),0)</f>
        <v>0</v>
      </c>
      <c r="Y56" s="30" t="n">
        <f aca="false">IF(C56="",0,IF(AND(B56="brand",E56="renewal_answer",TRIM(G56)="yes",N(F56)&gt;=Inputs!$C$135),1,0))</f>
        <v>0</v>
      </c>
      <c r="Z56" s="30" t="n">
        <f aca="false">IF(Y56=1,IF(COUNTIFS(C$5:C56,C56,Y$5:Y56,1)=1,1,0),0)</f>
        <v>0</v>
      </c>
      <c r="AA56" s="30" t="n">
        <f aca="false">IF(AND(E56="budget_probe",ISNUMBER(F56),I56&lt;&gt;Lists!$X$4),1,0)</f>
        <v>0</v>
      </c>
      <c r="AB56" s="30" t="str">
        <f aca="false">IF(AND(B56="office",AA56=1,COUNTIFS(C$5:C56,C56,AA$5:AA56,1)=1),F56,"")</f>
        <v/>
      </c>
      <c r="AC56" s="30" t="str">
        <f aca="false">IF(AND(B56="brand",AA56=1,COUNTIFS(C$5:C56,C56,AA$5:AA56,1)=1),F56,"")</f>
        <v/>
      </c>
      <c r="AD56" s="30" t="str">
        <f aca="false">IF(AND(B56="brand",E56="budget_probe",ISNUMBER(F56),I56=Lists!$X$4),IF(COUNTIFS(C$5:C56,C56,E$5:E56,"budget_probe",I$5:I56,Lists!$X$4)=1,F56,""),"")</f>
        <v/>
      </c>
      <c r="AE56" s="30" t="n">
        <f aca="false">IF(AND(B56="brand",E56="paid",ISNUMBER(F56)),IF(AND(SUMIFS(F$5:F56,B$5:B56,"brand",C$5:C56,C56,E$5:E56,"paid")&gt;=Inputs!$C$44,SUMIFS(F$5:F56,B$5:B56,"brand",C$5:C56,C56,E$5:E56,"paid")-F56&lt;Inputs!$C$44),1,0),0)</f>
        <v>0</v>
      </c>
    </row>
    <row r="57" customFormat="false" ht="15" hidden="false" customHeight="false" outlineLevel="0" collapsed="false">
      <c r="A57" s="102"/>
      <c r="B57" s="103"/>
      <c r="C57" s="103"/>
      <c r="D57" s="103"/>
      <c r="E57" s="103"/>
      <c r="F57" s="103"/>
      <c r="G57" s="103"/>
      <c r="H57" s="103"/>
      <c r="I57" s="103"/>
      <c r="T57" s="30" t="str">
        <f aca="false">IF(C57="","",IF(COUNTIFS(C$5:C57,C57,E$5:E57,E57)=1,1,0))</f>
        <v/>
      </c>
      <c r="U57" s="30" t="n">
        <f aca="false">IF(C57="",0,IF(AND(B57="brand",E57="budget_probe",N(F57)&gt;=Inputs!$C$124,H57="Y"),1,0))</f>
        <v>0</v>
      </c>
      <c r="V57" s="30" t="n">
        <f aca="false">IF(U57=1,IF(COUNTIFS(C$5:C57,C57,U$5:U57,1)=1,1,0),0)</f>
        <v>0</v>
      </c>
      <c r="W57" s="30" t="n">
        <f aca="false">IF(C57="",0,IF(AND(B57="office",E57="budget_probe",N(F57)&gt;=Inputs!$C$139),1,0))</f>
        <v>0</v>
      </c>
      <c r="X57" s="30" t="n">
        <f aca="false">IF(W57=1,IF(COUNTIFS(C$5:C57,C57,W$5:W57,1)=1,1,0),0)</f>
        <v>0</v>
      </c>
      <c r="Y57" s="30" t="n">
        <f aca="false">IF(C57="",0,IF(AND(B57="brand",E57="renewal_answer",TRIM(G57)="yes",N(F57)&gt;=Inputs!$C$135),1,0))</f>
        <v>0</v>
      </c>
      <c r="Z57" s="30" t="n">
        <f aca="false">IF(Y57=1,IF(COUNTIFS(C$5:C57,C57,Y$5:Y57,1)=1,1,0),0)</f>
        <v>0</v>
      </c>
      <c r="AA57" s="30" t="n">
        <f aca="false">IF(AND(E57="budget_probe",ISNUMBER(F57),I57&lt;&gt;Lists!$X$4),1,0)</f>
        <v>0</v>
      </c>
      <c r="AB57" s="30" t="str">
        <f aca="false">IF(AND(B57="office",AA57=1,COUNTIFS(C$5:C57,C57,AA$5:AA57,1)=1),F57,"")</f>
        <v/>
      </c>
      <c r="AC57" s="30" t="str">
        <f aca="false">IF(AND(B57="brand",AA57=1,COUNTIFS(C$5:C57,C57,AA$5:AA57,1)=1),F57,"")</f>
        <v/>
      </c>
      <c r="AD57" s="30" t="str">
        <f aca="false">IF(AND(B57="brand",E57="budget_probe",ISNUMBER(F57),I57=Lists!$X$4),IF(COUNTIFS(C$5:C57,C57,E$5:E57,"budget_probe",I$5:I57,Lists!$X$4)=1,F57,""),"")</f>
        <v/>
      </c>
      <c r="AE57" s="30" t="n">
        <f aca="false">IF(AND(B57="brand",E57="paid",ISNUMBER(F57)),IF(AND(SUMIFS(F$5:F57,B$5:B57,"brand",C$5:C57,C57,E$5:E57,"paid")&gt;=Inputs!$C$44,SUMIFS(F$5:F57,B$5:B57,"brand",C$5:C57,C57,E$5:E57,"paid")-F57&lt;Inputs!$C$44),1,0),0)</f>
        <v>0</v>
      </c>
    </row>
    <row r="58" customFormat="false" ht="15" hidden="false" customHeight="false" outlineLevel="0" collapsed="false">
      <c r="A58" s="102"/>
      <c r="B58" s="103"/>
      <c r="C58" s="103"/>
      <c r="D58" s="103"/>
      <c r="E58" s="103"/>
      <c r="F58" s="103"/>
      <c r="G58" s="103"/>
      <c r="H58" s="103"/>
      <c r="I58" s="103"/>
      <c r="T58" s="30" t="str">
        <f aca="false">IF(C58="","",IF(COUNTIFS(C$5:C58,C58,E$5:E58,E58)=1,1,0))</f>
        <v/>
      </c>
      <c r="U58" s="30" t="n">
        <f aca="false">IF(C58="",0,IF(AND(B58="brand",E58="budget_probe",N(F58)&gt;=Inputs!$C$124,H58="Y"),1,0))</f>
        <v>0</v>
      </c>
      <c r="V58" s="30" t="n">
        <f aca="false">IF(U58=1,IF(COUNTIFS(C$5:C58,C58,U$5:U58,1)=1,1,0),0)</f>
        <v>0</v>
      </c>
      <c r="W58" s="30" t="n">
        <f aca="false">IF(C58="",0,IF(AND(B58="office",E58="budget_probe",N(F58)&gt;=Inputs!$C$139),1,0))</f>
        <v>0</v>
      </c>
      <c r="X58" s="30" t="n">
        <f aca="false">IF(W58=1,IF(COUNTIFS(C$5:C58,C58,W$5:W58,1)=1,1,0),0)</f>
        <v>0</v>
      </c>
      <c r="Y58" s="30" t="n">
        <f aca="false">IF(C58="",0,IF(AND(B58="brand",E58="renewal_answer",TRIM(G58)="yes",N(F58)&gt;=Inputs!$C$135),1,0))</f>
        <v>0</v>
      </c>
      <c r="Z58" s="30" t="n">
        <f aca="false">IF(Y58=1,IF(COUNTIFS(C$5:C58,C58,Y$5:Y58,1)=1,1,0),0)</f>
        <v>0</v>
      </c>
      <c r="AA58" s="30" t="n">
        <f aca="false">IF(AND(E58="budget_probe",ISNUMBER(F58),I58&lt;&gt;Lists!$X$4),1,0)</f>
        <v>0</v>
      </c>
      <c r="AB58" s="30" t="str">
        <f aca="false">IF(AND(B58="office",AA58=1,COUNTIFS(C$5:C58,C58,AA$5:AA58,1)=1),F58,"")</f>
        <v/>
      </c>
      <c r="AC58" s="30" t="str">
        <f aca="false">IF(AND(B58="brand",AA58=1,COUNTIFS(C$5:C58,C58,AA$5:AA58,1)=1),F58,"")</f>
        <v/>
      </c>
      <c r="AD58" s="30" t="str">
        <f aca="false">IF(AND(B58="brand",E58="budget_probe",ISNUMBER(F58),I58=Lists!$X$4),IF(COUNTIFS(C$5:C58,C58,E$5:E58,"budget_probe",I$5:I58,Lists!$X$4)=1,F58,""),"")</f>
        <v/>
      </c>
      <c r="AE58" s="30" t="n">
        <f aca="false">IF(AND(B58="brand",E58="paid",ISNUMBER(F58)),IF(AND(SUMIFS(F$5:F58,B$5:B58,"brand",C$5:C58,C58,E$5:E58,"paid")&gt;=Inputs!$C$44,SUMIFS(F$5:F58,B$5:B58,"brand",C$5:C58,C58,E$5:E58,"paid")-F58&lt;Inputs!$C$44),1,0),0)</f>
        <v>0</v>
      </c>
    </row>
    <row r="59" customFormat="false" ht="15" hidden="false" customHeight="false" outlineLevel="0" collapsed="false">
      <c r="A59" s="102"/>
      <c r="B59" s="103"/>
      <c r="C59" s="103"/>
      <c r="D59" s="103"/>
      <c r="E59" s="103"/>
      <c r="F59" s="103"/>
      <c r="G59" s="103"/>
      <c r="H59" s="103"/>
      <c r="I59" s="103"/>
      <c r="T59" s="30" t="str">
        <f aca="false">IF(C59="","",IF(COUNTIFS(C$5:C59,C59,E$5:E59,E59)=1,1,0))</f>
        <v/>
      </c>
      <c r="U59" s="30" t="n">
        <f aca="false">IF(C59="",0,IF(AND(B59="brand",E59="budget_probe",N(F59)&gt;=Inputs!$C$124,H59="Y"),1,0))</f>
        <v>0</v>
      </c>
      <c r="V59" s="30" t="n">
        <f aca="false">IF(U59=1,IF(COUNTIFS(C$5:C59,C59,U$5:U59,1)=1,1,0),0)</f>
        <v>0</v>
      </c>
      <c r="W59" s="30" t="n">
        <f aca="false">IF(C59="",0,IF(AND(B59="office",E59="budget_probe",N(F59)&gt;=Inputs!$C$139),1,0))</f>
        <v>0</v>
      </c>
      <c r="X59" s="30" t="n">
        <f aca="false">IF(W59=1,IF(COUNTIFS(C$5:C59,C59,W$5:W59,1)=1,1,0),0)</f>
        <v>0</v>
      </c>
      <c r="Y59" s="30" t="n">
        <f aca="false">IF(C59="",0,IF(AND(B59="brand",E59="renewal_answer",TRIM(G59)="yes",N(F59)&gt;=Inputs!$C$135),1,0))</f>
        <v>0</v>
      </c>
      <c r="Z59" s="30" t="n">
        <f aca="false">IF(Y59=1,IF(COUNTIFS(C$5:C59,C59,Y$5:Y59,1)=1,1,0),0)</f>
        <v>0</v>
      </c>
      <c r="AA59" s="30" t="n">
        <f aca="false">IF(AND(E59="budget_probe",ISNUMBER(F59),I59&lt;&gt;Lists!$X$4),1,0)</f>
        <v>0</v>
      </c>
      <c r="AB59" s="30" t="str">
        <f aca="false">IF(AND(B59="office",AA59=1,COUNTIFS(C$5:C59,C59,AA$5:AA59,1)=1),F59,"")</f>
        <v/>
      </c>
      <c r="AC59" s="30" t="str">
        <f aca="false">IF(AND(B59="brand",AA59=1,COUNTIFS(C$5:C59,C59,AA$5:AA59,1)=1),F59,"")</f>
        <v/>
      </c>
      <c r="AD59" s="30" t="str">
        <f aca="false">IF(AND(B59="brand",E59="budget_probe",ISNUMBER(F59),I59=Lists!$X$4),IF(COUNTIFS(C$5:C59,C59,E$5:E59,"budget_probe",I$5:I59,Lists!$X$4)=1,F59,""),"")</f>
        <v/>
      </c>
      <c r="AE59" s="30" t="n">
        <f aca="false">IF(AND(B59="brand",E59="paid",ISNUMBER(F59)),IF(AND(SUMIFS(F$5:F59,B$5:B59,"brand",C$5:C59,C59,E$5:E59,"paid")&gt;=Inputs!$C$44,SUMIFS(F$5:F59,B$5:B59,"brand",C$5:C59,C59,E$5:E59,"paid")-F59&lt;Inputs!$C$44),1,0),0)</f>
        <v>0</v>
      </c>
    </row>
    <row r="60" customFormat="false" ht="15" hidden="false" customHeight="false" outlineLevel="0" collapsed="false">
      <c r="A60" s="102"/>
      <c r="B60" s="103"/>
      <c r="C60" s="103"/>
      <c r="D60" s="103"/>
      <c r="E60" s="103"/>
      <c r="F60" s="103"/>
      <c r="G60" s="103"/>
      <c r="H60" s="103"/>
      <c r="I60" s="103"/>
      <c r="T60" s="30" t="str">
        <f aca="false">IF(C60="","",IF(COUNTIFS(C$5:C60,C60,E$5:E60,E60)=1,1,0))</f>
        <v/>
      </c>
      <c r="U60" s="30" t="n">
        <f aca="false">IF(C60="",0,IF(AND(B60="brand",E60="budget_probe",N(F60)&gt;=Inputs!$C$124,H60="Y"),1,0))</f>
        <v>0</v>
      </c>
      <c r="V60" s="30" t="n">
        <f aca="false">IF(U60=1,IF(COUNTIFS(C$5:C60,C60,U$5:U60,1)=1,1,0),0)</f>
        <v>0</v>
      </c>
      <c r="W60" s="30" t="n">
        <f aca="false">IF(C60="",0,IF(AND(B60="office",E60="budget_probe",N(F60)&gt;=Inputs!$C$139),1,0))</f>
        <v>0</v>
      </c>
      <c r="X60" s="30" t="n">
        <f aca="false">IF(W60=1,IF(COUNTIFS(C$5:C60,C60,W$5:W60,1)=1,1,0),0)</f>
        <v>0</v>
      </c>
      <c r="Y60" s="30" t="n">
        <f aca="false">IF(C60="",0,IF(AND(B60="brand",E60="renewal_answer",TRIM(G60)="yes",N(F60)&gt;=Inputs!$C$135),1,0))</f>
        <v>0</v>
      </c>
      <c r="Z60" s="30" t="n">
        <f aca="false">IF(Y60=1,IF(COUNTIFS(C$5:C60,C60,Y$5:Y60,1)=1,1,0),0)</f>
        <v>0</v>
      </c>
      <c r="AA60" s="30" t="n">
        <f aca="false">IF(AND(E60="budget_probe",ISNUMBER(F60),I60&lt;&gt;Lists!$X$4),1,0)</f>
        <v>0</v>
      </c>
      <c r="AB60" s="30" t="str">
        <f aca="false">IF(AND(B60="office",AA60=1,COUNTIFS(C$5:C60,C60,AA$5:AA60,1)=1),F60,"")</f>
        <v/>
      </c>
      <c r="AC60" s="30" t="str">
        <f aca="false">IF(AND(B60="brand",AA60=1,COUNTIFS(C$5:C60,C60,AA$5:AA60,1)=1),F60,"")</f>
        <v/>
      </c>
      <c r="AD60" s="30" t="str">
        <f aca="false">IF(AND(B60="brand",E60="budget_probe",ISNUMBER(F60),I60=Lists!$X$4),IF(COUNTIFS(C$5:C60,C60,E$5:E60,"budget_probe",I$5:I60,Lists!$X$4)=1,F60,""),"")</f>
        <v/>
      </c>
      <c r="AE60" s="30" t="n">
        <f aca="false">IF(AND(B60="brand",E60="paid",ISNUMBER(F60)),IF(AND(SUMIFS(F$5:F60,B$5:B60,"brand",C$5:C60,C60,E$5:E60,"paid")&gt;=Inputs!$C$44,SUMIFS(F$5:F60,B$5:B60,"brand",C$5:C60,C60,E$5:E60,"paid")-F60&lt;Inputs!$C$44),1,0),0)</f>
        <v>0</v>
      </c>
    </row>
    <row r="61" customFormat="false" ht="15" hidden="false" customHeight="false" outlineLevel="0" collapsed="false">
      <c r="A61" s="102"/>
      <c r="B61" s="103"/>
      <c r="C61" s="103"/>
      <c r="D61" s="103"/>
      <c r="E61" s="103"/>
      <c r="F61" s="103"/>
      <c r="G61" s="103"/>
      <c r="H61" s="103"/>
      <c r="I61" s="103"/>
      <c r="T61" s="30" t="str">
        <f aca="false">IF(C61="","",IF(COUNTIFS(C$5:C61,C61,E$5:E61,E61)=1,1,0))</f>
        <v/>
      </c>
      <c r="U61" s="30" t="n">
        <f aca="false">IF(C61="",0,IF(AND(B61="brand",E61="budget_probe",N(F61)&gt;=Inputs!$C$124,H61="Y"),1,0))</f>
        <v>0</v>
      </c>
      <c r="V61" s="30" t="n">
        <f aca="false">IF(U61=1,IF(COUNTIFS(C$5:C61,C61,U$5:U61,1)=1,1,0),0)</f>
        <v>0</v>
      </c>
      <c r="W61" s="30" t="n">
        <f aca="false">IF(C61="",0,IF(AND(B61="office",E61="budget_probe",N(F61)&gt;=Inputs!$C$139),1,0))</f>
        <v>0</v>
      </c>
      <c r="X61" s="30" t="n">
        <f aca="false">IF(W61=1,IF(COUNTIFS(C$5:C61,C61,W$5:W61,1)=1,1,0),0)</f>
        <v>0</v>
      </c>
      <c r="Y61" s="30" t="n">
        <f aca="false">IF(C61="",0,IF(AND(B61="brand",E61="renewal_answer",TRIM(G61)="yes",N(F61)&gt;=Inputs!$C$135),1,0))</f>
        <v>0</v>
      </c>
      <c r="Z61" s="30" t="n">
        <f aca="false">IF(Y61=1,IF(COUNTIFS(C$5:C61,C61,Y$5:Y61,1)=1,1,0),0)</f>
        <v>0</v>
      </c>
      <c r="AA61" s="30" t="n">
        <f aca="false">IF(AND(E61="budget_probe",ISNUMBER(F61),I61&lt;&gt;Lists!$X$4),1,0)</f>
        <v>0</v>
      </c>
      <c r="AB61" s="30" t="str">
        <f aca="false">IF(AND(B61="office",AA61=1,COUNTIFS(C$5:C61,C61,AA$5:AA61,1)=1),F61,"")</f>
        <v/>
      </c>
      <c r="AC61" s="30" t="str">
        <f aca="false">IF(AND(B61="brand",AA61=1,COUNTIFS(C$5:C61,C61,AA$5:AA61,1)=1),F61,"")</f>
        <v/>
      </c>
      <c r="AD61" s="30" t="str">
        <f aca="false">IF(AND(B61="brand",E61="budget_probe",ISNUMBER(F61),I61=Lists!$X$4),IF(COUNTIFS(C$5:C61,C61,E$5:E61,"budget_probe",I$5:I61,Lists!$X$4)=1,F61,""),"")</f>
        <v/>
      </c>
      <c r="AE61" s="30" t="n">
        <f aca="false">IF(AND(B61="brand",E61="paid",ISNUMBER(F61)),IF(AND(SUMIFS(F$5:F61,B$5:B61,"brand",C$5:C61,C61,E$5:E61,"paid")&gt;=Inputs!$C$44,SUMIFS(F$5:F61,B$5:B61,"brand",C$5:C61,C61,E$5:E61,"paid")-F61&lt;Inputs!$C$44),1,0),0)</f>
        <v>0</v>
      </c>
    </row>
    <row r="62" customFormat="false" ht="15" hidden="false" customHeight="false" outlineLevel="0" collapsed="false">
      <c r="A62" s="102"/>
      <c r="B62" s="103"/>
      <c r="C62" s="103"/>
      <c r="D62" s="103"/>
      <c r="E62" s="103"/>
      <c r="F62" s="103"/>
      <c r="G62" s="103"/>
      <c r="H62" s="103"/>
      <c r="I62" s="103"/>
      <c r="T62" s="30" t="str">
        <f aca="false">IF(C62="","",IF(COUNTIFS(C$5:C62,C62,E$5:E62,E62)=1,1,0))</f>
        <v/>
      </c>
      <c r="U62" s="30" t="n">
        <f aca="false">IF(C62="",0,IF(AND(B62="brand",E62="budget_probe",N(F62)&gt;=Inputs!$C$124,H62="Y"),1,0))</f>
        <v>0</v>
      </c>
      <c r="V62" s="30" t="n">
        <f aca="false">IF(U62=1,IF(COUNTIFS(C$5:C62,C62,U$5:U62,1)=1,1,0),0)</f>
        <v>0</v>
      </c>
      <c r="W62" s="30" t="n">
        <f aca="false">IF(C62="",0,IF(AND(B62="office",E62="budget_probe",N(F62)&gt;=Inputs!$C$139),1,0))</f>
        <v>0</v>
      </c>
      <c r="X62" s="30" t="n">
        <f aca="false">IF(W62=1,IF(COUNTIFS(C$5:C62,C62,W$5:W62,1)=1,1,0),0)</f>
        <v>0</v>
      </c>
      <c r="Y62" s="30" t="n">
        <f aca="false">IF(C62="",0,IF(AND(B62="brand",E62="renewal_answer",TRIM(G62)="yes",N(F62)&gt;=Inputs!$C$135),1,0))</f>
        <v>0</v>
      </c>
      <c r="Z62" s="30" t="n">
        <f aca="false">IF(Y62=1,IF(COUNTIFS(C$5:C62,C62,Y$5:Y62,1)=1,1,0),0)</f>
        <v>0</v>
      </c>
      <c r="AA62" s="30" t="n">
        <f aca="false">IF(AND(E62="budget_probe",ISNUMBER(F62),I62&lt;&gt;Lists!$X$4),1,0)</f>
        <v>0</v>
      </c>
      <c r="AB62" s="30" t="str">
        <f aca="false">IF(AND(B62="office",AA62=1,COUNTIFS(C$5:C62,C62,AA$5:AA62,1)=1),F62,"")</f>
        <v/>
      </c>
      <c r="AC62" s="30" t="str">
        <f aca="false">IF(AND(B62="brand",AA62=1,COUNTIFS(C$5:C62,C62,AA$5:AA62,1)=1),F62,"")</f>
        <v/>
      </c>
      <c r="AD62" s="30" t="str">
        <f aca="false">IF(AND(B62="brand",E62="budget_probe",ISNUMBER(F62),I62=Lists!$X$4),IF(COUNTIFS(C$5:C62,C62,E$5:E62,"budget_probe",I$5:I62,Lists!$X$4)=1,F62,""),"")</f>
        <v/>
      </c>
      <c r="AE62" s="30" t="n">
        <f aca="false">IF(AND(B62="brand",E62="paid",ISNUMBER(F62)),IF(AND(SUMIFS(F$5:F62,B$5:B62,"brand",C$5:C62,C62,E$5:E62,"paid")&gt;=Inputs!$C$44,SUMIFS(F$5:F62,B$5:B62,"brand",C$5:C62,C62,E$5:E62,"paid")-F62&lt;Inputs!$C$44),1,0),0)</f>
        <v>0</v>
      </c>
    </row>
    <row r="63" customFormat="false" ht="15" hidden="false" customHeight="false" outlineLevel="0" collapsed="false">
      <c r="A63" s="102"/>
      <c r="B63" s="103"/>
      <c r="C63" s="103"/>
      <c r="D63" s="103"/>
      <c r="E63" s="103"/>
      <c r="F63" s="103"/>
      <c r="G63" s="103"/>
      <c r="H63" s="103"/>
      <c r="I63" s="103"/>
      <c r="T63" s="30" t="str">
        <f aca="false">IF(C63="","",IF(COUNTIFS(C$5:C63,C63,E$5:E63,E63)=1,1,0))</f>
        <v/>
      </c>
      <c r="U63" s="30" t="n">
        <f aca="false">IF(C63="",0,IF(AND(B63="brand",E63="budget_probe",N(F63)&gt;=Inputs!$C$124,H63="Y"),1,0))</f>
        <v>0</v>
      </c>
      <c r="V63" s="30" t="n">
        <f aca="false">IF(U63=1,IF(COUNTIFS(C$5:C63,C63,U$5:U63,1)=1,1,0),0)</f>
        <v>0</v>
      </c>
      <c r="W63" s="30" t="n">
        <f aca="false">IF(C63="",0,IF(AND(B63="office",E63="budget_probe",N(F63)&gt;=Inputs!$C$139),1,0))</f>
        <v>0</v>
      </c>
      <c r="X63" s="30" t="n">
        <f aca="false">IF(W63=1,IF(COUNTIFS(C$5:C63,C63,W$5:W63,1)=1,1,0),0)</f>
        <v>0</v>
      </c>
      <c r="Y63" s="30" t="n">
        <f aca="false">IF(C63="",0,IF(AND(B63="brand",E63="renewal_answer",TRIM(G63)="yes",N(F63)&gt;=Inputs!$C$135),1,0))</f>
        <v>0</v>
      </c>
      <c r="Z63" s="30" t="n">
        <f aca="false">IF(Y63=1,IF(COUNTIFS(C$5:C63,C63,Y$5:Y63,1)=1,1,0),0)</f>
        <v>0</v>
      </c>
      <c r="AA63" s="30" t="n">
        <f aca="false">IF(AND(E63="budget_probe",ISNUMBER(F63),I63&lt;&gt;Lists!$X$4),1,0)</f>
        <v>0</v>
      </c>
      <c r="AB63" s="30" t="str">
        <f aca="false">IF(AND(B63="office",AA63=1,COUNTIFS(C$5:C63,C63,AA$5:AA63,1)=1),F63,"")</f>
        <v/>
      </c>
      <c r="AC63" s="30" t="str">
        <f aca="false">IF(AND(B63="brand",AA63=1,COUNTIFS(C$5:C63,C63,AA$5:AA63,1)=1),F63,"")</f>
        <v/>
      </c>
      <c r="AD63" s="30" t="str">
        <f aca="false">IF(AND(B63="brand",E63="budget_probe",ISNUMBER(F63),I63=Lists!$X$4),IF(COUNTIFS(C$5:C63,C63,E$5:E63,"budget_probe",I$5:I63,Lists!$X$4)=1,F63,""),"")</f>
        <v/>
      </c>
      <c r="AE63" s="30" t="n">
        <f aca="false">IF(AND(B63="brand",E63="paid",ISNUMBER(F63)),IF(AND(SUMIFS(F$5:F63,B$5:B63,"brand",C$5:C63,C63,E$5:E63,"paid")&gt;=Inputs!$C$44,SUMIFS(F$5:F63,B$5:B63,"brand",C$5:C63,C63,E$5:E63,"paid")-F63&lt;Inputs!$C$44),1,0),0)</f>
        <v>0</v>
      </c>
    </row>
    <row r="64" customFormat="false" ht="15" hidden="false" customHeight="false" outlineLevel="0" collapsed="false">
      <c r="A64" s="102"/>
      <c r="B64" s="103"/>
      <c r="C64" s="103"/>
      <c r="D64" s="103"/>
      <c r="E64" s="103"/>
      <c r="F64" s="103"/>
      <c r="G64" s="103"/>
      <c r="H64" s="103"/>
      <c r="I64" s="103"/>
      <c r="T64" s="30" t="str">
        <f aca="false">IF(C64="","",IF(COUNTIFS(C$5:C64,C64,E$5:E64,E64)=1,1,0))</f>
        <v/>
      </c>
      <c r="U64" s="30" t="n">
        <f aca="false">IF(C64="",0,IF(AND(B64="brand",E64="budget_probe",N(F64)&gt;=Inputs!$C$124,H64="Y"),1,0))</f>
        <v>0</v>
      </c>
      <c r="V64" s="30" t="n">
        <f aca="false">IF(U64=1,IF(COUNTIFS(C$5:C64,C64,U$5:U64,1)=1,1,0),0)</f>
        <v>0</v>
      </c>
      <c r="W64" s="30" t="n">
        <f aca="false">IF(C64="",0,IF(AND(B64="office",E64="budget_probe",N(F64)&gt;=Inputs!$C$139),1,0))</f>
        <v>0</v>
      </c>
      <c r="X64" s="30" t="n">
        <f aca="false">IF(W64=1,IF(COUNTIFS(C$5:C64,C64,W$5:W64,1)=1,1,0),0)</f>
        <v>0</v>
      </c>
      <c r="Y64" s="30" t="n">
        <f aca="false">IF(C64="",0,IF(AND(B64="brand",E64="renewal_answer",TRIM(G64)="yes",N(F64)&gt;=Inputs!$C$135),1,0))</f>
        <v>0</v>
      </c>
      <c r="Z64" s="30" t="n">
        <f aca="false">IF(Y64=1,IF(COUNTIFS(C$5:C64,C64,Y$5:Y64,1)=1,1,0),0)</f>
        <v>0</v>
      </c>
      <c r="AA64" s="30" t="n">
        <f aca="false">IF(AND(E64="budget_probe",ISNUMBER(F64),I64&lt;&gt;Lists!$X$4),1,0)</f>
        <v>0</v>
      </c>
      <c r="AB64" s="30" t="str">
        <f aca="false">IF(AND(B64="office",AA64=1,COUNTIFS(C$5:C64,C64,AA$5:AA64,1)=1),F64,"")</f>
        <v/>
      </c>
      <c r="AC64" s="30" t="str">
        <f aca="false">IF(AND(B64="brand",AA64=1,COUNTIFS(C$5:C64,C64,AA$5:AA64,1)=1),F64,"")</f>
        <v/>
      </c>
      <c r="AD64" s="30" t="str">
        <f aca="false">IF(AND(B64="brand",E64="budget_probe",ISNUMBER(F64),I64=Lists!$X$4),IF(COUNTIFS(C$5:C64,C64,E$5:E64,"budget_probe",I$5:I64,Lists!$X$4)=1,F64,""),"")</f>
        <v/>
      </c>
      <c r="AE64" s="30" t="n">
        <f aca="false">IF(AND(B64="brand",E64="paid",ISNUMBER(F64)),IF(AND(SUMIFS(F$5:F64,B$5:B64,"brand",C$5:C64,C64,E$5:E64,"paid")&gt;=Inputs!$C$44,SUMIFS(F$5:F64,B$5:B64,"brand",C$5:C64,C64,E$5:E64,"paid")-F64&lt;Inputs!$C$44),1,0),0)</f>
        <v>0</v>
      </c>
    </row>
    <row r="65" customFormat="false" ht="15" hidden="false" customHeight="false" outlineLevel="0" collapsed="false">
      <c r="A65" s="102"/>
      <c r="B65" s="103"/>
      <c r="C65" s="103"/>
      <c r="D65" s="103"/>
      <c r="E65" s="103"/>
      <c r="F65" s="103"/>
      <c r="G65" s="103"/>
      <c r="H65" s="103"/>
      <c r="I65" s="103"/>
      <c r="T65" s="30" t="str">
        <f aca="false">IF(C65="","",IF(COUNTIFS(C$5:C65,C65,E$5:E65,E65)=1,1,0))</f>
        <v/>
      </c>
      <c r="U65" s="30" t="n">
        <f aca="false">IF(C65="",0,IF(AND(B65="brand",E65="budget_probe",N(F65)&gt;=Inputs!$C$124,H65="Y"),1,0))</f>
        <v>0</v>
      </c>
      <c r="V65" s="30" t="n">
        <f aca="false">IF(U65=1,IF(COUNTIFS(C$5:C65,C65,U$5:U65,1)=1,1,0),0)</f>
        <v>0</v>
      </c>
      <c r="W65" s="30" t="n">
        <f aca="false">IF(C65="",0,IF(AND(B65="office",E65="budget_probe",N(F65)&gt;=Inputs!$C$139),1,0))</f>
        <v>0</v>
      </c>
      <c r="X65" s="30" t="n">
        <f aca="false">IF(W65=1,IF(COUNTIFS(C$5:C65,C65,W$5:W65,1)=1,1,0),0)</f>
        <v>0</v>
      </c>
      <c r="Y65" s="30" t="n">
        <f aca="false">IF(C65="",0,IF(AND(B65="brand",E65="renewal_answer",TRIM(G65)="yes",N(F65)&gt;=Inputs!$C$135),1,0))</f>
        <v>0</v>
      </c>
      <c r="Z65" s="30" t="n">
        <f aca="false">IF(Y65=1,IF(COUNTIFS(C$5:C65,C65,Y$5:Y65,1)=1,1,0),0)</f>
        <v>0</v>
      </c>
      <c r="AA65" s="30" t="n">
        <f aca="false">IF(AND(E65="budget_probe",ISNUMBER(F65),I65&lt;&gt;Lists!$X$4),1,0)</f>
        <v>0</v>
      </c>
      <c r="AB65" s="30" t="str">
        <f aca="false">IF(AND(B65="office",AA65=1,COUNTIFS(C$5:C65,C65,AA$5:AA65,1)=1),F65,"")</f>
        <v/>
      </c>
      <c r="AC65" s="30" t="str">
        <f aca="false">IF(AND(B65="brand",AA65=1,COUNTIFS(C$5:C65,C65,AA$5:AA65,1)=1),F65,"")</f>
        <v/>
      </c>
      <c r="AD65" s="30" t="str">
        <f aca="false">IF(AND(B65="brand",E65="budget_probe",ISNUMBER(F65),I65=Lists!$X$4),IF(COUNTIFS(C$5:C65,C65,E$5:E65,"budget_probe",I$5:I65,Lists!$X$4)=1,F65,""),"")</f>
        <v/>
      </c>
      <c r="AE65" s="30" t="n">
        <f aca="false">IF(AND(B65="brand",E65="paid",ISNUMBER(F65)),IF(AND(SUMIFS(F$5:F65,B$5:B65,"brand",C$5:C65,C65,E$5:E65,"paid")&gt;=Inputs!$C$44,SUMIFS(F$5:F65,B$5:B65,"brand",C$5:C65,C65,E$5:E65,"paid")-F65&lt;Inputs!$C$44),1,0),0)</f>
        <v>0</v>
      </c>
    </row>
    <row r="66" customFormat="false" ht="15" hidden="false" customHeight="false" outlineLevel="0" collapsed="false">
      <c r="A66" s="102"/>
      <c r="B66" s="103"/>
      <c r="C66" s="103"/>
      <c r="D66" s="103"/>
      <c r="E66" s="103"/>
      <c r="F66" s="103"/>
      <c r="G66" s="103"/>
      <c r="H66" s="103"/>
      <c r="I66" s="103"/>
      <c r="T66" s="30" t="str">
        <f aca="false">IF(C66="","",IF(COUNTIFS(C$5:C66,C66,E$5:E66,E66)=1,1,0))</f>
        <v/>
      </c>
      <c r="U66" s="30" t="n">
        <f aca="false">IF(C66="",0,IF(AND(B66="brand",E66="budget_probe",N(F66)&gt;=Inputs!$C$124,H66="Y"),1,0))</f>
        <v>0</v>
      </c>
      <c r="V66" s="30" t="n">
        <f aca="false">IF(U66=1,IF(COUNTIFS(C$5:C66,C66,U$5:U66,1)=1,1,0),0)</f>
        <v>0</v>
      </c>
      <c r="W66" s="30" t="n">
        <f aca="false">IF(C66="",0,IF(AND(B66="office",E66="budget_probe",N(F66)&gt;=Inputs!$C$139),1,0))</f>
        <v>0</v>
      </c>
      <c r="X66" s="30" t="n">
        <f aca="false">IF(W66=1,IF(COUNTIFS(C$5:C66,C66,W$5:W66,1)=1,1,0),0)</f>
        <v>0</v>
      </c>
      <c r="Y66" s="30" t="n">
        <f aca="false">IF(C66="",0,IF(AND(B66="brand",E66="renewal_answer",TRIM(G66)="yes",N(F66)&gt;=Inputs!$C$135),1,0))</f>
        <v>0</v>
      </c>
      <c r="Z66" s="30" t="n">
        <f aca="false">IF(Y66=1,IF(COUNTIFS(C$5:C66,C66,Y$5:Y66,1)=1,1,0),0)</f>
        <v>0</v>
      </c>
      <c r="AA66" s="30" t="n">
        <f aca="false">IF(AND(E66="budget_probe",ISNUMBER(F66),I66&lt;&gt;Lists!$X$4),1,0)</f>
        <v>0</v>
      </c>
      <c r="AB66" s="30" t="str">
        <f aca="false">IF(AND(B66="office",AA66=1,COUNTIFS(C$5:C66,C66,AA$5:AA66,1)=1),F66,"")</f>
        <v/>
      </c>
      <c r="AC66" s="30" t="str">
        <f aca="false">IF(AND(B66="brand",AA66=1,COUNTIFS(C$5:C66,C66,AA$5:AA66,1)=1),F66,"")</f>
        <v/>
      </c>
      <c r="AD66" s="30" t="str">
        <f aca="false">IF(AND(B66="brand",E66="budget_probe",ISNUMBER(F66),I66=Lists!$X$4),IF(COUNTIFS(C$5:C66,C66,E$5:E66,"budget_probe",I$5:I66,Lists!$X$4)=1,F66,""),"")</f>
        <v/>
      </c>
      <c r="AE66" s="30" t="n">
        <f aca="false">IF(AND(B66="brand",E66="paid",ISNUMBER(F66)),IF(AND(SUMIFS(F$5:F66,B$5:B66,"brand",C$5:C66,C66,E$5:E66,"paid")&gt;=Inputs!$C$44,SUMIFS(F$5:F66,B$5:B66,"brand",C$5:C66,C66,E$5:E66,"paid")-F66&lt;Inputs!$C$44),1,0),0)</f>
        <v>0</v>
      </c>
    </row>
    <row r="67" customFormat="false" ht="15" hidden="false" customHeight="false" outlineLevel="0" collapsed="false">
      <c r="A67" s="102"/>
      <c r="B67" s="103"/>
      <c r="C67" s="103"/>
      <c r="D67" s="103"/>
      <c r="E67" s="103"/>
      <c r="F67" s="103"/>
      <c r="G67" s="103"/>
      <c r="H67" s="103"/>
      <c r="I67" s="103"/>
      <c r="T67" s="30" t="str">
        <f aca="false">IF(C67="","",IF(COUNTIFS(C$5:C67,C67,E$5:E67,E67)=1,1,0))</f>
        <v/>
      </c>
      <c r="U67" s="30" t="n">
        <f aca="false">IF(C67="",0,IF(AND(B67="brand",E67="budget_probe",N(F67)&gt;=Inputs!$C$124,H67="Y"),1,0))</f>
        <v>0</v>
      </c>
      <c r="V67" s="30" t="n">
        <f aca="false">IF(U67=1,IF(COUNTIFS(C$5:C67,C67,U$5:U67,1)=1,1,0),0)</f>
        <v>0</v>
      </c>
      <c r="W67" s="30" t="n">
        <f aca="false">IF(C67="",0,IF(AND(B67="office",E67="budget_probe",N(F67)&gt;=Inputs!$C$139),1,0))</f>
        <v>0</v>
      </c>
      <c r="X67" s="30" t="n">
        <f aca="false">IF(W67=1,IF(COUNTIFS(C$5:C67,C67,W$5:W67,1)=1,1,0),0)</f>
        <v>0</v>
      </c>
      <c r="Y67" s="30" t="n">
        <f aca="false">IF(C67="",0,IF(AND(B67="brand",E67="renewal_answer",TRIM(G67)="yes",N(F67)&gt;=Inputs!$C$135),1,0))</f>
        <v>0</v>
      </c>
      <c r="Z67" s="30" t="n">
        <f aca="false">IF(Y67=1,IF(COUNTIFS(C$5:C67,C67,Y$5:Y67,1)=1,1,0),0)</f>
        <v>0</v>
      </c>
      <c r="AA67" s="30" t="n">
        <f aca="false">IF(AND(E67="budget_probe",ISNUMBER(F67),I67&lt;&gt;Lists!$X$4),1,0)</f>
        <v>0</v>
      </c>
      <c r="AB67" s="30" t="str">
        <f aca="false">IF(AND(B67="office",AA67=1,COUNTIFS(C$5:C67,C67,AA$5:AA67,1)=1),F67,"")</f>
        <v/>
      </c>
      <c r="AC67" s="30" t="str">
        <f aca="false">IF(AND(B67="brand",AA67=1,COUNTIFS(C$5:C67,C67,AA$5:AA67,1)=1),F67,"")</f>
        <v/>
      </c>
      <c r="AD67" s="30" t="str">
        <f aca="false">IF(AND(B67="brand",E67="budget_probe",ISNUMBER(F67),I67=Lists!$X$4),IF(COUNTIFS(C$5:C67,C67,E$5:E67,"budget_probe",I$5:I67,Lists!$X$4)=1,F67,""),"")</f>
        <v/>
      </c>
      <c r="AE67" s="30" t="n">
        <f aca="false">IF(AND(B67="brand",E67="paid",ISNUMBER(F67)),IF(AND(SUMIFS(F$5:F67,B$5:B67,"brand",C$5:C67,C67,E$5:E67,"paid")&gt;=Inputs!$C$44,SUMIFS(F$5:F67,B$5:B67,"brand",C$5:C67,C67,E$5:E67,"paid")-F67&lt;Inputs!$C$44),1,0),0)</f>
        <v>0</v>
      </c>
    </row>
    <row r="68" customFormat="false" ht="15" hidden="false" customHeight="false" outlineLevel="0" collapsed="false">
      <c r="A68" s="102"/>
      <c r="B68" s="103"/>
      <c r="C68" s="103"/>
      <c r="D68" s="103"/>
      <c r="E68" s="103"/>
      <c r="F68" s="103"/>
      <c r="G68" s="103"/>
      <c r="H68" s="103"/>
      <c r="I68" s="103"/>
      <c r="T68" s="30" t="str">
        <f aca="false">IF(C68="","",IF(COUNTIFS(C$5:C68,C68,E$5:E68,E68)=1,1,0))</f>
        <v/>
      </c>
      <c r="U68" s="30" t="n">
        <f aca="false">IF(C68="",0,IF(AND(B68="brand",E68="budget_probe",N(F68)&gt;=Inputs!$C$124,H68="Y"),1,0))</f>
        <v>0</v>
      </c>
      <c r="V68" s="30" t="n">
        <f aca="false">IF(U68=1,IF(COUNTIFS(C$5:C68,C68,U$5:U68,1)=1,1,0),0)</f>
        <v>0</v>
      </c>
      <c r="W68" s="30" t="n">
        <f aca="false">IF(C68="",0,IF(AND(B68="office",E68="budget_probe",N(F68)&gt;=Inputs!$C$139),1,0))</f>
        <v>0</v>
      </c>
      <c r="X68" s="30" t="n">
        <f aca="false">IF(W68=1,IF(COUNTIFS(C$5:C68,C68,W$5:W68,1)=1,1,0),0)</f>
        <v>0</v>
      </c>
      <c r="Y68" s="30" t="n">
        <f aca="false">IF(C68="",0,IF(AND(B68="brand",E68="renewal_answer",TRIM(G68)="yes",N(F68)&gt;=Inputs!$C$135),1,0))</f>
        <v>0</v>
      </c>
      <c r="Z68" s="30" t="n">
        <f aca="false">IF(Y68=1,IF(COUNTIFS(C$5:C68,C68,Y$5:Y68,1)=1,1,0),0)</f>
        <v>0</v>
      </c>
      <c r="AA68" s="30" t="n">
        <f aca="false">IF(AND(E68="budget_probe",ISNUMBER(F68),I68&lt;&gt;Lists!$X$4),1,0)</f>
        <v>0</v>
      </c>
      <c r="AB68" s="30" t="str">
        <f aca="false">IF(AND(B68="office",AA68=1,COUNTIFS(C$5:C68,C68,AA$5:AA68,1)=1),F68,"")</f>
        <v/>
      </c>
      <c r="AC68" s="30" t="str">
        <f aca="false">IF(AND(B68="brand",AA68=1,COUNTIFS(C$5:C68,C68,AA$5:AA68,1)=1),F68,"")</f>
        <v/>
      </c>
      <c r="AD68" s="30" t="str">
        <f aca="false">IF(AND(B68="brand",E68="budget_probe",ISNUMBER(F68),I68=Lists!$X$4),IF(COUNTIFS(C$5:C68,C68,E$5:E68,"budget_probe",I$5:I68,Lists!$X$4)=1,F68,""),"")</f>
        <v/>
      </c>
      <c r="AE68" s="30" t="n">
        <f aca="false">IF(AND(B68="brand",E68="paid",ISNUMBER(F68)),IF(AND(SUMIFS(F$5:F68,B$5:B68,"brand",C$5:C68,C68,E$5:E68,"paid")&gt;=Inputs!$C$44,SUMIFS(F$5:F68,B$5:B68,"brand",C$5:C68,C68,E$5:E68,"paid")-F68&lt;Inputs!$C$44),1,0),0)</f>
        <v>0</v>
      </c>
    </row>
    <row r="69" customFormat="false" ht="15" hidden="false" customHeight="false" outlineLevel="0" collapsed="false">
      <c r="A69" s="102"/>
      <c r="B69" s="103"/>
      <c r="C69" s="103"/>
      <c r="D69" s="103"/>
      <c r="E69" s="103"/>
      <c r="F69" s="103"/>
      <c r="G69" s="103"/>
      <c r="H69" s="103"/>
      <c r="I69" s="103"/>
      <c r="T69" s="30" t="str">
        <f aca="false">IF(C69="","",IF(COUNTIFS(C$5:C69,C69,E$5:E69,E69)=1,1,0))</f>
        <v/>
      </c>
      <c r="U69" s="30" t="n">
        <f aca="false">IF(C69="",0,IF(AND(B69="brand",E69="budget_probe",N(F69)&gt;=Inputs!$C$124,H69="Y"),1,0))</f>
        <v>0</v>
      </c>
      <c r="V69" s="30" t="n">
        <f aca="false">IF(U69=1,IF(COUNTIFS(C$5:C69,C69,U$5:U69,1)=1,1,0),0)</f>
        <v>0</v>
      </c>
      <c r="W69" s="30" t="n">
        <f aca="false">IF(C69="",0,IF(AND(B69="office",E69="budget_probe",N(F69)&gt;=Inputs!$C$139),1,0))</f>
        <v>0</v>
      </c>
      <c r="X69" s="30" t="n">
        <f aca="false">IF(W69=1,IF(COUNTIFS(C$5:C69,C69,W$5:W69,1)=1,1,0),0)</f>
        <v>0</v>
      </c>
      <c r="Y69" s="30" t="n">
        <f aca="false">IF(C69="",0,IF(AND(B69="brand",E69="renewal_answer",TRIM(G69)="yes",N(F69)&gt;=Inputs!$C$135),1,0))</f>
        <v>0</v>
      </c>
      <c r="Z69" s="30" t="n">
        <f aca="false">IF(Y69=1,IF(COUNTIFS(C$5:C69,C69,Y$5:Y69,1)=1,1,0),0)</f>
        <v>0</v>
      </c>
      <c r="AA69" s="30" t="n">
        <f aca="false">IF(AND(E69="budget_probe",ISNUMBER(F69),I69&lt;&gt;Lists!$X$4),1,0)</f>
        <v>0</v>
      </c>
      <c r="AB69" s="30" t="str">
        <f aca="false">IF(AND(B69="office",AA69=1,COUNTIFS(C$5:C69,C69,AA$5:AA69,1)=1),F69,"")</f>
        <v/>
      </c>
      <c r="AC69" s="30" t="str">
        <f aca="false">IF(AND(B69="brand",AA69=1,COUNTIFS(C$5:C69,C69,AA$5:AA69,1)=1),F69,"")</f>
        <v/>
      </c>
      <c r="AD69" s="30" t="str">
        <f aca="false">IF(AND(B69="brand",E69="budget_probe",ISNUMBER(F69),I69=Lists!$X$4),IF(COUNTIFS(C$5:C69,C69,E$5:E69,"budget_probe",I$5:I69,Lists!$X$4)=1,F69,""),"")</f>
        <v/>
      </c>
      <c r="AE69" s="30" t="n">
        <f aca="false">IF(AND(B69="brand",E69="paid",ISNUMBER(F69)),IF(AND(SUMIFS(F$5:F69,B$5:B69,"brand",C$5:C69,C69,E$5:E69,"paid")&gt;=Inputs!$C$44,SUMIFS(F$5:F69,B$5:B69,"brand",C$5:C69,C69,E$5:E69,"paid")-F69&lt;Inputs!$C$44),1,0),0)</f>
        <v>0</v>
      </c>
    </row>
    <row r="70" customFormat="false" ht="15" hidden="false" customHeight="false" outlineLevel="0" collapsed="false">
      <c r="A70" s="102"/>
      <c r="B70" s="103"/>
      <c r="C70" s="103"/>
      <c r="D70" s="103"/>
      <c r="E70" s="103"/>
      <c r="F70" s="103"/>
      <c r="G70" s="103"/>
      <c r="H70" s="103"/>
      <c r="I70" s="103"/>
      <c r="T70" s="30" t="str">
        <f aca="false">IF(C70="","",IF(COUNTIFS(C$5:C70,C70,E$5:E70,E70)=1,1,0))</f>
        <v/>
      </c>
      <c r="U70" s="30" t="n">
        <f aca="false">IF(C70="",0,IF(AND(B70="brand",E70="budget_probe",N(F70)&gt;=Inputs!$C$124,H70="Y"),1,0))</f>
        <v>0</v>
      </c>
      <c r="V70" s="30" t="n">
        <f aca="false">IF(U70=1,IF(COUNTIFS(C$5:C70,C70,U$5:U70,1)=1,1,0),0)</f>
        <v>0</v>
      </c>
      <c r="W70" s="30" t="n">
        <f aca="false">IF(C70="",0,IF(AND(B70="office",E70="budget_probe",N(F70)&gt;=Inputs!$C$139),1,0))</f>
        <v>0</v>
      </c>
      <c r="X70" s="30" t="n">
        <f aca="false">IF(W70=1,IF(COUNTIFS(C$5:C70,C70,W$5:W70,1)=1,1,0),0)</f>
        <v>0</v>
      </c>
      <c r="Y70" s="30" t="n">
        <f aca="false">IF(C70="",0,IF(AND(B70="brand",E70="renewal_answer",TRIM(G70)="yes",N(F70)&gt;=Inputs!$C$135),1,0))</f>
        <v>0</v>
      </c>
      <c r="Z70" s="30" t="n">
        <f aca="false">IF(Y70=1,IF(COUNTIFS(C$5:C70,C70,Y$5:Y70,1)=1,1,0),0)</f>
        <v>0</v>
      </c>
      <c r="AA70" s="30" t="n">
        <f aca="false">IF(AND(E70="budget_probe",ISNUMBER(F70),I70&lt;&gt;Lists!$X$4),1,0)</f>
        <v>0</v>
      </c>
      <c r="AB70" s="30" t="str">
        <f aca="false">IF(AND(B70="office",AA70=1,COUNTIFS(C$5:C70,C70,AA$5:AA70,1)=1),F70,"")</f>
        <v/>
      </c>
      <c r="AC70" s="30" t="str">
        <f aca="false">IF(AND(B70="brand",AA70=1,COUNTIFS(C$5:C70,C70,AA$5:AA70,1)=1),F70,"")</f>
        <v/>
      </c>
      <c r="AD70" s="30" t="str">
        <f aca="false">IF(AND(B70="brand",E70="budget_probe",ISNUMBER(F70),I70=Lists!$X$4),IF(COUNTIFS(C$5:C70,C70,E$5:E70,"budget_probe",I$5:I70,Lists!$X$4)=1,F70,""),"")</f>
        <v/>
      </c>
      <c r="AE70" s="30" t="n">
        <f aca="false">IF(AND(B70="brand",E70="paid",ISNUMBER(F70)),IF(AND(SUMIFS(F$5:F70,B$5:B70,"brand",C$5:C70,C70,E$5:E70,"paid")&gt;=Inputs!$C$44,SUMIFS(F$5:F70,B$5:B70,"brand",C$5:C70,C70,E$5:E70,"paid")-F70&lt;Inputs!$C$44),1,0),0)</f>
        <v>0</v>
      </c>
    </row>
    <row r="71" customFormat="false" ht="15" hidden="false" customHeight="false" outlineLevel="0" collapsed="false">
      <c r="A71" s="102"/>
      <c r="B71" s="103"/>
      <c r="C71" s="103"/>
      <c r="D71" s="103"/>
      <c r="E71" s="103"/>
      <c r="F71" s="103"/>
      <c r="G71" s="103"/>
      <c r="H71" s="103"/>
      <c r="I71" s="103"/>
      <c r="T71" s="30" t="str">
        <f aca="false">IF(C71="","",IF(COUNTIFS(C$5:C71,C71,E$5:E71,E71)=1,1,0))</f>
        <v/>
      </c>
      <c r="U71" s="30" t="n">
        <f aca="false">IF(C71="",0,IF(AND(B71="brand",E71="budget_probe",N(F71)&gt;=Inputs!$C$124,H71="Y"),1,0))</f>
        <v>0</v>
      </c>
      <c r="V71" s="30" t="n">
        <f aca="false">IF(U71=1,IF(COUNTIFS(C$5:C71,C71,U$5:U71,1)=1,1,0),0)</f>
        <v>0</v>
      </c>
      <c r="W71" s="30" t="n">
        <f aca="false">IF(C71="",0,IF(AND(B71="office",E71="budget_probe",N(F71)&gt;=Inputs!$C$139),1,0))</f>
        <v>0</v>
      </c>
      <c r="X71" s="30" t="n">
        <f aca="false">IF(W71=1,IF(COUNTIFS(C$5:C71,C71,W$5:W71,1)=1,1,0),0)</f>
        <v>0</v>
      </c>
      <c r="Y71" s="30" t="n">
        <f aca="false">IF(C71="",0,IF(AND(B71="brand",E71="renewal_answer",TRIM(G71)="yes",N(F71)&gt;=Inputs!$C$135),1,0))</f>
        <v>0</v>
      </c>
      <c r="Z71" s="30" t="n">
        <f aca="false">IF(Y71=1,IF(COUNTIFS(C$5:C71,C71,Y$5:Y71,1)=1,1,0),0)</f>
        <v>0</v>
      </c>
      <c r="AA71" s="30" t="n">
        <f aca="false">IF(AND(E71="budget_probe",ISNUMBER(F71),I71&lt;&gt;Lists!$X$4),1,0)</f>
        <v>0</v>
      </c>
      <c r="AB71" s="30" t="str">
        <f aca="false">IF(AND(B71="office",AA71=1,COUNTIFS(C$5:C71,C71,AA$5:AA71,1)=1),F71,"")</f>
        <v/>
      </c>
      <c r="AC71" s="30" t="str">
        <f aca="false">IF(AND(B71="brand",AA71=1,COUNTIFS(C$5:C71,C71,AA$5:AA71,1)=1),F71,"")</f>
        <v/>
      </c>
      <c r="AD71" s="30" t="str">
        <f aca="false">IF(AND(B71="brand",E71="budget_probe",ISNUMBER(F71),I71=Lists!$X$4),IF(COUNTIFS(C$5:C71,C71,E$5:E71,"budget_probe",I$5:I71,Lists!$X$4)=1,F71,""),"")</f>
        <v/>
      </c>
      <c r="AE71" s="30" t="n">
        <f aca="false">IF(AND(B71="brand",E71="paid",ISNUMBER(F71)),IF(AND(SUMIFS(F$5:F71,B$5:B71,"brand",C$5:C71,C71,E$5:E71,"paid")&gt;=Inputs!$C$44,SUMIFS(F$5:F71,B$5:B71,"brand",C$5:C71,C71,E$5:E71,"paid")-F71&lt;Inputs!$C$44),1,0),0)</f>
        <v>0</v>
      </c>
    </row>
    <row r="72" customFormat="false" ht="15" hidden="false" customHeight="false" outlineLevel="0" collapsed="false">
      <c r="A72" s="102"/>
      <c r="B72" s="103"/>
      <c r="C72" s="103"/>
      <c r="D72" s="103"/>
      <c r="E72" s="103"/>
      <c r="F72" s="103"/>
      <c r="G72" s="103"/>
      <c r="H72" s="103"/>
      <c r="I72" s="103"/>
      <c r="T72" s="30" t="str">
        <f aca="false">IF(C72="","",IF(COUNTIFS(C$5:C72,C72,E$5:E72,E72)=1,1,0))</f>
        <v/>
      </c>
      <c r="U72" s="30" t="n">
        <f aca="false">IF(C72="",0,IF(AND(B72="brand",E72="budget_probe",N(F72)&gt;=Inputs!$C$124,H72="Y"),1,0))</f>
        <v>0</v>
      </c>
      <c r="V72" s="30" t="n">
        <f aca="false">IF(U72=1,IF(COUNTIFS(C$5:C72,C72,U$5:U72,1)=1,1,0),0)</f>
        <v>0</v>
      </c>
      <c r="W72" s="30" t="n">
        <f aca="false">IF(C72="",0,IF(AND(B72="office",E72="budget_probe",N(F72)&gt;=Inputs!$C$139),1,0))</f>
        <v>0</v>
      </c>
      <c r="X72" s="30" t="n">
        <f aca="false">IF(W72=1,IF(COUNTIFS(C$5:C72,C72,W$5:W72,1)=1,1,0),0)</f>
        <v>0</v>
      </c>
      <c r="Y72" s="30" t="n">
        <f aca="false">IF(C72="",0,IF(AND(B72="brand",E72="renewal_answer",TRIM(G72)="yes",N(F72)&gt;=Inputs!$C$135),1,0))</f>
        <v>0</v>
      </c>
      <c r="Z72" s="30" t="n">
        <f aca="false">IF(Y72=1,IF(COUNTIFS(C$5:C72,C72,Y$5:Y72,1)=1,1,0),0)</f>
        <v>0</v>
      </c>
      <c r="AA72" s="30" t="n">
        <f aca="false">IF(AND(E72="budget_probe",ISNUMBER(F72),I72&lt;&gt;Lists!$X$4),1,0)</f>
        <v>0</v>
      </c>
      <c r="AB72" s="30" t="str">
        <f aca="false">IF(AND(B72="office",AA72=1,COUNTIFS(C$5:C72,C72,AA$5:AA72,1)=1),F72,"")</f>
        <v/>
      </c>
      <c r="AC72" s="30" t="str">
        <f aca="false">IF(AND(B72="brand",AA72=1,COUNTIFS(C$5:C72,C72,AA$5:AA72,1)=1),F72,"")</f>
        <v/>
      </c>
      <c r="AD72" s="30" t="str">
        <f aca="false">IF(AND(B72="brand",E72="budget_probe",ISNUMBER(F72),I72=Lists!$X$4),IF(COUNTIFS(C$5:C72,C72,E$5:E72,"budget_probe",I$5:I72,Lists!$X$4)=1,F72,""),"")</f>
        <v/>
      </c>
      <c r="AE72" s="30" t="n">
        <f aca="false">IF(AND(B72="brand",E72="paid",ISNUMBER(F72)),IF(AND(SUMIFS(F$5:F72,B$5:B72,"brand",C$5:C72,C72,E$5:E72,"paid")&gt;=Inputs!$C$44,SUMIFS(F$5:F72,B$5:B72,"brand",C$5:C72,C72,E$5:E72,"paid")-F72&lt;Inputs!$C$44),1,0),0)</f>
        <v>0</v>
      </c>
    </row>
    <row r="73" customFormat="false" ht="15" hidden="false" customHeight="false" outlineLevel="0" collapsed="false">
      <c r="A73" s="102"/>
      <c r="B73" s="103"/>
      <c r="C73" s="103"/>
      <c r="D73" s="103"/>
      <c r="E73" s="103"/>
      <c r="F73" s="103"/>
      <c r="G73" s="103"/>
      <c r="H73" s="103"/>
      <c r="I73" s="103"/>
      <c r="T73" s="30" t="str">
        <f aca="false">IF(C73="","",IF(COUNTIFS(C$5:C73,C73,E$5:E73,E73)=1,1,0))</f>
        <v/>
      </c>
      <c r="U73" s="30" t="n">
        <f aca="false">IF(C73="",0,IF(AND(B73="brand",E73="budget_probe",N(F73)&gt;=Inputs!$C$124,H73="Y"),1,0))</f>
        <v>0</v>
      </c>
      <c r="V73" s="30" t="n">
        <f aca="false">IF(U73=1,IF(COUNTIFS(C$5:C73,C73,U$5:U73,1)=1,1,0),0)</f>
        <v>0</v>
      </c>
      <c r="W73" s="30" t="n">
        <f aca="false">IF(C73="",0,IF(AND(B73="office",E73="budget_probe",N(F73)&gt;=Inputs!$C$139),1,0))</f>
        <v>0</v>
      </c>
      <c r="X73" s="30" t="n">
        <f aca="false">IF(W73=1,IF(COUNTIFS(C$5:C73,C73,W$5:W73,1)=1,1,0),0)</f>
        <v>0</v>
      </c>
      <c r="Y73" s="30" t="n">
        <f aca="false">IF(C73="",0,IF(AND(B73="brand",E73="renewal_answer",TRIM(G73)="yes",N(F73)&gt;=Inputs!$C$135),1,0))</f>
        <v>0</v>
      </c>
      <c r="Z73" s="30" t="n">
        <f aca="false">IF(Y73=1,IF(COUNTIFS(C$5:C73,C73,Y$5:Y73,1)=1,1,0),0)</f>
        <v>0</v>
      </c>
      <c r="AA73" s="30" t="n">
        <f aca="false">IF(AND(E73="budget_probe",ISNUMBER(F73),I73&lt;&gt;Lists!$X$4),1,0)</f>
        <v>0</v>
      </c>
      <c r="AB73" s="30" t="str">
        <f aca="false">IF(AND(B73="office",AA73=1,COUNTIFS(C$5:C73,C73,AA$5:AA73,1)=1),F73,"")</f>
        <v/>
      </c>
      <c r="AC73" s="30" t="str">
        <f aca="false">IF(AND(B73="brand",AA73=1,COUNTIFS(C$5:C73,C73,AA$5:AA73,1)=1),F73,"")</f>
        <v/>
      </c>
      <c r="AD73" s="30" t="str">
        <f aca="false">IF(AND(B73="brand",E73="budget_probe",ISNUMBER(F73),I73=Lists!$X$4),IF(COUNTIFS(C$5:C73,C73,E$5:E73,"budget_probe",I$5:I73,Lists!$X$4)=1,F73,""),"")</f>
        <v/>
      </c>
      <c r="AE73" s="30" t="n">
        <f aca="false">IF(AND(B73="brand",E73="paid",ISNUMBER(F73)),IF(AND(SUMIFS(F$5:F73,B$5:B73,"brand",C$5:C73,C73,E$5:E73,"paid")&gt;=Inputs!$C$44,SUMIFS(F$5:F73,B$5:B73,"brand",C$5:C73,C73,E$5:E73,"paid")-F73&lt;Inputs!$C$44),1,0),0)</f>
        <v>0</v>
      </c>
    </row>
    <row r="74" customFormat="false" ht="15" hidden="false" customHeight="false" outlineLevel="0" collapsed="false">
      <c r="A74" s="102"/>
      <c r="B74" s="103"/>
      <c r="C74" s="103"/>
      <c r="D74" s="103"/>
      <c r="E74" s="103"/>
      <c r="F74" s="103"/>
      <c r="G74" s="103"/>
      <c r="H74" s="103"/>
      <c r="I74" s="103"/>
      <c r="T74" s="30" t="str">
        <f aca="false">IF(C74="","",IF(COUNTIFS(C$5:C74,C74,E$5:E74,E74)=1,1,0))</f>
        <v/>
      </c>
      <c r="U74" s="30" t="n">
        <f aca="false">IF(C74="",0,IF(AND(B74="brand",E74="budget_probe",N(F74)&gt;=Inputs!$C$124,H74="Y"),1,0))</f>
        <v>0</v>
      </c>
      <c r="V74" s="30" t="n">
        <f aca="false">IF(U74=1,IF(COUNTIFS(C$5:C74,C74,U$5:U74,1)=1,1,0),0)</f>
        <v>0</v>
      </c>
      <c r="W74" s="30" t="n">
        <f aca="false">IF(C74="",0,IF(AND(B74="office",E74="budget_probe",N(F74)&gt;=Inputs!$C$139),1,0))</f>
        <v>0</v>
      </c>
      <c r="X74" s="30" t="n">
        <f aca="false">IF(W74=1,IF(COUNTIFS(C$5:C74,C74,W$5:W74,1)=1,1,0),0)</f>
        <v>0</v>
      </c>
      <c r="Y74" s="30" t="n">
        <f aca="false">IF(C74="",0,IF(AND(B74="brand",E74="renewal_answer",TRIM(G74)="yes",N(F74)&gt;=Inputs!$C$135),1,0))</f>
        <v>0</v>
      </c>
      <c r="Z74" s="30" t="n">
        <f aca="false">IF(Y74=1,IF(COUNTIFS(C$5:C74,C74,Y$5:Y74,1)=1,1,0),0)</f>
        <v>0</v>
      </c>
      <c r="AA74" s="30" t="n">
        <f aca="false">IF(AND(E74="budget_probe",ISNUMBER(F74),I74&lt;&gt;Lists!$X$4),1,0)</f>
        <v>0</v>
      </c>
      <c r="AB74" s="30" t="str">
        <f aca="false">IF(AND(B74="office",AA74=1,COUNTIFS(C$5:C74,C74,AA$5:AA74,1)=1),F74,"")</f>
        <v/>
      </c>
      <c r="AC74" s="30" t="str">
        <f aca="false">IF(AND(B74="brand",AA74=1,COUNTIFS(C$5:C74,C74,AA$5:AA74,1)=1),F74,"")</f>
        <v/>
      </c>
      <c r="AD74" s="30" t="str">
        <f aca="false">IF(AND(B74="brand",E74="budget_probe",ISNUMBER(F74),I74=Lists!$X$4),IF(COUNTIFS(C$5:C74,C74,E$5:E74,"budget_probe",I$5:I74,Lists!$X$4)=1,F74,""),"")</f>
        <v/>
      </c>
      <c r="AE74" s="30" t="n">
        <f aca="false">IF(AND(B74="brand",E74="paid",ISNUMBER(F74)),IF(AND(SUMIFS(F$5:F74,B$5:B74,"brand",C$5:C74,C74,E$5:E74,"paid")&gt;=Inputs!$C$44,SUMIFS(F$5:F74,B$5:B74,"brand",C$5:C74,C74,E$5:E74,"paid")-F74&lt;Inputs!$C$44),1,0),0)</f>
        <v>0</v>
      </c>
    </row>
    <row r="75" customFormat="false" ht="15" hidden="false" customHeight="false" outlineLevel="0" collapsed="false">
      <c r="A75" s="102"/>
      <c r="B75" s="103"/>
      <c r="C75" s="103"/>
      <c r="D75" s="103"/>
      <c r="E75" s="103"/>
      <c r="F75" s="103"/>
      <c r="G75" s="103"/>
      <c r="H75" s="103"/>
      <c r="I75" s="103"/>
      <c r="T75" s="30" t="str">
        <f aca="false">IF(C75="","",IF(COUNTIFS(C$5:C75,C75,E$5:E75,E75)=1,1,0))</f>
        <v/>
      </c>
      <c r="U75" s="30" t="n">
        <f aca="false">IF(C75="",0,IF(AND(B75="brand",E75="budget_probe",N(F75)&gt;=Inputs!$C$124,H75="Y"),1,0))</f>
        <v>0</v>
      </c>
      <c r="V75" s="30" t="n">
        <f aca="false">IF(U75=1,IF(COUNTIFS(C$5:C75,C75,U$5:U75,1)=1,1,0),0)</f>
        <v>0</v>
      </c>
      <c r="W75" s="30" t="n">
        <f aca="false">IF(C75="",0,IF(AND(B75="office",E75="budget_probe",N(F75)&gt;=Inputs!$C$139),1,0))</f>
        <v>0</v>
      </c>
      <c r="X75" s="30" t="n">
        <f aca="false">IF(W75=1,IF(COUNTIFS(C$5:C75,C75,W$5:W75,1)=1,1,0),0)</f>
        <v>0</v>
      </c>
      <c r="Y75" s="30" t="n">
        <f aca="false">IF(C75="",0,IF(AND(B75="brand",E75="renewal_answer",TRIM(G75)="yes",N(F75)&gt;=Inputs!$C$135),1,0))</f>
        <v>0</v>
      </c>
      <c r="Z75" s="30" t="n">
        <f aca="false">IF(Y75=1,IF(COUNTIFS(C$5:C75,C75,Y$5:Y75,1)=1,1,0),0)</f>
        <v>0</v>
      </c>
      <c r="AA75" s="30" t="n">
        <f aca="false">IF(AND(E75="budget_probe",ISNUMBER(F75),I75&lt;&gt;Lists!$X$4),1,0)</f>
        <v>0</v>
      </c>
      <c r="AB75" s="30" t="str">
        <f aca="false">IF(AND(B75="office",AA75=1,COUNTIFS(C$5:C75,C75,AA$5:AA75,1)=1),F75,"")</f>
        <v/>
      </c>
      <c r="AC75" s="30" t="str">
        <f aca="false">IF(AND(B75="brand",AA75=1,COUNTIFS(C$5:C75,C75,AA$5:AA75,1)=1),F75,"")</f>
        <v/>
      </c>
      <c r="AD75" s="30" t="str">
        <f aca="false">IF(AND(B75="brand",E75="budget_probe",ISNUMBER(F75),I75=Lists!$X$4),IF(COUNTIFS(C$5:C75,C75,E$5:E75,"budget_probe",I$5:I75,Lists!$X$4)=1,F75,""),"")</f>
        <v/>
      </c>
      <c r="AE75" s="30" t="n">
        <f aca="false">IF(AND(B75="brand",E75="paid",ISNUMBER(F75)),IF(AND(SUMIFS(F$5:F75,B$5:B75,"brand",C$5:C75,C75,E$5:E75,"paid")&gt;=Inputs!$C$44,SUMIFS(F$5:F75,B$5:B75,"brand",C$5:C75,C75,E$5:E75,"paid")-F75&lt;Inputs!$C$44),1,0),0)</f>
        <v>0</v>
      </c>
    </row>
    <row r="76" customFormat="false" ht="15" hidden="false" customHeight="false" outlineLevel="0" collapsed="false">
      <c r="A76" s="102"/>
      <c r="B76" s="103"/>
      <c r="C76" s="103"/>
      <c r="D76" s="103"/>
      <c r="E76" s="103"/>
      <c r="F76" s="103"/>
      <c r="G76" s="103"/>
      <c r="H76" s="103"/>
      <c r="I76" s="103"/>
      <c r="T76" s="30" t="str">
        <f aca="false">IF(C76="","",IF(COUNTIFS(C$5:C76,C76,E$5:E76,E76)=1,1,0))</f>
        <v/>
      </c>
      <c r="U76" s="30" t="n">
        <f aca="false">IF(C76="",0,IF(AND(B76="brand",E76="budget_probe",N(F76)&gt;=Inputs!$C$124,H76="Y"),1,0))</f>
        <v>0</v>
      </c>
      <c r="V76" s="30" t="n">
        <f aca="false">IF(U76=1,IF(COUNTIFS(C$5:C76,C76,U$5:U76,1)=1,1,0),0)</f>
        <v>0</v>
      </c>
      <c r="W76" s="30" t="n">
        <f aca="false">IF(C76="",0,IF(AND(B76="office",E76="budget_probe",N(F76)&gt;=Inputs!$C$139),1,0))</f>
        <v>0</v>
      </c>
      <c r="X76" s="30" t="n">
        <f aca="false">IF(W76=1,IF(COUNTIFS(C$5:C76,C76,W$5:W76,1)=1,1,0),0)</f>
        <v>0</v>
      </c>
      <c r="Y76" s="30" t="n">
        <f aca="false">IF(C76="",0,IF(AND(B76="brand",E76="renewal_answer",TRIM(G76)="yes",N(F76)&gt;=Inputs!$C$135),1,0))</f>
        <v>0</v>
      </c>
      <c r="Z76" s="30" t="n">
        <f aca="false">IF(Y76=1,IF(COUNTIFS(C$5:C76,C76,Y$5:Y76,1)=1,1,0),0)</f>
        <v>0</v>
      </c>
      <c r="AA76" s="30" t="n">
        <f aca="false">IF(AND(E76="budget_probe",ISNUMBER(F76),I76&lt;&gt;Lists!$X$4),1,0)</f>
        <v>0</v>
      </c>
      <c r="AB76" s="30" t="str">
        <f aca="false">IF(AND(B76="office",AA76=1,COUNTIFS(C$5:C76,C76,AA$5:AA76,1)=1),F76,"")</f>
        <v/>
      </c>
      <c r="AC76" s="30" t="str">
        <f aca="false">IF(AND(B76="brand",AA76=1,COUNTIFS(C$5:C76,C76,AA$5:AA76,1)=1),F76,"")</f>
        <v/>
      </c>
      <c r="AD76" s="30" t="str">
        <f aca="false">IF(AND(B76="brand",E76="budget_probe",ISNUMBER(F76),I76=Lists!$X$4),IF(COUNTIFS(C$5:C76,C76,E$5:E76,"budget_probe",I$5:I76,Lists!$X$4)=1,F76,""),"")</f>
        <v/>
      </c>
      <c r="AE76" s="30" t="n">
        <f aca="false">IF(AND(B76="brand",E76="paid",ISNUMBER(F76)),IF(AND(SUMIFS(F$5:F76,B$5:B76,"brand",C$5:C76,C76,E$5:E76,"paid")&gt;=Inputs!$C$44,SUMIFS(F$5:F76,B$5:B76,"brand",C$5:C76,C76,E$5:E76,"paid")-F76&lt;Inputs!$C$44),1,0),0)</f>
        <v>0</v>
      </c>
    </row>
    <row r="77" customFormat="false" ht="15" hidden="false" customHeight="false" outlineLevel="0" collapsed="false">
      <c r="A77" s="102"/>
      <c r="B77" s="103"/>
      <c r="C77" s="103"/>
      <c r="D77" s="103"/>
      <c r="E77" s="103"/>
      <c r="F77" s="103"/>
      <c r="G77" s="103"/>
      <c r="H77" s="103"/>
      <c r="I77" s="103"/>
      <c r="T77" s="30" t="str">
        <f aca="false">IF(C77="","",IF(COUNTIFS(C$5:C77,C77,E$5:E77,E77)=1,1,0))</f>
        <v/>
      </c>
      <c r="U77" s="30" t="n">
        <f aca="false">IF(C77="",0,IF(AND(B77="brand",E77="budget_probe",N(F77)&gt;=Inputs!$C$124,H77="Y"),1,0))</f>
        <v>0</v>
      </c>
      <c r="V77" s="30" t="n">
        <f aca="false">IF(U77=1,IF(COUNTIFS(C$5:C77,C77,U$5:U77,1)=1,1,0),0)</f>
        <v>0</v>
      </c>
      <c r="W77" s="30" t="n">
        <f aca="false">IF(C77="",0,IF(AND(B77="office",E77="budget_probe",N(F77)&gt;=Inputs!$C$139),1,0))</f>
        <v>0</v>
      </c>
      <c r="X77" s="30" t="n">
        <f aca="false">IF(W77=1,IF(COUNTIFS(C$5:C77,C77,W$5:W77,1)=1,1,0),0)</f>
        <v>0</v>
      </c>
      <c r="Y77" s="30" t="n">
        <f aca="false">IF(C77="",0,IF(AND(B77="brand",E77="renewal_answer",TRIM(G77)="yes",N(F77)&gt;=Inputs!$C$135),1,0))</f>
        <v>0</v>
      </c>
      <c r="Z77" s="30" t="n">
        <f aca="false">IF(Y77=1,IF(COUNTIFS(C$5:C77,C77,Y$5:Y77,1)=1,1,0),0)</f>
        <v>0</v>
      </c>
      <c r="AA77" s="30" t="n">
        <f aca="false">IF(AND(E77="budget_probe",ISNUMBER(F77),I77&lt;&gt;Lists!$X$4),1,0)</f>
        <v>0</v>
      </c>
      <c r="AB77" s="30" t="str">
        <f aca="false">IF(AND(B77="office",AA77=1,COUNTIFS(C$5:C77,C77,AA$5:AA77,1)=1),F77,"")</f>
        <v/>
      </c>
      <c r="AC77" s="30" t="str">
        <f aca="false">IF(AND(B77="brand",AA77=1,COUNTIFS(C$5:C77,C77,AA$5:AA77,1)=1),F77,"")</f>
        <v/>
      </c>
      <c r="AD77" s="30" t="str">
        <f aca="false">IF(AND(B77="brand",E77="budget_probe",ISNUMBER(F77),I77=Lists!$X$4),IF(COUNTIFS(C$5:C77,C77,E$5:E77,"budget_probe",I$5:I77,Lists!$X$4)=1,F77,""),"")</f>
        <v/>
      </c>
      <c r="AE77" s="30" t="n">
        <f aca="false">IF(AND(B77="brand",E77="paid",ISNUMBER(F77)),IF(AND(SUMIFS(F$5:F77,B$5:B77,"brand",C$5:C77,C77,E$5:E77,"paid")&gt;=Inputs!$C$44,SUMIFS(F$5:F77,B$5:B77,"brand",C$5:C77,C77,E$5:E77,"paid")-F77&lt;Inputs!$C$44),1,0),0)</f>
        <v>0</v>
      </c>
    </row>
    <row r="78" customFormat="false" ht="15" hidden="false" customHeight="false" outlineLevel="0" collapsed="false">
      <c r="A78" s="102"/>
      <c r="B78" s="103"/>
      <c r="C78" s="103"/>
      <c r="D78" s="103"/>
      <c r="E78" s="103"/>
      <c r="F78" s="103"/>
      <c r="G78" s="103"/>
      <c r="H78" s="103"/>
      <c r="I78" s="103"/>
      <c r="T78" s="30" t="str">
        <f aca="false">IF(C78="","",IF(COUNTIFS(C$5:C78,C78,E$5:E78,E78)=1,1,0))</f>
        <v/>
      </c>
      <c r="U78" s="30" t="n">
        <f aca="false">IF(C78="",0,IF(AND(B78="brand",E78="budget_probe",N(F78)&gt;=Inputs!$C$124,H78="Y"),1,0))</f>
        <v>0</v>
      </c>
      <c r="V78" s="30" t="n">
        <f aca="false">IF(U78=1,IF(COUNTIFS(C$5:C78,C78,U$5:U78,1)=1,1,0),0)</f>
        <v>0</v>
      </c>
      <c r="W78" s="30" t="n">
        <f aca="false">IF(C78="",0,IF(AND(B78="office",E78="budget_probe",N(F78)&gt;=Inputs!$C$139),1,0))</f>
        <v>0</v>
      </c>
      <c r="X78" s="30" t="n">
        <f aca="false">IF(W78=1,IF(COUNTIFS(C$5:C78,C78,W$5:W78,1)=1,1,0),0)</f>
        <v>0</v>
      </c>
      <c r="Y78" s="30" t="n">
        <f aca="false">IF(C78="",0,IF(AND(B78="brand",E78="renewal_answer",TRIM(G78)="yes",N(F78)&gt;=Inputs!$C$135),1,0))</f>
        <v>0</v>
      </c>
      <c r="Z78" s="30" t="n">
        <f aca="false">IF(Y78=1,IF(COUNTIFS(C$5:C78,C78,Y$5:Y78,1)=1,1,0),0)</f>
        <v>0</v>
      </c>
      <c r="AA78" s="30" t="n">
        <f aca="false">IF(AND(E78="budget_probe",ISNUMBER(F78),I78&lt;&gt;Lists!$X$4),1,0)</f>
        <v>0</v>
      </c>
      <c r="AB78" s="30" t="str">
        <f aca="false">IF(AND(B78="office",AA78=1,COUNTIFS(C$5:C78,C78,AA$5:AA78,1)=1),F78,"")</f>
        <v/>
      </c>
      <c r="AC78" s="30" t="str">
        <f aca="false">IF(AND(B78="brand",AA78=1,COUNTIFS(C$5:C78,C78,AA$5:AA78,1)=1),F78,"")</f>
        <v/>
      </c>
      <c r="AD78" s="30" t="str">
        <f aca="false">IF(AND(B78="brand",E78="budget_probe",ISNUMBER(F78),I78=Lists!$X$4),IF(COUNTIFS(C$5:C78,C78,E$5:E78,"budget_probe",I$5:I78,Lists!$X$4)=1,F78,""),"")</f>
        <v/>
      </c>
      <c r="AE78" s="30" t="n">
        <f aca="false">IF(AND(B78="brand",E78="paid",ISNUMBER(F78)),IF(AND(SUMIFS(F$5:F78,B$5:B78,"brand",C$5:C78,C78,E$5:E78,"paid")&gt;=Inputs!$C$44,SUMIFS(F$5:F78,B$5:B78,"brand",C$5:C78,C78,E$5:E78,"paid")-F78&lt;Inputs!$C$44),1,0),0)</f>
        <v>0</v>
      </c>
    </row>
    <row r="79" customFormat="false" ht="15" hidden="false" customHeight="false" outlineLevel="0" collapsed="false">
      <c r="A79" s="102"/>
      <c r="B79" s="103"/>
      <c r="C79" s="103"/>
      <c r="D79" s="103"/>
      <c r="E79" s="103"/>
      <c r="F79" s="103"/>
      <c r="G79" s="103"/>
      <c r="H79" s="103"/>
      <c r="I79" s="103"/>
      <c r="T79" s="30" t="str">
        <f aca="false">IF(C79="","",IF(COUNTIFS(C$5:C79,C79,E$5:E79,E79)=1,1,0))</f>
        <v/>
      </c>
      <c r="U79" s="30" t="n">
        <f aca="false">IF(C79="",0,IF(AND(B79="brand",E79="budget_probe",N(F79)&gt;=Inputs!$C$124,H79="Y"),1,0))</f>
        <v>0</v>
      </c>
      <c r="V79" s="30" t="n">
        <f aca="false">IF(U79=1,IF(COUNTIFS(C$5:C79,C79,U$5:U79,1)=1,1,0),0)</f>
        <v>0</v>
      </c>
      <c r="W79" s="30" t="n">
        <f aca="false">IF(C79="",0,IF(AND(B79="office",E79="budget_probe",N(F79)&gt;=Inputs!$C$139),1,0))</f>
        <v>0</v>
      </c>
      <c r="X79" s="30" t="n">
        <f aca="false">IF(W79=1,IF(COUNTIFS(C$5:C79,C79,W$5:W79,1)=1,1,0),0)</f>
        <v>0</v>
      </c>
      <c r="Y79" s="30" t="n">
        <f aca="false">IF(C79="",0,IF(AND(B79="brand",E79="renewal_answer",TRIM(G79)="yes",N(F79)&gt;=Inputs!$C$135),1,0))</f>
        <v>0</v>
      </c>
      <c r="Z79" s="30" t="n">
        <f aca="false">IF(Y79=1,IF(COUNTIFS(C$5:C79,C79,Y$5:Y79,1)=1,1,0),0)</f>
        <v>0</v>
      </c>
      <c r="AA79" s="30" t="n">
        <f aca="false">IF(AND(E79="budget_probe",ISNUMBER(F79),I79&lt;&gt;Lists!$X$4),1,0)</f>
        <v>0</v>
      </c>
      <c r="AB79" s="30" t="str">
        <f aca="false">IF(AND(B79="office",AA79=1,COUNTIFS(C$5:C79,C79,AA$5:AA79,1)=1),F79,"")</f>
        <v/>
      </c>
      <c r="AC79" s="30" t="str">
        <f aca="false">IF(AND(B79="brand",AA79=1,COUNTIFS(C$5:C79,C79,AA$5:AA79,1)=1),F79,"")</f>
        <v/>
      </c>
      <c r="AD79" s="30" t="str">
        <f aca="false">IF(AND(B79="brand",E79="budget_probe",ISNUMBER(F79),I79=Lists!$X$4),IF(COUNTIFS(C$5:C79,C79,E$5:E79,"budget_probe",I$5:I79,Lists!$X$4)=1,F79,""),"")</f>
        <v/>
      </c>
      <c r="AE79" s="30" t="n">
        <f aca="false">IF(AND(B79="brand",E79="paid",ISNUMBER(F79)),IF(AND(SUMIFS(F$5:F79,B$5:B79,"brand",C$5:C79,C79,E$5:E79,"paid")&gt;=Inputs!$C$44,SUMIFS(F$5:F79,B$5:B79,"brand",C$5:C79,C79,E$5:E79,"paid")-F79&lt;Inputs!$C$44),1,0),0)</f>
        <v>0</v>
      </c>
    </row>
    <row r="80" customFormat="false" ht="15" hidden="false" customHeight="false" outlineLevel="0" collapsed="false">
      <c r="A80" s="102"/>
      <c r="B80" s="103"/>
      <c r="C80" s="103"/>
      <c r="D80" s="103"/>
      <c r="E80" s="103"/>
      <c r="F80" s="103"/>
      <c r="G80" s="103"/>
      <c r="H80" s="103"/>
      <c r="I80" s="103"/>
      <c r="T80" s="30" t="str">
        <f aca="false">IF(C80="","",IF(COUNTIFS(C$5:C80,C80,E$5:E80,E80)=1,1,0))</f>
        <v/>
      </c>
      <c r="U80" s="30" t="n">
        <f aca="false">IF(C80="",0,IF(AND(B80="brand",E80="budget_probe",N(F80)&gt;=Inputs!$C$124,H80="Y"),1,0))</f>
        <v>0</v>
      </c>
      <c r="V80" s="30" t="n">
        <f aca="false">IF(U80=1,IF(COUNTIFS(C$5:C80,C80,U$5:U80,1)=1,1,0),0)</f>
        <v>0</v>
      </c>
      <c r="W80" s="30" t="n">
        <f aca="false">IF(C80="",0,IF(AND(B80="office",E80="budget_probe",N(F80)&gt;=Inputs!$C$139),1,0))</f>
        <v>0</v>
      </c>
      <c r="X80" s="30" t="n">
        <f aca="false">IF(W80=1,IF(COUNTIFS(C$5:C80,C80,W$5:W80,1)=1,1,0),0)</f>
        <v>0</v>
      </c>
      <c r="Y80" s="30" t="n">
        <f aca="false">IF(C80="",0,IF(AND(B80="brand",E80="renewal_answer",TRIM(G80)="yes",N(F80)&gt;=Inputs!$C$135),1,0))</f>
        <v>0</v>
      </c>
      <c r="Z80" s="30" t="n">
        <f aca="false">IF(Y80=1,IF(COUNTIFS(C$5:C80,C80,Y$5:Y80,1)=1,1,0),0)</f>
        <v>0</v>
      </c>
      <c r="AA80" s="30" t="n">
        <f aca="false">IF(AND(E80="budget_probe",ISNUMBER(F80),I80&lt;&gt;Lists!$X$4),1,0)</f>
        <v>0</v>
      </c>
      <c r="AB80" s="30" t="str">
        <f aca="false">IF(AND(B80="office",AA80=1,COUNTIFS(C$5:C80,C80,AA$5:AA80,1)=1),F80,"")</f>
        <v/>
      </c>
      <c r="AC80" s="30" t="str">
        <f aca="false">IF(AND(B80="brand",AA80=1,COUNTIFS(C$5:C80,C80,AA$5:AA80,1)=1),F80,"")</f>
        <v/>
      </c>
      <c r="AD80" s="30" t="str">
        <f aca="false">IF(AND(B80="brand",E80="budget_probe",ISNUMBER(F80),I80=Lists!$X$4),IF(COUNTIFS(C$5:C80,C80,E$5:E80,"budget_probe",I$5:I80,Lists!$X$4)=1,F80,""),"")</f>
        <v/>
      </c>
      <c r="AE80" s="30" t="n">
        <f aca="false">IF(AND(B80="brand",E80="paid",ISNUMBER(F80)),IF(AND(SUMIFS(F$5:F80,B$5:B80,"brand",C$5:C80,C80,E$5:E80,"paid")&gt;=Inputs!$C$44,SUMIFS(F$5:F80,B$5:B80,"brand",C$5:C80,C80,E$5:E80,"paid")-F80&lt;Inputs!$C$44),1,0),0)</f>
        <v>0</v>
      </c>
    </row>
    <row r="81" customFormat="false" ht="15" hidden="false" customHeight="false" outlineLevel="0" collapsed="false">
      <c r="A81" s="102"/>
      <c r="B81" s="103"/>
      <c r="C81" s="103"/>
      <c r="D81" s="103"/>
      <c r="E81" s="103"/>
      <c r="F81" s="103"/>
      <c r="G81" s="103"/>
      <c r="H81" s="103"/>
      <c r="I81" s="103"/>
      <c r="T81" s="30" t="str">
        <f aca="false">IF(C81="","",IF(COUNTIFS(C$5:C81,C81,E$5:E81,E81)=1,1,0))</f>
        <v/>
      </c>
      <c r="U81" s="30" t="n">
        <f aca="false">IF(C81="",0,IF(AND(B81="brand",E81="budget_probe",N(F81)&gt;=Inputs!$C$124,H81="Y"),1,0))</f>
        <v>0</v>
      </c>
      <c r="V81" s="30" t="n">
        <f aca="false">IF(U81=1,IF(COUNTIFS(C$5:C81,C81,U$5:U81,1)=1,1,0),0)</f>
        <v>0</v>
      </c>
      <c r="W81" s="30" t="n">
        <f aca="false">IF(C81="",0,IF(AND(B81="office",E81="budget_probe",N(F81)&gt;=Inputs!$C$139),1,0))</f>
        <v>0</v>
      </c>
      <c r="X81" s="30" t="n">
        <f aca="false">IF(W81=1,IF(COUNTIFS(C$5:C81,C81,W$5:W81,1)=1,1,0),0)</f>
        <v>0</v>
      </c>
      <c r="Y81" s="30" t="n">
        <f aca="false">IF(C81="",0,IF(AND(B81="brand",E81="renewal_answer",TRIM(G81)="yes",N(F81)&gt;=Inputs!$C$135),1,0))</f>
        <v>0</v>
      </c>
      <c r="Z81" s="30" t="n">
        <f aca="false">IF(Y81=1,IF(COUNTIFS(C$5:C81,C81,Y$5:Y81,1)=1,1,0),0)</f>
        <v>0</v>
      </c>
      <c r="AA81" s="30" t="n">
        <f aca="false">IF(AND(E81="budget_probe",ISNUMBER(F81),I81&lt;&gt;Lists!$X$4),1,0)</f>
        <v>0</v>
      </c>
      <c r="AB81" s="30" t="str">
        <f aca="false">IF(AND(B81="office",AA81=1,COUNTIFS(C$5:C81,C81,AA$5:AA81,1)=1),F81,"")</f>
        <v/>
      </c>
      <c r="AC81" s="30" t="str">
        <f aca="false">IF(AND(B81="brand",AA81=1,COUNTIFS(C$5:C81,C81,AA$5:AA81,1)=1),F81,"")</f>
        <v/>
      </c>
      <c r="AD81" s="30" t="str">
        <f aca="false">IF(AND(B81="brand",E81="budget_probe",ISNUMBER(F81),I81=Lists!$X$4),IF(COUNTIFS(C$5:C81,C81,E$5:E81,"budget_probe",I$5:I81,Lists!$X$4)=1,F81,""),"")</f>
        <v/>
      </c>
      <c r="AE81" s="30" t="n">
        <f aca="false">IF(AND(B81="brand",E81="paid",ISNUMBER(F81)),IF(AND(SUMIFS(F$5:F81,B$5:B81,"brand",C$5:C81,C81,E$5:E81,"paid")&gt;=Inputs!$C$44,SUMIFS(F$5:F81,B$5:B81,"brand",C$5:C81,C81,E$5:E81,"paid")-F81&lt;Inputs!$C$44),1,0),0)</f>
        <v>0</v>
      </c>
    </row>
    <row r="82" customFormat="false" ht="15" hidden="false" customHeight="false" outlineLevel="0" collapsed="false">
      <c r="A82" s="102"/>
      <c r="B82" s="103"/>
      <c r="C82" s="103"/>
      <c r="D82" s="103"/>
      <c r="E82" s="103"/>
      <c r="F82" s="103"/>
      <c r="G82" s="103"/>
      <c r="H82" s="103"/>
      <c r="I82" s="103"/>
      <c r="T82" s="30" t="str">
        <f aca="false">IF(C82="","",IF(COUNTIFS(C$5:C82,C82,E$5:E82,E82)=1,1,0))</f>
        <v/>
      </c>
      <c r="U82" s="30" t="n">
        <f aca="false">IF(C82="",0,IF(AND(B82="brand",E82="budget_probe",N(F82)&gt;=Inputs!$C$124,H82="Y"),1,0))</f>
        <v>0</v>
      </c>
      <c r="V82" s="30" t="n">
        <f aca="false">IF(U82=1,IF(COUNTIFS(C$5:C82,C82,U$5:U82,1)=1,1,0),0)</f>
        <v>0</v>
      </c>
      <c r="W82" s="30" t="n">
        <f aca="false">IF(C82="",0,IF(AND(B82="office",E82="budget_probe",N(F82)&gt;=Inputs!$C$139),1,0))</f>
        <v>0</v>
      </c>
      <c r="X82" s="30" t="n">
        <f aca="false">IF(W82=1,IF(COUNTIFS(C$5:C82,C82,W$5:W82,1)=1,1,0),0)</f>
        <v>0</v>
      </c>
      <c r="Y82" s="30" t="n">
        <f aca="false">IF(C82="",0,IF(AND(B82="brand",E82="renewal_answer",TRIM(G82)="yes",N(F82)&gt;=Inputs!$C$135),1,0))</f>
        <v>0</v>
      </c>
      <c r="Z82" s="30" t="n">
        <f aca="false">IF(Y82=1,IF(COUNTIFS(C$5:C82,C82,Y$5:Y82,1)=1,1,0),0)</f>
        <v>0</v>
      </c>
      <c r="AA82" s="30" t="n">
        <f aca="false">IF(AND(E82="budget_probe",ISNUMBER(F82),I82&lt;&gt;Lists!$X$4),1,0)</f>
        <v>0</v>
      </c>
      <c r="AB82" s="30" t="str">
        <f aca="false">IF(AND(B82="office",AA82=1,COUNTIFS(C$5:C82,C82,AA$5:AA82,1)=1),F82,"")</f>
        <v/>
      </c>
      <c r="AC82" s="30" t="str">
        <f aca="false">IF(AND(B82="brand",AA82=1,COUNTIFS(C$5:C82,C82,AA$5:AA82,1)=1),F82,"")</f>
        <v/>
      </c>
      <c r="AD82" s="30" t="str">
        <f aca="false">IF(AND(B82="brand",E82="budget_probe",ISNUMBER(F82),I82=Lists!$X$4),IF(COUNTIFS(C$5:C82,C82,E$5:E82,"budget_probe",I$5:I82,Lists!$X$4)=1,F82,""),"")</f>
        <v/>
      </c>
      <c r="AE82" s="30" t="n">
        <f aca="false">IF(AND(B82="brand",E82="paid",ISNUMBER(F82)),IF(AND(SUMIFS(F$5:F82,B$5:B82,"brand",C$5:C82,C82,E$5:E82,"paid")&gt;=Inputs!$C$44,SUMIFS(F$5:F82,B$5:B82,"brand",C$5:C82,C82,E$5:E82,"paid")-F82&lt;Inputs!$C$44),1,0),0)</f>
        <v>0</v>
      </c>
    </row>
    <row r="83" customFormat="false" ht="15" hidden="false" customHeight="false" outlineLevel="0" collapsed="false">
      <c r="A83" s="102"/>
      <c r="B83" s="103"/>
      <c r="C83" s="103"/>
      <c r="D83" s="103"/>
      <c r="E83" s="103"/>
      <c r="F83" s="103"/>
      <c r="G83" s="103"/>
      <c r="H83" s="103"/>
      <c r="I83" s="103"/>
      <c r="T83" s="30" t="str">
        <f aca="false">IF(C83="","",IF(COUNTIFS(C$5:C83,C83,E$5:E83,E83)=1,1,0))</f>
        <v/>
      </c>
      <c r="U83" s="30" t="n">
        <f aca="false">IF(C83="",0,IF(AND(B83="brand",E83="budget_probe",N(F83)&gt;=Inputs!$C$124,H83="Y"),1,0))</f>
        <v>0</v>
      </c>
      <c r="V83" s="30" t="n">
        <f aca="false">IF(U83=1,IF(COUNTIFS(C$5:C83,C83,U$5:U83,1)=1,1,0),0)</f>
        <v>0</v>
      </c>
      <c r="W83" s="30" t="n">
        <f aca="false">IF(C83="",0,IF(AND(B83="office",E83="budget_probe",N(F83)&gt;=Inputs!$C$139),1,0))</f>
        <v>0</v>
      </c>
      <c r="X83" s="30" t="n">
        <f aca="false">IF(W83=1,IF(COUNTIFS(C$5:C83,C83,W$5:W83,1)=1,1,0),0)</f>
        <v>0</v>
      </c>
      <c r="Y83" s="30" t="n">
        <f aca="false">IF(C83="",0,IF(AND(B83="brand",E83="renewal_answer",TRIM(G83)="yes",N(F83)&gt;=Inputs!$C$135),1,0))</f>
        <v>0</v>
      </c>
      <c r="Z83" s="30" t="n">
        <f aca="false">IF(Y83=1,IF(COUNTIFS(C$5:C83,C83,Y$5:Y83,1)=1,1,0),0)</f>
        <v>0</v>
      </c>
      <c r="AA83" s="30" t="n">
        <f aca="false">IF(AND(E83="budget_probe",ISNUMBER(F83),I83&lt;&gt;Lists!$X$4),1,0)</f>
        <v>0</v>
      </c>
      <c r="AB83" s="30" t="str">
        <f aca="false">IF(AND(B83="office",AA83=1,COUNTIFS(C$5:C83,C83,AA$5:AA83,1)=1),F83,"")</f>
        <v/>
      </c>
      <c r="AC83" s="30" t="str">
        <f aca="false">IF(AND(B83="brand",AA83=1,COUNTIFS(C$5:C83,C83,AA$5:AA83,1)=1),F83,"")</f>
        <v/>
      </c>
      <c r="AD83" s="30" t="str">
        <f aca="false">IF(AND(B83="brand",E83="budget_probe",ISNUMBER(F83),I83=Lists!$X$4),IF(COUNTIFS(C$5:C83,C83,E$5:E83,"budget_probe",I$5:I83,Lists!$X$4)=1,F83,""),"")</f>
        <v/>
      </c>
      <c r="AE83" s="30" t="n">
        <f aca="false">IF(AND(B83="brand",E83="paid",ISNUMBER(F83)),IF(AND(SUMIFS(F$5:F83,B$5:B83,"brand",C$5:C83,C83,E$5:E83,"paid")&gt;=Inputs!$C$44,SUMIFS(F$5:F83,B$5:B83,"brand",C$5:C83,C83,E$5:E83,"paid")-F83&lt;Inputs!$C$44),1,0),0)</f>
        <v>0</v>
      </c>
    </row>
    <row r="84" customFormat="false" ht="15" hidden="false" customHeight="false" outlineLevel="0" collapsed="false">
      <c r="A84" s="102"/>
      <c r="B84" s="103"/>
      <c r="C84" s="103"/>
      <c r="D84" s="103"/>
      <c r="E84" s="103"/>
      <c r="F84" s="103"/>
      <c r="G84" s="103"/>
      <c r="H84" s="103"/>
      <c r="I84" s="103"/>
      <c r="T84" s="30" t="str">
        <f aca="false">IF(C84="","",IF(COUNTIFS(C$5:C84,C84,E$5:E84,E84)=1,1,0))</f>
        <v/>
      </c>
      <c r="U84" s="30" t="n">
        <f aca="false">IF(C84="",0,IF(AND(B84="brand",E84="budget_probe",N(F84)&gt;=Inputs!$C$124,H84="Y"),1,0))</f>
        <v>0</v>
      </c>
      <c r="V84" s="30" t="n">
        <f aca="false">IF(U84=1,IF(COUNTIFS(C$5:C84,C84,U$5:U84,1)=1,1,0),0)</f>
        <v>0</v>
      </c>
      <c r="W84" s="30" t="n">
        <f aca="false">IF(C84="",0,IF(AND(B84="office",E84="budget_probe",N(F84)&gt;=Inputs!$C$139),1,0))</f>
        <v>0</v>
      </c>
      <c r="X84" s="30" t="n">
        <f aca="false">IF(W84=1,IF(COUNTIFS(C$5:C84,C84,W$5:W84,1)=1,1,0),0)</f>
        <v>0</v>
      </c>
      <c r="Y84" s="30" t="n">
        <f aca="false">IF(C84="",0,IF(AND(B84="brand",E84="renewal_answer",TRIM(G84)="yes",N(F84)&gt;=Inputs!$C$135),1,0))</f>
        <v>0</v>
      </c>
      <c r="Z84" s="30" t="n">
        <f aca="false">IF(Y84=1,IF(COUNTIFS(C$5:C84,C84,Y$5:Y84,1)=1,1,0),0)</f>
        <v>0</v>
      </c>
      <c r="AA84" s="30" t="n">
        <f aca="false">IF(AND(E84="budget_probe",ISNUMBER(F84),I84&lt;&gt;Lists!$X$4),1,0)</f>
        <v>0</v>
      </c>
      <c r="AB84" s="30" t="str">
        <f aca="false">IF(AND(B84="office",AA84=1,COUNTIFS(C$5:C84,C84,AA$5:AA84,1)=1),F84,"")</f>
        <v/>
      </c>
      <c r="AC84" s="30" t="str">
        <f aca="false">IF(AND(B84="brand",AA84=1,COUNTIFS(C$5:C84,C84,AA$5:AA84,1)=1),F84,"")</f>
        <v/>
      </c>
      <c r="AD84" s="30" t="str">
        <f aca="false">IF(AND(B84="brand",E84="budget_probe",ISNUMBER(F84),I84=Lists!$X$4),IF(COUNTIFS(C$5:C84,C84,E$5:E84,"budget_probe",I$5:I84,Lists!$X$4)=1,F84,""),"")</f>
        <v/>
      </c>
      <c r="AE84" s="30" t="n">
        <f aca="false">IF(AND(B84="brand",E84="paid",ISNUMBER(F84)),IF(AND(SUMIFS(F$5:F84,B$5:B84,"brand",C$5:C84,C84,E$5:E84,"paid")&gt;=Inputs!$C$44,SUMIFS(F$5:F84,B$5:B84,"brand",C$5:C84,C84,E$5:E84,"paid")-F84&lt;Inputs!$C$44),1,0),0)</f>
        <v>0</v>
      </c>
    </row>
    <row r="85" customFormat="false" ht="15" hidden="false" customHeight="false" outlineLevel="0" collapsed="false">
      <c r="A85" s="102"/>
      <c r="B85" s="103"/>
      <c r="C85" s="103"/>
      <c r="D85" s="103"/>
      <c r="E85" s="103"/>
      <c r="F85" s="103"/>
      <c r="G85" s="103"/>
      <c r="H85" s="103"/>
      <c r="I85" s="103"/>
      <c r="T85" s="30" t="str">
        <f aca="false">IF(C85="","",IF(COUNTIFS(C$5:C85,C85,E$5:E85,E85)=1,1,0))</f>
        <v/>
      </c>
      <c r="U85" s="30" t="n">
        <f aca="false">IF(C85="",0,IF(AND(B85="brand",E85="budget_probe",N(F85)&gt;=Inputs!$C$124,H85="Y"),1,0))</f>
        <v>0</v>
      </c>
      <c r="V85" s="30" t="n">
        <f aca="false">IF(U85=1,IF(COUNTIFS(C$5:C85,C85,U$5:U85,1)=1,1,0),0)</f>
        <v>0</v>
      </c>
      <c r="W85" s="30" t="n">
        <f aca="false">IF(C85="",0,IF(AND(B85="office",E85="budget_probe",N(F85)&gt;=Inputs!$C$139),1,0))</f>
        <v>0</v>
      </c>
      <c r="X85" s="30" t="n">
        <f aca="false">IF(W85=1,IF(COUNTIFS(C$5:C85,C85,W$5:W85,1)=1,1,0),0)</f>
        <v>0</v>
      </c>
      <c r="Y85" s="30" t="n">
        <f aca="false">IF(C85="",0,IF(AND(B85="brand",E85="renewal_answer",TRIM(G85)="yes",N(F85)&gt;=Inputs!$C$135),1,0))</f>
        <v>0</v>
      </c>
      <c r="Z85" s="30" t="n">
        <f aca="false">IF(Y85=1,IF(COUNTIFS(C$5:C85,C85,Y$5:Y85,1)=1,1,0),0)</f>
        <v>0</v>
      </c>
      <c r="AA85" s="30" t="n">
        <f aca="false">IF(AND(E85="budget_probe",ISNUMBER(F85),I85&lt;&gt;Lists!$X$4),1,0)</f>
        <v>0</v>
      </c>
      <c r="AB85" s="30" t="str">
        <f aca="false">IF(AND(B85="office",AA85=1,COUNTIFS(C$5:C85,C85,AA$5:AA85,1)=1),F85,"")</f>
        <v/>
      </c>
      <c r="AC85" s="30" t="str">
        <f aca="false">IF(AND(B85="brand",AA85=1,COUNTIFS(C$5:C85,C85,AA$5:AA85,1)=1),F85,"")</f>
        <v/>
      </c>
      <c r="AD85" s="30" t="str">
        <f aca="false">IF(AND(B85="brand",E85="budget_probe",ISNUMBER(F85),I85=Lists!$X$4),IF(COUNTIFS(C$5:C85,C85,E$5:E85,"budget_probe",I$5:I85,Lists!$X$4)=1,F85,""),"")</f>
        <v/>
      </c>
      <c r="AE85" s="30" t="n">
        <f aca="false">IF(AND(B85="brand",E85="paid",ISNUMBER(F85)),IF(AND(SUMIFS(F$5:F85,B$5:B85,"brand",C$5:C85,C85,E$5:E85,"paid")&gt;=Inputs!$C$44,SUMIFS(F$5:F85,B$5:B85,"brand",C$5:C85,C85,E$5:E85,"paid")-F85&lt;Inputs!$C$44),1,0),0)</f>
        <v>0</v>
      </c>
    </row>
    <row r="86" customFormat="false" ht="15" hidden="false" customHeight="false" outlineLevel="0" collapsed="false">
      <c r="A86" s="102"/>
      <c r="B86" s="103"/>
      <c r="C86" s="103"/>
      <c r="D86" s="103"/>
      <c r="E86" s="103"/>
      <c r="F86" s="103"/>
      <c r="G86" s="103"/>
      <c r="H86" s="103"/>
      <c r="I86" s="103"/>
      <c r="T86" s="30" t="str">
        <f aca="false">IF(C86="","",IF(COUNTIFS(C$5:C86,C86,E$5:E86,E86)=1,1,0))</f>
        <v/>
      </c>
      <c r="U86" s="30" t="n">
        <f aca="false">IF(C86="",0,IF(AND(B86="brand",E86="budget_probe",N(F86)&gt;=Inputs!$C$124,H86="Y"),1,0))</f>
        <v>0</v>
      </c>
      <c r="V86" s="30" t="n">
        <f aca="false">IF(U86=1,IF(COUNTIFS(C$5:C86,C86,U$5:U86,1)=1,1,0),0)</f>
        <v>0</v>
      </c>
      <c r="W86" s="30" t="n">
        <f aca="false">IF(C86="",0,IF(AND(B86="office",E86="budget_probe",N(F86)&gt;=Inputs!$C$139),1,0))</f>
        <v>0</v>
      </c>
      <c r="X86" s="30" t="n">
        <f aca="false">IF(W86=1,IF(COUNTIFS(C$5:C86,C86,W$5:W86,1)=1,1,0),0)</f>
        <v>0</v>
      </c>
      <c r="Y86" s="30" t="n">
        <f aca="false">IF(C86="",0,IF(AND(B86="brand",E86="renewal_answer",TRIM(G86)="yes",N(F86)&gt;=Inputs!$C$135),1,0))</f>
        <v>0</v>
      </c>
      <c r="Z86" s="30" t="n">
        <f aca="false">IF(Y86=1,IF(COUNTIFS(C$5:C86,C86,Y$5:Y86,1)=1,1,0),0)</f>
        <v>0</v>
      </c>
      <c r="AA86" s="30" t="n">
        <f aca="false">IF(AND(E86="budget_probe",ISNUMBER(F86),I86&lt;&gt;Lists!$X$4),1,0)</f>
        <v>0</v>
      </c>
      <c r="AB86" s="30" t="str">
        <f aca="false">IF(AND(B86="office",AA86=1,COUNTIFS(C$5:C86,C86,AA$5:AA86,1)=1),F86,"")</f>
        <v/>
      </c>
      <c r="AC86" s="30" t="str">
        <f aca="false">IF(AND(B86="brand",AA86=1,COUNTIFS(C$5:C86,C86,AA$5:AA86,1)=1),F86,"")</f>
        <v/>
      </c>
      <c r="AD86" s="30" t="str">
        <f aca="false">IF(AND(B86="brand",E86="budget_probe",ISNUMBER(F86),I86=Lists!$X$4),IF(COUNTIFS(C$5:C86,C86,E$5:E86,"budget_probe",I$5:I86,Lists!$X$4)=1,F86,""),"")</f>
        <v/>
      </c>
      <c r="AE86" s="30" t="n">
        <f aca="false">IF(AND(B86="brand",E86="paid",ISNUMBER(F86)),IF(AND(SUMIFS(F$5:F86,B$5:B86,"brand",C$5:C86,C86,E$5:E86,"paid")&gt;=Inputs!$C$44,SUMIFS(F$5:F86,B$5:B86,"brand",C$5:C86,C86,E$5:E86,"paid")-F86&lt;Inputs!$C$44),1,0),0)</f>
        <v>0</v>
      </c>
    </row>
    <row r="87" customFormat="false" ht="15" hidden="false" customHeight="false" outlineLevel="0" collapsed="false">
      <c r="A87" s="102"/>
      <c r="B87" s="103"/>
      <c r="C87" s="103"/>
      <c r="D87" s="103"/>
      <c r="E87" s="103"/>
      <c r="F87" s="103"/>
      <c r="G87" s="103"/>
      <c r="H87" s="103"/>
      <c r="I87" s="103"/>
      <c r="T87" s="30" t="str">
        <f aca="false">IF(C87="","",IF(COUNTIFS(C$5:C87,C87,E$5:E87,E87)=1,1,0))</f>
        <v/>
      </c>
      <c r="U87" s="30" t="n">
        <f aca="false">IF(C87="",0,IF(AND(B87="brand",E87="budget_probe",N(F87)&gt;=Inputs!$C$124,H87="Y"),1,0))</f>
        <v>0</v>
      </c>
      <c r="V87" s="30" t="n">
        <f aca="false">IF(U87=1,IF(COUNTIFS(C$5:C87,C87,U$5:U87,1)=1,1,0),0)</f>
        <v>0</v>
      </c>
      <c r="W87" s="30" t="n">
        <f aca="false">IF(C87="",0,IF(AND(B87="office",E87="budget_probe",N(F87)&gt;=Inputs!$C$139),1,0))</f>
        <v>0</v>
      </c>
      <c r="X87" s="30" t="n">
        <f aca="false">IF(W87=1,IF(COUNTIFS(C$5:C87,C87,W$5:W87,1)=1,1,0),0)</f>
        <v>0</v>
      </c>
      <c r="Y87" s="30" t="n">
        <f aca="false">IF(C87="",0,IF(AND(B87="brand",E87="renewal_answer",TRIM(G87)="yes",N(F87)&gt;=Inputs!$C$135),1,0))</f>
        <v>0</v>
      </c>
      <c r="Z87" s="30" t="n">
        <f aca="false">IF(Y87=1,IF(COUNTIFS(C$5:C87,C87,Y$5:Y87,1)=1,1,0),0)</f>
        <v>0</v>
      </c>
      <c r="AA87" s="30" t="n">
        <f aca="false">IF(AND(E87="budget_probe",ISNUMBER(F87),I87&lt;&gt;Lists!$X$4),1,0)</f>
        <v>0</v>
      </c>
      <c r="AB87" s="30" t="str">
        <f aca="false">IF(AND(B87="office",AA87=1,COUNTIFS(C$5:C87,C87,AA$5:AA87,1)=1),F87,"")</f>
        <v/>
      </c>
      <c r="AC87" s="30" t="str">
        <f aca="false">IF(AND(B87="brand",AA87=1,COUNTIFS(C$5:C87,C87,AA$5:AA87,1)=1),F87,"")</f>
        <v/>
      </c>
      <c r="AD87" s="30" t="str">
        <f aca="false">IF(AND(B87="brand",E87="budget_probe",ISNUMBER(F87),I87=Lists!$X$4),IF(COUNTIFS(C$5:C87,C87,E$5:E87,"budget_probe",I$5:I87,Lists!$X$4)=1,F87,""),"")</f>
        <v/>
      </c>
      <c r="AE87" s="30" t="n">
        <f aca="false">IF(AND(B87="brand",E87="paid",ISNUMBER(F87)),IF(AND(SUMIFS(F$5:F87,B$5:B87,"brand",C$5:C87,C87,E$5:E87,"paid")&gt;=Inputs!$C$44,SUMIFS(F$5:F87,B$5:B87,"brand",C$5:C87,C87,E$5:E87,"paid")-F87&lt;Inputs!$C$44),1,0),0)</f>
        <v>0</v>
      </c>
    </row>
    <row r="88" customFormat="false" ht="15" hidden="false" customHeight="false" outlineLevel="0" collapsed="false">
      <c r="A88" s="102"/>
      <c r="B88" s="103"/>
      <c r="C88" s="103"/>
      <c r="D88" s="103"/>
      <c r="E88" s="103"/>
      <c r="F88" s="103"/>
      <c r="G88" s="103"/>
      <c r="H88" s="103"/>
      <c r="I88" s="103"/>
      <c r="T88" s="30" t="str">
        <f aca="false">IF(C88="","",IF(COUNTIFS(C$5:C88,C88,E$5:E88,E88)=1,1,0))</f>
        <v/>
      </c>
      <c r="U88" s="30" t="n">
        <f aca="false">IF(C88="",0,IF(AND(B88="brand",E88="budget_probe",N(F88)&gt;=Inputs!$C$124,H88="Y"),1,0))</f>
        <v>0</v>
      </c>
      <c r="V88" s="30" t="n">
        <f aca="false">IF(U88=1,IF(COUNTIFS(C$5:C88,C88,U$5:U88,1)=1,1,0),0)</f>
        <v>0</v>
      </c>
      <c r="W88" s="30" t="n">
        <f aca="false">IF(C88="",0,IF(AND(B88="office",E88="budget_probe",N(F88)&gt;=Inputs!$C$139),1,0))</f>
        <v>0</v>
      </c>
      <c r="X88" s="30" t="n">
        <f aca="false">IF(W88=1,IF(COUNTIFS(C$5:C88,C88,W$5:W88,1)=1,1,0),0)</f>
        <v>0</v>
      </c>
      <c r="Y88" s="30" t="n">
        <f aca="false">IF(C88="",0,IF(AND(B88="brand",E88="renewal_answer",TRIM(G88)="yes",N(F88)&gt;=Inputs!$C$135),1,0))</f>
        <v>0</v>
      </c>
      <c r="Z88" s="30" t="n">
        <f aca="false">IF(Y88=1,IF(COUNTIFS(C$5:C88,C88,Y$5:Y88,1)=1,1,0),0)</f>
        <v>0</v>
      </c>
      <c r="AA88" s="30" t="n">
        <f aca="false">IF(AND(E88="budget_probe",ISNUMBER(F88),I88&lt;&gt;Lists!$X$4),1,0)</f>
        <v>0</v>
      </c>
      <c r="AB88" s="30" t="str">
        <f aca="false">IF(AND(B88="office",AA88=1,COUNTIFS(C$5:C88,C88,AA$5:AA88,1)=1),F88,"")</f>
        <v/>
      </c>
      <c r="AC88" s="30" t="str">
        <f aca="false">IF(AND(B88="brand",AA88=1,COUNTIFS(C$5:C88,C88,AA$5:AA88,1)=1),F88,"")</f>
        <v/>
      </c>
      <c r="AD88" s="30" t="str">
        <f aca="false">IF(AND(B88="brand",E88="budget_probe",ISNUMBER(F88),I88=Lists!$X$4),IF(COUNTIFS(C$5:C88,C88,E$5:E88,"budget_probe",I$5:I88,Lists!$X$4)=1,F88,""),"")</f>
        <v/>
      </c>
      <c r="AE88" s="30" t="n">
        <f aca="false">IF(AND(B88="brand",E88="paid",ISNUMBER(F88)),IF(AND(SUMIFS(F$5:F88,B$5:B88,"brand",C$5:C88,C88,E$5:E88,"paid")&gt;=Inputs!$C$44,SUMIFS(F$5:F88,B$5:B88,"brand",C$5:C88,C88,E$5:E88,"paid")-F88&lt;Inputs!$C$44),1,0),0)</f>
        <v>0</v>
      </c>
    </row>
    <row r="89" customFormat="false" ht="15" hidden="false" customHeight="false" outlineLevel="0" collapsed="false">
      <c r="A89" s="102"/>
      <c r="B89" s="103"/>
      <c r="C89" s="103"/>
      <c r="D89" s="103"/>
      <c r="E89" s="103"/>
      <c r="F89" s="103"/>
      <c r="G89" s="103"/>
      <c r="H89" s="103"/>
      <c r="I89" s="103"/>
      <c r="T89" s="30" t="str">
        <f aca="false">IF(C89="","",IF(COUNTIFS(C$5:C89,C89,E$5:E89,E89)=1,1,0))</f>
        <v/>
      </c>
      <c r="U89" s="30" t="n">
        <f aca="false">IF(C89="",0,IF(AND(B89="brand",E89="budget_probe",N(F89)&gt;=Inputs!$C$124,H89="Y"),1,0))</f>
        <v>0</v>
      </c>
      <c r="V89" s="30" t="n">
        <f aca="false">IF(U89=1,IF(COUNTIFS(C$5:C89,C89,U$5:U89,1)=1,1,0),0)</f>
        <v>0</v>
      </c>
      <c r="W89" s="30" t="n">
        <f aca="false">IF(C89="",0,IF(AND(B89="office",E89="budget_probe",N(F89)&gt;=Inputs!$C$139),1,0))</f>
        <v>0</v>
      </c>
      <c r="X89" s="30" t="n">
        <f aca="false">IF(W89=1,IF(COUNTIFS(C$5:C89,C89,W$5:W89,1)=1,1,0),0)</f>
        <v>0</v>
      </c>
      <c r="Y89" s="30" t="n">
        <f aca="false">IF(C89="",0,IF(AND(B89="brand",E89="renewal_answer",TRIM(G89)="yes",N(F89)&gt;=Inputs!$C$135),1,0))</f>
        <v>0</v>
      </c>
      <c r="Z89" s="30" t="n">
        <f aca="false">IF(Y89=1,IF(COUNTIFS(C$5:C89,C89,Y$5:Y89,1)=1,1,0),0)</f>
        <v>0</v>
      </c>
      <c r="AA89" s="30" t="n">
        <f aca="false">IF(AND(E89="budget_probe",ISNUMBER(F89),I89&lt;&gt;Lists!$X$4),1,0)</f>
        <v>0</v>
      </c>
      <c r="AB89" s="30" t="str">
        <f aca="false">IF(AND(B89="office",AA89=1,COUNTIFS(C$5:C89,C89,AA$5:AA89,1)=1),F89,"")</f>
        <v/>
      </c>
      <c r="AC89" s="30" t="str">
        <f aca="false">IF(AND(B89="brand",AA89=1,COUNTIFS(C$5:C89,C89,AA$5:AA89,1)=1),F89,"")</f>
        <v/>
      </c>
      <c r="AD89" s="30" t="str">
        <f aca="false">IF(AND(B89="brand",E89="budget_probe",ISNUMBER(F89),I89=Lists!$X$4),IF(COUNTIFS(C$5:C89,C89,E$5:E89,"budget_probe",I$5:I89,Lists!$X$4)=1,F89,""),"")</f>
        <v/>
      </c>
      <c r="AE89" s="30" t="n">
        <f aca="false">IF(AND(B89="brand",E89="paid",ISNUMBER(F89)),IF(AND(SUMIFS(F$5:F89,B$5:B89,"brand",C$5:C89,C89,E$5:E89,"paid")&gt;=Inputs!$C$44,SUMIFS(F$5:F89,B$5:B89,"brand",C$5:C89,C89,E$5:E89,"paid")-F89&lt;Inputs!$C$44),1,0),0)</f>
        <v>0</v>
      </c>
    </row>
    <row r="90" customFormat="false" ht="15" hidden="false" customHeight="false" outlineLevel="0" collapsed="false">
      <c r="A90" s="102"/>
      <c r="B90" s="103"/>
      <c r="C90" s="103"/>
      <c r="D90" s="103"/>
      <c r="E90" s="103"/>
      <c r="F90" s="103"/>
      <c r="G90" s="103"/>
      <c r="H90" s="103"/>
      <c r="I90" s="103"/>
      <c r="T90" s="30" t="str">
        <f aca="false">IF(C90="","",IF(COUNTIFS(C$5:C90,C90,E$5:E90,E90)=1,1,0))</f>
        <v/>
      </c>
      <c r="U90" s="30" t="n">
        <f aca="false">IF(C90="",0,IF(AND(B90="brand",E90="budget_probe",N(F90)&gt;=Inputs!$C$124,H90="Y"),1,0))</f>
        <v>0</v>
      </c>
      <c r="V90" s="30" t="n">
        <f aca="false">IF(U90=1,IF(COUNTIFS(C$5:C90,C90,U$5:U90,1)=1,1,0),0)</f>
        <v>0</v>
      </c>
      <c r="W90" s="30" t="n">
        <f aca="false">IF(C90="",0,IF(AND(B90="office",E90="budget_probe",N(F90)&gt;=Inputs!$C$139),1,0))</f>
        <v>0</v>
      </c>
      <c r="X90" s="30" t="n">
        <f aca="false">IF(W90=1,IF(COUNTIFS(C$5:C90,C90,W$5:W90,1)=1,1,0),0)</f>
        <v>0</v>
      </c>
      <c r="Y90" s="30" t="n">
        <f aca="false">IF(C90="",0,IF(AND(B90="brand",E90="renewal_answer",TRIM(G90)="yes",N(F90)&gt;=Inputs!$C$135),1,0))</f>
        <v>0</v>
      </c>
      <c r="Z90" s="30" t="n">
        <f aca="false">IF(Y90=1,IF(COUNTIFS(C$5:C90,C90,Y$5:Y90,1)=1,1,0),0)</f>
        <v>0</v>
      </c>
      <c r="AA90" s="30" t="n">
        <f aca="false">IF(AND(E90="budget_probe",ISNUMBER(F90),I90&lt;&gt;Lists!$X$4),1,0)</f>
        <v>0</v>
      </c>
      <c r="AB90" s="30" t="str">
        <f aca="false">IF(AND(B90="office",AA90=1,COUNTIFS(C$5:C90,C90,AA$5:AA90,1)=1),F90,"")</f>
        <v/>
      </c>
      <c r="AC90" s="30" t="str">
        <f aca="false">IF(AND(B90="brand",AA90=1,COUNTIFS(C$5:C90,C90,AA$5:AA90,1)=1),F90,"")</f>
        <v/>
      </c>
      <c r="AD90" s="30" t="str">
        <f aca="false">IF(AND(B90="brand",E90="budget_probe",ISNUMBER(F90),I90=Lists!$X$4),IF(COUNTIFS(C$5:C90,C90,E$5:E90,"budget_probe",I$5:I90,Lists!$X$4)=1,F90,""),"")</f>
        <v/>
      </c>
      <c r="AE90" s="30" t="n">
        <f aca="false">IF(AND(B90="brand",E90="paid",ISNUMBER(F90)),IF(AND(SUMIFS(F$5:F90,B$5:B90,"brand",C$5:C90,C90,E$5:E90,"paid")&gt;=Inputs!$C$44,SUMIFS(F$5:F90,B$5:B90,"brand",C$5:C90,C90,E$5:E90,"paid")-F90&lt;Inputs!$C$44),1,0),0)</f>
        <v>0</v>
      </c>
    </row>
    <row r="91" customFormat="false" ht="15" hidden="false" customHeight="false" outlineLevel="0" collapsed="false">
      <c r="A91" s="102"/>
      <c r="B91" s="103"/>
      <c r="C91" s="103"/>
      <c r="D91" s="103"/>
      <c r="E91" s="103"/>
      <c r="F91" s="103"/>
      <c r="G91" s="103"/>
      <c r="H91" s="103"/>
      <c r="I91" s="103"/>
      <c r="T91" s="30" t="str">
        <f aca="false">IF(C91="","",IF(COUNTIFS(C$5:C91,C91,E$5:E91,E91)=1,1,0))</f>
        <v/>
      </c>
      <c r="U91" s="30" t="n">
        <f aca="false">IF(C91="",0,IF(AND(B91="brand",E91="budget_probe",N(F91)&gt;=Inputs!$C$124,H91="Y"),1,0))</f>
        <v>0</v>
      </c>
      <c r="V91" s="30" t="n">
        <f aca="false">IF(U91=1,IF(COUNTIFS(C$5:C91,C91,U$5:U91,1)=1,1,0),0)</f>
        <v>0</v>
      </c>
      <c r="W91" s="30" t="n">
        <f aca="false">IF(C91="",0,IF(AND(B91="office",E91="budget_probe",N(F91)&gt;=Inputs!$C$139),1,0))</f>
        <v>0</v>
      </c>
      <c r="X91" s="30" t="n">
        <f aca="false">IF(W91=1,IF(COUNTIFS(C$5:C91,C91,W$5:W91,1)=1,1,0),0)</f>
        <v>0</v>
      </c>
      <c r="Y91" s="30" t="n">
        <f aca="false">IF(C91="",0,IF(AND(B91="brand",E91="renewal_answer",TRIM(G91)="yes",N(F91)&gt;=Inputs!$C$135),1,0))</f>
        <v>0</v>
      </c>
      <c r="Z91" s="30" t="n">
        <f aca="false">IF(Y91=1,IF(COUNTIFS(C$5:C91,C91,Y$5:Y91,1)=1,1,0),0)</f>
        <v>0</v>
      </c>
      <c r="AA91" s="30" t="n">
        <f aca="false">IF(AND(E91="budget_probe",ISNUMBER(F91),I91&lt;&gt;Lists!$X$4),1,0)</f>
        <v>0</v>
      </c>
      <c r="AB91" s="30" t="str">
        <f aca="false">IF(AND(B91="office",AA91=1,COUNTIFS(C$5:C91,C91,AA$5:AA91,1)=1),F91,"")</f>
        <v/>
      </c>
      <c r="AC91" s="30" t="str">
        <f aca="false">IF(AND(B91="brand",AA91=1,COUNTIFS(C$5:C91,C91,AA$5:AA91,1)=1),F91,"")</f>
        <v/>
      </c>
      <c r="AD91" s="30" t="str">
        <f aca="false">IF(AND(B91="brand",E91="budget_probe",ISNUMBER(F91),I91=Lists!$X$4),IF(COUNTIFS(C$5:C91,C91,E$5:E91,"budget_probe",I$5:I91,Lists!$X$4)=1,F91,""),"")</f>
        <v/>
      </c>
      <c r="AE91" s="30" t="n">
        <f aca="false">IF(AND(B91="brand",E91="paid",ISNUMBER(F91)),IF(AND(SUMIFS(F$5:F91,B$5:B91,"brand",C$5:C91,C91,E$5:E91,"paid")&gt;=Inputs!$C$44,SUMIFS(F$5:F91,B$5:B91,"brand",C$5:C91,C91,E$5:E91,"paid")-F91&lt;Inputs!$C$44),1,0),0)</f>
        <v>0</v>
      </c>
    </row>
    <row r="92" customFormat="false" ht="15" hidden="false" customHeight="false" outlineLevel="0" collapsed="false">
      <c r="A92" s="102"/>
      <c r="B92" s="103"/>
      <c r="C92" s="103"/>
      <c r="D92" s="103"/>
      <c r="E92" s="103"/>
      <c r="F92" s="103"/>
      <c r="G92" s="103"/>
      <c r="H92" s="103"/>
      <c r="I92" s="103"/>
      <c r="T92" s="30" t="str">
        <f aca="false">IF(C92="","",IF(COUNTIFS(C$5:C92,C92,E$5:E92,E92)=1,1,0))</f>
        <v/>
      </c>
      <c r="U92" s="30" t="n">
        <f aca="false">IF(C92="",0,IF(AND(B92="brand",E92="budget_probe",N(F92)&gt;=Inputs!$C$124,H92="Y"),1,0))</f>
        <v>0</v>
      </c>
      <c r="V92" s="30" t="n">
        <f aca="false">IF(U92=1,IF(COUNTIFS(C$5:C92,C92,U$5:U92,1)=1,1,0),0)</f>
        <v>0</v>
      </c>
      <c r="W92" s="30" t="n">
        <f aca="false">IF(C92="",0,IF(AND(B92="office",E92="budget_probe",N(F92)&gt;=Inputs!$C$139),1,0))</f>
        <v>0</v>
      </c>
      <c r="X92" s="30" t="n">
        <f aca="false">IF(W92=1,IF(COUNTIFS(C$5:C92,C92,W$5:W92,1)=1,1,0),0)</f>
        <v>0</v>
      </c>
      <c r="Y92" s="30" t="n">
        <f aca="false">IF(C92="",0,IF(AND(B92="brand",E92="renewal_answer",TRIM(G92)="yes",N(F92)&gt;=Inputs!$C$135),1,0))</f>
        <v>0</v>
      </c>
      <c r="Z92" s="30" t="n">
        <f aca="false">IF(Y92=1,IF(COUNTIFS(C$5:C92,C92,Y$5:Y92,1)=1,1,0),0)</f>
        <v>0</v>
      </c>
      <c r="AA92" s="30" t="n">
        <f aca="false">IF(AND(E92="budget_probe",ISNUMBER(F92),I92&lt;&gt;Lists!$X$4),1,0)</f>
        <v>0</v>
      </c>
      <c r="AB92" s="30" t="str">
        <f aca="false">IF(AND(B92="office",AA92=1,COUNTIFS(C$5:C92,C92,AA$5:AA92,1)=1),F92,"")</f>
        <v/>
      </c>
      <c r="AC92" s="30" t="str">
        <f aca="false">IF(AND(B92="brand",AA92=1,COUNTIFS(C$5:C92,C92,AA$5:AA92,1)=1),F92,"")</f>
        <v/>
      </c>
      <c r="AD92" s="30" t="str">
        <f aca="false">IF(AND(B92="brand",E92="budget_probe",ISNUMBER(F92),I92=Lists!$X$4),IF(COUNTIFS(C$5:C92,C92,E$5:E92,"budget_probe",I$5:I92,Lists!$X$4)=1,F92,""),"")</f>
        <v/>
      </c>
      <c r="AE92" s="30" t="n">
        <f aca="false">IF(AND(B92="brand",E92="paid",ISNUMBER(F92)),IF(AND(SUMIFS(F$5:F92,B$5:B92,"brand",C$5:C92,C92,E$5:E92,"paid")&gt;=Inputs!$C$44,SUMIFS(F$5:F92,B$5:B92,"brand",C$5:C92,C92,E$5:E92,"paid")-F92&lt;Inputs!$C$44),1,0),0)</f>
        <v>0</v>
      </c>
    </row>
    <row r="93" customFormat="false" ht="15" hidden="false" customHeight="false" outlineLevel="0" collapsed="false">
      <c r="A93" s="102"/>
      <c r="B93" s="103"/>
      <c r="C93" s="103"/>
      <c r="D93" s="103"/>
      <c r="E93" s="103"/>
      <c r="F93" s="103"/>
      <c r="G93" s="103"/>
      <c r="H93" s="103"/>
      <c r="I93" s="103"/>
      <c r="T93" s="30" t="str">
        <f aca="false">IF(C93="","",IF(COUNTIFS(C$5:C93,C93,E$5:E93,E93)=1,1,0))</f>
        <v/>
      </c>
      <c r="U93" s="30" t="n">
        <f aca="false">IF(C93="",0,IF(AND(B93="brand",E93="budget_probe",N(F93)&gt;=Inputs!$C$124,H93="Y"),1,0))</f>
        <v>0</v>
      </c>
      <c r="V93" s="30" t="n">
        <f aca="false">IF(U93=1,IF(COUNTIFS(C$5:C93,C93,U$5:U93,1)=1,1,0),0)</f>
        <v>0</v>
      </c>
      <c r="W93" s="30" t="n">
        <f aca="false">IF(C93="",0,IF(AND(B93="office",E93="budget_probe",N(F93)&gt;=Inputs!$C$139),1,0))</f>
        <v>0</v>
      </c>
      <c r="X93" s="30" t="n">
        <f aca="false">IF(W93=1,IF(COUNTIFS(C$5:C93,C93,W$5:W93,1)=1,1,0),0)</f>
        <v>0</v>
      </c>
      <c r="Y93" s="30" t="n">
        <f aca="false">IF(C93="",0,IF(AND(B93="brand",E93="renewal_answer",TRIM(G93)="yes",N(F93)&gt;=Inputs!$C$135),1,0))</f>
        <v>0</v>
      </c>
      <c r="Z93" s="30" t="n">
        <f aca="false">IF(Y93=1,IF(COUNTIFS(C$5:C93,C93,Y$5:Y93,1)=1,1,0),0)</f>
        <v>0</v>
      </c>
      <c r="AA93" s="30" t="n">
        <f aca="false">IF(AND(E93="budget_probe",ISNUMBER(F93),I93&lt;&gt;Lists!$X$4),1,0)</f>
        <v>0</v>
      </c>
      <c r="AB93" s="30" t="str">
        <f aca="false">IF(AND(B93="office",AA93=1,COUNTIFS(C$5:C93,C93,AA$5:AA93,1)=1),F93,"")</f>
        <v/>
      </c>
      <c r="AC93" s="30" t="str">
        <f aca="false">IF(AND(B93="brand",AA93=1,COUNTIFS(C$5:C93,C93,AA$5:AA93,1)=1),F93,"")</f>
        <v/>
      </c>
      <c r="AD93" s="30" t="str">
        <f aca="false">IF(AND(B93="brand",E93="budget_probe",ISNUMBER(F93),I93=Lists!$X$4),IF(COUNTIFS(C$5:C93,C93,E$5:E93,"budget_probe",I$5:I93,Lists!$X$4)=1,F93,""),"")</f>
        <v/>
      </c>
      <c r="AE93" s="30" t="n">
        <f aca="false">IF(AND(B93="brand",E93="paid",ISNUMBER(F93)),IF(AND(SUMIFS(F$5:F93,B$5:B93,"brand",C$5:C93,C93,E$5:E93,"paid")&gt;=Inputs!$C$44,SUMIFS(F$5:F93,B$5:B93,"brand",C$5:C93,C93,E$5:E93,"paid")-F93&lt;Inputs!$C$44),1,0),0)</f>
        <v>0</v>
      </c>
    </row>
    <row r="94" customFormat="false" ht="15" hidden="false" customHeight="false" outlineLevel="0" collapsed="false">
      <c r="A94" s="102"/>
      <c r="B94" s="103"/>
      <c r="C94" s="103"/>
      <c r="D94" s="103"/>
      <c r="E94" s="103"/>
      <c r="F94" s="103"/>
      <c r="G94" s="103"/>
      <c r="H94" s="103"/>
      <c r="I94" s="103"/>
      <c r="T94" s="30" t="str">
        <f aca="false">IF(C94="","",IF(COUNTIFS(C$5:C94,C94,E$5:E94,E94)=1,1,0))</f>
        <v/>
      </c>
      <c r="U94" s="30" t="n">
        <f aca="false">IF(C94="",0,IF(AND(B94="brand",E94="budget_probe",N(F94)&gt;=Inputs!$C$124,H94="Y"),1,0))</f>
        <v>0</v>
      </c>
      <c r="V94" s="30" t="n">
        <f aca="false">IF(U94=1,IF(COUNTIFS(C$5:C94,C94,U$5:U94,1)=1,1,0),0)</f>
        <v>0</v>
      </c>
      <c r="W94" s="30" t="n">
        <f aca="false">IF(C94="",0,IF(AND(B94="office",E94="budget_probe",N(F94)&gt;=Inputs!$C$139),1,0))</f>
        <v>0</v>
      </c>
      <c r="X94" s="30" t="n">
        <f aca="false">IF(W94=1,IF(COUNTIFS(C$5:C94,C94,W$5:W94,1)=1,1,0),0)</f>
        <v>0</v>
      </c>
      <c r="Y94" s="30" t="n">
        <f aca="false">IF(C94="",0,IF(AND(B94="brand",E94="renewal_answer",TRIM(G94)="yes",N(F94)&gt;=Inputs!$C$135),1,0))</f>
        <v>0</v>
      </c>
      <c r="Z94" s="30" t="n">
        <f aca="false">IF(Y94=1,IF(COUNTIFS(C$5:C94,C94,Y$5:Y94,1)=1,1,0),0)</f>
        <v>0</v>
      </c>
      <c r="AA94" s="30" t="n">
        <f aca="false">IF(AND(E94="budget_probe",ISNUMBER(F94),I94&lt;&gt;Lists!$X$4),1,0)</f>
        <v>0</v>
      </c>
      <c r="AB94" s="30" t="str">
        <f aca="false">IF(AND(B94="office",AA94=1,COUNTIFS(C$5:C94,C94,AA$5:AA94,1)=1),F94,"")</f>
        <v/>
      </c>
      <c r="AC94" s="30" t="str">
        <f aca="false">IF(AND(B94="brand",AA94=1,COUNTIFS(C$5:C94,C94,AA$5:AA94,1)=1),F94,"")</f>
        <v/>
      </c>
      <c r="AD94" s="30" t="str">
        <f aca="false">IF(AND(B94="brand",E94="budget_probe",ISNUMBER(F94),I94=Lists!$X$4),IF(COUNTIFS(C$5:C94,C94,E$5:E94,"budget_probe",I$5:I94,Lists!$X$4)=1,F94,""),"")</f>
        <v/>
      </c>
      <c r="AE94" s="30" t="n">
        <f aca="false">IF(AND(B94="brand",E94="paid",ISNUMBER(F94)),IF(AND(SUMIFS(F$5:F94,B$5:B94,"brand",C$5:C94,C94,E$5:E94,"paid")&gt;=Inputs!$C$44,SUMIFS(F$5:F94,B$5:B94,"brand",C$5:C94,C94,E$5:E94,"paid")-F94&lt;Inputs!$C$44),1,0),0)</f>
        <v>0</v>
      </c>
    </row>
    <row r="95" customFormat="false" ht="15" hidden="false" customHeight="false" outlineLevel="0" collapsed="false">
      <c r="A95" s="102"/>
      <c r="B95" s="103"/>
      <c r="C95" s="103"/>
      <c r="D95" s="103"/>
      <c r="E95" s="103"/>
      <c r="F95" s="103"/>
      <c r="G95" s="103"/>
      <c r="H95" s="103"/>
      <c r="I95" s="103"/>
      <c r="T95" s="30" t="str">
        <f aca="false">IF(C95="","",IF(COUNTIFS(C$5:C95,C95,E$5:E95,E95)=1,1,0))</f>
        <v/>
      </c>
      <c r="U95" s="30" t="n">
        <f aca="false">IF(C95="",0,IF(AND(B95="brand",E95="budget_probe",N(F95)&gt;=Inputs!$C$124,H95="Y"),1,0))</f>
        <v>0</v>
      </c>
      <c r="V95" s="30" t="n">
        <f aca="false">IF(U95=1,IF(COUNTIFS(C$5:C95,C95,U$5:U95,1)=1,1,0),0)</f>
        <v>0</v>
      </c>
      <c r="W95" s="30" t="n">
        <f aca="false">IF(C95="",0,IF(AND(B95="office",E95="budget_probe",N(F95)&gt;=Inputs!$C$139),1,0))</f>
        <v>0</v>
      </c>
      <c r="X95" s="30" t="n">
        <f aca="false">IF(W95=1,IF(COUNTIFS(C$5:C95,C95,W$5:W95,1)=1,1,0),0)</f>
        <v>0</v>
      </c>
      <c r="Y95" s="30" t="n">
        <f aca="false">IF(C95="",0,IF(AND(B95="brand",E95="renewal_answer",TRIM(G95)="yes",N(F95)&gt;=Inputs!$C$135),1,0))</f>
        <v>0</v>
      </c>
      <c r="Z95" s="30" t="n">
        <f aca="false">IF(Y95=1,IF(COUNTIFS(C$5:C95,C95,Y$5:Y95,1)=1,1,0),0)</f>
        <v>0</v>
      </c>
      <c r="AA95" s="30" t="n">
        <f aca="false">IF(AND(E95="budget_probe",ISNUMBER(F95),I95&lt;&gt;Lists!$X$4),1,0)</f>
        <v>0</v>
      </c>
      <c r="AB95" s="30" t="str">
        <f aca="false">IF(AND(B95="office",AA95=1,COUNTIFS(C$5:C95,C95,AA$5:AA95,1)=1),F95,"")</f>
        <v/>
      </c>
      <c r="AC95" s="30" t="str">
        <f aca="false">IF(AND(B95="brand",AA95=1,COUNTIFS(C$5:C95,C95,AA$5:AA95,1)=1),F95,"")</f>
        <v/>
      </c>
      <c r="AD95" s="30" t="str">
        <f aca="false">IF(AND(B95="brand",E95="budget_probe",ISNUMBER(F95),I95=Lists!$X$4),IF(COUNTIFS(C$5:C95,C95,E$5:E95,"budget_probe",I$5:I95,Lists!$X$4)=1,F95,""),"")</f>
        <v/>
      </c>
      <c r="AE95" s="30" t="n">
        <f aca="false">IF(AND(B95="brand",E95="paid",ISNUMBER(F95)),IF(AND(SUMIFS(F$5:F95,B$5:B95,"brand",C$5:C95,C95,E$5:E95,"paid")&gt;=Inputs!$C$44,SUMIFS(F$5:F95,B$5:B95,"brand",C$5:C95,C95,E$5:E95,"paid")-F95&lt;Inputs!$C$44),1,0),0)</f>
        <v>0</v>
      </c>
    </row>
    <row r="96" customFormat="false" ht="15" hidden="false" customHeight="false" outlineLevel="0" collapsed="false">
      <c r="A96" s="102"/>
      <c r="B96" s="103"/>
      <c r="C96" s="103"/>
      <c r="D96" s="103"/>
      <c r="E96" s="103"/>
      <c r="F96" s="103"/>
      <c r="G96" s="103"/>
      <c r="H96" s="103"/>
      <c r="I96" s="103"/>
      <c r="T96" s="30" t="str">
        <f aca="false">IF(C96="","",IF(COUNTIFS(C$5:C96,C96,E$5:E96,E96)=1,1,0))</f>
        <v/>
      </c>
      <c r="U96" s="30" t="n">
        <f aca="false">IF(C96="",0,IF(AND(B96="brand",E96="budget_probe",N(F96)&gt;=Inputs!$C$124,H96="Y"),1,0))</f>
        <v>0</v>
      </c>
      <c r="V96" s="30" t="n">
        <f aca="false">IF(U96=1,IF(COUNTIFS(C$5:C96,C96,U$5:U96,1)=1,1,0),0)</f>
        <v>0</v>
      </c>
      <c r="W96" s="30" t="n">
        <f aca="false">IF(C96="",0,IF(AND(B96="office",E96="budget_probe",N(F96)&gt;=Inputs!$C$139),1,0))</f>
        <v>0</v>
      </c>
      <c r="X96" s="30" t="n">
        <f aca="false">IF(W96=1,IF(COUNTIFS(C$5:C96,C96,W$5:W96,1)=1,1,0),0)</f>
        <v>0</v>
      </c>
      <c r="Y96" s="30" t="n">
        <f aca="false">IF(C96="",0,IF(AND(B96="brand",E96="renewal_answer",TRIM(G96)="yes",N(F96)&gt;=Inputs!$C$135),1,0))</f>
        <v>0</v>
      </c>
      <c r="Z96" s="30" t="n">
        <f aca="false">IF(Y96=1,IF(COUNTIFS(C$5:C96,C96,Y$5:Y96,1)=1,1,0),0)</f>
        <v>0</v>
      </c>
      <c r="AA96" s="30" t="n">
        <f aca="false">IF(AND(E96="budget_probe",ISNUMBER(F96),I96&lt;&gt;Lists!$X$4),1,0)</f>
        <v>0</v>
      </c>
      <c r="AB96" s="30" t="str">
        <f aca="false">IF(AND(B96="office",AA96=1,COUNTIFS(C$5:C96,C96,AA$5:AA96,1)=1),F96,"")</f>
        <v/>
      </c>
      <c r="AC96" s="30" t="str">
        <f aca="false">IF(AND(B96="brand",AA96=1,COUNTIFS(C$5:C96,C96,AA$5:AA96,1)=1),F96,"")</f>
        <v/>
      </c>
      <c r="AD96" s="30" t="str">
        <f aca="false">IF(AND(B96="brand",E96="budget_probe",ISNUMBER(F96),I96=Lists!$X$4),IF(COUNTIFS(C$5:C96,C96,E$5:E96,"budget_probe",I$5:I96,Lists!$X$4)=1,F96,""),"")</f>
        <v/>
      </c>
      <c r="AE96" s="30" t="n">
        <f aca="false">IF(AND(B96="brand",E96="paid",ISNUMBER(F96)),IF(AND(SUMIFS(F$5:F96,B$5:B96,"brand",C$5:C96,C96,E$5:E96,"paid")&gt;=Inputs!$C$44,SUMIFS(F$5:F96,B$5:B96,"brand",C$5:C96,C96,E$5:E96,"paid")-F96&lt;Inputs!$C$44),1,0),0)</f>
        <v>0</v>
      </c>
    </row>
    <row r="97" customFormat="false" ht="15" hidden="false" customHeight="false" outlineLevel="0" collapsed="false">
      <c r="A97" s="102"/>
      <c r="B97" s="103"/>
      <c r="C97" s="103"/>
      <c r="D97" s="103"/>
      <c r="E97" s="103"/>
      <c r="F97" s="103"/>
      <c r="G97" s="103"/>
      <c r="H97" s="103"/>
      <c r="I97" s="103"/>
      <c r="T97" s="30" t="str">
        <f aca="false">IF(C97="","",IF(COUNTIFS(C$5:C97,C97,E$5:E97,E97)=1,1,0))</f>
        <v/>
      </c>
      <c r="U97" s="30" t="n">
        <f aca="false">IF(C97="",0,IF(AND(B97="brand",E97="budget_probe",N(F97)&gt;=Inputs!$C$124,H97="Y"),1,0))</f>
        <v>0</v>
      </c>
      <c r="V97" s="30" t="n">
        <f aca="false">IF(U97=1,IF(COUNTIFS(C$5:C97,C97,U$5:U97,1)=1,1,0),0)</f>
        <v>0</v>
      </c>
      <c r="W97" s="30" t="n">
        <f aca="false">IF(C97="",0,IF(AND(B97="office",E97="budget_probe",N(F97)&gt;=Inputs!$C$139),1,0))</f>
        <v>0</v>
      </c>
      <c r="X97" s="30" t="n">
        <f aca="false">IF(W97=1,IF(COUNTIFS(C$5:C97,C97,W$5:W97,1)=1,1,0),0)</f>
        <v>0</v>
      </c>
      <c r="Y97" s="30" t="n">
        <f aca="false">IF(C97="",0,IF(AND(B97="brand",E97="renewal_answer",TRIM(G97)="yes",N(F97)&gt;=Inputs!$C$135),1,0))</f>
        <v>0</v>
      </c>
      <c r="Z97" s="30" t="n">
        <f aca="false">IF(Y97=1,IF(COUNTIFS(C$5:C97,C97,Y$5:Y97,1)=1,1,0),0)</f>
        <v>0</v>
      </c>
      <c r="AA97" s="30" t="n">
        <f aca="false">IF(AND(E97="budget_probe",ISNUMBER(F97),I97&lt;&gt;Lists!$X$4),1,0)</f>
        <v>0</v>
      </c>
      <c r="AB97" s="30" t="str">
        <f aca="false">IF(AND(B97="office",AA97=1,COUNTIFS(C$5:C97,C97,AA$5:AA97,1)=1),F97,"")</f>
        <v/>
      </c>
      <c r="AC97" s="30" t="str">
        <f aca="false">IF(AND(B97="brand",AA97=1,COUNTIFS(C$5:C97,C97,AA$5:AA97,1)=1),F97,"")</f>
        <v/>
      </c>
      <c r="AD97" s="30" t="str">
        <f aca="false">IF(AND(B97="brand",E97="budget_probe",ISNUMBER(F97),I97=Lists!$X$4),IF(COUNTIFS(C$5:C97,C97,E$5:E97,"budget_probe",I$5:I97,Lists!$X$4)=1,F97,""),"")</f>
        <v/>
      </c>
      <c r="AE97" s="30" t="n">
        <f aca="false">IF(AND(B97="brand",E97="paid",ISNUMBER(F97)),IF(AND(SUMIFS(F$5:F97,B$5:B97,"brand",C$5:C97,C97,E$5:E97,"paid")&gt;=Inputs!$C$44,SUMIFS(F$5:F97,B$5:B97,"brand",C$5:C97,C97,E$5:E97,"paid")-F97&lt;Inputs!$C$44),1,0),0)</f>
        <v>0</v>
      </c>
    </row>
    <row r="98" customFormat="false" ht="15" hidden="false" customHeight="false" outlineLevel="0" collapsed="false">
      <c r="A98" s="102"/>
      <c r="B98" s="103"/>
      <c r="C98" s="103"/>
      <c r="D98" s="103"/>
      <c r="E98" s="103"/>
      <c r="F98" s="103"/>
      <c r="G98" s="103"/>
      <c r="H98" s="103"/>
      <c r="I98" s="103"/>
      <c r="T98" s="30" t="str">
        <f aca="false">IF(C98="","",IF(COUNTIFS(C$5:C98,C98,E$5:E98,E98)=1,1,0))</f>
        <v/>
      </c>
      <c r="U98" s="30" t="n">
        <f aca="false">IF(C98="",0,IF(AND(B98="brand",E98="budget_probe",N(F98)&gt;=Inputs!$C$124,H98="Y"),1,0))</f>
        <v>0</v>
      </c>
      <c r="V98" s="30" t="n">
        <f aca="false">IF(U98=1,IF(COUNTIFS(C$5:C98,C98,U$5:U98,1)=1,1,0),0)</f>
        <v>0</v>
      </c>
      <c r="W98" s="30" t="n">
        <f aca="false">IF(C98="",0,IF(AND(B98="office",E98="budget_probe",N(F98)&gt;=Inputs!$C$139),1,0))</f>
        <v>0</v>
      </c>
      <c r="X98" s="30" t="n">
        <f aca="false">IF(W98=1,IF(COUNTIFS(C$5:C98,C98,W$5:W98,1)=1,1,0),0)</f>
        <v>0</v>
      </c>
      <c r="Y98" s="30" t="n">
        <f aca="false">IF(C98="",0,IF(AND(B98="brand",E98="renewal_answer",TRIM(G98)="yes",N(F98)&gt;=Inputs!$C$135),1,0))</f>
        <v>0</v>
      </c>
      <c r="Z98" s="30" t="n">
        <f aca="false">IF(Y98=1,IF(COUNTIFS(C$5:C98,C98,Y$5:Y98,1)=1,1,0),0)</f>
        <v>0</v>
      </c>
      <c r="AA98" s="30" t="n">
        <f aca="false">IF(AND(E98="budget_probe",ISNUMBER(F98),I98&lt;&gt;Lists!$X$4),1,0)</f>
        <v>0</v>
      </c>
      <c r="AB98" s="30" t="str">
        <f aca="false">IF(AND(B98="office",AA98=1,COUNTIFS(C$5:C98,C98,AA$5:AA98,1)=1),F98,"")</f>
        <v/>
      </c>
      <c r="AC98" s="30" t="str">
        <f aca="false">IF(AND(B98="brand",AA98=1,COUNTIFS(C$5:C98,C98,AA$5:AA98,1)=1),F98,"")</f>
        <v/>
      </c>
      <c r="AD98" s="30" t="str">
        <f aca="false">IF(AND(B98="brand",E98="budget_probe",ISNUMBER(F98),I98=Lists!$X$4),IF(COUNTIFS(C$5:C98,C98,E$5:E98,"budget_probe",I$5:I98,Lists!$X$4)=1,F98,""),"")</f>
        <v/>
      </c>
      <c r="AE98" s="30" t="n">
        <f aca="false">IF(AND(B98="brand",E98="paid",ISNUMBER(F98)),IF(AND(SUMIFS(F$5:F98,B$5:B98,"brand",C$5:C98,C98,E$5:E98,"paid")&gt;=Inputs!$C$44,SUMIFS(F$5:F98,B$5:B98,"brand",C$5:C98,C98,E$5:E98,"paid")-F98&lt;Inputs!$C$44),1,0),0)</f>
        <v>0</v>
      </c>
    </row>
    <row r="99" customFormat="false" ht="15" hidden="false" customHeight="false" outlineLevel="0" collapsed="false">
      <c r="A99" s="102"/>
      <c r="B99" s="103"/>
      <c r="C99" s="103"/>
      <c r="D99" s="103"/>
      <c r="E99" s="103"/>
      <c r="F99" s="103"/>
      <c r="G99" s="103"/>
      <c r="H99" s="103"/>
      <c r="I99" s="103"/>
      <c r="T99" s="30" t="str">
        <f aca="false">IF(C99="","",IF(COUNTIFS(C$5:C99,C99,E$5:E99,E99)=1,1,0))</f>
        <v/>
      </c>
      <c r="U99" s="30" t="n">
        <f aca="false">IF(C99="",0,IF(AND(B99="brand",E99="budget_probe",N(F99)&gt;=Inputs!$C$124,H99="Y"),1,0))</f>
        <v>0</v>
      </c>
      <c r="V99" s="30" t="n">
        <f aca="false">IF(U99=1,IF(COUNTIFS(C$5:C99,C99,U$5:U99,1)=1,1,0),0)</f>
        <v>0</v>
      </c>
      <c r="W99" s="30" t="n">
        <f aca="false">IF(C99="",0,IF(AND(B99="office",E99="budget_probe",N(F99)&gt;=Inputs!$C$139),1,0))</f>
        <v>0</v>
      </c>
      <c r="X99" s="30" t="n">
        <f aca="false">IF(W99=1,IF(COUNTIFS(C$5:C99,C99,W$5:W99,1)=1,1,0),0)</f>
        <v>0</v>
      </c>
      <c r="Y99" s="30" t="n">
        <f aca="false">IF(C99="",0,IF(AND(B99="brand",E99="renewal_answer",TRIM(G99)="yes",N(F99)&gt;=Inputs!$C$135),1,0))</f>
        <v>0</v>
      </c>
      <c r="Z99" s="30" t="n">
        <f aca="false">IF(Y99=1,IF(COUNTIFS(C$5:C99,C99,Y$5:Y99,1)=1,1,0),0)</f>
        <v>0</v>
      </c>
      <c r="AA99" s="30" t="n">
        <f aca="false">IF(AND(E99="budget_probe",ISNUMBER(F99),I99&lt;&gt;Lists!$X$4),1,0)</f>
        <v>0</v>
      </c>
      <c r="AB99" s="30" t="str">
        <f aca="false">IF(AND(B99="office",AA99=1,COUNTIFS(C$5:C99,C99,AA$5:AA99,1)=1),F99,"")</f>
        <v/>
      </c>
      <c r="AC99" s="30" t="str">
        <f aca="false">IF(AND(B99="brand",AA99=1,COUNTIFS(C$5:C99,C99,AA$5:AA99,1)=1),F99,"")</f>
        <v/>
      </c>
      <c r="AD99" s="30" t="str">
        <f aca="false">IF(AND(B99="brand",E99="budget_probe",ISNUMBER(F99),I99=Lists!$X$4),IF(COUNTIFS(C$5:C99,C99,E$5:E99,"budget_probe",I$5:I99,Lists!$X$4)=1,F99,""),"")</f>
        <v/>
      </c>
      <c r="AE99" s="30" t="n">
        <f aca="false">IF(AND(B99="brand",E99="paid",ISNUMBER(F99)),IF(AND(SUMIFS(F$5:F99,B$5:B99,"brand",C$5:C99,C99,E$5:E99,"paid")&gt;=Inputs!$C$44,SUMIFS(F$5:F99,B$5:B99,"brand",C$5:C99,C99,E$5:E99,"paid")-F99&lt;Inputs!$C$44),1,0),0)</f>
        <v>0</v>
      </c>
    </row>
    <row r="100" customFormat="false" ht="15" hidden="false" customHeight="false" outlineLevel="0" collapsed="false">
      <c r="A100" s="102"/>
      <c r="B100" s="103"/>
      <c r="C100" s="103"/>
      <c r="D100" s="103"/>
      <c r="E100" s="103"/>
      <c r="F100" s="103"/>
      <c r="G100" s="103"/>
      <c r="H100" s="103"/>
      <c r="I100" s="103"/>
      <c r="T100" s="30" t="str">
        <f aca="false">IF(C100="","",IF(COUNTIFS(C$5:C100,C100,E$5:E100,E100)=1,1,0))</f>
        <v/>
      </c>
      <c r="U100" s="30" t="n">
        <f aca="false">IF(C100="",0,IF(AND(B100="brand",E100="budget_probe",N(F100)&gt;=Inputs!$C$124,H100="Y"),1,0))</f>
        <v>0</v>
      </c>
      <c r="V100" s="30" t="n">
        <f aca="false">IF(U100=1,IF(COUNTIFS(C$5:C100,C100,U$5:U100,1)=1,1,0),0)</f>
        <v>0</v>
      </c>
      <c r="W100" s="30" t="n">
        <f aca="false">IF(C100="",0,IF(AND(B100="office",E100="budget_probe",N(F100)&gt;=Inputs!$C$139),1,0))</f>
        <v>0</v>
      </c>
      <c r="X100" s="30" t="n">
        <f aca="false">IF(W100=1,IF(COUNTIFS(C$5:C100,C100,W$5:W100,1)=1,1,0),0)</f>
        <v>0</v>
      </c>
      <c r="Y100" s="30" t="n">
        <f aca="false">IF(C100="",0,IF(AND(B100="brand",E100="renewal_answer",TRIM(G100)="yes",N(F100)&gt;=Inputs!$C$135),1,0))</f>
        <v>0</v>
      </c>
      <c r="Z100" s="30" t="n">
        <f aca="false">IF(Y100=1,IF(COUNTIFS(C$5:C100,C100,Y$5:Y100,1)=1,1,0),0)</f>
        <v>0</v>
      </c>
      <c r="AA100" s="30" t="n">
        <f aca="false">IF(AND(E100="budget_probe",ISNUMBER(F100),I100&lt;&gt;Lists!$X$4),1,0)</f>
        <v>0</v>
      </c>
      <c r="AB100" s="30" t="str">
        <f aca="false">IF(AND(B100="office",AA100=1,COUNTIFS(C$5:C100,C100,AA$5:AA100,1)=1),F100,"")</f>
        <v/>
      </c>
      <c r="AC100" s="30" t="str">
        <f aca="false">IF(AND(B100="brand",AA100=1,COUNTIFS(C$5:C100,C100,AA$5:AA100,1)=1),F100,"")</f>
        <v/>
      </c>
      <c r="AD100" s="30" t="str">
        <f aca="false">IF(AND(B100="brand",E100="budget_probe",ISNUMBER(F100),I100=Lists!$X$4),IF(COUNTIFS(C$5:C100,C100,E$5:E100,"budget_probe",I$5:I100,Lists!$X$4)=1,F100,""),"")</f>
        <v/>
      </c>
      <c r="AE100" s="30" t="n">
        <f aca="false">IF(AND(B100="brand",E100="paid",ISNUMBER(F100)),IF(AND(SUMIFS(F$5:F100,B$5:B100,"brand",C$5:C100,C100,E$5:E100,"paid")&gt;=Inputs!$C$44,SUMIFS(F$5:F100,B$5:B100,"brand",C$5:C100,C100,E$5:E100,"paid")-F100&lt;Inputs!$C$44),1,0),0)</f>
        <v>0</v>
      </c>
    </row>
    <row r="101" customFormat="false" ht="15" hidden="false" customHeight="false" outlineLevel="0" collapsed="false">
      <c r="A101" s="102"/>
      <c r="B101" s="103"/>
      <c r="C101" s="103"/>
      <c r="D101" s="103"/>
      <c r="E101" s="103"/>
      <c r="F101" s="103"/>
      <c r="G101" s="103"/>
      <c r="H101" s="103"/>
      <c r="I101" s="103"/>
      <c r="T101" s="30" t="str">
        <f aca="false">IF(C101="","",IF(COUNTIFS(C$5:C101,C101,E$5:E101,E101)=1,1,0))</f>
        <v/>
      </c>
      <c r="U101" s="30" t="n">
        <f aca="false">IF(C101="",0,IF(AND(B101="brand",E101="budget_probe",N(F101)&gt;=Inputs!$C$124,H101="Y"),1,0))</f>
        <v>0</v>
      </c>
      <c r="V101" s="30" t="n">
        <f aca="false">IF(U101=1,IF(COUNTIFS(C$5:C101,C101,U$5:U101,1)=1,1,0),0)</f>
        <v>0</v>
      </c>
      <c r="W101" s="30" t="n">
        <f aca="false">IF(C101="",0,IF(AND(B101="office",E101="budget_probe",N(F101)&gt;=Inputs!$C$139),1,0))</f>
        <v>0</v>
      </c>
      <c r="X101" s="30" t="n">
        <f aca="false">IF(W101=1,IF(COUNTIFS(C$5:C101,C101,W$5:W101,1)=1,1,0),0)</f>
        <v>0</v>
      </c>
      <c r="Y101" s="30" t="n">
        <f aca="false">IF(C101="",0,IF(AND(B101="brand",E101="renewal_answer",TRIM(G101)="yes",N(F101)&gt;=Inputs!$C$135),1,0))</f>
        <v>0</v>
      </c>
      <c r="Z101" s="30" t="n">
        <f aca="false">IF(Y101=1,IF(COUNTIFS(C$5:C101,C101,Y$5:Y101,1)=1,1,0),0)</f>
        <v>0</v>
      </c>
      <c r="AA101" s="30" t="n">
        <f aca="false">IF(AND(E101="budget_probe",ISNUMBER(F101),I101&lt;&gt;Lists!$X$4),1,0)</f>
        <v>0</v>
      </c>
      <c r="AB101" s="30" t="str">
        <f aca="false">IF(AND(B101="office",AA101=1,COUNTIFS(C$5:C101,C101,AA$5:AA101,1)=1),F101,"")</f>
        <v/>
      </c>
      <c r="AC101" s="30" t="str">
        <f aca="false">IF(AND(B101="brand",AA101=1,COUNTIFS(C$5:C101,C101,AA$5:AA101,1)=1),F101,"")</f>
        <v/>
      </c>
      <c r="AD101" s="30" t="str">
        <f aca="false">IF(AND(B101="brand",E101="budget_probe",ISNUMBER(F101),I101=Lists!$X$4),IF(COUNTIFS(C$5:C101,C101,E$5:E101,"budget_probe",I$5:I101,Lists!$X$4)=1,F101,""),"")</f>
        <v/>
      </c>
      <c r="AE101" s="30" t="n">
        <f aca="false">IF(AND(B101="brand",E101="paid",ISNUMBER(F101)),IF(AND(SUMIFS(F$5:F101,B$5:B101,"brand",C$5:C101,C101,E$5:E101,"paid")&gt;=Inputs!$C$44,SUMIFS(F$5:F101,B$5:B101,"brand",C$5:C101,C101,E$5:E101,"paid")-F101&lt;Inputs!$C$44),1,0),0)</f>
        <v>0</v>
      </c>
    </row>
    <row r="102" customFormat="false" ht="15" hidden="false" customHeight="false" outlineLevel="0" collapsed="false">
      <c r="A102" s="102"/>
      <c r="B102" s="103"/>
      <c r="C102" s="103"/>
      <c r="D102" s="103"/>
      <c r="E102" s="103"/>
      <c r="F102" s="103"/>
      <c r="G102" s="103"/>
      <c r="H102" s="103"/>
      <c r="I102" s="103"/>
      <c r="T102" s="30" t="str">
        <f aca="false">IF(C102="","",IF(COUNTIFS(C$5:C102,C102,E$5:E102,E102)=1,1,0))</f>
        <v/>
      </c>
      <c r="U102" s="30" t="n">
        <f aca="false">IF(C102="",0,IF(AND(B102="brand",E102="budget_probe",N(F102)&gt;=Inputs!$C$124,H102="Y"),1,0))</f>
        <v>0</v>
      </c>
      <c r="V102" s="30" t="n">
        <f aca="false">IF(U102=1,IF(COUNTIFS(C$5:C102,C102,U$5:U102,1)=1,1,0),0)</f>
        <v>0</v>
      </c>
      <c r="W102" s="30" t="n">
        <f aca="false">IF(C102="",0,IF(AND(B102="office",E102="budget_probe",N(F102)&gt;=Inputs!$C$139),1,0))</f>
        <v>0</v>
      </c>
      <c r="X102" s="30" t="n">
        <f aca="false">IF(W102=1,IF(COUNTIFS(C$5:C102,C102,W$5:W102,1)=1,1,0),0)</f>
        <v>0</v>
      </c>
      <c r="Y102" s="30" t="n">
        <f aca="false">IF(C102="",0,IF(AND(B102="brand",E102="renewal_answer",TRIM(G102)="yes",N(F102)&gt;=Inputs!$C$135),1,0))</f>
        <v>0</v>
      </c>
      <c r="Z102" s="30" t="n">
        <f aca="false">IF(Y102=1,IF(COUNTIFS(C$5:C102,C102,Y$5:Y102,1)=1,1,0),0)</f>
        <v>0</v>
      </c>
      <c r="AA102" s="30" t="n">
        <f aca="false">IF(AND(E102="budget_probe",ISNUMBER(F102),I102&lt;&gt;Lists!$X$4),1,0)</f>
        <v>0</v>
      </c>
      <c r="AB102" s="30" t="str">
        <f aca="false">IF(AND(B102="office",AA102=1,COUNTIFS(C$5:C102,C102,AA$5:AA102,1)=1),F102,"")</f>
        <v/>
      </c>
      <c r="AC102" s="30" t="str">
        <f aca="false">IF(AND(B102="brand",AA102=1,COUNTIFS(C$5:C102,C102,AA$5:AA102,1)=1),F102,"")</f>
        <v/>
      </c>
      <c r="AD102" s="30" t="str">
        <f aca="false">IF(AND(B102="brand",E102="budget_probe",ISNUMBER(F102),I102=Lists!$X$4),IF(COUNTIFS(C$5:C102,C102,E$5:E102,"budget_probe",I$5:I102,Lists!$X$4)=1,F102,""),"")</f>
        <v/>
      </c>
      <c r="AE102" s="30" t="n">
        <f aca="false">IF(AND(B102="brand",E102="paid",ISNUMBER(F102)),IF(AND(SUMIFS(F$5:F102,B$5:B102,"brand",C$5:C102,C102,E$5:E102,"paid")&gt;=Inputs!$C$44,SUMIFS(F$5:F102,B$5:B102,"brand",C$5:C102,C102,E$5:E102,"paid")-F102&lt;Inputs!$C$44),1,0),0)</f>
        <v>0</v>
      </c>
    </row>
    <row r="103" customFormat="false" ht="15" hidden="false" customHeight="false" outlineLevel="0" collapsed="false">
      <c r="A103" s="102"/>
      <c r="B103" s="103"/>
      <c r="C103" s="103"/>
      <c r="D103" s="103"/>
      <c r="E103" s="103"/>
      <c r="F103" s="103"/>
      <c r="G103" s="103"/>
      <c r="H103" s="103"/>
      <c r="I103" s="103"/>
      <c r="T103" s="30" t="str">
        <f aca="false">IF(C103="","",IF(COUNTIFS(C$5:C103,C103,E$5:E103,E103)=1,1,0))</f>
        <v/>
      </c>
      <c r="U103" s="30" t="n">
        <f aca="false">IF(C103="",0,IF(AND(B103="brand",E103="budget_probe",N(F103)&gt;=Inputs!$C$124,H103="Y"),1,0))</f>
        <v>0</v>
      </c>
      <c r="V103" s="30" t="n">
        <f aca="false">IF(U103=1,IF(COUNTIFS(C$5:C103,C103,U$5:U103,1)=1,1,0),0)</f>
        <v>0</v>
      </c>
      <c r="W103" s="30" t="n">
        <f aca="false">IF(C103="",0,IF(AND(B103="office",E103="budget_probe",N(F103)&gt;=Inputs!$C$139),1,0))</f>
        <v>0</v>
      </c>
      <c r="X103" s="30" t="n">
        <f aca="false">IF(W103=1,IF(COUNTIFS(C$5:C103,C103,W$5:W103,1)=1,1,0),0)</f>
        <v>0</v>
      </c>
      <c r="Y103" s="30" t="n">
        <f aca="false">IF(C103="",0,IF(AND(B103="brand",E103="renewal_answer",TRIM(G103)="yes",N(F103)&gt;=Inputs!$C$135),1,0))</f>
        <v>0</v>
      </c>
      <c r="Z103" s="30" t="n">
        <f aca="false">IF(Y103=1,IF(COUNTIFS(C$5:C103,C103,Y$5:Y103,1)=1,1,0),0)</f>
        <v>0</v>
      </c>
      <c r="AA103" s="30" t="n">
        <f aca="false">IF(AND(E103="budget_probe",ISNUMBER(F103),I103&lt;&gt;Lists!$X$4),1,0)</f>
        <v>0</v>
      </c>
      <c r="AB103" s="30" t="str">
        <f aca="false">IF(AND(B103="office",AA103=1,COUNTIFS(C$5:C103,C103,AA$5:AA103,1)=1),F103,"")</f>
        <v/>
      </c>
      <c r="AC103" s="30" t="str">
        <f aca="false">IF(AND(B103="brand",AA103=1,COUNTIFS(C$5:C103,C103,AA$5:AA103,1)=1),F103,"")</f>
        <v/>
      </c>
      <c r="AD103" s="30" t="str">
        <f aca="false">IF(AND(B103="brand",E103="budget_probe",ISNUMBER(F103),I103=Lists!$X$4),IF(COUNTIFS(C$5:C103,C103,E$5:E103,"budget_probe",I$5:I103,Lists!$X$4)=1,F103,""),"")</f>
        <v/>
      </c>
      <c r="AE103" s="30" t="n">
        <f aca="false">IF(AND(B103="brand",E103="paid",ISNUMBER(F103)),IF(AND(SUMIFS(F$5:F103,B$5:B103,"brand",C$5:C103,C103,E$5:E103,"paid")&gt;=Inputs!$C$44,SUMIFS(F$5:F103,B$5:B103,"brand",C$5:C103,C103,E$5:E103,"paid")-F103&lt;Inputs!$C$44),1,0),0)</f>
        <v>0</v>
      </c>
    </row>
    <row r="104" customFormat="false" ht="15" hidden="false" customHeight="false" outlineLevel="0" collapsed="false">
      <c r="A104" s="102"/>
      <c r="B104" s="103"/>
      <c r="C104" s="103"/>
      <c r="D104" s="103"/>
      <c r="E104" s="103"/>
      <c r="F104" s="103"/>
      <c r="G104" s="103"/>
      <c r="H104" s="103"/>
      <c r="I104" s="103"/>
      <c r="T104" s="30" t="str">
        <f aca="false">IF(C104="","",IF(COUNTIFS(C$5:C104,C104,E$5:E104,E104)=1,1,0))</f>
        <v/>
      </c>
      <c r="U104" s="30" t="n">
        <f aca="false">IF(C104="",0,IF(AND(B104="brand",E104="budget_probe",N(F104)&gt;=Inputs!$C$124,H104="Y"),1,0))</f>
        <v>0</v>
      </c>
      <c r="V104" s="30" t="n">
        <f aca="false">IF(U104=1,IF(COUNTIFS(C$5:C104,C104,U$5:U104,1)=1,1,0),0)</f>
        <v>0</v>
      </c>
      <c r="W104" s="30" t="n">
        <f aca="false">IF(C104="",0,IF(AND(B104="office",E104="budget_probe",N(F104)&gt;=Inputs!$C$139),1,0))</f>
        <v>0</v>
      </c>
      <c r="X104" s="30" t="n">
        <f aca="false">IF(W104=1,IF(COUNTIFS(C$5:C104,C104,W$5:W104,1)=1,1,0),0)</f>
        <v>0</v>
      </c>
      <c r="Y104" s="30" t="n">
        <f aca="false">IF(C104="",0,IF(AND(B104="brand",E104="renewal_answer",TRIM(G104)="yes",N(F104)&gt;=Inputs!$C$135),1,0))</f>
        <v>0</v>
      </c>
      <c r="Z104" s="30" t="n">
        <f aca="false">IF(Y104=1,IF(COUNTIFS(C$5:C104,C104,Y$5:Y104,1)=1,1,0),0)</f>
        <v>0</v>
      </c>
      <c r="AA104" s="30" t="n">
        <f aca="false">IF(AND(E104="budget_probe",ISNUMBER(F104),I104&lt;&gt;Lists!$X$4),1,0)</f>
        <v>0</v>
      </c>
      <c r="AB104" s="30" t="str">
        <f aca="false">IF(AND(B104="office",AA104=1,COUNTIFS(C$5:C104,C104,AA$5:AA104,1)=1),F104,"")</f>
        <v/>
      </c>
      <c r="AC104" s="30" t="str">
        <f aca="false">IF(AND(B104="brand",AA104=1,COUNTIFS(C$5:C104,C104,AA$5:AA104,1)=1),F104,"")</f>
        <v/>
      </c>
      <c r="AD104" s="30" t="str">
        <f aca="false">IF(AND(B104="brand",E104="budget_probe",ISNUMBER(F104),I104=Lists!$X$4),IF(COUNTIFS(C$5:C104,C104,E$5:E104,"budget_probe",I$5:I104,Lists!$X$4)=1,F104,""),"")</f>
        <v/>
      </c>
      <c r="AE104" s="30" t="n">
        <f aca="false">IF(AND(B104="brand",E104="paid",ISNUMBER(F104)),IF(AND(SUMIFS(F$5:F104,B$5:B104,"brand",C$5:C104,C104,E$5:E104,"paid")&gt;=Inputs!$C$44,SUMIFS(F$5:F104,B$5:B104,"brand",C$5:C104,C104,E$5:E104,"paid")-F104&lt;Inputs!$C$44),1,0),0)</f>
        <v>0</v>
      </c>
    </row>
    <row r="105" customFormat="false" ht="15" hidden="false" customHeight="false" outlineLevel="0" collapsed="false">
      <c r="A105" s="102"/>
      <c r="B105" s="103"/>
      <c r="C105" s="103"/>
      <c r="D105" s="103"/>
      <c r="E105" s="103"/>
      <c r="F105" s="103"/>
      <c r="G105" s="103"/>
      <c r="H105" s="103"/>
      <c r="I105" s="103"/>
      <c r="T105" s="30" t="str">
        <f aca="false">IF(C105="","",IF(COUNTIFS(C$5:C105,C105,E$5:E105,E105)=1,1,0))</f>
        <v/>
      </c>
      <c r="U105" s="30" t="n">
        <f aca="false">IF(C105="",0,IF(AND(B105="brand",E105="budget_probe",N(F105)&gt;=Inputs!$C$124,H105="Y"),1,0))</f>
        <v>0</v>
      </c>
      <c r="V105" s="30" t="n">
        <f aca="false">IF(U105=1,IF(COUNTIFS(C$5:C105,C105,U$5:U105,1)=1,1,0),0)</f>
        <v>0</v>
      </c>
      <c r="W105" s="30" t="n">
        <f aca="false">IF(C105="",0,IF(AND(B105="office",E105="budget_probe",N(F105)&gt;=Inputs!$C$139),1,0))</f>
        <v>0</v>
      </c>
      <c r="X105" s="30" t="n">
        <f aca="false">IF(W105=1,IF(COUNTIFS(C$5:C105,C105,W$5:W105,1)=1,1,0),0)</f>
        <v>0</v>
      </c>
      <c r="Y105" s="30" t="n">
        <f aca="false">IF(C105="",0,IF(AND(B105="brand",E105="renewal_answer",TRIM(G105)="yes",N(F105)&gt;=Inputs!$C$135),1,0))</f>
        <v>0</v>
      </c>
      <c r="Z105" s="30" t="n">
        <f aca="false">IF(Y105=1,IF(COUNTIFS(C$5:C105,C105,Y$5:Y105,1)=1,1,0),0)</f>
        <v>0</v>
      </c>
      <c r="AA105" s="30" t="n">
        <f aca="false">IF(AND(E105="budget_probe",ISNUMBER(F105),I105&lt;&gt;Lists!$X$4),1,0)</f>
        <v>0</v>
      </c>
      <c r="AB105" s="30" t="str">
        <f aca="false">IF(AND(B105="office",AA105=1,COUNTIFS(C$5:C105,C105,AA$5:AA105,1)=1),F105,"")</f>
        <v/>
      </c>
      <c r="AC105" s="30" t="str">
        <f aca="false">IF(AND(B105="brand",AA105=1,COUNTIFS(C$5:C105,C105,AA$5:AA105,1)=1),F105,"")</f>
        <v/>
      </c>
      <c r="AD105" s="30" t="str">
        <f aca="false">IF(AND(B105="brand",E105="budget_probe",ISNUMBER(F105),I105=Lists!$X$4),IF(COUNTIFS(C$5:C105,C105,E$5:E105,"budget_probe",I$5:I105,Lists!$X$4)=1,F105,""),"")</f>
        <v/>
      </c>
      <c r="AE105" s="30" t="n">
        <f aca="false">IF(AND(B105="brand",E105="paid",ISNUMBER(F105)),IF(AND(SUMIFS(F$5:F105,B$5:B105,"brand",C$5:C105,C105,E$5:E105,"paid")&gt;=Inputs!$C$44,SUMIFS(F$5:F105,B$5:B105,"brand",C$5:C105,C105,E$5:E105,"paid")-F105&lt;Inputs!$C$44),1,0),0)</f>
        <v>0</v>
      </c>
    </row>
    <row r="106" customFormat="false" ht="15" hidden="false" customHeight="false" outlineLevel="0" collapsed="false">
      <c r="A106" s="102"/>
      <c r="B106" s="103"/>
      <c r="C106" s="103"/>
      <c r="D106" s="103"/>
      <c r="E106" s="103"/>
      <c r="F106" s="103"/>
      <c r="G106" s="103"/>
      <c r="H106" s="103"/>
      <c r="I106" s="103"/>
      <c r="T106" s="30" t="str">
        <f aca="false">IF(C106="","",IF(COUNTIFS(C$5:C106,C106,E$5:E106,E106)=1,1,0))</f>
        <v/>
      </c>
      <c r="U106" s="30" t="n">
        <f aca="false">IF(C106="",0,IF(AND(B106="brand",E106="budget_probe",N(F106)&gt;=Inputs!$C$124,H106="Y"),1,0))</f>
        <v>0</v>
      </c>
      <c r="V106" s="30" t="n">
        <f aca="false">IF(U106=1,IF(COUNTIFS(C$5:C106,C106,U$5:U106,1)=1,1,0),0)</f>
        <v>0</v>
      </c>
      <c r="W106" s="30" t="n">
        <f aca="false">IF(C106="",0,IF(AND(B106="office",E106="budget_probe",N(F106)&gt;=Inputs!$C$139),1,0))</f>
        <v>0</v>
      </c>
      <c r="X106" s="30" t="n">
        <f aca="false">IF(W106=1,IF(COUNTIFS(C$5:C106,C106,W$5:W106,1)=1,1,0),0)</f>
        <v>0</v>
      </c>
      <c r="Y106" s="30" t="n">
        <f aca="false">IF(C106="",0,IF(AND(B106="brand",E106="renewal_answer",TRIM(G106)="yes",N(F106)&gt;=Inputs!$C$135),1,0))</f>
        <v>0</v>
      </c>
      <c r="Z106" s="30" t="n">
        <f aca="false">IF(Y106=1,IF(COUNTIFS(C$5:C106,C106,Y$5:Y106,1)=1,1,0),0)</f>
        <v>0</v>
      </c>
      <c r="AA106" s="30" t="n">
        <f aca="false">IF(AND(E106="budget_probe",ISNUMBER(F106),I106&lt;&gt;Lists!$X$4),1,0)</f>
        <v>0</v>
      </c>
      <c r="AB106" s="30" t="str">
        <f aca="false">IF(AND(B106="office",AA106=1,COUNTIFS(C$5:C106,C106,AA$5:AA106,1)=1),F106,"")</f>
        <v/>
      </c>
      <c r="AC106" s="30" t="str">
        <f aca="false">IF(AND(B106="brand",AA106=1,COUNTIFS(C$5:C106,C106,AA$5:AA106,1)=1),F106,"")</f>
        <v/>
      </c>
      <c r="AD106" s="30" t="str">
        <f aca="false">IF(AND(B106="brand",E106="budget_probe",ISNUMBER(F106),I106=Lists!$X$4),IF(COUNTIFS(C$5:C106,C106,E$5:E106,"budget_probe",I$5:I106,Lists!$X$4)=1,F106,""),"")</f>
        <v/>
      </c>
      <c r="AE106" s="30" t="n">
        <f aca="false">IF(AND(B106="brand",E106="paid",ISNUMBER(F106)),IF(AND(SUMIFS(F$5:F106,B$5:B106,"brand",C$5:C106,C106,E$5:E106,"paid")&gt;=Inputs!$C$44,SUMIFS(F$5:F106,B$5:B106,"brand",C$5:C106,C106,E$5:E106,"paid")-F106&lt;Inputs!$C$44),1,0),0)</f>
        <v>0</v>
      </c>
    </row>
    <row r="107" customFormat="false" ht="15" hidden="false" customHeight="false" outlineLevel="0" collapsed="false">
      <c r="A107" s="102"/>
      <c r="B107" s="103"/>
      <c r="C107" s="103"/>
      <c r="D107" s="103"/>
      <c r="E107" s="103"/>
      <c r="F107" s="103"/>
      <c r="G107" s="103"/>
      <c r="H107" s="103"/>
      <c r="I107" s="103"/>
      <c r="T107" s="30" t="str">
        <f aca="false">IF(C107="","",IF(COUNTIFS(C$5:C107,C107,E$5:E107,E107)=1,1,0))</f>
        <v/>
      </c>
      <c r="U107" s="30" t="n">
        <f aca="false">IF(C107="",0,IF(AND(B107="brand",E107="budget_probe",N(F107)&gt;=Inputs!$C$124,H107="Y"),1,0))</f>
        <v>0</v>
      </c>
      <c r="V107" s="30" t="n">
        <f aca="false">IF(U107=1,IF(COUNTIFS(C$5:C107,C107,U$5:U107,1)=1,1,0),0)</f>
        <v>0</v>
      </c>
      <c r="W107" s="30" t="n">
        <f aca="false">IF(C107="",0,IF(AND(B107="office",E107="budget_probe",N(F107)&gt;=Inputs!$C$139),1,0))</f>
        <v>0</v>
      </c>
      <c r="X107" s="30" t="n">
        <f aca="false">IF(W107=1,IF(COUNTIFS(C$5:C107,C107,W$5:W107,1)=1,1,0),0)</f>
        <v>0</v>
      </c>
      <c r="Y107" s="30" t="n">
        <f aca="false">IF(C107="",0,IF(AND(B107="brand",E107="renewal_answer",TRIM(G107)="yes",N(F107)&gt;=Inputs!$C$135),1,0))</f>
        <v>0</v>
      </c>
      <c r="Z107" s="30" t="n">
        <f aca="false">IF(Y107=1,IF(COUNTIFS(C$5:C107,C107,Y$5:Y107,1)=1,1,0),0)</f>
        <v>0</v>
      </c>
      <c r="AA107" s="30" t="n">
        <f aca="false">IF(AND(E107="budget_probe",ISNUMBER(F107),I107&lt;&gt;Lists!$X$4),1,0)</f>
        <v>0</v>
      </c>
      <c r="AB107" s="30" t="str">
        <f aca="false">IF(AND(B107="office",AA107=1,COUNTIFS(C$5:C107,C107,AA$5:AA107,1)=1),F107,"")</f>
        <v/>
      </c>
      <c r="AC107" s="30" t="str">
        <f aca="false">IF(AND(B107="brand",AA107=1,COUNTIFS(C$5:C107,C107,AA$5:AA107,1)=1),F107,"")</f>
        <v/>
      </c>
      <c r="AD107" s="30" t="str">
        <f aca="false">IF(AND(B107="brand",E107="budget_probe",ISNUMBER(F107),I107=Lists!$X$4),IF(COUNTIFS(C$5:C107,C107,E$5:E107,"budget_probe",I$5:I107,Lists!$X$4)=1,F107,""),"")</f>
        <v/>
      </c>
      <c r="AE107" s="30" t="n">
        <f aca="false">IF(AND(B107="brand",E107="paid",ISNUMBER(F107)),IF(AND(SUMIFS(F$5:F107,B$5:B107,"brand",C$5:C107,C107,E$5:E107,"paid")&gt;=Inputs!$C$44,SUMIFS(F$5:F107,B$5:B107,"brand",C$5:C107,C107,E$5:E107,"paid")-F107&lt;Inputs!$C$44),1,0),0)</f>
        <v>0</v>
      </c>
    </row>
    <row r="108" customFormat="false" ht="15" hidden="false" customHeight="false" outlineLevel="0" collapsed="false">
      <c r="A108" s="102"/>
      <c r="B108" s="103"/>
      <c r="C108" s="103"/>
      <c r="D108" s="103"/>
      <c r="E108" s="103"/>
      <c r="F108" s="103"/>
      <c r="G108" s="103"/>
      <c r="H108" s="103"/>
      <c r="I108" s="103"/>
      <c r="T108" s="30" t="str">
        <f aca="false">IF(C108="","",IF(COUNTIFS(C$5:C108,C108,E$5:E108,E108)=1,1,0))</f>
        <v/>
      </c>
      <c r="U108" s="30" t="n">
        <f aca="false">IF(C108="",0,IF(AND(B108="brand",E108="budget_probe",N(F108)&gt;=Inputs!$C$124,H108="Y"),1,0))</f>
        <v>0</v>
      </c>
      <c r="V108" s="30" t="n">
        <f aca="false">IF(U108=1,IF(COUNTIFS(C$5:C108,C108,U$5:U108,1)=1,1,0),0)</f>
        <v>0</v>
      </c>
      <c r="W108" s="30" t="n">
        <f aca="false">IF(C108="",0,IF(AND(B108="office",E108="budget_probe",N(F108)&gt;=Inputs!$C$139),1,0))</f>
        <v>0</v>
      </c>
      <c r="X108" s="30" t="n">
        <f aca="false">IF(W108=1,IF(COUNTIFS(C$5:C108,C108,W$5:W108,1)=1,1,0),0)</f>
        <v>0</v>
      </c>
      <c r="Y108" s="30" t="n">
        <f aca="false">IF(C108="",0,IF(AND(B108="brand",E108="renewal_answer",TRIM(G108)="yes",N(F108)&gt;=Inputs!$C$135),1,0))</f>
        <v>0</v>
      </c>
      <c r="Z108" s="30" t="n">
        <f aca="false">IF(Y108=1,IF(COUNTIFS(C$5:C108,C108,Y$5:Y108,1)=1,1,0),0)</f>
        <v>0</v>
      </c>
      <c r="AA108" s="30" t="n">
        <f aca="false">IF(AND(E108="budget_probe",ISNUMBER(F108),I108&lt;&gt;Lists!$X$4),1,0)</f>
        <v>0</v>
      </c>
      <c r="AB108" s="30" t="str">
        <f aca="false">IF(AND(B108="office",AA108=1,COUNTIFS(C$5:C108,C108,AA$5:AA108,1)=1),F108,"")</f>
        <v/>
      </c>
      <c r="AC108" s="30" t="str">
        <f aca="false">IF(AND(B108="brand",AA108=1,COUNTIFS(C$5:C108,C108,AA$5:AA108,1)=1),F108,"")</f>
        <v/>
      </c>
      <c r="AD108" s="30" t="str">
        <f aca="false">IF(AND(B108="brand",E108="budget_probe",ISNUMBER(F108),I108=Lists!$X$4),IF(COUNTIFS(C$5:C108,C108,E$5:E108,"budget_probe",I$5:I108,Lists!$X$4)=1,F108,""),"")</f>
        <v/>
      </c>
      <c r="AE108" s="30" t="n">
        <f aca="false">IF(AND(B108="brand",E108="paid",ISNUMBER(F108)),IF(AND(SUMIFS(F$5:F108,B$5:B108,"brand",C$5:C108,C108,E$5:E108,"paid")&gt;=Inputs!$C$44,SUMIFS(F$5:F108,B$5:B108,"brand",C$5:C108,C108,E$5:E108,"paid")-F108&lt;Inputs!$C$44),1,0),0)</f>
        <v>0</v>
      </c>
    </row>
    <row r="109" customFormat="false" ht="15" hidden="false" customHeight="false" outlineLevel="0" collapsed="false">
      <c r="A109" s="102"/>
      <c r="B109" s="103"/>
      <c r="C109" s="103"/>
      <c r="D109" s="103"/>
      <c r="E109" s="103"/>
      <c r="F109" s="103"/>
      <c r="G109" s="103"/>
      <c r="H109" s="103"/>
      <c r="I109" s="103"/>
      <c r="T109" s="30" t="str">
        <f aca="false">IF(C109="","",IF(COUNTIFS(C$5:C109,C109,E$5:E109,E109)=1,1,0))</f>
        <v/>
      </c>
      <c r="U109" s="30" t="n">
        <f aca="false">IF(C109="",0,IF(AND(B109="brand",E109="budget_probe",N(F109)&gt;=Inputs!$C$124,H109="Y"),1,0))</f>
        <v>0</v>
      </c>
      <c r="V109" s="30" t="n">
        <f aca="false">IF(U109=1,IF(COUNTIFS(C$5:C109,C109,U$5:U109,1)=1,1,0),0)</f>
        <v>0</v>
      </c>
      <c r="W109" s="30" t="n">
        <f aca="false">IF(C109="",0,IF(AND(B109="office",E109="budget_probe",N(F109)&gt;=Inputs!$C$139),1,0))</f>
        <v>0</v>
      </c>
      <c r="X109" s="30" t="n">
        <f aca="false">IF(W109=1,IF(COUNTIFS(C$5:C109,C109,W$5:W109,1)=1,1,0),0)</f>
        <v>0</v>
      </c>
      <c r="Y109" s="30" t="n">
        <f aca="false">IF(C109="",0,IF(AND(B109="brand",E109="renewal_answer",TRIM(G109)="yes",N(F109)&gt;=Inputs!$C$135),1,0))</f>
        <v>0</v>
      </c>
      <c r="Z109" s="30" t="n">
        <f aca="false">IF(Y109=1,IF(COUNTIFS(C$5:C109,C109,Y$5:Y109,1)=1,1,0),0)</f>
        <v>0</v>
      </c>
      <c r="AA109" s="30" t="n">
        <f aca="false">IF(AND(E109="budget_probe",ISNUMBER(F109),I109&lt;&gt;Lists!$X$4),1,0)</f>
        <v>0</v>
      </c>
      <c r="AB109" s="30" t="str">
        <f aca="false">IF(AND(B109="office",AA109=1,COUNTIFS(C$5:C109,C109,AA$5:AA109,1)=1),F109,"")</f>
        <v/>
      </c>
      <c r="AC109" s="30" t="str">
        <f aca="false">IF(AND(B109="brand",AA109=1,COUNTIFS(C$5:C109,C109,AA$5:AA109,1)=1),F109,"")</f>
        <v/>
      </c>
      <c r="AD109" s="30" t="str">
        <f aca="false">IF(AND(B109="brand",E109="budget_probe",ISNUMBER(F109),I109=Lists!$X$4),IF(COUNTIFS(C$5:C109,C109,E$5:E109,"budget_probe",I$5:I109,Lists!$X$4)=1,F109,""),"")</f>
        <v/>
      </c>
      <c r="AE109" s="30" t="n">
        <f aca="false">IF(AND(B109="brand",E109="paid",ISNUMBER(F109)),IF(AND(SUMIFS(F$5:F109,B$5:B109,"brand",C$5:C109,C109,E$5:E109,"paid")&gt;=Inputs!$C$44,SUMIFS(F$5:F109,B$5:B109,"brand",C$5:C109,C109,E$5:E109,"paid")-F109&lt;Inputs!$C$44),1,0),0)</f>
        <v>0</v>
      </c>
    </row>
    <row r="110" customFormat="false" ht="15" hidden="false" customHeight="false" outlineLevel="0" collapsed="false">
      <c r="A110" s="102"/>
      <c r="B110" s="103"/>
      <c r="C110" s="103"/>
      <c r="D110" s="103"/>
      <c r="E110" s="103"/>
      <c r="F110" s="103"/>
      <c r="G110" s="103"/>
      <c r="H110" s="103"/>
      <c r="I110" s="103"/>
      <c r="T110" s="30" t="str">
        <f aca="false">IF(C110="","",IF(COUNTIFS(C$5:C110,C110,E$5:E110,E110)=1,1,0))</f>
        <v/>
      </c>
      <c r="U110" s="30" t="n">
        <f aca="false">IF(C110="",0,IF(AND(B110="brand",E110="budget_probe",N(F110)&gt;=Inputs!$C$124,H110="Y"),1,0))</f>
        <v>0</v>
      </c>
      <c r="V110" s="30" t="n">
        <f aca="false">IF(U110=1,IF(COUNTIFS(C$5:C110,C110,U$5:U110,1)=1,1,0),0)</f>
        <v>0</v>
      </c>
      <c r="W110" s="30" t="n">
        <f aca="false">IF(C110="",0,IF(AND(B110="office",E110="budget_probe",N(F110)&gt;=Inputs!$C$139),1,0))</f>
        <v>0</v>
      </c>
      <c r="X110" s="30" t="n">
        <f aca="false">IF(W110=1,IF(COUNTIFS(C$5:C110,C110,W$5:W110,1)=1,1,0),0)</f>
        <v>0</v>
      </c>
      <c r="Y110" s="30" t="n">
        <f aca="false">IF(C110="",0,IF(AND(B110="brand",E110="renewal_answer",TRIM(G110)="yes",N(F110)&gt;=Inputs!$C$135),1,0))</f>
        <v>0</v>
      </c>
      <c r="Z110" s="30" t="n">
        <f aca="false">IF(Y110=1,IF(COUNTIFS(C$5:C110,C110,Y$5:Y110,1)=1,1,0),0)</f>
        <v>0</v>
      </c>
      <c r="AA110" s="30" t="n">
        <f aca="false">IF(AND(E110="budget_probe",ISNUMBER(F110),I110&lt;&gt;Lists!$X$4),1,0)</f>
        <v>0</v>
      </c>
      <c r="AB110" s="30" t="str">
        <f aca="false">IF(AND(B110="office",AA110=1,COUNTIFS(C$5:C110,C110,AA$5:AA110,1)=1),F110,"")</f>
        <v/>
      </c>
      <c r="AC110" s="30" t="str">
        <f aca="false">IF(AND(B110="brand",AA110=1,COUNTIFS(C$5:C110,C110,AA$5:AA110,1)=1),F110,"")</f>
        <v/>
      </c>
      <c r="AD110" s="30" t="str">
        <f aca="false">IF(AND(B110="brand",E110="budget_probe",ISNUMBER(F110),I110=Lists!$X$4),IF(COUNTIFS(C$5:C110,C110,E$5:E110,"budget_probe",I$5:I110,Lists!$X$4)=1,F110,""),"")</f>
        <v/>
      </c>
      <c r="AE110" s="30" t="n">
        <f aca="false">IF(AND(B110="brand",E110="paid",ISNUMBER(F110)),IF(AND(SUMIFS(F$5:F110,B$5:B110,"brand",C$5:C110,C110,E$5:E110,"paid")&gt;=Inputs!$C$44,SUMIFS(F$5:F110,B$5:B110,"brand",C$5:C110,C110,E$5:E110,"paid")-F110&lt;Inputs!$C$44),1,0),0)</f>
        <v>0</v>
      </c>
    </row>
    <row r="111" customFormat="false" ht="15" hidden="false" customHeight="false" outlineLevel="0" collapsed="false">
      <c r="A111" s="102"/>
      <c r="B111" s="103"/>
      <c r="C111" s="103"/>
      <c r="D111" s="103"/>
      <c r="E111" s="103"/>
      <c r="F111" s="103"/>
      <c r="G111" s="103"/>
      <c r="H111" s="103"/>
      <c r="I111" s="103"/>
      <c r="T111" s="30" t="str">
        <f aca="false">IF(C111="","",IF(COUNTIFS(C$5:C111,C111,E$5:E111,E111)=1,1,0))</f>
        <v/>
      </c>
      <c r="U111" s="30" t="n">
        <f aca="false">IF(C111="",0,IF(AND(B111="brand",E111="budget_probe",N(F111)&gt;=Inputs!$C$124,H111="Y"),1,0))</f>
        <v>0</v>
      </c>
      <c r="V111" s="30" t="n">
        <f aca="false">IF(U111=1,IF(COUNTIFS(C$5:C111,C111,U$5:U111,1)=1,1,0),0)</f>
        <v>0</v>
      </c>
      <c r="W111" s="30" t="n">
        <f aca="false">IF(C111="",0,IF(AND(B111="office",E111="budget_probe",N(F111)&gt;=Inputs!$C$139),1,0))</f>
        <v>0</v>
      </c>
      <c r="X111" s="30" t="n">
        <f aca="false">IF(W111=1,IF(COUNTIFS(C$5:C111,C111,W$5:W111,1)=1,1,0),0)</f>
        <v>0</v>
      </c>
      <c r="Y111" s="30" t="n">
        <f aca="false">IF(C111="",0,IF(AND(B111="brand",E111="renewal_answer",TRIM(G111)="yes",N(F111)&gt;=Inputs!$C$135),1,0))</f>
        <v>0</v>
      </c>
      <c r="Z111" s="30" t="n">
        <f aca="false">IF(Y111=1,IF(COUNTIFS(C$5:C111,C111,Y$5:Y111,1)=1,1,0),0)</f>
        <v>0</v>
      </c>
      <c r="AA111" s="30" t="n">
        <f aca="false">IF(AND(E111="budget_probe",ISNUMBER(F111),I111&lt;&gt;Lists!$X$4),1,0)</f>
        <v>0</v>
      </c>
      <c r="AB111" s="30" t="str">
        <f aca="false">IF(AND(B111="office",AA111=1,COUNTIFS(C$5:C111,C111,AA$5:AA111,1)=1),F111,"")</f>
        <v/>
      </c>
      <c r="AC111" s="30" t="str">
        <f aca="false">IF(AND(B111="brand",AA111=1,COUNTIFS(C$5:C111,C111,AA$5:AA111,1)=1),F111,"")</f>
        <v/>
      </c>
      <c r="AD111" s="30" t="str">
        <f aca="false">IF(AND(B111="brand",E111="budget_probe",ISNUMBER(F111),I111=Lists!$X$4),IF(COUNTIFS(C$5:C111,C111,E$5:E111,"budget_probe",I$5:I111,Lists!$X$4)=1,F111,""),"")</f>
        <v/>
      </c>
      <c r="AE111" s="30" t="n">
        <f aca="false">IF(AND(B111="brand",E111="paid",ISNUMBER(F111)),IF(AND(SUMIFS(F$5:F111,B$5:B111,"brand",C$5:C111,C111,E$5:E111,"paid")&gt;=Inputs!$C$44,SUMIFS(F$5:F111,B$5:B111,"brand",C$5:C111,C111,E$5:E111,"paid")-F111&lt;Inputs!$C$44),1,0),0)</f>
        <v>0</v>
      </c>
    </row>
    <row r="112" customFormat="false" ht="15" hidden="false" customHeight="false" outlineLevel="0" collapsed="false">
      <c r="A112" s="102"/>
      <c r="B112" s="103"/>
      <c r="C112" s="103"/>
      <c r="D112" s="103"/>
      <c r="E112" s="103"/>
      <c r="F112" s="103"/>
      <c r="G112" s="103"/>
      <c r="H112" s="103"/>
      <c r="I112" s="103"/>
      <c r="T112" s="30" t="str">
        <f aca="false">IF(C112="","",IF(COUNTIFS(C$5:C112,C112,E$5:E112,E112)=1,1,0))</f>
        <v/>
      </c>
      <c r="U112" s="30" t="n">
        <f aca="false">IF(C112="",0,IF(AND(B112="brand",E112="budget_probe",N(F112)&gt;=Inputs!$C$124,H112="Y"),1,0))</f>
        <v>0</v>
      </c>
      <c r="V112" s="30" t="n">
        <f aca="false">IF(U112=1,IF(COUNTIFS(C$5:C112,C112,U$5:U112,1)=1,1,0),0)</f>
        <v>0</v>
      </c>
      <c r="W112" s="30" t="n">
        <f aca="false">IF(C112="",0,IF(AND(B112="office",E112="budget_probe",N(F112)&gt;=Inputs!$C$139),1,0))</f>
        <v>0</v>
      </c>
      <c r="X112" s="30" t="n">
        <f aca="false">IF(W112=1,IF(COUNTIFS(C$5:C112,C112,W$5:W112,1)=1,1,0),0)</f>
        <v>0</v>
      </c>
      <c r="Y112" s="30" t="n">
        <f aca="false">IF(C112="",0,IF(AND(B112="brand",E112="renewal_answer",TRIM(G112)="yes",N(F112)&gt;=Inputs!$C$135),1,0))</f>
        <v>0</v>
      </c>
      <c r="Z112" s="30" t="n">
        <f aca="false">IF(Y112=1,IF(COUNTIFS(C$5:C112,C112,Y$5:Y112,1)=1,1,0),0)</f>
        <v>0</v>
      </c>
      <c r="AA112" s="30" t="n">
        <f aca="false">IF(AND(E112="budget_probe",ISNUMBER(F112),I112&lt;&gt;Lists!$X$4),1,0)</f>
        <v>0</v>
      </c>
      <c r="AB112" s="30" t="str">
        <f aca="false">IF(AND(B112="office",AA112=1,COUNTIFS(C$5:C112,C112,AA$5:AA112,1)=1),F112,"")</f>
        <v/>
      </c>
      <c r="AC112" s="30" t="str">
        <f aca="false">IF(AND(B112="brand",AA112=1,COUNTIFS(C$5:C112,C112,AA$5:AA112,1)=1),F112,"")</f>
        <v/>
      </c>
      <c r="AD112" s="30" t="str">
        <f aca="false">IF(AND(B112="brand",E112="budget_probe",ISNUMBER(F112),I112=Lists!$X$4),IF(COUNTIFS(C$5:C112,C112,E$5:E112,"budget_probe",I$5:I112,Lists!$X$4)=1,F112,""),"")</f>
        <v/>
      </c>
      <c r="AE112" s="30" t="n">
        <f aca="false">IF(AND(B112="brand",E112="paid",ISNUMBER(F112)),IF(AND(SUMIFS(F$5:F112,B$5:B112,"brand",C$5:C112,C112,E$5:E112,"paid")&gt;=Inputs!$C$44,SUMIFS(F$5:F112,B$5:B112,"brand",C$5:C112,C112,E$5:E112,"paid")-F112&lt;Inputs!$C$44),1,0),0)</f>
        <v>0</v>
      </c>
    </row>
    <row r="113" customFormat="false" ht="15" hidden="false" customHeight="false" outlineLevel="0" collapsed="false">
      <c r="A113" s="102"/>
      <c r="B113" s="103"/>
      <c r="C113" s="103"/>
      <c r="D113" s="103"/>
      <c r="E113" s="103"/>
      <c r="F113" s="103"/>
      <c r="G113" s="103"/>
      <c r="H113" s="103"/>
      <c r="I113" s="103"/>
      <c r="T113" s="30" t="str">
        <f aca="false">IF(C113="","",IF(COUNTIFS(C$5:C113,C113,E$5:E113,E113)=1,1,0))</f>
        <v/>
      </c>
      <c r="U113" s="30" t="n">
        <f aca="false">IF(C113="",0,IF(AND(B113="brand",E113="budget_probe",N(F113)&gt;=Inputs!$C$124,H113="Y"),1,0))</f>
        <v>0</v>
      </c>
      <c r="V113" s="30" t="n">
        <f aca="false">IF(U113=1,IF(COUNTIFS(C$5:C113,C113,U$5:U113,1)=1,1,0),0)</f>
        <v>0</v>
      </c>
      <c r="W113" s="30" t="n">
        <f aca="false">IF(C113="",0,IF(AND(B113="office",E113="budget_probe",N(F113)&gt;=Inputs!$C$139),1,0))</f>
        <v>0</v>
      </c>
      <c r="X113" s="30" t="n">
        <f aca="false">IF(W113=1,IF(COUNTIFS(C$5:C113,C113,W$5:W113,1)=1,1,0),0)</f>
        <v>0</v>
      </c>
      <c r="Y113" s="30" t="n">
        <f aca="false">IF(C113="",0,IF(AND(B113="brand",E113="renewal_answer",TRIM(G113)="yes",N(F113)&gt;=Inputs!$C$135),1,0))</f>
        <v>0</v>
      </c>
      <c r="Z113" s="30" t="n">
        <f aca="false">IF(Y113=1,IF(COUNTIFS(C$5:C113,C113,Y$5:Y113,1)=1,1,0),0)</f>
        <v>0</v>
      </c>
      <c r="AA113" s="30" t="n">
        <f aca="false">IF(AND(E113="budget_probe",ISNUMBER(F113),I113&lt;&gt;Lists!$X$4),1,0)</f>
        <v>0</v>
      </c>
      <c r="AB113" s="30" t="str">
        <f aca="false">IF(AND(B113="office",AA113=1,COUNTIFS(C$5:C113,C113,AA$5:AA113,1)=1),F113,"")</f>
        <v/>
      </c>
      <c r="AC113" s="30" t="str">
        <f aca="false">IF(AND(B113="brand",AA113=1,COUNTIFS(C$5:C113,C113,AA$5:AA113,1)=1),F113,"")</f>
        <v/>
      </c>
      <c r="AD113" s="30" t="str">
        <f aca="false">IF(AND(B113="brand",E113="budget_probe",ISNUMBER(F113),I113=Lists!$X$4),IF(COUNTIFS(C$5:C113,C113,E$5:E113,"budget_probe",I$5:I113,Lists!$X$4)=1,F113,""),"")</f>
        <v/>
      </c>
      <c r="AE113" s="30" t="n">
        <f aca="false">IF(AND(B113="brand",E113="paid",ISNUMBER(F113)),IF(AND(SUMIFS(F$5:F113,B$5:B113,"brand",C$5:C113,C113,E$5:E113,"paid")&gt;=Inputs!$C$44,SUMIFS(F$5:F113,B$5:B113,"brand",C$5:C113,C113,E$5:E113,"paid")-F113&lt;Inputs!$C$44),1,0),0)</f>
        <v>0</v>
      </c>
    </row>
    <row r="114" customFormat="false" ht="15" hidden="false" customHeight="false" outlineLevel="0" collapsed="false">
      <c r="A114" s="102"/>
      <c r="B114" s="103"/>
      <c r="C114" s="103"/>
      <c r="D114" s="103"/>
      <c r="E114" s="103"/>
      <c r="F114" s="103"/>
      <c r="G114" s="103"/>
      <c r="H114" s="103"/>
      <c r="I114" s="103"/>
      <c r="T114" s="30" t="str">
        <f aca="false">IF(C114="","",IF(COUNTIFS(C$5:C114,C114,E$5:E114,E114)=1,1,0))</f>
        <v/>
      </c>
      <c r="U114" s="30" t="n">
        <f aca="false">IF(C114="",0,IF(AND(B114="brand",E114="budget_probe",N(F114)&gt;=Inputs!$C$124,H114="Y"),1,0))</f>
        <v>0</v>
      </c>
      <c r="V114" s="30" t="n">
        <f aca="false">IF(U114=1,IF(COUNTIFS(C$5:C114,C114,U$5:U114,1)=1,1,0),0)</f>
        <v>0</v>
      </c>
      <c r="W114" s="30" t="n">
        <f aca="false">IF(C114="",0,IF(AND(B114="office",E114="budget_probe",N(F114)&gt;=Inputs!$C$139),1,0))</f>
        <v>0</v>
      </c>
      <c r="X114" s="30" t="n">
        <f aca="false">IF(W114=1,IF(COUNTIFS(C$5:C114,C114,W$5:W114,1)=1,1,0),0)</f>
        <v>0</v>
      </c>
      <c r="Y114" s="30" t="n">
        <f aca="false">IF(C114="",0,IF(AND(B114="brand",E114="renewal_answer",TRIM(G114)="yes",N(F114)&gt;=Inputs!$C$135),1,0))</f>
        <v>0</v>
      </c>
      <c r="Z114" s="30" t="n">
        <f aca="false">IF(Y114=1,IF(COUNTIFS(C$5:C114,C114,Y$5:Y114,1)=1,1,0),0)</f>
        <v>0</v>
      </c>
      <c r="AA114" s="30" t="n">
        <f aca="false">IF(AND(E114="budget_probe",ISNUMBER(F114),I114&lt;&gt;Lists!$X$4),1,0)</f>
        <v>0</v>
      </c>
      <c r="AB114" s="30" t="str">
        <f aca="false">IF(AND(B114="office",AA114=1,COUNTIFS(C$5:C114,C114,AA$5:AA114,1)=1),F114,"")</f>
        <v/>
      </c>
      <c r="AC114" s="30" t="str">
        <f aca="false">IF(AND(B114="brand",AA114=1,COUNTIFS(C$5:C114,C114,AA$5:AA114,1)=1),F114,"")</f>
        <v/>
      </c>
      <c r="AD114" s="30" t="str">
        <f aca="false">IF(AND(B114="brand",E114="budget_probe",ISNUMBER(F114),I114=Lists!$X$4),IF(COUNTIFS(C$5:C114,C114,E$5:E114,"budget_probe",I$5:I114,Lists!$X$4)=1,F114,""),"")</f>
        <v/>
      </c>
      <c r="AE114" s="30" t="n">
        <f aca="false">IF(AND(B114="brand",E114="paid",ISNUMBER(F114)),IF(AND(SUMIFS(F$5:F114,B$5:B114,"brand",C$5:C114,C114,E$5:E114,"paid")&gt;=Inputs!$C$44,SUMIFS(F$5:F114,B$5:B114,"brand",C$5:C114,C114,E$5:E114,"paid")-F114&lt;Inputs!$C$44),1,0),0)</f>
        <v>0</v>
      </c>
    </row>
    <row r="115" customFormat="false" ht="15" hidden="false" customHeight="false" outlineLevel="0" collapsed="false">
      <c r="A115" s="102"/>
      <c r="B115" s="103"/>
      <c r="C115" s="103"/>
      <c r="D115" s="103"/>
      <c r="E115" s="103"/>
      <c r="F115" s="103"/>
      <c r="G115" s="103"/>
      <c r="H115" s="103"/>
      <c r="I115" s="103"/>
      <c r="T115" s="30" t="str">
        <f aca="false">IF(C115="","",IF(COUNTIFS(C$5:C115,C115,E$5:E115,E115)=1,1,0))</f>
        <v/>
      </c>
      <c r="U115" s="30" t="n">
        <f aca="false">IF(C115="",0,IF(AND(B115="brand",E115="budget_probe",N(F115)&gt;=Inputs!$C$124,H115="Y"),1,0))</f>
        <v>0</v>
      </c>
      <c r="V115" s="30" t="n">
        <f aca="false">IF(U115=1,IF(COUNTIFS(C$5:C115,C115,U$5:U115,1)=1,1,0),0)</f>
        <v>0</v>
      </c>
      <c r="W115" s="30" t="n">
        <f aca="false">IF(C115="",0,IF(AND(B115="office",E115="budget_probe",N(F115)&gt;=Inputs!$C$139),1,0))</f>
        <v>0</v>
      </c>
      <c r="X115" s="30" t="n">
        <f aca="false">IF(W115=1,IF(COUNTIFS(C$5:C115,C115,W$5:W115,1)=1,1,0),0)</f>
        <v>0</v>
      </c>
      <c r="Y115" s="30" t="n">
        <f aca="false">IF(C115="",0,IF(AND(B115="brand",E115="renewal_answer",TRIM(G115)="yes",N(F115)&gt;=Inputs!$C$135),1,0))</f>
        <v>0</v>
      </c>
      <c r="Z115" s="30" t="n">
        <f aca="false">IF(Y115=1,IF(COUNTIFS(C$5:C115,C115,Y$5:Y115,1)=1,1,0),0)</f>
        <v>0</v>
      </c>
      <c r="AA115" s="30" t="n">
        <f aca="false">IF(AND(E115="budget_probe",ISNUMBER(F115),I115&lt;&gt;Lists!$X$4),1,0)</f>
        <v>0</v>
      </c>
      <c r="AB115" s="30" t="str">
        <f aca="false">IF(AND(B115="office",AA115=1,COUNTIFS(C$5:C115,C115,AA$5:AA115,1)=1),F115,"")</f>
        <v/>
      </c>
      <c r="AC115" s="30" t="str">
        <f aca="false">IF(AND(B115="brand",AA115=1,COUNTIFS(C$5:C115,C115,AA$5:AA115,1)=1),F115,"")</f>
        <v/>
      </c>
      <c r="AD115" s="30" t="str">
        <f aca="false">IF(AND(B115="brand",E115="budget_probe",ISNUMBER(F115),I115=Lists!$X$4),IF(COUNTIFS(C$5:C115,C115,E$5:E115,"budget_probe",I$5:I115,Lists!$X$4)=1,F115,""),"")</f>
        <v/>
      </c>
      <c r="AE115" s="30" t="n">
        <f aca="false">IF(AND(B115="brand",E115="paid",ISNUMBER(F115)),IF(AND(SUMIFS(F$5:F115,B$5:B115,"brand",C$5:C115,C115,E$5:E115,"paid")&gt;=Inputs!$C$44,SUMIFS(F$5:F115,B$5:B115,"brand",C$5:C115,C115,E$5:E115,"paid")-F115&lt;Inputs!$C$44),1,0),0)</f>
        <v>0</v>
      </c>
    </row>
    <row r="116" customFormat="false" ht="15" hidden="false" customHeight="false" outlineLevel="0" collapsed="false">
      <c r="A116" s="102"/>
      <c r="B116" s="103"/>
      <c r="C116" s="103"/>
      <c r="D116" s="103"/>
      <c r="E116" s="103"/>
      <c r="F116" s="103"/>
      <c r="G116" s="103"/>
      <c r="H116" s="103"/>
      <c r="I116" s="103"/>
      <c r="T116" s="30" t="str">
        <f aca="false">IF(C116="","",IF(COUNTIFS(C$5:C116,C116,E$5:E116,E116)=1,1,0))</f>
        <v/>
      </c>
      <c r="U116" s="30" t="n">
        <f aca="false">IF(C116="",0,IF(AND(B116="brand",E116="budget_probe",N(F116)&gt;=Inputs!$C$124,H116="Y"),1,0))</f>
        <v>0</v>
      </c>
      <c r="V116" s="30" t="n">
        <f aca="false">IF(U116=1,IF(COUNTIFS(C$5:C116,C116,U$5:U116,1)=1,1,0),0)</f>
        <v>0</v>
      </c>
      <c r="W116" s="30" t="n">
        <f aca="false">IF(C116="",0,IF(AND(B116="office",E116="budget_probe",N(F116)&gt;=Inputs!$C$139),1,0))</f>
        <v>0</v>
      </c>
      <c r="X116" s="30" t="n">
        <f aca="false">IF(W116=1,IF(COUNTIFS(C$5:C116,C116,W$5:W116,1)=1,1,0),0)</f>
        <v>0</v>
      </c>
      <c r="Y116" s="30" t="n">
        <f aca="false">IF(C116="",0,IF(AND(B116="brand",E116="renewal_answer",TRIM(G116)="yes",N(F116)&gt;=Inputs!$C$135),1,0))</f>
        <v>0</v>
      </c>
      <c r="Z116" s="30" t="n">
        <f aca="false">IF(Y116=1,IF(COUNTIFS(C$5:C116,C116,Y$5:Y116,1)=1,1,0),0)</f>
        <v>0</v>
      </c>
      <c r="AA116" s="30" t="n">
        <f aca="false">IF(AND(E116="budget_probe",ISNUMBER(F116),I116&lt;&gt;Lists!$X$4),1,0)</f>
        <v>0</v>
      </c>
      <c r="AB116" s="30" t="str">
        <f aca="false">IF(AND(B116="office",AA116=1,COUNTIFS(C$5:C116,C116,AA$5:AA116,1)=1),F116,"")</f>
        <v/>
      </c>
      <c r="AC116" s="30" t="str">
        <f aca="false">IF(AND(B116="brand",AA116=1,COUNTIFS(C$5:C116,C116,AA$5:AA116,1)=1),F116,"")</f>
        <v/>
      </c>
      <c r="AD116" s="30" t="str">
        <f aca="false">IF(AND(B116="brand",E116="budget_probe",ISNUMBER(F116),I116=Lists!$X$4),IF(COUNTIFS(C$5:C116,C116,E$5:E116,"budget_probe",I$5:I116,Lists!$X$4)=1,F116,""),"")</f>
        <v/>
      </c>
      <c r="AE116" s="30" t="n">
        <f aca="false">IF(AND(B116="brand",E116="paid",ISNUMBER(F116)),IF(AND(SUMIFS(F$5:F116,B$5:B116,"brand",C$5:C116,C116,E$5:E116,"paid")&gt;=Inputs!$C$44,SUMIFS(F$5:F116,B$5:B116,"brand",C$5:C116,C116,E$5:E116,"paid")-F116&lt;Inputs!$C$44),1,0),0)</f>
        <v>0</v>
      </c>
    </row>
    <row r="117" customFormat="false" ht="15" hidden="false" customHeight="false" outlineLevel="0" collapsed="false">
      <c r="A117" s="102"/>
      <c r="B117" s="103"/>
      <c r="C117" s="103"/>
      <c r="D117" s="103"/>
      <c r="E117" s="103"/>
      <c r="F117" s="103"/>
      <c r="G117" s="103"/>
      <c r="H117" s="103"/>
      <c r="I117" s="103"/>
      <c r="T117" s="30" t="str">
        <f aca="false">IF(C117="","",IF(COUNTIFS(C$5:C117,C117,E$5:E117,E117)=1,1,0))</f>
        <v/>
      </c>
      <c r="U117" s="30" t="n">
        <f aca="false">IF(C117="",0,IF(AND(B117="brand",E117="budget_probe",N(F117)&gt;=Inputs!$C$124,H117="Y"),1,0))</f>
        <v>0</v>
      </c>
      <c r="V117" s="30" t="n">
        <f aca="false">IF(U117=1,IF(COUNTIFS(C$5:C117,C117,U$5:U117,1)=1,1,0),0)</f>
        <v>0</v>
      </c>
      <c r="W117" s="30" t="n">
        <f aca="false">IF(C117="",0,IF(AND(B117="office",E117="budget_probe",N(F117)&gt;=Inputs!$C$139),1,0))</f>
        <v>0</v>
      </c>
      <c r="X117" s="30" t="n">
        <f aca="false">IF(W117=1,IF(COUNTIFS(C$5:C117,C117,W$5:W117,1)=1,1,0),0)</f>
        <v>0</v>
      </c>
      <c r="Y117" s="30" t="n">
        <f aca="false">IF(C117="",0,IF(AND(B117="brand",E117="renewal_answer",TRIM(G117)="yes",N(F117)&gt;=Inputs!$C$135),1,0))</f>
        <v>0</v>
      </c>
      <c r="Z117" s="30" t="n">
        <f aca="false">IF(Y117=1,IF(COUNTIFS(C$5:C117,C117,Y$5:Y117,1)=1,1,0),0)</f>
        <v>0</v>
      </c>
      <c r="AA117" s="30" t="n">
        <f aca="false">IF(AND(E117="budget_probe",ISNUMBER(F117),I117&lt;&gt;Lists!$X$4),1,0)</f>
        <v>0</v>
      </c>
      <c r="AB117" s="30" t="str">
        <f aca="false">IF(AND(B117="office",AA117=1,COUNTIFS(C$5:C117,C117,AA$5:AA117,1)=1),F117,"")</f>
        <v/>
      </c>
      <c r="AC117" s="30" t="str">
        <f aca="false">IF(AND(B117="brand",AA117=1,COUNTIFS(C$5:C117,C117,AA$5:AA117,1)=1),F117,"")</f>
        <v/>
      </c>
      <c r="AD117" s="30" t="str">
        <f aca="false">IF(AND(B117="brand",E117="budget_probe",ISNUMBER(F117),I117=Lists!$X$4),IF(COUNTIFS(C$5:C117,C117,E$5:E117,"budget_probe",I$5:I117,Lists!$X$4)=1,F117,""),"")</f>
        <v/>
      </c>
      <c r="AE117" s="30" t="n">
        <f aca="false">IF(AND(B117="brand",E117="paid",ISNUMBER(F117)),IF(AND(SUMIFS(F$5:F117,B$5:B117,"brand",C$5:C117,C117,E$5:E117,"paid")&gt;=Inputs!$C$44,SUMIFS(F$5:F117,B$5:B117,"brand",C$5:C117,C117,E$5:E117,"paid")-F117&lt;Inputs!$C$44),1,0),0)</f>
        <v>0</v>
      </c>
    </row>
    <row r="118" customFormat="false" ht="15" hidden="false" customHeight="false" outlineLevel="0" collapsed="false">
      <c r="A118" s="102"/>
      <c r="B118" s="103"/>
      <c r="C118" s="103"/>
      <c r="D118" s="103"/>
      <c r="E118" s="103"/>
      <c r="F118" s="103"/>
      <c r="G118" s="103"/>
      <c r="H118" s="103"/>
      <c r="I118" s="103"/>
      <c r="T118" s="30" t="str">
        <f aca="false">IF(C118="","",IF(COUNTIFS(C$5:C118,C118,E$5:E118,E118)=1,1,0))</f>
        <v/>
      </c>
      <c r="U118" s="30" t="n">
        <f aca="false">IF(C118="",0,IF(AND(B118="brand",E118="budget_probe",N(F118)&gt;=Inputs!$C$124,H118="Y"),1,0))</f>
        <v>0</v>
      </c>
      <c r="V118" s="30" t="n">
        <f aca="false">IF(U118=1,IF(COUNTIFS(C$5:C118,C118,U$5:U118,1)=1,1,0),0)</f>
        <v>0</v>
      </c>
      <c r="W118" s="30" t="n">
        <f aca="false">IF(C118="",0,IF(AND(B118="office",E118="budget_probe",N(F118)&gt;=Inputs!$C$139),1,0))</f>
        <v>0</v>
      </c>
      <c r="X118" s="30" t="n">
        <f aca="false">IF(W118=1,IF(COUNTIFS(C$5:C118,C118,W$5:W118,1)=1,1,0),0)</f>
        <v>0</v>
      </c>
      <c r="Y118" s="30" t="n">
        <f aca="false">IF(C118="",0,IF(AND(B118="brand",E118="renewal_answer",TRIM(G118)="yes",N(F118)&gt;=Inputs!$C$135),1,0))</f>
        <v>0</v>
      </c>
      <c r="Z118" s="30" t="n">
        <f aca="false">IF(Y118=1,IF(COUNTIFS(C$5:C118,C118,Y$5:Y118,1)=1,1,0),0)</f>
        <v>0</v>
      </c>
      <c r="AA118" s="30" t="n">
        <f aca="false">IF(AND(E118="budget_probe",ISNUMBER(F118),I118&lt;&gt;Lists!$X$4),1,0)</f>
        <v>0</v>
      </c>
      <c r="AB118" s="30" t="str">
        <f aca="false">IF(AND(B118="office",AA118=1,COUNTIFS(C$5:C118,C118,AA$5:AA118,1)=1),F118,"")</f>
        <v/>
      </c>
      <c r="AC118" s="30" t="str">
        <f aca="false">IF(AND(B118="brand",AA118=1,COUNTIFS(C$5:C118,C118,AA$5:AA118,1)=1),F118,"")</f>
        <v/>
      </c>
      <c r="AD118" s="30" t="str">
        <f aca="false">IF(AND(B118="brand",E118="budget_probe",ISNUMBER(F118),I118=Lists!$X$4),IF(COUNTIFS(C$5:C118,C118,E$5:E118,"budget_probe",I$5:I118,Lists!$X$4)=1,F118,""),"")</f>
        <v/>
      </c>
      <c r="AE118" s="30" t="n">
        <f aca="false">IF(AND(B118="brand",E118="paid",ISNUMBER(F118)),IF(AND(SUMIFS(F$5:F118,B$5:B118,"brand",C$5:C118,C118,E$5:E118,"paid")&gt;=Inputs!$C$44,SUMIFS(F$5:F118,B$5:B118,"brand",C$5:C118,C118,E$5:E118,"paid")-F118&lt;Inputs!$C$44),1,0),0)</f>
        <v>0</v>
      </c>
    </row>
    <row r="119" customFormat="false" ht="15" hidden="false" customHeight="false" outlineLevel="0" collapsed="false">
      <c r="A119" s="102"/>
      <c r="B119" s="103"/>
      <c r="C119" s="103"/>
      <c r="D119" s="103"/>
      <c r="E119" s="103"/>
      <c r="F119" s="103"/>
      <c r="G119" s="103"/>
      <c r="H119" s="103"/>
      <c r="I119" s="103"/>
      <c r="T119" s="30" t="str">
        <f aca="false">IF(C119="","",IF(COUNTIFS(C$5:C119,C119,E$5:E119,E119)=1,1,0))</f>
        <v/>
      </c>
      <c r="U119" s="30" t="n">
        <f aca="false">IF(C119="",0,IF(AND(B119="brand",E119="budget_probe",N(F119)&gt;=Inputs!$C$124,H119="Y"),1,0))</f>
        <v>0</v>
      </c>
      <c r="V119" s="30" t="n">
        <f aca="false">IF(U119=1,IF(COUNTIFS(C$5:C119,C119,U$5:U119,1)=1,1,0),0)</f>
        <v>0</v>
      </c>
      <c r="W119" s="30" t="n">
        <f aca="false">IF(C119="",0,IF(AND(B119="office",E119="budget_probe",N(F119)&gt;=Inputs!$C$139),1,0))</f>
        <v>0</v>
      </c>
      <c r="X119" s="30" t="n">
        <f aca="false">IF(W119=1,IF(COUNTIFS(C$5:C119,C119,W$5:W119,1)=1,1,0),0)</f>
        <v>0</v>
      </c>
      <c r="Y119" s="30" t="n">
        <f aca="false">IF(C119="",0,IF(AND(B119="brand",E119="renewal_answer",TRIM(G119)="yes",N(F119)&gt;=Inputs!$C$135),1,0))</f>
        <v>0</v>
      </c>
      <c r="Z119" s="30" t="n">
        <f aca="false">IF(Y119=1,IF(COUNTIFS(C$5:C119,C119,Y$5:Y119,1)=1,1,0),0)</f>
        <v>0</v>
      </c>
      <c r="AA119" s="30" t="n">
        <f aca="false">IF(AND(E119="budget_probe",ISNUMBER(F119),I119&lt;&gt;Lists!$X$4),1,0)</f>
        <v>0</v>
      </c>
      <c r="AB119" s="30" t="str">
        <f aca="false">IF(AND(B119="office",AA119=1,COUNTIFS(C$5:C119,C119,AA$5:AA119,1)=1),F119,"")</f>
        <v/>
      </c>
      <c r="AC119" s="30" t="str">
        <f aca="false">IF(AND(B119="brand",AA119=1,COUNTIFS(C$5:C119,C119,AA$5:AA119,1)=1),F119,"")</f>
        <v/>
      </c>
      <c r="AD119" s="30" t="str">
        <f aca="false">IF(AND(B119="brand",E119="budget_probe",ISNUMBER(F119),I119=Lists!$X$4),IF(COUNTIFS(C$5:C119,C119,E$5:E119,"budget_probe",I$5:I119,Lists!$X$4)=1,F119,""),"")</f>
        <v/>
      </c>
      <c r="AE119" s="30" t="n">
        <f aca="false">IF(AND(B119="brand",E119="paid",ISNUMBER(F119)),IF(AND(SUMIFS(F$5:F119,B$5:B119,"brand",C$5:C119,C119,E$5:E119,"paid")&gt;=Inputs!$C$44,SUMIFS(F$5:F119,B$5:B119,"brand",C$5:C119,C119,E$5:E119,"paid")-F119&lt;Inputs!$C$44),1,0),0)</f>
        <v>0</v>
      </c>
    </row>
    <row r="120" customFormat="false" ht="15" hidden="false" customHeight="false" outlineLevel="0" collapsed="false">
      <c r="A120" s="102"/>
      <c r="B120" s="103"/>
      <c r="C120" s="103"/>
      <c r="D120" s="103"/>
      <c r="E120" s="103"/>
      <c r="F120" s="103"/>
      <c r="G120" s="103"/>
      <c r="H120" s="103"/>
      <c r="I120" s="103"/>
      <c r="T120" s="30" t="str">
        <f aca="false">IF(C120="","",IF(COUNTIFS(C$5:C120,C120,E$5:E120,E120)=1,1,0))</f>
        <v/>
      </c>
      <c r="U120" s="30" t="n">
        <f aca="false">IF(C120="",0,IF(AND(B120="brand",E120="budget_probe",N(F120)&gt;=Inputs!$C$124,H120="Y"),1,0))</f>
        <v>0</v>
      </c>
      <c r="V120" s="30" t="n">
        <f aca="false">IF(U120=1,IF(COUNTIFS(C$5:C120,C120,U$5:U120,1)=1,1,0),0)</f>
        <v>0</v>
      </c>
      <c r="W120" s="30" t="n">
        <f aca="false">IF(C120="",0,IF(AND(B120="office",E120="budget_probe",N(F120)&gt;=Inputs!$C$139),1,0))</f>
        <v>0</v>
      </c>
      <c r="X120" s="30" t="n">
        <f aca="false">IF(W120=1,IF(COUNTIFS(C$5:C120,C120,W$5:W120,1)=1,1,0),0)</f>
        <v>0</v>
      </c>
      <c r="Y120" s="30" t="n">
        <f aca="false">IF(C120="",0,IF(AND(B120="brand",E120="renewal_answer",TRIM(G120)="yes",N(F120)&gt;=Inputs!$C$135),1,0))</f>
        <v>0</v>
      </c>
      <c r="Z120" s="30" t="n">
        <f aca="false">IF(Y120=1,IF(COUNTIFS(C$5:C120,C120,Y$5:Y120,1)=1,1,0),0)</f>
        <v>0</v>
      </c>
      <c r="AA120" s="30" t="n">
        <f aca="false">IF(AND(E120="budget_probe",ISNUMBER(F120),I120&lt;&gt;Lists!$X$4),1,0)</f>
        <v>0</v>
      </c>
      <c r="AB120" s="30" t="str">
        <f aca="false">IF(AND(B120="office",AA120=1,COUNTIFS(C$5:C120,C120,AA$5:AA120,1)=1),F120,"")</f>
        <v/>
      </c>
      <c r="AC120" s="30" t="str">
        <f aca="false">IF(AND(B120="brand",AA120=1,COUNTIFS(C$5:C120,C120,AA$5:AA120,1)=1),F120,"")</f>
        <v/>
      </c>
      <c r="AD120" s="30" t="str">
        <f aca="false">IF(AND(B120="brand",E120="budget_probe",ISNUMBER(F120),I120=Lists!$X$4),IF(COUNTIFS(C$5:C120,C120,E$5:E120,"budget_probe",I$5:I120,Lists!$X$4)=1,F120,""),"")</f>
        <v/>
      </c>
      <c r="AE120" s="30" t="n">
        <f aca="false">IF(AND(B120="brand",E120="paid",ISNUMBER(F120)),IF(AND(SUMIFS(F$5:F120,B$5:B120,"brand",C$5:C120,C120,E$5:E120,"paid")&gt;=Inputs!$C$44,SUMIFS(F$5:F120,B$5:B120,"brand",C$5:C120,C120,E$5:E120,"paid")-F120&lt;Inputs!$C$44),1,0),0)</f>
        <v>0</v>
      </c>
    </row>
    <row r="121" customFormat="false" ht="15" hidden="false" customHeight="false" outlineLevel="0" collapsed="false">
      <c r="A121" s="102"/>
      <c r="B121" s="103"/>
      <c r="C121" s="103"/>
      <c r="D121" s="103"/>
      <c r="E121" s="103"/>
      <c r="F121" s="103"/>
      <c r="G121" s="103"/>
      <c r="H121" s="103"/>
      <c r="I121" s="103"/>
      <c r="T121" s="30" t="str">
        <f aca="false">IF(C121="","",IF(COUNTIFS(C$5:C121,C121,E$5:E121,E121)=1,1,0))</f>
        <v/>
      </c>
      <c r="U121" s="30" t="n">
        <f aca="false">IF(C121="",0,IF(AND(B121="brand",E121="budget_probe",N(F121)&gt;=Inputs!$C$124,H121="Y"),1,0))</f>
        <v>0</v>
      </c>
      <c r="V121" s="30" t="n">
        <f aca="false">IF(U121=1,IF(COUNTIFS(C$5:C121,C121,U$5:U121,1)=1,1,0),0)</f>
        <v>0</v>
      </c>
      <c r="W121" s="30" t="n">
        <f aca="false">IF(C121="",0,IF(AND(B121="office",E121="budget_probe",N(F121)&gt;=Inputs!$C$139),1,0))</f>
        <v>0</v>
      </c>
      <c r="X121" s="30" t="n">
        <f aca="false">IF(W121=1,IF(COUNTIFS(C$5:C121,C121,W$5:W121,1)=1,1,0),0)</f>
        <v>0</v>
      </c>
      <c r="Y121" s="30" t="n">
        <f aca="false">IF(C121="",0,IF(AND(B121="brand",E121="renewal_answer",TRIM(G121)="yes",N(F121)&gt;=Inputs!$C$135),1,0))</f>
        <v>0</v>
      </c>
      <c r="Z121" s="30" t="n">
        <f aca="false">IF(Y121=1,IF(COUNTIFS(C$5:C121,C121,Y$5:Y121,1)=1,1,0),0)</f>
        <v>0</v>
      </c>
      <c r="AA121" s="30" t="n">
        <f aca="false">IF(AND(E121="budget_probe",ISNUMBER(F121),I121&lt;&gt;Lists!$X$4),1,0)</f>
        <v>0</v>
      </c>
      <c r="AB121" s="30" t="str">
        <f aca="false">IF(AND(B121="office",AA121=1,COUNTIFS(C$5:C121,C121,AA$5:AA121,1)=1),F121,"")</f>
        <v/>
      </c>
      <c r="AC121" s="30" t="str">
        <f aca="false">IF(AND(B121="brand",AA121=1,COUNTIFS(C$5:C121,C121,AA$5:AA121,1)=1),F121,"")</f>
        <v/>
      </c>
      <c r="AD121" s="30" t="str">
        <f aca="false">IF(AND(B121="brand",E121="budget_probe",ISNUMBER(F121),I121=Lists!$X$4),IF(COUNTIFS(C$5:C121,C121,E$5:E121,"budget_probe",I$5:I121,Lists!$X$4)=1,F121,""),"")</f>
        <v/>
      </c>
      <c r="AE121" s="30" t="n">
        <f aca="false">IF(AND(B121="brand",E121="paid",ISNUMBER(F121)),IF(AND(SUMIFS(F$5:F121,B$5:B121,"brand",C$5:C121,C121,E$5:E121,"paid")&gt;=Inputs!$C$44,SUMIFS(F$5:F121,B$5:B121,"brand",C$5:C121,C121,E$5:E121,"paid")-F121&lt;Inputs!$C$44),1,0),0)</f>
        <v>0</v>
      </c>
    </row>
    <row r="122" customFormat="false" ht="15" hidden="false" customHeight="false" outlineLevel="0" collapsed="false">
      <c r="A122" s="102"/>
      <c r="B122" s="103"/>
      <c r="C122" s="103"/>
      <c r="D122" s="103"/>
      <c r="E122" s="103"/>
      <c r="F122" s="103"/>
      <c r="G122" s="103"/>
      <c r="H122" s="103"/>
      <c r="I122" s="103"/>
      <c r="T122" s="30" t="str">
        <f aca="false">IF(C122="","",IF(COUNTIFS(C$5:C122,C122,E$5:E122,E122)=1,1,0))</f>
        <v/>
      </c>
      <c r="U122" s="30" t="n">
        <f aca="false">IF(C122="",0,IF(AND(B122="brand",E122="budget_probe",N(F122)&gt;=Inputs!$C$124,H122="Y"),1,0))</f>
        <v>0</v>
      </c>
      <c r="V122" s="30" t="n">
        <f aca="false">IF(U122=1,IF(COUNTIFS(C$5:C122,C122,U$5:U122,1)=1,1,0),0)</f>
        <v>0</v>
      </c>
      <c r="W122" s="30" t="n">
        <f aca="false">IF(C122="",0,IF(AND(B122="office",E122="budget_probe",N(F122)&gt;=Inputs!$C$139),1,0))</f>
        <v>0</v>
      </c>
      <c r="X122" s="30" t="n">
        <f aca="false">IF(W122=1,IF(COUNTIFS(C$5:C122,C122,W$5:W122,1)=1,1,0),0)</f>
        <v>0</v>
      </c>
      <c r="Y122" s="30" t="n">
        <f aca="false">IF(C122="",0,IF(AND(B122="brand",E122="renewal_answer",TRIM(G122)="yes",N(F122)&gt;=Inputs!$C$135),1,0))</f>
        <v>0</v>
      </c>
      <c r="Z122" s="30" t="n">
        <f aca="false">IF(Y122=1,IF(COUNTIFS(C$5:C122,C122,Y$5:Y122,1)=1,1,0),0)</f>
        <v>0</v>
      </c>
      <c r="AA122" s="30" t="n">
        <f aca="false">IF(AND(E122="budget_probe",ISNUMBER(F122),I122&lt;&gt;Lists!$X$4),1,0)</f>
        <v>0</v>
      </c>
      <c r="AB122" s="30" t="str">
        <f aca="false">IF(AND(B122="office",AA122=1,COUNTIFS(C$5:C122,C122,AA$5:AA122,1)=1),F122,"")</f>
        <v/>
      </c>
      <c r="AC122" s="30" t="str">
        <f aca="false">IF(AND(B122="brand",AA122=1,COUNTIFS(C$5:C122,C122,AA$5:AA122,1)=1),F122,"")</f>
        <v/>
      </c>
      <c r="AD122" s="30" t="str">
        <f aca="false">IF(AND(B122="brand",E122="budget_probe",ISNUMBER(F122),I122=Lists!$X$4),IF(COUNTIFS(C$5:C122,C122,E$5:E122,"budget_probe",I$5:I122,Lists!$X$4)=1,F122,""),"")</f>
        <v/>
      </c>
      <c r="AE122" s="30" t="n">
        <f aca="false">IF(AND(B122="brand",E122="paid",ISNUMBER(F122)),IF(AND(SUMIFS(F$5:F122,B$5:B122,"brand",C$5:C122,C122,E$5:E122,"paid")&gt;=Inputs!$C$44,SUMIFS(F$5:F122,B$5:B122,"brand",C$5:C122,C122,E$5:E122,"paid")-F122&lt;Inputs!$C$44),1,0),0)</f>
        <v>0</v>
      </c>
    </row>
    <row r="123" customFormat="false" ht="15" hidden="false" customHeight="false" outlineLevel="0" collapsed="false">
      <c r="A123" s="102"/>
      <c r="B123" s="103"/>
      <c r="C123" s="103"/>
      <c r="D123" s="103"/>
      <c r="E123" s="103"/>
      <c r="F123" s="103"/>
      <c r="G123" s="103"/>
      <c r="H123" s="103"/>
      <c r="I123" s="103"/>
      <c r="T123" s="30" t="str">
        <f aca="false">IF(C123="","",IF(COUNTIFS(C$5:C123,C123,E$5:E123,E123)=1,1,0))</f>
        <v/>
      </c>
      <c r="U123" s="30" t="n">
        <f aca="false">IF(C123="",0,IF(AND(B123="brand",E123="budget_probe",N(F123)&gt;=Inputs!$C$124,H123="Y"),1,0))</f>
        <v>0</v>
      </c>
      <c r="V123" s="30" t="n">
        <f aca="false">IF(U123=1,IF(COUNTIFS(C$5:C123,C123,U$5:U123,1)=1,1,0),0)</f>
        <v>0</v>
      </c>
      <c r="W123" s="30" t="n">
        <f aca="false">IF(C123="",0,IF(AND(B123="office",E123="budget_probe",N(F123)&gt;=Inputs!$C$139),1,0))</f>
        <v>0</v>
      </c>
      <c r="X123" s="30" t="n">
        <f aca="false">IF(W123=1,IF(COUNTIFS(C$5:C123,C123,W$5:W123,1)=1,1,0),0)</f>
        <v>0</v>
      </c>
      <c r="Y123" s="30" t="n">
        <f aca="false">IF(C123="",0,IF(AND(B123="brand",E123="renewal_answer",TRIM(G123)="yes",N(F123)&gt;=Inputs!$C$135),1,0))</f>
        <v>0</v>
      </c>
      <c r="Z123" s="30" t="n">
        <f aca="false">IF(Y123=1,IF(COUNTIFS(C$5:C123,C123,Y$5:Y123,1)=1,1,0),0)</f>
        <v>0</v>
      </c>
      <c r="AA123" s="30" t="n">
        <f aca="false">IF(AND(E123="budget_probe",ISNUMBER(F123),I123&lt;&gt;Lists!$X$4),1,0)</f>
        <v>0</v>
      </c>
      <c r="AB123" s="30" t="str">
        <f aca="false">IF(AND(B123="office",AA123=1,COUNTIFS(C$5:C123,C123,AA$5:AA123,1)=1),F123,"")</f>
        <v/>
      </c>
      <c r="AC123" s="30" t="str">
        <f aca="false">IF(AND(B123="brand",AA123=1,COUNTIFS(C$5:C123,C123,AA$5:AA123,1)=1),F123,"")</f>
        <v/>
      </c>
      <c r="AD123" s="30" t="str">
        <f aca="false">IF(AND(B123="brand",E123="budget_probe",ISNUMBER(F123),I123=Lists!$X$4),IF(COUNTIFS(C$5:C123,C123,E$5:E123,"budget_probe",I$5:I123,Lists!$X$4)=1,F123,""),"")</f>
        <v/>
      </c>
      <c r="AE123" s="30" t="n">
        <f aca="false">IF(AND(B123="brand",E123="paid",ISNUMBER(F123)),IF(AND(SUMIFS(F$5:F123,B$5:B123,"brand",C$5:C123,C123,E$5:E123,"paid")&gt;=Inputs!$C$44,SUMIFS(F$5:F123,B$5:B123,"brand",C$5:C123,C123,E$5:E123,"paid")-F123&lt;Inputs!$C$44),1,0),0)</f>
        <v>0</v>
      </c>
    </row>
    <row r="124" customFormat="false" ht="15" hidden="false" customHeight="false" outlineLevel="0" collapsed="false">
      <c r="A124" s="102"/>
      <c r="B124" s="103"/>
      <c r="C124" s="103"/>
      <c r="D124" s="103"/>
      <c r="E124" s="103"/>
      <c r="F124" s="103"/>
      <c r="G124" s="103"/>
      <c r="H124" s="103"/>
      <c r="I124" s="103"/>
      <c r="T124" s="30" t="str">
        <f aca="false">IF(C124="","",IF(COUNTIFS(C$5:C124,C124,E$5:E124,E124)=1,1,0))</f>
        <v/>
      </c>
      <c r="U124" s="30" t="n">
        <f aca="false">IF(C124="",0,IF(AND(B124="brand",E124="budget_probe",N(F124)&gt;=Inputs!$C$124,H124="Y"),1,0))</f>
        <v>0</v>
      </c>
      <c r="V124" s="30" t="n">
        <f aca="false">IF(U124=1,IF(COUNTIFS(C$5:C124,C124,U$5:U124,1)=1,1,0),0)</f>
        <v>0</v>
      </c>
      <c r="W124" s="30" t="n">
        <f aca="false">IF(C124="",0,IF(AND(B124="office",E124="budget_probe",N(F124)&gt;=Inputs!$C$139),1,0))</f>
        <v>0</v>
      </c>
      <c r="X124" s="30" t="n">
        <f aca="false">IF(W124=1,IF(COUNTIFS(C$5:C124,C124,W$5:W124,1)=1,1,0),0)</f>
        <v>0</v>
      </c>
      <c r="Y124" s="30" t="n">
        <f aca="false">IF(C124="",0,IF(AND(B124="brand",E124="renewal_answer",TRIM(G124)="yes",N(F124)&gt;=Inputs!$C$135),1,0))</f>
        <v>0</v>
      </c>
      <c r="Z124" s="30" t="n">
        <f aca="false">IF(Y124=1,IF(COUNTIFS(C$5:C124,C124,Y$5:Y124,1)=1,1,0),0)</f>
        <v>0</v>
      </c>
      <c r="AA124" s="30" t="n">
        <f aca="false">IF(AND(E124="budget_probe",ISNUMBER(F124),I124&lt;&gt;Lists!$X$4),1,0)</f>
        <v>0</v>
      </c>
      <c r="AB124" s="30" t="str">
        <f aca="false">IF(AND(B124="office",AA124=1,COUNTIFS(C$5:C124,C124,AA$5:AA124,1)=1),F124,"")</f>
        <v/>
      </c>
      <c r="AC124" s="30" t="str">
        <f aca="false">IF(AND(B124="brand",AA124=1,COUNTIFS(C$5:C124,C124,AA$5:AA124,1)=1),F124,"")</f>
        <v/>
      </c>
      <c r="AD124" s="30" t="str">
        <f aca="false">IF(AND(B124="brand",E124="budget_probe",ISNUMBER(F124),I124=Lists!$X$4),IF(COUNTIFS(C$5:C124,C124,E$5:E124,"budget_probe",I$5:I124,Lists!$X$4)=1,F124,""),"")</f>
        <v/>
      </c>
      <c r="AE124" s="30" t="n">
        <f aca="false">IF(AND(B124="brand",E124="paid",ISNUMBER(F124)),IF(AND(SUMIFS(F$5:F124,B$5:B124,"brand",C$5:C124,C124,E$5:E124,"paid")&gt;=Inputs!$C$44,SUMIFS(F$5:F124,B$5:B124,"brand",C$5:C124,C124,E$5:E124,"paid")-F124&lt;Inputs!$C$44),1,0),0)</f>
        <v>0</v>
      </c>
    </row>
    <row r="125" customFormat="false" ht="15" hidden="false" customHeight="false" outlineLevel="0" collapsed="false">
      <c r="A125" s="102"/>
      <c r="B125" s="103"/>
      <c r="C125" s="103"/>
      <c r="D125" s="103"/>
      <c r="E125" s="103"/>
      <c r="F125" s="103"/>
      <c r="G125" s="103"/>
      <c r="H125" s="103"/>
      <c r="I125" s="103"/>
      <c r="T125" s="30" t="str">
        <f aca="false">IF(C125="","",IF(COUNTIFS(C$5:C125,C125,E$5:E125,E125)=1,1,0))</f>
        <v/>
      </c>
      <c r="U125" s="30" t="n">
        <f aca="false">IF(C125="",0,IF(AND(B125="brand",E125="budget_probe",N(F125)&gt;=Inputs!$C$124,H125="Y"),1,0))</f>
        <v>0</v>
      </c>
      <c r="V125" s="30" t="n">
        <f aca="false">IF(U125=1,IF(COUNTIFS(C$5:C125,C125,U$5:U125,1)=1,1,0),0)</f>
        <v>0</v>
      </c>
      <c r="W125" s="30" t="n">
        <f aca="false">IF(C125="",0,IF(AND(B125="office",E125="budget_probe",N(F125)&gt;=Inputs!$C$139),1,0))</f>
        <v>0</v>
      </c>
      <c r="X125" s="30" t="n">
        <f aca="false">IF(W125=1,IF(COUNTIFS(C$5:C125,C125,W$5:W125,1)=1,1,0),0)</f>
        <v>0</v>
      </c>
      <c r="Y125" s="30" t="n">
        <f aca="false">IF(C125="",0,IF(AND(B125="brand",E125="renewal_answer",TRIM(G125)="yes",N(F125)&gt;=Inputs!$C$135),1,0))</f>
        <v>0</v>
      </c>
      <c r="Z125" s="30" t="n">
        <f aca="false">IF(Y125=1,IF(COUNTIFS(C$5:C125,C125,Y$5:Y125,1)=1,1,0),0)</f>
        <v>0</v>
      </c>
      <c r="AA125" s="30" t="n">
        <f aca="false">IF(AND(E125="budget_probe",ISNUMBER(F125),I125&lt;&gt;Lists!$X$4),1,0)</f>
        <v>0</v>
      </c>
      <c r="AB125" s="30" t="str">
        <f aca="false">IF(AND(B125="office",AA125=1,COUNTIFS(C$5:C125,C125,AA$5:AA125,1)=1),F125,"")</f>
        <v/>
      </c>
      <c r="AC125" s="30" t="str">
        <f aca="false">IF(AND(B125="brand",AA125=1,COUNTIFS(C$5:C125,C125,AA$5:AA125,1)=1),F125,"")</f>
        <v/>
      </c>
      <c r="AD125" s="30" t="str">
        <f aca="false">IF(AND(B125="brand",E125="budget_probe",ISNUMBER(F125),I125=Lists!$X$4),IF(COUNTIFS(C$5:C125,C125,E$5:E125,"budget_probe",I$5:I125,Lists!$X$4)=1,F125,""),"")</f>
        <v/>
      </c>
      <c r="AE125" s="30" t="n">
        <f aca="false">IF(AND(B125="brand",E125="paid",ISNUMBER(F125)),IF(AND(SUMIFS(F$5:F125,B$5:B125,"brand",C$5:C125,C125,E$5:E125,"paid")&gt;=Inputs!$C$44,SUMIFS(F$5:F125,B$5:B125,"brand",C$5:C125,C125,E$5:E125,"paid")-F125&lt;Inputs!$C$44),1,0),0)</f>
        <v>0</v>
      </c>
    </row>
    <row r="126" customFormat="false" ht="15" hidden="false" customHeight="false" outlineLevel="0" collapsed="false">
      <c r="A126" s="102"/>
      <c r="B126" s="103"/>
      <c r="C126" s="103"/>
      <c r="D126" s="103"/>
      <c r="E126" s="103"/>
      <c r="F126" s="103"/>
      <c r="G126" s="103"/>
      <c r="H126" s="103"/>
      <c r="I126" s="103"/>
      <c r="T126" s="30" t="str">
        <f aca="false">IF(C126="","",IF(COUNTIFS(C$5:C126,C126,E$5:E126,E126)=1,1,0))</f>
        <v/>
      </c>
      <c r="U126" s="30" t="n">
        <f aca="false">IF(C126="",0,IF(AND(B126="brand",E126="budget_probe",N(F126)&gt;=Inputs!$C$124,H126="Y"),1,0))</f>
        <v>0</v>
      </c>
      <c r="V126" s="30" t="n">
        <f aca="false">IF(U126=1,IF(COUNTIFS(C$5:C126,C126,U$5:U126,1)=1,1,0),0)</f>
        <v>0</v>
      </c>
      <c r="W126" s="30" t="n">
        <f aca="false">IF(C126="",0,IF(AND(B126="office",E126="budget_probe",N(F126)&gt;=Inputs!$C$139),1,0))</f>
        <v>0</v>
      </c>
      <c r="X126" s="30" t="n">
        <f aca="false">IF(W126=1,IF(COUNTIFS(C$5:C126,C126,W$5:W126,1)=1,1,0),0)</f>
        <v>0</v>
      </c>
      <c r="Y126" s="30" t="n">
        <f aca="false">IF(C126="",0,IF(AND(B126="brand",E126="renewal_answer",TRIM(G126)="yes",N(F126)&gt;=Inputs!$C$135),1,0))</f>
        <v>0</v>
      </c>
      <c r="Z126" s="30" t="n">
        <f aca="false">IF(Y126=1,IF(COUNTIFS(C$5:C126,C126,Y$5:Y126,1)=1,1,0),0)</f>
        <v>0</v>
      </c>
      <c r="AA126" s="30" t="n">
        <f aca="false">IF(AND(E126="budget_probe",ISNUMBER(F126),I126&lt;&gt;Lists!$X$4),1,0)</f>
        <v>0</v>
      </c>
      <c r="AB126" s="30" t="str">
        <f aca="false">IF(AND(B126="office",AA126=1,COUNTIFS(C$5:C126,C126,AA$5:AA126,1)=1),F126,"")</f>
        <v/>
      </c>
      <c r="AC126" s="30" t="str">
        <f aca="false">IF(AND(B126="brand",AA126=1,COUNTIFS(C$5:C126,C126,AA$5:AA126,1)=1),F126,"")</f>
        <v/>
      </c>
      <c r="AD126" s="30" t="str">
        <f aca="false">IF(AND(B126="brand",E126="budget_probe",ISNUMBER(F126),I126=Lists!$X$4),IF(COUNTIFS(C$5:C126,C126,E$5:E126,"budget_probe",I$5:I126,Lists!$X$4)=1,F126,""),"")</f>
        <v/>
      </c>
      <c r="AE126" s="30" t="n">
        <f aca="false">IF(AND(B126="brand",E126="paid",ISNUMBER(F126)),IF(AND(SUMIFS(F$5:F126,B$5:B126,"brand",C$5:C126,C126,E$5:E126,"paid")&gt;=Inputs!$C$44,SUMIFS(F$5:F126,B$5:B126,"brand",C$5:C126,C126,E$5:E126,"paid")-F126&lt;Inputs!$C$44),1,0),0)</f>
        <v>0</v>
      </c>
    </row>
    <row r="127" customFormat="false" ht="15" hidden="false" customHeight="false" outlineLevel="0" collapsed="false">
      <c r="A127" s="102"/>
      <c r="B127" s="103"/>
      <c r="C127" s="103"/>
      <c r="D127" s="103"/>
      <c r="E127" s="103"/>
      <c r="F127" s="103"/>
      <c r="G127" s="103"/>
      <c r="H127" s="103"/>
      <c r="I127" s="103"/>
      <c r="T127" s="30" t="str">
        <f aca="false">IF(C127="","",IF(COUNTIFS(C$5:C127,C127,E$5:E127,E127)=1,1,0))</f>
        <v/>
      </c>
      <c r="U127" s="30" t="n">
        <f aca="false">IF(C127="",0,IF(AND(B127="brand",E127="budget_probe",N(F127)&gt;=Inputs!$C$124,H127="Y"),1,0))</f>
        <v>0</v>
      </c>
      <c r="V127" s="30" t="n">
        <f aca="false">IF(U127=1,IF(COUNTIFS(C$5:C127,C127,U$5:U127,1)=1,1,0),0)</f>
        <v>0</v>
      </c>
      <c r="W127" s="30" t="n">
        <f aca="false">IF(C127="",0,IF(AND(B127="office",E127="budget_probe",N(F127)&gt;=Inputs!$C$139),1,0))</f>
        <v>0</v>
      </c>
      <c r="X127" s="30" t="n">
        <f aca="false">IF(W127=1,IF(COUNTIFS(C$5:C127,C127,W$5:W127,1)=1,1,0),0)</f>
        <v>0</v>
      </c>
      <c r="Y127" s="30" t="n">
        <f aca="false">IF(C127="",0,IF(AND(B127="brand",E127="renewal_answer",TRIM(G127)="yes",N(F127)&gt;=Inputs!$C$135),1,0))</f>
        <v>0</v>
      </c>
      <c r="Z127" s="30" t="n">
        <f aca="false">IF(Y127=1,IF(COUNTIFS(C$5:C127,C127,Y$5:Y127,1)=1,1,0),0)</f>
        <v>0</v>
      </c>
      <c r="AA127" s="30" t="n">
        <f aca="false">IF(AND(E127="budget_probe",ISNUMBER(F127),I127&lt;&gt;Lists!$X$4),1,0)</f>
        <v>0</v>
      </c>
      <c r="AB127" s="30" t="str">
        <f aca="false">IF(AND(B127="office",AA127=1,COUNTIFS(C$5:C127,C127,AA$5:AA127,1)=1),F127,"")</f>
        <v/>
      </c>
      <c r="AC127" s="30" t="str">
        <f aca="false">IF(AND(B127="brand",AA127=1,COUNTIFS(C$5:C127,C127,AA$5:AA127,1)=1),F127,"")</f>
        <v/>
      </c>
      <c r="AD127" s="30" t="str">
        <f aca="false">IF(AND(B127="brand",E127="budget_probe",ISNUMBER(F127),I127=Lists!$X$4),IF(COUNTIFS(C$5:C127,C127,E$5:E127,"budget_probe",I$5:I127,Lists!$X$4)=1,F127,""),"")</f>
        <v/>
      </c>
      <c r="AE127" s="30" t="n">
        <f aca="false">IF(AND(B127="brand",E127="paid",ISNUMBER(F127)),IF(AND(SUMIFS(F$5:F127,B$5:B127,"brand",C$5:C127,C127,E$5:E127,"paid")&gt;=Inputs!$C$44,SUMIFS(F$5:F127,B$5:B127,"brand",C$5:C127,C127,E$5:E127,"paid")-F127&lt;Inputs!$C$44),1,0),0)</f>
        <v>0</v>
      </c>
    </row>
    <row r="128" customFormat="false" ht="15" hidden="false" customHeight="false" outlineLevel="0" collapsed="false">
      <c r="A128" s="102"/>
      <c r="B128" s="103"/>
      <c r="C128" s="103"/>
      <c r="D128" s="103"/>
      <c r="E128" s="103"/>
      <c r="F128" s="103"/>
      <c r="G128" s="103"/>
      <c r="H128" s="103"/>
      <c r="I128" s="103"/>
      <c r="T128" s="30" t="str">
        <f aca="false">IF(C128="","",IF(COUNTIFS(C$5:C128,C128,E$5:E128,E128)=1,1,0))</f>
        <v/>
      </c>
      <c r="U128" s="30" t="n">
        <f aca="false">IF(C128="",0,IF(AND(B128="brand",E128="budget_probe",N(F128)&gt;=Inputs!$C$124,H128="Y"),1,0))</f>
        <v>0</v>
      </c>
      <c r="V128" s="30" t="n">
        <f aca="false">IF(U128=1,IF(COUNTIFS(C$5:C128,C128,U$5:U128,1)=1,1,0),0)</f>
        <v>0</v>
      </c>
      <c r="W128" s="30" t="n">
        <f aca="false">IF(C128="",0,IF(AND(B128="office",E128="budget_probe",N(F128)&gt;=Inputs!$C$139),1,0))</f>
        <v>0</v>
      </c>
      <c r="X128" s="30" t="n">
        <f aca="false">IF(W128=1,IF(COUNTIFS(C$5:C128,C128,W$5:W128,1)=1,1,0),0)</f>
        <v>0</v>
      </c>
      <c r="Y128" s="30" t="n">
        <f aca="false">IF(C128="",0,IF(AND(B128="brand",E128="renewal_answer",TRIM(G128)="yes",N(F128)&gt;=Inputs!$C$135),1,0))</f>
        <v>0</v>
      </c>
      <c r="Z128" s="30" t="n">
        <f aca="false">IF(Y128=1,IF(COUNTIFS(C$5:C128,C128,Y$5:Y128,1)=1,1,0),0)</f>
        <v>0</v>
      </c>
      <c r="AA128" s="30" t="n">
        <f aca="false">IF(AND(E128="budget_probe",ISNUMBER(F128),I128&lt;&gt;Lists!$X$4),1,0)</f>
        <v>0</v>
      </c>
      <c r="AB128" s="30" t="str">
        <f aca="false">IF(AND(B128="office",AA128=1,COUNTIFS(C$5:C128,C128,AA$5:AA128,1)=1),F128,"")</f>
        <v/>
      </c>
      <c r="AC128" s="30" t="str">
        <f aca="false">IF(AND(B128="brand",AA128=1,COUNTIFS(C$5:C128,C128,AA$5:AA128,1)=1),F128,"")</f>
        <v/>
      </c>
      <c r="AD128" s="30" t="str">
        <f aca="false">IF(AND(B128="brand",E128="budget_probe",ISNUMBER(F128),I128=Lists!$X$4),IF(COUNTIFS(C$5:C128,C128,E$5:E128,"budget_probe",I$5:I128,Lists!$X$4)=1,F128,""),"")</f>
        <v/>
      </c>
      <c r="AE128" s="30" t="n">
        <f aca="false">IF(AND(B128="brand",E128="paid",ISNUMBER(F128)),IF(AND(SUMIFS(F$5:F128,B$5:B128,"brand",C$5:C128,C128,E$5:E128,"paid")&gt;=Inputs!$C$44,SUMIFS(F$5:F128,B$5:B128,"brand",C$5:C128,C128,E$5:E128,"paid")-F128&lt;Inputs!$C$44),1,0),0)</f>
        <v>0</v>
      </c>
    </row>
    <row r="129" customFormat="false" ht="15" hidden="false" customHeight="false" outlineLevel="0" collapsed="false">
      <c r="A129" s="102"/>
      <c r="B129" s="103"/>
      <c r="C129" s="103"/>
      <c r="D129" s="103"/>
      <c r="E129" s="103"/>
      <c r="F129" s="103"/>
      <c r="G129" s="103"/>
      <c r="H129" s="103"/>
      <c r="I129" s="103"/>
      <c r="T129" s="30" t="str">
        <f aca="false">IF(C129="","",IF(COUNTIFS(C$5:C129,C129,E$5:E129,E129)=1,1,0))</f>
        <v/>
      </c>
      <c r="U129" s="30" t="n">
        <f aca="false">IF(C129="",0,IF(AND(B129="brand",E129="budget_probe",N(F129)&gt;=Inputs!$C$124,H129="Y"),1,0))</f>
        <v>0</v>
      </c>
      <c r="V129" s="30" t="n">
        <f aca="false">IF(U129=1,IF(COUNTIFS(C$5:C129,C129,U$5:U129,1)=1,1,0),0)</f>
        <v>0</v>
      </c>
      <c r="W129" s="30" t="n">
        <f aca="false">IF(C129="",0,IF(AND(B129="office",E129="budget_probe",N(F129)&gt;=Inputs!$C$139),1,0))</f>
        <v>0</v>
      </c>
      <c r="X129" s="30" t="n">
        <f aca="false">IF(W129=1,IF(COUNTIFS(C$5:C129,C129,W$5:W129,1)=1,1,0),0)</f>
        <v>0</v>
      </c>
      <c r="Y129" s="30" t="n">
        <f aca="false">IF(C129="",0,IF(AND(B129="brand",E129="renewal_answer",TRIM(G129)="yes",N(F129)&gt;=Inputs!$C$135),1,0))</f>
        <v>0</v>
      </c>
      <c r="Z129" s="30" t="n">
        <f aca="false">IF(Y129=1,IF(COUNTIFS(C$5:C129,C129,Y$5:Y129,1)=1,1,0),0)</f>
        <v>0</v>
      </c>
      <c r="AA129" s="30" t="n">
        <f aca="false">IF(AND(E129="budget_probe",ISNUMBER(F129),I129&lt;&gt;Lists!$X$4),1,0)</f>
        <v>0</v>
      </c>
      <c r="AB129" s="30" t="str">
        <f aca="false">IF(AND(B129="office",AA129=1,COUNTIFS(C$5:C129,C129,AA$5:AA129,1)=1),F129,"")</f>
        <v/>
      </c>
      <c r="AC129" s="30" t="str">
        <f aca="false">IF(AND(B129="brand",AA129=1,COUNTIFS(C$5:C129,C129,AA$5:AA129,1)=1),F129,"")</f>
        <v/>
      </c>
      <c r="AD129" s="30" t="str">
        <f aca="false">IF(AND(B129="brand",E129="budget_probe",ISNUMBER(F129),I129=Lists!$X$4),IF(COUNTIFS(C$5:C129,C129,E$5:E129,"budget_probe",I$5:I129,Lists!$X$4)=1,F129,""),"")</f>
        <v/>
      </c>
      <c r="AE129" s="30" t="n">
        <f aca="false">IF(AND(B129="brand",E129="paid",ISNUMBER(F129)),IF(AND(SUMIFS(F$5:F129,B$5:B129,"brand",C$5:C129,C129,E$5:E129,"paid")&gt;=Inputs!$C$44,SUMIFS(F$5:F129,B$5:B129,"brand",C$5:C129,C129,E$5:E129,"paid")-F129&lt;Inputs!$C$44),1,0),0)</f>
        <v>0</v>
      </c>
    </row>
    <row r="130" customFormat="false" ht="15" hidden="false" customHeight="false" outlineLevel="0" collapsed="false">
      <c r="A130" s="102"/>
      <c r="B130" s="103"/>
      <c r="C130" s="103"/>
      <c r="D130" s="103"/>
      <c r="E130" s="103"/>
      <c r="F130" s="103"/>
      <c r="G130" s="103"/>
      <c r="H130" s="103"/>
      <c r="I130" s="103"/>
      <c r="T130" s="30" t="str">
        <f aca="false">IF(C130="","",IF(COUNTIFS(C$5:C130,C130,E$5:E130,E130)=1,1,0))</f>
        <v/>
      </c>
      <c r="U130" s="30" t="n">
        <f aca="false">IF(C130="",0,IF(AND(B130="brand",E130="budget_probe",N(F130)&gt;=Inputs!$C$124,H130="Y"),1,0))</f>
        <v>0</v>
      </c>
      <c r="V130" s="30" t="n">
        <f aca="false">IF(U130=1,IF(COUNTIFS(C$5:C130,C130,U$5:U130,1)=1,1,0),0)</f>
        <v>0</v>
      </c>
      <c r="W130" s="30" t="n">
        <f aca="false">IF(C130="",0,IF(AND(B130="office",E130="budget_probe",N(F130)&gt;=Inputs!$C$139),1,0))</f>
        <v>0</v>
      </c>
      <c r="X130" s="30" t="n">
        <f aca="false">IF(W130=1,IF(COUNTIFS(C$5:C130,C130,W$5:W130,1)=1,1,0),0)</f>
        <v>0</v>
      </c>
      <c r="Y130" s="30" t="n">
        <f aca="false">IF(C130="",0,IF(AND(B130="brand",E130="renewal_answer",TRIM(G130)="yes",N(F130)&gt;=Inputs!$C$135),1,0))</f>
        <v>0</v>
      </c>
      <c r="Z130" s="30" t="n">
        <f aca="false">IF(Y130=1,IF(COUNTIFS(C$5:C130,C130,Y$5:Y130,1)=1,1,0),0)</f>
        <v>0</v>
      </c>
      <c r="AA130" s="30" t="n">
        <f aca="false">IF(AND(E130="budget_probe",ISNUMBER(F130),I130&lt;&gt;Lists!$X$4),1,0)</f>
        <v>0</v>
      </c>
      <c r="AB130" s="30" t="str">
        <f aca="false">IF(AND(B130="office",AA130=1,COUNTIFS(C$5:C130,C130,AA$5:AA130,1)=1),F130,"")</f>
        <v/>
      </c>
      <c r="AC130" s="30" t="str">
        <f aca="false">IF(AND(B130="brand",AA130=1,COUNTIFS(C$5:C130,C130,AA$5:AA130,1)=1),F130,"")</f>
        <v/>
      </c>
      <c r="AD130" s="30" t="str">
        <f aca="false">IF(AND(B130="brand",E130="budget_probe",ISNUMBER(F130),I130=Lists!$X$4),IF(COUNTIFS(C$5:C130,C130,E$5:E130,"budget_probe",I$5:I130,Lists!$X$4)=1,F130,""),"")</f>
        <v/>
      </c>
      <c r="AE130" s="30" t="n">
        <f aca="false">IF(AND(B130="brand",E130="paid",ISNUMBER(F130)),IF(AND(SUMIFS(F$5:F130,B$5:B130,"brand",C$5:C130,C130,E$5:E130,"paid")&gt;=Inputs!$C$44,SUMIFS(F$5:F130,B$5:B130,"brand",C$5:C130,C130,E$5:E130,"paid")-F130&lt;Inputs!$C$44),1,0),0)</f>
        <v>0</v>
      </c>
    </row>
    <row r="131" customFormat="false" ht="15" hidden="false" customHeight="false" outlineLevel="0" collapsed="false">
      <c r="A131" s="102"/>
      <c r="B131" s="103"/>
      <c r="C131" s="103"/>
      <c r="D131" s="103"/>
      <c r="E131" s="103"/>
      <c r="F131" s="103"/>
      <c r="G131" s="103"/>
      <c r="H131" s="103"/>
      <c r="I131" s="103"/>
      <c r="T131" s="30" t="str">
        <f aca="false">IF(C131="","",IF(COUNTIFS(C$5:C131,C131,E$5:E131,E131)=1,1,0))</f>
        <v/>
      </c>
      <c r="U131" s="30" t="n">
        <f aca="false">IF(C131="",0,IF(AND(B131="brand",E131="budget_probe",N(F131)&gt;=Inputs!$C$124,H131="Y"),1,0))</f>
        <v>0</v>
      </c>
      <c r="V131" s="30" t="n">
        <f aca="false">IF(U131=1,IF(COUNTIFS(C$5:C131,C131,U$5:U131,1)=1,1,0),0)</f>
        <v>0</v>
      </c>
      <c r="W131" s="30" t="n">
        <f aca="false">IF(C131="",0,IF(AND(B131="office",E131="budget_probe",N(F131)&gt;=Inputs!$C$139),1,0))</f>
        <v>0</v>
      </c>
      <c r="X131" s="30" t="n">
        <f aca="false">IF(W131=1,IF(COUNTIFS(C$5:C131,C131,W$5:W131,1)=1,1,0),0)</f>
        <v>0</v>
      </c>
      <c r="Y131" s="30" t="n">
        <f aca="false">IF(C131="",0,IF(AND(B131="brand",E131="renewal_answer",TRIM(G131)="yes",N(F131)&gt;=Inputs!$C$135),1,0))</f>
        <v>0</v>
      </c>
      <c r="Z131" s="30" t="n">
        <f aca="false">IF(Y131=1,IF(COUNTIFS(C$5:C131,C131,Y$5:Y131,1)=1,1,0),0)</f>
        <v>0</v>
      </c>
      <c r="AA131" s="30" t="n">
        <f aca="false">IF(AND(E131="budget_probe",ISNUMBER(F131),I131&lt;&gt;Lists!$X$4),1,0)</f>
        <v>0</v>
      </c>
      <c r="AB131" s="30" t="str">
        <f aca="false">IF(AND(B131="office",AA131=1,COUNTIFS(C$5:C131,C131,AA$5:AA131,1)=1),F131,"")</f>
        <v/>
      </c>
      <c r="AC131" s="30" t="str">
        <f aca="false">IF(AND(B131="brand",AA131=1,COUNTIFS(C$5:C131,C131,AA$5:AA131,1)=1),F131,"")</f>
        <v/>
      </c>
      <c r="AD131" s="30" t="str">
        <f aca="false">IF(AND(B131="brand",E131="budget_probe",ISNUMBER(F131),I131=Lists!$X$4),IF(COUNTIFS(C$5:C131,C131,E$5:E131,"budget_probe",I$5:I131,Lists!$X$4)=1,F131,""),"")</f>
        <v/>
      </c>
      <c r="AE131" s="30" t="n">
        <f aca="false">IF(AND(B131="brand",E131="paid",ISNUMBER(F131)),IF(AND(SUMIFS(F$5:F131,B$5:B131,"brand",C$5:C131,C131,E$5:E131,"paid")&gt;=Inputs!$C$44,SUMIFS(F$5:F131,B$5:B131,"brand",C$5:C131,C131,E$5:E131,"paid")-F131&lt;Inputs!$C$44),1,0),0)</f>
        <v>0</v>
      </c>
    </row>
    <row r="132" customFormat="false" ht="15" hidden="false" customHeight="false" outlineLevel="0" collapsed="false">
      <c r="A132" s="102"/>
      <c r="B132" s="103"/>
      <c r="C132" s="103"/>
      <c r="D132" s="103"/>
      <c r="E132" s="103"/>
      <c r="F132" s="103"/>
      <c r="G132" s="103"/>
      <c r="H132" s="103"/>
      <c r="I132" s="103"/>
      <c r="T132" s="30" t="str">
        <f aca="false">IF(C132="","",IF(COUNTIFS(C$5:C132,C132,E$5:E132,E132)=1,1,0))</f>
        <v/>
      </c>
      <c r="U132" s="30" t="n">
        <f aca="false">IF(C132="",0,IF(AND(B132="brand",E132="budget_probe",N(F132)&gt;=Inputs!$C$124,H132="Y"),1,0))</f>
        <v>0</v>
      </c>
      <c r="V132" s="30" t="n">
        <f aca="false">IF(U132=1,IF(COUNTIFS(C$5:C132,C132,U$5:U132,1)=1,1,0),0)</f>
        <v>0</v>
      </c>
      <c r="W132" s="30" t="n">
        <f aca="false">IF(C132="",0,IF(AND(B132="office",E132="budget_probe",N(F132)&gt;=Inputs!$C$139),1,0))</f>
        <v>0</v>
      </c>
      <c r="X132" s="30" t="n">
        <f aca="false">IF(W132=1,IF(COUNTIFS(C$5:C132,C132,W$5:W132,1)=1,1,0),0)</f>
        <v>0</v>
      </c>
      <c r="Y132" s="30" t="n">
        <f aca="false">IF(C132="",0,IF(AND(B132="brand",E132="renewal_answer",TRIM(G132)="yes",N(F132)&gt;=Inputs!$C$135),1,0))</f>
        <v>0</v>
      </c>
      <c r="Z132" s="30" t="n">
        <f aca="false">IF(Y132=1,IF(COUNTIFS(C$5:C132,C132,Y$5:Y132,1)=1,1,0),0)</f>
        <v>0</v>
      </c>
      <c r="AA132" s="30" t="n">
        <f aca="false">IF(AND(E132="budget_probe",ISNUMBER(F132),I132&lt;&gt;Lists!$X$4),1,0)</f>
        <v>0</v>
      </c>
      <c r="AB132" s="30" t="str">
        <f aca="false">IF(AND(B132="office",AA132=1,COUNTIFS(C$5:C132,C132,AA$5:AA132,1)=1),F132,"")</f>
        <v/>
      </c>
      <c r="AC132" s="30" t="str">
        <f aca="false">IF(AND(B132="brand",AA132=1,COUNTIFS(C$5:C132,C132,AA$5:AA132,1)=1),F132,"")</f>
        <v/>
      </c>
      <c r="AD132" s="30" t="str">
        <f aca="false">IF(AND(B132="brand",E132="budget_probe",ISNUMBER(F132),I132=Lists!$X$4),IF(COUNTIFS(C$5:C132,C132,E$5:E132,"budget_probe",I$5:I132,Lists!$X$4)=1,F132,""),"")</f>
        <v/>
      </c>
      <c r="AE132" s="30" t="n">
        <f aca="false">IF(AND(B132="brand",E132="paid",ISNUMBER(F132)),IF(AND(SUMIFS(F$5:F132,B$5:B132,"brand",C$5:C132,C132,E$5:E132,"paid")&gt;=Inputs!$C$44,SUMIFS(F$5:F132,B$5:B132,"brand",C$5:C132,C132,E$5:E132,"paid")-F132&lt;Inputs!$C$44),1,0),0)</f>
        <v>0</v>
      </c>
    </row>
    <row r="133" customFormat="false" ht="15" hidden="false" customHeight="false" outlineLevel="0" collapsed="false">
      <c r="A133" s="102"/>
      <c r="B133" s="103"/>
      <c r="C133" s="103"/>
      <c r="D133" s="103"/>
      <c r="E133" s="103"/>
      <c r="F133" s="103"/>
      <c r="G133" s="103"/>
      <c r="H133" s="103"/>
      <c r="I133" s="103"/>
      <c r="T133" s="30" t="str">
        <f aca="false">IF(C133="","",IF(COUNTIFS(C$5:C133,C133,E$5:E133,E133)=1,1,0))</f>
        <v/>
      </c>
      <c r="U133" s="30" t="n">
        <f aca="false">IF(C133="",0,IF(AND(B133="brand",E133="budget_probe",N(F133)&gt;=Inputs!$C$124,H133="Y"),1,0))</f>
        <v>0</v>
      </c>
      <c r="V133" s="30" t="n">
        <f aca="false">IF(U133=1,IF(COUNTIFS(C$5:C133,C133,U$5:U133,1)=1,1,0),0)</f>
        <v>0</v>
      </c>
      <c r="W133" s="30" t="n">
        <f aca="false">IF(C133="",0,IF(AND(B133="office",E133="budget_probe",N(F133)&gt;=Inputs!$C$139),1,0))</f>
        <v>0</v>
      </c>
      <c r="X133" s="30" t="n">
        <f aca="false">IF(W133=1,IF(COUNTIFS(C$5:C133,C133,W$5:W133,1)=1,1,0),0)</f>
        <v>0</v>
      </c>
      <c r="Y133" s="30" t="n">
        <f aca="false">IF(C133="",0,IF(AND(B133="brand",E133="renewal_answer",TRIM(G133)="yes",N(F133)&gt;=Inputs!$C$135),1,0))</f>
        <v>0</v>
      </c>
      <c r="Z133" s="30" t="n">
        <f aca="false">IF(Y133=1,IF(COUNTIFS(C$5:C133,C133,Y$5:Y133,1)=1,1,0),0)</f>
        <v>0</v>
      </c>
      <c r="AA133" s="30" t="n">
        <f aca="false">IF(AND(E133="budget_probe",ISNUMBER(F133),I133&lt;&gt;Lists!$X$4),1,0)</f>
        <v>0</v>
      </c>
      <c r="AB133" s="30" t="str">
        <f aca="false">IF(AND(B133="office",AA133=1,COUNTIFS(C$5:C133,C133,AA$5:AA133,1)=1),F133,"")</f>
        <v/>
      </c>
      <c r="AC133" s="30" t="str">
        <f aca="false">IF(AND(B133="brand",AA133=1,COUNTIFS(C$5:C133,C133,AA$5:AA133,1)=1),F133,"")</f>
        <v/>
      </c>
      <c r="AD133" s="30" t="str">
        <f aca="false">IF(AND(B133="brand",E133="budget_probe",ISNUMBER(F133),I133=Lists!$X$4),IF(COUNTIFS(C$5:C133,C133,E$5:E133,"budget_probe",I$5:I133,Lists!$X$4)=1,F133,""),"")</f>
        <v/>
      </c>
      <c r="AE133" s="30" t="n">
        <f aca="false">IF(AND(B133="brand",E133="paid",ISNUMBER(F133)),IF(AND(SUMIFS(F$5:F133,B$5:B133,"brand",C$5:C133,C133,E$5:E133,"paid")&gt;=Inputs!$C$44,SUMIFS(F$5:F133,B$5:B133,"brand",C$5:C133,C133,E$5:E133,"paid")-F133&lt;Inputs!$C$44),1,0),0)</f>
        <v>0</v>
      </c>
    </row>
    <row r="134" customFormat="false" ht="15" hidden="false" customHeight="false" outlineLevel="0" collapsed="false">
      <c r="A134" s="102"/>
      <c r="B134" s="103"/>
      <c r="C134" s="103"/>
      <c r="D134" s="103"/>
      <c r="E134" s="103"/>
      <c r="F134" s="103"/>
      <c r="G134" s="103"/>
      <c r="H134" s="103"/>
      <c r="I134" s="103"/>
      <c r="T134" s="30" t="str">
        <f aca="false">IF(C134="","",IF(COUNTIFS(C$5:C134,C134,E$5:E134,E134)=1,1,0))</f>
        <v/>
      </c>
      <c r="U134" s="30" t="n">
        <f aca="false">IF(C134="",0,IF(AND(B134="brand",E134="budget_probe",N(F134)&gt;=Inputs!$C$124,H134="Y"),1,0))</f>
        <v>0</v>
      </c>
      <c r="V134" s="30" t="n">
        <f aca="false">IF(U134=1,IF(COUNTIFS(C$5:C134,C134,U$5:U134,1)=1,1,0),0)</f>
        <v>0</v>
      </c>
      <c r="W134" s="30" t="n">
        <f aca="false">IF(C134="",0,IF(AND(B134="office",E134="budget_probe",N(F134)&gt;=Inputs!$C$139),1,0))</f>
        <v>0</v>
      </c>
      <c r="X134" s="30" t="n">
        <f aca="false">IF(W134=1,IF(COUNTIFS(C$5:C134,C134,W$5:W134,1)=1,1,0),0)</f>
        <v>0</v>
      </c>
      <c r="Y134" s="30" t="n">
        <f aca="false">IF(C134="",0,IF(AND(B134="brand",E134="renewal_answer",TRIM(G134)="yes",N(F134)&gt;=Inputs!$C$135),1,0))</f>
        <v>0</v>
      </c>
      <c r="Z134" s="30" t="n">
        <f aca="false">IF(Y134=1,IF(COUNTIFS(C$5:C134,C134,Y$5:Y134,1)=1,1,0),0)</f>
        <v>0</v>
      </c>
      <c r="AA134" s="30" t="n">
        <f aca="false">IF(AND(E134="budget_probe",ISNUMBER(F134),I134&lt;&gt;Lists!$X$4),1,0)</f>
        <v>0</v>
      </c>
      <c r="AB134" s="30" t="str">
        <f aca="false">IF(AND(B134="office",AA134=1,COUNTIFS(C$5:C134,C134,AA$5:AA134,1)=1),F134,"")</f>
        <v/>
      </c>
      <c r="AC134" s="30" t="str">
        <f aca="false">IF(AND(B134="brand",AA134=1,COUNTIFS(C$5:C134,C134,AA$5:AA134,1)=1),F134,"")</f>
        <v/>
      </c>
      <c r="AD134" s="30" t="str">
        <f aca="false">IF(AND(B134="brand",E134="budget_probe",ISNUMBER(F134),I134=Lists!$X$4),IF(COUNTIFS(C$5:C134,C134,E$5:E134,"budget_probe",I$5:I134,Lists!$X$4)=1,F134,""),"")</f>
        <v/>
      </c>
      <c r="AE134" s="30" t="n">
        <f aca="false">IF(AND(B134="brand",E134="paid",ISNUMBER(F134)),IF(AND(SUMIFS(F$5:F134,B$5:B134,"brand",C$5:C134,C134,E$5:E134,"paid")&gt;=Inputs!$C$44,SUMIFS(F$5:F134,B$5:B134,"brand",C$5:C134,C134,E$5:E134,"paid")-F134&lt;Inputs!$C$44),1,0),0)</f>
        <v>0</v>
      </c>
    </row>
    <row r="135" customFormat="false" ht="15" hidden="false" customHeight="false" outlineLevel="0" collapsed="false">
      <c r="A135" s="102"/>
      <c r="B135" s="103"/>
      <c r="C135" s="103"/>
      <c r="D135" s="103"/>
      <c r="E135" s="103"/>
      <c r="F135" s="103"/>
      <c r="G135" s="103"/>
      <c r="H135" s="103"/>
      <c r="I135" s="103"/>
      <c r="T135" s="30" t="str">
        <f aca="false">IF(C135="","",IF(COUNTIFS(C$5:C135,C135,E$5:E135,E135)=1,1,0))</f>
        <v/>
      </c>
      <c r="U135" s="30" t="n">
        <f aca="false">IF(C135="",0,IF(AND(B135="brand",E135="budget_probe",N(F135)&gt;=Inputs!$C$124,H135="Y"),1,0))</f>
        <v>0</v>
      </c>
      <c r="V135" s="30" t="n">
        <f aca="false">IF(U135=1,IF(COUNTIFS(C$5:C135,C135,U$5:U135,1)=1,1,0),0)</f>
        <v>0</v>
      </c>
      <c r="W135" s="30" t="n">
        <f aca="false">IF(C135="",0,IF(AND(B135="office",E135="budget_probe",N(F135)&gt;=Inputs!$C$139),1,0))</f>
        <v>0</v>
      </c>
      <c r="X135" s="30" t="n">
        <f aca="false">IF(W135=1,IF(COUNTIFS(C$5:C135,C135,W$5:W135,1)=1,1,0),0)</f>
        <v>0</v>
      </c>
      <c r="Y135" s="30" t="n">
        <f aca="false">IF(C135="",0,IF(AND(B135="brand",E135="renewal_answer",TRIM(G135)="yes",N(F135)&gt;=Inputs!$C$135),1,0))</f>
        <v>0</v>
      </c>
      <c r="Z135" s="30" t="n">
        <f aca="false">IF(Y135=1,IF(COUNTIFS(C$5:C135,C135,Y$5:Y135,1)=1,1,0),0)</f>
        <v>0</v>
      </c>
      <c r="AA135" s="30" t="n">
        <f aca="false">IF(AND(E135="budget_probe",ISNUMBER(F135),I135&lt;&gt;Lists!$X$4),1,0)</f>
        <v>0</v>
      </c>
      <c r="AB135" s="30" t="str">
        <f aca="false">IF(AND(B135="office",AA135=1,COUNTIFS(C$5:C135,C135,AA$5:AA135,1)=1),F135,"")</f>
        <v/>
      </c>
      <c r="AC135" s="30" t="str">
        <f aca="false">IF(AND(B135="brand",AA135=1,COUNTIFS(C$5:C135,C135,AA$5:AA135,1)=1),F135,"")</f>
        <v/>
      </c>
      <c r="AD135" s="30" t="str">
        <f aca="false">IF(AND(B135="brand",E135="budget_probe",ISNUMBER(F135),I135=Lists!$X$4),IF(COUNTIFS(C$5:C135,C135,E$5:E135,"budget_probe",I$5:I135,Lists!$X$4)=1,F135,""),"")</f>
        <v/>
      </c>
      <c r="AE135" s="30" t="n">
        <f aca="false">IF(AND(B135="brand",E135="paid",ISNUMBER(F135)),IF(AND(SUMIFS(F$5:F135,B$5:B135,"brand",C$5:C135,C135,E$5:E135,"paid")&gt;=Inputs!$C$44,SUMIFS(F$5:F135,B$5:B135,"brand",C$5:C135,C135,E$5:E135,"paid")-F135&lt;Inputs!$C$44),1,0),0)</f>
        <v>0</v>
      </c>
    </row>
    <row r="136" customFormat="false" ht="15" hidden="false" customHeight="false" outlineLevel="0" collapsed="false">
      <c r="A136" s="102"/>
      <c r="B136" s="103"/>
      <c r="C136" s="103"/>
      <c r="D136" s="103"/>
      <c r="E136" s="103"/>
      <c r="F136" s="103"/>
      <c r="G136" s="103"/>
      <c r="H136" s="103"/>
      <c r="I136" s="103"/>
      <c r="T136" s="30" t="str">
        <f aca="false">IF(C136="","",IF(COUNTIFS(C$5:C136,C136,E$5:E136,E136)=1,1,0))</f>
        <v/>
      </c>
      <c r="U136" s="30" t="n">
        <f aca="false">IF(C136="",0,IF(AND(B136="brand",E136="budget_probe",N(F136)&gt;=Inputs!$C$124,H136="Y"),1,0))</f>
        <v>0</v>
      </c>
      <c r="V136" s="30" t="n">
        <f aca="false">IF(U136=1,IF(COUNTIFS(C$5:C136,C136,U$5:U136,1)=1,1,0),0)</f>
        <v>0</v>
      </c>
      <c r="W136" s="30" t="n">
        <f aca="false">IF(C136="",0,IF(AND(B136="office",E136="budget_probe",N(F136)&gt;=Inputs!$C$139),1,0))</f>
        <v>0</v>
      </c>
      <c r="X136" s="30" t="n">
        <f aca="false">IF(W136=1,IF(COUNTIFS(C$5:C136,C136,W$5:W136,1)=1,1,0),0)</f>
        <v>0</v>
      </c>
      <c r="Y136" s="30" t="n">
        <f aca="false">IF(C136="",0,IF(AND(B136="brand",E136="renewal_answer",TRIM(G136)="yes",N(F136)&gt;=Inputs!$C$135),1,0))</f>
        <v>0</v>
      </c>
      <c r="Z136" s="30" t="n">
        <f aca="false">IF(Y136=1,IF(COUNTIFS(C$5:C136,C136,Y$5:Y136,1)=1,1,0),0)</f>
        <v>0</v>
      </c>
      <c r="AA136" s="30" t="n">
        <f aca="false">IF(AND(E136="budget_probe",ISNUMBER(F136),I136&lt;&gt;Lists!$X$4),1,0)</f>
        <v>0</v>
      </c>
      <c r="AB136" s="30" t="str">
        <f aca="false">IF(AND(B136="office",AA136=1,COUNTIFS(C$5:C136,C136,AA$5:AA136,1)=1),F136,"")</f>
        <v/>
      </c>
      <c r="AC136" s="30" t="str">
        <f aca="false">IF(AND(B136="brand",AA136=1,COUNTIFS(C$5:C136,C136,AA$5:AA136,1)=1),F136,"")</f>
        <v/>
      </c>
      <c r="AD136" s="30" t="str">
        <f aca="false">IF(AND(B136="brand",E136="budget_probe",ISNUMBER(F136),I136=Lists!$X$4),IF(COUNTIFS(C$5:C136,C136,E$5:E136,"budget_probe",I$5:I136,Lists!$X$4)=1,F136,""),"")</f>
        <v/>
      </c>
      <c r="AE136" s="30" t="n">
        <f aca="false">IF(AND(B136="brand",E136="paid",ISNUMBER(F136)),IF(AND(SUMIFS(F$5:F136,B$5:B136,"brand",C$5:C136,C136,E$5:E136,"paid")&gt;=Inputs!$C$44,SUMIFS(F$5:F136,B$5:B136,"brand",C$5:C136,C136,E$5:E136,"paid")-F136&lt;Inputs!$C$44),1,0),0)</f>
        <v>0</v>
      </c>
    </row>
    <row r="137" customFormat="false" ht="15" hidden="false" customHeight="false" outlineLevel="0" collapsed="false">
      <c r="A137" s="102"/>
      <c r="B137" s="103"/>
      <c r="C137" s="103"/>
      <c r="D137" s="103"/>
      <c r="E137" s="103"/>
      <c r="F137" s="103"/>
      <c r="G137" s="103"/>
      <c r="H137" s="103"/>
      <c r="I137" s="103"/>
      <c r="T137" s="30" t="str">
        <f aca="false">IF(C137="","",IF(COUNTIFS(C$5:C137,C137,E$5:E137,E137)=1,1,0))</f>
        <v/>
      </c>
      <c r="U137" s="30" t="n">
        <f aca="false">IF(C137="",0,IF(AND(B137="brand",E137="budget_probe",N(F137)&gt;=Inputs!$C$124,H137="Y"),1,0))</f>
        <v>0</v>
      </c>
      <c r="V137" s="30" t="n">
        <f aca="false">IF(U137=1,IF(COUNTIFS(C$5:C137,C137,U$5:U137,1)=1,1,0),0)</f>
        <v>0</v>
      </c>
      <c r="W137" s="30" t="n">
        <f aca="false">IF(C137="",0,IF(AND(B137="office",E137="budget_probe",N(F137)&gt;=Inputs!$C$139),1,0))</f>
        <v>0</v>
      </c>
      <c r="X137" s="30" t="n">
        <f aca="false">IF(W137=1,IF(COUNTIFS(C$5:C137,C137,W$5:W137,1)=1,1,0),0)</f>
        <v>0</v>
      </c>
      <c r="Y137" s="30" t="n">
        <f aca="false">IF(C137="",0,IF(AND(B137="brand",E137="renewal_answer",TRIM(G137)="yes",N(F137)&gt;=Inputs!$C$135),1,0))</f>
        <v>0</v>
      </c>
      <c r="Z137" s="30" t="n">
        <f aca="false">IF(Y137=1,IF(COUNTIFS(C$5:C137,C137,Y$5:Y137,1)=1,1,0),0)</f>
        <v>0</v>
      </c>
      <c r="AA137" s="30" t="n">
        <f aca="false">IF(AND(E137="budget_probe",ISNUMBER(F137),I137&lt;&gt;Lists!$X$4),1,0)</f>
        <v>0</v>
      </c>
      <c r="AB137" s="30" t="str">
        <f aca="false">IF(AND(B137="office",AA137=1,COUNTIFS(C$5:C137,C137,AA$5:AA137,1)=1),F137,"")</f>
        <v/>
      </c>
      <c r="AC137" s="30" t="str">
        <f aca="false">IF(AND(B137="brand",AA137=1,COUNTIFS(C$5:C137,C137,AA$5:AA137,1)=1),F137,"")</f>
        <v/>
      </c>
      <c r="AD137" s="30" t="str">
        <f aca="false">IF(AND(B137="brand",E137="budget_probe",ISNUMBER(F137),I137=Lists!$X$4),IF(COUNTIFS(C$5:C137,C137,E$5:E137,"budget_probe",I$5:I137,Lists!$X$4)=1,F137,""),"")</f>
        <v/>
      </c>
      <c r="AE137" s="30" t="n">
        <f aca="false">IF(AND(B137="brand",E137="paid",ISNUMBER(F137)),IF(AND(SUMIFS(F$5:F137,B$5:B137,"brand",C$5:C137,C137,E$5:E137,"paid")&gt;=Inputs!$C$44,SUMIFS(F$5:F137,B$5:B137,"brand",C$5:C137,C137,E$5:E137,"paid")-F137&lt;Inputs!$C$44),1,0),0)</f>
        <v>0</v>
      </c>
    </row>
    <row r="138" customFormat="false" ht="15" hidden="false" customHeight="false" outlineLevel="0" collapsed="false">
      <c r="A138" s="102"/>
      <c r="B138" s="103"/>
      <c r="C138" s="103"/>
      <c r="D138" s="103"/>
      <c r="E138" s="103"/>
      <c r="F138" s="103"/>
      <c r="G138" s="103"/>
      <c r="H138" s="103"/>
      <c r="I138" s="103"/>
      <c r="T138" s="30" t="str">
        <f aca="false">IF(C138="","",IF(COUNTIFS(C$5:C138,C138,E$5:E138,E138)=1,1,0))</f>
        <v/>
      </c>
      <c r="U138" s="30" t="n">
        <f aca="false">IF(C138="",0,IF(AND(B138="brand",E138="budget_probe",N(F138)&gt;=Inputs!$C$124,H138="Y"),1,0))</f>
        <v>0</v>
      </c>
      <c r="V138" s="30" t="n">
        <f aca="false">IF(U138=1,IF(COUNTIFS(C$5:C138,C138,U$5:U138,1)=1,1,0),0)</f>
        <v>0</v>
      </c>
      <c r="W138" s="30" t="n">
        <f aca="false">IF(C138="",0,IF(AND(B138="office",E138="budget_probe",N(F138)&gt;=Inputs!$C$139),1,0))</f>
        <v>0</v>
      </c>
      <c r="X138" s="30" t="n">
        <f aca="false">IF(W138=1,IF(COUNTIFS(C$5:C138,C138,W$5:W138,1)=1,1,0),0)</f>
        <v>0</v>
      </c>
      <c r="Y138" s="30" t="n">
        <f aca="false">IF(C138="",0,IF(AND(B138="brand",E138="renewal_answer",TRIM(G138)="yes",N(F138)&gt;=Inputs!$C$135),1,0))</f>
        <v>0</v>
      </c>
      <c r="Z138" s="30" t="n">
        <f aca="false">IF(Y138=1,IF(COUNTIFS(C$5:C138,C138,Y$5:Y138,1)=1,1,0),0)</f>
        <v>0</v>
      </c>
      <c r="AA138" s="30" t="n">
        <f aca="false">IF(AND(E138="budget_probe",ISNUMBER(F138),I138&lt;&gt;Lists!$X$4),1,0)</f>
        <v>0</v>
      </c>
      <c r="AB138" s="30" t="str">
        <f aca="false">IF(AND(B138="office",AA138=1,COUNTIFS(C$5:C138,C138,AA$5:AA138,1)=1),F138,"")</f>
        <v/>
      </c>
      <c r="AC138" s="30" t="str">
        <f aca="false">IF(AND(B138="brand",AA138=1,COUNTIFS(C$5:C138,C138,AA$5:AA138,1)=1),F138,"")</f>
        <v/>
      </c>
      <c r="AD138" s="30" t="str">
        <f aca="false">IF(AND(B138="brand",E138="budget_probe",ISNUMBER(F138),I138=Lists!$X$4),IF(COUNTIFS(C$5:C138,C138,E$5:E138,"budget_probe",I$5:I138,Lists!$X$4)=1,F138,""),"")</f>
        <v/>
      </c>
      <c r="AE138" s="30" t="n">
        <f aca="false">IF(AND(B138="brand",E138="paid",ISNUMBER(F138)),IF(AND(SUMIFS(F$5:F138,B$5:B138,"brand",C$5:C138,C138,E$5:E138,"paid")&gt;=Inputs!$C$44,SUMIFS(F$5:F138,B$5:B138,"brand",C$5:C138,C138,E$5:E138,"paid")-F138&lt;Inputs!$C$44),1,0),0)</f>
        <v>0</v>
      </c>
    </row>
    <row r="139" customFormat="false" ht="15" hidden="false" customHeight="false" outlineLevel="0" collapsed="false">
      <c r="A139" s="102"/>
      <c r="B139" s="103"/>
      <c r="C139" s="103"/>
      <c r="D139" s="103"/>
      <c r="E139" s="103"/>
      <c r="F139" s="103"/>
      <c r="G139" s="103"/>
      <c r="H139" s="103"/>
      <c r="I139" s="103"/>
      <c r="T139" s="30" t="str">
        <f aca="false">IF(C139="","",IF(COUNTIFS(C$5:C139,C139,E$5:E139,E139)=1,1,0))</f>
        <v/>
      </c>
      <c r="U139" s="30" t="n">
        <f aca="false">IF(C139="",0,IF(AND(B139="brand",E139="budget_probe",N(F139)&gt;=Inputs!$C$124,H139="Y"),1,0))</f>
        <v>0</v>
      </c>
      <c r="V139" s="30" t="n">
        <f aca="false">IF(U139=1,IF(COUNTIFS(C$5:C139,C139,U$5:U139,1)=1,1,0),0)</f>
        <v>0</v>
      </c>
      <c r="W139" s="30" t="n">
        <f aca="false">IF(C139="",0,IF(AND(B139="office",E139="budget_probe",N(F139)&gt;=Inputs!$C$139),1,0))</f>
        <v>0</v>
      </c>
      <c r="X139" s="30" t="n">
        <f aca="false">IF(W139=1,IF(COUNTIFS(C$5:C139,C139,W$5:W139,1)=1,1,0),0)</f>
        <v>0</v>
      </c>
      <c r="Y139" s="30" t="n">
        <f aca="false">IF(C139="",0,IF(AND(B139="brand",E139="renewal_answer",TRIM(G139)="yes",N(F139)&gt;=Inputs!$C$135),1,0))</f>
        <v>0</v>
      </c>
      <c r="Z139" s="30" t="n">
        <f aca="false">IF(Y139=1,IF(COUNTIFS(C$5:C139,C139,Y$5:Y139,1)=1,1,0),0)</f>
        <v>0</v>
      </c>
      <c r="AA139" s="30" t="n">
        <f aca="false">IF(AND(E139="budget_probe",ISNUMBER(F139),I139&lt;&gt;Lists!$X$4),1,0)</f>
        <v>0</v>
      </c>
      <c r="AB139" s="30" t="str">
        <f aca="false">IF(AND(B139="office",AA139=1,COUNTIFS(C$5:C139,C139,AA$5:AA139,1)=1),F139,"")</f>
        <v/>
      </c>
      <c r="AC139" s="30" t="str">
        <f aca="false">IF(AND(B139="brand",AA139=1,COUNTIFS(C$5:C139,C139,AA$5:AA139,1)=1),F139,"")</f>
        <v/>
      </c>
      <c r="AD139" s="30" t="str">
        <f aca="false">IF(AND(B139="brand",E139="budget_probe",ISNUMBER(F139),I139=Lists!$X$4),IF(COUNTIFS(C$5:C139,C139,E$5:E139,"budget_probe",I$5:I139,Lists!$X$4)=1,F139,""),"")</f>
        <v/>
      </c>
      <c r="AE139" s="30" t="n">
        <f aca="false">IF(AND(B139="brand",E139="paid",ISNUMBER(F139)),IF(AND(SUMIFS(F$5:F139,B$5:B139,"brand",C$5:C139,C139,E$5:E139,"paid")&gt;=Inputs!$C$44,SUMIFS(F$5:F139,B$5:B139,"brand",C$5:C139,C139,E$5:E139,"paid")-F139&lt;Inputs!$C$44),1,0),0)</f>
        <v>0</v>
      </c>
    </row>
    <row r="140" customFormat="false" ht="15" hidden="false" customHeight="false" outlineLevel="0" collapsed="false">
      <c r="A140" s="102"/>
      <c r="B140" s="103"/>
      <c r="C140" s="103"/>
      <c r="D140" s="103"/>
      <c r="E140" s="103"/>
      <c r="F140" s="103"/>
      <c r="G140" s="103"/>
      <c r="H140" s="103"/>
      <c r="I140" s="103"/>
      <c r="T140" s="30" t="str">
        <f aca="false">IF(C140="","",IF(COUNTIFS(C$5:C140,C140,E$5:E140,E140)=1,1,0))</f>
        <v/>
      </c>
      <c r="U140" s="30" t="n">
        <f aca="false">IF(C140="",0,IF(AND(B140="brand",E140="budget_probe",N(F140)&gt;=Inputs!$C$124,H140="Y"),1,0))</f>
        <v>0</v>
      </c>
      <c r="V140" s="30" t="n">
        <f aca="false">IF(U140=1,IF(COUNTIFS(C$5:C140,C140,U$5:U140,1)=1,1,0),0)</f>
        <v>0</v>
      </c>
      <c r="W140" s="30" t="n">
        <f aca="false">IF(C140="",0,IF(AND(B140="office",E140="budget_probe",N(F140)&gt;=Inputs!$C$139),1,0))</f>
        <v>0</v>
      </c>
      <c r="X140" s="30" t="n">
        <f aca="false">IF(W140=1,IF(COUNTIFS(C$5:C140,C140,W$5:W140,1)=1,1,0),0)</f>
        <v>0</v>
      </c>
      <c r="Y140" s="30" t="n">
        <f aca="false">IF(C140="",0,IF(AND(B140="brand",E140="renewal_answer",TRIM(G140)="yes",N(F140)&gt;=Inputs!$C$135),1,0))</f>
        <v>0</v>
      </c>
      <c r="Z140" s="30" t="n">
        <f aca="false">IF(Y140=1,IF(COUNTIFS(C$5:C140,C140,Y$5:Y140,1)=1,1,0),0)</f>
        <v>0</v>
      </c>
      <c r="AA140" s="30" t="n">
        <f aca="false">IF(AND(E140="budget_probe",ISNUMBER(F140),I140&lt;&gt;Lists!$X$4),1,0)</f>
        <v>0</v>
      </c>
      <c r="AB140" s="30" t="str">
        <f aca="false">IF(AND(B140="office",AA140=1,COUNTIFS(C$5:C140,C140,AA$5:AA140,1)=1),F140,"")</f>
        <v/>
      </c>
      <c r="AC140" s="30" t="str">
        <f aca="false">IF(AND(B140="brand",AA140=1,COUNTIFS(C$5:C140,C140,AA$5:AA140,1)=1),F140,"")</f>
        <v/>
      </c>
      <c r="AD140" s="30" t="str">
        <f aca="false">IF(AND(B140="brand",E140="budget_probe",ISNUMBER(F140),I140=Lists!$X$4),IF(COUNTIFS(C$5:C140,C140,E$5:E140,"budget_probe",I$5:I140,Lists!$X$4)=1,F140,""),"")</f>
        <v/>
      </c>
      <c r="AE140" s="30" t="n">
        <f aca="false">IF(AND(B140="brand",E140="paid",ISNUMBER(F140)),IF(AND(SUMIFS(F$5:F140,B$5:B140,"brand",C$5:C140,C140,E$5:E140,"paid")&gt;=Inputs!$C$44,SUMIFS(F$5:F140,B$5:B140,"brand",C$5:C140,C140,E$5:E140,"paid")-F140&lt;Inputs!$C$44),1,0),0)</f>
        <v>0</v>
      </c>
    </row>
    <row r="141" customFormat="false" ht="15" hidden="false" customHeight="false" outlineLevel="0" collapsed="false">
      <c r="A141" s="102"/>
      <c r="B141" s="103"/>
      <c r="C141" s="103"/>
      <c r="D141" s="103"/>
      <c r="E141" s="103"/>
      <c r="F141" s="103"/>
      <c r="G141" s="103"/>
      <c r="H141" s="103"/>
      <c r="I141" s="103"/>
      <c r="T141" s="30" t="str">
        <f aca="false">IF(C141="","",IF(COUNTIFS(C$5:C141,C141,E$5:E141,E141)=1,1,0))</f>
        <v/>
      </c>
      <c r="U141" s="30" t="n">
        <f aca="false">IF(C141="",0,IF(AND(B141="brand",E141="budget_probe",N(F141)&gt;=Inputs!$C$124,H141="Y"),1,0))</f>
        <v>0</v>
      </c>
      <c r="V141" s="30" t="n">
        <f aca="false">IF(U141=1,IF(COUNTIFS(C$5:C141,C141,U$5:U141,1)=1,1,0),0)</f>
        <v>0</v>
      </c>
      <c r="W141" s="30" t="n">
        <f aca="false">IF(C141="",0,IF(AND(B141="office",E141="budget_probe",N(F141)&gt;=Inputs!$C$139),1,0))</f>
        <v>0</v>
      </c>
      <c r="X141" s="30" t="n">
        <f aca="false">IF(W141=1,IF(COUNTIFS(C$5:C141,C141,W$5:W141,1)=1,1,0),0)</f>
        <v>0</v>
      </c>
      <c r="Y141" s="30" t="n">
        <f aca="false">IF(C141="",0,IF(AND(B141="brand",E141="renewal_answer",TRIM(G141)="yes",N(F141)&gt;=Inputs!$C$135),1,0))</f>
        <v>0</v>
      </c>
      <c r="Z141" s="30" t="n">
        <f aca="false">IF(Y141=1,IF(COUNTIFS(C$5:C141,C141,Y$5:Y141,1)=1,1,0),0)</f>
        <v>0</v>
      </c>
      <c r="AA141" s="30" t="n">
        <f aca="false">IF(AND(E141="budget_probe",ISNUMBER(F141),I141&lt;&gt;Lists!$X$4),1,0)</f>
        <v>0</v>
      </c>
      <c r="AB141" s="30" t="str">
        <f aca="false">IF(AND(B141="office",AA141=1,COUNTIFS(C$5:C141,C141,AA$5:AA141,1)=1),F141,"")</f>
        <v/>
      </c>
      <c r="AC141" s="30" t="str">
        <f aca="false">IF(AND(B141="brand",AA141=1,COUNTIFS(C$5:C141,C141,AA$5:AA141,1)=1),F141,"")</f>
        <v/>
      </c>
      <c r="AD141" s="30" t="str">
        <f aca="false">IF(AND(B141="brand",E141="budget_probe",ISNUMBER(F141),I141=Lists!$X$4),IF(COUNTIFS(C$5:C141,C141,E$5:E141,"budget_probe",I$5:I141,Lists!$X$4)=1,F141,""),"")</f>
        <v/>
      </c>
      <c r="AE141" s="30" t="n">
        <f aca="false">IF(AND(B141="brand",E141="paid",ISNUMBER(F141)),IF(AND(SUMIFS(F$5:F141,B$5:B141,"brand",C$5:C141,C141,E$5:E141,"paid")&gt;=Inputs!$C$44,SUMIFS(F$5:F141,B$5:B141,"brand",C$5:C141,C141,E$5:E141,"paid")-F141&lt;Inputs!$C$44),1,0),0)</f>
        <v>0</v>
      </c>
    </row>
    <row r="142" customFormat="false" ht="15" hidden="false" customHeight="false" outlineLevel="0" collapsed="false">
      <c r="A142" s="102"/>
      <c r="B142" s="103"/>
      <c r="C142" s="103"/>
      <c r="D142" s="103"/>
      <c r="E142" s="103"/>
      <c r="F142" s="103"/>
      <c r="G142" s="103"/>
      <c r="H142" s="103"/>
      <c r="I142" s="103"/>
      <c r="T142" s="30" t="str">
        <f aca="false">IF(C142="","",IF(COUNTIFS(C$5:C142,C142,E$5:E142,E142)=1,1,0))</f>
        <v/>
      </c>
      <c r="U142" s="30" t="n">
        <f aca="false">IF(C142="",0,IF(AND(B142="brand",E142="budget_probe",N(F142)&gt;=Inputs!$C$124,H142="Y"),1,0))</f>
        <v>0</v>
      </c>
      <c r="V142" s="30" t="n">
        <f aca="false">IF(U142=1,IF(COUNTIFS(C$5:C142,C142,U$5:U142,1)=1,1,0),0)</f>
        <v>0</v>
      </c>
      <c r="W142" s="30" t="n">
        <f aca="false">IF(C142="",0,IF(AND(B142="office",E142="budget_probe",N(F142)&gt;=Inputs!$C$139),1,0))</f>
        <v>0</v>
      </c>
      <c r="X142" s="30" t="n">
        <f aca="false">IF(W142=1,IF(COUNTIFS(C$5:C142,C142,W$5:W142,1)=1,1,0),0)</f>
        <v>0</v>
      </c>
      <c r="Y142" s="30" t="n">
        <f aca="false">IF(C142="",0,IF(AND(B142="brand",E142="renewal_answer",TRIM(G142)="yes",N(F142)&gt;=Inputs!$C$135),1,0))</f>
        <v>0</v>
      </c>
      <c r="Z142" s="30" t="n">
        <f aca="false">IF(Y142=1,IF(COUNTIFS(C$5:C142,C142,Y$5:Y142,1)=1,1,0),0)</f>
        <v>0</v>
      </c>
      <c r="AA142" s="30" t="n">
        <f aca="false">IF(AND(E142="budget_probe",ISNUMBER(F142),I142&lt;&gt;Lists!$X$4),1,0)</f>
        <v>0</v>
      </c>
      <c r="AB142" s="30" t="str">
        <f aca="false">IF(AND(B142="office",AA142=1,COUNTIFS(C$5:C142,C142,AA$5:AA142,1)=1),F142,"")</f>
        <v/>
      </c>
      <c r="AC142" s="30" t="str">
        <f aca="false">IF(AND(B142="brand",AA142=1,COUNTIFS(C$5:C142,C142,AA$5:AA142,1)=1),F142,"")</f>
        <v/>
      </c>
      <c r="AD142" s="30" t="str">
        <f aca="false">IF(AND(B142="brand",E142="budget_probe",ISNUMBER(F142),I142=Lists!$X$4),IF(COUNTIFS(C$5:C142,C142,E$5:E142,"budget_probe",I$5:I142,Lists!$X$4)=1,F142,""),"")</f>
        <v/>
      </c>
      <c r="AE142" s="30" t="n">
        <f aca="false">IF(AND(B142="brand",E142="paid",ISNUMBER(F142)),IF(AND(SUMIFS(F$5:F142,B$5:B142,"brand",C$5:C142,C142,E$5:E142,"paid")&gt;=Inputs!$C$44,SUMIFS(F$5:F142,B$5:B142,"brand",C$5:C142,C142,E$5:E142,"paid")-F142&lt;Inputs!$C$44),1,0),0)</f>
        <v>0</v>
      </c>
    </row>
    <row r="143" customFormat="false" ht="15" hidden="false" customHeight="false" outlineLevel="0" collapsed="false">
      <c r="A143" s="102"/>
      <c r="B143" s="103"/>
      <c r="C143" s="103"/>
      <c r="D143" s="103"/>
      <c r="E143" s="103"/>
      <c r="F143" s="103"/>
      <c r="G143" s="103"/>
      <c r="H143" s="103"/>
      <c r="I143" s="103"/>
      <c r="T143" s="30" t="str">
        <f aca="false">IF(C143="","",IF(COUNTIFS(C$5:C143,C143,E$5:E143,E143)=1,1,0))</f>
        <v/>
      </c>
      <c r="U143" s="30" t="n">
        <f aca="false">IF(C143="",0,IF(AND(B143="brand",E143="budget_probe",N(F143)&gt;=Inputs!$C$124,H143="Y"),1,0))</f>
        <v>0</v>
      </c>
      <c r="V143" s="30" t="n">
        <f aca="false">IF(U143=1,IF(COUNTIFS(C$5:C143,C143,U$5:U143,1)=1,1,0),0)</f>
        <v>0</v>
      </c>
      <c r="W143" s="30" t="n">
        <f aca="false">IF(C143="",0,IF(AND(B143="office",E143="budget_probe",N(F143)&gt;=Inputs!$C$139),1,0))</f>
        <v>0</v>
      </c>
      <c r="X143" s="30" t="n">
        <f aca="false">IF(W143=1,IF(COUNTIFS(C$5:C143,C143,W$5:W143,1)=1,1,0),0)</f>
        <v>0</v>
      </c>
      <c r="Y143" s="30" t="n">
        <f aca="false">IF(C143="",0,IF(AND(B143="brand",E143="renewal_answer",TRIM(G143)="yes",N(F143)&gt;=Inputs!$C$135),1,0))</f>
        <v>0</v>
      </c>
      <c r="Z143" s="30" t="n">
        <f aca="false">IF(Y143=1,IF(COUNTIFS(C$5:C143,C143,Y$5:Y143,1)=1,1,0),0)</f>
        <v>0</v>
      </c>
      <c r="AA143" s="30" t="n">
        <f aca="false">IF(AND(E143="budget_probe",ISNUMBER(F143),I143&lt;&gt;Lists!$X$4),1,0)</f>
        <v>0</v>
      </c>
      <c r="AB143" s="30" t="str">
        <f aca="false">IF(AND(B143="office",AA143=1,COUNTIFS(C$5:C143,C143,AA$5:AA143,1)=1),F143,"")</f>
        <v/>
      </c>
      <c r="AC143" s="30" t="str">
        <f aca="false">IF(AND(B143="brand",AA143=1,COUNTIFS(C$5:C143,C143,AA$5:AA143,1)=1),F143,"")</f>
        <v/>
      </c>
      <c r="AD143" s="30" t="str">
        <f aca="false">IF(AND(B143="brand",E143="budget_probe",ISNUMBER(F143),I143=Lists!$X$4),IF(COUNTIFS(C$5:C143,C143,E$5:E143,"budget_probe",I$5:I143,Lists!$X$4)=1,F143,""),"")</f>
        <v/>
      </c>
      <c r="AE143" s="30" t="n">
        <f aca="false">IF(AND(B143="brand",E143="paid",ISNUMBER(F143)),IF(AND(SUMIFS(F$5:F143,B$5:B143,"brand",C$5:C143,C143,E$5:E143,"paid")&gt;=Inputs!$C$44,SUMIFS(F$5:F143,B$5:B143,"brand",C$5:C143,C143,E$5:E143,"paid")-F143&lt;Inputs!$C$44),1,0),0)</f>
        <v>0</v>
      </c>
    </row>
    <row r="144" customFormat="false" ht="15" hidden="false" customHeight="false" outlineLevel="0" collapsed="false">
      <c r="A144" s="102"/>
      <c r="B144" s="103"/>
      <c r="C144" s="103"/>
      <c r="D144" s="103"/>
      <c r="E144" s="103"/>
      <c r="F144" s="103"/>
      <c r="G144" s="103"/>
      <c r="H144" s="103"/>
      <c r="I144" s="103"/>
      <c r="T144" s="30" t="str">
        <f aca="false">IF(C144="","",IF(COUNTIFS(C$5:C144,C144,E$5:E144,E144)=1,1,0))</f>
        <v/>
      </c>
      <c r="U144" s="30" t="n">
        <f aca="false">IF(C144="",0,IF(AND(B144="brand",E144="budget_probe",N(F144)&gt;=Inputs!$C$124,H144="Y"),1,0))</f>
        <v>0</v>
      </c>
      <c r="V144" s="30" t="n">
        <f aca="false">IF(U144=1,IF(COUNTIFS(C$5:C144,C144,U$5:U144,1)=1,1,0),0)</f>
        <v>0</v>
      </c>
      <c r="W144" s="30" t="n">
        <f aca="false">IF(C144="",0,IF(AND(B144="office",E144="budget_probe",N(F144)&gt;=Inputs!$C$139),1,0))</f>
        <v>0</v>
      </c>
      <c r="X144" s="30" t="n">
        <f aca="false">IF(W144=1,IF(COUNTIFS(C$5:C144,C144,W$5:W144,1)=1,1,0),0)</f>
        <v>0</v>
      </c>
      <c r="Y144" s="30" t="n">
        <f aca="false">IF(C144="",0,IF(AND(B144="brand",E144="renewal_answer",TRIM(G144)="yes",N(F144)&gt;=Inputs!$C$135),1,0))</f>
        <v>0</v>
      </c>
      <c r="Z144" s="30" t="n">
        <f aca="false">IF(Y144=1,IF(COUNTIFS(C$5:C144,C144,Y$5:Y144,1)=1,1,0),0)</f>
        <v>0</v>
      </c>
      <c r="AA144" s="30" t="n">
        <f aca="false">IF(AND(E144="budget_probe",ISNUMBER(F144),I144&lt;&gt;Lists!$X$4),1,0)</f>
        <v>0</v>
      </c>
      <c r="AB144" s="30" t="str">
        <f aca="false">IF(AND(B144="office",AA144=1,COUNTIFS(C$5:C144,C144,AA$5:AA144,1)=1),F144,"")</f>
        <v/>
      </c>
      <c r="AC144" s="30" t="str">
        <f aca="false">IF(AND(B144="brand",AA144=1,COUNTIFS(C$5:C144,C144,AA$5:AA144,1)=1),F144,"")</f>
        <v/>
      </c>
      <c r="AD144" s="30" t="str">
        <f aca="false">IF(AND(B144="brand",E144="budget_probe",ISNUMBER(F144),I144=Lists!$X$4),IF(COUNTIFS(C$5:C144,C144,E$5:E144,"budget_probe",I$5:I144,Lists!$X$4)=1,F144,""),"")</f>
        <v/>
      </c>
      <c r="AE144" s="30" t="n">
        <f aca="false">IF(AND(B144="brand",E144="paid",ISNUMBER(F144)),IF(AND(SUMIFS(F$5:F144,B$5:B144,"brand",C$5:C144,C144,E$5:E144,"paid")&gt;=Inputs!$C$44,SUMIFS(F$5:F144,B$5:B144,"brand",C$5:C144,C144,E$5:E144,"paid")-F144&lt;Inputs!$C$44),1,0),0)</f>
        <v>0</v>
      </c>
    </row>
    <row r="145" customFormat="false" ht="15" hidden="false" customHeight="false" outlineLevel="0" collapsed="false">
      <c r="A145" s="102"/>
      <c r="B145" s="103"/>
      <c r="C145" s="103"/>
      <c r="D145" s="103"/>
      <c r="E145" s="103"/>
      <c r="F145" s="103"/>
      <c r="G145" s="103"/>
      <c r="H145" s="103"/>
      <c r="I145" s="103"/>
      <c r="T145" s="30" t="str">
        <f aca="false">IF(C145="","",IF(COUNTIFS(C$5:C145,C145,E$5:E145,E145)=1,1,0))</f>
        <v/>
      </c>
      <c r="U145" s="30" t="n">
        <f aca="false">IF(C145="",0,IF(AND(B145="brand",E145="budget_probe",N(F145)&gt;=Inputs!$C$124,H145="Y"),1,0))</f>
        <v>0</v>
      </c>
      <c r="V145" s="30" t="n">
        <f aca="false">IF(U145=1,IF(COUNTIFS(C$5:C145,C145,U$5:U145,1)=1,1,0),0)</f>
        <v>0</v>
      </c>
      <c r="W145" s="30" t="n">
        <f aca="false">IF(C145="",0,IF(AND(B145="office",E145="budget_probe",N(F145)&gt;=Inputs!$C$139),1,0))</f>
        <v>0</v>
      </c>
      <c r="X145" s="30" t="n">
        <f aca="false">IF(W145=1,IF(COUNTIFS(C$5:C145,C145,W$5:W145,1)=1,1,0),0)</f>
        <v>0</v>
      </c>
      <c r="Y145" s="30" t="n">
        <f aca="false">IF(C145="",0,IF(AND(B145="brand",E145="renewal_answer",TRIM(G145)="yes",N(F145)&gt;=Inputs!$C$135),1,0))</f>
        <v>0</v>
      </c>
      <c r="Z145" s="30" t="n">
        <f aca="false">IF(Y145=1,IF(COUNTIFS(C$5:C145,C145,Y$5:Y145,1)=1,1,0),0)</f>
        <v>0</v>
      </c>
      <c r="AA145" s="30" t="n">
        <f aca="false">IF(AND(E145="budget_probe",ISNUMBER(F145),I145&lt;&gt;Lists!$X$4),1,0)</f>
        <v>0</v>
      </c>
      <c r="AB145" s="30" t="str">
        <f aca="false">IF(AND(B145="office",AA145=1,COUNTIFS(C$5:C145,C145,AA$5:AA145,1)=1),F145,"")</f>
        <v/>
      </c>
      <c r="AC145" s="30" t="str">
        <f aca="false">IF(AND(B145="brand",AA145=1,COUNTIFS(C$5:C145,C145,AA$5:AA145,1)=1),F145,"")</f>
        <v/>
      </c>
      <c r="AD145" s="30" t="str">
        <f aca="false">IF(AND(B145="brand",E145="budget_probe",ISNUMBER(F145),I145=Lists!$X$4),IF(COUNTIFS(C$5:C145,C145,E$5:E145,"budget_probe",I$5:I145,Lists!$X$4)=1,F145,""),"")</f>
        <v/>
      </c>
      <c r="AE145" s="30" t="n">
        <f aca="false">IF(AND(B145="brand",E145="paid",ISNUMBER(F145)),IF(AND(SUMIFS(F$5:F145,B$5:B145,"brand",C$5:C145,C145,E$5:E145,"paid")&gt;=Inputs!$C$44,SUMIFS(F$5:F145,B$5:B145,"brand",C$5:C145,C145,E$5:E145,"paid")-F145&lt;Inputs!$C$44),1,0),0)</f>
        <v>0</v>
      </c>
    </row>
    <row r="146" customFormat="false" ht="15" hidden="false" customHeight="false" outlineLevel="0" collapsed="false">
      <c r="A146" s="102"/>
      <c r="B146" s="103"/>
      <c r="C146" s="103"/>
      <c r="D146" s="103"/>
      <c r="E146" s="103"/>
      <c r="F146" s="103"/>
      <c r="G146" s="103"/>
      <c r="H146" s="103"/>
      <c r="I146" s="103"/>
      <c r="T146" s="30" t="str">
        <f aca="false">IF(C146="","",IF(COUNTIFS(C$5:C146,C146,E$5:E146,E146)=1,1,0))</f>
        <v/>
      </c>
      <c r="U146" s="30" t="n">
        <f aca="false">IF(C146="",0,IF(AND(B146="brand",E146="budget_probe",N(F146)&gt;=Inputs!$C$124,H146="Y"),1,0))</f>
        <v>0</v>
      </c>
      <c r="V146" s="30" t="n">
        <f aca="false">IF(U146=1,IF(COUNTIFS(C$5:C146,C146,U$5:U146,1)=1,1,0),0)</f>
        <v>0</v>
      </c>
      <c r="W146" s="30" t="n">
        <f aca="false">IF(C146="",0,IF(AND(B146="office",E146="budget_probe",N(F146)&gt;=Inputs!$C$139),1,0))</f>
        <v>0</v>
      </c>
      <c r="X146" s="30" t="n">
        <f aca="false">IF(W146=1,IF(COUNTIFS(C$5:C146,C146,W$5:W146,1)=1,1,0),0)</f>
        <v>0</v>
      </c>
      <c r="Y146" s="30" t="n">
        <f aca="false">IF(C146="",0,IF(AND(B146="brand",E146="renewal_answer",TRIM(G146)="yes",N(F146)&gt;=Inputs!$C$135),1,0))</f>
        <v>0</v>
      </c>
      <c r="Z146" s="30" t="n">
        <f aca="false">IF(Y146=1,IF(COUNTIFS(C$5:C146,C146,Y$5:Y146,1)=1,1,0),0)</f>
        <v>0</v>
      </c>
      <c r="AA146" s="30" t="n">
        <f aca="false">IF(AND(E146="budget_probe",ISNUMBER(F146),I146&lt;&gt;Lists!$X$4),1,0)</f>
        <v>0</v>
      </c>
      <c r="AB146" s="30" t="str">
        <f aca="false">IF(AND(B146="office",AA146=1,COUNTIFS(C$5:C146,C146,AA$5:AA146,1)=1),F146,"")</f>
        <v/>
      </c>
      <c r="AC146" s="30" t="str">
        <f aca="false">IF(AND(B146="brand",AA146=1,COUNTIFS(C$5:C146,C146,AA$5:AA146,1)=1),F146,"")</f>
        <v/>
      </c>
      <c r="AD146" s="30" t="str">
        <f aca="false">IF(AND(B146="brand",E146="budget_probe",ISNUMBER(F146),I146=Lists!$X$4),IF(COUNTIFS(C$5:C146,C146,E$5:E146,"budget_probe",I$5:I146,Lists!$X$4)=1,F146,""),"")</f>
        <v/>
      </c>
      <c r="AE146" s="30" t="n">
        <f aca="false">IF(AND(B146="brand",E146="paid",ISNUMBER(F146)),IF(AND(SUMIFS(F$5:F146,B$5:B146,"brand",C$5:C146,C146,E$5:E146,"paid")&gt;=Inputs!$C$44,SUMIFS(F$5:F146,B$5:B146,"brand",C$5:C146,C146,E$5:E146,"paid")-F146&lt;Inputs!$C$44),1,0),0)</f>
        <v>0</v>
      </c>
    </row>
    <row r="147" customFormat="false" ht="15" hidden="false" customHeight="false" outlineLevel="0" collapsed="false">
      <c r="A147" s="102"/>
      <c r="B147" s="103"/>
      <c r="C147" s="103"/>
      <c r="D147" s="103"/>
      <c r="E147" s="103"/>
      <c r="F147" s="103"/>
      <c r="G147" s="103"/>
      <c r="H147" s="103"/>
      <c r="I147" s="103"/>
      <c r="T147" s="30" t="str">
        <f aca="false">IF(C147="","",IF(COUNTIFS(C$5:C147,C147,E$5:E147,E147)=1,1,0))</f>
        <v/>
      </c>
      <c r="U147" s="30" t="n">
        <f aca="false">IF(C147="",0,IF(AND(B147="brand",E147="budget_probe",N(F147)&gt;=Inputs!$C$124,H147="Y"),1,0))</f>
        <v>0</v>
      </c>
      <c r="V147" s="30" t="n">
        <f aca="false">IF(U147=1,IF(COUNTIFS(C$5:C147,C147,U$5:U147,1)=1,1,0),0)</f>
        <v>0</v>
      </c>
      <c r="W147" s="30" t="n">
        <f aca="false">IF(C147="",0,IF(AND(B147="office",E147="budget_probe",N(F147)&gt;=Inputs!$C$139),1,0))</f>
        <v>0</v>
      </c>
      <c r="X147" s="30" t="n">
        <f aca="false">IF(W147=1,IF(COUNTIFS(C$5:C147,C147,W$5:W147,1)=1,1,0),0)</f>
        <v>0</v>
      </c>
      <c r="Y147" s="30" t="n">
        <f aca="false">IF(C147="",0,IF(AND(B147="brand",E147="renewal_answer",TRIM(G147)="yes",N(F147)&gt;=Inputs!$C$135),1,0))</f>
        <v>0</v>
      </c>
      <c r="Z147" s="30" t="n">
        <f aca="false">IF(Y147=1,IF(COUNTIFS(C$5:C147,C147,Y$5:Y147,1)=1,1,0),0)</f>
        <v>0</v>
      </c>
      <c r="AA147" s="30" t="n">
        <f aca="false">IF(AND(E147="budget_probe",ISNUMBER(F147),I147&lt;&gt;Lists!$X$4),1,0)</f>
        <v>0</v>
      </c>
      <c r="AB147" s="30" t="str">
        <f aca="false">IF(AND(B147="office",AA147=1,COUNTIFS(C$5:C147,C147,AA$5:AA147,1)=1),F147,"")</f>
        <v/>
      </c>
      <c r="AC147" s="30" t="str">
        <f aca="false">IF(AND(B147="brand",AA147=1,COUNTIFS(C$5:C147,C147,AA$5:AA147,1)=1),F147,"")</f>
        <v/>
      </c>
      <c r="AD147" s="30" t="str">
        <f aca="false">IF(AND(B147="brand",E147="budget_probe",ISNUMBER(F147),I147=Lists!$X$4),IF(COUNTIFS(C$5:C147,C147,E$5:E147,"budget_probe",I$5:I147,Lists!$X$4)=1,F147,""),"")</f>
        <v/>
      </c>
      <c r="AE147" s="30" t="n">
        <f aca="false">IF(AND(B147="brand",E147="paid",ISNUMBER(F147)),IF(AND(SUMIFS(F$5:F147,B$5:B147,"brand",C$5:C147,C147,E$5:E147,"paid")&gt;=Inputs!$C$44,SUMIFS(F$5:F147,B$5:B147,"brand",C$5:C147,C147,E$5:E147,"paid")-F147&lt;Inputs!$C$44),1,0),0)</f>
        <v>0</v>
      </c>
    </row>
    <row r="148" customFormat="false" ht="15" hidden="false" customHeight="false" outlineLevel="0" collapsed="false">
      <c r="A148" s="102"/>
      <c r="B148" s="103"/>
      <c r="C148" s="103"/>
      <c r="D148" s="103"/>
      <c r="E148" s="103"/>
      <c r="F148" s="103"/>
      <c r="G148" s="103"/>
      <c r="H148" s="103"/>
      <c r="I148" s="103"/>
      <c r="T148" s="30" t="str">
        <f aca="false">IF(C148="","",IF(COUNTIFS(C$5:C148,C148,E$5:E148,E148)=1,1,0))</f>
        <v/>
      </c>
      <c r="U148" s="30" t="n">
        <f aca="false">IF(C148="",0,IF(AND(B148="brand",E148="budget_probe",N(F148)&gt;=Inputs!$C$124,H148="Y"),1,0))</f>
        <v>0</v>
      </c>
      <c r="V148" s="30" t="n">
        <f aca="false">IF(U148=1,IF(COUNTIFS(C$5:C148,C148,U$5:U148,1)=1,1,0),0)</f>
        <v>0</v>
      </c>
      <c r="W148" s="30" t="n">
        <f aca="false">IF(C148="",0,IF(AND(B148="office",E148="budget_probe",N(F148)&gt;=Inputs!$C$139),1,0))</f>
        <v>0</v>
      </c>
      <c r="X148" s="30" t="n">
        <f aca="false">IF(W148=1,IF(COUNTIFS(C$5:C148,C148,W$5:W148,1)=1,1,0),0)</f>
        <v>0</v>
      </c>
      <c r="Y148" s="30" t="n">
        <f aca="false">IF(C148="",0,IF(AND(B148="brand",E148="renewal_answer",TRIM(G148)="yes",N(F148)&gt;=Inputs!$C$135),1,0))</f>
        <v>0</v>
      </c>
      <c r="Z148" s="30" t="n">
        <f aca="false">IF(Y148=1,IF(COUNTIFS(C$5:C148,C148,Y$5:Y148,1)=1,1,0),0)</f>
        <v>0</v>
      </c>
      <c r="AA148" s="30" t="n">
        <f aca="false">IF(AND(E148="budget_probe",ISNUMBER(F148),I148&lt;&gt;Lists!$X$4),1,0)</f>
        <v>0</v>
      </c>
      <c r="AB148" s="30" t="str">
        <f aca="false">IF(AND(B148="office",AA148=1,COUNTIFS(C$5:C148,C148,AA$5:AA148,1)=1),F148,"")</f>
        <v/>
      </c>
      <c r="AC148" s="30" t="str">
        <f aca="false">IF(AND(B148="brand",AA148=1,COUNTIFS(C$5:C148,C148,AA$5:AA148,1)=1),F148,"")</f>
        <v/>
      </c>
      <c r="AD148" s="30" t="str">
        <f aca="false">IF(AND(B148="brand",E148="budget_probe",ISNUMBER(F148),I148=Lists!$X$4),IF(COUNTIFS(C$5:C148,C148,E$5:E148,"budget_probe",I$5:I148,Lists!$X$4)=1,F148,""),"")</f>
        <v/>
      </c>
      <c r="AE148" s="30" t="n">
        <f aca="false">IF(AND(B148="brand",E148="paid",ISNUMBER(F148)),IF(AND(SUMIFS(F$5:F148,B$5:B148,"brand",C$5:C148,C148,E$5:E148,"paid")&gt;=Inputs!$C$44,SUMIFS(F$5:F148,B$5:B148,"brand",C$5:C148,C148,E$5:E148,"paid")-F148&lt;Inputs!$C$44),1,0),0)</f>
        <v>0</v>
      </c>
    </row>
    <row r="149" customFormat="false" ht="15" hidden="false" customHeight="false" outlineLevel="0" collapsed="false">
      <c r="A149" s="102"/>
      <c r="B149" s="103"/>
      <c r="C149" s="103"/>
      <c r="D149" s="103"/>
      <c r="E149" s="103"/>
      <c r="F149" s="103"/>
      <c r="G149" s="103"/>
      <c r="H149" s="103"/>
      <c r="I149" s="103"/>
      <c r="T149" s="30" t="str">
        <f aca="false">IF(C149="","",IF(COUNTIFS(C$5:C149,C149,E$5:E149,E149)=1,1,0))</f>
        <v/>
      </c>
      <c r="U149" s="30" t="n">
        <f aca="false">IF(C149="",0,IF(AND(B149="brand",E149="budget_probe",N(F149)&gt;=Inputs!$C$124,H149="Y"),1,0))</f>
        <v>0</v>
      </c>
      <c r="V149" s="30" t="n">
        <f aca="false">IF(U149=1,IF(COUNTIFS(C$5:C149,C149,U$5:U149,1)=1,1,0),0)</f>
        <v>0</v>
      </c>
      <c r="W149" s="30" t="n">
        <f aca="false">IF(C149="",0,IF(AND(B149="office",E149="budget_probe",N(F149)&gt;=Inputs!$C$139),1,0))</f>
        <v>0</v>
      </c>
      <c r="X149" s="30" t="n">
        <f aca="false">IF(W149=1,IF(COUNTIFS(C$5:C149,C149,W$5:W149,1)=1,1,0),0)</f>
        <v>0</v>
      </c>
      <c r="Y149" s="30" t="n">
        <f aca="false">IF(C149="",0,IF(AND(B149="brand",E149="renewal_answer",TRIM(G149)="yes",N(F149)&gt;=Inputs!$C$135),1,0))</f>
        <v>0</v>
      </c>
      <c r="Z149" s="30" t="n">
        <f aca="false">IF(Y149=1,IF(COUNTIFS(C$5:C149,C149,Y$5:Y149,1)=1,1,0),0)</f>
        <v>0</v>
      </c>
      <c r="AA149" s="30" t="n">
        <f aca="false">IF(AND(E149="budget_probe",ISNUMBER(F149),I149&lt;&gt;Lists!$X$4),1,0)</f>
        <v>0</v>
      </c>
      <c r="AB149" s="30" t="str">
        <f aca="false">IF(AND(B149="office",AA149=1,COUNTIFS(C$5:C149,C149,AA$5:AA149,1)=1),F149,"")</f>
        <v/>
      </c>
      <c r="AC149" s="30" t="str">
        <f aca="false">IF(AND(B149="brand",AA149=1,COUNTIFS(C$5:C149,C149,AA$5:AA149,1)=1),F149,"")</f>
        <v/>
      </c>
      <c r="AD149" s="30" t="str">
        <f aca="false">IF(AND(B149="brand",E149="budget_probe",ISNUMBER(F149),I149=Lists!$X$4),IF(COUNTIFS(C$5:C149,C149,E$5:E149,"budget_probe",I$5:I149,Lists!$X$4)=1,F149,""),"")</f>
        <v/>
      </c>
      <c r="AE149" s="30" t="n">
        <f aca="false">IF(AND(B149="brand",E149="paid",ISNUMBER(F149)),IF(AND(SUMIFS(F$5:F149,B$5:B149,"brand",C$5:C149,C149,E$5:E149,"paid")&gt;=Inputs!$C$44,SUMIFS(F$5:F149,B$5:B149,"brand",C$5:C149,C149,E$5:E149,"paid")-F149&lt;Inputs!$C$44),1,0),0)</f>
        <v>0</v>
      </c>
    </row>
    <row r="150" customFormat="false" ht="15" hidden="false" customHeight="false" outlineLevel="0" collapsed="false">
      <c r="A150" s="102"/>
      <c r="B150" s="103"/>
      <c r="C150" s="103"/>
      <c r="D150" s="103"/>
      <c r="E150" s="103"/>
      <c r="F150" s="103"/>
      <c r="G150" s="103"/>
      <c r="H150" s="103"/>
      <c r="I150" s="103"/>
      <c r="T150" s="30" t="str">
        <f aca="false">IF(C150="","",IF(COUNTIFS(C$5:C150,C150,E$5:E150,E150)=1,1,0))</f>
        <v/>
      </c>
      <c r="U150" s="30" t="n">
        <f aca="false">IF(C150="",0,IF(AND(B150="brand",E150="budget_probe",N(F150)&gt;=Inputs!$C$124,H150="Y"),1,0))</f>
        <v>0</v>
      </c>
      <c r="V150" s="30" t="n">
        <f aca="false">IF(U150=1,IF(COUNTIFS(C$5:C150,C150,U$5:U150,1)=1,1,0),0)</f>
        <v>0</v>
      </c>
      <c r="W150" s="30" t="n">
        <f aca="false">IF(C150="",0,IF(AND(B150="office",E150="budget_probe",N(F150)&gt;=Inputs!$C$139),1,0))</f>
        <v>0</v>
      </c>
      <c r="X150" s="30" t="n">
        <f aca="false">IF(W150=1,IF(COUNTIFS(C$5:C150,C150,W$5:W150,1)=1,1,0),0)</f>
        <v>0</v>
      </c>
      <c r="Y150" s="30" t="n">
        <f aca="false">IF(C150="",0,IF(AND(B150="brand",E150="renewal_answer",TRIM(G150)="yes",N(F150)&gt;=Inputs!$C$135),1,0))</f>
        <v>0</v>
      </c>
      <c r="Z150" s="30" t="n">
        <f aca="false">IF(Y150=1,IF(COUNTIFS(C$5:C150,C150,Y$5:Y150,1)=1,1,0),0)</f>
        <v>0</v>
      </c>
      <c r="AA150" s="30" t="n">
        <f aca="false">IF(AND(E150="budget_probe",ISNUMBER(F150),I150&lt;&gt;Lists!$X$4),1,0)</f>
        <v>0</v>
      </c>
      <c r="AB150" s="30" t="str">
        <f aca="false">IF(AND(B150="office",AA150=1,COUNTIFS(C$5:C150,C150,AA$5:AA150,1)=1),F150,"")</f>
        <v/>
      </c>
      <c r="AC150" s="30" t="str">
        <f aca="false">IF(AND(B150="brand",AA150=1,COUNTIFS(C$5:C150,C150,AA$5:AA150,1)=1),F150,"")</f>
        <v/>
      </c>
      <c r="AD150" s="30" t="str">
        <f aca="false">IF(AND(B150="brand",E150="budget_probe",ISNUMBER(F150),I150=Lists!$X$4),IF(COUNTIFS(C$5:C150,C150,E$5:E150,"budget_probe",I$5:I150,Lists!$X$4)=1,F150,""),"")</f>
        <v/>
      </c>
      <c r="AE150" s="30" t="n">
        <f aca="false">IF(AND(B150="brand",E150="paid",ISNUMBER(F150)),IF(AND(SUMIFS(F$5:F150,B$5:B150,"brand",C$5:C150,C150,E$5:E150,"paid")&gt;=Inputs!$C$44,SUMIFS(F$5:F150,B$5:B150,"brand",C$5:C150,C150,E$5:E150,"paid")-F150&lt;Inputs!$C$44),1,0),0)</f>
        <v>0</v>
      </c>
    </row>
    <row r="151" customFormat="false" ht="15" hidden="false" customHeight="false" outlineLevel="0" collapsed="false">
      <c r="A151" s="102"/>
      <c r="B151" s="103"/>
      <c r="C151" s="103"/>
      <c r="D151" s="103"/>
      <c r="E151" s="103"/>
      <c r="F151" s="103"/>
      <c r="G151" s="103"/>
      <c r="H151" s="103"/>
      <c r="I151" s="103"/>
      <c r="T151" s="30" t="str">
        <f aca="false">IF(C151="","",IF(COUNTIFS(C$5:C151,C151,E$5:E151,E151)=1,1,0))</f>
        <v/>
      </c>
      <c r="U151" s="30" t="n">
        <f aca="false">IF(C151="",0,IF(AND(B151="brand",E151="budget_probe",N(F151)&gt;=Inputs!$C$124,H151="Y"),1,0))</f>
        <v>0</v>
      </c>
      <c r="V151" s="30" t="n">
        <f aca="false">IF(U151=1,IF(COUNTIFS(C$5:C151,C151,U$5:U151,1)=1,1,0),0)</f>
        <v>0</v>
      </c>
      <c r="W151" s="30" t="n">
        <f aca="false">IF(C151="",0,IF(AND(B151="office",E151="budget_probe",N(F151)&gt;=Inputs!$C$139),1,0))</f>
        <v>0</v>
      </c>
      <c r="X151" s="30" t="n">
        <f aca="false">IF(W151=1,IF(COUNTIFS(C$5:C151,C151,W$5:W151,1)=1,1,0),0)</f>
        <v>0</v>
      </c>
      <c r="Y151" s="30" t="n">
        <f aca="false">IF(C151="",0,IF(AND(B151="brand",E151="renewal_answer",TRIM(G151)="yes",N(F151)&gt;=Inputs!$C$135),1,0))</f>
        <v>0</v>
      </c>
      <c r="Z151" s="30" t="n">
        <f aca="false">IF(Y151=1,IF(COUNTIFS(C$5:C151,C151,Y$5:Y151,1)=1,1,0),0)</f>
        <v>0</v>
      </c>
      <c r="AA151" s="30" t="n">
        <f aca="false">IF(AND(E151="budget_probe",ISNUMBER(F151),I151&lt;&gt;Lists!$X$4),1,0)</f>
        <v>0</v>
      </c>
      <c r="AB151" s="30" t="str">
        <f aca="false">IF(AND(B151="office",AA151=1,COUNTIFS(C$5:C151,C151,AA$5:AA151,1)=1),F151,"")</f>
        <v/>
      </c>
      <c r="AC151" s="30" t="str">
        <f aca="false">IF(AND(B151="brand",AA151=1,COUNTIFS(C$5:C151,C151,AA$5:AA151,1)=1),F151,"")</f>
        <v/>
      </c>
      <c r="AD151" s="30" t="str">
        <f aca="false">IF(AND(B151="brand",E151="budget_probe",ISNUMBER(F151),I151=Lists!$X$4),IF(COUNTIFS(C$5:C151,C151,E$5:E151,"budget_probe",I$5:I151,Lists!$X$4)=1,F151,""),"")</f>
        <v/>
      </c>
      <c r="AE151" s="30" t="n">
        <f aca="false">IF(AND(B151="brand",E151="paid",ISNUMBER(F151)),IF(AND(SUMIFS(F$5:F151,B$5:B151,"brand",C$5:C151,C151,E$5:E151,"paid")&gt;=Inputs!$C$44,SUMIFS(F$5:F151,B$5:B151,"brand",C$5:C151,C151,E$5:E151,"paid")-F151&lt;Inputs!$C$44),1,0),0)</f>
        <v>0</v>
      </c>
    </row>
    <row r="152" customFormat="false" ht="15" hidden="false" customHeight="false" outlineLevel="0" collapsed="false">
      <c r="A152" s="102"/>
      <c r="B152" s="103"/>
      <c r="C152" s="103"/>
      <c r="D152" s="103"/>
      <c r="E152" s="103"/>
      <c r="F152" s="103"/>
      <c r="G152" s="103"/>
      <c r="H152" s="103"/>
      <c r="I152" s="103"/>
      <c r="T152" s="30" t="str">
        <f aca="false">IF(C152="","",IF(COUNTIFS(C$5:C152,C152,E$5:E152,E152)=1,1,0))</f>
        <v/>
      </c>
      <c r="U152" s="30" t="n">
        <f aca="false">IF(C152="",0,IF(AND(B152="brand",E152="budget_probe",N(F152)&gt;=Inputs!$C$124,H152="Y"),1,0))</f>
        <v>0</v>
      </c>
      <c r="V152" s="30" t="n">
        <f aca="false">IF(U152=1,IF(COUNTIFS(C$5:C152,C152,U$5:U152,1)=1,1,0),0)</f>
        <v>0</v>
      </c>
      <c r="W152" s="30" t="n">
        <f aca="false">IF(C152="",0,IF(AND(B152="office",E152="budget_probe",N(F152)&gt;=Inputs!$C$139),1,0))</f>
        <v>0</v>
      </c>
      <c r="X152" s="30" t="n">
        <f aca="false">IF(W152=1,IF(COUNTIFS(C$5:C152,C152,W$5:W152,1)=1,1,0),0)</f>
        <v>0</v>
      </c>
      <c r="Y152" s="30" t="n">
        <f aca="false">IF(C152="",0,IF(AND(B152="brand",E152="renewal_answer",TRIM(G152)="yes",N(F152)&gt;=Inputs!$C$135),1,0))</f>
        <v>0</v>
      </c>
      <c r="Z152" s="30" t="n">
        <f aca="false">IF(Y152=1,IF(COUNTIFS(C$5:C152,C152,Y$5:Y152,1)=1,1,0),0)</f>
        <v>0</v>
      </c>
      <c r="AA152" s="30" t="n">
        <f aca="false">IF(AND(E152="budget_probe",ISNUMBER(F152),I152&lt;&gt;Lists!$X$4),1,0)</f>
        <v>0</v>
      </c>
      <c r="AB152" s="30" t="str">
        <f aca="false">IF(AND(B152="office",AA152=1,COUNTIFS(C$5:C152,C152,AA$5:AA152,1)=1),F152,"")</f>
        <v/>
      </c>
      <c r="AC152" s="30" t="str">
        <f aca="false">IF(AND(B152="brand",AA152=1,COUNTIFS(C$5:C152,C152,AA$5:AA152,1)=1),F152,"")</f>
        <v/>
      </c>
      <c r="AD152" s="30" t="str">
        <f aca="false">IF(AND(B152="brand",E152="budget_probe",ISNUMBER(F152),I152=Lists!$X$4),IF(COUNTIFS(C$5:C152,C152,E$5:E152,"budget_probe",I$5:I152,Lists!$X$4)=1,F152,""),"")</f>
        <v/>
      </c>
      <c r="AE152" s="30" t="n">
        <f aca="false">IF(AND(B152="brand",E152="paid",ISNUMBER(F152)),IF(AND(SUMIFS(F$5:F152,B$5:B152,"brand",C$5:C152,C152,E$5:E152,"paid")&gt;=Inputs!$C$44,SUMIFS(F$5:F152,B$5:B152,"brand",C$5:C152,C152,E$5:E152,"paid")-F152&lt;Inputs!$C$44),1,0),0)</f>
        <v>0</v>
      </c>
    </row>
    <row r="153" customFormat="false" ht="15" hidden="false" customHeight="false" outlineLevel="0" collapsed="false">
      <c r="A153" s="102"/>
      <c r="B153" s="103"/>
      <c r="C153" s="103"/>
      <c r="D153" s="103"/>
      <c r="E153" s="103"/>
      <c r="F153" s="103"/>
      <c r="G153" s="103"/>
      <c r="H153" s="103"/>
      <c r="I153" s="103"/>
      <c r="T153" s="30" t="str">
        <f aca="false">IF(C153="","",IF(COUNTIFS(C$5:C153,C153,E$5:E153,E153)=1,1,0))</f>
        <v/>
      </c>
      <c r="U153" s="30" t="n">
        <f aca="false">IF(C153="",0,IF(AND(B153="brand",E153="budget_probe",N(F153)&gt;=Inputs!$C$124,H153="Y"),1,0))</f>
        <v>0</v>
      </c>
      <c r="V153" s="30" t="n">
        <f aca="false">IF(U153=1,IF(COUNTIFS(C$5:C153,C153,U$5:U153,1)=1,1,0),0)</f>
        <v>0</v>
      </c>
      <c r="W153" s="30" t="n">
        <f aca="false">IF(C153="",0,IF(AND(B153="office",E153="budget_probe",N(F153)&gt;=Inputs!$C$139),1,0))</f>
        <v>0</v>
      </c>
      <c r="X153" s="30" t="n">
        <f aca="false">IF(W153=1,IF(COUNTIFS(C$5:C153,C153,W$5:W153,1)=1,1,0),0)</f>
        <v>0</v>
      </c>
      <c r="Y153" s="30" t="n">
        <f aca="false">IF(C153="",0,IF(AND(B153="brand",E153="renewal_answer",TRIM(G153)="yes",N(F153)&gt;=Inputs!$C$135),1,0))</f>
        <v>0</v>
      </c>
      <c r="Z153" s="30" t="n">
        <f aca="false">IF(Y153=1,IF(COUNTIFS(C$5:C153,C153,Y$5:Y153,1)=1,1,0),0)</f>
        <v>0</v>
      </c>
      <c r="AA153" s="30" t="n">
        <f aca="false">IF(AND(E153="budget_probe",ISNUMBER(F153),I153&lt;&gt;Lists!$X$4),1,0)</f>
        <v>0</v>
      </c>
      <c r="AB153" s="30" t="str">
        <f aca="false">IF(AND(B153="office",AA153=1,COUNTIFS(C$5:C153,C153,AA$5:AA153,1)=1),F153,"")</f>
        <v/>
      </c>
      <c r="AC153" s="30" t="str">
        <f aca="false">IF(AND(B153="brand",AA153=1,COUNTIFS(C$5:C153,C153,AA$5:AA153,1)=1),F153,"")</f>
        <v/>
      </c>
      <c r="AD153" s="30" t="str">
        <f aca="false">IF(AND(B153="brand",E153="budget_probe",ISNUMBER(F153),I153=Lists!$X$4),IF(COUNTIFS(C$5:C153,C153,E$5:E153,"budget_probe",I$5:I153,Lists!$X$4)=1,F153,""),"")</f>
        <v/>
      </c>
      <c r="AE153" s="30" t="n">
        <f aca="false">IF(AND(B153="brand",E153="paid",ISNUMBER(F153)),IF(AND(SUMIFS(F$5:F153,B$5:B153,"brand",C$5:C153,C153,E$5:E153,"paid")&gt;=Inputs!$C$44,SUMIFS(F$5:F153,B$5:B153,"brand",C$5:C153,C153,E$5:E153,"paid")-F153&lt;Inputs!$C$44),1,0),0)</f>
        <v>0</v>
      </c>
    </row>
    <row r="154" customFormat="false" ht="15" hidden="false" customHeight="false" outlineLevel="0" collapsed="false">
      <c r="A154" s="102"/>
      <c r="B154" s="103"/>
      <c r="C154" s="103"/>
      <c r="D154" s="103"/>
      <c r="E154" s="103"/>
      <c r="F154" s="103"/>
      <c r="G154" s="103"/>
      <c r="H154" s="103"/>
      <c r="I154" s="103"/>
      <c r="T154" s="30" t="str">
        <f aca="false">IF(C154="","",IF(COUNTIFS(C$5:C154,C154,E$5:E154,E154)=1,1,0))</f>
        <v/>
      </c>
      <c r="U154" s="30" t="n">
        <f aca="false">IF(C154="",0,IF(AND(B154="brand",E154="budget_probe",N(F154)&gt;=Inputs!$C$124,H154="Y"),1,0))</f>
        <v>0</v>
      </c>
      <c r="V154" s="30" t="n">
        <f aca="false">IF(U154=1,IF(COUNTIFS(C$5:C154,C154,U$5:U154,1)=1,1,0),0)</f>
        <v>0</v>
      </c>
      <c r="W154" s="30" t="n">
        <f aca="false">IF(C154="",0,IF(AND(B154="office",E154="budget_probe",N(F154)&gt;=Inputs!$C$139),1,0))</f>
        <v>0</v>
      </c>
      <c r="X154" s="30" t="n">
        <f aca="false">IF(W154=1,IF(COUNTIFS(C$5:C154,C154,W$5:W154,1)=1,1,0),0)</f>
        <v>0</v>
      </c>
      <c r="Y154" s="30" t="n">
        <f aca="false">IF(C154="",0,IF(AND(B154="brand",E154="renewal_answer",TRIM(G154)="yes",N(F154)&gt;=Inputs!$C$135),1,0))</f>
        <v>0</v>
      </c>
      <c r="Z154" s="30" t="n">
        <f aca="false">IF(Y154=1,IF(COUNTIFS(C$5:C154,C154,Y$5:Y154,1)=1,1,0),0)</f>
        <v>0</v>
      </c>
      <c r="AA154" s="30" t="n">
        <f aca="false">IF(AND(E154="budget_probe",ISNUMBER(F154),I154&lt;&gt;Lists!$X$4),1,0)</f>
        <v>0</v>
      </c>
      <c r="AB154" s="30" t="str">
        <f aca="false">IF(AND(B154="office",AA154=1,COUNTIFS(C$5:C154,C154,AA$5:AA154,1)=1),F154,"")</f>
        <v/>
      </c>
      <c r="AC154" s="30" t="str">
        <f aca="false">IF(AND(B154="brand",AA154=1,COUNTIFS(C$5:C154,C154,AA$5:AA154,1)=1),F154,"")</f>
        <v/>
      </c>
      <c r="AD154" s="30" t="str">
        <f aca="false">IF(AND(B154="brand",E154="budget_probe",ISNUMBER(F154),I154=Lists!$X$4),IF(COUNTIFS(C$5:C154,C154,E$5:E154,"budget_probe",I$5:I154,Lists!$X$4)=1,F154,""),"")</f>
        <v/>
      </c>
      <c r="AE154" s="30" t="n">
        <f aca="false">IF(AND(B154="brand",E154="paid",ISNUMBER(F154)),IF(AND(SUMIFS(F$5:F154,B$5:B154,"brand",C$5:C154,C154,E$5:E154,"paid")&gt;=Inputs!$C$44,SUMIFS(F$5:F154,B$5:B154,"brand",C$5:C154,C154,E$5:E154,"paid")-F154&lt;Inputs!$C$44),1,0),0)</f>
        <v>0</v>
      </c>
    </row>
    <row r="155" customFormat="false" ht="15" hidden="false" customHeight="false" outlineLevel="0" collapsed="false">
      <c r="A155" s="102"/>
      <c r="B155" s="103"/>
      <c r="C155" s="103"/>
      <c r="D155" s="103"/>
      <c r="E155" s="103"/>
      <c r="F155" s="103"/>
      <c r="G155" s="103"/>
      <c r="H155" s="103"/>
      <c r="I155" s="103"/>
      <c r="T155" s="30" t="str">
        <f aca="false">IF(C155="","",IF(COUNTIFS(C$5:C155,C155,E$5:E155,E155)=1,1,0))</f>
        <v/>
      </c>
      <c r="U155" s="30" t="n">
        <f aca="false">IF(C155="",0,IF(AND(B155="brand",E155="budget_probe",N(F155)&gt;=Inputs!$C$124,H155="Y"),1,0))</f>
        <v>0</v>
      </c>
      <c r="V155" s="30" t="n">
        <f aca="false">IF(U155=1,IF(COUNTIFS(C$5:C155,C155,U$5:U155,1)=1,1,0),0)</f>
        <v>0</v>
      </c>
      <c r="W155" s="30" t="n">
        <f aca="false">IF(C155="",0,IF(AND(B155="office",E155="budget_probe",N(F155)&gt;=Inputs!$C$139),1,0))</f>
        <v>0</v>
      </c>
      <c r="X155" s="30" t="n">
        <f aca="false">IF(W155=1,IF(COUNTIFS(C$5:C155,C155,W$5:W155,1)=1,1,0),0)</f>
        <v>0</v>
      </c>
      <c r="Y155" s="30" t="n">
        <f aca="false">IF(C155="",0,IF(AND(B155="brand",E155="renewal_answer",TRIM(G155)="yes",N(F155)&gt;=Inputs!$C$135),1,0))</f>
        <v>0</v>
      </c>
      <c r="Z155" s="30" t="n">
        <f aca="false">IF(Y155=1,IF(COUNTIFS(C$5:C155,C155,Y$5:Y155,1)=1,1,0),0)</f>
        <v>0</v>
      </c>
      <c r="AA155" s="30" t="n">
        <f aca="false">IF(AND(E155="budget_probe",ISNUMBER(F155),I155&lt;&gt;Lists!$X$4),1,0)</f>
        <v>0</v>
      </c>
      <c r="AB155" s="30" t="str">
        <f aca="false">IF(AND(B155="office",AA155=1,COUNTIFS(C$5:C155,C155,AA$5:AA155,1)=1),F155,"")</f>
        <v/>
      </c>
      <c r="AC155" s="30" t="str">
        <f aca="false">IF(AND(B155="brand",AA155=1,COUNTIFS(C$5:C155,C155,AA$5:AA155,1)=1),F155,"")</f>
        <v/>
      </c>
      <c r="AD155" s="30" t="str">
        <f aca="false">IF(AND(B155="brand",E155="budget_probe",ISNUMBER(F155),I155=Lists!$X$4),IF(COUNTIFS(C$5:C155,C155,E$5:E155,"budget_probe",I$5:I155,Lists!$X$4)=1,F155,""),"")</f>
        <v/>
      </c>
      <c r="AE155" s="30" t="n">
        <f aca="false">IF(AND(B155="brand",E155="paid",ISNUMBER(F155)),IF(AND(SUMIFS(F$5:F155,B$5:B155,"brand",C$5:C155,C155,E$5:E155,"paid")&gt;=Inputs!$C$44,SUMIFS(F$5:F155,B$5:B155,"brand",C$5:C155,C155,E$5:E155,"paid")-F155&lt;Inputs!$C$44),1,0),0)</f>
        <v>0</v>
      </c>
    </row>
    <row r="156" customFormat="false" ht="15" hidden="false" customHeight="false" outlineLevel="0" collapsed="false">
      <c r="A156" s="102"/>
      <c r="B156" s="103"/>
      <c r="C156" s="103"/>
      <c r="D156" s="103"/>
      <c r="E156" s="103"/>
      <c r="F156" s="103"/>
      <c r="G156" s="103"/>
      <c r="H156" s="103"/>
      <c r="I156" s="103"/>
      <c r="T156" s="30" t="str">
        <f aca="false">IF(C156="","",IF(COUNTIFS(C$5:C156,C156,E$5:E156,E156)=1,1,0))</f>
        <v/>
      </c>
      <c r="U156" s="30" t="n">
        <f aca="false">IF(C156="",0,IF(AND(B156="brand",E156="budget_probe",N(F156)&gt;=Inputs!$C$124,H156="Y"),1,0))</f>
        <v>0</v>
      </c>
      <c r="V156" s="30" t="n">
        <f aca="false">IF(U156=1,IF(COUNTIFS(C$5:C156,C156,U$5:U156,1)=1,1,0),0)</f>
        <v>0</v>
      </c>
      <c r="W156" s="30" t="n">
        <f aca="false">IF(C156="",0,IF(AND(B156="office",E156="budget_probe",N(F156)&gt;=Inputs!$C$139),1,0))</f>
        <v>0</v>
      </c>
      <c r="X156" s="30" t="n">
        <f aca="false">IF(W156=1,IF(COUNTIFS(C$5:C156,C156,W$5:W156,1)=1,1,0),0)</f>
        <v>0</v>
      </c>
      <c r="Y156" s="30" t="n">
        <f aca="false">IF(C156="",0,IF(AND(B156="brand",E156="renewal_answer",TRIM(G156)="yes",N(F156)&gt;=Inputs!$C$135),1,0))</f>
        <v>0</v>
      </c>
      <c r="Z156" s="30" t="n">
        <f aca="false">IF(Y156=1,IF(COUNTIFS(C$5:C156,C156,Y$5:Y156,1)=1,1,0),0)</f>
        <v>0</v>
      </c>
      <c r="AA156" s="30" t="n">
        <f aca="false">IF(AND(E156="budget_probe",ISNUMBER(F156),I156&lt;&gt;Lists!$X$4),1,0)</f>
        <v>0</v>
      </c>
      <c r="AB156" s="30" t="str">
        <f aca="false">IF(AND(B156="office",AA156=1,COUNTIFS(C$5:C156,C156,AA$5:AA156,1)=1),F156,"")</f>
        <v/>
      </c>
      <c r="AC156" s="30" t="str">
        <f aca="false">IF(AND(B156="brand",AA156=1,COUNTIFS(C$5:C156,C156,AA$5:AA156,1)=1),F156,"")</f>
        <v/>
      </c>
      <c r="AD156" s="30" t="str">
        <f aca="false">IF(AND(B156="brand",E156="budget_probe",ISNUMBER(F156),I156=Lists!$X$4),IF(COUNTIFS(C$5:C156,C156,E$5:E156,"budget_probe",I$5:I156,Lists!$X$4)=1,F156,""),"")</f>
        <v/>
      </c>
      <c r="AE156" s="30" t="n">
        <f aca="false">IF(AND(B156="brand",E156="paid",ISNUMBER(F156)),IF(AND(SUMIFS(F$5:F156,B$5:B156,"brand",C$5:C156,C156,E$5:E156,"paid")&gt;=Inputs!$C$44,SUMIFS(F$5:F156,B$5:B156,"brand",C$5:C156,C156,E$5:E156,"paid")-F156&lt;Inputs!$C$44),1,0),0)</f>
        <v>0</v>
      </c>
    </row>
    <row r="157" customFormat="false" ht="15" hidden="false" customHeight="false" outlineLevel="0" collapsed="false">
      <c r="A157" s="102"/>
      <c r="B157" s="103"/>
      <c r="C157" s="103"/>
      <c r="D157" s="103"/>
      <c r="E157" s="103"/>
      <c r="F157" s="103"/>
      <c r="G157" s="103"/>
      <c r="H157" s="103"/>
      <c r="I157" s="103"/>
      <c r="T157" s="30" t="str">
        <f aca="false">IF(C157="","",IF(COUNTIFS(C$5:C157,C157,E$5:E157,E157)=1,1,0))</f>
        <v/>
      </c>
      <c r="U157" s="30" t="n">
        <f aca="false">IF(C157="",0,IF(AND(B157="brand",E157="budget_probe",N(F157)&gt;=Inputs!$C$124,H157="Y"),1,0))</f>
        <v>0</v>
      </c>
      <c r="V157" s="30" t="n">
        <f aca="false">IF(U157=1,IF(COUNTIFS(C$5:C157,C157,U$5:U157,1)=1,1,0),0)</f>
        <v>0</v>
      </c>
      <c r="W157" s="30" t="n">
        <f aca="false">IF(C157="",0,IF(AND(B157="office",E157="budget_probe",N(F157)&gt;=Inputs!$C$139),1,0))</f>
        <v>0</v>
      </c>
      <c r="X157" s="30" t="n">
        <f aca="false">IF(W157=1,IF(COUNTIFS(C$5:C157,C157,W$5:W157,1)=1,1,0),0)</f>
        <v>0</v>
      </c>
      <c r="Y157" s="30" t="n">
        <f aca="false">IF(C157="",0,IF(AND(B157="brand",E157="renewal_answer",TRIM(G157)="yes",N(F157)&gt;=Inputs!$C$135),1,0))</f>
        <v>0</v>
      </c>
      <c r="Z157" s="30" t="n">
        <f aca="false">IF(Y157=1,IF(COUNTIFS(C$5:C157,C157,Y$5:Y157,1)=1,1,0),0)</f>
        <v>0</v>
      </c>
      <c r="AA157" s="30" t="n">
        <f aca="false">IF(AND(E157="budget_probe",ISNUMBER(F157),I157&lt;&gt;Lists!$X$4),1,0)</f>
        <v>0</v>
      </c>
      <c r="AB157" s="30" t="str">
        <f aca="false">IF(AND(B157="office",AA157=1,COUNTIFS(C$5:C157,C157,AA$5:AA157,1)=1),F157,"")</f>
        <v/>
      </c>
      <c r="AC157" s="30" t="str">
        <f aca="false">IF(AND(B157="brand",AA157=1,COUNTIFS(C$5:C157,C157,AA$5:AA157,1)=1),F157,"")</f>
        <v/>
      </c>
      <c r="AD157" s="30" t="str">
        <f aca="false">IF(AND(B157="brand",E157="budget_probe",ISNUMBER(F157),I157=Lists!$X$4),IF(COUNTIFS(C$5:C157,C157,E$5:E157,"budget_probe",I$5:I157,Lists!$X$4)=1,F157,""),"")</f>
        <v/>
      </c>
      <c r="AE157" s="30" t="n">
        <f aca="false">IF(AND(B157="brand",E157="paid",ISNUMBER(F157)),IF(AND(SUMIFS(F$5:F157,B$5:B157,"brand",C$5:C157,C157,E$5:E157,"paid")&gt;=Inputs!$C$44,SUMIFS(F$5:F157,B$5:B157,"brand",C$5:C157,C157,E$5:E157,"paid")-F157&lt;Inputs!$C$44),1,0),0)</f>
        <v>0</v>
      </c>
    </row>
    <row r="158" customFormat="false" ht="15" hidden="false" customHeight="false" outlineLevel="0" collapsed="false">
      <c r="A158" s="102"/>
      <c r="B158" s="103"/>
      <c r="C158" s="103"/>
      <c r="D158" s="103"/>
      <c r="E158" s="103"/>
      <c r="F158" s="103"/>
      <c r="G158" s="103"/>
      <c r="H158" s="103"/>
      <c r="I158" s="103"/>
      <c r="T158" s="30" t="str">
        <f aca="false">IF(C158="","",IF(COUNTIFS(C$5:C158,C158,E$5:E158,E158)=1,1,0))</f>
        <v/>
      </c>
      <c r="U158" s="30" t="n">
        <f aca="false">IF(C158="",0,IF(AND(B158="brand",E158="budget_probe",N(F158)&gt;=Inputs!$C$124,H158="Y"),1,0))</f>
        <v>0</v>
      </c>
      <c r="V158" s="30" t="n">
        <f aca="false">IF(U158=1,IF(COUNTIFS(C$5:C158,C158,U$5:U158,1)=1,1,0),0)</f>
        <v>0</v>
      </c>
      <c r="W158" s="30" t="n">
        <f aca="false">IF(C158="",0,IF(AND(B158="office",E158="budget_probe",N(F158)&gt;=Inputs!$C$139),1,0))</f>
        <v>0</v>
      </c>
      <c r="X158" s="30" t="n">
        <f aca="false">IF(W158=1,IF(COUNTIFS(C$5:C158,C158,W$5:W158,1)=1,1,0),0)</f>
        <v>0</v>
      </c>
      <c r="Y158" s="30" t="n">
        <f aca="false">IF(C158="",0,IF(AND(B158="brand",E158="renewal_answer",TRIM(G158)="yes",N(F158)&gt;=Inputs!$C$135),1,0))</f>
        <v>0</v>
      </c>
      <c r="Z158" s="30" t="n">
        <f aca="false">IF(Y158=1,IF(COUNTIFS(C$5:C158,C158,Y$5:Y158,1)=1,1,0),0)</f>
        <v>0</v>
      </c>
      <c r="AA158" s="30" t="n">
        <f aca="false">IF(AND(E158="budget_probe",ISNUMBER(F158),I158&lt;&gt;Lists!$X$4),1,0)</f>
        <v>0</v>
      </c>
      <c r="AB158" s="30" t="str">
        <f aca="false">IF(AND(B158="office",AA158=1,COUNTIFS(C$5:C158,C158,AA$5:AA158,1)=1),F158,"")</f>
        <v/>
      </c>
      <c r="AC158" s="30" t="str">
        <f aca="false">IF(AND(B158="brand",AA158=1,COUNTIFS(C$5:C158,C158,AA$5:AA158,1)=1),F158,"")</f>
        <v/>
      </c>
      <c r="AD158" s="30" t="str">
        <f aca="false">IF(AND(B158="brand",E158="budget_probe",ISNUMBER(F158),I158=Lists!$X$4),IF(COUNTIFS(C$5:C158,C158,E$5:E158,"budget_probe",I$5:I158,Lists!$X$4)=1,F158,""),"")</f>
        <v/>
      </c>
      <c r="AE158" s="30" t="n">
        <f aca="false">IF(AND(B158="brand",E158="paid",ISNUMBER(F158)),IF(AND(SUMIFS(F$5:F158,B$5:B158,"brand",C$5:C158,C158,E$5:E158,"paid")&gt;=Inputs!$C$44,SUMIFS(F$5:F158,B$5:B158,"brand",C$5:C158,C158,E$5:E158,"paid")-F158&lt;Inputs!$C$44),1,0),0)</f>
        <v>0</v>
      </c>
    </row>
    <row r="159" customFormat="false" ht="15" hidden="false" customHeight="false" outlineLevel="0" collapsed="false">
      <c r="A159" s="102"/>
      <c r="B159" s="103"/>
      <c r="C159" s="103"/>
      <c r="D159" s="103"/>
      <c r="E159" s="103"/>
      <c r="F159" s="103"/>
      <c r="G159" s="103"/>
      <c r="H159" s="103"/>
      <c r="I159" s="103"/>
      <c r="T159" s="30" t="str">
        <f aca="false">IF(C159="","",IF(COUNTIFS(C$5:C159,C159,E$5:E159,E159)=1,1,0))</f>
        <v/>
      </c>
      <c r="U159" s="30" t="n">
        <f aca="false">IF(C159="",0,IF(AND(B159="brand",E159="budget_probe",N(F159)&gt;=Inputs!$C$124,H159="Y"),1,0))</f>
        <v>0</v>
      </c>
      <c r="V159" s="30" t="n">
        <f aca="false">IF(U159=1,IF(COUNTIFS(C$5:C159,C159,U$5:U159,1)=1,1,0),0)</f>
        <v>0</v>
      </c>
      <c r="W159" s="30" t="n">
        <f aca="false">IF(C159="",0,IF(AND(B159="office",E159="budget_probe",N(F159)&gt;=Inputs!$C$139),1,0))</f>
        <v>0</v>
      </c>
      <c r="X159" s="30" t="n">
        <f aca="false">IF(W159=1,IF(COUNTIFS(C$5:C159,C159,W$5:W159,1)=1,1,0),0)</f>
        <v>0</v>
      </c>
      <c r="Y159" s="30" t="n">
        <f aca="false">IF(C159="",0,IF(AND(B159="brand",E159="renewal_answer",TRIM(G159)="yes",N(F159)&gt;=Inputs!$C$135),1,0))</f>
        <v>0</v>
      </c>
      <c r="Z159" s="30" t="n">
        <f aca="false">IF(Y159=1,IF(COUNTIFS(C$5:C159,C159,Y$5:Y159,1)=1,1,0),0)</f>
        <v>0</v>
      </c>
      <c r="AA159" s="30" t="n">
        <f aca="false">IF(AND(E159="budget_probe",ISNUMBER(F159),I159&lt;&gt;Lists!$X$4),1,0)</f>
        <v>0</v>
      </c>
      <c r="AB159" s="30" t="str">
        <f aca="false">IF(AND(B159="office",AA159=1,COUNTIFS(C$5:C159,C159,AA$5:AA159,1)=1),F159,"")</f>
        <v/>
      </c>
      <c r="AC159" s="30" t="str">
        <f aca="false">IF(AND(B159="brand",AA159=1,COUNTIFS(C$5:C159,C159,AA$5:AA159,1)=1),F159,"")</f>
        <v/>
      </c>
      <c r="AD159" s="30" t="str">
        <f aca="false">IF(AND(B159="brand",E159="budget_probe",ISNUMBER(F159),I159=Lists!$X$4),IF(COUNTIFS(C$5:C159,C159,E$5:E159,"budget_probe",I$5:I159,Lists!$X$4)=1,F159,""),"")</f>
        <v/>
      </c>
      <c r="AE159" s="30" t="n">
        <f aca="false">IF(AND(B159="brand",E159="paid",ISNUMBER(F159)),IF(AND(SUMIFS(F$5:F159,B$5:B159,"brand",C$5:C159,C159,E$5:E159,"paid")&gt;=Inputs!$C$44,SUMIFS(F$5:F159,B$5:B159,"brand",C$5:C159,C159,E$5:E159,"paid")-F159&lt;Inputs!$C$44),1,0),0)</f>
        <v>0</v>
      </c>
    </row>
    <row r="160" customFormat="false" ht="15" hidden="false" customHeight="false" outlineLevel="0" collapsed="false">
      <c r="A160" s="102"/>
      <c r="B160" s="103"/>
      <c r="C160" s="103"/>
      <c r="D160" s="103"/>
      <c r="E160" s="103"/>
      <c r="F160" s="103"/>
      <c r="G160" s="103"/>
      <c r="H160" s="103"/>
      <c r="I160" s="103"/>
      <c r="T160" s="30" t="str">
        <f aca="false">IF(C160="","",IF(COUNTIFS(C$5:C160,C160,E$5:E160,E160)=1,1,0))</f>
        <v/>
      </c>
      <c r="U160" s="30" t="n">
        <f aca="false">IF(C160="",0,IF(AND(B160="brand",E160="budget_probe",N(F160)&gt;=Inputs!$C$124,H160="Y"),1,0))</f>
        <v>0</v>
      </c>
      <c r="V160" s="30" t="n">
        <f aca="false">IF(U160=1,IF(COUNTIFS(C$5:C160,C160,U$5:U160,1)=1,1,0),0)</f>
        <v>0</v>
      </c>
      <c r="W160" s="30" t="n">
        <f aca="false">IF(C160="",0,IF(AND(B160="office",E160="budget_probe",N(F160)&gt;=Inputs!$C$139),1,0))</f>
        <v>0</v>
      </c>
      <c r="X160" s="30" t="n">
        <f aca="false">IF(W160=1,IF(COUNTIFS(C$5:C160,C160,W$5:W160,1)=1,1,0),0)</f>
        <v>0</v>
      </c>
      <c r="Y160" s="30" t="n">
        <f aca="false">IF(C160="",0,IF(AND(B160="brand",E160="renewal_answer",TRIM(G160)="yes",N(F160)&gt;=Inputs!$C$135),1,0))</f>
        <v>0</v>
      </c>
      <c r="Z160" s="30" t="n">
        <f aca="false">IF(Y160=1,IF(COUNTIFS(C$5:C160,C160,Y$5:Y160,1)=1,1,0),0)</f>
        <v>0</v>
      </c>
      <c r="AA160" s="30" t="n">
        <f aca="false">IF(AND(E160="budget_probe",ISNUMBER(F160),I160&lt;&gt;Lists!$X$4),1,0)</f>
        <v>0</v>
      </c>
      <c r="AB160" s="30" t="str">
        <f aca="false">IF(AND(B160="office",AA160=1,COUNTIFS(C$5:C160,C160,AA$5:AA160,1)=1),F160,"")</f>
        <v/>
      </c>
      <c r="AC160" s="30" t="str">
        <f aca="false">IF(AND(B160="brand",AA160=1,COUNTIFS(C$5:C160,C160,AA$5:AA160,1)=1),F160,"")</f>
        <v/>
      </c>
      <c r="AD160" s="30" t="str">
        <f aca="false">IF(AND(B160="brand",E160="budget_probe",ISNUMBER(F160),I160=Lists!$X$4),IF(COUNTIFS(C$5:C160,C160,E$5:E160,"budget_probe",I$5:I160,Lists!$X$4)=1,F160,""),"")</f>
        <v/>
      </c>
      <c r="AE160" s="30" t="n">
        <f aca="false">IF(AND(B160="brand",E160="paid",ISNUMBER(F160)),IF(AND(SUMIFS(F$5:F160,B$5:B160,"brand",C$5:C160,C160,E$5:E160,"paid")&gt;=Inputs!$C$44,SUMIFS(F$5:F160,B$5:B160,"brand",C$5:C160,C160,E$5:E160,"paid")-F160&lt;Inputs!$C$44),1,0),0)</f>
        <v>0</v>
      </c>
    </row>
    <row r="161" customFormat="false" ht="15" hidden="false" customHeight="false" outlineLevel="0" collapsed="false">
      <c r="A161" s="102"/>
      <c r="B161" s="103"/>
      <c r="C161" s="103"/>
      <c r="D161" s="103"/>
      <c r="E161" s="103"/>
      <c r="F161" s="103"/>
      <c r="G161" s="103"/>
      <c r="H161" s="103"/>
      <c r="I161" s="103"/>
      <c r="T161" s="30" t="str">
        <f aca="false">IF(C161="","",IF(COUNTIFS(C$5:C161,C161,E$5:E161,E161)=1,1,0))</f>
        <v/>
      </c>
      <c r="U161" s="30" t="n">
        <f aca="false">IF(C161="",0,IF(AND(B161="brand",E161="budget_probe",N(F161)&gt;=Inputs!$C$124,H161="Y"),1,0))</f>
        <v>0</v>
      </c>
      <c r="V161" s="30" t="n">
        <f aca="false">IF(U161=1,IF(COUNTIFS(C$5:C161,C161,U$5:U161,1)=1,1,0),0)</f>
        <v>0</v>
      </c>
      <c r="W161" s="30" t="n">
        <f aca="false">IF(C161="",0,IF(AND(B161="office",E161="budget_probe",N(F161)&gt;=Inputs!$C$139),1,0))</f>
        <v>0</v>
      </c>
      <c r="X161" s="30" t="n">
        <f aca="false">IF(W161=1,IF(COUNTIFS(C$5:C161,C161,W$5:W161,1)=1,1,0),0)</f>
        <v>0</v>
      </c>
      <c r="Y161" s="30" t="n">
        <f aca="false">IF(C161="",0,IF(AND(B161="brand",E161="renewal_answer",TRIM(G161)="yes",N(F161)&gt;=Inputs!$C$135),1,0))</f>
        <v>0</v>
      </c>
      <c r="Z161" s="30" t="n">
        <f aca="false">IF(Y161=1,IF(COUNTIFS(C$5:C161,C161,Y$5:Y161,1)=1,1,0),0)</f>
        <v>0</v>
      </c>
      <c r="AA161" s="30" t="n">
        <f aca="false">IF(AND(E161="budget_probe",ISNUMBER(F161),I161&lt;&gt;Lists!$X$4),1,0)</f>
        <v>0</v>
      </c>
      <c r="AB161" s="30" t="str">
        <f aca="false">IF(AND(B161="office",AA161=1,COUNTIFS(C$5:C161,C161,AA$5:AA161,1)=1),F161,"")</f>
        <v/>
      </c>
      <c r="AC161" s="30" t="str">
        <f aca="false">IF(AND(B161="brand",AA161=1,COUNTIFS(C$5:C161,C161,AA$5:AA161,1)=1),F161,"")</f>
        <v/>
      </c>
      <c r="AD161" s="30" t="str">
        <f aca="false">IF(AND(B161="brand",E161="budget_probe",ISNUMBER(F161),I161=Lists!$X$4),IF(COUNTIFS(C$5:C161,C161,E$5:E161,"budget_probe",I$5:I161,Lists!$X$4)=1,F161,""),"")</f>
        <v/>
      </c>
      <c r="AE161" s="30" t="n">
        <f aca="false">IF(AND(B161="brand",E161="paid",ISNUMBER(F161)),IF(AND(SUMIFS(F$5:F161,B$5:B161,"brand",C$5:C161,C161,E$5:E161,"paid")&gt;=Inputs!$C$44,SUMIFS(F$5:F161,B$5:B161,"brand",C$5:C161,C161,E$5:E161,"paid")-F161&lt;Inputs!$C$44),1,0),0)</f>
        <v>0</v>
      </c>
    </row>
    <row r="162" customFormat="false" ht="15" hidden="false" customHeight="false" outlineLevel="0" collapsed="false">
      <c r="A162" s="102"/>
      <c r="B162" s="103"/>
      <c r="C162" s="103"/>
      <c r="D162" s="103"/>
      <c r="E162" s="103"/>
      <c r="F162" s="103"/>
      <c r="G162" s="103"/>
      <c r="H162" s="103"/>
      <c r="I162" s="103"/>
      <c r="T162" s="30" t="str">
        <f aca="false">IF(C162="","",IF(COUNTIFS(C$5:C162,C162,E$5:E162,E162)=1,1,0))</f>
        <v/>
      </c>
      <c r="U162" s="30" t="n">
        <f aca="false">IF(C162="",0,IF(AND(B162="brand",E162="budget_probe",N(F162)&gt;=Inputs!$C$124,H162="Y"),1,0))</f>
        <v>0</v>
      </c>
      <c r="V162" s="30" t="n">
        <f aca="false">IF(U162=1,IF(COUNTIFS(C$5:C162,C162,U$5:U162,1)=1,1,0),0)</f>
        <v>0</v>
      </c>
      <c r="W162" s="30" t="n">
        <f aca="false">IF(C162="",0,IF(AND(B162="office",E162="budget_probe",N(F162)&gt;=Inputs!$C$139),1,0))</f>
        <v>0</v>
      </c>
      <c r="X162" s="30" t="n">
        <f aca="false">IF(W162=1,IF(COUNTIFS(C$5:C162,C162,W$5:W162,1)=1,1,0),0)</f>
        <v>0</v>
      </c>
      <c r="Y162" s="30" t="n">
        <f aca="false">IF(C162="",0,IF(AND(B162="brand",E162="renewal_answer",TRIM(G162)="yes",N(F162)&gt;=Inputs!$C$135),1,0))</f>
        <v>0</v>
      </c>
      <c r="Z162" s="30" t="n">
        <f aca="false">IF(Y162=1,IF(COUNTIFS(C$5:C162,C162,Y$5:Y162,1)=1,1,0),0)</f>
        <v>0</v>
      </c>
      <c r="AA162" s="30" t="n">
        <f aca="false">IF(AND(E162="budget_probe",ISNUMBER(F162),I162&lt;&gt;Lists!$X$4),1,0)</f>
        <v>0</v>
      </c>
      <c r="AB162" s="30" t="str">
        <f aca="false">IF(AND(B162="office",AA162=1,COUNTIFS(C$5:C162,C162,AA$5:AA162,1)=1),F162,"")</f>
        <v/>
      </c>
      <c r="AC162" s="30" t="str">
        <f aca="false">IF(AND(B162="brand",AA162=1,COUNTIFS(C$5:C162,C162,AA$5:AA162,1)=1),F162,"")</f>
        <v/>
      </c>
      <c r="AD162" s="30" t="str">
        <f aca="false">IF(AND(B162="brand",E162="budget_probe",ISNUMBER(F162),I162=Lists!$X$4),IF(COUNTIFS(C$5:C162,C162,E$5:E162,"budget_probe",I$5:I162,Lists!$X$4)=1,F162,""),"")</f>
        <v/>
      </c>
      <c r="AE162" s="30" t="n">
        <f aca="false">IF(AND(B162="brand",E162="paid",ISNUMBER(F162)),IF(AND(SUMIFS(F$5:F162,B$5:B162,"brand",C$5:C162,C162,E$5:E162,"paid")&gt;=Inputs!$C$44,SUMIFS(F$5:F162,B$5:B162,"brand",C$5:C162,C162,E$5:E162,"paid")-F162&lt;Inputs!$C$44),1,0),0)</f>
        <v>0</v>
      </c>
    </row>
    <row r="163" customFormat="false" ht="15" hidden="false" customHeight="false" outlineLevel="0" collapsed="false">
      <c r="A163" s="102"/>
      <c r="B163" s="103"/>
      <c r="C163" s="103"/>
      <c r="D163" s="103"/>
      <c r="E163" s="103"/>
      <c r="F163" s="103"/>
      <c r="G163" s="103"/>
      <c r="H163" s="103"/>
      <c r="I163" s="103"/>
      <c r="T163" s="30" t="str">
        <f aca="false">IF(C163="","",IF(COUNTIFS(C$5:C163,C163,E$5:E163,E163)=1,1,0))</f>
        <v/>
      </c>
      <c r="U163" s="30" t="n">
        <f aca="false">IF(C163="",0,IF(AND(B163="brand",E163="budget_probe",N(F163)&gt;=Inputs!$C$124,H163="Y"),1,0))</f>
        <v>0</v>
      </c>
      <c r="V163" s="30" t="n">
        <f aca="false">IF(U163=1,IF(COUNTIFS(C$5:C163,C163,U$5:U163,1)=1,1,0),0)</f>
        <v>0</v>
      </c>
      <c r="W163" s="30" t="n">
        <f aca="false">IF(C163="",0,IF(AND(B163="office",E163="budget_probe",N(F163)&gt;=Inputs!$C$139),1,0))</f>
        <v>0</v>
      </c>
      <c r="X163" s="30" t="n">
        <f aca="false">IF(W163=1,IF(COUNTIFS(C$5:C163,C163,W$5:W163,1)=1,1,0),0)</f>
        <v>0</v>
      </c>
      <c r="Y163" s="30" t="n">
        <f aca="false">IF(C163="",0,IF(AND(B163="brand",E163="renewal_answer",TRIM(G163)="yes",N(F163)&gt;=Inputs!$C$135),1,0))</f>
        <v>0</v>
      </c>
      <c r="Z163" s="30" t="n">
        <f aca="false">IF(Y163=1,IF(COUNTIFS(C$5:C163,C163,Y$5:Y163,1)=1,1,0),0)</f>
        <v>0</v>
      </c>
      <c r="AA163" s="30" t="n">
        <f aca="false">IF(AND(E163="budget_probe",ISNUMBER(F163),I163&lt;&gt;Lists!$X$4),1,0)</f>
        <v>0</v>
      </c>
      <c r="AB163" s="30" t="str">
        <f aca="false">IF(AND(B163="office",AA163=1,COUNTIFS(C$5:C163,C163,AA$5:AA163,1)=1),F163,"")</f>
        <v/>
      </c>
      <c r="AC163" s="30" t="str">
        <f aca="false">IF(AND(B163="brand",AA163=1,COUNTIFS(C$5:C163,C163,AA$5:AA163,1)=1),F163,"")</f>
        <v/>
      </c>
      <c r="AD163" s="30" t="str">
        <f aca="false">IF(AND(B163="brand",E163="budget_probe",ISNUMBER(F163),I163=Lists!$X$4),IF(COUNTIFS(C$5:C163,C163,E$5:E163,"budget_probe",I$5:I163,Lists!$X$4)=1,F163,""),"")</f>
        <v/>
      </c>
      <c r="AE163" s="30" t="n">
        <f aca="false">IF(AND(B163="brand",E163="paid",ISNUMBER(F163)),IF(AND(SUMIFS(F$5:F163,B$5:B163,"brand",C$5:C163,C163,E$5:E163,"paid")&gt;=Inputs!$C$44,SUMIFS(F$5:F163,B$5:B163,"brand",C$5:C163,C163,E$5:E163,"paid")-F163&lt;Inputs!$C$44),1,0),0)</f>
        <v>0</v>
      </c>
    </row>
    <row r="164" customFormat="false" ht="15" hidden="false" customHeight="false" outlineLevel="0" collapsed="false">
      <c r="A164" s="102"/>
      <c r="B164" s="103"/>
      <c r="C164" s="103"/>
      <c r="D164" s="103"/>
      <c r="E164" s="103"/>
      <c r="F164" s="103"/>
      <c r="G164" s="103"/>
      <c r="H164" s="103"/>
      <c r="I164" s="103"/>
      <c r="T164" s="30" t="str">
        <f aca="false">IF(C164="","",IF(COUNTIFS(C$5:C164,C164,E$5:E164,E164)=1,1,0))</f>
        <v/>
      </c>
      <c r="U164" s="30" t="n">
        <f aca="false">IF(C164="",0,IF(AND(B164="brand",E164="budget_probe",N(F164)&gt;=Inputs!$C$124,H164="Y"),1,0))</f>
        <v>0</v>
      </c>
      <c r="V164" s="30" t="n">
        <f aca="false">IF(U164=1,IF(COUNTIFS(C$5:C164,C164,U$5:U164,1)=1,1,0),0)</f>
        <v>0</v>
      </c>
      <c r="W164" s="30" t="n">
        <f aca="false">IF(C164="",0,IF(AND(B164="office",E164="budget_probe",N(F164)&gt;=Inputs!$C$139),1,0))</f>
        <v>0</v>
      </c>
      <c r="X164" s="30" t="n">
        <f aca="false">IF(W164=1,IF(COUNTIFS(C$5:C164,C164,W$5:W164,1)=1,1,0),0)</f>
        <v>0</v>
      </c>
      <c r="Y164" s="30" t="n">
        <f aca="false">IF(C164="",0,IF(AND(B164="brand",E164="renewal_answer",TRIM(G164)="yes",N(F164)&gt;=Inputs!$C$135),1,0))</f>
        <v>0</v>
      </c>
      <c r="Z164" s="30" t="n">
        <f aca="false">IF(Y164=1,IF(COUNTIFS(C$5:C164,C164,Y$5:Y164,1)=1,1,0),0)</f>
        <v>0</v>
      </c>
      <c r="AA164" s="30" t="n">
        <f aca="false">IF(AND(E164="budget_probe",ISNUMBER(F164),I164&lt;&gt;Lists!$X$4),1,0)</f>
        <v>0</v>
      </c>
      <c r="AB164" s="30" t="str">
        <f aca="false">IF(AND(B164="office",AA164=1,COUNTIFS(C$5:C164,C164,AA$5:AA164,1)=1),F164,"")</f>
        <v/>
      </c>
      <c r="AC164" s="30" t="str">
        <f aca="false">IF(AND(B164="brand",AA164=1,COUNTIFS(C$5:C164,C164,AA$5:AA164,1)=1),F164,"")</f>
        <v/>
      </c>
      <c r="AD164" s="30" t="str">
        <f aca="false">IF(AND(B164="brand",E164="budget_probe",ISNUMBER(F164),I164=Lists!$X$4),IF(COUNTIFS(C$5:C164,C164,E$5:E164,"budget_probe",I$5:I164,Lists!$X$4)=1,F164,""),"")</f>
        <v/>
      </c>
      <c r="AE164" s="30" t="n">
        <f aca="false">IF(AND(B164="brand",E164="paid",ISNUMBER(F164)),IF(AND(SUMIFS(F$5:F164,B$5:B164,"brand",C$5:C164,C164,E$5:E164,"paid")&gt;=Inputs!$C$44,SUMIFS(F$5:F164,B$5:B164,"brand",C$5:C164,C164,E$5:E164,"paid")-F164&lt;Inputs!$C$44),1,0),0)</f>
        <v>0</v>
      </c>
    </row>
    <row r="165" customFormat="false" ht="15" hidden="false" customHeight="false" outlineLevel="0" collapsed="false">
      <c r="A165" s="102"/>
      <c r="B165" s="103"/>
      <c r="C165" s="103"/>
      <c r="D165" s="103"/>
      <c r="E165" s="103"/>
      <c r="F165" s="103"/>
      <c r="G165" s="103"/>
      <c r="H165" s="103"/>
      <c r="I165" s="103"/>
      <c r="T165" s="30" t="str">
        <f aca="false">IF(C165="","",IF(COUNTIFS(C$5:C165,C165,E$5:E165,E165)=1,1,0))</f>
        <v/>
      </c>
      <c r="U165" s="30" t="n">
        <f aca="false">IF(C165="",0,IF(AND(B165="brand",E165="budget_probe",N(F165)&gt;=Inputs!$C$124,H165="Y"),1,0))</f>
        <v>0</v>
      </c>
      <c r="V165" s="30" t="n">
        <f aca="false">IF(U165=1,IF(COUNTIFS(C$5:C165,C165,U$5:U165,1)=1,1,0),0)</f>
        <v>0</v>
      </c>
      <c r="W165" s="30" t="n">
        <f aca="false">IF(C165="",0,IF(AND(B165="office",E165="budget_probe",N(F165)&gt;=Inputs!$C$139),1,0))</f>
        <v>0</v>
      </c>
      <c r="X165" s="30" t="n">
        <f aca="false">IF(W165=1,IF(COUNTIFS(C$5:C165,C165,W$5:W165,1)=1,1,0),0)</f>
        <v>0</v>
      </c>
      <c r="Y165" s="30" t="n">
        <f aca="false">IF(C165="",0,IF(AND(B165="brand",E165="renewal_answer",TRIM(G165)="yes",N(F165)&gt;=Inputs!$C$135),1,0))</f>
        <v>0</v>
      </c>
      <c r="Z165" s="30" t="n">
        <f aca="false">IF(Y165=1,IF(COUNTIFS(C$5:C165,C165,Y$5:Y165,1)=1,1,0),0)</f>
        <v>0</v>
      </c>
      <c r="AA165" s="30" t="n">
        <f aca="false">IF(AND(E165="budget_probe",ISNUMBER(F165),I165&lt;&gt;Lists!$X$4),1,0)</f>
        <v>0</v>
      </c>
      <c r="AB165" s="30" t="str">
        <f aca="false">IF(AND(B165="office",AA165=1,COUNTIFS(C$5:C165,C165,AA$5:AA165,1)=1),F165,"")</f>
        <v/>
      </c>
      <c r="AC165" s="30" t="str">
        <f aca="false">IF(AND(B165="brand",AA165=1,COUNTIFS(C$5:C165,C165,AA$5:AA165,1)=1),F165,"")</f>
        <v/>
      </c>
      <c r="AD165" s="30" t="str">
        <f aca="false">IF(AND(B165="brand",E165="budget_probe",ISNUMBER(F165),I165=Lists!$X$4),IF(COUNTIFS(C$5:C165,C165,E$5:E165,"budget_probe",I$5:I165,Lists!$X$4)=1,F165,""),"")</f>
        <v/>
      </c>
      <c r="AE165" s="30" t="n">
        <f aca="false">IF(AND(B165="brand",E165="paid",ISNUMBER(F165)),IF(AND(SUMIFS(F$5:F165,B$5:B165,"brand",C$5:C165,C165,E$5:E165,"paid")&gt;=Inputs!$C$44,SUMIFS(F$5:F165,B$5:B165,"brand",C$5:C165,C165,E$5:E165,"paid")-F165&lt;Inputs!$C$44),1,0),0)</f>
        <v>0</v>
      </c>
    </row>
    <row r="166" customFormat="false" ht="15" hidden="false" customHeight="false" outlineLevel="0" collapsed="false">
      <c r="A166" s="102"/>
      <c r="B166" s="103"/>
      <c r="C166" s="103"/>
      <c r="D166" s="103"/>
      <c r="E166" s="103"/>
      <c r="F166" s="103"/>
      <c r="G166" s="103"/>
      <c r="H166" s="103"/>
      <c r="I166" s="103"/>
      <c r="T166" s="30" t="str">
        <f aca="false">IF(C166="","",IF(COUNTIFS(C$5:C166,C166,E$5:E166,E166)=1,1,0))</f>
        <v/>
      </c>
      <c r="U166" s="30" t="n">
        <f aca="false">IF(C166="",0,IF(AND(B166="brand",E166="budget_probe",N(F166)&gt;=Inputs!$C$124,H166="Y"),1,0))</f>
        <v>0</v>
      </c>
      <c r="V166" s="30" t="n">
        <f aca="false">IF(U166=1,IF(COUNTIFS(C$5:C166,C166,U$5:U166,1)=1,1,0),0)</f>
        <v>0</v>
      </c>
      <c r="W166" s="30" t="n">
        <f aca="false">IF(C166="",0,IF(AND(B166="office",E166="budget_probe",N(F166)&gt;=Inputs!$C$139),1,0))</f>
        <v>0</v>
      </c>
      <c r="X166" s="30" t="n">
        <f aca="false">IF(W166=1,IF(COUNTIFS(C$5:C166,C166,W$5:W166,1)=1,1,0),0)</f>
        <v>0</v>
      </c>
      <c r="Y166" s="30" t="n">
        <f aca="false">IF(C166="",0,IF(AND(B166="brand",E166="renewal_answer",TRIM(G166)="yes",N(F166)&gt;=Inputs!$C$135),1,0))</f>
        <v>0</v>
      </c>
      <c r="Z166" s="30" t="n">
        <f aca="false">IF(Y166=1,IF(COUNTIFS(C$5:C166,C166,Y$5:Y166,1)=1,1,0),0)</f>
        <v>0</v>
      </c>
      <c r="AA166" s="30" t="n">
        <f aca="false">IF(AND(E166="budget_probe",ISNUMBER(F166),I166&lt;&gt;Lists!$X$4),1,0)</f>
        <v>0</v>
      </c>
      <c r="AB166" s="30" t="str">
        <f aca="false">IF(AND(B166="office",AA166=1,COUNTIFS(C$5:C166,C166,AA$5:AA166,1)=1),F166,"")</f>
        <v/>
      </c>
      <c r="AC166" s="30" t="str">
        <f aca="false">IF(AND(B166="brand",AA166=1,COUNTIFS(C$5:C166,C166,AA$5:AA166,1)=1),F166,"")</f>
        <v/>
      </c>
      <c r="AD166" s="30" t="str">
        <f aca="false">IF(AND(B166="brand",E166="budget_probe",ISNUMBER(F166),I166=Lists!$X$4),IF(COUNTIFS(C$5:C166,C166,E$5:E166,"budget_probe",I$5:I166,Lists!$X$4)=1,F166,""),"")</f>
        <v/>
      </c>
      <c r="AE166" s="30" t="n">
        <f aca="false">IF(AND(B166="brand",E166="paid",ISNUMBER(F166)),IF(AND(SUMIFS(F$5:F166,B$5:B166,"brand",C$5:C166,C166,E$5:E166,"paid")&gt;=Inputs!$C$44,SUMIFS(F$5:F166,B$5:B166,"brand",C$5:C166,C166,E$5:E166,"paid")-F166&lt;Inputs!$C$44),1,0),0)</f>
        <v>0</v>
      </c>
    </row>
    <row r="167" customFormat="false" ht="15" hidden="false" customHeight="false" outlineLevel="0" collapsed="false">
      <c r="A167" s="102"/>
      <c r="B167" s="103"/>
      <c r="C167" s="103"/>
      <c r="D167" s="103"/>
      <c r="E167" s="103"/>
      <c r="F167" s="103"/>
      <c r="G167" s="103"/>
      <c r="H167" s="103"/>
      <c r="I167" s="103"/>
      <c r="T167" s="30" t="str">
        <f aca="false">IF(C167="","",IF(COUNTIFS(C$5:C167,C167,E$5:E167,E167)=1,1,0))</f>
        <v/>
      </c>
      <c r="U167" s="30" t="n">
        <f aca="false">IF(C167="",0,IF(AND(B167="brand",E167="budget_probe",N(F167)&gt;=Inputs!$C$124,H167="Y"),1,0))</f>
        <v>0</v>
      </c>
      <c r="V167" s="30" t="n">
        <f aca="false">IF(U167=1,IF(COUNTIFS(C$5:C167,C167,U$5:U167,1)=1,1,0),0)</f>
        <v>0</v>
      </c>
      <c r="W167" s="30" t="n">
        <f aca="false">IF(C167="",0,IF(AND(B167="office",E167="budget_probe",N(F167)&gt;=Inputs!$C$139),1,0))</f>
        <v>0</v>
      </c>
      <c r="X167" s="30" t="n">
        <f aca="false">IF(W167=1,IF(COUNTIFS(C$5:C167,C167,W$5:W167,1)=1,1,0),0)</f>
        <v>0</v>
      </c>
      <c r="Y167" s="30" t="n">
        <f aca="false">IF(C167="",0,IF(AND(B167="brand",E167="renewal_answer",TRIM(G167)="yes",N(F167)&gt;=Inputs!$C$135),1,0))</f>
        <v>0</v>
      </c>
      <c r="Z167" s="30" t="n">
        <f aca="false">IF(Y167=1,IF(COUNTIFS(C$5:C167,C167,Y$5:Y167,1)=1,1,0),0)</f>
        <v>0</v>
      </c>
      <c r="AA167" s="30" t="n">
        <f aca="false">IF(AND(E167="budget_probe",ISNUMBER(F167),I167&lt;&gt;Lists!$X$4),1,0)</f>
        <v>0</v>
      </c>
      <c r="AB167" s="30" t="str">
        <f aca="false">IF(AND(B167="office",AA167=1,COUNTIFS(C$5:C167,C167,AA$5:AA167,1)=1),F167,"")</f>
        <v/>
      </c>
      <c r="AC167" s="30" t="str">
        <f aca="false">IF(AND(B167="brand",AA167=1,COUNTIFS(C$5:C167,C167,AA$5:AA167,1)=1),F167,"")</f>
        <v/>
      </c>
      <c r="AD167" s="30" t="str">
        <f aca="false">IF(AND(B167="brand",E167="budget_probe",ISNUMBER(F167),I167=Lists!$X$4),IF(COUNTIFS(C$5:C167,C167,E$5:E167,"budget_probe",I$5:I167,Lists!$X$4)=1,F167,""),"")</f>
        <v/>
      </c>
      <c r="AE167" s="30" t="n">
        <f aca="false">IF(AND(B167="brand",E167="paid",ISNUMBER(F167)),IF(AND(SUMIFS(F$5:F167,B$5:B167,"brand",C$5:C167,C167,E$5:E167,"paid")&gt;=Inputs!$C$44,SUMIFS(F$5:F167,B$5:B167,"brand",C$5:C167,C167,E$5:E167,"paid")-F167&lt;Inputs!$C$44),1,0),0)</f>
        <v>0</v>
      </c>
    </row>
    <row r="168" customFormat="false" ht="15" hidden="false" customHeight="false" outlineLevel="0" collapsed="false">
      <c r="A168" s="102"/>
      <c r="B168" s="103"/>
      <c r="C168" s="103"/>
      <c r="D168" s="103"/>
      <c r="E168" s="103"/>
      <c r="F168" s="103"/>
      <c r="G168" s="103"/>
      <c r="H168" s="103"/>
      <c r="I168" s="103"/>
      <c r="T168" s="30" t="str">
        <f aca="false">IF(C168="","",IF(COUNTIFS(C$5:C168,C168,E$5:E168,E168)=1,1,0))</f>
        <v/>
      </c>
      <c r="U168" s="30" t="n">
        <f aca="false">IF(C168="",0,IF(AND(B168="brand",E168="budget_probe",N(F168)&gt;=Inputs!$C$124,H168="Y"),1,0))</f>
        <v>0</v>
      </c>
      <c r="V168" s="30" t="n">
        <f aca="false">IF(U168=1,IF(COUNTIFS(C$5:C168,C168,U$5:U168,1)=1,1,0),0)</f>
        <v>0</v>
      </c>
      <c r="W168" s="30" t="n">
        <f aca="false">IF(C168="",0,IF(AND(B168="office",E168="budget_probe",N(F168)&gt;=Inputs!$C$139),1,0))</f>
        <v>0</v>
      </c>
      <c r="X168" s="30" t="n">
        <f aca="false">IF(W168=1,IF(COUNTIFS(C$5:C168,C168,W$5:W168,1)=1,1,0),0)</f>
        <v>0</v>
      </c>
      <c r="Y168" s="30" t="n">
        <f aca="false">IF(C168="",0,IF(AND(B168="brand",E168="renewal_answer",TRIM(G168)="yes",N(F168)&gt;=Inputs!$C$135),1,0))</f>
        <v>0</v>
      </c>
      <c r="Z168" s="30" t="n">
        <f aca="false">IF(Y168=1,IF(COUNTIFS(C$5:C168,C168,Y$5:Y168,1)=1,1,0),0)</f>
        <v>0</v>
      </c>
      <c r="AA168" s="30" t="n">
        <f aca="false">IF(AND(E168="budget_probe",ISNUMBER(F168),I168&lt;&gt;Lists!$X$4),1,0)</f>
        <v>0</v>
      </c>
      <c r="AB168" s="30" t="str">
        <f aca="false">IF(AND(B168="office",AA168=1,COUNTIFS(C$5:C168,C168,AA$5:AA168,1)=1),F168,"")</f>
        <v/>
      </c>
      <c r="AC168" s="30" t="str">
        <f aca="false">IF(AND(B168="brand",AA168=1,COUNTIFS(C$5:C168,C168,AA$5:AA168,1)=1),F168,"")</f>
        <v/>
      </c>
      <c r="AD168" s="30" t="str">
        <f aca="false">IF(AND(B168="brand",E168="budget_probe",ISNUMBER(F168),I168=Lists!$X$4),IF(COUNTIFS(C$5:C168,C168,E$5:E168,"budget_probe",I$5:I168,Lists!$X$4)=1,F168,""),"")</f>
        <v/>
      </c>
      <c r="AE168" s="30" t="n">
        <f aca="false">IF(AND(B168="brand",E168="paid",ISNUMBER(F168)),IF(AND(SUMIFS(F$5:F168,B$5:B168,"brand",C$5:C168,C168,E$5:E168,"paid")&gt;=Inputs!$C$44,SUMIFS(F$5:F168,B$5:B168,"brand",C$5:C168,C168,E$5:E168,"paid")-F168&lt;Inputs!$C$44),1,0),0)</f>
        <v>0</v>
      </c>
    </row>
    <row r="169" customFormat="false" ht="15" hidden="false" customHeight="false" outlineLevel="0" collapsed="false">
      <c r="A169" s="102"/>
      <c r="B169" s="103"/>
      <c r="C169" s="103"/>
      <c r="D169" s="103"/>
      <c r="E169" s="103"/>
      <c r="F169" s="103"/>
      <c r="G169" s="103"/>
      <c r="H169" s="103"/>
      <c r="I169" s="103"/>
      <c r="T169" s="30" t="str">
        <f aca="false">IF(C169="","",IF(COUNTIFS(C$5:C169,C169,E$5:E169,E169)=1,1,0))</f>
        <v/>
      </c>
      <c r="U169" s="30" t="n">
        <f aca="false">IF(C169="",0,IF(AND(B169="brand",E169="budget_probe",N(F169)&gt;=Inputs!$C$124,H169="Y"),1,0))</f>
        <v>0</v>
      </c>
      <c r="V169" s="30" t="n">
        <f aca="false">IF(U169=1,IF(COUNTIFS(C$5:C169,C169,U$5:U169,1)=1,1,0),0)</f>
        <v>0</v>
      </c>
      <c r="W169" s="30" t="n">
        <f aca="false">IF(C169="",0,IF(AND(B169="office",E169="budget_probe",N(F169)&gt;=Inputs!$C$139),1,0))</f>
        <v>0</v>
      </c>
      <c r="X169" s="30" t="n">
        <f aca="false">IF(W169=1,IF(COUNTIFS(C$5:C169,C169,W$5:W169,1)=1,1,0),0)</f>
        <v>0</v>
      </c>
      <c r="Y169" s="30" t="n">
        <f aca="false">IF(C169="",0,IF(AND(B169="brand",E169="renewal_answer",TRIM(G169)="yes",N(F169)&gt;=Inputs!$C$135),1,0))</f>
        <v>0</v>
      </c>
      <c r="Z169" s="30" t="n">
        <f aca="false">IF(Y169=1,IF(COUNTIFS(C$5:C169,C169,Y$5:Y169,1)=1,1,0),0)</f>
        <v>0</v>
      </c>
      <c r="AA169" s="30" t="n">
        <f aca="false">IF(AND(E169="budget_probe",ISNUMBER(F169),I169&lt;&gt;Lists!$X$4),1,0)</f>
        <v>0</v>
      </c>
      <c r="AB169" s="30" t="str">
        <f aca="false">IF(AND(B169="office",AA169=1,COUNTIFS(C$5:C169,C169,AA$5:AA169,1)=1),F169,"")</f>
        <v/>
      </c>
      <c r="AC169" s="30" t="str">
        <f aca="false">IF(AND(B169="brand",AA169=1,COUNTIFS(C$5:C169,C169,AA$5:AA169,1)=1),F169,"")</f>
        <v/>
      </c>
      <c r="AD169" s="30" t="str">
        <f aca="false">IF(AND(B169="brand",E169="budget_probe",ISNUMBER(F169),I169=Lists!$X$4),IF(COUNTIFS(C$5:C169,C169,E$5:E169,"budget_probe",I$5:I169,Lists!$X$4)=1,F169,""),"")</f>
        <v/>
      </c>
      <c r="AE169" s="30" t="n">
        <f aca="false">IF(AND(B169="brand",E169="paid",ISNUMBER(F169)),IF(AND(SUMIFS(F$5:F169,B$5:B169,"brand",C$5:C169,C169,E$5:E169,"paid")&gt;=Inputs!$C$44,SUMIFS(F$5:F169,B$5:B169,"brand",C$5:C169,C169,E$5:E169,"paid")-F169&lt;Inputs!$C$44),1,0),0)</f>
        <v>0</v>
      </c>
    </row>
    <row r="170" customFormat="false" ht="15" hidden="false" customHeight="false" outlineLevel="0" collapsed="false">
      <c r="A170" s="102"/>
      <c r="B170" s="103"/>
      <c r="C170" s="103"/>
      <c r="D170" s="103"/>
      <c r="E170" s="103"/>
      <c r="F170" s="103"/>
      <c r="G170" s="103"/>
      <c r="H170" s="103"/>
      <c r="I170" s="103"/>
      <c r="T170" s="30" t="str">
        <f aca="false">IF(C170="","",IF(COUNTIFS(C$5:C170,C170,E$5:E170,E170)=1,1,0))</f>
        <v/>
      </c>
      <c r="U170" s="30" t="n">
        <f aca="false">IF(C170="",0,IF(AND(B170="brand",E170="budget_probe",N(F170)&gt;=Inputs!$C$124,H170="Y"),1,0))</f>
        <v>0</v>
      </c>
      <c r="V170" s="30" t="n">
        <f aca="false">IF(U170=1,IF(COUNTIFS(C$5:C170,C170,U$5:U170,1)=1,1,0),0)</f>
        <v>0</v>
      </c>
      <c r="W170" s="30" t="n">
        <f aca="false">IF(C170="",0,IF(AND(B170="office",E170="budget_probe",N(F170)&gt;=Inputs!$C$139),1,0))</f>
        <v>0</v>
      </c>
      <c r="X170" s="30" t="n">
        <f aca="false">IF(W170=1,IF(COUNTIFS(C$5:C170,C170,W$5:W170,1)=1,1,0),0)</f>
        <v>0</v>
      </c>
      <c r="Y170" s="30" t="n">
        <f aca="false">IF(C170="",0,IF(AND(B170="brand",E170="renewal_answer",TRIM(G170)="yes",N(F170)&gt;=Inputs!$C$135),1,0))</f>
        <v>0</v>
      </c>
      <c r="Z170" s="30" t="n">
        <f aca="false">IF(Y170=1,IF(COUNTIFS(C$5:C170,C170,Y$5:Y170,1)=1,1,0),0)</f>
        <v>0</v>
      </c>
      <c r="AA170" s="30" t="n">
        <f aca="false">IF(AND(E170="budget_probe",ISNUMBER(F170),I170&lt;&gt;Lists!$X$4),1,0)</f>
        <v>0</v>
      </c>
      <c r="AB170" s="30" t="str">
        <f aca="false">IF(AND(B170="office",AA170=1,COUNTIFS(C$5:C170,C170,AA$5:AA170,1)=1),F170,"")</f>
        <v/>
      </c>
      <c r="AC170" s="30" t="str">
        <f aca="false">IF(AND(B170="brand",AA170=1,COUNTIFS(C$5:C170,C170,AA$5:AA170,1)=1),F170,"")</f>
        <v/>
      </c>
      <c r="AD170" s="30" t="str">
        <f aca="false">IF(AND(B170="brand",E170="budget_probe",ISNUMBER(F170),I170=Lists!$X$4),IF(COUNTIFS(C$5:C170,C170,E$5:E170,"budget_probe",I$5:I170,Lists!$X$4)=1,F170,""),"")</f>
        <v/>
      </c>
      <c r="AE170" s="30" t="n">
        <f aca="false">IF(AND(B170="brand",E170="paid",ISNUMBER(F170)),IF(AND(SUMIFS(F$5:F170,B$5:B170,"brand",C$5:C170,C170,E$5:E170,"paid")&gt;=Inputs!$C$44,SUMIFS(F$5:F170,B$5:B170,"brand",C$5:C170,C170,E$5:E170,"paid")-F170&lt;Inputs!$C$44),1,0),0)</f>
        <v>0</v>
      </c>
    </row>
    <row r="171" customFormat="false" ht="15" hidden="false" customHeight="false" outlineLevel="0" collapsed="false">
      <c r="A171" s="102"/>
      <c r="B171" s="103"/>
      <c r="C171" s="103"/>
      <c r="D171" s="103"/>
      <c r="E171" s="103"/>
      <c r="F171" s="103"/>
      <c r="G171" s="103"/>
      <c r="H171" s="103"/>
      <c r="I171" s="103"/>
      <c r="T171" s="30" t="str">
        <f aca="false">IF(C171="","",IF(COUNTIFS(C$5:C171,C171,E$5:E171,E171)=1,1,0))</f>
        <v/>
      </c>
      <c r="U171" s="30" t="n">
        <f aca="false">IF(C171="",0,IF(AND(B171="brand",E171="budget_probe",N(F171)&gt;=Inputs!$C$124,H171="Y"),1,0))</f>
        <v>0</v>
      </c>
      <c r="V171" s="30" t="n">
        <f aca="false">IF(U171=1,IF(COUNTIFS(C$5:C171,C171,U$5:U171,1)=1,1,0),0)</f>
        <v>0</v>
      </c>
      <c r="W171" s="30" t="n">
        <f aca="false">IF(C171="",0,IF(AND(B171="office",E171="budget_probe",N(F171)&gt;=Inputs!$C$139),1,0))</f>
        <v>0</v>
      </c>
      <c r="X171" s="30" t="n">
        <f aca="false">IF(W171=1,IF(COUNTIFS(C$5:C171,C171,W$5:W171,1)=1,1,0),0)</f>
        <v>0</v>
      </c>
      <c r="Y171" s="30" t="n">
        <f aca="false">IF(C171="",0,IF(AND(B171="brand",E171="renewal_answer",TRIM(G171)="yes",N(F171)&gt;=Inputs!$C$135),1,0))</f>
        <v>0</v>
      </c>
      <c r="Z171" s="30" t="n">
        <f aca="false">IF(Y171=1,IF(COUNTIFS(C$5:C171,C171,Y$5:Y171,1)=1,1,0),0)</f>
        <v>0</v>
      </c>
      <c r="AA171" s="30" t="n">
        <f aca="false">IF(AND(E171="budget_probe",ISNUMBER(F171),I171&lt;&gt;Lists!$X$4),1,0)</f>
        <v>0</v>
      </c>
      <c r="AB171" s="30" t="str">
        <f aca="false">IF(AND(B171="office",AA171=1,COUNTIFS(C$5:C171,C171,AA$5:AA171,1)=1),F171,"")</f>
        <v/>
      </c>
      <c r="AC171" s="30" t="str">
        <f aca="false">IF(AND(B171="brand",AA171=1,COUNTIFS(C$5:C171,C171,AA$5:AA171,1)=1),F171,"")</f>
        <v/>
      </c>
      <c r="AD171" s="30" t="str">
        <f aca="false">IF(AND(B171="brand",E171="budget_probe",ISNUMBER(F171),I171=Lists!$X$4),IF(COUNTIFS(C$5:C171,C171,E$5:E171,"budget_probe",I$5:I171,Lists!$X$4)=1,F171,""),"")</f>
        <v/>
      </c>
      <c r="AE171" s="30" t="n">
        <f aca="false">IF(AND(B171="brand",E171="paid",ISNUMBER(F171)),IF(AND(SUMIFS(F$5:F171,B$5:B171,"brand",C$5:C171,C171,E$5:E171,"paid")&gt;=Inputs!$C$44,SUMIFS(F$5:F171,B$5:B171,"brand",C$5:C171,C171,E$5:E171,"paid")-F171&lt;Inputs!$C$44),1,0),0)</f>
        <v>0</v>
      </c>
    </row>
    <row r="172" customFormat="false" ht="15" hidden="false" customHeight="false" outlineLevel="0" collapsed="false">
      <c r="A172" s="102"/>
      <c r="B172" s="103"/>
      <c r="C172" s="103"/>
      <c r="D172" s="103"/>
      <c r="E172" s="103"/>
      <c r="F172" s="103"/>
      <c r="G172" s="103"/>
      <c r="H172" s="103"/>
      <c r="I172" s="103"/>
      <c r="T172" s="30" t="str">
        <f aca="false">IF(C172="","",IF(COUNTIFS(C$5:C172,C172,E$5:E172,E172)=1,1,0))</f>
        <v/>
      </c>
      <c r="U172" s="30" t="n">
        <f aca="false">IF(C172="",0,IF(AND(B172="brand",E172="budget_probe",N(F172)&gt;=Inputs!$C$124,H172="Y"),1,0))</f>
        <v>0</v>
      </c>
      <c r="V172" s="30" t="n">
        <f aca="false">IF(U172=1,IF(COUNTIFS(C$5:C172,C172,U$5:U172,1)=1,1,0),0)</f>
        <v>0</v>
      </c>
      <c r="W172" s="30" t="n">
        <f aca="false">IF(C172="",0,IF(AND(B172="office",E172="budget_probe",N(F172)&gt;=Inputs!$C$139),1,0))</f>
        <v>0</v>
      </c>
      <c r="X172" s="30" t="n">
        <f aca="false">IF(W172=1,IF(COUNTIFS(C$5:C172,C172,W$5:W172,1)=1,1,0),0)</f>
        <v>0</v>
      </c>
      <c r="Y172" s="30" t="n">
        <f aca="false">IF(C172="",0,IF(AND(B172="brand",E172="renewal_answer",TRIM(G172)="yes",N(F172)&gt;=Inputs!$C$135),1,0))</f>
        <v>0</v>
      </c>
      <c r="Z172" s="30" t="n">
        <f aca="false">IF(Y172=1,IF(COUNTIFS(C$5:C172,C172,Y$5:Y172,1)=1,1,0),0)</f>
        <v>0</v>
      </c>
      <c r="AA172" s="30" t="n">
        <f aca="false">IF(AND(E172="budget_probe",ISNUMBER(F172),I172&lt;&gt;Lists!$X$4),1,0)</f>
        <v>0</v>
      </c>
      <c r="AB172" s="30" t="str">
        <f aca="false">IF(AND(B172="office",AA172=1,COUNTIFS(C$5:C172,C172,AA$5:AA172,1)=1),F172,"")</f>
        <v/>
      </c>
      <c r="AC172" s="30" t="str">
        <f aca="false">IF(AND(B172="brand",AA172=1,COUNTIFS(C$5:C172,C172,AA$5:AA172,1)=1),F172,"")</f>
        <v/>
      </c>
      <c r="AD172" s="30" t="str">
        <f aca="false">IF(AND(B172="brand",E172="budget_probe",ISNUMBER(F172),I172=Lists!$X$4),IF(COUNTIFS(C$5:C172,C172,E$5:E172,"budget_probe",I$5:I172,Lists!$X$4)=1,F172,""),"")</f>
        <v/>
      </c>
      <c r="AE172" s="30" t="n">
        <f aca="false">IF(AND(B172="brand",E172="paid",ISNUMBER(F172)),IF(AND(SUMIFS(F$5:F172,B$5:B172,"brand",C$5:C172,C172,E$5:E172,"paid")&gt;=Inputs!$C$44,SUMIFS(F$5:F172,B$5:B172,"brand",C$5:C172,C172,E$5:E172,"paid")-F172&lt;Inputs!$C$44),1,0),0)</f>
        <v>0</v>
      </c>
    </row>
    <row r="173" customFormat="false" ht="15" hidden="false" customHeight="false" outlineLevel="0" collapsed="false">
      <c r="A173" s="102"/>
      <c r="B173" s="103"/>
      <c r="C173" s="103"/>
      <c r="D173" s="103"/>
      <c r="E173" s="103"/>
      <c r="F173" s="103"/>
      <c r="G173" s="103"/>
      <c r="H173" s="103"/>
      <c r="I173" s="103"/>
      <c r="T173" s="30" t="str">
        <f aca="false">IF(C173="","",IF(COUNTIFS(C$5:C173,C173,E$5:E173,E173)=1,1,0))</f>
        <v/>
      </c>
      <c r="U173" s="30" t="n">
        <f aca="false">IF(C173="",0,IF(AND(B173="brand",E173="budget_probe",N(F173)&gt;=Inputs!$C$124,H173="Y"),1,0))</f>
        <v>0</v>
      </c>
      <c r="V173" s="30" t="n">
        <f aca="false">IF(U173=1,IF(COUNTIFS(C$5:C173,C173,U$5:U173,1)=1,1,0),0)</f>
        <v>0</v>
      </c>
      <c r="W173" s="30" t="n">
        <f aca="false">IF(C173="",0,IF(AND(B173="office",E173="budget_probe",N(F173)&gt;=Inputs!$C$139),1,0))</f>
        <v>0</v>
      </c>
      <c r="X173" s="30" t="n">
        <f aca="false">IF(W173=1,IF(COUNTIFS(C$5:C173,C173,W$5:W173,1)=1,1,0),0)</f>
        <v>0</v>
      </c>
      <c r="Y173" s="30" t="n">
        <f aca="false">IF(C173="",0,IF(AND(B173="brand",E173="renewal_answer",TRIM(G173)="yes",N(F173)&gt;=Inputs!$C$135),1,0))</f>
        <v>0</v>
      </c>
      <c r="Z173" s="30" t="n">
        <f aca="false">IF(Y173=1,IF(COUNTIFS(C$5:C173,C173,Y$5:Y173,1)=1,1,0),0)</f>
        <v>0</v>
      </c>
      <c r="AA173" s="30" t="n">
        <f aca="false">IF(AND(E173="budget_probe",ISNUMBER(F173),I173&lt;&gt;Lists!$X$4),1,0)</f>
        <v>0</v>
      </c>
      <c r="AB173" s="30" t="str">
        <f aca="false">IF(AND(B173="office",AA173=1,COUNTIFS(C$5:C173,C173,AA$5:AA173,1)=1),F173,"")</f>
        <v/>
      </c>
      <c r="AC173" s="30" t="str">
        <f aca="false">IF(AND(B173="brand",AA173=1,COUNTIFS(C$5:C173,C173,AA$5:AA173,1)=1),F173,"")</f>
        <v/>
      </c>
      <c r="AD173" s="30" t="str">
        <f aca="false">IF(AND(B173="brand",E173="budget_probe",ISNUMBER(F173),I173=Lists!$X$4),IF(COUNTIFS(C$5:C173,C173,E$5:E173,"budget_probe",I$5:I173,Lists!$X$4)=1,F173,""),"")</f>
        <v/>
      </c>
      <c r="AE173" s="30" t="n">
        <f aca="false">IF(AND(B173="brand",E173="paid",ISNUMBER(F173)),IF(AND(SUMIFS(F$5:F173,B$5:B173,"brand",C$5:C173,C173,E$5:E173,"paid")&gt;=Inputs!$C$44,SUMIFS(F$5:F173,B$5:B173,"brand",C$5:C173,C173,E$5:E173,"paid")-F173&lt;Inputs!$C$44),1,0),0)</f>
        <v>0</v>
      </c>
    </row>
    <row r="174" customFormat="false" ht="15" hidden="false" customHeight="false" outlineLevel="0" collapsed="false">
      <c r="A174" s="102"/>
      <c r="B174" s="103"/>
      <c r="C174" s="103"/>
      <c r="D174" s="103"/>
      <c r="E174" s="103"/>
      <c r="F174" s="103"/>
      <c r="G174" s="103"/>
      <c r="H174" s="103"/>
      <c r="I174" s="103"/>
      <c r="T174" s="30" t="str">
        <f aca="false">IF(C174="","",IF(COUNTIFS(C$5:C174,C174,E$5:E174,E174)=1,1,0))</f>
        <v/>
      </c>
      <c r="U174" s="30" t="n">
        <f aca="false">IF(C174="",0,IF(AND(B174="brand",E174="budget_probe",N(F174)&gt;=Inputs!$C$124,H174="Y"),1,0))</f>
        <v>0</v>
      </c>
      <c r="V174" s="30" t="n">
        <f aca="false">IF(U174=1,IF(COUNTIFS(C$5:C174,C174,U$5:U174,1)=1,1,0),0)</f>
        <v>0</v>
      </c>
      <c r="W174" s="30" t="n">
        <f aca="false">IF(C174="",0,IF(AND(B174="office",E174="budget_probe",N(F174)&gt;=Inputs!$C$139),1,0))</f>
        <v>0</v>
      </c>
      <c r="X174" s="30" t="n">
        <f aca="false">IF(W174=1,IF(COUNTIFS(C$5:C174,C174,W$5:W174,1)=1,1,0),0)</f>
        <v>0</v>
      </c>
      <c r="Y174" s="30" t="n">
        <f aca="false">IF(C174="",0,IF(AND(B174="brand",E174="renewal_answer",TRIM(G174)="yes",N(F174)&gt;=Inputs!$C$135),1,0))</f>
        <v>0</v>
      </c>
      <c r="Z174" s="30" t="n">
        <f aca="false">IF(Y174=1,IF(COUNTIFS(C$5:C174,C174,Y$5:Y174,1)=1,1,0),0)</f>
        <v>0</v>
      </c>
      <c r="AA174" s="30" t="n">
        <f aca="false">IF(AND(E174="budget_probe",ISNUMBER(F174),I174&lt;&gt;Lists!$X$4),1,0)</f>
        <v>0</v>
      </c>
      <c r="AB174" s="30" t="str">
        <f aca="false">IF(AND(B174="office",AA174=1,COUNTIFS(C$5:C174,C174,AA$5:AA174,1)=1),F174,"")</f>
        <v/>
      </c>
      <c r="AC174" s="30" t="str">
        <f aca="false">IF(AND(B174="brand",AA174=1,COUNTIFS(C$5:C174,C174,AA$5:AA174,1)=1),F174,"")</f>
        <v/>
      </c>
      <c r="AD174" s="30" t="str">
        <f aca="false">IF(AND(B174="brand",E174="budget_probe",ISNUMBER(F174),I174=Lists!$X$4),IF(COUNTIFS(C$5:C174,C174,E$5:E174,"budget_probe",I$5:I174,Lists!$X$4)=1,F174,""),"")</f>
        <v/>
      </c>
      <c r="AE174" s="30" t="n">
        <f aca="false">IF(AND(B174="brand",E174="paid",ISNUMBER(F174)),IF(AND(SUMIFS(F$5:F174,B$5:B174,"brand",C$5:C174,C174,E$5:E174,"paid")&gt;=Inputs!$C$44,SUMIFS(F$5:F174,B$5:B174,"brand",C$5:C174,C174,E$5:E174,"paid")-F174&lt;Inputs!$C$44),1,0),0)</f>
        <v>0</v>
      </c>
    </row>
    <row r="175" customFormat="false" ht="15" hidden="false" customHeight="false" outlineLevel="0" collapsed="false">
      <c r="A175" s="102"/>
      <c r="B175" s="103"/>
      <c r="C175" s="103"/>
      <c r="D175" s="103"/>
      <c r="E175" s="103"/>
      <c r="F175" s="103"/>
      <c r="G175" s="103"/>
      <c r="H175" s="103"/>
      <c r="I175" s="103"/>
      <c r="T175" s="30" t="str">
        <f aca="false">IF(C175="","",IF(COUNTIFS(C$5:C175,C175,E$5:E175,E175)=1,1,0))</f>
        <v/>
      </c>
      <c r="U175" s="30" t="n">
        <f aca="false">IF(C175="",0,IF(AND(B175="brand",E175="budget_probe",N(F175)&gt;=Inputs!$C$124,H175="Y"),1,0))</f>
        <v>0</v>
      </c>
      <c r="V175" s="30" t="n">
        <f aca="false">IF(U175=1,IF(COUNTIFS(C$5:C175,C175,U$5:U175,1)=1,1,0),0)</f>
        <v>0</v>
      </c>
      <c r="W175" s="30" t="n">
        <f aca="false">IF(C175="",0,IF(AND(B175="office",E175="budget_probe",N(F175)&gt;=Inputs!$C$139),1,0))</f>
        <v>0</v>
      </c>
      <c r="X175" s="30" t="n">
        <f aca="false">IF(W175=1,IF(COUNTIFS(C$5:C175,C175,W$5:W175,1)=1,1,0),0)</f>
        <v>0</v>
      </c>
      <c r="Y175" s="30" t="n">
        <f aca="false">IF(C175="",0,IF(AND(B175="brand",E175="renewal_answer",TRIM(G175)="yes",N(F175)&gt;=Inputs!$C$135),1,0))</f>
        <v>0</v>
      </c>
      <c r="Z175" s="30" t="n">
        <f aca="false">IF(Y175=1,IF(COUNTIFS(C$5:C175,C175,Y$5:Y175,1)=1,1,0),0)</f>
        <v>0</v>
      </c>
      <c r="AA175" s="30" t="n">
        <f aca="false">IF(AND(E175="budget_probe",ISNUMBER(F175),I175&lt;&gt;Lists!$X$4),1,0)</f>
        <v>0</v>
      </c>
      <c r="AB175" s="30" t="str">
        <f aca="false">IF(AND(B175="office",AA175=1,COUNTIFS(C$5:C175,C175,AA$5:AA175,1)=1),F175,"")</f>
        <v/>
      </c>
      <c r="AC175" s="30" t="str">
        <f aca="false">IF(AND(B175="brand",AA175=1,COUNTIFS(C$5:C175,C175,AA$5:AA175,1)=1),F175,"")</f>
        <v/>
      </c>
      <c r="AD175" s="30" t="str">
        <f aca="false">IF(AND(B175="brand",E175="budget_probe",ISNUMBER(F175),I175=Lists!$X$4),IF(COUNTIFS(C$5:C175,C175,E$5:E175,"budget_probe",I$5:I175,Lists!$X$4)=1,F175,""),"")</f>
        <v/>
      </c>
      <c r="AE175" s="30" t="n">
        <f aca="false">IF(AND(B175="brand",E175="paid",ISNUMBER(F175)),IF(AND(SUMIFS(F$5:F175,B$5:B175,"brand",C$5:C175,C175,E$5:E175,"paid")&gt;=Inputs!$C$44,SUMIFS(F$5:F175,B$5:B175,"brand",C$5:C175,C175,E$5:E175,"paid")-F175&lt;Inputs!$C$44),1,0),0)</f>
        <v>0</v>
      </c>
    </row>
    <row r="176" customFormat="false" ht="15" hidden="false" customHeight="false" outlineLevel="0" collapsed="false">
      <c r="A176" s="102"/>
      <c r="B176" s="103"/>
      <c r="C176" s="103"/>
      <c r="D176" s="103"/>
      <c r="E176" s="103"/>
      <c r="F176" s="103"/>
      <c r="G176" s="103"/>
      <c r="H176" s="103"/>
      <c r="I176" s="103"/>
      <c r="T176" s="30" t="str">
        <f aca="false">IF(C176="","",IF(COUNTIFS(C$5:C176,C176,E$5:E176,E176)=1,1,0))</f>
        <v/>
      </c>
      <c r="U176" s="30" t="n">
        <f aca="false">IF(C176="",0,IF(AND(B176="brand",E176="budget_probe",N(F176)&gt;=Inputs!$C$124,H176="Y"),1,0))</f>
        <v>0</v>
      </c>
      <c r="V176" s="30" t="n">
        <f aca="false">IF(U176=1,IF(COUNTIFS(C$5:C176,C176,U$5:U176,1)=1,1,0),0)</f>
        <v>0</v>
      </c>
      <c r="W176" s="30" t="n">
        <f aca="false">IF(C176="",0,IF(AND(B176="office",E176="budget_probe",N(F176)&gt;=Inputs!$C$139),1,0))</f>
        <v>0</v>
      </c>
      <c r="X176" s="30" t="n">
        <f aca="false">IF(W176=1,IF(COUNTIFS(C$5:C176,C176,W$5:W176,1)=1,1,0),0)</f>
        <v>0</v>
      </c>
      <c r="Y176" s="30" t="n">
        <f aca="false">IF(C176="",0,IF(AND(B176="brand",E176="renewal_answer",TRIM(G176)="yes",N(F176)&gt;=Inputs!$C$135),1,0))</f>
        <v>0</v>
      </c>
      <c r="Z176" s="30" t="n">
        <f aca="false">IF(Y176=1,IF(COUNTIFS(C$5:C176,C176,Y$5:Y176,1)=1,1,0),0)</f>
        <v>0</v>
      </c>
      <c r="AA176" s="30" t="n">
        <f aca="false">IF(AND(E176="budget_probe",ISNUMBER(F176),I176&lt;&gt;Lists!$X$4),1,0)</f>
        <v>0</v>
      </c>
      <c r="AB176" s="30" t="str">
        <f aca="false">IF(AND(B176="office",AA176=1,COUNTIFS(C$5:C176,C176,AA$5:AA176,1)=1),F176,"")</f>
        <v/>
      </c>
      <c r="AC176" s="30" t="str">
        <f aca="false">IF(AND(B176="brand",AA176=1,COUNTIFS(C$5:C176,C176,AA$5:AA176,1)=1),F176,"")</f>
        <v/>
      </c>
      <c r="AD176" s="30" t="str">
        <f aca="false">IF(AND(B176="brand",E176="budget_probe",ISNUMBER(F176),I176=Lists!$X$4),IF(COUNTIFS(C$5:C176,C176,E$5:E176,"budget_probe",I$5:I176,Lists!$X$4)=1,F176,""),"")</f>
        <v/>
      </c>
      <c r="AE176" s="30" t="n">
        <f aca="false">IF(AND(B176="brand",E176="paid",ISNUMBER(F176)),IF(AND(SUMIFS(F$5:F176,B$5:B176,"brand",C$5:C176,C176,E$5:E176,"paid")&gt;=Inputs!$C$44,SUMIFS(F$5:F176,B$5:B176,"brand",C$5:C176,C176,E$5:E176,"paid")-F176&lt;Inputs!$C$44),1,0),0)</f>
        <v>0</v>
      </c>
    </row>
    <row r="177" customFormat="false" ht="15" hidden="false" customHeight="false" outlineLevel="0" collapsed="false">
      <c r="A177" s="102"/>
      <c r="B177" s="103"/>
      <c r="C177" s="103"/>
      <c r="D177" s="103"/>
      <c r="E177" s="103"/>
      <c r="F177" s="103"/>
      <c r="G177" s="103"/>
      <c r="H177" s="103"/>
      <c r="I177" s="103"/>
      <c r="T177" s="30" t="str">
        <f aca="false">IF(C177="","",IF(COUNTIFS(C$5:C177,C177,E$5:E177,E177)=1,1,0))</f>
        <v/>
      </c>
      <c r="U177" s="30" t="n">
        <f aca="false">IF(C177="",0,IF(AND(B177="brand",E177="budget_probe",N(F177)&gt;=Inputs!$C$124,H177="Y"),1,0))</f>
        <v>0</v>
      </c>
      <c r="V177" s="30" t="n">
        <f aca="false">IF(U177=1,IF(COUNTIFS(C$5:C177,C177,U$5:U177,1)=1,1,0),0)</f>
        <v>0</v>
      </c>
      <c r="W177" s="30" t="n">
        <f aca="false">IF(C177="",0,IF(AND(B177="office",E177="budget_probe",N(F177)&gt;=Inputs!$C$139),1,0))</f>
        <v>0</v>
      </c>
      <c r="X177" s="30" t="n">
        <f aca="false">IF(W177=1,IF(COUNTIFS(C$5:C177,C177,W$5:W177,1)=1,1,0),0)</f>
        <v>0</v>
      </c>
      <c r="Y177" s="30" t="n">
        <f aca="false">IF(C177="",0,IF(AND(B177="brand",E177="renewal_answer",TRIM(G177)="yes",N(F177)&gt;=Inputs!$C$135),1,0))</f>
        <v>0</v>
      </c>
      <c r="Z177" s="30" t="n">
        <f aca="false">IF(Y177=1,IF(COUNTIFS(C$5:C177,C177,Y$5:Y177,1)=1,1,0),0)</f>
        <v>0</v>
      </c>
      <c r="AA177" s="30" t="n">
        <f aca="false">IF(AND(E177="budget_probe",ISNUMBER(F177),I177&lt;&gt;Lists!$X$4),1,0)</f>
        <v>0</v>
      </c>
      <c r="AB177" s="30" t="str">
        <f aca="false">IF(AND(B177="office",AA177=1,COUNTIFS(C$5:C177,C177,AA$5:AA177,1)=1),F177,"")</f>
        <v/>
      </c>
      <c r="AC177" s="30" t="str">
        <f aca="false">IF(AND(B177="brand",AA177=1,COUNTIFS(C$5:C177,C177,AA$5:AA177,1)=1),F177,"")</f>
        <v/>
      </c>
      <c r="AD177" s="30" t="str">
        <f aca="false">IF(AND(B177="brand",E177="budget_probe",ISNUMBER(F177),I177=Lists!$X$4),IF(COUNTIFS(C$5:C177,C177,E$5:E177,"budget_probe",I$5:I177,Lists!$X$4)=1,F177,""),"")</f>
        <v/>
      </c>
      <c r="AE177" s="30" t="n">
        <f aca="false">IF(AND(B177="brand",E177="paid",ISNUMBER(F177)),IF(AND(SUMIFS(F$5:F177,B$5:B177,"brand",C$5:C177,C177,E$5:E177,"paid")&gt;=Inputs!$C$44,SUMIFS(F$5:F177,B$5:B177,"brand",C$5:C177,C177,E$5:E177,"paid")-F177&lt;Inputs!$C$44),1,0),0)</f>
        <v>0</v>
      </c>
    </row>
    <row r="178" customFormat="false" ht="15" hidden="false" customHeight="false" outlineLevel="0" collapsed="false">
      <c r="A178" s="102"/>
      <c r="B178" s="103"/>
      <c r="C178" s="103"/>
      <c r="D178" s="103"/>
      <c r="E178" s="103"/>
      <c r="F178" s="103"/>
      <c r="G178" s="103"/>
      <c r="H178" s="103"/>
      <c r="I178" s="103"/>
      <c r="T178" s="30" t="str">
        <f aca="false">IF(C178="","",IF(COUNTIFS(C$5:C178,C178,E$5:E178,E178)=1,1,0))</f>
        <v/>
      </c>
      <c r="U178" s="30" t="n">
        <f aca="false">IF(C178="",0,IF(AND(B178="brand",E178="budget_probe",N(F178)&gt;=Inputs!$C$124,H178="Y"),1,0))</f>
        <v>0</v>
      </c>
      <c r="V178" s="30" t="n">
        <f aca="false">IF(U178=1,IF(COUNTIFS(C$5:C178,C178,U$5:U178,1)=1,1,0),0)</f>
        <v>0</v>
      </c>
      <c r="W178" s="30" t="n">
        <f aca="false">IF(C178="",0,IF(AND(B178="office",E178="budget_probe",N(F178)&gt;=Inputs!$C$139),1,0))</f>
        <v>0</v>
      </c>
      <c r="X178" s="30" t="n">
        <f aca="false">IF(W178=1,IF(COUNTIFS(C$5:C178,C178,W$5:W178,1)=1,1,0),0)</f>
        <v>0</v>
      </c>
      <c r="Y178" s="30" t="n">
        <f aca="false">IF(C178="",0,IF(AND(B178="brand",E178="renewal_answer",TRIM(G178)="yes",N(F178)&gt;=Inputs!$C$135),1,0))</f>
        <v>0</v>
      </c>
      <c r="Z178" s="30" t="n">
        <f aca="false">IF(Y178=1,IF(COUNTIFS(C$5:C178,C178,Y$5:Y178,1)=1,1,0),0)</f>
        <v>0</v>
      </c>
      <c r="AA178" s="30" t="n">
        <f aca="false">IF(AND(E178="budget_probe",ISNUMBER(F178),I178&lt;&gt;Lists!$X$4),1,0)</f>
        <v>0</v>
      </c>
      <c r="AB178" s="30" t="str">
        <f aca="false">IF(AND(B178="office",AA178=1,COUNTIFS(C$5:C178,C178,AA$5:AA178,1)=1),F178,"")</f>
        <v/>
      </c>
      <c r="AC178" s="30" t="str">
        <f aca="false">IF(AND(B178="brand",AA178=1,COUNTIFS(C$5:C178,C178,AA$5:AA178,1)=1),F178,"")</f>
        <v/>
      </c>
      <c r="AD178" s="30" t="str">
        <f aca="false">IF(AND(B178="brand",E178="budget_probe",ISNUMBER(F178),I178=Lists!$X$4),IF(COUNTIFS(C$5:C178,C178,E$5:E178,"budget_probe",I$5:I178,Lists!$X$4)=1,F178,""),"")</f>
        <v/>
      </c>
      <c r="AE178" s="30" t="n">
        <f aca="false">IF(AND(B178="brand",E178="paid",ISNUMBER(F178)),IF(AND(SUMIFS(F$5:F178,B$5:B178,"brand",C$5:C178,C178,E$5:E178,"paid")&gt;=Inputs!$C$44,SUMIFS(F$5:F178,B$5:B178,"brand",C$5:C178,C178,E$5:E178,"paid")-F178&lt;Inputs!$C$44),1,0),0)</f>
        <v>0</v>
      </c>
    </row>
    <row r="179" customFormat="false" ht="15" hidden="false" customHeight="false" outlineLevel="0" collapsed="false">
      <c r="A179" s="102"/>
      <c r="B179" s="103"/>
      <c r="C179" s="103"/>
      <c r="D179" s="103"/>
      <c r="E179" s="103"/>
      <c r="F179" s="103"/>
      <c r="G179" s="103"/>
      <c r="H179" s="103"/>
      <c r="I179" s="103"/>
      <c r="T179" s="30" t="str">
        <f aca="false">IF(C179="","",IF(COUNTIFS(C$5:C179,C179,E$5:E179,E179)=1,1,0))</f>
        <v/>
      </c>
      <c r="U179" s="30" t="n">
        <f aca="false">IF(C179="",0,IF(AND(B179="brand",E179="budget_probe",N(F179)&gt;=Inputs!$C$124,H179="Y"),1,0))</f>
        <v>0</v>
      </c>
      <c r="V179" s="30" t="n">
        <f aca="false">IF(U179=1,IF(COUNTIFS(C$5:C179,C179,U$5:U179,1)=1,1,0),0)</f>
        <v>0</v>
      </c>
      <c r="W179" s="30" t="n">
        <f aca="false">IF(C179="",0,IF(AND(B179="office",E179="budget_probe",N(F179)&gt;=Inputs!$C$139),1,0))</f>
        <v>0</v>
      </c>
      <c r="X179" s="30" t="n">
        <f aca="false">IF(W179=1,IF(COUNTIFS(C$5:C179,C179,W$5:W179,1)=1,1,0),0)</f>
        <v>0</v>
      </c>
      <c r="Y179" s="30" t="n">
        <f aca="false">IF(C179="",0,IF(AND(B179="brand",E179="renewal_answer",TRIM(G179)="yes",N(F179)&gt;=Inputs!$C$135),1,0))</f>
        <v>0</v>
      </c>
      <c r="Z179" s="30" t="n">
        <f aca="false">IF(Y179=1,IF(COUNTIFS(C$5:C179,C179,Y$5:Y179,1)=1,1,0),0)</f>
        <v>0</v>
      </c>
      <c r="AA179" s="30" t="n">
        <f aca="false">IF(AND(E179="budget_probe",ISNUMBER(F179),I179&lt;&gt;Lists!$X$4),1,0)</f>
        <v>0</v>
      </c>
      <c r="AB179" s="30" t="str">
        <f aca="false">IF(AND(B179="office",AA179=1,COUNTIFS(C$5:C179,C179,AA$5:AA179,1)=1),F179,"")</f>
        <v/>
      </c>
      <c r="AC179" s="30" t="str">
        <f aca="false">IF(AND(B179="brand",AA179=1,COUNTIFS(C$5:C179,C179,AA$5:AA179,1)=1),F179,"")</f>
        <v/>
      </c>
      <c r="AD179" s="30" t="str">
        <f aca="false">IF(AND(B179="brand",E179="budget_probe",ISNUMBER(F179),I179=Lists!$X$4),IF(COUNTIFS(C$5:C179,C179,E$5:E179,"budget_probe",I$5:I179,Lists!$X$4)=1,F179,""),"")</f>
        <v/>
      </c>
      <c r="AE179" s="30" t="n">
        <f aca="false">IF(AND(B179="brand",E179="paid",ISNUMBER(F179)),IF(AND(SUMIFS(F$5:F179,B$5:B179,"brand",C$5:C179,C179,E$5:E179,"paid")&gt;=Inputs!$C$44,SUMIFS(F$5:F179,B$5:B179,"brand",C$5:C179,C179,E$5:E179,"paid")-F179&lt;Inputs!$C$44),1,0),0)</f>
        <v>0</v>
      </c>
    </row>
    <row r="180" customFormat="false" ht="15" hidden="false" customHeight="false" outlineLevel="0" collapsed="false">
      <c r="A180" s="102"/>
      <c r="B180" s="103"/>
      <c r="C180" s="103"/>
      <c r="D180" s="103"/>
      <c r="E180" s="103"/>
      <c r="F180" s="103"/>
      <c r="G180" s="103"/>
      <c r="H180" s="103"/>
      <c r="I180" s="103"/>
      <c r="T180" s="30" t="str">
        <f aca="false">IF(C180="","",IF(COUNTIFS(C$5:C180,C180,E$5:E180,E180)=1,1,0))</f>
        <v/>
      </c>
      <c r="U180" s="30" t="n">
        <f aca="false">IF(C180="",0,IF(AND(B180="brand",E180="budget_probe",N(F180)&gt;=Inputs!$C$124,H180="Y"),1,0))</f>
        <v>0</v>
      </c>
      <c r="V180" s="30" t="n">
        <f aca="false">IF(U180=1,IF(COUNTIFS(C$5:C180,C180,U$5:U180,1)=1,1,0),0)</f>
        <v>0</v>
      </c>
      <c r="W180" s="30" t="n">
        <f aca="false">IF(C180="",0,IF(AND(B180="office",E180="budget_probe",N(F180)&gt;=Inputs!$C$139),1,0))</f>
        <v>0</v>
      </c>
      <c r="X180" s="30" t="n">
        <f aca="false">IF(W180=1,IF(COUNTIFS(C$5:C180,C180,W$5:W180,1)=1,1,0),0)</f>
        <v>0</v>
      </c>
      <c r="Y180" s="30" t="n">
        <f aca="false">IF(C180="",0,IF(AND(B180="brand",E180="renewal_answer",TRIM(G180)="yes",N(F180)&gt;=Inputs!$C$135),1,0))</f>
        <v>0</v>
      </c>
      <c r="Z180" s="30" t="n">
        <f aca="false">IF(Y180=1,IF(COUNTIFS(C$5:C180,C180,Y$5:Y180,1)=1,1,0),0)</f>
        <v>0</v>
      </c>
      <c r="AA180" s="30" t="n">
        <f aca="false">IF(AND(E180="budget_probe",ISNUMBER(F180),I180&lt;&gt;Lists!$X$4),1,0)</f>
        <v>0</v>
      </c>
      <c r="AB180" s="30" t="str">
        <f aca="false">IF(AND(B180="office",AA180=1,COUNTIFS(C$5:C180,C180,AA$5:AA180,1)=1),F180,"")</f>
        <v/>
      </c>
      <c r="AC180" s="30" t="str">
        <f aca="false">IF(AND(B180="brand",AA180=1,COUNTIFS(C$5:C180,C180,AA$5:AA180,1)=1),F180,"")</f>
        <v/>
      </c>
      <c r="AD180" s="30" t="str">
        <f aca="false">IF(AND(B180="brand",E180="budget_probe",ISNUMBER(F180),I180=Lists!$X$4),IF(COUNTIFS(C$5:C180,C180,E$5:E180,"budget_probe",I$5:I180,Lists!$X$4)=1,F180,""),"")</f>
        <v/>
      </c>
      <c r="AE180" s="30" t="n">
        <f aca="false">IF(AND(B180="brand",E180="paid",ISNUMBER(F180)),IF(AND(SUMIFS(F$5:F180,B$5:B180,"brand",C$5:C180,C180,E$5:E180,"paid")&gt;=Inputs!$C$44,SUMIFS(F$5:F180,B$5:B180,"brand",C$5:C180,C180,E$5:E180,"paid")-F180&lt;Inputs!$C$44),1,0),0)</f>
        <v>0</v>
      </c>
    </row>
    <row r="181" customFormat="false" ht="15" hidden="false" customHeight="false" outlineLevel="0" collapsed="false">
      <c r="A181" s="102"/>
      <c r="B181" s="103"/>
      <c r="C181" s="103"/>
      <c r="D181" s="103"/>
      <c r="E181" s="103"/>
      <c r="F181" s="103"/>
      <c r="G181" s="103"/>
      <c r="H181" s="103"/>
      <c r="I181" s="103"/>
      <c r="T181" s="30" t="str">
        <f aca="false">IF(C181="","",IF(COUNTIFS(C$5:C181,C181,E$5:E181,E181)=1,1,0))</f>
        <v/>
      </c>
      <c r="U181" s="30" t="n">
        <f aca="false">IF(C181="",0,IF(AND(B181="brand",E181="budget_probe",N(F181)&gt;=Inputs!$C$124,H181="Y"),1,0))</f>
        <v>0</v>
      </c>
      <c r="V181" s="30" t="n">
        <f aca="false">IF(U181=1,IF(COUNTIFS(C$5:C181,C181,U$5:U181,1)=1,1,0),0)</f>
        <v>0</v>
      </c>
      <c r="W181" s="30" t="n">
        <f aca="false">IF(C181="",0,IF(AND(B181="office",E181="budget_probe",N(F181)&gt;=Inputs!$C$139),1,0))</f>
        <v>0</v>
      </c>
      <c r="X181" s="30" t="n">
        <f aca="false">IF(W181=1,IF(COUNTIFS(C$5:C181,C181,W$5:W181,1)=1,1,0),0)</f>
        <v>0</v>
      </c>
      <c r="Y181" s="30" t="n">
        <f aca="false">IF(C181="",0,IF(AND(B181="brand",E181="renewal_answer",TRIM(G181)="yes",N(F181)&gt;=Inputs!$C$135),1,0))</f>
        <v>0</v>
      </c>
      <c r="Z181" s="30" t="n">
        <f aca="false">IF(Y181=1,IF(COUNTIFS(C$5:C181,C181,Y$5:Y181,1)=1,1,0),0)</f>
        <v>0</v>
      </c>
      <c r="AA181" s="30" t="n">
        <f aca="false">IF(AND(E181="budget_probe",ISNUMBER(F181),I181&lt;&gt;Lists!$X$4),1,0)</f>
        <v>0</v>
      </c>
      <c r="AB181" s="30" t="str">
        <f aca="false">IF(AND(B181="office",AA181=1,COUNTIFS(C$5:C181,C181,AA$5:AA181,1)=1),F181,"")</f>
        <v/>
      </c>
      <c r="AC181" s="30" t="str">
        <f aca="false">IF(AND(B181="brand",AA181=1,COUNTIFS(C$5:C181,C181,AA$5:AA181,1)=1),F181,"")</f>
        <v/>
      </c>
      <c r="AD181" s="30" t="str">
        <f aca="false">IF(AND(B181="brand",E181="budget_probe",ISNUMBER(F181),I181=Lists!$X$4),IF(COUNTIFS(C$5:C181,C181,E$5:E181,"budget_probe",I$5:I181,Lists!$X$4)=1,F181,""),"")</f>
        <v/>
      </c>
      <c r="AE181" s="30" t="n">
        <f aca="false">IF(AND(B181="brand",E181="paid",ISNUMBER(F181)),IF(AND(SUMIFS(F$5:F181,B$5:B181,"brand",C$5:C181,C181,E$5:E181,"paid")&gt;=Inputs!$C$44,SUMIFS(F$5:F181,B$5:B181,"brand",C$5:C181,C181,E$5:E181,"paid")-F181&lt;Inputs!$C$44),1,0),0)</f>
        <v>0</v>
      </c>
    </row>
    <row r="182" customFormat="false" ht="15" hidden="false" customHeight="false" outlineLevel="0" collapsed="false">
      <c r="A182" s="102"/>
      <c r="B182" s="103"/>
      <c r="C182" s="103"/>
      <c r="D182" s="103"/>
      <c r="E182" s="103"/>
      <c r="F182" s="103"/>
      <c r="G182" s="103"/>
      <c r="H182" s="103"/>
      <c r="I182" s="103"/>
      <c r="T182" s="30" t="str">
        <f aca="false">IF(C182="","",IF(COUNTIFS(C$5:C182,C182,E$5:E182,E182)=1,1,0))</f>
        <v/>
      </c>
      <c r="U182" s="30" t="n">
        <f aca="false">IF(C182="",0,IF(AND(B182="brand",E182="budget_probe",N(F182)&gt;=Inputs!$C$124,H182="Y"),1,0))</f>
        <v>0</v>
      </c>
      <c r="V182" s="30" t="n">
        <f aca="false">IF(U182=1,IF(COUNTIFS(C$5:C182,C182,U$5:U182,1)=1,1,0),0)</f>
        <v>0</v>
      </c>
      <c r="W182" s="30" t="n">
        <f aca="false">IF(C182="",0,IF(AND(B182="office",E182="budget_probe",N(F182)&gt;=Inputs!$C$139),1,0))</f>
        <v>0</v>
      </c>
      <c r="X182" s="30" t="n">
        <f aca="false">IF(W182=1,IF(COUNTIFS(C$5:C182,C182,W$5:W182,1)=1,1,0),0)</f>
        <v>0</v>
      </c>
      <c r="Y182" s="30" t="n">
        <f aca="false">IF(C182="",0,IF(AND(B182="brand",E182="renewal_answer",TRIM(G182)="yes",N(F182)&gt;=Inputs!$C$135),1,0))</f>
        <v>0</v>
      </c>
      <c r="Z182" s="30" t="n">
        <f aca="false">IF(Y182=1,IF(COUNTIFS(C$5:C182,C182,Y$5:Y182,1)=1,1,0),0)</f>
        <v>0</v>
      </c>
      <c r="AA182" s="30" t="n">
        <f aca="false">IF(AND(E182="budget_probe",ISNUMBER(F182),I182&lt;&gt;Lists!$X$4),1,0)</f>
        <v>0</v>
      </c>
      <c r="AB182" s="30" t="str">
        <f aca="false">IF(AND(B182="office",AA182=1,COUNTIFS(C$5:C182,C182,AA$5:AA182,1)=1),F182,"")</f>
        <v/>
      </c>
      <c r="AC182" s="30" t="str">
        <f aca="false">IF(AND(B182="brand",AA182=1,COUNTIFS(C$5:C182,C182,AA$5:AA182,1)=1),F182,"")</f>
        <v/>
      </c>
      <c r="AD182" s="30" t="str">
        <f aca="false">IF(AND(B182="brand",E182="budget_probe",ISNUMBER(F182),I182=Lists!$X$4),IF(COUNTIFS(C$5:C182,C182,E$5:E182,"budget_probe",I$5:I182,Lists!$X$4)=1,F182,""),"")</f>
        <v/>
      </c>
      <c r="AE182" s="30" t="n">
        <f aca="false">IF(AND(B182="brand",E182="paid",ISNUMBER(F182)),IF(AND(SUMIFS(F$5:F182,B$5:B182,"brand",C$5:C182,C182,E$5:E182,"paid")&gt;=Inputs!$C$44,SUMIFS(F$5:F182,B$5:B182,"brand",C$5:C182,C182,E$5:E182,"paid")-F182&lt;Inputs!$C$44),1,0),0)</f>
        <v>0</v>
      </c>
    </row>
    <row r="183" customFormat="false" ht="15" hidden="false" customHeight="false" outlineLevel="0" collapsed="false">
      <c r="A183" s="102"/>
      <c r="B183" s="103"/>
      <c r="C183" s="103"/>
      <c r="D183" s="103"/>
      <c r="E183" s="103"/>
      <c r="F183" s="103"/>
      <c r="G183" s="103"/>
      <c r="H183" s="103"/>
      <c r="I183" s="103"/>
      <c r="T183" s="30" t="str">
        <f aca="false">IF(C183="","",IF(COUNTIFS(C$5:C183,C183,E$5:E183,E183)=1,1,0))</f>
        <v/>
      </c>
      <c r="U183" s="30" t="n">
        <f aca="false">IF(C183="",0,IF(AND(B183="brand",E183="budget_probe",N(F183)&gt;=Inputs!$C$124,H183="Y"),1,0))</f>
        <v>0</v>
      </c>
      <c r="V183" s="30" t="n">
        <f aca="false">IF(U183=1,IF(COUNTIFS(C$5:C183,C183,U$5:U183,1)=1,1,0),0)</f>
        <v>0</v>
      </c>
      <c r="W183" s="30" t="n">
        <f aca="false">IF(C183="",0,IF(AND(B183="office",E183="budget_probe",N(F183)&gt;=Inputs!$C$139),1,0))</f>
        <v>0</v>
      </c>
      <c r="X183" s="30" t="n">
        <f aca="false">IF(W183=1,IF(COUNTIFS(C$5:C183,C183,W$5:W183,1)=1,1,0),0)</f>
        <v>0</v>
      </c>
      <c r="Y183" s="30" t="n">
        <f aca="false">IF(C183="",0,IF(AND(B183="brand",E183="renewal_answer",TRIM(G183)="yes",N(F183)&gt;=Inputs!$C$135),1,0))</f>
        <v>0</v>
      </c>
      <c r="Z183" s="30" t="n">
        <f aca="false">IF(Y183=1,IF(COUNTIFS(C$5:C183,C183,Y$5:Y183,1)=1,1,0),0)</f>
        <v>0</v>
      </c>
      <c r="AA183" s="30" t="n">
        <f aca="false">IF(AND(E183="budget_probe",ISNUMBER(F183),I183&lt;&gt;Lists!$X$4),1,0)</f>
        <v>0</v>
      </c>
      <c r="AB183" s="30" t="str">
        <f aca="false">IF(AND(B183="office",AA183=1,COUNTIFS(C$5:C183,C183,AA$5:AA183,1)=1),F183,"")</f>
        <v/>
      </c>
      <c r="AC183" s="30" t="str">
        <f aca="false">IF(AND(B183="brand",AA183=1,COUNTIFS(C$5:C183,C183,AA$5:AA183,1)=1),F183,"")</f>
        <v/>
      </c>
      <c r="AD183" s="30" t="str">
        <f aca="false">IF(AND(B183="brand",E183="budget_probe",ISNUMBER(F183),I183=Lists!$X$4),IF(COUNTIFS(C$5:C183,C183,E$5:E183,"budget_probe",I$5:I183,Lists!$X$4)=1,F183,""),"")</f>
        <v/>
      </c>
      <c r="AE183" s="30" t="n">
        <f aca="false">IF(AND(B183="brand",E183="paid",ISNUMBER(F183)),IF(AND(SUMIFS(F$5:F183,B$5:B183,"brand",C$5:C183,C183,E$5:E183,"paid")&gt;=Inputs!$C$44,SUMIFS(F$5:F183,B$5:B183,"brand",C$5:C183,C183,E$5:E183,"paid")-F183&lt;Inputs!$C$44),1,0),0)</f>
        <v>0</v>
      </c>
    </row>
    <row r="184" customFormat="false" ht="15" hidden="false" customHeight="false" outlineLevel="0" collapsed="false">
      <c r="A184" s="102"/>
      <c r="B184" s="103"/>
      <c r="C184" s="103"/>
      <c r="D184" s="103"/>
      <c r="E184" s="103"/>
      <c r="F184" s="103"/>
      <c r="G184" s="103"/>
      <c r="H184" s="103"/>
      <c r="I184" s="103"/>
      <c r="T184" s="30" t="str">
        <f aca="false">IF(C184="","",IF(COUNTIFS(C$5:C184,C184,E$5:E184,E184)=1,1,0))</f>
        <v/>
      </c>
      <c r="U184" s="30" t="n">
        <f aca="false">IF(C184="",0,IF(AND(B184="brand",E184="budget_probe",N(F184)&gt;=Inputs!$C$124,H184="Y"),1,0))</f>
        <v>0</v>
      </c>
      <c r="V184" s="30" t="n">
        <f aca="false">IF(U184=1,IF(COUNTIFS(C$5:C184,C184,U$5:U184,1)=1,1,0),0)</f>
        <v>0</v>
      </c>
      <c r="W184" s="30" t="n">
        <f aca="false">IF(C184="",0,IF(AND(B184="office",E184="budget_probe",N(F184)&gt;=Inputs!$C$139),1,0))</f>
        <v>0</v>
      </c>
      <c r="X184" s="30" t="n">
        <f aca="false">IF(W184=1,IF(COUNTIFS(C$5:C184,C184,W$5:W184,1)=1,1,0),0)</f>
        <v>0</v>
      </c>
      <c r="Y184" s="30" t="n">
        <f aca="false">IF(C184="",0,IF(AND(B184="brand",E184="renewal_answer",TRIM(G184)="yes",N(F184)&gt;=Inputs!$C$135),1,0))</f>
        <v>0</v>
      </c>
      <c r="Z184" s="30" t="n">
        <f aca="false">IF(Y184=1,IF(COUNTIFS(C$5:C184,C184,Y$5:Y184,1)=1,1,0),0)</f>
        <v>0</v>
      </c>
      <c r="AA184" s="30" t="n">
        <f aca="false">IF(AND(E184="budget_probe",ISNUMBER(F184),I184&lt;&gt;Lists!$X$4),1,0)</f>
        <v>0</v>
      </c>
      <c r="AB184" s="30" t="str">
        <f aca="false">IF(AND(B184="office",AA184=1,COUNTIFS(C$5:C184,C184,AA$5:AA184,1)=1),F184,"")</f>
        <v/>
      </c>
      <c r="AC184" s="30" t="str">
        <f aca="false">IF(AND(B184="brand",AA184=1,COUNTIFS(C$5:C184,C184,AA$5:AA184,1)=1),F184,"")</f>
        <v/>
      </c>
      <c r="AD184" s="30" t="str">
        <f aca="false">IF(AND(B184="brand",E184="budget_probe",ISNUMBER(F184),I184=Lists!$X$4),IF(COUNTIFS(C$5:C184,C184,E$5:E184,"budget_probe",I$5:I184,Lists!$X$4)=1,F184,""),"")</f>
        <v/>
      </c>
      <c r="AE184" s="30" t="n">
        <f aca="false">IF(AND(B184="brand",E184="paid",ISNUMBER(F184)),IF(AND(SUMIFS(F$5:F184,B$5:B184,"brand",C$5:C184,C184,E$5:E184,"paid")&gt;=Inputs!$C$44,SUMIFS(F$5:F184,B$5:B184,"brand",C$5:C184,C184,E$5:E184,"paid")-F184&lt;Inputs!$C$44),1,0),0)</f>
        <v>0</v>
      </c>
    </row>
    <row r="185" customFormat="false" ht="15" hidden="false" customHeight="false" outlineLevel="0" collapsed="false">
      <c r="A185" s="102"/>
      <c r="B185" s="103"/>
      <c r="C185" s="103"/>
      <c r="D185" s="103"/>
      <c r="E185" s="103"/>
      <c r="F185" s="103"/>
      <c r="G185" s="103"/>
      <c r="H185" s="103"/>
      <c r="I185" s="103"/>
      <c r="T185" s="30" t="str">
        <f aca="false">IF(C185="","",IF(COUNTIFS(C$5:C185,C185,E$5:E185,E185)=1,1,0))</f>
        <v/>
      </c>
      <c r="U185" s="30" t="n">
        <f aca="false">IF(C185="",0,IF(AND(B185="brand",E185="budget_probe",N(F185)&gt;=Inputs!$C$124,H185="Y"),1,0))</f>
        <v>0</v>
      </c>
      <c r="V185" s="30" t="n">
        <f aca="false">IF(U185=1,IF(COUNTIFS(C$5:C185,C185,U$5:U185,1)=1,1,0),0)</f>
        <v>0</v>
      </c>
      <c r="W185" s="30" t="n">
        <f aca="false">IF(C185="",0,IF(AND(B185="office",E185="budget_probe",N(F185)&gt;=Inputs!$C$139),1,0))</f>
        <v>0</v>
      </c>
      <c r="X185" s="30" t="n">
        <f aca="false">IF(W185=1,IF(COUNTIFS(C$5:C185,C185,W$5:W185,1)=1,1,0),0)</f>
        <v>0</v>
      </c>
      <c r="Y185" s="30" t="n">
        <f aca="false">IF(C185="",0,IF(AND(B185="brand",E185="renewal_answer",TRIM(G185)="yes",N(F185)&gt;=Inputs!$C$135),1,0))</f>
        <v>0</v>
      </c>
      <c r="Z185" s="30" t="n">
        <f aca="false">IF(Y185=1,IF(COUNTIFS(C$5:C185,C185,Y$5:Y185,1)=1,1,0),0)</f>
        <v>0</v>
      </c>
      <c r="AA185" s="30" t="n">
        <f aca="false">IF(AND(E185="budget_probe",ISNUMBER(F185),I185&lt;&gt;Lists!$X$4),1,0)</f>
        <v>0</v>
      </c>
      <c r="AB185" s="30" t="str">
        <f aca="false">IF(AND(B185="office",AA185=1,COUNTIFS(C$5:C185,C185,AA$5:AA185,1)=1),F185,"")</f>
        <v/>
      </c>
      <c r="AC185" s="30" t="str">
        <f aca="false">IF(AND(B185="brand",AA185=1,COUNTIFS(C$5:C185,C185,AA$5:AA185,1)=1),F185,"")</f>
        <v/>
      </c>
      <c r="AD185" s="30" t="str">
        <f aca="false">IF(AND(B185="brand",E185="budget_probe",ISNUMBER(F185),I185=Lists!$X$4),IF(COUNTIFS(C$5:C185,C185,E$5:E185,"budget_probe",I$5:I185,Lists!$X$4)=1,F185,""),"")</f>
        <v/>
      </c>
      <c r="AE185" s="30" t="n">
        <f aca="false">IF(AND(B185="brand",E185="paid",ISNUMBER(F185)),IF(AND(SUMIFS(F$5:F185,B$5:B185,"brand",C$5:C185,C185,E$5:E185,"paid")&gt;=Inputs!$C$44,SUMIFS(F$5:F185,B$5:B185,"brand",C$5:C185,C185,E$5:E185,"paid")-F185&lt;Inputs!$C$44),1,0),0)</f>
        <v>0</v>
      </c>
    </row>
    <row r="186" customFormat="false" ht="15" hidden="false" customHeight="false" outlineLevel="0" collapsed="false">
      <c r="A186" s="102"/>
      <c r="B186" s="103"/>
      <c r="C186" s="103"/>
      <c r="D186" s="103"/>
      <c r="E186" s="103"/>
      <c r="F186" s="103"/>
      <c r="G186" s="103"/>
      <c r="H186" s="103"/>
      <c r="I186" s="103"/>
      <c r="T186" s="30" t="str">
        <f aca="false">IF(C186="","",IF(COUNTIFS(C$5:C186,C186,E$5:E186,E186)=1,1,0))</f>
        <v/>
      </c>
      <c r="U186" s="30" t="n">
        <f aca="false">IF(C186="",0,IF(AND(B186="brand",E186="budget_probe",N(F186)&gt;=Inputs!$C$124,H186="Y"),1,0))</f>
        <v>0</v>
      </c>
      <c r="V186" s="30" t="n">
        <f aca="false">IF(U186=1,IF(COUNTIFS(C$5:C186,C186,U$5:U186,1)=1,1,0),0)</f>
        <v>0</v>
      </c>
      <c r="W186" s="30" t="n">
        <f aca="false">IF(C186="",0,IF(AND(B186="office",E186="budget_probe",N(F186)&gt;=Inputs!$C$139),1,0))</f>
        <v>0</v>
      </c>
      <c r="X186" s="30" t="n">
        <f aca="false">IF(W186=1,IF(COUNTIFS(C$5:C186,C186,W$5:W186,1)=1,1,0),0)</f>
        <v>0</v>
      </c>
      <c r="Y186" s="30" t="n">
        <f aca="false">IF(C186="",0,IF(AND(B186="brand",E186="renewal_answer",TRIM(G186)="yes",N(F186)&gt;=Inputs!$C$135),1,0))</f>
        <v>0</v>
      </c>
      <c r="Z186" s="30" t="n">
        <f aca="false">IF(Y186=1,IF(COUNTIFS(C$5:C186,C186,Y$5:Y186,1)=1,1,0),0)</f>
        <v>0</v>
      </c>
      <c r="AA186" s="30" t="n">
        <f aca="false">IF(AND(E186="budget_probe",ISNUMBER(F186),I186&lt;&gt;Lists!$X$4),1,0)</f>
        <v>0</v>
      </c>
      <c r="AB186" s="30" t="str">
        <f aca="false">IF(AND(B186="office",AA186=1,COUNTIFS(C$5:C186,C186,AA$5:AA186,1)=1),F186,"")</f>
        <v/>
      </c>
      <c r="AC186" s="30" t="str">
        <f aca="false">IF(AND(B186="brand",AA186=1,COUNTIFS(C$5:C186,C186,AA$5:AA186,1)=1),F186,"")</f>
        <v/>
      </c>
      <c r="AD186" s="30" t="str">
        <f aca="false">IF(AND(B186="brand",E186="budget_probe",ISNUMBER(F186),I186=Lists!$X$4),IF(COUNTIFS(C$5:C186,C186,E$5:E186,"budget_probe",I$5:I186,Lists!$X$4)=1,F186,""),"")</f>
        <v/>
      </c>
      <c r="AE186" s="30" t="n">
        <f aca="false">IF(AND(B186="brand",E186="paid",ISNUMBER(F186)),IF(AND(SUMIFS(F$5:F186,B$5:B186,"brand",C$5:C186,C186,E$5:E186,"paid")&gt;=Inputs!$C$44,SUMIFS(F$5:F186,B$5:B186,"brand",C$5:C186,C186,E$5:E186,"paid")-F186&lt;Inputs!$C$44),1,0),0)</f>
        <v>0</v>
      </c>
    </row>
    <row r="187" customFormat="false" ht="15" hidden="false" customHeight="false" outlineLevel="0" collapsed="false">
      <c r="A187" s="102"/>
      <c r="B187" s="103"/>
      <c r="C187" s="103"/>
      <c r="D187" s="103"/>
      <c r="E187" s="103"/>
      <c r="F187" s="103"/>
      <c r="G187" s="103"/>
      <c r="H187" s="103"/>
      <c r="I187" s="103"/>
      <c r="T187" s="30" t="str">
        <f aca="false">IF(C187="","",IF(COUNTIFS(C$5:C187,C187,E$5:E187,E187)=1,1,0))</f>
        <v/>
      </c>
      <c r="U187" s="30" t="n">
        <f aca="false">IF(C187="",0,IF(AND(B187="brand",E187="budget_probe",N(F187)&gt;=Inputs!$C$124,H187="Y"),1,0))</f>
        <v>0</v>
      </c>
      <c r="V187" s="30" t="n">
        <f aca="false">IF(U187=1,IF(COUNTIFS(C$5:C187,C187,U$5:U187,1)=1,1,0),0)</f>
        <v>0</v>
      </c>
      <c r="W187" s="30" t="n">
        <f aca="false">IF(C187="",0,IF(AND(B187="office",E187="budget_probe",N(F187)&gt;=Inputs!$C$139),1,0))</f>
        <v>0</v>
      </c>
      <c r="X187" s="30" t="n">
        <f aca="false">IF(W187=1,IF(COUNTIFS(C$5:C187,C187,W$5:W187,1)=1,1,0),0)</f>
        <v>0</v>
      </c>
      <c r="Y187" s="30" t="n">
        <f aca="false">IF(C187="",0,IF(AND(B187="brand",E187="renewal_answer",TRIM(G187)="yes",N(F187)&gt;=Inputs!$C$135),1,0))</f>
        <v>0</v>
      </c>
      <c r="Z187" s="30" t="n">
        <f aca="false">IF(Y187=1,IF(COUNTIFS(C$5:C187,C187,Y$5:Y187,1)=1,1,0),0)</f>
        <v>0</v>
      </c>
      <c r="AA187" s="30" t="n">
        <f aca="false">IF(AND(E187="budget_probe",ISNUMBER(F187),I187&lt;&gt;Lists!$X$4),1,0)</f>
        <v>0</v>
      </c>
      <c r="AB187" s="30" t="str">
        <f aca="false">IF(AND(B187="office",AA187=1,COUNTIFS(C$5:C187,C187,AA$5:AA187,1)=1),F187,"")</f>
        <v/>
      </c>
      <c r="AC187" s="30" t="str">
        <f aca="false">IF(AND(B187="brand",AA187=1,COUNTIFS(C$5:C187,C187,AA$5:AA187,1)=1),F187,"")</f>
        <v/>
      </c>
      <c r="AD187" s="30" t="str">
        <f aca="false">IF(AND(B187="brand",E187="budget_probe",ISNUMBER(F187),I187=Lists!$X$4),IF(COUNTIFS(C$5:C187,C187,E$5:E187,"budget_probe",I$5:I187,Lists!$X$4)=1,F187,""),"")</f>
        <v/>
      </c>
      <c r="AE187" s="30" t="n">
        <f aca="false">IF(AND(B187="brand",E187="paid",ISNUMBER(F187)),IF(AND(SUMIFS(F$5:F187,B$5:B187,"brand",C$5:C187,C187,E$5:E187,"paid")&gt;=Inputs!$C$44,SUMIFS(F$5:F187,B$5:B187,"brand",C$5:C187,C187,E$5:E187,"paid")-F187&lt;Inputs!$C$44),1,0),0)</f>
        <v>0</v>
      </c>
    </row>
    <row r="188" customFormat="false" ht="15" hidden="false" customHeight="false" outlineLevel="0" collapsed="false">
      <c r="A188" s="102"/>
      <c r="B188" s="103"/>
      <c r="C188" s="103"/>
      <c r="D188" s="103"/>
      <c r="E188" s="103"/>
      <c r="F188" s="103"/>
      <c r="G188" s="103"/>
      <c r="H188" s="103"/>
      <c r="I188" s="103"/>
      <c r="T188" s="30" t="str">
        <f aca="false">IF(C188="","",IF(COUNTIFS(C$5:C188,C188,E$5:E188,E188)=1,1,0))</f>
        <v/>
      </c>
      <c r="U188" s="30" t="n">
        <f aca="false">IF(C188="",0,IF(AND(B188="brand",E188="budget_probe",N(F188)&gt;=Inputs!$C$124,H188="Y"),1,0))</f>
        <v>0</v>
      </c>
      <c r="V188" s="30" t="n">
        <f aca="false">IF(U188=1,IF(COUNTIFS(C$5:C188,C188,U$5:U188,1)=1,1,0),0)</f>
        <v>0</v>
      </c>
      <c r="W188" s="30" t="n">
        <f aca="false">IF(C188="",0,IF(AND(B188="office",E188="budget_probe",N(F188)&gt;=Inputs!$C$139),1,0))</f>
        <v>0</v>
      </c>
      <c r="X188" s="30" t="n">
        <f aca="false">IF(W188=1,IF(COUNTIFS(C$5:C188,C188,W$5:W188,1)=1,1,0),0)</f>
        <v>0</v>
      </c>
      <c r="Y188" s="30" t="n">
        <f aca="false">IF(C188="",0,IF(AND(B188="brand",E188="renewal_answer",TRIM(G188)="yes",N(F188)&gt;=Inputs!$C$135),1,0))</f>
        <v>0</v>
      </c>
      <c r="Z188" s="30" t="n">
        <f aca="false">IF(Y188=1,IF(COUNTIFS(C$5:C188,C188,Y$5:Y188,1)=1,1,0),0)</f>
        <v>0</v>
      </c>
      <c r="AA188" s="30" t="n">
        <f aca="false">IF(AND(E188="budget_probe",ISNUMBER(F188),I188&lt;&gt;Lists!$X$4),1,0)</f>
        <v>0</v>
      </c>
      <c r="AB188" s="30" t="str">
        <f aca="false">IF(AND(B188="office",AA188=1,COUNTIFS(C$5:C188,C188,AA$5:AA188,1)=1),F188,"")</f>
        <v/>
      </c>
      <c r="AC188" s="30" t="str">
        <f aca="false">IF(AND(B188="brand",AA188=1,COUNTIFS(C$5:C188,C188,AA$5:AA188,1)=1),F188,"")</f>
        <v/>
      </c>
      <c r="AD188" s="30" t="str">
        <f aca="false">IF(AND(B188="brand",E188="budget_probe",ISNUMBER(F188),I188=Lists!$X$4),IF(COUNTIFS(C$5:C188,C188,E$5:E188,"budget_probe",I$5:I188,Lists!$X$4)=1,F188,""),"")</f>
        <v/>
      </c>
      <c r="AE188" s="30" t="n">
        <f aca="false">IF(AND(B188="brand",E188="paid",ISNUMBER(F188)),IF(AND(SUMIFS(F$5:F188,B$5:B188,"brand",C$5:C188,C188,E$5:E188,"paid")&gt;=Inputs!$C$44,SUMIFS(F$5:F188,B$5:B188,"brand",C$5:C188,C188,E$5:E188,"paid")-F188&lt;Inputs!$C$44),1,0),0)</f>
        <v>0</v>
      </c>
    </row>
    <row r="189" customFormat="false" ht="15" hidden="false" customHeight="false" outlineLevel="0" collapsed="false">
      <c r="A189" s="102"/>
      <c r="B189" s="103"/>
      <c r="C189" s="103"/>
      <c r="D189" s="103"/>
      <c r="E189" s="103"/>
      <c r="F189" s="103"/>
      <c r="G189" s="103"/>
      <c r="H189" s="103"/>
      <c r="I189" s="103"/>
      <c r="T189" s="30" t="str">
        <f aca="false">IF(C189="","",IF(COUNTIFS(C$5:C189,C189,E$5:E189,E189)=1,1,0))</f>
        <v/>
      </c>
      <c r="U189" s="30" t="n">
        <f aca="false">IF(C189="",0,IF(AND(B189="brand",E189="budget_probe",N(F189)&gt;=Inputs!$C$124,H189="Y"),1,0))</f>
        <v>0</v>
      </c>
      <c r="V189" s="30" t="n">
        <f aca="false">IF(U189=1,IF(COUNTIFS(C$5:C189,C189,U$5:U189,1)=1,1,0),0)</f>
        <v>0</v>
      </c>
      <c r="W189" s="30" t="n">
        <f aca="false">IF(C189="",0,IF(AND(B189="office",E189="budget_probe",N(F189)&gt;=Inputs!$C$139),1,0))</f>
        <v>0</v>
      </c>
      <c r="X189" s="30" t="n">
        <f aca="false">IF(W189=1,IF(COUNTIFS(C$5:C189,C189,W$5:W189,1)=1,1,0),0)</f>
        <v>0</v>
      </c>
      <c r="Y189" s="30" t="n">
        <f aca="false">IF(C189="",0,IF(AND(B189="brand",E189="renewal_answer",TRIM(G189)="yes",N(F189)&gt;=Inputs!$C$135),1,0))</f>
        <v>0</v>
      </c>
      <c r="Z189" s="30" t="n">
        <f aca="false">IF(Y189=1,IF(COUNTIFS(C$5:C189,C189,Y$5:Y189,1)=1,1,0),0)</f>
        <v>0</v>
      </c>
      <c r="AA189" s="30" t="n">
        <f aca="false">IF(AND(E189="budget_probe",ISNUMBER(F189),I189&lt;&gt;Lists!$X$4),1,0)</f>
        <v>0</v>
      </c>
      <c r="AB189" s="30" t="str">
        <f aca="false">IF(AND(B189="office",AA189=1,COUNTIFS(C$5:C189,C189,AA$5:AA189,1)=1),F189,"")</f>
        <v/>
      </c>
      <c r="AC189" s="30" t="str">
        <f aca="false">IF(AND(B189="brand",AA189=1,COUNTIFS(C$5:C189,C189,AA$5:AA189,1)=1),F189,"")</f>
        <v/>
      </c>
      <c r="AD189" s="30" t="str">
        <f aca="false">IF(AND(B189="brand",E189="budget_probe",ISNUMBER(F189),I189=Lists!$X$4),IF(COUNTIFS(C$5:C189,C189,E$5:E189,"budget_probe",I$5:I189,Lists!$X$4)=1,F189,""),"")</f>
        <v/>
      </c>
      <c r="AE189" s="30" t="n">
        <f aca="false">IF(AND(B189="brand",E189="paid",ISNUMBER(F189)),IF(AND(SUMIFS(F$5:F189,B$5:B189,"brand",C$5:C189,C189,E$5:E189,"paid")&gt;=Inputs!$C$44,SUMIFS(F$5:F189,B$5:B189,"brand",C$5:C189,C189,E$5:E189,"paid")-F189&lt;Inputs!$C$44),1,0),0)</f>
        <v>0</v>
      </c>
    </row>
    <row r="190" customFormat="false" ht="15" hidden="false" customHeight="false" outlineLevel="0" collapsed="false">
      <c r="A190" s="102"/>
      <c r="B190" s="103"/>
      <c r="C190" s="103"/>
      <c r="D190" s="103"/>
      <c r="E190" s="103"/>
      <c r="F190" s="103"/>
      <c r="G190" s="103"/>
      <c r="H190" s="103"/>
      <c r="I190" s="103"/>
      <c r="T190" s="30" t="str">
        <f aca="false">IF(C190="","",IF(COUNTIFS(C$5:C190,C190,E$5:E190,E190)=1,1,0))</f>
        <v/>
      </c>
      <c r="U190" s="30" t="n">
        <f aca="false">IF(C190="",0,IF(AND(B190="brand",E190="budget_probe",N(F190)&gt;=Inputs!$C$124,H190="Y"),1,0))</f>
        <v>0</v>
      </c>
      <c r="V190" s="30" t="n">
        <f aca="false">IF(U190=1,IF(COUNTIFS(C$5:C190,C190,U$5:U190,1)=1,1,0),0)</f>
        <v>0</v>
      </c>
      <c r="W190" s="30" t="n">
        <f aca="false">IF(C190="",0,IF(AND(B190="office",E190="budget_probe",N(F190)&gt;=Inputs!$C$139),1,0))</f>
        <v>0</v>
      </c>
      <c r="X190" s="30" t="n">
        <f aca="false">IF(W190=1,IF(COUNTIFS(C$5:C190,C190,W$5:W190,1)=1,1,0),0)</f>
        <v>0</v>
      </c>
      <c r="Y190" s="30" t="n">
        <f aca="false">IF(C190="",0,IF(AND(B190="brand",E190="renewal_answer",TRIM(G190)="yes",N(F190)&gt;=Inputs!$C$135),1,0))</f>
        <v>0</v>
      </c>
      <c r="Z190" s="30" t="n">
        <f aca="false">IF(Y190=1,IF(COUNTIFS(C$5:C190,C190,Y$5:Y190,1)=1,1,0),0)</f>
        <v>0</v>
      </c>
      <c r="AA190" s="30" t="n">
        <f aca="false">IF(AND(E190="budget_probe",ISNUMBER(F190),I190&lt;&gt;Lists!$X$4),1,0)</f>
        <v>0</v>
      </c>
      <c r="AB190" s="30" t="str">
        <f aca="false">IF(AND(B190="office",AA190=1,COUNTIFS(C$5:C190,C190,AA$5:AA190,1)=1),F190,"")</f>
        <v/>
      </c>
      <c r="AC190" s="30" t="str">
        <f aca="false">IF(AND(B190="brand",AA190=1,COUNTIFS(C$5:C190,C190,AA$5:AA190,1)=1),F190,"")</f>
        <v/>
      </c>
      <c r="AD190" s="30" t="str">
        <f aca="false">IF(AND(B190="brand",E190="budget_probe",ISNUMBER(F190),I190=Lists!$X$4),IF(COUNTIFS(C$5:C190,C190,E$5:E190,"budget_probe",I$5:I190,Lists!$X$4)=1,F190,""),"")</f>
        <v/>
      </c>
      <c r="AE190" s="30" t="n">
        <f aca="false">IF(AND(B190="brand",E190="paid",ISNUMBER(F190)),IF(AND(SUMIFS(F$5:F190,B$5:B190,"brand",C$5:C190,C190,E$5:E190,"paid")&gt;=Inputs!$C$44,SUMIFS(F$5:F190,B$5:B190,"brand",C$5:C190,C190,E$5:E190,"paid")-F190&lt;Inputs!$C$44),1,0),0)</f>
        <v>0</v>
      </c>
    </row>
    <row r="191" customFormat="false" ht="15" hidden="false" customHeight="false" outlineLevel="0" collapsed="false">
      <c r="A191" s="102"/>
      <c r="B191" s="103"/>
      <c r="C191" s="103"/>
      <c r="D191" s="103"/>
      <c r="E191" s="103"/>
      <c r="F191" s="103"/>
      <c r="G191" s="103"/>
      <c r="H191" s="103"/>
      <c r="I191" s="103"/>
      <c r="T191" s="30" t="str">
        <f aca="false">IF(C191="","",IF(COUNTIFS(C$5:C191,C191,E$5:E191,E191)=1,1,0))</f>
        <v/>
      </c>
      <c r="U191" s="30" t="n">
        <f aca="false">IF(C191="",0,IF(AND(B191="brand",E191="budget_probe",N(F191)&gt;=Inputs!$C$124,H191="Y"),1,0))</f>
        <v>0</v>
      </c>
      <c r="V191" s="30" t="n">
        <f aca="false">IF(U191=1,IF(COUNTIFS(C$5:C191,C191,U$5:U191,1)=1,1,0),0)</f>
        <v>0</v>
      </c>
      <c r="W191" s="30" t="n">
        <f aca="false">IF(C191="",0,IF(AND(B191="office",E191="budget_probe",N(F191)&gt;=Inputs!$C$139),1,0))</f>
        <v>0</v>
      </c>
      <c r="X191" s="30" t="n">
        <f aca="false">IF(W191=1,IF(COUNTIFS(C$5:C191,C191,W$5:W191,1)=1,1,0),0)</f>
        <v>0</v>
      </c>
      <c r="Y191" s="30" t="n">
        <f aca="false">IF(C191="",0,IF(AND(B191="brand",E191="renewal_answer",TRIM(G191)="yes",N(F191)&gt;=Inputs!$C$135),1,0))</f>
        <v>0</v>
      </c>
      <c r="Z191" s="30" t="n">
        <f aca="false">IF(Y191=1,IF(COUNTIFS(C$5:C191,C191,Y$5:Y191,1)=1,1,0),0)</f>
        <v>0</v>
      </c>
      <c r="AA191" s="30" t="n">
        <f aca="false">IF(AND(E191="budget_probe",ISNUMBER(F191),I191&lt;&gt;Lists!$X$4),1,0)</f>
        <v>0</v>
      </c>
      <c r="AB191" s="30" t="str">
        <f aca="false">IF(AND(B191="office",AA191=1,COUNTIFS(C$5:C191,C191,AA$5:AA191,1)=1),F191,"")</f>
        <v/>
      </c>
      <c r="AC191" s="30" t="str">
        <f aca="false">IF(AND(B191="brand",AA191=1,COUNTIFS(C$5:C191,C191,AA$5:AA191,1)=1),F191,"")</f>
        <v/>
      </c>
      <c r="AD191" s="30" t="str">
        <f aca="false">IF(AND(B191="brand",E191="budget_probe",ISNUMBER(F191),I191=Lists!$X$4),IF(COUNTIFS(C$5:C191,C191,E$5:E191,"budget_probe",I$5:I191,Lists!$X$4)=1,F191,""),"")</f>
        <v/>
      </c>
      <c r="AE191" s="30" t="n">
        <f aca="false">IF(AND(B191="brand",E191="paid",ISNUMBER(F191)),IF(AND(SUMIFS(F$5:F191,B$5:B191,"brand",C$5:C191,C191,E$5:E191,"paid")&gt;=Inputs!$C$44,SUMIFS(F$5:F191,B$5:B191,"brand",C$5:C191,C191,E$5:E191,"paid")-F191&lt;Inputs!$C$44),1,0),0)</f>
        <v>0</v>
      </c>
    </row>
    <row r="192" customFormat="false" ht="15" hidden="false" customHeight="false" outlineLevel="0" collapsed="false">
      <c r="A192" s="102"/>
      <c r="B192" s="103"/>
      <c r="C192" s="103"/>
      <c r="D192" s="103"/>
      <c r="E192" s="103"/>
      <c r="F192" s="103"/>
      <c r="G192" s="103"/>
      <c r="H192" s="103"/>
      <c r="I192" s="103"/>
      <c r="T192" s="30" t="str">
        <f aca="false">IF(C192="","",IF(COUNTIFS(C$5:C192,C192,E$5:E192,E192)=1,1,0))</f>
        <v/>
      </c>
      <c r="U192" s="30" t="n">
        <f aca="false">IF(C192="",0,IF(AND(B192="brand",E192="budget_probe",N(F192)&gt;=Inputs!$C$124,H192="Y"),1,0))</f>
        <v>0</v>
      </c>
      <c r="V192" s="30" t="n">
        <f aca="false">IF(U192=1,IF(COUNTIFS(C$5:C192,C192,U$5:U192,1)=1,1,0),0)</f>
        <v>0</v>
      </c>
      <c r="W192" s="30" t="n">
        <f aca="false">IF(C192="",0,IF(AND(B192="office",E192="budget_probe",N(F192)&gt;=Inputs!$C$139),1,0))</f>
        <v>0</v>
      </c>
      <c r="X192" s="30" t="n">
        <f aca="false">IF(W192=1,IF(COUNTIFS(C$5:C192,C192,W$5:W192,1)=1,1,0),0)</f>
        <v>0</v>
      </c>
      <c r="Y192" s="30" t="n">
        <f aca="false">IF(C192="",0,IF(AND(B192="brand",E192="renewal_answer",TRIM(G192)="yes",N(F192)&gt;=Inputs!$C$135),1,0))</f>
        <v>0</v>
      </c>
      <c r="Z192" s="30" t="n">
        <f aca="false">IF(Y192=1,IF(COUNTIFS(C$5:C192,C192,Y$5:Y192,1)=1,1,0),0)</f>
        <v>0</v>
      </c>
      <c r="AA192" s="30" t="n">
        <f aca="false">IF(AND(E192="budget_probe",ISNUMBER(F192),I192&lt;&gt;Lists!$X$4),1,0)</f>
        <v>0</v>
      </c>
      <c r="AB192" s="30" t="str">
        <f aca="false">IF(AND(B192="office",AA192=1,COUNTIFS(C$5:C192,C192,AA$5:AA192,1)=1),F192,"")</f>
        <v/>
      </c>
      <c r="AC192" s="30" t="str">
        <f aca="false">IF(AND(B192="brand",AA192=1,COUNTIFS(C$5:C192,C192,AA$5:AA192,1)=1),F192,"")</f>
        <v/>
      </c>
      <c r="AD192" s="30" t="str">
        <f aca="false">IF(AND(B192="brand",E192="budget_probe",ISNUMBER(F192),I192=Lists!$X$4),IF(COUNTIFS(C$5:C192,C192,E$5:E192,"budget_probe",I$5:I192,Lists!$X$4)=1,F192,""),"")</f>
        <v/>
      </c>
      <c r="AE192" s="30" t="n">
        <f aca="false">IF(AND(B192="brand",E192="paid",ISNUMBER(F192)),IF(AND(SUMIFS(F$5:F192,B$5:B192,"brand",C$5:C192,C192,E$5:E192,"paid")&gt;=Inputs!$C$44,SUMIFS(F$5:F192,B$5:B192,"brand",C$5:C192,C192,E$5:E192,"paid")-F192&lt;Inputs!$C$44),1,0),0)</f>
        <v>0</v>
      </c>
    </row>
    <row r="193" customFormat="false" ht="15" hidden="false" customHeight="false" outlineLevel="0" collapsed="false">
      <c r="A193" s="102"/>
      <c r="B193" s="103"/>
      <c r="C193" s="103"/>
      <c r="D193" s="103"/>
      <c r="E193" s="103"/>
      <c r="F193" s="103"/>
      <c r="G193" s="103"/>
      <c r="H193" s="103"/>
      <c r="I193" s="103"/>
      <c r="T193" s="30" t="str">
        <f aca="false">IF(C193="","",IF(COUNTIFS(C$5:C193,C193,E$5:E193,E193)=1,1,0))</f>
        <v/>
      </c>
      <c r="U193" s="30" t="n">
        <f aca="false">IF(C193="",0,IF(AND(B193="brand",E193="budget_probe",N(F193)&gt;=Inputs!$C$124,H193="Y"),1,0))</f>
        <v>0</v>
      </c>
      <c r="V193" s="30" t="n">
        <f aca="false">IF(U193=1,IF(COUNTIFS(C$5:C193,C193,U$5:U193,1)=1,1,0),0)</f>
        <v>0</v>
      </c>
      <c r="W193" s="30" t="n">
        <f aca="false">IF(C193="",0,IF(AND(B193="office",E193="budget_probe",N(F193)&gt;=Inputs!$C$139),1,0))</f>
        <v>0</v>
      </c>
      <c r="X193" s="30" t="n">
        <f aca="false">IF(W193=1,IF(COUNTIFS(C$5:C193,C193,W$5:W193,1)=1,1,0),0)</f>
        <v>0</v>
      </c>
      <c r="Y193" s="30" t="n">
        <f aca="false">IF(C193="",0,IF(AND(B193="brand",E193="renewal_answer",TRIM(G193)="yes",N(F193)&gt;=Inputs!$C$135),1,0))</f>
        <v>0</v>
      </c>
      <c r="Z193" s="30" t="n">
        <f aca="false">IF(Y193=1,IF(COUNTIFS(C$5:C193,C193,Y$5:Y193,1)=1,1,0),0)</f>
        <v>0</v>
      </c>
      <c r="AA193" s="30" t="n">
        <f aca="false">IF(AND(E193="budget_probe",ISNUMBER(F193),I193&lt;&gt;Lists!$X$4),1,0)</f>
        <v>0</v>
      </c>
      <c r="AB193" s="30" t="str">
        <f aca="false">IF(AND(B193="office",AA193=1,COUNTIFS(C$5:C193,C193,AA$5:AA193,1)=1),F193,"")</f>
        <v/>
      </c>
      <c r="AC193" s="30" t="str">
        <f aca="false">IF(AND(B193="brand",AA193=1,COUNTIFS(C$5:C193,C193,AA$5:AA193,1)=1),F193,"")</f>
        <v/>
      </c>
      <c r="AD193" s="30" t="str">
        <f aca="false">IF(AND(B193="brand",E193="budget_probe",ISNUMBER(F193),I193=Lists!$X$4),IF(COUNTIFS(C$5:C193,C193,E$5:E193,"budget_probe",I$5:I193,Lists!$X$4)=1,F193,""),"")</f>
        <v/>
      </c>
      <c r="AE193" s="30" t="n">
        <f aca="false">IF(AND(B193="brand",E193="paid",ISNUMBER(F193)),IF(AND(SUMIFS(F$5:F193,B$5:B193,"brand",C$5:C193,C193,E$5:E193,"paid")&gt;=Inputs!$C$44,SUMIFS(F$5:F193,B$5:B193,"brand",C$5:C193,C193,E$5:E193,"paid")-F193&lt;Inputs!$C$44),1,0),0)</f>
        <v>0</v>
      </c>
    </row>
    <row r="194" customFormat="false" ht="15" hidden="false" customHeight="false" outlineLevel="0" collapsed="false">
      <c r="A194" s="102"/>
      <c r="B194" s="103"/>
      <c r="C194" s="103"/>
      <c r="D194" s="103"/>
      <c r="E194" s="103"/>
      <c r="F194" s="103"/>
      <c r="G194" s="103"/>
      <c r="H194" s="103"/>
      <c r="I194" s="103"/>
      <c r="T194" s="30" t="str">
        <f aca="false">IF(C194="","",IF(COUNTIFS(C$5:C194,C194,E$5:E194,E194)=1,1,0))</f>
        <v/>
      </c>
      <c r="U194" s="30" t="n">
        <f aca="false">IF(C194="",0,IF(AND(B194="brand",E194="budget_probe",N(F194)&gt;=Inputs!$C$124,H194="Y"),1,0))</f>
        <v>0</v>
      </c>
      <c r="V194" s="30" t="n">
        <f aca="false">IF(U194=1,IF(COUNTIFS(C$5:C194,C194,U$5:U194,1)=1,1,0),0)</f>
        <v>0</v>
      </c>
      <c r="W194" s="30" t="n">
        <f aca="false">IF(C194="",0,IF(AND(B194="office",E194="budget_probe",N(F194)&gt;=Inputs!$C$139),1,0))</f>
        <v>0</v>
      </c>
      <c r="X194" s="30" t="n">
        <f aca="false">IF(W194=1,IF(COUNTIFS(C$5:C194,C194,W$5:W194,1)=1,1,0),0)</f>
        <v>0</v>
      </c>
      <c r="Y194" s="30" t="n">
        <f aca="false">IF(C194="",0,IF(AND(B194="brand",E194="renewal_answer",TRIM(G194)="yes",N(F194)&gt;=Inputs!$C$135),1,0))</f>
        <v>0</v>
      </c>
      <c r="Z194" s="30" t="n">
        <f aca="false">IF(Y194=1,IF(COUNTIFS(C$5:C194,C194,Y$5:Y194,1)=1,1,0),0)</f>
        <v>0</v>
      </c>
      <c r="AA194" s="30" t="n">
        <f aca="false">IF(AND(E194="budget_probe",ISNUMBER(F194),I194&lt;&gt;Lists!$X$4),1,0)</f>
        <v>0</v>
      </c>
      <c r="AB194" s="30" t="str">
        <f aca="false">IF(AND(B194="office",AA194=1,COUNTIFS(C$5:C194,C194,AA$5:AA194,1)=1),F194,"")</f>
        <v/>
      </c>
      <c r="AC194" s="30" t="str">
        <f aca="false">IF(AND(B194="brand",AA194=1,COUNTIFS(C$5:C194,C194,AA$5:AA194,1)=1),F194,"")</f>
        <v/>
      </c>
      <c r="AD194" s="30" t="str">
        <f aca="false">IF(AND(B194="brand",E194="budget_probe",ISNUMBER(F194),I194=Lists!$X$4),IF(COUNTIFS(C$5:C194,C194,E$5:E194,"budget_probe",I$5:I194,Lists!$X$4)=1,F194,""),"")</f>
        <v/>
      </c>
      <c r="AE194" s="30" t="n">
        <f aca="false">IF(AND(B194="brand",E194="paid",ISNUMBER(F194)),IF(AND(SUMIFS(F$5:F194,B$5:B194,"brand",C$5:C194,C194,E$5:E194,"paid")&gt;=Inputs!$C$44,SUMIFS(F$5:F194,B$5:B194,"brand",C$5:C194,C194,E$5:E194,"paid")-F194&lt;Inputs!$C$44),1,0),0)</f>
        <v>0</v>
      </c>
    </row>
    <row r="195" customFormat="false" ht="15" hidden="false" customHeight="false" outlineLevel="0" collapsed="false">
      <c r="A195" s="102"/>
      <c r="B195" s="103"/>
      <c r="C195" s="103"/>
      <c r="D195" s="103"/>
      <c r="E195" s="103"/>
      <c r="F195" s="103"/>
      <c r="G195" s="103"/>
      <c r="H195" s="103"/>
      <c r="I195" s="103"/>
      <c r="T195" s="30" t="str">
        <f aca="false">IF(C195="","",IF(COUNTIFS(C$5:C195,C195,E$5:E195,E195)=1,1,0))</f>
        <v/>
      </c>
      <c r="U195" s="30" t="n">
        <f aca="false">IF(C195="",0,IF(AND(B195="brand",E195="budget_probe",N(F195)&gt;=Inputs!$C$124,H195="Y"),1,0))</f>
        <v>0</v>
      </c>
      <c r="V195" s="30" t="n">
        <f aca="false">IF(U195=1,IF(COUNTIFS(C$5:C195,C195,U$5:U195,1)=1,1,0),0)</f>
        <v>0</v>
      </c>
      <c r="W195" s="30" t="n">
        <f aca="false">IF(C195="",0,IF(AND(B195="office",E195="budget_probe",N(F195)&gt;=Inputs!$C$139),1,0))</f>
        <v>0</v>
      </c>
      <c r="X195" s="30" t="n">
        <f aca="false">IF(W195=1,IF(COUNTIFS(C$5:C195,C195,W$5:W195,1)=1,1,0),0)</f>
        <v>0</v>
      </c>
      <c r="Y195" s="30" t="n">
        <f aca="false">IF(C195="",0,IF(AND(B195="brand",E195="renewal_answer",TRIM(G195)="yes",N(F195)&gt;=Inputs!$C$135),1,0))</f>
        <v>0</v>
      </c>
      <c r="Z195" s="30" t="n">
        <f aca="false">IF(Y195=1,IF(COUNTIFS(C$5:C195,C195,Y$5:Y195,1)=1,1,0),0)</f>
        <v>0</v>
      </c>
      <c r="AA195" s="30" t="n">
        <f aca="false">IF(AND(E195="budget_probe",ISNUMBER(F195),I195&lt;&gt;Lists!$X$4),1,0)</f>
        <v>0</v>
      </c>
      <c r="AB195" s="30" t="str">
        <f aca="false">IF(AND(B195="office",AA195=1,COUNTIFS(C$5:C195,C195,AA$5:AA195,1)=1),F195,"")</f>
        <v/>
      </c>
      <c r="AC195" s="30" t="str">
        <f aca="false">IF(AND(B195="brand",AA195=1,COUNTIFS(C$5:C195,C195,AA$5:AA195,1)=1),F195,"")</f>
        <v/>
      </c>
      <c r="AD195" s="30" t="str">
        <f aca="false">IF(AND(B195="brand",E195="budget_probe",ISNUMBER(F195),I195=Lists!$X$4),IF(COUNTIFS(C$5:C195,C195,E$5:E195,"budget_probe",I$5:I195,Lists!$X$4)=1,F195,""),"")</f>
        <v/>
      </c>
      <c r="AE195" s="30" t="n">
        <f aca="false">IF(AND(B195="brand",E195="paid",ISNUMBER(F195)),IF(AND(SUMIFS(F$5:F195,B$5:B195,"brand",C$5:C195,C195,E$5:E195,"paid")&gt;=Inputs!$C$44,SUMIFS(F$5:F195,B$5:B195,"brand",C$5:C195,C195,E$5:E195,"paid")-F195&lt;Inputs!$C$44),1,0),0)</f>
        <v>0</v>
      </c>
    </row>
    <row r="196" customFormat="false" ht="15" hidden="false" customHeight="false" outlineLevel="0" collapsed="false">
      <c r="A196" s="102"/>
      <c r="B196" s="103"/>
      <c r="C196" s="103"/>
      <c r="D196" s="103"/>
      <c r="E196" s="103"/>
      <c r="F196" s="103"/>
      <c r="G196" s="103"/>
      <c r="H196" s="103"/>
      <c r="I196" s="103"/>
      <c r="T196" s="30" t="str">
        <f aca="false">IF(C196="","",IF(COUNTIFS(C$5:C196,C196,E$5:E196,E196)=1,1,0))</f>
        <v/>
      </c>
      <c r="U196" s="30" t="n">
        <f aca="false">IF(C196="",0,IF(AND(B196="brand",E196="budget_probe",N(F196)&gt;=Inputs!$C$124,H196="Y"),1,0))</f>
        <v>0</v>
      </c>
      <c r="V196" s="30" t="n">
        <f aca="false">IF(U196=1,IF(COUNTIFS(C$5:C196,C196,U$5:U196,1)=1,1,0),0)</f>
        <v>0</v>
      </c>
      <c r="W196" s="30" t="n">
        <f aca="false">IF(C196="",0,IF(AND(B196="office",E196="budget_probe",N(F196)&gt;=Inputs!$C$139),1,0))</f>
        <v>0</v>
      </c>
      <c r="X196" s="30" t="n">
        <f aca="false">IF(W196=1,IF(COUNTIFS(C$5:C196,C196,W$5:W196,1)=1,1,0),0)</f>
        <v>0</v>
      </c>
      <c r="Y196" s="30" t="n">
        <f aca="false">IF(C196="",0,IF(AND(B196="brand",E196="renewal_answer",TRIM(G196)="yes",N(F196)&gt;=Inputs!$C$135),1,0))</f>
        <v>0</v>
      </c>
      <c r="Z196" s="30" t="n">
        <f aca="false">IF(Y196=1,IF(COUNTIFS(C$5:C196,C196,Y$5:Y196,1)=1,1,0),0)</f>
        <v>0</v>
      </c>
      <c r="AA196" s="30" t="n">
        <f aca="false">IF(AND(E196="budget_probe",ISNUMBER(F196),I196&lt;&gt;Lists!$X$4),1,0)</f>
        <v>0</v>
      </c>
      <c r="AB196" s="30" t="str">
        <f aca="false">IF(AND(B196="office",AA196=1,COUNTIFS(C$5:C196,C196,AA$5:AA196,1)=1),F196,"")</f>
        <v/>
      </c>
      <c r="AC196" s="30" t="str">
        <f aca="false">IF(AND(B196="brand",AA196=1,COUNTIFS(C$5:C196,C196,AA$5:AA196,1)=1),F196,"")</f>
        <v/>
      </c>
      <c r="AD196" s="30" t="str">
        <f aca="false">IF(AND(B196="brand",E196="budget_probe",ISNUMBER(F196),I196=Lists!$X$4),IF(COUNTIFS(C$5:C196,C196,E$5:E196,"budget_probe",I$5:I196,Lists!$X$4)=1,F196,""),"")</f>
        <v/>
      </c>
      <c r="AE196" s="30" t="n">
        <f aca="false">IF(AND(B196="brand",E196="paid",ISNUMBER(F196)),IF(AND(SUMIFS(F$5:F196,B$5:B196,"brand",C$5:C196,C196,E$5:E196,"paid")&gt;=Inputs!$C$44,SUMIFS(F$5:F196,B$5:B196,"brand",C$5:C196,C196,E$5:E196,"paid")-F196&lt;Inputs!$C$44),1,0),0)</f>
        <v>0</v>
      </c>
    </row>
    <row r="197" customFormat="false" ht="15" hidden="false" customHeight="false" outlineLevel="0" collapsed="false">
      <c r="A197" s="102"/>
      <c r="B197" s="103"/>
      <c r="C197" s="103"/>
      <c r="D197" s="103"/>
      <c r="E197" s="103"/>
      <c r="F197" s="103"/>
      <c r="G197" s="103"/>
      <c r="H197" s="103"/>
      <c r="I197" s="103"/>
      <c r="T197" s="30" t="str">
        <f aca="false">IF(C197="","",IF(COUNTIFS(C$5:C197,C197,E$5:E197,E197)=1,1,0))</f>
        <v/>
      </c>
      <c r="U197" s="30" t="n">
        <f aca="false">IF(C197="",0,IF(AND(B197="brand",E197="budget_probe",N(F197)&gt;=Inputs!$C$124,H197="Y"),1,0))</f>
        <v>0</v>
      </c>
      <c r="V197" s="30" t="n">
        <f aca="false">IF(U197=1,IF(COUNTIFS(C$5:C197,C197,U$5:U197,1)=1,1,0),0)</f>
        <v>0</v>
      </c>
      <c r="W197" s="30" t="n">
        <f aca="false">IF(C197="",0,IF(AND(B197="office",E197="budget_probe",N(F197)&gt;=Inputs!$C$139),1,0))</f>
        <v>0</v>
      </c>
      <c r="X197" s="30" t="n">
        <f aca="false">IF(W197=1,IF(COUNTIFS(C$5:C197,C197,W$5:W197,1)=1,1,0),0)</f>
        <v>0</v>
      </c>
      <c r="Y197" s="30" t="n">
        <f aca="false">IF(C197="",0,IF(AND(B197="brand",E197="renewal_answer",TRIM(G197)="yes",N(F197)&gt;=Inputs!$C$135),1,0))</f>
        <v>0</v>
      </c>
      <c r="Z197" s="30" t="n">
        <f aca="false">IF(Y197=1,IF(COUNTIFS(C$5:C197,C197,Y$5:Y197,1)=1,1,0),0)</f>
        <v>0</v>
      </c>
      <c r="AA197" s="30" t="n">
        <f aca="false">IF(AND(E197="budget_probe",ISNUMBER(F197),I197&lt;&gt;Lists!$X$4),1,0)</f>
        <v>0</v>
      </c>
      <c r="AB197" s="30" t="str">
        <f aca="false">IF(AND(B197="office",AA197=1,COUNTIFS(C$5:C197,C197,AA$5:AA197,1)=1),F197,"")</f>
        <v/>
      </c>
      <c r="AC197" s="30" t="str">
        <f aca="false">IF(AND(B197="brand",AA197=1,COUNTIFS(C$5:C197,C197,AA$5:AA197,1)=1),F197,"")</f>
        <v/>
      </c>
      <c r="AD197" s="30" t="str">
        <f aca="false">IF(AND(B197="brand",E197="budget_probe",ISNUMBER(F197),I197=Lists!$X$4),IF(COUNTIFS(C$5:C197,C197,E$5:E197,"budget_probe",I$5:I197,Lists!$X$4)=1,F197,""),"")</f>
        <v/>
      </c>
      <c r="AE197" s="30" t="n">
        <f aca="false">IF(AND(B197="brand",E197="paid",ISNUMBER(F197)),IF(AND(SUMIFS(F$5:F197,B$5:B197,"brand",C$5:C197,C197,E$5:E197,"paid")&gt;=Inputs!$C$44,SUMIFS(F$5:F197,B$5:B197,"brand",C$5:C197,C197,E$5:E197,"paid")-F197&lt;Inputs!$C$44),1,0),0)</f>
        <v>0</v>
      </c>
    </row>
    <row r="198" customFormat="false" ht="15" hidden="false" customHeight="false" outlineLevel="0" collapsed="false">
      <c r="A198" s="102"/>
      <c r="B198" s="103"/>
      <c r="C198" s="103"/>
      <c r="D198" s="103"/>
      <c r="E198" s="103"/>
      <c r="F198" s="103"/>
      <c r="G198" s="103"/>
      <c r="H198" s="103"/>
      <c r="I198" s="103"/>
      <c r="T198" s="30" t="str">
        <f aca="false">IF(C198="","",IF(COUNTIFS(C$5:C198,C198,E$5:E198,E198)=1,1,0))</f>
        <v/>
      </c>
      <c r="U198" s="30" t="n">
        <f aca="false">IF(C198="",0,IF(AND(B198="brand",E198="budget_probe",N(F198)&gt;=Inputs!$C$124,H198="Y"),1,0))</f>
        <v>0</v>
      </c>
      <c r="V198" s="30" t="n">
        <f aca="false">IF(U198=1,IF(COUNTIFS(C$5:C198,C198,U$5:U198,1)=1,1,0),0)</f>
        <v>0</v>
      </c>
      <c r="W198" s="30" t="n">
        <f aca="false">IF(C198="",0,IF(AND(B198="office",E198="budget_probe",N(F198)&gt;=Inputs!$C$139),1,0))</f>
        <v>0</v>
      </c>
      <c r="X198" s="30" t="n">
        <f aca="false">IF(W198=1,IF(COUNTIFS(C$5:C198,C198,W$5:W198,1)=1,1,0),0)</f>
        <v>0</v>
      </c>
      <c r="Y198" s="30" t="n">
        <f aca="false">IF(C198="",0,IF(AND(B198="brand",E198="renewal_answer",TRIM(G198)="yes",N(F198)&gt;=Inputs!$C$135),1,0))</f>
        <v>0</v>
      </c>
      <c r="Z198" s="30" t="n">
        <f aca="false">IF(Y198=1,IF(COUNTIFS(C$5:C198,C198,Y$5:Y198,1)=1,1,0),0)</f>
        <v>0</v>
      </c>
      <c r="AA198" s="30" t="n">
        <f aca="false">IF(AND(E198="budget_probe",ISNUMBER(F198),I198&lt;&gt;Lists!$X$4),1,0)</f>
        <v>0</v>
      </c>
      <c r="AB198" s="30" t="str">
        <f aca="false">IF(AND(B198="office",AA198=1,COUNTIFS(C$5:C198,C198,AA$5:AA198,1)=1),F198,"")</f>
        <v/>
      </c>
      <c r="AC198" s="30" t="str">
        <f aca="false">IF(AND(B198="brand",AA198=1,COUNTIFS(C$5:C198,C198,AA$5:AA198,1)=1),F198,"")</f>
        <v/>
      </c>
      <c r="AD198" s="30" t="str">
        <f aca="false">IF(AND(B198="brand",E198="budget_probe",ISNUMBER(F198),I198=Lists!$X$4),IF(COUNTIFS(C$5:C198,C198,E$5:E198,"budget_probe",I$5:I198,Lists!$X$4)=1,F198,""),"")</f>
        <v/>
      </c>
      <c r="AE198" s="30" t="n">
        <f aca="false">IF(AND(B198="brand",E198="paid",ISNUMBER(F198)),IF(AND(SUMIFS(F$5:F198,B$5:B198,"brand",C$5:C198,C198,E$5:E198,"paid")&gt;=Inputs!$C$44,SUMIFS(F$5:F198,B$5:B198,"brand",C$5:C198,C198,E$5:E198,"paid")-F198&lt;Inputs!$C$44),1,0),0)</f>
        <v>0</v>
      </c>
    </row>
    <row r="199" customFormat="false" ht="15" hidden="false" customHeight="false" outlineLevel="0" collapsed="false">
      <c r="A199" s="102"/>
      <c r="B199" s="103"/>
      <c r="C199" s="103"/>
      <c r="D199" s="103"/>
      <c r="E199" s="103"/>
      <c r="F199" s="103"/>
      <c r="G199" s="103"/>
      <c r="H199" s="103"/>
      <c r="I199" s="103"/>
      <c r="T199" s="30" t="str">
        <f aca="false">IF(C199="","",IF(COUNTIFS(C$5:C199,C199,E$5:E199,E199)=1,1,0))</f>
        <v/>
      </c>
      <c r="U199" s="30" t="n">
        <f aca="false">IF(C199="",0,IF(AND(B199="brand",E199="budget_probe",N(F199)&gt;=Inputs!$C$124,H199="Y"),1,0))</f>
        <v>0</v>
      </c>
      <c r="V199" s="30" t="n">
        <f aca="false">IF(U199=1,IF(COUNTIFS(C$5:C199,C199,U$5:U199,1)=1,1,0),0)</f>
        <v>0</v>
      </c>
      <c r="W199" s="30" t="n">
        <f aca="false">IF(C199="",0,IF(AND(B199="office",E199="budget_probe",N(F199)&gt;=Inputs!$C$139),1,0))</f>
        <v>0</v>
      </c>
      <c r="X199" s="30" t="n">
        <f aca="false">IF(W199=1,IF(COUNTIFS(C$5:C199,C199,W$5:W199,1)=1,1,0),0)</f>
        <v>0</v>
      </c>
      <c r="Y199" s="30" t="n">
        <f aca="false">IF(C199="",0,IF(AND(B199="brand",E199="renewal_answer",TRIM(G199)="yes",N(F199)&gt;=Inputs!$C$135),1,0))</f>
        <v>0</v>
      </c>
      <c r="Z199" s="30" t="n">
        <f aca="false">IF(Y199=1,IF(COUNTIFS(C$5:C199,C199,Y$5:Y199,1)=1,1,0),0)</f>
        <v>0</v>
      </c>
      <c r="AA199" s="30" t="n">
        <f aca="false">IF(AND(E199="budget_probe",ISNUMBER(F199),I199&lt;&gt;Lists!$X$4),1,0)</f>
        <v>0</v>
      </c>
      <c r="AB199" s="30" t="str">
        <f aca="false">IF(AND(B199="office",AA199=1,COUNTIFS(C$5:C199,C199,AA$5:AA199,1)=1),F199,"")</f>
        <v/>
      </c>
      <c r="AC199" s="30" t="str">
        <f aca="false">IF(AND(B199="brand",AA199=1,COUNTIFS(C$5:C199,C199,AA$5:AA199,1)=1),F199,"")</f>
        <v/>
      </c>
      <c r="AD199" s="30" t="str">
        <f aca="false">IF(AND(B199="brand",E199="budget_probe",ISNUMBER(F199),I199=Lists!$X$4),IF(COUNTIFS(C$5:C199,C199,E$5:E199,"budget_probe",I$5:I199,Lists!$X$4)=1,F199,""),"")</f>
        <v/>
      </c>
      <c r="AE199" s="30" t="n">
        <f aca="false">IF(AND(B199="brand",E199="paid",ISNUMBER(F199)),IF(AND(SUMIFS(F$5:F199,B$5:B199,"brand",C$5:C199,C199,E$5:E199,"paid")&gt;=Inputs!$C$44,SUMIFS(F$5:F199,B$5:B199,"brand",C$5:C199,C199,E$5:E199,"paid")-F199&lt;Inputs!$C$44),1,0),0)</f>
        <v>0</v>
      </c>
    </row>
    <row r="200" customFormat="false" ht="15" hidden="false" customHeight="false" outlineLevel="0" collapsed="false">
      <c r="A200" s="102"/>
      <c r="B200" s="103"/>
      <c r="C200" s="103"/>
      <c r="D200" s="103"/>
      <c r="E200" s="103"/>
      <c r="F200" s="103"/>
      <c r="G200" s="103"/>
      <c r="H200" s="103"/>
      <c r="I200" s="103"/>
      <c r="T200" s="30" t="str">
        <f aca="false">IF(C200="","",IF(COUNTIFS(C$5:C200,C200,E$5:E200,E200)=1,1,0))</f>
        <v/>
      </c>
      <c r="U200" s="30" t="n">
        <f aca="false">IF(C200="",0,IF(AND(B200="brand",E200="budget_probe",N(F200)&gt;=Inputs!$C$124,H200="Y"),1,0))</f>
        <v>0</v>
      </c>
      <c r="V200" s="30" t="n">
        <f aca="false">IF(U200=1,IF(COUNTIFS(C$5:C200,C200,U$5:U200,1)=1,1,0),0)</f>
        <v>0</v>
      </c>
      <c r="W200" s="30" t="n">
        <f aca="false">IF(C200="",0,IF(AND(B200="office",E200="budget_probe",N(F200)&gt;=Inputs!$C$139),1,0))</f>
        <v>0</v>
      </c>
      <c r="X200" s="30" t="n">
        <f aca="false">IF(W200=1,IF(COUNTIFS(C$5:C200,C200,W$5:W200,1)=1,1,0),0)</f>
        <v>0</v>
      </c>
      <c r="Y200" s="30" t="n">
        <f aca="false">IF(C200="",0,IF(AND(B200="brand",E200="renewal_answer",TRIM(G200)="yes",N(F200)&gt;=Inputs!$C$135),1,0))</f>
        <v>0</v>
      </c>
      <c r="Z200" s="30" t="n">
        <f aca="false">IF(Y200=1,IF(COUNTIFS(C$5:C200,C200,Y$5:Y200,1)=1,1,0),0)</f>
        <v>0</v>
      </c>
      <c r="AA200" s="30" t="n">
        <f aca="false">IF(AND(E200="budget_probe",ISNUMBER(F200),I200&lt;&gt;Lists!$X$4),1,0)</f>
        <v>0</v>
      </c>
      <c r="AB200" s="30" t="str">
        <f aca="false">IF(AND(B200="office",AA200=1,COUNTIFS(C$5:C200,C200,AA$5:AA200,1)=1),F200,"")</f>
        <v/>
      </c>
      <c r="AC200" s="30" t="str">
        <f aca="false">IF(AND(B200="brand",AA200=1,COUNTIFS(C$5:C200,C200,AA$5:AA200,1)=1),F200,"")</f>
        <v/>
      </c>
      <c r="AD200" s="30" t="str">
        <f aca="false">IF(AND(B200="brand",E200="budget_probe",ISNUMBER(F200),I200=Lists!$X$4),IF(COUNTIFS(C$5:C200,C200,E$5:E200,"budget_probe",I$5:I200,Lists!$X$4)=1,F200,""),"")</f>
        <v/>
      </c>
      <c r="AE200" s="30" t="n">
        <f aca="false">IF(AND(B200="brand",E200="paid",ISNUMBER(F200)),IF(AND(SUMIFS(F$5:F200,B$5:B200,"brand",C$5:C200,C200,E$5:E200,"paid")&gt;=Inputs!$C$44,SUMIFS(F$5:F200,B$5:B200,"brand",C$5:C200,C200,E$5:E200,"paid")-F200&lt;Inputs!$C$44),1,0),0)</f>
        <v>0</v>
      </c>
    </row>
    <row r="201" customFormat="false" ht="15" hidden="false" customHeight="false" outlineLevel="0" collapsed="false">
      <c r="A201" s="102"/>
      <c r="B201" s="103"/>
      <c r="C201" s="103"/>
      <c r="D201" s="103"/>
      <c r="E201" s="103"/>
      <c r="F201" s="103"/>
      <c r="G201" s="103"/>
      <c r="H201" s="103"/>
      <c r="I201" s="103"/>
      <c r="T201" s="30" t="str">
        <f aca="false">IF(C201="","",IF(COUNTIFS(C$5:C201,C201,E$5:E201,E201)=1,1,0))</f>
        <v/>
      </c>
      <c r="U201" s="30" t="n">
        <f aca="false">IF(C201="",0,IF(AND(B201="brand",E201="budget_probe",N(F201)&gt;=Inputs!$C$124,H201="Y"),1,0))</f>
        <v>0</v>
      </c>
      <c r="V201" s="30" t="n">
        <f aca="false">IF(U201=1,IF(COUNTIFS(C$5:C201,C201,U$5:U201,1)=1,1,0),0)</f>
        <v>0</v>
      </c>
      <c r="W201" s="30" t="n">
        <f aca="false">IF(C201="",0,IF(AND(B201="office",E201="budget_probe",N(F201)&gt;=Inputs!$C$139),1,0))</f>
        <v>0</v>
      </c>
      <c r="X201" s="30" t="n">
        <f aca="false">IF(W201=1,IF(COUNTIFS(C$5:C201,C201,W$5:W201,1)=1,1,0),0)</f>
        <v>0</v>
      </c>
      <c r="Y201" s="30" t="n">
        <f aca="false">IF(C201="",0,IF(AND(B201="brand",E201="renewal_answer",TRIM(G201)="yes",N(F201)&gt;=Inputs!$C$135),1,0))</f>
        <v>0</v>
      </c>
      <c r="Z201" s="30" t="n">
        <f aca="false">IF(Y201=1,IF(COUNTIFS(C$5:C201,C201,Y$5:Y201,1)=1,1,0),0)</f>
        <v>0</v>
      </c>
      <c r="AA201" s="30" t="n">
        <f aca="false">IF(AND(E201="budget_probe",ISNUMBER(F201),I201&lt;&gt;Lists!$X$4),1,0)</f>
        <v>0</v>
      </c>
      <c r="AB201" s="30" t="str">
        <f aca="false">IF(AND(B201="office",AA201=1,COUNTIFS(C$5:C201,C201,AA$5:AA201,1)=1),F201,"")</f>
        <v/>
      </c>
      <c r="AC201" s="30" t="str">
        <f aca="false">IF(AND(B201="brand",AA201=1,COUNTIFS(C$5:C201,C201,AA$5:AA201,1)=1),F201,"")</f>
        <v/>
      </c>
      <c r="AD201" s="30" t="str">
        <f aca="false">IF(AND(B201="brand",E201="budget_probe",ISNUMBER(F201),I201=Lists!$X$4),IF(COUNTIFS(C$5:C201,C201,E$5:E201,"budget_probe",I$5:I201,Lists!$X$4)=1,F201,""),"")</f>
        <v/>
      </c>
      <c r="AE201" s="30" t="n">
        <f aca="false">IF(AND(B201="brand",E201="paid",ISNUMBER(F201)),IF(AND(SUMIFS(F$5:F201,B$5:B201,"brand",C$5:C201,C201,E$5:E201,"paid")&gt;=Inputs!$C$44,SUMIFS(F$5:F201,B$5:B201,"brand",C$5:C201,C201,E$5:E201,"paid")-F201&lt;Inputs!$C$44),1,0),0)</f>
        <v>0</v>
      </c>
    </row>
    <row r="202" customFormat="false" ht="15" hidden="false" customHeight="false" outlineLevel="0" collapsed="false">
      <c r="A202" s="102"/>
      <c r="B202" s="103"/>
      <c r="C202" s="103"/>
      <c r="D202" s="103"/>
      <c r="E202" s="103"/>
      <c r="F202" s="103"/>
      <c r="G202" s="103"/>
      <c r="H202" s="103"/>
      <c r="I202" s="103"/>
      <c r="T202" s="30" t="str">
        <f aca="false">IF(C202="","",IF(COUNTIFS(C$5:C202,C202,E$5:E202,E202)=1,1,0))</f>
        <v/>
      </c>
      <c r="U202" s="30" t="n">
        <f aca="false">IF(C202="",0,IF(AND(B202="brand",E202="budget_probe",N(F202)&gt;=Inputs!$C$124,H202="Y"),1,0))</f>
        <v>0</v>
      </c>
      <c r="V202" s="30" t="n">
        <f aca="false">IF(U202=1,IF(COUNTIFS(C$5:C202,C202,U$5:U202,1)=1,1,0),0)</f>
        <v>0</v>
      </c>
      <c r="W202" s="30" t="n">
        <f aca="false">IF(C202="",0,IF(AND(B202="office",E202="budget_probe",N(F202)&gt;=Inputs!$C$139),1,0))</f>
        <v>0</v>
      </c>
      <c r="X202" s="30" t="n">
        <f aca="false">IF(W202=1,IF(COUNTIFS(C$5:C202,C202,W$5:W202,1)=1,1,0),0)</f>
        <v>0</v>
      </c>
      <c r="Y202" s="30" t="n">
        <f aca="false">IF(C202="",0,IF(AND(B202="brand",E202="renewal_answer",TRIM(G202)="yes",N(F202)&gt;=Inputs!$C$135),1,0))</f>
        <v>0</v>
      </c>
      <c r="Z202" s="30" t="n">
        <f aca="false">IF(Y202=1,IF(COUNTIFS(C$5:C202,C202,Y$5:Y202,1)=1,1,0),0)</f>
        <v>0</v>
      </c>
      <c r="AA202" s="30" t="n">
        <f aca="false">IF(AND(E202="budget_probe",ISNUMBER(F202),I202&lt;&gt;Lists!$X$4),1,0)</f>
        <v>0</v>
      </c>
      <c r="AB202" s="30" t="str">
        <f aca="false">IF(AND(B202="office",AA202=1,COUNTIFS(C$5:C202,C202,AA$5:AA202,1)=1),F202,"")</f>
        <v/>
      </c>
      <c r="AC202" s="30" t="str">
        <f aca="false">IF(AND(B202="brand",AA202=1,COUNTIFS(C$5:C202,C202,AA$5:AA202,1)=1),F202,"")</f>
        <v/>
      </c>
      <c r="AD202" s="30" t="str">
        <f aca="false">IF(AND(B202="brand",E202="budget_probe",ISNUMBER(F202),I202=Lists!$X$4),IF(COUNTIFS(C$5:C202,C202,E$5:E202,"budget_probe",I$5:I202,Lists!$X$4)=1,F202,""),"")</f>
        <v/>
      </c>
      <c r="AE202" s="30" t="n">
        <f aca="false">IF(AND(B202="brand",E202="paid",ISNUMBER(F202)),IF(AND(SUMIFS(F$5:F202,B$5:B202,"brand",C$5:C202,C202,E$5:E202,"paid")&gt;=Inputs!$C$44,SUMIFS(F$5:F202,B$5:B202,"brand",C$5:C202,C202,E$5:E202,"paid")-F202&lt;Inputs!$C$44),1,0),0)</f>
        <v>0</v>
      </c>
    </row>
    <row r="203" customFormat="false" ht="15" hidden="false" customHeight="false" outlineLevel="0" collapsed="false">
      <c r="A203" s="102"/>
      <c r="B203" s="103"/>
      <c r="C203" s="103"/>
      <c r="D203" s="103"/>
      <c r="E203" s="103"/>
      <c r="F203" s="103"/>
      <c r="G203" s="103"/>
      <c r="H203" s="103"/>
      <c r="I203" s="103"/>
      <c r="T203" s="30" t="str">
        <f aca="false">IF(C203="","",IF(COUNTIFS(C$5:C203,C203,E$5:E203,E203)=1,1,0))</f>
        <v/>
      </c>
      <c r="U203" s="30" t="n">
        <f aca="false">IF(C203="",0,IF(AND(B203="brand",E203="budget_probe",N(F203)&gt;=Inputs!$C$124,H203="Y"),1,0))</f>
        <v>0</v>
      </c>
      <c r="V203" s="30" t="n">
        <f aca="false">IF(U203=1,IF(COUNTIFS(C$5:C203,C203,U$5:U203,1)=1,1,0),0)</f>
        <v>0</v>
      </c>
      <c r="W203" s="30" t="n">
        <f aca="false">IF(C203="",0,IF(AND(B203="office",E203="budget_probe",N(F203)&gt;=Inputs!$C$139),1,0))</f>
        <v>0</v>
      </c>
      <c r="X203" s="30" t="n">
        <f aca="false">IF(W203=1,IF(COUNTIFS(C$5:C203,C203,W$5:W203,1)=1,1,0),0)</f>
        <v>0</v>
      </c>
      <c r="Y203" s="30" t="n">
        <f aca="false">IF(C203="",0,IF(AND(B203="brand",E203="renewal_answer",TRIM(G203)="yes",N(F203)&gt;=Inputs!$C$135),1,0))</f>
        <v>0</v>
      </c>
      <c r="Z203" s="30" t="n">
        <f aca="false">IF(Y203=1,IF(COUNTIFS(C$5:C203,C203,Y$5:Y203,1)=1,1,0),0)</f>
        <v>0</v>
      </c>
      <c r="AA203" s="30" t="n">
        <f aca="false">IF(AND(E203="budget_probe",ISNUMBER(F203),I203&lt;&gt;Lists!$X$4),1,0)</f>
        <v>0</v>
      </c>
      <c r="AB203" s="30" t="str">
        <f aca="false">IF(AND(B203="office",AA203=1,COUNTIFS(C$5:C203,C203,AA$5:AA203,1)=1),F203,"")</f>
        <v/>
      </c>
      <c r="AC203" s="30" t="str">
        <f aca="false">IF(AND(B203="brand",AA203=1,COUNTIFS(C$5:C203,C203,AA$5:AA203,1)=1),F203,"")</f>
        <v/>
      </c>
      <c r="AD203" s="30" t="str">
        <f aca="false">IF(AND(B203="brand",E203="budget_probe",ISNUMBER(F203),I203=Lists!$X$4),IF(COUNTIFS(C$5:C203,C203,E$5:E203,"budget_probe",I$5:I203,Lists!$X$4)=1,F203,""),"")</f>
        <v/>
      </c>
      <c r="AE203" s="30" t="n">
        <f aca="false">IF(AND(B203="brand",E203="paid",ISNUMBER(F203)),IF(AND(SUMIFS(F$5:F203,B$5:B203,"brand",C$5:C203,C203,E$5:E203,"paid")&gt;=Inputs!$C$44,SUMIFS(F$5:F203,B$5:B203,"brand",C$5:C203,C203,E$5:E203,"paid")-F203&lt;Inputs!$C$44),1,0),0)</f>
        <v>0</v>
      </c>
    </row>
    <row r="204" customFormat="false" ht="15" hidden="false" customHeight="false" outlineLevel="0" collapsed="false">
      <c r="A204" s="102"/>
      <c r="B204" s="103"/>
      <c r="C204" s="103"/>
      <c r="D204" s="103"/>
      <c r="E204" s="103"/>
      <c r="F204" s="103"/>
      <c r="G204" s="103"/>
      <c r="H204" s="103"/>
      <c r="I204" s="103"/>
      <c r="T204" s="30" t="str">
        <f aca="false">IF(C204="","",IF(COUNTIFS(C$5:C204,C204,E$5:E204,E204)=1,1,0))</f>
        <v/>
      </c>
      <c r="U204" s="30" t="n">
        <f aca="false">IF(C204="",0,IF(AND(B204="brand",E204="budget_probe",N(F204)&gt;=Inputs!$C$124,H204="Y"),1,0))</f>
        <v>0</v>
      </c>
      <c r="V204" s="30" t="n">
        <f aca="false">IF(U204=1,IF(COUNTIFS(C$5:C204,C204,U$5:U204,1)=1,1,0),0)</f>
        <v>0</v>
      </c>
      <c r="W204" s="30" t="n">
        <f aca="false">IF(C204="",0,IF(AND(B204="office",E204="budget_probe",N(F204)&gt;=Inputs!$C$139),1,0))</f>
        <v>0</v>
      </c>
      <c r="X204" s="30" t="n">
        <f aca="false">IF(W204=1,IF(COUNTIFS(C$5:C204,C204,W$5:W204,1)=1,1,0),0)</f>
        <v>0</v>
      </c>
      <c r="Y204" s="30" t="n">
        <f aca="false">IF(C204="",0,IF(AND(B204="brand",E204="renewal_answer",TRIM(G204)="yes",N(F204)&gt;=Inputs!$C$135),1,0))</f>
        <v>0</v>
      </c>
      <c r="Z204" s="30" t="n">
        <f aca="false">IF(Y204=1,IF(COUNTIFS(C$5:C204,C204,Y$5:Y204,1)=1,1,0),0)</f>
        <v>0</v>
      </c>
      <c r="AA204" s="30" t="n">
        <f aca="false">IF(AND(E204="budget_probe",ISNUMBER(F204),I204&lt;&gt;Lists!$X$4),1,0)</f>
        <v>0</v>
      </c>
      <c r="AB204" s="30" t="str">
        <f aca="false">IF(AND(B204="office",AA204=1,COUNTIFS(C$5:C204,C204,AA$5:AA204,1)=1),F204,"")</f>
        <v/>
      </c>
      <c r="AC204" s="30" t="str">
        <f aca="false">IF(AND(B204="brand",AA204=1,COUNTIFS(C$5:C204,C204,AA$5:AA204,1)=1),F204,"")</f>
        <v/>
      </c>
      <c r="AD204" s="30" t="str">
        <f aca="false">IF(AND(B204="brand",E204="budget_probe",ISNUMBER(F204),I204=Lists!$X$4),IF(COUNTIFS(C$5:C204,C204,E$5:E204,"budget_probe",I$5:I204,Lists!$X$4)=1,F204,""),"")</f>
        <v/>
      </c>
      <c r="AE204" s="30" t="n">
        <f aca="false">IF(AND(B204="brand",E204="paid",ISNUMBER(F204)),IF(AND(SUMIFS(F$5:F204,B$5:B204,"brand",C$5:C204,C204,E$5:E204,"paid")&gt;=Inputs!$C$44,SUMIFS(F$5:F204,B$5:B204,"brand",C$5:C204,C204,E$5:E204,"paid")-F204&lt;Inputs!$C$44),1,0),0)</f>
        <v>0</v>
      </c>
    </row>
    <row r="205" customFormat="false" ht="15" hidden="false" customHeight="false" outlineLevel="0" collapsed="false">
      <c r="A205" s="102"/>
      <c r="B205" s="103"/>
      <c r="C205" s="103"/>
      <c r="D205" s="103"/>
      <c r="E205" s="103"/>
      <c r="F205" s="103"/>
      <c r="G205" s="103"/>
      <c r="H205" s="103"/>
      <c r="I205" s="103"/>
      <c r="T205" s="30" t="str">
        <f aca="false">IF(C205="","",IF(COUNTIFS(C$5:C205,C205,E$5:E205,E205)=1,1,0))</f>
        <v/>
      </c>
      <c r="U205" s="30" t="n">
        <f aca="false">IF(C205="",0,IF(AND(B205="brand",E205="budget_probe",N(F205)&gt;=Inputs!$C$124,H205="Y"),1,0))</f>
        <v>0</v>
      </c>
      <c r="V205" s="30" t="n">
        <f aca="false">IF(U205=1,IF(COUNTIFS(C$5:C205,C205,U$5:U205,1)=1,1,0),0)</f>
        <v>0</v>
      </c>
      <c r="W205" s="30" t="n">
        <f aca="false">IF(C205="",0,IF(AND(B205="office",E205="budget_probe",N(F205)&gt;=Inputs!$C$139),1,0))</f>
        <v>0</v>
      </c>
      <c r="X205" s="30" t="n">
        <f aca="false">IF(W205=1,IF(COUNTIFS(C$5:C205,C205,W$5:W205,1)=1,1,0),0)</f>
        <v>0</v>
      </c>
      <c r="Y205" s="30" t="n">
        <f aca="false">IF(C205="",0,IF(AND(B205="brand",E205="renewal_answer",TRIM(G205)="yes",N(F205)&gt;=Inputs!$C$135),1,0))</f>
        <v>0</v>
      </c>
      <c r="Z205" s="30" t="n">
        <f aca="false">IF(Y205=1,IF(COUNTIFS(C$5:C205,C205,Y$5:Y205,1)=1,1,0),0)</f>
        <v>0</v>
      </c>
      <c r="AA205" s="30" t="n">
        <f aca="false">IF(AND(E205="budget_probe",ISNUMBER(F205),I205&lt;&gt;Lists!$X$4),1,0)</f>
        <v>0</v>
      </c>
      <c r="AB205" s="30" t="str">
        <f aca="false">IF(AND(B205="office",AA205=1,COUNTIFS(C$5:C205,C205,AA$5:AA205,1)=1),F205,"")</f>
        <v/>
      </c>
      <c r="AC205" s="30" t="str">
        <f aca="false">IF(AND(B205="brand",AA205=1,COUNTIFS(C$5:C205,C205,AA$5:AA205,1)=1),F205,"")</f>
        <v/>
      </c>
      <c r="AD205" s="30" t="str">
        <f aca="false">IF(AND(B205="brand",E205="budget_probe",ISNUMBER(F205),I205=Lists!$X$4),IF(COUNTIFS(C$5:C205,C205,E$5:E205,"budget_probe",I$5:I205,Lists!$X$4)=1,F205,""),"")</f>
        <v/>
      </c>
      <c r="AE205" s="30" t="n">
        <f aca="false">IF(AND(B205="brand",E205="paid",ISNUMBER(F205)),IF(AND(SUMIFS(F$5:F205,B$5:B205,"brand",C$5:C205,C205,E$5:E205,"paid")&gt;=Inputs!$C$44,SUMIFS(F$5:F205,B$5:B205,"brand",C$5:C205,C205,E$5:E205,"paid")-F205&lt;Inputs!$C$44),1,0),0)</f>
        <v>0</v>
      </c>
    </row>
    <row r="206" customFormat="false" ht="15" hidden="false" customHeight="false" outlineLevel="0" collapsed="false">
      <c r="A206" s="102"/>
      <c r="B206" s="103"/>
      <c r="C206" s="103"/>
      <c r="D206" s="103"/>
      <c r="E206" s="103"/>
      <c r="F206" s="103"/>
      <c r="G206" s="103"/>
      <c r="H206" s="103"/>
      <c r="I206" s="103"/>
      <c r="T206" s="30" t="str">
        <f aca="false">IF(C206="","",IF(COUNTIFS(C$5:C206,C206,E$5:E206,E206)=1,1,0))</f>
        <v/>
      </c>
      <c r="U206" s="30" t="n">
        <f aca="false">IF(C206="",0,IF(AND(B206="brand",E206="budget_probe",N(F206)&gt;=Inputs!$C$124,H206="Y"),1,0))</f>
        <v>0</v>
      </c>
      <c r="V206" s="30" t="n">
        <f aca="false">IF(U206=1,IF(COUNTIFS(C$5:C206,C206,U$5:U206,1)=1,1,0),0)</f>
        <v>0</v>
      </c>
      <c r="W206" s="30" t="n">
        <f aca="false">IF(C206="",0,IF(AND(B206="office",E206="budget_probe",N(F206)&gt;=Inputs!$C$139),1,0))</f>
        <v>0</v>
      </c>
      <c r="X206" s="30" t="n">
        <f aca="false">IF(W206=1,IF(COUNTIFS(C$5:C206,C206,W$5:W206,1)=1,1,0),0)</f>
        <v>0</v>
      </c>
      <c r="Y206" s="30" t="n">
        <f aca="false">IF(C206="",0,IF(AND(B206="brand",E206="renewal_answer",TRIM(G206)="yes",N(F206)&gt;=Inputs!$C$135),1,0))</f>
        <v>0</v>
      </c>
      <c r="Z206" s="30" t="n">
        <f aca="false">IF(Y206=1,IF(COUNTIFS(C$5:C206,C206,Y$5:Y206,1)=1,1,0),0)</f>
        <v>0</v>
      </c>
      <c r="AA206" s="30" t="n">
        <f aca="false">IF(AND(E206="budget_probe",ISNUMBER(F206),I206&lt;&gt;Lists!$X$4),1,0)</f>
        <v>0</v>
      </c>
      <c r="AB206" s="30" t="str">
        <f aca="false">IF(AND(B206="office",AA206=1,COUNTIFS(C$5:C206,C206,AA$5:AA206,1)=1),F206,"")</f>
        <v/>
      </c>
      <c r="AC206" s="30" t="str">
        <f aca="false">IF(AND(B206="brand",AA206=1,COUNTIFS(C$5:C206,C206,AA$5:AA206,1)=1),F206,"")</f>
        <v/>
      </c>
      <c r="AD206" s="30" t="str">
        <f aca="false">IF(AND(B206="brand",E206="budget_probe",ISNUMBER(F206),I206=Lists!$X$4),IF(COUNTIFS(C$5:C206,C206,E$5:E206,"budget_probe",I$5:I206,Lists!$X$4)=1,F206,""),"")</f>
        <v/>
      </c>
      <c r="AE206" s="30" t="n">
        <f aca="false">IF(AND(B206="brand",E206="paid",ISNUMBER(F206)),IF(AND(SUMIFS(F$5:F206,B$5:B206,"brand",C$5:C206,C206,E$5:E206,"paid")&gt;=Inputs!$C$44,SUMIFS(F$5:F206,B$5:B206,"brand",C$5:C206,C206,E$5:E206,"paid")-F206&lt;Inputs!$C$44),1,0),0)</f>
        <v>0</v>
      </c>
    </row>
    <row r="207" customFormat="false" ht="15" hidden="false" customHeight="false" outlineLevel="0" collapsed="false">
      <c r="A207" s="102"/>
      <c r="B207" s="103"/>
      <c r="C207" s="103"/>
      <c r="D207" s="103"/>
      <c r="E207" s="103"/>
      <c r="F207" s="103"/>
      <c r="G207" s="103"/>
      <c r="H207" s="103"/>
      <c r="I207" s="103"/>
      <c r="T207" s="30" t="str">
        <f aca="false">IF(C207="","",IF(COUNTIFS(C$5:C207,C207,E$5:E207,E207)=1,1,0))</f>
        <v/>
      </c>
      <c r="U207" s="30" t="n">
        <f aca="false">IF(C207="",0,IF(AND(B207="brand",E207="budget_probe",N(F207)&gt;=Inputs!$C$124,H207="Y"),1,0))</f>
        <v>0</v>
      </c>
      <c r="V207" s="30" t="n">
        <f aca="false">IF(U207=1,IF(COUNTIFS(C$5:C207,C207,U$5:U207,1)=1,1,0),0)</f>
        <v>0</v>
      </c>
      <c r="W207" s="30" t="n">
        <f aca="false">IF(C207="",0,IF(AND(B207="office",E207="budget_probe",N(F207)&gt;=Inputs!$C$139),1,0))</f>
        <v>0</v>
      </c>
      <c r="X207" s="30" t="n">
        <f aca="false">IF(W207=1,IF(COUNTIFS(C$5:C207,C207,W$5:W207,1)=1,1,0),0)</f>
        <v>0</v>
      </c>
      <c r="Y207" s="30" t="n">
        <f aca="false">IF(C207="",0,IF(AND(B207="brand",E207="renewal_answer",TRIM(G207)="yes",N(F207)&gt;=Inputs!$C$135),1,0))</f>
        <v>0</v>
      </c>
      <c r="Z207" s="30" t="n">
        <f aca="false">IF(Y207=1,IF(COUNTIFS(C$5:C207,C207,Y$5:Y207,1)=1,1,0),0)</f>
        <v>0</v>
      </c>
      <c r="AA207" s="30" t="n">
        <f aca="false">IF(AND(E207="budget_probe",ISNUMBER(F207),I207&lt;&gt;Lists!$X$4),1,0)</f>
        <v>0</v>
      </c>
      <c r="AB207" s="30" t="str">
        <f aca="false">IF(AND(B207="office",AA207=1,COUNTIFS(C$5:C207,C207,AA$5:AA207,1)=1),F207,"")</f>
        <v/>
      </c>
      <c r="AC207" s="30" t="str">
        <f aca="false">IF(AND(B207="brand",AA207=1,COUNTIFS(C$5:C207,C207,AA$5:AA207,1)=1),F207,"")</f>
        <v/>
      </c>
      <c r="AD207" s="30" t="str">
        <f aca="false">IF(AND(B207="brand",E207="budget_probe",ISNUMBER(F207),I207=Lists!$X$4),IF(COUNTIFS(C$5:C207,C207,E$5:E207,"budget_probe",I$5:I207,Lists!$X$4)=1,F207,""),"")</f>
        <v/>
      </c>
      <c r="AE207" s="30" t="n">
        <f aca="false">IF(AND(B207="brand",E207="paid",ISNUMBER(F207)),IF(AND(SUMIFS(F$5:F207,B$5:B207,"brand",C$5:C207,C207,E$5:E207,"paid")&gt;=Inputs!$C$44,SUMIFS(F$5:F207,B$5:B207,"brand",C$5:C207,C207,E$5:E207,"paid")-F207&lt;Inputs!$C$44),1,0),0)</f>
        <v>0</v>
      </c>
    </row>
    <row r="208" customFormat="false" ht="15" hidden="false" customHeight="false" outlineLevel="0" collapsed="false">
      <c r="A208" s="102"/>
      <c r="B208" s="103"/>
      <c r="C208" s="103"/>
      <c r="D208" s="103"/>
      <c r="E208" s="103"/>
      <c r="F208" s="103"/>
      <c r="G208" s="103"/>
      <c r="H208" s="103"/>
      <c r="I208" s="103"/>
      <c r="T208" s="30" t="str">
        <f aca="false">IF(C208="","",IF(COUNTIFS(C$5:C208,C208,E$5:E208,E208)=1,1,0))</f>
        <v/>
      </c>
      <c r="U208" s="30" t="n">
        <f aca="false">IF(C208="",0,IF(AND(B208="brand",E208="budget_probe",N(F208)&gt;=Inputs!$C$124,H208="Y"),1,0))</f>
        <v>0</v>
      </c>
      <c r="V208" s="30" t="n">
        <f aca="false">IF(U208=1,IF(COUNTIFS(C$5:C208,C208,U$5:U208,1)=1,1,0),0)</f>
        <v>0</v>
      </c>
      <c r="W208" s="30" t="n">
        <f aca="false">IF(C208="",0,IF(AND(B208="office",E208="budget_probe",N(F208)&gt;=Inputs!$C$139),1,0))</f>
        <v>0</v>
      </c>
      <c r="X208" s="30" t="n">
        <f aca="false">IF(W208=1,IF(COUNTIFS(C$5:C208,C208,W$5:W208,1)=1,1,0),0)</f>
        <v>0</v>
      </c>
      <c r="Y208" s="30" t="n">
        <f aca="false">IF(C208="",0,IF(AND(B208="brand",E208="renewal_answer",TRIM(G208)="yes",N(F208)&gt;=Inputs!$C$135),1,0))</f>
        <v>0</v>
      </c>
      <c r="Z208" s="30" t="n">
        <f aca="false">IF(Y208=1,IF(COUNTIFS(C$5:C208,C208,Y$5:Y208,1)=1,1,0),0)</f>
        <v>0</v>
      </c>
      <c r="AA208" s="30" t="n">
        <f aca="false">IF(AND(E208="budget_probe",ISNUMBER(F208),I208&lt;&gt;Lists!$X$4),1,0)</f>
        <v>0</v>
      </c>
      <c r="AB208" s="30" t="str">
        <f aca="false">IF(AND(B208="office",AA208=1,COUNTIFS(C$5:C208,C208,AA$5:AA208,1)=1),F208,"")</f>
        <v/>
      </c>
      <c r="AC208" s="30" t="str">
        <f aca="false">IF(AND(B208="brand",AA208=1,COUNTIFS(C$5:C208,C208,AA$5:AA208,1)=1),F208,"")</f>
        <v/>
      </c>
      <c r="AD208" s="30" t="str">
        <f aca="false">IF(AND(B208="brand",E208="budget_probe",ISNUMBER(F208),I208=Lists!$X$4),IF(COUNTIFS(C$5:C208,C208,E$5:E208,"budget_probe",I$5:I208,Lists!$X$4)=1,F208,""),"")</f>
        <v/>
      </c>
      <c r="AE208" s="30" t="n">
        <f aca="false">IF(AND(B208="brand",E208="paid",ISNUMBER(F208)),IF(AND(SUMIFS(F$5:F208,B$5:B208,"brand",C$5:C208,C208,E$5:E208,"paid")&gt;=Inputs!$C$44,SUMIFS(F$5:F208,B$5:B208,"brand",C$5:C208,C208,E$5:E208,"paid")-F208&lt;Inputs!$C$44),1,0),0)</f>
        <v>0</v>
      </c>
    </row>
    <row r="209" customFormat="false" ht="15" hidden="false" customHeight="false" outlineLevel="0" collapsed="false">
      <c r="A209" s="102"/>
      <c r="B209" s="103"/>
      <c r="C209" s="103"/>
      <c r="D209" s="103"/>
      <c r="E209" s="103"/>
      <c r="F209" s="103"/>
      <c r="G209" s="103"/>
      <c r="H209" s="103"/>
      <c r="I209" s="103"/>
      <c r="T209" s="30" t="str">
        <f aca="false">IF(C209="","",IF(COUNTIFS(C$5:C209,C209,E$5:E209,E209)=1,1,0))</f>
        <v/>
      </c>
      <c r="U209" s="30" t="n">
        <f aca="false">IF(C209="",0,IF(AND(B209="brand",E209="budget_probe",N(F209)&gt;=Inputs!$C$124,H209="Y"),1,0))</f>
        <v>0</v>
      </c>
      <c r="V209" s="30" t="n">
        <f aca="false">IF(U209=1,IF(COUNTIFS(C$5:C209,C209,U$5:U209,1)=1,1,0),0)</f>
        <v>0</v>
      </c>
      <c r="W209" s="30" t="n">
        <f aca="false">IF(C209="",0,IF(AND(B209="office",E209="budget_probe",N(F209)&gt;=Inputs!$C$139),1,0))</f>
        <v>0</v>
      </c>
      <c r="X209" s="30" t="n">
        <f aca="false">IF(W209=1,IF(COUNTIFS(C$5:C209,C209,W$5:W209,1)=1,1,0),0)</f>
        <v>0</v>
      </c>
      <c r="Y209" s="30" t="n">
        <f aca="false">IF(C209="",0,IF(AND(B209="brand",E209="renewal_answer",TRIM(G209)="yes",N(F209)&gt;=Inputs!$C$135),1,0))</f>
        <v>0</v>
      </c>
      <c r="Z209" s="30" t="n">
        <f aca="false">IF(Y209=1,IF(COUNTIFS(C$5:C209,C209,Y$5:Y209,1)=1,1,0),0)</f>
        <v>0</v>
      </c>
      <c r="AA209" s="30" t="n">
        <f aca="false">IF(AND(E209="budget_probe",ISNUMBER(F209),I209&lt;&gt;Lists!$X$4),1,0)</f>
        <v>0</v>
      </c>
      <c r="AB209" s="30" t="str">
        <f aca="false">IF(AND(B209="office",AA209=1,COUNTIFS(C$5:C209,C209,AA$5:AA209,1)=1),F209,"")</f>
        <v/>
      </c>
      <c r="AC209" s="30" t="str">
        <f aca="false">IF(AND(B209="brand",AA209=1,COUNTIFS(C$5:C209,C209,AA$5:AA209,1)=1),F209,"")</f>
        <v/>
      </c>
      <c r="AD209" s="30" t="str">
        <f aca="false">IF(AND(B209="brand",E209="budget_probe",ISNUMBER(F209),I209=Lists!$X$4),IF(COUNTIFS(C$5:C209,C209,E$5:E209,"budget_probe",I$5:I209,Lists!$X$4)=1,F209,""),"")</f>
        <v/>
      </c>
      <c r="AE209" s="30" t="n">
        <f aca="false">IF(AND(B209="brand",E209="paid",ISNUMBER(F209)),IF(AND(SUMIFS(F$5:F209,B$5:B209,"brand",C$5:C209,C209,E$5:E209,"paid")&gt;=Inputs!$C$44,SUMIFS(F$5:F209,B$5:B209,"brand",C$5:C209,C209,E$5:E209,"paid")-F209&lt;Inputs!$C$44),1,0),0)</f>
        <v>0</v>
      </c>
    </row>
    <row r="210" customFormat="false" ht="15" hidden="false" customHeight="false" outlineLevel="0" collapsed="false">
      <c r="A210" s="102"/>
      <c r="B210" s="103"/>
      <c r="C210" s="103"/>
      <c r="D210" s="103"/>
      <c r="E210" s="103"/>
      <c r="F210" s="103"/>
      <c r="G210" s="103"/>
      <c r="H210" s="103"/>
      <c r="I210" s="103"/>
      <c r="T210" s="30" t="str">
        <f aca="false">IF(C210="","",IF(COUNTIFS(C$5:C210,C210,E$5:E210,E210)=1,1,0))</f>
        <v/>
      </c>
      <c r="U210" s="30" t="n">
        <f aca="false">IF(C210="",0,IF(AND(B210="brand",E210="budget_probe",N(F210)&gt;=Inputs!$C$124,H210="Y"),1,0))</f>
        <v>0</v>
      </c>
      <c r="V210" s="30" t="n">
        <f aca="false">IF(U210=1,IF(COUNTIFS(C$5:C210,C210,U$5:U210,1)=1,1,0),0)</f>
        <v>0</v>
      </c>
      <c r="W210" s="30" t="n">
        <f aca="false">IF(C210="",0,IF(AND(B210="office",E210="budget_probe",N(F210)&gt;=Inputs!$C$139),1,0))</f>
        <v>0</v>
      </c>
      <c r="X210" s="30" t="n">
        <f aca="false">IF(W210=1,IF(COUNTIFS(C$5:C210,C210,W$5:W210,1)=1,1,0),0)</f>
        <v>0</v>
      </c>
      <c r="Y210" s="30" t="n">
        <f aca="false">IF(C210="",0,IF(AND(B210="brand",E210="renewal_answer",TRIM(G210)="yes",N(F210)&gt;=Inputs!$C$135),1,0))</f>
        <v>0</v>
      </c>
      <c r="Z210" s="30" t="n">
        <f aca="false">IF(Y210=1,IF(COUNTIFS(C$5:C210,C210,Y$5:Y210,1)=1,1,0),0)</f>
        <v>0</v>
      </c>
      <c r="AA210" s="30" t="n">
        <f aca="false">IF(AND(E210="budget_probe",ISNUMBER(F210),I210&lt;&gt;Lists!$X$4),1,0)</f>
        <v>0</v>
      </c>
      <c r="AB210" s="30" t="str">
        <f aca="false">IF(AND(B210="office",AA210=1,COUNTIFS(C$5:C210,C210,AA$5:AA210,1)=1),F210,"")</f>
        <v/>
      </c>
      <c r="AC210" s="30" t="str">
        <f aca="false">IF(AND(B210="brand",AA210=1,COUNTIFS(C$5:C210,C210,AA$5:AA210,1)=1),F210,"")</f>
        <v/>
      </c>
      <c r="AD210" s="30" t="str">
        <f aca="false">IF(AND(B210="brand",E210="budget_probe",ISNUMBER(F210),I210=Lists!$X$4),IF(COUNTIFS(C$5:C210,C210,E$5:E210,"budget_probe",I$5:I210,Lists!$X$4)=1,F210,""),"")</f>
        <v/>
      </c>
      <c r="AE210" s="30" t="n">
        <f aca="false">IF(AND(B210="brand",E210="paid",ISNUMBER(F210)),IF(AND(SUMIFS(F$5:F210,B$5:B210,"brand",C$5:C210,C210,E$5:E210,"paid")&gt;=Inputs!$C$44,SUMIFS(F$5:F210,B$5:B210,"brand",C$5:C210,C210,E$5:E210,"paid")-F210&lt;Inputs!$C$44),1,0),0)</f>
        <v>0</v>
      </c>
    </row>
    <row r="211" customFormat="false" ht="15" hidden="false" customHeight="false" outlineLevel="0" collapsed="false">
      <c r="A211" s="102"/>
      <c r="B211" s="103"/>
      <c r="C211" s="103"/>
      <c r="D211" s="103"/>
      <c r="E211" s="103"/>
      <c r="F211" s="103"/>
      <c r="G211" s="103"/>
      <c r="H211" s="103"/>
      <c r="I211" s="103"/>
      <c r="T211" s="30" t="str">
        <f aca="false">IF(C211="","",IF(COUNTIFS(C$5:C211,C211,E$5:E211,E211)=1,1,0))</f>
        <v/>
      </c>
      <c r="U211" s="30" t="n">
        <f aca="false">IF(C211="",0,IF(AND(B211="brand",E211="budget_probe",N(F211)&gt;=Inputs!$C$124,H211="Y"),1,0))</f>
        <v>0</v>
      </c>
      <c r="V211" s="30" t="n">
        <f aca="false">IF(U211=1,IF(COUNTIFS(C$5:C211,C211,U$5:U211,1)=1,1,0),0)</f>
        <v>0</v>
      </c>
      <c r="W211" s="30" t="n">
        <f aca="false">IF(C211="",0,IF(AND(B211="office",E211="budget_probe",N(F211)&gt;=Inputs!$C$139),1,0))</f>
        <v>0</v>
      </c>
      <c r="X211" s="30" t="n">
        <f aca="false">IF(W211=1,IF(COUNTIFS(C$5:C211,C211,W$5:W211,1)=1,1,0),0)</f>
        <v>0</v>
      </c>
      <c r="Y211" s="30" t="n">
        <f aca="false">IF(C211="",0,IF(AND(B211="brand",E211="renewal_answer",TRIM(G211)="yes",N(F211)&gt;=Inputs!$C$135),1,0))</f>
        <v>0</v>
      </c>
      <c r="Z211" s="30" t="n">
        <f aca="false">IF(Y211=1,IF(COUNTIFS(C$5:C211,C211,Y$5:Y211,1)=1,1,0),0)</f>
        <v>0</v>
      </c>
      <c r="AA211" s="30" t="n">
        <f aca="false">IF(AND(E211="budget_probe",ISNUMBER(F211),I211&lt;&gt;Lists!$X$4),1,0)</f>
        <v>0</v>
      </c>
      <c r="AB211" s="30" t="str">
        <f aca="false">IF(AND(B211="office",AA211=1,COUNTIFS(C$5:C211,C211,AA$5:AA211,1)=1),F211,"")</f>
        <v/>
      </c>
      <c r="AC211" s="30" t="str">
        <f aca="false">IF(AND(B211="brand",AA211=1,COUNTIFS(C$5:C211,C211,AA$5:AA211,1)=1),F211,"")</f>
        <v/>
      </c>
      <c r="AD211" s="30" t="str">
        <f aca="false">IF(AND(B211="brand",E211="budget_probe",ISNUMBER(F211),I211=Lists!$X$4),IF(COUNTIFS(C$5:C211,C211,E$5:E211,"budget_probe",I$5:I211,Lists!$X$4)=1,F211,""),"")</f>
        <v/>
      </c>
      <c r="AE211" s="30" t="n">
        <f aca="false">IF(AND(B211="brand",E211="paid",ISNUMBER(F211)),IF(AND(SUMIFS(F$5:F211,B$5:B211,"brand",C$5:C211,C211,E$5:E211,"paid")&gt;=Inputs!$C$44,SUMIFS(F$5:F211,B$5:B211,"brand",C$5:C211,C211,E$5:E211,"paid")-F211&lt;Inputs!$C$44),1,0),0)</f>
        <v>0</v>
      </c>
    </row>
    <row r="212" customFormat="false" ht="15" hidden="false" customHeight="false" outlineLevel="0" collapsed="false">
      <c r="A212" s="102"/>
      <c r="B212" s="103"/>
      <c r="C212" s="103"/>
      <c r="D212" s="103"/>
      <c r="E212" s="103"/>
      <c r="F212" s="103"/>
      <c r="G212" s="103"/>
      <c r="H212" s="103"/>
      <c r="I212" s="103"/>
      <c r="T212" s="30" t="str">
        <f aca="false">IF(C212="","",IF(COUNTIFS(C$5:C212,C212,E$5:E212,E212)=1,1,0))</f>
        <v/>
      </c>
      <c r="U212" s="30" t="n">
        <f aca="false">IF(C212="",0,IF(AND(B212="brand",E212="budget_probe",N(F212)&gt;=Inputs!$C$124,H212="Y"),1,0))</f>
        <v>0</v>
      </c>
      <c r="V212" s="30" t="n">
        <f aca="false">IF(U212=1,IF(COUNTIFS(C$5:C212,C212,U$5:U212,1)=1,1,0),0)</f>
        <v>0</v>
      </c>
      <c r="W212" s="30" t="n">
        <f aca="false">IF(C212="",0,IF(AND(B212="office",E212="budget_probe",N(F212)&gt;=Inputs!$C$139),1,0))</f>
        <v>0</v>
      </c>
      <c r="X212" s="30" t="n">
        <f aca="false">IF(W212=1,IF(COUNTIFS(C$5:C212,C212,W$5:W212,1)=1,1,0),0)</f>
        <v>0</v>
      </c>
      <c r="Y212" s="30" t="n">
        <f aca="false">IF(C212="",0,IF(AND(B212="brand",E212="renewal_answer",TRIM(G212)="yes",N(F212)&gt;=Inputs!$C$135),1,0))</f>
        <v>0</v>
      </c>
      <c r="Z212" s="30" t="n">
        <f aca="false">IF(Y212=1,IF(COUNTIFS(C$5:C212,C212,Y$5:Y212,1)=1,1,0),0)</f>
        <v>0</v>
      </c>
      <c r="AA212" s="30" t="n">
        <f aca="false">IF(AND(E212="budget_probe",ISNUMBER(F212),I212&lt;&gt;Lists!$X$4),1,0)</f>
        <v>0</v>
      </c>
      <c r="AB212" s="30" t="str">
        <f aca="false">IF(AND(B212="office",AA212=1,COUNTIFS(C$5:C212,C212,AA$5:AA212,1)=1),F212,"")</f>
        <v/>
      </c>
      <c r="AC212" s="30" t="str">
        <f aca="false">IF(AND(B212="brand",AA212=1,COUNTIFS(C$5:C212,C212,AA$5:AA212,1)=1),F212,"")</f>
        <v/>
      </c>
      <c r="AD212" s="30" t="str">
        <f aca="false">IF(AND(B212="brand",E212="budget_probe",ISNUMBER(F212),I212=Lists!$X$4),IF(COUNTIFS(C$5:C212,C212,E$5:E212,"budget_probe",I$5:I212,Lists!$X$4)=1,F212,""),"")</f>
        <v/>
      </c>
      <c r="AE212" s="30" t="n">
        <f aca="false">IF(AND(B212="brand",E212="paid",ISNUMBER(F212)),IF(AND(SUMIFS(F$5:F212,B$5:B212,"brand",C$5:C212,C212,E$5:E212,"paid")&gt;=Inputs!$C$44,SUMIFS(F$5:F212,B$5:B212,"brand",C$5:C212,C212,E$5:E212,"paid")-F212&lt;Inputs!$C$44),1,0),0)</f>
        <v>0</v>
      </c>
    </row>
    <row r="213" customFormat="false" ht="15" hidden="false" customHeight="false" outlineLevel="0" collapsed="false">
      <c r="A213" s="102"/>
      <c r="B213" s="103"/>
      <c r="C213" s="103"/>
      <c r="D213" s="103"/>
      <c r="E213" s="103"/>
      <c r="F213" s="103"/>
      <c r="G213" s="103"/>
      <c r="H213" s="103"/>
      <c r="I213" s="103"/>
      <c r="T213" s="30" t="str">
        <f aca="false">IF(C213="","",IF(COUNTIFS(C$5:C213,C213,E$5:E213,E213)=1,1,0))</f>
        <v/>
      </c>
      <c r="U213" s="30" t="n">
        <f aca="false">IF(C213="",0,IF(AND(B213="brand",E213="budget_probe",N(F213)&gt;=Inputs!$C$124,H213="Y"),1,0))</f>
        <v>0</v>
      </c>
      <c r="V213" s="30" t="n">
        <f aca="false">IF(U213=1,IF(COUNTIFS(C$5:C213,C213,U$5:U213,1)=1,1,0),0)</f>
        <v>0</v>
      </c>
      <c r="W213" s="30" t="n">
        <f aca="false">IF(C213="",0,IF(AND(B213="office",E213="budget_probe",N(F213)&gt;=Inputs!$C$139),1,0))</f>
        <v>0</v>
      </c>
      <c r="X213" s="30" t="n">
        <f aca="false">IF(W213=1,IF(COUNTIFS(C$5:C213,C213,W$5:W213,1)=1,1,0),0)</f>
        <v>0</v>
      </c>
      <c r="Y213" s="30" t="n">
        <f aca="false">IF(C213="",0,IF(AND(B213="brand",E213="renewal_answer",TRIM(G213)="yes",N(F213)&gt;=Inputs!$C$135),1,0))</f>
        <v>0</v>
      </c>
      <c r="Z213" s="30" t="n">
        <f aca="false">IF(Y213=1,IF(COUNTIFS(C$5:C213,C213,Y$5:Y213,1)=1,1,0),0)</f>
        <v>0</v>
      </c>
      <c r="AA213" s="30" t="n">
        <f aca="false">IF(AND(E213="budget_probe",ISNUMBER(F213),I213&lt;&gt;Lists!$X$4),1,0)</f>
        <v>0</v>
      </c>
      <c r="AB213" s="30" t="str">
        <f aca="false">IF(AND(B213="office",AA213=1,COUNTIFS(C$5:C213,C213,AA$5:AA213,1)=1),F213,"")</f>
        <v/>
      </c>
      <c r="AC213" s="30" t="str">
        <f aca="false">IF(AND(B213="brand",AA213=1,COUNTIFS(C$5:C213,C213,AA$5:AA213,1)=1),F213,"")</f>
        <v/>
      </c>
      <c r="AD213" s="30" t="str">
        <f aca="false">IF(AND(B213="brand",E213="budget_probe",ISNUMBER(F213),I213=Lists!$X$4),IF(COUNTIFS(C$5:C213,C213,E$5:E213,"budget_probe",I$5:I213,Lists!$X$4)=1,F213,""),"")</f>
        <v/>
      </c>
      <c r="AE213" s="30" t="n">
        <f aca="false">IF(AND(B213="brand",E213="paid",ISNUMBER(F213)),IF(AND(SUMIFS(F$5:F213,B$5:B213,"brand",C$5:C213,C213,E$5:E213,"paid")&gt;=Inputs!$C$44,SUMIFS(F$5:F213,B$5:B213,"brand",C$5:C213,C213,E$5:E213,"paid")-F213&lt;Inputs!$C$44),1,0),0)</f>
        <v>0</v>
      </c>
    </row>
    <row r="214" customFormat="false" ht="15" hidden="false" customHeight="false" outlineLevel="0" collapsed="false">
      <c r="A214" s="102"/>
      <c r="B214" s="103"/>
      <c r="C214" s="103"/>
      <c r="D214" s="103"/>
      <c r="E214" s="103"/>
      <c r="F214" s="103"/>
      <c r="G214" s="103"/>
      <c r="H214" s="103"/>
      <c r="I214" s="103"/>
      <c r="T214" s="30" t="str">
        <f aca="false">IF(C214="","",IF(COUNTIFS(C$5:C214,C214,E$5:E214,E214)=1,1,0))</f>
        <v/>
      </c>
      <c r="U214" s="30" t="n">
        <f aca="false">IF(C214="",0,IF(AND(B214="brand",E214="budget_probe",N(F214)&gt;=Inputs!$C$124,H214="Y"),1,0))</f>
        <v>0</v>
      </c>
      <c r="V214" s="30" t="n">
        <f aca="false">IF(U214=1,IF(COUNTIFS(C$5:C214,C214,U$5:U214,1)=1,1,0),0)</f>
        <v>0</v>
      </c>
      <c r="W214" s="30" t="n">
        <f aca="false">IF(C214="",0,IF(AND(B214="office",E214="budget_probe",N(F214)&gt;=Inputs!$C$139),1,0))</f>
        <v>0</v>
      </c>
      <c r="X214" s="30" t="n">
        <f aca="false">IF(W214=1,IF(COUNTIFS(C$5:C214,C214,W$5:W214,1)=1,1,0),0)</f>
        <v>0</v>
      </c>
      <c r="Y214" s="30" t="n">
        <f aca="false">IF(C214="",0,IF(AND(B214="brand",E214="renewal_answer",TRIM(G214)="yes",N(F214)&gt;=Inputs!$C$135),1,0))</f>
        <v>0</v>
      </c>
      <c r="Z214" s="30" t="n">
        <f aca="false">IF(Y214=1,IF(COUNTIFS(C$5:C214,C214,Y$5:Y214,1)=1,1,0),0)</f>
        <v>0</v>
      </c>
      <c r="AA214" s="30" t="n">
        <f aca="false">IF(AND(E214="budget_probe",ISNUMBER(F214),I214&lt;&gt;Lists!$X$4),1,0)</f>
        <v>0</v>
      </c>
      <c r="AB214" s="30" t="str">
        <f aca="false">IF(AND(B214="office",AA214=1,COUNTIFS(C$5:C214,C214,AA$5:AA214,1)=1),F214,"")</f>
        <v/>
      </c>
      <c r="AC214" s="30" t="str">
        <f aca="false">IF(AND(B214="brand",AA214=1,COUNTIFS(C$5:C214,C214,AA$5:AA214,1)=1),F214,"")</f>
        <v/>
      </c>
      <c r="AD214" s="30" t="str">
        <f aca="false">IF(AND(B214="brand",E214="budget_probe",ISNUMBER(F214),I214=Lists!$X$4),IF(COUNTIFS(C$5:C214,C214,E$5:E214,"budget_probe",I$5:I214,Lists!$X$4)=1,F214,""),"")</f>
        <v/>
      </c>
      <c r="AE214" s="30" t="n">
        <f aca="false">IF(AND(B214="brand",E214="paid",ISNUMBER(F214)),IF(AND(SUMIFS(F$5:F214,B$5:B214,"brand",C$5:C214,C214,E$5:E214,"paid")&gt;=Inputs!$C$44,SUMIFS(F$5:F214,B$5:B214,"brand",C$5:C214,C214,E$5:E214,"paid")-F214&lt;Inputs!$C$44),1,0),0)</f>
        <v>0</v>
      </c>
    </row>
    <row r="215" customFormat="false" ht="15" hidden="false" customHeight="false" outlineLevel="0" collapsed="false">
      <c r="A215" s="102"/>
      <c r="B215" s="103"/>
      <c r="C215" s="103"/>
      <c r="D215" s="103"/>
      <c r="E215" s="103"/>
      <c r="F215" s="103"/>
      <c r="G215" s="103"/>
      <c r="H215" s="103"/>
      <c r="I215" s="103"/>
      <c r="T215" s="30" t="str">
        <f aca="false">IF(C215="","",IF(COUNTIFS(C$5:C215,C215,E$5:E215,E215)=1,1,0))</f>
        <v/>
      </c>
      <c r="U215" s="30" t="n">
        <f aca="false">IF(C215="",0,IF(AND(B215="brand",E215="budget_probe",N(F215)&gt;=Inputs!$C$124,H215="Y"),1,0))</f>
        <v>0</v>
      </c>
      <c r="V215" s="30" t="n">
        <f aca="false">IF(U215=1,IF(COUNTIFS(C$5:C215,C215,U$5:U215,1)=1,1,0),0)</f>
        <v>0</v>
      </c>
      <c r="W215" s="30" t="n">
        <f aca="false">IF(C215="",0,IF(AND(B215="office",E215="budget_probe",N(F215)&gt;=Inputs!$C$139),1,0))</f>
        <v>0</v>
      </c>
      <c r="X215" s="30" t="n">
        <f aca="false">IF(W215=1,IF(COUNTIFS(C$5:C215,C215,W$5:W215,1)=1,1,0),0)</f>
        <v>0</v>
      </c>
      <c r="Y215" s="30" t="n">
        <f aca="false">IF(C215="",0,IF(AND(B215="brand",E215="renewal_answer",TRIM(G215)="yes",N(F215)&gt;=Inputs!$C$135),1,0))</f>
        <v>0</v>
      </c>
      <c r="Z215" s="30" t="n">
        <f aca="false">IF(Y215=1,IF(COUNTIFS(C$5:C215,C215,Y$5:Y215,1)=1,1,0),0)</f>
        <v>0</v>
      </c>
      <c r="AA215" s="30" t="n">
        <f aca="false">IF(AND(E215="budget_probe",ISNUMBER(F215),I215&lt;&gt;Lists!$X$4),1,0)</f>
        <v>0</v>
      </c>
      <c r="AB215" s="30" t="str">
        <f aca="false">IF(AND(B215="office",AA215=1,COUNTIFS(C$5:C215,C215,AA$5:AA215,1)=1),F215,"")</f>
        <v/>
      </c>
      <c r="AC215" s="30" t="str">
        <f aca="false">IF(AND(B215="brand",AA215=1,COUNTIFS(C$5:C215,C215,AA$5:AA215,1)=1),F215,"")</f>
        <v/>
      </c>
      <c r="AD215" s="30" t="str">
        <f aca="false">IF(AND(B215="brand",E215="budget_probe",ISNUMBER(F215),I215=Lists!$X$4),IF(COUNTIFS(C$5:C215,C215,E$5:E215,"budget_probe",I$5:I215,Lists!$X$4)=1,F215,""),"")</f>
        <v/>
      </c>
      <c r="AE215" s="30" t="n">
        <f aca="false">IF(AND(B215="brand",E215="paid",ISNUMBER(F215)),IF(AND(SUMIFS(F$5:F215,B$5:B215,"brand",C$5:C215,C215,E$5:E215,"paid")&gt;=Inputs!$C$44,SUMIFS(F$5:F215,B$5:B215,"brand",C$5:C215,C215,E$5:E215,"paid")-F215&lt;Inputs!$C$44),1,0),0)</f>
        <v>0</v>
      </c>
    </row>
    <row r="216" customFormat="false" ht="15" hidden="false" customHeight="false" outlineLevel="0" collapsed="false">
      <c r="A216" s="102"/>
      <c r="B216" s="103"/>
      <c r="C216" s="103"/>
      <c r="D216" s="103"/>
      <c r="E216" s="103"/>
      <c r="F216" s="103"/>
      <c r="G216" s="103"/>
      <c r="H216" s="103"/>
      <c r="I216" s="103"/>
      <c r="T216" s="30" t="str">
        <f aca="false">IF(C216="","",IF(COUNTIFS(C$5:C216,C216,E$5:E216,E216)=1,1,0))</f>
        <v/>
      </c>
      <c r="U216" s="30" t="n">
        <f aca="false">IF(C216="",0,IF(AND(B216="brand",E216="budget_probe",N(F216)&gt;=Inputs!$C$124,H216="Y"),1,0))</f>
        <v>0</v>
      </c>
      <c r="V216" s="30" t="n">
        <f aca="false">IF(U216=1,IF(COUNTIFS(C$5:C216,C216,U$5:U216,1)=1,1,0),0)</f>
        <v>0</v>
      </c>
      <c r="W216" s="30" t="n">
        <f aca="false">IF(C216="",0,IF(AND(B216="office",E216="budget_probe",N(F216)&gt;=Inputs!$C$139),1,0))</f>
        <v>0</v>
      </c>
      <c r="X216" s="30" t="n">
        <f aca="false">IF(W216=1,IF(COUNTIFS(C$5:C216,C216,W$5:W216,1)=1,1,0),0)</f>
        <v>0</v>
      </c>
      <c r="Y216" s="30" t="n">
        <f aca="false">IF(C216="",0,IF(AND(B216="brand",E216="renewal_answer",TRIM(G216)="yes",N(F216)&gt;=Inputs!$C$135),1,0))</f>
        <v>0</v>
      </c>
      <c r="Z216" s="30" t="n">
        <f aca="false">IF(Y216=1,IF(COUNTIFS(C$5:C216,C216,Y$5:Y216,1)=1,1,0),0)</f>
        <v>0</v>
      </c>
      <c r="AA216" s="30" t="n">
        <f aca="false">IF(AND(E216="budget_probe",ISNUMBER(F216),I216&lt;&gt;Lists!$X$4),1,0)</f>
        <v>0</v>
      </c>
      <c r="AB216" s="30" t="str">
        <f aca="false">IF(AND(B216="office",AA216=1,COUNTIFS(C$5:C216,C216,AA$5:AA216,1)=1),F216,"")</f>
        <v/>
      </c>
      <c r="AC216" s="30" t="str">
        <f aca="false">IF(AND(B216="brand",AA216=1,COUNTIFS(C$5:C216,C216,AA$5:AA216,1)=1),F216,"")</f>
        <v/>
      </c>
      <c r="AD216" s="30" t="str">
        <f aca="false">IF(AND(B216="brand",E216="budget_probe",ISNUMBER(F216),I216=Lists!$X$4),IF(COUNTIFS(C$5:C216,C216,E$5:E216,"budget_probe",I$5:I216,Lists!$X$4)=1,F216,""),"")</f>
        <v/>
      </c>
      <c r="AE216" s="30" t="n">
        <f aca="false">IF(AND(B216="brand",E216="paid",ISNUMBER(F216)),IF(AND(SUMIFS(F$5:F216,B$5:B216,"brand",C$5:C216,C216,E$5:E216,"paid")&gt;=Inputs!$C$44,SUMIFS(F$5:F216,B$5:B216,"brand",C$5:C216,C216,E$5:E216,"paid")-F216&lt;Inputs!$C$44),1,0),0)</f>
        <v>0</v>
      </c>
    </row>
    <row r="217" customFormat="false" ht="15" hidden="false" customHeight="false" outlineLevel="0" collapsed="false">
      <c r="A217" s="102"/>
      <c r="B217" s="103"/>
      <c r="C217" s="103"/>
      <c r="D217" s="103"/>
      <c r="E217" s="103"/>
      <c r="F217" s="103"/>
      <c r="G217" s="103"/>
      <c r="H217" s="103"/>
      <c r="I217" s="103"/>
      <c r="T217" s="30" t="str">
        <f aca="false">IF(C217="","",IF(COUNTIFS(C$5:C217,C217,E$5:E217,E217)=1,1,0))</f>
        <v/>
      </c>
      <c r="U217" s="30" t="n">
        <f aca="false">IF(C217="",0,IF(AND(B217="brand",E217="budget_probe",N(F217)&gt;=Inputs!$C$124,H217="Y"),1,0))</f>
        <v>0</v>
      </c>
      <c r="V217" s="30" t="n">
        <f aca="false">IF(U217=1,IF(COUNTIFS(C$5:C217,C217,U$5:U217,1)=1,1,0),0)</f>
        <v>0</v>
      </c>
      <c r="W217" s="30" t="n">
        <f aca="false">IF(C217="",0,IF(AND(B217="office",E217="budget_probe",N(F217)&gt;=Inputs!$C$139),1,0))</f>
        <v>0</v>
      </c>
      <c r="X217" s="30" t="n">
        <f aca="false">IF(W217=1,IF(COUNTIFS(C$5:C217,C217,W$5:W217,1)=1,1,0),0)</f>
        <v>0</v>
      </c>
      <c r="Y217" s="30" t="n">
        <f aca="false">IF(C217="",0,IF(AND(B217="brand",E217="renewal_answer",TRIM(G217)="yes",N(F217)&gt;=Inputs!$C$135),1,0))</f>
        <v>0</v>
      </c>
      <c r="Z217" s="30" t="n">
        <f aca="false">IF(Y217=1,IF(COUNTIFS(C$5:C217,C217,Y$5:Y217,1)=1,1,0),0)</f>
        <v>0</v>
      </c>
      <c r="AA217" s="30" t="n">
        <f aca="false">IF(AND(E217="budget_probe",ISNUMBER(F217),I217&lt;&gt;Lists!$X$4),1,0)</f>
        <v>0</v>
      </c>
      <c r="AB217" s="30" t="str">
        <f aca="false">IF(AND(B217="office",AA217=1,COUNTIFS(C$5:C217,C217,AA$5:AA217,1)=1),F217,"")</f>
        <v/>
      </c>
      <c r="AC217" s="30" t="str">
        <f aca="false">IF(AND(B217="brand",AA217=1,COUNTIFS(C$5:C217,C217,AA$5:AA217,1)=1),F217,"")</f>
        <v/>
      </c>
      <c r="AD217" s="30" t="str">
        <f aca="false">IF(AND(B217="brand",E217="budget_probe",ISNUMBER(F217),I217=Lists!$X$4),IF(COUNTIFS(C$5:C217,C217,E$5:E217,"budget_probe",I$5:I217,Lists!$X$4)=1,F217,""),"")</f>
        <v/>
      </c>
      <c r="AE217" s="30" t="n">
        <f aca="false">IF(AND(B217="brand",E217="paid",ISNUMBER(F217)),IF(AND(SUMIFS(F$5:F217,B$5:B217,"brand",C$5:C217,C217,E$5:E217,"paid")&gt;=Inputs!$C$44,SUMIFS(F$5:F217,B$5:B217,"brand",C$5:C217,C217,E$5:E217,"paid")-F217&lt;Inputs!$C$44),1,0),0)</f>
        <v>0</v>
      </c>
    </row>
    <row r="218" customFormat="false" ht="15" hidden="false" customHeight="false" outlineLevel="0" collapsed="false">
      <c r="A218" s="102"/>
      <c r="B218" s="103"/>
      <c r="C218" s="103"/>
      <c r="D218" s="103"/>
      <c r="E218" s="103"/>
      <c r="F218" s="103"/>
      <c r="G218" s="103"/>
      <c r="H218" s="103"/>
      <c r="I218" s="103"/>
      <c r="T218" s="30" t="str">
        <f aca="false">IF(C218="","",IF(COUNTIFS(C$5:C218,C218,E$5:E218,E218)=1,1,0))</f>
        <v/>
      </c>
      <c r="U218" s="30" t="n">
        <f aca="false">IF(C218="",0,IF(AND(B218="brand",E218="budget_probe",N(F218)&gt;=Inputs!$C$124,H218="Y"),1,0))</f>
        <v>0</v>
      </c>
      <c r="V218" s="30" t="n">
        <f aca="false">IF(U218=1,IF(COUNTIFS(C$5:C218,C218,U$5:U218,1)=1,1,0),0)</f>
        <v>0</v>
      </c>
      <c r="W218" s="30" t="n">
        <f aca="false">IF(C218="",0,IF(AND(B218="office",E218="budget_probe",N(F218)&gt;=Inputs!$C$139),1,0))</f>
        <v>0</v>
      </c>
      <c r="X218" s="30" t="n">
        <f aca="false">IF(W218=1,IF(COUNTIFS(C$5:C218,C218,W$5:W218,1)=1,1,0),0)</f>
        <v>0</v>
      </c>
      <c r="Y218" s="30" t="n">
        <f aca="false">IF(C218="",0,IF(AND(B218="brand",E218="renewal_answer",TRIM(G218)="yes",N(F218)&gt;=Inputs!$C$135),1,0))</f>
        <v>0</v>
      </c>
      <c r="Z218" s="30" t="n">
        <f aca="false">IF(Y218=1,IF(COUNTIFS(C$5:C218,C218,Y$5:Y218,1)=1,1,0),0)</f>
        <v>0</v>
      </c>
      <c r="AA218" s="30" t="n">
        <f aca="false">IF(AND(E218="budget_probe",ISNUMBER(F218),I218&lt;&gt;Lists!$X$4),1,0)</f>
        <v>0</v>
      </c>
      <c r="AB218" s="30" t="str">
        <f aca="false">IF(AND(B218="office",AA218=1,COUNTIFS(C$5:C218,C218,AA$5:AA218,1)=1),F218,"")</f>
        <v/>
      </c>
      <c r="AC218" s="30" t="str">
        <f aca="false">IF(AND(B218="brand",AA218=1,COUNTIFS(C$5:C218,C218,AA$5:AA218,1)=1),F218,"")</f>
        <v/>
      </c>
      <c r="AD218" s="30" t="str">
        <f aca="false">IF(AND(B218="brand",E218="budget_probe",ISNUMBER(F218),I218=Lists!$X$4),IF(COUNTIFS(C$5:C218,C218,E$5:E218,"budget_probe",I$5:I218,Lists!$X$4)=1,F218,""),"")</f>
        <v/>
      </c>
      <c r="AE218" s="30" t="n">
        <f aca="false">IF(AND(B218="brand",E218="paid",ISNUMBER(F218)),IF(AND(SUMIFS(F$5:F218,B$5:B218,"brand",C$5:C218,C218,E$5:E218,"paid")&gt;=Inputs!$C$44,SUMIFS(F$5:F218,B$5:B218,"brand",C$5:C218,C218,E$5:E218,"paid")-F218&lt;Inputs!$C$44),1,0),0)</f>
        <v>0</v>
      </c>
    </row>
    <row r="219" customFormat="false" ht="15" hidden="false" customHeight="false" outlineLevel="0" collapsed="false">
      <c r="A219" s="102"/>
      <c r="B219" s="103"/>
      <c r="C219" s="103"/>
      <c r="D219" s="103"/>
      <c r="E219" s="103"/>
      <c r="F219" s="103"/>
      <c r="G219" s="103"/>
      <c r="H219" s="103"/>
      <c r="I219" s="103"/>
      <c r="T219" s="30" t="str">
        <f aca="false">IF(C219="","",IF(COUNTIFS(C$5:C219,C219,E$5:E219,E219)=1,1,0))</f>
        <v/>
      </c>
      <c r="U219" s="30" t="n">
        <f aca="false">IF(C219="",0,IF(AND(B219="brand",E219="budget_probe",N(F219)&gt;=Inputs!$C$124,H219="Y"),1,0))</f>
        <v>0</v>
      </c>
      <c r="V219" s="30" t="n">
        <f aca="false">IF(U219=1,IF(COUNTIFS(C$5:C219,C219,U$5:U219,1)=1,1,0),0)</f>
        <v>0</v>
      </c>
      <c r="W219" s="30" t="n">
        <f aca="false">IF(C219="",0,IF(AND(B219="office",E219="budget_probe",N(F219)&gt;=Inputs!$C$139),1,0))</f>
        <v>0</v>
      </c>
      <c r="X219" s="30" t="n">
        <f aca="false">IF(W219=1,IF(COUNTIFS(C$5:C219,C219,W$5:W219,1)=1,1,0),0)</f>
        <v>0</v>
      </c>
      <c r="Y219" s="30" t="n">
        <f aca="false">IF(C219="",0,IF(AND(B219="brand",E219="renewal_answer",TRIM(G219)="yes",N(F219)&gt;=Inputs!$C$135),1,0))</f>
        <v>0</v>
      </c>
      <c r="Z219" s="30" t="n">
        <f aca="false">IF(Y219=1,IF(COUNTIFS(C$5:C219,C219,Y$5:Y219,1)=1,1,0),0)</f>
        <v>0</v>
      </c>
      <c r="AA219" s="30" t="n">
        <f aca="false">IF(AND(E219="budget_probe",ISNUMBER(F219),I219&lt;&gt;Lists!$X$4),1,0)</f>
        <v>0</v>
      </c>
      <c r="AB219" s="30" t="str">
        <f aca="false">IF(AND(B219="office",AA219=1,COUNTIFS(C$5:C219,C219,AA$5:AA219,1)=1),F219,"")</f>
        <v/>
      </c>
      <c r="AC219" s="30" t="str">
        <f aca="false">IF(AND(B219="brand",AA219=1,COUNTIFS(C$5:C219,C219,AA$5:AA219,1)=1),F219,"")</f>
        <v/>
      </c>
      <c r="AD219" s="30" t="str">
        <f aca="false">IF(AND(B219="brand",E219="budget_probe",ISNUMBER(F219),I219=Lists!$X$4),IF(COUNTIFS(C$5:C219,C219,E$5:E219,"budget_probe",I$5:I219,Lists!$X$4)=1,F219,""),"")</f>
        <v/>
      </c>
      <c r="AE219" s="30" t="n">
        <f aca="false">IF(AND(B219="brand",E219="paid",ISNUMBER(F219)),IF(AND(SUMIFS(F$5:F219,B$5:B219,"brand",C$5:C219,C219,E$5:E219,"paid")&gt;=Inputs!$C$44,SUMIFS(F$5:F219,B$5:B219,"brand",C$5:C219,C219,E$5:E219,"paid")-F219&lt;Inputs!$C$44),1,0),0)</f>
        <v>0</v>
      </c>
    </row>
    <row r="220" customFormat="false" ht="15" hidden="false" customHeight="false" outlineLevel="0" collapsed="false">
      <c r="A220" s="102"/>
      <c r="B220" s="103"/>
      <c r="C220" s="103"/>
      <c r="D220" s="103"/>
      <c r="E220" s="103"/>
      <c r="F220" s="103"/>
      <c r="G220" s="103"/>
      <c r="H220" s="103"/>
      <c r="I220" s="103"/>
      <c r="T220" s="30" t="str">
        <f aca="false">IF(C220="","",IF(COUNTIFS(C$5:C220,C220,E$5:E220,E220)=1,1,0))</f>
        <v/>
      </c>
      <c r="U220" s="30" t="n">
        <f aca="false">IF(C220="",0,IF(AND(B220="brand",E220="budget_probe",N(F220)&gt;=Inputs!$C$124,H220="Y"),1,0))</f>
        <v>0</v>
      </c>
      <c r="V220" s="30" t="n">
        <f aca="false">IF(U220=1,IF(COUNTIFS(C$5:C220,C220,U$5:U220,1)=1,1,0),0)</f>
        <v>0</v>
      </c>
      <c r="W220" s="30" t="n">
        <f aca="false">IF(C220="",0,IF(AND(B220="office",E220="budget_probe",N(F220)&gt;=Inputs!$C$139),1,0))</f>
        <v>0</v>
      </c>
      <c r="X220" s="30" t="n">
        <f aca="false">IF(W220=1,IF(COUNTIFS(C$5:C220,C220,W$5:W220,1)=1,1,0),0)</f>
        <v>0</v>
      </c>
      <c r="Y220" s="30" t="n">
        <f aca="false">IF(C220="",0,IF(AND(B220="brand",E220="renewal_answer",TRIM(G220)="yes",N(F220)&gt;=Inputs!$C$135),1,0))</f>
        <v>0</v>
      </c>
      <c r="Z220" s="30" t="n">
        <f aca="false">IF(Y220=1,IF(COUNTIFS(C$5:C220,C220,Y$5:Y220,1)=1,1,0),0)</f>
        <v>0</v>
      </c>
      <c r="AA220" s="30" t="n">
        <f aca="false">IF(AND(E220="budget_probe",ISNUMBER(F220),I220&lt;&gt;Lists!$X$4),1,0)</f>
        <v>0</v>
      </c>
      <c r="AB220" s="30" t="str">
        <f aca="false">IF(AND(B220="office",AA220=1,COUNTIFS(C$5:C220,C220,AA$5:AA220,1)=1),F220,"")</f>
        <v/>
      </c>
      <c r="AC220" s="30" t="str">
        <f aca="false">IF(AND(B220="brand",AA220=1,COUNTIFS(C$5:C220,C220,AA$5:AA220,1)=1),F220,"")</f>
        <v/>
      </c>
      <c r="AD220" s="30" t="str">
        <f aca="false">IF(AND(B220="brand",E220="budget_probe",ISNUMBER(F220),I220=Lists!$X$4),IF(COUNTIFS(C$5:C220,C220,E$5:E220,"budget_probe",I$5:I220,Lists!$X$4)=1,F220,""),"")</f>
        <v/>
      </c>
      <c r="AE220" s="30" t="n">
        <f aca="false">IF(AND(B220="brand",E220="paid",ISNUMBER(F220)),IF(AND(SUMIFS(F$5:F220,B$5:B220,"brand",C$5:C220,C220,E$5:E220,"paid")&gt;=Inputs!$C$44,SUMIFS(F$5:F220,B$5:B220,"brand",C$5:C220,C220,E$5:E220,"paid")-F220&lt;Inputs!$C$44),1,0),0)</f>
        <v>0</v>
      </c>
    </row>
    <row r="221" customFormat="false" ht="15" hidden="false" customHeight="false" outlineLevel="0" collapsed="false">
      <c r="A221" s="102"/>
      <c r="B221" s="103"/>
      <c r="C221" s="103"/>
      <c r="D221" s="103"/>
      <c r="E221" s="103"/>
      <c r="F221" s="103"/>
      <c r="G221" s="103"/>
      <c r="H221" s="103"/>
      <c r="I221" s="103"/>
      <c r="T221" s="30" t="str">
        <f aca="false">IF(C221="","",IF(COUNTIFS(C$5:C221,C221,E$5:E221,E221)=1,1,0))</f>
        <v/>
      </c>
      <c r="U221" s="30" t="n">
        <f aca="false">IF(C221="",0,IF(AND(B221="brand",E221="budget_probe",N(F221)&gt;=Inputs!$C$124,H221="Y"),1,0))</f>
        <v>0</v>
      </c>
      <c r="V221" s="30" t="n">
        <f aca="false">IF(U221=1,IF(COUNTIFS(C$5:C221,C221,U$5:U221,1)=1,1,0),0)</f>
        <v>0</v>
      </c>
      <c r="W221" s="30" t="n">
        <f aca="false">IF(C221="",0,IF(AND(B221="office",E221="budget_probe",N(F221)&gt;=Inputs!$C$139),1,0))</f>
        <v>0</v>
      </c>
      <c r="X221" s="30" t="n">
        <f aca="false">IF(W221=1,IF(COUNTIFS(C$5:C221,C221,W$5:W221,1)=1,1,0),0)</f>
        <v>0</v>
      </c>
      <c r="Y221" s="30" t="n">
        <f aca="false">IF(C221="",0,IF(AND(B221="brand",E221="renewal_answer",TRIM(G221)="yes",N(F221)&gt;=Inputs!$C$135),1,0))</f>
        <v>0</v>
      </c>
      <c r="Z221" s="30" t="n">
        <f aca="false">IF(Y221=1,IF(COUNTIFS(C$5:C221,C221,Y$5:Y221,1)=1,1,0),0)</f>
        <v>0</v>
      </c>
      <c r="AA221" s="30" t="n">
        <f aca="false">IF(AND(E221="budget_probe",ISNUMBER(F221),I221&lt;&gt;Lists!$X$4),1,0)</f>
        <v>0</v>
      </c>
      <c r="AB221" s="30" t="str">
        <f aca="false">IF(AND(B221="office",AA221=1,COUNTIFS(C$5:C221,C221,AA$5:AA221,1)=1),F221,"")</f>
        <v/>
      </c>
      <c r="AC221" s="30" t="str">
        <f aca="false">IF(AND(B221="brand",AA221=1,COUNTIFS(C$5:C221,C221,AA$5:AA221,1)=1),F221,"")</f>
        <v/>
      </c>
      <c r="AD221" s="30" t="str">
        <f aca="false">IF(AND(B221="brand",E221="budget_probe",ISNUMBER(F221),I221=Lists!$X$4),IF(COUNTIFS(C$5:C221,C221,E$5:E221,"budget_probe",I$5:I221,Lists!$X$4)=1,F221,""),"")</f>
        <v/>
      </c>
      <c r="AE221" s="30" t="n">
        <f aca="false">IF(AND(B221="brand",E221="paid",ISNUMBER(F221)),IF(AND(SUMIFS(F$5:F221,B$5:B221,"brand",C$5:C221,C221,E$5:E221,"paid")&gt;=Inputs!$C$44,SUMIFS(F$5:F221,B$5:B221,"brand",C$5:C221,C221,E$5:E221,"paid")-F221&lt;Inputs!$C$44),1,0),0)</f>
        <v>0</v>
      </c>
    </row>
    <row r="222" customFormat="false" ht="15" hidden="false" customHeight="false" outlineLevel="0" collapsed="false">
      <c r="A222" s="102"/>
      <c r="B222" s="103"/>
      <c r="C222" s="103"/>
      <c r="D222" s="103"/>
      <c r="E222" s="103"/>
      <c r="F222" s="103"/>
      <c r="G222" s="103"/>
      <c r="H222" s="103"/>
      <c r="I222" s="103"/>
      <c r="T222" s="30" t="str">
        <f aca="false">IF(C222="","",IF(COUNTIFS(C$5:C222,C222,E$5:E222,E222)=1,1,0))</f>
        <v/>
      </c>
      <c r="U222" s="30" t="n">
        <f aca="false">IF(C222="",0,IF(AND(B222="brand",E222="budget_probe",N(F222)&gt;=Inputs!$C$124,H222="Y"),1,0))</f>
        <v>0</v>
      </c>
      <c r="V222" s="30" t="n">
        <f aca="false">IF(U222=1,IF(COUNTIFS(C$5:C222,C222,U$5:U222,1)=1,1,0),0)</f>
        <v>0</v>
      </c>
      <c r="W222" s="30" t="n">
        <f aca="false">IF(C222="",0,IF(AND(B222="office",E222="budget_probe",N(F222)&gt;=Inputs!$C$139),1,0))</f>
        <v>0</v>
      </c>
      <c r="X222" s="30" t="n">
        <f aca="false">IF(W222=1,IF(COUNTIFS(C$5:C222,C222,W$5:W222,1)=1,1,0),0)</f>
        <v>0</v>
      </c>
      <c r="Y222" s="30" t="n">
        <f aca="false">IF(C222="",0,IF(AND(B222="brand",E222="renewal_answer",TRIM(G222)="yes",N(F222)&gt;=Inputs!$C$135),1,0))</f>
        <v>0</v>
      </c>
      <c r="Z222" s="30" t="n">
        <f aca="false">IF(Y222=1,IF(COUNTIFS(C$5:C222,C222,Y$5:Y222,1)=1,1,0),0)</f>
        <v>0</v>
      </c>
      <c r="AA222" s="30" t="n">
        <f aca="false">IF(AND(E222="budget_probe",ISNUMBER(F222),I222&lt;&gt;Lists!$X$4),1,0)</f>
        <v>0</v>
      </c>
      <c r="AB222" s="30" t="str">
        <f aca="false">IF(AND(B222="office",AA222=1,COUNTIFS(C$5:C222,C222,AA$5:AA222,1)=1),F222,"")</f>
        <v/>
      </c>
      <c r="AC222" s="30" t="str">
        <f aca="false">IF(AND(B222="brand",AA222=1,COUNTIFS(C$5:C222,C222,AA$5:AA222,1)=1),F222,"")</f>
        <v/>
      </c>
      <c r="AD222" s="30" t="str">
        <f aca="false">IF(AND(B222="brand",E222="budget_probe",ISNUMBER(F222),I222=Lists!$X$4),IF(COUNTIFS(C$5:C222,C222,E$5:E222,"budget_probe",I$5:I222,Lists!$X$4)=1,F222,""),"")</f>
        <v/>
      </c>
      <c r="AE222" s="30" t="n">
        <f aca="false">IF(AND(B222="brand",E222="paid",ISNUMBER(F222)),IF(AND(SUMIFS(F$5:F222,B$5:B222,"brand",C$5:C222,C222,E$5:E222,"paid")&gt;=Inputs!$C$44,SUMIFS(F$5:F222,B$5:B222,"brand",C$5:C222,C222,E$5:E222,"paid")-F222&lt;Inputs!$C$44),1,0),0)</f>
        <v>0</v>
      </c>
    </row>
    <row r="223" customFormat="false" ht="15" hidden="false" customHeight="false" outlineLevel="0" collapsed="false">
      <c r="A223" s="102"/>
      <c r="B223" s="103"/>
      <c r="C223" s="103"/>
      <c r="D223" s="103"/>
      <c r="E223" s="103"/>
      <c r="F223" s="103"/>
      <c r="G223" s="103"/>
      <c r="H223" s="103"/>
      <c r="I223" s="103"/>
      <c r="T223" s="30" t="str">
        <f aca="false">IF(C223="","",IF(COUNTIFS(C$5:C223,C223,E$5:E223,E223)=1,1,0))</f>
        <v/>
      </c>
      <c r="U223" s="30" t="n">
        <f aca="false">IF(C223="",0,IF(AND(B223="brand",E223="budget_probe",N(F223)&gt;=Inputs!$C$124,H223="Y"),1,0))</f>
        <v>0</v>
      </c>
      <c r="V223" s="30" t="n">
        <f aca="false">IF(U223=1,IF(COUNTIFS(C$5:C223,C223,U$5:U223,1)=1,1,0),0)</f>
        <v>0</v>
      </c>
      <c r="W223" s="30" t="n">
        <f aca="false">IF(C223="",0,IF(AND(B223="office",E223="budget_probe",N(F223)&gt;=Inputs!$C$139),1,0))</f>
        <v>0</v>
      </c>
      <c r="X223" s="30" t="n">
        <f aca="false">IF(W223=1,IF(COUNTIFS(C$5:C223,C223,W$5:W223,1)=1,1,0),0)</f>
        <v>0</v>
      </c>
      <c r="Y223" s="30" t="n">
        <f aca="false">IF(C223="",0,IF(AND(B223="brand",E223="renewal_answer",TRIM(G223)="yes",N(F223)&gt;=Inputs!$C$135),1,0))</f>
        <v>0</v>
      </c>
      <c r="Z223" s="30" t="n">
        <f aca="false">IF(Y223=1,IF(COUNTIFS(C$5:C223,C223,Y$5:Y223,1)=1,1,0),0)</f>
        <v>0</v>
      </c>
      <c r="AA223" s="30" t="n">
        <f aca="false">IF(AND(E223="budget_probe",ISNUMBER(F223),I223&lt;&gt;Lists!$X$4),1,0)</f>
        <v>0</v>
      </c>
      <c r="AB223" s="30" t="str">
        <f aca="false">IF(AND(B223="office",AA223=1,COUNTIFS(C$5:C223,C223,AA$5:AA223,1)=1),F223,"")</f>
        <v/>
      </c>
      <c r="AC223" s="30" t="str">
        <f aca="false">IF(AND(B223="brand",AA223=1,COUNTIFS(C$5:C223,C223,AA$5:AA223,1)=1),F223,"")</f>
        <v/>
      </c>
      <c r="AD223" s="30" t="str">
        <f aca="false">IF(AND(B223="brand",E223="budget_probe",ISNUMBER(F223),I223=Lists!$X$4),IF(COUNTIFS(C$5:C223,C223,E$5:E223,"budget_probe",I$5:I223,Lists!$X$4)=1,F223,""),"")</f>
        <v/>
      </c>
      <c r="AE223" s="30" t="n">
        <f aca="false">IF(AND(B223="brand",E223="paid",ISNUMBER(F223)),IF(AND(SUMIFS(F$5:F223,B$5:B223,"brand",C$5:C223,C223,E$5:E223,"paid")&gt;=Inputs!$C$44,SUMIFS(F$5:F223,B$5:B223,"brand",C$5:C223,C223,E$5:E223,"paid")-F223&lt;Inputs!$C$44),1,0),0)</f>
        <v>0</v>
      </c>
    </row>
    <row r="224" customFormat="false" ht="15" hidden="false" customHeight="false" outlineLevel="0" collapsed="false">
      <c r="A224" s="102"/>
      <c r="B224" s="103"/>
      <c r="C224" s="103"/>
      <c r="D224" s="103"/>
      <c r="E224" s="103"/>
      <c r="F224" s="103"/>
      <c r="G224" s="103"/>
      <c r="H224" s="103"/>
      <c r="I224" s="103"/>
      <c r="T224" s="30" t="str">
        <f aca="false">IF(C224="","",IF(COUNTIFS(C$5:C224,C224,E$5:E224,E224)=1,1,0))</f>
        <v/>
      </c>
      <c r="U224" s="30" t="n">
        <f aca="false">IF(C224="",0,IF(AND(B224="brand",E224="budget_probe",N(F224)&gt;=Inputs!$C$124,H224="Y"),1,0))</f>
        <v>0</v>
      </c>
      <c r="V224" s="30" t="n">
        <f aca="false">IF(U224=1,IF(COUNTIFS(C$5:C224,C224,U$5:U224,1)=1,1,0),0)</f>
        <v>0</v>
      </c>
      <c r="W224" s="30" t="n">
        <f aca="false">IF(C224="",0,IF(AND(B224="office",E224="budget_probe",N(F224)&gt;=Inputs!$C$139),1,0))</f>
        <v>0</v>
      </c>
      <c r="X224" s="30" t="n">
        <f aca="false">IF(W224=1,IF(COUNTIFS(C$5:C224,C224,W$5:W224,1)=1,1,0),0)</f>
        <v>0</v>
      </c>
      <c r="Y224" s="30" t="n">
        <f aca="false">IF(C224="",0,IF(AND(B224="brand",E224="renewal_answer",TRIM(G224)="yes",N(F224)&gt;=Inputs!$C$135),1,0))</f>
        <v>0</v>
      </c>
      <c r="Z224" s="30" t="n">
        <f aca="false">IF(Y224=1,IF(COUNTIFS(C$5:C224,C224,Y$5:Y224,1)=1,1,0),0)</f>
        <v>0</v>
      </c>
      <c r="AA224" s="30" t="n">
        <f aca="false">IF(AND(E224="budget_probe",ISNUMBER(F224),I224&lt;&gt;Lists!$X$4),1,0)</f>
        <v>0</v>
      </c>
      <c r="AB224" s="30" t="str">
        <f aca="false">IF(AND(B224="office",AA224=1,COUNTIFS(C$5:C224,C224,AA$5:AA224,1)=1),F224,"")</f>
        <v/>
      </c>
      <c r="AC224" s="30" t="str">
        <f aca="false">IF(AND(B224="brand",AA224=1,COUNTIFS(C$5:C224,C224,AA$5:AA224,1)=1),F224,"")</f>
        <v/>
      </c>
      <c r="AD224" s="30" t="str">
        <f aca="false">IF(AND(B224="brand",E224="budget_probe",ISNUMBER(F224),I224=Lists!$X$4),IF(COUNTIFS(C$5:C224,C224,E$5:E224,"budget_probe",I$5:I224,Lists!$X$4)=1,F224,""),"")</f>
        <v/>
      </c>
      <c r="AE224" s="30" t="n">
        <f aca="false">IF(AND(B224="brand",E224="paid",ISNUMBER(F224)),IF(AND(SUMIFS(F$5:F224,B$5:B224,"brand",C$5:C224,C224,E$5:E224,"paid")&gt;=Inputs!$C$44,SUMIFS(F$5:F224,B$5:B224,"brand",C$5:C224,C224,E$5:E224,"paid")-F224&lt;Inputs!$C$44),1,0),0)</f>
        <v>0</v>
      </c>
    </row>
    <row r="225" customFormat="false" ht="15" hidden="false" customHeight="false" outlineLevel="0" collapsed="false">
      <c r="A225" s="102"/>
      <c r="B225" s="103"/>
      <c r="C225" s="103"/>
      <c r="D225" s="103"/>
      <c r="E225" s="103"/>
      <c r="F225" s="103"/>
      <c r="G225" s="103"/>
      <c r="H225" s="103"/>
      <c r="I225" s="103"/>
      <c r="T225" s="30" t="str">
        <f aca="false">IF(C225="","",IF(COUNTIFS(C$5:C225,C225,E$5:E225,E225)=1,1,0))</f>
        <v/>
      </c>
      <c r="U225" s="30" t="n">
        <f aca="false">IF(C225="",0,IF(AND(B225="brand",E225="budget_probe",N(F225)&gt;=Inputs!$C$124,H225="Y"),1,0))</f>
        <v>0</v>
      </c>
      <c r="V225" s="30" t="n">
        <f aca="false">IF(U225=1,IF(COUNTIFS(C$5:C225,C225,U$5:U225,1)=1,1,0),0)</f>
        <v>0</v>
      </c>
      <c r="W225" s="30" t="n">
        <f aca="false">IF(C225="",0,IF(AND(B225="office",E225="budget_probe",N(F225)&gt;=Inputs!$C$139),1,0))</f>
        <v>0</v>
      </c>
      <c r="X225" s="30" t="n">
        <f aca="false">IF(W225=1,IF(COUNTIFS(C$5:C225,C225,W$5:W225,1)=1,1,0),0)</f>
        <v>0</v>
      </c>
      <c r="Y225" s="30" t="n">
        <f aca="false">IF(C225="",0,IF(AND(B225="brand",E225="renewal_answer",TRIM(G225)="yes",N(F225)&gt;=Inputs!$C$135),1,0))</f>
        <v>0</v>
      </c>
      <c r="Z225" s="30" t="n">
        <f aca="false">IF(Y225=1,IF(COUNTIFS(C$5:C225,C225,Y$5:Y225,1)=1,1,0),0)</f>
        <v>0</v>
      </c>
      <c r="AA225" s="30" t="n">
        <f aca="false">IF(AND(E225="budget_probe",ISNUMBER(F225),I225&lt;&gt;Lists!$X$4),1,0)</f>
        <v>0</v>
      </c>
      <c r="AB225" s="30" t="str">
        <f aca="false">IF(AND(B225="office",AA225=1,COUNTIFS(C$5:C225,C225,AA$5:AA225,1)=1),F225,"")</f>
        <v/>
      </c>
      <c r="AC225" s="30" t="str">
        <f aca="false">IF(AND(B225="brand",AA225=1,COUNTIFS(C$5:C225,C225,AA$5:AA225,1)=1),F225,"")</f>
        <v/>
      </c>
      <c r="AD225" s="30" t="str">
        <f aca="false">IF(AND(B225="brand",E225="budget_probe",ISNUMBER(F225),I225=Lists!$X$4),IF(COUNTIFS(C$5:C225,C225,E$5:E225,"budget_probe",I$5:I225,Lists!$X$4)=1,F225,""),"")</f>
        <v/>
      </c>
      <c r="AE225" s="30" t="n">
        <f aca="false">IF(AND(B225="brand",E225="paid",ISNUMBER(F225)),IF(AND(SUMIFS(F$5:F225,B$5:B225,"brand",C$5:C225,C225,E$5:E225,"paid")&gt;=Inputs!$C$44,SUMIFS(F$5:F225,B$5:B225,"brand",C$5:C225,C225,E$5:E225,"paid")-F225&lt;Inputs!$C$44),1,0),0)</f>
        <v>0</v>
      </c>
    </row>
    <row r="226" customFormat="false" ht="15" hidden="false" customHeight="false" outlineLevel="0" collapsed="false">
      <c r="A226" s="102"/>
      <c r="B226" s="103"/>
      <c r="C226" s="103"/>
      <c r="D226" s="103"/>
      <c r="E226" s="103"/>
      <c r="F226" s="103"/>
      <c r="G226" s="103"/>
      <c r="H226" s="103"/>
      <c r="I226" s="103"/>
      <c r="T226" s="30" t="str">
        <f aca="false">IF(C226="","",IF(COUNTIFS(C$5:C226,C226,E$5:E226,E226)=1,1,0))</f>
        <v/>
      </c>
      <c r="U226" s="30" t="n">
        <f aca="false">IF(C226="",0,IF(AND(B226="brand",E226="budget_probe",N(F226)&gt;=Inputs!$C$124,H226="Y"),1,0))</f>
        <v>0</v>
      </c>
      <c r="V226" s="30" t="n">
        <f aca="false">IF(U226=1,IF(COUNTIFS(C$5:C226,C226,U$5:U226,1)=1,1,0),0)</f>
        <v>0</v>
      </c>
      <c r="W226" s="30" t="n">
        <f aca="false">IF(C226="",0,IF(AND(B226="office",E226="budget_probe",N(F226)&gt;=Inputs!$C$139),1,0))</f>
        <v>0</v>
      </c>
      <c r="X226" s="30" t="n">
        <f aca="false">IF(W226=1,IF(COUNTIFS(C$5:C226,C226,W$5:W226,1)=1,1,0),0)</f>
        <v>0</v>
      </c>
      <c r="Y226" s="30" t="n">
        <f aca="false">IF(C226="",0,IF(AND(B226="brand",E226="renewal_answer",TRIM(G226)="yes",N(F226)&gt;=Inputs!$C$135),1,0))</f>
        <v>0</v>
      </c>
      <c r="Z226" s="30" t="n">
        <f aca="false">IF(Y226=1,IF(COUNTIFS(C$5:C226,C226,Y$5:Y226,1)=1,1,0),0)</f>
        <v>0</v>
      </c>
      <c r="AA226" s="30" t="n">
        <f aca="false">IF(AND(E226="budget_probe",ISNUMBER(F226),I226&lt;&gt;Lists!$X$4),1,0)</f>
        <v>0</v>
      </c>
      <c r="AB226" s="30" t="str">
        <f aca="false">IF(AND(B226="office",AA226=1,COUNTIFS(C$5:C226,C226,AA$5:AA226,1)=1),F226,"")</f>
        <v/>
      </c>
      <c r="AC226" s="30" t="str">
        <f aca="false">IF(AND(B226="brand",AA226=1,COUNTIFS(C$5:C226,C226,AA$5:AA226,1)=1),F226,"")</f>
        <v/>
      </c>
      <c r="AD226" s="30" t="str">
        <f aca="false">IF(AND(B226="brand",E226="budget_probe",ISNUMBER(F226),I226=Lists!$X$4),IF(COUNTIFS(C$5:C226,C226,E$5:E226,"budget_probe",I$5:I226,Lists!$X$4)=1,F226,""),"")</f>
        <v/>
      </c>
      <c r="AE226" s="30" t="n">
        <f aca="false">IF(AND(B226="brand",E226="paid",ISNUMBER(F226)),IF(AND(SUMIFS(F$5:F226,B$5:B226,"brand",C$5:C226,C226,E$5:E226,"paid")&gt;=Inputs!$C$44,SUMIFS(F$5:F226,B$5:B226,"brand",C$5:C226,C226,E$5:E226,"paid")-F226&lt;Inputs!$C$44),1,0),0)</f>
        <v>0</v>
      </c>
    </row>
    <row r="227" customFormat="false" ht="15" hidden="false" customHeight="false" outlineLevel="0" collapsed="false">
      <c r="A227" s="102"/>
      <c r="B227" s="103"/>
      <c r="C227" s="103"/>
      <c r="D227" s="103"/>
      <c r="E227" s="103"/>
      <c r="F227" s="103"/>
      <c r="G227" s="103"/>
      <c r="H227" s="103"/>
      <c r="I227" s="103"/>
      <c r="T227" s="30" t="str">
        <f aca="false">IF(C227="","",IF(COUNTIFS(C$5:C227,C227,E$5:E227,E227)=1,1,0))</f>
        <v/>
      </c>
      <c r="U227" s="30" t="n">
        <f aca="false">IF(C227="",0,IF(AND(B227="brand",E227="budget_probe",N(F227)&gt;=Inputs!$C$124,H227="Y"),1,0))</f>
        <v>0</v>
      </c>
      <c r="V227" s="30" t="n">
        <f aca="false">IF(U227=1,IF(COUNTIFS(C$5:C227,C227,U$5:U227,1)=1,1,0),0)</f>
        <v>0</v>
      </c>
      <c r="W227" s="30" t="n">
        <f aca="false">IF(C227="",0,IF(AND(B227="office",E227="budget_probe",N(F227)&gt;=Inputs!$C$139),1,0))</f>
        <v>0</v>
      </c>
      <c r="X227" s="30" t="n">
        <f aca="false">IF(W227=1,IF(COUNTIFS(C$5:C227,C227,W$5:W227,1)=1,1,0),0)</f>
        <v>0</v>
      </c>
      <c r="Y227" s="30" t="n">
        <f aca="false">IF(C227="",0,IF(AND(B227="brand",E227="renewal_answer",TRIM(G227)="yes",N(F227)&gt;=Inputs!$C$135),1,0))</f>
        <v>0</v>
      </c>
      <c r="Z227" s="30" t="n">
        <f aca="false">IF(Y227=1,IF(COUNTIFS(C$5:C227,C227,Y$5:Y227,1)=1,1,0),0)</f>
        <v>0</v>
      </c>
      <c r="AA227" s="30" t="n">
        <f aca="false">IF(AND(E227="budget_probe",ISNUMBER(F227),I227&lt;&gt;Lists!$X$4),1,0)</f>
        <v>0</v>
      </c>
      <c r="AB227" s="30" t="str">
        <f aca="false">IF(AND(B227="office",AA227=1,COUNTIFS(C$5:C227,C227,AA$5:AA227,1)=1),F227,"")</f>
        <v/>
      </c>
      <c r="AC227" s="30" t="str">
        <f aca="false">IF(AND(B227="brand",AA227=1,COUNTIFS(C$5:C227,C227,AA$5:AA227,1)=1),F227,"")</f>
        <v/>
      </c>
      <c r="AD227" s="30" t="str">
        <f aca="false">IF(AND(B227="brand",E227="budget_probe",ISNUMBER(F227),I227=Lists!$X$4),IF(COUNTIFS(C$5:C227,C227,E$5:E227,"budget_probe",I$5:I227,Lists!$X$4)=1,F227,""),"")</f>
        <v/>
      </c>
      <c r="AE227" s="30" t="n">
        <f aca="false">IF(AND(B227="brand",E227="paid",ISNUMBER(F227)),IF(AND(SUMIFS(F$5:F227,B$5:B227,"brand",C$5:C227,C227,E$5:E227,"paid")&gt;=Inputs!$C$44,SUMIFS(F$5:F227,B$5:B227,"brand",C$5:C227,C227,E$5:E227,"paid")-F227&lt;Inputs!$C$44),1,0),0)</f>
        <v>0</v>
      </c>
    </row>
    <row r="228" customFormat="false" ht="15" hidden="false" customHeight="false" outlineLevel="0" collapsed="false">
      <c r="A228" s="102"/>
      <c r="B228" s="103"/>
      <c r="C228" s="103"/>
      <c r="D228" s="103"/>
      <c r="E228" s="103"/>
      <c r="F228" s="103"/>
      <c r="G228" s="103"/>
      <c r="H228" s="103"/>
      <c r="I228" s="103"/>
      <c r="T228" s="30" t="str">
        <f aca="false">IF(C228="","",IF(COUNTIFS(C$5:C228,C228,E$5:E228,E228)=1,1,0))</f>
        <v/>
      </c>
      <c r="U228" s="30" t="n">
        <f aca="false">IF(C228="",0,IF(AND(B228="brand",E228="budget_probe",N(F228)&gt;=Inputs!$C$124,H228="Y"),1,0))</f>
        <v>0</v>
      </c>
      <c r="V228" s="30" t="n">
        <f aca="false">IF(U228=1,IF(COUNTIFS(C$5:C228,C228,U$5:U228,1)=1,1,0),0)</f>
        <v>0</v>
      </c>
      <c r="W228" s="30" t="n">
        <f aca="false">IF(C228="",0,IF(AND(B228="office",E228="budget_probe",N(F228)&gt;=Inputs!$C$139),1,0))</f>
        <v>0</v>
      </c>
      <c r="X228" s="30" t="n">
        <f aca="false">IF(W228=1,IF(COUNTIFS(C$5:C228,C228,W$5:W228,1)=1,1,0),0)</f>
        <v>0</v>
      </c>
      <c r="Y228" s="30" t="n">
        <f aca="false">IF(C228="",0,IF(AND(B228="brand",E228="renewal_answer",TRIM(G228)="yes",N(F228)&gt;=Inputs!$C$135),1,0))</f>
        <v>0</v>
      </c>
      <c r="Z228" s="30" t="n">
        <f aca="false">IF(Y228=1,IF(COUNTIFS(C$5:C228,C228,Y$5:Y228,1)=1,1,0),0)</f>
        <v>0</v>
      </c>
      <c r="AA228" s="30" t="n">
        <f aca="false">IF(AND(E228="budget_probe",ISNUMBER(F228),I228&lt;&gt;Lists!$X$4),1,0)</f>
        <v>0</v>
      </c>
      <c r="AB228" s="30" t="str">
        <f aca="false">IF(AND(B228="office",AA228=1,COUNTIFS(C$5:C228,C228,AA$5:AA228,1)=1),F228,"")</f>
        <v/>
      </c>
      <c r="AC228" s="30" t="str">
        <f aca="false">IF(AND(B228="brand",AA228=1,COUNTIFS(C$5:C228,C228,AA$5:AA228,1)=1),F228,"")</f>
        <v/>
      </c>
      <c r="AD228" s="30" t="str">
        <f aca="false">IF(AND(B228="brand",E228="budget_probe",ISNUMBER(F228),I228=Lists!$X$4),IF(COUNTIFS(C$5:C228,C228,E$5:E228,"budget_probe",I$5:I228,Lists!$X$4)=1,F228,""),"")</f>
        <v/>
      </c>
      <c r="AE228" s="30" t="n">
        <f aca="false">IF(AND(B228="brand",E228="paid",ISNUMBER(F228)),IF(AND(SUMIFS(F$5:F228,B$5:B228,"brand",C$5:C228,C228,E$5:E228,"paid")&gt;=Inputs!$C$44,SUMIFS(F$5:F228,B$5:B228,"brand",C$5:C228,C228,E$5:E228,"paid")-F228&lt;Inputs!$C$44),1,0),0)</f>
        <v>0</v>
      </c>
    </row>
    <row r="229" customFormat="false" ht="15" hidden="false" customHeight="false" outlineLevel="0" collapsed="false">
      <c r="A229" s="102"/>
      <c r="B229" s="103"/>
      <c r="C229" s="103"/>
      <c r="D229" s="103"/>
      <c r="E229" s="103"/>
      <c r="F229" s="103"/>
      <c r="G229" s="103"/>
      <c r="H229" s="103"/>
      <c r="I229" s="103"/>
      <c r="T229" s="30" t="str">
        <f aca="false">IF(C229="","",IF(COUNTIFS(C$5:C229,C229,E$5:E229,E229)=1,1,0))</f>
        <v/>
      </c>
      <c r="U229" s="30" t="n">
        <f aca="false">IF(C229="",0,IF(AND(B229="brand",E229="budget_probe",N(F229)&gt;=Inputs!$C$124,H229="Y"),1,0))</f>
        <v>0</v>
      </c>
      <c r="V229" s="30" t="n">
        <f aca="false">IF(U229=1,IF(COUNTIFS(C$5:C229,C229,U$5:U229,1)=1,1,0),0)</f>
        <v>0</v>
      </c>
      <c r="W229" s="30" t="n">
        <f aca="false">IF(C229="",0,IF(AND(B229="office",E229="budget_probe",N(F229)&gt;=Inputs!$C$139),1,0))</f>
        <v>0</v>
      </c>
      <c r="X229" s="30" t="n">
        <f aca="false">IF(W229=1,IF(COUNTIFS(C$5:C229,C229,W$5:W229,1)=1,1,0),0)</f>
        <v>0</v>
      </c>
      <c r="Y229" s="30" t="n">
        <f aca="false">IF(C229="",0,IF(AND(B229="brand",E229="renewal_answer",TRIM(G229)="yes",N(F229)&gt;=Inputs!$C$135),1,0))</f>
        <v>0</v>
      </c>
      <c r="Z229" s="30" t="n">
        <f aca="false">IF(Y229=1,IF(COUNTIFS(C$5:C229,C229,Y$5:Y229,1)=1,1,0),0)</f>
        <v>0</v>
      </c>
      <c r="AA229" s="30" t="n">
        <f aca="false">IF(AND(E229="budget_probe",ISNUMBER(F229),I229&lt;&gt;Lists!$X$4),1,0)</f>
        <v>0</v>
      </c>
      <c r="AB229" s="30" t="str">
        <f aca="false">IF(AND(B229="office",AA229=1,COUNTIFS(C$5:C229,C229,AA$5:AA229,1)=1),F229,"")</f>
        <v/>
      </c>
      <c r="AC229" s="30" t="str">
        <f aca="false">IF(AND(B229="brand",AA229=1,COUNTIFS(C$5:C229,C229,AA$5:AA229,1)=1),F229,"")</f>
        <v/>
      </c>
      <c r="AD229" s="30" t="str">
        <f aca="false">IF(AND(B229="brand",E229="budget_probe",ISNUMBER(F229),I229=Lists!$X$4),IF(COUNTIFS(C$5:C229,C229,E$5:E229,"budget_probe",I$5:I229,Lists!$X$4)=1,F229,""),"")</f>
        <v/>
      </c>
      <c r="AE229" s="30" t="n">
        <f aca="false">IF(AND(B229="brand",E229="paid",ISNUMBER(F229)),IF(AND(SUMIFS(F$5:F229,B$5:B229,"brand",C$5:C229,C229,E$5:E229,"paid")&gt;=Inputs!$C$44,SUMIFS(F$5:F229,B$5:B229,"brand",C$5:C229,C229,E$5:E229,"paid")-F229&lt;Inputs!$C$44),1,0),0)</f>
        <v>0</v>
      </c>
    </row>
    <row r="230" customFormat="false" ht="15" hidden="false" customHeight="false" outlineLevel="0" collapsed="false">
      <c r="A230" s="102"/>
      <c r="B230" s="103"/>
      <c r="C230" s="103"/>
      <c r="D230" s="103"/>
      <c r="E230" s="103"/>
      <c r="F230" s="103"/>
      <c r="G230" s="103"/>
      <c r="H230" s="103"/>
      <c r="I230" s="103"/>
      <c r="T230" s="30" t="str">
        <f aca="false">IF(C230="","",IF(COUNTIFS(C$5:C230,C230,E$5:E230,E230)=1,1,0))</f>
        <v/>
      </c>
      <c r="U230" s="30" t="n">
        <f aca="false">IF(C230="",0,IF(AND(B230="brand",E230="budget_probe",N(F230)&gt;=Inputs!$C$124,H230="Y"),1,0))</f>
        <v>0</v>
      </c>
      <c r="V230" s="30" t="n">
        <f aca="false">IF(U230=1,IF(COUNTIFS(C$5:C230,C230,U$5:U230,1)=1,1,0),0)</f>
        <v>0</v>
      </c>
      <c r="W230" s="30" t="n">
        <f aca="false">IF(C230="",0,IF(AND(B230="office",E230="budget_probe",N(F230)&gt;=Inputs!$C$139),1,0))</f>
        <v>0</v>
      </c>
      <c r="X230" s="30" t="n">
        <f aca="false">IF(W230=1,IF(COUNTIFS(C$5:C230,C230,W$5:W230,1)=1,1,0),0)</f>
        <v>0</v>
      </c>
      <c r="Y230" s="30" t="n">
        <f aca="false">IF(C230="",0,IF(AND(B230="brand",E230="renewal_answer",TRIM(G230)="yes",N(F230)&gt;=Inputs!$C$135),1,0))</f>
        <v>0</v>
      </c>
      <c r="Z230" s="30" t="n">
        <f aca="false">IF(Y230=1,IF(COUNTIFS(C$5:C230,C230,Y$5:Y230,1)=1,1,0),0)</f>
        <v>0</v>
      </c>
      <c r="AA230" s="30" t="n">
        <f aca="false">IF(AND(E230="budget_probe",ISNUMBER(F230),I230&lt;&gt;Lists!$X$4),1,0)</f>
        <v>0</v>
      </c>
      <c r="AB230" s="30" t="str">
        <f aca="false">IF(AND(B230="office",AA230=1,COUNTIFS(C$5:C230,C230,AA$5:AA230,1)=1),F230,"")</f>
        <v/>
      </c>
      <c r="AC230" s="30" t="str">
        <f aca="false">IF(AND(B230="brand",AA230=1,COUNTIFS(C$5:C230,C230,AA$5:AA230,1)=1),F230,"")</f>
        <v/>
      </c>
      <c r="AD230" s="30" t="str">
        <f aca="false">IF(AND(B230="brand",E230="budget_probe",ISNUMBER(F230),I230=Lists!$X$4),IF(COUNTIFS(C$5:C230,C230,E$5:E230,"budget_probe",I$5:I230,Lists!$X$4)=1,F230,""),"")</f>
        <v/>
      </c>
      <c r="AE230" s="30" t="n">
        <f aca="false">IF(AND(B230="brand",E230="paid",ISNUMBER(F230)),IF(AND(SUMIFS(F$5:F230,B$5:B230,"brand",C$5:C230,C230,E$5:E230,"paid")&gt;=Inputs!$C$44,SUMIFS(F$5:F230,B$5:B230,"brand",C$5:C230,C230,E$5:E230,"paid")-F230&lt;Inputs!$C$44),1,0),0)</f>
        <v>0</v>
      </c>
    </row>
    <row r="231" customFormat="false" ht="15" hidden="false" customHeight="false" outlineLevel="0" collapsed="false">
      <c r="A231" s="102"/>
      <c r="B231" s="103"/>
      <c r="C231" s="103"/>
      <c r="D231" s="103"/>
      <c r="E231" s="103"/>
      <c r="F231" s="103"/>
      <c r="G231" s="103"/>
      <c r="H231" s="103"/>
      <c r="I231" s="103"/>
      <c r="T231" s="30" t="str">
        <f aca="false">IF(C231="","",IF(COUNTIFS(C$5:C231,C231,E$5:E231,E231)=1,1,0))</f>
        <v/>
      </c>
      <c r="U231" s="30" t="n">
        <f aca="false">IF(C231="",0,IF(AND(B231="brand",E231="budget_probe",N(F231)&gt;=Inputs!$C$124,H231="Y"),1,0))</f>
        <v>0</v>
      </c>
      <c r="V231" s="30" t="n">
        <f aca="false">IF(U231=1,IF(COUNTIFS(C$5:C231,C231,U$5:U231,1)=1,1,0),0)</f>
        <v>0</v>
      </c>
      <c r="W231" s="30" t="n">
        <f aca="false">IF(C231="",0,IF(AND(B231="office",E231="budget_probe",N(F231)&gt;=Inputs!$C$139),1,0))</f>
        <v>0</v>
      </c>
      <c r="X231" s="30" t="n">
        <f aca="false">IF(W231=1,IF(COUNTIFS(C$5:C231,C231,W$5:W231,1)=1,1,0),0)</f>
        <v>0</v>
      </c>
      <c r="Y231" s="30" t="n">
        <f aca="false">IF(C231="",0,IF(AND(B231="brand",E231="renewal_answer",TRIM(G231)="yes",N(F231)&gt;=Inputs!$C$135),1,0))</f>
        <v>0</v>
      </c>
      <c r="Z231" s="30" t="n">
        <f aca="false">IF(Y231=1,IF(COUNTIFS(C$5:C231,C231,Y$5:Y231,1)=1,1,0),0)</f>
        <v>0</v>
      </c>
      <c r="AA231" s="30" t="n">
        <f aca="false">IF(AND(E231="budget_probe",ISNUMBER(F231),I231&lt;&gt;Lists!$X$4),1,0)</f>
        <v>0</v>
      </c>
      <c r="AB231" s="30" t="str">
        <f aca="false">IF(AND(B231="office",AA231=1,COUNTIFS(C$5:C231,C231,AA$5:AA231,1)=1),F231,"")</f>
        <v/>
      </c>
      <c r="AC231" s="30" t="str">
        <f aca="false">IF(AND(B231="brand",AA231=1,COUNTIFS(C$5:C231,C231,AA$5:AA231,1)=1),F231,"")</f>
        <v/>
      </c>
      <c r="AD231" s="30" t="str">
        <f aca="false">IF(AND(B231="brand",E231="budget_probe",ISNUMBER(F231),I231=Lists!$X$4),IF(COUNTIFS(C$5:C231,C231,E$5:E231,"budget_probe",I$5:I231,Lists!$X$4)=1,F231,""),"")</f>
        <v/>
      </c>
      <c r="AE231" s="30" t="n">
        <f aca="false">IF(AND(B231="brand",E231="paid",ISNUMBER(F231)),IF(AND(SUMIFS(F$5:F231,B$5:B231,"brand",C$5:C231,C231,E$5:E231,"paid")&gt;=Inputs!$C$44,SUMIFS(F$5:F231,B$5:B231,"brand",C$5:C231,C231,E$5:E231,"paid")-F231&lt;Inputs!$C$44),1,0),0)</f>
        <v>0</v>
      </c>
    </row>
    <row r="232" customFormat="false" ht="15" hidden="false" customHeight="false" outlineLevel="0" collapsed="false">
      <c r="A232" s="102"/>
      <c r="B232" s="103"/>
      <c r="C232" s="103"/>
      <c r="D232" s="103"/>
      <c r="E232" s="103"/>
      <c r="F232" s="103"/>
      <c r="G232" s="103"/>
      <c r="H232" s="103"/>
      <c r="I232" s="103"/>
      <c r="T232" s="30" t="str">
        <f aca="false">IF(C232="","",IF(COUNTIFS(C$5:C232,C232,E$5:E232,E232)=1,1,0))</f>
        <v/>
      </c>
      <c r="U232" s="30" t="n">
        <f aca="false">IF(C232="",0,IF(AND(B232="brand",E232="budget_probe",N(F232)&gt;=Inputs!$C$124,H232="Y"),1,0))</f>
        <v>0</v>
      </c>
      <c r="V232" s="30" t="n">
        <f aca="false">IF(U232=1,IF(COUNTIFS(C$5:C232,C232,U$5:U232,1)=1,1,0),0)</f>
        <v>0</v>
      </c>
      <c r="W232" s="30" t="n">
        <f aca="false">IF(C232="",0,IF(AND(B232="office",E232="budget_probe",N(F232)&gt;=Inputs!$C$139),1,0))</f>
        <v>0</v>
      </c>
      <c r="X232" s="30" t="n">
        <f aca="false">IF(W232=1,IF(COUNTIFS(C$5:C232,C232,W$5:W232,1)=1,1,0),0)</f>
        <v>0</v>
      </c>
      <c r="Y232" s="30" t="n">
        <f aca="false">IF(C232="",0,IF(AND(B232="brand",E232="renewal_answer",TRIM(G232)="yes",N(F232)&gt;=Inputs!$C$135),1,0))</f>
        <v>0</v>
      </c>
      <c r="Z232" s="30" t="n">
        <f aca="false">IF(Y232=1,IF(COUNTIFS(C$5:C232,C232,Y$5:Y232,1)=1,1,0),0)</f>
        <v>0</v>
      </c>
      <c r="AA232" s="30" t="n">
        <f aca="false">IF(AND(E232="budget_probe",ISNUMBER(F232),I232&lt;&gt;Lists!$X$4),1,0)</f>
        <v>0</v>
      </c>
      <c r="AB232" s="30" t="str">
        <f aca="false">IF(AND(B232="office",AA232=1,COUNTIFS(C$5:C232,C232,AA$5:AA232,1)=1),F232,"")</f>
        <v/>
      </c>
      <c r="AC232" s="30" t="str">
        <f aca="false">IF(AND(B232="brand",AA232=1,COUNTIFS(C$5:C232,C232,AA$5:AA232,1)=1),F232,"")</f>
        <v/>
      </c>
      <c r="AD232" s="30" t="str">
        <f aca="false">IF(AND(B232="brand",E232="budget_probe",ISNUMBER(F232),I232=Lists!$X$4),IF(COUNTIFS(C$5:C232,C232,E$5:E232,"budget_probe",I$5:I232,Lists!$X$4)=1,F232,""),"")</f>
        <v/>
      </c>
      <c r="AE232" s="30" t="n">
        <f aca="false">IF(AND(B232="brand",E232="paid",ISNUMBER(F232)),IF(AND(SUMIFS(F$5:F232,B$5:B232,"brand",C$5:C232,C232,E$5:E232,"paid")&gt;=Inputs!$C$44,SUMIFS(F$5:F232,B$5:B232,"brand",C$5:C232,C232,E$5:E232,"paid")-F232&lt;Inputs!$C$44),1,0),0)</f>
        <v>0</v>
      </c>
    </row>
    <row r="233" customFormat="false" ht="15" hidden="false" customHeight="false" outlineLevel="0" collapsed="false">
      <c r="A233" s="102"/>
      <c r="B233" s="103"/>
      <c r="C233" s="103"/>
      <c r="D233" s="103"/>
      <c r="E233" s="103"/>
      <c r="F233" s="103"/>
      <c r="G233" s="103"/>
      <c r="H233" s="103"/>
      <c r="I233" s="103"/>
      <c r="T233" s="30" t="str">
        <f aca="false">IF(C233="","",IF(COUNTIFS(C$5:C233,C233,E$5:E233,E233)=1,1,0))</f>
        <v/>
      </c>
      <c r="U233" s="30" t="n">
        <f aca="false">IF(C233="",0,IF(AND(B233="brand",E233="budget_probe",N(F233)&gt;=Inputs!$C$124,H233="Y"),1,0))</f>
        <v>0</v>
      </c>
      <c r="V233" s="30" t="n">
        <f aca="false">IF(U233=1,IF(COUNTIFS(C$5:C233,C233,U$5:U233,1)=1,1,0),0)</f>
        <v>0</v>
      </c>
      <c r="W233" s="30" t="n">
        <f aca="false">IF(C233="",0,IF(AND(B233="office",E233="budget_probe",N(F233)&gt;=Inputs!$C$139),1,0))</f>
        <v>0</v>
      </c>
      <c r="X233" s="30" t="n">
        <f aca="false">IF(W233=1,IF(COUNTIFS(C$5:C233,C233,W$5:W233,1)=1,1,0),0)</f>
        <v>0</v>
      </c>
      <c r="Y233" s="30" t="n">
        <f aca="false">IF(C233="",0,IF(AND(B233="brand",E233="renewal_answer",TRIM(G233)="yes",N(F233)&gt;=Inputs!$C$135),1,0))</f>
        <v>0</v>
      </c>
      <c r="Z233" s="30" t="n">
        <f aca="false">IF(Y233=1,IF(COUNTIFS(C$5:C233,C233,Y$5:Y233,1)=1,1,0),0)</f>
        <v>0</v>
      </c>
      <c r="AA233" s="30" t="n">
        <f aca="false">IF(AND(E233="budget_probe",ISNUMBER(F233),I233&lt;&gt;Lists!$X$4),1,0)</f>
        <v>0</v>
      </c>
      <c r="AB233" s="30" t="str">
        <f aca="false">IF(AND(B233="office",AA233=1,COUNTIFS(C$5:C233,C233,AA$5:AA233,1)=1),F233,"")</f>
        <v/>
      </c>
      <c r="AC233" s="30" t="str">
        <f aca="false">IF(AND(B233="brand",AA233=1,COUNTIFS(C$5:C233,C233,AA$5:AA233,1)=1),F233,"")</f>
        <v/>
      </c>
      <c r="AD233" s="30" t="str">
        <f aca="false">IF(AND(B233="brand",E233="budget_probe",ISNUMBER(F233),I233=Lists!$X$4),IF(COUNTIFS(C$5:C233,C233,E$5:E233,"budget_probe",I$5:I233,Lists!$X$4)=1,F233,""),"")</f>
        <v/>
      </c>
      <c r="AE233" s="30" t="n">
        <f aca="false">IF(AND(B233="brand",E233="paid",ISNUMBER(F233)),IF(AND(SUMIFS(F$5:F233,B$5:B233,"brand",C$5:C233,C233,E$5:E233,"paid")&gt;=Inputs!$C$44,SUMIFS(F$5:F233,B$5:B233,"brand",C$5:C233,C233,E$5:E233,"paid")-F233&lt;Inputs!$C$44),1,0),0)</f>
        <v>0</v>
      </c>
    </row>
    <row r="234" customFormat="false" ht="15" hidden="false" customHeight="false" outlineLevel="0" collapsed="false">
      <c r="A234" s="102"/>
      <c r="B234" s="103"/>
      <c r="C234" s="103"/>
      <c r="D234" s="103"/>
      <c r="E234" s="103"/>
      <c r="F234" s="103"/>
      <c r="G234" s="103"/>
      <c r="H234" s="103"/>
      <c r="I234" s="103"/>
      <c r="T234" s="30" t="str">
        <f aca="false">IF(C234="","",IF(COUNTIFS(C$5:C234,C234,E$5:E234,E234)=1,1,0))</f>
        <v/>
      </c>
      <c r="U234" s="30" t="n">
        <f aca="false">IF(C234="",0,IF(AND(B234="brand",E234="budget_probe",N(F234)&gt;=Inputs!$C$124,H234="Y"),1,0))</f>
        <v>0</v>
      </c>
      <c r="V234" s="30" t="n">
        <f aca="false">IF(U234=1,IF(COUNTIFS(C$5:C234,C234,U$5:U234,1)=1,1,0),0)</f>
        <v>0</v>
      </c>
      <c r="W234" s="30" t="n">
        <f aca="false">IF(C234="",0,IF(AND(B234="office",E234="budget_probe",N(F234)&gt;=Inputs!$C$139),1,0))</f>
        <v>0</v>
      </c>
      <c r="X234" s="30" t="n">
        <f aca="false">IF(W234=1,IF(COUNTIFS(C$5:C234,C234,W$5:W234,1)=1,1,0),0)</f>
        <v>0</v>
      </c>
      <c r="Y234" s="30" t="n">
        <f aca="false">IF(C234="",0,IF(AND(B234="brand",E234="renewal_answer",TRIM(G234)="yes",N(F234)&gt;=Inputs!$C$135),1,0))</f>
        <v>0</v>
      </c>
      <c r="Z234" s="30" t="n">
        <f aca="false">IF(Y234=1,IF(COUNTIFS(C$5:C234,C234,Y$5:Y234,1)=1,1,0),0)</f>
        <v>0</v>
      </c>
      <c r="AA234" s="30" t="n">
        <f aca="false">IF(AND(E234="budget_probe",ISNUMBER(F234),I234&lt;&gt;Lists!$X$4),1,0)</f>
        <v>0</v>
      </c>
      <c r="AB234" s="30" t="str">
        <f aca="false">IF(AND(B234="office",AA234=1,COUNTIFS(C$5:C234,C234,AA$5:AA234,1)=1),F234,"")</f>
        <v/>
      </c>
      <c r="AC234" s="30" t="str">
        <f aca="false">IF(AND(B234="brand",AA234=1,COUNTIFS(C$5:C234,C234,AA$5:AA234,1)=1),F234,"")</f>
        <v/>
      </c>
      <c r="AD234" s="30" t="str">
        <f aca="false">IF(AND(B234="brand",E234="budget_probe",ISNUMBER(F234),I234=Lists!$X$4),IF(COUNTIFS(C$5:C234,C234,E$5:E234,"budget_probe",I$5:I234,Lists!$X$4)=1,F234,""),"")</f>
        <v/>
      </c>
      <c r="AE234" s="30" t="n">
        <f aca="false">IF(AND(B234="brand",E234="paid",ISNUMBER(F234)),IF(AND(SUMIFS(F$5:F234,B$5:B234,"brand",C$5:C234,C234,E$5:E234,"paid")&gt;=Inputs!$C$44,SUMIFS(F$5:F234,B$5:B234,"brand",C$5:C234,C234,E$5:E234,"paid")-F234&lt;Inputs!$C$44),1,0),0)</f>
        <v>0</v>
      </c>
    </row>
    <row r="235" customFormat="false" ht="15" hidden="false" customHeight="false" outlineLevel="0" collapsed="false">
      <c r="A235" s="102"/>
      <c r="B235" s="103"/>
      <c r="C235" s="103"/>
      <c r="D235" s="103"/>
      <c r="E235" s="103"/>
      <c r="F235" s="103"/>
      <c r="G235" s="103"/>
      <c r="H235" s="103"/>
      <c r="I235" s="103"/>
      <c r="T235" s="30" t="str">
        <f aca="false">IF(C235="","",IF(COUNTIFS(C$5:C235,C235,E$5:E235,E235)=1,1,0))</f>
        <v/>
      </c>
      <c r="U235" s="30" t="n">
        <f aca="false">IF(C235="",0,IF(AND(B235="brand",E235="budget_probe",N(F235)&gt;=Inputs!$C$124,H235="Y"),1,0))</f>
        <v>0</v>
      </c>
      <c r="V235" s="30" t="n">
        <f aca="false">IF(U235=1,IF(COUNTIFS(C$5:C235,C235,U$5:U235,1)=1,1,0),0)</f>
        <v>0</v>
      </c>
      <c r="W235" s="30" t="n">
        <f aca="false">IF(C235="",0,IF(AND(B235="office",E235="budget_probe",N(F235)&gt;=Inputs!$C$139),1,0))</f>
        <v>0</v>
      </c>
      <c r="X235" s="30" t="n">
        <f aca="false">IF(W235=1,IF(COUNTIFS(C$5:C235,C235,W$5:W235,1)=1,1,0),0)</f>
        <v>0</v>
      </c>
      <c r="Y235" s="30" t="n">
        <f aca="false">IF(C235="",0,IF(AND(B235="brand",E235="renewal_answer",TRIM(G235)="yes",N(F235)&gt;=Inputs!$C$135),1,0))</f>
        <v>0</v>
      </c>
      <c r="Z235" s="30" t="n">
        <f aca="false">IF(Y235=1,IF(COUNTIFS(C$5:C235,C235,Y$5:Y235,1)=1,1,0),0)</f>
        <v>0</v>
      </c>
      <c r="AA235" s="30" t="n">
        <f aca="false">IF(AND(E235="budget_probe",ISNUMBER(F235),I235&lt;&gt;Lists!$X$4),1,0)</f>
        <v>0</v>
      </c>
      <c r="AB235" s="30" t="str">
        <f aca="false">IF(AND(B235="office",AA235=1,COUNTIFS(C$5:C235,C235,AA$5:AA235,1)=1),F235,"")</f>
        <v/>
      </c>
      <c r="AC235" s="30" t="str">
        <f aca="false">IF(AND(B235="brand",AA235=1,COUNTIFS(C$5:C235,C235,AA$5:AA235,1)=1),F235,"")</f>
        <v/>
      </c>
      <c r="AD235" s="30" t="str">
        <f aca="false">IF(AND(B235="brand",E235="budget_probe",ISNUMBER(F235),I235=Lists!$X$4),IF(COUNTIFS(C$5:C235,C235,E$5:E235,"budget_probe",I$5:I235,Lists!$X$4)=1,F235,""),"")</f>
        <v/>
      </c>
      <c r="AE235" s="30" t="n">
        <f aca="false">IF(AND(B235="brand",E235="paid",ISNUMBER(F235)),IF(AND(SUMIFS(F$5:F235,B$5:B235,"brand",C$5:C235,C235,E$5:E235,"paid")&gt;=Inputs!$C$44,SUMIFS(F$5:F235,B$5:B235,"brand",C$5:C235,C235,E$5:E235,"paid")-F235&lt;Inputs!$C$44),1,0),0)</f>
        <v>0</v>
      </c>
    </row>
    <row r="236" customFormat="false" ht="15" hidden="false" customHeight="false" outlineLevel="0" collapsed="false">
      <c r="A236" s="102"/>
      <c r="B236" s="103"/>
      <c r="C236" s="103"/>
      <c r="D236" s="103"/>
      <c r="E236" s="103"/>
      <c r="F236" s="103"/>
      <c r="G236" s="103"/>
      <c r="H236" s="103"/>
      <c r="I236" s="103"/>
      <c r="T236" s="30" t="str">
        <f aca="false">IF(C236="","",IF(COUNTIFS(C$5:C236,C236,E$5:E236,E236)=1,1,0))</f>
        <v/>
      </c>
      <c r="U236" s="30" t="n">
        <f aca="false">IF(C236="",0,IF(AND(B236="brand",E236="budget_probe",N(F236)&gt;=Inputs!$C$124,H236="Y"),1,0))</f>
        <v>0</v>
      </c>
      <c r="V236" s="30" t="n">
        <f aca="false">IF(U236=1,IF(COUNTIFS(C$5:C236,C236,U$5:U236,1)=1,1,0),0)</f>
        <v>0</v>
      </c>
      <c r="W236" s="30" t="n">
        <f aca="false">IF(C236="",0,IF(AND(B236="office",E236="budget_probe",N(F236)&gt;=Inputs!$C$139),1,0))</f>
        <v>0</v>
      </c>
      <c r="X236" s="30" t="n">
        <f aca="false">IF(W236=1,IF(COUNTIFS(C$5:C236,C236,W$5:W236,1)=1,1,0),0)</f>
        <v>0</v>
      </c>
      <c r="Y236" s="30" t="n">
        <f aca="false">IF(C236="",0,IF(AND(B236="brand",E236="renewal_answer",TRIM(G236)="yes",N(F236)&gt;=Inputs!$C$135),1,0))</f>
        <v>0</v>
      </c>
      <c r="Z236" s="30" t="n">
        <f aca="false">IF(Y236=1,IF(COUNTIFS(C$5:C236,C236,Y$5:Y236,1)=1,1,0),0)</f>
        <v>0</v>
      </c>
      <c r="AA236" s="30" t="n">
        <f aca="false">IF(AND(E236="budget_probe",ISNUMBER(F236),I236&lt;&gt;Lists!$X$4),1,0)</f>
        <v>0</v>
      </c>
      <c r="AB236" s="30" t="str">
        <f aca="false">IF(AND(B236="office",AA236=1,COUNTIFS(C$5:C236,C236,AA$5:AA236,1)=1),F236,"")</f>
        <v/>
      </c>
      <c r="AC236" s="30" t="str">
        <f aca="false">IF(AND(B236="brand",AA236=1,COUNTIFS(C$5:C236,C236,AA$5:AA236,1)=1),F236,"")</f>
        <v/>
      </c>
      <c r="AD236" s="30" t="str">
        <f aca="false">IF(AND(B236="brand",E236="budget_probe",ISNUMBER(F236),I236=Lists!$X$4),IF(COUNTIFS(C$5:C236,C236,E$5:E236,"budget_probe",I$5:I236,Lists!$X$4)=1,F236,""),"")</f>
        <v/>
      </c>
      <c r="AE236" s="30" t="n">
        <f aca="false">IF(AND(B236="brand",E236="paid",ISNUMBER(F236)),IF(AND(SUMIFS(F$5:F236,B$5:B236,"brand",C$5:C236,C236,E$5:E236,"paid")&gt;=Inputs!$C$44,SUMIFS(F$5:F236,B$5:B236,"brand",C$5:C236,C236,E$5:E236,"paid")-F236&lt;Inputs!$C$44),1,0),0)</f>
        <v>0</v>
      </c>
    </row>
    <row r="237" customFormat="false" ht="15" hidden="false" customHeight="false" outlineLevel="0" collapsed="false">
      <c r="A237" s="102"/>
      <c r="B237" s="103"/>
      <c r="C237" s="103"/>
      <c r="D237" s="103"/>
      <c r="E237" s="103"/>
      <c r="F237" s="103"/>
      <c r="G237" s="103"/>
      <c r="H237" s="103"/>
      <c r="I237" s="103"/>
      <c r="T237" s="30" t="str">
        <f aca="false">IF(C237="","",IF(COUNTIFS(C$5:C237,C237,E$5:E237,E237)=1,1,0))</f>
        <v/>
      </c>
      <c r="U237" s="30" t="n">
        <f aca="false">IF(C237="",0,IF(AND(B237="brand",E237="budget_probe",N(F237)&gt;=Inputs!$C$124,H237="Y"),1,0))</f>
        <v>0</v>
      </c>
      <c r="V237" s="30" t="n">
        <f aca="false">IF(U237=1,IF(COUNTIFS(C$5:C237,C237,U$5:U237,1)=1,1,0),0)</f>
        <v>0</v>
      </c>
      <c r="W237" s="30" t="n">
        <f aca="false">IF(C237="",0,IF(AND(B237="office",E237="budget_probe",N(F237)&gt;=Inputs!$C$139),1,0))</f>
        <v>0</v>
      </c>
      <c r="X237" s="30" t="n">
        <f aca="false">IF(W237=1,IF(COUNTIFS(C$5:C237,C237,W$5:W237,1)=1,1,0),0)</f>
        <v>0</v>
      </c>
      <c r="Y237" s="30" t="n">
        <f aca="false">IF(C237="",0,IF(AND(B237="brand",E237="renewal_answer",TRIM(G237)="yes",N(F237)&gt;=Inputs!$C$135),1,0))</f>
        <v>0</v>
      </c>
      <c r="Z237" s="30" t="n">
        <f aca="false">IF(Y237=1,IF(COUNTIFS(C$5:C237,C237,Y$5:Y237,1)=1,1,0),0)</f>
        <v>0</v>
      </c>
      <c r="AA237" s="30" t="n">
        <f aca="false">IF(AND(E237="budget_probe",ISNUMBER(F237),I237&lt;&gt;Lists!$X$4),1,0)</f>
        <v>0</v>
      </c>
      <c r="AB237" s="30" t="str">
        <f aca="false">IF(AND(B237="office",AA237=1,COUNTIFS(C$5:C237,C237,AA$5:AA237,1)=1),F237,"")</f>
        <v/>
      </c>
      <c r="AC237" s="30" t="str">
        <f aca="false">IF(AND(B237="brand",AA237=1,COUNTIFS(C$5:C237,C237,AA$5:AA237,1)=1),F237,"")</f>
        <v/>
      </c>
      <c r="AD237" s="30" t="str">
        <f aca="false">IF(AND(B237="brand",E237="budget_probe",ISNUMBER(F237),I237=Lists!$X$4),IF(COUNTIFS(C$5:C237,C237,E$5:E237,"budget_probe",I$5:I237,Lists!$X$4)=1,F237,""),"")</f>
        <v/>
      </c>
      <c r="AE237" s="30" t="n">
        <f aca="false">IF(AND(B237="brand",E237="paid",ISNUMBER(F237)),IF(AND(SUMIFS(F$5:F237,B$5:B237,"brand",C$5:C237,C237,E$5:E237,"paid")&gt;=Inputs!$C$44,SUMIFS(F$5:F237,B$5:B237,"brand",C$5:C237,C237,E$5:E237,"paid")-F237&lt;Inputs!$C$44),1,0),0)</f>
        <v>0</v>
      </c>
    </row>
    <row r="238" customFormat="false" ht="15" hidden="false" customHeight="false" outlineLevel="0" collapsed="false">
      <c r="A238" s="102"/>
      <c r="B238" s="103"/>
      <c r="C238" s="103"/>
      <c r="D238" s="103"/>
      <c r="E238" s="103"/>
      <c r="F238" s="103"/>
      <c r="G238" s="103"/>
      <c r="H238" s="103"/>
      <c r="I238" s="103"/>
      <c r="T238" s="30" t="str">
        <f aca="false">IF(C238="","",IF(COUNTIFS(C$5:C238,C238,E$5:E238,E238)=1,1,0))</f>
        <v/>
      </c>
      <c r="U238" s="30" t="n">
        <f aca="false">IF(C238="",0,IF(AND(B238="brand",E238="budget_probe",N(F238)&gt;=Inputs!$C$124,H238="Y"),1,0))</f>
        <v>0</v>
      </c>
      <c r="V238" s="30" t="n">
        <f aca="false">IF(U238=1,IF(COUNTIFS(C$5:C238,C238,U$5:U238,1)=1,1,0),0)</f>
        <v>0</v>
      </c>
      <c r="W238" s="30" t="n">
        <f aca="false">IF(C238="",0,IF(AND(B238="office",E238="budget_probe",N(F238)&gt;=Inputs!$C$139),1,0))</f>
        <v>0</v>
      </c>
      <c r="X238" s="30" t="n">
        <f aca="false">IF(W238=1,IF(COUNTIFS(C$5:C238,C238,W$5:W238,1)=1,1,0),0)</f>
        <v>0</v>
      </c>
      <c r="Y238" s="30" t="n">
        <f aca="false">IF(C238="",0,IF(AND(B238="brand",E238="renewal_answer",TRIM(G238)="yes",N(F238)&gt;=Inputs!$C$135),1,0))</f>
        <v>0</v>
      </c>
      <c r="Z238" s="30" t="n">
        <f aca="false">IF(Y238=1,IF(COUNTIFS(C$5:C238,C238,Y$5:Y238,1)=1,1,0),0)</f>
        <v>0</v>
      </c>
      <c r="AA238" s="30" t="n">
        <f aca="false">IF(AND(E238="budget_probe",ISNUMBER(F238),I238&lt;&gt;Lists!$X$4),1,0)</f>
        <v>0</v>
      </c>
      <c r="AB238" s="30" t="str">
        <f aca="false">IF(AND(B238="office",AA238=1,COUNTIFS(C$5:C238,C238,AA$5:AA238,1)=1),F238,"")</f>
        <v/>
      </c>
      <c r="AC238" s="30" t="str">
        <f aca="false">IF(AND(B238="brand",AA238=1,COUNTIFS(C$5:C238,C238,AA$5:AA238,1)=1),F238,"")</f>
        <v/>
      </c>
      <c r="AD238" s="30" t="str">
        <f aca="false">IF(AND(B238="brand",E238="budget_probe",ISNUMBER(F238),I238=Lists!$X$4),IF(COUNTIFS(C$5:C238,C238,E$5:E238,"budget_probe",I$5:I238,Lists!$X$4)=1,F238,""),"")</f>
        <v/>
      </c>
      <c r="AE238" s="30" t="n">
        <f aca="false">IF(AND(B238="brand",E238="paid",ISNUMBER(F238)),IF(AND(SUMIFS(F$5:F238,B$5:B238,"brand",C$5:C238,C238,E$5:E238,"paid")&gt;=Inputs!$C$44,SUMIFS(F$5:F238,B$5:B238,"brand",C$5:C238,C238,E$5:E238,"paid")-F238&lt;Inputs!$C$44),1,0),0)</f>
        <v>0</v>
      </c>
    </row>
    <row r="239" customFormat="false" ht="15" hidden="false" customHeight="false" outlineLevel="0" collapsed="false">
      <c r="A239" s="102"/>
      <c r="B239" s="103"/>
      <c r="C239" s="103"/>
      <c r="D239" s="103"/>
      <c r="E239" s="103"/>
      <c r="F239" s="103"/>
      <c r="G239" s="103"/>
      <c r="H239" s="103"/>
      <c r="I239" s="103"/>
      <c r="T239" s="30" t="str">
        <f aca="false">IF(C239="","",IF(COUNTIFS(C$5:C239,C239,E$5:E239,E239)=1,1,0))</f>
        <v/>
      </c>
      <c r="U239" s="30" t="n">
        <f aca="false">IF(C239="",0,IF(AND(B239="brand",E239="budget_probe",N(F239)&gt;=Inputs!$C$124,H239="Y"),1,0))</f>
        <v>0</v>
      </c>
      <c r="V239" s="30" t="n">
        <f aca="false">IF(U239=1,IF(COUNTIFS(C$5:C239,C239,U$5:U239,1)=1,1,0),0)</f>
        <v>0</v>
      </c>
      <c r="W239" s="30" t="n">
        <f aca="false">IF(C239="",0,IF(AND(B239="office",E239="budget_probe",N(F239)&gt;=Inputs!$C$139),1,0))</f>
        <v>0</v>
      </c>
      <c r="X239" s="30" t="n">
        <f aca="false">IF(W239=1,IF(COUNTIFS(C$5:C239,C239,W$5:W239,1)=1,1,0),0)</f>
        <v>0</v>
      </c>
      <c r="Y239" s="30" t="n">
        <f aca="false">IF(C239="",0,IF(AND(B239="brand",E239="renewal_answer",TRIM(G239)="yes",N(F239)&gt;=Inputs!$C$135),1,0))</f>
        <v>0</v>
      </c>
      <c r="Z239" s="30" t="n">
        <f aca="false">IF(Y239=1,IF(COUNTIFS(C$5:C239,C239,Y$5:Y239,1)=1,1,0),0)</f>
        <v>0</v>
      </c>
      <c r="AA239" s="30" t="n">
        <f aca="false">IF(AND(E239="budget_probe",ISNUMBER(F239),I239&lt;&gt;Lists!$X$4),1,0)</f>
        <v>0</v>
      </c>
      <c r="AB239" s="30" t="str">
        <f aca="false">IF(AND(B239="office",AA239=1,COUNTIFS(C$5:C239,C239,AA$5:AA239,1)=1),F239,"")</f>
        <v/>
      </c>
      <c r="AC239" s="30" t="str">
        <f aca="false">IF(AND(B239="brand",AA239=1,COUNTIFS(C$5:C239,C239,AA$5:AA239,1)=1),F239,"")</f>
        <v/>
      </c>
      <c r="AD239" s="30" t="str">
        <f aca="false">IF(AND(B239="brand",E239="budget_probe",ISNUMBER(F239),I239=Lists!$X$4),IF(COUNTIFS(C$5:C239,C239,E$5:E239,"budget_probe",I$5:I239,Lists!$X$4)=1,F239,""),"")</f>
        <v/>
      </c>
      <c r="AE239" s="30" t="n">
        <f aca="false">IF(AND(B239="brand",E239="paid",ISNUMBER(F239)),IF(AND(SUMIFS(F$5:F239,B$5:B239,"brand",C$5:C239,C239,E$5:E239,"paid")&gt;=Inputs!$C$44,SUMIFS(F$5:F239,B$5:B239,"brand",C$5:C239,C239,E$5:E239,"paid")-F239&lt;Inputs!$C$44),1,0),0)</f>
        <v>0</v>
      </c>
    </row>
    <row r="240" customFormat="false" ht="15" hidden="false" customHeight="false" outlineLevel="0" collapsed="false">
      <c r="A240" s="102"/>
      <c r="B240" s="103"/>
      <c r="C240" s="103"/>
      <c r="D240" s="103"/>
      <c r="E240" s="103"/>
      <c r="F240" s="103"/>
      <c r="G240" s="103"/>
      <c r="H240" s="103"/>
      <c r="I240" s="103"/>
      <c r="T240" s="30" t="str">
        <f aca="false">IF(C240="","",IF(COUNTIFS(C$5:C240,C240,E$5:E240,E240)=1,1,0))</f>
        <v/>
      </c>
      <c r="U240" s="30" t="n">
        <f aca="false">IF(C240="",0,IF(AND(B240="brand",E240="budget_probe",N(F240)&gt;=Inputs!$C$124,H240="Y"),1,0))</f>
        <v>0</v>
      </c>
      <c r="V240" s="30" t="n">
        <f aca="false">IF(U240=1,IF(COUNTIFS(C$5:C240,C240,U$5:U240,1)=1,1,0),0)</f>
        <v>0</v>
      </c>
      <c r="W240" s="30" t="n">
        <f aca="false">IF(C240="",0,IF(AND(B240="office",E240="budget_probe",N(F240)&gt;=Inputs!$C$139),1,0))</f>
        <v>0</v>
      </c>
      <c r="X240" s="30" t="n">
        <f aca="false">IF(W240=1,IF(COUNTIFS(C$5:C240,C240,W$5:W240,1)=1,1,0),0)</f>
        <v>0</v>
      </c>
      <c r="Y240" s="30" t="n">
        <f aca="false">IF(C240="",0,IF(AND(B240="brand",E240="renewal_answer",TRIM(G240)="yes",N(F240)&gt;=Inputs!$C$135),1,0))</f>
        <v>0</v>
      </c>
      <c r="Z240" s="30" t="n">
        <f aca="false">IF(Y240=1,IF(COUNTIFS(C$5:C240,C240,Y$5:Y240,1)=1,1,0),0)</f>
        <v>0</v>
      </c>
      <c r="AA240" s="30" t="n">
        <f aca="false">IF(AND(E240="budget_probe",ISNUMBER(F240),I240&lt;&gt;Lists!$X$4),1,0)</f>
        <v>0</v>
      </c>
      <c r="AB240" s="30" t="str">
        <f aca="false">IF(AND(B240="office",AA240=1,COUNTIFS(C$5:C240,C240,AA$5:AA240,1)=1),F240,"")</f>
        <v/>
      </c>
      <c r="AC240" s="30" t="str">
        <f aca="false">IF(AND(B240="brand",AA240=1,COUNTIFS(C$5:C240,C240,AA$5:AA240,1)=1),F240,"")</f>
        <v/>
      </c>
      <c r="AD240" s="30" t="str">
        <f aca="false">IF(AND(B240="brand",E240="budget_probe",ISNUMBER(F240),I240=Lists!$X$4),IF(COUNTIFS(C$5:C240,C240,E$5:E240,"budget_probe",I$5:I240,Lists!$X$4)=1,F240,""),"")</f>
        <v/>
      </c>
      <c r="AE240" s="30" t="n">
        <f aca="false">IF(AND(B240="brand",E240="paid",ISNUMBER(F240)),IF(AND(SUMIFS(F$5:F240,B$5:B240,"brand",C$5:C240,C240,E$5:E240,"paid")&gt;=Inputs!$C$44,SUMIFS(F$5:F240,B$5:B240,"brand",C$5:C240,C240,E$5:E240,"paid")-F240&lt;Inputs!$C$44),1,0),0)</f>
        <v>0</v>
      </c>
    </row>
    <row r="241" customFormat="false" ht="15" hidden="false" customHeight="false" outlineLevel="0" collapsed="false">
      <c r="A241" s="102"/>
      <c r="B241" s="103"/>
      <c r="C241" s="103"/>
      <c r="D241" s="103"/>
      <c r="E241" s="103"/>
      <c r="F241" s="103"/>
      <c r="G241" s="103"/>
      <c r="H241" s="103"/>
      <c r="I241" s="103"/>
      <c r="T241" s="30" t="str">
        <f aca="false">IF(C241="","",IF(COUNTIFS(C$5:C241,C241,E$5:E241,E241)=1,1,0))</f>
        <v/>
      </c>
      <c r="U241" s="30" t="n">
        <f aca="false">IF(C241="",0,IF(AND(B241="brand",E241="budget_probe",N(F241)&gt;=Inputs!$C$124,H241="Y"),1,0))</f>
        <v>0</v>
      </c>
      <c r="V241" s="30" t="n">
        <f aca="false">IF(U241=1,IF(COUNTIFS(C$5:C241,C241,U$5:U241,1)=1,1,0),0)</f>
        <v>0</v>
      </c>
      <c r="W241" s="30" t="n">
        <f aca="false">IF(C241="",0,IF(AND(B241="office",E241="budget_probe",N(F241)&gt;=Inputs!$C$139),1,0))</f>
        <v>0</v>
      </c>
      <c r="X241" s="30" t="n">
        <f aca="false">IF(W241=1,IF(COUNTIFS(C$5:C241,C241,W$5:W241,1)=1,1,0),0)</f>
        <v>0</v>
      </c>
      <c r="Y241" s="30" t="n">
        <f aca="false">IF(C241="",0,IF(AND(B241="brand",E241="renewal_answer",TRIM(G241)="yes",N(F241)&gt;=Inputs!$C$135),1,0))</f>
        <v>0</v>
      </c>
      <c r="Z241" s="30" t="n">
        <f aca="false">IF(Y241=1,IF(COUNTIFS(C$5:C241,C241,Y$5:Y241,1)=1,1,0),0)</f>
        <v>0</v>
      </c>
      <c r="AA241" s="30" t="n">
        <f aca="false">IF(AND(E241="budget_probe",ISNUMBER(F241),I241&lt;&gt;Lists!$X$4),1,0)</f>
        <v>0</v>
      </c>
      <c r="AB241" s="30" t="str">
        <f aca="false">IF(AND(B241="office",AA241=1,COUNTIFS(C$5:C241,C241,AA$5:AA241,1)=1),F241,"")</f>
        <v/>
      </c>
      <c r="AC241" s="30" t="str">
        <f aca="false">IF(AND(B241="brand",AA241=1,COUNTIFS(C$5:C241,C241,AA$5:AA241,1)=1),F241,"")</f>
        <v/>
      </c>
      <c r="AD241" s="30" t="str">
        <f aca="false">IF(AND(B241="brand",E241="budget_probe",ISNUMBER(F241),I241=Lists!$X$4),IF(COUNTIFS(C$5:C241,C241,E$5:E241,"budget_probe",I$5:I241,Lists!$X$4)=1,F241,""),"")</f>
        <v/>
      </c>
      <c r="AE241" s="30" t="n">
        <f aca="false">IF(AND(B241="brand",E241="paid",ISNUMBER(F241)),IF(AND(SUMIFS(F$5:F241,B$5:B241,"brand",C$5:C241,C241,E$5:E241,"paid")&gt;=Inputs!$C$44,SUMIFS(F$5:F241,B$5:B241,"brand",C$5:C241,C241,E$5:E241,"paid")-F241&lt;Inputs!$C$44),1,0),0)</f>
        <v>0</v>
      </c>
    </row>
    <row r="242" customFormat="false" ht="15" hidden="false" customHeight="false" outlineLevel="0" collapsed="false">
      <c r="A242" s="102"/>
      <c r="B242" s="103"/>
      <c r="C242" s="103"/>
      <c r="D242" s="103"/>
      <c r="E242" s="103"/>
      <c r="F242" s="103"/>
      <c r="G242" s="103"/>
      <c r="H242" s="103"/>
      <c r="I242" s="103"/>
      <c r="T242" s="30" t="str">
        <f aca="false">IF(C242="","",IF(COUNTIFS(C$5:C242,C242,E$5:E242,E242)=1,1,0))</f>
        <v/>
      </c>
      <c r="U242" s="30" t="n">
        <f aca="false">IF(C242="",0,IF(AND(B242="brand",E242="budget_probe",N(F242)&gt;=Inputs!$C$124,H242="Y"),1,0))</f>
        <v>0</v>
      </c>
      <c r="V242" s="30" t="n">
        <f aca="false">IF(U242=1,IF(COUNTIFS(C$5:C242,C242,U$5:U242,1)=1,1,0),0)</f>
        <v>0</v>
      </c>
      <c r="W242" s="30" t="n">
        <f aca="false">IF(C242="",0,IF(AND(B242="office",E242="budget_probe",N(F242)&gt;=Inputs!$C$139),1,0))</f>
        <v>0</v>
      </c>
      <c r="X242" s="30" t="n">
        <f aca="false">IF(W242=1,IF(COUNTIFS(C$5:C242,C242,W$5:W242,1)=1,1,0),0)</f>
        <v>0</v>
      </c>
      <c r="Y242" s="30" t="n">
        <f aca="false">IF(C242="",0,IF(AND(B242="brand",E242="renewal_answer",TRIM(G242)="yes",N(F242)&gt;=Inputs!$C$135),1,0))</f>
        <v>0</v>
      </c>
      <c r="Z242" s="30" t="n">
        <f aca="false">IF(Y242=1,IF(COUNTIFS(C$5:C242,C242,Y$5:Y242,1)=1,1,0),0)</f>
        <v>0</v>
      </c>
      <c r="AA242" s="30" t="n">
        <f aca="false">IF(AND(E242="budget_probe",ISNUMBER(F242),I242&lt;&gt;Lists!$X$4),1,0)</f>
        <v>0</v>
      </c>
      <c r="AB242" s="30" t="str">
        <f aca="false">IF(AND(B242="office",AA242=1,COUNTIFS(C$5:C242,C242,AA$5:AA242,1)=1),F242,"")</f>
        <v/>
      </c>
      <c r="AC242" s="30" t="str">
        <f aca="false">IF(AND(B242="brand",AA242=1,COUNTIFS(C$5:C242,C242,AA$5:AA242,1)=1),F242,"")</f>
        <v/>
      </c>
      <c r="AD242" s="30" t="str">
        <f aca="false">IF(AND(B242="brand",E242="budget_probe",ISNUMBER(F242),I242=Lists!$X$4),IF(COUNTIFS(C$5:C242,C242,E$5:E242,"budget_probe",I$5:I242,Lists!$X$4)=1,F242,""),"")</f>
        <v/>
      </c>
      <c r="AE242" s="30" t="n">
        <f aca="false">IF(AND(B242="brand",E242="paid",ISNUMBER(F242)),IF(AND(SUMIFS(F$5:F242,B$5:B242,"brand",C$5:C242,C242,E$5:E242,"paid")&gt;=Inputs!$C$44,SUMIFS(F$5:F242,B$5:B242,"brand",C$5:C242,C242,E$5:E242,"paid")-F242&lt;Inputs!$C$44),1,0),0)</f>
        <v>0</v>
      </c>
    </row>
    <row r="243" customFormat="false" ht="15" hidden="false" customHeight="false" outlineLevel="0" collapsed="false">
      <c r="A243" s="102"/>
      <c r="B243" s="103"/>
      <c r="C243" s="103"/>
      <c r="D243" s="103"/>
      <c r="E243" s="103"/>
      <c r="F243" s="103"/>
      <c r="G243" s="103"/>
      <c r="H243" s="103"/>
      <c r="I243" s="103"/>
      <c r="T243" s="30" t="str">
        <f aca="false">IF(C243="","",IF(COUNTIFS(C$5:C243,C243,E$5:E243,E243)=1,1,0))</f>
        <v/>
      </c>
      <c r="U243" s="30" t="n">
        <f aca="false">IF(C243="",0,IF(AND(B243="brand",E243="budget_probe",N(F243)&gt;=Inputs!$C$124,H243="Y"),1,0))</f>
        <v>0</v>
      </c>
      <c r="V243" s="30" t="n">
        <f aca="false">IF(U243=1,IF(COUNTIFS(C$5:C243,C243,U$5:U243,1)=1,1,0),0)</f>
        <v>0</v>
      </c>
      <c r="W243" s="30" t="n">
        <f aca="false">IF(C243="",0,IF(AND(B243="office",E243="budget_probe",N(F243)&gt;=Inputs!$C$139),1,0))</f>
        <v>0</v>
      </c>
      <c r="X243" s="30" t="n">
        <f aca="false">IF(W243=1,IF(COUNTIFS(C$5:C243,C243,W$5:W243,1)=1,1,0),0)</f>
        <v>0</v>
      </c>
      <c r="Y243" s="30" t="n">
        <f aca="false">IF(C243="",0,IF(AND(B243="brand",E243="renewal_answer",TRIM(G243)="yes",N(F243)&gt;=Inputs!$C$135),1,0))</f>
        <v>0</v>
      </c>
      <c r="Z243" s="30" t="n">
        <f aca="false">IF(Y243=1,IF(COUNTIFS(C$5:C243,C243,Y$5:Y243,1)=1,1,0),0)</f>
        <v>0</v>
      </c>
      <c r="AA243" s="30" t="n">
        <f aca="false">IF(AND(E243="budget_probe",ISNUMBER(F243),I243&lt;&gt;Lists!$X$4),1,0)</f>
        <v>0</v>
      </c>
      <c r="AB243" s="30" t="str">
        <f aca="false">IF(AND(B243="office",AA243=1,COUNTIFS(C$5:C243,C243,AA$5:AA243,1)=1),F243,"")</f>
        <v/>
      </c>
      <c r="AC243" s="30" t="str">
        <f aca="false">IF(AND(B243="brand",AA243=1,COUNTIFS(C$5:C243,C243,AA$5:AA243,1)=1),F243,"")</f>
        <v/>
      </c>
      <c r="AD243" s="30" t="str">
        <f aca="false">IF(AND(B243="brand",E243="budget_probe",ISNUMBER(F243),I243=Lists!$X$4),IF(COUNTIFS(C$5:C243,C243,E$5:E243,"budget_probe",I$5:I243,Lists!$X$4)=1,F243,""),"")</f>
        <v/>
      </c>
      <c r="AE243" s="30" t="n">
        <f aca="false">IF(AND(B243="brand",E243="paid",ISNUMBER(F243)),IF(AND(SUMIFS(F$5:F243,B$5:B243,"brand",C$5:C243,C243,E$5:E243,"paid")&gt;=Inputs!$C$44,SUMIFS(F$5:F243,B$5:B243,"brand",C$5:C243,C243,E$5:E243,"paid")-F243&lt;Inputs!$C$44),1,0),0)</f>
        <v>0</v>
      </c>
    </row>
    <row r="244" customFormat="false" ht="15" hidden="false" customHeight="false" outlineLevel="0" collapsed="false">
      <c r="A244" s="102"/>
      <c r="B244" s="103"/>
      <c r="C244" s="103"/>
      <c r="D244" s="103"/>
      <c r="E244" s="103"/>
      <c r="F244" s="103"/>
      <c r="G244" s="103"/>
      <c r="H244" s="103"/>
      <c r="I244" s="103"/>
      <c r="T244" s="30" t="str">
        <f aca="false">IF(C244="","",IF(COUNTIFS(C$5:C244,C244,E$5:E244,E244)=1,1,0))</f>
        <v/>
      </c>
      <c r="U244" s="30" t="n">
        <f aca="false">IF(C244="",0,IF(AND(B244="brand",E244="budget_probe",N(F244)&gt;=Inputs!$C$124,H244="Y"),1,0))</f>
        <v>0</v>
      </c>
      <c r="V244" s="30" t="n">
        <f aca="false">IF(U244=1,IF(COUNTIFS(C$5:C244,C244,U$5:U244,1)=1,1,0),0)</f>
        <v>0</v>
      </c>
      <c r="W244" s="30" t="n">
        <f aca="false">IF(C244="",0,IF(AND(B244="office",E244="budget_probe",N(F244)&gt;=Inputs!$C$139),1,0))</f>
        <v>0</v>
      </c>
      <c r="X244" s="30" t="n">
        <f aca="false">IF(W244=1,IF(COUNTIFS(C$5:C244,C244,W$5:W244,1)=1,1,0),0)</f>
        <v>0</v>
      </c>
      <c r="Y244" s="30" t="n">
        <f aca="false">IF(C244="",0,IF(AND(B244="brand",E244="renewal_answer",TRIM(G244)="yes",N(F244)&gt;=Inputs!$C$135),1,0))</f>
        <v>0</v>
      </c>
      <c r="Z244" s="30" t="n">
        <f aca="false">IF(Y244=1,IF(COUNTIFS(C$5:C244,C244,Y$5:Y244,1)=1,1,0),0)</f>
        <v>0</v>
      </c>
      <c r="AA244" s="30" t="n">
        <f aca="false">IF(AND(E244="budget_probe",ISNUMBER(F244),I244&lt;&gt;Lists!$X$4),1,0)</f>
        <v>0</v>
      </c>
      <c r="AB244" s="30" t="str">
        <f aca="false">IF(AND(B244="office",AA244=1,COUNTIFS(C$5:C244,C244,AA$5:AA244,1)=1),F244,"")</f>
        <v/>
      </c>
      <c r="AC244" s="30" t="str">
        <f aca="false">IF(AND(B244="brand",AA244=1,COUNTIFS(C$5:C244,C244,AA$5:AA244,1)=1),F244,"")</f>
        <v/>
      </c>
      <c r="AD244" s="30" t="str">
        <f aca="false">IF(AND(B244="brand",E244="budget_probe",ISNUMBER(F244),I244=Lists!$X$4),IF(COUNTIFS(C$5:C244,C244,E$5:E244,"budget_probe",I$5:I244,Lists!$X$4)=1,F244,""),"")</f>
        <v/>
      </c>
      <c r="AE244" s="30" t="n">
        <f aca="false">IF(AND(B244="brand",E244="paid",ISNUMBER(F244)),IF(AND(SUMIFS(F$5:F244,B$5:B244,"brand",C$5:C244,C244,E$5:E244,"paid")&gt;=Inputs!$C$44,SUMIFS(F$5:F244,B$5:B244,"brand",C$5:C244,C244,E$5:E244,"paid")-F244&lt;Inputs!$C$44),1,0),0)</f>
        <v>0</v>
      </c>
    </row>
    <row r="245" customFormat="false" ht="15" hidden="false" customHeight="false" outlineLevel="0" collapsed="false">
      <c r="A245" s="102"/>
      <c r="B245" s="103"/>
      <c r="C245" s="103"/>
      <c r="D245" s="103"/>
      <c r="E245" s="103"/>
      <c r="F245" s="103"/>
      <c r="G245" s="103"/>
      <c r="H245" s="103"/>
      <c r="I245" s="103"/>
      <c r="T245" s="30" t="str">
        <f aca="false">IF(C245="","",IF(COUNTIFS(C$5:C245,C245,E$5:E245,E245)=1,1,0))</f>
        <v/>
      </c>
      <c r="U245" s="30" t="n">
        <f aca="false">IF(C245="",0,IF(AND(B245="brand",E245="budget_probe",N(F245)&gt;=Inputs!$C$124,H245="Y"),1,0))</f>
        <v>0</v>
      </c>
      <c r="V245" s="30" t="n">
        <f aca="false">IF(U245=1,IF(COUNTIFS(C$5:C245,C245,U$5:U245,1)=1,1,0),0)</f>
        <v>0</v>
      </c>
      <c r="W245" s="30" t="n">
        <f aca="false">IF(C245="",0,IF(AND(B245="office",E245="budget_probe",N(F245)&gt;=Inputs!$C$139),1,0))</f>
        <v>0</v>
      </c>
      <c r="X245" s="30" t="n">
        <f aca="false">IF(W245=1,IF(COUNTIFS(C$5:C245,C245,W$5:W245,1)=1,1,0),0)</f>
        <v>0</v>
      </c>
      <c r="Y245" s="30" t="n">
        <f aca="false">IF(C245="",0,IF(AND(B245="brand",E245="renewal_answer",TRIM(G245)="yes",N(F245)&gt;=Inputs!$C$135),1,0))</f>
        <v>0</v>
      </c>
      <c r="Z245" s="30" t="n">
        <f aca="false">IF(Y245=1,IF(COUNTIFS(C$5:C245,C245,Y$5:Y245,1)=1,1,0),0)</f>
        <v>0</v>
      </c>
      <c r="AA245" s="30" t="n">
        <f aca="false">IF(AND(E245="budget_probe",ISNUMBER(F245),I245&lt;&gt;Lists!$X$4),1,0)</f>
        <v>0</v>
      </c>
      <c r="AB245" s="30" t="str">
        <f aca="false">IF(AND(B245="office",AA245=1,COUNTIFS(C$5:C245,C245,AA$5:AA245,1)=1),F245,"")</f>
        <v/>
      </c>
      <c r="AC245" s="30" t="str">
        <f aca="false">IF(AND(B245="brand",AA245=1,COUNTIFS(C$5:C245,C245,AA$5:AA245,1)=1),F245,"")</f>
        <v/>
      </c>
      <c r="AD245" s="30" t="str">
        <f aca="false">IF(AND(B245="brand",E245="budget_probe",ISNUMBER(F245),I245=Lists!$X$4),IF(COUNTIFS(C$5:C245,C245,E$5:E245,"budget_probe",I$5:I245,Lists!$X$4)=1,F245,""),"")</f>
        <v/>
      </c>
      <c r="AE245" s="30" t="n">
        <f aca="false">IF(AND(B245="brand",E245="paid",ISNUMBER(F245)),IF(AND(SUMIFS(F$5:F245,B$5:B245,"brand",C$5:C245,C245,E$5:E245,"paid")&gt;=Inputs!$C$44,SUMIFS(F$5:F245,B$5:B245,"brand",C$5:C245,C245,E$5:E245,"paid")-F245&lt;Inputs!$C$44),1,0),0)</f>
        <v>0</v>
      </c>
    </row>
    <row r="246" customFormat="false" ht="15" hidden="false" customHeight="false" outlineLevel="0" collapsed="false">
      <c r="A246" s="102"/>
      <c r="B246" s="103"/>
      <c r="C246" s="103"/>
      <c r="D246" s="103"/>
      <c r="E246" s="103"/>
      <c r="F246" s="103"/>
      <c r="G246" s="103"/>
      <c r="H246" s="103"/>
      <c r="I246" s="103"/>
      <c r="T246" s="30" t="str">
        <f aca="false">IF(C246="","",IF(COUNTIFS(C$5:C246,C246,E$5:E246,E246)=1,1,0))</f>
        <v/>
      </c>
      <c r="U246" s="30" t="n">
        <f aca="false">IF(C246="",0,IF(AND(B246="brand",E246="budget_probe",N(F246)&gt;=Inputs!$C$124,H246="Y"),1,0))</f>
        <v>0</v>
      </c>
      <c r="V246" s="30" t="n">
        <f aca="false">IF(U246=1,IF(COUNTIFS(C$5:C246,C246,U$5:U246,1)=1,1,0),0)</f>
        <v>0</v>
      </c>
      <c r="W246" s="30" t="n">
        <f aca="false">IF(C246="",0,IF(AND(B246="office",E246="budget_probe",N(F246)&gt;=Inputs!$C$139),1,0))</f>
        <v>0</v>
      </c>
      <c r="X246" s="30" t="n">
        <f aca="false">IF(W246=1,IF(COUNTIFS(C$5:C246,C246,W$5:W246,1)=1,1,0),0)</f>
        <v>0</v>
      </c>
      <c r="Y246" s="30" t="n">
        <f aca="false">IF(C246="",0,IF(AND(B246="brand",E246="renewal_answer",TRIM(G246)="yes",N(F246)&gt;=Inputs!$C$135),1,0))</f>
        <v>0</v>
      </c>
      <c r="Z246" s="30" t="n">
        <f aca="false">IF(Y246=1,IF(COUNTIFS(C$5:C246,C246,Y$5:Y246,1)=1,1,0),0)</f>
        <v>0</v>
      </c>
      <c r="AA246" s="30" t="n">
        <f aca="false">IF(AND(E246="budget_probe",ISNUMBER(F246),I246&lt;&gt;Lists!$X$4),1,0)</f>
        <v>0</v>
      </c>
      <c r="AB246" s="30" t="str">
        <f aca="false">IF(AND(B246="office",AA246=1,COUNTIFS(C$5:C246,C246,AA$5:AA246,1)=1),F246,"")</f>
        <v/>
      </c>
      <c r="AC246" s="30" t="str">
        <f aca="false">IF(AND(B246="brand",AA246=1,COUNTIFS(C$5:C246,C246,AA$5:AA246,1)=1),F246,"")</f>
        <v/>
      </c>
      <c r="AD246" s="30" t="str">
        <f aca="false">IF(AND(B246="brand",E246="budget_probe",ISNUMBER(F246),I246=Lists!$X$4),IF(COUNTIFS(C$5:C246,C246,E$5:E246,"budget_probe",I$5:I246,Lists!$X$4)=1,F246,""),"")</f>
        <v/>
      </c>
      <c r="AE246" s="30" t="n">
        <f aca="false">IF(AND(B246="brand",E246="paid",ISNUMBER(F246)),IF(AND(SUMIFS(F$5:F246,B$5:B246,"brand",C$5:C246,C246,E$5:E246,"paid")&gt;=Inputs!$C$44,SUMIFS(F$5:F246,B$5:B246,"brand",C$5:C246,C246,E$5:E246,"paid")-F246&lt;Inputs!$C$44),1,0),0)</f>
        <v>0</v>
      </c>
    </row>
    <row r="247" customFormat="false" ht="15" hidden="false" customHeight="false" outlineLevel="0" collapsed="false">
      <c r="A247" s="102"/>
      <c r="B247" s="103"/>
      <c r="C247" s="103"/>
      <c r="D247" s="103"/>
      <c r="E247" s="103"/>
      <c r="F247" s="103"/>
      <c r="G247" s="103"/>
      <c r="H247" s="103"/>
      <c r="I247" s="103"/>
      <c r="T247" s="30" t="str">
        <f aca="false">IF(C247="","",IF(COUNTIFS(C$5:C247,C247,E$5:E247,E247)=1,1,0))</f>
        <v/>
      </c>
      <c r="U247" s="30" t="n">
        <f aca="false">IF(C247="",0,IF(AND(B247="brand",E247="budget_probe",N(F247)&gt;=Inputs!$C$124,H247="Y"),1,0))</f>
        <v>0</v>
      </c>
      <c r="V247" s="30" t="n">
        <f aca="false">IF(U247=1,IF(COUNTIFS(C$5:C247,C247,U$5:U247,1)=1,1,0),0)</f>
        <v>0</v>
      </c>
      <c r="W247" s="30" t="n">
        <f aca="false">IF(C247="",0,IF(AND(B247="office",E247="budget_probe",N(F247)&gt;=Inputs!$C$139),1,0))</f>
        <v>0</v>
      </c>
      <c r="X247" s="30" t="n">
        <f aca="false">IF(W247=1,IF(COUNTIFS(C$5:C247,C247,W$5:W247,1)=1,1,0),0)</f>
        <v>0</v>
      </c>
      <c r="Y247" s="30" t="n">
        <f aca="false">IF(C247="",0,IF(AND(B247="brand",E247="renewal_answer",TRIM(G247)="yes",N(F247)&gt;=Inputs!$C$135),1,0))</f>
        <v>0</v>
      </c>
      <c r="Z247" s="30" t="n">
        <f aca="false">IF(Y247=1,IF(COUNTIFS(C$5:C247,C247,Y$5:Y247,1)=1,1,0),0)</f>
        <v>0</v>
      </c>
      <c r="AA247" s="30" t="n">
        <f aca="false">IF(AND(E247="budget_probe",ISNUMBER(F247),I247&lt;&gt;Lists!$X$4),1,0)</f>
        <v>0</v>
      </c>
      <c r="AB247" s="30" t="str">
        <f aca="false">IF(AND(B247="office",AA247=1,COUNTIFS(C$5:C247,C247,AA$5:AA247,1)=1),F247,"")</f>
        <v/>
      </c>
      <c r="AC247" s="30" t="str">
        <f aca="false">IF(AND(B247="brand",AA247=1,COUNTIFS(C$5:C247,C247,AA$5:AA247,1)=1),F247,"")</f>
        <v/>
      </c>
      <c r="AD247" s="30" t="str">
        <f aca="false">IF(AND(B247="brand",E247="budget_probe",ISNUMBER(F247),I247=Lists!$X$4),IF(COUNTIFS(C$5:C247,C247,E$5:E247,"budget_probe",I$5:I247,Lists!$X$4)=1,F247,""),"")</f>
        <v/>
      </c>
      <c r="AE247" s="30" t="n">
        <f aca="false">IF(AND(B247="brand",E247="paid",ISNUMBER(F247)),IF(AND(SUMIFS(F$5:F247,B$5:B247,"brand",C$5:C247,C247,E$5:E247,"paid")&gt;=Inputs!$C$44,SUMIFS(F$5:F247,B$5:B247,"brand",C$5:C247,C247,E$5:E247,"paid")-F247&lt;Inputs!$C$44),1,0),0)</f>
        <v>0</v>
      </c>
    </row>
    <row r="248" customFormat="false" ht="15" hidden="false" customHeight="false" outlineLevel="0" collapsed="false">
      <c r="A248" s="102"/>
      <c r="B248" s="103"/>
      <c r="C248" s="103"/>
      <c r="D248" s="103"/>
      <c r="E248" s="103"/>
      <c r="F248" s="103"/>
      <c r="G248" s="103"/>
      <c r="H248" s="103"/>
      <c r="I248" s="103"/>
      <c r="T248" s="30" t="str">
        <f aca="false">IF(C248="","",IF(COUNTIFS(C$5:C248,C248,E$5:E248,E248)=1,1,0))</f>
        <v/>
      </c>
      <c r="U248" s="30" t="n">
        <f aca="false">IF(C248="",0,IF(AND(B248="brand",E248="budget_probe",N(F248)&gt;=Inputs!$C$124,H248="Y"),1,0))</f>
        <v>0</v>
      </c>
      <c r="V248" s="30" t="n">
        <f aca="false">IF(U248=1,IF(COUNTIFS(C$5:C248,C248,U$5:U248,1)=1,1,0),0)</f>
        <v>0</v>
      </c>
      <c r="W248" s="30" t="n">
        <f aca="false">IF(C248="",0,IF(AND(B248="office",E248="budget_probe",N(F248)&gt;=Inputs!$C$139),1,0))</f>
        <v>0</v>
      </c>
      <c r="X248" s="30" t="n">
        <f aca="false">IF(W248=1,IF(COUNTIFS(C$5:C248,C248,W$5:W248,1)=1,1,0),0)</f>
        <v>0</v>
      </c>
      <c r="Y248" s="30" t="n">
        <f aca="false">IF(C248="",0,IF(AND(B248="brand",E248="renewal_answer",TRIM(G248)="yes",N(F248)&gt;=Inputs!$C$135),1,0))</f>
        <v>0</v>
      </c>
      <c r="Z248" s="30" t="n">
        <f aca="false">IF(Y248=1,IF(COUNTIFS(C$5:C248,C248,Y$5:Y248,1)=1,1,0),0)</f>
        <v>0</v>
      </c>
      <c r="AA248" s="30" t="n">
        <f aca="false">IF(AND(E248="budget_probe",ISNUMBER(F248),I248&lt;&gt;Lists!$X$4),1,0)</f>
        <v>0</v>
      </c>
      <c r="AB248" s="30" t="str">
        <f aca="false">IF(AND(B248="office",AA248=1,COUNTIFS(C$5:C248,C248,AA$5:AA248,1)=1),F248,"")</f>
        <v/>
      </c>
      <c r="AC248" s="30" t="str">
        <f aca="false">IF(AND(B248="brand",AA248=1,COUNTIFS(C$5:C248,C248,AA$5:AA248,1)=1),F248,"")</f>
        <v/>
      </c>
      <c r="AD248" s="30" t="str">
        <f aca="false">IF(AND(B248="brand",E248="budget_probe",ISNUMBER(F248),I248=Lists!$X$4),IF(COUNTIFS(C$5:C248,C248,E$5:E248,"budget_probe",I$5:I248,Lists!$X$4)=1,F248,""),"")</f>
        <v/>
      </c>
      <c r="AE248" s="30" t="n">
        <f aca="false">IF(AND(B248="brand",E248="paid",ISNUMBER(F248)),IF(AND(SUMIFS(F$5:F248,B$5:B248,"brand",C$5:C248,C248,E$5:E248,"paid")&gt;=Inputs!$C$44,SUMIFS(F$5:F248,B$5:B248,"brand",C$5:C248,C248,E$5:E248,"paid")-F248&lt;Inputs!$C$44),1,0),0)</f>
        <v>0</v>
      </c>
    </row>
    <row r="249" customFormat="false" ht="15" hidden="false" customHeight="false" outlineLevel="0" collapsed="false">
      <c r="A249" s="102"/>
      <c r="B249" s="103"/>
      <c r="C249" s="103"/>
      <c r="D249" s="103"/>
      <c r="E249" s="103"/>
      <c r="F249" s="103"/>
      <c r="G249" s="103"/>
      <c r="H249" s="103"/>
      <c r="I249" s="103"/>
      <c r="T249" s="30" t="str">
        <f aca="false">IF(C249="","",IF(COUNTIFS(C$5:C249,C249,E$5:E249,E249)=1,1,0))</f>
        <v/>
      </c>
      <c r="U249" s="30" t="n">
        <f aca="false">IF(C249="",0,IF(AND(B249="brand",E249="budget_probe",N(F249)&gt;=Inputs!$C$124,H249="Y"),1,0))</f>
        <v>0</v>
      </c>
      <c r="V249" s="30" t="n">
        <f aca="false">IF(U249=1,IF(COUNTIFS(C$5:C249,C249,U$5:U249,1)=1,1,0),0)</f>
        <v>0</v>
      </c>
      <c r="W249" s="30" t="n">
        <f aca="false">IF(C249="",0,IF(AND(B249="office",E249="budget_probe",N(F249)&gt;=Inputs!$C$139),1,0))</f>
        <v>0</v>
      </c>
      <c r="X249" s="30" t="n">
        <f aca="false">IF(W249=1,IF(COUNTIFS(C$5:C249,C249,W$5:W249,1)=1,1,0),0)</f>
        <v>0</v>
      </c>
      <c r="Y249" s="30" t="n">
        <f aca="false">IF(C249="",0,IF(AND(B249="brand",E249="renewal_answer",TRIM(G249)="yes",N(F249)&gt;=Inputs!$C$135),1,0))</f>
        <v>0</v>
      </c>
      <c r="Z249" s="30" t="n">
        <f aca="false">IF(Y249=1,IF(COUNTIFS(C$5:C249,C249,Y$5:Y249,1)=1,1,0),0)</f>
        <v>0</v>
      </c>
      <c r="AA249" s="30" t="n">
        <f aca="false">IF(AND(E249="budget_probe",ISNUMBER(F249),I249&lt;&gt;Lists!$X$4),1,0)</f>
        <v>0</v>
      </c>
      <c r="AB249" s="30" t="str">
        <f aca="false">IF(AND(B249="office",AA249=1,COUNTIFS(C$5:C249,C249,AA$5:AA249,1)=1),F249,"")</f>
        <v/>
      </c>
      <c r="AC249" s="30" t="str">
        <f aca="false">IF(AND(B249="brand",AA249=1,COUNTIFS(C$5:C249,C249,AA$5:AA249,1)=1),F249,"")</f>
        <v/>
      </c>
      <c r="AD249" s="30" t="str">
        <f aca="false">IF(AND(B249="brand",E249="budget_probe",ISNUMBER(F249),I249=Lists!$X$4),IF(COUNTIFS(C$5:C249,C249,E$5:E249,"budget_probe",I$5:I249,Lists!$X$4)=1,F249,""),"")</f>
        <v/>
      </c>
      <c r="AE249" s="30" t="n">
        <f aca="false">IF(AND(B249="brand",E249="paid",ISNUMBER(F249)),IF(AND(SUMIFS(F$5:F249,B$5:B249,"brand",C$5:C249,C249,E$5:E249,"paid")&gt;=Inputs!$C$44,SUMIFS(F$5:F249,B$5:B249,"brand",C$5:C249,C249,E$5:E249,"paid")-F249&lt;Inputs!$C$44),1,0),0)</f>
        <v>0</v>
      </c>
    </row>
    <row r="250" customFormat="false" ht="15" hidden="false" customHeight="false" outlineLevel="0" collapsed="false">
      <c r="A250" s="102"/>
      <c r="B250" s="103"/>
      <c r="C250" s="103"/>
      <c r="D250" s="103"/>
      <c r="E250" s="103"/>
      <c r="F250" s="103"/>
      <c r="G250" s="103"/>
      <c r="H250" s="103"/>
      <c r="I250" s="103"/>
      <c r="T250" s="30" t="str">
        <f aca="false">IF(C250="","",IF(COUNTIFS(C$5:C250,C250,E$5:E250,E250)=1,1,0))</f>
        <v/>
      </c>
      <c r="U250" s="30" t="n">
        <f aca="false">IF(C250="",0,IF(AND(B250="brand",E250="budget_probe",N(F250)&gt;=Inputs!$C$124,H250="Y"),1,0))</f>
        <v>0</v>
      </c>
      <c r="V250" s="30" t="n">
        <f aca="false">IF(U250=1,IF(COUNTIFS(C$5:C250,C250,U$5:U250,1)=1,1,0),0)</f>
        <v>0</v>
      </c>
      <c r="W250" s="30" t="n">
        <f aca="false">IF(C250="",0,IF(AND(B250="office",E250="budget_probe",N(F250)&gt;=Inputs!$C$139),1,0))</f>
        <v>0</v>
      </c>
      <c r="X250" s="30" t="n">
        <f aca="false">IF(W250=1,IF(COUNTIFS(C$5:C250,C250,W$5:W250,1)=1,1,0),0)</f>
        <v>0</v>
      </c>
      <c r="Y250" s="30" t="n">
        <f aca="false">IF(C250="",0,IF(AND(B250="brand",E250="renewal_answer",TRIM(G250)="yes",N(F250)&gt;=Inputs!$C$135),1,0))</f>
        <v>0</v>
      </c>
      <c r="Z250" s="30" t="n">
        <f aca="false">IF(Y250=1,IF(COUNTIFS(C$5:C250,C250,Y$5:Y250,1)=1,1,0),0)</f>
        <v>0</v>
      </c>
      <c r="AA250" s="30" t="n">
        <f aca="false">IF(AND(E250="budget_probe",ISNUMBER(F250),I250&lt;&gt;Lists!$X$4),1,0)</f>
        <v>0</v>
      </c>
      <c r="AB250" s="30" t="str">
        <f aca="false">IF(AND(B250="office",AA250=1,COUNTIFS(C$5:C250,C250,AA$5:AA250,1)=1),F250,"")</f>
        <v/>
      </c>
      <c r="AC250" s="30" t="str">
        <f aca="false">IF(AND(B250="brand",AA250=1,COUNTIFS(C$5:C250,C250,AA$5:AA250,1)=1),F250,"")</f>
        <v/>
      </c>
      <c r="AD250" s="30" t="str">
        <f aca="false">IF(AND(B250="brand",E250="budget_probe",ISNUMBER(F250),I250=Lists!$X$4),IF(COUNTIFS(C$5:C250,C250,E$5:E250,"budget_probe",I$5:I250,Lists!$X$4)=1,F250,""),"")</f>
        <v/>
      </c>
      <c r="AE250" s="30" t="n">
        <f aca="false">IF(AND(B250="brand",E250="paid",ISNUMBER(F250)),IF(AND(SUMIFS(F$5:F250,B$5:B250,"brand",C$5:C250,C250,E$5:E250,"paid")&gt;=Inputs!$C$44,SUMIFS(F$5:F250,B$5:B250,"brand",C$5:C250,C250,E$5:E250,"paid")-F250&lt;Inputs!$C$44),1,0),0)</f>
        <v>0</v>
      </c>
    </row>
    <row r="251" customFormat="false" ht="15" hidden="false" customHeight="false" outlineLevel="0" collapsed="false">
      <c r="A251" s="102"/>
      <c r="B251" s="103"/>
      <c r="C251" s="103"/>
      <c r="D251" s="103"/>
      <c r="E251" s="103"/>
      <c r="F251" s="103"/>
      <c r="G251" s="103"/>
      <c r="H251" s="103"/>
      <c r="I251" s="103"/>
      <c r="T251" s="30" t="str">
        <f aca="false">IF(C251="","",IF(COUNTIFS(C$5:C251,C251,E$5:E251,E251)=1,1,0))</f>
        <v/>
      </c>
      <c r="U251" s="30" t="n">
        <f aca="false">IF(C251="",0,IF(AND(B251="brand",E251="budget_probe",N(F251)&gt;=Inputs!$C$124,H251="Y"),1,0))</f>
        <v>0</v>
      </c>
      <c r="V251" s="30" t="n">
        <f aca="false">IF(U251=1,IF(COUNTIFS(C$5:C251,C251,U$5:U251,1)=1,1,0),0)</f>
        <v>0</v>
      </c>
      <c r="W251" s="30" t="n">
        <f aca="false">IF(C251="",0,IF(AND(B251="office",E251="budget_probe",N(F251)&gt;=Inputs!$C$139),1,0))</f>
        <v>0</v>
      </c>
      <c r="X251" s="30" t="n">
        <f aca="false">IF(W251=1,IF(COUNTIFS(C$5:C251,C251,W$5:W251,1)=1,1,0),0)</f>
        <v>0</v>
      </c>
      <c r="Y251" s="30" t="n">
        <f aca="false">IF(C251="",0,IF(AND(B251="brand",E251="renewal_answer",TRIM(G251)="yes",N(F251)&gt;=Inputs!$C$135),1,0))</f>
        <v>0</v>
      </c>
      <c r="Z251" s="30" t="n">
        <f aca="false">IF(Y251=1,IF(COUNTIFS(C$5:C251,C251,Y$5:Y251,1)=1,1,0),0)</f>
        <v>0</v>
      </c>
      <c r="AA251" s="30" t="n">
        <f aca="false">IF(AND(E251="budget_probe",ISNUMBER(F251),I251&lt;&gt;Lists!$X$4),1,0)</f>
        <v>0</v>
      </c>
      <c r="AB251" s="30" t="str">
        <f aca="false">IF(AND(B251="office",AA251=1,COUNTIFS(C$5:C251,C251,AA$5:AA251,1)=1),F251,"")</f>
        <v/>
      </c>
      <c r="AC251" s="30" t="str">
        <f aca="false">IF(AND(B251="brand",AA251=1,COUNTIFS(C$5:C251,C251,AA$5:AA251,1)=1),F251,"")</f>
        <v/>
      </c>
      <c r="AD251" s="30" t="str">
        <f aca="false">IF(AND(B251="brand",E251="budget_probe",ISNUMBER(F251),I251=Lists!$X$4),IF(COUNTIFS(C$5:C251,C251,E$5:E251,"budget_probe",I$5:I251,Lists!$X$4)=1,F251,""),"")</f>
        <v/>
      </c>
      <c r="AE251" s="30" t="n">
        <f aca="false">IF(AND(B251="brand",E251="paid",ISNUMBER(F251)),IF(AND(SUMIFS(F$5:F251,B$5:B251,"brand",C$5:C251,C251,E$5:E251,"paid")&gt;=Inputs!$C$44,SUMIFS(F$5:F251,B$5:B251,"brand",C$5:C251,C251,E$5:E251,"paid")-F251&lt;Inputs!$C$44),1,0),0)</f>
        <v>0</v>
      </c>
    </row>
    <row r="252" customFormat="false" ht="15" hidden="false" customHeight="false" outlineLevel="0" collapsed="false">
      <c r="A252" s="102"/>
      <c r="B252" s="103"/>
      <c r="C252" s="103"/>
      <c r="D252" s="103"/>
      <c r="E252" s="103"/>
      <c r="F252" s="103"/>
      <c r="G252" s="103"/>
      <c r="H252" s="103"/>
      <c r="I252" s="103"/>
      <c r="T252" s="30" t="str">
        <f aca="false">IF(C252="","",IF(COUNTIFS(C$5:C252,C252,E$5:E252,E252)=1,1,0))</f>
        <v/>
      </c>
      <c r="U252" s="30" t="n">
        <f aca="false">IF(C252="",0,IF(AND(B252="brand",E252="budget_probe",N(F252)&gt;=Inputs!$C$124,H252="Y"),1,0))</f>
        <v>0</v>
      </c>
      <c r="V252" s="30" t="n">
        <f aca="false">IF(U252=1,IF(COUNTIFS(C$5:C252,C252,U$5:U252,1)=1,1,0),0)</f>
        <v>0</v>
      </c>
      <c r="W252" s="30" t="n">
        <f aca="false">IF(C252="",0,IF(AND(B252="office",E252="budget_probe",N(F252)&gt;=Inputs!$C$139),1,0))</f>
        <v>0</v>
      </c>
      <c r="X252" s="30" t="n">
        <f aca="false">IF(W252=1,IF(COUNTIFS(C$5:C252,C252,W$5:W252,1)=1,1,0),0)</f>
        <v>0</v>
      </c>
      <c r="Y252" s="30" t="n">
        <f aca="false">IF(C252="",0,IF(AND(B252="brand",E252="renewal_answer",TRIM(G252)="yes",N(F252)&gt;=Inputs!$C$135),1,0))</f>
        <v>0</v>
      </c>
      <c r="Z252" s="30" t="n">
        <f aca="false">IF(Y252=1,IF(COUNTIFS(C$5:C252,C252,Y$5:Y252,1)=1,1,0),0)</f>
        <v>0</v>
      </c>
      <c r="AA252" s="30" t="n">
        <f aca="false">IF(AND(E252="budget_probe",ISNUMBER(F252),I252&lt;&gt;Lists!$X$4),1,0)</f>
        <v>0</v>
      </c>
      <c r="AB252" s="30" t="str">
        <f aca="false">IF(AND(B252="office",AA252=1,COUNTIFS(C$5:C252,C252,AA$5:AA252,1)=1),F252,"")</f>
        <v/>
      </c>
      <c r="AC252" s="30" t="str">
        <f aca="false">IF(AND(B252="brand",AA252=1,COUNTIFS(C$5:C252,C252,AA$5:AA252,1)=1),F252,"")</f>
        <v/>
      </c>
      <c r="AD252" s="30" t="str">
        <f aca="false">IF(AND(B252="brand",E252="budget_probe",ISNUMBER(F252),I252=Lists!$X$4),IF(COUNTIFS(C$5:C252,C252,E$5:E252,"budget_probe",I$5:I252,Lists!$X$4)=1,F252,""),"")</f>
        <v/>
      </c>
      <c r="AE252" s="30" t="n">
        <f aca="false">IF(AND(B252="brand",E252="paid",ISNUMBER(F252)),IF(AND(SUMIFS(F$5:F252,B$5:B252,"brand",C$5:C252,C252,E$5:E252,"paid")&gt;=Inputs!$C$44,SUMIFS(F$5:F252,B$5:B252,"brand",C$5:C252,C252,E$5:E252,"paid")-F252&lt;Inputs!$C$44),1,0),0)</f>
        <v>0</v>
      </c>
    </row>
    <row r="253" customFormat="false" ht="15" hidden="false" customHeight="false" outlineLevel="0" collapsed="false">
      <c r="A253" s="102"/>
      <c r="B253" s="103"/>
      <c r="C253" s="103"/>
      <c r="D253" s="103"/>
      <c r="E253" s="103"/>
      <c r="F253" s="103"/>
      <c r="G253" s="103"/>
      <c r="H253" s="103"/>
      <c r="I253" s="103"/>
      <c r="T253" s="30" t="str">
        <f aca="false">IF(C253="","",IF(COUNTIFS(C$5:C253,C253,E$5:E253,E253)=1,1,0))</f>
        <v/>
      </c>
      <c r="U253" s="30" t="n">
        <f aca="false">IF(C253="",0,IF(AND(B253="brand",E253="budget_probe",N(F253)&gt;=Inputs!$C$124,H253="Y"),1,0))</f>
        <v>0</v>
      </c>
      <c r="V253" s="30" t="n">
        <f aca="false">IF(U253=1,IF(COUNTIFS(C$5:C253,C253,U$5:U253,1)=1,1,0),0)</f>
        <v>0</v>
      </c>
      <c r="W253" s="30" t="n">
        <f aca="false">IF(C253="",0,IF(AND(B253="office",E253="budget_probe",N(F253)&gt;=Inputs!$C$139),1,0))</f>
        <v>0</v>
      </c>
      <c r="X253" s="30" t="n">
        <f aca="false">IF(W253=1,IF(COUNTIFS(C$5:C253,C253,W$5:W253,1)=1,1,0),0)</f>
        <v>0</v>
      </c>
      <c r="Y253" s="30" t="n">
        <f aca="false">IF(C253="",0,IF(AND(B253="brand",E253="renewal_answer",TRIM(G253)="yes",N(F253)&gt;=Inputs!$C$135),1,0))</f>
        <v>0</v>
      </c>
      <c r="Z253" s="30" t="n">
        <f aca="false">IF(Y253=1,IF(COUNTIFS(C$5:C253,C253,Y$5:Y253,1)=1,1,0),0)</f>
        <v>0</v>
      </c>
      <c r="AA253" s="30" t="n">
        <f aca="false">IF(AND(E253="budget_probe",ISNUMBER(F253),I253&lt;&gt;Lists!$X$4),1,0)</f>
        <v>0</v>
      </c>
      <c r="AB253" s="30" t="str">
        <f aca="false">IF(AND(B253="office",AA253=1,COUNTIFS(C$5:C253,C253,AA$5:AA253,1)=1),F253,"")</f>
        <v/>
      </c>
      <c r="AC253" s="30" t="str">
        <f aca="false">IF(AND(B253="brand",AA253=1,COUNTIFS(C$5:C253,C253,AA$5:AA253,1)=1),F253,"")</f>
        <v/>
      </c>
      <c r="AD253" s="30" t="str">
        <f aca="false">IF(AND(B253="brand",E253="budget_probe",ISNUMBER(F253),I253=Lists!$X$4),IF(COUNTIFS(C$5:C253,C253,E$5:E253,"budget_probe",I$5:I253,Lists!$X$4)=1,F253,""),"")</f>
        <v/>
      </c>
      <c r="AE253" s="30" t="n">
        <f aca="false">IF(AND(B253="brand",E253="paid",ISNUMBER(F253)),IF(AND(SUMIFS(F$5:F253,B$5:B253,"brand",C$5:C253,C253,E$5:E253,"paid")&gt;=Inputs!$C$44,SUMIFS(F$5:F253,B$5:B253,"brand",C$5:C253,C253,E$5:E253,"paid")-F253&lt;Inputs!$C$44),1,0),0)</f>
        <v>0</v>
      </c>
    </row>
    <row r="254" customFormat="false" ht="15" hidden="false" customHeight="false" outlineLevel="0" collapsed="false">
      <c r="A254" s="102"/>
      <c r="B254" s="103"/>
      <c r="C254" s="103"/>
      <c r="D254" s="103"/>
      <c r="E254" s="103"/>
      <c r="F254" s="103"/>
      <c r="G254" s="103"/>
      <c r="H254" s="103"/>
      <c r="I254" s="103"/>
      <c r="T254" s="30" t="str">
        <f aca="false">IF(C254="","",IF(COUNTIFS(C$5:C254,C254,E$5:E254,E254)=1,1,0))</f>
        <v/>
      </c>
      <c r="U254" s="30" t="n">
        <f aca="false">IF(C254="",0,IF(AND(B254="brand",E254="budget_probe",N(F254)&gt;=Inputs!$C$124,H254="Y"),1,0))</f>
        <v>0</v>
      </c>
      <c r="V254" s="30" t="n">
        <f aca="false">IF(U254=1,IF(COUNTIFS(C$5:C254,C254,U$5:U254,1)=1,1,0),0)</f>
        <v>0</v>
      </c>
      <c r="W254" s="30" t="n">
        <f aca="false">IF(C254="",0,IF(AND(B254="office",E254="budget_probe",N(F254)&gt;=Inputs!$C$139),1,0))</f>
        <v>0</v>
      </c>
      <c r="X254" s="30" t="n">
        <f aca="false">IF(W254=1,IF(COUNTIFS(C$5:C254,C254,W$5:W254,1)=1,1,0),0)</f>
        <v>0</v>
      </c>
      <c r="Y254" s="30" t="n">
        <f aca="false">IF(C254="",0,IF(AND(B254="brand",E254="renewal_answer",TRIM(G254)="yes",N(F254)&gt;=Inputs!$C$135),1,0))</f>
        <v>0</v>
      </c>
      <c r="Z254" s="30" t="n">
        <f aca="false">IF(Y254=1,IF(COUNTIFS(C$5:C254,C254,Y$5:Y254,1)=1,1,0),0)</f>
        <v>0</v>
      </c>
      <c r="AA254" s="30" t="n">
        <f aca="false">IF(AND(E254="budget_probe",ISNUMBER(F254),I254&lt;&gt;Lists!$X$4),1,0)</f>
        <v>0</v>
      </c>
      <c r="AB254" s="30" t="str">
        <f aca="false">IF(AND(B254="office",AA254=1,COUNTIFS(C$5:C254,C254,AA$5:AA254,1)=1),F254,"")</f>
        <v/>
      </c>
      <c r="AC254" s="30" t="str">
        <f aca="false">IF(AND(B254="brand",AA254=1,COUNTIFS(C$5:C254,C254,AA$5:AA254,1)=1),F254,"")</f>
        <v/>
      </c>
      <c r="AD254" s="30" t="str">
        <f aca="false">IF(AND(B254="brand",E254="budget_probe",ISNUMBER(F254),I254=Lists!$X$4),IF(COUNTIFS(C$5:C254,C254,E$5:E254,"budget_probe",I$5:I254,Lists!$X$4)=1,F254,""),"")</f>
        <v/>
      </c>
      <c r="AE254" s="30" t="n">
        <f aca="false">IF(AND(B254="brand",E254="paid",ISNUMBER(F254)),IF(AND(SUMIFS(F$5:F254,B$5:B254,"brand",C$5:C254,C254,E$5:E254,"paid")&gt;=Inputs!$C$44,SUMIFS(F$5:F254,B$5:B254,"brand",C$5:C254,C254,E$5:E254,"paid")-F254&lt;Inputs!$C$44),1,0),0)</f>
        <v>0</v>
      </c>
    </row>
    <row r="255" customFormat="false" ht="15" hidden="false" customHeight="false" outlineLevel="0" collapsed="false">
      <c r="A255" s="102"/>
      <c r="B255" s="103"/>
      <c r="C255" s="103"/>
      <c r="D255" s="103"/>
      <c r="E255" s="103"/>
      <c r="F255" s="103"/>
      <c r="G255" s="103"/>
      <c r="H255" s="103"/>
      <c r="I255" s="103"/>
      <c r="T255" s="30" t="str">
        <f aca="false">IF(C255="","",IF(COUNTIFS(C$5:C255,C255,E$5:E255,E255)=1,1,0))</f>
        <v/>
      </c>
      <c r="U255" s="30" t="n">
        <f aca="false">IF(C255="",0,IF(AND(B255="brand",E255="budget_probe",N(F255)&gt;=Inputs!$C$124,H255="Y"),1,0))</f>
        <v>0</v>
      </c>
      <c r="V255" s="30" t="n">
        <f aca="false">IF(U255=1,IF(COUNTIFS(C$5:C255,C255,U$5:U255,1)=1,1,0),0)</f>
        <v>0</v>
      </c>
      <c r="W255" s="30" t="n">
        <f aca="false">IF(C255="",0,IF(AND(B255="office",E255="budget_probe",N(F255)&gt;=Inputs!$C$139),1,0))</f>
        <v>0</v>
      </c>
      <c r="X255" s="30" t="n">
        <f aca="false">IF(W255=1,IF(COUNTIFS(C$5:C255,C255,W$5:W255,1)=1,1,0),0)</f>
        <v>0</v>
      </c>
      <c r="Y255" s="30" t="n">
        <f aca="false">IF(C255="",0,IF(AND(B255="brand",E255="renewal_answer",TRIM(G255)="yes",N(F255)&gt;=Inputs!$C$135),1,0))</f>
        <v>0</v>
      </c>
      <c r="Z255" s="30" t="n">
        <f aca="false">IF(Y255=1,IF(COUNTIFS(C$5:C255,C255,Y$5:Y255,1)=1,1,0),0)</f>
        <v>0</v>
      </c>
      <c r="AA255" s="30" t="n">
        <f aca="false">IF(AND(E255="budget_probe",ISNUMBER(F255),I255&lt;&gt;Lists!$X$4),1,0)</f>
        <v>0</v>
      </c>
      <c r="AB255" s="30" t="str">
        <f aca="false">IF(AND(B255="office",AA255=1,COUNTIFS(C$5:C255,C255,AA$5:AA255,1)=1),F255,"")</f>
        <v/>
      </c>
      <c r="AC255" s="30" t="str">
        <f aca="false">IF(AND(B255="brand",AA255=1,COUNTIFS(C$5:C255,C255,AA$5:AA255,1)=1),F255,"")</f>
        <v/>
      </c>
      <c r="AD255" s="30" t="str">
        <f aca="false">IF(AND(B255="brand",E255="budget_probe",ISNUMBER(F255),I255=Lists!$X$4),IF(COUNTIFS(C$5:C255,C255,E$5:E255,"budget_probe",I$5:I255,Lists!$X$4)=1,F255,""),"")</f>
        <v/>
      </c>
      <c r="AE255" s="30" t="n">
        <f aca="false">IF(AND(B255="brand",E255="paid",ISNUMBER(F255)),IF(AND(SUMIFS(F$5:F255,B$5:B255,"brand",C$5:C255,C255,E$5:E255,"paid")&gt;=Inputs!$C$44,SUMIFS(F$5:F255,B$5:B255,"brand",C$5:C255,C255,E$5:E255,"paid")-F255&lt;Inputs!$C$44),1,0),0)</f>
        <v>0</v>
      </c>
    </row>
    <row r="256" customFormat="false" ht="15" hidden="false" customHeight="false" outlineLevel="0" collapsed="false">
      <c r="A256" s="102"/>
      <c r="B256" s="103"/>
      <c r="C256" s="103"/>
      <c r="D256" s="103"/>
      <c r="E256" s="103"/>
      <c r="F256" s="103"/>
      <c r="G256" s="103"/>
      <c r="H256" s="103"/>
      <c r="I256" s="103"/>
      <c r="T256" s="30" t="str">
        <f aca="false">IF(C256="","",IF(COUNTIFS(C$5:C256,C256,E$5:E256,E256)=1,1,0))</f>
        <v/>
      </c>
      <c r="U256" s="30" t="n">
        <f aca="false">IF(C256="",0,IF(AND(B256="brand",E256="budget_probe",N(F256)&gt;=Inputs!$C$124,H256="Y"),1,0))</f>
        <v>0</v>
      </c>
      <c r="V256" s="30" t="n">
        <f aca="false">IF(U256=1,IF(COUNTIFS(C$5:C256,C256,U$5:U256,1)=1,1,0),0)</f>
        <v>0</v>
      </c>
      <c r="W256" s="30" t="n">
        <f aca="false">IF(C256="",0,IF(AND(B256="office",E256="budget_probe",N(F256)&gt;=Inputs!$C$139),1,0))</f>
        <v>0</v>
      </c>
      <c r="X256" s="30" t="n">
        <f aca="false">IF(W256=1,IF(COUNTIFS(C$5:C256,C256,W$5:W256,1)=1,1,0),0)</f>
        <v>0</v>
      </c>
      <c r="Y256" s="30" t="n">
        <f aca="false">IF(C256="",0,IF(AND(B256="brand",E256="renewal_answer",TRIM(G256)="yes",N(F256)&gt;=Inputs!$C$135),1,0))</f>
        <v>0</v>
      </c>
      <c r="Z256" s="30" t="n">
        <f aca="false">IF(Y256=1,IF(COUNTIFS(C$5:C256,C256,Y$5:Y256,1)=1,1,0),0)</f>
        <v>0</v>
      </c>
      <c r="AA256" s="30" t="n">
        <f aca="false">IF(AND(E256="budget_probe",ISNUMBER(F256),I256&lt;&gt;Lists!$X$4),1,0)</f>
        <v>0</v>
      </c>
      <c r="AB256" s="30" t="str">
        <f aca="false">IF(AND(B256="office",AA256=1,COUNTIFS(C$5:C256,C256,AA$5:AA256,1)=1),F256,"")</f>
        <v/>
      </c>
      <c r="AC256" s="30" t="str">
        <f aca="false">IF(AND(B256="brand",AA256=1,COUNTIFS(C$5:C256,C256,AA$5:AA256,1)=1),F256,"")</f>
        <v/>
      </c>
      <c r="AD256" s="30" t="str">
        <f aca="false">IF(AND(B256="brand",E256="budget_probe",ISNUMBER(F256),I256=Lists!$X$4),IF(COUNTIFS(C$5:C256,C256,E$5:E256,"budget_probe",I$5:I256,Lists!$X$4)=1,F256,""),"")</f>
        <v/>
      </c>
      <c r="AE256" s="30" t="n">
        <f aca="false">IF(AND(B256="brand",E256="paid",ISNUMBER(F256)),IF(AND(SUMIFS(F$5:F256,B$5:B256,"brand",C$5:C256,C256,E$5:E256,"paid")&gt;=Inputs!$C$44,SUMIFS(F$5:F256,B$5:B256,"brand",C$5:C256,C256,E$5:E256,"paid")-F256&lt;Inputs!$C$44),1,0),0)</f>
        <v>0</v>
      </c>
    </row>
    <row r="257" customFormat="false" ht="15" hidden="false" customHeight="false" outlineLevel="0" collapsed="false">
      <c r="A257" s="102"/>
      <c r="B257" s="103"/>
      <c r="C257" s="103"/>
      <c r="D257" s="103"/>
      <c r="E257" s="103"/>
      <c r="F257" s="103"/>
      <c r="G257" s="103"/>
      <c r="H257" s="103"/>
      <c r="I257" s="103"/>
      <c r="T257" s="30" t="str">
        <f aca="false">IF(C257="","",IF(COUNTIFS(C$5:C257,C257,E$5:E257,E257)=1,1,0))</f>
        <v/>
      </c>
      <c r="U257" s="30" t="n">
        <f aca="false">IF(C257="",0,IF(AND(B257="brand",E257="budget_probe",N(F257)&gt;=Inputs!$C$124,H257="Y"),1,0))</f>
        <v>0</v>
      </c>
      <c r="V257" s="30" t="n">
        <f aca="false">IF(U257=1,IF(COUNTIFS(C$5:C257,C257,U$5:U257,1)=1,1,0),0)</f>
        <v>0</v>
      </c>
      <c r="W257" s="30" t="n">
        <f aca="false">IF(C257="",0,IF(AND(B257="office",E257="budget_probe",N(F257)&gt;=Inputs!$C$139),1,0))</f>
        <v>0</v>
      </c>
      <c r="X257" s="30" t="n">
        <f aca="false">IF(W257=1,IF(COUNTIFS(C$5:C257,C257,W$5:W257,1)=1,1,0),0)</f>
        <v>0</v>
      </c>
      <c r="Y257" s="30" t="n">
        <f aca="false">IF(C257="",0,IF(AND(B257="brand",E257="renewal_answer",TRIM(G257)="yes",N(F257)&gt;=Inputs!$C$135),1,0))</f>
        <v>0</v>
      </c>
      <c r="Z257" s="30" t="n">
        <f aca="false">IF(Y257=1,IF(COUNTIFS(C$5:C257,C257,Y$5:Y257,1)=1,1,0),0)</f>
        <v>0</v>
      </c>
      <c r="AA257" s="30" t="n">
        <f aca="false">IF(AND(E257="budget_probe",ISNUMBER(F257),I257&lt;&gt;Lists!$X$4),1,0)</f>
        <v>0</v>
      </c>
      <c r="AB257" s="30" t="str">
        <f aca="false">IF(AND(B257="office",AA257=1,COUNTIFS(C$5:C257,C257,AA$5:AA257,1)=1),F257,"")</f>
        <v/>
      </c>
      <c r="AC257" s="30" t="str">
        <f aca="false">IF(AND(B257="brand",AA257=1,COUNTIFS(C$5:C257,C257,AA$5:AA257,1)=1),F257,"")</f>
        <v/>
      </c>
      <c r="AD257" s="30" t="str">
        <f aca="false">IF(AND(B257="brand",E257="budget_probe",ISNUMBER(F257),I257=Lists!$X$4),IF(COUNTIFS(C$5:C257,C257,E$5:E257,"budget_probe",I$5:I257,Lists!$X$4)=1,F257,""),"")</f>
        <v/>
      </c>
      <c r="AE257" s="30" t="n">
        <f aca="false">IF(AND(B257="brand",E257="paid",ISNUMBER(F257)),IF(AND(SUMIFS(F$5:F257,B$5:B257,"brand",C$5:C257,C257,E$5:E257,"paid")&gt;=Inputs!$C$44,SUMIFS(F$5:F257,B$5:B257,"brand",C$5:C257,C257,E$5:E257,"paid")-F257&lt;Inputs!$C$44),1,0),0)</f>
        <v>0</v>
      </c>
    </row>
    <row r="258" customFormat="false" ht="15" hidden="false" customHeight="false" outlineLevel="0" collapsed="false">
      <c r="A258" s="102"/>
      <c r="B258" s="103"/>
      <c r="C258" s="103"/>
      <c r="D258" s="103"/>
      <c r="E258" s="103"/>
      <c r="F258" s="103"/>
      <c r="G258" s="103"/>
      <c r="H258" s="103"/>
      <c r="I258" s="103"/>
      <c r="T258" s="30" t="str">
        <f aca="false">IF(C258="","",IF(COUNTIFS(C$5:C258,C258,E$5:E258,E258)=1,1,0))</f>
        <v/>
      </c>
      <c r="U258" s="30" t="n">
        <f aca="false">IF(C258="",0,IF(AND(B258="brand",E258="budget_probe",N(F258)&gt;=Inputs!$C$124,H258="Y"),1,0))</f>
        <v>0</v>
      </c>
      <c r="V258" s="30" t="n">
        <f aca="false">IF(U258=1,IF(COUNTIFS(C$5:C258,C258,U$5:U258,1)=1,1,0),0)</f>
        <v>0</v>
      </c>
      <c r="W258" s="30" t="n">
        <f aca="false">IF(C258="",0,IF(AND(B258="office",E258="budget_probe",N(F258)&gt;=Inputs!$C$139),1,0))</f>
        <v>0</v>
      </c>
      <c r="X258" s="30" t="n">
        <f aca="false">IF(W258=1,IF(COUNTIFS(C$5:C258,C258,W$5:W258,1)=1,1,0),0)</f>
        <v>0</v>
      </c>
      <c r="Y258" s="30" t="n">
        <f aca="false">IF(C258="",0,IF(AND(B258="brand",E258="renewal_answer",TRIM(G258)="yes",N(F258)&gt;=Inputs!$C$135),1,0))</f>
        <v>0</v>
      </c>
      <c r="Z258" s="30" t="n">
        <f aca="false">IF(Y258=1,IF(COUNTIFS(C$5:C258,C258,Y$5:Y258,1)=1,1,0),0)</f>
        <v>0</v>
      </c>
      <c r="AA258" s="30" t="n">
        <f aca="false">IF(AND(E258="budget_probe",ISNUMBER(F258),I258&lt;&gt;Lists!$X$4),1,0)</f>
        <v>0</v>
      </c>
      <c r="AB258" s="30" t="str">
        <f aca="false">IF(AND(B258="office",AA258=1,COUNTIFS(C$5:C258,C258,AA$5:AA258,1)=1),F258,"")</f>
        <v/>
      </c>
      <c r="AC258" s="30" t="str">
        <f aca="false">IF(AND(B258="brand",AA258=1,COUNTIFS(C$5:C258,C258,AA$5:AA258,1)=1),F258,"")</f>
        <v/>
      </c>
      <c r="AD258" s="30" t="str">
        <f aca="false">IF(AND(B258="brand",E258="budget_probe",ISNUMBER(F258),I258=Lists!$X$4),IF(COUNTIFS(C$5:C258,C258,E$5:E258,"budget_probe",I$5:I258,Lists!$X$4)=1,F258,""),"")</f>
        <v/>
      </c>
      <c r="AE258" s="30" t="n">
        <f aca="false">IF(AND(B258="brand",E258="paid",ISNUMBER(F258)),IF(AND(SUMIFS(F$5:F258,B$5:B258,"brand",C$5:C258,C258,E$5:E258,"paid")&gt;=Inputs!$C$44,SUMIFS(F$5:F258,B$5:B258,"brand",C$5:C258,C258,E$5:E258,"paid")-F258&lt;Inputs!$C$44),1,0),0)</f>
        <v>0</v>
      </c>
    </row>
    <row r="259" customFormat="false" ht="15" hidden="false" customHeight="false" outlineLevel="0" collapsed="false">
      <c r="A259" s="102"/>
      <c r="B259" s="103"/>
      <c r="C259" s="103"/>
      <c r="D259" s="103"/>
      <c r="E259" s="103"/>
      <c r="F259" s="103"/>
      <c r="G259" s="103"/>
      <c r="H259" s="103"/>
      <c r="I259" s="103"/>
      <c r="T259" s="30" t="str">
        <f aca="false">IF(C259="","",IF(COUNTIFS(C$5:C259,C259,E$5:E259,E259)=1,1,0))</f>
        <v/>
      </c>
      <c r="U259" s="30" t="n">
        <f aca="false">IF(C259="",0,IF(AND(B259="brand",E259="budget_probe",N(F259)&gt;=Inputs!$C$124,H259="Y"),1,0))</f>
        <v>0</v>
      </c>
      <c r="V259" s="30" t="n">
        <f aca="false">IF(U259=1,IF(COUNTIFS(C$5:C259,C259,U$5:U259,1)=1,1,0),0)</f>
        <v>0</v>
      </c>
      <c r="W259" s="30" t="n">
        <f aca="false">IF(C259="",0,IF(AND(B259="office",E259="budget_probe",N(F259)&gt;=Inputs!$C$139),1,0))</f>
        <v>0</v>
      </c>
      <c r="X259" s="30" t="n">
        <f aca="false">IF(W259=1,IF(COUNTIFS(C$5:C259,C259,W$5:W259,1)=1,1,0),0)</f>
        <v>0</v>
      </c>
      <c r="Y259" s="30" t="n">
        <f aca="false">IF(C259="",0,IF(AND(B259="brand",E259="renewal_answer",TRIM(G259)="yes",N(F259)&gt;=Inputs!$C$135),1,0))</f>
        <v>0</v>
      </c>
      <c r="Z259" s="30" t="n">
        <f aca="false">IF(Y259=1,IF(COUNTIFS(C$5:C259,C259,Y$5:Y259,1)=1,1,0),0)</f>
        <v>0</v>
      </c>
      <c r="AA259" s="30" t="n">
        <f aca="false">IF(AND(E259="budget_probe",ISNUMBER(F259),I259&lt;&gt;Lists!$X$4),1,0)</f>
        <v>0</v>
      </c>
      <c r="AB259" s="30" t="str">
        <f aca="false">IF(AND(B259="office",AA259=1,COUNTIFS(C$5:C259,C259,AA$5:AA259,1)=1),F259,"")</f>
        <v/>
      </c>
      <c r="AC259" s="30" t="str">
        <f aca="false">IF(AND(B259="brand",AA259=1,COUNTIFS(C$5:C259,C259,AA$5:AA259,1)=1),F259,"")</f>
        <v/>
      </c>
      <c r="AD259" s="30" t="str">
        <f aca="false">IF(AND(B259="brand",E259="budget_probe",ISNUMBER(F259),I259=Lists!$X$4),IF(COUNTIFS(C$5:C259,C259,E$5:E259,"budget_probe",I$5:I259,Lists!$X$4)=1,F259,""),"")</f>
        <v/>
      </c>
      <c r="AE259" s="30" t="n">
        <f aca="false">IF(AND(B259="brand",E259="paid",ISNUMBER(F259)),IF(AND(SUMIFS(F$5:F259,B$5:B259,"brand",C$5:C259,C259,E$5:E259,"paid")&gt;=Inputs!$C$44,SUMIFS(F$5:F259,B$5:B259,"brand",C$5:C259,C259,E$5:E259,"paid")-F259&lt;Inputs!$C$44),1,0),0)</f>
        <v>0</v>
      </c>
    </row>
    <row r="260" customFormat="false" ht="15" hidden="false" customHeight="false" outlineLevel="0" collapsed="false">
      <c r="A260" s="102"/>
      <c r="B260" s="103"/>
      <c r="C260" s="103"/>
      <c r="D260" s="103"/>
      <c r="E260" s="103"/>
      <c r="F260" s="103"/>
      <c r="G260" s="103"/>
      <c r="H260" s="103"/>
      <c r="I260" s="103"/>
      <c r="T260" s="30" t="str">
        <f aca="false">IF(C260="","",IF(COUNTIFS(C$5:C260,C260,E$5:E260,E260)=1,1,0))</f>
        <v/>
      </c>
      <c r="U260" s="30" t="n">
        <f aca="false">IF(C260="",0,IF(AND(B260="brand",E260="budget_probe",N(F260)&gt;=Inputs!$C$124,H260="Y"),1,0))</f>
        <v>0</v>
      </c>
      <c r="V260" s="30" t="n">
        <f aca="false">IF(U260=1,IF(COUNTIFS(C$5:C260,C260,U$5:U260,1)=1,1,0),0)</f>
        <v>0</v>
      </c>
      <c r="W260" s="30" t="n">
        <f aca="false">IF(C260="",0,IF(AND(B260="office",E260="budget_probe",N(F260)&gt;=Inputs!$C$139),1,0))</f>
        <v>0</v>
      </c>
      <c r="X260" s="30" t="n">
        <f aca="false">IF(W260=1,IF(COUNTIFS(C$5:C260,C260,W$5:W260,1)=1,1,0),0)</f>
        <v>0</v>
      </c>
      <c r="Y260" s="30" t="n">
        <f aca="false">IF(C260="",0,IF(AND(B260="brand",E260="renewal_answer",TRIM(G260)="yes",N(F260)&gt;=Inputs!$C$135),1,0))</f>
        <v>0</v>
      </c>
      <c r="Z260" s="30" t="n">
        <f aca="false">IF(Y260=1,IF(COUNTIFS(C$5:C260,C260,Y$5:Y260,1)=1,1,0),0)</f>
        <v>0</v>
      </c>
      <c r="AA260" s="30" t="n">
        <f aca="false">IF(AND(E260="budget_probe",ISNUMBER(F260),I260&lt;&gt;Lists!$X$4),1,0)</f>
        <v>0</v>
      </c>
      <c r="AB260" s="30" t="str">
        <f aca="false">IF(AND(B260="office",AA260=1,COUNTIFS(C$5:C260,C260,AA$5:AA260,1)=1),F260,"")</f>
        <v/>
      </c>
      <c r="AC260" s="30" t="str">
        <f aca="false">IF(AND(B260="brand",AA260=1,COUNTIFS(C$5:C260,C260,AA$5:AA260,1)=1),F260,"")</f>
        <v/>
      </c>
      <c r="AD260" s="30" t="str">
        <f aca="false">IF(AND(B260="brand",E260="budget_probe",ISNUMBER(F260),I260=Lists!$X$4),IF(COUNTIFS(C$5:C260,C260,E$5:E260,"budget_probe",I$5:I260,Lists!$X$4)=1,F260,""),"")</f>
        <v/>
      </c>
      <c r="AE260" s="30" t="n">
        <f aca="false">IF(AND(B260="brand",E260="paid",ISNUMBER(F260)),IF(AND(SUMIFS(F$5:F260,B$5:B260,"brand",C$5:C260,C260,E$5:E260,"paid")&gt;=Inputs!$C$44,SUMIFS(F$5:F260,B$5:B260,"brand",C$5:C260,C260,E$5:E260,"paid")-F260&lt;Inputs!$C$44),1,0),0)</f>
        <v>0</v>
      </c>
    </row>
    <row r="261" customFormat="false" ht="15" hidden="false" customHeight="false" outlineLevel="0" collapsed="false">
      <c r="A261" s="102"/>
      <c r="B261" s="103"/>
      <c r="C261" s="103"/>
      <c r="D261" s="103"/>
      <c r="E261" s="103"/>
      <c r="F261" s="103"/>
      <c r="G261" s="103"/>
      <c r="H261" s="103"/>
      <c r="I261" s="103"/>
      <c r="T261" s="30" t="str">
        <f aca="false">IF(C261="","",IF(COUNTIFS(C$5:C261,C261,E$5:E261,E261)=1,1,0))</f>
        <v/>
      </c>
      <c r="U261" s="30" t="n">
        <f aca="false">IF(C261="",0,IF(AND(B261="brand",E261="budget_probe",N(F261)&gt;=Inputs!$C$124,H261="Y"),1,0))</f>
        <v>0</v>
      </c>
      <c r="V261" s="30" t="n">
        <f aca="false">IF(U261=1,IF(COUNTIFS(C$5:C261,C261,U$5:U261,1)=1,1,0),0)</f>
        <v>0</v>
      </c>
      <c r="W261" s="30" t="n">
        <f aca="false">IF(C261="",0,IF(AND(B261="office",E261="budget_probe",N(F261)&gt;=Inputs!$C$139),1,0))</f>
        <v>0</v>
      </c>
      <c r="X261" s="30" t="n">
        <f aca="false">IF(W261=1,IF(COUNTIFS(C$5:C261,C261,W$5:W261,1)=1,1,0),0)</f>
        <v>0</v>
      </c>
      <c r="Y261" s="30" t="n">
        <f aca="false">IF(C261="",0,IF(AND(B261="brand",E261="renewal_answer",TRIM(G261)="yes",N(F261)&gt;=Inputs!$C$135),1,0))</f>
        <v>0</v>
      </c>
      <c r="Z261" s="30" t="n">
        <f aca="false">IF(Y261=1,IF(COUNTIFS(C$5:C261,C261,Y$5:Y261,1)=1,1,0),0)</f>
        <v>0</v>
      </c>
      <c r="AA261" s="30" t="n">
        <f aca="false">IF(AND(E261="budget_probe",ISNUMBER(F261),I261&lt;&gt;Lists!$X$4),1,0)</f>
        <v>0</v>
      </c>
      <c r="AB261" s="30" t="str">
        <f aca="false">IF(AND(B261="office",AA261=1,COUNTIFS(C$5:C261,C261,AA$5:AA261,1)=1),F261,"")</f>
        <v/>
      </c>
      <c r="AC261" s="30" t="str">
        <f aca="false">IF(AND(B261="brand",AA261=1,COUNTIFS(C$5:C261,C261,AA$5:AA261,1)=1),F261,"")</f>
        <v/>
      </c>
      <c r="AD261" s="30" t="str">
        <f aca="false">IF(AND(B261="brand",E261="budget_probe",ISNUMBER(F261),I261=Lists!$X$4),IF(COUNTIFS(C$5:C261,C261,E$5:E261,"budget_probe",I$5:I261,Lists!$X$4)=1,F261,""),"")</f>
        <v/>
      </c>
      <c r="AE261" s="30" t="n">
        <f aca="false">IF(AND(B261="brand",E261="paid",ISNUMBER(F261)),IF(AND(SUMIFS(F$5:F261,B$5:B261,"brand",C$5:C261,C261,E$5:E261,"paid")&gt;=Inputs!$C$44,SUMIFS(F$5:F261,B$5:B261,"brand",C$5:C261,C261,E$5:E261,"paid")-F261&lt;Inputs!$C$44),1,0),0)</f>
        <v>0</v>
      </c>
    </row>
    <row r="262" customFormat="false" ht="15" hidden="false" customHeight="false" outlineLevel="0" collapsed="false">
      <c r="A262" s="102"/>
      <c r="B262" s="103"/>
      <c r="C262" s="103"/>
      <c r="D262" s="103"/>
      <c r="E262" s="103"/>
      <c r="F262" s="103"/>
      <c r="G262" s="103"/>
      <c r="H262" s="103"/>
      <c r="I262" s="103"/>
      <c r="T262" s="30" t="str">
        <f aca="false">IF(C262="","",IF(COUNTIFS(C$5:C262,C262,E$5:E262,E262)=1,1,0))</f>
        <v/>
      </c>
      <c r="U262" s="30" t="n">
        <f aca="false">IF(C262="",0,IF(AND(B262="brand",E262="budget_probe",N(F262)&gt;=Inputs!$C$124,H262="Y"),1,0))</f>
        <v>0</v>
      </c>
      <c r="V262" s="30" t="n">
        <f aca="false">IF(U262=1,IF(COUNTIFS(C$5:C262,C262,U$5:U262,1)=1,1,0),0)</f>
        <v>0</v>
      </c>
      <c r="W262" s="30" t="n">
        <f aca="false">IF(C262="",0,IF(AND(B262="office",E262="budget_probe",N(F262)&gt;=Inputs!$C$139),1,0))</f>
        <v>0</v>
      </c>
      <c r="X262" s="30" t="n">
        <f aca="false">IF(W262=1,IF(COUNTIFS(C$5:C262,C262,W$5:W262,1)=1,1,0),0)</f>
        <v>0</v>
      </c>
      <c r="Y262" s="30" t="n">
        <f aca="false">IF(C262="",0,IF(AND(B262="brand",E262="renewal_answer",TRIM(G262)="yes",N(F262)&gt;=Inputs!$C$135),1,0))</f>
        <v>0</v>
      </c>
      <c r="Z262" s="30" t="n">
        <f aca="false">IF(Y262=1,IF(COUNTIFS(C$5:C262,C262,Y$5:Y262,1)=1,1,0),0)</f>
        <v>0</v>
      </c>
      <c r="AA262" s="30" t="n">
        <f aca="false">IF(AND(E262="budget_probe",ISNUMBER(F262),I262&lt;&gt;Lists!$X$4),1,0)</f>
        <v>0</v>
      </c>
      <c r="AB262" s="30" t="str">
        <f aca="false">IF(AND(B262="office",AA262=1,COUNTIFS(C$5:C262,C262,AA$5:AA262,1)=1),F262,"")</f>
        <v/>
      </c>
      <c r="AC262" s="30" t="str">
        <f aca="false">IF(AND(B262="brand",AA262=1,COUNTIFS(C$5:C262,C262,AA$5:AA262,1)=1),F262,"")</f>
        <v/>
      </c>
      <c r="AD262" s="30" t="str">
        <f aca="false">IF(AND(B262="brand",E262="budget_probe",ISNUMBER(F262),I262=Lists!$X$4),IF(COUNTIFS(C$5:C262,C262,E$5:E262,"budget_probe",I$5:I262,Lists!$X$4)=1,F262,""),"")</f>
        <v/>
      </c>
      <c r="AE262" s="30" t="n">
        <f aca="false">IF(AND(B262="brand",E262="paid",ISNUMBER(F262)),IF(AND(SUMIFS(F$5:F262,B$5:B262,"brand",C$5:C262,C262,E$5:E262,"paid")&gt;=Inputs!$C$44,SUMIFS(F$5:F262,B$5:B262,"brand",C$5:C262,C262,E$5:E262,"paid")-F262&lt;Inputs!$C$44),1,0),0)</f>
        <v>0</v>
      </c>
    </row>
    <row r="263" customFormat="false" ht="15" hidden="false" customHeight="false" outlineLevel="0" collapsed="false">
      <c r="A263" s="102"/>
      <c r="B263" s="103"/>
      <c r="C263" s="103"/>
      <c r="D263" s="103"/>
      <c r="E263" s="103"/>
      <c r="F263" s="103"/>
      <c r="G263" s="103"/>
      <c r="H263" s="103"/>
      <c r="I263" s="103"/>
      <c r="T263" s="30" t="str">
        <f aca="false">IF(C263="","",IF(COUNTIFS(C$5:C263,C263,E$5:E263,E263)=1,1,0))</f>
        <v/>
      </c>
      <c r="U263" s="30" t="n">
        <f aca="false">IF(C263="",0,IF(AND(B263="brand",E263="budget_probe",N(F263)&gt;=Inputs!$C$124,H263="Y"),1,0))</f>
        <v>0</v>
      </c>
      <c r="V263" s="30" t="n">
        <f aca="false">IF(U263=1,IF(COUNTIFS(C$5:C263,C263,U$5:U263,1)=1,1,0),0)</f>
        <v>0</v>
      </c>
      <c r="W263" s="30" t="n">
        <f aca="false">IF(C263="",0,IF(AND(B263="office",E263="budget_probe",N(F263)&gt;=Inputs!$C$139),1,0))</f>
        <v>0</v>
      </c>
      <c r="X263" s="30" t="n">
        <f aca="false">IF(W263=1,IF(COUNTIFS(C$5:C263,C263,W$5:W263,1)=1,1,0),0)</f>
        <v>0</v>
      </c>
      <c r="Y263" s="30" t="n">
        <f aca="false">IF(C263="",0,IF(AND(B263="brand",E263="renewal_answer",TRIM(G263)="yes",N(F263)&gt;=Inputs!$C$135),1,0))</f>
        <v>0</v>
      </c>
      <c r="Z263" s="30" t="n">
        <f aca="false">IF(Y263=1,IF(COUNTIFS(C$5:C263,C263,Y$5:Y263,1)=1,1,0),0)</f>
        <v>0</v>
      </c>
      <c r="AA263" s="30" t="n">
        <f aca="false">IF(AND(E263="budget_probe",ISNUMBER(F263),I263&lt;&gt;Lists!$X$4),1,0)</f>
        <v>0</v>
      </c>
      <c r="AB263" s="30" t="str">
        <f aca="false">IF(AND(B263="office",AA263=1,COUNTIFS(C$5:C263,C263,AA$5:AA263,1)=1),F263,"")</f>
        <v/>
      </c>
      <c r="AC263" s="30" t="str">
        <f aca="false">IF(AND(B263="brand",AA263=1,COUNTIFS(C$5:C263,C263,AA$5:AA263,1)=1),F263,"")</f>
        <v/>
      </c>
      <c r="AD263" s="30" t="str">
        <f aca="false">IF(AND(B263="brand",E263="budget_probe",ISNUMBER(F263),I263=Lists!$X$4),IF(COUNTIFS(C$5:C263,C263,E$5:E263,"budget_probe",I$5:I263,Lists!$X$4)=1,F263,""),"")</f>
        <v/>
      </c>
      <c r="AE263" s="30" t="n">
        <f aca="false">IF(AND(B263="brand",E263="paid",ISNUMBER(F263)),IF(AND(SUMIFS(F$5:F263,B$5:B263,"brand",C$5:C263,C263,E$5:E263,"paid")&gt;=Inputs!$C$44,SUMIFS(F$5:F263,B$5:B263,"brand",C$5:C263,C263,E$5:E263,"paid")-F263&lt;Inputs!$C$44),1,0),0)</f>
        <v>0</v>
      </c>
    </row>
    <row r="264" customFormat="false" ht="15" hidden="false" customHeight="false" outlineLevel="0" collapsed="false">
      <c r="A264" s="102"/>
      <c r="B264" s="103"/>
      <c r="C264" s="103"/>
      <c r="D264" s="103"/>
      <c r="E264" s="103"/>
      <c r="F264" s="103"/>
      <c r="G264" s="103"/>
      <c r="H264" s="103"/>
      <c r="I264" s="103"/>
      <c r="T264" s="30" t="str">
        <f aca="false">IF(C264="","",IF(COUNTIFS(C$5:C264,C264,E$5:E264,E264)=1,1,0))</f>
        <v/>
      </c>
      <c r="U264" s="30" t="n">
        <f aca="false">IF(C264="",0,IF(AND(B264="brand",E264="budget_probe",N(F264)&gt;=Inputs!$C$124,H264="Y"),1,0))</f>
        <v>0</v>
      </c>
      <c r="V264" s="30" t="n">
        <f aca="false">IF(U264=1,IF(COUNTIFS(C$5:C264,C264,U$5:U264,1)=1,1,0),0)</f>
        <v>0</v>
      </c>
      <c r="W264" s="30" t="n">
        <f aca="false">IF(C264="",0,IF(AND(B264="office",E264="budget_probe",N(F264)&gt;=Inputs!$C$139),1,0))</f>
        <v>0</v>
      </c>
      <c r="X264" s="30" t="n">
        <f aca="false">IF(W264=1,IF(COUNTIFS(C$5:C264,C264,W$5:W264,1)=1,1,0),0)</f>
        <v>0</v>
      </c>
      <c r="Y264" s="30" t="n">
        <f aca="false">IF(C264="",0,IF(AND(B264="brand",E264="renewal_answer",TRIM(G264)="yes",N(F264)&gt;=Inputs!$C$135),1,0))</f>
        <v>0</v>
      </c>
      <c r="Z264" s="30" t="n">
        <f aca="false">IF(Y264=1,IF(COUNTIFS(C$5:C264,C264,Y$5:Y264,1)=1,1,0),0)</f>
        <v>0</v>
      </c>
      <c r="AA264" s="30" t="n">
        <f aca="false">IF(AND(E264="budget_probe",ISNUMBER(F264),I264&lt;&gt;Lists!$X$4),1,0)</f>
        <v>0</v>
      </c>
      <c r="AB264" s="30" t="str">
        <f aca="false">IF(AND(B264="office",AA264=1,COUNTIFS(C$5:C264,C264,AA$5:AA264,1)=1),F264,"")</f>
        <v/>
      </c>
      <c r="AC264" s="30" t="str">
        <f aca="false">IF(AND(B264="brand",AA264=1,COUNTIFS(C$5:C264,C264,AA$5:AA264,1)=1),F264,"")</f>
        <v/>
      </c>
      <c r="AD264" s="30" t="str">
        <f aca="false">IF(AND(B264="brand",E264="budget_probe",ISNUMBER(F264),I264=Lists!$X$4),IF(COUNTIFS(C$5:C264,C264,E$5:E264,"budget_probe",I$5:I264,Lists!$X$4)=1,F264,""),"")</f>
        <v/>
      </c>
      <c r="AE264" s="30" t="n">
        <f aca="false">IF(AND(B264="brand",E264="paid",ISNUMBER(F264)),IF(AND(SUMIFS(F$5:F264,B$5:B264,"brand",C$5:C264,C264,E$5:E264,"paid")&gt;=Inputs!$C$44,SUMIFS(F$5:F264,B$5:B264,"brand",C$5:C264,C264,E$5:E264,"paid")-F264&lt;Inputs!$C$44),1,0),0)</f>
        <v>0</v>
      </c>
    </row>
    <row r="265" customFormat="false" ht="15" hidden="false" customHeight="false" outlineLevel="0" collapsed="false">
      <c r="A265" s="102"/>
      <c r="B265" s="103"/>
      <c r="C265" s="103"/>
      <c r="D265" s="103"/>
      <c r="E265" s="103"/>
      <c r="F265" s="103"/>
      <c r="G265" s="103"/>
      <c r="H265" s="103"/>
      <c r="I265" s="103"/>
      <c r="T265" s="30" t="str">
        <f aca="false">IF(C265="","",IF(COUNTIFS(C$5:C265,C265,E$5:E265,E265)=1,1,0))</f>
        <v/>
      </c>
      <c r="U265" s="30" t="n">
        <f aca="false">IF(C265="",0,IF(AND(B265="brand",E265="budget_probe",N(F265)&gt;=Inputs!$C$124,H265="Y"),1,0))</f>
        <v>0</v>
      </c>
      <c r="V265" s="30" t="n">
        <f aca="false">IF(U265=1,IF(COUNTIFS(C$5:C265,C265,U$5:U265,1)=1,1,0),0)</f>
        <v>0</v>
      </c>
      <c r="W265" s="30" t="n">
        <f aca="false">IF(C265="",0,IF(AND(B265="office",E265="budget_probe",N(F265)&gt;=Inputs!$C$139),1,0))</f>
        <v>0</v>
      </c>
      <c r="X265" s="30" t="n">
        <f aca="false">IF(W265=1,IF(COUNTIFS(C$5:C265,C265,W$5:W265,1)=1,1,0),0)</f>
        <v>0</v>
      </c>
      <c r="Y265" s="30" t="n">
        <f aca="false">IF(C265="",0,IF(AND(B265="brand",E265="renewal_answer",TRIM(G265)="yes",N(F265)&gt;=Inputs!$C$135),1,0))</f>
        <v>0</v>
      </c>
      <c r="Z265" s="30" t="n">
        <f aca="false">IF(Y265=1,IF(COUNTIFS(C$5:C265,C265,Y$5:Y265,1)=1,1,0),0)</f>
        <v>0</v>
      </c>
      <c r="AA265" s="30" t="n">
        <f aca="false">IF(AND(E265="budget_probe",ISNUMBER(F265),I265&lt;&gt;Lists!$X$4),1,0)</f>
        <v>0</v>
      </c>
      <c r="AB265" s="30" t="str">
        <f aca="false">IF(AND(B265="office",AA265=1,COUNTIFS(C$5:C265,C265,AA$5:AA265,1)=1),F265,"")</f>
        <v/>
      </c>
      <c r="AC265" s="30" t="str">
        <f aca="false">IF(AND(B265="brand",AA265=1,COUNTIFS(C$5:C265,C265,AA$5:AA265,1)=1),F265,"")</f>
        <v/>
      </c>
      <c r="AD265" s="30" t="str">
        <f aca="false">IF(AND(B265="brand",E265="budget_probe",ISNUMBER(F265),I265=Lists!$X$4),IF(COUNTIFS(C$5:C265,C265,E$5:E265,"budget_probe",I$5:I265,Lists!$X$4)=1,F265,""),"")</f>
        <v/>
      </c>
      <c r="AE265" s="30" t="n">
        <f aca="false">IF(AND(B265="brand",E265="paid",ISNUMBER(F265)),IF(AND(SUMIFS(F$5:F265,B$5:B265,"brand",C$5:C265,C265,E$5:E265,"paid")&gt;=Inputs!$C$44,SUMIFS(F$5:F265,B$5:B265,"brand",C$5:C265,C265,E$5:E265,"paid")-F265&lt;Inputs!$C$44),1,0),0)</f>
        <v>0</v>
      </c>
    </row>
    <row r="266" customFormat="false" ht="15" hidden="false" customHeight="false" outlineLevel="0" collapsed="false">
      <c r="A266" s="102"/>
      <c r="B266" s="103"/>
      <c r="C266" s="103"/>
      <c r="D266" s="103"/>
      <c r="E266" s="103"/>
      <c r="F266" s="103"/>
      <c r="G266" s="103"/>
      <c r="H266" s="103"/>
      <c r="I266" s="103"/>
      <c r="T266" s="30" t="str">
        <f aca="false">IF(C266="","",IF(COUNTIFS(C$5:C266,C266,E$5:E266,E266)=1,1,0))</f>
        <v/>
      </c>
      <c r="U266" s="30" t="n">
        <f aca="false">IF(C266="",0,IF(AND(B266="brand",E266="budget_probe",N(F266)&gt;=Inputs!$C$124,H266="Y"),1,0))</f>
        <v>0</v>
      </c>
      <c r="V266" s="30" t="n">
        <f aca="false">IF(U266=1,IF(COUNTIFS(C$5:C266,C266,U$5:U266,1)=1,1,0),0)</f>
        <v>0</v>
      </c>
      <c r="W266" s="30" t="n">
        <f aca="false">IF(C266="",0,IF(AND(B266="office",E266="budget_probe",N(F266)&gt;=Inputs!$C$139),1,0))</f>
        <v>0</v>
      </c>
      <c r="X266" s="30" t="n">
        <f aca="false">IF(W266=1,IF(COUNTIFS(C$5:C266,C266,W$5:W266,1)=1,1,0),0)</f>
        <v>0</v>
      </c>
      <c r="Y266" s="30" t="n">
        <f aca="false">IF(C266="",0,IF(AND(B266="brand",E266="renewal_answer",TRIM(G266)="yes",N(F266)&gt;=Inputs!$C$135),1,0))</f>
        <v>0</v>
      </c>
      <c r="Z266" s="30" t="n">
        <f aca="false">IF(Y266=1,IF(COUNTIFS(C$5:C266,C266,Y$5:Y266,1)=1,1,0),0)</f>
        <v>0</v>
      </c>
      <c r="AA266" s="30" t="n">
        <f aca="false">IF(AND(E266="budget_probe",ISNUMBER(F266),I266&lt;&gt;Lists!$X$4),1,0)</f>
        <v>0</v>
      </c>
      <c r="AB266" s="30" t="str">
        <f aca="false">IF(AND(B266="office",AA266=1,COUNTIFS(C$5:C266,C266,AA$5:AA266,1)=1),F266,"")</f>
        <v/>
      </c>
      <c r="AC266" s="30" t="str">
        <f aca="false">IF(AND(B266="brand",AA266=1,COUNTIFS(C$5:C266,C266,AA$5:AA266,1)=1),F266,"")</f>
        <v/>
      </c>
      <c r="AD266" s="30" t="str">
        <f aca="false">IF(AND(B266="brand",E266="budget_probe",ISNUMBER(F266),I266=Lists!$X$4),IF(COUNTIFS(C$5:C266,C266,E$5:E266,"budget_probe",I$5:I266,Lists!$X$4)=1,F266,""),"")</f>
        <v/>
      </c>
      <c r="AE266" s="30" t="n">
        <f aca="false">IF(AND(B266="brand",E266="paid",ISNUMBER(F266)),IF(AND(SUMIFS(F$5:F266,B$5:B266,"brand",C$5:C266,C266,E$5:E266,"paid")&gt;=Inputs!$C$44,SUMIFS(F$5:F266,B$5:B266,"brand",C$5:C266,C266,E$5:E266,"paid")-F266&lt;Inputs!$C$44),1,0),0)</f>
        <v>0</v>
      </c>
    </row>
    <row r="267" customFormat="false" ht="15" hidden="false" customHeight="false" outlineLevel="0" collapsed="false">
      <c r="A267" s="102"/>
      <c r="B267" s="103"/>
      <c r="C267" s="103"/>
      <c r="D267" s="103"/>
      <c r="E267" s="103"/>
      <c r="F267" s="103"/>
      <c r="G267" s="103"/>
      <c r="H267" s="103"/>
      <c r="I267" s="103"/>
      <c r="T267" s="30" t="str">
        <f aca="false">IF(C267="","",IF(COUNTIFS(C$5:C267,C267,E$5:E267,E267)=1,1,0))</f>
        <v/>
      </c>
      <c r="U267" s="30" t="n">
        <f aca="false">IF(C267="",0,IF(AND(B267="brand",E267="budget_probe",N(F267)&gt;=Inputs!$C$124,H267="Y"),1,0))</f>
        <v>0</v>
      </c>
      <c r="V267" s="30" t="n">
        <f aca="false">IF(U267=1,IF(COUNTIFS(C$5:C267,C267,U$5:U267,1)=1,1,0),0)</f>
        <v>0</v>
      </c>
      <c r="W267" s="30" t="n">
        <f aca="false">IF(C267="",0,IF(AND(B267="office",E267="budget_probe",N(F267)&gt;=Inputs!$C$139),1,0))</f>
        <v>0</v>
      </c>
      <c r="X267" s="30" t="n">
        <f aca="false">IF(W267=1,IF(COUNTIFS(C$5:C267,C267,W$5:W267,1)=1,1,0),0)</f>
        <v>0</v>
      </c>
      <c r="Y267" s="30" t="n">
        <f aca="false">IF(C267="",0,IF(AND(B267="brand",E267="renewal_answer",TRIM(G267)="yes",N(F267)&gt;=Inputs!$C$135),1,0))</f>
        <v>0</v>
      </c>
      <c r="Z267" s="30" t="n">
        <f aca="false">IF(Y267=1,IF(COUNTIFS(C$5:C267,C267,Y$5:Y267,1)=1,1,0),0)</f>
        <v>0</v>
      </c>
      <c r="AA267" s="30" t="n">
        <f aca="false">IF(AND(E267="budget_probe",ISNUMBER(F267),I267&lt;&gt;Lists!$X$4),1,0)</f>
        <v>0</v>
      </c>
      <c r="AB267" s="30" t="str">
        <f aca="false">IF(AND(B267="office",AA267=1,COUNTIFS(C$5:C267,C267,AA$5:AA267,1)=1),F267,"")</f>
        <v/>
      </c>
      <c r="AC267" s="30" t="str">
        <f aca="false">IF(AND(B267="brand",AA267=1,COUNTIFS(C$5:C267,C267,AA$5:AA267,1)=1),F267,"")</f>
        <v/>
      </c>
      <c r="AD267" s="30" t="str">
        <f aca="false">IF(AND(B267="brand",E267="budget_probe",ISNUMBER(F267),I267=Lists!$X$4),IF(COUNTIFS(C$5:C267,C267,E$5:E267,"budget_probe",I$5:I267,Lists!$X$4)=1,F267,""),"")</f>
        <v/>
      </c>
      <c r="AE267" s="30" t="n">
        <f aca="false">IF(AND(B267="brand",E267="paid",ISNUMBER(F267)),IF(AND(SUMIFS(F$5:F267,B$5:B267,"brand",C$5:C267,C267,E$5:E267,"paid")&gt;=Inputs!$C$44,SUMIFS(F$5:F267,B$5:B267,"brand",C$5:C267,C267,E$5:E267,"paid")-F267&lt;Inputs!$C$44),1,0),0)</f>
        <v>0</v>
      </c>
    </row>
    <row r="268" customFormat="false" ht="15" hidden="false" customHeight="false" outlineLevel="0" collapsed="false">
      <c r="A268" s="102"/>
      <c r="B268" s="103"/>
      <c r="C268" s="103"/>
      <c r="D268" s="103"/>
      <c r="E268" s="103"/>
      <c r="F268" s="103"/>
      <c r="G268" s="103"/>
      <c r="H268" s="103"/>
      <c r="I268" s="103"/>
      <c r="T268" s="30" t="str">
        <f aca="false">IF(C268="","",IF(COUNTIFS(C$5:C268,C268,E$5:E268,E268)=1,1,0))</f>
        <v/>
      </c>
      <c r="U268" s="30" t="n">
        <f aca="false">IF(C268="",0,IF(AND(B268="brand",E268="budget_probe",N(F268)&gt;=Inputs!$C$124,H268="Y"),1,0))</f>
        <v>0</v>
      </c>
      <c r="V268" s="30" t="n">
        <f aca="false">IF(U268=1,IF(COUNTIFS(C$5:C268,C268,U$5:U268,1)=1,1,0),0)</f>
        <v>0</v>
      </c>
      <c r="W268" s="30" t="n">
        <f aca="false">IF(C268="",0,IF(AND(B268="office",E268="budget_probe",N(F268)&gt;=Inputs!$C$139),1,0))</f>
        <v>0</v>
      </c>
      <c r="X268" s="30" t="n">
        <f aca="false">IF(W268=1,IF(COUNTIFS(C$5:C268,C268,W$5:W268,1)=1,1,0),0)</f>
        <v>0</v>
      </c>
      <c r="Y268" s="30" t="n">
        <f aca="false">IF(C268="",0,IF(AND(B268="brand",E268="renewal_answer",TRIM(G268)="yes",N(F268)&gt;=Inputs!$C$135),1,0))</f>
        <v>0</v>
      </c>
      <c r="Z268" s="30" t="n">
        <f aca="false">IF(Y268=1,IF(COUNTIFS(C$5:C268,C268,Y$5:Y268,1)=1,1,0),0)</f>
        <v>0</v>
      </c>
      <c r="AA268" s="30" t="n">
        <f aca="false">IF(AND(E268="budget_probe",ISNUMBER(F268),I268&lt;&gt;Lists!$X$4),1,0)</f>
        <v>0</v>
      </c>
      <c r="AB268" s="30" t="str">
        <f aca="false">IF(AND(B268="office",AA268=1,COUNTIFS(C$5:C268,C268,AA$5:AA268,1)=1),F268,"")</f>
        <v/>
      </c>
      <c r="AC268" s="30" t="str">
        <f aca="false">IF(AND(B268="brand",AA268=1,COUNTIFS(C$5:C268,C268,AA$5:AA268,1)=1),F268,"")</f>
        <v/>
      </c>
      <c r="AD268" s="30" t="str">
        <f aca="false">IF(AND(B268="brand",E268="budget_probe",ISNUMBER(F268),I268=Lists!$X$4),IF(COUNTIFS(C$5:C268,C268,E$5:E268,"budget_probe",I$5:I268,Lists!$X$4)=1,F268,""),"")</f>
        <v/>
      </c>
      <c r="AE268" s="30" t="n">
        <f aca="false">IF(AND(B268="brand",E268="paid",ISNUMBER(F268)),IF(AND(SUMIFS(F$5:F268,B$5:B268,"brand",C$5:C268,C268,E$5:E268,"paid")&gt;=Inputs!$C$44,SUMIFS(F$5:F268,B$5:B268,"brand",C$5:C268,C268,E$5:E268,"paid")-F268&lt;Inputs!$C$44),1,0),0)</f>
        <v>0</v>
      </c>
    </row>
    <row r="269" customFormat="false" ht="15" hidden="false" customHeight="false" outlineLevel="0" collapsed="false">
      <c r="A269" s="102"/>
      <c r="B269" s="103"/>
      <c r="C269" s="103"/>
      <c r="D269" s="103"/>
      <c r="E269" s="103"/>
      <c r="F269" s="103"/>
      <c r="G269" s="103"/>
      <c r="H269" s="103"/>
      <c r="I269" s="103"/>
      <c r="T269" s="30" t="str">
        <f aca="false">IF(C269="","",IF(COUNTIFS(C$5:C269,C269,E$5:E269,E269)=1,1,0))</f>
        <v/>
      </c>
      <c r="U269" s="30" t="n">
        <f aca="false">IF(C269="",0,IF(AND(B269="brand",E269="budget_probe",N(F269)&gt;=Inputs!$C$124,H269="Y"),1,0))</f>
        <v>0</v>
      </c>
      <c r="V269" s="30" t="n">
        <f aca="false">IF(U269=1,IF(COUNTIFS(C$5:C269,C269,U$5:U269,1)=1,1,0),0)</f>
        <v>0</v>
      </c>
      <c r="W269" s="30" t="n">
        <f aca="false">IF(C269="",0,IF(AND(B269="office",E269="budget_probe",N(F269)&gt;=Inputs!$C$139),1,0))</f>
        <v>0</v>
      </c>
      <c r="X269" s="30" t="n">
        <f aca="false">IF(W269=1,IF(COUNTIFS(C$5:C269,C269,W$5:W269,1)=1,1,0),0)</f>
        <v>0</v>
      </c>
      <c r="Y269" s="30" t="n">
        <f aca="false">IF(C269="",0,IF(AND(B269="brand",E269="renewal_answer",TRIM(G269)="yes",N(F269)&gt;=Inputs!$C$135),1,0))</f>
        <v>0</v>
      </c>
      <c r="Z269" s="30" t="n">
        <f aca="false">IF(Y269=1,IF(COUNTIFS(C$5:C269,C269,Y$5:Y269,1)=1,1,0),0)</f>
        <v>0</v>
      </c>
      <c r="AA269" s="30" t="n">
        <f aca="false">IF(AND(E269="budget_probe",ISNUMBER(F269),I269&lt;&gt;Lists!$X$4),1,0)</f>
        <v>0</v>
      </c>
      <c r="AB269" s="30" t="str">
        <f aca="false">IF(AND(B269="office",AA269=1,COUNTIFS(C$5:C269,C269,AA$5:AA269,1)=1),F269,"")</f>
        <v/>
      </c>
      <c r="AC269" s="30" t="str">
        <f aca="false">IF(AND(B269="brand",AA269=1,COUNTIFS(C$5:C269,C269,AA$5:AA269,1)=1),F269,"")</f>
        <v/>
      </c>
      <c r="AD269" s="30" t="str">
        <f aca="false">IF(AND(B269="brand",E269="budget_probe",ISNUMBER(F269),I269=Lists!$X$4),IF(COUNTIFS(C$5:C269,C269,E$5:E269,"budget_probe",I$5:I269,Lists!$X$4)=1,F269,""),"")</f>
        <v/>
      </c>
      <c r="AE269" s="30" t="n">
        <f aca="false">IF(AND(B269="brand",E269="paid",ISNUMBER(F269)),IF(AND(SUMIFS(F$5:F269,B$5:B269,"brand",C$5:C269,C269,E$5:E269,"paid")&gt;=Inputs!$C$44,SUMIFS(F$5:F269,B$5:B269,"brand",C$5:C269,C269,E$5:E269,"paid")-F269&lt;Inputs!$C$44),1,0),0)</f>
        <v>0</v>
      </c>
    </row>
    <row r="270" customFormat="false" ht="15" hidden="false" customHeight="false" outlineLevel="0" collapsed="false">
      <c r="A270" s="102"/>
      <c r="B270" s="103"/>
      <c r="C270" s="103"/>
      <c r="D270" s="103"/>
      <c r="E270" s="103"/>
      <c r="F270" s="103"/>
      <c r="G270" s="103"/>
      <c r="H270" s="103"/>
      <c r="I270" s="103"/>
      <c r="T270" s="30" t="str">
        <f aca="false">IF(C270="","",IF(COUNTIFS(C$5:C270,C270,E$5:E270,E270)=1,1,0))</f>
        <v/>
      </c>
      <c r="U270" s="30" t="n">
        <f aca="false">IF(C270="",0,IF(AND(B270="brand",E270="budget_probe",N(F270)&gt;=Inputs!$C$124,H270="Y"),1,0))</f>
        <v>0</v>
      </c>
      <c r="V270" s="30" t="n">
        <f aca="false">IF(U270=1,IF(COUNTIFS(C$5:C270,C270,U$5:U270,1)=1,1,0),0)</f>
        <v>0</v>
      </c>
      <c r="W270" s="30" t="n">
        <f aca="false">IF(C270="",0,IF(AND(B270="office",E270="budget_probe",N(F270)&gt;=Inputs!$C$139),1,0))</f>
        <v>0</v>
      </c>
      <c r="X270" s="30" t="n">
        <f aca="false">IF(W270=1,IF(COUNTIFS(C$5:C270,C270,W$5:W270,1)=1,1,0),0)</f>
        <v>0</v>
      </c>
      <c r="Y270" s="30" t="n">
        <f aca="false">IF(C270="",0,IF(AND(B270="brand",E270="renewal_answer",TRIM(G270)="yes",N(F270)&gt;=Inputs!$C$135),1,0))</f>
        <v>0</v>
      </c>
      <c r="Z270" s="30" t="n">
        <f aca="false">IF(Y270=1,IF(COUNTIFS(C$5:C270,C270,Y$5:Y270,1)=1,1,0),0)</f>
        <v>0</v>
      </c>
      <c r="AA270" s="30" t="n">
        <f aca="false">IF(AND(E270="budget_probe",ISNUMBER(F270),I270&lt;&gt;Lists!$X$4),1,0)</f>
        <v>0</v>
      </c>
      <c r="AB270" s="30" t="str">
        <f aca="false">IF(AND(B270="office",AA270=1,COUNTIFS(C$5:C270,C270,AA$5:AA270,1)=1),F270,"")</f>
        <v/>
      </c>
      <c r="AC270" s="30" t="str">
        <f aca="false">IF(AND(B270="brand",AA270=1,COUNTIFS(C$5:C270,C270,AA$5:AA270,1)=1),F270,"")</f>
        <v/>
      </c>
      <c r="AD270" s="30" t="str">
        <f aca="false">IF(AND(B270="brand",E270="budget_probe",ISNUMBER(F270),I270=Lists!$X$4),IF(COUNTIFS(C$5:C270,C270,E$5:E270,"budget_probe",I$5:I270,Lists!$X$4)=1,F270,""),"")</f>
        <v/>
      </c>
      <c r="AE270" s="30" t="n">
        <f aca="false">IF(AND(B270="brand",E270="paid",ISNUMBER(F270)),IF(AND(SUMIFS(F$5:F270,B$5:B270,"brand",C$5:C270,C270,E$5:E270,"paid")&gt;=Inputs!$C$44,SUMIFS(F$5:F270,B$5:B270,"brand",C$5:C270,C270,E$5:E270,"paid")-F270&lt;Inputs!$C$44),1,0),0)</f>
        <v>0</v>
      </c>
    </row>
    <row r="271" customFormat="false" ht="15" hidden="false" customHeight="false" outlineLevel="0" collapsed="false">
      <c r="A271" s="102"/>
      <c r="B271" s="103"/>
      <c r="C271" s="103"/>
      <c r="D271" s="103"/>
      <c r="E271" s="103"/>
      <c r="F271" s="103"/>
      <c r="G271" s="103"/>
      <c r="H271" s="103"/>
      <c r="I271" s="103"/>
      <c r="T271" s="30" t="str">
        <f aca="false">IF(C271="","",IF(COUNTIFS(C$5:C271,C271,E$5:E271,E271)=1,1,0))</f>
        <v/>
      </c>
      <c r="U271" s="30" t="n">
        <f aca="false">IF(C271="",0,IF(AND(B271="brand",E271="budget_probe",N(F271)&gt;=Inputs!$C$124,H271="Y"),1,0))</f>
        <v>0</v>
      </c>
      <c r="V271" s="30" t="n">
        <f aca="false">IF(U271=1,IF(COUNTIFS(C$5:C271,C271,U$5:U271,1)=1,1,0),0)</f>
        <v>0</v>
      </c>
      <c r="W271" s="30" t="n">
        <f aca="false">IF(C271="",0,IF(AND(B271="office",E271="budget_probe",N(F271)&gt;=Inputs!$C$139),1,0))</f>
        <v>0</v>
      </c>
      <c r="X271" s="30" t="n">
        <f aca="false">IF(W271=1,IF(COUNTIFS(C$5:C271,C271,W$5:W271,1)=1,1,0),0)</f>
        <v>0</v>
      </c>
      <c r="Y271" s="30" t="n">
        <f aca="false">IF(C271="",0,IF(AND(B271="brand",E271="renewal_answer",TRIM(G271)="yes",N(F271)&gt;=Inputs!$C$135),1,0))</f>
        <v>0</v>
      </c>
      <c r="Z271" s="30" t="n">
        <f aca="false">IF(Y271=1,IF(COUNTIFS(C$5:C271,C271,Y$5:Y271,1)=1,1,0),0)</f>
        <v>0</v>
      </c>
      <c r="AA271" s="30" t="n">
        <f aca="false">IF(AND(E271="budget_probe",ISNUMBER(F271),I271&lt;&gt;Lists!$X$4),1,0)</f>
        <v>0</v>
      </c>
      <c r="AB271" s="30" t="str">
        <f aca="false">IF(AND(B271="office",AA271=1,COUNTIFS(C$5:C271,C271,AA$5:AA271,1)=1),F271,"")</f>
        <v/>
      </c>
      <c r="AC271" s="30" t="str">
        <f aca="false">IF(AND(B271="brand",AA271=1,COUNTIFS(C$5:C271,C271,AA$5:AA271,1)=1),F271,"")</f>
        <v/>
      </c>
      <c r="AD271" s="30" t="str">
        <f aca="false">IF(AND(B271="brand",E271="budget_probe",ISNUMBER(F271),I271=Lists!$X$4),IF(COUNTIFS(C$5:C271,C271,E$5:E271,"budget_probe",I$5:I271,Lists!$X$4)=1,F271,""),"")</f>
        <v/>
      </c>
      <c r="AE271" s="30" t="n">
        <f aca="false">IF(AND(B271="brand",E271="paid",ISNUMBER(F271)),IF(AND(SUMIFS(F$5:F271,B$5:B271,"brand",C$5:C271,C271,E$5:E271,"paid")&gt;=Inputs!$C$44,SUMIFS(F$5:F271,B$5:B271,"brand",C$5:C271,C271,E$5:E271,"paid")-F271&lt;Inputs!$C$44),1,0),0)</f>
        <v>0</v>
      </c>
    </row>
    <row r="272" customFormat="false" ht="15" hidden="false" customHeight="false" outlineLevel="0" collapsed="false">
      <c r="A272" s="102"/>
      <c r="B272" s="103"/>
      <c r="C272" s="103"/>
      <c r="D272" s="103"/>
      <c r="E272" s="103"/>
      <c r="F272" s="103"/>
      <c r="G272" s="103"/>
      <c r="H272" s="103"/>
      <c r="I272" s="103"/>
      <c r="T272" s="30" t="str">
        <f aca="false">IF(C272="","",IF(COUNTIFS(C$5:C272,C272,E$5:E272,E272)=1,1,0))</f>
        <v/>
      </c>
      <c r="U272" s="30" t="n">
        <f aca="false">IF(C272="",0,IF(AND(B272="brand",E272="budget_probe",N(F272)&gt;=Inputs!$C$124,H272="Y"),1,0))</f>
        <v>0</v>
      </c>
      <c r="V272" s="30" t="n">
        <f aca="false">IF(U272=1,IF(COUNTIFS(C$5:C272,C272,U$5:U272,1)=1,1,0),0)</f>
        <v>0</v>
      </c>
      <c r="W272" s="30" t="n">
        <f aca="false">IF(C272="",0,IF(AND(B272="office",E272="budget_probe",N(F272)&gt;=Inputs!$C$139),1,0))</f>
        <v>0</v>
      </c>
      <c r="X272" s="30" t="n">
        <f aca="false">IF(W272=1,IF(COUNTIFS(C$5:C272,C272,W$5:W272,1)=1,1,0),0)</f>
        <v>0</v>
      </c>
      <c r="Y272" s="30" t="n">
        <f aca="false">IF(C272="",0,IF(AND(B272="brand",E272="renewal_answer",TRIM(G272)="yes",N(F272)&gt;=Inputs!$C$135),1,0))</f>
        <v>0</v>
      </c>
      <c r="Z272" s="30" t="n">
        <f aca="false">IF(Y272=1,IF(COUNTIFS(C$5:C272,C272,Y$5:Y272,1)=1,1,0),0)</f>
        <v>0</v>
      </c>
      <c r="AA272" s="30" t="n">
        <f aca="false">IF(AND(E272="budget_probe",ISNUMBER(F272),I272&lt;&gt;Lists!$X$4),1,0)</f>
        <v>0</v>
      </c>
      <c r="AB272" s="30" t="str">
        <f aca="false">IF(AND(B272="office",AA272=1,COUNTIFS(C$5:C272,C272,AA$5:AA272,1)=1),F272,"")</f>
        <v/>
      </c>
      <c r="AC272" s="30" t="str">
        <f aca="false">IF(AND(B272="brand",AA272=1,COUNTIFS(C$5:C272,C272,AA$5:AA272,1)=1),F272,"")</f>
        <v/>
      </c>
      <c r="AD272" s="30" t="str">
        <f aca="false">IF(AND(B272="brand",E272="budget_probe",ISNUMBER(F272),I272=Lists!$X$4),IF(COUNTIFS(C$5:C272,C272,E$5:E272,"budget_probe",I$5:I272,Lists!$X$4)=1,F272,""),"")</f>
        <v/>
      </c>
      <c r="AE272" s="30" t="n">
        <f aca="false">IF(AND(B272="brand",E272="paid",ISNUMBER(F272)),IF(AND(SUMIFS(F$5:F272,B$5:B272,"brand",C$5:C272,C272,E$5:E272,"paid")&gt;=Inputs!$C$44,SUMIFS(F$5:F272,B$5:B272,"brand",C$5:C272,C272,E$5:E272,"paid")-F272&lt;Inputs!$C$44),1,0),0)</f>
        <v>0</v>
      </c>
    </row>
    <row r="273" customFormat="false" ht="15" hidden="false" customHeight="false" outlineLevel="0" collapsed="false">
      <c r="A273" s="102"/>
      <c r="B273" s="103"/>
      <c r="C273" s="103"/>
      <c r="D273" s="103"/>
      <c r="E273" s="103"/>
      <c r="F273" s="103"/>
      <c r="G273" s="103"/>
      <c r="H273" s="103"/>
      <c r="I273" s="103"/>
      <c r="T273" s="30" t="str">
        <f aca="false">IF(C273="","",IF(COUNTIFS(C$5:C273,C273,E$5:E273,E273)=1,1,0))</f>
        <v/>
      </c>
      <c r="U273" s="30" t="n">
        <f aca="false">IF(C273="",0,IF(AND(B273="brand",E273="budget_probe",N(F273)&gt;=Inputs!$C$124,H273="Y"),1,0))</f>
        <v>0</v>
      </c>
      <c r="V273" s="30" t="n">
        <f aca="false">IF(U273=1,IF(COUNTIFS(C$5:C273,C273,U$5:U273,1)=1,1,0),0)</f>
        <v>0</v>
      </c>
      <c r="W273" s="30" t="n">
        <f aca="false">IF(C273="",0,IF(AND(B273="office",E273="budget_probe",N(F273)&gt;=Inputs!$C$139),1,0))</f>
        <v>0</v>
      </c>
      <c r="X273" s="30" t="n">
        <f aca="false">IF(W273=1,IF(COUNTIFS(C$5:C273,C273,W$5:W273,1)=1,1,0),0)</f>
        <v>0</v>
      </c>
      <c r="Y273" s="30" t="n">
        <f aca="false">IF(C273="",0,IF(AND(B273="brand",E273="renewal_answer",TRIM(G273)="yes",N(F273)&gt;=Inputs!$C$135),1,0))</f>
        <v>0</v>
      </c>
      <c r="Z273" s="30" t="n">
        <f aca="false">IF(Y273=1,IF(COUNTIFS(C$5:C273,C273,Y$5:Y273,1)=1,1,0),0)</f>
        <v>0</v>
      </c>
      <c r="AA273" s="30" t="n">
        <f aca="false">IF(AND(E273="budget_probe",ISNUMBER(F273),I273&lt;&gt;Lists!$X$4),1,0)</f>
        <v>0</v>
      </c>
      <c r="AB273" s="30" t="str">
        <f aca="false">IF(AND(B273="office",AA273=1,COUNTIFS(C$5:C273,C273,AA$5:AA273,1)=1),F273,"")</f>
        <v/>
      </c>
      <c r="AC273" s="30" t="str">
        <f aca="false">IF(AND(B273="brand",AA273=1,COUNTIFS(C$5:C273,C273,AA$5:AA273,1)=1),F273,"")</f>
        <v/>
      </c>
      <c r="AD273" s="30" t="str">
        <f aca="false">IF(AND(B273="brand",E273="budget_probe",ISNUMBER(F273),I273=Lists!$X$4),IF(COUNTIFS(C$5:C273,C273,E$5:E273,"budget_probe",I$5:I273,Lists!$X$4)=1,F273,""),"")</f>
        <v/>
      </c>
      <c r="AE273" s="30" t="n">
        <f aca="false">IF(AND(B273="brand",E273="paid",ISNUMBER(F273)),IF(AND(SUMIFS(F$5:F273,B$5:B273,"brand",C$5:C273,C273,E$5:E273,"paid")&gt;=Inputs!$C$44,SUMIFS(F$5:F273,B$5:B273,"brand",C$5:C273,C273,E$5:E273,"paid")-F273&lt;Inputs!$C$44),1,0),0)</f>
        <v>0</v>
      </c>
    </row>
    <row r="274" customFormat="false" ht="15" hidden="false" customHeight="false" outlineLevel="0" collapsed="false">
      <c r="A274" s="102"/>
      <c r="B274" s="103"/>
      <c r="C274" s="103"/>
      <c r="D274" s="103"/>
      <c r="E274" s="103"/>
      <c r="F274" s="103"/>
      <c r="G274" s="103"/>
      <c r="H274" s="103"/>
      <c r="I274" s="103"/>
      <c r="T274" s="30" t="str">
        <f aca="false">IF(C274="","",IF(COUNTIFS(C$5:C274,C274,E$5:E274,E274)=1,1,0))</f>
        <v/>
      </c>
      <c r="U274" s="30" t="n">
        <f aca="false">IF(C274="",0,IF(AND(B274="brand",E274="budget_probe",N(F274)&gt;=Inputs!$C$124,H274="Y"),1,0))</f>
        <v>0</v>
      </c>
      <c r="V274" s="30" t="n">
        <f aca="false">IF(U274=1,IF(COUNTIFS(C$5:C274,C274,U$5:U274,1)=1,1,0),0)</f>
        <v>0</v>
      </c>
      <c r="W274" s="30" t="n">
        <f aca="false">IF(C274="",0,IF(AND(B274="office",E274="budget_probe",N(F274)&gt;=Inputs!$C$139),1,0))</f>
        <v>0</v>
      </c>
      <c r="X274" s="30" t="n">
        <f aca="false">IF(W274=1,IF(COUNTIFS(C$5:C274,C274,W$5:W274,1)=1,1,0),0)</f>
        <v>0</v>
      </c>
      <c r="Y274" s="30" t="n">
        <f aca="false">IF(C274="",0,IF(AND(B274="brand",E274="renewal_answer",TRIM(G274)="yes",N(F274)&gt;=Inputs!$C$135),1,0))</f>
        <v>0</v>
      </c>
      <c r="Z274" s="30" t="n">
        <f aca="false">IF(Y274=1,IF(COUNTIFS(C$5:C274,C274,Y$5:Y274,1)=1,1,0),0)</f>
        <v>0</v>
      </c>
      <c r="AA274" s="30" t="n">
        <f aca="false">IF(AND(E274="budget_probe",ISNUMBER(F274),I274&lt;&gt;Lists!$X$4),1,0)</f>
        <v>0</v>
      </c>
      <c r="AB274" s="30" t="str">
        <f aca="false">IF(AND(B274="office",AA274=1,COUNTIFS(C$5:C274,C274,AA$5:AA274,1)=1),F274,"")</f>
        <v/>
      </c>
      <c r="AC274" s="30" t="str">
        <f aca="false">IF(AND(B274="brand",AA274=1,COUNTIFS(C$5:C274,C274,AA$5:AA274,1)=1),F274,"")</f>
        <v/>
      </c>
      <c r="AD274" s="30" t="str">
        <f aca="false">IF(AND(B274="brand",E274="budget_probe",ISNUMBER(F274),I274=Lists!$X$4),IF(COUNTIFS(C$5:C274,C274,E$5:E274,"budget_probe",I$5:I274,Lists!$X$4)=1,F274,""),"")</f>
        <v/>
      </c>
      <c r="AE274" s="30" t="n">
        <f aca="false">IF(AND(B274="brand",E274="paid",ISNUMBER(F274)),IF(AND(SUMIFS(F$5:F274,B$5:B274,"brand",C$5:C274,C274,E$5:E274,"paid")&gt;=Inputs!$C$44,SUMIFS(F$5:F274,B$5:B274,"brand",C$5:C274,C274,E$5:E274,"paid")-F274&lt;Inputs!$C$44),1,0),0)</f>
        <v>0</v>
      </c>
    </row>
    <row r="275" customFormat="false" ht="15" hidden="false" customHeight="false" outlineLevel="0" collapsed="false">
      <c r="A275" s="102"/>
      <c r="B275" s="103"/>
      <c r="C275" s="103"/>
      <c r="D275" s="103"/>
      <c r="E275" s="103"/>
      <c r="F275" s="103"/>
      <c r="G275" s="103"/>
      <c r="H275" s="103"/>
      <c r="I275" s="103"/>
      <c r="T275" s="30" t="str">
        <f aca="false">IF(C275="","",IF(COUNTIFS(C$5:C275,C275,E$5:E275,E275)=1,1,0))</f>
        <v/>
      </c>
      <c r="U275" s="30" t="n">
        <f aca="false">IF(C275="",0,IF(AND(B275="brand",E275="budget_probe",N(F275)&gt;=Inputs!$C$124,H275="Y"),1,0))</f>
        <v>0</v>
      </c>
      <c r="V275" s="30" t="n">
        <f aca="false">IF(U275=1,IF(COUNTIFS(C$5:C275,C275,U$5:U275,1)=1,1,0),0)</f>
        <v>0</v>
      </c>
      <c r="W275" s="30" t="n">
        <f aca="false">IF(C275="",0,IF(AND(B275="office",E275="budget_probe",N(F275)&gt;=Inputs!$C$139),1,0))</f>
        <v>0</v>
      </c>
      <c r="X275" s="30" t="n">
        <f aca="false">IF(W275=1,IF(COUNTIFS(C$5:C275,C275,W$5:W275,1)=1,1,0),0)</f>
        <v>0</v>
      </c>
      <c r="Y275" s="30" t="n">
        <f aca="false">IF(C275="",0,IF(AND(B275="brand",E275="renewal_answer",TRIM(G275)="yes",N(F275)&gt;=Inputs!$C$135),1,0))</f>
        <v>0</v>
      </c>
      <c r="Z275" s="30" t="n">
        <f aca="false">IF(Y275=1,IF(COUNTIFS(C$5:C275,C275,Y$5:Y275,1)=1,1,0),0)</f>
        <v>0</v>
      </c>
      <c r="AA275" s="30" t="n">
        <f aca="false">IF(AND(E275="budget_probe",ISNUMBER(F275),I275&lt;&gt;Lists!$X$4),1,0)</f>
        <v>0</v>
      </c>
      <c r="AB275" s="30" t="str">
        <f aca="false">IF(AND(B275="office",AA275=1,COUNTIFS(C$5:C275,C275,AA$5:AA275,1)=1),F275,"")</f>
        <v/>
      </c>
      <c r="AC275" s="30" t="str">
        <f aca="false">IF(AND(B275="brand",AA275=1,COUNTIFS(C$5:C275,C275,AA$5:AA275,1)=1),F275,"")</f>
        <v/>
      </c>
      <c r="AD275" s="30" t="str">
        <f aca="false">IF(AND(B275="brand",E275="budget_probe",ISNUMBER(F275),I275=Lists!$X$4),IF(COUNTIFS(C$5:C275,C275,E$5:E275,"budget_probe",I$5:I275,Lists!$X$4)=1,F275,""),"")</f>
        <v/>
      </c>
      <c r="AE275" s="30" t="n">
        <f aca="false">IF(AND(B275="brand",E275="paid",ISNUMBER(F275)),IF(AND(SUMIFS(F$5:F275,B$5:B275,"brand",C$5:C275,C275,E$5:E275,"paid")&gt;=Inputs!$C$44,SUMIFS(F$5:F275,B$5:B275,"brand",C$5:C275,C275,E$5:E275,"paid")-F275&lt;Inputs!$C$44),1,0),0)</f>
        <v>0</v>
      </c>
    </row>
    <row r="276" customFormat="false" ht="15" hidden="false" customHeight="false" outlineLevel="0" collapsed="false">
      <c r="A276" s="102"/>
      <c r="B276" s="103"/>
      <c r="C276" s="103"/>
      <c r="D276" s="103"/>
      <c r="E276" s="103"/>
      <c r="F276" s="103"/>
      <c r="G276" s="103"/>
      <c r="H276" s="103"/>
      <c r="I276" s="103"/>
      <c r="T276" s="30" t="str">
        <f aca="false">IF(C276="","",IF(COUNTIFS(C$5:C276,C276,E$5:E276,E276)=1,1,0))</f>
        <v/>
      </c>
      <c r="U276" s="30" t="n">
        <f aca="false">IF(C276="",0,IF(AND(B276="brand",E276="budget_probe",N(F276)&gt;=Inputs!$C$124,H276="Y"),1,0))</f>
        <v>0</v>
      </c>
      <c r="V276" s="30" t="n">
        <f aca="false">IF(U276=1,IF(COUNTIFS(C$5:C276,C276,U$5:U276,1)=1,1,0),0)</f>
        <v>0</v>
      </c>
      <c r="W276" s="30" t="n">
        <f aca="false">IF(C276="",0,IF(AND(B276="office",E276="budget_probe",N(F276)&gt;=Inputs!$C$139),1,0))</f>
        <v>0</v>
      </c>
      <c r="X276" s="30" t="n">
        <f aca="false">IF(W276=1,IF(COUNTIFS(C$5:C276,C276,W$5:W276,1)=1,1,0),0)</f>
        <v>0</v>
      </c>
      <c r="Y276" s="30" t="n">
        <f aca="false">IF(C276="",0,IF(AND(B276="brand",E276="renewal_answer",TRIM(G276)="yes",N(F276)&gt;=Inputs!$C$135),1,0))</f>
        <v>0</v>
      </c>
      <c r="Z276" s="30" t="n">
        <f aca="false">IF(Y276=1,IF(COUNTIFS(C$5:C276,C276,Y$5:Y276,1)=1,1,0),0)</f>
        <v>0</v>
      </c>
      <c r="AA276" s="30" t="n">
        <f aca="false">IF(AND(E276="budget_probe",ISNUMBER(F276),I276&lt;&gt;Lists!$X$4),1,0)</f>
        <v>0</v>
      </c>
      <c r="AB276" s="30" t="str">
        <f aca="false">IF(AND(B276="office",AA276=1,COUNTIFS(C$5:C276,C276,AA$5:AA276,1)=1),F276,"")</f>
        <v/>
      </c>
      <c r="AC276" s="30" t="str">
        <f aca="false">IF(AND(B276="brand",AA276=1,COUNTIFS(C$5:C276,C276,AA$5:AA276,1)=1),F276,"")</f>
        <v/>
      </c>
      <c r="AD276" s="30" t="str">
        <f aca="false">IF(AND(B276="brand",E276="budget_probe",ISNUMBER(F276),I276=Lists!$X$4),IF(COUNTIFS(C$5:C276,C276,E$5:E276,"budget_probe",I$5:I276,Lists!$X$4)=1,F276,""),"")</f>
        <v/>
      </c>
      <c r="AE276" s="30" t="n">
        <f aca="false">IF(AND(B276="brand",E276="paid",ISNUMBER(F276)),IF(AND(SUMIFS(F$5:F276,B$5:B276,"brand",C$5:C276,C276,E$5:E276,"paid")&gt;=Inputs!$C$44,SUMIFS(F$5:F276,B$5:B276,"brand",C$5:C276,C276,E$5:E276,"paid")-F276&lt;Inputs!$C$44),1,0),0)</f>
        <v>0</v>
      </c>
    </row>
    <row r="277" customFormat="false" ht="15" hidden="false" customHeight="false" outlineLevel="0" collapsed="false">
      <c r="A277" s="102"/>
      <c r="B277" s="103"/>
      <c r="C277" s="103"/>
      <c r="D277" s="103"/>
      <c r="E277" s="103"/>
      <c r="F277" s="103"/>
      <c r="G277" s="103"/>
      <c r="H277" s="103"/>
      <c r="I277" s="103"/>
      <c r="T277" s="30" t="str">
        <f aca="false">IF(C277="","",IF(COUNTIFS(C$5:C277,C277,E$5:E277,E277)=1,1,0))</f>
        <v/>
      </c>
      <c r="U277" s="30" t="n">
        <f aca="false">IF(C277="",0,IF(AND(B277="brand",E277="budget_probe",N(F277)&gt;=Inputs!$C$124,H277="Y"),1,0))</f>
        <v>0</v>
      </c>
      <c r="V277" s="30" t="n">
        <f aca="false">IF(U277=1,IF(COUNTIFS(C$5:C277,C277,U$5:U277,1)=1,1,0),0)</f>
        <v>0</v>
      </c>
      <c r="W277" s="30" t="n">
        <f aca="false">IF(C277="",0,IF(AND(B277="office",E277="budget_probe",N(F277)&gt;=Inputs!$C$139),1,0))</f>
        <v>0</v>
      </c>
      <c r="X277" s="30" t="n">
        <f aca="false">IF(W277=1,IF(COUNTIFS(C$5:C277,C277,W$5:W277,1)=1,1,0),0)</f>
        <v>0</v>
      </c>
      <c r="Y277" s="30" t="n">
        <f aca="false">IF(C277="",0,IF(AND(B277="brand",E277="renewal_answer",TRIM(G277)="yes",N(F277)&gt;=Inputs!$C$135),1,0))</f>
        <v>0</v>
      </c>
      <c r="Z277" s="30" t="n">
        <f aca="false">IF(Y277=1,IF(COUNTIFS(C$5:C277,C277,Y$5:Y277,1)=1,1,0),0)</f>
        <v>0</v>
      </c>
      <c r="AA277" s="30" t="n">
        <f aca="false">IF(AND(E277="budget_probe",ISNUMBER(F277),I277&lt;&gt;Lists!$X$4),1,0)</f>
        <v>0</v>
      </c>
      <c r="AB277" s="30" t="str">
        <f aca="false">IF(AND(B277="office",AA277=1,COUNTIFS(C$5:C277,C277,AA$5:AA277,1)=1),F277,"")</f>
        <v/>
      </c>
      <c r="AC277" s="30" t="str">
        <f aca="false">IF(AND(B277="brand",AA277=1,COUNTIFS(C$5:C277,C277,AA$5:AA277,1)=1),F277,"")</f>
        <v/>
      </c>
      <c r="AD277" s="30" t="str">
        <f aca="false">IF(AND(B277="brand",E277="budget_probe",ISNUMBER(F277),I277=Lists!$X$4),IF(COUNTIFS(C$5:C277,C277,E$5:E277,"budget_probe",I$5:I277,Lists!$X$4)=1,F277,""),"")</f>
        <v/>
      </c>
      <c r="AE277" s="30" t="n">
        <f aca="false">IF(AND(B277="brand",E277="paid",ISNUMBER(F277)),IF(AND(SUMIFS(F$5:F277,B$5:B277,"brand",C$5:C277,C277,E$5:E277,"paid")&gt;=Inputs!$C$44,SUMIFS(F$5:F277,B$5:B277,"brand",C$5:C277,C277,E$5:E277,"paid")-F277&lt;Inputs!$C$44),1,0),0)</f>
        <v>0</v>
      </c>
    </row>
    <row r="278" customFormat="false" ht="15" hidden="false" customHeight="false" outlineLevel="0" collapsed="false">
      <c r="A278" s="102"/>
      <c r="B278" s="103"/>
      <c r="C278" s="103"/>
      <c r="D278" s="103"/>
      <c r="E278" s="103"/>
      <c r="F278" s="103"/>
      <c r="G278" s="103"/>
      <c r="H278" s="103"/>
      <c r="I278" s="103"/>
      <c r="T278" s="30" t="str">
        <f aca="false">IF(C278="","",IF(COUNTIFS(C$5:C278,C278,E$5:E278,E278)=1,1,0))</f>
        <v/>
      </c>
      <c r="U278" s="30" t="n">
        <f aca="false">IF(C278="",0,IF(AND(B278="brand",E278="budget_probe",N(F278)&gt;=Inputs!$C$124,H278="Y"),1,0))</f>
        <v>0</v>
      </c>
      <c r="V278" s="30" t="n">
        <f aca="false">IF(U278=1,IF(COUNTIFS(C$5:C278,C278,U$5:U278,1)=1,1,0),0)</f>
        <v>0</v>
      </c>
      <c r="W278" s="30" t="n">
        <f aca="false">IF(C278="",0,IF(AND(B278="office",E278="budget_probe",N(F278)&gt;=Inputs!$C$139),1,0))</f>
        <v>0</v>
      </c>
      <c r="X278" s="30" t="n">
        <f aca="false">IF(W278=1,IF(COUNTIFS(C$5:C278,C278,W$5:W278,1)=1,1,0),0)</f>
        <v>0</v>
      </c>
      <c r="Y278" s="30" t="n">
        <f aca="false">IF(C278="",0,IF(AND(B278="brand",E278="renewal_answer",TRIM(G278)="yes",N(F278)&gt;=Inputs!$C$135),1,0))</f>
        <v>0</v>
      </c>
      <c r="Z278" s="30" t="n">
        <f aca="false">IF(Y278=1,IF(COUNTIFS(C$5:C278,C278,Y$5:Y278,1)=1,1,0),0)</f>
        <v>0</v>
      </c>
      <c r="AA278" s="30" t="n">
        <f aca="false">IF(AND(E278="budget_probe",ISNUMBER(F278),I278&lt;&gt;Lists!$X$4),1,0)</f>
        <v>0</v>
      </c>
      <c r="AB278" s="30" t="str">
        <f aca="false">IF(AND(B278="office",AA278=1,COUNTIFS(C$5:C278,C278,AA$5:AA278,1)=1),F278,"")</f>
        <v/>
      </c>
      <c r="AC278" s="30" t="str">
        <f aca="false">IF(AND(B278="brand",AA278=1,COUNTIFS(C$5:C278,C278,AA$5:AA278,1)=1),F278,"")</f>
        <v/>
      </c>
      <c r="AD278" s="30" t="str">
        <f aca="false">IF(AND(B278="brand",E278="budget_probe",ISNUMBER(F278),I278=Lists!$X$4),IF(COUNTIFS(C$5:C278,C278,E$5:E278,"budget_probe",I$5:I278,Lists!$X$4)=1,F278,""),"")</f>
        <v/>
      </c>
      <c r="AE278" s="30" t="n">
        <f aca="false">IF(AND(B278="brand",E278="paid",ISNUMBER(F278)),IF(AND(SUMIFS(F$5:F278,B$5:B278,"brand",C$5:C278,C278,E$5:E278,"paid")&gt;=Inputs!$C$44,SUMIFS(F$5:F278,B$5:B278,"brand",C$5:C278,C278,E$5:E278,"paid")-F278&lt;Inputs!$C$44),1,0),0)</f>
        <v>0</v>
      </c>
    </row>
    <row r="279" customFormat="false" ht="15" hidden="false" customHeight="false" outlineLevel="0" collapsed="false">
      <c r="A279" s="102"/>
      <c r="B279" s="103"/>
      <c r="C279" s="103"/>
      <c r="D279" s="103"/>
      <c r="E279" s="103"/>
      <c r="F279" s="103"/>
      <c r="G279" s="103"/>
      <c r="H279" s="103"/>
      <c r="I279" s="103"/>
      <c r="T279" s="30" t="str">
        <f aca="false">IF(C279="","",IF(COUNTIFS(C$5:C279,C279,E$5:E279,E279)=1,1,0))</f>
        <v/>
      </c>
      <c r="U279" s="30" t="n">
        <f aca="false">IF(C279="",0,IF(AND(B279="brand",E279="budget_probe",N(F279)&gt;=Inputs!$C$124,H279="Y"),1,0))</f>
        <v>0</v>
      </c>
      <c r="V279" s="30" t="n">
        <f aca="false">IF(U279=1,IF(COUNTIFS(C$5:C279,C279,U$5:U279,1)=1,1,0),0)</f>
        <v>0</v>
      </c>
      <c r="W279" s="30" t="n">
        <f aca="false">IF(C279="",0,IF(AND(B279="office",E279="budget_probe",N(F279)&gt;=Inputs!$C$139),1,0))</f>
        <v>0</v>
      </c>
      <c r="X279" s="30" t="n">
        <f aca="false">IF(W279=1,IF(COUNTIFS(C$5:C279,C279,W$5:W279,1)=1,1,0),0)</f>
        <v>0</v>
      </c>
      <c r="Y279" s="30" t="n">
        <f aca="false">IF(C279="",0,IF(AND(B279="brand",E279="renewal_answer",TRIM(G279)="yes",N(F279)&gt;=Inputs!$C$135),1,0))</f>
        <v>0</v>
      </c>
      <c r="Z279" s="30" t="n">
        <f aca="false">IF(Y279=1,IF(COUNTIFS(C$5:C279,C279,Y$5:Y279,1)=1,1,0),0)</f>
        <v>0</v>
      </c>
      <c r="AA279" s="30" t="n">
        <f aca="false">IF(AND(E279="budget_probe",ISNUMBER(F279),I279&lt;&gt;Lists!$X$4),1,0)</f>
        <v>0</v>
      </c>
      <c r="AB279" s="30" t="str">
        <f aca="false">IF(AND(B279="office",AA279=1,COUNTIFS(C$5:C279,C279,AA$5:AA279,1)=1),F279,"")</f>
        <v/>
      </c>
      <c r="AC279" s="30" t="str">
        <f aca="false">IF(AND(B279="brand",AA279=1,COUNTIFS(C$5:C279,C279,AA$5:AA279,1)=1),F279,"")</f>
        <v/>
      </c>
      <c r="AD279" s="30" t="str">
        <f aca="false">IF(AND(B279="brand",E279="budget_probe",ISNUMBER(F279),I279=Lists!$X$4),IF(COUNTIFS(C$5:C279,C279,E$5:E279,"budget_probe",I$5:I279,Lists!$X$4)=1,F279,""),"")</f>
        <v/>
      </c>
      <c r="AE279" s="30" t="n">
        <f aca="false">IF(AND(B279="brand",E279="paid",ISNUMBER(F279)),IF(AND(SUMIFS(F$5:F279,B$5:B279,"brand",C$5:C279,C279,E$5:E279,"paid")&gt;=Inputs!$C$44,SUMIFS(F$5:F279,B$5:B279,"brand",C$5:C279,C279,E$5:E279,"paid")-F279&lt;Inputs!$C$44),1,0),0)</f>
        <v>0</v>
      </c>
    </row>
    <row r="280" customFormat="false" ht="15" hidden="false" customHeight="false" outlineLevel="0" collapsed="false">
      <c r="A280" s="102"/>
      <c r="B280" s="103"/>
      <c r="C280" s="103"/>
      <c r="D280" s="103"/>
      <c r="E280" s="103"/>
      <c r="F280" s="103"/>
      <c r="G280" s="103"/>
      <c r="H280" s="103"/>
      <c r="I280" s="103"/>
      <c r="T280" s="30" t="str">
        <f aca="false">IF(C280="","",IF(COUNTIFS(C$5:C280,C280,E$5:E280,E280)=1,1,0))</f>
        <v/>
      </c>
      <c r="U280" s="30" t="n">
        <f aca="false">IF(C280="",0,IF(AND(B280="brand",E280="budget_probe",N(F280)&gt;=Inputs!$C$124,H280="Y"),1,0))</f>
        <v>0</v>
      </c>
      <c r="V280" s="30" t="n">
        <f aca="false">IF(U280=1,IF(COUNTIFS(C$5:C280,C280,U$5:U280,1)=1,1,0),0)</f>
        <v>0</v>
      </c>
      <c r="W280" s="30" t="n">
        <f aca="false">IF(C280="",0,IF(AND(B280="office",E280="budget_probe",N(F280)&gt;=Inputs!$C$139),1,0))</f>
        <v>0</v>
      </c>
      <c r="X280" s="30" t="n">
        <f aca="false">IF(W280=1,IF(COUNTIFS(C$5:C280,C280,W$5:W280,1)=1,1,0),0)</f>
        <v>0</v>
      </c>
      <c r="Y280" s="30" t="n">
        <f aca="false">IF(C280="",0,IF(AND(B280="brand",E280="renewal_answer",TRIM(G280)="yes",N(F280)&gt;=Inputs!$C$135),1,0))</f>
        <v>0</v>
      </c>
      <c r="Z280" s="30" t="n">
        <f aca="false">IF(Y280=1,IF(COUNTIFS(C$5:C280,C280,Y$5:Y280,1)=1,1,0),0)</f>
        <v>0</v>
      </c>
      <c r="AA280" s="30" t="n">
        <f aca="false">IF(AND(E280="budget_probe",ISNUMBER(F280),I280&lt;&gt;Lists!$X$4),1,0)</f>
        <v>0</v>
      </c>
      <c r="AB280" s="30" t="str">
        <f aca="false">IF(AND(B280="office",AA280=1,COUNTIFS(C$5:C280,C280,AA$5:AA280,1)=1),F280,"")</f>
        <v/>
      </c>
      <c r="AC280" s="30" t="str">
        <f aca="false">IF(AND(B280="brand",AA280=1,COUNTIFS(C$5:C280,C280,AA$5:AA280,1)=1),F280,"")</f>
        <v/>
      </c>
      <c r="AD280" s="30" t="str">
        <f aca="false">IF(AND(B280="brand",E280="budget_probe",ISNUMBER(F280),I280=Lists!$X$4),IF(COUNTIFS(C$5:C280,C280,E$5:E280,"budget_probe",I$5:I280,Lists!$X$4)=1,F280,""),"")</f>
        <v/>
      </c>
      <c r="AE280" s="30" t="n">
        <f aca="false">IF(AND(B280="brand",E280="paid",ISNUMBER(F280)),IF(AND(SUMIFS(F$5:F280,B$5:B280,"brand",C$5:C280,C280,E$5:E280,"paid")&gt;=Inputs!$C$44,SUMIFS(F$5:F280,B$5:B280,"brand",C$5:C280,C280,E$5:E280,"paid")-F280&lt;Inputs!$C$44),1,0),0)</f>
        <v>0</v>
      </c>
    </row>
    <row r="281" customFormat="false" ht="15" hidden="false" customHeight="false" outlineLevel="0" collapsed="false">
      <c r="A281" s="102"/>
      <c r="B281" s="103"/>
      <c r="C281" s="103"/>
      <c r="D281" s="103"/>
      <c r="E281" s="103"/>
      <c r="F281" s="103"/>
      <c r="G281" s="103"/>
      <c r="H281" s="103"/>
      <c r="I281" s="103"/>
      <c r="T281" s="30" t="str">
        <f aca="false">IF(C281="","",IF(COUNTIFS(C$5:C281,C281,E$5:E281,E281)=1,1,0))</f>
        <v/>
      </c>
      <c r="U281" s="30" t="n">
        <f aca="false">IF(C281="",0,IF(AND(B281="brand",E281="budget_probe",N(F281)&gt;=Inputs!$C$124,H281="Y"),1,0))</f>
        <v>0</v>
      </c>
      <c r="V281" s="30" t="n">
        <f aca="false">IF(U281=1,IF(COUNTIFS(C$5:C281,C281,U$5:U281,1)=1,1,0),0)</f>
        <v>0</v>
      </c>
      <c r="W281" s="30" t="n">
        <f aca="false">IF(C281="",0,IF(AND(B281="office",E281="budget_probe",N(F281)&gt;=Inputs!$C$139),1,0))</f>
        <v>0</v>
      </c>
      <c r="X281" s="30" t="n">
        <f aca="false">IF(W281=1,IF(COUNTIFS(C$5:C281,C281,W$5:W281,1)=1,1,0),0)</f>
        <v>0</v>
      </c>
      <c r="Y281" s="30" t="n">
        <f aca="false">IF(C281="",0,IF(AND(B281="brand",E281="renewal_answer",TRIM(G281)="yes",N(F281)&gt;=Inputs!$C$135),1,0))</f>
        <v>0</v>
      </c>
      <c r="Z281" s="30" t="n">
        <f aca="false">IF(Y281=1,IF(COUNTIFS(C$5:C281,C281,Y$5:Y281,1)=1,1,0),0)</f>
        <v>0</v>
      </c>
      <c r="AA281" s="30" t="n">
        <f aca="false">IF(AND(E281="budget_probe",ISNUMBER(F281),I281&lt;&gt;Lists!$X$4),1,0)</f>
        <v>0</v>
      </c>
      <c r="AB281" s="30" t="str">
        <f aca="false">IF(AND(B281="office",AA281=1,COUNTIFS(C$5:C281,C281,AA$5:AA281,1)=1),F281,"")</f>
        <v/>
      </c>
      <c r="AC281" s="30" t="str">
        <f aca="false">IF(AND(B281="brand",AA281=1,COUNTIFS(C$5:C281,C281,AA$5:AA281,1)=1),F281,"")</f>
        <v/>
      </c>
      <c r="AD281" s="30" t="str">
        <f aca="false">IF(AND(B281="brand",E281="budget_probe",ISNUMBER(F281),I281=Lists!$X$4),IF(COUNTIFS(C$5:C281,C281,E$5:E281,"budget_probe",I$5:I281,Lists!$X$4)=1,F281,""),"")</f>
        <v/>
      </c>
      <c r="AE281" s="30" t="n">
        <f aca="false">IF(AND(B281="brand",E281="paid",ISNUMBER(F281)),IF(AND(SUMIFS(F$5:F281,B$5:B281,"brand",C$5:C281,C281,E$5:E281,"paid")&gt;=Inputs!$C$44,SUMIFS(F$5:F281,B$5:B281,"brand",C$5:C281,C281,E$5:E281,"paid")-F281&lt;Inputs!$C$44),1,0),0)</f>
        <v>0</v>
      </c>
    </row>
    <row r="282" customFormat="false" ht="15" hidden="false" customHeight="false" outlineLevel="0" collapsed="false">
      <c r="A282" s="102"/>
      <c r="B282" s="103"/>
      <c r="C282" s="103"/>
      <c r="D282" s="103"/>
      <c r="E282" s="103"/>
      <c r="F282" s="103"/>
      <c r="G282" s="103"/>
      <c r="H282" s="103"/>
      <c r="I282" s="103"/>
      <c r="T282" s="30" t="str">
        <f aca="false">IF(C282="","",IF(COUNTIFS(C$5:C282,C282,E$5:E282,E282)=1,1,0))</f>
        <v/>
      </c>
      <c r="U282" s="30" t="n">
        <f aca="false">IF(C282="",0,IF(AND(B282="brand",E282="budget_probe",N(F282)&gt;=Inputs!$C$124,H282="Y"),1,0))</f>
        <v>0</v>
      </c>
      <c r="V282" s="30" t="n">
        <f aca="false">IF(U282=1,IF(COUNTIFS(C$5:C282,C282,U$5:U282,1)=1,1,0),0)</f>
        <v>0</v>
      </c>
      <c r="W282" s="30" t="n">
        <f aca="false">IF(C282="",0,IF(AND(B282="office",E282="budget_probe",N(F282)&gt;=Inputs!$C$139),1,0))</f>
        <v>0</v>
      </c>
      <c r="X282" s="30" t="n">
        <f aca="false">IF(W282=1,IF(COUNTIFS(C$5:C282,C282,W$5:W282,1)=1,1,0),0)</f>
        <v>0</v>
      </c>
      <c r="Y282" s="30" t="n">
        <f aca="false">IF(C282="",0,IF(AND(B282="brand",E282="renewal_answer",TRIM(G282)="yes",N(F282)&gt;=Inputs!$C$135),1,0))</f>
        <v>0</v>
      </c>
      <c r="Z282" s="30" t="n">
        <f aca="false">IF(Y282=1,IF(COUNTIFS(C$5:C282,C282,Y$5:Y282,1)=1,1,0),0)</f>
        <v>0</v>
      </c>
      <c r="AA282" s="30" t="n">
        <f aca="false">IF(AND(E282="budget_probe",ISNUMBER(F282),I282&lt;&gt;Lists!$X$4),1,0)</f>
        <v>0</v>
      </c>
      <c r="AB282" s="30" t="str">
        <f aca="false">IF(AND(B282="office",AA282=1,COUNTIFS(C$5:C282,C282,AA$5:AA282,1)=1),F282,"")</f>
        <v/>
      </c>
      <c r="AC282" s="30" t="str">
        <f aca="false">IF(AND(B282="brand",AA282=1,COUNTIFS(C$5:C282,C282,AA$5:AA282,1)=1),F282,"")</f>
        <v/>
      </c>
      <c r="AD282" s="30" t="str">
        <f aca="false">IF(AND(B282="brand",E282="budget_probe",ISNUMBER(F282),I282=Lists!$X$4),IF(COUNTIFS(C$5:C282,C282,E$5:E282,"budget_probe",I$5:I282,Lists!$X$4)=1,F282,""),"")</f>
        <v/>
      </c>
      <c r="AE282" s="30" t="n">
        <f aca="false">IF(AND(B282="brand",E282="paid",ISNUMBER(F282)),IF(AND(SUMIFS(F$5:F282,B$5:B282,"brand",C$5:C282,C282,E$5:E282,"paid")&gt;=Inputs!$C$44,SUMIFS(F$5:F282,B$5:B282,"brand",C$5:C282,C282,E$5:E282,"paid")-F282&lt;Inputs!$C$44),1,0),0)</f>
        <v>0</v>
      </c>
    </row>
    <row r="283" customFormat="false" ht="15" hidden="false" customHeight="false" outlineLevel="0" collapsed="false">
      <c r="A283" s="102"/>
      <c r="B283" s="103"/>
      <c r="C283" s="103"/>
      <c r="D283" s="103"/>
      <c r="E283" s="103"/>
      <c r="F283" s="103"/>
      <c r="G283" s="103"/>
      <c r="H283" s="103"/>
      <c r="I283" s="103"/>
      <c r="T283" s="30" t="str">
        <f aca="false">IF(C283="","",IF(COUNTIFS(C$5:C283,C283,E$5:E283,E283)=1,1,0))</f>
        <v/>
      </c>
      <c r="U283" s="30" t="n">
        <f aca="false">IF(C283="",0,IF(AND(B283="brand",E283="budget_probe",N(F283)&gt;=Inputs!$C$124,H283="Y"),1,0))</f>
        <v>0</v>
      </c>
      <c r="V283" s="30" t="n">
        <f aca="false">IF(U283=1,IF(COUNTIFS(C$5:C283,C283,U$5:U283,1)=1,1,0),0)</f>
        <v>0</v>
      </c>
      <c r="W283" s="30" t="n">
        <f aca="false">IF(C283="",0,IF(AND(B283="office",E283="budget_probe",N(F283)&gt;=Inputs!$C$139),1,0))</f>
        <v>0</v>
      </c>
      <c r="X283" s="30" t="n">
        <f aca="false">IF(W283=1,IF(COUNTIFS(C$5:C283,C283,W$5:W283,1)=1,1,0),0)</f>
        <v>0</v>
      </c>
      <c r="Y283" s="30" t="n">
        <f aca="false">IF(C283="",0,IF(AND(B283="brand",E283="renewal_answer",TRIM(G283)="yes",N(F283)&gt;=Inputs!$C$135),1,0))</f>
        <v>0</v>
      </c>
      <c r="Z283" s="30" t="n">
        <f aca="false">IF(Y283=1,IF(COUNTIFS(C$5:C283,C283,Y$5:Y283,1)=1,1,0),0)</f>
        <v>0</v>
      </c>
      <c r="AA283" s="30" t="n">
        <f aca="false">IF(AND(E283="budget_probe",ISNUMBER(F283),I283&lt;&gt;Lists!$X$4),1,0)</f>
        <v>0</v>
      </c>
      <c r="AB283" s="30" t="str">
        <f aca="false">IF(AND(B283="office",AA283=1,COUNTIFS(C$5:C283,C283,AA$5:AA283,1)=1),F283,"")</f>
        <v/>
      </c>
      <c r="AC283" s="30" t="str">
        <f aca="false">IF(AND(B283="brand",AA283=1,COUNTIFS(C$5:C283,C283,AA$5:AA283,1)=1),F283,"")</f>
        <v/>
      </c>
      <c r="AD283" s="30" t="str">
        <f aca="false">IF(AND(B283="brand",E283="budget_probe",ISNUMBER(F283),I283=Lists!$X$4),IF(COUNTIFS(C$5:C283,C283,E$5:E283,"budget_probe",I$5:I283,Lists!$X$4)=1,F283,""),"")</f>
        <v/>
      </c>
      <c r="AE283" s="30" t="n">
        <f aca="false">IF(AND(B283="brand",E283="paid",ISNUMBER(F283)),IF(AND(SUMIFS(F$5:F283,B$5:B283,"brand",C$5:C283,C283,E$5:E283,"paid")&gt;=Inputs!$C$44,SUMIFS(F$5:F283,B$5:B283,"brand",C$5:C283,C283,E$5:E283,"paid")-F283&lt;Inputs!$C$44),1,0),0)</f>
        <v>0</v>
      </c>
    </row>
    <row r="284" customFormat="false" ht="15" hidden="false" customHeight="false" outlineLevel="0" collapsed="false">
      <c r="A284" s="102"/>
      <c r="B284" s="103"/>
      <c r="C284" s="103"/>
      <c r="D284" s="103"/>
      <c r="E284" s="103"/>
      <c r="F284" s="103"/>
      <c r="G284" s="103"/>
      <c r="H284" s="103"/>
      <c r="I284" s="103"/>
      <c r="T284" s="30" t="str">
        <f aca="false">IF(C284="","",IF(COUNTIFS(C$5:C284,C284,E$5:E284,E284)=1,1,0))</f>
        <v/>
      </c>
      <c r="U284" s="30" t="n">
        <f aca="false">IF(C284="",0,IF(AND(B284="brand",E284="budget_probe",N(F284)&gt;=Inputs!$C$124,H284="Y"),1,0))</f>
        <v>0</v>
      </c>
      <c r="V284" s="30" t="n">
        <f aca="false">IF(U284=1,IF(COUNTIFS(C$5:C284,C284,U$5:U284,1)=1,1,0),0)</f>
        <v>0</v>
      </c>
      <c r="W284" s="30" t="n">
        <f aca="false">IF(C284="",0,IF(AND(B284="office",E284="budget_probe",N(F284)&gt;=Inputs!$C$139),1,0))</f>
        <v>0</v>
      </c>
      <c r="X284" s="30" t="n">
        <f aca="false">IF(W284=1,IF(COUNTIFS(C$5:C284,C284,W$5:W284,1)=1,1,0),0)</f>
        <v>0</v>
      </c>
      <c r="Y284" s="30" t="n">
        <f aca="false">IF(C284="",0,IF(AND(B284="brand",E284="renewal_answer",TRIM(G284)="yes",N(F284)&gt;=Inputs!$C$135),1,0))</f>
        <v>0</v>
      </c>
      <c r="Z284" s="30" t="n">
        <f aca="false">IF(Y284=1,IF(COUNTIFS(C$5:C284,C284,Y$5:Y284,1)=1,1,0),0)</f>
        <v>0</v>
      </c>
      <c r="AA284" s="30" t="n">
        <f aca="false">IF(AND(E284="budget_probe",ISNUMBER(F284),I284&lt;&gt;Lists!$X$4),1,0)</f>
        <v>0</v>
      </c>
      <c r="AB284" s="30" t="str">
        <f aca="false">IF(AND(B284="office",AA284=1,COUNTIFS(C$5:C284,C284,AA$5:AA284,1)=1),F284,"")</f>
        <v/>
      </c>
      <c r="AC284" s="30" t="str">
        <f aca="false">IF(AND(B284="brand",AA284=1,COUNTIFS(C$5:C284,C284,AA$5:AA284,1)=1),F284,"")</f>
        <v/>
      </c>
      <c r="AD284" s="30" t="str">
        <f aca="false">IF(AND(B284="brand",E284="budget_probe",ISNUMBER(F284),I284=Lists!$X$4),IF(COUNTIFS(C$5:C284,C284,E$5:E284,"budget_probe",I$5:I284,Lists!$X$4)=1,F284,""),"")</f>
        <v/>
      </c>
      <c r="AE284" s="30" t="n">
        <f aca="false">IF(AND(B284="brand",E284="paid",ISNUMBER(F284)),IF(AND(SUMIFS(F$5:F284,B$5:B284,"brand",C$5:C284,C284,E$5:E284,"paid")&gt;=Inputs!$C$44,SUMIFS(F$5:F284,B$5:B284,"brand",C$5:C284,C284,E$5:E284,"paid")-F284&lt;Inputs!$C$44),1,0),0)</f>
        <v>0</v>
      </c>
    </row>
    <row r="285" customFormat="false" ht="15" hidden="false" customHeight="false" outlineLevel="0" collapsed="false">
      <c r="A285" s="102"/>
      <c r="B285" s="103"/>
      <c r="C285" s="103"/>
      <c r="D285" s="103"/>
      <c r="E285" s="103"/>
      <c r="F285" s="103"/>
      <c r="G285" s="103"/>
      <c r="H285" s="103"/>
      <c r="I285" s="103"/>
      <c r="T285" s="30" t="str">
        <f aca="false">IF(C285="","",IF(COUNTIFS(C$5:C285,C285,E$5:E285,E285)=1,1,0))</f>
        <v/>
      </c>
      <c r="U285" s="30" t="n">
        <f aca="false">IF(C285="",0,IF(AND(B285="brand",E285="budget_probe",N(F285)&gt;=Inputs!$C$124,H285="Y"),1,0))</f>
        <v>0</v>
      </c>
      <c r="V285" s="30" t="n">
        <f aca="false">IF(U285=1,IF(COUNTIFS(C$5:C285,C285,U$5:U285,1)=1,1,0),0)</f>
        <v>0</v>
      </c>
      <c r="W285" s="30" t="n">
        <f aca="false">IF(C285="",0,IF(AND(B285="office",E285="budget_probe",N(F285)&gt;=Inputs!$C$139),1,0))</f>
        <v>0</v>
      </c>
      <c r="X285" s="30" t="n">
        <f aca="false">IF(W285=1,IF(COUNTIFS(C$5:C285,C285,W$5:W285,1)=1,1,0),0)</f>
        <v>0</v>
      </c>
      <c r="Y285" s="30" t="n">
        <f aca="false">IF(C285="",0,IF(AND(B285="brand",E285="renewal_answer",TRIM(G285)="yes",N(F285)&gt;=Inputs!$C$135),1,0))</f>
        <v>0</v>
      </c>
      <c r="Z285" s="30" t="n">
        <f aca="false">IF(Y285=1,IF(COUNTIFS(C$5:C285,C285,Y$5:Y285,1)=1,1,0),0)</f>
        <v>0</v>
      </c>
      <c r="AA285" s="30" t="n">
        <f aca="false">IF(AND(E285="budget_probe",ISNUMBER(F285),I285&lt;&gt;Lists!$X$4),1,0)</f>
        <v>0</v>
      </c>
      <c r="AB285" s="30" t="str">
        <f aca="false">IF(AND(B285="office",AA285=1,COUNTIFS(C$5:C285,C285,AA$5:AA285,1)=1),F285,"")</f>
        <v/>
      </c>
      <c r="AC285" s="30" t="str">
        <f aca="false">IF(AND(B285="brand",AA285=1,COUNTIFS(C$5:C285,C285,AA$5:AA285,1)=1),F285,"")</f>
        <v/>
      </c>
      <c r="AD285" s="30" t="str">
        <f aca="false">IF(AND(B285="brand",E285="budget_probe",ISNUMBER(F285),I285=Lists!$X$4),IF(COUNTIFS(C$5:C285,C285,E$5:E285,"budget_probe",I$5:I285,Lists!$X$4)=1,F285,""),"")</f>
        <v/>
      </c>
      <c r="AE285" s="30" t="n">
        <f aca="false">IF(AND(B285="brand",E285="paid",ISNUMBER(F285)),IF(AND(SUMIFS(F$5:F285,B$5:B285,"brand",C$5:C285,C285,E$5:E285,"paid")&gt;=Inputs!$C$44,SUMIFS(F$5:F285,B$5:B285,"brand",C$5:C285,C285,E$5:E285,"paid")-F285&lt;Inputs!$C$44),1,0),0)</f>
        <v>0</v>
      </c>
    </row>
    <row r="286" customFormat="false" ht="15" hidden="false" customHeight="false" outlineLevel="0" collapsed="false">
      <c r="A286" s="102"/>
      <c r="B286" s="103"/>
      <c r="C286" s="103"/>
      <c r="D286" s="103"/>
      <c r="E286" s="103"/>
      <c r="F286" s="103"/>
      <c r="G286" s="103"/>
      <c r="H286" s="103"/>
      <c r="I286" s="103"/>
      <c r="T286" s="30" t="str">
        <f aca="false">IF(C286="","",IF(COUNTIFS(C$5:C286,C286,E$5:E286,E286)=1,1,0))</f>
        <v/>
      </c>
      <c r="U286" s="30" t="n">
        <f aca="false">IF(C286="",0,IF(AND(B286="brand",E286="budget_probe",N(F286)&gt;=Inputs!$C$124,H286="Y"),1,0))</f>
        <v>0</v>
      </c>
      <c r="V286" s="30" t="n">
        <f aca="false">IF(U286=1,IF(COUNTIFS(C$5:C286,C286,U$5:U286,1)=1,1,0),0)</f>
        <v>0</v>
      </c>
      <c r="W286" s="30" t="n">
        <f aca="false">IF(C286="",0,IF(AND(B286="office",E286="budget_probe",N(F286)&gt;=Inputs!$C$139),1,0))</f>
        <v>0</v>
      </c>
      <c r="X286" s="30" t="n">
        <f aca="false">IF(W286=1,IF(COUNTIFS(C$5:C286,C286,W$5:W286,1)=1,1,0),0)</f>
        <v>0</v>
      </c>
      <c r="Y286" s="30" t="n">
        <f aca="false">IF(C286="",0,IF(AND(B286="brand",E286="renewal_answer",TRIM(G286)="yes",N(F286)&gt;=Inputs!$C$135),1,0))</f>
        <v>0</v>
      </c>
      <c r="Z286" s="30" t="n">
        <f aca="false">IF(Y286=1,IF(COUNTIFS(C$5:C286,C286,Y$5:Y286,1)=1,1,0),0)</f>
        <v>0</v>
      </c>
      <c r="AA286" s="30" t="n">
        <f aca="false">IF(AND(E286="budget_probe",ISNUMBER(F286),I286&lt;&gt;Lists!$X$4),1,0)</f>
        <v>0</v>
      </c>
      <c r="AB286" s="30" t="str">
        <f aca="false">IF(AND(B286="office",AA286=1,COUNTIFS(C$5:C286,C286,AA$5:AA286,1)=1),F286,"")</f>
        <v/>
      </c>
      <c r="AC286" s="30" t="str">
        <f aca="false">IF(AND(B286="brand",AA286=1,COUNTIFS(C$5:C286,C286,AA$5:AA286,1)=1),F286,"")</f>
        <v/>
      </c>
      <c r="AD286" s="30" t="str">
        <f aca="false">IF(AND(B286="brand",E286="budget_probe",ISNUMBER(F286),I286=Lists!$X$4),IF(COUNTIFS(C$5:C286,C286,E$5:E286,"budget_probe",I$5:I286,Lists!$X$4)=1,F286,""),"")</f>
        <v/>
      </c>
      <c r="AE286" s="30" t="n">
        <f aca="false">IF(AND(B286="brand",E286="paid",ISNUMBER(F286)),IF(AND(SUMIFS(F$5:F286,B$5:B286,"brand",C$5:C286,C286,E$5:E286,"paid")&gt;=Inputs!$C$44,SUMIFS(F$5:F286,B$5:B286,"brand",C$5:C286,C286,E$5:E286,"paid")-F286&lt;Inputs!$C$44),1,0),0)</f>
        <v>0</v>
      </c>
    </row>
    <row r="287" customFormat="false" ht="15" hidden="false" customHeight="false" outlineLevel="0" collapsed="false">
      <c r="A287" s="102"/>
      <c r="B287" s="103"/>
      <c r="C287" s="103"/>
      <c r="D287" s="103"/>
      <c r="E287" s="103"/>
      <c r="F287" s="103"/>
      <c r="G287" s="103"/>
      <c r="H287" s="103"/>
      <c r="I287" s="103"/>
      <c r="T287" s="30" t="str">
        <f aca="false">IF(C287="","",IF(COUNTIFS(C$5:C287,C287,E$5:E287,E287)=1,1,0))</f>
        <v/>
      </c>
      <c r="U287" s="30" t="n">
        <f aca="false">IF(C287="",0,IF(AND(B287="brand",E287="budget_probe",N(F287)&gt;=Inputs!$C$124,H287="Y"),1,0))</f>
        <v>0</v>
      </c>
      <c r="V287" s="30" t="n">
        <f aca="false">IF(U287=1,IF(COUNTIFS(C$5:C287,C287,U$5:U287,1)=1,1,0),0)</f>
        <v>0</v>
      </c>
      <c r="W287" s="30" t="n">
        <f aca="false">IF(C287="",0,IF(AND(B287="office",E287="budget_probe",N(F287)&gt;=Inputs!$C$139),1,0))</f>
        <v>0</v>
      </c>
      <c r="X287" s="30" t="n">
        <f aca="false">IF(W287=1,IF(COUNTIFS(C$5:C287,C287,W$5:W287,1)=1,1,0),0)</f>
        <v>0</v>
      </c>
      <c r="Y287" s="30" t="n">
        <f aca="false">IF(C287="",0,IF(AND(B287="brand",E287="renewal_answer",TRIM(G287)="yes",N(F287)&gt;=Inputs!$C$135),1,0))</f>
        <v>0</v>
      </c>
      <c r="Z287" s="30" t="n">
        <f aca="false">IF(Y287=1,IF(COUNTIFS(C$5:C287,C287,Y$5:Y287,1)=1,1,0),0)</f>
        <v>0</v>
      </c>
      <c r="AA287" s="30" t="n">
        <f aca="false">IF(AND(E287="budget_probe",ISNUMBER(F287),I287&lt;&gt;Lists!$X$4),1,0)</f>
        <v>0</v>
      </c>
      <c r="AB287" s="30" t="str">
        <f aca="false">IF(AND(B287="office",AA287=1,COUNTIFS(C$5:C287,C287,AA$5:AA287,1)=1),F287,"")</f>
        <v/>
      </c>
      <c r="AC287" s="30" t="str">
        <f aca="false">IF(AND(B287="brand",AA287=1,COUNTIFS(C$5:C287,C287,AA$5:AA287,1)=1),F287,"")</f>
        <v/>
      </c>
      <c r="AD287" s="30" t="str">
        <f aca="false">IF(AND(B287="brand",E287="budget_probe",ISNUMBER(F287),I287=Lists!$X$4),IF(COUNTIFS(C$5:C287,C287,E$5:E287,"budget_probe",I$5:I287,Lists!$X$4)=1,F287,""),"")</f>
        <v/>
      </c>
      <c r="AE287" s="30" t="n">
        <f aca="false">IF(AND(B287="brand",E287="paid",ISNUMBER(F287)),IF(AND(SUMIFS(F$5:F287,B$5:B287,"brand",C$5:C287,C287,E$5:E287,"paid")&gt;=Inputs!$C$44,SUMIFS(F$5:F287,B$5:B287,"brand",C$5:C287,C287,E$5:E287,"paid")-F287&lt;Inputs!$C$44),1,0),0)</f>
        <v>0</v>
      </c>
    </row>
    <row r="288" customFormat="false" ht="15" hidden="false" customHeight="false" outlineLevel="0" collapsed="false">
      <c r="A288" s="102"/>
      <c r="B288" s="103"/>
      <c r="C288" s="103"/>
      <c r="D288" s="103"/>
      <c r="E288" s="103"/>
      <c r="F288" s="103"/>
      <c r="G288" s="103"/>
      <c r="H288" s="103"/>
      <c r="I288" s="103"/>
      <c r="T288" s="30" t="str">
        <f aca="false">IF(C288="","",IF(COUNTIFS(C$5:C288,C288,E$5:E288,E288)=1,1,0))</f>
        <v/>
      </c>
      <c r="U288" s="30" t="n">
        <f aca="false">IF(C288="",0,IF(AND(B288="brand",E288="budget_probe",N(F288)&gt;=Inputs!$C$124,H288="Y"),1,0))</f>
        <v>0</v>
      </c>
      <c r="V288" s="30" t="n">
        <f aca="false">IF(U288=1,IF(COUNTIFS(C$5:C288,C288,U$5:U288,1)=1,1,0),0)</f>
        <v>0</v>
      </c>
      <c r="W288" s="30" t="n">
        <f aca="false">IF(C288="",0,IF(AND(B288="office",E288="budget_probe",N(F288)&gt;=Inputs!$C$139),1,0))</f>
        <v>0</v>
      </c>
      <c r="X288" s="30" t="n">
        <f aca="false">IF(W288=1,IF(COUNTIFS(C$5:C288,C288,W$5:W288,1)=1,1,0),0)</f>
        <v>0</v>
      </c>
      <c r="Y288" s="30" t="n">
        <f aca="false">IF(C288="",0,IF(AND(B288="brand",E288="renewal_answer",TRIM(G288)="yes",N(F288)&gt;=Inputs!$C$135),1,0))</f>
        <v>0</v>
      </c>
      <c r="Z288" s="30" t="n">
        <f aca="false">IF(Y288=1,IF(COUNTIFS(C$5:C288,C288,Y$5:Y288,1)=1,1,0),0)</f>
        <v>0</v>
      </c>
      <c r="AA288" s="30" t="n">
        <f aca="false">IF(AND(E288="budget_probe",ISNUMBER(F288),I288&lt;&gt;Lists!$X$4),1,0)</f>
        <v>0</v>
      </c>
      <c r="AB288" s="30" t="str">
        <f aca="false">IF(AND(B288="office",AA288=1,COUNTIFS(C$5:C288,C288,AA$5:AA288,1)=1),F288,"")</f>
        <v/>
      </c>
      <c r="AC288" s="30" t="str">
        <f aca="false">IF(AND(B288="brand",AA288=1,COUNTIFS(C$5:C288,C288,AA$5:AA288,1)=1),F288,"")</f>
        <v/>
      </c>
      <c r="AD288" s="30" t="str">
        <f aca="false">IF(AND(B288="brand",E288="budget_probe",ISNUMBER(F288),I288=Lists!$X$4),IF(COUNTIFS(C$5:C288,C288,E$5:E288,"budget_probe",I$5:I288,Lists!$X$4)=1,F288,""),"")</f>
        <v/>
      </c>
      <c r="AE288" s="30" t="n">
        <f aca="false">IF(AND(B288="brand",E288="paid",ISNUMBER(F288)),IF(AND(SUMIFS(F$5:F288,B$5:B288,"brand",C$5:C288,C288,E$5:E288,"paid")&gt;=Inputs!$C$44,SUMIFS(F$5:F288,B$5:B288,"brand",C$5:C288,C288,E$5:E288,"paid")-F288&lt;Inputs!$C$44),1,0),0)</f>
        <v>0</v>
      </c>
    </row>
    <row r="289" customFormat="false" ht="15" hidden="false" customHeight="false" outlineLevel="0" collapsed="false">
      <c r="A289" s="102"/>
      <c r="B289" s="103"/>
      <c r="C289" s="103"/>
      <c r="D289" s="103"/>
      <c r="E289" s="103"/>
      <c r="F289" s="103"/>
      <c r="G289" s="103"/>
      <c r="H289" s="103"/>
      <c r="I289" s="103"/>
      <c r="T289" s="30" t="str">
        <f aca="false">IF(C289="","",IF(COUNTIFS(C$5:C289,C289,E$5:E289,E289)=1,1,0))</f>
        <v/>
      </c>
      <c r="U289" s="30" t="n">
        <f aca="false">IF(C289="",0,IF(AND(B289="brand",E289="budget_probe",N(F289)&gt;=Inputs!$C$124,H289="Y"),1,0))</f>
        <v>0</v>
      </c>
      <c r="V289" s="30" t="n">
        <f aca="false">IF(U289=1,IF(COUNTIFS(C$5:C289,C289,U$5:U289,1)=1,1,0),0)</f>
        <v>0</v>
      </c>
      <c r="W289" s="30" t="n">
        <f aca="false">IF(C289="",0,IF(AND(B289="office",E289="budget_probe",N(F289)&gt;=Inputs!$C$139),1,0))</f>
        <v>0</v>
      </c>
      <c r="X289" s="30" t="n">
        <f aca="false">IF(W289=1,IF(COUNTIFS(C$5:C289,C289,W$5:W289,1)=1,1,0),0)</f>
        <v>0</v>
      </c>
      <c r="Y289" s="30" t="n">
        <f aca="false">IF(C289="",0,IF(AND(B289="brand",E289="renewal_answer",TRIM(G289)="yes",N(F289)&gt;=Inputs!$C$135),1,0))</f>
        <v>0</v>
      </c>
      <c r="Z289" s="30" t="n">
        <f aca="false">IF(Y289=1,IF(COUNTIFS(C$5:C289,C289,Y$5:Y289,1)=1,1,0),0)</f>
        <v>0</v>
      </c>
      <c r="AA289" s="30" t="n">
        <f aca="false">IF(AND(E289="budget_probe",ISNUMBER(F289),I289&lt;&gt;Lists!$X$4),1,0)</f>
        <v>0</v>
      </c>
      <c r="AB289" s="30" t="str">
        <f aca="false">IF(AND(B289="office",AA289=1,COUNTIFS(C$5:C289,C289,AA$5:AA289,1)=1),F289,"")</f>
        <v/>
      </c>
      <c r="AC289" s="30" t="str">
        <f aca="false">IF(AND(B289="brand",AA289=1,COUNTIFS(C$5:C289,C289,AA$5:AA289,1)=1),F289,"")</f>
        <v/>
      </c>
      <c r="AD289" s="30" t="str">
        <f aca="false">IF(AND(B289="brand",E289="budget_probe",ISNUMBER(F289),I289=Lists!$X$4),IF(COUNTIFS(C$5:C289,C289,E$5:E289,"budget_probe",I$5:I289,Lists!$X$4)=1,F289,""),"")</f>
        <v/>
      </c>
      <c r="AE289" s="30" t="n">
        <f aca="false">IF(AND(B289="brand",E289="paid",ISNUMBER(F289)),IF(AND(SUMIFS(F$5:F289,B$5:B289,"brand",C$5:C289,C289,E$5:E289,"paid")&gt;=Inputs!$C$44,SUMIFS(F$5:F289,B$5:B289,"brand",C$5:C289,C289,E$5:E289,"paid")-F289&lt;Inputs!$C$44),1,0),0)</f>
        <v>0</v>
      </c>
    </row>
    <row r="290" customFormat="false" ht="15" hidden="false" customHeight="false" outlineLevel="0" collapsed="false">
      <c r="A290" s="102"/>
      <c r="B290" s="103"/>
      <c r="C290" s="103"/>
      <c r="D290" s="103"/>
      <c r="E290" s="103"/>
      <c r="F290" s="103"/>
      <c r="G290" s="103"/>
      <c r="H290" s="103"/>
      <c r="I290" s="103"/>
      <c r="T290" s="30" t="str">
        <f aca="false">IF(C290="","",IF(COUNTIFS(C$5:C290,C290,E$5:E290,E290)=1,1,0))</f>
        <v/>
      </c>
      <c r="U290" s="30" t="n">
        <f aca="false">IF(C290="",0,IF(AND(B290="brand",E290="budget_probe",N(F290)&gt;=Inputs!$C$124,H290="Y"),1,0))</f>
        <v>0</v>
      </c>
      <c r="V290" s="30" t="n">
        <f aca="false">IF(U290=1,IF(COUNTIFS(C$5:C290,C290,U$5:U290,1)=1,1,0),0)</f>
        <v>0</v>
      </c>
      <c r="W290" s="30" t="n">
        <f aca="false">IF(C290="",0,IF(AND(B290="office",E290="budget_probe",N(F290)&gt;=Inputs!$C$139),1,0))</f>
        <v>0</v>
      </c>
      <c r="X290" s="30" t="n">
        <f aca="false">IF(W290=1,IF(COUNTIFS(C$5:C290,C290,W$5:W290,1)=1,1,0),0)</f>
        <v>0</v>
      </c>
      <c r="Y290" s="30" t="n">
        <f aca="false">IF(C290="",0,IF(AND(B290="brand",E290="renewal_answer",TRIM(G290)="yes",N(F290)&gt;=Inputs!$C$135),1,0))</f>
        <v>0</v>
      </c>
      <c r="Z290" s="30" t="n">
        <f aca="false">IF(Y290=1,IF(COUNTIFS(C$5:C290,C290,Y$5:Y290,1)=1,1,0),0)</f>
        <v>0</v>
      </c>
      <c r="AA290" s="30" t="n">
        <f aca="false">IF(AND(E290="budget_probe",ISNUMBER(F290),I290&lt;&gt;Lists!$X$4),1,0)</f>
        <v>0</v>
      </c>
      <c r="AB290" s="30" t="str">
        <f aca="false">IF(AND(B290="office",AA290=1,COUNTIFS(C$5:C290,C290,AA$5:AA290,1)=1),F290,"")</f>
        <v/>
      </c>
      <c r="AC290" s="30" t="str">
        <f aca="false">IF(AND(B290="brand",AA290=1,COUNTIFS(C$5:C290,C290,AA$5:AA290,1)=1),F290,"")</f>
        <v/>
      </c>
      <c r="AD290" s="30" t="str">
        <f aca="false">IF(AND(B290="brand",E290="budget_probe",ISNUMBER(F290),I290=Lists!$X$4),IF(COUNTIFS(C$5:C290,C290,E$5:E290,"budget_probe",I$5:I290,Lists!$X$4)=1,F290,""),"")</f>
        <v/>
      </c>
      <c r="AE290" s="30" t="n">
        <f aca="false">IF(AND(B290="brand",E290="paid",ISNUMBER(F290)),IF(AND(SUMIFS(F$5:F290,B$5:B290,"brand",C$5:C290,C290,E$5:E290,"paid")&gt;=Inputs!$C$44,SUMIFS(F$5:F290,B$5:B290,"brand",C$5:C290,C290,E$5:E290,"paid")-F290&lt;Inputs!$C$44),1,0),0)</f>
        <v>0</v>
      </c>
    </row>
    <row r="291" customFormat="false" ht="15" hidden="false" customHeight="false" outlineLevel="0" collapsed="false">
      <c r="A291" s="102"/>
      <c r="B291" s="103"/>
      <c r="C291" s="103"/>
      <c r="D291" s="103"/>
      <c r="E291" s="103"/>
      <c r="F291" s="103"/>
      <c r="G291" s="103"/>
      <c r="H291" s="103"/>
      <c r="I291" s="103"/>
      <c r="T291" s="30" t="str">
        <f aca="false">IF(C291="","",IF(COUNTIFS(C$5:C291,C291,E$5:E291,E291)=1,1,0))</f>
        <v/>
      </c>
      <c r="U291" s="30" t="n">
        <f aca="false">IF(C291="",0,IF(AND(B291="brand",E291="budget_probe",N(F291)&gt;=Inputs!$C$124,H291="Y"),1,0))</f>
        <v>0</v>
      </c>
      <c r="V291" s="30" t="n">
        <f aca="false">IF(U291=1,IF(COUNTIFS(C$5:C291,C291,U$5:U291,1)=1,1,0),0)</f>
        <v>0</v>
      </c>
      <c r="W291" s="30" t="n">
        <f aca="false">IF(C291="",0,IF(AND(B291="office",E291="budget_probe",N(F291)&gt;=Inputs!$C$139),1,0))</f>
        <v>0</v>
      </c>
      <c r="X291" s="30" t="n">
        <f aca="false">IF(W291=1,IF(COUNTIFS(C$5:C291,C291,W$5:W291,1)=1,1,0),0)</f>
        <v>0</v>
      </c>
      <c r="Y291" s="30" t="n">
        <f aca="false">IF(C291="",0,IF(AND(B291="brand",E291="renewal_answer",TRIM(G291)="yes",N(F291)&gt;=Inputs!$C$135),1,0))</f>
        <v>0</v>
      </c>
      <c r="Z291" s="30" t="n">
        <f aca="false">IF(Y291=1,IF(COUNTIFS(C$5:C291,C291,Y$5:Y291,1)=1,1,0),0)</f>
        <v>0</v>
      </c>
      <c r="AA291" s="30" t="n">
        <f aca="false">IF(AND(E291="budget_probe",ISNUMBER(F291),I291&lt;&gt;Lists!$X$4),1,0)</f>
        <v>0</v>
      </c>
      <c r="AB291" s="30" t="str">
        <f aca="false">IF(AND(B291="office",AA291=1,COUNTIFS(C$5:C291,C291,AA$5:AA291,1)=1),F291,"")</f>
        <v/>
      </c>
      <c r="AC291" s="30" t="str">
        <f aca="false">IF(AND(B291="brand",AA291=1,COUNTIFS(C$5:C291,C291,AA$5:AA291,1)=1),F291,"")</f>
        <v/>
      </c>
      <c r="AD291" s="30" t="str">
        <f aca="false">IF(AND(B291="brand",E291="budget_probe",ISNUMBER(F291),I291=Lists!$X$4),IF(COUNTIFS(C$5:C291,C291,E$5:E291,"budget_probe",I$5:I291,Lists!$X$4)=1,F291,""),"")</f>
        <v/>
      </c>
      <c r="AE291" s="30" t="n">
        <f aca="false">IF(AND(B291="brand",E291="paid",ISNUMBER(F291)),IF(AND(SUMIFS(F$5:F291,B$5:B291,"brand",C$5:C291,C291,E$5:E291,"paid")&gt;=Inputs!$C$44,SUMIFS(F$5:F291,B$5:B291,"brand",C$5:C291,C291,E$5:E291,"paid")-F291&lt;Inputs!$C$44),1,0),0)</f>
        <v>0</v>
      </c>
    </row>
    <row r="292" customFormat="false" ht="15" hidden="false" customHeight="false" outlineLevel="0" collapsed="false">
      <c r="A292" s="102"/>
      <c r="B292" s="103"/>
      <c r="C292" s="103"/>
      <c r="D292" s="103"/>
      <c r="E292" s="103"/>
      <c r="F292" s="103"/>
      <c r="G292" s="103"/>
      <c r="H292" s="103"/>
      <c r="I292" s="103"/>
      <c r="T292" s="30" t="str">
        <f aca="false">IF(C292="","",IF(COUNTIFS(C$5:C292,C292,E$5:E292,E292)=1,1,0))</f>
        <v/>
      </c>
      <c r="U292" s="30" t="n">
        <f aca="false">IF(C292="",0,IF(AND(B292="brand",E292="budget_probe",N(F292)&gt;=Inputs!$C$124,H292="Y"),1,0))</f>
        <v>0</v>
      </c>
      <c r="V292" s="30" t="n">
        <f aca="false">IF(U292=1,IF(COUNTIFS(C$5:C292,C292,U$5:U292,1)=1,1,0),0)</f>
        <v>0</v>
      </c>
      <c r="W292" s="30" t="n">
        <f aca="false">IF(C292="",0,IF(AND(B292="office",E292="budget_probe",N(F292)&gt;=Inputs!$C$139),1,0))</f>
        <v>0</v>
      </c>
      <c r="X292" s="30" t="n">
        <f aca="false">IF(W292=1,IF(COUNTIFS(C$5:C292,C292,W$5:W292,1)=1,1,0),0)</f>
        <v>0</v>
      </c>
      <c r="Y292" s="30" t="n">
        <f aca="false">IF(C292="",0,IF(AND(B292="brand",E292="renewal_answer",TRIM(G292)="yes",N(F292)&gt;=Inputs!$C$135),1,0))</f>
        <v>0</v>
      </c>
      <c r="Z292" s="30" t="n">
        <f aca="false">IF(Y292=1,IF(COUNTIFS(C$5:C292,C292,Y$5:Y292,1)=1,1,0),0)</f>
        <v>0</v>
      </c>
      <c r="AA292" s="30" t="n">
        <f aca="false">IF(AND(E292="budget_probe",ISNUMBER(F292),I292&lt;&gt;Lists!$X$4),1,0)</f>
        <v>0</v>
      </c>
      <c r="AB292" s="30" t="str">
        <f aca="false">IF(AND(B292="office",AA292=1,COUNTIFS(C$5:C292,C292,AA$5:AA292,1)=1),F292,"")</f>
        <v/>
      </c>
      <c r="AC292" s="30" t="str">
        <f aca="false">IF(AND(B292="brand",AA292=1,COUNTIFS(C$5:C292,C292,AA$5:AA292,1)=1),F292,"")</f>
        <v/>
      </c>
      <c r="AD292" s="30" t="str">
        <f aca="false">IF(AND(B292="brand",E292="budget_probe",ISNUMBER(F292),I292=Lists!$X$4),IF(COUNTIFS(C$5:C292,C292,E$5:E292,"budget_probe",I$5:I292,Lists!$X$4)=1,F292,""),"")</f>
        <v/>
      </c>
      <c r="AE292" s="30" t="n">
        <f aca="false">IF(AND(B292="brand",E292="paid",ISNUMBER(F292)),IF(AND(SUMIFS(F$5:F292,B$5:B292,"brand",C$5:C292,C292,E$5:E292,"paid")&gt;=Inputs!$C$44,SUMIFS(F$5:F292,B$5:B292,"brand",C$5:C292,C292,E$5:E292,"paid")-F292&lt;Inputs!$C$44),1,0),0)</f>
        <v>0</v>
      </c>
    </row>
    <row r="293" customFormat="false" ht="15" hidden="false" customHeight="false" outlineLevel="0" collapsed="false">
      <c r="A293" s="102"/>
      <c r="B293" s="103"/>
      <c r="C293" s="103"/>
      <c r="D293" s="103"/>
      <c r="E293" s="103"/>
      <c r="F293" s="103"/>
      <c r="G293" s="103"/>
      <c r="H293" s="103"/>
      <c r="I293" s="103"/>
      <c r="T293" s="30" t="str">
        <f aca="false">IF(C293="","",IF(COUNTIFS(C$5:C293,C293,E$5:E293,E293)=1,1,0))</f>
        <v/>
      </c>
      <c r="U293" s="30" t="n">
        <f aca="false">IF(C293="",0,IF(AND(B293="brand",E293="budget_probe",N(F293)&gt;=Inputs!$C$124,H293="Y"),1,0))</f>
        <v>0</v>
      </c>
      <c r="V293" s="30" t="n">
        <f aca="false">IF(U293=1,IF(COUNTIFS(C$5:C293,C293,U$5:U293,1)=1,1,0),0)</f>
        <v>0</v>
      </c>
      <c r="W293" s="30" t="n">
        <f aca="false">IF(C293="",0,IF(AND(B293="office",E293="budget_probe",N(F293)&gt;=Inputs!$C$139),1,0))</f>
        <v>0</v>
      </c>
      <c r="X293" s="30" t="n">
        <f aca="false">IF(W293=1,IF(COUNTIFS(C$5:C293,C293,W$5:W293,1)=1,1,0),0)</f>
        <v>0</v>
      </c>
      <c r="Y293" s="30" t="n">
        <f aca="false">IF(C293="",0,IF(AND(B293="brand",E293="renewal_answer",TRIM(G293)="yes",N(F293)&gt;=Inputs!$C$135),1,0))</f>
        <v>0</v>
      </c>
      <c r="Z293" s="30" t="n">
        <f aca="false">IF(Y293=1,IF(COUNTIFS(C$5:C293,C293,Y$5:Y293,1)=1,1,0),0)</f>
        <v>0</v>
      </c>
      <c r="AA293" s="30" t="n">
        <f aca="false">IF(AND(E293="budget_probe",ISNUMBER(F293),I293&lt;&gt;Lists!$X$4),1,0)</f>
        <v>0</v>
      </c>
      <c r="AB293" s="30" t="str">
        <f aca="false">IF(AND(B293="office",AA293=1,COUNTIFS(C$5:C293,C293,AA$5:AA293,1)=1),F293,"")</f>
        <v/>
      </c>
      <c r="AC293" s="30" t="str">
        <f aca="false">IF(AND(B293="brand",AA293=1,COUNTIFS(C$5:C293,C293,AA$5:AA293,1)=1),F293,"")</f>
        <v/>
      </c>
      <c r="AD293" s="30" t="str">
        <f aca="false">IF(AND(B293="brand",E293="budget_probe",ISNUMBER(F293),I293=Lists!$X$4),IF(COUNTIFS(C$5:C293,C293,E$5:E293,"budget_probe",I$5:I293,Lists!$X$4)=1,F293,""),"")</f>
        <v/>
      </c>
      <c r="AE293" s="30" t="n">
        <f aca="false">IF(AND(B293="brand",E293="paid",ISNUMBER(F293)),IF(AND(SUMIFS(F$5:F293,B$5:B293,"brand",C$5:C293,C293,E$5:E293,"paid")&gt;=Inputs!$C$44,SUMIFS(F$5:F293,B$5:B293,"brand",C$5:C293,C293,E$5:E293,"paid")-F293&lt;Inputs!$C$44),1,0),0)</f>
        <v>0</v>
      </c>
    </row>
    <row r="294" customFormat="false" ht="15" hidden="false" customHeight="false" outlineLevel="0" collapsed="false">
      <c r="A294" s="102"/>
      <c r="B294" s="103"/>
      <c r="C294" s="103"/>
      <c r="D294" s="103"/>
      <c r="E294" s="103"/>
      <c r="F294" s="103"/>
      <c r="G294" s="103"/>
      <c r="H294" s="103"/>
      <c r="I294" s="103"/>
      <c r="T294" s="30" t="str">
        <f aca="false">IF(C294="","",IF(COUNTIFS(C$5:C294,C294,E$5:E294,E294)=1,1,0))</f>
        <v/>
      </c>
      <c r="U294" s="30" t="n">
        <f aca="false">IF(C294="",0,IF(AND(B294="brand",E294="budget_probe",N(F294)&gt;=Inputs!$C$124,H294="Y"),1,0))</f>
        <v>0</v>
      </c>
      <c r="V294" s="30" t="n">
        <f aca="false">IF(U294=1,IF(COUNTIFS(C$5:C294,C294,U$5:U294,1)=1,1,0),0)</f>
        <v>0</v>
      </c>
      <c r="W294" s="30" t="n">
        <f aca="false">IF(C294="",0,IF(AND(B294="office",E294="budget_probe",N(F294)&gt;=Inputs!$C$139),1,0))</f>
        <v>0</v>
      </c>
      <c r="X294" s="30" t="n">
        <f aca="false">IF(W294=1,IF(COUNTIFS(C$5:C294,C294,W$5:W294,1)=1,1,0),0)</f>
        <v>0</v>
      </c>
      <c r="Y294" s="30" t="n">
        <f aca="false">IF(C294="",0,IF(AND(B294="brand",E294="renewal_answer",TRIM(G294)="yes",N(F294)&gt;=Inputs!$C$135),1,0))</f>
        <v>0</v>
      </c>
      <c r="Z294" s="30" t="n">
        <f aca="false">IF(Y294=1,IF(COUNTIFS(C$5:C294,C294,Y$5:Y294,1)=1,1,0),0)</f>
        <v>0</v>
      </c>
      <c r="AA294" s="30" t="n">
        <f aca="false">IF(AND(E294="budget_probe",ISNUMBER(F294),I294&lt;&gt;Lists!$X$4),1,0)</f>
        <v>0</v>
      </c>
      <c r="AB294" s="30" t="str">
        <f aca="false">IF(AND(B294="office",AA294=1,COUNTIFS(C$5:C294,C294,AA$5:AA294,1)=1),F294,"")</f>
        <v/>
      </c>
      <c r="AC294" s="30" t="str">
        <f aca="false">IF(AND(B294="brand",AA294=1,COUNTIFS(C$5:C294,C294,AA$5:AA294,1)=1),F294,"")</f>
        <v/>
      </c>
      <c r="AD294" s="30" t="str">
        <f aca="false">IF(AND(B294="brand",E294="budget_probe",ISNUMBER(F294),I294=Lists!$X$4),IF(COUNTIFS(C$5:C294,C294,E$5:E294,"budget_probe",I$5:I294,Lists!$X$4)=1,F294,""),"")</f>
        <v/>
      </c>
      <c r="AE294" s="30" t="n">
        <f aca="false">IF(AND(B294="brand",E294="paid",ISNUMBER(F294)),IF(AND(SUMIFS(F$5:F294,B$5:B294,"brand",C$5:C294,C294,E$5:E294,"paid")&gt;=Inputs!$C$44,SUMIFS(F$5:F294,B$5:B294,"brand",C$5:C294,C294,E$5:E294,"paid")-F294&lt;Inputs!$C$44),1,0),0)</f>
        <v>0</v>
      </c>
    </row>
    <row r="295" customFormat="false" ht="15" hidden="false" customHeight="false" outlineLevel="0" collapsed="false">
      <c r="A295" s="102"/>
      <c r="B295" s="103"/>
      <c r="C295" s="103"/>
      <c r="D295" s="103"/>
      <c r="E295" s="103"/>
      <c r="F295" s="103"/>
      <c r="G295" s="103"/>
      <c r="H295" s="103"/>
      <c r="I295" s="103"/>
      <c r="T295" s="30" t="str">
        <f aca="false">IF(C295="","",IF(COUNTIFS(C$5:C295,C295,E$5:E295,E295)=1,1,0))</f>
        <v/>
      </c>
      <c r="U295" s="30" t="n">
        <f aca="false">IF(C295="",0,IF(AND(B295="brand",E295="budget_probe",N(F295)&gt;=Inputs!$C$124,H295="Y"),1,0))</f>
        <v>0</v>
      </c>
      <c r="V295" s="30" t="n">
        <f aca="false">IF(U295=1,IF(COUNTIFS(C$5:C295,C295,U$5:U295,1)=1,1,0),0)</f>
        <v>0</v>
      </c>
      <c r="W295" s="30" t="n">
        <f aca="false">IF(C295="",0,IF(AND(B295="office",E295="budget_probe",N(F295)&gt;=Inputs!$C$139),1,0))</f>
        <v>0</v>
      </c>
      <c r="X295" s="30" t="n">
        <f aca="false">IF(W295=1,IF(COUNTIFS(C$5:C295,C295,W$5:W295,1)=1,1,0),0)</f>
        <v>0</v>
      </c>
      <c r="Y295" s="30" t="n">
        <f aca="false">IF(C295="",0,IF(AND(B295="brand",E295="renewal_answer",TRIM(G295)="yes",N(F295)&gt;=Inputs!$C$135),1,0))</f>
        <v>0</v>
      </c>
      <c r="Z295" s="30" t="n">
        <f aca="false">IF(Y295=1,IF(COUNTIFS(C$5:C295,C295,Y$5:Y295,1)=1,1,0),0)</f>
        <v>0</v>
      </c>
      <c r="AA295" s="30" t="n">
        <f aca="false">IF(AND(E295="budget_probe",ISNUMBER(F295),I295&lt;&gt;Lists!$X$4),1,0)</f>
        <v>0</v>
      </c>
      <c r="AB295" s="30" t="str">
        <f aca="false">IF(AND(B295="office",AA295=1,COUNTIFS(C$5:C295,C295,AA$5:AA295,1)=1),F295,"")</f>
        <v/>
      </c>
      <c r="AC295" s="30" t="str">
        <f aca="false">IF(AND(B295="brand",AA295=1,COUNTIFS(C$5:C295,C295,AA$5:AA295,1)=1),F295,"")</f>
        <v/>
      </c>
      <c r="AD295" s="30" t="str">
        <f aca="false">IF(AND(B295="brand",E295="budget_probe",ISNUMBER(F295),I295=Lists!$X$4),IF(COUNTIFS(C$5:C295,C295,E$5:E295,"budget_probe",I$5:I295,Lists!$X$4)=1,F295,""),"")</f>
        <v/>
      </c>
      <c r="AE295" s="30" t="n">
        <f aca="false">IF(AND(B295="brand",E295="paid",ISNUMBER(F295)),IF(AND(SUMIFS(F$5:F295,B$5:B295,"brand",C$5:C295,C295,E$5:E295,"paid")&gt;=Inputs!$C$44,SUMIFS(F$5:F295,B$5:B295,"brand",C$5:C295,C295,E$5:E295,"paid")-F295&lt;Inputs!$C$44),1,0),0)</f>
        <v>0</v>
      </c>
    </row>
    <row r="296" customFormat="false" ht="15" hidden="false" customHeight="false" outlineLevel="0" collapsed="false">
      <c r="A296" s="102"/>
      <c r="B296" s="103"/>
      <c r="C296" s="103"/>
      <c r="D296" s="103"/>
      <c r="E296" s="103"/>
      <c r="F296" s="103"/>
      <c r="G296" s="103"/>
      <c r="H296" s="103"/>
      <c r="I296" s="103"/>
      <c r="T296" s="30" t="str">
        <f aca="false">IF(C296="","",IF(COUNTIFS(C$5:C296,C296,E$5:E296,E296)=1,1,0))</f>
        <v/>
      </c>
      <c r="U296" s="30" t="n">
        <f aca="false">IF(C296="",0,IF(AND(B296="brand",E296="budget_probe",N(F296)&gt;=Inputs!$C$124,H296="Y"),1,0))</f>
        <v>0</v>
      </c>
      <c r="V296" s="30" t="n">
        <f aca="false">IF(U296=1,IF(COUNTIFS(C$5:C296,C296,U$5:U296,1)=1,1,0),0)</f>
        <v>0</v>
      </c>
      <c r="W296" s="30" t="n">
        <f aca="false">IF(C296="",0,IF(AND(B296="office",E296="budget_probe",N(F296)&gt;=Inputs!$C$139),1,0))</f>
        <v>0</v>
      </c>
      <c r="X296" s="30" t="n">
        <f aca="false">IF(W296=1,IF(COUNTIFS(C$5:C296,C296,W$5:W296,1)=1,1,0),0)</f>
        <v>0</v>
      </c>
      <c r="Y296" s="30" t="n">
        <f aca="false">IF(C296="",0,IF(AND(B296="brand",E296="renewal_answer",TRIM(G296)="yes",N(F296)&gt;=Inputs!$C$135),1,0))</f>
        <v>0</v>
      </c>
      <c r="Z296" s="30" t="n">
        <f aca="false">IF(Y296=1,IF(COUNTIFS(C$5:C296,C296,Y$5:Y296,1)=1,1,0),0)</f>
        <v>0</v>
      </c>
      <c r="AA296" s="30" t="n">
        <f aca="false">IF(AND(E296="budget_probe",ISNUMBER(F296),I296&lt;&gt;Lists!$X$4),1,0)</f>
        <v>0</v>
      </c>
      <c r="AB296" s="30" t="str">
        <f aca="false">IF(AND(B296="office",AA296=1,COUNTIFS(C$5:C296,C296,AA$5:AA296,1)=1),F296,"")</f>
        <v/>
      </c>
      <c r="AC296" s="30" t="str">
        <f aca="false">IF(AND(B296="brand",AA296=1,COUNTIFS(C$5:C296,C296,AA$5:AA296,1)=1),F296,"")</f>
        <v/>
      </c>
      <c r="AD296" s="30" t="str">
        <f aca="false">IF(AND(B296="brand",E296="budget_probe",ISNUMBER(F296),I296=Lists!$X$4),IF(COUNTIFS(C$5:C296,C296,E$5:E296,"budget_probe",I$5:I296,Lists!$X$4)=1,F296,""),"")</f>
        <v/>
      </c>
      <c r="AE296" s="30" t="n">
        <f aca="false">IF(AND(B296="brand",E296="paid",ISNUMBER(F296)),IF(AND(SUMIFS(F$5:F296,B$5:B296,"brand",C$5:C296,C296,E$5:E296,"paid")&gt;=Inputs!$C$44,SUMIFS(F$5:F296,B$5:B296,"brand",C$5:C296,C296,E$5:E296,"paid")-F296&lt;Inputs!$C$44),1,0),0)</f>
        <v>0</v>
      </c>
    </row>
    <row r="297" customFormat="false" ht="15" hidden="false" customHeight="false" outlineLevel="0" collapsed="false">
      <c r="A297" s="102"/>
      <c r="B297" s="103"/>
      <c r="C297" s="103"/>
      <c r="D297" s="103"/>
      <c r="E297" s="103"/>
      <c r="F297" s="103"/>
      <c r="G297" s="103"/>
      <c r="H297" s="103"/>
      <c r="I297" s="103"/>
      <c r="T297" s="30" t="str">
        <f aca="false">IF(C297="","",IF(COUNTIFS(C$5:C297,C297,E$5:E297,E297)=1,1,0))</f>
        <v/>
      </c>
      <c r="U297" s="30" t="n">
        <f aca="false">IF(C297="",0,IF(AND(B297="brand",E297="budget_probe",N(F297)&gt;=Inputs!$C$124,H297="Y"),1,0))</f>
        <v>0</v>
      </c>
      <c r="V297" s="30" t="n">
        <f aca="false">IF(U297=1,IF(COUNTIFS(C$5:C297,C297,U$5:U297,1)=1,1,0),0)</f>
        <v>0</v>
      </c>
      <c r="W297" s="30" t="n">
        <f aca="false">IF(C297="",0,IF(AND(B297="office",E297="budget_probe",N(F297)&gt;=Inputs!$C$139),1,0))</f>
        <v>0</v>
      </c>
      <c r="X297" s="30" t="n">
        <f aca="false">IF(W297=1,IF(COUNTIFS(C$5:C297,C297,W$5:W297,1)=1,1,0),0)</f>
        <v>0</v>
      </c>
      <c r="Y297" s="30" t="n">
        <f aca="false">IF(C297="",0,IF(AND(B297="brand",E297="renewal_answer",TRIM(G297)="yes",N(F297)&gt;=Inputs!$C$135),1,0))</f>
        <v>0</v>
      </c>
      <c r="Z297" s="30" t="n">
        <f aca="false">IF(Y297=1,IF(COUNTIFS(C$5:C297,C297,Y$5:Y297,1)=1,1,0),0)</f>
        <v>0</v>
      </c>
      <c r="AA297" s="30" t="n">
        <f aca="false">IF(AND(E297="budget_probe",ISNUMBER(F297),I297&lt;&gt;Lists!$X$4),1,0)</f>
        <v>0</v>
      </c>
      <c r="AB297" s="30" t="str">
        <f aca="false">IF(AND(B297="office",AA297=1,COUNTIFS(C$5:C297,C297,AA$5:AA297,1)=1),F297,"")</f>
        <v/>
      </c>
      <c r="AC297" s="30" t="str">
        <f aca="false">IF(AND(B297="brand",AA297=1,COUNTIFS(C$5:C297,C297,AA$5:AA297,1)=1),F297,"")</f>
        <v/>
      </c>
      <c r="AD297" s="30" t="str">
        <f aca="false">IF(AND(B297="brand",E297="budget_probe",ISNUMBER(F297),I297=Lists!$X$4),IF(COUNTIFS(C$5:C297,C297,E$5:E297,"budget_probe",I$5:I297,Lists!$X$4)=1,F297,""),"")</f>
        <v/>
      </c>
      <c r="AE297" s="30" t="n">
        <f aca="false">IF(AND(B297="brand",E297="paid",ISNUMBER(F297)),IF(AND(SUMIFS(F$5:F297,B$5:B297,"brand",C$5:C297,C297,E$5:E297,"paid")&gt;=Inputs!$C$44,SUMIFS(F$5:F297,B$5:B297,"brand",C$5:C297,C297,E$5:E297,"paid")-F297&lt;Inputs!$C$44),1,0),0)</f>
        <v>0</v>
      </c>
    </row>
    <row r="298" customFormat="false" ht="15" hidden="false" customHeight="false" outlineLevel="0" collapsed="false">
      <c r="A298" s="102"/>
      <c r="B298" s="103"/>
      <c r="C298" s="103"/>
      <c r="D298" s="103"/>
      <c r="E298" s="103"/>
      <c r="F298" s="103"/>
      <c r="G298" s="103"/>
      <c r="H298" s="103"/>
      <c r="I298" s="103"/>
      <c r="T298" s="30" t="str">
        <f aca="false">IF(C298="","",IF(COUNTIFS(C$5:C298,C298,E$5:E298,E298)=1,1,0))</f>
        <v/>
      </c>
      <c r="U298" s="30" t="n">
        <f aca="false">IF(C298="",0,IF(AND(B298="brand",E298="budget_probe",N(F298)&gt;=Inputs!$C$124,H298="Y"),1,0))</f>
        <v>0</v>
      </c>
      <c r="V298" s="30" t="n">
        <f aca="false">IF(U298=1,IF(COUNTIFS(C$5:C298,C298,U$5:U298,1)=1,1,0),0)</f>
        <v>0</v>
      </c>
      <c r="W298" s="30" t="n">
        <f aca="false">IF(C298="",0,IF(AND(B298="office",E298="budget_probe",N(F298)&gt;=Inputs!$C$139),1,0))</f>
        <v>0</v>
      </c>
      <c r="X298" s="30" t="n">
        <f aca="false">IF(W298=1,IF(COUNTIFS(C$5:C298,C298,W$5:W298,1)=1,1,0),0)</f>
        <v>0</v>
      </c>
      <c r="Y298" s="30" t="n">
        <f aca="false">IF(C298="",0,IF(AND(B298="brand",E298="renewal_answer",TRIM(G298)="yes",N(F298)&gt;=Inputs!$C$135),1,0))</f>
        <v>0</v>
      </c>
      <c r="Z298" s="30" t="n">
        <f aca="false">IF(Y298=1,IF(COUNTIFS(C$5:C298,C298,Y$5:Y298,1)=1,1,0),0)</f>
        <v>0</v>
      </c>
      <c r="AA298" s="30" t="n">
        <f aca="false">IF(AND(E298="budget_probe",ISNUMBER(F298),I298&lt;&gt;Lists!$X$4),1,0)</f>
        <v>0</v>
      </c>
      <c r="AB298" s="30" t="str">
        <f aca="false">IF(AND(B298="office",AA298=1,COUNTIFS(C$5:C298,C298,AA$5:AA298,1)=1),F298,"")</f>
        <v/>
      </c>
      <c r="AC298" s="30" t="str">
        <f aca="false">IF(AND(B298="brand",AA298=1,COUNTIFS(C$5:C298,C298,AA$5:AA298,1)=1),F298,"")</f>
        <v/>
      </c>
      <c r="AD298" s="30" t="str">
        <f aca="false">IF(AND(B298="brand",E298="budget_probe",ISNUMBER(F298),I298=Lists!$X$4),IF(COUNTIFS(C$5:C298,C298,E$5:E298,"budget_probe",I$5:I298,Lists!$X$4)=1,F298,""),"")</f>
        <v/>
      </c>
      <c r="AE298" s="30" t="n">
        <f aca="false">IF(AND(B298="brand",E298="paid",ISNUMBER(F298)),IF(AND(SUMIFS(F$5:F298,B$5:B298,"brand",C$5:C298,C298,E$5:E298,"paid")&gt;=Inputs!$C$44,SUMIFS(F$5:F298,B$5:B298,"brand",C$5:C298,C298,E$5:E298,"paid")-F298&lt;Inputs!$C$44),1,0),0)</f>
        <v>0</v>
      </c>
    </row>
    <row r="299" customFormat="false" ht="15" hidden="false" customHeight="false" outlineLevel="0" collapsed="false">
      <c r="A299" s="102"/>
      <c r="B299" s="103"/>
      <c r="C299" s="103"/>
      <c r="D299" s="103"/>
      <c r="E299" s="103"/>
      <c r="F299" s="103"/>
      <c r="G299" s="103"/>
      <c r="H299" s="103"/>
      <c r="I299" s="103"/>
      <c r="T299" s="30" t="str">
        <f aca="false">IF(C299="","",IF(COUNTIFS(C$5:C299,C299,E$5:E299,E299)=1,1,0))</f>
        <v/>
      </c>
      <c r="U299" s="30" t="n">
        <f aca="false">IF(C299="",0,IF(AND(B299="brand",E299="budget_probe",N(F299)&gt;=Inputs!$C$124,H299="Y"),1,0))</f>
        <v>0</v>
      </c>
      <c r="V299" s="30" t="n">
        <f aca="false">IF(U299=1,IF(COUNTIFS(C$5:C299,C299,U$5:U299,1)=1,1,0),0)</f>
        <v>0</v>
      </c>
      <c r="W299" s="30" t="n">
        <f aca="false">IF(C299="",0,IF(AND(B299="office",E299="budget_probe",N(F299)&gt;=Inputs!$C$139),1,0))</f>
        <v>0</v>
      </c>
      <c r="X299" s="30" t="n">
        <f aca="false">IF(W299=1,IF(COUNTIFS(C$5:C299,C299,W$5:W299,1)=1,1,0),0)</f>
        <v>0</v>
      </c>
      <c r="Y299" s="30" t="n">
        <f aca="false">IF(C299="",0,IF(AND(B299="brand",E299="renewal_answer",TRIM(G299)="yes",N(F299)&gt;=Inputs!$C$135),1,0))</f>
        <v>0</v>
      </c>
      <c r="Z299" s="30" t="n">
        <f aca="false">IF(Y299=1,IF(COUNTIFS(C$5:C299,C299,Y$5:Y299,1)=1,1,0),0)</f>
        <v>0</v>
      </c>
      <c r="AA299" s="30" t="n">
        <f aca="false">IF(AND(E299="budget_probe",ISNUMBER(F299),I299&lt;&gt;Lists!$X$4),1,0)</f>
        <v>0</v>
      </c>
      <c r="AB299" s="30" t="str">
        <f aca="false">IF(AND(B299="office",AA299=1,COUNTIFS(C$5:C299,C299,AA$5:AA299,1)=1),F299,"")</f>
        <v/>
      </c>
      <c r="AC299" s="30" t="str">
        <f aca="false">IF(AND(B299="brand",AA299=1,COUNTIFS(C$5:C299,C299,AA$5:AA299,1)=1),F299,"")</f>
        <v/>
      </c>
      <c r="AD299" s="30" t="str">
        <f aca="false">IF(AND(B299="brand",E299="budget_probe",ISNUMBER(F299),I299=Lists!$X$4),IF(COUNTIFS(C$5:C299,C299,E$5:E299,"budget_probe",I$5:I299,Lists!$X$4)=1,F299,""),"")</f>
        <v/>
      </c>
      <c r="AE299" s="30" t="n">
        <f aca="false">IF(AND(B299="brand",E299="paid",ISNUMBER(F299)),IF(AND(SUMIFS(F$5:F299,B$5:B299,"brand",C$5:C299,C299,E$5:E299,"paid")&gt;=Inputs!$C$44,SUMIFS(F$5:F299,B$5:B299,"brand",C$5:C299,C299,E$5:E299,"paid")-F299&lt;Inputs!$C$44),1,0),0)</f>
        <v>0</v>
      </c>
    </row>
    <row r="300" customFormat="false" ht="15" hidden="false" customHeight="false" outlineLevel="0" collapsed="false">
      <c r="A300" s="102"/>
      <c r="B300" s="103"/>
      <c r="C300" s="103"/>
      <c r="D300" s="103"/>
      <c r="E300" s="103"/>
      <c r="F300" s="103"/>
      <c r="G300" s="103"/>
      <c r="H300" s="103"/>
      <c r="I300" s="103"/>
      <c r="T300" s="30" t="str">
        <f aca="false">IF(C300="","",IF(COUNTIFS(C$5:C300,C300,E$5:E300,E300)=1,1,0))</f>
        <v/>
      </c>
      <c r="U300" s="30" t="n">
        <f aca="false">IF(C300="",0,IF(AND(B300="brand",E300="budget_probe",N(F300)&gt;=Inputs!$C$124,H300="Y"),1,0))</f>
        <v>0</v>
      </c>
      <c r="V300" s="30" t="n">
        <f aca="false">IF(U300=1,IF(COUNTIFS(C$5:C300,C300,U$5:U300,1)=1,1,0),0)</f>
        <v>0</v>
      </c>
      <c r="W300" s="30" t="n">
        <f aca="false">IF(C300="",0,IF(AND(B300="office",E300="budget_probe",N(F300)&gt;=Inputs!$C$139),1,0))</f>
        <v>0</v>
      </c>
      <c r="X300" s="30" t="n">
        <f aca="false">IF(W300=1,IF(COUNTIFS(C$5:C300,C300,W$5:W300,1)=1,1,0),0)</f>
        <v>0</v>
      </c>
      <c r="Y300" s="30" t="n">
        <f aca="false">IF(C300="",0,IF(AND(B300="brand",E300="renewal_answer",TRIM(G300)="yes",N(F300)&gt;=Inputs!$C$135),1,0))</f>
        <v>0</v>
      </c>
      <c r="Z300" s="30" t="n">
        <f aca="false">IF(Y300=1,IF(COUNTIFS(C$5:C300,C300,Y$5:Y300,1)=1,1,0),0)</f>
        <v>0</v>
      </c>
      <c r="AA300" s="30" t="n">
        <f aca="false">IF(AND(E300="budget_probe",ISNUMBER(F300),I300&lt;&gt;Lists!$X$4),1,0)</f>
        <v>0</v>
      </c>
      <c r="AB300" s="30" t="str">
        <f aca="false">IF(AND(B300="office",AA300=1,COUNTIFS(C$5:C300,C300,AA$5:AA300,1)=1),F300,"")</f>
        <v/>
      </c>
      <c r="AC300" s="30" t="str">
        <f aca="false">IF(AND(B300="brand",AA300=1,COUNTIFS(C$5:C300,C300,AA$5:AA300,1)=1),F300,"")</f>
        <v/>
      </c>
      <c r="AD300" s="30" t="str">
        <f aca="false">IF(AND(B300="brand",E300="budget_probe",ISNUMBER(F300),I300=Lists!$X$4),IF(COUNTIFS(C$5:C300,C300,E$5:E300,"budget_probe",I$5:I300,Lists!$X$4)=1,F300,""),"")</f>
        <v/>
      </c>
      <c r="AE300" s="30" t="n">
        <f aca="false">IF(AND(B300="brand",E300="paid",ISNUMBER(F300)),IF(AND(SUMIFS(F$5:F300,B$5:B300,"brand",C$5:C300,C300,E$5:E300,"paid")&gt;=Inputs!$C$44,SUMIFS(F$5:F300,B$5:B300,"brand",C$5:C300,C300,E$5:E300,"paid")-F300&lt;Inputs!$C$44),1,0),0)</f>
        <v>0</v>
      </c>
    </row>
    <row r="301" customFormat="false" ht="15" hidden="false" customHeight="false" outlineLevel="0" collapsed="false">
      <c r="A301" s="102"/>
      <c r="B301" s="103"/>
      <c r="C301" s="103"/>
      <c r="D301" s="103"/>
      <c r="E301" s="103"/>
      <c r="F301" s="103"/>
      <c r="G301" s="103"/>
      <c r="H301" s="103"/>
      <c r="I301" s="103"/>
      <c r="T301" s="30" t="str">
        <f aca="false">IF(C301="","",IF(COUNTIFS(C$5:C301,C301,E$5:E301,E301)=1,1,0))</f>
        <v/>
      </c>
      <c r="U301" s="30" t="n">
        <f aca="false">IF(C301="",0,IF(AND(B301="brand",E301="budget_probe",N(F301)&gt;=Inputs!$C$124,H301="Y"),1,0))</f>
        <v>0</v>
      </c>
      <c r="V301" s="30" t="n">
        <f aca="false">IF(U301=1,IF(COUNTIFS(C$5:C301,C301,U$5:U301,1)=1,1,0),0)</f>
        <v>0</v>
      </c>
      <c r="W301" s="30" t="n">
        <f aca="false">IF(C301="",0,IF(AND(B301="office",E301="budget_probe",N(F301)&gt;=Inputs!$C$139),1,0))</f>
        <v>0</v>
      </c>
      <c r="X301" s="30" t="n">
        <f aca="false">IF(W301=1,IF(COUNTIFS(C$5:C301,C301,W$5:W301,1)=1,1,0),0)</f>
        <v>0</v>
      </c>
      <c r="Y301" s="30" t="n">
        <f aca="false">IF(C301="",0,IF(AND(B301="brand",E301="renewal_answer",TRIM(G301)="yes",N(F301)&gt;=Inputs!$C$135),1,0))</f>
        <v>0</v>
      </c>
      <c r="Z301" s="30" t="n">
        <f aca="false">IF(Y301=1,IF(COUNTIFS(C$5:C301,C301,Y$5:Y301,1)=1,1,0),0)</f>
        <v>0</v>
      </c>
      <c r="AA301" s="30" t="n">
        <f aca="false">IF(AND(E301="budget_probe",ISNUMBER(F301),I301&lt;&gt;Lists!$X$4),1,0)</f>
        <v>0</v>
      </c>
      <c r="AB301" s="30" t="str">
        <f aca="false">IF(AND(B301="office",AA301=1,COUNTIFS(C$5:C301,C301,AA$5:AA301,1)=1),F301,"")</f>
        <v/>
      </c>
      <c r="AC301" s="30" t="str">
        <f aca="false">IF(AND(B301="brand",AA301=1,COUNTIFS(C$5:C301,C301,AA$5:AA301,1)=1),F301,"")</f>
        <v/>
      </c>
      <c r="AD301" s="30" t="str">
        <f aca="false">IF(AND(B301="brand",E301="budget_probe",ISNUMBER(F301),I301=Lists!$X$4),IF(COUNTIFS(C$5:C301,C301,E$5:E301,"budget_probe",I$5:I301,Lists!$X$4)=1,F301,""),"")</f>
        <v/>
      </c>
      <c r="AE301" s="30" t="n">
        <f aca="false">IF(AND(B301="brand",E301="paid",ISNUMBER(F301)),IF(AND(SUMIFS(F$5:F301,B$5:B301,"brand",C$5:C301,C301,E$5:E301,"paid")&gt;=Inputs!$C$44,SUMIFS(F$5:F301,B$5:B301,"brand",C$5:C301,C301,E$5:E301,"paid")-F301&lt;Inputs!$C$44),1,0),0)</f>
        <v>0</v>
      </c>
    </row>
    <row r="302" customFormat="false" ht="15" hidden="false" customHeight="false" outlineLevel="0" collapsed="false">
      <c r="A302" s="102"/>
      <c r="B302" s="103"/>
      <c r="C302" s="103"/>
      <c r="D302" s="103"/>
      <c r="E302" s="103"/>
      <c r="F302" s="103"/>
      <c r="G302" s="103"/>
      <c r="H302" s="103"/>
      <c r="I302" s="103"/>
      <c r="T302" s="30" t="str">
        <f aca="false">IF(C302="","",IF(COUNTIFS(C$5:C302,C302,E$5:E302,E302)=1,1,0))</f>
        <v/>
      </c>
      <c r="U302" s="30" t="n">
        <f aca="false">IF(C302="",0,IF(AND(B302="brand",E302="budget_probe",N(F302)&gt;=Inputs!$C$124,H302="Y"),1,0))</f>
        <v>0</v>
      </c>
      <c r="V302" s="30" t="n">
        <f aca="false">IF(U302=1,IF(COUNTIFS(C$5:C302,C302,U$5:U302,1)=1,1,0),0)</f>
        <v>0</v>
      </c>
      <c r="W302" s="30" t="n">
        <f aca="false">IF(C302="",0,IF(AND(B302="office",E302="budget_probe",N(F302)&gt;=Inputs!$C$139),1,0))</f>
        <v>0</v>
      </c>
      <c r="X302" s="30" t="n">
        <f aca="false">IF(W302=1,IF(COUNTIFS(C$5:C302,C302,W$5:W302,1)=1,1,0),0)</f>
        <v>0</v>
      </c>
      <c r="Y302" s="30" t="n">
        <f aca="false">IF(C302="",0,IF(AND(B302="brand",E302="renewal_answer",TRIM(G302)="yes",N(F302)&gt;=Inputs!$C$135),1,0))</f>
        <v>0</v>
      </c>
      <c r="Z302" s="30" t="n">
        <f aca="false">IF(Y302=1,IF(COUNTIFS(C$5:C302,C302,Y$5:Y302,1)=1,1,0),0)</f>
        <v>0</v>
      </c>
      <c r="AA302" s="30" t="n">
        <f aca="false">IF(AND(E302="budget_probe",ISNUMBER(F302),I302&lt;&gt;Lists!$X$4),1,0)</f>
        <v>0</v>
      </c>
      <c r="AB302" s="30" t="str">
        <f aca="false">IF(AND(B302="office",AA302=1,COUNTIFS(C$5:C302,C302,AA$5:AA302,1)=1),F302,"")</f>
        <v/>
      </c>
      <c r="AC302" s="30" t="str">
        <f aca="false">IF(AND(B302="brand",AA302=1,COUNTIFS(C$5:C302,C302,AA$5:AA302,1)=1),F302,"")</f>
        <v/>
      </c>
      <c r="AD302" s="30" t="str">
        <f aca="false">IF(AND(B302="brand",E302="budget_probe",ISNUMBER(F302),I302=Lists!$X$4),IF(COUNTIFS(C$5:C302,C302,E$5:E302,"budget_probe",I$5:I302,Lists!$X$4)=1,F302,""),"")</f>
        <v/>
      </c>
      <c r="AE302" s="30" t="n">
        <f aca="false">IF(AND(B302="brand",E302="paid",ISNUMBER(F302)),IF(AND(SUMIFS(F$5:F302,B$5:B302,"brand",C$5:C302,C302,E$5:E302,"paid")&gt;=Inputs!$C$44,SUMIFS(F$5:F302,B$5:B302,"brand",C$5:C302,C302,E$5:E302,"paid")-F302&lt;Inputs!$C$44),1,0),0)</f>
        <v>0</v>
      </c>
    </row>
    <row r="303" customFormat="false" ht="15" hidden="false" customHeight="false" outlineLevel="0" collapsed="false">
      <c r="A303" s="102"/>
      <c r="B303" s="103"/>
      <c r="C303" s="103"/>
      <c r="D303" s="103"/>
      <c r="E303" s="103"/>
      <c r="F303" s="103"/>
      <c r="G303" s="103"/>
      <c r="H303" s="103"/>
      <c r="I303" s="103"/>
      <c r="T303" s="30" t="str">
        <f aca="false">IF(C303="","",IF(COUNTIFS(C$5:C303,C303,E$5:E303,E303)=1,1,0))</f>
        <v/>
      </c>
      <c r="U303" s="30" t="n">
        <f aca="false">IF(C303="",0,IF(AND(B303="brand",E303="budget_probe",N(F303)&gt;=Inputs!$C$124,H303="Y"),1,0))</f>
        <v>0</v>
      </c>
      <c r="V303" s="30" t="n">
        <f aca="false">IF(U303=1,IF(COUNTIFS(C$5:C303,C303,U$5:U303,1)=1,1,0),0)</f>
        <v>0</v>
      </c>
      <c r="W303" s="30" t="n">
        <f aca="false">IF(C303="",0,IF(AND(B303="office",E303="budget_probe",N(F303)&gt;=Inputs!$C$139),1,0))</f>
        <v>0</v>
      </c>
      <c r="X303" s="30" t="n">
        <f aca="false">IF(W303=1,IF(COUNTIFS(C$5:C303,C303,W$5:W303,1)=1,1,0),0)</f>
        <v>0</v>
      </c>
      <c r="Y303" s="30" t="n">
        <f aca="false">IF(C303="",0,IF(AND(B303="brand",E303="renewal_answer",TRIM(G303)="yes",N(F303)&gt;=Inputs!$C$135),1,0))</f>
        <v>0</v>
      </c>
      <c r="Z303" s="30" t="n">
        <f aca="false">IF(Y303=1,IF(COUNTIFS(C$5:C303,C303,Y$5:Y303,1)=1,1,0),0)</f>
        <v>0</v>
      </c>
      <c r="AA303" s="30" t="n">
        <f aca="false">IF(AND(E303="budget_probe",ISNUMBER(F303),I303&lt;&gt;Lists!$X$4),1,0)</f>
        <v>0</v>
      </c>
      <c r="AB303" s="30" t="str">
        <f aca="false">IF(AND(B303="office",AA303=1,COUNTIFS(C$5:C303,C303,AA$5:AA303,1)=1),F303,"")</f>
        <v/>
      </c>
      <c r="AC303" s="30" t="str">
        <f aca="false">IF(AND(B303="brand",AA303=1,COUNTIFS(C$5:C303,C303,AA$5:AA303,1)=1),F303,"")</f>
        <v/>
      </c>
      <c r="AD303" s="30" t="str">
        <f aca="false">IF(AND(B303="brand",E303="budget_probe",ISNUMBER(F303),I303=Lists!$X$4),IF(COUNTIFS(C$5:C303,C303,E$5:E303,"budget_probe",I$5:I303,Lists!$X$4)=1,F303,""),"")</f>
        <v/>
      </c>
      <c r="AE303" s="30" t="n">
        <f aca="false">IF(AND(B303="brand",E303="paid",ISNUMBER(F303)),IF(AND(SUMIFS(F$5:F303,B$5:B303,"brand",C$5:C303,C303,E$5:E303,"paid")&gt;=Inputs!$C$44,SUMIFS(F$5:F303,B$5:B303,"brand",C$5:C303,C303,E$5:E303,"paid")-F303&lt;Inputs!$C$44),1,0),0)</f>
        <v>0</v>
      </c>
    </row>
    <row r="304" customFormat="false" ht="15" hidden="false" customHeight="false" outlineLevel="0" collapsed="false">
      <c r="A304" s="102"/>
      <c r="B304" s="103"/>
      <c r="C304" s="103"/>
      <c r="D304" s="103"/>
      <c r="E304" s="103"/>
      <c r="F304" s="103"/>
      <c r="G304" s="103"/>
      <c r="H304" s="103"/>
      <c r="I304" s="103"/>
      <c r="T304" s="30" t="str">
        <f aca="false">IF(C304="","",IF(COUNTIFS(C$5:C304,C304,E$5:E304,E304)=1,1,0))</f>
        <v/>
      </c>
      <c r="U304" s="30" t="n">
        <f aca="false">IF(C304="",0,IF(AND(B304="brand",E304="budget_probe",N(F304)&gt;=Inputs!$C$124,H304="Y"),1,0))</f>
        <v>0</v>
      </c>
      <c r="V304" s="30" t="n">
        <f aca="false">IF(U304=1,IF(COUNTIFS(C$5:C304,C304,U$5:U304,1)=1,1,0),0)</f>
        <v>0</v>
      </c>
      <c r="W304" s="30" t="n">
        <f aca="false">IF(C304="",0,IF(AND(B304="office",E304="budget_probe",N(F304)&gt;=Inputs!$C$139),1,0))</f>
        <v>0</v>
      </c>
      <c r="X304" s="30" t="n">
        <f aca="false">IF(W304=1,IF(COUNTIFS(C$5:C304,C304,W$5:W304,1)=1,1,0),0)</f>
        <v>0</v>
      </c>
      <c r="Y304" s="30" t="n">
        <f aca="false">IF(C304="",0,IF(AND(B304="brand",E304="renewal_answer",TRIM(G304)="yes",N(F304)&gt;=Inputs!$C$135),1,0))</f>
        <v>0</v>
      </c>
      <c r="Z304" s="30" t="n">
        <f aca="false">IF(Y304=1,IF(COUNTIFS(C$5:C304,C304,Y$5:Y304,1)=1,1,0),0)</f>
        <v>0</v>
      </c>
      <c r="AA304" s="30" t="n">
        <f aca="false">IF(AND(E304="budget_probe",ISNUMBER(F304),I304&lt;&gt;Lists!$X$4),1,0)</f>
        <v>0</v>
      </c>
      <c r="AB304" s="30" t="str">
        <f aca="false">IF(AND(B304="office",AA304=1,COUNTIFS(C$5:C304,C304,AA$5:AA304,1)=1),F304,"")</f>
        <v/>
      </c>
      <c r="AC304" s="30" t="str">
        <f aca="false">IF(AND(B304="brand",AA304=1,COUNTIFS(C$5:C304,C304,AA$5:AA304,1)=1),F304,"")</f>
        <v/>
      </c>
      <c r="AD304" s="30" t="str">
        <f aca="false">IF(AND(B304="brand",E304="budget_probe",ISNUMBER(F304),I304=Lists!$X$4),IF(COUNTIFS(C$5:C304,C304,E$5:E304,"budget_probe",I$5:I304,Lists!$X$4)=1,F304,""),"")</f>
        <v/>
      </c>
      <c r="AE304" s="30" t="n">
        <f aca="false">IF(AND(B304="brand",E304="paid",ISNUMBER(F304)),IF(AND(SUMIFS(F$5:F304,B$5:B304,"brand",C$5:C304,C304,E$5:E304,"paid")&gt;=Inputs!$C$44,SUMIFS(F$5:F304,B$5:B304,"brand",C$5:C304,C304,E$5:E304,"paid")-F304&lt;Inputs!$C$44),1,0),0)</f>
        <v>0</v>
      </c>
    </row>
    <row r="305" customFormat="false" ht="15" hidden="false" customHeight="false" outlineLevel="0" collapsed="false">
      <c r="A305" s="102"/>
      <c r="B305" s="103"/>
      <c r="C305" s="103"/>
      <c r="D305" s="103"/>
      <c r="E305" s="103"/>
      <c r="F305" s="103"/>
      <c r="G305" s="103"/>
      <c r="H305" s="103"/>
      <c r="I305" s="103"/>
      <c r="T305" s="30" t="str">
        <f aca="false">IF(C305="","",IF(COUNTIFS(C$5:C305,C305,E$5:E305,E305)=1,1,0))</f>
        <v/>
      </c>
      <c r="U305" s="30" t="n">
        <f aca="false">IF(C305="",0,IF(AND(B305="brand",E305="budget_probe",N(F305)&gt;=Inputs!$C$124,H305="Y"),1,0))</f>
        <v>0</v>
      </c>
      <c r="V305" s="30" t="n">
        <f aca="false">IF(U305=1,IF(COUNTIFS(C$5:C305,C305,U$5:U305,1)=1,1,0),0)</f>
        <v>0</v>
      </c>
      <c r="W305" s="30" t="n">
        <f aca="false">IF(C305="",0,IF(AND(B305="office",E305="budget_probe",N(F305)&gt;=Inputs!$C$139),1,0))</f>
        <v>0</v>
      </c>
      <c r="X305" s="30" t="n">
        <f aca="false">IF(W305=1,IF(COUNTIFS(C$5:C305,C305,W$5:W305,1)=1,1,0),0)</f>
        <v>0</v>
      </c>
      <c r="Y305" s="30" t="n">
        <f aca="false">IF(C305="",0,IF(AND(B305="brand",E305="renewal_answer",TRIM(G305)="yes",N(F305)&gt;=Inputs!$C$135),1,0))</f>
        <v>0</v>
      </c>
      <c r="Z305" s="30" t="n">
        <f aca="false">IF(Y305=1,IF(COUNTIFS(C$5:C305,C305,Y$5:Y305,1)=1,1,0),0)</f>
        <v>0</v>
      </c>
      <c r="AA305" s="30" t="n">
        <f aca="false">IF(AND(E305="budget_probe",ISNUMBER(F305),I305&lt;&gt;Lists!$X$4),1,0)</f>
        <v>0</v>
      </c>
      <c r="AB305" s="30" t="str">
        <f aca="false">IF(AND(B305="office",AA305=1,COUNTIFS(C$5:C305,C305,AA$5:AA305,1)=1),F305,"")</f>
        <v/>
      </c>
      <c r="AC305" s="30" t="str">
        <f aca="false">IF(AND(B305="brand",AA305=1,COUNTIFS(C$5:C305,C305,AA$5:AA305,1)=1),F305,"")</f>
        <v/>
      </c>
      <c r="AD305" s="30" t="str">
        <f aca="false">IF(AND(B305="brand",E305="budget_probe",ISNUMBER(F305),I305=Lists!$X$4),IF(COUNTIFS(C$5:C305,C305,E$5:E305,"budget_probe",I$5:I305,Lists!$X$4)=1,F305,""),"")</f>
        <v/>
      </c>
      <c r="AE305" s="30" t="n">
        <f aca="false">IF(AND(B305="brand",E305="paid",ISNUMBER(F305)),IF(AND(SUMIFS(F$5:F305,B$5:B305,"brand",C$5:C305,C305,E$5:E305,"paid")&gt;=Inputs!$C$44,SUMIFS(F$5:F305,B$5:B305,"brand",C$5:C305,C305,E$5:E305,"paid")-F305&lt;Inputs!$C$44),1,0),0)</f>
        <v>0</v>
      </c>
    </row>
    <row r="306" customFormat="false" ht="15" hidden="false" customHeight="false" outlineLevel="0" collapsed="false">
      <c r="A306" s="102"/>
      <c r="B306" s="103"/>
      <c r="C306" s="103"/>
      <c r="D306" s="103"/>
      <c r="E306" s="103"/>
      <c r="F306" s="103"/>
      <c r="G306" s="103"/>
      <c r="H306" s="103"/>
      <c r="I306" s="103"/>
      <c r="T306" s="30" t="str">
        <f aca="false">IF(C306="","",IF(COUNTIFS(C$5:C306,C306,E$5:E306,E306)=1,1,0))</f>
        <v/>
      </c>
      <c r="U306" s="30" t="n">
        <f aca="false">IF(C306="",0,IF(AND(B306="brand",E306="budget_probe",N(F306)&gt;=Inputs!$C$124,H306="Y"),1,0))</f>
        <v>0</v>
      </c>
      <c r="V306" s="30" t="n">
        <f aca="false">IF(U306=1,IF(COUNTIFS(C$5:C306,C306,U$5:U306,1)=1,1,0),0)</f>
        <v>0</v>
      </c>
      <c r="W306" s="30" t="n">
        <f aca="false">IF(C306="",0,IF(AND(B306="office",E306="budget_probe",N(F306)&gt;=Inputs!$C$139),1,0))</f>
        <v>0</v>
      </c>
      <c r="X306" s="30" t="n">
        <f aca="false">IF(W306=1,IF(COUNTIFS(C$5:C306,C306,W$5:W306,1)=1,1,0),0)</f>
        <v>0</v>
      </c>
      <c r="Y306" s="30" t="n">
        <f aca="false">IF(C306="",0,IF(AND(B306="brand",E306="renewal_answer",TRIM(G306)="yes",N(F306)&gt;=Inputs!$C$135),1,0))</f>
        <v>0</v>
      </c>
      <c r="Z306" s="30" t="n">
        <f aca="false">IF(Y306=1,IF(COUNTIFS(C$5:C306,C306,Y$5:Y306,1)=1,1,0),0)</f>
        <v>0</v>
      </c>
      <c r="AA306" s="30" t="n">
        <f aca="false">IF(AND(E306="budget_probe",ISNUMBER(F306),I306&lt;&gt;Lists!$X$4),1,0)</f>
        <v>0</v>
      </c>
      <c r="AB306" s="30" t="str">
        <f aca="false">IF(AND(B306="office",AA306=1,COUNTIFS(C$5:C306,C306,AA$5:AA306,1)=1),F306,"")</f>
        <v/>
      </c>
      <c r="AC306" s="30" t="str">
        <f aca="false">IF(AND(B306="brand",AA306=1,COUNTIFS(C$5:C306,C306,AA$5:AA306,1)=1),F306,"")</f>
        <v/>
      </c>
      <c r="AD306" s="30" t="str">
        <f aca="false">IF(AND(B306="brand",E306="budget_probe",ISNUMBER(F306),I306=Lists!$X$4),IF(COUNTIFS(C$5:C306,C306,E$5:E306,"budget_probe",I$5:I306,Lists!$X$4)=1,F306,""),"")</f>
        <v/>
      </c>
      <c r="AE306" s="30" t="n">
        <f aca="false">IF(AND(B306="brand",E306="paid",ISNUMBER(F306)),IF(AND(SUMIFS(F$5:F306,B$5:B306,"brand",C$5:C306,C306,E$5:E306,"paid")&gt;=Inputs!$C$44,SUMIFS(F$5:F306,B$5:B306,"brand",C$5:C306,C306,E$5:E306,"paid")-F306&lt;Inputs!$C$44),1,0),0)</f>
        <v>0</v>
      </c>
    </row>
    <row r="307" customFormat="false" ht="15" hidden="false" customHeight="false" outlineLevel="0" collapsed="false">
      <c r="A307" s="102"/>
      <c r="B307" s="103"/>
      <c r="C307" s="103"/>
      <c r="D307" s="103"/>
      <c r="E307" s="103"/>
      <c r="F307" s="103"/>
      <c r="G307" s="103"/>
      <c r="H307" s="103"/>
      <c r="I307" s="103"/>
      <c r="T307" s="30" t="str">
        <f aca="false">IF(C307="","",IF(COUNTIFS(C$5:C307,C307,E$5:E307,E307)=1,1,0))</f>
        <v/>
      </c>
      <c r="U307" s="30" t="n">
        <f aca="false">IF(C307="",0,IF(AND(B307="brand",E307="budget_probe",N(F307)&gt;=Inputs!$C$124,H307="Y"),1,0))</f>
        <v>0</v>
      </c>
      <c r="V307" s="30" t="n">
        <f aca="false">IF(U307=1,IF(COUNTIFS(C$5:C307,C307,U$5:U307,1)=1,1,0),0)</f>
        <v>0</v>
      </c>
      <c r="W307" s="30" t="n">
        <f aca="false">IF(C307="",0,IF(AND(B307="office",E307="budget_probe",N(F307)&gt;=Inputs!$C$139),1,0))</f>
        <v>0</v>
      </c>
      <c r="X307" s="30" t="n">
        <f aca="false">IF(W307=1,IF(COUNTIFS(C$5:C307,C307,W$5:W307,1)=1,1,0),0)</f>
        <v>0</v>
      </c>
      <c r="Y307" s="30" t="n">
        <f aca="false">IF(C307="",0,IF(AND(B307="brand",E307="renewal_answer",TRIM(G307)="yes",N(F307)&gt;=Inputs!$C$135),1,0))</f>
        <v>0</v>
      </c>
      <c r="Z307" s="30" t="n">
        <f aca="false">IF(Y307=1,IF(COUNTIFS(C$5:C307,C307,Y$5:Y307,1)=1,1,0),0)</f>
        <v>0</v>
      </c>
      <c r="AA307" s="30" t="n">
        <f aca="false">IF(AND(E307="budget_probe",ISNUMBER(F307),I307&lt;&gt;Lists!$X$4),1,0)</f>
        <v>0</v>
      </c>
      <c r="AB307" s="30" t="str">
        <f aca="false">IF(AND(B307="office",AA307=1,COUNTIFS(C$5:C307,C307,AA$5:AA307,1)=1),F307,"")</f>
        <v/>
      </c>
      <c r="AC307" s="30" t="str">
        <f aca="false">IF(AND(B307="brand",AA307=1,COUNTIFS(C$5:C307,C307,AA$5:AA307,1)=1),F307,"")</f>
        <v/>
      </c>
      <c r="AD307" s="30" t="str">
        <f aca="false">IF(AND(B307="brand",E307="budget_probe",ISNUMBER(F307),I307=Lists!$X$4),IF(COUNTIFS(C$5:C307,C307,E$5:E307,"budget_probe",I$5:I307,Lists!$X$4)=1,F307,""),"")</f>
        <v/>
      </c>
      <c r="AE307" s="30" t="n">
        <f aca="false">IF(AND(B307="brand",E307="paid",ISNUMBER(F307)),IF(AND(SUMIFS(F$5:F307,B$5:B307,"brand",C$5:C307,C307,E$5:E307,"paid")&gt;=Inputs!$C$44,SUMIFS(F$5:F307,B$5:B307,"brand",C$5:C307,C307,E$5:E307,"paid")-F307&lt;Inputs!$C$44),1,0),0)</f>
        <v>0</v>
      </c>
    </row>
    <row r="308" customFormat="false" ht="15" hidden="false" customHeight="false" outlineLevel="0" collapsed="false">
      <c r="A308" s="102"/>
      <c r="B308" s="103"/>
      <c r="C308" s="103"/>
      <c r="D308" s="103"/>
      <c r="E308" s="103"/>
      <c r="F308" s="103"/>
      <c r="G308" s="103"/>
      <c r="H308" s="103"/>
      <c r="I308" s="103"/>
      <c r="T308" s="30" t="str">
        <f aca="false">IF(C308="","",IF(COUNTIFS(C$5:C308,C308,E$5:E308,E308)=1,1,0))</f>
        <v/>
      </c>
      <c r="U308" s="30" t="n">
        <f aca="false">IF(C308="",0,IF(AND(B308="brand",E308="budget_probe",N(F308)&gt;=Inputs!$C$124,H308="Y"),1,0))</f>
        <v>0</v>
      </c>
      <c r="V308" s="30" t="n">
        <f aca="false">IF(U308=1,IF(COUNTIFS(C$5:C308,C308,U$5:U308,1)=1,1,0),0)</f>
        <v>0</v>
      </c>
      <c r="W308" s="30" t="n">
        <f aca="false">IF(C308="",0,IF(AND(B308="office",E308="budget_probe",N(F308)&gt;=Inputs!$C$139),1,0))</f>
        <v>0</v>
      </c>
      <c r="X308" s="30" t="n">
        <f aca="false">IF(W308=1,IF(COUNTIFS(C$5:C308,C308,W$5:W308,1)=1,1,0),0)</f>
        <v>0</v>
      </c>
      <c r="Y308" s="30" t="n">
        <f aca="false">IF(C308="",0,IF(AND(B308="brand",E308="renewal_answer",TRIM(G308)="yes",N(F308)&gt;=Inputs!$C$135),1,0))</f>
        <v>0</v>
      </c>
      <c r="Z308" s="30" t="n">
        <f aca="false">IF(Y308=1,IF(COUNTIFS(C$5:C308,C308,Y$5:Y308,1)=1,1,0),0)</f>
        <v>0</v>
      </c>
      <c r="AA308" s="30" t="n">
        <f aca="false">IF(AND(E308="budget_probe",ISNUMBER(F308),I308&lt;&gt;Lists!$X$4),1,0)</f>
        <v>0</v>
      </c>
      <c r="AB308" s="30" t="str">
        <f aca="false">IF(AND(B308="office",AA308=1,COUNTIFS(C$5:C308,C308,AA$5:AA308,1)=1),F308,"")</f>
        <v/>
      </c>
      <c r="AC308" s="30" t="str">
        <f aca="false">IF(AND(B308="brand",AA308=1,COUNTIFS(C$5:C308,C308,AA$5:AA308,1)=1),F308,"")</f>
        <v/>
      </c>
      <c r="AD308" s="30" t="str">
        <f aca="false">IF(AND(B308="brand",E308="budget_probe",ISNUMBER(F308),I308=Lists!$X$4),IF(COUNTIFS(C$5:C308,C308,E$5:E308,"budget_probe",I$5:I308,Lists!$X$4)=1,F308,""),"")</f>
        <v/>
      </c>
      <c r="AE308" s="30" t="n">
        <f aca="false">IF(AND(B308="brand",E308="paid",ISNUMBER(F308)),IF(AND(SUMIFS(F$5:F308,B$5:B308,"brand",C$5:C308,C308,E$5:E308,"paid")&gt;=Inputs!$C$44,SUMIFS(F$5:F308,B$5:B308,"brand",C$5:C308,C308,E$5:E308,"paid")-F308&lt;Inputs!$C$44),1,0),0)</f>
        <v>0</v>
      </c>
    </row>
    <row r="309" customFormat="false" ht="15" hidden="false" customHeight="false" outlineLevel="0" collapsed="false">
      <c r="A309" s="102"/>
      <c r="B309" s="103"/>
      <c r="C309" s="103"/>
      <c r="D309" s="103"/>
      <c r="E309" s="103"/>
      <c r="F309" s="103"/>
      <c r="G309" s="103"/>
      <c r="H309" s="103"/>
      <c r="I309" s="103"/>
      <c r="T309" s="30" t="str">
        <f aca="false">IF(C309="","",IF(COUNTIFS(C$5:C309,C309,E$5:E309,E309)=1,1,0))</f>
        <v/>
      </c>
      <c r="U309" s="30" t="n">
        <f aca="false">IF(C309="",0,IF(AND(B309="brand",E309="budget_probe",N(F309)&gt;=Inputs!$C$124,H309="Y"),1,0))</f>
        <v>0</v>
      </c>
      <c r="V309" s="30" t="n">
        <f aca="false">IF(U309=1,IF(COUNTIFS(C$5:C309,C309,U$5:U309,1)=1,1,0),0)</f>
        <v>0</v>
      </c>
      <c r="W309" s="30" t="n">
        <f aca="false">IF(C309="",0,IF(AND(B309="office",E309="budget_probe",N(F309)&gt;=Inputs!$C$139),1,0))</f>
        <v>0</v>
      </c>
      <c r="X309" s="30" t="n">
        <f aca="false">IF(W309=1,IF(COUNTIFS(C$5:C309,C309,W$5:W309,1)=1,1,0),0)</f>
        <v>0</v>
      </c>
      <c r="Y309" s="30" t="n">
        <f aca="false">IF(C309="",0,IF(AND(B309="brand",E309="renewal_answer",TRIM(G309)="yes",N(F309)&gt;=Inputs!$C$135),1,0))</f>
        <v>0</v>
      </c>
      <c r="Z309" s="30" t="n">
        <f aca="false">IF(Y309=1,IF(COUNTIFS(C$5:C309,C309,Y$5:Y309,1)=1,1,0),0)</f>
        <v>0</v>
      </c>
      <c r="AA309" s="30" t="n">
        <f aca="false">IF(AND(E309="budget_probe",ISNUMBER(F309),I309&lt;&gt;Lists!$X$4),1,0)</f>
        <v>0</v>
      </c>
      <c r="AB309" s="30" t="str">
        <f aca="false">IF(AND(B309="office",AA309=1,COUNTIFS(C$5:C309,C309,AA$5:AA309,1)=1),F309,"")</f>
        <v/>
      </c>
      <c r="AC309" s="30" t="str">
        <f aca="false">IF(AND(B309="brand",AA309=1,COUNTIFS(C$5:C309,C309,AA$5:AA309,1)=1),F309,"")</f>
        <v/>
      </c>
      <c r="AD309" s="30" t="str">
        <f aca="false">IF(AND(B309="brand",E309="budget_probe",ISNUMBER(F309),I309=Lists!$X$4),IF(COUNTIFS(C$5:C309,C309,E$5:E309,"budget_probe",I$5:I309,Lists!$X$4)=1,F309,""),"")</f>
        <v/>
      </c>
      <c r="AE309" s="30" t="n">
        <f aca="false">IF(AND(B309="brand",E309="paid",ISNUMBER(F309)),IF(AND(SUMIFS(F$5:F309,B$5:B309,"brand",C$5:C309,C309,E$5:E309,"paid")&gt;=Inputs!$C$44,SUMIFS(F$5:F309,B$5:B309,"brand",C$5:C309,C309,E$5:E309,"paid")-F309&lt;Inputs!$C$44),1,0),0)</f>
        <v>0</v>
      </c>
    </row>
    <row r="310" customFormat="false" ht="15" hidden="false" customHeight="false" outlineLevel="0" collapsed="false">
      <c r="A310" s="102"/>
      <c r="B310" s="103"/>
      <c r="C310" s="103"/>
      <c r="D310" s="103"/>
      <c r="E310" s="103"/>
      <c r="F310" s="103"/>
      <c r="G310" s="103"/>
      <c r="H310" s="103"/>
      <c r="I310" s="103"/>
      <c r="T310" s="30" t="str">
        <f aca="false">IF(C310="","",IF(COUNTIFS(C$5:C310,C310,E$5:E310,E310)=1,1,0))</f>
        <v/>
      </c>
      <c r="U310" s="30" t="n">
        <f aca="false">IF(C310="",0,IF(AND(B310="brand",E310="budget_probe",N(F310)&gt;=Inputs!$C$124,H310="Y"),1,0))</f>
        <v>0</v>
      </c>
      <c r="V310" s="30" t="n">
        <f aca="false">IF(U310=1,IF(COUNTIFS(C$5:C310,C310,U$5:U310,1)=1,1,0),0)</f>
        <v>0</v>
      </c>
      <c r="W310" s="30" t="n">
        <f aca="false">IF(C310="",0,IF(AND(B310="office",E310="budget_probe",N(F310)&gt;=Inputs!$C$139),1,0))</f>
        <v>0</v>
      </c>
      <c r="X310" s="30" t="n">
        <f aca="false">IF(W310=1,IF(COUNTIFS(C$5:C310,C310,W$5:W310,1)=1,1,0),0)</f>
        <v>0</v>
      </c>
      <c r="Y310" s="30" t="n">
        <f aca="false">IF(C310="",0,IF(AND(B310="brand",E310="renewal_answer",TRIM(G310)="yes",N(F310)&gt;=Inputs!$C$135),1,0))</f>
        <v>0</v>
      </c>
      <c r="Z310" s="30" t="n">
        <f aca="false">IF(Y310=1,IF(COUNTIFS(C$5:C310,C310,Y$5:Y310,1)=1,1,0),0)</f>
        <v>0</v>
      </c>
      <c r="AA310" s="30" t="n">
        <f aca="false">IF(AND(E310="budget_probe",ISNUMBER(F310),I310&lt;&gt;Lists!$X$4),1,0)</f>
        <v>0</v>
      </c>
      <c r="AB310" s="30" t="str">
        <f aca="false">IF(AND(B310="office",AA310=1,COUNTIFS(C$5:C310,C310,AA$5:AA310,1)=1),F310,"")</f>
        <v/>
      </c>
      <c r="AC310" s="30" t="str">
        <f aca="false">IF(AND(B310="brand",AA310=1,COUNTIFS(C$5:C310,C310,AA$5:AA310,1)=1),F310,"")</f>
        <v/>
      </c>
      <c r="AD310" s="30" t="str">
        <f aca="false">IF(AND(B310="brand",E310="budget_probe",ISNUMBER(F310),I310=Lists!$X$4),IF(COUNTIFS(C$5:C310,C310,E$5:E310,"budget_probe",I$5:I310,Lists!$X$4)=1,F310,""),"")</f>
        <v/>
      </c>
      <c r="AE310" s="30" t="n">
        <f aca="false">IF(AND(B310="brand",E310="paid",ISNUMBER(F310)),IF(AND(SUMIFS(F$5:F310,B$5:B310,"brand",C$5:C310,C310,E$5:E310,"paid")&gt;=Inputs!$C$44,SUMIFS(F$5:F310,B$5:B310,"brand",C$5:C310,C310,E$5:E310,"paid")-F310&lt;Inputs!$C$44),1,0),0)</f>
        <v>0</v>
      </c>
    </row>
    <row r="311" customFormat="false" ht="15" hidden="false" customHeight="false" outlineLevel="0" collapsed="false">
      <c r="A311" s="102"/>
      <c r="B311" s="103"/>
      <c r="C311" s="103"/>
      <c r="D311" s="103"/>
      <c r="E311" s="103"/>
      <c r="F311" s="103"/>
      <c r="G311" s="103"/>
      <c r="H311" s="103"/>
      <c r="I311" s="103"/>
      <c r="T311" s="30" t="str">
        <f aca="false">IF(C311="","",IF(COUNTIFS(C$5:C311,C311,E$5:E311,E311)=1,1,0))</f>
        <v/>
      </c>
      <c r="U311" s="30" t="n">
        <f aca="false">IF(C311="",0,IF(AND(B311="brand",E311="budget_probe",N(F311)&gt;=Inputs!$C$124,H311="Y"),1,0))</f>
        <v>0</v>
      </c>
      <c r="V311" s="30" t="n">
        <f aca="false">IF(U311=1,IF(COUNTIFS(C$5:C311,C311,U$5:U311,1)=1,1,0),0)</f>
        <v>0</v>
      </c>
      <c r="W311" s="30" t="n">
        <f aca="false">IF(C311="",0,IF(AND(B311="office",E311="budget_probe",N(F311)&gt;=Inputs!$C$139),1,0))</f>
        <v>0</v>
      </c>
      <c r="X311" s="30" t="n">
        <f aca="false">IF(W311=1,IF(COUNTIFS(C$5:C311,C311,W$5:W311,1)=1,1,0),0)</f>
        <v>0</v>
      </c>
      <c r="Y311" s="30" t="n">
        <f aca="false">IF(C311="",0,IF(AND(B311="brand",E311="renewal_answer",TRIM(G311)="yes",N(F311)&gt;=Inputs!$C$135),1,0))</f>
        <v>0</v>
      </c>
      <c r="Z311" s="30" t="n">
        <f aca="false">IF(Y311=1,IF(COUNTIFS(C$5:C311,C311,Y$5:Y311,1)=1,1,0),0)</f>
        <v>0</v>
      </c>
      <c r="AA311" s="30" t="n">
        <f aca="false">IF(AND(E311="budget_probe",ISNUMBER(F311),I311&lt;&gt;Lists!$X$4),1,0)</f>
        <v>0</v>
      </c>
      <c r="AB311" s="30" t="str">
        <f aca="false">IF(AND(B311="office",AA311=1,COUNTIFS(C$5:C311,C311,AA$5:AA311,1)=1),F311,"")</f>
        <v/>
      </c>
      <c r="AC311" s="30" t="str">
        <f aca="false">IF(AND(B311="brand",AA311=1,COUNTIFS(C$5:C311,C311,AA$5:AA311,1)=1),F311,"")</f>
        <v/>
      </c>
      <c r="AD311" s="30" t="str">
        <f aca="false">IF(AND(B311="brand",E311="budget_probe",ISNUMBER(F311),I311=Lists!$X$4),IF(COUNTIFS(C$5:C311,C311,E$5:E311,"budget_probe",I$5:I311,Lists!$X$4)=1,F311,""),"")</f>
        <v/>
      </c>
      <c r="AE311" s="30" t="n">
        <f aca="false">IF(AND(B311="brand",E311="paid",ISNUMBER(F311)),IF(AND(SUMIFS(F$5:F311,B$5:B311,"brand",C$5:C311,C311,E$5:E311,"paid")&gt;=Inputs!$C$44,SUMIFS(F$5:F311,B$5:B311,"brand",C$5:C311,C311,E$5:E311,"paid")-F311&lt;Inputs!$C$44),1,0),0)</f>
        <v>0</v>
      </c>
    </row>
    <row r="312" customFormat="false" ht="15" hidden="false" customHeight="false" outlineLevel="0" collapsed="false">
      <c r="A312" s="102"/>
      <c r="B312" s="103"/>
      <c r="C312" s="103"/>
      <c r="D312" s="103"/>
      <c r="E312" s="103"/>
      <c r="F312" s="103"/>
      <c r="G312" s="103"/>
      <c r="H312" s="103"/>
      <c r="I312" s="103"/>
      <c r="T312" s="30" t="str">
        <f aca="false">IF(C312="","",IF(COUNTIFS(C$5:C312,C312,E$5:E312,E312)=1,1,0))</f>
        <v/>
      </c>
      <c r="U312" s="30" t="n">
        <f aca="false">IF(C312="",0,IF(AND(B312="brand",E312="budget_probe",N(F312)&gt;=Inputs!$C$124,H312="Y"),1,0))</f>
        <v>0</v>
      </c>
      <c r="V312" s="30" t="n">
        <f aca="false">IF(U312=1,IF(COUNTIFS(C$5:C312,C312,U$5:U312,1)=1,1,0),0)</f>
        <v>0</v>
      </c>
      <c r="W312" s="30" t="n">
        <f aca="false">IF(C312="",0,IF(AND(B312="office",E312="budget_probe",N(F312)&gt;=Inputs!$C$139),1,0))</f>
        <v>0</v>
      </c>
      <c r="X312" s="30" t="n">
        <f aca="false">IF(W312=1,IF(COUNTIFS(C$5:C312,C312,W$5:W312,1)=1,1,0),0)</f>
        <v>0</v>
      </c>
      <c r="Y312" s="30" t="n">
        <f aca="false">IF(C312="",0,IF(AND(B312="brand",E312="renewal_answer",TRIM(G312)="yes",N(F312)&gt;=Inputs!$C$135),1,0))</f>
        <v>0</v>
      </c>
      <c r="Z312" s="30" t="n">
        <f aca="false">IF(Y312=1,IF(COUNTIFS(C$5:C312,C312,Y$5:Y312,1)=1,1,0),0)</f>
        <v>0</v>
      </c>
      <c r="AA312" s="30" t="n">
        <f aca="false">IF(AND(E312="budget_probe",ISNUMBER(F312),I312&lt;&gt;Lists!$X$4),1,0)</f>
        <v>0</v>
      </c>
      <c r="AB312" s="30" t="str">
        <f aca="false">IF(AND(B312="office",AA312=1,COUNTIFS(C$5:C312,C312,AA$5:AA312,1)=1),F312,"")</f>
        <v/>
      </c>
      <c r="AC312" s="30" t="str">
        <f aca="false">IF(AND(B312="brand",AA312=1,COUNTIFS(C$5:C312,C312,AA$5:AA312,1)=1),F312,"")</f>
        <v/>
      </c>
      <c r="AD312" s="30" t="str">
        <f aca="false">IF(AND(B312="brand",E312="budget_probe",ISNUMBER(F312),I312=Lists!$X$4),IF(COUNTIFS(C$5:C312,C312,E$5:E312,"budget_probe",I$5:I312,Lists!$X$4)=1,F312,""),"")</f>
        <v/>
      </c>
      <c r="AE312" s="30" t="n">
        <f aca="false">IF(AND(B312="brand",E312="paid",ISNUMBER(F312)),IF(AND(SUMIFS(F$5:F312,B$5:B312,"brand",C$5:C312,C312,E$5:E312,"paid")&gt;=Inputs!$C$44,SUMIFS(F$5:F312,B$5:B312,"brand",C$5:C312,C312,E$5:E312,"paid")-F312&lt;Inputs!$C$44),1,0),0)</f>
        <v>0</v>
      </c>
    </row>
    <row r="313" customFormat="false" ht="15" hidden="false" customHeight="false" outlineLevel="0" collapsed="false">
      <c r="A313" s="102"/>
      <c r="B313" s="103"/>
      <c r="C313" s="103"/>
      <c r="D313" s="103"/>
      <c r="E313" s="103"/>
      <c r="F313" s="103"/>
      <c r="G313" s="103"/>
      <c r="H313" s="103"/>
      <c r="I313" s="103"/>
      <c r="T313" s="30" t="str">
        <f aca="false">IF(C313="","",IF(COUNTIFS(C$5:C313,C313,E$5:E313,E313)=1,1,0))</f>
        <v/>
      </c>
      <c r="U313" s="30" t="n">
        <f aca="false">IF(C313="",0,IF(AND(B313="brand",E313="budget_probe",N(F313)&gt;=Inputs!$C$124,H313="Y"),1,0))</f>
        <v>0</v>
      </c>
      <c r="V313" s="30" t="n">
        <f aca="false">IF(U313=1,IF(COUNTIFS(C$5:C313,C313,U$5:U313,1)=1,1,0),0)</f>
        <v>0</v>
      </c>
      <c r="W313" s="30" t="n">
        <f aca="false">IF(C313="",0,IF(AND(B313="office",E313="budget_probe",N(F313)&gt;=Inputs!$C$139),1,0))</f>
        <v>0</v>
      </c>
      <c r="X313" s="30" t="n">
        <f aca="false">IF(W313=1,IF(COUNTIFS(C$5:C313,C313,W$5:W313,1)=1,1,0),0)</f>
        <v>0</v>
      </c>
      <c r="Y313" s="30" t="n">
        <f aca="false">IF(C313="",0,IF(AND(B313="brand",E313="renewal_answer",TRIM(G313)="yes",N(F313)&gt;=Inputs!$C$135),1,0))</f>
        <v>0</v>
      </c>
      <c r="Z313" s="30" t="n">
        <f aca="false">IF(Y313=1,IF(COUNTIFS(C$5:C313,C313,Y$5:Y313,1)=1,1,0),0)</f>
        <v>0</v>
      </c>
      <c r="AA313" s="30" t="n">
        <f aca="false">IF(AND(E313="budget_probe",ISNUMBER(F313),I313&lt;&gt;Lists!$X$4),1,0)</f>
        <v>0</v>
      </c>
      <c r="AB313" s="30" t="str">
        <f aca="false">IF(AND(B313="office",AA313=1,COUNTIFS(C$5:C313,C313,AA$5:AA313,1)=1),F313,"")</f>
        <v/>
      </c>
      <c r="AC313" s="30" t="str">
        <f aca="false">IF(AND(B313="brand",AA313=1,COUNTIFS(C$5:C313,C313,AA$5:AA313,1)=1),F313,"")</f>
        <v/>
      </c>
      <c r="AD313" s="30" t="str">
        <f aca="false">IF(AND(B313="brand",E313="budget_probe",ISNUMBER(F313),I313=Lists!$X$4),IF(COUNTIFS(C$5:C313,C313,E$5:E313,"budget_probe",I$5:I313,Lists!$X$4)=1,F313,""),"")</f>
        <v/>
      </c>
      <c r="AE313" s="30" t="n">
        <f aca="false">IF(AND(B313="brand",E313="paid",ISNUMBER(F313)),IF(AND(SUMIFS(F$5:F313,B$5:B313,"brand",C$5:C313,C313,E$5:E313,"paid")&gt;=Inputs!$C$44,SUMIFS(F$5:F313,B$5:B313,"brand",C$5:C313,C313,E$5:E313,"paid")-F313&lt;Inputs!$C$44),1,0),0)</f>
        <v>0</v>
      </c>
    </row>
    <row r="314" customFormat="false" ht="15" hidden="false" customHeight="false" outlineLevel="0" collapsed="false">
      <c r="A314" s="102"/>
      <c r="B314" s="103"/>
      <c r="C314" s="103"/>
      <c r="D314" s="103"/>
      <c r="E314" s="103"/>
      <c r="F314" s="103"/>
      <c r="G314" s="103"/>
      <c r="H314" s="103"/>
      <c r="I314" s="103"/>
      <c r="T314" s="30" t="str">
        <f aca="false">IF(C314="","",IF(COUNTIFS(C$5:C314,C314,E$5:E314,E314)=1,1,0))</f>
        <v/>
      </c>
      <c r="U314" s="30" t="n">
        <f aca="false">IF(C314="",0,IF(AND(B314="brand",E314="budget_probe",N(F314)&gt;=Inputs!$C$124,H314="Y"),1,0))</f>
        <v>0</v>
      </c>
      <c r="V314" s="30" t="n">
        <f aca="false">IF(U314=1,IF(COUNTIFS(C$5:C314,C314,U$5:U314,1)=1,1,0),0)</f>
        <v>0</v>
      </c>
      <c r="W314" s="30" t="n">
        <f aca="false">IF(C314="",0,IF(AND(B314="office",E314="budget_probe",N(F314)&gt;=Inputs!$C$139),1,0))</f>
        <v>0</v>
      </c>
      <c r="X314" s="30" t="n">
        <f aca="false">IF(W314=1,IF(COUNTIFS(C$5:C314,C314,W$5:W314,1)=1,1,0),0)</f>
        <v>0</v>
      </c>
      <c r="Y314" s="30" t="n">
        <f aca="false">IF(C314="",0,IF(AND(B314="brand",E314="renewal_answer",TRIM(G314)="yes",N(F314)&gt;=Inputs!$C$135),1,0))</f>
        <v>0</v>
      </c>
      <c r="Z314" s="30" t="n">
        <f aca="false">IF(Y314=1,IF(COUNTIFS(C$5:C314,C314,Y$5:Y314,1)=1,1,0),0)</f>
        <v>0</v>
      </c>
      <c r="AA314" s="30" t="n">
        <f aca="false">IF(AND(E314="budget_probe",ISNUMBER(F314),I314&lt;&gt;Lists!$X$4),1,0)</f>
        <v>0</v>
      </c>
      <c r="AB314" s="30" t="str">
        <f aca="false">IF(AND(B314="office",AA314=1,COUNTIFS(C$5:C314,C314,AA$5:AA314,1)=1),F314,"")</f>
        <v/>
      </c>
      <c r="AC314" s="30" t="str">
        <f aca="false">IF(AND(B314="brand",AA314=1,COUNTIFS(C$5:C314,C314,AA$5:AA314,1)=1),F314,"")</f>
        <v/>
      </c>
      <c r="AD314" s="30" t="str">
        <f aca="false">IF(AND(B314="brand",E314="budget_probe",ISNUMBER(F314),I314=Lists!$X$4),IF(COUNTIFS(C$5:C314,C314,E$5:E314,"budget_probe",I$5:I314,Lists!$X$4)=1,F314,""),"")</f>
        <v/>
      </c>
      <c r="AE314" s="30" t="n">
        <f aca="false">IF(AND(B314="brand",E314="paid",ISNUMBER(F314)),IF(AND(SUMIFS(F$5:F314,B$5:B314,"brand",C$5:C314,C314,E$5:E314,"paid")&gt;=Inputs!$C$44,SUMIFS(F$5:F314,B$5:B314,"brand",C$5:C314,C314,E$5:E314,"paid")-F314&lt;Inputs!$C$44),1,0),0)</f>
        <v>0</v>
      </c>
    </row>
    <row r="315" customFormat="false" ht="15" hidden="false" customHeight="false" outlineLevel="0" collapsed="false">
      <c r="A315" s="102"/>
      <c r="B315" s="103"/>
      <c r="C315" s="103"/>
      <c r="D315" s="103"/>
      <c r="E315" s="103"/>
      <c r="F315" s="103"/>
      <c r="G315" s="103"/>
      <c r="H315" s="103"/>
      <c r="I315" s="103"/>
      <c r="T315" s="30" t="str">
        <f aca="false">IF(C315="","",IF(COUNTIFS(C$5:C315,C315,E$5:E315,E315)=1,1,0))</f>
        <v/>
      </c>
      <c r="U315" s="30" t="n">
        <f aca="false">IF(C315="",0,IF(AND(B315="brand",E315="budget_probe",N(F315)&gt;=Inputs!$C$124,H315="Y"),1,0))</f>
        <v>0</v>
      </c>
      <c r="V315" s="30" t="n">
        <f aca="false">IF(U315=1,IF(COUNTIFS(C$5:C315,C315,U$5:U315,1)=1,1,0),0)</f>
        <v>0</v>
      </c>
      <c r="W315" s="30" t="n">
        <f aca="false">IF(C315="",0,IF(AND(B315="office",E315="budget_probe",N(F315)&gt;=Inputs!$C$139),1,0))</f>
        <v>0</v>
      </c>
      <c r="X315" s="30" t="n">
        <f aca="false">IF(W315=1,IF(COUNTIFS(C$5:C315,C315,W$5:W315,1)=1,1,0),0)</f>
        <v>0</v>
      </c>
      <c r="Y315" s="30" t="n">
        <f aca="false">IF(C315="",0,IF(AND(B315="brand",E315="renewal_answer",TRIM(G315)="yes",N(F315)&gt;=Inputs!$C$135),1,0))</f>
        <v>0</v>
      </c>
      <c r="Z315" s="30" t="n">
        <f aca="false">IF(Y315=1,IF(COUNTIFS(C$5:C315,C315,Y$5:Y315,1)=1,1,0),0)</f>
        <v>0</v>
      </c>
      <c r="AA315" s="30" t="n">
        <f aca="false">IF(AND(E315="budget_probe",ISNUMBER(F315),I315&lt;&gt;Lists!$X$4),1,0)</f>
        <v>0</v>
      </c>
      <c r="AB315" s="30" t="str">
        <f aca="false">IF(AND(B315="office",AA315=1,COUNTIFS(C$5:C315,C315,AA$5:AA315,1)=1),F315,"")</f>
        <v/>
      </c>
      <c r="AC315" s="30" t="str">
        <f aca="false">IF(AND(B315="brand",AA315=1,COUNTIFS(C$5:C315,C315,AA$5:AA315,1)=1),F315,"")</f>
        <v/>
      </c>
      <c r="AD315" s="30" t="str">
        <f aca="false">IF(AND(B315="brand",E315="budget_probe",ISNUMBER(F315),I315=Lists!$X$4),IF(COUNTIFS(C$5:C315,C315,E$5:E315,"budget_probe",I$5:I315,Lists!$X$4)=1,F315,""),"")</f>
        <v/>
      </c>
      <c r="AE315" s="30" t="n">
        <f aca="false">IF(AND(B315="brand",E315="paid",ISNUMBER(F315)),IF(AND(SUMIFS(F$5:F315,B$5:B315,"brand",C$5:C315,C315,E$5:E315,"paid")&gt;=Inputs!$C$44,SUMIFS(F$5:F315,B$5:B315,"brand",C$5:C315,C315,E$5:E315,"paid")-F315&lt;Inputs!$C$44),1,0),0)</f>
        <v>0</v>
      </c>
    </row>
    <row r="316" customFormat="false" ht="15" hidden="false" customHeight="false" outlineLevel="0" collapsed="false">
      <c r="A316" s="102"/>
      <c r="B316" s="103"/>
      <c r="C316" s="103"/>
      <c r="D316" s="103"/>
      <c r="E316" s="103"/>
      <c r="F316" s="103"/>
      <c r="G316" s="103"/>
      <c r="H316" s="103"/>
      <c r="I316" s="103"/>
      <c r="T316" s="30" t="str">
        <f aca="false">IF(C316="","",IF(COUNTIFS(C$5:C316,C316,E$5:E316,E316)=1,1,0))</f>
        <v/>
      </c>
      <c r="U316" s="30" t="n">
        <f aca="false">IF(C316="",0,IF(AND(B316="brand",E316="budget_probe",N(F316)&gt;=Inputs!$C$124,H316="Y"),1,0))</f>
        <v>0</v>
      </c>
      <c r="V316" s="30" t="n">
        <f aca="false">IF(U316=1,IF(COUNTIFS(C$5:C316,C316,U$5:U316,1)=1,1,0),0)</f>
        <v>0</v>
      </c>
      <c r="W316" s="30" t="n">
        <f aca="false">IF(C316="",0,IF(AND(B316="office",E316="budget_probe",N(F316)&gt;=Inputs!$C$139),1,0))</f>
        <v>0</v>
      </c>
      <c r="X316" s="30" t="n">
        <f aca="false">IF(W316=1,IF(COUNTIFS(C$5:C316,C316,W$5:W316,1)=1,1,0),0)</f>
        <v>0</v>
      </c>
      <c r="Y316" s="30" t="n">
        <f aca="false">IF(C316="",0,IF(AND(B316="brand",E316="renewal_answer",TRIM(G316)="yes",N(F316)&gt;=Inputs!$C$135),1,0))</f>
        <v>0</v>
      </c>
      <c r="Z316" s="30" t="n">
        <f aca="false">IF(Y316=1,IF(COUNTIFS(C$5:C316,C316,Y$5:Y316,1)=1,1,0),0)</f>
        <v>0</v>
      </c>
      <c r="AA316" s="30" t="n">
        <f aca="false">IF(AND(E316="budget_probe",ISNUMBER(F316),I316&lt;&gt;Lists!$X$4),1,0)</f>
        <v>0</v>
      </c>
      <c r="AB316" s="30" t="str">
        <f aca="false">IF(AND(B316="office",AA316=1,COUNTIFS(C$5:C316,C316,AA$5:AA316,1)=1),F316,"")</f>
        <v/>
      </c>
      <c r="AC316" s="30" t="str">
        <f aca="false">IF(AND(B316="brand",AA316=1,COUNTIFS(C$5:C316,C316,AA$5:AA316,1)=1),F316,"")</f>
        <v/>
      </c>
      <c r="AD316" s="30" t="str">
        <f aca="false">IF(AND(B316="brand",E316="budget_probe",ISNUMBER(F316),I316=Lists!$X$4),IF(COUNTIFS(C$5:C316,C316,E$5:E316,"budget_probe",I$5:I316,Lists!$X$4)=1,F316,""),"")</f>
        <v/>
      </c>
      <c r="AE316" s="30" t="n">
        <f aca="false">IF(AND(B316="brand",E316="paid",ISNUMBER(F316)),IF(AND(SUMIFS(F$5:F316,B$5:B316,"brand",C$5:C316,C316,E$5:E316,"paid")&gt;=Inputs!$C$44,SUMIFS(F$5:F316,B$5:B316,"brand",C$5:C316,C316,E$5:E316,"paid")-F316&lt;Inputs!$C$44),1,0),0)</f>
        <v>0</v>
      </c>
    </row>
    <row r="317" customFormat="false" ht="15" hidden="false" customHeight="false" outlineLevel="0" collapsed="false">
      <c r="A317" s="102"/>
      <c r="B317" s="103"/>
      <c r="C317" s="103"/>
      <c r="D317" s="103"/>
      <c r="E317" s="103"/>
      <c r="F317" s="103"/>
      <c r="G317" s="103"/>
      <c r="H317" s="103"/>
      <c r="I317" s="103"/>
      <c r="T317" s="30" t="str">
        <f aca="false">IF(C317="","",IF(COUNTIFS(C$5:C317,C317,E$5:E317,E317)=1,1,0))</f>
        <v/>
      </c>
      <c r="U317" s="30" t="n">
        <f aca="false">IF(C317="",0,IF(AND(B317="brand",E317="budget_probe",N(F317)&gt;=Inputs!$C$124,H317="Y"),1,0))</f>
        <v>0</v>
      </c>
      <c r="V317" s="30" t="n">
        <f aca="false">IF(U317=1,IF(COUNTIFS(C$5:C317,C317,U$5:U317,1)=1,1,0),0)</f>
        <v>0</v>
      </c>
      <c r="W317" s="30" t="n">
        <f aca="false">IF(C317="",0,IF(AND(B317="office",E317="budget_probe",N(F317)&gt;=Inputs!$C$139),1,0))</f>
        <v>0</v>
      </c>
      <c r="X317" s="30" t="n">
        <f aca="false">IF(W317=1,IF(COUNTIFS(C$5:C317,C317,W$5:W317,1)=1,1,0),0)</f>
        <v>0</v>
      </c>
      <c r="Y317" s="30" t="n">
        <f aca="false">IF(C317="",0,IF(AND(B317="brand",E317="renewal_answer",TRIM(G317)="yes",N(F317)&gt;=Inputs!$C$135),1,0))</f>
        <v>0</v>
      </c>
      <c r="Z317" s="30" t="n">
        <f aca="false">IF(Y317=1,IF(COUNTIFS(C$5:C317,C317,Y$5:Y317,1)=1,1,0),0)</f>
        <v>0</v>
      </c>
      <c r="AA317" s="30" t="n">
        <f aca="false">IF(AND(E317="budget_probe",ISNUMBER(F317),I317&lt;&gt;Lists!$X$4),1,0)</f>
        <v>0</v>
      </c>
      <c r="AB317" s="30" t="str">
        <f aca="false">IF(AND(B317="office",AA317=1,COUNTIFS(C$5:C317,C317,AA$5:AA317,1)=1),F317,"")</f>
        <v/>
      </c>
      <c r="AC317" s="30" t="str">
        <f aca="false">IF(AND(B317="brand",AA317=1,COUNTIFS(C$5:C317,C317,AA$5:AA317,1)=1),F317,"")</f>
        <v/>
      </c>
      <c r="AD317" s="30" t="str">
        <f aca="false">IF(AND(B317="brand",E317="budget_probe",ISNUMBER(F317),I317=Lists!$X$4),IF(COUNTIFS(C$5:C317,C317,E$5:E317,"budget_probe",I$5:I317,Lists!$X$4)=1,F317,""),"")</f>
        <v/>
      </c>
      <c r="AE317" s="30" t="n">
        <f aca="false">IF(AND(B317="brand",E317="paid",ISNUMBER(F317)),IF(AND(SUMIFS(F$5:F317,B$5:B317,"brand",C$5:C317,C317,E$5:E317,"paid")&gt;=Inputs!$C$44,SUMIFS(F$5:F317,B$5:B317,"brand",C$5:C317,C317,E$5:E317,"paid")-F317&lt;Inputs!$C$44),1,0),0)</f>
        <v>0</v>
      </c>
    </row>
    <row r="318" customFormat="false" ht="15" hidden="false" customHeight="false" outlineLevel="0" collapsed="false">
      <c r="A318" s="102"/>
      <c r="B318" s="103"/>
      <c r="C318" s="103"/>
      <c r="D318" s="103"/>
      <c r="E318" s="103"/>
      <c r="F318" s="103"/>
      <c r="G318" s="103"/>
      <c r="H318" s="103"/>
      <c r="I318" s="103"/>
      <c r="T318" s="30" t="str">
        <f aca="false">IF(C318="","",IF(COUNTIFS(C$5:C318,C318,E$5:E318,E318)=1,1,0))</f>
        <v/>
      </c>
      <c r="U318" s="30" t="n">
        <f aca="false">IF(C318="",0,IF(AND(B318="brand",E318="budget_probe",N(F318)&gt;=Inputs!$C$124,H318="Y"),1,0))</f>
        <v>0</v>
      </c>
      <c r="V318" s="30" t="n">
        <f aca="false">IF(U318=1,IF(COUNTIFS(C$5:C318,C318,U$5:U318,1)=1,1,0),0)</f>
        <v>0</v>
      </c>
      <c r="W318" s="30" t="n">
        <f aca="false">IF(C318="",0,IF(AND(B318="office",E318="budget_probe",N(F318)&gt;=Inputs!$C$139),1,0))</f>
        <v>0</v>
      </c>
      <c r="X318" s="30" t="n">
        <f aca="false">IF(W318=1,IF(COUNTIFS(C$5:C318,C318,W$5:W318,1)=1,1,0),0)</f>
        <v>0</v>
      </c>
      <c r="Y318" s="30" t="n">
        <f aca="false">IF(C318="",0,IF(AND(B318="brand",E318="renewal_answer",TRIM(G318)="yes",N(F318)&gt;=Inputs!$C$135),1,0))</f>
        <v>0</v>
      </c>
      <c r="Z318" s="30" t="n">
        <f aca="false">IF(Y318=1,IF(COUNTIFS(C$5:C318,C318,Y$5:Y318,1)=1,1,0),0)</f>
        <v>0</v>
      </c>
      <c r="AA318" s="30" t="n">
        <f aca="false">IF(AND(E318="budget_probe",ISNUMBER(F318),I318&lt;&gt;Lists!$X$4),1,0)</f>
        <v>0</v>
      </c>
      <c r="AB318" s="30" t="str">
        <f aca="false">IF(AND(B318="office",AA318=1,COUNTIFS(C$5:C318,C318,AA$5:AA318,1)=1),F318,"")</f>
        <v/>
      </c>
      <c r="AC318" s="30" t="str">
        <f aca="false">IF(AND(B318="brand",AA318=1,COUNTIFS(C$5:C318,C318,AA$5:AA318,1)=1),F318,"")</f>
        <v/>
      </c>
      <c r="AD318" s="30" t="str">
        <f aca="false">IF(AND(B318="brand",E318="budget_probe",ISNUMBER(F318),I318=Lists!$X$4),IF(COUNTIFS(C$5:C318,C318,E$5:E318,"budget_probe",I$5:I318,Lists!$X$4)=1,F318,""),"")</f>
        <v/>
      </c>
      <c r="AE318" s="30" t="n">
        <f aca="false">IF(AND(B318="brand",E318="paid",ISNUMBER(F318)),IF(AND(SUMIFS(F$5:F318,B$5:B318,"brand",C$5:C318,C318,E$5:E318,"paid")&gt;=Inputs!$C$44,SUMIFS(F$5:F318,B$5:B318,"brand",C$5:C318,C318,E$5:E318,"paid")-F318&lt;Inputs!$C$44),1,0),0)</f>
        <v>0</v>
      </c>
    </row>
    <row r="319" customFormat="false" ht="15" hidden="false" customHeight="false" outlineLevel="0" collapsed="false">
      <c r="A319" s="102"/>
      <c r="B319" s="103"/>
      <c r="C319" s="103"/>
      <c r="D319" s="103"/>
      <c r="E319" s="103"/>
      <c r="F319" s="103"/>
      <c r="G319" s="103"/>
      <c r="H319" s="103"/>
      <c r="I319" s="103"/>
      <c r="T319" s="30" t="str">
        <f aca="false">IF(C319="","",IF(COUNTIFS(C$5:C319,C319,E$5:E319,E319)=1,1,0))</f>
        <v/>
      </c>
      <c r="U319" s="30" t="n">
        <f aca="false">IF(C319="",0,IF(AND(B319="brand",E319="budget_probe",N(F319)&gt;=Inputs!$C$124,H319="Y"),1,0))</f>
        <v>0</v>
      </c>
      <c r="V319" s="30" t="n">
        <f aca="false">IF(U319=1,IF(COUNTIFS(C$5:C319,C319,U$5:U319,1)=1,1,0),0)</f>
        <v>0</v>
      </c>
      <c r="W319" s="30" t="n">
        <f aca="false">IF(C319="",0,IF(AND(B319="office",E319="budget_probe",N(F319)&gt;=Inputs!$C$139),1,0))</f>
        <v>0</v>
      </c>
      <c r="X319" s="30" t="n">
        <f aca="false">IF(W319=1,IF(COUNTIFS(C$5:C319,C319,W$5:W319,1)=1,1,0),0)</f>
        <v>0</v>
      </c>
      <c r="Y319" s="30" t="n">
        <f aca="false">IF(C319="",0,IF(AND(B319="brand",E319="renewal_answer",TRIM(G319)="yes",N(F319)&gt;=Inputs!$C$135),1,0))</f>
        <v>0</v>
      </c>
      <c r="Z319" s="30" t="n">
        <f aca="false">IF(Y319=1,IF(COUNTIFS(C$5:C319,C319,Y$5:Y319,1)=1,1,0),0)</f>
        <v>0</v>
      </c>
      <c r="AA319" s="30" t="n">
        <f aca="false">IF(AND(E319="budget_probe",ISNUMBER(F319),I319&lt;&gt;Lists!$X$4),1,0)</f>
        <v>0</v>
      </c>
      <c r="AB319" s="30" t="str">
        <f aca="false">IF(AND(B319="office",AA319=1,COUNTIFS(C$5:C319,C319,AA$5:AA319,1)=1),F319,"")</f>
        <v/>
      </c>
      <c r="AC319" s="30" t="str">
        <f aca="false">IF(AND(B319="brand",AA319=1,COUNTIFS(C$5:C319,C319,AA$5:AA319,1)=1),F319,"")</f>
        <v/>
      </c>
      <c r="AD319" s="30" t="str">
        <f aca="false">IF(AND(B319="brand",E319="budget_probe",ISNUMBER(F319),I319=Lists!$X$4),IF(COUNTIFS(C$5:C319,C319,E$5:E319,"budget_probe",I$5:I319,Lists!$X$4)=1,F319,""),"")</f>
        <v/>
      </c>
      <c r="AE319" s="30" t="n">
        <f aca="false">IF(AND(B319="brand",E319="paid",ISNUMBER(F319)),IF(AND(SUMIFS(F$5:F319,B$5:B319,"brand",C$5:C319,C319,E$5:E319,"paid")&gt;=Inputs!$C$44,SUMIFS(F$5:F319,B$5:B319,"brand",C$5:C319,C319,E$5:E319,"paid")-F319&lt;Inputs!$C$44),1,0),0)</f>
        <v>0</v>
      </c>
    </row>
    <row r="320" customFormat="false" ht="15" hidden="false" customHeight="false" outlineLevel="0" collapsed="false">
      <c r="A320" s="102"/>
      <c r="B320" s="103"/>
      <c r="C320" s="103"/>
      <c r="D320" s="103"/>
      <c r="E320" s="103"/>
      <c r="F320" s="103"/>
      <c r="G320" s="103"/>
      <c r="H320" s="103"/>
      <c r="I320" s="103"/>
      <c r="T320" s="30" t="str">
        <f aca="false">IF(C320="","",IF(COUNTIFS(C$5:C320,C320,E$5:E320,E320)=1,1,0))</f>
        <v/>
      </c>
      <c r="U320" s="30" t="n">
        <f aca="false">IF(C320="",0,IF(AND(B320="brand",E320="budget_probe",N(F320)&gt;=Inputs!$C$124,H320="Y"),1,0))</f>
        <v>0</v>
      </c>
      <c r="V320" s="30" t="n">
        <f aca="false">IF(U320=1,IF(COUNTIFS(C$5:C320,C320,U$5:U320,1)=1,1,0),0)</f>
        <v>0</v>
      </c>
      <c r="W320" s="30" t="n">
        <f aca="false">IF(C320="",0,IF(AND(B320="office",E320="budget_probe",N(F320)&gt;=Inputs!$C$139),1,0))</f>
        <v>0</v>
      </c>
      <c r="X320" s="30" t="n">
        <f aca="false">IF(W320=1,IF(COUNTIFS(C$5:C320,C320,W$5:W320,1)=1,1,0),0)</f>
        <v>0</v>
      </c>
      <c r="Y320" s="30" t="n">
        <f aca="false">IF(C320="",0,IF(AND(B320="brand",E320="renewal_answer",TRIM(G320)="yes",N(F320)&gt;=Inputs!$C$135),1,0))</f>
        <v>0</v>
      </c>
      <c r="Z320" s="30" t="n">
        <f aca="false">IF(Y320=1,IF(COUNTIFS(C$5:C320,C320,Y$5:Y320,1)=1,1,0),0)</f>
        <v>0</v>
      </c>
      <c r="AA320" s="30" t="n">
        <f aca="false">IF(AND(E320="budget_probe",ISNUMBER(F320),I320&lt;&gt;Lists!$X$4),1,0)</f>
        <v>0</v>
      </c>
      <c r="AB320" s="30" t="str">
        <f aca="false">IF(AND(B320="office",AA320=1,COUNTIFS(C$5:C320,C320,AA$5:AA320,1)=1),F320,"")</f>
        <v/>
      </c>
      <c r="AC320" s="30" t="str">
        <f aca="false">IF(AND(B320="brand",AA320=1,COUNTIFS(C$5:C320,C320,AA$5:AA320,1)=1),F320,"")</f>
        <v/>
      </c>
      <c r="AD320" s="30" t="str">
        <f aca="false">IF(AND(B320="brand",E320="budget_probe",ISNUMBER(F320),I320=Lists!$X$4),IF(COUNTIFS(C$5:C320,C320,E$5:E320,"budget_probe",I$5:I320,Lists!$X$4)=1,F320,""),"")</f>
        <v/>
      </c>
      <c r="AE320" s="30" t="n">
        <f aca="false">IF(AND(B320="brand",E320="paid",ISNUMBER(F320)),IF(AND(SUMIFS(F$5:F320,B$5:B320,"brand",C$5:C320,C320,E$5:E320,"paid")&gt;=Inputs!$C$44,SUMIFS(F$5:F320,B$5:B320,"brand",C$5:C320,C320,E$5:E320,"paid")-F320&lt;Inputs!$C$44),1,0),0)</f>
        <v>0</v>
      </c>
    </row>
    <row r="321" customFormat="false" ht="15" hidden="false" customHeight="false" outlineLevel="0" collapsed="false">
      <c r="A321" s="102"/>
      <c r="B321" s="103"/>
      <c r="C321" s="103"/>
      <c r="D321" s="103"/>
      <c r="E321" s="103"/>
      <c r="F321" s="103"/>
      <c r="G321" s="103"/>
      <c r="H321" s="103"/>
      <c r="I321" s="103"/>
      <c r="T321" s="30" t="str">
        <f aca="false">IF(C321="","",IF(COUNTIFS(C$5:C321,C321,E$5:E321,E321)=1,1,0))</f>
        <v/>
      </c>
      <c r="U321" s="30" t="n">
        <f aca="false">IF(C321="",0,IF(AND(B321="brand",E321="budget_probe",N(F321)&gt;=Inputs!$C$124,H321="Y"),1,0))</f>
        <v>0</v>
      </c>
      <c r="V321" s="30" t="n">
        <f aca="false">IF(U321=1,IF(COUNTIFS(C$5:C321,C321,U$5:U321,1)=1,1,0),0)</f>
        <v>0</v>
      </c>
      <c r="W321" s="30" t="n">
        <f aca="false">IF(C321="",0,IF(AND(B321="office",E321="budget_probe",N(F321)&gt;=Inputs!$C$139),1,0))</f>
        <v>0</v>
      </c>
      <c r="X321" s="30" t="n">
        <f aca="false">IF(W321=1,IF(COUNTIFS(C$5:C321,C321,W$5:W321,1)=1,1,0),0)</f>
        <v>0</v>
      </c>
      <c r="Y321" s="30" t="n">
        <f aca="false">IF(C321="",0,IF(AND(B321="brand",E321="renewal_answer",TRIM(G321)="yes",N(F321)&gt;=Inputs!$C$135),1,0))</f>
        <v>0</v>
      </c>
      <c r="Z321" s="30" t="n">
        <f aca="false">IF(Y321=1,IF(COUNTIFS(C$5:C321,C321,Y$5:Y321,1)=1,1,0),0)</f>
        <v>0</v>
      </c>
      <c r="AA321" s="30" t="n">
        <f aca="false">IF(AND(E321="budget_probe",ISNUMBER(F321),I321&lt;&gt;Lists!$X$4),1,0)</f>
        <v>0</v>
      </c>
      <c r="AB321" s="30" t="str">
        <f aca="false">IF(AND(B321="office",AA321=1,COUNTIFS(C$5:C321,C321,AA$5:AA321,1)=1),F321,"")</f>
        <v/>
      </c>
      <c r="AC321" s="30" t="str">
        <f aca="false">IF(AND(B321="brand",AA321=1,COUNTIFS(C$5:C321,C321,AA$5:AA321,1)=1),F321,"")</f>
        <v/>
      </c>
      <c r="AD321" s="30" t="str">
        <f aca="false">IF(AND(B321="brand",E321="budget_probe",ISNUMBER(F321),I321=Lists!$X$4),IF(COUNTIFS(C$5:C321,C321,E$5:E321,"budget_probe",I$5:I321,Lists!$X$4)=1,F321,""),"")</f>
        <v/>
      </c>
      <c r="AE321" s="30" t="n">
        <f aca="false">IF(AND(B321="brand",E321="paid",ISNUMBER(F321)),IF(AND(SUMIFS(F$5:F321,B$5:B321,"brand",C$5:C321,C321,E$5:E321,"paid")&gt;=Inputs!$C$44,SUMIFS(F$5:F321,B$5:B321,"brand",C$5:C321,C321,E$5:E321,"paid")-F321&lt;Inputs!$C$44),1,0),0)</f>
        <v>0</v>
      </c>
    </row>
    <row r="322" customFormat="false" ht="15" hidden="false" customHeight="false" outlineLevel="0" collapsed="false">
      <c r="A322" s="102"/>
      <c r="B322" s="103"/>
      <c r="C322" s="103"/>
      <c r="D322" s="103"/>
      <c r="E322" s="103"/>
      <c r="F322" s="103"/>
      <c r="G322" s="103"/>
      <c r="H322" s="103"/>
      <c r="I322" s="103"/>
      <c r="T322" s="30" t="str">
        <f aca="false">IF(C322="","",IF(COUNTIFS(C$5:C322,C322,E$5:E322,E322)=1,1,0))</f>
        <v/>
      </c>
      <c r="U322" s="30" t="n">
        <f aca="false">IF(C322="",0,IF(AND(B322="brand",E322="budget_probe",N(F322)&gt;=Inputs!$C$124,H322="Y"),1,0))</f>
        <v>0</v>
      </c>
      <c r="V322" s="30" t="n">
        <f aca="false">IF(U322=1,IF(COUNTIFS(C$5:C322,C322,U$5:U322,1)=1,1,0),0)</f>
        <v>0</v>
      </c>
      <c r="W322" s="30" t="n">
        <f aca="false">IF(C322="",0,IF(AND(B322="office",E322="budget_probe",N(F322)&gt;=Inputs!$C$139),1,0))</f>
        <v>0</v>
      </c>
      <c r="X322" s="30" t="n">
        <f aca="false">IF(W322=1,IF(COUNTIFS(C$5:C322,C322,W$5:W322,1)=1,1,0),0)</f>
        <v>0</v>
      </c>
      <c r="Y322" s="30" t="n">
        <f aca="false">IF(C322="",0,IF(AND(B322="brand",E322="renewal_answer",TRIM(G322)="yes",N(F322)&gt;=Inputs!$C$135),1,0))</f>
        <v>0</v>
      </c>
      <c r="Z322" s="30" t="n">
        <f aca="false">IF(Y322=1,IF(COUNTIFS(C$5:C322,C322,Y$5:Y322,1)=1,1,0),0)</f>
        <v>0</v>
      </c>
      <c r="AA322" s="30" t="n">
        <f aca="false">IF(AND(E322="budget_probe",ISNUMBER(F322),I322&lt;&gt;Lists!$X$4),1,0)</f>
        <v>0</v>
      </c>
      <c r="AB322" s="30" t="str">
        <f aca="false">IF(AND(B322="office",AA322=1,COUNTIFS(C$5:C322,C322,AA$5:AA322,1)=1),F322,"")</f>
        <v/>
      </c>
      <c r="AC322" s="30" t="str">
        <f aca="false">IF(AND(B322="brand",AA322=1,COUNTIFS(C$5:C322,C322,AA$5:AA322,1)=1),F322,"")</f>
        <v/>
      </c>
      <c r="AD322" s="30" t="str">
        <f aca="false">IF(AND(B322="brand",E322="budget_probe",ISNUMBER(F322),I322=Lists!$X$4),IF(COUNTIFS(C$5:C322,C322,E$5:E322,"budget_probe",I$5:I322,Lists!$X$4)=1,F322,""),"")</f>
        <v/>
      </c>
      <c r="AE322" s="30" t="n">
        <f aca="false">IF(AND(B322="brand",E322="paid",ISNUMBER(F322)),IF(AND(SUMIFS(F$5:F322,B$5:B322,"brand",C$5:C322,C322,E$5:E322,"paid")&gt;=Inputs!$C$44,SUMIFS(F$5:F322,B$5:B322,"brand",C$5:C322,C322,E$5:E322,"paid")-F322&lt;Inputs!$C$44),1,0),0)</f>
        <v>0</v>
      </c>
    </row>
    <row r="323" customFormat="false" ht="15" hidden="false" customHeight="false" outlineLevel="0" collapsed="false">
      <c r="A323" s="102"/>
      <c r="B323" s="103"/>
      <c r="C323" s="103"/>
      <c r="D323" s="103"/>
      <c r="E323" s="103"/>
      <c r="F323" s="103"/>
      <c r="G323" s="103"/>
      <c r="H323" s="103"/>
      <c r="I323" s="103"/>
      <c r="T323" s="30" t="str">
        <f aca="false">IF(C323="","",IF(COUNTIFS(C$5:C323,C323,E$5:E323,E323)=1,1,0))</f>
        <v/>
      </c>
      <c r="U323" s="30" t="n">
        <f aca="false">IF(C323="",0,IF(AND(B323="brand",E323="budget_probe",N(F323)&gt;=Inputs!$C$124,H323="Y"),1,0))</f>
        <v>0</v>
      </c>
      <c r="V323" s="30" t="n">
        <f aca="false">IF(U323=1,IF(COUNTIFS(C$5:C323,C323,U$5:U323,1)=1,1,0),0)</f>
        <v>0</v>
      </c>
      <c r="W323" s="30" t="n">
        <f aca="false">IF(C323="",0,IF(AND(B323="office",E323="budget_probe",N(F323)&gt;=Inputs!$C$139),1,0))</f>
        <v>0</v>
      </c>
      <c r="X323" s="30" t="n">
        <f aca="false">IF(W323=1,IF(COUNTIFS(C$5:C323,C323,W$5:W323,1)=1,1,0),0)</f>
        <v>0</v>
      </c>
      <c r="Y323" s="30" t="n">
        <f aca="false">IF(C323="",0,IF(AND(B323="brand",E323="renewal_answer",TRIM(G323)="yes",N(F323)&gt;=Inputs!$C$135),1,0))</f>
        <v>0</v>
      </c>
      <c r="Z323" s="30" t="n">
        <f aca="false">IF(Y323=1,IF(COUNTIFS(C$5:C323,C323,Y$5:Y323,1)=1,1,0),0)</f>
        <v>0</v>
      </c>
      <c r="AA323" s="30" t="n">
        <f aca="false">IF(AND(E323="budget_probe",ISNUMBER(F323),I323&lt;&gt;Lists!$X$4),1,0)</f>
        <v>0</v>
      </c>
      <c r="AB323" s="30" t="str">
        <f aca="false">IF(AND(B323="office",AA323=1,COUNTIFS(C$5:C323,C323,AA$5:AA323,1)=1),F323,"")</f>
        <v/>
      </c>
      <c r="AC323" s="30" t="str">
        <f aca="false">IF(AND(B323="brand",AA323=1,COUNTIFS(C$5:C323,C323,AA$5:AA323,1)=1),F323,"")</f>
        <v/>
      </c>
      <c r="AD323" s="30" t="str">
        <f aca="false">IF(AND(B323="brand",E323="budget_probe",ISNUMBER(F323),I323=Lists!$X$4),IF(COUNTIFS(C$5:C323,C323,E$5:E323,"budget_probe",I$5:I323,Lists!$X$4)=1,F323,""),"")</f>
        <v/>
      </c>
      <c r="AE323" s="30" t="n">
        <f aca="false">IF(AND(B323="brand",E323="paid",ISNUMBER(F323)),IF(AND(SUMIFS(F$5:F323,B$5:B323,"brand",C$5:C323,C323,E$5:E323,"paid")&gt;=Inputs!$C$44,SUMIFS(F$5:F323,B$5:B323,"brand",C$5:C323,C323,E$5:E323,"paid")-F323&lt;Inputs!$C$44),1,0),0)</f>
        <v>0</v>
      </c>
    </row>
    <row r="324" customFormat="false" ht="15" hidden="false" customHeight="false" outlineLevel="0" collapsed="false">
      <c r="A324" s="102"/>
      <c r="B324" s="103"/>
      <c r="C324" s="103"/>
      <c r="D324" s="103"/>
      <c r="E324" s="103"/>
      <c r="F324" s="103"/>
      <c r="G324" s="103"/>
      <c r="H324" s="103"/>
      <c r="I324" s="103"/>
      <c r="T324" s="30" t="str">
        <f aca="false">IF(C324="","",IF(COUNTIFS(C$5:C324,C324,E$5:E324,E324)=1,1,0))</f>
        <v/>
      </c>
      <c r="U324" s="30" t="n">
        <f aca="false">IF(C324="",0,IF(AND(B324="brand",E324="budget_probe",N(F324)&gt;=Inputs!$C$124,H324="Y"),1,0))</f>
        <v>0</v>
      </c>
      <c r="V324" s="30" t="n">
        <f aca="false">IF(U324=1,IF(COUNTIFS(C$5:C324,C324,U$5:U324,1)=1,1,0),0)</f>
        <v>0</v>
      </c>
      <c r="W324" s="30" t="n">
        <f aca="false">IF(C324="",0,IF(AND(B324="office",E324="budget_probe",N(F324)&gt;=Inputs!$C$139),1,0))</f>
        <v>0</v>
      </c>
      <c r="X324" s="30" t="n">
        <f aca="false">IF(W324=1,IF(COUNTIFS(C$5:C324,C324,W$5:W324,1)=1,1,0),0)</f>
        <v>0</v>
      </c>
      <c r="Y324" s="30" t="n">
        <f aca="false">IF(C324="",0,IF(AND(B324="brand",E324="renewal_answer",TRIM(G324)="yes",N(F324)&gt;=Inputs!$C$135),1,0))</f>
        <v>0</v>
      </c>
      <c r="Z324" s="30" t="n">
        <f aca="false">IF(Y324=1,IF(COUNTIFS(C$5:C324,C324,Y$5:Y324,1)=1,1,0),0)</f>
        <v>0</v>
      </c>
      <c r="AA324" s="30" t="n">
        <f aca="false">IF(AND(E324="budget_probe",ISNUMBER(F324),I324&lt;&gt;Lists!$X$4),1,0)</f>
        <v>0</v>
      </c>
      <c r="AB324" s="30" t="str">
        <f aca="false">IF(AND(B324="office",AA324=1,COUNTIFS(C$5:C324,C324,AA$5:AA324,1)=1),F324,"")</f>
        <v/>
      </c>
      <c r="AC324" s="30" t="str">
        <f aca="false">IF(AND(B324="brand",AA324=1,COUNTIFS(C$5:C324,C324,AA$5:AA324,1)=1),F324,"")</f>
        <v/>
      </c>
      <c r="AD324" s="30" t="str">
        <f aca="false">IF(AND(B324="brand",E324="budget_probe",ISNUMBER(F324),I324=Lists!$X$4),IF(COUNTIFS(C$5:C324,C324,E$5:E324,"budget_probe",I$5:I324,Lists!$X$4)=1,F324,""),"")</f>
        <v/>
      </c>
      <c r="AE324" s="30" t="n">
        <f aca="false">IF(AND(B324="brand",E324="paid",ISNUMBER(F324)),IF(AND(SUMIFS(F$5:F324,B$5:B324,"brand",C$5:C324,C324,E$5:E324,"paid")&gt;=Inputs!$C$44,SUMIFS(F$5:F324,B$5:B324,"brand",C$5:C324,C324,E$5:E324,"paid")-F324&lt;Inputs!$C$44),1,0),0)</f>
        <v>0</v>
      </c>
    </row>
    <row r="325" customFormat="false" ht="15" hidden="false" customHeight="false" outlineLevel="0" collapsed="false">
      <c r="A325" s="102"/>
      <c r="B325" s="103"/>
      <c r="C325" s="103"/>
      <c r="D325" s="103"/>
      <c r="E325" s="103"/>
      <c r="F325" s="103"/>
      <c r="G325" s="103"/>
      <c r="H325" s="103"/>
      <c r="I325" s="103"/>
      <c r="T325" s="30" t="str">
        <f aca="false">IF(C325="","",IF(COUNTIFS(C$5:C325,C325,E$5:E325,E325)=1,1,0))</f>
        <v/>
      </c>
      <c r="U325" s="30" t="n">
        <f aca="false">IF(C325="",0,IF(AND(B325="brand",E325="budget_probe",N(F325)&gt;=Inputs!$C$124,H325="Y"),1,0))</f>
        <v>0</v>
      </c>
      <c r="V325" s="30" t="n">
        <f aca="false">IF(U325=1,IF(COUNTIFS(C$5:C325,C325,U$5:U325,1)=1,1,0),0)</f>
        <v>0</v>
      </c>
      <c r="W325" s="30" t="n">
        <f aca="false">IF(C325="",0,IF(AND(B325="office",E325="budget_probe",N(F325)&gt;=Inputs!$C$139),1,0))</f>
        <v>0</v>
      </c>
      <c r="X325" s="30" t="n">
        <f aca="false">IF(W325=1,IF(COUNTIFS(C$5:C325,C325,W$5:W325,1)=1,1,0),0)</f>
        <v>0</v>
      </c>
      <c r="Y325" s="30" t="n">
        <f aca="false">IF(C325="",0,IF(AND(B325="brand",E325="renewal_answer",TRIM(G325)="yes",N(F325)&gt;=Inputs!$C$135),1,0))</f>
        <v>0</v>
      </c>
      <c r="Z325" s="30" t="n">
        <f aca="false">IF(Y325=1,IF(COUNTIFS(C$5:C325,C325,Y$5:Y325,1)=1,1,0),0)</f>
        <v>0</v>
      </c>
      <c r="AA325" s="30" t="n">
        <f aca="false">IF(AND(E325="budget_probe",ISNUMBER(F325),I325&lt;&gt;Lists!$X$4),1,0)</f>
        <v>0</v>
      </c>
      <c r="AB325" s="30" t="str">
        <f aca="false">IF(AND(B325="office",AA325=1,COUNTIFS(C$5:C325,C325,AA$5:AA325,1)=1),F325,"")</f>
        <v/>
      </c>
      <c r="AC325" s="30" t="str">
        <f aca="false">IF(AND(B325="brand",AA325=1,COUNTIFS(C$5:C325,C325,AA$5:AA325,1)=1),F325,"")</f>
        <v/>
      </c>
      <c r="AD325" s="30" t="str">
        <f aca="false">IF(AND(B325="brand",E325="budget_probe",ISNUMBER(F325),I325=Lists!$X$4),IF(COUNTIFS(C$5:C325,C325,E$5:E325,"budget_probe",I$5:I325,Lists!$X$4)=1,F325,""),"")</f>
        <v/>
      </c>
      <c r="AE325" s="30" t="n">
        <f aca="false">IF(AND(B325="brand",E325="paid",ISNUMBER(F325)),IF(AND(SUMIFS(F$5:F325,B$5:B325,"brand",C$5:C325,C325,E$5:E325,"paid")&gt;=Inputs!$C$44,SUMIFS(F$5:F325,B$5:B325,"brand",C$5:C325,C325,E$5:E325,"paid")-F325&lt;Inputs!$C$44),1,0),0)</f>
        <v>0</v>
      </c>
    </row>
    <row r="326" customFormat="false" ht="15" hidden="false" customHeight="false" outlineLevel="0" collapsed="false">
      <c r="A326" s="102"/>
      <c r="B326" s="103"/>
      <c r="C326" s="103"/>
      <c r="D326" s="103"/>
      <c r="E326" s="103"/>
      <c r="F326" s="103"/>
      <c r="G326" s="103"/>
      <c r="H326" s="103"/>
      <c r="I326" s="103"/>
      <c r="T326" s="30" t="str">
        <f aca="false">IF(C326="","",IF(COUNTIFS(C$5:C326,C326,E$5:E326,E326)=1,1,0))</f>
        <v/>
      </c>
      <c r="U326" s="30" t="n">
        <f aca="false">IF(C326="",0,IF(AND(B326="brand",E326="budget_probe",N(F326)&gt;=Inputs!$C$124,H326="Y"),1,0))</f>
        <v>0</v>
      </c>
      <c r="V326" s="30" t="n">
        <f aca="false">IF(U326=1,IF(COUNTIFS(C$5:C326,C326,U$5:U326,1)=1,1,0),0)</f>
        <v>0</v>
      </c>
      <c r="W326" s="30" t="n">
        <f aca="false">IF(C326="",0,IF(AND(B326="office",E326="budget_probe",N(F326)&gt;=Inputs!$C$139),1,0))</f>
        <v>0</v>
      </c>
      <c r="X326" s="30" t="n">
        <f aca="false">IF(W326=1,IF(COUNTIFS(C$5:C326,C326,W$5:W326,1)=1,1,0),0)</f>
        <v>0</v>
      </c>
      <c r="Y326" s="30" t="n">
        <f aca="false">IF(C326="",0,IF(AND(B326="brand",E326="renewal_answer",TRIM(G326)="yes",N(F326)&gt;=Inputs!$C$135),1,0))</f>
        <v>0</v>
      </c>
      <c r="Z326" s="30" t="n">
        <f aca="false">IF(Y326=1,IF(COUNTIFS(C$5:C326,C326,Y$5:Y326,1)=1,1,0),0)</f>
        <v>0</v>
      </c>
      <c r="AA326" s="30" t="n">
        <f aca="false">IF(AND(E326="budget_probe",ISNUMBER(F326),I326&lt;&gt;Lists!$X$4),1,0)</f>
        <v>0</v>
      </c>
      <c r="AB326" s="30" t="str">
        <f aca="false">IF(AND(B326="office",AA326=1,COUNTIFS(C$5:C326,C326,AA$5:AA326,1)=1),F326,"")</f>
        <v/>
      </c>
      <c r="AC326" s="30" t="str">
        <f aca="false">IF(AND(B326="brand",AA326=1,COUNTIFS(C$5:C326,C326,AA$5:AA326,1)=1),F326,"")</f>
        <v/>
      </c>
      <c r="AD326" s="30" t="str">
        <f aca="false">IF(AND(B326="brand",E326="budget_probe",ISNUMBER(F326),I326=Lists!$X$4),IF(COUNTIFS(C$5:C326,C326,E$5:E326,"budget_probe",I$5:I326,Lists!$X$4)=1,F326,""),"")</f>
        <v/>
      </c>
      <c r="AE326" s="30" t="n">
        <f aca="false">IF(AND(B326="brand",E326="paid",ISNUMBER(F326)),IF(AND(SUMIFS(F$5:F326,B$5:B326,"brand",C$5:C326,C326,E$5:E326,"paid")&gt;=Inputs!$C$44,SUMIFS(F$5:F326,B$5:B326,"brand",C$5:C326,C326,E$5:E326,"paid")-F326&lt;Inputs!$C$44),1,0),0)</f>
        <v>0</v>
      </c>
    </row>
    <row r="327" customFormat="false" ht="15" hidden="false" customHeight="false" outlineLevel="0" collapsed="false">
      <c r="A327" s="102"/>
      <c r="B327" s="103"/>
      <c r="C327" s="103"/>
      <c r="D327" s="103"/>
      <c r="E327" s="103"/>
      <c r="F327" s="103"/>
      <c r="G327" s="103"/>
      <c r="H327" s="103"/>
      <c r="I327" s="103"/>
      <c r="T327" s="30" t="str">
        <f aca="false">IF(C327="","",IF(COUNTIFS(C$5:C327,C327,E$5:E327,E327)=1,1,0))</f>
        <v/>
      </c>
      <c r="U327" s="30" t="n">
        <f aca="false">IF(C327="",0,IF(AND(B327="brand",E327="budget_probe",N(F327)&gt;=Inputs!$C$124,H327="Y"),1,0))</f>
        <v>0</v>
      </c>
      <c r="V327" s="30" t="n">
        <f aca="false">IF(U327=1,IF(COUNTIFS(C$5:C327,C327,U$5:U327,1)=1,1,0),0)</f>
        <v>0</v>
      </c>
      <c r="W327" s="30" t="n">
        <f aca="false">IF(C327="",0,IF(AND(B327="office",E327="budget_probe",N(F327)&gt;=Inputs!$C$139),1,0))</f>
        <v>0</v>
      </c>
      <c r="X327" s="30" t="n">
        <f aca="false">IF(W327=1,IF(COUNTIFS(C$5:C327,C327,W$5:W327,1)=1,1,0),0)</f>
        <v>0</v>
      </c>
      <c r="Y327" s="30" t="n">
        <f aca="false">IF(C327="",0,IF(AND(B327="brand",E327="renewal_answer",TRIM(G327)="yes",N(F327)&gt;=Inputs!$C$135),1,0))</f>
        <v>0</v>
      </c>
      <c r="Z327" s="30" t="n">
        <f aca="false">IF(Y327=1,IF(COUNTIFS(C$5:C327,C327,Y$5:Y327,1)=1,1,0),0)</f>
        <v>0</v>
      </c>
      <c r="AA327" s="30" t="n">
        <f aca="false">IF(AND(E327="budget_probe",ISNUMBER(F327),I327&lt;&gt;Lists!$X$4),1,0)</f>
        <v>0</v>
      </c>
      <c r="AB327" s="30" t="str">
        <f aca="false">IF(AND(B327="office",AA327=1,COUNTIFS(C$5:C327,C327,AA$5:AA327,1)=1),F327,"")</f>
        <v/>
      </c>
      <c r="AC327" s="30" t="str">
        <f aca="false">IF(AND(B327="brand",AA327=1,COUNTIFS(C$5:C327,C327,AA$5:AA327,1)=1),F327,"")</f>
        <v/>
      </c>
      <c r="AD327" s="30" t="str">
        <f aca="false">IF(AND(B327="brand",E327="budget_probe",ISNUMBER(F327),I327=Lists!$X$4),IF(COUNTIFS(C$5:C327,C327,E$5:E327,"budget_probe",I$5:I327,Lists!$X$4)=1,F327,""),"")</f>
        <v/>
      </c>
      <c r="AE327" s="30" t="n">
        <f aca="false">IF(AND(B327="brand",E327="paid",ISNUMBER(F327)),IF(AND(SUMIFS(F$5:F327,B$5:B327,"brand",C$5:C327,C327,E$5:E327,"paid")&gt;=Inputs!$C$44,SUMIFS(F$5:F327,B$5:B327,"brand",C$5:C327,C327,E$5:E327,"paid")-F327&lt;Inputs!$C$44),1,0),0)</f>
        <v>0</v>
      </c>
    </row>
    <row r="328" customFormat="false" ht="15" hidden="false" customHeight="false" outlineLevel="0" collapsed="false">
      <c r="A328" s="102"/>
      <c r="B328" s="103"/>
      <c r="C328" s="103"/>
      <c r="D328" s="103"/>
      <c r="E328" s="103"/>
      <c r="F328" s="103"/>
      <c r="G328" s="103"/>
      <c r="H328" s="103"/>
      <c r="I328" s="103"/>
      <c r="T328" s="30" t="str">
        <f aca="false">IF(C328="","",IF(COUNTIFS(C$5:C328,C328,E$5:E328,E328)=1,1,0))</f>
        <v/>
      </c>
      <c r="U328" s="30" t="n">
        <f aca="false">IF(C328="",0,IF(AND(B328="brand",E328="budget_probe",N(F328)&gt;=Inputs!$C$124,H328="Y"),1,0))</f>
        <v>0</v>
      </c>
      <c r="V328" s="30" t="n">
        <f aca="false">IF(U328=1,IF(COUNTIFS(C$5:C328,C328,U$5:U328,1)=1,1,0),0)</f>
        <v>0</v>
      </c>
      <c r="W328" s="30" t="n">
        <f aca="false">IF(C328="",0,IF(AND(B328="office",E328="budget_probe",N(F328)&gt;=Inputs!$C$139),1,0))</f>
        <v>0</v>
      </c>
      <c r="X328" s="30" t="n">
        <f aca="false">IF(W328=1,IF(COUNTIFS(C$5:C328,C328,W$5:W328,1)=1,1,0),0)</f>
        <v>0</v>
      </c>
      <c r="Y328" s="30" t="n">
        <f aca="false">IF(C328="",0,IF(AND(B328="brand",E328="renewal_answer",TRIM(G328)="yes",N(F328)&gt;=Inputs!$C$135),1,0))</f>
        <v>0</v>
      </c>
      <c r="Z328" s="30" t="n">
        <f aca="false">IF(Y328=1,IF(COUNTIFS(C$5:C328,C328,Y$5:Y328,1)=1,1,0),0)</f>
        <v>0</v>
      </c>
      <c r="AA328" s="30" t="n">
        <f aca="false">IF(AND(E328="budget_probe",ISNUMBER(F328),I328&lt;&gt;Lists!$X$4),1,0)</f>
        <v>0</v>
      </c>
      <c r="AB328" s="30" t="str">
        <f aca="false">IF(AND(B328="office",AA328=1,COUNTIFS(C$5:C328,C328,AA$5:AA328,1)=1),F328,"")</f>
        <v/>
      </c>
      <c r="AC328" s="30" t="str">
        <f aca="false">IF(AND(B328="brand",AA328=1,COUNTIFS(C$5:C328,C328,AA$5:AA328,1)=1),F328,"")</f>
        <v/>
      </c>
      <c r="AD328" s="30" t="str">
        <f aca="false">IF(AND(B328="brand",E328="budget_probe",ISNUMBER(F328),I328=Lists!$X$4),IF(COUNTIFS(C$5:C328,C328,E$5:E328,"budget_probe",I$5:I328,Lists!$X$4)=1,F328,""),"")</f>
        <v/>
      </c>
      <c r="AE328" s="30" t="n">
        <f aca="false">IF(AND(B328="brand",E328="paid",ISNUMBER(F328)),IF(AND(SUMIFS(F$5:F328,B$5:B328,"brand",C$5:C328,C328,E$5:E328,"paid")&gt;=Inputs!$C$44,SUMIFS(F$5:F328,B$5:B328,"brand",C$5:C328,C328,E$5:E328,"paid")-F328&lt;Inputs!$C$44),1,0),0)</f>
        <v>0</v>
      </c>
    </row>
    <row r="329" customFormat="false" ht="15" hidden="false" customHeight="false" outlineLevel="0" collapsed="false">
      <c r="A329" s="102"/>
      <c r="B329" s="103"/>
      <c r="C329" s="103"/>
      <c r="D329" s="103"/>
      <c r="E329" s="103"/>
      <c r="F329" s="103"/>
      <c r="G329" s="103"/>
      <c r="H329" s="103"/>
      <c r="I329" s="103"/>
      <c r="T329" s="30" t="str">
        <f aca="false">IF(C329="","",IF(COUNTIFS(C$5:C329,C329,E$5:E329,E329)=1,1,0))</f>
        <v/>
      </c>
      <c r="U329" s="30" t="n">
        <f aca="false">IF(C329="",0,IF(AND(B329="brand",E329="budget_probe",N(F329)&gt;=Inputs!$C$124,H329="Y"),1,0))</f>
        <v>0</v>
      </c>
      <c r="V329" s="30" t="n">
        <f aca="false">IF(U329=1,IF(COUNTIFS(C$5:C329,C329,U$5:U329,1)=1,1,0),0)</f>
        <v>0</v>
      </c>
      <c r="W329" s="30" t="n">
        <f aca="false">IF(C329="",0,IF(AND(B329="office",E329="budget_probe",N(F329)&gt;=Inputs!$C$139),1,0))</f>
        <v>0</v>
      </c>
      <c r="X329" s="30" t="n">
        <f aca="false">IF(W329=1,IF(COUNTIFS(C$5:C329,C329,W$5:W329,1)=1,1,0),0)</f>
        <v>0</v>
      </c>
      <c r="Y329" s="30" t="n">
        <f aca="false">IF(C329="",0,IF(AND(B329="brand",E329="renewal_answer",TRIM(G329)="yes",N(F329)&gt;=Inputs!$C$135),1,0))</f>
        <v>0</v>
      </c>
      <c r="Z329" s="30" t="n">
        <f aca="false">IF(Y329=1,IF(COUNTIFS(C$5:C329,C329,Y$5:Y329,1)=1,1,0),0)</f>
        <v>0</v>
      </c>
      <c r="AA329" s="30" t="n">
        <f aca="false">IF(AND(E329="budget_probe",ISNUMBER(F329),I329&lt;&gt;Lists!$X$4),1,0)</f>
        <v>0</v>
      </c>
      <c r="AB329" s="30" t="str">
        <f aca="false">IF(AND(B329="office",AA329=1,COUNTIFS(C$5:C329,C329,AA$5:AA329,1)=1),F329,"")</f>
        <v/>
      </c>
      <c r="AC329" s="30" t="str">
        <f aca="false">IF(AND(B329="brand",AA329=1,COUNTIFS(C$5:C329,C329,AA$5:AA329,1)=1),F329,"")</f>
        <v/>
      </c>
      <c r="AD329" s="30" t="str">
        <f aca="false">IF(AND(B329="brand",E329="budget_probe",ISNUMBER(F329),I329=Lists!$X$4),IF(COUNTIFS(C$5:C329,C329,E$5:E329,"budget_probe",I$5:I329,Lists!$X$4)=1,F329,""),"")</f>
        <v/>
      </c>
      <c r="AE329" s="30" t="n">
        <f aca="false">IF(AND(B329="brand",E329="paid",ISNUMBER(F329)),IF(AND(SUMIFS(F$5:F329,B$5:B329,"brand",C$5:C329,C329,E$5:E329,"paid")&gt;=Inputs!$C$44,SUMIFS(F$5:F329,B$5:B329,"brand",C$5:C329,C329,E$5:E329,"paid")-F329&lt;Inputs!$C$44),1,0),0)</f>
        <v>0</v>
      </c>
    </row>
    <row r="330" customFormat="false" ht="15" hidden="false" customHeight="false" outlineLevel="0" collapsed="false">
      <c r="A330" s="102"/>
      <c r="B330" s="103"/>
      <c r="C330" s="103"/>
      <c r="D330" s="103"/>
      <c r="E330" s="103"/>
      <c r="F330" s="103"/>
      <c r="G330" s="103"/>
      <c r="H330" s="103"/>
      <c r="I330" s="103"/>
      <c r="T330" s="30" t="str">
        <f aca="false">IF(C330="","",IF(COUNTIFS(C$5:C330,C330,E$5:E330,E330)=1,1,0))</f>
        <v/>
      </c>
      <c r="U330" s="30" t="n">
        <f aca="false">IF(C330="",0,IF(AND(B330="brand",E330="budget_probe",N(F330)&gt;=Inputs!$C$124,H330="Y"),1,0))</f>
        <v>0</v>
      </c>
      <c r="V330" s="30" t="n">
        <f aca="false">IF(U330=1,IF(COUNTIFS(C$5:C330,C330,U$5:U330,1)=1,1,0),0)</f>
        <v>0</v>
      </c>
      <c r="W330" s="30" t="n">
        <f aca="false">IF(C330="",0,IF(AND(B330="office",E330="budget_probe",N(F330)&gt;=Inputs!$C$139),1,0))</f>
        <v>0</v>
      </c>
      <c r="X330" s="30" t="n">
        <f aca="false">IF(W330=1,IF(COUNTIFS(C$5:C330,C330,W$5:W330,1)=1,1,0),0)</f>
        <v>0</v>
      </c>
      <c r="Y330" s="30" t="n">
        <f aca="false">IF(C330="",0,IF(AND(B330="brand",E330="renewal_answer",TRIM(G330)="yes",N(F330)&gt;=Inputs!$C$135),1,0))</f>
        <v>0</v>
      </c>
      <c r="Z330" s="30" t="n">
        <f aca="false">IF(Y330=1,IF(COUNTIFS(C$5:C330,C330,Y$5:Y330,1)=1,1,0),0)</f>
        <v>0</v>
      </c>
      <c r="AA330" s="30" t="n">
        <f aca="false">IF(AND(E330="budget_probe",ISNUMBER(F330),I330&lt;&gt;Lists!$X$4),1,0)</f>
        <v>0</v>
      </c>
      <c r="AB330" s="30" t="str">
        <f aca="false">IF(AND(B330="office",AA330=1,COUNTIFS(C$5:C330,C330,AA$5:AA330,1)=1),F330,"")</f>
        <v/>
      </c>
      <c r="AC330" s="30" t="str">
        <f aca="false">IF(AND(B330="brand",AA330=1,COUNTIFS(C$5:C330,C330,AA$5:AA330,1)=1),F330,"")</f>
        <v/>
      </c>
      <c r="AD330" s="30" t="str">
        <f aca="false">IF(AND(B330="brand",E330="budget_probe",ISNUMBER(F330),I330=Lists!$X$4),IF(COUNTIFS(C$5:C330,C330,E$5:E330,"budget_probe",I$5:I330,Lists!$X$4)=1,F330,""),"")</f>
        <v/>
      </c>
      <c r="AE330" s="30" t="n">
        <f aca="false">IF(AND(B330="brand",E330="paid",ISNUMBER(F330)),IF(AND(SUMIFS(F$5:F330,B$5:B330,"brand",C$5:C330,C330,E$5:E330,"paid")&gt;=Inputs!$C$44,SUMIFS(F$5:F330,B$5:B330,"brand",C$5:C330,C330,E$5:E330,"paid")-F330&lt;Inputs!$C$44),1,0),0)</f>
        <v>0</v>
      </c>
    </row>
    <row r="331" customFormat="false" ht="15" hidden="false" customHeight="false" outlineLevel="0" collapsed="false">
      <c r="A331" s="102"/>
      <c r="B331" s="103"/>
      <c r="C331" s="103"/>
      <c r="D331" s="103"/>
      <c r="E331" s="103"/>
      <c r="F331" s="103"/>
      <c r="G331" s="103"/>
      <c r="H331" s="103"/>
      <c r="I331" s="103"/>
      <c r="T331" s="30" t="str">
        <f aca="false">IF(C331="","",IF(COUNTIFS(C$5:C331,C331,E$5:E331,E331)=1,1,0))</f>
        <v/>
      </c>
      <c r="U331" s="30" t="n">
        <f aca="false">IF(C331="",0,IF(AND(B331="brand",E331="budget_probe",N(F331)&gt;=Inputs!$C$124,H331="Y"),1,0))</f>
        <v>0</v>
      </c>
      <c r="V331" s="30" t="n">
        <f aca="false">IF(U331=1,IF(COUNTIFS(C$5:C331,C331,U$5:U331,1)=1,1,0),0)</f>
        <v>0</v>
      </c>
      <c r="W331" s="30" t="n">
        <f aca="false">IF(C331="",0,IF(AND(B331="office",E331="budget_probe",N(F331)&gt;=Inputs!$C$139),1,0))</f>
        <v>0</v>
      </c>
      <c r="X331" s="30" t="n">
        <f aca="false">IF(W331=1,IF(COUNTIFS(C$5:C331,C331,W$5:W331,1)=1,1,0),0)</f>
        <v>0</v>
      </c>
      <c r="Y331" s="30" t="n">
        <f aca="false">IF(C331="",0,IF(AND(B331="brand",E331="renewal_answer",TRIM(G331)="yes",N(F331)&gt;=Inputs!$C$135),1,0))</f>
        <v>0</v>
      </c>
      <c r="Z331" s="30" t="n">
        <f aca="false">IF(Y331=1,IF(COUNTIFS(C$5:C331,C331,Y$5:Y331,1)=1,1,0),0)</f>
        <v>0</v>
      </c>
      <c r="AA331" s="30" t="n">
        <f aca="false">IF(AND(E331="budget_probe",ISNUMBER(F331),I331&lt;&gt;Lists!$X$4),1,0)</f>
        <v>0</v>
      </c>
      <c r="AB331" s="30" t="str">
        <f aca="false">IF(AND(B331="office",AA331=1,COUNTIFS(C$5:C331,C331,AA$5:AA331,1)=1),F331,"")</f>
        <v/>
      </c>
      <c r="AC331" s="30" t="str">
        <f aca="false">IF(AND(B331="brand",AA331=1,COUNTIFS(C$5:C331,C331,AA$5:AA331,1)=1),F331,"")</f>
        <v/>
      </c>
      <c r="AD331" s="30" t="str">
        <f aca="false">IF(AND(B331="brand",E331="budget_probe",ISNUMBER(F331),I331=Lists!$X$4),IF(COUNTIFS(C$5:C331,C331,E$5:E331,"budget_probe",I$5:I331,Lists!$X$4)=1,F331,""),"")</f>
        <v/>
      </c>
      <c r="AE331" s="30" t="n">
        <f aca="false">IF(AND(B331="brand",E331="paid",ISNUMBER(F331)),IF(AND(SUMIFS(F$5:F331,B$5:B331,"brand",C$5:C331,C331,E$5:E331,"paid")&gt;=Inputs!$C$44,SUMIFS(F$5:F331,B$5:B331,"brand",C$5:C331,C331,E$5:E331,"paid")-F331&lt;Inputs!$C$44),1,0),0)</f>
        <v>0</v>
      </c>
    </row>
    <row r="332" customFormat="false" ht="15" hidden="false" customHeight="false" outlineLevel="0" collapsed="false">
      <c r="A332" s="102"/>
      <c r="B332" s="103"/>
      <c r="C332" s="103"/>
      <c r="D332" s="103"/>
      <c r="E332" s="103"/>
      <c r="F332" s="103"/>
      <c r="G332" s="103"/>
      <c r="H332" s="103"/>
      <c r="I332" s="103"/>
      <c r="T332" s="30" t="str">
        <f aca="false">IF(C332="","",IF(COUNTIFS(C$5:C332,C332,E$5:E332,E332)=1,1,0))</f>
        <v/>
      </c>
      <c r="U332" s="30" t="n">
        <f aca="false">IF(C332="",0,IF(AND(B332="brand",E332="budget_probe",N(F332)&gt;=Inputs!$C$124,H332="Y"),1,0))</f>
        <v>0</v>
      </c>
      <c r="V332" s="30" t="n">
        <f aca="false">IF(U332=1,IF(COUNTIFS(C$5:C332,C332,U$5:U332,1)=1,1,0),0)</f>
        <v>0</v>
      </c>
      <c r="W332" s="30" t="n">
        <f aca="false">IF(C332="",0,IF(AND(B332="office",E332="budget_probe",N(F332)&gt;=Inputs!$C$139),1,0))</f>
        <v>0</v>
      </c>
      <c r="X332" s="30" t="n">
        <f aca="false">IF(W332=1,IF(COUNTIFS(C$5:C332,C332,W$5:W332,1)=1,1,0),0)</f>
        <v>0</v>
      </c>
      <c r="Y332" s="30" t="n">
        <f aca="false">IF(C332="",0,IF(AND(B332="brand",E332="renewal_answer",TRIM(G332)="yes",N(F332)&gt;=Inputs!$C$135),1,0))</f>
        <v>0</v>
      </c>
      <c r="Z332" s="30" t="n">
        <f aca="false">IF(Y332=1,IF(COUNTIFS(C$5:C332,C332,Y$5:Y332,1)=1,1,0),0)</f>
        <v>0</v>
      </c>
      <c r="AA332" s="30" t="n">
        <f aca="false">IF(AND(E332="budget_probe",ISNUMBER(F332),I332&lt;&gt;Lists!$X$4),1,0)</f>
        <v>0</v>
      </c>
      <c r="AB332" s="30" t="str">
        <f aca="false">IF(AND(B332="office",AA332=1,COUNTIFS(C$5:C332,C332,AA$5:AA332,1)=1),F332,"")</f>
        <v/>
      </c>
      <c r="AC332" s="30" t="str">
        <f aca="false">IF(AND(B332="brand",AA332=1,COUNTIFS(C$5:C332,C332,AA$5:AA332,1)=1),F332,"")</f>
        <v/>
      </c>
      <c r="AD332" s="30" t="str">
        <f aca="false">IF(AND(B332="brand",E332="budget_probe",ISNUMBER(F332),I332=Lists!$X$4),IF(COUNTIFS(C$5:C332,C332,E$5:E332,"budget_probe",I$5:I332,Lists!$X$4)=1,F332,""),"")</f>
        <v/>
      </c>
      <c r="AE332" s="30" t="n">
        <f aca="false">IF(AND(B332="brand",E332="paid",ISNUMBER(F332)),IF(AND(SUMIFS(F$5:F332,B$5:B332,"brand",C$5:C332,C332,E$5:E332,"paid")&gt;=Inputs!$C$44,SUMIFS(F$5:F332,B$5:B332,"brand",C$5:C332,C332,E$5:E332,"paid")-F332&lt;Inputs!$C$44),1,0),0)</f>
        <v>0</v>
      </c>
    </row>
    <row r="333" customFormat="false" ht="15" hidden="false" customHeight="false" outlineLevel="0" collapsed="false">
      <c r="A333" s="102"/>
      <c r="B333" s="103"/>
      <c r="C333" s="103"/>
      <c r="D333" s="103"/>
      <c r="E333" s="103"/>
      <c r="F333" s="103"/>
      <c r="G333" s="103"/>
      <c r="H333" s="103"/>
      <c r="I333" s="103"/>
      <c r="T333" s="30" t="str">
        <f aca="false">IF(C333="","",IF(COUNTIFS(C$5:C333,C333,E$5:E333,E333)=1,1,0))</f>
        <v/>
      </c>
      <c r="U333" s="30" t="n">
        <f aca="false">IF(C333="",0,IF(AND(B333="brand",E333="budget_probe",N(F333)&gt;=Inputs!$C$124,H333="Y"),1,0))</f>
        <v>0</v>
      </c>
      <c r="V333" s="30" t="n">
        <f aca="false">IF(U333=1,IF(COUNTIFS(C$5:C333,C333,U$5:U333,1)=1,1,0),0)</f>
        <v>0</v>
      </c>
      <c r="W333" s="30" t="n">
        <f aca="false">IF(C333="",0,IF(AND(B333="office",E333="budget_probe",N(F333)&gt;=Inputs!$C$139),1,0))</f>
        <v>0</v>
      </c>
      <c r="X333" s="30" t="n">
        <f aca="false">IF(W333=1,IF(COUNTIFS(C$5:C333,C333,W$5:W333,1)=1,1,0),0)</f>
        <v>0</v>
      </c>
      <c r="Y333" s="30" t="n">
        <f aca="false">IF(C333="",0,IF(AND(B333="brand",E333="renewal_answer",TRIM(G333)="yes",N(F333)&gt;=Inputs!$C$135),1,0))</f>
        <v>0</v>
      </c>
      <c r="Z333" s="30" t="n">
        <f aca="false">IF(Y333=1,IF(COUNTIFS(C$5:C333,C333,Y$5:Y333,1)=1,1,0),0)</f>
        <v>0</v>
      </c>
      <c r="AA333" s="30" t="n">
        <f aca="false">IF(AND(E333="budget_probe",ISNUMBER(F333),I333&lt;&gt;Lists!$X$4),1,0)</f>
        <v>0</v>
      </c>
      <c r="AB333" s="30" t="str">
        <f aca="false">IF(AND(B333="office",AA333=1,COUNTIFS(C$5:C333,C333,AA$5:AA333,1)=1),F333,"")</f>
        <v/>
      </c>
      <c r="AC333" s="30" t="str">
        <f aca="false">IF(AND(B333="brand",AA333=1,COUNTIFS(C$5:C333,C333,AA$5:AA333,1)=1),F333,"")</f>
        <v/>
      </c>
      <c r="AD333" s="30" t="str">
        <f aca="false">IF(AND(B333="brand",E333="budget_probe",ISNUMBER(F333),I333=Lists!$X$4),IF(COUNTIFS(C$5:C333,C333,E$5:E333,"budget_probe",I$5:I333,Lists!$X$4)=1,F333,""),"")</f>
        <v/>
      </c>
      <c r="AE333" s="30" t="n">
        <f aca="false">IF(AND(B333="brand",E333="paid",ISNUMBER(F333)),IF(AND(SUMIFS(F$5:F333,B$5:B333,"brand",C$5:C333,C333,E$5:E333,"paid")&gt;=Inputs!$C$44,SUMIFS(F$5:F333,B$5:B333,"brand",C$5:C333,C333,E$5:E333,"paid")-F333&lt;Inputs!$C$44),1,0),0)</f>
        <v>0</v>
      </c>
    </row>
    <row r="334" customFormat="false" ht="15" hidden="false" customHeight="false" outlineLevel="0" collapsed="false">
      <c r="A334" s="102"/>
      <c r="B334" s="103"/>
      <c r="C334" s="103"/>
      <c r="D334" s="103"/>
      <c r="E334" s="103"/>
      <c r="F334" s="103"/>
      <c r="G334" s="103"/>
      <c r="H334" s="103"/>
      <c r="I334" s="103"/>
      <c r="T334" s="30" t="str">
        <f aca="false">IF(C334="","",IF(COUNTIFS(C$5:C334,C334,E$5:E334,E334)=1,1,0))</f>
        <v/>
      </c>
      <c r="U334" s="30" t="n">
        <f aca="false">IF(C334="",0,IF(AND(B334="brand",E334="budget_probe",N(F334)&gt;=Inputs!$C$124,H334="Y"),1,0))</f>
        <v>0</v>
      </c>
      <c r="V334" s="30" t="n">
        <f aca="false">IF(U334=1,IF(COUNTIFS(C$5:C334,C334,U$5:U334,1)=1,1,0),0)</f>
        <v>0</v>
      </c>
      <c r="W334" s="30" t="n">
        <f aca="false">IF(C334="",0,IF(AND(B334="office",E334="budget_probe",N(F334)&gt;=Inputs!$C$139),1,0))</f>
        <v>0</v>
      </c>
      <c r="X334" s="30" t="n">
        <f aca="false">IF(W334=1,IF(COUNTIFS(C$5:C334,C334,W$5:W334,1)=1,1,0),0)</f>
        <v>0</v>
      </c>
      <c r="Y334" s="30" t="n">
        <f aca="false">IF(C334="",0,IF(AND(B334="brand",E334="renewal_answer",TRIM(G334)="yes",N(F334)&gt;=Inputs!$C$135),1,0))</f>
        <v>0</v>
      </c>
      <c r="Z334" s="30" t="n">
        <f aca="false">IF(Y334=1,IF(COUNTIFS(C$5:C334,C334,Y$5:Y334,1)=1,1,0),0)</f>
        <v>0</v>
      </c>
      <c r="AA334" s="30" t="n">
        <f aca="false">IF(AND(E334="budget_probe",ISNUMBER(F334),I334&lt;&gt;Lists!$X$4),1,0)</f>
        <v>0</v>
      </c>
      <c r="AB334" s="30" t="str">
        <f aca="false">IF(AND(B334="office",AA334=1,COUNTIFS(C$5:C334,C334,AA$5:AA334,1)=1),F334,"")</f>
        <v/>
      </c>
      <c r="AC334" s="30" t="str">
        <f aca="false">IF(AND(B334="brand",AA334=1,COUNTIFS(C$5:C334,C334,AA$5:AA334,1)=1),F334,"")</f>
        <v/>
      </c>
      <c r="AD334" s="30" t="str">
        <f aca="false">IF(AND(B334="brand",E334="budget_probe",ISNUMBER(F334),I334=Lists!$X$4),IF(COUNTIFS(C$5:C334,C334,E$5:E334,"budget_probe",I$5:I334,Lists!$X$4)=1,F334,""),"")</f>
        <v/>
      </c>
      <c r="AE334" s="30" t="n">
        <f aca="false">IF(AND(B334="brand",E334="paid",ISNUMBER(F334)),IF(AND(SUMIFS(F$5:F334,B$5:B334,"brand",C$5:C334,C334,E$5:E334,"paid")&gt;=Inputs!$C$44,SUMIFS(F$5:F334,B$5:B334,"brand",C$5:C334,C334,E$5:E334,"paid")-F334&lt;Inputs!$C$44),1,0),0)</f>
        <v>0</v>
      </c>
    </row>
    <row r="335" customFormat="false" ht="15" hidden="false" customHeight="false" outlineLevel="0" collapsed="false">
      <c r="A335" s="102"/>
      <c r="B335" s="103"/>
      <c r="C335" s="103"/>
      <c r="D335" s="103"/>
      <c r="E335" s="103"/>
      <c r="F335" s="103"/>
      <c r="G335" s="103"/>
      <c r="H335" s="103"/>
      <c r="I335" s="103"/>
      <c r="T335" s="30" t="str">
        <f aca="false">IF(C335="","",IF(COUNTIFS(C$5:C335,C335,E$5:E335,E335)=1,1,0))</f>
        <v/>
      </c>
      <c r="U335" s="30" t="n">
        <f aca="false">IF(C335="",0,IF(AND(B335="brand",E335="budget_probe",N(F335)&gt;=Inputs!$C$124,H335="Y"),1,0))</f>
        <v>0</v>
      </c>
      <c r="V335" s="30" t="n">
        <f aca="false">IF(U335=1,IF(COUNTIFS(C$5:C335,C335,U$5:U335,1)=1,1,0),0)</f>
        <v>0</v>
      </c>
      <c r="W335" s="30" t="n">
        <f aca="false">IF(C335="",0,IF(AND(B335="office",E335="budget_probe",N(F335)&gt;=Inputs!$C$139),1,0))</f>
        <v>0</v>
      </c>
      <c r="X335" s="30" t="n">
        <f aca="false">IF(W335=1,IF(COUNTIFS(C$5:C335,C335,W$5:W335,1)=1,1,0),0)</f>
        <v>0</v>
      </c>
      <c r="Y335" s="30" t="n">
        <f aca="false">IF(C335="",0,IF(AND(B335="brand",E335="renewal_answer",TRIM(G335)="yes",N(F335)&gt;=Inputs!$C$135),1,0))</f>
        <v>0</v>
      </c>
      <c r="Z335" s="30" t="n">
        <f aca="false">IF(Y335=1,IF(COUNTIFS(C$5:C335,C335,Y$5:Y335,1)=1,1,0),0)</f>
        <v>0</v>
      </c>
      <c r="AA335" s="30" t="n">
        <f aca="false">IF(AND(E335="budget_probe",ISNUMBER(F335),I335&lt;&gt;Lists!$X$4),1,0)</f>
        <v>0</v>
      </c>
      <c r="AB335" s="30" t="str">
        <f aca="false">IF(AND(B335="office",AA335=1,COUNTIFS(C$5:C335,C335,AA$5:AA335,1)=1),F335,"")</f>
        <v/>
      </c>
      <c r="AC335" s="30" t="str">
        <f aca="false">IF(AND(B335="brand",AA335=1,COUNTIFS(C$5:C335,C335,AA$5:AA335,1)=1),F335,"")</f>
        <v/>
      </c>
      <c r="AD335" s="30" t="str">
        <f aca="false">IF(AND(B335="brand",E335="budget_probe",ISNUMBER(F335),I335=Lists!$X$4),IF(COUNTIFS(C$5:C335,C335,E$5:E335,"budget_probe",I$5:I335,Lists!$X$4)=1,F335,""),"")</f>
        <v/>
      </c>
      <c r="AE335" s="30" t="n">
        <f aca="false">IF(AND(B335="brand",E335="paid",ISNUMBER(F335)),IF(AND(SUMIFS(F$5:F335,B$5:B335,"brand",C$5:C335,C335,E$5:E335,"paid")&gt;=Inputs!$C$44,SUMIFS(F$5:F335,B$5:B335,"brand",C$5:C335,C335,E$5:E335,"paid")-F335&lt;Inputs!$C$44),1,0),0)</f>
        <v>0</v>
      </c>
    </row>
    <row r="336" customFormat="false" ht="15" hidden="false" customHeight="false" outlineLevel="0" collapsed="false">
      <c r="A336" s="102"/>
      <c r="B336" s="103"/>
      <c r="C336" s="103"/>
      <c r="D336" s="103"/>
      <c r="E336" s="103"/>
      <c r="F336" s="103"/>
      <c r="G336" s="103"/>
      <c r="H336" s="103"/>
      <c r="I336" s="103"/>
      <c r="T336" s="30" t="str">
        <f aca="false">IF(C336="","",IF(COUNTIFS(C$5:C336,C336,E$5:E336,E336)=1,1,0))</f>
        <v/>
      </c>
      <c r="U336" s="30" t="n">
        <f aca="false">IF(C336="",0,IF(AND(B336="brand",E336="budget_probe",N(F336)&gt;=Inputs!$C$124,H336="Y"),1,0))</f>
        <v>0</v>
      </c>
      <c r="V336" s="30" t="n">
        <f aca="false">IF(U336=1,IF(COUNTIFS(C$5:C336,C336,U$5:U336,1)=1,1,0),0)</f>
        <v>0</v>
      </c>
      <c r="W336" s="30" t="n">
        <f aca="false">IF(C336="",0,IF(AND(B336="office",E336="budget_probe",N(F336)&gt;=Inputs!$C$139),1,0))</f>
        <v>0</v>
      </c>
      <c r="X336" s="30" t="n">
        <f aca="false">IF(W336=1,IF(COUNTIFS(C$5:C336,C336,W$5:W336,1)=1,1,0),0)</f>
        <v>0</v>
      </c>
      <c r="Y336" s="30" t="n">
        <f aca="false">IF(C336="",0,IF(AND(B336="brand",E336="renewal_answer",TRIM(G336)="yes",N(F336)&gt;=Inputs!$C$135),1,0))</f>
        <v>0</v>
      </c>
      <c r="Z336" s="30" t="n">
        <f aca="false">IF(Y336=1,IF(COUNTIFS(C$5:C336,C336,Y$5:Y336,1)=1,1,0),0)</f>
        <v>0</v>
      </c>
      <c r="AA336" s="30" t="n">
        <f aca="false">IF(AND(E336="budget_probe",ISNUMBER(F336),I336&lt;&gt;Lists!$X$4),1,0)</f>
        <v>0</v>
      </c>
      <c r="AB336" s="30" t="str">
        <f aca="false">IF(AND(B336="office",AA336=1,COUNTIFS(C$5:C336,C336,AA$5:AA336,1)=1),F336,"")</f>
        <v/>
      </c>
      <c r="AC336" s="30" t="str">
        <f aca="false">IF(AND(B336="brand",AA336=1,COUNTIFS(C$5:C336,C336,AA$5:AA336,1)=1),F336,"")</f>
        <v/>
      </c>
      <c r="AD336" s="30" t="str">
        <f aca="false">IF(AND(B336="brand",E336="budget_probe",ISNUMBER(F336),I336=Lists!$X$4),IF(COUNTIFS(C$5:C336,C336,E$5:E336,"budget_probe",I$5:I336,Lists!$X$4)=1,F336,""),"")</f>
        <v/>
      </c>
      <c r="AE336" s="30" t="n">
        <f aca="false">IF(AND(B336="brand",E336="paid",ISNUMBER(F336)),IF(AND(SUMIFS(F$5:F336,B$5:B336,"brand",C$5:C336,C336,E$5:E336,"paid")&gt;=Inputs!$C$44,SUMIFS(F$5:F336,B$5:B336,"brand",C$5:C336,C336,E$5:E336,"paid")-F336&lt;Inputs!$C$44),1,0),0)</f>
        <v>0</v>
      </c>
    </row>
    <row r="337" customFormat="false" ht="15" hidden="false" customHeight="false" outlineLevel="0" collapsed="false">
      <c r="A337" s="102"/>
      <c r="B337" s="103"/>
      <c r="C337" s="103"/>
      <c r="D337" s="103"/>
      <c r="E337" s="103"/>
      <c r="F337" s="103"/>
      <c r="G337" s="103"/>
      <c r="H337" s="103"/>
      <c r="I337" s="103"/>
      <c r="T337" s="30" t="str">
        <f aca="false">IF(C337="","",IF(COUNTIFS(C$5:C337,C337,E$5:E337,E337)=1,1,0))</f>
        <v/>
      </c>
      <c r="U337" s="30" t="n">
        <f aca="false">IF(C337="",0,IF(AND(B337="brand",E337="budget_probe",N(F337)&gt;=Inputs!$C$124,H337="Y"),1,0))</f>
        <v>0</v>
      </c>
      <c r="V337" s="30" t="n">
        <f aca="false">IF(U337=1,IF(COUNTIFS(C$5:C337,C337,U$5:U337,1)=1,1,0),0)</f>
        <v>0</v>
      </c>
      <c r="W337" s="30" t="n">
        <f aca="false">IF(C337="",0,IF(AND(B337="office",E337="budget_probe",N(F337)&gt;=Inputs!$C$139),1,0))</f>
        <v>0</v>
      </c>
      <c r="X337" s="30" t="n">
        <f aca="false">IF(W337=1,IF(COUNTIFS(C$5:C337,C337,W$5:W337,1)=1,1,0),0)</f>
        <v>0</v>
      </c>
      <c r="Y337" s="30" t="n">
        <f aca="false">IF(C337="",0,IF(AND(B337="brand",E337="renewal_answer",TRIM(G337)="yes",N(F337)&gt;=Inputs!$C$135),1,0))</f>
        <v>0</v>
      </c>
      <c r="Z337" s="30" t="n">
        <f aca="false">IF(Y337=1,IF(COUNTIFS(C$5:C337,C337,Y$5:Y337,1)=1,1,0),0)</f>
        <v>0</v>
      </c>
      <c r="AA337" s="30" t="n">
        <f aca="false">IF(AND(E337="budget_probe",ISNUMBER(F337),I337&lt;&gt;Lists!$X$4),1,0)</f>
        <v>0</v>
      </c>
      <c r="AB337" s="30" t="str">
        <f aca="false">IF(AND(B337="office",AA337=1,COUNTIFS(C$5:C337,C337,AA$5:AA337,1)=1),F337,"")</f>
        <v/>
      </c>
      <c r="AC337" s="30" t="str">
        <f aca="false">IF(AND(B337="brand",AA337=1,COUNTIFS(C$5:C337,C337,AA$5:AA337,1)=1),F337,"")</f>
        <v/>
      </c>
      <c r="AD337" s="30" t="str">
        <f aca="false">IF(AND(B337="brand",E337="budget_probe",ISNUMBER(F337),I337=Lists!$X$4),IF(COUNTIFS(C$5:C337,C337,E$5:E337,"budget_probe",I$5:I337,Lists!$X$4)=1,F337,""),"")</f>
        <v/>
      </c>
      <c r="AE337" s="30" t="n">
        <f aca="false">IF(AND(B337="brand",E337="paid",ISNUMBER(F337)),IF(AND(SUMIFS(F$5:F337,B$5:B337,"brand",C$5:C337,C337,E$5:E337,"paid")&gt;=Inputs!$C$44,SUMIFS(F$5:F337,B$5:B337,"brand",C$5:C337,C337,E$5:E337,"paid")-F337&lt;Inputs!$C$44),1,0),0)</f>
        <v>0</v>
      </c>
    </row>
    <row r="338" customFormat="false" ht="15" hidden="false" customHeight="false" outlineLevel="0" collapsed="false">
      <c r="A338" s="102"/>
      <c r="B338" s="103"/>
      <c r="C338" s="103"/>
      <c r="D338" s="103"/>
      <c r="E338" s="103"/>
      <c r="F338" s="103"/>
      <c r="G338" s="103"/>
      <c r="H338" s="103"/>
      <c r="I338" s="103"/>
      <c r="T338" s="30" t="str">
        <f aca="false">IF(C338="","",IF(COUNTIFS(C$5:C338,C338,E$5:E338,E338)=1,1,0))</f>
        <v/>
      </c>
      <c r="U338" s="30" t="n">
        <f aca="false">IF(C338="",0,IF(AND(B338="brand",E338="budget_probe",N(F338)&gt;=Inputs!$C$124,H338="Y"),1,0))</f>
        <v>0</v>
      </c>
      <c r="V338" s="30" t="n">
        <f aca="false">IF(U338=1,IF(COUNTIFS(C$5:C338,C338,U$5:U338,1)=1,1,0),0)</f>
        <v>0</v>
      </c>
      <c r="W338" s="30" t="n">
        <f aca="false">IF(C338="",0,IF(AND(B338="office",E338="budget_probe",N(F338)&gt;=Inputs!$C$139),1,0))</f>
        <v>0</v>
      </c>
      <c r="X338" s="30" t="n">
        <f aca="false">IF(W338=1,IF(COUNTIFS(C$5:C338,C338,W$5:W338,1)=1,1,0),0)</f>
        <v>0</v>
      </c>
      <c r="Y338" s="30" t="n">
        <f aca="false">IF(C338="",0,IF(AND(B338="brand",E338="renewal_answer",TRIM(G338)="yes",N(F338)&gt;=Inputs!$C$135),1,0))</f>
        <v>0</v>
      </c>
      <c r="Z338" s="30" t="n">
        <f aca="false">IF(Y338=1,IF(COUNTIFS(C$5:C338,C338,Y$5:Y338,1)=1,1,0),0)</f>
        <v>0</v>
      </c>
      <c r="AA338" s="30" t="n">
        <f aca="false">IF(AND(E338="budget_probe",ISNUMBER(F338),I338&lt;&gt;Lists!$X$4),1,0)</f>
        <v>0</v>
      </c>
      <c r="AB338" s="30" t="str">
        <f aca="false">IF(AND(B338="office",AA338=1,COUNTIFS(C$5:C338,C338,AA$5:AA338,1)=1),F338,"")</f>
        <v/>
      </c>
      <c r="AC338" s="30" t="str">
        <f aca="false">IF(AND(B338="brand",AA338=1,COUNTIFS(C$5:C338,C338,AA$5:AA338,1)=1),F338,"")</f>
        <v/>
      </c>
      <c r="AD338" s="30" t="str">
        <f aca="false">IF(AND(B338="brand",E338="budget_probe",ISNUMBER(F338),I338=Lists!$X$4),IF(COUNTIFS(C$5:C338,C338,E$5:E338,"budget_probe",I$5:I338,Lists!$X$4)=1,F338,""),"")</f>
        <v/>
      </c>
      <c r="AE338" s="30" t="n">
        <f aca="false">IF(AND(B338="brand",E338="paid",ISNUMBER(F338)),IF(AND(SUMIFS(F$5:F338,B$5:B338,"brand",C$5:C338,C338,E$5:E338,"paid")&gt;=Inputs!$C$44,SUMIFS(F$5:F338,B$5:B338,"brand",C$5:C338,C338,E$5:E338,"paid")-F338&lt;Inputs!$C$44),1,0),0)</f>
        <v>0</v>
      </c>
    </row>
    <row r="339" customFormat="false" ht="15" hidden="false" customHeight="false" outlineLevel="0" collapsed="false">
      <c r="A339" s="102"/>
      <c r="B339" s="103"/>
      <c r="C339" s="103"/>
      <c r="D339" s="103"/>
      <c r="E339" s="103"/>
      <c r="F339" s="103"/>
      <c r="G339" s="103"/>
      <c r="H339" s="103"/>
      <c r="I339" s="103"/>
      <c r="T339" s="30" t="str">
        <f aca="false">IF(C339="","",IF(COUNTIFS(C$5:C339,C339,E$5:E339,E339)=1,1,0))</f>
        <v/>
      </c>
      <c r="U339" s="30" t="n">
        <f aca="false">IF(C339="",0,IF(AND(B339="brand",E339="budget_probe",N(F339)&gt;=Inputs!$C$124,H339="Y"),1,0))</f>
        <v>0</v>
      </c>
      <c r="V339" s="30" t="n">
        <f aca="false">IF(U339=1,IF(COUNTIFS(C$5:C339,C339,U$5:U339,1)=1,1,0),0)</f>
        <v>0</v>
      </c>
      <c r="W339" s="30" t="n">
        <f aca="false">IF(C339="",0,IF(AND(B339="office",E339="budget_probe",N(F339)&gt;=Inputs!$C$139),1,0))</f>
        <v>0</v>
      </c>
      <c r="X339" s="30" t="n">
        <f aca="false">IF(W339=1,IF(COUNTIFS(C$5:C339,C339,W$5:W339,1)=1,1,0),0)</f>
        <v>0</v>
      </c>
      <c r="Y339" s="30" t="n">
        <f aca="false">IF(C339="",0,IF(AND(B339="brand",E339="renewal_answer",TRIM(G339)="yes",N(F339)&gt;=Inputs!$C$135),1,0))</f>
        <v>0</v>
      </c>
      <c r="Z339" s="30" t="n">
        <f aca="false">IF(Y339=1,IF(COUNTIFS(C$5:C339,C339,Y$5:Y339,1)=1,1,0),0)</f>
        <v>0</v>
      </c>
      <c r="AA339" s="30" t="n">
        <f aca="false">IF(AND(E339="budget_probe",ISNUMBER(F339),I339&lt;&gt;Lists!$X$4),1,0)</f>
        <v>0</v>
      </c>
      <c r="AB339" s="30" t="str">
        <f aca="false">IF(AND(B339="office",AA339=1,COUNTIFS(C$5:C339,C339,AA$5:AA339,1)=1),F339,"")</f>
        <v/>
      </c>
      <c r="AC339" s="30" t="str">
        <f aca="false">IF(AND(B339="brand",AA339=1,COUNTIFS(C$5:C339,C339,AA$5:AA339,1)=1),F339,"")</f>
        <v/>
      </c>
      <c r="AD339" s="30" t="str">
        <f aca="false">IF(AND(B339="brand",E339="budget_probe",ISNUMBER(F339),I339=Lists!$X$4),IF(COUNTIFS(C$5:C339,C339,E$5:E339,"budget_probe",I$5:I339,Lists!$X$4)=1,F339,""),"")</f>
        <v/>
      </c>
      <c r="AE339" s="30" t="n">
        <f aca="false">IF(AND(B339="brand",E339="paid",ISNUMBER(F339)),IF(AND(SUMIFS(F$5:F339,B$5:B339,"brand",C$5:C339,C339,E$5:E339,"paid")&gt;=Inputs!$C$44,SUMIFS(F$5:F339,B$5:B339,"brand",C$5:C339,C339,E$5:E339,"paid")-F339&lt;Inputs!$C$44),1,0),0)</f>
        <v>0</v>
      </c>
    </row>
    <row r="340" customFormat="false" ht="15" hidden="false" customHeight="false" outlineLevel="0" collapsed="false">
      <c r="A340" s="102"/>
      <c r="B340" s="103"/>
      <c r="C340" s="103"/>
      <c r="D340" s="103"/>
      <c r="E340" s="103"/>
      <c r="F340" s="103"/>
      <c r="G340" s="103"/>
      <c r="H340" s="103"/>
      <c r="I340" s="103"/>
      <c r="T340" s="30" t="str">
        <f aca="false">IF(C340="","",IF(COUNTIFS(C$5:C340,C340,E$5:E340,E340)=1,1,0))</f>
        <v/>
      </c>
      <c r="U340" s="30" t="n">
        <f aca="false">IF(C340="",0,IF(AND(B340="brand",E340="budget_probe",N(F340)&gt;=Inputs!$C$124,H340="Y"),1,0))</f>
        <v>0</v>
      </c>
      <c r="V340" s="30" t="n">
        <f aca="false">IF(U340=1,IF(COUNTIFS(C$5:C340,C340,U$5:U340,1)=1,1,0),0)</f>
        <v>0</v>
      </c>
      <c r="W340" s="30" t="n">
        <f aca="false">IF(C340="",0,IF(AND(B340="office",E340="budget_probe",N(F340)&gt;=Inputs!$C$139),1,0))</f>
        <v>0</v>
      </c>
      <c r="X340" s="30" t="n">
        <f aca="false">IF(W340=1,IF(COUNTIFS(C$5:C340,C340,W$5:W340,1)=1,1,0),0)</f>
        <v>0</v>
      </c>
      <c r="Y340" s="30" t="n">
        <f aca="false">IF(C340="",0,IF(AND(B340="brand",E340="renewal_answer",TRIM(G340)="yes",N(F340)&gt;=Inputs!$C$135),1,0))</f>
        <v>0</v>
      </c>
      <c r="Z340" s="30" t="n">
        <f aca="false">IF(Y340=1,IF(COUNTIFS(C$5:C340,C340,Y$5:Y340,1)=1,1,0),0)</f>
        <v>0</v>
      </c>
      <c r="AA340" s="30" t="n">
        <f aca="false">IF(AND(E340="budget_probe",ISNUMBER(F340),I340&lt;&gt;Lists!$X$4),1,0)</f>
        <v>0</v>
      </c>
      <c r="AB340" s="30" t="str">
        <f aca="false">IF(AND(B340="office",AA340=1,COUNTIFS(C$5:C340,C340,AA$5:AA340,1)=1),F340,"")</f>
        <v/>
      </c>
      <c r="AC340" s="30" t="str">
        <f aca="false">IF(AND(B340="brand",AA340=1,COUNTIFS(C$5:C340,C340,AA$5:AA340,1)=1),F340,"")</f>
        <v/>
      </c>
      <c r="AD340" s="30" t="str">
        <f aca="false">IF(AND(B340="brand",E340="budget_probe",ISNUMBER(F340),I340=Lists!$X$4),IF(COUNTIFS(C$5:C340,C340,E$5:E340,"budget_probe",I$5:I340,Lists!$X$4)=1,F340,""),"")</f>
        <v/>
      </c>
      <c r="AE340" s="30" t="n">
        <f aca="false">IF(AND(B340="brand",E340="paid",ISNUMBER(F340)),IF(AND(SUMIFS(F$5:F340,B$5:B340,"brand",C$5:C340,C340,E$5:E340,"paid")&gt;=Inputs!$C$44,SUMIFS(F$5:F340,B$5:B340,"brand",C$5:C340,C340,E$5:E340,"paid")-F340&lt;Inputs!$C$44),1,0),0)</f>
        <v>0</v>
      </c>
    </row>
    <row r="341" customFormat="false" ht="15" hidden="false" customHeight="false" outlineLevel="0" collapsed="false">
      <c r="A341" s="102"/>
      <c r="B341" s="103"/>
      <c r="C341" s="103"/>
      <c r="D341" s="103"/>
      <c r="E341" s="103"/>
      <c r="F341" s="103"/>
      <c r="G341" s="103"/>
      <c r="H341" s="103"/>
      <c r="I341" s="103"/>
      <c r="T341" s="30" t="str">
        <f aca="false">IF(C341="","",IF(COUNTIFS(C$5:C341,C341,E$5:E341,E341)=1,1,0))</f>
        <v/>
      </c>
      <c r="U341" s="30" t="n">
        <f aca="false">IF(C341="",0,IF(AND(B341="brand",E341="budget_probe",N(F341)&gt;=Inputs!$C$124,H341="Y"),1,0))</f>
        <v>0</v>
      </c>
      <c r="V341" s="30" t="n">
        <f aca="false">IF(U341=1,IF(COUNTIFS(C$5:C341,C341,U$5:U341,1)=1,1,0),0)</f>
        <v>0</v>
      </c>
      <c r="W341" s="30" t="n">
        <f aca="false">IF(C341="",0,IF(AND(B341="office",E341="budget_probe",N(F341)&gt;=Inputs!$C$139),1,0))</f>
        <v>0</v>
      </c>
      <c r="X341" s="30" t="n">
        <f aca="false">IF(W341=1,IF(COUNTIFS(C$5:C341,C341,W$5:W341,1)=1,1,0),0)</f>
        <v>0</v>
      </c>
      <c r="Y341" s="30" t="n">
        <f aca="false">IF(C341="",0,IF(AND(B341="brand",E341="renewal_answer",TRIM(G341)="yes",N(F341)&gt;=Inputs!$C$135),1,0))</f>
        <v>0</v>
      </c>
      <c r="Z341" s="30" t="n">
        <f aca="false">IF(Y341=1,IF(COUNTIFS(C$5:C341,C341,Y$5:Y341,1)=1,1,0),0)</f>
        <v>0</v>
      </c>
      <c r="AA341" s="30" t="n">
        <f aca="false">IF(AND(E341="budget_probe",ISNUMBER(F341),I341&lt;&gt;Lists!$X$4),1,0)</f>
        <v>0</v>
      </c>
      <c r="AB341" s="30" t="str">
        <f aca="false">IF(AND(B341="office",AA341=1,COUNTIFS(C$5:C341,C341,AA$5:AA341,1)=1),F341,"")</f>
        <v/>
      </c>
      <c r="AC341" s="30" t="str">
        <f aca="false">IF(AND(B341="brand",AA341=1,COUNTIFS(C$5:C341,C341,AA$5:AA341,1)=1),F341,"")</f>
        <v/>
      </c>
      <c r="AD341" s="30" t="str">
        <f aca="false">IF(AND(B341="brand",E341="budget_probe",ISNUMBER(F341),I341=Lists!$X$4),IF(COUNTIFS(C$5:C341,C341,E$5:E341,"budget_probe",I$5:I341,Lists!$X$4)=1,F341,""),"")</f>
        <v/>
      </c>
      <c r="AE341" s="30" t="n">
        <f aca="false">IF(AND(B341="brand",E341="paid",ISNUMBER(F341)),IF(AND(SUMIFS(F$5:F341,B$5:B341,"brand",C$5:C341,C341,E$5:E341,"paid")&gt;=Inputs!$C$44,SUMIFS(F$5:F341,B$5:B341,"brand",C$5:C341,C341,E$5:E341,"paid")-F341&lt;Inputs!$C$44),1,0),0)</f>
        <v>0</v>
      </c>
    </row>
    <row r="342" customFormat="false" ht="15" hidden="false" customHeight="false" outlineLevel="0" collapsed="false">
      <c r="A342" s="102"/>
      <c r="B342" s="103"/>
      <c r="C342" s="103"/>
      <c r="D342" s="103"/>
      <c r="E342" s="103"/>
      <c r="F342" s="103"/>
      <c r="G342" s="103"/>
      <c r="H342" s="103"/>
      <c r="I342" s="103"/>
      <c r="T342" s="30" t="str">
        <f aca="false">IF(C342="","",IF(COUNTIFS(C$5:C342,C342,E$5:E342,E342)=1,1,0))</f>
        <v/>
      </c>
      <c r="U342" s="30" t="n">
        <f aca="false">IF(C342="",0,IF(AND(B342="brand",E342="budget_probe",N(F342)&gt;=Inputs!$C$124,H342="Y"),1,0))</f>
        <v>0</v>
      </c>
      <c r="V342" s="30" t="n">
        <f aca="false">IF(U342=1,IF(COUNTIFS(C$5:C342,C342,U$5:U342,1)=1,1,0),0)</f>
        <v>0</v>
      </c>
      <c r="W342" s="30" t="n">
        <f aca="false">IF(C342="",0,IF(AND(B342="office",E342="budget_probe",N(F342)&gt;=Inputs!$C$139),1,0))</f>
        <v>0</v>
      </c>
      <c r="X342" s="30" t="n">
        <f aca="false">IF(W342=1,IF(COUNTIFS(C$5:C342,C342,W$5:W342,1)=1,1,0),0)</f>
        <v>0</v>
      </c>
      <c r="Y342" s="30" t="n">
        <f aca="false">IF(C342="",0,IF(AND(B342="brand",E342="renewal_answer",TRIM(G342)="yes",N(F342)&gt;=Inputs!$C$135),1,0))</f>
        <v>0</v>
      </c>
      <c r="Z342" s="30" t="n">
        <f aca="false">IF(Y342=1,IF(COUNTIFS(C$5:C342,C342,Y$5:Y342,1)=1,1,0),0)</f>
        <v>0</v>
      </c>
      <c r="AA342" s="30" t="n">
        <f aca="false">IF(AND(E342="budget_probe",ISNUMBER(F342),I342&lt;&gt;Lists!$X$4),1,0)</f>
        <v>0</v>
      </c>
      <c r="AB342" s="30" t="str">
        <f aca="false">IF(AND(B342="office",AA342=1,COUNTIFS(C$5:C342,C342,AA$5:AA342,1)=1),F342,"")</f>
        <v/>
      </c>
      <c r="AC342" s="30" t="str">
        <f aca="false">IF(AND(B342="brand",AA342=1,COUNTIFS(C$5:C342,C342,AA$5:AA342,1)=1),F342,"")</f>
        <v/>
      </c>
      <c r="AD342" s="30" t="str">
        <f aca="false">IF(AND(B342="brand",E342="budget_probe",ISNUMBER(F342),I342=Lists!$X$4),IF(COUNTIFS(C$5:C342,C342,E$5:E342,"budget_probe",I$5:I342,Lists!$X$4)=1,F342,""),"")</f>
        <v/>
      </c>
      <c r="AE342" s="30" t="n">
        <f aca="false">IF(AND(B342="brand",E342="paid",ISNUMBER(F342)),IF(AND(SUMIFS(F$5:F342,B$5:B342,"brand",C$5:C342,C342,E$5:E342,"paid")&gt;=Inputs!$C$44,SUMIFS(F$5:F342,B$5:B342,"brand",C$5:C342,C342,E$5:E342,"paid")-F342&lt;Inputs!$C$44),1,0),0)</f>
        <v>0</v>
      </c>
    </row>
    <row r="343" customFormat="false" ht="15" hidden="false" customHeight="false" outlineLevel="0" collapsed="false">
      <c r="A343" s="102"/>
      <c r="B343" s="103"/>
      <c r="C343" s="103"/>
      <c r="D343" s="103"/>
      <c r="E343" s="103"/>
      <c r="F343" s="103"/>
      <c r="G343" s="103"/>
      <c r="H343" s="103"/>
      <c r="I343" s="103"/>
      <c r="T343" s="30" t="str">
        <f aca="false">IF(C343="","",IF(COUNTIFS(C$5:C343,C343,E$5:E343,E343)=1,1,0))</f>
        <v/>
      </c>
      <c r="U343" s="30" t="n">
        <f aca="false">IF(C343="",0,IF(AND(B343="brand",E343="budget_probe",N(F343)&gt;=Inputs!$C$124,H343="Y"),1,0))</f>
        <v>0</v>
      </c>
      <c r="V343" s="30" t="n">
        <f aca="false">IF(U343=1,IF(COUNTIFS(C$5:C343,C343,U$5:U343,1)=1,1,0),0)</f>
        <v>0</v>
      </c>
      <c r="W343" s="30" t="n">
        <f aca="false">IF(C343="",0,IF(AND(B343="office",E343="budget_probe",N(F343)&gt;=Inputs!$C$139),1,0))</f>
        <v>0</v>
      </c>
      <c r="X343" s="30" t="n">
        <f aca="false">IF(W343=1,IF(COUNTIFS(C$5:C343,C343,W$5:W343,1)=1,1,0),0)</f>
        <v>0</v>
      </c>
      <c r="Y343" s="30" t="n">
        <f aca="false">IF(C343="",0,IF(AND(B343="brand",E343="renewal_answer",TRIM(G343)="yes",N(F343)&gt;=Inputs!$C$135),1,0))</f>
        <v>0</v>
      </c>
      <c r="Z343" s="30" t="n">
        <f aca="false">IF(Y343=1,IF(COUNTIFS(C$5:C343,C343,Y$5:Y343,1)=1,1,0),0)</f>
        <v>0</v>
      </c>
      <c r="AA343" s="30" t="n">
        <f aca="false">IF(AND(E343="budget_probe",ISNUMBER(F343),I343&lt;&gt;Lists!$X$4),1,0)</f>
        <v>0</v>
      </c>
      <c r="AB343" s="30" t="str">
        <f aca="false">IF(AND(B343="office",AA343=1,COUNTIFS(C$5:C343,C343,AA$5:AA343,1)=1),F343,"")</f>
        <v/>
      </c>
      <c r="AC343" s="30" t="str">
        <f aca="false">IF(AND(B343="brand",AA343=1,COUNTIFS(C$5:C343,C343,AA$5:AA343,1)=1),F343,"")</f>
        <v/>
      </c>
      <c r="AD343" s="30" t="str">
        <f aca="false">IF(AND(B343="brand",E343="budget_probe",ISNUMBER(F343),I343=Lists!$X$4),IF(COUNTIFS(C$5:C343,C343,E$5:E343,"budget_probe",I$5:I343,Lists!$X$4)=1,F343,""),"")</f>
        <v/>
      </c>
      <c r="AE343" s="30" t="n">
        <f aca="false">IF(AND(B343="brand",E343="paid",ISNUMBER(F343)),IF(AND(SUMIFS(F$5:F343,B$5:B343,"brand",C$5:C343,C343,E$5:E343,"paid")&gt;=Inputs!$C$44,SUMIFS(F$5:F343,B$5:B343,"brand",C$5:C343,C343,E$5:E343,"paid")-F343&lt;Inputs!$C$44),1,0),0)</f>
        <v>0</v>
      </c>
    </row>
    <row r="344" customFormat="false" ht="15" hidden="false" customHeight="false" outlineLevel="0" collapsed="false">
      <c r="A344" s="102"/>
      <c r="B344" s="103"/>
      <c r="C344" s="103"/>
      <c r="D344" s="103"/>
      <c r="E344" s="103"/>
      <c r="F344" s="103"/>
      <c r="G344" s="103"/>
      <c r="H344" s="103"/>
      <c r="I344" s="103"/>
      <c r="T344" s="30" t="str">
        <f aca="false">IF(C344="","",IF(COUNTIFS(C$5:C344,C344,E$5:E344,E344)=1,1,0))</f>
        <v/>
      </c>
      <c r="U344" s="30" t="n">
        <f aca="false">IF(C344="",0,IF(AND(B344="brand",E344="budget_probe",N(F344)&gt;=Inputs!$C$124,H344="Y"),1,0))</f>
        <v>0</v>
      </c>
      <c r="V344" s="30" t="n">
        <f aca="false">IF(U344=1,IF(COUNTIFS(C$5:C344,C344,U$5:U344,1)=1,1,0),0)</f>
        <v>0</v>
      </c>
      <c r="W344" s="30" t="n">
        <f aca="false">IF(C344="",0,IF(AND(B344="office",E344="budget_probe",N(F344)&gt;=Inputs!$C$139),1,0))</f>
        <v>0</v>
      </c>
      <c r="X344" s="30" t="n">
        <f aca="false">IF(W344=1,IF(COUNTIFS(C$5:C344,C344,W$5:W344,1)=1,1,0),0)</f>
        <v>0</v>
      </c>
      <c r="Y344" s="30" t="n">
        <f aca="false">IF(C344="",0,IF(AND(B344="brand",E344="renewal_answer",TRIM(G344)="yes",N(F344)&gt;=Inputs!$C$135),1,0))</f>
        <v>0</v>
      </c>
      <c r="Z344" s="30" t="n">
        <f aca="false">IF(Y344=1,IF(COUNTIFS(C$5:C344,C344,Y$5:Y344,1)=1,1,0),0)</f>
        <v>0</v>
      </c>
      <c r="AA344" s="30" t="n">
        <f aca="false">IF(AND(E344="budget_probe",ISNUMBER(F344),I344&lt;&gt;Lists!$X$4),1,0)</f>
        <v>0</v>
      </c>
      <c r="AB344" s="30" t="str">
        <f aca="false">IF(AND(B344="office",AA344=1,COUNTIFS(C$5:C344,C344,AA$5:AA344,1)=1),F344,"")</f>
        <v/>
      </c>
      <c r="AC344" s="30" t="str">
        <f aca="false">IF(AND(B344="brand",AA344=1,COUNTIFS(C$5:C344,C344,AA$5:AA344,1)=1),F344,"")</f>
        <v/>
      </c>
      <c r="AD344" s="30" t="str">
        <f aca="false">IF(AND(B344="brand",E344="budget_probe",ISNUMBER(F344),I344=Lists!$X$4),IF(COUNTIFS(C$5:C344,C344,E$5:E344,"budget_probe",I$5:I344,Lists!$X$4)=1,F344,""),"")</f>
        <v/>
      </c>
      <c r="AE344" s="30" t="n">
        <f aca="false">IF(AND(B344="brand",E344="paid",ISNUMBER(F344)),IF(AND(SUMIFS(F$5:F344,B$5:B344,"brand",C$5:C344,C344,E$5:E344,"paid")&gt;=Inputs!$C$44,SUMIFS(F$5:F344,B$5:B344,"brand",C$5:C344,C344,E$5:E344,"paid")-F344&lt;Inputs!$C$44),1,0),0)</f>
        <v>0</v>
      </c>
    </row>
    <row r="345" customFormat="false" ht="15" hidden="false" customHeight="false" outlineLevel="0" collapsed="false">
      <c r="A345" s="102"/>
      <c r="B345" s="103"/>
      <c r="C345" s="103"/>
      <c r="D345" s="103"/>
      <c r="E345" s="103"/>
      <c r="F345" s="103"/>
      <c r="G345" s="103"/>
      <c r="H345" s="103"/>
      <c r="I345" s="103"/>
      <c r="T345" s="30" t="str">
        <f aca="false">IF(C345="","",IF(COUNTIFS(C$5:C345,C345,E$5:E345,E345)=1,1,0))</f>
        <v/>
      </c>
      <c r="U345" s="30" t="n">
        <f aca="false">IF(C345="",0,IF(AND(B345="brand",E345="budget_probe",N(F345)&gt;=Inputs!$C$124,H345="Y"),1,0))</f>
        <v>0</v>
      </c>
      <c r="V345" s="30" t="n">
        <f aca="false">IF(U345=1,IF(COUNTIFS(C$5:C345,C345,U$5:U345,1)=1,1,0),0)</f>
        <v>0</v>
      </c>
      <c r="W345" s="30" t="n">
        <f aca="false">IF(C345="",0,IF(AND(B345="office",E345="budget_probe",N(F345)&gt;=Inputs!$C$139),1,0))</f>
        <v>0</v>
      </c>
      <c r="X345" s="30" t="n">
        <f aca="false">IF(W345=1,IF(COUNTIFS(C$5:C345,C345,W$5:W345,1)=1,1,0),0)</f>
        <v>0</v>
      </c>
      <c r="Y345" s="30" t="n">
        <f aca="false">IF(C345="",0,IF(AND(B345="brand",E345="renewal_answer",TRIM(G345)="yes",N(F345)&gt;=Inputs!$C$135),1,0))</f>
        <v>0</v>
      </c>
      <c r="Z345" s="30" t="n">
        <f aca="false">IF(Y345=1,IF(COUNTIFS(C$5:C345,C345,Y$5:Y345,1)=1,1,0),0)</f>
        <v>0</v>
      </c>
      <c r="AA345" s="30" t="n">
        <f aca="false">IF(AND(E345="budget_probe",ISNUMBER(F345),I345&lt;&gt;Lists!$X$4),1,0)</f>
        <v>0</v>
      </c>
      <c r="AB345" s="30" t="str">
        <f aca="false">IF(AND(B345="office",AA345=1,COUNTIFS(C$5:C345,C345,AA$5:AA345,1)=1),F345,"")</f>
        <v/>
      </c>
      <c r="AC345" s="30" t="str">
        <f aca="false">IF(AND(B345="brand",AA345=1,COUNTIFS(C$5:C345,C345,AA$5:AA345,1)=1),F345,"")</f>
        <v/>
      </c>
      <c r="AD345" s="30" t="str">
        <f aca="false">IF(AND(B345="brand",E345="budget_probe",ISNUMBER(F345),I345=Lists!$X$4),IF(COUNTIFS(C$5:C345,C345,E$5:E345,"budget_probe",I$5:I345,Lists!$X$4)=1,F345,""),"")</f>
        <v/>
      </c>
      <c r="AE345" s="30" t="n">
        <f aca="false">IF(AND(B345="brand",E345="paid",ISNUMBER(F345)),IF(AND(SUMIFS(F$5:F345,B$5:B345,"brand",C$5:C345,C345,E$5:E345,"paid")&gt;=Inputs!$C$44,SUMIFS(F$5:F345,B$5:B345,"brand",C$5:C345,C345,E$5:E345,"paid")-F345&lt;Inputs!$C$44),1,0),0)</f>
        <v>0</v>
      </c>
    </row>
    <row r="346" customFormat="false" ht="15" hidden="false" customHeight="false" outlineLevel="0" collapsed="false">
      <c r="A346" s="102"/>
      <c r="B346" s="103"/>
      <c r="C346" s="103"/>
      <c r="D346" s="103"/>
      <c r="E346" s="103"/>
      <c r="F346" s="103"/>
      <c r="G346" s="103"/>
      <c r="H346" s="103"/>
      <c r="I346" s="103"/>
      <c r="T346" s="30" t="str">
        <f aca="false">IF(C346="","",IF(COUNTIFS(C$5:C346,C346,E$5:E346,E346)=1,1,0))</f>
        <v/>
      </c>
      <c r="U346" s="30" t="n">
        <f aca="false">IF(C346="",0,IF(AND(B346="brand",E346="budget_probe",N(F346)&gt;=Inputs!$C$124,H346="Y"),1,0))</f>
        <v>0</v>
      </c>
      <c r="V346" s="30" t="n">
        <f aca="false">IF(U346=1,IF(COUNTIFS(C$5:C346,C346,U$5:U346,1)=1,1,0),0)</f>
        <v>0</v>
      </c>
      <c r="W346" s="30" t="n">
        <f aca="false">IF(C346="",0,IF(AND(B346="office",E346="budget_probe",N(F346)&gt;=Inputs!$C$139),1,0))</f>
        <v>0</v>
      </c>
      <c r="X346" s="30" t="n">
        <f aca="false">IF(W346=1,IF(COUNTIFS(C$5:C346,C346,W$5:W346,1)=1,1,0),0)</f>
        <v>0</v>
      </c>
      <c r="Y346" s="30" t="n">
        <f aca="false">IF(C346="",0,IF(AND(B346="brand",E346="renewal_answer",TRIM(G346)="yes",N(F346)&gt;=Inputs!$C$135),1,0))</f>
        <v>0</v>
      </c>
      <c r="Z346" s="30" t="n">
        <f aca="false">IF(Y346=1,IF(COUNTIFS(C$5:C346,C346,Y$5:Y346,1)=1,1,0),0)</f>
        <v>0</v>
      </c>
      <c r="AA346" s="30" t="n">
        <f aca="false">IF(AND(E346="budget_probe",ISNUMBER(F346),I346&lt;&gt;Lists!$X$4),1,0)</f>
        <v>0</v>
      </c>
      <c r="AB346" s="30" t="str">
        <f aca="false">IF(AND(B346="office",AA346=1,COUNTIFS(C$5:C346,C346,AA$5:AA346,1)=1),F346,"")</f>
        <v/>
      </c>
      <c r="AC346" s="30" t="str">
        <f aca="false">IF(AND(B346="brand",AA346=1,COUNTIFS(C$5:C346,C346,AA$5:AA346,1)=1),F346,"")</f>
        <v/>
      </c>
      <c r="AD346" s="30" t="str">
        <f aca="false">IF(AND(B346="brand",E346="budget_probe",ISNUMBER(F346),I346=Lists!$X$4),IF(COUNTIFS(C$5:C346,C346,E$5:E346,"budget_probe",I$5:I346,Lists!$X$4)=1,F346,""),"")</f>
        <v/>
      </c>
      <c r="AE346" s="30" t="n">
        <f aca="false">IF(AND(B346="brand",E346="paid",ISNUMBER(F346)),IF(AND(SUMIFS(F$5:F346,B$5:B346,"brand",C$5:C346,C346,E$5:E346,"paid")&gt;=Inputs!$C$44,SUMIFS(F$5:F346,B$5:B346,"brand",C$5:C346,C346,E$5:E346,"paid")-F346&lt;Inputs!$C$44),1,0),0)</f>
        <v>0</v>
      </c>
    </row>
    <row r="347" customFormat="false" ht="15" hidden="false" customHeight="false" outlineLevel="0" collapsed="false">
      <c r="A347" s="102"/>
      <c r="B347" s="103"/>
      <c r="C347" s="103"/>
      <c r="D347" s="103"/>
      <c r="E347" s="103"/>
      <c r="F347" s="103"/>
      <c r="G347" s="103"/>
      <c r="H347" s="103"/>
      <c r="I347" s="103"/>
      <c r="T347" s="30" t="str">
        <f aca="false">IF(C347="","",IF(COUNTIFS(C$5:C347,C347,E$5:E347,E347)=1,1,0))</f>
        <v/>
      </c>
      <c r="U347" s="30" t="n">
        <f aca="false">IF(C347="",0,IF(AND(B347="brand",E347="budget_probe",N(F347)&gt;=Inputs!$C$124,H347="Y"),1,0))</f>
        <v>0</v>
      </c>
      <c r="V347" s="30" t="n">
        <f aca="false">IF(U347=1,IF(COUNTIFS(C$5:C347,C347,U$5:U347,1)=1,1,0),0)</f>
        <v>0</v>
      </c>
      <c r="W347" s="30" t="n">
        <f aca="false">IF(C347="",0,IF(AND(B347="office",E347="budget_probe",N(F347)&gt;=Inputs!$C$139),1,0))</f>
        <v>0</v>
      </c>
      <c r="X347" s="30" t="n">
        <f aca="false">IF(W347=1,IF(COUNTIFS(C$5:C347,C347,W$5:W347,1)=1,1,0),0)</f>
        <v>0</v>
      </c>
      <c r="Y347" s="30" t="n">
        <f aca="false">IF(C347="",0,IF(AND(B347="brand",E347="renewal_answer",TRIM(G347)="yes",N(F347)&gt;=Inputs!$C$135),1,0))</f>
        <v>0</v>
      </c>
      <c r="Z347" s="30" t="n">
        <f aca="false">IF(Y347=1,IF(COUNTIFS(C$5:C347,C347,Y$5:Y347,1)=1,1,0),0)</f>
        <v>0</v>
      </c>
      <c r="AA347" s="30" t="n">
        <f aca="false">IF(AND(E347="budget_probe",ISNUMBER(F347),I347&lt;&gt;Lists!$X$4),1,0)</f>
        <v>0</v>
      </c>
      <c r="AB347" s="30" t="str">
        <f aca="false">IF(AND(B347="office",AA347=1,COUNTIFS(C$5:C347,C347,AA$5:AA347,1)=1),F347,"")</f>
        <v/>
      </c>
      <c r="AC347" s="30" t="str">
        <f aca="false">IF(AND(B347="brand",AA347=1,COUNTIFS(C$5:C347,C347,AA$5:AA347,1)=1),F347,"")</f>
        <v/>
      </c>
      <c r="AD347" s="30" t="str">
        <f aca="false">IF(AND(B347="brand",E347="budget_probe",ISNUMBER(F347),I347=Lists!$X$4),IF(COUNTIFS(C$5:C347,C347,E$5:E347,"budget_probe",I$5:I347,Lists!$X$4)=1,F347,""),"")</f>
        <v/>
      </c>
      <c r="AE347" s="30" t="n">
        <f aca="false">IF(AND(B347="brand",E347="paid",ISNUMBER(F347)),IF(AND(SUMIFS(F$5:F347,B$5:B347,"brand",C$5:C347,C347,E$5:E347,"paid")&gt;=Inputs!$C$44,SUMIFS(F$5:F347,B$5:B347,"brand",C$5:C347,C347,E$5:E347,"paid")-F347&lt;Inputs!$C$44),1,0),0)</f>
        <v>0</v>
      </c>
    </row>
    <row r="348" customFormat="false" ht="15" hidden="false" customHeight="false" outlineLevel="0" collapsed="false">
      <c r="A348" s="102"/>
      <c r="B348" s="103"/>
      <c r="C348" s="103"/>
      <c r="D348" s="103"/>
      <c r="E348" s="103"/>
      <c r="F348" s="103"/>
      <c r="G348" s="103"/>
      <c r="H348" s="103"/>
      <c r="I348" s="103"/>
      <c r="T348" s="30" t="str">
        <f aca="false">IF(C348="","",IF(COUNTIFS(C$5:C348,C348,E$5:E348,E348)=1,1,0))</f>
        <v/>
      </c>
      <c r="U348" s="30" t="n">
        <f aca="false">IF(C348="",0,IF(AND(B348="brand",E348="budget_probe",N(F348)&gt;=Inputs!$C$124,H348="Y"),1,0))</f>
        <v>0</v>
      </c>
      <c r="V348" s="30" t="n">
        <f aca="false">IF(U348=1,IF(COUNTIFS(C$5:C348,C348,U$5:U348,1)=1,1,0),0)</f>
        <v>0</v>
      </c>
      <c r="W348" s="30" t="n">
        <f aca="false">IF(C348="",0,IF(AND(B348="office",E348="budget_probe",N(F348)&gt;=Inputs!$C$139),1,0))</f>
        <v>0</v>
      </c>
      <c r="X348" s="30" t="n">
        <f aca="false">IF(W348=1,IF(COUNTIFS(C$5:C348,C348,W$5:W348,1)=1,1,0),0)</f>
        <v>0</v>
      </c>
      <c r="Y348" s="30" t="n">
        <f aca="false">IF(C348="",0,IF(AND(B348="brand",E348="renewal_answer",TRIM(G348)="yes",N(F348)&gt;=Inputs!$C$135),1,0))</f>
        <v>0</v>
      </c>
      <c r="Z348" s="30" t="n">
        <f aca="false">IF(Y348=1,IF(COUNTIFS(C$5:C348,C348,Y$5:Y348,1)=1,1,0),0)</f>
        <v>0</v>
      </c>
      <c r="AA348" s="30" t="n">
        <f aca="false">IF(AND(E348="budget_probe",ISNUMBER(F348),I348&lt;&gt;Lists!$X$4),1,0)</f>
        <v>0</v>
      </c>
      <c r="AB348" s="30" t="str">
        <f aca="false">IF(AND(B348="office",AA348=1,COUNTIFS(C$5:C348,C348,AA$5:AA348,1)=1),F348,"")</f>
        <v/>
      </c>
      <c r="AC348" s="30" t="str">
        <f aca="false">IF(AND(B348="brand",AA348=1,COUNTIFS(C$5:C348,C348,AA$5:AA348,1)=1),F348,"")</f>
        <v/>
      </c>
      <c r="AD348" s="30" t="str">
        <f aca="false">IF(AND(B348="brand",E348="budget_probe",ISNUMBER(F348),I348=Lists!$X$4),IF(COUNTIFS(C$5:C348,C348,E$5:E348,"budget_probe",I$5:I348,Lists!$X$4)=1,F348,""),"")</f>
        <v/>
      </c>
      <c r="AE348" s="30" t="n">
        <f aca="false">IF(AND(B348="brand",E348="paid",ISNUMBER(F348)),IF(AND(SUMIFS(F$5:F348,B$5:B348,"brand",C$5:C348,C348,E$5:E348,"paid")&gt;=Inputs!$C$44,SUMIFS(F$5:F348,B$5:B348,"brand",C$5:C348,C348,E$5:E348,"paid")-F348&lt;Inputs!$C$44),1,0),0)</f>
        <v>0</v>
      </c>
    </row>
    <row r="349" customFormat="false" ht="15" hidden="false" customHeight="false" outlineLevel="0" collapsed="false">
      <c r="A349" s="102"/>
      <c r="B349" s="103"/>
      <c r="C349" s="103"/>
      <c r="D349" s="103"/>
      <c r="E349" s="103"/>
      <c r="F349" s="103"/>
      <c r="G349" s="103"/>
      <c r="H349" s="103"/>
      <c r="I349" s="103"/>
      <c r="T349" s="30" t="str">
        <f aca="false">IF(C349="","",IF(COUNTIFS(C$5:C349,C349,E$5:E349,E349)=1,1,0))</f>
        <v/>
      </c>
      <c r="U349" s="30" t="n">
        <f aca="false">IF(C349="",0,IF(AND(B349="brand",E349="budget_probe",N(F349)&gt;=Inputs!$C$124,H349="Y"),1,0))</f>
        <v>0</v>
      </c>
      <c r="V349" s="30" t="n">
        <f aca="false">IF(U349=1,IF(COUNTIFS(C$5:C349,C349,U$5:U349,1)=1,1,0),0)</f>
        <v>0</v>
      </c>
      <c r="W349" s="30" t="n">
        <f aca="false">IF(C349="",0,IF(AND(B349="office",E349="budget_probe",N(F349)&gt;=Inputs!$C$139),1,0))</f>
        <v>0</v>
      </c>
      <c r="X349" s="30" t="n">
        <f aca="false">IF(W349=1,IF(COUNTIFS(C$5:C349,C349,W$5:W349,1)=1,1,0),0)</f>
        <v>0</v>
      </c>
      <c r="Y349" s="30" t="n">
        <f aca="false">IF(C349="",0,IF(AND(B349="brand",E349="renewal_answer",TRIM(G349)="yes",N(F349)&gt;=Inputs!$C$135),1,0))</f>
        <v>0</v>
      </c>
      <c r="Z349" s="30" t="n">
        <f aca="false">IF(Y349=1,IF(COUNTIFS(C$5:C349,C349,Y$5:Y349,1)=1,1,0),0)</f>
        <v>0</v>
      </c>
      <c r="AA349" s="30" t="n">
        <f aca="false">IF(AND(E349="budget_probe",ISNUMBER(F349),I349&lt;&gt;Lists!$X$4),1,0)</f>
        <v>0</v>
      </c>
      <c r="AB349" s="30" t="str">
        <f aca="false">IF(AND(B349="office",AA349=1,COUNTIFS(C$5:C349,C349,AA$5:AA349,1)=1),F349,"")</f>
        <v/>
      </c>
      <c r="AC349" s="30" t="str">
        <f aca="false">IF(AND(B349="brand",AA349=1,COUNTIFS(C$5:C349,C349,AA$5:AA349,1)=1),F349,"")</f>
        <v/>
      </c>
      <c r="AD349" s="30" t="str">
        <f aca="false">IF(AND(B349="brand",E349="budget_probe",ISNUMBER(F349),I349=Lists!$X$4),IF(COUNTIFS(C$5:C349,C349,E$5:E349,"budget_probe",I$5:I349,Lists!$X$4)=1,F349,""),"")</f>
        <v/>
      </c>
      <c r="AE349" s="30" t="n">
        <f aca="false">IF(AND(B349="brand",E349="paid",ISNUMBER(F349)),IF(AND(SUMIFS(F$5:F349,B$5:B349,"brand",C$5:C349,C349,E$5:E349,"paid")&gt;=Inputs!$C$44,SUMIFS(F$5:F349,B$5:B349,"brand",C$5:C349,C349,E$5:E349,"paid")-F349&lt;Inputs!$C$44),1,0),0)</f>
        <v>0</v>
      </c>
    </row>
    <row r="350" customFormat="false" ht="15" hidden="false" customHeight="false" outlineLevel="0" collapsed="false">
      <c r="A350" s="102"/>
      <c r="B350" s="103"/>
      <c r="C350" s="103"/>
      <c r="D350" s="103"/>
      <c r="E350" s="103"/>
      <c r="F350" s="103"/>
      <c r="G350" s="103"/>
      <c r="H350" s="103"/>
      <c r="I350" s="103"/>
      <c r="T350" s="30" t="str">
        <f aca="false">IF(C350="","",IF(COUNTIFS(C$5:C350,C350,E$5:E350,E350)=1,1,0))</f>
        <v/>
      </c>
      <c r="U350" s="30" t="n">
        <f aca="false">IF(C350="",0,IF(AND(B350="brand",E350="budget_probe",N(F350)&gt;=Inputs!$C$124,H350="Y"),1,0))</f>
        <v>0</v>
      </c>
      <c r="V350" s="30" t="n">
        <f aca="false">IF(U350=1,IF(COUNTIFS(C$5:C350,C350,U$5:U350,1)=1,1,0),0)</f>
        <v>0</v>
      </c>
      <c r="W350" s="30" t="n">
        <f aca="false">IF(C350="",0,IF(AND(B350="office",E350="budget_probe",N(F350)&gt;=Inputs!$C$139),1,0))</f>
        <v>0</v>
      </c>
      <c r="X350" s="30" t="n">
        <f aca="false">IF(W350=1,IF(COUNTIFS(C$5:C350,C350,W$5:W350,1)=1,1,0),0)</f>
        <v>0</v>
      </c>
      <c r="Y350" s="30" t="n">
        <f aca="false">IF(C350="",0,IF(AND(B350="brand",E350="renewal_answer",TRIM(G350)="yes",N(F350)&gt;=Inputs!$C$135),1,0))</f>
        <v>0</v>
      </c>
      <c r="Z350" s="30" t="n">
        <f aca="false">IF(Y350=1,IF(COUNTIFS(C$5:C350,C350,Y$5:Y350,1)=1,1,0),0)</f>
        <v>0</v>
      </c>
      <c r="AA350" s="30" t="n">
        <f aca="false">IF(AND(E350="budget_probe",ISNUMBER(F350),I350&lt;&gt;Lists!$X$4),1,0)</f>
        <v>0</v>
      </c>
      <c r="AB350" s="30" t="str">
        <f aca="false">IF(AND(B350="office",AA350=1,COUNTIFS(C$5:C350,C350,AA$5:AA350,1)=1),F350,"")</f>
        <v/>
      </c>
      <c r="AC350" s="30" t="str">
        <f aca="false">IF(AND(B350="brand",AA350=1,COUNTIFS(C$5:C350,C350,AA$5:AA350,1)=1),F350,"")</f>
        <v/>
      </c>
      <c r="AD350" s="30" t="str">
        <f aca="false">IF(AND(B350="brand",E350="budget_probe",ISNUMBER(F350),I350=Lists!$X$4),IF(COUNTIFS(C$5:C350,C350,E$5:E350,"budget_probe",I$5:I350,Lists!$X$4)=1,F350,""),"")</f>
        <v/>
      </c>
      <c r="AE350" s="30" t="n">
        <f aca="false">IF(AND(B350="brand",E350="paid",ISNUMBER(F350)),IF(AND(SUMIFS(F$5:F350,B$5:B350,"brand",C$5:C350,C350,E$5:E350,"paid")&gt;=Inputs!$C$44,SUMIFS(F$5:F350,B$5:B350,"brand",C$5:C350,C350,E$5:E350,"paid")-F350&lt;Inputs!$C$44),1,0),0)</f>
        <v>0</v>
      </c>
    </row>
    <row r="351" customFormat="false" ht="15" hidden="false" customHeight="false" outlineLevel="0" collapsed="false">
      <c r="A351" s="102"/>
      <c r="B351" s="103"/>
      <c r="C351" s="103"/>
      <c r="D351" s="103"/>
      <c r="E351" s="103"/>
      <c r="F351" s="103"/>
      <c r="G351" s="103"/>
      <c r="H351" s="103"/>
      <c r="I351" s="103"/>
      <c r="T351" s="30" t="str">
        <f aca="false">IF(C351="","",IF(COUNTIFS(C$5:C351,C351,E$5:E351,E351)=1,1,0))</f>
        <v/>
      </c>
      <c r="U351" s="30" t="n">
        <f aca="false">IF(C351="",0,IF(AND(B351="brand",E351="budget_probe",N(F351)&gt;=Inputs!$C$124,H351="Y"),1,0))</f>
        <v>0</v>
      </c>
      <c r="V351" s="30" t="n">
        <f aca="false">IF(U351=1,IF(COUNTIFS(C$5:C351,C351,U$5:U351,1)=1,1,0),0)</f>
        <v>0</v>
      </c>
      <c r="W351" s="30" t="n">
        <f aca="false">IF(C351="",0,IF(AND(B351="office",E351="budget_probe",N(F351)&gt;=Inputs!$C$139),1,0))</f>
        <v>0</v>
      </c>
      <c r="X351" s="30" t="n">
        <f aca="false">IF(W351=1,IF(COUNTIFS(C$5:C351,C351,W$5:W351,1)=1,1,0),0)</f>
        <v>0</v>
      </c>
      <c r="Y351" s="30" t="n">
        <f aca="false">IF(C351="",0,IF(AND(B351="brand",E351="renewal_answer",TRIM(G351)="yes",N(F351)&gt;=Inputs!$C$135),1,0))</f>
        <v>0</v>
      </c>
      <c r="Z351" s="30" t="n">
        <f aca="false">IF(Y351=1,IF(COUNTIFS(C$5:C351,C351,Y$5:Y351,1)=1,1,0),0)</f>
        <v>0</v>
      </c>
      <c r="AA351" s="30" t="n">
        <f aca="false">IF(AND(E351="budget_probe",ISNUMBER(F351),I351&lt;&gt;Lists!$X$4),1,0)</f>
        <v>0</v>
      </c>
      <c r="AB351" s="30" t="str">
        <f aca="false">IF(AND(B351="office",AA351=1,COUNTIFS(C$5:C351,C351,AA$5:AA351,1)=1),F351,"")</f>
        <v/>
      </c>
      <c r="AC351" s="30" t="str">
        <f aca="false">IF(AND(B351="brand",AA351=1,COUNTIFS(C$5:C351,C351,AA$5:AA351,1)=1),F351,"")</f>
        <v/>
      </c>
      <c r="AD351" s="30" t="str">
        <f aca="false">IF(AND(B351="brand",E351="budget_probe",ISNUMBER(F351),I351=Lists!$X$4),IF(COUNTIFS(C$5:C351,C351,E$5:E351,"budget_probe",I$5:I351,Lists!$X$4)=1,F351,""),"")</f>
        <v/>
      </c>
      <c r="AE351" s="30" t="n">
        <f aca="false">IF(AND(B351="brand",E351="paid",ISNUMBER(F351)),IF(AND(SUMIFS(F$5:F351,B$5:B351,"brand",C$5:C351,C351,E$5:E351,"paid")&gt;=Inputs!$C$44,SUMIFS(F$5:F351,B$5:B351,"brand",C$5:C351,C351,E$5:E351,"paid")-F351&lt;Inputs!$C$44),1,0),0)</f>
        <v>0</v>
      </c>
    </row>
    <row r="352" customFormat="false" ht="15" hidden="false" customHeight="false" outlineLevel="0" collapsed="false">
      <c r="A352" s="102"/>
      <c r="B352" s="103"/>
      <c r="C352" s="103"/>
      <c r="D352" s="103"/>
      <c r="E352" s="103"/>
      <c r="F352" s="103"/>
      <c r="G352" s="103"/>
      <c r="H352" s="103"/>
      <c r="I352" s="103"/>
      <c r="T352" s="30" t="str">
        <f aca="false">IF(C352="","",IF(COUNTIFS(C$5:C352,C352,E$5:E352,E352)=1,1,0))</f>
        <v/>
      </c>
      <c r="U352" s="30" t="n">
        <f aca="false">IF(C352="",0,IF(AND(B352="brand",E352="budget_probe",N(F352)&gt;=Inputs!$C$124,H352="Y"),1,0))</f>
        <v>0</v>
      </c>
      <c r="V352" s="30" t="n">
        <f aca="false">IF(U352=1,IF(COUNTIFS(C$5:C352,C352,U$5:U352,1)=1,1,0),0)</f>
        <v>0</v>
      </c>
      <c r="W352" s="30" t="n">
        <f aca="false">IF(C352="",0,IF(AND(B352="office",E352="budget_probe",N(F352)&gt;=Inputs!$C$139),1,0))</f>
        <v>0</v>
      </c>
      <c r="X352" s="30" t="n">
        <f aca="false">IF(W352=1,IF(COUNTIFS(C$5:C352,C352,W$5:W352,1)=1,1,0),0)</f>
        <v>0</v>
      </c>
      <c r="Y352" s="30" t="n">
        <f aca="false">IF(C352="",0,IF(AND(B352="brand",E352="renewal_answer",TRIM(G352)="yes",N(F352)&gt;=Inputs!$C$135),1,0))</f>
        <v>0</v>
      </c>
      <c r="Z352" s="30" t="n">
        <f aca="false">IF(Y352=1,IF(COUNTIFS(C$5:C352,C352,Y$5:Y352,1)=1,1,0),0)</f>
        <v>0</v>
      </c>
      <c r="AA352" s="30" t="n">
        <f aca="false">IF(AND(E352="budget_probe",ISNUMBER(F352),I352&lt;&gt;Lists!$X$4),1,0)</f>
        <v>0</v>
      </c>
      <c r="AB352" s="30" t="str">
        <f aca="false">IF(AND(B352="office",AA352=1,COUNTIFS(C$5:C352,C352,AA$5:AA352,1)=1),F352,"")</f>
        <v/>
      </c>
      <c r="AC352" s="30" t="str">
        <f aca="false">IF(AND(B352="brand",AA352=1,COUNTIFS(C$5:C352,C352,AA$5:AA352,1)=1),F352,"")</f>
        <v/>
      </c>
      <c r="AD352" s="30" t="str">
        <f aca="false">IF(AND(B352="brand",E352="budget_probe",ISNUMBER(F352),I352=Lists!$X$4),IF(COUNTIFS(C$5:C352,C352,E$5:E352,"budget_probe",I$5:I352,Lists!$X$4)=1,F352,""),"")</f>
        <v/>
      </c>
      <c r="AE352" s="30" t="n">
        <f aca="false">IF(AND(B352="brand",E352="paid",ISNUMBER(F352)),IF(AND(SUMIFS(F$5:F352,B$5:B352,"brand",C$5:C352,C352,E$5:E352,"paid")&gt;=Inputs!$C$44,SUMIFS(F$5:F352,B$5:B352,"brand",C$5:C352,C352,E$5:E352,"paid")-F352&lt;Inputs!$C$44),1,0),0)</f>
        <v>0</v>
      </c>
    </row>
    <row r="353" customFormat="false" ht="15" hidden="false" customHeight="false" outlineLevel="0" collapsed="false">
      <c r="A353" s="102"/>
      <c r="B353" s="103"/>
      <c r="C353" s="103"/>
      <c r="D353" s="103"/>
      <c r="E353" s="103"/>
      <c r="F353" s="103"/>
      <c r="G353" s="103"/>
      <c r="H353" s="103"/>
      <c r="I353" s="103"/>
      <c r="T353" s="30" t="str">
        <f aca="false">IF(C353="","",IF(COUNTIFS(C$5:C353,C353,E$5:E353,E353)=1,1,0))</f>
        <v/>
      </c>
      <c r="U353" s="30" t="n">
        <f aca="false">IF(C353="",0,IF(AND(B353="brand",E353="budget_probe",N(F353)&gt;=Inputs!$C$124,H353="Y"),1,0))</f>
        <v>0</v>
      </c>
      <c r="V353" s="30" t="n">
        <f aca="false">IF(U353=1,IF(COUNTIFS(C$5:C353,C353,U$5:U353,1)=1,1,0),0)</f>
        <v>0</v>
      </c>
      <c r="W353" s="30" t="n">
        <f aca="false">IF(C353="",0,IF(AND(B353="office",E353="budget_probe",N(F353)&gt;=Inputs!$C$139),1,0))</f>
        <v>0</v>
      </c>
      <c r="X353" s="30" t="n">
        <f aca="false">IF(W353=1,IF(COUNTIFS(C$5:C353,C353,W$5:W353,1)=1,1,0),0)</f>
        <v>0</v>
      </c>
      <c r="Y353" s="30" t="n">
        <f aca="false">IF(C353="",0,IF(AND(B353="brand",E353="renewal_answer",TRIM(G353)="yes",N(F353)&gt;=Inputs!$C$135),1,0))</f>
        <v>0</v>
      </c>
      <c r="Z353" s="30" t="n">
        <f aca="false">IF(Y353=1,IF(COUNTIFS(C$5:C353,C353,Y$5:Y353,1)=1,1,0),0)</f>
        <v>0</v>
      </c>
      <c r="AA353" s="30" t="n">
        <f aca="false">IF(AND(E353="budget_probe",ISNUMBER(F353),I353&lt;&gt;Lists!$X$4),1,0)</f>
        <v>0</v>
      </c>
      <c r="AB353" s="30" t="str">
        <f aca="false">IF(AND(B353="office",AA353=1,COUNTIFS(C$5:C353,C353,AA$5:AA353,1)=1),F353,"")</f>
        <v/>
      </c>
      <c r="AC353" s="30" t="str">
        <f aca="false">IF(AND(B353="brand",AA353=1,COUNTIFS(C$5:C353,C353,AA$5:AA353,1)=1),F353,"")</f>
        <v/>
      </c>
      <c r="AD353" s="30" t="str">
        <f aca="false">IF(AND(B353="brand",E353="budget_probe",ISNUMBER(F353),I353=Lists!$X$4),IF(COUNTIFS(C$5:C353,C353,E$5:E353,"budget_probe",I$5:I353,Lists!$X$4)=1,F353,""),"")</f>
        <v/>
      </c>
      <c r="AE353" s="30" t="n">
        <f aca="false">IF(AND(B353="brand",E353="paid",ISNUMBER(F353)),IF(AND(SUMIFS(F$5:F353,B$5:B353,"brand",C$5:C353,C353,E$5:E353,"paid")&gt;=Inputs!$C$44,SUMIFS(F$5:F353,B$5:B353,"brand",C$5:C353,C353,E$5:E353,"paid")-F353&lt;Inputs!$C$44),1,0),0)</f>
        <v>0</v>
      </c>
    </row>
    <row r="354" customFormat="false" ht="15" hidden="false" customHeight="false" outlineLevel="0" collapsed="false">
      <c r="A354" s="102"/>
      <c r="B354" s="103"/>
      <c r="C354" s="103"/>
      <c r="D354" s="103"/>
      <c r="E354" s="103"/>
      <c r="F354" s="103"/>
      <c r="G354" s="103"/>
      <c r="H354" s="103"/>
      <c r="I354" s="103"/>
      <c r="T354" s="30" t="str">
        <f aca="false">IF(C354="","",IF(COUNTIFS(C$5:C354,C354,E$5:E354,E354)=1,1,0))</f>
        <v/>
      </c>
      <c r="U354" s="30" t="n">
        <f aca="false">IF(C354="",0,IF(AND(B354="brand",E354="budget_probe",N(F354)&gt;=Inputs!$C$124,H354="Y"),1,0))</f>
        <v>0</v>
      </c>
      <c r="V354" s="30" t="n">
        <f aca="false">IF(U354=1,IF(COUNTIFS(C$5:C354,C354,U$5:U354,1)=1,1,0),0)</f>
        <v>0</v>
      </c>
      <c r="W354" s="30" t="n">
        <f aca="false">IF(C354="",0,IF(AND(B354="office",E354="budget_probe",N(F354)&gt;=Inputs!$C$139),1,0))</f>
        <v>0</v>
      </c>
      <c r="X354" s="30" t="n">
        <f aca="false">IF(W354=1,IF(COUNTIFS(C$5:C354,C354,W$5:W354,1)=1,1,0),0)</f>
        <v>0</v>
      </c>
      <c r="Y354" s="30" t="n">
        <f aca="false">IF(C354="",0,IF(AND(B354="brand",E354="renewal_answer",TRIM(G354)="yes",N(F354)&gt;=Inputs!$C$135),1,0))</f>
        <v>0</v>
      </c>
      <c r="Z354" s="30" t="n">
        <f aca="false">IF(Y354=1,IF(COUNTIFS(C$5:C354,C354,Y$5:Y354,1)=1,1,0),0)</f>
        <v>0</v>
      </c>
      <c r="AA354" s="30" t="n">
        <f aca="false">IF(AND(E354="budget_probe",ISNUMBER(F354),I354&lt;&gt;Lists!$X$4),1,0)</f>
        <v>0</v>
      </c>
      <c r="AB354" s="30" t="str">
        <f aca="false">IF(AND(B354="office",AA354=1,COUNTIFS(C$5:C354,C354,AA$5:AA354,1)=1),F354,"")</f>
        <v/>
      </c>
      <c r="AC354" s="30" t="str">
        <f aca="false">IF(AND(B354="brand",AA354=1,COUNTIFS(C$5:C354,C354,AA$5:AA354,1)=1),F354,"")</f>
        <v/>
      </c>
      <c r="AD354" s="30" t="str">
        <f aca="false">IF(AND(B354="brand",E354="budget_probe",ISNUMBER(F354),I354=Lists!$X$4),IF(COUNTIFS(C$5:C354,C354,E$5:E354,"budget_probe",I$5:I354,Lists!$X$4)=1,F354,""),"")</f>
        <v/>
      </c>
      <c r="AE354" s="30" t="n">
        <f aca="false">IF(AND(B354="brand",E354="paid",ISNUMBER(F354)),IF(AND(SUMIFS(F$5:F354,B$5:B354,"brand",C$5:C354,C354,E$5:E354,"paid")&gt;=Inputs!$C$44,SUMIFS(F$5:F354,B$5:B354,"brand",C$5:C354,C354,E$5:E354,"paid")-F354&lt;Inputs!$C$44),1,0),0)</f>
        <v>0</v>
      </c>
    </row>
    <row r="355" customFormat="false" ht="15" hidden="false" customHeight="false" outlineLevel="0" collapsed="false">
      <c r="A355" s="102"/>
      <c r="B355" s="103"/>
      <c r="C355" s="103"/>
      <c r="D355" s="103"/>
      <c r="E355" s="103"/>
      <c r="F355" s="103"/>
      <c r="G355" s="103"/>
      <c r="H355" s="103"/>
      <c r="I355" s="103"/>
      <c r="T355" s="30" t="str">
        <f aca="false">IF(C355="","",IF(COUNTIFS(C$5:C355,C355,E$5:E355,E355)=1,1,0))</f>
        <v/>
      </c>
      <c r="U355" s="30" t="n">
        <f aca="false">IF(C355="",0,IF(AND(B355="brand",E355="budget_probe",N(F355)&gt;=Inputs!$C$124,H355="Y"),1,0))</f>
        <v>0</v>
      </c>
      <c r="V355" s="30" t="n">
        <f aca="false">IF(U355=1,IF(COUNTIFS(C$5:C355,C355,U$5:U355,1)=1,1,0),0)</f>
        <v>0</v>
      </c>
      <c r="W355" s="30" t="n">
        <f aca="false">IF(C355="",0,IF(AND(B355="office",E355="budget_probe",N(F355)&gt;=Inputs!$C$139),1,0))</f>
        <v>0</v>
      </c>
      <c r="X355" s="30" t="n">
        <f aca="false">IF(W355=1,IF(COUNTIFS(C$5:C355,C355,W$5:W355,1)=1,1,0),0)</f>
        <v>0</v>
      </c>
      <c r="Y355" s="30" t="n">
        <f aca="false">IF(C355="",0,IF(AND(B355="brand",E355="renewal_answer",TRIM(G355)="yes",N(F355)&gt;=Inputs!$C$135),1,0))</f>
        <v>0</v>
      </c>
      <c r="Z355" s="30" t="n">
        <f aca="false">IF(Y355=1,IF(COUNTIFS(C$5:C355,C355,Y$5:Y355,1)=1,1,0),0)</f>
        <v>0</v>
      </c>
      <c r="AA355" s="30" t="n">
        <f aca="false">IF(AND(E355="budget_probe",ISNUMBER(F355),I355&lt;&gt;Lists!$X$4),1,0)</f>
        <v>0</v>
      </c>
      <c r="AB355" s="30" t="str">
        <f aca="false">IF(AND(B355="office",AA355=1,COUNTIFS(C$5:C355,C355,AA$5:AA355,1)=1),F355,"")</f>
        <v/>
      </c>
      <c r="AC355" s="30" t="str">
        <f aca="false">IF(AND(B355="brand",AA355=1,COUNTIFS(C$5:C355,C355,AA$5:AA355,1)=1),F355,"")</f>
        <v/>
      </c>
      <c r="AD355" s="30" t="str">
        <f aca="false">IF(AND(B355="brand",E355="budget_probe",ISNUMBER(F355),I355=Lists!$X$4),IF(COUNTIFS(C$5:C355,C355,E$5:E355,"budget_probe",I$5:I355,Lists!$X$4)=1,F355,""),"")</f>
        <v/>
      </c>
      <c r="AE355" s="30" t="n">
        <f aca="false">IF(AND(B355="brand",E355="paid",ISNUMBER(F355)),IF(AND(SUMIFS(F$5:F355,B$5:B355,"brand",C$5:C355,C355,E$5:E355,"paid")&gt;=Inputs!$C$44,SUMIFS(F$5:F355,B$5:B355,"brand",C$5:C355,C355,E$5:E355,"paid")-F355&lt;Inputs!$C$44),1,0),0)</f>
        <v>0</v>
      </c>
    </row>
    <row r="356" customFormat="false" ht="15" hidden="false" customHeight="false" outlineLevel="0" collapsed="false">
      <c r="A356" s="102"/>
      <c r="B356" s="103"/>
      <c r="C356" s="103"/>
      <c r="D356" s="103"/>
      <c r="E356" s="103"/>
      <c r="F356" s="103"/>
      <c r="G356" s="103"/>
      <c r="H356" s="103"/>
      <c r="I356" s="103"/>
      <c r="T356" s="30" t="str">
        <f aca="false">IF(C356="","",IF(COUNTIFS(C$5:C356,C356,E$5:E356,E356)=1,1,0))</f>
        <v/>
      </c>
      <c r="U356" s="30" t="n">
        <f aca="false">IF(C356="",0,IF(AND(B356="brand",E356="budget_probe",N(F356)&gt;=Inputs!$C$124,H356="Y"),1,0))</f>
        <v>0</v>
      </c>
      <c r="V356" s="30" t="n">
        <f aca="false">IF(U356=1,IF(COUNTIFS(C$5:C356,C356,U$5:U356,1)=1,1,0),0)</f>
        <v>0</v>
      </c>
      <c r="W356" s="30" t="n">
        <f aca="false">IF(C356="",0,IF(AND(B356="office",E356="budget_probe",N(F356)&gt;=Inputs!$C$139),1,0))</f>
        <v>0</v>
      </c>
      <c r="X356" s="30" t="n">
        <f aca="false">IF(W356=1,IF(COUNTIFS(C$5:C356,C356,W$5:W356,1)=1,1,0),0)</f>
        <v>0</v>
      </c>
      <c r="Y356" s="30" t="n">
        <f aca="false">IF(C356="",0,IF(AND(B356="brand",E356="renewal_answer",TRIM(G356)="yes",N(F356)&gt;=Inputs!$C$135),1,0))</f>
        <v>0</v>
      </c>
      <c r="Z356" s="30" t="n">
        <f aca="false">IF(Y356=1,IF(COUNTIFS(C$5:C356,C356,Y$5:Y356,1)=1,1,0),0)</f>
        <v>0</v>
      </c>
      <c r="AA356" s="30" t="n">
        <f aca="false">IF(AND(E356="budget_probe",ISNUMBER(F356),I356&lt;&gt;Lists!$X$4),1,0)</f>
        <v>0</v>
      </c>
      <c r="AB356" s="30" t="str">
        <f aca="false">IF(AND(B356="office",AA356=1,COUNTIFS(C$5:C356,C356,AA$5:AA356,1)=1),F356,"")</f>
        <v/>
      </c>
      <c r="AC356" s="30" t="str">
        <f aca="false">IF(AND(B356="brand",AA356=1,COUNTIFS(C$5:C356,C356,AA$5:AA356,1)=1),F356,"")</f>
        <v/>
      </c>
      <c r="AD356" s="30" t="str">
        <f aca="false">IF(AND(B356="brand",E356="budget_probe",ISNUMBER(F356),I356=Lists!$X$4),IF(COUNTIFS(C$5:C356,C356,E$5:E356,"budget_probe",I$5:I356,Lists!$X$4)=1,F356,""),"")</f>
        <v/>
      </c>
      <c r="AE356" s="30" t="n">
        <f aca="false">IF(AND(B356="brand",E356="paid",ISNUMBER(F356)),IF(AND(SUMIFS(F$5:F356,B$5:B356,"brand",C$5:C356,C356,E$5:E356,"paid")&gt;=Inputs!$C$44,SUMIFS(F$5:F356,B$5:B356,"brand",C$5:C356,C356,E$5:E356,"paid")-F356&lt;Inputs!$C$44),1,0),0)</f>
        <v>0</v>
      </c>
    </row>
    <row r="357" customFormat="false" ht="15" hidden="false" customHeight="false" outlineLevel="0" collapsed="false">
      <c r="A357" s="102"/>
      <c r="B357" s="103"/>
      <c r="C357" s="103"/>
      <c r="D357" s="103"/>
      <c r="E357" s="103"/>
      <c r="F357" s="103"/>
      <c r="G357" s="103"/>
      <c r="H357" s="103"/>
      <c r="I357" s="103"/>
      <c r="T357" s="30" t="str">
        <f aca="false">IF(C357="","",IF(COUNTIFS(C$5:C357,C357,E$5:E357,E357)=1,1,0))</f>
        <v/>
      </c>
      <c r="U357" s="30" t="n">
        <f aca="false">IF(C357="",0,IF(AND(B357="brand",E357="budget_probe",N(F357)&gt;=Inputs!$C$124,H357="Y"),1,0))</f>
        <v>0</v>
      </c>
      <c r="V357" s="30" t="n">
        <f aca="false">IF(U357=1,IF(COUNTIFS(C$5:C357,C357,U$5:U357,1)=1,1,0),0)</f>
        <v>0</v>
      </c>
      <c r="W357" s="30" t="n">
        <f aca="false">IF(C357="",0,IF(AND(B357="office",E357="budget_probe",N(F357)&gt;=Inputs!$C$139),1,0))</f>
        <v>0</v>
      </c>
      <c r="X357" s="30" t="n">
        <f aca="false">IF(W357=1,IF(COUNTIFS(C$5:C357,C357,W$5:W357,1)=1,1,0),0)</f>
        <v>0</v>
      </c>
      <c r="Y357" s="30" t="n">
        <f aca="false">IF(C357="",0,IF(AND(B357="brand",E357="renewal_answer",TRIM(G357)="yes",N(F357)&gt;=Inputs!$C$135),1,0))</f>
        <v>0</v>
      </c>
      <c r="Z357" s="30" t="n">
        <f aca="false">IF(Y357=1,IF(COUNTIFS(C$5:C357,C357,Y$5:Y357,1)=1,1,0),0)</f>
        <v>0</v>
      </c>
      <c r="AA357" s="30" t="n">
        <f aca="false">IF(AND(E357="budget_probe",ISNUMBER(F357),I357&lt;&gt;Lists!$X$4),1,0)</f>
        <v>0</v>
      </c>
      <c r="AB357" s="30" t="str">
        <f aca="false">IF(AND(B357="office",AA357=1,COUNTIFS(C$5:C357,C357,AA$5:AA357,1)=1),F357,"")</f>
        <v/>
      </c>
      <c r="AC357" s="30" t="str">
        <f aca="false">IF(AND(B357="brand",AA357=1,COUNTIFS(C$5:C357,C357,AA$5:AA357,1)=1),F357,"")</f>
        <v/>
      </c>
      <c r="AD357" s="30" t="str">
        <f aca="false">IF(AND(B357="brand",E357="budget_probe",ISNUMBER(F357),I357=Lists!$X$4),IF(COUNTIFS(C$5:C357,C357,E$5:E357,"budget_probe",I$5:I357,Lists!$X$4)=1,F357,""),"")</f>
        <v/>
      </c>
      <c r="AE357" s="30" t="n">
        <f aca="false">IF(AND(B357="brand",E357="paid",ISNUMBER(F357)),IF(AND(SUMIFS(F$5:F357,B$5:B357,"brand",C$5:C357,C357,E$5:E357,"paid")&gt;=Inputs!$C$44,SUMIFS(F$5:F357,B$5:B357,"brand",C$5:C357,C357,E$5:E357,"paid")-F357&lt;Inputs!$C$44),1,0),0)</f>
        <v>0</v>
      </c>
    </row>
    <row r="358" customFormat="false" ht="15" hidden="false" customHeight="false" outlineLevel="0" collapsed="false">
      <c r="A358" s="102"/>
      <c r="B358" s="103"/>
      <c r="C358" s="103"/>
      <c r="D358" s="103"/>
      <c r="E358" s="103"/>
      <c r="F358" s="103"/>
      <c r="G358" s="103"/>
      <c r="H358" s="103"/>
      <c r="I358" s="103"/>
      <c r="T358" s="30" t="str">
        <f aca="false">IF(C358="","",IF(COUNTIFS(C$5:C358,C358,E$5:E358,E358)=1,1,0))</f>
        <v/>
      </c>
      <c r="U358" s="30" t="n">
        <f aca="false">IF(C358="",0,IF(AND(B358="brand",E358="budget_probe",N(F358)&gt;=Inputs!$C$124,H358="Y"),1,0))</f>
        <v>0</v>
      </c>
      <c r="V358" s="30" t="n">
        <f aca="false">IF(U358=1,IF(COUNTIFS(C$5:C358,C358,U$5:U358,1)=1,1,0),0)</f>
        <v>0</v>
      </c>
      <c r="W358" s="30" t="n">
        <f aca="false">IF(C358="",0,IF(AND(B358="office",E358="budget_probe",N(F358)&gt;=Inputs!$C$139),1,0))</f>
        <v>0</v>
      </c>
      <c r="X358" s="30" t="n">
        <f aca="false">IF(W358=1,IF(COUNTIFS(C$5:C358,C358,W$5:W358,1)=1,1,0),0)</f>
        <v>0</v>
      </c>
      <c r="Y358" s="30" t="n">
        <f aca="false">IF(C358="",0,IF(AND(B358="brand",E358="renewal_answer",TRIM(G358)="yes",N(F358)&gt;=Inputs!$C$135),1,0))</f>
        <v>0</v>
      </c>
      <c r="Z358" s="30" t="n">
        <f aca="false">IF(Y358=1,IF(COUNTIFS(C$5:C358,C358,Y$5:Y358,1)=1,1,0),0)</f>
        <v>0</v>
      </c>
      <c r="AA358" s="30" t="n">
        <f aca="false">IF(AND(E358="budget_probe",ISNUMBER(F358),I358&lt;&gt;Lists!$X$4),1,0)</f>
        <v>0</v>
      </c>
      <c r="AB358" s="30" t="str">
        <f aca="false">IF(AND(B358="office",AA358=1,COUNTIFS(C$5:C358,C358,AA$5:AA358,1)=1),F358,"")</f>
        <v/>
      </c>
      <c r="AC358" s="30" t="str">
        <f aca="false">IF(AND(B358="brand",AA358=1,COUNTIFS(C$5:C358,C358,AA$5:AA358,1)=1),F358,"")</f>
        <v/>
      </c>
      <c r="AD358" s="30" t="str">
        <f aca="false">IF(AND(B358="brand",E358="budget_probe",ISNUMBER(F358),I358=Lists!$X$4),IF(COUNTIFS(C$5:C358,C358,E$5:E358,"budget_probe",I$5:I358,Lists!$X$4)=1,F358,""),"")</f>
        <v/>
      </c>
      <c r="AE358" s="30" t="n">
        <f aca="false">IF(AND(B358="brand",E358="paid",ISNUMBER(F358)),IF(AND(SUMIFS(F$5:F358,B$5:B358,"brand",C$5:C358,C358,E$5:E358,"paid")&gt;=Inputs!$C$44,SUMIFS(F$5:F358,B$5:B358,"brand",C$5:C358,C358,E$5:E358,"paid")-F358&lt;Inputs!$C$44),1,0),0)</f>
        <v>0</v>
      </c>
    </row>
    <row r="359" customFormat="false" ht="15" hidden="false" customHeight="false" outlineLevel="0" collapsed="false">
      <c r="A359" s="102"/>
      <c r="B359" s="103"/>
      <c r="C359" s="103"/>
      <c r="D359" s="103"/>
      <c r="E359" s="103"/>
      <c r="F359" s="103"/>
      <c r="G359" s="103"/>
      <c r="H359" s="103"/>
      <c r="I359" s="103"/>
      <c r="T359" s="30" t="str">
        <f aca="false">IF(C359="","",IF(COUNTIFS(C$5:C359,C359,E$5:E359,E359)=1,1,0))</f>
        <v/>
      </c>
      <c r="U359" s="30" t="n">
        <f aca="false">IF(C359="",0,IF(AND(B359="brand",E359="budget_probe",N(F359)&gt;=Inputs!$C$124,H359="Y"),1,0))</f>
        <v>0</v>
      </c>
      <c r="V359" s="30" t="n">
        <f aca="false">IF(U359=1,IF(COUNTIFS(C$5:C359,C359,U$5:U359,1)=1,1,0),0)</f>
        <v>0</v>
      </c>
      <c r="W359" s="30" t="n">
        <f aca="false">IF(C359="",0,IF(AND(B359="office",E359="budget_probe",N(F359)&gt;=Inputs!$C$139),1,0))</f>
        <v>0</v>
      </c>
      <c r="X359" s="30" t="n">
        <f aca="false">IF(W359=1,IF(COUNTIFS(C$5:C359,C359,W$5:W359,1)=1,1,0),0)</f>
        <v>0</v>
      </c>
      <c r="Y359" s="30" t="n">
        <f aca="false">IF(C359="",0,IF(AND(B359="brand",E359="renewal_answer",TRIM(G359)="yes",N(F359)&gt;=Inputs!$C$135),1,0))</f>
        <v>0</v>
      </c>
      <c r="Z359" s="30" t="n">
        <f aca="false">IF(Y359=1,IF(COUNTIFS(C$5:C359,C359,Y$5:Y359,1)=1,1,0),0)</f>
        <v>0</v>
      </c>
      <c r="AA359" s="30" t="n">
        <f aca="false">IF(AND(E359="budget_probe",ISNUMBER(F359),I359&lt;&gt;Lists!$X$4),1,0)</f>
        <v>0</v>
      </c>
      <c r="AB359" s="30" t="str">
        <f aca="false">IF(AND(B359="office",AA359=1,COUNTIFS(C$5:C359,C359,AA$5:AA359,1)=1),F359,"")</f>
        <v/>
      </c>
      <c r="AC359" s="30" t="str">
        <f aca="false">IF(AND(B359="brand",AA359=1,COUNTIFS(C$5:C359,C359,AA$5:AA359,1)=1),F359,"")</f>
        <v/>
      </c>
      <c r="AD359" s="30" t="str">
        <f aca="false">IF(AND(B359="brand",E359="budget_probe",ISNUMBER(F359),I359=Lists!$X$4),IF(COUNTIFS(C$5:C359,C359,E$5:E359,"budget_probe",I$5:I359,Lists!$X$4)=1,F359,""),"")</f>
        <v/>
      </c>
      <c r="AE359" s="30" t="n">
        <f aca="false">IF(AND(B359="brand",E359="paid",ISNUMBER(F359)),IF(AND(SUMIFS(F$5:F359,B$5:B359,"brand",C$5:C359,C359,E$5:E359,"paid")&gt;=Inputs!$C$44,SUMIFS(F$5:F359,B$5:B359,"brand",C$5:C359,C359,E$5:E359,"paid")-F359&lt;Inputs!$C$44),1,0),0)</f>
        <v>0</v>
      </c>
    </row>
    <row r="360" customFormat="false" ht="15" hidden="false" customHeight="false" outlineLevel="0" collapsed="false">
      <c r="A360" s="102"/>
      <c r="B360" s="103"/>
      <c r="C360" s="103"/>
      <c r="D360" s="103"/>
      <c r="E360" s="103"/>
      <c r="F360" s="103"/>
      <c r="G360" s="103"/>
      <c r="H360" s="103"/>
      <c r="I360" s="103"/>
      <c r="T360" s="30" t="str">
        <f aca="false">IF(C360="","",IF(COUNTIFS(C$5:C360,C360,E$5:E360,E360)=1,1,0))</f>
        <v/>
      </c>
      <c r="U360" s="30" t="n">
        <f aca="false">IF(C360="",0,IF(AND(B360="brand",E360="budget_probe",N(F360)&gt;=Inputs!$C$124,H360="Y"),1,0))</f>
        <v>0</v>
      </c>
      <c r="V360" s="30" t="n">
        <f aca="false">IF(U360=1,IF(COUNTIFS(C$5:C360,C360,U$5:U360,1)=1,1,0),0)</f>
        <v>0</v>
      </c>
      <c r="W360" s="30" t="n">
        <f aca="false">IF(C360="",0,IF(AND(B360="office",E360="budget_probe",N(F360)&gt;=Inputs!$C$139),1,0))</f>
        <v>0</v>
      </c>
      <c r="X360" s="30" t="n">
        <f aca="false">IF(W360=1,IF(COUNTIFS(C$5:C360,C360,W$5:W360,1)=1,1,0),0)</f>
        <v>0</v>
      </c>
      <c r="Y360" s="30" t="n">
        <f aca="false">IF(C360="",0,IF(AND(B360="brand",E360="renewal_answer",TRIM(G360)="yes",N(F360)&gt;=Inputs!$C$135),1,0))</f>
        <v>0</v>
      </c>
      <c r="Z360" s="30" t="n">
        <f aca="false">IF(Y360=1,IF(COUNTIFS(C$5:C360,C360,Y$5:Y360,1)=1,1,0),0)</f>
        <v>0</v>
      </c>
      <c r="AA360" s="30" t="n">
        <f aca="false">IF(AND(E360="budget_probe",ISNUMBER(F360),I360&lt;&gt;Lists!$X$4),1,0)</f>
        <v>0</v>
      </c>
      <c r="AB360" s="30" t="str">
        <f aca="false">IF(AND(B360="office",AA360=1,COUNTIFS(C$5:C360,C360,AA$5:AA360,1)=1),F360,"")</f>
        <v/>
      </c>
      <c r="AC360" s="30" t="str">
        <f aca="false">IF(AND(B360="brand",AA360=1,COUNTIFS(C$5:C360,C360,AA$5:AA360,1)=1),F360,"")</f>
        <v/>
      </c>
      <c r="AD360" s="30" t="str">
        <f aca="false">IF(AND(B360="brand",E360="budget_probe",ISNUMBER(F360),I360=Lists!$X$4),IF(COUNTIFS(C$5:C360,C360,E$5:E360,"budget_probe",I$5:I360,Lists!$X$4)=1,F360,""),"")</f>
        <v/>
      </c>
      <c r="AE360" s="30" t="n">
        <f aca="false">IF(AND(B360="brand",E360="paid",ISNUMBER(F360)),IF(AND(SUMIFS(F$5:F360,B$5:B360,"brand",C$5:C360,C360,E$5:E360,"paid")&gt;=Inputs!$C$44,SUMIFS(F$5:F360,B$5:B360,"brand",C$5:C360,C360,E$5:E360,"paid")-F360&lt;Inputs!$C$44),1,0),0)</f>
        <v>0</v>
      </c>
    </row>
    <row r="361" customFormat="false" ht="15" hidden="false" customHeight="false" outlineLevel="0" collapsed="false">
      <c r="A361" s="102"/>
      <c r="B361" s="103"/>
      <c r="C361" s="103"/>
      <c r="D361" s="103"/>
      <c r="E361" s="103"/>
      <c r="F361" s="103"/>
      <c r="G361" s="103"/>
      <c r="H361" s="103"/>
      <c r="I361" s="103"/>
      <c r="T361" s="30" t="str">
        <f aca="false">IF(C361="","",IF(COUNTIFS(C$5:C361,C361,E$5:E361,E361)=1,1,0))</f>
        <v/>
      </c>
      <c r="U361" s="30" t="n">
        <f aca="false">IF(C361="",0,IF(AND(B361="brand",E361="budget_probe",N(F361)&gt;=Inputs!$C$124,H361="Y"),1,0))</f>
        <v>0</v>
      </c>
      <c r="V361" s="30" t="n">
        <f aca="false">IF(U361=1,IF(COUNTIFS(C$5:C361,C361,U$5:U361,1)=1,1,0),0)</f>
        <v>0</v>
      </c>
      <c r="W361" s="30" t="n">
        <f aca="false">IF(C361="",0,IF(AND(B361="office",E361="budget_probe",N(F361)&gt;=Inputs!$C$139),1,0))</f>
        <v>0</v>
      </c>
      <c r="X361" s="30" t="n">
        <f aca="false">IF(W361=1,IF(COUNTIFS(C$5:C361,C361,W$5:W361,1)=1,1,0),0)</f>
        <v>0</v>
      </c>
      <c r="Y361" s="30" t="n">
        <f aca="false">IF(C361="",0,IF(AND(B361="brand",E361="renewal_answer",TRIM(G361)="yes",N(F361)&gt;=Inputs!$C$135),1,0))</f>
        <v>0</v>
      </c>
      <c r="Z361" s="30" t="n">
        <f aca="false">IF(Y361=1,IF(COUNTIFS(C$5:C361,C361,Y$5:Y361,1)=1,1,0),0)</f>
        <v>0</v>
      </c>
      <c r="AA361" s="30" t="n">
        <f aca="false">IF(AND(E361="budget_probe",ISNUMBER(F361),I361&lt;&gt;Lists!$X$4),1,0)</f>
        <v>0</v>
      </c>
      <c r="AB361" s="30" t="str">
        <f aca="false">IF(AND(B361="office",AA361=1,COUNTIFS(C$5:C361,C361,AA$5:AA361,1)=1),F361,"")</f>
        <v/>
      </c>
      <c r="AC361" s="30" t="str">
        <f aca="false">IF(AND(B361="brand",AA361=1,COUNTIFS(C$5:C361,C361,AA$5:AA361,1)=1),F361,"")</f>
        <v/>
      </c>
      <c r="AD361" s="30" t="str">
        <f aca="false">IF(AND(B361="brand",E361="budget_probe",ISNUMBER(F361),I361=Lists!$X$4),IF(COUNTIFS(C$5:C361,C361,E$5:E361,"budget_probe",I$5:I361,Lists!$X$4)=1,F361,""),"")</f>
        <v/>
      </c>
      <c r="AE361" s="30" t="n">
        <f aca="false">IF(AND(B361="brand",E361="paid",ISNUMBER(F361)),IF(AND(SUMIFS(F$5:F361,B$5:B361,"brand",C$5:C361,C361,E$5:E361,"paid")&gt;=Inputs!$C$44,SUMIFS(F$5:F361,B$5:B361,"brand",C$5:C361,C361,E$5:E361,"paid")-F361&lt;Inputs!$C$44),1,0),0)</f>
        <v>0</v>
      </c>
    </row>
    <row r="362" customFormat="false" ht="15" hidden="false" customHeight="false" outlineLevel="0" collapsed="false">
      <c r="A362" s="102"/>
      <c r="B362" s="103"/>
      <c r="C362" s="103"/>
      <c r="D362" s="103"/>
      <c r="E362" s="103"/>
      <c r="F362" s="103"/>
      <c r="G362" s="103"/>
      <c r="H362" s="103"/>
      <c r="I362" s="103"/>
      <c r="T362" s="30" t="str">
        <f aca="false">IF(C362="","",IF(COUNTIFS(C$5:C362,C362,E$5:E362,E362)=1,1,0))</f>
        <v/>
      </c>
      <c r="U362" s="30" t="n">
        <f aca="false">IF(C362="",0,IF(AND(B362="brand",E362="budget_probe",N(F362)&gt;=Inputs!$C$124,H362="Y"),1,0))</f>
        <v>0</v>
      </c>
      <c r="V362" s="30" t="n">
        <f aca="false">IF(U362=1,IF(COUNTIFS(C$5:C362,C362,U$5:U362,1)=1,1,0),0)</f>
        <v>0</v>
      </c>
      <c r="W362" s="30" t="n">
        <f aca="false">IF(C362="",0,IF(AND(B362="office",E362="budget_probe",N(F362)&gt;=Inputs!$C$139),1,0))</f>
        <v>0</v>
      </c>
      <c r="X362" s="30" t="n">
        <f aca="false">IF(W362=1,IF(COUNTIFS(C$5:C362,C362,W$5:W362,1)=1,1,0),0)</f>
        <v>0</v>
      </c>
      <c r="Y362" s="30" t="n">
        <f aca="false">IF(C362="",0,IF(AND(B362="brand",E362="renewal_answer",TRIM(G362)="yes",N(F362)&gt;=Inputs!$C$135),1,0))</f>
        <v>0</v>
      </c>
      <c r="Z362" s="30" t="n">
        <f aca="false">IF(Y362=1,IF(COUNTIFS(C$5:C362,C362,Y$5:Y362,1)=1,1,0),0)</f>
        <v>0</v>
      </c>
      <c r="AA362" s="30" t="n">
        <f aca="false">IF(AND(E362="budget_probe",ISNUMBER(F362),I362&lt;&gt;Lists!$X$4),1,0)</f>
        <v>0</v>
      </c>
      <c r="AB362" s="30" t="str">
        <f aca="false">IF(AND(B362="office",AA362=1,COUNTIFS(C$5:C362,C362,AA$5:AA362,1)=1),F362,"")</f>
        <v/>
      </c>
      <c r="AC362" s="30" t="str">
        <f aca="false">IF(AND(B362="brand",AA362=1,COUNTIFS(C$5:C362,C362,AA$5:AA362,1)=1),F362,"")</f>
        <v/>
      </c>
      <c r="AD362" s="30" t="str">
        <f aca="false">IF(AND(B362="brand",E362="budget_probe",ISNUMBER(F362),I362=Lists!$X$4),IF(COUNTIFS(C$5:C362,C362,E$5:E362,"budget_probe",I$5:I362,Lists!$X$4)=1,F362,""),"")</f>
        <v/>
      </c>
      <c r="AE362" s="30" t="n">
        <f aca="false">IF(AND(B362="brand",E362="paid",ISNUMBER(F362)),IF(AND(SUMIFS(F$5:F362,B$5:B362,"brand",C$5:C362,C362,E$5:E362,"paid")&gt;=Inputs!$C$44,SUMIFS(F$5:F362,B$5:B362,"brand",C$5:C362,C362,E$5:E362,"paid")-F362&lt;Inputs!$C$44),1,0),0)</f>
        <v>0</v>
      </c>
    </row>
    <row r="363" customFormat="false" ht="15" hidden="false" customHeight="false" outlineLevel="0" collapsed="false">
      <c r="A363" s="102"/>
      <c r="B363" s="103"/>
      <c r="C363" s="103"/>
      <c r="D363" s="103"/>
      <c r="E363" s="103"/>
      <c r="F363" s="103"/>
      <c r="G363" s="103"/>
      <c r="H363" s="103"/>
      <c r="I363" s="103"/>
      <c r="T363" s="30" t="str">
        <f aca="false">IF(C363="","",IF(COUNTIFS(C$5:C363,C363,E$5:E363,E363)=1,1,0))</f>
        <v/>
      </c>
      <c r="U363" s="30" t="n">
        <f aca="false">IF(C363="",0,IF(AND(B363="brand",E363="budget_probe",N(F363)&gt;=Inputs!$C$124,H363="Y"),1,0))</f>
        <v>0</v>
      </c>
      <c r="V363" s="30" t="n">
        <f aca="false">IF(U363=1,IF(COUNTIFS(C$5:C363,C363,U$5:U363,1)=1,1,0),0)</f>
        <v>0</v>
      </c>
      <c r="W363" s="30" t="n">
        <f aca="false">IF(C363="",0,IF(AND(B363="office",E363="budget_probe",N(F363)&gt;=Inputs!$C$139),1,0))</f>
        <v>0</v>
      </c>
      <c r="X363" s="30" t="n">
        <f aca="false">IF(W363=1,IF(COUNTIFS(C$5:C363,C363,W$5:W363,1)=1,1,0),0)</f>
        <v>0</v>
      </c>
      <c r="Y363" s="30" t="n">
        <f aca="false">IF(C363="",0,IF(AND(B363="brand",E363="renewal_answer",TRIM(G363)="yes",N(F363)&gt;=Inputs!$C$135),1,0))</f>
        <v>0</v>
      </c>
      <c r="Z363" s="30" t="n">
        <f aca="false">IF(Y363=1,IF(COUNTIFS(C$5:C363,C363,Y$5:Y363,1)=1,1,0),0)</f>
        <v>0</v>
      </c>
      <c r="AA363" s="30" t="n">
        <f aca="false">IF(AND(E363="budget_probe",ISNUMBER(F363),I363&lt;&gt;Lists!$X$4),1,0)</f>
        <v>0</v>
      </c>
      <c r="AB363" s="30" t="str">
        <f aca="false">IF(AND(B363="office",AA363=1,COUNTIFS(C$5:C363,C363,AA$5:AA363,1)=1),F363,"")</f>
        <v/>
      </c>
      <c r="AC363" s="30" t="str">
        <f aca="false">IF(AND(B363="brand",AA363=1,COUNTIFS(C$5:C363,C363,AA$5:AA363,1)=1),F363,"")</f>
        <v/>
      </c>
      <c r="AD363" s="30" t="str">
        <f aca="false">IF(AND(B363="brand",E363="budget_probe",ISNUMBER(F363),I363=Lists!$X$4),IF(COUNTIFS(C$5:C363,C363,E$5:E363,"budget_probe",I$5:I363,Lists!$X$4)=1,F363,""),"")</f>
        <v/>
      </c>
      <c r="AE363" s="30" t="n">
        <f aca="false">IF(AND(B363="brand",E363="paid",ISNUMBER(F363)),IF(AND(SUMIFS(F$5:F363,B$5:B363,"brand",C$5:C363,C363,E$5:E363,"paid")&gt;=Inputs!$C$44,SUMIFS(F$5:F363,B$5:B363,"brand",C$5:C363,C363,E$5:E363,"paid")-F363&lt;Inputs!$C$44),1,0),0)</f>
        <v>0</v>
      </c>
    </row>
    <row r="364" customFormat="false" ht="15" hidden="false" customHeight="false" outlineLevel="0" collapsed="false">
      <c r="A364" s="102"/>
      <c r="B364" s="103"/>
      <c r="C364" s="103"/>
      <c r="D364" s="103"/>
      <c r="E364" s="103"/>
      <c r="F364" s="103"/>
      <c r="G364" s="103"/>
      <c r="H364" s="103"/>
      <c r="I364" s="103"/>
      <c r="T364" s="30" t="str">
        <f aca="false">IF(C364="","",IF(COUNTIFS(C$5:C364,C364,E$5:E364,E364)=1,1,0))</f>
        <v/>
      </c>
      <c r="U364" s="30" t="n">
        <f aca="false">IF(C364="",0,IF(AND(B364="brand",E364="budget_probe",N(F364)&gt;=Inputs!$C$124,H364="Y"),1,0))</f>
        <v>0</v>
      </c>
      <c r="V364" s="30" t="n">
        <f aca="false">IF(U364=1,IF(COUNTIFS(C$5:C364,C364,U$5:U364,1)=1,1,0),0)</f>
        <v>0</v>
      </c>
      <c r="W364" s="30" t="n">
        <f aca="false">IF(C364="",0,IF(AND(B364="office",E364="budget_probe",N(F364)&gt;=Inputs!$C$139),1,0))</f>
        <v>0</v>
      </c>
      <c r="X364" s="30" t="n">
        <f aca="false">IF(W364=1,IF(COUNTIFS(C$5:C364,C364,W$5:W364,1)=1,1,0),0)</f>
        <v>0</v>
      </c>
      <c r="Y364" s="30" t="n">
        <f aca="false">IF(C364="",0,IF(AND(B364="brand",E364="renewal_answer",TRIM(G364)="yes",N(F364)&gt;=Inputs!$C$135),1,0))</f>
        <v>0</v>
      </c>
      <c r="Z364" s="30" t="n">
        <f aca="false">IF(Y364=1,IF(COUNTIFS(C$5:C364,C364,Y$5:Y364,1)=1,1,0),0)</f>
        <v>0</v>
      </c>
      <c r="AA364" s="30" t="n">
        <f aca="false">IF(AND(E364="budget_probe",ISNUMBER(F364),I364&lt;&gt;Lists!$X$4),1,0)</f>
        <v>0</v>
      </c>
      <c r="AB364" s="30" t="str">
        <f aca="false">IF(AND(B364="office",AA364=1,COUNTIFS(C$5:C364,C364,AA$5:AA364,1)=1),F364,"")</f>
        <v/>
      </c>
      <c r="AC364" s="30" t="str">
        <f aca="false">IF(AND(B364="brand",AA364=1,COUNTIFS(C$5:C364,C364,AA$5:AA364,1)=1),F364,"")</f>
        <v/>
      </c>
      <c r="AD364" s="30" t="str">
        <f aca="false">IF(AND(B364="brand",E364="budget_probe",ISNUMBER(F364),I364=Lists!$X$4),IF(COUNTIFS(C$5:C364,C364,E$5:E364,"budget_probe",I$5:I364,Lists!$X$4)=1,F364,""),"")</f>
        <v/>
      </c>
      <c r="AE364" s="30" t="n">
        <f aca="false">IF(AND(B364="brand",E364="paid",ISNUMBER(F364)),IF(AND(SUMIFS(F$5:F364,B$5:B364,"brand",C$5:C364,C364,E$5:E364,"paid")&gt;=Inputs!$C$44,SUMIFS(F$5:F364,B$5:B364,"brand",C$5:C364,C364,E$5:E364,"paid")-F364&lt;Inputs!$C$44),1,0),0)</f>
        <v>0</v>
      </c>
    </row>
    <row r="365" customFormat="false" ht="15" hidden="false" customHeight="false" outlineLevel="0" collapsed="false">
      <c r="A365" s="102"/>
      <c r="B365" s="103"/>
      <c r="C365" s="103"/>
      <c r="D365" s="103"/>
      <c r="E365" s="103"/>
      <c r="F365" s="103"/>
      <c r="G365" s="103"/>
      <c r="H365" s="103"/>
      <c r="I365" s="103"/>
      <c r="T365" s="30" t="str">
        <f aca="false">IF(C365="","",IF(COUNTIFS(C$5:C365,C365,E$5:E365,E365)=1,1,0))</f>
        <v/>
      </c>
      <c r="U365" s="30" t="n">
        <f aca="false">IF(C365="",0,IF(AND(B365="brand",E365="budget_probe",N(F365)&gt;=Inputs!$C$124,H365="Y"),1,0))</f>
        <v>0</v>
      </c>
      <c r="V365" s="30" t="n">
        <f aca="false">IF(U365=1,IF(COUNTIFS(C$5:C365,C365,U$5:U365,1)=1,1,0),0)</f>
        <v>0</v>
      </c>
      <c r="W365" s="30" t="n">
        <f aca="false">IF(C365="",0,IF(AND(B365="office",E365="budget_probe",N(F365)&gt;=Inputs!$C$139),1,0))</f>
        <v>0</v>
      </c>
      <c r="X365" s="30" t="n">
        <f aca="false">IF(W365=1,IF(COUNTIFS(C$5:C365,C365,W$5:W365,1)=1,1,0),0)</f>
        <v>0</v>
      </c>
      <c r="Y365" s="30" t="n">
        <f aca="false">IF(C365="",0,IF(AND(B365="brand",E365="renewal_answer",TRIM(G365)="yes",N(F365)&gt;=Inputs!$C$135),1,0))</f>
        <v>0</v>
      </c>
      <c r="Z365" s="30" t="n">
        <f aca="false">IF(Y365=1,IF(COUNTIFS(C$5:C365,C365,Y$5:Y365,1)=1,1,0),0)</f>
        <v>0</v>
      </c>
      <c r="AA365" s="30" t="n">
        <f aca="false">IF(AND(E365="budget_probe",ISNUMBER(F365),I365&lt;&gt;Lists!$X$4),1,0)</f>
        <v>0</v>
      </c>
      <c r="AB365" s="30" t="str">
        <f aca="false">IF(AND(B365="office",AA365=1,COUNTIFS(C$5:C365,C365,AA$5:AA365,1)=1),F365,"")</f>
        <v/>
      </c>
      <c r="AC365" s="30" t="str">
        <f aca="false">IF(AND(B365="brand",AA365=1,COUNTIFS(C$5:C365,C365,AA$5:AA365,1)=1),F365,"")</f>
        <v/>
      </c>
      <c r="AD365" s="30" t="str">
        <f aca="false">IF(AND(B365="brand",E365="budget_probe",ISNUMBER(F365),I365=Lists!$X$4),IF(COUNTIFS(C$5:C365,C365,E$5:E365,"budget_probe",I$5:I365,Lists!$X$4)=1,F365,""),"")</f>
        <v/>
      </c>
      <c r="AE365" s="30" t="n">
        <f aca="false">IF(AND(B365="brand",E365="paid",ISNUMBER(F365)),IF(AND(SUMIFS(F$5:F365,B$5:B365,"brand",C$5:C365,C365,E$5:E365,"paid")&gt;=Inputs!$C$44,SUMIFS(F$5:F365,B$5:B365,"brand",C$5:C365,C365,E$5:E365,"paid")-F365&lt;Inputs!$C$44),1,0),0)</f>
        <v>0</v>
      </c>
    </row>
    <row r="366" customFormat="false" ht="15" hidden="false" customHeight="false" outlineLevel="0" collapsed="false">
      <c r="A366" s="102"/>
      <c r="B366" s="103"/>
      <c r="C366" s="103"/>
      <c r="D366" s="103"/>
      <c r="E366" s="103"/>
      <c r="F366" s="103"/>
      <c r="G366" s="103"/>
      <c r="H366" s="103"/>
      <c r="I366" s="103"/>
      <c r="T366" s="30" t="str">
        <f aca="false">IF(C366="","",IF(COUNTIFS(C$5:C366,C366,E$5:E366,E366)=1,1,0))</f>
        <v/>
      </c>
      <c r="U366" s="30" t="n">
        <f aca="false">IF(C366="",0,IF(AND(B366="brand",E366="budget_probe",N(F366)&gt;=Inputs!$C$124,H366="Y"),1,0))</f>
        <v>0</v>
      </c>
      <c r="V366" s="30" t="n">
        <f aca="false">IF(U366=1,IF(COUNTIFS(C$5:C366,C366,U$5:U366,1)=1,1,0),0)</f>
        <v>0</v>
      </c>
      <c r="W366" s="30" t="n">
        <f aca="false">IF(C366="",0,IF(AND(B366="office",E366="budget_probe",N(F366)&gt;=Inputs!$C$139),1,0))</f>
        <v>0</v>
      </c>
      <c r="X366" s="30" t="n">
        <f aca="false">IF(W366=1,IF(COUNTIFS(C$5:C366,C366,W$5:W366,1)=1,1,0),0)</f>
        <v>0</v>
      </c>
      <c r="Y366" s="30" t="n">
        <f aca="false">IF(C366="",0,IF(AND(B366="brand",E366="renewal_answer",TRIM(G366)="yes",N(F366)&gt;=Inputs!$C$135),1,0))</f>
        <v>0</v>
      </c>
      <c r="Z366" s="30" t="n">
        <f aca="false">IF(Y366=1,IF(COUNTIFS(C$5:C366,C366,Y$5:Y366,1)=1,1,0),0)</f>
        <v>0</v>
      </c>
      <c r="AA366" s="30" t="n">
        <f aca="false">IF(AND(E366="budget_probe",ISNUMBER(F366),I366&lt;&gt;Lists!$X$4),1,0)</f>
        <v>0</v>
      </c>
      <c r="AB366" s="30" t="str">
        <f aca="false">IF(AND(B366="office",AA366=1,COUNTIFS(C$5:C366,C366,AA$5:AA366,1)=1),F366,"")</f>
        <v/>
      </c>
      <c r="AC366" s="30" t="str">
        <f aca="false">IF(AND(B366="brand",AA366=1,COUNTIFS(C$5:C366,C366,AA$5:AA366,1)=1),F366,"")</f>
        <v/>
      </c>
      <c r="AD366" s="30" t="str">
        <f aca="false">IF(AND(B366="brand",E366="budget_probe",ISNUMBER(F366),I366=Lists!$X$4),IF(COUNTIFS(C$5:C366,C366,E$5:E366,"budget_probe",I$5:I366,Lists!$X$4)=1,F366,""),"")</f>
        <v/>
      </c>
      <c r="AE366" s="30" t="n">
        <f aca="false">IF(AND(B366="brand",E366="paid",ISNUMBER(F366)),IF(AND(SUMIFS(F$5:F366,B$5:B366,"brand",C$5:C366,C366,E$5:E366,"paid")&gt;=Inputs!$C$44,SUMIFS(F$5:F366,B$5:B366,"brand",C$5:C366,C366,E$5:E366,"paid")-F366&lt;Inputs!$C$44),1,0),0)</f>
        <v>0</v>
      </c>
    </row>
    <row r="367" customFormat="false" ht="15" hidden="false" customHeight="false" outlineLevel="0" collapsed="false">
      <c r="A367" s="102"/>
      <c r="B367" s="103"/>
      <c r="C367" s="103"/>
      <c r="D367" s="103"/>
      <c r="E367" s="103"/>
      <c r="F367" s="103"/>
      <c r="G367" s="103"/>
      <c r="H367" s="103"/>
      <c r="I367" s="103"/>
      <c r="T367" s="30" t="str">
        <f aca="false">IF(C367="","",IF(COUNTIFS(C$5:C367,C367,E$5:E367,E367)=1,1,0))</f>
        <v/>
      </c>
      <c r="U367" s="30" t="n">
        <f aca="false">IF(C367="",0,IF(AND(B367="brand",E367="budget_probe",N(F367)&gt;=Inputs!$C$124,H367="Y"),1,0))</f>
        <v>0</v>
      </c>
      <c r="V367" s="30" t="n">
        <f aca="false">IF(U367=1,IF(COUNTIFS(C$5:C367,C367,U$5:U367,1)=1,1,0),0)</f>
        <v>0</v>
      </c>
      <c r="W367" s="30" t="n">
        <f aca="false">IF(C367="",0,IF(AND(B367="office",E367="budget_probe",N(F367)&gt;=Inputs!$C$139),1,0))</f>
        <v>0</v>
      </c>
      <c r="X367" s="30" t="n">
        <f aca="false">IF(W367=1,IF(COUNTIFS(C$5:C367,C367,W$5:W367,1)=1,1,0),0)</f>
        <v>0</v>
      </c>
      <c r="Y367" s="30" t="n">
        <f aca="false">IF(C367="",0,IF(AND(B367="brand",E367="renewal_answer",TRIM(G367)="yes",N(F367)&gt;=Inputs!$C$135),1,0))</f>
        <v>0</v>
      </c>
      <c r="Z367" s="30" t="n">
        <f aca="false">IF(Y367=1,IF(COUNTIFS(C$5:C367,C367,Y$5:Y367,1)=1,1,0),0)</f>
        <v>0</v>
      </c>
      <c r="AA367" s="30" t="n">
        <f aca="false">IF(AND(E367="budget_probe",ISNUMBER(F367),I367&lt;&gt;Lists!$X$4),1,0)</f>
        <v>0</v>
      </c>
      <c r="AB367" s="30" t="str">
        <f aca="false">IF(AND(B367="office",AA367=1,COUNTIFS(C$5:C367,C367,AA$5:AA367,1)=1),F367,"")</f>
        <v/>
      </c>
      <c r="AC367" s="30" t="str">
        <f aca="false">IF(AND(B367="brand",AA367=1,COUNTIFS(C$5:C367,C367,AA$5:AA367,1)=1),F367,"")</f>
        <v/>
      </c>
      <c r="AD367" s="30" t="str">
        <f aca="false">IF(AND(B367="brand",E367="budget_probe",ISNUMBER(F367),I367=Lists!$X$4),IF(COUNTIFS(C$5:C367,C367,E$5:E367,"budget_probe",I$5:I367,Lists!$X$4)=1,F367,""),"")</f>
        <v/>
      </c>
      <c r="AE367" s="30" t="n">
        <f aca="false">IF(AND(B367="brand",E367="paid",ISNUMBER(F367)),IF(AND(SUMIFS(F$5:F367,B$5:B367,"brand",C$5:C367,C367,E$5:E367,"paid")&gt;=Inputs!$C$44,SUMIFS(F$5:F367,B$5:B367,"brand",C$5:C367,C367,E$5:E367,"paid")-F367&lt;Inputs!$C$44),1,0),0)</f>
        <v>0</v>
      </c>
    </row>
    <row r="368" customFormat="false" ht="15" hidden="false" customHeight="false" outlineLevel="0" collapsed="false">
      <c r="A368" s="102"/>
      <c r="B368" s="103"/>
      <c r="C368" s="103"/>
      <c r="D368" s="103"/>
      <c r="E368" s="103"/>
      <c r="F368" s="103"/>
      <c r="G368" s="103"/>
      <c r="H368" s="103"/>
      <c r="I368" s="103"/>
      <c r="T368" s="30" t="str">
        <f aca="false">IF(C368="","",IF(COUNTIFS(C$5:C368,C368,E$5:E368,E368)=1,1,0))</f>
        <v/>
      </c>
      <c r="U368" s="30" t="n">
        <f aca="false">IF(C368="",0,IF(AND(B368="brand",E368="budget_probe",N(F368)&gt;=Inputs!$C$124,H368="Y"),1,0))</f>
        <v>0</v>
      </c>
      <c r="V368" s="30" t="n">
        <f aca="false">IF(U368=1,IF(COUNTIFS(C$5:C368,C368,U$5:U368,1)=1,1,0),0)</f>
        <v>0</v>
      </c>
      <c r="W368" s="30" t="n">
        <f aca="false">IF(C368="",0,IF(AND(B368="office",E368="budget_probe",N(F368)&gt;=Inputs!$C$139),1,0))</f>
        <v>0</v>
      </c>
      <c r="X368" s="30" t="n">
        <f aca="false">IF(W368=1,IF(COUNTIFS(C$5:C368,C368,W$5:W368,1)=1,1,0),0)</f>
        <v>0</v>
      </c>
      <c r="Y368" s="30" t="n">
        <f aca="false">IF(C368="",0,IF(AND(B368="brand",E368="renewal_answer",TRIM(G368)="yes",N(F368)&gt;=Inputs!$C$135),1,0))</f>
        <v>0</v>
      </c>
      <c r="Z368" s="30" t="n">
        <f aca="false">IF(Y368=1,IF(COUNTIFS(C$5:C368,C368,Y$5:Y368,1)=1,1,0),0)</f>
        <v>0</v>
      </c>
      <c r="AA368" s="30" t="n">
        <f aca="false">IF(AND(E368="budget_probe",ISNUMBER(F368),I368&lt;&gt;Lists!$X$4),1,0)</f>
        <v>0</v>
      </c>
      <c r="AB368" s="30" t="str">
        <f aca="false">IF(AND(B368="office",AA368=1,COUNTIFS(C$5:C368,C368,AA$5:AA368,1)=1),F368,"")</f>
        <v/>
      </c>
      <c r="AC368" s="30" t="str">
        <f aca="false">IF(AND(B368="brand",AA368=1,COUNTIFS(C$5:C368,C368,AA$5:AA368,1)=1),F368,"")</f>
        <v/>
      </c>
      <c r="AD368" s="30" t="str">
        <f aca="false">IF(AND(B368="brand",E368="budget_probe",ISNUMBER(F368),I368=Lists!$X$4),IF(COUNTIFS(C$5:C368,C368,E$5:E368,"budget_probe",I$5:I368,Lists!$X$4)=1,F368,""),"")</f>
        <v/>
      </c>
      <c r="AE368" s="30" t="n">
        <f aca="false">IF(AND(B368="brand",E368="paid",ISNUMBER(F368)),IF(AND(SUMIFS(F$5:F368,B$5:B368,"brand",C$5:C368,C368,E$5:E368,"paid")&gt;=Inputs!$C$44,SUMIFS(F$5:F368,B$5:B368,"brand",C$5:C368,C368,E$5:E368,"paid")-F368&lt;Inputs!$C$44),1,0),0)</f>
        <v>0</v>
      </c>
    </row>
    <row r="369" customFormat="false" ht="15" hidden="false" customHeight="false" outlineLevel="0" collapsed="false">
      <c r="A369" s="102"/>
      <c r="B369" s="103"/>
      <c r="C369" s="103"/>
      <c r="D369" s="103"/>
      <c r="E369" s="103"/>
      <c r="F369" s="103"/>
      <c r="G369" s="103"/>
      <c r="H369" s="103"/>
      <c r="I369" s="103"/>
      <c r="T369" s="30" t="str">
        <f aca="false">IF(C369="","",IF(COUNTIFS(C$5:C369,C369,E$5:E369,E369)=1,1,0))</f>
        <v/>
      </c>
      <c r="U369" s="30" t="n">
        <f aca="false">IF(C369="",0,IF(AND(B369="brand",E369="budget_probe",N(F369)&gt;=Inputs!$C$124,H369="Y"),1,0))</f>
        <v>0</v>
      </c>
      <c r="V369" s="30" t="n">
        <f aca="false">IF(U369=1,IF(COUNTIFS(C$5:C369,C369,U$5:U369,1)=1,1,0),0)</f>
        <v>0</v>
      </c>
      <c r="W369" s="30" t="n">
        <f aca="false">IF(C369="",0,IF(AND(B369="office",E369="budget_probe",N(F369)&gt;=Inputs!$C$139),1,0))</f>
        <v>0</v>
      </c>
      <c r="X369" s="30" t="n">
        <f aca="false">IF(W369=1,IF(COUNTIFS(C$5:C369,C369,W$5:W369,1)=1,1,0),0)</f>
        <v>0</v>
      </c>
      <c r="Y369" s="30" t="n">
        <f aca="false">IF(C369="",0,IF(AND(B369="brand",E369="renewal_answer",TRIM(G369)="yes",N(F369)&gt;=Inputs!$C$135),1,0))</f>
        <v>0</v>
      </c>
      <c r="Z369" s="30" t="n">
        <f aca="false">IF(Y369=1,IF(COUNTIFS(C$5:C369,C369,Y$5:Y369,1)=1,1,0),0)</f>
        <v>0</v>
      </c>
      <c r="AA369" s="30" t="n">
        <f aca="false">IF(AND(E369="budget_probe",ISNUMBER(F369),I369&lt;&gt;Lists!$X$4),1,0)</f>
        <v>0</v>
      </c>
      <c r="AB369" s="30" t="str">
        <f aca="false">IF(AND(B369="office",AA369=1,COUNTIFS(C$5:C369,C369,AA$5:AA369,1)=1),F369,"")</f>
        <v/>
      </c>
      <c r="AC369" s="30" t="str">
        <f aca="false">IF(AND(B369="brand",AA369=1,COUNTIFS(C$5:C369,C369,AA$5:AA369,1)=1),F369,"")</f>
        <v/>
      </c>
      <c r="AD369" s="30" t="str">
        <f aca="false">IF(AND(B369="brand",E369="budget_probe",ISNUMBER(F369),I369=Lists!$X$4),IF(COUNTIFS(C$5:C369,C369,E$5:E369,"budget_probe",I$5:I369,Lists!$X$4)=1,F369,""),"")</f>
        <v/>
      </c>
      <c r="AE369" s="30" t="n">
        <f aca="false">IF(AND(B369="brand",E369="paid",ISNUMBER(F369)),IF(AND(SUMIFS(F$5:F369,B$5:B369,"brand",C$5:C369,C369,E$5:E369,"paid")&gt;=Inputs!$C$44,SUMIFS(F$5:F369,B$5:B369,"brand",C$5:C369,C369,E$5:E369,"paid")-F369&lt;Inputs!$C$44),1,0),0)</f>
        <v>0</v>
      </c>
    </row>
    <row r="370" customFormat="false" ht="15" hidden="false" customHeight="false" outlineLevel="0" collapsed="false">
      <c r="A370" s="102"/>
      <c r="B370" s="103"/>
      <c r="C370" s="103"/>
      <c r="D370" s="103"/>
      <c r="E370" s="103"/>
      <c r="F370" s="103"/>
      <c r="G370" s="103"/>
      <c r="H370" s="103"/>
      <c r="I370" s="103"/>
      <c r="T370" s="30" t="str">
        <f aca="false">IF(C370="","",IF(COUNTIFS(C$5:C370,C370,E$5:E370,E370)=1,1,0))</f>
        <v/>
      </c>
      <c r="U370" s="30" t="n">
        <f aca="false">IF(C370="",0,IF(AND(B370="brand",E370="budget_probe",N(F370)&gt;=Inputs!$C$124,H370="Y"),1,0))</f>
        <v>0</v>
      </c>
      <c r="V370" s="30" t="n">
        <f aca="false">IF(U370=1,IF(COUNTIFS(C$5:C370,C370,U$5:U370,1)=1,1,0),0)</f>
        <v>0</v>
      </c>
      <c r="W370" s="30" t="n">
        <f aca="false">IF(C370="",0,IF(AND(B370="office",E370="budget_probe",N(F370)&gt;=Inputs!$C$139),1,0))</f>
        <v>0</v>
      </c>
      <c r="X370" s="30" t="n">
        <f aca="false">IF(W370=1,IF(COUNTIFS(C$5:C370,C370,W$5:W370,1)=1,1,0),0)</f>
        <v>0</v>
      </c>
      <c r="Y370" s="30" t="n">
        <f aca="false">IF(C370="",0,IF(AND(B370="brand",E370="renewal_answer",TRIM(G370)="yes",N(F370)&gt;=Inputs!$C$135),1,0))</f>
        <v>0</v>
      </c>
      <c r="Z370" s="30" t="n">
        <f aca="false">IF(Y370=1,IF(COUNTIFS(C$5:C370,C370,Y$5:Y370,1)=1,1,0),0)</f>
        <v>0</v>
      </c>
      <c r="AA370" s="30" t="n">
        <f aca="false">IF(AND(E370="budget_probe",ISNUMBER(F370),I370&lt;&gt;Lists!$X$4),1,0)</f>
        <v>0</v>
      </c>
      <c r="AB370" s="30" t="str">
        <f aca="false">IF(AND(B370="office",AA370=1,COUNTIFS(C$5:C370,C370,AA$5:AA370,1)=1),F370,"")</f>
        <v/>
      </c>
      <c r="AC370" s="30" t="str">
        <f aca="false">IF(AND(B370="brand",AA370=1,COUNTIFS(C$5:C370,C370,AA$5:AA370,1)=1),F370,"")</f>
        <v/>
      </c>
      <c r="AD370" s="30" t="str">
        <f aca="false">IF(AND(B370="brand",E370="budget_probe",ISNUMBER(F370),I370=Lists!$X$4),IF(COUNTIFS(C$5:C370,C370,E$5:E370,"budget_probe",I$5:I370,Lists!$X$4)=1,F370,""),"")</f>
        <v/>
      </c>
      <c r="AE370" s="30" t="n">
        <f aca="false">IF(AND(B370="brand",E370="paid",ISNUMBER(F370)),IF(AND(SUMIFS(F$5:F370,B$5:B370,"brand",C$5:C370,C370,E$5:E370,"paid")&gt;=Inputs!$C$44,SUMIFS(F$5:F370,B$5:B370,"brand",C$5:C370,C370,E$5:E370,"paid")-F370&lt;Inputs!$C$44),1,0),0)</f>
        <v>0</v>
      </c>
    </row>
    <row r="371" customFormat="false" ht="15" hidden="false" customHeight="false" outlineLevel="0" collapsed="false">
      <c r="A371" s="102"/>
      <c r="B371" s="103"/>
      <c r="C371" s="103"/>
      <c r="D371" s="103"/>
      <c r="E371" s="103"/>
      <c r="F371" s="103"/>
      <c r="G371" s="103"/>
      <c r="H371" s="103"/>
      <c r="I371" s="103"/>
      <c r="T371" s="30" t="str">
        <f aca="false">IF(C371="","",IF(COUNTIFS(C$5:C371,C371,E$5:E371,E371)=1,1,0))</f>
        <v/>
      </c>
      <c r="U371" s="30" t="n">
        <f aca="false">IF(C371="",0,IF(AND(B371="brand",E371="budget_probe",N(F371)&gt;=Inputs!$C$124,H371="Y"),1,0))</f>
        <v>0</v>
      </c>
      <c r="V371" s="30" t="n">
        <f aca="false">IF(U371=1,IF(COUNTIFS(C$5:C371,C371,U$5:U371,1)=1,1,0),0)</f>
        <v>0</v>
      </c>
      <c r="W371" s="30" t="n">
        <f aca="false">IF(C371="",0,IF(AND(B371="office",E371="budget_probe",N(F371)&gt;=Inputs!$C$139),1,0))</f>
        <v>0</v>
      </c>
      <c r="X371" s="30" t="n">
        <f aca="false">IF(W371=1,IF(COUNTIFS(C$5:C371,C371,W$5:W371,1)=1,1,0),0)</f>
        <v>0</v>
      </c>
      <c r="Y371" s="30" t="n">
        <f aca="false">IF(C371="",0,IF(AND(B371="brand",E371="renewal_answer",TRIM(G371)="yes",N(F371)&gt;=Inputs!$C$135),1,0))</f>
        <v>0</v>
      </c>
      <c r="Z371" s="30" t="n">
        <f aca="false">IF(Y371=1,IF(COUNTIFS(C$5:C371,C371,Y$5:Y371,1)=1,1,0),0)</f>
        <v>0</v>
      </c>
      <c r="AA371" s="30" t="n">
        <f aca="false">IF(AND(E371="budget_probe",ISNUMBER(F371),I371&lt;&gt;Lists!$X$4),1,0)</f>
        <v>0</v>
      </c>
      <c r="AB371" s="30" t="str">
        <f aca="false">IF(AND(B371="office",AA371=1,COUNTIFS(C$5:C371,C371,AA$5:AA371,1)=1),F371,"")</f>
        <v/>
      </c>
      <c r="AC371" s="30" t="str">
        <f aca="false">IF(AND(B371="brand",AA371=1,COUNTIFS(C$5:C371,C371,AA$5:AA371,1)=1),F371,"")</f>
        <v/>
      </c>
      <c r="AD371" s="30" t="str">
        <f aca="false">IF(AND(B371="brand",E371="budget_probe",ISNUMBER(F371),I371=Lists!$X$4),IF(COUNTIFS(C$5:C371,C371,E$5:E371,"budget_probe",I$5:I371,Lists!$X$4)=1,F371,""),"")</f>
        <v/>
      </c>
      <c r="AE371" s="30" t="n">
        <f aca="false">IF(AND(B371="brand",E371="paid",ISNUMBER(F371)),IF(AND(SUMIFS(F$5:F371,B$5:B371,"brand",C$5:C371,C371,E$5:E371,"paid")&gt;=Inputs!$C$44,SUMIFS(F$5:F371,B$5:B371,"brand",C$5:C371,C371,E$5:E371,"paid")-F371&lt;Inputs!$C$44),1,0),0)</f>
        <v>0</v>
      </c>
    </row>
    <row r="372" customFormat="false" ht="15" hidden="false" customHeight="false" outlineLevel="0" collapsed="false">
      <c r="A372" s="102"/>
      <c r="B372" s="103"/>
      <c r="C372" s="103"/>
      <c r="D372" s="103"/>
      <c r="E372" s="103"/>
      <c r="F372" s="103"/>
      <c r="G372" s="103"/>
      <c r="H372" s="103"/>
      <c r="I372" s="103"/>
      <c r="T372" s="30" t="str">
        <f aca="false">IF(C372="","",IF(COUNTIFS(C$5:C372,C372,E$5:E372,E372)=1,1,0))</f>
        <v/>
      </c>
      <c r="U372" s="30" t="n">
        <f aca="false">IF(C372="",0,IF(AND(B372="brand",E372="budget_probe",N(F372)&gt;=Inputs!$C$124,H372="Y"),1,0))</f>
        <v>0</v>
      </c>
      <c r="V372" s="30" t="n">
        <f aca="false">IF(U372=1,IF(COUNTIFS(C$5:C372,C372,U$5:U372,1)=1,1,0),0)</f>
        <v>0</v>
      </c>
      <c r="W372" s="30" t="n">
        <f aca="false">IF(C372="",0,IF(AND(B372="office",E372="budget_probe",N(F372)&gt;=Inputs!$C$139),1,0))</f>
        <v>0</v>
      </c>
      <c r="X372" s="30" t="n">
        <f aca="false">IF(W372=1,IF(COUNTIFS(C$5:C372,C372,W$5:W372,1)=1,1,0),0)</f>
        <v>0</v>
      </c>
      <c r="Y372" s="30" t="n">
        <f aca="false">IF(C372="",0,IF(AND(B372="brand",E372="renewal_answer",TRIM(G372)="yes",N(F372)&gt;=Inputs!$C$135),1,0))</f>
        <v>0</v>
      </c>
      <c r="Z372" s="30" t="n">
        <f aca="false">IF(Y372=1,IF(COUNTIFS(C$5:C372,C372,Y$5:Y372,1)=1,1,0),0)</f>
        <v>0</v>
      </c>
      <c r="AA372" s="30" t="n">
        <f aca="false">IF(AND(E372="budget_probe",ISNUMBER(F372),I372&lt;&gt;Lists!$X$4),1,0)</f>
        <v>0</v>
      </c>
      <c r="AB372" s="30" t="str">
        <f aca="false">IF(AND(B372="office",AA372=1,COUNTIFS(C$5:C372,C372,AA$5:AA372,1)=1),F372,"")</f>
        <v/>
      </c>
      <c r="AC372" s="30" t="str">
        <f aca="false">IF(AND(B372="brand",AA372=1,COUNTIFS(C$5:C372,C372,AA$5:AA372,1)=1),F372,"")</f>
        <v/>
      </c>
      <c r="AD372" s="30" t="str">
        <f aca="false">IF(AND(B372="brand",E372="budget_probe",ISNUMBER(F372),I372=Lists!$X$4),IF(COUNTIFS(C$5:C372,C372,E$5:E372,"budget_probe",I$5:I372,Lists!$X$4)=1,F372,""),"")</f>
        <v/>
      </c>
      <c r="AE372" s="30" t="n">
        <f aca="false">IF(AND(B372="brand",E372="paid",ISNUMBER(F372)),IF(AND(SUMIFS(F$5:F372,B$5:B372,"brand",C$5:C372,C372,E$5:E372,"paid")&gt;=Inputs!$C$44,SUMIFS(F$5:F372,B$5:B372,"brand",C$5:C372,C372,E$5:E372,"paid")-F372&lt;Inputs!$C$44),1,0),0)</f>
        <v>0</v>
      </c>
    </row>
    <row r="373" customFormat="false" ht="15" hidden="false" customHeight="false" outlineLevel="0" collapsed="false">
      <c r="A373" s="102"/>
      <c r="B373" s="103"/>
      <c r="C373" s="103"/>
      <c r="D373" s="103"/>
      <c r="E373" s="103"/>
      <c r="F373" s="103"/>
      <c r="G373" s="103"/>
      <c r="H373" s="103"/>
      <c r="I373" s="103"/>
      <c r="T373" s="30" t="str">
        <f aca="false">IF(C373="","",IF(COUNTIFS(C$5:C373,C373,E$5:E373,E373)=1,1,0))</f>
        <v/>
      </c>
      <c r="U373" s="30" t="n">
        <f aca="false">IF(C373="",0,IF(AND(B373="brand",E373="budget_probe",N(F373)&gt;=Inputs!$C$124,H373="Y"),1,0))</f>
        <v>0</v>
      </c>
      <c r="V373" s="30" t="n">
        <f aca="false">IF(U373=1,IF(COUNTIFS(C$5:C373,C373,U$5:U373,1)=1,1,0),0)</f>
        <v>0</v>
      </c>
      <c r="W373" s="30" t="n">
        <f aca="false">IF(C373="",0,IF(AND(B373="office",E373="budget_probe",N(F373)&gt;=Inputs!$C$139),1,0))</f>
        <v>0</v>
      </c>
      <c r="X373" s="30" t="n">
        <f aca="false">IF(W373=1,IF(COUNTIFS(C$5:C373,C373,W$5:W373,1)=1,1,0),0)</f>
        <v>0</v>
      </c>
      <c r="Y373" s="30" t="n">
        <f aca="false">IF(C373="",0,IF(AND(B373="brand",E373="renewal_answer",TRIM(G373)="yes",N(F373)&gt;=Inputs!$C$135),1,0))</f>
        <v>0</v>
      </c>
      <c r="Z373" s="30" t="n">
        <f aca="false">IF(Y373=1,IF(COUNTIFS(C$5:C373,C373,Y$5:Y373,1)=1,1,0),0)</f>
        <v>0</v>
      </c>
      <c r="AA373" s="30" t="n">
        <f aca="false">IF(AND(E373="budget_probe",ISNUMBER(F373),I373&lt;&gt;Lists!$X$4),1,0)</f>
        <v>0</v>
      </c>
      <c r="AB373" s="30" t="str">
        <f aca="false">IF(AND(B373="office",AA373=1,COUNTIFS(C$5:C373,C373,AA$5:AA373,1)=1),F373,"")</f>
        <v/>
      </c>
      <c r="AC373" s="30" t="str">
        <f aca="false">IF(AND(B373="brand",AA373=1,COUNTIFS(C$5:C373,C373,AA$5:AA373,1)=1),F373,"")</f>
        <v/>
      </c>
      <c r="AD373" s="30" t="str">
        <f aca="false">IF(AND(B373="brand",E373="budget_probe",ISNUMBER(F373),I373=Lists!$X$4),IF(COUNTIFS(C$5:C373,C373,E$5:E373,"budget_probe",I$5:I373,Lists!$X$4)=1,F373,""),"")</f>
        <v/>
      </c>
      <c r="AE373" s="30" t="n">
        <f aca="false">IF(AND(B373="brand",E373="paid",ISNUMBER(F373)),IF(AND(SUMIFS(F$5:F373,B$5:B373,"brand",C$5:C373,C373,E$5:E373,"paid")&gt;=Inputs!$C$44,SUMIFS(F$5:F373,B$5:B373,"brand",C$5:C373,C373,E$5:E373,"paid")-F373&lt;Inputs!$C$44),1,0),0)</f>
        <v>0</v>
      </c>
    </row>
    <row r="374" customFormat="false" ht="15" hidden="false" customHeight="false" outlineLevel="0" collapsed="false">
      <c r="A374" s="102"/>
      <c r="B374" s="103"/>
      <c r="C374" s="103"/>
      <c r="D374" s="103"/>
      <c r="E374" s="103"/>
      <c r="F374" s="103"/>
      <c r="G374" s="103"/>
      <c r="H374" s="103"/>
      <c r="I374" s="103"/>
      <c r="T374" s="30" t="str">
        <f aca="false">IF(C374="","",IF(COUNTIFS(C$5:C374,C374,E$5:E374,E374)=1,1,0))</f>
        <v/>
      </c>
      <c r="U374" s="30" t="n">
        <f aca="false">IF(C374="",0,IF(AND(B374="brand",E374="budget_probe",N(F374)&gt;=Inputs!$C$124,H374="Y"),1,0))</f>
        <v>0</v>
      </c>
      <c r="V374" s="30" t="n">
        <f aca="false">IF(U374=1,IF(COUNTIFS(C$5:C374,C374,U$5:U374,1)=1,1,0),0)</f>
        <v>0</v>
      </c>
      <c r="W374" s="30" t="n">
        <f aca="false">IF(C374="",0,IF(AND(B374="office",E374="budget_probe",N(F374)&gt;=Inputs!$C$139),1,0))</f>
        <v>0</v>
      </c>
      <c r="X374" s="30" t="n">
        <f aca="false">IF(W374=1,IF(COUNTIFS(C$5:C374,C374,W$5:W374,1)=1,1,0),0)</f>
        <v>0</v>
      </c>
      <c r="Y374" s="30" t="n">
        <f aca="false">IF(C374="",0,IF(AND(B374="brand",E374="renewal_answer",TRIM(G374)="yes",N(F374)&gt;=Inputs!$C$135),1,0))</f>
        <v>0</v>
      </c>
      <c r="Z374" s="30" t="n">
        <f aca="false">IF(Y374=1,IF(COUNTIFS(C$5:C374,C374,Y$5:Y374,1)=1,1,0),0)</f>
        <v>0</v>
      </c>
      <c r="AA374" s="30" t="n">
        <f aca="false">IF(AND(E374="budget_probe",ISNUMBER(F374),I374&lt;&gt;Lists!$X$4),1,0)</f>
        <v>0</v>
      </c>
      <c r="AB374" s="30" t="str">
        <f aca="false">IF(AND(B374="office",AA374=1,COUNTIFS(C$5:C374,C374,AA$5:AA374,1)=1),F374,"")</f>
        <v/>
      </c>
      <c r="AC374" s="30" t="str">
        <f aca="false">IF(AND(B374="brand",AA374=1,COUNTIFS(C$5:C374,C374,AA$5:AA374,1)=1),F374,"")</f>
        <v/>
      </c>
      <c r="AD374" s="30" t="str">
        <f aca="false">IF(AND(B374="brand",E374="budget_probe",ISNUMBER(F374),I374=Lists!$X$4),IF(COUNTIFS(C$5:C374,C374,E$5:E374,"budget_probe",I$5:I374,Lists!$X$4)=1,F374,""),"")</f>
        <v/>
      </c>
      <c r="AE374" s="30" t="n">
        <f aca="false">IF(AND(B374="brand",E374="paid",ISNUMBER(F374)),IF(AND(SUMIFS(F$5:F374,B$5:B374,"brand",C$5:C374,C374,E$5:E374,"paid")&gt;=Inputs!$C$44,SUMIFS(F$5:F374,B$5:B374,"brand",C$5:C374,C374,E$5:E374,"paid")-F374&lt;Inputs!$C$44),1,0),0)</f>
        <v>0</v>
      </c>
    </row>
    <row r="375" customFormat="false" ht="15" hidden="false" customHeight="false" outlineLevel="0" collapsed="false">
      <c r="A375" s="102"/>
      <c r="B375" s="103"/>
      <c r="C375" s="103"/>
      <c r="D375" s="103"/>
      <c r="E375" s="103"/>
      <c r="F375" s="103"/>
      <c r="G375" s="103"/>
      <c r="H375" s="103"/>
      <c r="I375" s="103"/>
      <c r="T375" s="30" t="str">
        <f aca="false">IF(C375="","",IF(COUNTIFS(C$5:C375,C375,E$5:E375,E375)=1,1,0))</f>
        <v/>
      </c>
      <c r="U375" s="30" t="n">
        <f aca="false">IF(C375="",0,IF(AND(B375="brand",E375="budget_probe",N(F375)&gt;=Inputs!$C$124,H375="Y"),1,0))</f>
        <v>0</v>
      </c>
      <c r="V375" s="30" t="n">
        <f aca="false">IF(U375=1,IF(COUNTIFS(C$5:C375,C375,U$5:U375,1)=1,1,0),0)</f>
        <v>0</v>
      </c>
      <c r="W375" s="30" t="n">
        <f aca="false">IF(C375="",0,IF(AND(B375="office",E375="budget_probe",N(F375)&gt;=Inputs!$C$139),1,0))</f>
        <v>0</v>
      </c>
      <c r="X375" s="30" t="n">
        <f aca="false">IF(W375=1,IF(COUNTIFS(C$5:C375,C375,W$5:W375,1)=1,1,0),0)</f>
        <v>0</v>
      </c>
      <c r="Y375" s="30" t="n">
        <f aca="false">IF(C375="",0,IF(AND(B375="brand",E375="renewal_answer",TRIM(G375)="yes",N(F375)&gt;=Inputs!$C$135),1,0))</f>
        <v>0</v>
      </c>
      <c r="Z375" s="30" t="n">
        <f aca="false">IF(Y375=1,IF(COUNTIFS(C$5:C375,C375,Y$5:Y375,1)=1,1,0),0)</f>
        <v>0</v>
      </c>
      <c r="AA375" s="30" t="n">
        <f aca="false">IF(AND(E375="budget_probe",ISNUMBER(F375),I375&lt;&gt;Lists!$X$4),1,0)</f>
        <v>0</v>
      </c>
      <c r="AB375" s="30" t="str">
        <f aca="false">IF(AND(B375="office",AA375=1,COUNTIFS(C$5:C375,C375,AA$5:AA375,1)=1),F375,"")</f>
        <v/>
      </c>
      <c r="AC375" s="30" t="str">
        <f aca="false">IF(AND(B375="brand",AA375=1,COUNTIFS(C$5:C375,C375,AA$5:AA375,1)=1),F375,"")</f>
        <v/>
      </c>
      <c r="AD375" s="30" t="str">
        <f aca="false">IF(AND(B375="brand",E375="budget_probe",ISNUMBER(F375),I375=Lists!$X$4),IF(COUNTIFS(C$5:C375,C375,E$5:E375,"budget_probe",I$5:I375,Lists!$X$4)=1,F375,""),"")</f>
        <v/>
      </c>
      <c r="AE375" s="30" t="n">
        <f aca="false">IF(AND(B375="brand",E375="paid",ISNUMBER(F375)),IF(AND(SUMIFS(F$5:F375,B$5:B375,"brand",C$5:C375,C375,E$5:E375,"paid")&gt;=Inputs!$C$44,SUMIFS(F$5:F375,B$5:B375,"brand",C$5:C375,C375,E$5:E375,"paid")-F375&lt;Inputs!$C$44),1,0),0)</f>
        <v>0</v>
      </c>
    </row>
    <row r="376" customFormat="false" ht="15" hidden="false" customHeight="false" outlineLevel="0" collapsed="false">
      <c r="A376" s="102"/>
      <c r="B376" s="103"/>
      <c r="C376" s="103"/>
      <c r="D376" s="103"/>
      <c r="E376" s="103"/>
      <c r="F376" s="103"/>
      <c r="G376" s="103"/>
      <c r="H376" s="103"/>
      <c r="I376" s="103"/>
      <c r="T376" s="30" t="str">
        <f aca="false">IF(C376="","",IF(COUNTIFS(C$5:C376,C376,E$5:E376,E376)=1,1,0))</f>
        <v/>
      </c>
      <c r="U376" s="30" t="n">
        <f aca="false">IF(C376="",0,IF(AND(B376="brand",E376="budget_probe",N(F376)&gt;=Inputs!$C$124,H376="Y"),1,0))</f>
        <v>0</v>
      </c>
      <c r="V376" s="30" t="n">
        <f aca="false">IF(U376=1,IF(COUNTIFS(C$5:C376,C376,U$5:U376,1)=1,1,0),0)</f>
        <v>0</v>
      </c>
      <c r="W376" s="30" t="n">
        <f aca="false">IF(C376="",0,IF(AND(B376="office",E376="budget_probe",N(F376)&gt;=Inputs!$C$139),1,0))</f>
        <v>0</v>
      </c>
      <c r="X376" s="30" t="n">
        <f aca="false">IF(W376=1,IF(COUNTIFS(C$5:C376,C376,W$5:W376,1)=1,1,0),0)</f>
        <v>0</v>
      </c>
      <c r="Y376" s="30" t="n">
        <f aca="false">IF(C376="",0,IF(AND(B376="brand",E376="renewal_answer",TRIM(G376)="yes",N(F376)&gt;=Inputs!$C$135),1,0))</f>
        <v>0</v>
      </c>
      <c r="Z376" s="30" t="n">
        <f aca="false">IF(Y376=1,IF(COUNTIFS(C$5:C376,C376,Y$5:Y376,1)=1,1,0),0)</f>
        <v>0</v>
      </c>
      <c r="AA376" s="30" t="n">
        <f aca="false">IF(AND(E376="budget_probe",ISNUMBER(F376),I376&lt;&gt;Lists!$X$4),1,0)</f>
        <v>0</v>
      </c>
      <c r="AB376" s="30" t="str">
        <f aca="false">IF(AND(B376="office",AA376=1,COUNTIFS(C$5:C376,C376,AA$5:AA376,1)=1),F376,"")</f>
        <v/>
      </c>
      <c r="AC376" s="30" t="str">
        <f aca="false">IF(AND(B376="brand",AA376=1,COUNTIFS(C$5:C376,C376,AA$5:AA376,1)=1),F376,"")</f>
        <v/>
      </c>
      <c r="AD376" s="30" t="str">
        <f aca="false">IF(AND(B376="brand",E376="budget_probe",ISNUMBER(F376),I376=Lists!$X$4),IF(COUNTIFS(C$5:C376,C376,E$5:E376,"budget_probe",I$5:I376,Lists!$X$4)=1,F376,""),"")</f>
        <v/>
      </c>
      <c r="AE376" s="30" t="n">
        <f aca="false">IF(AND(B376="brand",E376="paid",ISNUMBER(F376)),IF(AND(SUMIFS(F$5:F376,B$5:B376,"brand",C$5:C376,C376,E$5:E376,"paid")&gt;=Inputs!$C$44,SUMIFS(F$5:F376,B$5:B376,"brand",C$5:C376,C376,E$5:E376,"paid")-F376&lt;Inputs!$C$44),1,0),0)</f>
        <v>0</v>
      </c>
    </row>
    <row r="377" customFormat="false" ht="15" hidden="false" customHeight="false" outlineLevel="0" collapsed="false">
      <c r="A377" s="102"/>
      <c r="B377" s="103"/>
      <c r="C377" s="103"/>
      <c r="D377" s="103"/>
      <c r="E377" s="103"/>
      <c r="F377" s="103"/>
      <c r="G377" s="103"/>
      <c r="H377" s="103"/>
      <c r="I377" s="103"/>
      <c r="T377" s="30" t="str">
        <f aca="false">IF(C377="","",IF(COUNTIFS(C$5:C377,C377,E$5:E377,E377)=1,1,0))</f>
        <v/>
      </c>
      <c r="U377" s="30" t="n">
        <f aca="false">IF(C377="",0,IF(AND(B377="brand",E377="budget_probe",N(F377)&gt;=Inputs!$C$124,H377="Y"),1,0))</f>
        <v>0</v>
      </c>
      <c r="V377" s="30" t="n">
        <f aca="false">IF(U377=1,IF(COUNTIFS(C$5:C377,C377,U$5:U377,1)=1,1,0),0)</f>
        <v>0</v>
      </c>
      <c r="W377" s="30" t="n">
        <f aca="false">IF(C377="",0,IF(AND(B377="office",E377="budget_probe",N(F377)&gt;=Inputs!$C$139),1,0))</f>
        <v>0</v>
      </c>
      <c r="X377" s="30" t="n">
        <f aca="false">IF(W377=1,IF(COUNTIFS(C$5:C377,C377,W$5:W377,1)=1,1,0),0)</f>
        <v>0</v>
      </c>
      <c r="Y377" s="30" t="n">
        <f aca="false">IF(C377="",0,IF(AND(B377="brand",E377="renewal_answer",TRIM(G377)="yes",N(F377)&gt;=Inputs!$C$135),1,0))</f>
        <v>0</v>
      </c>
      <c r="Z377" s="30" t="n">
        <f aca="false">IF(Y377=1,IF(COUNTIFS(C$5:C377,C377,Y$5:Y377,1)=1,1,0),0)</f>
        <v>0</v>
      </c>
      <c r="AA377" s="30" t="n">
        <f aca="false">IF(AND(E377="budget_probe",ISNUMBER(F377),I377&lt;&gt;Lists!$X$4),1,0)</f>
        <v>0</v>
      </c>
      <c r="AB377" s="30" t="str">
        <f aca="false">IF(AND(B377="office",AA377=1,COUNTIFS(C$5:C377,C377,AA$5:AA377,1)=1),F377,"")</f>
        <v/>
      </c>
      <c r="AC377" s="30" t="str">
        <f aca="false">IF(AND(B377="brand",AA377=1,COUNTIFS(C$5:C377,C377,AA$5:AA377,1)=1),F377,"")</f>
        <v/>
      </c>
      <c r="AD377" s="30" t="str">
        <f aca="false">IF(AND(B377="brand",E377="budget_probe",ISNUMBER(F377),I377=Lists!$X$4),IF(COUNTIFS(C$5:C377,C377,E$5:E377,"budget_probe",I$5:I377,Lists!$X$4)=1,F377,""),"")</f>
        <v/>
      </c>
      <c r="AE377" s="30" t="n">
        <f aca="false">IF(AND(B377="brand",E377="paid",ISNUMBER(F377)),IF(AND(SUMIFS(F$5:F377,B$5:B377,"brand",C$5:C377,C377,E$5:E377,"paid")&gt;=Inputs!$C$44,SUMIFS(F$5:F377,B$5:B377,"brand",C$5:C377,C377,E$5:E377,"paid")-F377&lt;Inputs!$C$44),1,0),0)</f>
        <v>0</v>
      </c>
    </row>
    <row r="378" customFormat="false" ht="15" hidden="false" customHeight="false" outlineLevel="0" collapsed="false">
      <c r="A378" s="102"/>
      <c r="B378" s="103"/>
      <c r="C378" s="103"/>
      <c r="D378" s="103"/>
      <c r="E378" s="103"/>
      <c r="F378" s="103"/>
      <c r="G378" s="103"/>
      <c r="H378" s="103"/>
      <c r="I378" s="103"/>
      <c r="T378" s="30" t="str">
        <f aca="false">IF(C378="","",IF(COUNTIFS(C$5:C378,C378,E$5:E378,E378)=1,1,0))</f>
        <v/>
      </c>
      <c r="U378" s="30" t="n">
        <f aca="false">IF(C378="",0,IF(AND(B378="brand",E378="budget_probe",N(F378)&gt;=Inputs!$C$124,H378="Y"),1,0))</f>
        <v>0</v>
      </c>
      <c r="V378" s="30" t="n">
        <f aca="false">IF(U378=1,IF(COUNTIFS(C$5:C378,C378,U$5:U378,1)=1,1,0),0)</f>
        <v>0</v>
      </c>
      <c r="W378" s="30" t="n">
        <f aca="false">IF(C378="",0,IF(AND(B378="office",E378="budget_probe",N(F378)&gt;=Inputs!$C$139),1,0))</f>
        <v>0</v>
      </c>
      <c r="X378" s="30" t="n">
        <f aca="false">IF(W378=1,IF(COUNTIFS(C$5:C378,C378,W$5:W378,1)=1,1,0),0)</f>
        <v>0</v>
      </c>
      <c r="Y378" s="30" t="n">
        <f aca="false">IF(C378="",0,IF(AND(B378="brand",E378="renewal_answer",TRIM(G378)="yes",N(F378)&gt;=Inputs!$C$135),1,0))</f>
        <v>0</v>
      </c>
      <c r="Z378" s="30" t="n">
        <f aca="false">IF(Y378=1,IF(COUNTIFS(C$5:C378,C378,Y$5:Y378,1)=1,1,0),0)</f>
        <v>0</v>
      </c>
      <c r="AA378" s="30" t="n">
        <f aca="false">IF(AND(E378="budget_probe",ISNUMBER(F378),I378&lt;&gt;Lists!$X$4),1,0)</f>
        <v>0</v>
      </c>
      <c r="AB378" s="30" t="str">
        <f aca="false">IF(AND(B378="office",AA378=1,COUNTIFS(C$5:C378,C378,AA$5:AA378,1)=1),F378,"")</f>
        <v/>
      </c>
      <c r="AC378" s="30" t="str">
        <f aca="false">IF(AND(B378="brand",AA378=1,COUNTIFS(C$5:C378,C378,AA$5:AA378,1)=1),F378,"")</f>
        <v/>
      </c>
      <c r="AD378" s="30" t="str">
        <f aca="false">IF(AND(B378="brand",E378="budget_probe",ISNUMBER(F378),I378=Lists!$X$4),IF(COUNTIFS(C$5:C378,C378,E$5:E378,"budget_probe",I$5:I378,Lists!$X$4)=1,F378,""),"")</f>
        <v/>
      </c>
      <c r="AE378" s="30" t="n">
        <f aca="false">IF(AND(B378="brand",E378="paid",ISNUMBER(F378)),IF(AND(SUMIFS(F$5:F378,B$5:B378,"brand",C$5:C378,C378,E$5:E378,"paid")&gt;=Inputs!$C$44,SUMIFS(F$5:F378,B$5:B378,"brand",C$5:C378,C378,E$5:E378,"paid")-F378&lt;Inputs!$C$44),1,0),0)</f>
        <v>0</v>
      </c>
    </row>
    <row r="379" customFormat="false" ht="15" hidden="false" customHeight="false" outlineLevel="0" collapsed="false">
      <c r="A379" s="102"/>
      <c r="B379" s="103"/>
      <c r="C379" s="103"/>
      <c r="D379" s="103"/>
      <c r="E379" s="103"/>
      <c r="F379" s="103"/>
      <c r="G379" s="103"/>
      <c r="H379" s="103"/>
      <c r="I379" s="103"/>
      <c r="T379" s="30" t="str">
        <f aca="false">IF(C379="","",IF(COUNTIFS(C$5:C379,C379,E$5:E379,E379)=1,1,0))</f>
        <v/>
      </c>
      <c r="U379" s="30" t="n">
        <f aca="false">IF(C379="",0,IF(AND(B379="brand",E379="budget_probe",N(F379)&gt;=Inputs!$C$124,H379="Y"),1,0))</f>
        <v>0</v>
      </c>
      <c r="V379" s="30" t="n">
        <f aca="false">IF(U379=1,IF(COUNTIFS(C$5:C379,C379,U$5:U379,1)=1,1,0),0)</f>
        <v>0</v>
      </c>
      <c r="W379" s="30" t="n">
        <f aca="false">IF(C379="",0,IF(AND(B379="office",E379="budget_probe",N(F379)&gt;=Inputs!$C$139),1,0))</f>
        <v>0</v>
      </c>
      <c r="X379" s="30" t="n">
        <f aca="false">IF(W379=1,IF(COUNTIFS(C$5:C379,C379,W$5:W379,1)=1,1,0),0)</f>
        <v>0</v>
      </c>
      <c r="Y379" s="30" t="n">
        <f aca="false">IF(C379="",0,IF(AND(B379="brand",E379="renewal_answer",TRIM(G379)="yes",N(F379)&gt;=Inputs!$C$135),1,0))</f>
        <v>0</v>
      </c>
      <c r="Z379" s="30" t="n">
        <f aca="false">IF(Y379=1,IF(COUNTIFS(C$5:C379,C379,Y$5:Y379,1)=1,1,0),0)</f>
        <v>0</v>
      </c>
      <c r="AA379" s="30" t="n">
        <f aca="false">IF(AND(E379="budget_probe",ISNUMBER(F379),I379&lt;&gt;Lists!$X$4),1,0)</f>
        <v>0</v>
      </c>
      <c r="AB379" s="30" t="str">
        <f aca="false">IF(AND(B379="office",AA379=1,COUNTIFS(C$5:C379,C379,AA$5:AA379,1)=1),F379,"")</f>
        <v/>
      </c>
      <c r="AC379" s="30" t="str">
        <f aca="false">IF(AND(B379="brand",AA379=1,COUNTIFS(C$5:C379,C379,AA$5:AA379,1)=1),F379,"")</f>
        <v/>
      </c>
      <c r="AD379" s="30" t="str">
        <f aca="false">IF(AND(B379="brand",E379="budget_probe",ISNUMBER(F379),I379=Lists!$X$4),IF(COUNTIFS(C$5:C379,C379,E$5:E379,"budget_probe",I$5:I379,Lists!$X$4)=1,F379,""),"")</f>
        <v/>
      </c>
      <c r="AE379" s="30" t="n">
        <f aca="false">IF(AND(B379="brand",E379="paid",ISNUMBER(F379)),IF(AND(SUMIFS(F$5:F379,B$5:B379,"brand",C$5:C379,C379,E$5:E379,"paid")&gt;=Inputs!$C$44,SUMIFS(F$5:F379,B$5:B379,"brand",C$5:C379,C379,E$5:E379,"paid")-F379&lt;Inputs!$C$44),1,0),0)</f>
        <v>0</v>
      </c>
    </row>
    <row r="380" customFormat="false" ht="15" hidden="false" customHeight="false" outlineLevel="0" collapsed="false">
      <c r="A380" s="102"/>
      <c r="B380" s="103"/>
      <c r="C380" s="103"/>
      <c r="D380" s="103"/>
      <c r="E380" s="103"/>
      <c r="F380" s="103"/>
      <c r="G380" s="103"/>
      <c r="H380" s="103"/>
      <c r="I380" s="103"/>
      <c r="T380" s="30" t="str">
        <f aca="false">IF(C380="","",IF(COUNTIFS(C$5:C380,C380,E$5:E380,E380)=1,1,0))</f>
        <v/>
      </c>
      <c r="U380" s="30" t="n">
        <f aca="false">IF(C380="",0,IF(AND(B380="brand",E380="budget_probe",N(F380)&gt;=Inputs!$C$124,H380="Y"),1,0))</f>
        <v>0</v>
      </c>
      <c r="V380" s="30" t="n">
        <f aca="false">IF(U380=1,IF(COUNTIFS(C$5:C380,C380,U$5:U380,1)=1,1,0),0)</f>
        <v>0</v>
      </c>
      <c r="W380" s="30" t="n">
        <f aca="false">IF(C380="",0,IF(AND(B380="office",E380="budget_probe",N(F380)&gt;=Inputs!$C$139),1,0))</f>
        <v>0</v>
      </c>
      <c r="X380" s="30" t="n">
        <f aca="false">IF(W380=1,IF(COUNTIFS(C$5:C380,C380,W$5:W380,1)=1,1,0),0)</f>
        <v>0</v>
      </c>
      <c r="Y380" s="30" t="n">
        <f aca="false">IF(C380="",0,IF(AND(B380="brand",E380="renewal_answer",TRIM(G380)="yes",N(F380)&gt;=Inputs!$C$135),1,0))</f>
        <v>0</v>
      </c>
      <c r="Z380" s="30" t="n">
        <f aca="false">IF(Y380=1,IF(COUNTIFS(C$5:C380,C380,Y$5:Y380,1)=1,1,0),0)</f>
        <v>0</v>
      </c>
      <c r="AA380" s="30" t="n">
        <f aca="false">IF(AND(E380="budget_probe",ISNUMBER(F380),I380&lt;&gt;Lists!$X$4),1,0)</f>
        <v>0</v>
      </c>
      <c r="AB380" s="30" t="str">
        <f aca="false">IF(AND(B380="office",AA380=1,COUNTIFS(C$5:C380,C380,AA$5:AA380,1)=1),F380,"")</f>
        <v/>
      </c>
      <c r="AC380" s="30" t="str">
        <f aca="false">IF(AND(B380="brand",AA380=1,COUNTIFS(C$5:C380,C380,AA$5:AA380,1)=1),F380,"")</f>
        <v/>
      </c>
      <c r="AD380" s="30" t="str">
        <f aca="false">IF(AND(B380="brand",E380="budget_probe",ISNUMBER(F380),I380=Lists!$X$4),IF(COUNTIFS(C$5:C380,C380,E$5:E380,"budget_probe",I$5:I380,Lists!$X$4)=1,F380,""),"")</f>
        <v/>
      </c>
      <c r="AE380" s="30" t="n">
        <f aca="false">IF(AND(B380="brand",E380="paid",ISNUMBER(F380)),IF(AND(SUMIFS(F$5:F380,B$5:B380,"brand",C$5:C380,C380,E$5:E380,"paid")&gt;=Inputs!$C$44,SUMIFS(F$5:F380,B$5:B380,"brand",C$5:C380,C380,E$5:E380,"paid")-F380&lt;Inputs!$C$44),1,0),0)</f>
        <v>0</v>
      </c>
    </row>
    <row r="381" customFormat="false" ht="15" hidden="false" customHeight="false" outlineLevel="0" collapsed="false">
      <c r="A381" s="102"/>
      <c r="B381" s="103"/>
      <c r="C381" s="103"/>
      <c r="D381" s="103"/>
      <c r="E381" s="103"/>
      <c r="F381" s="103"/>
      <c r="G381" s="103"/>
      <c r="H381" s="103"/>
      <c r="I381" s="103"/>
      <c r="T381" s="30" t="str">
        <f aca="false">IF(C381="","",IF(COUNTIFS(C$5:C381,C381,E$5:E381,E381)=1,1,0))</f>
        <v/>
      </c>
      <c r="U381" s="30" t="n">
        <f aca="false">IF(C381="",0,IF(AND(B381="brand",E381="budget_probe",N(F381)&gt;=Inputs!$C$124,H381="Y"),1,0))</f>
        <v>0</v>
      </c>
      <c r="V381" s="30" t="n">
        <f aca="false">IF(U381=1,IF(COUNTIFS(C$5:C381,C381,U$5:U381,1)=1,1,0),0)</f>
        <v>0</v>
      </c>
      <c r="W381" s="30" t="n">
        <f aca="false">IF(C381="",0,IF(AND(B381="office",E381="budget_probe",N(F381)&gt;=Inputs!$C$139),1,0))</f>
        <v>0</v>
      </c>
      <c r="X381" s="30" t="n">
        <f aca="false">IF(W381=1,IF(COUNTIFS(C$5:C381,C381,W$5:W381,1)=1,1,0),0)</f>
        <v>0</v>
      </c>
      <c r="Y381" s="30" t="n">
        <f aca="false">IF(C381="",0,IF(AND(B381="brand",E381="renewal_answer",TRIM(G381)="yes",N(F381)&gt;=Inputs!$C$135),1,0))</f>
        <v>0</v>
      </c>
      <c r="Z381" s="30" t="n">
        <f aca="false">IF(Y381=1,IF(COUNTIFS(C$5:C381,C381,Y$5:Y381,1)=1,1,0),0)</f>
        <v>0</v>
      </c>
      <c r="AA381" s="30" t="n">
        <f aca="false">IF(AND(E381="budget_probe",ISNUMBER(F381),I381&lt;&gt;Lists!$X$4),1,0)</f>
        <v>0</v>
      </c>
      <c r="AB381" s="30" t="str">
        <f aca="false">IF(AND(B381="office",AA381=1,COUNTIFS(C$5:C381,C381,AA$5:AA381,1)=1),F381,"")</f>
        <v/>
      </c>
      <c r="AC381" s="30" t="str">
        <f aca="false">IF(AND(B381="brand",AA381=1,COUNTIFS(C$5:C381,C381,AA$5:AA381,1)=1),F381,"")</f>
        <v/>
      </c>
      <c r="AD381" s="30" t="str">
        <f aca="false">IF(AND(B381="brand",E381="budget_probe",ISNUMBER(F381),I381=Lists!$X$4),IF(COUNTIFS(C$5:C381,C381,E$5:E381,"budget_probe",I$5:I381,Lists!$X$4)=1,F381,""),"")</f>
        <v/>
      </c>
      <c r="AE381" s="30" t="n">
        <f aca="false">IF(AND(B381="brand",E381="paid",ISNUMBER(F381)),IF(AND(SUMIFS(F$5:F381,B$5:B381,"brand",C$5:C381,C381,E$5:E381,"paid")&gt;=Inputs!$C$44,SUMIFS(F$5:F381,B$5:B381,"brand",C$5:C381,C381,E$5:E381,"paid")-F381&lt;Inputs!$C$44),1,0),0)</f>
        <v>0</v>
      </c>
    </row>
    <row r="382" customFormat="false" ht="15" hidden="false" customHeight="false" outlineLevel="0" collapsed="false">
      <c r="A382" s="102"/>
      <c r="B382" s="103"/>
      <c r="C382" s="103"/>
      <c r="D382" s="103"/>
      <c r="E382" s="103"/>
      <c r="F382" s="103"/>
      <c r="G382" s="103"/>
      <c r="H382" s="103"/>
      <c r="I382" s="103"/>
      <c r="T382" s="30" t="str">
        <f aca="false">IF(C382="","",IF(COUNTIFS(C$5:C382,C382,E$5:E382,E382)=1,1,0))</f>
        <v/>
      </c>
      <c r="U382" s="30" t="n">
        <f aca="false">IF(C382="",0,IF(AND(B382="brand",E382="budget_probe",N(F382)&gt;=Inputs!$C$124,H382="Y"),1,0))</f>
        <v>0</v>
      </c>
      <c r="V382" s="30" t="n">
        <f aca="false">IF(U382=1,IF(COUNTIFS(C$5:C382,C382,U$5:U382,1)=1,1,0),0)</f>
        <v>0</v>
      </c>
      <c r="W382" s="30" t="n">
        <f aca="false">IF(C382="",0,IF(AND(B382="office",E382="budget_probe",N(F382)&gt;=Inputs!$C$139),1,0))</f>
        <v>0</v>
      </c>
      <c r="X382" s="30" t="n">
        <f aca="false">IF(W382=1,IF(COUNTIFS(C$5:C382,C382,W$5:W382,1)=1,1,0),0)</f>
        <v>0</v>
      </c>
      <c r="Y382" s="30" t="n">
        <f aca="false">IF(C382="",0,IF(AND(B382="brand",E382="renewal_answer",TRIM(G382)="yes",N(F382)&gt;=Inputs!$C$135),1,0))</f>
        <v>0</v>
      </c>
      <c r="Z382" s="30" t="n">
        <f aca="false">IF(Y382=1,IF(COUNTIFS(C$5:C382,C382,Y$5:Y382,1)=1,1,0),0)</f>
        <v>0</v>
      </c>
      <c r="AA382" s="30" t="n">
        <f aca="false">IF(AND(E382="budget_probe",ISNUMBER(F382),I382&lt;&gt;Lists!$X$4),1,0)</f>
        <v>0</v>
      </c>
      <c r="AB382" s="30" t="str">
        <f aca="false">IF(AND(B382="office",AA382=1,COUNTIFS(C$5:C382,C382,AA$5:AA382,1)=1),F382,"")</f>
        <v/>
      </c>
      <c r="AC382" s="30" t="str">
        <f aca="false">IF(AND(B382="brand",AA382=1,COUNTIFS(C$5:C382,C382,AA$5:AA382,1)=1),F382,"")</f>
        <v/>
      </c>
      <c r="AD382" s="30" t="str">
        <f aca="false">IF(AND(B382="brand",E382="budget_probe",ISNUMBER(F382),I382=Lists!$X$4),IF(COUNTIFS(C$5:C382,C382,E$5:E382,"budget_probe",I$5:I382,Lists!$X$4)=1,F382,""),"")</f>
        <v/>
      </c>
      <c r="AE382" s="30" t="n">
        <f aca="false">IF(AND(B382="brand",E382="paid",ISNUMBER(F382)),IF(AND(SUMIFS(F$5:F382,B$5:B382,"brand",C$5:C382,C382,E$5:E382,"paid")&gt;=Inputs!$C$44,SUMIFS(F$5:F382,B$5:B382,"brand",C$5:C382,C382,E$5:E382,"paid")-F382&lt;Inputs!$C$44),1,0),0)</f>
        <v>0</v>
      </c>
    </row>
    <row r="383" customFormat="false" ht="15" hidden="false" customHeight="false" outlineLevel="0" collapsed="false">
      <c r="A383" s="102"/>
      <c r="B383" s="103"/>
      <c r="C383" s="103"/>
      <c r="D383" s="103"/>
      <c r="E383" s="103"/>
      <c r="F383" s="103"/>
      <c r="G383" s="103"/>
      <c r="H383" s="103"/>
      <c r="I383" s="103"/>
      <c r="T383" s="30" t="str">
        <f aca="false">IF(C383="","",IF(COUNTIFS(C$5:C383,C383,E$5:E383,E383)=1,1,0))</f>
        <v/>
      </c>
      <c r="U383" s="30" t="n">
        <f aca="false">IF(C383="",0,IF(AND(B383="brand",E383="budget_probe",N(F383)&gt;=Inputs!$C$124,H383="Y"),1,0))</f>
        <v>0</v>
      </c>
      <c r="V383" s="30" t="n">
        <f aca="false">IF(U383=1,IF(COUNTIFS(C$5:C383,C383,U$5:U383,1)=1,1,0),0)</f>
        <v>0</v>
      </c>
      <c r="W383" s="30" t="n">
        <f aca="false">IF(C383="",0,IF(AND(B383="office",E383="budget_probe",N(F383)&gt;=Inputs!$C$139),1,0))</f>
        <v>0</v>
      </c>
      <c r="X383" s="30" t="n">
        <f aca="false">IF(W383=1,IF(COUNTIFS(C$5:C383,C383,W$5:W383,1)=1,1,0),0)</f>
        <v>0</v>
      </c>
      <c r="Y383" s="30" t="n">
        <f aca="false">IF(C383="",0,IF(AND(B383="brand",E383="renewal_answer",TRIM(G383)="yes",N(F383)&gt;=Inputs!$C$135),1,0))</f>
        <v>0</v>
      </c>
      <c r="Z383" s="30" t="n">
        <f aca="false">IF(Y383=1,IF(COUNTIFS(C$5:C383,C383,Y$5:Y383,1)=1,1,0),0)</f>
        <v>0</v>
      </c>
      <c r="AA383" s="30" t="n">
        <f aca="false">IF(AND(E383="budget_probe",ISNUMBER(F383),I383&lt;&gt;Lists!$X$4),1,0)</f>
        <v>0</v>
      </c>
      <c r="AB383" s="30" t="str">
        <f aca="false">IF(AND(B383="office",AA383=1,COUNTIFS(C$5:C383,C383,AA$5:AA383,1)=1),F383,"")</f>
        <v/>
      </c>
      <c r="AC383" s="30" t="str">
        <f aca="false">IF(AND(B383="brand",AA383=1,COUNTIFS(C$5:C383,C383,AA$5:AA383,1)=1),F383,"")</f>
        <v/>
      </c>
      <c r="AD383" s="30" t="str">
        <f aca="false">IF(AND(B383="brand",E383="budget_probe",ISNUMBER(F383),I383=Lists!$X$4),IF(COUNTIFS(C$5:C383,C383,E$5:E383,"budget_probe",I$5:I383,Lists!$X$4)=1,F383,""),"")</f>
        <v/>
      </c>
      <c r="AE383" s="30" t="n">
        <f aca="false">IF(AND(B383="brand",E383="paid",ISNUMBER(F383)),IF(AND(SUMIFS(F$5:F383,B$5:B383,"brand",C$5:C383,C383,E$5:E383,"paid")&gt;=Inputs!$C$44,SUMIFS(F$5:F383,B$5:B383,"brand",C$5:C383,C383,E$5:E383,"paid")-F383&lt;Inputs!$C$44),1,0),0)</f>
        <v>0</v>
      </c>
    </row>
    <row r="384" customFormat="false" ht="15" hidden="false" customHeight="false" outlineLevel="0" collapsed="false">
      <c r="A384" s="102"/>
      <c r="B384" s="103"/>
      <c r="C384" s="103"/>
      <c r="D384" s="103"/>
      <c r="E384" s="103"/>
      <c r="F384" s="103"/>
      <c r="G384" s="103"/>
      <c r="H384" s="103"/>
      <c r="I384" s="103"/>
      <c r="T384" s="30" t="str">
        <f aca="false">IF(C384="","",IF(COUNTIFS(C$5:C384,C384,E$5:E384,E384)=1,1,0))</f>
        <v/>
      </c>
      <c r="U384" s="30" t="n">
        <f aca="false">IF(C384="",0,IF(AND(B384="brand",E384="budget_probe",N(F384)&gt;=Inputs!$C$124,H384="Y"),1,0))</f>
        <v>0</v>
      </c>
      <c r="V384" s="30" t="n">
        <f aca="false">IF(U384=1,IF(COUNTIFS(C$5:C384,C384,U$5:U384,1)=1,1,0),0)</f>
        <v>0</v>
      </c>
      <c r="W384" s="30" t="n">
        <f aca="false">IF(C384="",0,IF(AND(B384="office",E384="budget_probe",N(F384)&gt;=Inputs!$C$139),1,0))</f>
        <v>0</v>
      </c>
      <c r="X384" s="30" t="n">
        <f aca="false">IF(W384=1,IF(COUNTIFS(C$5:C384,C384,W$5:W384,1)=1,1,0),0)</f>
        <v>0</v>
      </c>
      <c r="Y384" s="30" t="n">
        <f aca="false">IF(C384="",0,IF(AND(B384="brand",E384="renewal_answer",TRIM(G384)="yes",N(F384)&gt;=Inputs!$C$135),1,0))</f>
        <v>0</v>
      </c>
      <c r="Z384" s="30" t="n">
        <f aca="false">IF(Y384=1,IF(COUNTIFS(C$5:C384,C384,Y$5:Y384,1)=1,1,0),0)</f>
        <v>0</v>
      </c>
      <c r="AA384" s="30" t="n">
        <f aca="false">IF(AND(E384="budget_probe",ISNUMBER(F384),I384&lt;&gt;Lists!$X$4),1,0)</f>
        <v>0</v>
      </c>
      <c r="AB384" s="30" t="str">
        <f aca="false">IF(AND(B384="office",AA384=1,COUNTIFS(C$5:C384,C384,AA$5:AA384,1)=1),F384,"")</f>
        <v/>
      </c>
      <c r="AC384" s="30" t="str">
        <f aca="false">IF(AND(B384="brand",AA384=1,COUNTIFS(C$5:C384,C384,AA$5:AA384,1)=1),F384,"")</f>
        <v/>
      </c>
      <c r="AD384" s="30" t="str">
        <f aca="false">IF(AND(B384="brand",E384="budget_probe",ISNUMBER(F384),I384=Lists!$X$4),IF(COUNTIFS(C$5:C384,C384,E$5:E384,"budget_probe",I$5:I384,Lists!$X$4)=1,F384,""),"")</f>
        <v/>
      </c>
      <c r="AE384" s="30" t="n">
        <f aca="false">IF(AND(B384="brand",E384="paid",ISNUMBER(F384)),IF(AND(SUMIFS(F$5:F384,B$5:B384,"brand",C$5:C384,C384,E$5:E384,"paid")&gt;=Inputs!$C$44,SUMIFS(F$5:F384,B$5:B384,"brand",C$5:C384,C384,E$5:E384,"paid")-F384&lt;Inputs!$C$44),1,0),0)</f>
        <v>0</v>
      </c>
    </row>
    <row r="385" customFormat="false" ht="15" hidden="false" customHeight="false" outlineLevel="0" collapsed="false">
      <c r="A385" s="102"/>
      <c r="B385" s="103"/>
      <c r="C385" s="103"/>
      <c r="D385" s="103"/>
      <c r="E385" s="103"/>
      <c r="F385" s="103"/>
      <c r="G385" s="103"/>
      <c r="H385" s="103"/>
      <c r="I385" s="103"/>
      <c r="T385" s="30" t="str">
        <f aca="false">IF(C385="","",IF(COUNTIFS(C$5:C385,C385,E$5:E385,E385)=1,1,0))</f>
        <v/>
      </c>
      <c r="U385" s="30" t="n">
        <f aca="false">IF(C385="",0,IF(AND(B385="brand",E385="budget_probe",N(F385)&gt;=Inputs!$C$124,H385="Y"),1,0))</f>
        <v>0</v>
      </c>
      <c r="V385" s="30" t="n">
        <f aca="false">IF(U385=1,IF(COUNTIFS(C$5:C385,C385,U$5:U385,1)=1,1,0),0)</f>
        <v>0</v>
      </c>
      <c r="W385" s="30" t="n">
        <f aca="false">IF(C385="",0,IF(AND(B385="office",E385="budget_probe",N(F385)&gt;=Inputs!$C$139),1,0))</f>
        <v>0</v>
      </c>
      <c r="X385" s="30" t="n">
        <f aca="false">IF(W385=1,IF(COUNTIFS(C$5:C385,C385,W$5:W385,1)=1,1,0),0)</f>
        <v>0</v>
      </c>
      <c r="Y385" s="30" t="n">
        <f aca="false">IF(C385="",0,IF(AND(B385="brand",E385="renewal_answer",TRIM(G385)="yes",N(F385)&gt;=Inputs!$C$135),1,0))</f>
        <v>0</v>
      </c>
      <c r="Z385" s="30" t="n">
        <f aca="false">IF(Y385=1,IF(COUNTIFS(C$5:C385,C385,Y$5:Y385,1)=1,1,0),0)</f>
        <v>0</v>
      </c>
      <c r="AA385" s="30" t="n">
        <f aca="false">IF(AND(E385="budget_probe",ISNUMBER(F385),I385&lt;&gt;Lists!$X$4),1,0)</f>
        <v>0</v>
      </c>
      <c r="AB385" s="30" t="str">
        <f aca="false">IF(AND(B385="office",AA385=1,COUNTIFS(C$5:C385,C385,AA$5:AA385,1)=1),F385,"")</f>
        <v/>
      </c>
      <c r="AC385" s="30" t="str">
        <f aca="false">IF(AND(B385="brand",AA385=1,COUNTIFS(C$5:C385,C385,AA$5:AA385,1)=1),F385,"")</f>
        <v/>
      </c>
      <c r="AD385" s="30" t="str">
        <f aca="false">IF(AND(B385="brand",E385="budget_probe",ISNUMBER(F385),I385=Lists!$X$4),IF(COUNTIFS(C$5:C385,C385,E$5:E385,"budget_probe",I$5:I385,Lists!$X$4)=1,F385,""),"")</f>
        <v/>
      </c>
      <c r="AE385" s="30" t="n">
        <f aca="false">IF(AND(B385="brand",E385="paid",ISNUMBER(F385)),IF(AND(SUMIFS(F$5:F385,B$5:B385,"brand",C$5:C385,C385,E$5:E385,"paid")&gt;=Inputs!$C$44,SUMIFS(F$5:F385,B$5:B385,"brand",C$5:C385,C385,E$5:E385,"paid")-F385&lt;Inputs!$C$44),1,0),0)</f>
        <v>0</v>
      </c>
    </row>
    <row r="386" customFormat="false" ht="15" hidden="false" customHeight="false" outlineLevel="0" collapsed="false">
      <c r="A386" s="102"/>
      <c r="B386" s="103"/>
      <c r="C386" s="103"/>
      <c r="D386" s="103"/>
      <c r="E386" s="103"/>
      <c r="F386" s="103"/>
      <c r="G386" s="103"/>
      <c r="H386" s="103"/>
      <c r="I386" s="103"/>
      <c r="T386" s="30" t="str">
        <f aca="false">IF(C386="","",IF(COUNTIFS(C$5:C386,C386,E$5:E386,E386)=1,1,0))</f>
        <v/>
      </c>
      <c r="U386" s="30" t="n">
        <f aca="false">IF(C386="",0,IF(AND(B386="brand",E386="budget_probe",N(F386)&gt;=Inputs!$C$124,H386="Y"),1,0))</f>
        <v>0</v>
      </c>
      <c r="V386" s="30" t="n">
        <f aca="false">IF(U386=1,IF(COUNTIFS(C$5:C386,C386,U$5:U386,1)=1,1,0),0)</f>
        <v>0</v>
      </c>
      <c r="W386" s="30" t="n">
        <f aca="false">IF(C386="",0,IF(AND(B386="office",E386="budget_probe",N(F386)&gt;=Inputs!$C$139),1,0))</f>
        <v>0</v>
      </c>
      <c r="X386" s="30" t="n">
        <f aca="false">IF(W386=1,IF(COUNTIFS(C$5:C386,C386,W$5:W386,1)=1,1,0),0)</f>
        <v>0</v>
      </c>
      <c r="Y386" s="30" t="n">
        <f aca="false">IF(C386="",0,IF(AND(B386="brand",E386="renewal_answer",TRIM(G386)="yes",N(F386)&gt;=Inputs!$C$135),1,0))</f>
        <v>0</v>
      </c>
      <c r="Z386" s="30" t="n">
        <f aca="false">IF(Y386=1,IF(COUNTIFS(C$5:C386,C386,Y$5:Y386,1)=1,1,0),0)</f>
        <v>0</v>
      </c>
      <c r="AA386" s="30" t="n">
        <f aca="false">IF(AND(E386="budget_probe",ISNUMBER(F386),I386&lt;&gt;Lists!$X$4),1,0)</f>
        <v>0</v>
      </c>
      <c r="AB386" s="30" t="str">
        <f aca="false">IF(AND(B386="office",AA386=1,COUNTIFS(C$5:C386,C386,AA$5:AA386,1)=1),F386,"")</f>
        <v/>
      </c>
      <c r="AC386" s="30" t="str">
        <f aca="false">IF(AND(B386="brand",AA386=1,COUNTIFS(C$5:C386,C386,AA$5:AA386,1)=1),F386,"")</f>
        <v/>
      </c>
      <c r="AD386" s="30" t="str">
        <f aca="false">IF(AND(B386="brand",E386="budget_probe",ISNUMBER(F386),I386=Lists!$X$4),IF(COUNTIFS(C$5:C386,C386,E$5:E386,"budget_probe",I$5:I386,Lists!$X$4)=1,F386,""),"")</f>
        <v/>
      </c>
      <c r="AE386" s="30" t="n">
        <f aca="false">IF(AND(B386="brand",E386="paid",ISNUMBER(F386)),IF(AND(SUMIFS(F$5:F386,B$5:B386,"brand",C$5:C386,C386,E$5:E386,"paid")&gt;=Inputs!$C$44,SUMIFS(F$5:F386,B$5:B386,"brand",C$5:C386,C386,E$5:E386,"paid")-F386&lt;Inputs!$C$44),1,0),0)</f>
        <v>0</v>
      </c>
    </row>
    <row r="387" customFormat="false" ht="15" hidden="false" customHeight="false" outlineLevel="0" collapsed="false">
      <c r="A387" s="102"/>
      <c r="B387" s="103"/>
      <c r="C387" s="103"/>
      <c r="D387" s="103"/>
      <c r="E387" s="103"/>
      <c r="F387" s="103"/>
      <c r="G387" s="103"/>
      <c r="H387" s="103"/>
      <c r="I387" s="103"/>
      <c r="T387" s="30" t="str">
        <f aca="false">IF(C387="","",IF(COUNTIFS(C$5:C387,C387,E$5:E387,E387)=1,1,0))</f>
        <v/>
      </c>
      <c r="U387" s="30" t="n">
        <f aca="false">IF(C387="",0,IF(AND(B387="brand",E387="budget_probe",N(F387)&gt;=Inputs!$C$124,H387="Y"),1,0))</f>
        <v>0</v>
      </c>
      <c r="V387" s="30" t="n">
        <f aca="false">IF(U387=1,IF(COUNTIFS(C$5:C387,C387,U$5:U387,1)=1,1,0),0)</f>
        <v>0</v>
      </c>
      <c r="W387" s="30" t="n">
        <f aca="false">IF(C387="",0,IF(AND(B387="office",E387="budget_probe",N(F387)&gt;=Inputs!$C$139),1,0))</f>
        <v>0</v>
      </c>
      <c r="X387" s="30" t="n">
        <f aca="false">IF(W387=1,IF(COUNTIFS(C$5:C387,C387,W$5:W387,1)=1,1,0),0)</f>
        <v>0</v>
      </c>
      <c r="Y387" s="30" t="n">
        <f aca="false">IF(C387="",0,IF(AND(B387="brand",E387="renewal_answer",TRIM(G387)="yes",N(F387)&gt;=Inputs!$C$135),1,0))</f>
        <v>0</v>
      </c>
      <c r="Z387" s="30" t="n">
        <f aca="false">IF(Y387=1,IF(COUNTIFS(C$5:C387,C387,Y$5:Y387,1)=1,1,0),0)</f>
        <v>0</v>
      </c>
      <c r="AA387" s="30" t="n">
        <f aca="false">IF(AND(E387="budget_probe",ISNUMBER(F387),I387&lt;&gt;Lists!$X$4),1,0)</f>
        <v>0</v>
      </c>
      <c r="AB387" s="30" t="str">
        <f aca="false">IF(AND(B387="office",AA387=1,COUNTIFS(C$5:C387,C387,AA$5:AA387,1)=1),F387,"")</f>
        <v/>
      </c>
      <c r="AC387" s="30" t="str">
        <f aca="false">IF(AND(B387="brand",AA387=1,COUNTIFS(C$5:C387,C387,AA$5:AA387,1)=1),F387,"")</f>
        <v/>
      </c>
      <c r="AD387" s="30" t="str">
        <f aca="false">IF(AND(B387="brand",E387="budget_probe",ISNUMBER(F387),I387=Lists!$X$4),IF(COUNTIFS(C$5:C387,C387,E$5:E387,"budget_probe",I$5:I387,Lists!$X$4)=1,F387,""),"")</f>
        <v/>
      </c>
      <c r="AE387" s="30" t="n">
        <f aca="false">IF(AND(B387="brand",E387="paid",ISNUMBER(F387)),IF(AND(SUMIFS(F$5:F387,B$5:B387,"brand",C$5:C387,C387,E$5:E387,"paid")&gt;=Inputs!$C$44,SUMIFS(F$5:F387,B$5:B387,"brand",C$5:C387,C387,E$5:E387,"paid")-F387&lt;Inputs!$C$44),1,0),0)</f>
        <v>0</v>
      </c>
    </row>
    <row r="388" customFormat="false" ht="15" hidden="false" customHeight="false" outlineLevel="0" collapsed="false">
      <c r="A388" s="102"/>
      <c r="B388" s="103"/>
      <c r="C388" s="103"/>
      <c r="D388" s="103"/>
      <c r="E388" s="103"/>
      <c r="F388" s="103"/>
      <c r="G388" s="103"/>
      <c r="H388" s="103"/>
      <c r="I388" s="103"/>
      <c r="T388" s="30" t="str">
        <f aca="false">IF(C388="","",IF(COUNTIFS(C$5:C388,C388,E$5:E388,E388)=1,1,0))</f>
        <v/>
      </c>
      <c r="U388" s="30" t="n">
        <f aca="false">IF(C388="",0,IF(AND(B388="brand",E388="budget_probe",N(F388)&gt;=Inputs!$C$124,H388="Y"),1,0))</f>
        <v>0</v>
      </c>
      <c r="V388" s="30" t="n">
        <f aca="false">IF(U388=1,IF(COUNTIFS(C$5:C388,C388,U$5:U388,1)=1,1,0),0)</f>
        <v>0</v>
      </c>
      <c r="W388" s="30" t="n">
        <f aca="false">IF(C388="",0,IF(AND(B388="office",E388="budget_probe",N(F388)&gt;=Inputs!$C$139),1,0))</f>
        <v>0</v>
      </c>
      <c r="X388" s="30" t="n">
        <f aca="false">IF(W388=1,IF(COUNTIFS(C$5:C388,C388,W$5:W388,1)=1,1,0),0)</f>
        <v>0</v>
      </c>
      <c r="Y388" s="30" t="n">
        <f aca="false">IF(C388="",0,IF(AND(B388="brand",E388="renewal_answer",TRIM(G388)="yes",N(F388)&gt;=Inputs!$C$135),1,0))</f>
        <v>0</v>
      </c>
      <c r="Z388" s="30" t="n">
        <f aca="false">IF(Y388=1,IF(COUNTIFS(C$5:C388,C388,Y$5:Y388,1)=1,1,0),0)</f>
        <v>0</v>
      </c>
      <c r="AA388" s="30" t="n">
        <f aca="false">IF(AND(E388="budget_probe",ISNUMBER(F388),I388&lt;&gt;Lists!$X$4),1,0)</f>
        <v>0</v>
      </c>
      <c r="AB388" s="30" t="str">
        <f aca="false">IF(AND(B388="office",AA388=1,COUNTIFS(C$5:C388,C388,AA$5:AA388,1)=1),F388,"")</f>
        <v/>
      </c>
      <c r="AC388" s="30" t="str">
        <f aca="false">IF(AND(B388="brand",AA388=1,COUNTIFS(C$5:C388,C388,AA$5:AA388,1)=1),F388,"")</f>
        <v/>
      </c>
      <c r="AD388" s="30" t="str">
        <f aca="false">IF(AND(B388="brand",E388="budget_probe",ISNUMBER(F388),I388=Lists!$X$4),IF(COUNTIFS(C$5:C388,C388,E$5:E388,"budget_probe",I$5:I388,Lists!$X$4)=1,F388,""),"")</f>
        <v/>
      </c>
      <c r="AE388" s="30" t="n">
        <f aca="false">IF(AND(B388="brand",E388="paid",ISNUMBER(F388)),IF(AND(SUMIFS(F$5:F388,B$5:B388,"brand",C$5:C388,C388,E$5:E388,"paid")&gt;=Inputs!$C$44,SUMIFS(F$5:F388,B$5:B388,"brand",C$5:C388,C388,E$5:E388,"paid")-F388&lt;Inputs!$C$44),1,0),0)</f>
        <v>0</v>
      </c>
    </row>
    <row r="389" customFormat="false" ht="15" hidden="false" customHeight="false" outlineLevel="0" collapsed="false">
      <c r="A389" s="102"/>
      <c r="B389" s="103"/>
      <c r="C389" s="103"/>
      <c r="D389" s="103"/>
      <c r="E389" s="103"/>
      <c r="F389" s="103"/>
      <c r="G389" s="103"/>
      <c r="H389" s="103"/>
      <c r="I389" s="103"/>
      <c r="T389" s="30" t="str">
        <f aca="false">IF(C389="","",IF(COUNTIFS(C$5:C389,C389,E$5:E389,E389)=1,1,0))</f>
        <v/>
      </c>
      <c r="U389" s="30" t="n">
        <f aca="false">IF(C389="",0,IF(AND(B389="brand",E389="budget_probe",N(F389)&gt;=Inputs!$C$124,H389="Y"),1,0))</f>
        <v>0</v>
      </c>
      <c r="V389" s="30" t="n">
        <f aca="false">IF(U389=1,IF(COUNTIFS(C$5:C389,C389,U$5:U389,1)=1,1,0),0)</f>
        <v>0</v>
      </c>
      <c r="W389" s="30" t="n">
        <f aca="false">IF(C389="",0,IF(AND(B389="office",E389="budget_probe",N(F389)&gt;=Inputs!$C$139),1,0))</f>
        <v>0</v>
      </c>
      <c r="X389" s="30" t="n">
        <f aca="false">IF(W389=1,IF(COUNTIFS(C$5:C389,C389,W$5:W389,1)=1,1,0),0)</f>
        <v>0</v>
      </c>
      <c r="Y389" s="30" t="n">
        <f aca="false">IF(C389="",0,IF(AND(B389="brand",E389="renewal_answer",TRIM(G389)="yes",N(F389)&gt;=Inputs!$C$135),1,0))</f>
        <v>0</v>
      </c>
      <c r="Z389" s="30" t="n">
        <f aca="false">IF(Y389=1,IF(COUNTIFS(C$5:C389,C389,Y$5:Y389,1)=1,1,0),0)</f>
        <v>0</v>
      </c>
      <c r="AA389" s="30" t="n">
        <f aca="false">IF(AND(E389="budget_probe",ISNUMBER(F389),I389&lt;&gt;Lists!$X$4),1,0)</f>
        <v>0</v>
      </c>
      <c r="AB389" s="30" t="str">
        <f aca="false">IF(AND(B389="office",AA389=1,COUNTIFS(C$5:C389,C389,AA$5:AA389,1)=1),F389,"")</f>
        <v/>
      </c>
      <c r="AC389" s="30" t="str">
        <f aca="false">IF(AND(B389="brand",AA389=1,COUNTIFS(C$5:C389,C389,AA$5:AA389,1)=1),F389,"")</f>
        <v/>
      </c>
      <c r="AD389" s="30" t="str">
        <f aca="false">IF(AND(B389="brand",E389="budget_probe",ISNUMBER(F389),I389=Lists!$X$4),IF(COUNTIFS(C$5:C389,C389,E$5:E389,"budget_probe",I$5:I389,Lists!$X$4)=1,F389,""),"")</f>
        <v/>
      </c>
      <c r="AE389" s="30" t="n">
        <f aca="false">IF(AND(B389="brand",E389="paid",ISNUMBER(F389)),IF(AND(SUMIFS(F$5:F389,B$5:B389,"brand",C$5:C389,C389,E$5:E389,"paid")&gt;=Inputs!$C$44,SUMIFS(F$5:F389,B$5:B389,"brand",C$5:C389,C389,E$5:E389,"paid")-F389&lt;Inputs!$C$44),1,0),0)</f>
        <v>0</v>
      </c>
    </row>
    <row r="390" customFormat="false" ht="15" hidden="false" customHeight="false" outlineLevel="0" collapsed="false">
      <c r="A390" s="102"/>
      <c r="B390" s="103"/>
      <c r="C390" s="103"/>
      <c r="D390" s="103"/>
      <c r="E390" s="103"/>
      <c r="F390" s="103"/>
      <c r="G390" s="103"/>
      <c r="H390" s="103"/>
      <c r="I390" s="103"/>
      <c r="T390" s="30" t="str">
        <f aca="false">IF(C390="","",IF(COUNTIFS(C$5:C390,C390,E$5:E390,E390)=1,1,0))</f>
        <v/>
      </c>
      <c r="U390" s="30" t="n">
        <f aca="false">IF(C390="",0,IF(AND(B390="brand",E390="budget_probe",N(F390)&gt;=Inputs!$C$124,H390="Y"),1,0))</f>
        <v>0</v>
      </c>
      <c r="V390" s="30" t="n">
        <f aca="false">IF(U390=1,IF(COUNTIFS(C$5:C390,C390,U$5:U390,1)=1,1,0),0)</f>
        <v>0</v>
      </c>
      <c r="W390" s="30" t="n">
        <f aca="false">IF(C390="",0,IF(AND(B390="office",E390="budget_probe",N(F390)&gt;=Inputs!$C$139),1,0))</f>
        <v>0</v>
      </c>
      <c r="X390" s="30" t="n">
        <f aca="false">IF(W390=1,IF(COUNTIFS(C$5:C390,C390,W$5:W390,1)=1,1,0),0)</f>
        <v>0</v>
      </c>
      <c r="Y390" s="30" t="n">
        <f aca="false">IF(C390="",0,IF(AND(B390="brand",E390="renewal_answer",TRIM(G390)="yes",N(F390)&gt;=Inputs!$C$135),1,0))</f>
        <v>0</v>
      </c>
      <c r="Z390" s="30" t="n">
        <f aca="false">IF(Y390=1,IF(COUNTIFS(C$5:C390,C390,Y$5:Y390,1)=1,1,0),0)</f>
        <v>0</v>
      </c>
      <c r="AA390" s="30" t="n">
        <f aca="false">IF(AND(E390="budget_probe",ISNUMBER(F390),I390&lt;&gt;Lists!$X$4),1,0)</f>
        <v>0</v>
      </c>
      <c r="AB390" s="30" t="str">
        <f aca="false">IF(AND(B390="office",AA390=1,COUNTIFS(C$5:C390,C390,AA$5:AA390,1)=1),F390,"")</f>
        <v/>
      </c>
      <c r="AC390" s="30" t="str">
        <f aca="false">IF(AND(B390="brand",AA390=1,COUNTIFS(C$5:C390,C390,AA$5:AA390,1)=1),F390,"")</f>
        <v/>
      </c>
      <c r="AD390" s="30" t="str">
        <f aca="false">IF(AND(B390="brand",E390="budget_probe",ISNUMBER(F390),I390=Lists!$X$4),IF(COUNTIFS(C$5:C390,C390,E$5:E390,"budget_probe",I$5:I390,Lists!$X$4)=1,F390,""),"")</f>
        <v/>
      </c>
      <c r="AE390" s="30" t="n">
        <f aca="false">IF(AND(B390="brand",E390="paid",ISNUMBER(F390)),IF(AND(SUMIFS(F$5:F390,B$5:B390,"brand",C$5:C390,C390,E$5:E390,"paid")&gt;=Inputs!$C$44,SUMIFS(F$5:F390,B$5:B390,"brand",C$5:C390,C390,E$5:E390,"paid")-F390&lt;Inputs!$C$44),1,0),0)</f>
        <v>0</v>
      </c>
    </row>
    <row r="391" customFormat="false" ht="15" hidden="false" customHeight="false" outlineLevel="0" collapsed="false">
      <c r="A391" s="102"/>
      <c r="B391" s="103"/>
      <c r="C391" s="103"/>
      <c r="D391" s="103"/>
      <c r="E391" s="103"/>
      <c r="F391" s="103"/>
      <c r="G391" s="103"/>
      <c r="H391" s="103"/>
      <c r="I391" s="103"/>
      <c r="T391" s="30" t="str">
        <f aca="false">IF(C391="","",IF(COUNTIFS(C$5:C391,C391,E$5:E391,E391)=1,1,0))</f>
        <v/>
      </c>
      <c r="U391" s="30" t="n">
        <f aca="false">IF(C391="",0,IF(AND(B391="brand",E391="budget_probe",N(F391)&gt;=Inputs!$C$124,H391="Y"),1,0))</f>
        <v>0</v>
      </c>
      <c r="V391" s="30" t="n">
        <f aca="false">IF(U391=1,IF(COUNTIFS(C$5:C391,C391,U$5:U391,1)=1,1,0),0)</f>
        <v>0</v>
      </c>
      <c r="W391" s="30" t="n">
        <f aca="false">IF(C391="",0,IF(AND(B391="office",E391="budget_probe",N(F391)&gt;=Inputs!$C$139),1,0))</f>
        <v>0</v>
      </c>
      <c r="X391" s="30" t="n">
        <f aca="false">IF(W391=1,IF(COUNTIFS(C$5:C391,C391,W$5:W391,1)=1,1,0),0)</f>
        <v>0</v>
      </c>
      <c r="Y391" s="30" t="n">
        <f aca="false">IF(C391="",0,IF(AND(B391="brand",E391="renewal_answer",TRIM(G391)="yes",N(F391)&gt;=Inputs!$C$135),1,0))</f>
        <v>0</v>
      </c>
      <c r="Z391" s="30" t="n">
        <f aca="false">IF(Y391=1,IF(COUNTIFS(C$5:C391,C391,Y$5:Y391,1)=1,1,0),0)</f>
        <v>0</v>
      </c>
      <c r="AA391" s="30" t="n">
        <f aca="false">IF(AND(E391="budget_probe",ISNUMBER(F391),I391&lt;&gt;Lists!$X$4),1,0)</f>
        <v>0</v>
      </c>
      <c r="AB391" s="30" t="str">
        <f aca="false">IF(AND(B391="office",AA391=1,COUNTIFS(C$5:C391,C391,AA$5:AA391,1)=1),F391,"")</f>
        <v/>
      </c>
      <c r="AC391" s="30" t="str">
        <f aca="false">IF(AND(B391="brand",AA391=1,COUNTIFS(C$5:C391,C391,AA$5:AA391,1)=1),F391,"")</f>
        <v/>
      </c>
      <c r="AD391" s="30" t="str">
        <f aca="false">IF(AND(B391="brand",E391="budget_probe",ISNUMBER(F391),I391=Lists!$X$4),IF(COUNTIFS(C$5:C391,C391,E$5:E391,"budget_probe",I$5:I391,Lists!$X$4)=1,F391,""),"")</f>
        <v/>
      </c>
      <c r="AE391" s="30" t="n">
        <f aca="false">IF(AND(B391="brand",E391="paid",ISNUMBER(F391)),IF(AND(SUMIFS(F$5:F391,B$5:B391,"brand",C$5:C391,C391,E$5:E391,"paid")&gt;=Inputs!$C$44,SUMIFS(F$5:F391,B$5:B391,"brand",C$5:C391,C391,E$5:E391,"paid")-F391&lt;Inputs!$C$44),1,0),0)</f>
        <v>0</v>
      </c>
    </row>
    <row r="392" customFormat="false" ht="15" hidden="false" customHeight="false" outlineLevel="0" collapsed="false">
      <c r="A392" s="102"/>
      <c r="B392" s="103"/>
      <c r="C392" s="103"/>
      <c r="D392" s="103"/>
      <c r="E392" s="103"/>
      <c r="F392" s="103"/>
      <c r="G392" s="103"/>
      <c r="H392" s="103"/>
      <c r="I392" s="103"/>
      <c r="T392" s="30" t="str">
        <f aca="false">IF(C392="","",IF(COUNTIFS(C$5:C392,C392,E$5:E392,E392)=1,1,0))</f>
        <v/>
      </c>
      <c r="U392" s="30" t="n">
        <f aca="false">IF(C392="",0,IF(AND(B392="brand",E392="budget_probe",N(F392)&gt;=Inputs!$C$124,H392="Y"),1,0))</f>
        <v>0</v>
      </c>
      <c r="V392" s="30" t="n">
        <f aca="false">IF(U392=1,IF(COUNTIFS(C$5:C392,C392,U$5:U392,1)=1,1,0),0)</f>
        <v>0</v>
      </c>
      <c r="W392" s="30" t="n">
        <f aca="false">IF(C392="",0,IF(AND(B392="office",E392="budget_probe",N(F392)&gt;=Inputs!$C$139),1,0))</f>
        <v>0</v>
      </c>
      <c r="X392" s="30" t="n">
        <f aca="false">IF(W392=1,IF(COUNTIFS(C$5:C392,C392,W$5:W392,1)=1,1,0),0)</f>
        <v>0</v>
      </c>
      <c r="Y392" s="30" t="n">
        <f aca="false">IF(C392="",0,IF(AND(B392="brand",E392="renewal_answer",TRIM(G392)="yes",N(F392)&gt;=Inputs!$C$135),1,0))</f>
        <v>0</v>
      </c>
      <c r="Z392" s="30" t="n">
        <f aca="false">IF(Y392=1,IF(COUNTIFS(C$5:C392,C392,Y$5:Y392,1)=1,1,0),0)</f>
        <v>0</v>
      </c>
      <c r="AA392" s="30" t="n">
        <f aca="false">IF(AND(E392="budget_probe",ISNUMBER(F392),I392&lt;&gt;Lists!$X$4),1,0)</f>
        <v>0</v>
      </c>
      <c r="AB392" s="30" t="str">
        <f aca="false">IF(AND(B392="office",AA392=1,COUNTIFS(C$5:C392,C392,AA$5:AA392,1)=1),F392,"")</f>
        <v/>
      </c>
      <c r="AC392" s="30" t="str">
        <f aca="false">IF(AND(B392="brand",AA392=1,COUNTIFS(C$5:C392,C392,AA$5:AA392,1)=1),F392,"")</f>
        <v/>
      </c>
      <c r="AD392" s="30" t="str">
        <f aca="false">IF(AND(B392="brand",E392="budget_probe",ISNUMBER(F392),I392=Lists!$X$4),IF(COUNTIFS(C$5:C392,C392,E$5:E392,"budget_probe",I$5:I392,Lists!$X$4)=1,F392,""),"")</f>
        <v/>
      </c>
      <c r="AE392" s="30" t="n">
        <f aca="false">IF(AND(B392="brand",E392="paid",ISNUMBER(F392)),IF(AND(SUMIFS(F$5:F392,B$5:B392,"brand",C$5:C392,C392,E$5:E392,"paid")&gt;=Inputs!$C$44,SUMIFS(F$5:F392,B$5:B392,"brand",C$5:C392,C392,E$5:E392,"paid")-F392&lt;Inputs!$C$44),1,0),0)</f>
        <v>0</v>
      </c>
    </row>
    <row r="393" customFormat="false" ht="15" hidden="false" customHeight="false" outlineLevel="0" collapsed="false">
      <c r="A393" s="102"/>
      <c r="B393" s="103"/>
      <c r="C393" s="103"/>
      <c r="D393" s="103"/>
      <c r="E393" s="103"/>
      <c r="F393" s="103"/>
      <c r="G393" s="103"/>
      <c r="H393" s="103"/>
      <c r="I393" s="103"/>
      <c r="T393" s="30" t="str">
        <f aca="false">IF(C393="","",IF(COUNTIFS(C$5:C393,C393,E$5:E393,E393)=1,1,0))</f>
        <v/>
      </c>
      <c r="U393" s="30" t="n">
        <f aca="false">IF(C393="",0,IF(AND(B393="brand",E393="budget_probe",N(F393)&gt;=Inputs!$C$124,H393="Y"),1,0))</f>
        <v>0</v>
      </c>
      <c r="V393" s="30" t="n">
        <f aca="false">IF(U393=1,IF(COUNTIFS(C$5:C393,C393,U$5:U393,1)=1,1,0),0)</f>
        <v>0</v>
      </c>
      <c r="W393" s="30" t="n">
        <f aca="false">IF(C393="",0,IF(AND(B393="office",E393="budget_probe",N(F393)&gt;=Inputs!$C$139),1,0))</f>
        <v>0</v>
      </c>
      <c r="X393" s="30" t="n">
        <f aca="false">IF(W393=1,IF(COUNTIFS(C$5:C393,C393,W$5:W393,1)=1,1,0),0)</f>
        <v>0</v>
      </c>
      <c r="Y393" s="30" t="n">
        <f aca="false">IF(C393="",0,IF(AND(B393="brand",E393="renewal_answer",TRIM(G393)="yes",N(F393)&gt;=Inputs!$C$135),1,0))</f>
        <v>0</v>
      </c>
      <c r="Z393" s="30" t="n">
        <f aca="false">IF(Y393=1,IF(COUNTIFS(C$5:C393,C393,Y$5:Y393,1)=1,1,0),0)</f>
        <v>0</v>
      </c>
      <c r="AA393" s="30" t="n">
        <f aca="false">IF(AND(E393="budget_probe",ISNUMBER(F393),I393&lt;&gt;Lists!$X$4),1,0)</f>
        <v>0</v>
      </c>
      <c r="AB393" s="30" t="str">
        <f aca="false">IF(AND(B393="office",AA393=1,COUNTIFS(C$5:C393,C393,AA$5:AA393,1)=1),F393,"")</f>
        <v/>
      </c>
      <c r="AC393" s="30" t="str">
        <f aca="false">IF(AND(B393="brand",AA393=1,COUNTIFS(C$5:C393,C393,AA$5:AA393,1)=1),F393,"")</f>
        <v/>
      </c>
      <c r="AD393" s="30" t="str">
        <f aca="false">IF(AND(B393="brand",E393="budget_probe",ISNUMBER(F393),I393=Lists!$X$4),IF(COUNTIFS(C$5:C393,C393,E$5:E393,"budget_probe",I$5:I393,Lists!$X$4)=1,F393,""),"")</f>
        <v/>
      </c>
      <c r="AE393" s="30" t="n">
        <f aca="false">IF(AND(B393="brand",E393="paid",ISNUMBER(F393)),IF(AND(SUMIFS(F$5:F393,B$5:B393,"brand",C$5:C393,C393,E$5:E393,"paid")&gt;=Inputs!$C$44,SUMIFS(F$5:F393,B$5:B393,"brand",C$5:C393,C393,E$5:E393,"paid")-F393&lt;Inputs!$C$44),1,0),0)</f>
        <v>0</v>
      </c>
    </row>
    <row r="394" customFormat="false" ht="15" hidden="false" customHeight="false" outlineLevel="0" collapsed="false">
      <c r="A394" s="102"/>
      <c r="B394" s="103"/>
      <c r="C394" s="103"/>
      <c r="D394" s="103"/>
      <c r="E394" s="103"/>
      <c r="F394" s="103"/>
      <c r="G394" s="103"/>
      <c r="H394" s="103"/>
      <c r="I394" s="103"/>
      <c r="T394" s="30" t="str">
        <f aca="false">IF(C394="","",IF(COUNTIFS(C$5:C394,C394,E$5:E394,E394)=1,1,0))</f>
        <v/>
      </c>
      <c r="U394" s="30" t="n">
        <f aca="false">IF(C394="",0,IF(AND(B394="brand",E394="budget_probe",N(F394)&gt;=Inputs!$C$124,H394="Y"),1,0))</f>
        <v>0</v>
      </c>
      <c r="V394" s="30" t="n">
        <f aca="false">IF(U394=1,IF(COUNTIFS(C$5:C394,C394,U$5:U394,1)=1,1,0),0)</f>
        <v>0</v>
      </c>
      <c r="W394" s="30" t="n">
        <f aca="false">IF(C394="",0,IF(AND(B394="office",E394="budget_probe",N(F394)&gt;=Inputs!$C$139),1,0))</f>
        <v>0</v>
      </c>
      <c r="X394" s="30" t="n">
        <f aca="false">IF(W394=1,IF(COUNTIFS(C$5:C394,C394,W$5:W394,1)=1,1,0),0)</f>
        <v>0</v>
      </c>
      <c r="Y394" s="30" t="n">
        <f aca="false">IF(C394="",0,IF(AND(B394="brand",E394="renewal_answer",TRIM(G394)="yes",N(F394)&gt;=Inputs!$C$135),1,0))</f>
        <v>0</v>
      </c>
      <c r="Z394" s="30" t="n">
        <f aca="false">IF(Y394=1,IF(COUNTIFS(C$5:C394,C394,Y$5:Y394,1)=1,1,0),0)</f>
        <v>0</v>
      </c>
      <c r="AA394" s="30" t="n">
        <f aca="false">IF(AND(E394="budget_probe",ISNUMBER(F394),I394&lt;&gt;Lists!$X$4),1,0)</f>
        <v>0</v>
      </c>
      <c r="AB394" s="30" t="str">
        <f aca="false">IF(AND(B394="office",AA394=1,COUNTIFS(C$5:C394,C394,AA$5:AA394,1)=1),F394,"")</f>
        <v/>
      </c>
      <c r="AC394" s="30" t="str">
        <f aca="false">IF(AND(B394="brand",AA394=1,COUNTIFS(C$5:C394,C394,AA$5:AA394,1)=1),F394,"")</f>
        <v/>
      </c>
      <c r="AD394" s="30" t="str">
        <f aca="false">IF(AND(B394="brand",E394="budget_probe",ISNUMBER(F394),I394=Lists!$X$4),IF(COUNTIFS(C$5:C394,C394,E$5:E394,"budget_probe",I$5:I394,Lists!$X$4)=1,F394,""),"")</f>
        <v/>
      </c>
      <c r="AE394" s="30" t="n">
        <f aca="false">IF(AND(B394="brand",E394="paid",ISNUMBER(F394)),IF(AND(SUMIFS(F$5:F394,B$5:B394,"brand",C$5:C394,C394,E$5:E394,"paid")&gt;=Inputs!$C$44,SUMIFS(F$5:F394,B$5:B394,"brand",C$5:C394,C394,E$5:E394,"paid")-F394&lt;Inputs!$C$44),1,0),0)</f>
        <v>0</v>
      </c>
    </row>
    <row r="395" customFormat="false" ht="15" hidden="false" customHeight="false" outlineLevel="0" collapsed="false">
      <c r="A395" s="102"/>
      <c r="B395" s="103"/>
      <c r="C395" s="103"/>
      <c r="D395" s="103"/>
      <c r="E395" s="103"/>
      <c r="F395" s="103"/>
      <c r="G395" s="103"/>
      <c r="H395" s="103"/>
      <c r="I395" s="103"/>
      <c r="T395" s="30" t="str">
        <f aca="false">IF(C395="","",IF(COUNTIFS(C$5:C395,C395,E$5:E395,E395)=1,1,0))</f>
        <v/>
      </c>
      <c r="U395" s="30" t="n">
        <f aca="false">IF(C395="",0,IF(AND(B395="brand",E395="budget_probe",N(F395)&gt;=Inputs!$C$124,H395="Y"),1,0))</f>
        <v>0</v>
      </c>
      <c r="V395" s="30" t="n">
        <f aca="false">IF(U395=1,IF(COUNTIFS(C$5:C395,C395,U$5:U395,1)=1,1,0),0)</f>
        <v>0</v>
      </c>
      <c r="W395" s="30" t="n">
        <f aca="false">IF(C395="",0,IF(AND(B395="office",E395="budget_probe",N(F395)&gt;=Inputs!$C$139),1,0))</f>
        <v>0</v>
      </c>
      <c r="X395" s="30" t="n">
        <f aca="false">IF(W395=1,IF(COUNTIFS(C$5:C395,C395,W$5:W395,1)=1,1,0),0)</f>
        <v>0</v>
      </c>
      <c r="Y395" s="30" t="n">
        <f aca="false">IF(C395="",0,IF(AND(B395="brand",E395="renewal_answer",TRIM(G395)="yes",N(F395)&gt;=Inputs!$C$135),1,0))</f>
        <v>0</v>
      </c>
      <c r="Z395" s="30" t="n">
        <f aca="false">IF(Y395=1,IF(COUNTIFS(C$5:C395,C395,Y$5:Y395,1)=1,1,0),0)</f>
        <v>0</v>
      </c>
      <c r="AA395" s="30" t="n">
        <f aca="false">IF(AND(E395="budget_probe",ISNUMBER(F395),I395&lt;&gt;Lists!$X$4),1,0)</f>
        <v>0</v>
      </c>
      <c r="AB395" s="30" t="str">
        <f aca="false">IF(AND(B395="office",AA395=1,COUNTIFS(C$5:C395,C395,AA$5:AA395,1)=1),F395,"")</f>
        <v/>
      </c>
      <c r="AC395" s="30" t="str">
        <f aca="false">IF(AND(B395="brand",AA395=1,COUNTIFS(C$5:C395,C395,AA$5:AA395,1)=1),F395,"")</f>
        <v/>
      </c>
      <c r="AD395" s="30" t="str">
        <f aca="false">IF(AND(B395="brand",E395="budget_probe",ISNUMBER(F395),I395=Lists!$X$4),IF(COUNTIFS(C$5:C395,C395,E$5:E395,"budget_probe",I$5:I395,Lists!$X$4)=1,F395,""),"")</f>
        <v/>
      </c>
      <c r="AE395" s="30" t="n">
        <f aca="false">IF(AND(B395="brand",E395="paid",ISNUMBER(F395)),IF(AND(SUMIFS(F$5:F395,B$5:B395,"brand",C$5:C395,C395,E$5:E395,"paid")&gt;=Inputs!$C$44,SUMIFS(F$5:F395,B$5:B395,"brand",C$5:C395,C395,E$5:E395,"paid")-F395&lt;Inputs!$C$44),1,0),0)</f>
        <v>0</v>
      </c>
    </row>
    <row r="396" customFormat="false" ht="15" hidden="false" customHeight="false" outlineLevel="0" collapsed="false">
      <c r="A396" s="102"/>
      <c r="B396" s="103"/>
      <c r="C396" s="103"/>
      <c r="D396" s="103"/>
      <c r="E396" s="103"/>
      <c r="F396" s="103"/>
      <c r="G396" s="103"/>
      <c r="H396" s="103"/>
      <c r="I396" s="103"/>
      <c r="T396" s="30" t="str">
        <f aca="false">IF(C396="","",IF(COUNTIFS(C$5:C396,C396,E$5:E396,E396)=1,1,0))</f>
        <v/>
      </c>
      <c r="U396" s="30" t="n">
        <f aca="false">IF(C396="",0,IF(AND(B396="brand",E396="budget_probe",N(F396)&gt;=Inputs!$C$124,H396="Y"),1,0))</f>
        <v>0</v>
      </c>
      <c r="V396" s="30" t="n">
        <f aca="false">IF(U396=1,IF(COUNTIFS(C$5:C396,C396,U$5:U396,1)=1,1,0),0)</f>
        <v>0</v>
      </c>
      <c r="W396" s="30" t="n">
        <f aca="false">IF(C396="",0,IF(AND(B396="office",E396="budget_probe",N(F396)&gt;=Inputs!$C$139),1,0))</f>
        <v>0</v>
      </c>
      <c r="X396" s="30" t="n">
        <f aca="false">IF(W396=1,IF(COUNTIFS(C$5:C396,C396,W$5:W396,1)=1,1,0),0)</f>
        <v>0</v>
      </c>
      <c r="Y396" s="30" t="n">
        <f aca="false">IF(C396="",0,IF(AND(B396="brand",E396="renewal_answer",TRIM(G396)="yes",N(F396)&gt;=Inputs!$C$135),1,0))</f>
        <v>0</v>
      </c>
      <c r="Z396" s="30" t="n">
        <f aca="false">IF(Y396=1,IF(COUNTIFS(C$5:C396,C396,Y$5:Y396,1)=1,1,0),0)</f>
        <v>0</v>
      </c>
      <c r="AA396" s="30" t="n">
        <f aca="false">IF(AND(E396="budget_probe",ISNUMBER(F396),I396&lt;&gt;Lists!$X$4),1,0)</f>
        <v>0</v>
      </c>
      <c r="AB396" s="30" t="str">
        <f aca="false">IF(AND(B396="office",AA396=1,COUNTIFS(C$5:C396,C396,AA$5:AA396,1)=1),F396,"")</f>
        <v/>
      </c>
      <c r="AC396" s="30" t="str">
        <f aca="false">IF(AND(B396="brand",AA396=1,COUNTIFS(C$5:C396,C396,AA$5:AA396,1)=1),F396,"")</f>
        <v/>
      </c>
      <c r="AD396" s="30" t="str">
        <f aca="false">IF(AND(B396="brand",E396="budget_probe",ISNUMBER(F396),I396=Lists!$X$4),IF(COUNTIFS(C$5:C396,C396,E$5:E396,"budget_probe",I$5:I396,Lists!$X$4)=1,F396,""),"")</f>
        <v/>
      </c>
      <c r="AE396" s="30" t="n">
        <f aca="false">IF(AND(B396="brand",E396="paid",ISNUMBER(F396)),IF(AND(SUMIFS(F$5:F396,B$5:B396,"brand",C$5:C396,C396,E$5:E396,"paid")&gt;=Inputs!$C$44,SUMIFS(F$5:F396,B$5:B396,"brand",C$5:C396,C396,E$5:E396,"paid")-F396&lt;Inputs!$C$44),1,0),0)</f>
        <v>0</v>
      </c>
    </row>
    <row r="397" customFormat="false" ht="15" hidden="false" customHeight="false" outlineLevel="0" collapsed="false">
      <c r="A397" s="102"/>
      <c r="B397" s="103"/>
      <c r="C397" s="103"/>
      <c r="D397" s="103"/>
      <c r="E397" s="103"/>
      <c r="F397" s="103"/>
      <c r="G397" s="103"/>
      <c r="H397" s="103"/>
      <c r="I397" s="103"/>
      <c r="T397" s="30" t="str">
        <f aca="false">IF(C397="","",IF(COUNTIFS(C$5:C397,C397,E$5:E397,E397)=1,1,0))</f>
        <v/>
      </c>
      <c r="U397" s="30" t="n">
        <f aca="false">IF(C397="",0,IF(AND(B397="brand",E397="budget_probe",N(F397)&gt;=Inputs!$C$124,H397="Y"),1,0))</f>
        <v>0</v>
      </c>
      <c r="V397" s="30" t="n">
        <f aca="false">IF(U397=1,IF(COUNTIFS(C$5:C397,C397,U$5:U397,1)=1,1,0),0)</f>
        <v>0</v>
      </c>
      <c r="W397" s="30" t="n">
        <f aca="false">IF(C397="",0,IF(AND(B397="office",E397="budget_probe",N(F397)&gt;=Inputs!$C$139),1,0))</f>
        <v>0</v>
      </c>
      <c r="X397" s="30" t="n">
        <f aca="false">IF(W397=1,IF(COUNTIFS(C$5:C397,C397,W$5:W397,1)=1,1,0),0)</f>
        <v>0</v>
      </c>
      <c r="Y397" s="30" t="n">
        <f aca="false">IF(C397="",0,IF(AND(B397="brand",E397="renewal_answer",TRIM(G397)="yes",N(F397)&gt;=Inputs!$C$135),1,0))</f>
        <v>0</v>
      </c>
      <c r="Z397" s="30" t="n">
        <f aca="false">IF(Y397=1,IF(COUNTIFS(C$5:C397,C397,Y$5:Y397,1)=1,1,0),0)</f>
        <v>0</v>
      </c>
      <c r="AA397" s="30" t="n">
        <f aca="false">IF(AND(E397="budget_probe",ISNUMBER(F397),I397&lt;&gt;Lists!$X$4),1,0)</f>
        <v>0</v>
      </c>
      <c r="AB397" s="30" t="str">
        <f aca="false">IF(AND(B397="office",AA397=1,COUNTIFS(C$5:C397,C397,AA$5:AA397,1)=1),F397,"")</f>
        <v/>
      </c>
      <c r="AC397" s="30" t="str">
        <f aca="false">IF(AND(B397="brand",AA397=1,COUNTIFS(C$5:C397,C397,AA$5:AA397,1)=1),F397,"")</f>
        <v/>
      </c>
      <c r="AD397" s="30" t="str">
        <f aca="false">IF(AND(B397="brand",E397="budget_probe",ISNUMBER(F397),I397=Lists!$X$4),IF(COUNTIFS(C$5:C397,C397,E$5:E397,"budget_probe",I$5:I397,Lists!$X$4)=1,F397,""),"")</f>
        <v/>
      </c>
      <c r="AE397" s="30" t="n">
        <f aca="false">IF(AND(B397="brand",E397="paid",ISNUMBER(F397)),IF(AND(SUMIFS(F$5:F397,B$5:B397,"brand",C$5:C397,C397,E$5:E397,"paid")&gt;=Inputs!$C$44,SUMIFS(F$5:F397,B$5:B397,"brand",C$5:C397,C397,E$5:E397,"paid")-F397&lt;Inputs!$C$44),1,0),0)</f>
        <v>0</v>
      </c>
    </row>
    <row r="398" customFormat="false" ht="15" hidden="false" customHeight="false" outlineLevel="0" collapsed="false">
      <c r="A398" s="102"/>
      <c r="B398" s="103"/>
      <c r="C398" s="103"/>
      <c r="D398" s="103"/>
      <c r="E398" s="103"/>
      <c r="F398" s="103"/>
      <c r="G398" s="103"/>
      <c r="H398" s="103"/>
      <c r="I398" s="103"/>
      <c r="T398" s="30" t="str">
        <f aca="false">IF(C398="","",IF(COUNTIFS(C$5:C398,C398,E$5:E398,E398)=1,1,0))</f>
        <v/>
      </c>
      <c r="U398" s="30" t="n">
        <f aca="false">IF(C398="",0,IF(AND(B398="brand",E398="budget_probe",N(F398)&gt;=Inputs!$C$124,H398="Y"),1,0))</f>
        <v>0</v>
      </c>
      <c r="V398" s="30" t="n">
        <f aca="false">IF(U398=1,IF(COUNTIFS(C$5:C398,C398,U$5:U398,1)=1,1,0),0)</f>
        <v>0</v>
      </c>
      <c r="W398" s="30" t="n">
        <f aca="false">IF(C398="",0,IF(AND(B398="office",E398="budget_probe",N(F398)&gt;=Inputs!$C$139),1,0))</f>
        <v>0</v>
      </c>
      <c r="X398" s="30" t="n">
        <f aca="false">IF(W398=1,IF(COUNTIFS(C$5:C398,C398,W$5:W398,1)=1,1,0),0)</f>
        <v>0</v>
      </c>
      <c r="Y398" s="30" t="n">
        <f aca="false">IF(C398="",0,IF(AND(B398="brand",E398="renewal_answer",TRIM(G398)="yes",N(F398)&gt;=Inputs!$C$135),1,0))</f>
        <v>0</v>
      </c>
      <c r="Z398" s="30" t="n">
        <f aca="false">IF(Y398=1,IF(COUNTIFS(C$5:C398,C398,Y$5:Y398,1)=1,1,0),0)</f>
        <v>0</v>
      </c>
      <c r="AA398" s="30" t="n">
        <f aca="false">IF(AND(E398="budget_probe",ISNUMBER(F398),I398&lt;&gt;Lists!$X$4),1,0)</f>
        <v>0</v>
      </c>
      <c r="AB398" s="30" t="str">
        <f aca="false">IF(AND(B398="office",AA398=1,COUNTIFS(C$5:C398,C398,AA$5:AA398,1)=1),F398,"")</f>
        <v/>
      </c>
      <c r="AC398" s="30" t="str">
        <f aca="false">IF(AND(B398="brand",AA398=1,COUNTIFS(C$5:C398,C398,AA$5:AA398,1)=1),F398,"")</f>
        <v/>
      </c>
      <c r="AD398" s="30" t="str">
        <f aca="false">IF(AND(B398="brand",E398="budget_probe",ISNUMBER(F398),I398=Lists!$X$4),IF(COUNTIFS(C$5:C398,C398,E$5:E398,"budget_probe",I$5:I398,Lists!$X$4)=1,F398,""),"")</f>
        <v/>
      </c>
      <c r="AE398" s="30" t="n">
        <f aca="false">IF(AND(B398="brand",E398="paid",ISNUMBER(F398)),IF(AND(SUMIFS(F$5:F398,B$5:B398,"brand",C$5:C398,C398,E$5:E398,"paid")&gt;=Inputs!$C$44,SUMIFS(F$5:F398,B$5:B398,"brand",C$5:C398,C398,E$5:E398,"paid")-F398&lt;Inputs!$C$44),1,0),0)</f>
        <v>0</v>
      </c>
    </row>
    <row r="399" customFormat="false" ht="15" hidden="false" customHeight="false" outlineLevel="0" collapsed="false">
      <c r="A399" s="102"/>
      <c r="B399" s="103"/>
      <c r="C399" s="103"/>
      <c r="D399" s="103"/>
      <c r="E399" s="103"/>
      <c r="F399" s="103"/>
      <c r="G399" s="103"/>
      <c r="H399" s="103"/>
      <c r="I399" s="103"/>
      <c r="T399" s="30" t="str">
        <f aca="false">IF(C399="","",IF(COUNTIFS(C$5:C399,C399,E$5:E399,E399)=1,1,0))</f>
        <v/>
      </c>
      <c r="U399" s="30" t="n">
        <f aca="false">IF(C399="",0,IF(AND(B399="brand",E399="budget_probe",N(F399)&gt;=Inputs!$C$124,H399="Y"),1,0))</f>
        <v>0</v>
      </c>
      <c r="V399" s="30" t="n">
        <f aca="false">IF(U399=1,IF(COUNTIFS(C$5:C399,C399,U$5:U399,1)=1,1,0),0)</f>
        <v>0</v>
      </c>
      <c r="W399" s="30" t="n">
        <f aca="false">IF(C399="",0,IF(AND(B399="office",E399="budget_probe",N(F399)&gt;=Inputs!$C$139),1,0))</f>
        <v>0</v>
      </c>
      <c r="X399" s="30" t="n">
        <f aca="false">IF(W399=1,IF(COUNTIFS(C$5:C399,C399,W$5:W399,1)=1,1,0),0)</f>
        <v>0</v>
      </c>
      <c r="Y399" s="30" t="n">
        <f aca="false">IF(C399="",0,IF(AND(B399="brand",E399="renewal_answer",TRIM(G399)="yes",N(F399)&gt;=Inputs!$C$135),1,0))</f>
        <v>0</v>
      </c>
      <c r="Z399" s="30" t="n">
        <f aca="false">IF(Y399=1,IF(COUNTIFS(C$5:C399,C399,Y$5:Y399,1)=1,1,0),0)</f>
        <v>0</v>
      </c>
      <c r="AA399" s="30" t="n">
        <f aca="false">IF(AND(E399="budget_probe",ISNUMBER(F399),I399&lt;&gt;Lists!$X$4),1,0)</f>
        <v>0</v>
      </c>
      <c r="AB399" s="30" t="str">
        <f aca="false">IF(AND(B399="office",AA399=1,COUNTIFS(C$5:C399,C399,AA$5:AA399,1)=1),F399,"")</f>
        <v/>
      </c>
      <c r="AC399" s="30" t="str">
        <f aca="false">IF(AND(B399="brand",AA399=1,COUNTIFS(C$5:C399,C399,AA$5:AA399,1)=1),F399,"")</f>
        <v/>
      </c>
      <c r="AD399" s="30" t="str">
        <f aca="false">IF(AND(B399="brand",E399="budget_probe",ISNUMBER(F399),I399=Lists!$X$4),IF(COUNTIFS(C$5:C399,C399,E$5:E399,"budget_probe",I$5:I399,Lists!$X$4)=1,F399,""),"")</f>
        <v/>
      </c>
      <c r="AE399" s="30" t="n">
        <f aca="false">IF(AND(B399="brand",E399="paid",ISNUMBER(F399)),IF(AND(SUMIFS(F$5:F399,B$5:B399,"brand",C$5:C399,C399,E$5:E399,"paid")&gt;=Inputs!$C$44,SUMIFS(F$5:F399,B$5:B399,"brand",C$5:C399,C399,E$5:E399,"paid")-F399&lt;Inputs!$C$44),1,0),0)</f>
        <v>0</v>
      </c>
    </row>
    <row r="400" customFormat="false" ht="15" hidden="false" customHeight="false" outlineLevel="0" collapsed="false">
      <c r="A400" s="102"/>
      <c r="B400" s="103"/>
      <c r="C400" s="103"/>
      <c r="D400" s="103"/>
      <c r="E400" s="103"/>
      <c r="F400" s="103"/>
      <c r="G400" s="103"/>
      <c r="H400" s="103"/>
      <c r="I400" s="103"/>
      <c r="T400" s="30" t="str">
        <f aca="false">IF(C400="","",IF(COUNTIFS(C$5:C400,C400,E$5:E400,E400)=1,1,0))</f>
        <v/>
      </c>
      <c r="U400" s="30" t="n">
        <f aca="false">IF(C400="",0,IF(AND(B400="brand",E400="budget_probe",N(F400)&gt;=Inputs!$C$124,H400="Y"),1,0))</f>
        <v>0</v>
      </c>
      <c r="V400" s="30" t="n">
        <f aca="false">IF(U400=1,IF(COUNTIFS(C$5:C400,C400,U$5:U400,1)=1,1,0),0)</f>
        <v>0</v>
      </c>
      <c r="W400" s="30" t="n">
        <f aca="false">IF(C400="",0,IF(AND(B400="office",E400="budget_probe",N(F400)&gt;=Inputs!$C$139),1,0))</f>
        <v>0</v>
      </c>
      <c r="X400" s="30" t="n">
        <f aca="false">IF(W400=1,IF(COUNTIFS(C$5:C400,C400,W$5:W400,1)=1,1,0),0)</f>
        <v>0</v>
      </c>
      <c r="Y400" s="30" t="n">
        <f aca="false">IF(C400="",0,IF(AND(B400="brand",E400="renewal_answer",TRIM(G400)="yes",N(F400)&gt;=Inputs!$C$135),1,0))</f>
        <v>0</v>
      </c>
      <c r="Z400" s="30" t="n">
        <f aca="false">IF(Y400=1,IF(COUNTIFS(C$5:C400,C400,Y$5:Y400,1)=1,1,0),0)</f>
        <v>0</v>
      </c>
      <c r="AA400" s="30" t="n">
        <f aca="false">IF(AND(E400="budget_probe",ISNUMBER(F400),I400&lt;&gt;Lists!$X$4),1,0)</f>
        <v>0</v>
      </c>
      <c r="AB400" s="30" t="str">
        <f aca="false">IF(AND(B400="office",AA400=1,COUNTIFS(C$5:C400,C400,AA$5:AA400,1)=1),F400,"")</f>
        <v/>
      </c>
      <c r="AC400" s="30" t="str">
        <f aca="false">IF(AND(B400="brand",AA400=1,COUNTIFS(C$5:C400,C400,AA$5:AA400,1)=1),F400,"")</f>
        <v/>
      </c>
      <c r="AD400" s="30" t="str">
        <f aca="false">IF(AND(B400="brand",E400="budget_probe",ISNUMBER(F400),I400=Lists!$X$4),IF(COUNTIFS(C$5:C400,C400,E$5:E400,"budget_probe",I$5:I400,Lists!$X$4)=1,F400,""),"")</f>
        <v/>
      </c>
      <c r="AE400" s="30" t="n">
        <f aca="false">IF(AND(B400="brand",E400="paid",ISNUMBER(F400)),IF(AND(SUMIFS(F$5:F400,B$5:B400,"brand",C$5:C400,C400,E$5:E400,"paid")&gt;=Inputs!$C$44,SUMIFS(F$5:F400,B$5:B400,"brand",C$5:C400,C400,E$5:E400,"paid")-F400&lt;Inputs!$C$44),1,0),0)</f>
        <v>0</v>
      </c>
    </row>
    <row r="401" customFormat="false" ht="15" hidden="false" customHeight="false" outlineLevel="0" collapsed="false">
      <c r="A401" s="102"/>
      <c r="B401" s="103"/>
      <c r="C401" s="103"/>
      <c r="D401" s="103"/>
      <c r="E401" s="103"/>
      <c r="F401" s="103"/>
      <c r="G401" s="103"/>
      <c r="H401" s="103"/>
      <c r="I401" s="103"/>
      <c r="T401" s="30" t="str">
        <f aca="false">IF(C401="","",IF(COUNTIFS(C$5:C401,C401,E$5:E401,E401)=1,1,0))</f>
        <v/>
      </c>
      <c r="U401" s="30" t="n">
        <f aca="false">IF(C401="",0,IF(AND(B401="brand",E401="budget_probe",N(F401)&gt;=Inputs!$C$124,H401="Y"),1,0))</f>
        <v>0</v>
      </c>
      <c r="V401" s="30" t="n">
        <f aca="false">IF(U401=1,IF(COUNTIFS(C$5:C401,C401,U$5:U401,1)=1,1,0),0)</f>
        <v>0</v>
      </c>
      <c r="W401" s="30" t="n">
        <f aca="false">IF(C401="",0,IF(AND(B401="office",E401="budget_probe",N(F401)&gt;=Inputs!$C$139),1,0))</f>
        <v>0</v>
      </c>
      <c r="X401" s="30" t="n">
        <f aca="false">IF(W401=1,IF(COUNTIFS(C$5:C401,C401,W$5:W401,1)=1,1,0),0)</f>
        <v>0</v>
      </c>
      <c r="Y401" s="30" t="n">
        <f aca="false">IF(C401="",0,IF(AND(B401="brand",E401="renewal_answer",TRIM(G401)="yes",N(F401)&gt;=Inputs!$C$135),1,0))</f>
        <v>0</v>
      </c>
      <c r="Z401" s="30" t="n">
        <f aca="false">IF(Y401=1,IF(COUNTIFS(C$5:C401,C401,Y$5:Y401,1)=1,1,0),0)</f>
        <v>0</v>
      </c>
      <c r="AA401" s="30" t="n">
        <f aca="false">IF(AND(E401="budget_probe",ISNUMBER(F401),I401&lt;&gt;Lists!$X$4),1,0)</f>
        <v>0</v>
      </c>
      <c r="AB401" s="30" t="str">
        <f aca="false">IF(AND(B401="office",AA401=1,COUNTIFS(C$5:C401,C401,AA$5:AA401,1)=1),F401,"")</f>
        <v/>
      </c>
      <c r="AC401" s="30" t="str">
        <f aca="false">IF(AND(B401="brand",AA401=1,COUNTIFS(C$5:C401,C401,AA$5:AA401,1)=1),F401,"")</f>
        <v/>
      </c>
      <c r="AD401" s="30" t="str">
        <f aca="false">IF(AND(B401="brand",E401="budget_probe",ISNUMBER(F401),I401=Lists!$X$4),IF(COUNTIFS(C$5:C401,C401,E$5:E401,"budget_probe",I$5:I401,Lists!$X$4)=1,F401,""),"")</f>
        <v/>
      </c>
      <c r="AE401" s="30" t="n">
        <f aca="false">IF(AND(B401="brand",E401="paid",ISNUMBER(F401)),IF(AND(SUMIFS(F$5:F401,B$5:B401,"brand",C$5:C401,C401,E$5:E401,"paid")&gt;=Inputs!$C$44,SUMIFS(F$5:F401,B$5:B401,"brand",C$5:C401,C401,E$5:E401,"paid")-F401&lt;Inputs!$C$44),1,0),0)</f>
        <v>0</v>
      </c>
    </row>
    <row r="402" customFormat="false" ht="15" hidden="false" customHeight="false" outlineLevel="0" collapsed="false">
      <c r="A402" s="102"/>
      <c r="B402" s="103"/>
      <c r="C402" s="103"/>
      <c r="D402" s="103"/>
      <c r="E402" s="103"/>
      <c r="F402" s="103"/>
      <c r="G402" s="103"/>
      <c r="H402" s="103"/>
      <c r="I402" s="103"/>
      <c r="T402" s="30" t="str">
        <f aca="false">IF(C402="","",IF(COUNTIFS(C$5:C402,C402,E$5:E402,E402)=1,1,0))</f>
        <v/>
      </c>
      <c r="U402" s="30" t="n">
        <f aca="false">IF(C402="",0,IF(AND(B402="brand",E402="budget_probe",N(F402)&gt;=Inputs!$C$124,H402="Y"),1,0))</f>
        <v>0</v>
      </c>
      <c r="V402" s="30" t="n">
        <f aca="false">IF(U402=1,IF(COUNTIFS(C$5:C402,C402,U$5:U402,1)=1,1,0),0)</f>
        <v>0</v>
      </c>
      <c r="W402" s="30" t="n">
        <f aca="false">IF(C402="",0,IF(AND(B402="office",E402="budget_probe",N(F402)&gt;=Inputs!$C$139),1,0))</f>
        <v>0</v>
      </c>
      <c r="X402" s="30" t="n">
        <f aca="false">IF(W402=1,IF(COUNTIFS(C$5:C402,C402,W$5:W402,1)=1,1,0),0)</f>
        <v>0</v>
      </c>
      <c r="Y402" s="30" t="n">
        <f aca="false">IF(C402="",0,IF(AND(B402="brand",E402="renewal_answer",TRIM(G402)="yes",N(F402)&gt;=Inputs!$C$135),1,0))</f>
        <v>0</v>
      </c>
      <c r="Z402" s="30" t="n">
        <f aca="false">IF(Y402=1,IF(COUNTIFS(C$5:C402,C402,Y$5:Y402,1)=1,1,0),0)</f>
        <v>0</v>
      </c>
      <c r="AA402" s="30" t="n">
        <f aca="false">IF(AND(E402="budget_probe",ISNUMBER(F402),I402&lt;&gt;Lists!$X$4),1,0)</f>
        <v>0</v>
      </c>
      <c r="AB402" s="30" t="str">
        <f aca="false">IF(AND(B402="office",AA402=1,COUNTIFS(C$5:C402,C402,AA$5:AA402,1)=1),F402,"")</f>
        <v/>
      </c>
      <c r="AC402" s="30" t="str">
        <f aca="false">IF(AND(B402="brand",AA402=1,COUNTIFS(C$5:C402,C402,AA$5:AA402,1)=1),F402,"")</f>
        <v/>
      </c>
      <c r="AD402" s="30" t="str">
        <f aca="false">IF(AND(B402="brand",E402="budget_probe",ISNUMBER(F402),I402=Lists!$X$4),IF(COUNTIFS(C$5:C402,C402,E$5:E402,"budget_probe",I$5:I402,Lists!$X$4)=1,F402,""),"")</f>
        <v/>
      </c>
      <c r="AE402" s="30" t="n">
        <f aca="false">IF(AND(B402="brand",E402="paid",ISNUMBER(F402)),IF(AND(SUMIFS(F$5:F402,B$5:B402,"brand",C$5:C402,C402,E$5:E402,"paid")&gt;=Inputs!$C$44,SUMIFS(F$5:F402,B$5:B402,"brand",C$5:C402,C402,E$5:E402,"paid")-F402&lt;Inputs!$C$44),1,0),0)</f>
        <v>0</v>
      </c>
    </row>
    <row r="403" customFormat="false" ht="15" hidden="false" customHeight="false" outlineLevel="0" collapsed="false">
      <c r="A403" s="102"/>
      <c r="B403" s="103"/>
      <c r="C403" s="103"/>
      <c r="D403" s="103"/>
      <c r="E403" s="103"/>
      <c r="F403" s="103"/>
      <c r="G403" s="103"/>
      <c r="H403" s="103"/>
      <c r="I403" s="103"/>
      <c r="T403" s="30" t="str">
        <f aca="false">IF(C403="","",IF(COUNTIFS(C$5:C403,C403,E$5:E403,E403)=1,1,0))</f>
        <v/>
      </c>
      <c r="U403" s="30" t="n">
        <f aca="false">IF(C403="",0,IF(AND(B403="brand",E403="budget_probe",N(F403)&gt;=Inputs!$C$124,H403="Y"),1,0))</f>
        <v>0</v>
      </c>
      <c r="V403" s="30" t="n">
        <f aca="false">IF(U403=1,IF(COUNTIFS(C$5:C403,C403,U$5:U403,1)=1,1,0),0)</f>
        <v>0</v>
      </c>
      <c r="W403" s="30" t="n">
        <f aca="false">IF(C403="",0,IF(AND(B403="office",E403="budget_probe",N(F403)&gt;=Inputs!$C$139),1,0))</f>
        <v>0</v>
      </c>
      <c r="X403" s="30" t="n">
        <f aca="false">IF(W403=1,IF(COUNTIFS(C$5:C403,C403,W$5:W403,1)=1,1,0),0)</f>
        <v>0</v>
      </c>
      <c r="Y403" s="30" t="n">
        <f aca="false">IF(C403="",0,IF(AND(B403="brand",E403="renewal_answer",TRIM(G403)="yes",N(F403)&gt;=Inputs!$C$135),1,0))</f>
        <v>0</v>
      </c>
      <c r="Z403" s="30" t="n">
        <f aca="false">IF(Y403=1,IF(COUNTIFS(C$5:C403,C403,Y$5:Y403,1)=1,1,0),0)</f>
        <v>0</v>
      </c>
      <c r="AA403" s="30" t="n">
        <f aca="false">IF(AND(E403="budget_probe",ISNUMBER(F403),I403&lt;&gt;Lists!$X$4),1,0)</f>
        <v>0</v>
      </c>
      <c r="AB403" s="30" t="str">
        <f aca="false">IF(AND(B403="office",AA403=1,COUNTIFS(C$5:C403,C403,AA$5:AA403,1)=1),F403,"")</f>
        <v/>
      </c>
      <c r="AC403" s="30" t="str">
        <f aca="false">IF(AND(B403="brand",AA403=1,COUNTIFS(C$5:C403,C403,AA$5:AA403,1)=1),F403,"")</f>
        <v/>
      </c>
      <c r="AD403" s="30" t="str">
        <f aca="false">IF(AND(B403="brand",E403="budget_probe",ISNUMBER(F403),I403=Lists!$X$4),IF(COUNTIFS(C$5:C403,C403,E$5:E403,"budget_probe",I$5:I403,Lists!$X$4)=1,F403,""),"")</f>
        <v/>
      </c>
      <c r="AE403" s="30" t="n">
        <f aca="false">IF(AND(B403="brand",E403="paid",ISNUMBER(F403)),IF(AND(SUMIFS(F$5:F403,B$5:B403,"brand",C$5:C403,C403,E$5:E403,"paid")&gt;=Inputs!$C$44,SUMIFS(F$5:F403,B$5:B403,"brand",C$5:C403,C403,E$5:E403,"paid")-F403&lt;Inputs!$C$44),1,0),0)</f>
        <v>0</v>
      </c>
    </row>
    <row r="404" customFormat="false" ht="15" hidden="false" customHeight="false" outlineLevel="0" collapsed="false">
      <c r="A404" s="102"/>
      <c r="B404" s="103"/>
      <c r="C404" s="103"/>
      <c r="D404" s="103"/>
      <c r="E404" s="103"/>
      <c r="F404" s="103"/>
      <c r="G404" s="103"/>
      <c r="H404" s="103"/>
      <c r="I404" s="103"/>
      <c r="T404" s="30" t="str">
        <f aca="false">IF(C404="","",IF(COUNTIFS(C$5:C404,C404,E$5:E404,E404)=1,1,0))</f>
        <v/>
      </c>
      <c r="U404" s="30" t="n">
        <f aca="false">IF(C404="",0,IF(AND(B404="brand",E404="budget_probe",N(F404)&gt;=Inputs!$C$124,H404="Y"),1,0))</f>
        <v>0</v>
      </c>
      <c r="V404" s="30" t="n">
        <f aca="false">IF(U404=1,IF(COUNTIFS(C$5:C404,C404,U$5:U404,1)=1,1,0),0)</f>
        <v>0</v>
      </c>
      <c r="W404" s="30" t="n">
        <f aca="false">IF(C404="",0,IF(AND(B404="office",E404="budget_probe",N(F404)&gt;=Inputs!$C$139),1,0))</f>
        <v>0</v>
      </c>
      <c r="X404" s="30" t="n">
        <f aca="false">IF(W404=1,IF(COUNTIFS(C$5:C404,C404,W$5:W404,1)=1,1,0),0)</f>
        <v>0</v>
      </c>
      <c r="Y404" s="30" t="n">
        <f aca="false">IF(C404="",0,IF(AND(B404="brand",E404="renewal_answer",TRIM(G404)="yes",N(F404)&gt;=Inputs!$C$135),1,0))</f>
        <v>0</v>
      </c>
      <c r="Z404" s="30" t="n">
        <f aca="false">IF(Y404=1,IF(COUNTIFS(C$5:C404,C404,Y$5:Y404,1)=1,1,0),0)</f>
        <v>0</v>
      </c>
      <c r="AA404" s="30" t="n">
        <f aca="false">IF(AND(E404="budget_probe",ISNUMBER(F404),I404&lt;&gt;Lists!$X$4),1,0)</f>
        <v>0</v>
      </c>
      <c r="AB404" s="30" t="str">
        <f aca="false">IF(AND(B404="office",AA404=1,COUNTIFS(C$5:C404,C404,AA$5:AA404,1)=1),F404,"")</f>
        <v/>
      </c>
      <c r="AC404" s="30" t="str">
        <f aca="false">IF(AND(B404="brand",AA404=1,COUNTIFS(C$5:C404,C404,AA$5:AA404,1)=1),F404,"")</f>
        <v/>
      </c>
      <c r="AD404" s="30" t="str">
        <f aca="false">IF(AND(B404="brand",E404="budget_probe",ISNUMBER(F404),I404=Lists!$X$4),IF(COUNTIFS(C$5:C404,C404,E$5:E404,"budget_probe",I$5:I404,Lists!$X$4)=1,F404,""),"")</f>
        <v/>
      </c>
      <c r="AE404" s="30" t="n">
        <f aca="false">IF(AND(B404="brand",E404="paid",ISNUMBER(F404)),IF(AND(SUMIFS(F$5:F404,B$5:B404,"brand",C$5:C404,C404,E$5:E404,"paid")&gt;=Inputs!$C$44,SUMIFS(F$5:F404,B$5:B404,"brand",C$5:C404,C404,E$5:E404,"paid")-F404&lt;Inputs!$C$44),1,0),0)</f>
        <v>0</v>
      </c>
    </row>
    <row r="405" customFormat="false" ht="15" hidden="false" customHeight="false" outlineLevel="0" collapsed="false">
      <c r="A405" s="102"/>
      <c r="B405" s="103"/>
      <c r="C405" s="103"/>
      <c r="D405" s="103"/>
      <c r="E405" s="103"/>
      <c r="F405" s="103"/>
      <c r="G405" s="103"/>
      <c r="H405" s="103"/>
      <c r="I405" s="103"/>
      <c r="T405" s="30" t="str">
        <f aca="false">IF(C405="","",IF(COUNTIFS(C$5:C405,C405,E$5:E405,E405)=1,1,0))</f>
        <v/>
      </c>
      <c r="U405" s="30" t="n">
        <f aca="false">IF(C405="",0,IF(AND(B405="brand",E405="budget_probe",N(F405)&gt;=Inputs!$C$124,H405="Y"),1,0))</f>
        <v>0</v>
      </c>
      <c r="V405" s="30" t="n">
        <f aca="false">IF(U405=1,IF(COUNTIFS(C$5:C405,C405,U$5:U405,1)=1,1,0),0)</f>
        <v>0</v>
      </c>
      <c r="W405" s="30" t="n">
        <f aca="false">IF(C405="",0,IF(AND(B405="office",E405="budget_probe",N(F405)&gt;=Inputs!$C$139),1,0))</f>
        <v>0</v>
      </c>
      <c r="X405" s="30" t="n">
        <f aca="false">IF(W405=1,IF(COUNTIFS(C$5:C405,C405,W$5:W405,1)=1,1,0),0)</f>
        <v>0</v>
      </c>
      <c r="Y405" s="30" t="n">
        <f aca="false">IF(C405="",0,IF(AND(B405="brand",E405="renewal_answer",TRIM(G405)="yes",N(F405)&gt;=Inputs!$C$135),1,0))</f>
        <v>0</v>
      </c>
      <c r="Z405" s="30" t="n">
        <f aca="false">IF(Y405=1,IF(COUNTIFS(C$5:C405,C405,Y$5:Y405,1)=1,1,0),0)</f>
        <v>0</v>
      </c>
      <c r="AA405" s="30" t="n">
        <f aca="false">IF(AND(E405="budget_probe",ISNUMBER(F405),I405&lt;&gt;Lists!$X$4),1,0)</f>
        <v>0</v>
      </c>
      <c r="AB405" s="30" t="str">
        <f aca="false">IF(AND(B405="office",AA405=1,COUNTIFS(C$5:C405,C405,AA$5:AA405,1)=1),F405,"")</f>
        <v/>
      </c>
      <c r="AC405" s="30" t="str">
        <f aca="false">IF(AND(B405="brand",AA405=1,COUNTIFS(C$5:C405,C405,AA$5:AA405,1)=1),F405,"")</f>
        <v/>
      </c>
      <c r="AD405" s="30" t="str">
        <f aca="false">IF(AND(B405="brand",E405="budget_probe",ISNUMBER(F405),I405=Lists!$X$4),IF(COUNTIFS(C$5:C405,C405,E$5:E405,"budget_probe",I$5:I405,Lists!$X$4)=1,F405,""),"")</f>
        <v/>
      </c>
      <c r="AE405" s="30" t="n">
        <f aca="false">IF(AND(B405="brand",E405="paid",ISNUMBER(F405)),IF(AND(SUMIFS(F$5:F405,B$5:B405,"brand",C$5:C405,C405,E$5:E405,"paid")&gt;=Inputs!$C$44,SUMIFS(F$5:F405,B$5:B405,"brand",C$5:C405,C405,E$5:E405,"paid")-F405&lt;Inputs!$C$44),1,0),0)</f>
        <v>0</v>
      </c>
    </row>
    <row r="406" customFormat="false" ht="15" hidden="false" customHeight="false" outlineLevel="0" collapsed="false">
      <c r="A406" s="102"/>
      <c r="B406" s="103"/>
      <c r="C406" s="103"/>
      <c r="D406" s="103"/>
      <c r="E406" s="103"/>
      <c r="F406" s="103"/>
      <c r="G406" s="103"/>
      <c r="H406" s="103"/>
      <c r="I406" s="103"/>
      <c r="T406" s="30" t="str">
        <f aca="false">IF(C406="","",IF(COUNTIFS(C$5:C406,C406,E$5:E406,E406)=1,1,0))</f>
        <v/>
      </c>
      <c r="U406" s="30" t="n">
        <f aca="false">IF(C406="",0,IF(AND(B406="brand",E406="budget_probe",N(F406)&gt;=Inputs!$C$124,H406="Y"),1,0))</f>
        <v>0</v>
      </c>
      <c r="V406" s="30" t="n">
        <f aca="false">IF(U406=1,IF(COUNTIFS(C$5:C406,C406,U$5:U406,1)=1,1,0),0)</f>
        <v>0</v>
      </c>
      <c r="W406" s="30" t="n">
        <f aca="false">IF(C406="",0,IF(AND(B406="office",E406="budget_probe",N(F406)&gt;=Inputs!$C$139),1,0))</f>
        <v>0</v>
      </c>
      <c r="X406" s="30" t="n">
        <f aca="false">IF(W406=1,IF(COUNTIFS(C$5:C406,C406,W$5:W406,1)=1,1,0),0)</f>
        <v>0</v>
      </c>
      <c r="Y406" s="30" t="n">
        <f aca="false">IF(C406="",0,IF(AND(B406="brand",E406="renewal_answer",TRIM(G406)="yes",N(F406)&gt;=Inputs!$C$135),1,0))</f>
        <v>0</v>
      </c>
      <c r="Z406" s="30" t="n">
        <f aca="false">IF(Y406=1,IF(COUNTIFS(C$5:C406,C406,Y$5:Y406,1)=1,1,0),0)</f>
        <v>0</v>
      </c>
      <c r="AA406" s="30" t="n">
        <f aca="false">IF(AND(E406="budget_probe",ISNUMBER(F406),I406&lt;&gt;Lists!$X$4),1,0)</f>
        <v>0</v>
      </c>
      <c r="AB406" s="30" t="str">
        <f aca="false">IF(AND(B406="office",AA406=1,COUNTIFS(C$5:C406,C406,AA$5:AA406,1)=1),F406,"")</f>
        <v/>
      </c>
      <c r="AC406" s="30" t="str">
        <f aca="false">IF(AND(B406="brand",AA406=1,COUNTIFS(C$5:C406,C406,AA$5:AA406,1)=1),F406,"")</f>
        <v/>
      </c>
      <c r="AD406" s="30" t="str">
        <f aca="false">IF(AND(B406="brand",E406="budget_probe",ISNUMBER(F406),I406=Lists!$X$4),IF(COUNTIFS(C$5:C406,C406,E$5:E406,"budget_probe",I$5:I406,Lists!$X$4)=1,F406,""),"")</f>
        <v/>
      </c>
      <c r="AE406" s="30" t="n">
        <f aca="false">IF(AND(B406="brand",E406="paid",ISNUMBER(F406)),IF(AND(SUMIFS(F$5:F406,B$5:B406,"brand",C$5:C406,C406,E$5:E406,"paid")&gt;=Inputs!$C$44,SUMIFS(F$5:F406,B$5:B406,"brand",C$5:C406,C406,E$5:E406,"paid")-F406&lt;Inputs!$C$44),1,0),0)</f>
        <v>0</v>
      </c>
    </row>
    <row r="407" customFormat="false" ht="15" hidden="false" customHeight="false" outlineLevel="0" collapsed="false">
      <c r="A407" s="102"/>
      <c r="B407" s="103"/>
      <c r="C407" s="103"/>
      <c r="D407" s="103"/>
      <c r="E407" s="103"/>
      <c r="F407" s="103"/>
      <c r="G407" s="103"/>
      <c r="H407" s="103"/>
      <c r="I407" s="103"/>
      <c r="T407" s="30" t="str">
        <f aca="false">IF(C407="","",IF(COUNTIFS(C$5:C407,C407,E$5:E407,E407)=1,1,0))</f>
        <v/>
      </c>
      <c r="U407" s="30" t="n">
        <f aca="false">IF(C407="",0,IF(AND(B407="brand",E407="budget_probe",N(F407)&gt;=Inputs!$C$124,H407="Y"),1,0))</f>
        <v>0</v>
      </c>
      <c r="V407" s="30" t="n">
        <f aca="false">IF(U407=1,IF(COUNTIFS(C$5:C407,C407,U$5:U407,1)=1,1,0),0)</f>
        <v>0</v>
      </c>
      <c r="W407" s="30" t="n">
        <f aca="false">IF(C407="",0,IF(AND(B407="office",E407="budget_probe",N(F407)&gt;=Inputs!$C$139),1,0))</f>
        <v>0</v>
      </c>
      <c r="X407" s="30" t="n">
        <f aca="false">IF(W407=1,IF(COUNTIFS(C$5:C407,C407,W$5:W407,1)=1,1,0),0)</f>
        <v>0</v>
      </c>
      <c r="Y407" s="30" t="n">
        <f aca="false">IF(C407="",0,IF(AND(B407="brand",E407="renewal_answer",TRIM(G407)="yes",N(F407)&gt;=Inputs!$C$135),1,0))</f>
        <v>0</v>
      </c>
      <c r="Z407" s="30" t="n">
        <f aca="false">IF(Y407=1,IF(COUNTIFS(C$5:C407,C407,Y$5:Y407,1)=1,1,0),0)</f>
        <v>0</v>
      </c>
      <c r="AA407" s="30" t="n">
        <f aca="false">IF(AND(E407="budget_probe",ISNUMBER(F407),I407&lt;&gt;Lists!$X$4),1,0)</f>
        <v>0</v>
      </c>
      <c r="AB407" s="30" t="str">
        <f aca="false">IF(AND(B407="office",AA407=1,COUNTIFS(C$5:C407,C407,AA$5:AA407,1)=1),F407,"")</f>
        <v/>
      </c>
      <c r="AC407" s="30" t="str">
        <f aca="false">IF(AND(B407="brand",AA407=1,COUNTIFS(C$5:C407,C407,AA$5:AA407,1)=1),F407,"")</f>
        <v/>
      </c>
      <c r="AD407" s="30" t="str">
        <f aca="false">IF(AND(B407="brand",E407="budget_probe",ISNUMBER(F407),I407=Lists!$X$4),IF(COUNTIFS(C$5:C407,C407,E$5:E407,"budget_probe",I$5:I407,Lists!$X$4)=1,F407,""),"")</f>
        <v/>
      </c>
      <c r="AE407" s="30" t="n">
        <f aca="false">IF(AND(B407="brand",E407="paid",ISNUMBER(F407)),IF(AND(SUMIFS(F$5:F407,B$5:B407,"brand",C$5:C407,C407,E$5:E407,"paid")&gt;=Inputs!$C$44,SUMIFS(F$5:F407,B$5:B407,"brand",C$5:C407,C407,E$5:E407,"paid")-F407&lt;Inputs!$C$44),1,0),0)</f>
        <v>0</v>
      </c>
    </row>
    <row r="408" customFormat="false" ht="15" hidden="false" customHeight="false" outlineLevel="0" collapsed="false">
      <c r="A408" s="102"/>
      <c r="B408" s="103"/>
      <c r="C408" s="103"/>
      <c r="D408" s="103"/>
      <c r="E408" s="103"/>
      <c r="F408" s="103"/>
      <c r="G408" s="103"/>
      <c r="H408" s="103"/>
      <c r="I408" s="103"/>
      <c r="T408" s="30" t="str">
        <f aca="false">IF(C408="","",IF(COUNTIFS(C$5:C408,C408,E$5:E408,E408)=1,1,0))</f>
        <v/>
      </c>
      <c r="U408" s="30" t="n">
        <f aca="false">IF(C408="",0,IF(AND(B408="brand",E408="budget_probe",N(F408)&gt;=Inputs!$C$124,H408="Y"),1,0))</f>
        <v>0</v>
      </c>
      <c r="V408" s="30" t="n">
        <f aca="false">IF(U408=1,IF(COUNTIFS(C$5:C408,C408,U$5:U408,1)=1,1,0),0)</f>
        <v>0</v>
      </c>
      <c r="W408" s="30" t="n">
        <f aca="false">IF(C408="",0,IF(AND(B408="office",E408="budget_probe",N(F408)&gt;=Inputs!$C$139),1,0))</f>
        <v>0</v>
      </c>
      <c r="X408" s="30" t="n">
        <f aca="false">IF(W408=1,IF(COUNTIFS(C$5:C408,C408,W$5:W408,1)=1,1,0),0)</f>
        <v>0</v>
      </c>
      <c r="Y408" s="30" t="n">
        <f aca="false">IF(C408="",0,IF(AND(B408="brand",E408="renewal_answer",TRIM(G408)="yes",N(F408)&gt;=Inputs!$C$135),1,0))</f>
        <v>0</v>
      </c>
      <c r="Z408" s="30" t="n">
        <f aca="false">IF(Y408=1,IF(COUNTIFS(C$5:C408,C408,Y$5:Y408,1)=1,1,0),0)</f>
        <v>0</v>
      </c>
      <c r="AA408" s="30" t="n">
        <f aca="false">IF(AND(E408="budget_probe",ISNUMBER(F408),I408&lt;&gt;Lists!$X$4),1,0)</f>
        <v>0</v>
      </c>
      <c r="AB408" s="30" t="str">
        <f aca="false">IF(AND(B408="office",AA408=1,COUNTIFS(C$5:C408,C408,AA$5:AA408,1)=1),F408,"")</f>
        <v/>
      </c>
      <c r="AC408" s="30" t="str">
        <f aca="false">IF(AND(B408="brand",AA408=1,COUNTIFS(C$5:C408,C408,AA$5:AA408,1)=1),F408,"")</f>
        <v/>
      </c>
      <c r="AD408" s="30" t="str">
        <f aca="false">IF(AND(B408="brand",E408="budget_probe",ISNUMBER(F408),I408=Lists!$X$4),IF(COUNTIFS(C$5:C408,C408,E$5:E408,"budget_probe",I$5:I408,Lists!$X$4)=1,F408,""),"")</f>
        <v/>
      </c>
      <c r="AE408" s="30" t="n">
        <f aca="false">IF(AND(B408="brand",E408="paid",ISNUMBER(F408)),IF(AND(SUMIFS(F$5:F408,B$5:B408,"brand",C$5:C408,C408,E$5:E408,"paid")&gt;=Inputs!$C$44,SUMIFS(F$5:F408,B$5:B408,"brand",C$5:C408,C408,E$5:E408,"paid")-F408&lt;Inputs!$C$44),1,0),0)</f>
        <v>0</v>
      </c>
    </row>
    <row r="409" customFormat="false" ht="15" hidden="false" customHeight="false" outlineLevel="0" collapsed="false">
      <c r="A409" s="102"/>
      <c r="B409" s="103"/>
      <c r="C409" s="103"/>
      <c r="D409" s="103"/>
      <c r="E409" s="103"/>
      <c r="F409" s="103"/>
      <c r="G409" s="103"/>
      <c r="H409" s="103"/>
      <c r="I409" s="103"/>
      <c r="T409" s="30" t="str">
        <f aca="false">IF(C409="","",IF(COUNTIFS(C$5:C409,C409,E$5:E409,E409)=1,1,0))</f>
        <v/>
      </c>
      <c r="U409" s="30" t="n">
        <f aca="false">IF(C409="",0,IF(AND(B409="brand",E409="budget_probe",N(F409)&gt;=Inputs!$C$124,H409="Y"),1,0))</f>
        <v>0</v>
      </c>
      <c r="V409" s="30" t="n">
        <f aca="false">IF(U409=1,IF(COUNTIFS(C$5:C409,C409,U$5:U409,1)=1,1,0),0)</f>
        <v>0</v>
      </c>
      <c r="W409" s="30" t="n">
        <f aca="false">IF(C409="",0,IF(AND(B409="office",E409="budget_probe",N(F409)&gt;=Inputs!$C$139),1,0))</f>
        <v>0</v>
      </c>
      <c r="X409" s="30" t="n">
        <f aca="false">IF(W409=1,IF(COUNTIFS(C$5:C409,C409,W$5:W409,1)=1,1,0),0)</f>
        <v>0</v>
      </c>
      <c r="Y409" s="30" t="n">
        <f aca="false">IF(C409="",0,IF(AND(B409="brand",E409="renewal_answer",TRIM(G409)="yes",N(F409)&gt;=Inputs!$C$135),1,0))</f>
        <v>0</v>
      </c>
      <c r="Z409" s="30" t="n">
        <f aca="false">IF(Y409=1,IF(COUNTIFS(C$5:C409,C409,Y$5:Y409,1)=1,1,0),0)</f>
        <v>0</v>
      </c>
      <c r="AA409" s="30" t="n">
        <f aca="false">IF(AND(E409="budget_probe",ISNUMBER(F409),I409&lt;&gt;Lists!$X$4),1,0)</f>
        <v>0</v>
      </c>
      <c r="AB409" s="30" t="str">
        <f aca="false">IF(AND(B409="office",AA409=1,COUNTIFS(C$5:C409,C409,AA$5:AA409,1)=1),F409,"")</f>
        <v/>
      </c>
      <c r="AC409" s="30" t="str">
        <f aca="false">IF(AND(B409="brand",AA409=1,COUNTIFS(C$5:C409,C409,AA$5:AA409,1)=1),F409,"")</f>
        <v/>
      </c>
      <c r="AD409" s="30" t="str">
        <f aca="false">IF(AND(B409="brand",E409="budget_probe",ISNUMBER(F409),I409=Lists!$X$4),IF(COUNTIFS(C$5:C409,C409,E$5:E409,"budget_probe",I$5:I409,Lists!$X$4)=1,F409,""),"")</f>
        <v/>
      </c>
      <c r="AE409" s="30" t="n">
        <f aca="false">IF(AND(B409="brand",E409="paid",ISNUMBER(F409)),IF(AND(SUMIFS(F$5:F409,B$5:B409,"brand",C$5:C409,C409,E$5:E409,"paid")&gt;=Inputs!$C$44,SUMIFS(F$5:F409,B$5:B409,"brand",C$5:C409,C409,E$5:E409,"paid")-F409&lt;Inputs!$C$44),1,0),0)</f>
        <v>0</v>
      </c>
    </row>
    <row r="410" customFormat="false" ht="15" hidden="false" customHeight="false" outlineLevel="0" collapsed="false">
      <c r="A410" s="102"/>
      <c r="B410" s="103"/>
      <c r="C410" s="103"/>
      <c r="D410" s="103"/>
      <c r="E410" s="103"/>
      <c r="F410" s="103"/>
      <c r="G410" s="103"/>
      <c r="H410" s="103"/>
      <c r="I410" s="103"/>
      <c r="T410" s="30" t="str">
        <f aca="false">IF(C410="","",IF(COUNTIFS(C$5:C410,C410,E$5:E410,E410)=1,1,0))</f>
        <v/>
      </c>
      <c r="U410" s="30" t="n">
        <f aca="false">IF(C410="",0,IF(AND(B410="brand",E410="budget_probe",N(F410)&gt;=Inputs!$C$124,H410="Y"),1,0))</f>
        <v>0</v>
      </c>
      <c r="V410" s="30" t="n">
        <f aca="false">IF(U410=1,IF(COUNTIFS(C$5:C410,C410,U$5:U410,1)=1,1,0),0)</f>
        <v>0</v>
      </c>
      <c r="W410" s="30" t="n">
        <f aca="false">IF(C410="",0,IF(AND(B410="office",E410="budget_probe",N(F410)&gt;=Inputs!$C$139),1,0))</f>
        <v>0</v>
      </c>
      <c r="X410" s="30" t="n">
        <f aca="false">IF(W410=1,IF(COUNTIFS(C$5:C410,C410,W$5:W410,1)=1,1,0),0)</f>
        <v>0</v>
      </c>
      <c r="Y410" s="30" t="n">
        <f aca="false">IF(C410="",0,IF(AND(B410="brand",E410="renewal_answer",TRIM(G410)="yes",N(F410)&gt;=Inputs!$C$135),1,0))</f>
        <v>0</v>
      </c>
      <c r="Z410" s="30" t="n">
        <f aca="false">IF(Y410=1,IF(COUNTIFS(C$5:C410,C410,Y$5:Y410,1)=1,1,0),0)</f>
        <v>0</v>
      </c>
      <c r="AA410" s="30" t="n">
        <f aca="false">IF(AND(E410="budget_probe",ISNUMBER(F410),I410&lt;&gt;Lists!$X$4),1,0)</f>
        <v>0</v>
      </c>
      <c r="AB410" s="30" t="str">
        <f aca="false">IF(AND(B410="office",AA410=1,COUNTIFS(C$5:C410,C410,AA$5:AA410,1)=1),F410,"")</f>
        <v/>
      </c>
      <c r="AC410" s="30" t="str">
        <f aca="false">IF(AND(B410="brand",AA410=1,COUNTIFS(C$5:C410,C410,AA$5:AA410,1)=1),F410,"")</f>
        <v/>
      </c>
      <c r="AD410" s="30" t="str">
        <f aca="false">IF(AND(B410="brand",E410="budget_probe",ISNUMBER(F410),I410=Lists!$X$4),IF(COUNTIFS(C$5:C410,C410,E$5:E410,"budget_probe",I$5:I410,Lists!$X$4)=1,F410,""),"")</f>
        <v/>
      </c>
      <c r="AE410" s="30" t="n">
        <f aca="false">IF(AND(B410="brand",E410="paid",ISNUMBER(F410)),IF(AND(SUMIFS(F$5:F410,B$5:B410,"brand",C$5:C410,C410,E$5:E410,"paid")&gt;=Inputs!$C$44,SUMIFS(F$5:F410,B$5:B410,"brand",C$5:C410,C410,E$5:E410,"paid")-F410&lt;Inputs!$C$44),1,0),0)</f>
        <v>0</v>
      </c>
    </row>
    <row r="411" customFormat="false" ht="15" hidden="false" customHeight="false" outlineLevel="0" collapsed="false">
      <c r="A411" s="102"/>
      <c r="B411" s="103"/>
      <c r="C411" s="103"/>
      <c r="D411" s="103"/>
      <c r="E411" s="103"/>
      <c r="F411" s="103"/>
      <c r="G411" s="103"/>
      <c r="H411" s="103"/>
      <c r="I411" s="103"/>
      <c r="T411" s="30" t="str">
        <f aca="false">IF(C411="","",IF(COUNTIFS(C$5:C411,C411,E$5:E411,E411)=1,1,0))</f>
        <v/>
      </c>
      <c r="U411" s="30" t="n">
        <f aca="false">IF(C411="",0,IF(AND(B411="brand",E411="budget_probe",N(F411)&gt;=Inputs!$C$124,H411="Y"),1,0))</f>
        <v>0</v>
      </c>
      <c r="V411" s="30" t="n">
        <f aca="false">IF(U411=1,IF(COUNTIFS(C$5:C411,C411,U$5:U411,1)=1,1,0),0)</f>
        <v>0</v>
      </c>
      <c r="W411" s="30" t="n">
        <f aca="false">IF(C411="",0,IF(AND(B411="office",E411="budget_probe",N(F411)&gt;=Inputs!$C$139),1,0))</f>
        <v>0</v>
      </c>
      <c r="X411" s="30" t="n">
        <f aca="false">IF(W411=1,IF(COUNTIFS(C$5:C411,C411,W$5:W411,1)=1,1,0),0)</f>
        <v>0</v>
      </c>
      <c r="Y411" s="30" t="n">
        <f aca="false">IF(C411="",0,IF(AND(B411="brand",E411="renewal_answer",TRIM(G411)="yes",N(F411)&gt;=Inputs!$C$135),1,0))</f>
        <v>0</v>
      </c>
      <c r="Z411" s="30" t="n">
        <f aca="false">IF(Y411=1,IF(COUNTIFS(C$5:C411,C411,Y$5:Y411,1)=1,1,0),0)</f>
        <v>0</v>
      </c>
      <c r="AA411" s="30" t="n">
        <f aca="false">IF(AND(E411="budget_probe",ISNUMBER(F411),I411&lt;&gt;Lists!$X$4),1,0)</f>
        <v>0</v>
      </c>
      <c r="AB411" s="30" t="str">
        <f aca="false">IF(AND(B411="office",AA411=1,COUNTIFS(C$5:C411,C411,AA$5:AA411,1)=1),F411,"")</f>
        <v/>
      </c>
      <c r="AC411" s="30" t="str">
        <f aca="false">IF(AND(B411="brand",AA411=1,COUNTIFS(C$5:C411,C411,AA$5:AA411,1)=1),F411,"")</f>
        <v/>
      </c>
      <c r="AD411" s="30" t="str">
        <f aca="false">IF(AND(B411="brand",E411="budget_probe",ISNUMBER(F411),I411=Lists!$X$4),IF(COUNTIFS(C$5:C411,C411,E$5:E411,"budget_probe",I$5:I411,Lists!$X$4)=1,F411,""),"")</f>
        <v/>
      </c>
      <c r="AE411" s="30" t="n">
        <f aca="false">IF(AND(B411="brand",E411="paid",ISNUMBER(F411)),IF(AND(SUMIFS(F$5:F411,B$5:B411,"brand",C$5:C411,C411,E$5:E411,"paid")&gt;=Inputs!$C$44,SUMIFS(F$5:F411,B$5:B411,"brand",C$5:C411,C411,E$5:E411,"paid")-F411&lt;Inputs!$C$44),1,0),0)</f>
        <v>0</v>
      </c>
    </row>
    <row r="412" customFormat="false" ht="15" hidden="false" customHeight="false" outlineLevel="0" collapsed="false">
      <c r="A412" s="102"/>
      <c r="B412" s="103"/>
      <c r="C412" s="103"/>
      <c r="D412" s="103"/>
      <c r="E412" s="103"/>
      <c r="F412" s="103"/>
      <c r="G412" s="103"/>
      <c r="H412" s="103"/>
      <c r="I412" s="103"/>
      <c r="T412" s="30" t="str">
        <f aca="false">IF(C412="","",IF(COUNTIFS(C$5:C412,C412,E$5:E412,E412)=1,1,0))</f>
        <v/>
      </c>
      <c r="U412" s="30" t="n">
        <f aca="false">IF(C412="",0,IF(AND(B412="brand",E412="budget_probe",N(F412)&gt;=Inputs!$C$124,H412="Y"),1,0))</f>
        <v>0</v>
      </c>
      <c r="V412" s="30" t="n">
        <f aca="false">IF(U412=1,IF(COUNTIFS(C$5:C412,C412,U$5:U412,1)=1,1,0),0)</f>
        <v>0</v>
      </c>
      <c r="W412" s="30" t="n">
        <f aca="false">IF(C412="",0,IF(AND(B412="office",E412="budget_probe",N(F412)&gt;=Inputs!$C$139),1,0))</f>
        <v>0</v>
      </c>
      <c r="X412" s="30" t="n">
        <f aca="false">IF(W412=1,IF(COUNTIFS(C$5:C412,C412,W$5:W412,1)=1,1,0),0)</f>
        <v>0</v>
      </c>
      <c r="Y412" s="30" t="n">
        <f aca="false">IF(C412="",0,IF(AND(B412="brand",E412="renewal_answer",TRIM(G412)="yes",N(F412)&gt;=Inputs!$C$135),1,0))</f>
        <v>0</v>
      </c>
      <c r="Z412" s="30" t="n">
        <f aca="false">IF(Y412=1,IF(COUNTIFS(C$5:C412,C412,Y$5:Y412,1)=1,1,0),0)</f>
        <v>0</v>
      </c>
      <c r="AA412" s="30" t="n">
        <f aca="false">IF(AND(E412="budget_probe",ISNUMBER(F412),I412&lt;&gt;Lists!$X$4),1,0)</f>
        <v>0</v>
      </c>
      <c r="AB412" s="30" t="str">
        <f aca="false">IF(AND(B412="office",AA412=1,COUNTIFS(C$5:C412,C412,AA$5:AA412,1)=1),F412,"")</f>
        <v/>
      </c>
      <c r="AC412" s="30" t="str">
        <f aca="false">IF(AND(B412="brand",AA412=1,COUNTIFS(C$5:C412,C412,AA$5:AA412,1)=1),F412,"")</f>
        <v/>
      </c>
      <c r="AD412" s="30" t="str">
        <f aca="false">IF(AND(B412="brand",E412="budget_probe",ISNUMBER(F412),I412=Lists!$X$4),IF(COUNTIFS(C$5:C412,C412,E$5:E412,"budget_probe",I$5:I412,Lists!$X$4)=1,F412,""),"")</f>
        <v/>
      </c>
      <c r="AE412" s="30" t="n">
        <f aca="false">IF(AND(B412="brand",E412="paid",ISNUMBER(F412)),IF(AND(SUMIFS(F$5:F412,B$5:B412,"brand",C$5:C412,C412,E$5:E412,"paid")&gt;=Inputs!$C$44,SUMIFS(F$5:F412,B$5:B412,"brand",C$5:C412,C412,E$5:E412,"paid")-F412&lt;Inputs!$C$44),1,0),0)</f>
        <v>0</v>
      </c>
    </row>
    <row r="413" customFormat="false" ht="15" hidden="false" customHeight="false" outlineLevel="0" collapsed="false">
      <c r="A413" s="102"/>
      <c r="B413" s="103"/>
      <c r="C413" s="103"/>
      <c r="D413" s="103"/>
      <c r="E413" s="103"/>
      <c r="F413" s="103"/>
      <c r="G413" s="103"/>
      <c r="H413" s="103"/>
      <c r="I413" s="103"/>
      <c r="T413" s="30" t="str">
        <f aca="false">IF(C413="","",IF(COUNTIFS(C$5:C413,C413,E$5:E413,E413)=1,1,0))</f>
        <v/>
      </c>
      <c r="U413" s="30" t="n">
        <f aca="false">IF(C413="",0,IF(AND(B413="brand",E413="budget_probe",N(F413)&gt;=Inputs!$C$124,H413="Y"),1,0))</f>
        <v>0</v>
      </c>
      <c r="V413" s="30" t="n">
        <f aca="false">IF(U413=1,IF(COUNTIFS(C$5:C413,C413,U$5:U413,1)=1,1,0),0)</f>
        <v>0</v>
      </c>
      <c r="W413" s="30" t="n">
        <f aca="false">IF(C413="",0,IF(AND(B413="office",E413="budget_probe",N(F413)&gt;=Inputs!$C$139),1,0))</f>
        <v>0</v>
      </c>
      <c r="X413" s="30" t="n">
        <f aca="false">IF(W413=1,IF(COUNTIFS(C$5:C413,C413,W$5:W413,1)=1,1,0),0)</f>
        <v>0</v>
      </c>
      <c r="Y413" s="30" t="n">
        <f aca="false">IF(C413="",0,IF(AND(B413="brand",E413="renewal_answer",TRIM(G413)="yes",N(F413)&gt;=Inputs!$C$135),1,0))</f>
        <v>0</v>
      </c>
      <c r="Z413" s="30" t="n">
        <f aca="false">IF(Y413=1,IF(COUNTIFS(C$5:C413,C413,Y$5:Y413,1)=1,1,0),0)</f>
        <v>0</v>
      </c>
      <c r="AA413" s="30" t="n">
        <f aca="false">IF(AND(E413="budget_probe",ISNUMBER(F413),I413&lt;&gt;Lists!$X$4),1,0)</f>
        <v>0</v>
      </c>
      <c r="AB413" s="30" t="str">
        <f aca="false">IF(AND(B413="office",AA413=1,COUNTIFS(C$5:C413,C413,AA$5:AA413,1)=1),F413,"")</f>
        <v/>
      </c>
      <c r="AC413" s="30" t="str">
        <f aca="false">IF(AND(B413="brand",AA413=1,COUNTIFS(C$5:C413,C413,AA$5:AA413,1)=1),F413,"")</f>
        <v/>
      </c>
      <c r="AD413" s="30" t="str">
        <f aca="false">IF(AND(B413="brand",E413="budget_probe",ISNUMBER(F413),I413=Lists!$X$4),IF(COUNTIFS(C$5:C413,C413,E$5:E413,"budget_probe",I$5:I413,Lists!$X$4)=1,F413,""),"")</f>
        <v/>
      </c>
      <c r="AE413" s="30" t="n">
        <f aca="false">IF(AND(B413="brand",E413="paid",ISNUMBER(F413)),IF(AND(SUMIFS(F$5:F413,B$5:B413,"brand",C$5:C413,C413,E$5:E413,"paid")&gt;=Inputs!$C$44,SUMIFS(F$5:F413,B$5:B413,"brand",C$5:C413,C413,E$5:E413,"paid")-F413&lt;Inputs!$C$44),1,0),0)</f>
        <v>0</v>
      </c>
    </row>
    <row r="414" customFormat="false" ht="15" hidden="false" customHeight="false" outlineLevel="0" collapsed="false">
      <c r="A414" s="102"/>
      <c r="B414" s="103"/>
      <c r="C414" s="103"/>
      <c r="D414" s="103"/>
      <c r="E414" s="103"/>
      <c r="F414" s="103"/>
      <c r="G414" s="103"/>
      <c r="H414" s="103"/>
      <c r="I414" s="103"/>
      <c r="T414" s="30" t="str">
        <f aca="false">IF(C414="","",IF(COUNTIFS(C$5:C414,C414,E$5:E414,E414)=1,1,0))</f>
        <v/>
      </c>
      <c r="U414" s="30" t="n">
        <f aca="false">IF(C414="",0,IF(AND(B414="brand",E414="budget_probe",N(F414)&gt;=Inputs!$C$124,H414="Y"),1,0))</f>
        <v>0</v>
      </c>
      <c r="V414" s="30" t="n">
        <f aca="false">IF(U414=1,IF(COUNTIFS(C$5:C414,C414,U$5:U414,1)=1,1,0),0)</f>
        <v>0</v>
      </c>
      <c r="W414" s="30" t="n">
        <f aca="false">IF(C414="",0,IF(AND(B414="office",E414="budget_probe",N(F414)&gt;=Inputs!$C$139),1,0))</f>
        <v>0</v>
      </c>
      <c r="X414" s="30" t="n">
        <f aca="false">IF(W414=1,IF(COUNTIFS(C$5:C414,C414,W$5:W414,1)=1,1,0),0)</f>
        <v>0</v>
      </c>
      <c r="Y414" s="30" t="n">
        <f aca="false">IF(C414="",0,IF(AND(B414="brand",E414="renewal_answer",TRIM(G414)="yes",N(F414)&gt;=Inputs!$C$135),1,0))</f>
        <v>0</v>
      </c>
      <c r="Z414" s="30" t="n">
        <f aca="false">IF(Y414=1,IF(COUNTIFS(C$5:C414,C414,Y$5:Y414,1)=1,1,0),0)</f>
        <v>0</v>
      </c>
      <c r="AA414" s="30" t="n">
        <f aca="false">IF(AND(E414="budget_probe",ISNUMBER(F414),I414&lt;&gt;Lists!$X$4),1,0)</f>
        <v>0</v>
      </c>
      <c r="AB414" s="30" t="str">
        <f aca="false">IF(AND(B414="office",AA414=1,COUNTIFS(C$5:C414,C414,AA$5:AA414,1)=1),F414,"")</f>
        <v/>
      </c>
      <c r="AC414" s="30" t="str">
        <f aca="false">IF(AND(B414="brand",AA414=1,COUNTIFS(C$5:C414,C414,AA$5:AA414,1)=1),F414,"")</f>
        <v/>
      </c>
      <c r="AD414" s="30" t="str">
        <f aca="false">IF(AND(B414="brand",E414="budget_probe",ISNUMBER(F414),I414=Lists!$X$4),IF(COUNTIFS(C$5:C414,C414,E$5:E414,"budget_probe",I$5:I414,Lists!$X$4)=1,F414,""),"")</f>
        <v/>
      </c>
      <c r="AE414" s="30" t="n">
        <f aca="false">IF(AND(B414="brand",E414="paid",ISNUMBER(F414)),IF(AND(SUMIFS(F$5:F414,B$5:B414,"brand",C$5:C414,C414,E$5:E414,"paid")&gt;=Inputs!$C$44,SUMIFS(F$5:F414,B$5:B414,"brand",C$5:C414,C414,E$5:E414,"paid")-F414&lt;Inputs!$C$44),1,0),0)</f>
        <v>0</v>
      </c>
    </row>
    <row r="415" customFormat="false" ht="15" hidden="false" customHeight="false" outlineLevel="0" collapsed="false">
      <c r="A415" s="102"/>
      <c r="B415" s="103"/>
      <c r="C415" s="103"/>
      <c r="D415" s="103"/>
      <c r="E415" s="103"/>
      <c r="F415" s="103"/>
      <c r="G415" s="103"/>
      <c r="H415" s="103"/>
      <c r="I415" s="103"/>
      <c r="T415" s="30" t="str">
        <f aca="false">IF(C415="","",IF(COUNTIFS(C$5:C415,C415,E$5:E415,E415)=1,1,0))</f>
        <v/>
      </c>
      <c r="U415" s="30" t="n">
        <f aca="false">IF(C415="",0,IF(AND(B415="brand",E415="budget_probe",N(F415)&gt;=Inputs!$C$124,H415="Y"),1,0))</f>
        <v>0</v>
      </c>
      <c r="V415" s="30" t="n">
        <f aca="false">IF(U415=1,IF(COUNTIFS(C$5:C415,C415,U$5:U415,1)=1,1,0),0)</f>
        <v>0</v>
      </c>
      <c r="W415" s="30" t="n">
        <f aca="false">IF(C415="",0,IF(AND(B415="office",E415="budget_probe",N(F415)&gt;=Inputs!$C$139),1,0))</f>
        <v>0</v>
      </c>
      <c r="X415" s="30" t="n">
        <f aca="false">IF(W415=1,IF(COUNTIFS(C$5:C415,C415,W$5:W415,1)=1,1,0),0)</f>
        <v>0</v>
      </c>
      <c r="Y415" s="30" t="n">
        <f aca="false">IF(C415="",0,IF(AND(B415="brand",E415="renewal_answer",TRIM(G415)="yes",N(F415)&gt;=Inputs!$C$135),1,0))</f>
        <v>0</v>
      </c>
      <c r="Z415" s="30" t="n">
        <f aca="false">IF(Y415=1,IF(COUNTIFS(C$5:C415,C415,Y$5:Y415,1)=1,1,0),0)</f>
        <v>0</v>
      </c>
      <c r="AA415" s="30" t="n">
        <f aca="false">IF(AND(E415="budget_probe",ISNUMBER(F415),I415&lt;&gt;Lists!$X$4),1,0)</f>
        <v>0</v>
      </c>
      <c r="AB415" s="30" t="str">
        <f aca="false">IF(AND(B415="office",AA415=1,COUNTIFS(C$5:C415,C415,AA$5:AA415,1)=1),F415,"")</f>
        <v/>
      </c>
      <c r="AC415" s="30" t="str">
        <f aca="false">IF(AND(B415="brand",AA415=1,COUNTIFS(C$5:C415,C415,AA$5:AA415,1)=1),F415,"")</f>
        <v/>
      </c>
      <c r="AD415" s="30" t="str">
        <f aca="false">IF(AND(B415="brand",E415="budget_probe",ISNUMBER(F415),I415=Lists!$X$4),IF(COUNTIFS(C$5:C415,C415,E$5:E415,"budget_probe",I$5:I415,Lists!$X$4)=1,F415,""),"")</f>
        <v/>
      </c>
      <c r="AE415" s="30" t="n">
        <f aca="false">IF(AND(B415="brand",E415="paid",ISNUMBER(F415)),IF(AND(SUMIFS(F$5:F415,B$5:B415,"brand",C$5:C415,C415,E$5:E415,"paid")&gt;=Inputs!$C$44,SUMIFS(F$5:F415,B$5:B415,"brand",C$5:C415,C415,E$5:E415,"paid")-F415&lt;Inputs!$C$44),1,0),0)</f>
        <v>0</v>
      </c>
    </row>
    <row r="416" customFormat="false" ht="15" hidden="false" customHeight="false" outlineLevel="0" collapsed="false">
      <c r="A416" s="102"/>
      <c r="B416" s="103"/>
      <c r="C416" s="103"/>
      <c r="D416" s="103"/>
      <c r="E416" s="103"/>
      <c r="F416" s="103"/>
      <c r="G416" s="103"/>
      <c r="H416" s="103"/>
      <c r="I416" s="103"/>
      <c r="T416" s="30" t="str">
        <f aca="false">IF(C416="","",IF(COUNTIFS(C$5:C416,C416,E$5:E416,E416)=1,1,0))</f>
        <v/>
      </c>
      <c r="U416" s="30" t="n">
        <f aca="false">IF(C416="",0,IF(AND(B416="brand",E416="budget_probe",N(F416)&gt;=Inputs!$C$124,H416="Y"),1,0))</f>
        <v>0</v>
      </c>
      <c r="V416" s="30" t="n">
        <f aca="false">IF(U416=1,IF(COUNTIFS(C$5:C416,C416,U$5:U416,1)=1,1,0),0)</f>
        <v>0</v>
      </c>
      <c r="W416" s="30" t="n">
        <f aca="false">IF(C416="",0,IF(AND(B416="office",E416="budget_probe",N(F416)&gt;=Inputs!$C$139),1,0))</f>
        <v>0</v>
      </c>
      <c r="X416" s="30" t="n">
        <f aca="false">IF(W416=1,IF(COUNTIFS(C$5:C416,C416,W$5:W416,1)=1,1,0),0)</f>
        <v>0</v>
      </c>
      <c r="Y416" s="30" t="n">
        <f aca="false">IF(C416="",0,IF(AND(B416="brand",E416="renewal_answer",TRIM(G416)="yes",N(F416)&gt;=Inputs!$C$135),1,0))</f>
        <v>0</v>
      </c>
      <c r="Z416" s="30" t="n">
        <f aca="false">IF(Y416=1,IF(COUNTIFS(C$5:C416,C416,Y$5:Y416,1)=1,1,0),0)</f>
        <v>0</v>
      </c>
      <c r="AA416" s="30" t="n">
        <f aca="false">IF(AND(E416="budget_probe",ISNUMBER(F416),I416&lt;&gt;Lists!$X$4),1,0)</f>
        <v>0</v>
      </c>
      <c r="AB416" s="30" t="str">
        <f aca="false">IF(AND(B416="office",AA416=1,COUNTIFS(C$5:C416,C416,AA$5:AA416,1)=1),F416,"")</f>
        <v/>
      </c>
      <c r="AC416" s="30" t="str">
        <f aca="false">IF(AND(B416="brand",AA416=1,COUNTIFS(C$5:C416,C416,AA$5:AA416,1)=1),F416,"")</f>
        <v/>
      </c>
      <c r="AD416" s="30" t="str">
        <f aca="false">IF(AND(B416="brand",E416="budget_probe",ISNUMBER(F416),I416=Lists!$X$4),IF(COUNTIFS(C$5:C416,C416,E$5:E416,"budget_probe",I$5:I416,Lists!$X$4)=1,F416,""),"")</f>
        <v/>
      </c>
      <c r="AE416" s="30" t="n">
        <f aca="false">IF(AND(B416="brand",E416="paid",ISNUMBER(F416)),IF(AND(SUMIFS(F$5:F416,B$5:B416,"brand",C$5:C416,C416,E$5:E416,"paid")&gt;=Inputs!$C$44,SUMIFS(F$5:F416,B$5:B416,"brand",C$5:C416,C416,E$5:E416,"paid")-F416&lt;Inputs!$C$44),1,0),0)</f>
        <v>0</v>
      </c>
    </row>
    <row r="417" customFormat="false" ht="15" hidden="false" customHeight="false" outlineLevel="0" collapsed="false">
      <c r="A417" s="102"/>
      <c r="B417" s="103"/>
      <c r="C417" s="103"/>
      <c r="D417" s="103"/>
      <c r="E417" s="103"/>
      <c r="F417" s="103"/>
      <c r="G417" s="103"/>
      <c r="H417" s="103"/>
      <c r="I417" s="103"/>
      <c r="T417" s="30" t="str">
        <f aca="false">IF(C417="","",IF(COUNTIFS(C$5:C417,C417,E$5:E417,E417)=1,1,0))</f>
        <v/>
      </c>
      <c r="U417" s="30" t="n">
        <f aca="false">IF(C417="",0,IF(AND(B417="brand",E417="budget_probe",N(F417)&gt;=Inputs!$C$124,H417="Y"),1,0))</f>
        <v>0</v>
      </c>
      <c r="V417" s="30" t="n">
        <f aca="false">IF(U417=1,IF(COUNTIFS(C$5:C417,C417,U$5:U417,1)=1,1,0),0)</f>
        <v>0</v>
      </c>
      <c r="W417" s="30" t="n">
        <f aca="false">IF(C417="",0,IF(AND(B417="office",E417="budget_probe",N(F417)&gt;=Inputs!$C$139),1,0))</f>
        <v>0</v>
      </c>
      <c r="X417" s="30" t="n">
        <f aca="false">IF(W417=1,IF(COUNTIFS(C$5:C417,C417,W$5:W417,1)=1,1,0),0)</f>
        <v>0</v>
      </c>
      <c r="Y417" s="30" t="n">
        <f aca="false">IF(C417="",0,IF(AND(B417="brand",E417="renewal_answer",TRIM(G417)="yes",N(F417)&gt;=Inputs!$C$135),1,0))</f>
        <v>0</v>
      </c>
      <c r="Z417" s="30" t="n">
        <f aca="false">IF(Y417=1,IF(COUNTIFS(C$5:C417,C417,Y$5:Y417,1)=1,1,0),0)</f>
        <v>0</v>
      </c>
      <c r="AA417" s="30" t="n">
        <f aca="false">IF(AND(E417="budget_probe",ISNUMBER(F417),I417&lt;&gt;Lists!$X$4),1,0)</f>
        <v>0</v>
      </c>
      <c r="AB417" s="30" t="str">
        <f aca="false">IF(AND(B417="office",AA417=1,COUNTIFS(C$5:C417,C417,AA$5:AA417,1)=1),F417,"")</f>
        <v/>
      </c>
      <c r="AC417" s="30" t="str">
        <f aca="false">IF(AND(B417="brand",AA417=1,COUNTIFS(C$5:C417,C417,AA$5:AA417,1)=1),F417,"")</f>
        <v/>
      </c>
      <c r="AD417" s="30" t="str">
        <f aca="false">IF(AND(B417="brand",E417="budget_probe",ISNUMBER(F417),I417=Lists!$X$4),IF(COUNTIFS(C$5:C417,C417,E$5:E417,"budget_probe",I$5:I417,Lists!$X$4)=1,F417,""),"")</f>
        <v/>
      </c>
      <c r="AE417" s="30" t="n">
        <f aca="false">IF(AND(B417="brand",E417="paid",ISNUMBER(F417)),IF(AND(SUMIFS(F$5:F417,B$5:B417,"brand",C$5:C417,C417,E$5:E417,"paid")&gt;=Inputs!$C$44,SUMIFS(F$5:F417,B$5:B417,"brand",C$5:C417,C417,E$5:E417,"paid")-F417&lt;Inputs!$C$44),1,0),0)</f>
        <v>0</v>
      </c>
    </row>
    <row r="418" customFormat="false" ht="15" hidden="false" customHeight="false" outlineLevel="0" collapsed="false">
      <c r="A418" s="102"/>
      <c r="B418" s="103"/>
      <c r="C418" s="103"/>
      <c r="D418" s="103"/>
      <c r="E418" s="103"/>
      <c r="F418" s="103"/>
      <c r="G418" s="103"/>
      <c r="H418" s="103"/>
      <c r="I418" s="103"/>
      <c r="T418" s="30" t="str">
        <f aca="false">IF(C418="","",IF(COUNTIFS(C$5:C418,C418,E$5:E418,E418)=1,1,0))</f>
        <v/>
      </c>
      <c r="U418" s="30" t="n">
        <f aca="false">IF(C418="",0,IF(AND(B418="brand",E418="budget_probe",N(F418)&gt;=Inputs!$C$124,H418="Y"),1,0))</f>
        <v>0</v>
      </c>
      <c r="V418" s="30" t="n">
        <f aca="false">IF(U418=1,IF(COUNTIFS(C$5:C418,C418,U$5:U418,1)=1,1,0),0)</f>
        <v>0</v>
      </c>
      <c r="W418" s="30" t="n">
        <f aca="false">IF(C418="",0,IF(AND(B418="office",E418="budget_probe",N(F418)&gt;=Inputs!$C$139),1,0))</f>
        <v>0</v>
      </c>
      <c r="X418" s="30" t="n">
        <f aca="false">IF(W418=1,IF(COUNTIFS(C$5:C418,C418,W$5:W418,1)=1,1,0),0)</f>
        <v>0</v>
      </c>
      <c r="Y418" s="30" t="n">
        <f aca="false">IF(C418="",0,IF(AND(B418="brand",E418="renewal_answer",TRIM(G418)="yes",N(F418)&gt;=Inputs!$C$135),1,0))</f>
        <v>0</v>
      </c>
      <c r="Z418" s="30" t="n">
        <f aca="false">IF(Y418=1,IF(COUNTIFS(C$5:C418,C418,Y$5:Y418,1)=1,1,0),0)</f>
        <v>0</v>
      </c>
      <c r="AA418" s="30" t="n">
        <f aca="false">IF(AND(E418="budget_probe",ISNUMBER(F418),I418&lt;&gt;Lists!$X$4),1,0)</f>
        <v>0</v>
      </c>
      <c r="AB418" s="30" t="str">
        <f aca="false">IF(AND(B418="office",AA418=1,COUNTIFS(C$5:C418,C418,AA$5:AA418,1)=1),F418,"")</f>
        <v/>
      </c>
      <c r="AC418" s="30" t="str">
        <f aca="false">IF(AND(B418="brand",AA418=1,COUNTIFS(C$5:C418,C418,AA$5:AA418,1)=1),F418,"")</f>
        <v/>
      </c>
      <c r="AD418" s="30" t="str">
        <f aca="false">IF(AND(B418="brand",E418="budget_probe",ISNUMBER(F418),I418=Lists!$X$4),IF(COUNTIFS(C$5:C418,C418,E$5:E418,"budget_probe",I$5:I418,Lists!$X$4)=1,F418,""),"")</f>
        <v/>
      </c>
      <c r="AE418" s="30" t="n">
        <f aca="false">IF(AND(B418="brand",E418="paid",ISNUMBER(F418)),IF(AND(SUMIFS(F$5:F418,B$5:B418,"brand",C$5:C418,C418,E$5:E418,"paid")&gt;=Inputs!$C$44,SUMIFS(F$5:F418,B$5:B418,"brand",C$5:C418,C418,E$5:E418,"paid")-F418&lt;Inputs!$C$44),1,0),0)</f>
        <v>0</v>
      </c>
    </row>
    <row r="419" customFormat="false" ht="15" hidden="false" customHeight="false" outlineLevel="0" collapsed="false">
      <c r="A419" s="102"/>
      <c r="B419" s="103"/>
      <c r="C419" s="103"/>
      <c r="D419" s="103"/>
      <c r="E419" s="103"/>
      <c r="F419" s="103"/>
      <c r="G419" s="103"/>
      <c r="H419" s="103"/>
      <c r="I419" s="103"/>
      <c r="T419" s="30" t="str">
        <f aca="false">IF(C419="","",IF(COUNTIFS(C$5:C419,C419,E$5:E419,E419)=1,1,0))</f>
        <v/>
      </c>
      <c r="U419" s="30" t="n">
        <f aca="false">IF(C419="",0,IF(AND(B419="brand",E419="budget_probe",N(F419)&gt;=Inputs!$C$124,H419="Y"),1,0))</f>
        <v>0</v>
      </c>
      <c r="V419" s="30" t="n">
        <f aca="false">IF(U419=1,IF(COUNTIFS(C$5:C419,C419,U$5:U419,1)=1,1,0),0)</f>
        <v>0</v>
      </c>
      <c r="W419" s="30" t="n">
        <f aca="false">IF(C419="",0,IF(AND(B419="office",E419="budget_probe",N(F419)&gt;=Inputs!$C$139),1,0))</f>
        <v>0</v>
      </c>
      <c r="X419" s="30" t="n">
        <f aca="false">IF(W419=1,IF(COUNTIFS(C$5:C419,C419,W$5:W419,1)=1,1,0),0)</f>
        <v>0</v>
      </c>
      <c r="Y419" s="30" t="n">
        <f aca="false">IF(C419="",0,IF(AND(B419="brand",E419="renewal_answer",TRIM(G419)="yes",N(F419)&gt;=Inputs!$C$135),1,0))</f>
        <v>0</v>
      </c>
      <c r="Z419" s="30" t="n">
        <f aca="false">IF(Y419=1,IF(COUNTIFS(C$5:C419,C419,Y$5:Y419,1)=1,1,0),0)</f>
        <v>0</v>
      </c>
      <c r="AA419" s="30" t="n">
        <f aca="false">IF(AND(E419="budget_probe",ISNUMBER(F419),I419&lt;&gt;Lists!$X$4),1,0)</f>
        <v>0</v>
      </c>
      <c r="AB419" s="30" t="str">
        <f aca="false">IF(AND(B419="office",AA419=1,COUNTIFS(C$5:C419,C419,AA$5:AA419,1)=1),F419,"")</f>
        <v/>
      </c>
      <c r="AC419" s="30" t="str">
        <f aca="false">IF(AND(B419="brand",AA419=1,COUNTIFS(C$5:C419,C419,AA$5:AA419,1)=1),F419,"")</f>
        <v/>
      </c>
      <c r="AD419" s="30" t="str">
        <f aca="false">IF(AND(B419="brand",E419="budget_probe",ISNUMBER(F419),I419=Lists!$X$4),IF(COUNTIFS(C$5:C419,C419,E$5:E419,"budget_probe",I$5:I419,Lists!$X$4)=1,F419,""),"")</f>
        <v/>
      </c>
      <c r="AE419" s="30" t="n">
        <f aca="false">IF(AND(B419="brand",E419="paid",ISNUMBER(F419)),IF(AND(SUMIFS(F$5:F419,B$5:B419,"brand",C$5:C419,C419,E$5:E419,"paid")&gt;=Inputs!$C$44,SUMIFS(F$5:F419,B$5:B419,"brand",C$5:C419,C419,E$5:E419,"paid")-F419&lt;Inputs!$C$44),1,0),0)</f>
        <v>0</v>
      </c>
    </row>
    <row r="420" customFormat="false" ht="15" hidden="false" customHeight="false" outlineLevel="0" collapsed="false">
      <c r="A420" s="102"/>
      <c r="B420" s="103"/>
      <c r="C420" s="103"/>
      <c r="D420" s="103"/>
      <c r="E420" s="103"/>
      <c r="F420" s="103"/>
      <c r="G420" s="103"/>
      <c r="H420" s="103"/>
      <c r="I420" s="103"/>
      <c r="T420" s="30" t="str">
        <f aca="false">IF(C420="","",IF(COUNTIFS(C$5:C420,C420,E$5:E420,E420)=1,1,0))</f>
        <v/>
      </c>
      <c r="U420" s="30" t="n">
        <f aca="false">IF(C420="",0,IF(AND(B420="brand",E420="budget_probe",N(F420)&gt;=Inputs!$C$124,H420="Y"),1,0))</f>
        <v>0</v>
      </c>
      <c r="V420" s="30" t="n">
        <f aca="false">IF(U420=1,IF(COUNTIFS(C$5:C420,C420,U$5:U420,1)=1,1,0),0)</f>
        <v>0</v>
      </c>
      <c r="W420" s="30" t="n">
        <f aca="false">IF(C420="",0,IF(AND(B420="office",E420="budget_probe",N(F420)&gt;=Inputs!$C$139),1,0))</f>
        <v>0</v>
      </c>
      <c r="X420" s="30" t="n">
        <f aca="false">IF(W420=1,IF(COUNTIFS(C$5:C420,C420,W$5:W420,1)=1,1,0),0)</f>
        <v>0</v>
      </c>
      <c r="Y420" s="30" t="n">
        <f aca="false">IF(C420="",0,IF(AND(B420="brand",E420="renewal_answer",TRIM(G420)="yes",N(F420)&gt;=Inputs!$C$135),1,0))</f>
        <v>0</v>
      </c>
      <c r="Z420" s="30" t="n">
        <f aca="false">IF(Y420=1,IF(COUNTIFS(C$5:C420,C420,Y$5:Y420,1)=1,1,0),0)</f>
        <v>0</v>
      </c>
      <c r="AA420" s="30" t="n">
        <f aca="false">IF(AND(E420="budget_probe",ISNUMBER(F420),I420&lt;&gt;Lists!$X$4),1,0)</f>
        <v>0</v>
      </c>
      <c r="AB420" s="30" t="str">
        <f aca="false">IF(AND(B420="office",AA420=1,COUNTIFS(C$5:C420,C420,AA$5:AA420,1)=1),F420,"")</f>
        <v/>
      </c>
      <c r="AC420" s="30" t="str">
        <f aca="false">IF(AND(B420="brand",AA420=1,COUNTIFS(C$5:C420,C420,AA$5:AA420,1)=1),F420,"")</f>
        <v/>
      </c>
      <c r="AD420" s="30" t="str">
        <f aca="false">IF(AND(B420="brand",E420="budget_probe",ISNUMBER(F420),I420=Lists!$X$4),IF(COUNTIFS(C$5:C420,C420,E$5:E420,"budget_probe",I$5:I420,Lists!$X$4)=1,F420,""),"")</f>
        <v/>
      </c>
      <c r="AE420" s="30" t="n">
        <f aca="false">IF(AND(B420="brand",E420="paid",ISNUMBER(F420)),IF(AND(SUMIFS(F$5:F420,B$5:B420,"brand",C$5:C420,C420,E$5:E420,"paid")&gt;=Inputs!$C$44,SUMIFS(F$5:F420,B$5:B420,"brand",C$5:C420,C420,E$5:E420,"paid")-F420&lt;Inputs!$C$44),1,0),0)</f>
        <v>0</v>
      </c>
    </row>
    <row r="421" customFormat="false" ht="15" hidden="false" customHeight="false" outlineLevel="0" collapsed="false">
      <c r="A421" s="102"/>
      <c r="B421" s="103"/>
      <c r="C421" s="103"/>
      <c r="D421" s="103"/>
      <c r="E421" s="103"/>
      <c r="F421" s="103"/>
      <c r="G421" s="103"/>
      <c r="H421" s="103"/>
      <c r="I421" s="103"/>
      <c r="T421" s="30" t="str">
        <f aca="false">IF(C421="","",IF(COUNTIFS(C$5:C421,C421,E$5:E421,E421)=1,1,0))</f>
        <v/>
      </c>
      <c r="U421" s="30" t="n">
        <f aca="false">IF(C421="",0,IF(AND(B421="brand",E421="budget_probe",N(F421)&gt;=Inputs!$C$124,H421="Y"),1,0))</f>
        <v>0</v>
      </c>
      <c r="V421" s="30" t="n">
        <f aca="false">IF(U421=1,IF(COUNTIFS(C$5:C421,C421,U$5:U421,1)=1,1,0),0)</f>
        <v>0</v>
      </c>
      <c r="W421" s="30" t="n">
        <f aca="false">IF(C421="",0,IF(AND(B421="office",E421="budget_probe",N(F421)&gt;=Inputs!$C$139),1,0))</f>
        <v>0</v>
      </c>
      <c r="X421" s="30" t="n">
        <f aca="false">IF(W421=1,IF(COUNTIFS(C$5:C421,C421,W$5:W421,1)=1,1,0),0)</f>
        <v>0</v>
      </c>
      <c r="Y421" s="30" t="n">
        <f aca="false">IF(C421="",0,IF(AND(B421="brand",E421="renewal_answer",TRIM(G421)="yes",N(F421)&gt;=Inputs!$C$135),1,0))</f>
        <v>0</v>
      </c>
      <c r="Z421" s="30" t="n">
        <f aca="false">IF(Y421=1,IF(COUNTIFS(C$5:C421,C421,Y$5:Y421,1)=1,1,0),0)</f>
        <v>0</v>
      </c>
      <c r="AA421" s="30" t="n">
        <f aca="false">IF(AND(E421="budget_probe",ISNUMBER(F421),I421&lt;&gt;Lists!$X$4),1,0)</f>
        <v>0</v>
      </c>
      <c r="AB421" s="30" t="str">
        <f aca="false">IF(AND(B421="office",AA421=1,COUNTIFS(C$5:C421,C421,AA$5:AA421,1)=1),F421,"")</f>
        <v/>
      </c>
      <c r="AC421" s="30" t="str">
        <f aca="false">IF(AND(B421="brand",AA421=1,COUNTIFS(C$5:C421,C421,AA$5:AA421,1)=1),F421,"")</f>
        <v/>
      </c>
      <c r="AD421" s="30" t="str">
        <f aca="false">IF(AND(B421="brand",E421="budget_probe",ISNUMBER(F421),I421=Lists!$X$4),IF(COUNTIFS(C$5:C421,C421,E$5:E421,"budget_probe",I$5:I421,Lists!$X$4)=1,F421,""),"")</f>
        <v/>
      </c>
      <c r="AE421" s="30" t="n">
        <f aca="false">IF(AND(B421="brand",E421="paid",ISNUMBER(F421)),IF(AND(SUMIFS(F$5:F421,B$5:B421,"brand",C$5:C421,C421,E$5:E421,"paid")&gt;=Inputs!$C$44,SUMIFS(F$5:F421,B$5:B421,"brand",C$5:C421,C421,E$5:E421,"paid")-F421&lt;Inputs!$C$44),1,0),0)</f>
        <v>0</v>
      </c>
    </row>
    <row r="422" customFormat="false" ht="15" hidden="false" customHeight="false" outlineLevel="0" collapsed="false">
      <c r="A422" s="102"/>
      <c r="B422" s="103"/>
      <c r="C422" s="103"/>
      <c r="D422" s="103"/>
      <c r="E422" s="103"/>
      <c r="F422" s="103"/>
      <c r="G422" s="103"/>
      <c r="H422" s="103"/>
      <c r="I422" s="103"/>
      <c r="T422" s="30" t="str">
        <f aca="false">IF(C422="","",IF(COUNTIFS(C$5:C422,C422,E$5:E422,E422)=1,1,0))</f>
        <v/>
      </c>
      <c r="U422" s="30" t="n">
        <f aca="false">IF(C422="",0,IF(AND(B422="brand",E422="budget_probe",N(F422)&gt;=Inputs!$C$124,H422="Y"),1,0))</f>
        <v>0</v>
      </c>
      <c r="V422" s="30" t="n">
        <f aca="false">IF(U422=1,IF(COUNTIFS(C$5:C422,C422,U$5:U422,1)=1,1,0),0)</f>
        <v>0</v>
      </c>
      <c r="W422" s="30" t="n">
        <f aca="false">IF(C422="",0,IF(AND(B422="office",E422="budget_probe",N(F422)&gt;=Inputs!$C$139),1,0))</f>
        <v>0</v>
      </c>
      <c r="X422" s="30" t="n">
        <f aca="false">IF(W422=1,IF(COUNTIFS(C$5:C422,C422,W$5:W422,1)=1,1,0),0)</f>
        <v>0</v>
      </c>
      <c r="Y422" s="30" t="n">
        <f aca="false">IF(C422="",0,IF(AND(B422="brand",E422="renewal_answer",TRIM(G422)="yes",N(F422)&gt;=Inputs!$C$135),1,0))</f>
        <v>0</v>
      </c>
      <c r="Z422" s="30" t="n">
        <f aca="false">IF(Y422=1,IF(COUNTIFS(C$5:C422,C422,Y$5:Y422,1)=1,1,0),0)</f>
        <v>0</v>
      </c>
      <c r="AA422" s="30" t="n">
        <f aca="false">IF(AND(E422="budget_probe",ISNUMBER(F422),I422&lt;&gt;Lists!$X$4),1,0)</f>
        <v>0</v>
      </c>
      <c r="AB422" s="30" t="str">
        <f aca="false">IF(AND(B422="office",AA422=1,COUNTIFS(C$5:C422,C422,AA$5:AA422,1)=1),F422,"")</f>
        <v/>
      </c>
      <c r="AC422" s="30" t="str">
        <f aca="false">IF(AND(B422="brand",AA422=1,COUNTIFS(C$5:C422,C422,AA$5:AA422,1)=1),F422,"")</f>
        <v/>
      </c>
      <c r="AD422" s="30" t="str">
        <f aca="false">IF(AND(B422="brand",E422="budget_probe",ISNUMBER(F422),I422=Lists!$X$4),IF(COUNTIFS(C$5:C422,C422,E$5:E422,"budget_probe",I$5:I422,Lists!$X$4)=1,F422,""),"")</f>
        <v/>
      </c>
      <c r="AE422" s="30" t="n">
        <f aca="false">IF(AND(B422="brand",E422="paid",ISNUMBER(F422)),IF(AND(SUMIFS(F$5:F422,B$5:B422,"brand",C$5:C422,C422,E$5:E422,"paid")&gt;=Inputs!$C$44,SUMIFS(F$5:F422,B$5:B422,"brand",C$5:C422,C422,E$5:E422,"paid")-F422&lt;Inputs!$C$44),1,0),0)</f>
        <v>0</v>
      </c>
    </row>
    <row r="423" customFormat="false" ht="15" hidden="false" customHeight="false" outlineLevel="0" collapsed="false">
      <c r="A423" s="102"/>
      <c r="B423" s="103"/>
      <c r="C423" s="103"/>
      <c r="D423" s="103"/>
      <c r="E423" s="103"/>
      <c r="F423" s="103"/>
      <c r="G423" s="103"/>
      <c r="H423" s="103"/>
      <c r="I423" s="103"/>
      <c r="T423" s="30" t="str">
        <f aca="false">IF(C423="","",IF(COUNTIFS(C$5:C423,C423,E$5:E423,E423)=1,1,0))</f>
        <v/>
      </c>
      <c r="U423" s="30" t="n">
        <f aca="false">IF(C423="",0,IF(AND(B423="brand",E423="budget_probe",N(F423)&gt;=Inputs!$C$124,H423="Y"),1,0))</f>
        <v>0</v>
      </c>
      <c r="V423" s="30" t="n">
        <f aca="false">IF(U423=1,IF(COUNTIFS(C$5:C423,C423,U$5:U423,1)=1,1,0),0)</f>
        <v>0</v>
      </c>
      <c r="W423" s="30" t="n">
        <f aca="false">IF(C423="",0,IF(AND(B423="office",E423="budget_probe",N(F423)&gt;=Inputs!$C$139),1,0))</f>
        <v>0</v>
      </c>
      <c r="X423" s="30" t="n">
        <f aca="false">IF(W423=1,IF(COUNTIFS(C$5:C423,C423,W$5:W423,1)=1,1,0),0)</f>
        <v>0</v>
      </c>
      <c r="Y423" s="30" t="n">
        <f aca="false">IF(C423="",0,IF(AND(B423="brand",E423="renewal_answer",TRIM(G423)="yes",N(F423)&gt;=Inputs!$C$135),1,0))</f>
        <v>0</v>
      </c>
      <c r="Z423" s="30" t="n">
        <f aca="false">IF(Y423=1,IF(COUNTIFS(C$5:C423,C423,Y$5:Y423,1)=1,1,0),0)</f>
        <v>0</v>
      </c>
      <c r="AA423" s="30" t="n">
        <f aca="false">IF(AND(E423="budget_probe",ISNUMBER(F423),I423&lt;&gt;Lists!$X$4),1,0)</f>
        <v>0</v>
      </c>
      <c r="AB423" s="30" t="str">
        <f aca="false">IF(AND(B423="office",AA423=1,COUNTIFS(C$5:C423,C423,AA$5:AA423,1)=1),F423,"")</f>
        <v/>
      </c>
      <c r="AC423" s="30" t="str">
        <f aca="false">IF(AND(B423="brand",AA423=1,COUNTIFS(C$5:C423,C423,AA$5:AA423,1)=1),F423,"")</f>
        <v/>
      </c>
      <c r="AD423" s="30" t="str">
        <f aca="false">IF(AND(B423="brand",E423="budget_probe",ISNUMBER(F423),I423=Lists!$X$4),IF(COUNTIFS(C$5:C423,C423,E$5:E423,"budget_probe",I$5:I423,Lists!$X$4)=1,F423,""),"")</f>
        <v/>
      </c>
      <c r="AE423" s="30" t="n">
        <f aca="false">IF(AND(B423="brand",E423="paid",ISNUMBER(F423)),IF(AND(SUMIFS(F$5:F423,B$5:B423,"brand",C$5:C423,C423,E$5:E423,"paid")&gt;=Inputs!$C$44,SUMIFS(F$5:F423,B$5:B423,"brand",C$5:C423,C423,E$5:E423,"paid")-F423&lt;Inputs!$C$44),1,0),0)</f>
        <v>0</v>
      </c>
    </row>
    <row r="424" customFormat="false" ht="15" hidden="false" customHeight="false" outlineLevel="0" collapsed="false">
      <c r="A424" s="102"/>
      <c r="B424" s="103"/>
      <c r="C424" s="103"/>
      <c r="D424" s="103"/>
      <c r="E424" s="103"/>
      <c r="F424" s="103"/>
      <c r="G424" s="103"/>
      <c r="H424" s="103"/>
      <c r="I424" s="103"/>
      <c r="T424" s="30" t="str">
        <f aca="false">IF(C424="","",IF(COUNTIFS(C$5:C424,C424,E$5:E424,E424)=1,1,0))</f>
        <v/>
      </c>
      <c r="U424" s="30" t="n">
        <f aca="false">IF(C424="",0,IF(AND(B424="brand",E424="budget_probe",N(F424)&gt;=Inputs!$C$124,H424="Y"),1,0))</f>
        <v>0</v>
      </c>
      <c r="V424" s="30" t="n">
        <f aca="false">IF(U424=1,IF(COUNTIFS(C$5:C424,C424,U$5:U424,1)=1,1,0),0)</f>
        <v>0</v>
      </c>
      <c r="W424" s="30" t="n">
        <f aca="false">IF(C424="",0,IF(AND(B424="office",E424="budget_probe",N(F424)&gt;=Inputs!$C$139),1,0))</f>
        <v>0</v>
      </c>
      <c r="X424" s="30" t="n">
        <f aca="false">IF(W424=1,IF(COUNTIFS(C$5:C424,C424,W$5:W424,1)=1,1,0),0)</f>
        <v>0</v>
      </c>
      <c r="Y424" s="30" t="n">
        <f aca="false">IF(C424="",0,IF(AND(B424="brand",E424="renewal_answer",TRIM(G424)="yes",N(F424)&gt;=Inputs!$C$135),1,0))</f>
        <v>0</v>
      </c>
      <c r="Z424" s="30" t="n">
        <f aca="false">IF(Y424=1,IF(COUNTIFS(C$5:C424,C424,Y$5:Y424,1)=1,1,0),0)</f>
        <v>0</v>
      </c>
      <c r="AA424" s="30" t="n">
        <f aca="false">IF(AND(E424="budget_probe",ISNUMBER(F424),I424&lt;&gt;Lists!$X$4),1,0)</f>
        <v>0</v>
      </c>
      <c r="AB424" s="30" t="str">
        <f aca="false">IF(AND(B424="office",AA424=1,COUNTIFS(C$5:C424,C424,AA$5:AA424,1)=1),F424,"")</f>
        <v/>
      </c>
      <c r="AC424" s="30" t="str">
        <f aca="false">IF(AND(B424="brand",AA424=1,COUNTIFS(C$5:C424,C424,AA$5:AA424,1)=1),F424,"")</f>
        <v/>
      </c>
      <c r="AD424" s="30" t="str">
        <f aca="false">IF(AND(B424="brand",E424="budget_probe",ISNUMBER(F424),I424=Lists!$X$4),IF(COUNTIFS(C$5:C424,C424,E$5:E424,"budget_probe",I$5:I424,Lists!$X$4)=1,F424,""),"")</f>
        <v/>
      </c>
      <c r="AE424" s="30" t="n">
        <f aca="false">IF(AND(B424="brand",E424="paid",ISNUMBER(F424)),IF(AND(SUMIFS(F$5:F424,B$5:B424,"brand",C$5:C424,C424,E$5:E424,"paid")&gt;=Inputs!$C$44,SUMIFS(F$5:F424,B$5:B424,"brand",C$5:C424,C424,E$5:E424,"paid")-F424&lt;Inputs!$C$44),1,0),0)</f>
        <v>0</v>
      </c>
    </row>
    <row r="425" customFormat="false" ht="15" hidden="false" customHeight="false" outlineLevel="0" collapsed="false">
      <c r="A425" s="102"/>
      <c r="B425" s="103"/>
      <c r="C425" s="103"/>
      <c r="D425" s="103"/>
      <c r="E425" s="103"/>
      <c r="F425" s="103"/>
      <c r="G425" s="103"/>
      <c r="H425" s="103"/>
      <c r="I425" s="103"/>
      <c r="T425" s="30" t="str">
        <f aca="false">IF(C425="","",IF(COUNTIFS(C$5:C425,C425,E$5:E425,E425)=1,1,0))</f>
        <v/>
      </c>
      <c r="U425" s="30" t="n">
        <f aca="false">IF(C425="",0,IF(AND(B425="brand",E425="budget_probe",N(F425)&gt;=Inputs!$C$124,H425="Y"),1,0))</f>
        <v>0</v>
      </c>
      <c r="V425" s="30" t="n">
        <f aca="false">IF(U425=1,IF(COUNTIFS(C$5:C425,C425,U$5:U425,1)=1,1,0),0)</f>
        <v>0</v>
      </c>
      <c r="W425" s="30" t="n">
        <f aca="false">IF(C425="",0,IF(AND(B425="office",E425="budget_probe",N(F425)&gt;=Inputs!$C$139),1,0))</f>
        <v>0</v>
      </c>
      <c r="X425" s="30" t="n">
        <f aca="false">IF(W425=1,IF(COUNTIFS(C$5:C425,C425,W$5:W425,1)=1,1,0),0)</f>
        <v>0</v>
      </c>
      <c r="Y425" s="30" t="n">
        <f aca="false">IF(C425="",0,IF(AND(B425="brand",E425="renewal_answer",TRIM(G425)="yes",N(F425)&gt;=Inputs!$C$135),1,0))</f>
        <v>0</v>
      </c>
      <c r="Z425" s="30" t="n">
        <f aca="false">IF(Y425=1,IF(COUNTIFS(C$5:C425,C425,Y$5:Y425,1)=1,1,0),0)</f>
        <v>0</v>
      </c>
      <c r="AA425" s="30" t="n">
        <f aca="false">IF(AND(E425="budget_probe",ISNUMBER(F425),I425&lt;&gt;Lists!$X$4),1,0)</f>
        <v>0</v>
      </c>
      <c r="AB425" s="30" t="str">
        <f aca="false">IF(AND(B425="office",AA425=1,COUNTIFS(C$5:C425,C425,AA$5:AA425,1)=1),F425,"")</f>
        <v/>
      </c>
      <c r="AC425" s="30" t="str">
        <f aca="false">IF(AND(B425="brand",AA425=1,COUNTIFS(C$5:C425,C425,AA$5:AA425,1)=1),F425,"")</f>
        <v/>
      </c>
      <c r="AD425" s="30" t="str">
        <f aca="false">IF(AND(B425="brand",E425="budget_probe",ISNUMBER(F425),I425=Lists!$X$4),IF(COUNTIFS(C$5:C425,C425,E$5:E425,"budget_probe",I$5:I425,Lists!$X$4)=1,F425,""),"")</f>
        <v/>
      </c>
      <c r="AE425" s="30" t="n">
        <f aca="false">IF(AND(B425="brand",E425="paid",ISNUMBER(F425)),IF(AND(SUMIFS(F$5:F425,B$5:B425,"brand",C$5:C425,C425,E$5:E425,"paid")&gt;=Inputs!$C$44,SUMIFS(F$5:F425,B$5:B425,"brand",C$5:C425,C425,E$5:E425,"paid")-F425&lt;Inputs!$C$44),1,0),0)</f>
        <v>0</v>
      </c>
    </row>
    <row r="426" customFormat="false" ht="15" hidden="false" customHeight="false" outlineLevel="0" collapsed="false">
      <c r="A426" s="102"/>
      <c r="B426" s="103"/>
      <c r="C426" s="103"/>
      <c r="D426" s="103"/>
      <c r="E426" s="103"/>
      <c r="F426" s="103"/>
      <c r="G426" s="103"/>
      <c r="H426" s="103"/>
      <c r="I426" s="103"/>
      <c r="T426" s="30" t="str">
        <f aca="false">IF(C426="","",IF(COUNTIFS(C$5:C426,C426,E$5:E426,E426)=1,1,0))</f>
        <v/>
      </c>
      <c r="U426" s="30" t="n">
        <f aca="false">IF(C426="",0,IF(AND(B426="brand",E426="budget_probe",N(F426)&gt;=Inputs!$C$124,H426="Y"),1,0))</f>
        <v>0</v>
      </c>
      <c r="V426" s="30" t="n">
        <f aca="false">IF(U426=1,IF(COUNTIFS(C$5:C426,C426,U$5:U426,1)=1,1,0),0)</f>
        <v>0</v>
      </c>
      <c r="W426" s="30" t="n">
        <f aca="false">IF(C426="",0,IF(AND(B426="office",E426="budget_probe",N(F426)&gt;=Inputs!$C$139),1,0))</f>
        <v>0</v>
      </c>
      <c r="X426" s="30" t="n">
        <f aca="false">IF(W426=1,IF(COUNTIFS(C$5:C426,C426,W$5:W426,1)=1,1,0),0)</f>
        <v>0</v>
      </c>
      <c r="Y426" s="30" t="n">
        <f aca="false">IF(C426="",0,IF(AND(B426="brand",E426="renewal_answer",TRIM(G426)="yes",N(F426)&gt;=Inputs!$C$135),1,0))</f>
        <v>0</v>
      </c>
      <c r="Z426" s="30" t="n">
        <f aca="false">IF(Y426=1,IF(COUNTIFS(C$5:C426,C426,Y$5:Y426,1)=1,1,0),0)</f>
        <v>0</v>
      </c>
      <c r="AA426" s="30" t="n">
        <f aca="false">IF(AND(E426="budget_probe",ISNUMBER(F426),I426&lt;&gt;Lists!$X$4),1,0)</f>
        <v>0</v>
      </c>
      <c r="AB426" s="30" t="str">
        <f aca="false">IF(AND(B426="office",AA426=1,COUNTIFS(C$5:C426,C426,AA$5:AA426,1)=1),F426,"")</f>
        <v/>
      </c>
      <c r="AC426" s="30" t="str">
        <f aca="false">IF(AND(B426="brand",AA426=1,COUNTIFS(C$5:C426,C426,AA$5:AA426,1)=1),F426,"")</f>
        <v/>
      </c>
      <c r="AD426" s="30" t="str">
        <f aca="false">IF(AND(B426="brand",E426="budget_probe",ISNUMBER(F426),I426=Lists!$X$4),IF(COUNTIFS(C$5:C426,C426,E$5:E426,"budget_probe",I$5:I426,Lists!$X$4)=1,F426,""),"")</f>
        <v/>
      </c>
      <c r="AE426" s="30" t="n">
        <f aca="false">IF(AND(B426="brand",E426="paid",ISNUMBER(F426)),IF(AND(SUMIFS(F$5:F426,B$5:B426,"brand",C$5:C426,C426,E$5:E426,"paid")&gt;=Inputs!$C$44,SUMIFS(F$5:F426,B$5:B426,"brand",C$5:C426,C426,E$5:E426,"paid")-F426&lt;Inputs!$C$44),1,0),0)</f>
        <v>0</v>
      </c>
    </row>
    <row r="427" customFormat="false" ht="15" hidden="false" customHeight="false" outlineLevel="0" collapsed="false">
      <c r="A427" s="102"/>
      <c r="B427" s="103"/>
      <c r="C427" s="103"/>
      <c r="D427" s="103"/>
      <c r="E427" s="103"/>
      <c r="F427" s="103"/>
      <c r="G427" s="103"/>
      <c r="H427" s="103"/>
      <c r="I427" s="103"/>
      <c r="T427" s="30" t="str">
        <f aca="false">IF(C427="","",IF(COUNTIFS(C$5:C427,C427,E$5:E427,E427)=1,1,0))</f>
        <v/>
      </c>
      <c r="U427" s="30" t="n">
        <f aca="false">IF(C427="",0,IF(AND(B427="brand",E427="budget_probe",N(F427)&gt;=Inputs!$C$124,H427="Y"),1,0))</f>
        <v>0</v>
      </c>
      <c r="V427" s="30" t="n">
        <f aca="false">IF(U427=1,IF(COUNTIFS(C$5:C427,C427,U$5:U427,1)=1,1,0),0)</f>
        <v>0</v>
      </c>
      <c r="W427" s="30" t="n">
        <f aca="false">IF(C427="",0,IF(AND(B427="office",E427="budget_probe",N(F427)&gt;=Inputs!$C$139),1,0))</f>
        <v>0</v>
      </c>
      <c r="X427" s="30" t="n">
        <f aca="false">IF(W427=1,IF(COUNTIFS(C$5:C427,C427,W$5:W427,1)=1,1,0),0)</f>
        <v>0</v>
      </c>
      <c r="Y427" s="30" t="n">
        <f aca="false">IF(C427="",0,IF(AND(B427="brand",E427="renewal_answer",TRIM(G427)="yes",N(F427)&gt;=Inputs!$C$135),1,0))</f>
        <v>0</v>
      </c>
      <c r="Z427" s="30" t="n">
        <f aca="false">IF(Y427=1,IF(COUNTIFS(C$5:C427,C427,Y$5:Y427,1)=1,1,0),0)</f>
        <v>0</v>
      </c>
      <c r="AA427" s="30" t="n">
        <f aca="false">IF(AND(E427="budget_probe",ISNUMBER(F427),I427&lt;&gt;Lists!$X$4),1,0)</f>
        <v>0</v>
      </c>
      <c r="AB427" s="30" t="str">
        <f aca="false">IF(AND(B427="office",AA427=1,COUNTIFS(C$5:C427,C427,AA$5:AA427,1)=1),F427,"")</f>
        <v/>
      </c>
      <c r="AC427" s="30" t="str">
        <f aca="false">IF(AND(B427="brand",AA427=1,COUNTIFS(C$5:C427,C427,AA$5:AA427,1)=1),F427,"")</f>
        <v/>
      </c>
      <c r="AD427" s="30" t="str">
        <f aca="false">IF(AND(B427="brand",E427="budget_probe",ISNUMBER(F427),I427=Lists!$X$4),IF(COUNTIFS(C$5:C427,C427,E$5:E427,"budget_probe",I$5:I427,Lists!$X$4)=1,F427,""),"")</f>
        <v/>
      </c>
      <c r="AE427" s="30" t="n">
        <f aca="false">IF(AND(B427="brand",E427="paid",ISNUMBER(F427)),IF(AND(SUMIFS(F$5:F427,B$5:B427,"brand",C$5:C427,C427,E$5:E427,"paid")&gt;=Inputs!$C$44,SUMIFS(F$5:F427,B$5:B427,"brand",C$5:C427,C427,E$5:E427,"paid")-F427&lt;Inputs!$C$44),1,0),0)</f>
        <v>0</v>
      </c>
    </row>
    <row r="428" customFormat="false" ht="15" hidden="false" customHeight="false" outlineLevel="0" collapsed="false">
      <c r="A428" s="102"/>
      <c r="B428" s="103"/>
      <c r="C428" s="103"/>
      <c r="D428" s="103"/>
      <c r="E428" s="103"/>
      <c r="F428" s="103"/>
      <c r="G428" s="103"/>
      <c r="H428" s="103"/>
      <c r="I428" s="103"/>
      <c r="T428" s="30" t="str">
        <f aca="false">IF(C428="","",IF(COUNTIFS(C$5:C428,C428,E$5:E428,E428)=1,1,0))</f>
        <v/>
      </c>
      <c r="U428" s="30" t="n">
        <f aca="false">IF(C428="",0,IF(AND(B428="brand",E428="budget_probe",N(F428)&gt;=Inputs!$C$124,H428="Y"),1,0))</f>
        <v>0</v>
      </c>
      <c r="V428" s="30" t="n">
        <f aca="false">IF(U428=1,IF(COUNTIFS(C$5:C428,C428,U$5:U428,1)=1,1,0),0)</f>
        <v>0</v>
      </c>
      <c r="W428" s="30" t="n">
        <f aca="false">IF(C428="",0,IF(AND(B428="office",E428="budget_probe",N(F428)&gt;=Inputs!$C$139),1,0))</f>
        <v>0</v>
      </c>
      <c r="X428" s="30" t="n">
        <f aca="false">IF(W428=1,IF(COUNTIFS(C$5:C428,C428,W$5:W428,1)=1,1,0),0)</f>
        <v>0</v>
      </c>
      <c r="Y428" s="30" t="n">
        <f aca="false">IF(C428="",0,IF(AND(B428="brand",E428="renewal_answer",TRIM(G428)="yes",N(F428)&gt;=Inputs!$C$135),1,0))</f>
        <v>0</v>
      </c>
      <c r="Z428" s="30" t="n">
        <f aca="false">IF(Y428=1,IF(COUNTIFS(C$5:C428,C428,Y$5:Y428,1)=1,1,0),0)</f>
        <v>0</v>
      </c>
      <c r="AA428" s="30" t="n">
        <f aca="false">IF(AND(E428="budget_probe",ISNUMBER(F428),I428&lt;&gt;Lists!$X$4),1,0)</f>
        <v>0</v>
      </c>
      <c r="AB428" s="30" t="str">
        <f aca="false">IF(AND(B428="office",AA428=1,COUNTIFS(C$5:C428,C428,AA$5:AA428,1)=1),F428,"")</f>
        <v/>
      </c>
      <c r="AC428" s="30" t="str">
        <f aca="false">IF(AND(B428="brand",AA428=1,COUNTIFS(C$5:C428,C428,AA$5:AA428,1)=1),F428,"")</f>
        <v/>
      </c>
      <c r="AD428" s="30" t="str">
        <f aca="false">IF(AND(B428="brand",E428="budget_probe",ISNUMBER(F428),I428=Lists!$X$4),IF(COUNTIFS(C$5:C428,C428,E$5:E428,"budget_probe",I$5:I428,Lists!$X$4)=1,F428,""),"")</f>
        <v/>
      </c>
      <c r="AE428" s="30" t="n">
        <f aca="false">IF(AND(B428="brand",E428="paid",ISNUMBER(F428)),IF(AND(SUMIFS(F$5:F428,B$5:B428,"brand",C$5:C428,C428,E$5:E428,"paid")&gt;=Inputs!$C$44,SUMIFS(F$5:F428,B$5:B428,"brand",C$5:C428,C428,E$5:E428,"paid")-F428&lt;Inputs!$C$44),1,0),0)</f>
        <v>0</v>
      </c>
    </row>
    <row r="429" customFormat="false" ht="15" hidden="false" customHeight="false" outlineLevel="0" collapsed="false">
      <c r="A429" s="102"/>
      <c r="B429" s="103"/>
      <c r="C429" s="103"/>
      <c r="D429" s="103"/>
      <c r="E429" s="103"/>
      <c r="F429" s="103"/>
      <c r="G429" s="103"/>
      <c r="H429" s="103"/>
      <c r="I429" s="103"/>
      <c r="T429" s="30" t="str">
        <f aca="false">IF(C429="","",IF(COUNTIFS(C$5:C429,C429,E$5:E429,E429)=1,1,0))</f>
        <v/>
      </c>
      <c r="U429" s="30" t="n">
        <f aca="false">IF(C429="",0,IF(AND(B429="brand",E429="budget_probe",N(F429)&gt;=Inputs!$C$124,H429="Y"),1,0))</f>
        <v>0</v>
      </c>
      <c r="V429" s="30" t="n">
        <f aca="false">IF(U429=1,IF(COUNTIFS(C$5:C429,C429,U$5:U429,1)=1,1,0),0)</f>
        <v>0</v>
      </c>
      <c r="W429" s="30" t="n">
        <f aca="false">IF(C429="",0,IF(AND(B429="office",E429="budget_probe",N(F429)&gt;=Inputs!$C$139),1,0))</f>
        <v>0</v>
      </c>
      <c r="X429" s="30" t="n">
        <f aca="false">IF(W429=1,IF(COUNTIFS(C$5:C429,C429,W$5:W429,1)=1,1,0),0)</f>
        <v>0</v>
      </c>
      <c r="Y429" s="30" t="n">
        <f aca="false">IF(C429="",0,IF(AND(B429="brand",E429="renewal_answer",TRIM(G429)="yes",N(F429)&gt;=Inputs!$C$135),1,0))</f>
        <v>0</v>
      </c>
      <c r="Z429" s="30" t="n">
        <f aca="false">IF(Y429=1,IF(COUNTIFS(C$5:C429,C429,Y$5:Y429,1)=1,1,0),0)</f>
        <v>0</v>
      </c>
      <c r="AA429" s="30" t="n">
        <f aca="false">IF(AND(E429="budget_probe",ISNUMBER(F429),I429&lt;&gt;Lists!$X$4),1,0)</f>
        <v>0</v>
      </c>
      <c r="AB429" s="30" t="str">
        <f aca="false">IF(AND(B429="office",AA429=1,COUNTIFS(C$5:C429,C429,AA$5:AA429,1)=1),F429,"")</f>
        <v/>
      </c>
      <c r="AC429" s="30" t="str">
        <f aca="false">IF(AND(B429="brand",AA429=1,COUNTIFS(C$5:C429,C429,AA$5:AA429,1)=1),F429,"")</f>
        <v/>
      </c>
      <c r="AD429" s="30" t="str">
        <f aca="false">IF(AND(B429="brand",E429="budget_probe",ISNUMBER(F429),I429=Lists!$X$4),IF(COUNTIFS(C$5:C429,C429,E$5:E429,"budget_probe",I$5:I429,Lists!$X$4)=1,F429,""),"")</f>
        <v/>
      </c>
      <c r="AE429" s="30" t="n">
        <f aca="false">IF(AND(B429="brand",E429="paid",ISNUMBER(F429)),IF(AND(SUMIFS(F$5:F429,B$5:B429,"brand",C$5:C429,C429,E$5:E429,"paid")&gt;=Inputs!$C$44,SUMIFS(F$5:F429,B$5:B429,"brand",C$5:C429,C429,E$5:E429,"paid")-F429&lt;Inputs!$C$44),1,0),0)</f>
        <v>0</v>
      </c>
    </row>
    <row r="430" customFormat="false" ht="15" hidden="false" customHeight="false" outlineLevel="0" collapsed="false">
      <c r="A430" s="102"/>
      <c r="B430" s="103"/>
      <c r="C430" s="103"/>
      <c r="D430" s="103"/>
      <c r="E430" s="103"/>
      <c r="F430" s="103"/>
      <c r="G430" s="103"/>
      <c r="H430" s="103"/>
      <c r="I430" s="103"/>
      <c r="T430" s="30" t="str">
        <f aca="false">IF(C430="","",IF(COUNTIFS(C$5:C430,C430,E$5:E430,E430)=1,1,0))</f>
        <v/>
      </c>
      <c r="U430" s="30" t="n">
        <f aca="false">IF(C430="",0,IF(AND(B430="brand",E430="budget_probe",N(F430)&gt;=Inputs!$C$124,H430="Y"),1,0))</f>
        <v>0</v>
      </c>
      <c r="V430" s="30" t="n">
        <f aca="false">IF(U430=1,IF(COUNTIFS(C$5:C430,C430,U$5:U430,1)=1,1,0),0)</f>
        <v>0</v>
      </c>
      <c r="W430" s="30" t="n">
        <f aca="false">IF(C430="",0,IF(AND(B430="office",E430="budget_probe",N(F430)&gt;=Inputs!$C$139),1,0))</f>
        <v>0</v>
      </c>
      <c r="X430" s="30" t="n">
        <f aca="false">IF(W430=1,IF(COUNTIFS(C$5:C430,C430,W$5:W430,1)=1,1,0),0)</f>
        <v>0</v>
      </c>
      <c r="Y430" s="30" t="n">
        <f aca="false">IF(C430="",0,IF(AND(B430="brand",E430="renewal_answer",TRIM(G430)="yes",N(F430)&gt;=Inputs!$C$135),1,0))</f>
        <v>0</v>
      </c>
      <c r="Z430" s="30" t="n">
        <f aca="false">IF(Y430=1,IF(COUNTIFS(C$5:C430,C430,Y$5:Y430,1)=1,1,0),0)</f>
        <v>0</v>
      </c>
      <c r="AA430" s="30" t="n">
        <f aca="false">IF(AND(E430="budget_probe",ISNUMBER(F430),I430&lt;&gt;Lists!$X$4),1,0)</f>
        <v>0</v>
      </c>
      <c r="AB430" s="30" t="str">
        <f aca="false">IF(AND(B430="office",AA430=1,COUNTIFS(C$5:C430,C430,AA$5:AA430,1)=1),F430,"")</f>
        <v/>
      </c>
      <c r="AC430" s="30" t="str">
        <f aca="false">IF(AND(B430="brand",AA430=1,COUNTIFS(C$5:C430,C430,AA$5:AA430,1)=1),F430,"")</f>
        <v/>
      </c>
      <c r="AD430" s="30" t="str">
        <f aca="false">IF(AND(B430="brand",E430="budget_probe",ISNUMBER(F430),I430=Lists!$X$4),IF(COUNTIFS(C$5:C430,C430,E$5:E430,"budget_probe",I$5:I430,Lists!$X$4)=1,F430,""),"")</f>
        <v/>
      </c>
      <c r="AE430" s="30" t="n">
        <f aca="false">IF(AND(B430="brand",E430="paid",ISNUMBER(F430)),IF(AND(SUMIFS(F$5:F430,B$5:B430,"brand",C$5:C430,C430,E$5:E430,"paid")&gt;=Inputs!$C$44,SUMIFS(F$5:F430,B$5:B430,"brand",C$5:C430,C430,E$5:E430,"paid")-F430&lt;Inputs!$C$44),1,0),0)</f>
        <v>0</v>
      </c>
    </row>
    <row r="431" customFormat="false" ht="15" hidden="false" customHeight="false" outlineLevel="0" collapsed="false">
      <c r="A431" s="102"/>
      <c r="B431" s="103"/>
      <c r="C431" s="103"/>
      <c r="D431" s="103"/>
      <c r="E431" s="103"/>
      <c r="F431" s="103"/>
      <c r="G431" s="103"/>
      <c r="H431" s="103"/>
      <c r="I431" s="103"/>
      <c r="T431" s="30" t="str">
        <f aca="false">IF(C431="","",IF(COUNTIFS(C$5:C431,C431,E$5:E431,E431)=1,1,0))</f>
        <v/>
      </c>
      <c r="U431" s="30" t="n">
        <f aca="false">IF(C431="",0,IF(AND(B431="brand",E431="budget_probe",N(F431)&gt;=Inputs!$C$124,H431="Y"),1,0))</f>
        <v>0</v>
      </c>
      <c r="V431" s="30" t="n">
        <f aca="false">IF(U431=1,IF(COUNTIFS(C$5:C431,C431,U$5:U431,1)=1,1,0),0)</f>
        <v>0</v>
      </c>
      <c r="W431" s="30" t="n">
        <f aca="false">IF(C431="",0,IF(AND(B431="office",E431="budget_probe",N(F431)&gt;=Inputs!$C$139),1,0))</f>
        <v>0</v>
      </c>
      <c r="X431" s="30" t="n">
        <f aca="false">IF(W431=1,IF(COUNTIFS(C$5:C431,C431,W$5:W431,1)=1,1,0),0)</f>
        <v>0</v>
      </c>
      <c r="Y431" s="30" t="n">
        <f aca="false">IF(C431="",0,IF(AND(B431="brand",E431="renewal_answer",TRIM(G431)="yes",N(F431)&gt;=Inputs!$C$135),1,0))</f>
        <v>0</v>
      </c>
      <c r="Z431" s="30" t="n">
        <f aca="false">IF(Y431=1,IF(COUNTIFS(C$5:C431,C431,Y$5:Y431,1)=1,1,0),0)</f>
        <v>0</v>
      </c>
      <c r="AA431" s="30" t="n">
        <f aca="false">IF(AND(E431="budget_probe",ISNUMBER(F431),I431&lt;&gt;Lists!$X$4),1,0)</f>
        <v>0</v>
      </c>
      <c r="AB431" s="30" t="str">
        <f aca="false">IF(AND(B431="office",AA431=1,COUNTIFS(C$5:C431,C431,AA$5:AA431,1)=1),F431,"")</f>
        <v/>
      </c>
      <c r="AC431" s="30" t="str">
        <f aca="false">IF(AND(B431="brand",AA431=1,COUNTIFS(C$5:C431,C431,AA$5:AA431,1)=1),F431,"")</f>
        <v/>
      </c>
      <c r="AD431" s="30" t="str">
        <f aca="false">IF(AND(B431="brand",E431="budget_probe",ISNUMBER(F431),I431=Lists!$X$4),IF(COUNTIFS(C$5:C431,C431,E$5:E431,"budget_probe",I$5:I431,Lists!$X$4)=1,F431,""),"")</f>
        <v/>
      </c>
      <c r="AE431" s="30" t="n">
        <f aca="false">IF(AND(B431="brand",E431="paid",ISNUMBER(F431)),IF(AND(SUMIFS(F$5:F431,B$5:B431,"brand",C$5:C431,C431,E$5:E431,"paid")&gt;=Inputs!$C$44,SUMIFS(F$5:F431,B$5:B431,"brand",C$5:C431,C431,E$5:E431,"paid")-F431&lt;Inputs!$C$44),1,0),0)</f>
        <v>0</v>
      </c>
    </row>
    <row r="432" customFormat="false" ht="15" hidden="false" customHeight="false" outlineLevel="0" collapsed="false">
      <c r="A432" s="102"/>
      <c r="B432" s="103"/>
      <c r="C432" s="103"/>
      <c r="D432" s="103"/>
      <c r="E432" s="103"/>
      <c r="F432" s="103"/>
      <c r="G432" s="103"/>
      <c r="H432" s="103"/>
      <c r="I432" s="103"/>
      <c r="T432" s="30" t="str">
        <f aca="false">IF(C432="","",IF(COUNTIFS(C$5:C432,C432,E$5:E432,E432)=1,1,0))</f>
        <v/>
      </c>
      <c r="U432" s="30" t="n">
        <f aca="false">IF(C432="",0,IF(AND(B432="brand",E432="budget_probe",N(F432)&gt;=Inputs!$C$124,H432="Y"),1,0))</f>
        <v>0</v>
      </c>
      <c r="V432" s="30" t="n">
        <f aca="false">IF(U432=1,IF(COUNTIFS(C$5:C432,C432,U$5:U432,1)=1,1,0),0)</f>
        <v>0</v>
      </c>
      <c r="W432" s="30" t="n">
        <f aca="false">IF(C432="",0,IF(AND(B432="office",E432="budget_probe",N(F432)&gt;=Inputs!$C$139),1,0))</f>
        <v>0</v>
      </c>
      <c r="X432" s="30" t="n">
        <f aca="false">IF(W432=1,IF(COUNTIFS(C$5:C432,C432,W$5:W432,1)=1,1,0),0)</f>
        <v>0</v>
      </c>
      <c r="Y432" s="30" t="n">
        <f aca="false">IF(C432="",0,IF(AND(B432="brand",E432="renewal_answer",TRIM(G432)="yes",N(F432)&gt;=Inputs!$C$135),1,0))</f>
        <v>0</v>
      </c>
      <c r="Z432" s="30" t="n">
        <f aca="false">IF(Y432=1,IF(COUNTIFS(C$5:C432,C432,Y$5:Y432,1)=1,1,0),0)</f>
        <v>0</v>
      </c>
      <c r="AA432" s="30" t="n">
        <f aca="false">IF(AND(E432="budget_probe",ISNUMBER(F432),I432&lt;&gt;Lists!$X$4),1,0)</f>
        <v>0</v>
      </c>
      <c r="AB432" s="30" t="str">
        <f aca="false">IF(AND(B432="office",AA432=1,COUNTIFS(C$5:C432,C432,AA$5:AA432,1)=1),F432,"")</f>
        <v/>
      </c>
      <c r="AC432" s="30" t="str">
        <f aca="false">IF(AND(B432="brand",AA432=1,COUNTIFS(C$5:C432,C432,AA$5:AA432,1)=1),F432,"")</f>
        <v/>
      </c>
      <c r="AD432" s="30" t="str">
        <f aca="false">IF(AND(B432="brand",E432="budget_probe",ISNUMBER(F432),I432=Lists!$X$4),IF(COUNTIFS(C$5:C432,C432,E$5:E432,"budget_probe",I$5:I432,Lists!$X$4)=1,F432,""),"")</f>
        <v/>
      </c>
      <c r="AE432" s="30" t="n">
        <f aca="false">IF(AND(B432="brand",E432="paid",ISNUMBER(F432)),IF(AND(SUMIFS(F$5:F432,B$5:B432,"brand",C$5:C432,C432,E$5:E432,"paid")&gt;=Inputs!$C$44,SUMIFS(F$5:F432,B$5:B432,"brand",C$5:C432,C432,E$5:E432,"paid")-F432&lt;Inputs!$C$44),1,0),0)</f>
        <v>0</v>
      </c>
    </row>
    <row r="433" customFormat="false" ht="15" hidden="false" customHeight="false" outlineLevel="0" collapsed="false">
      <c r="A433" s="102"/>
      <c r="B433" s="103"/>
      <c r="C433" s="103"/>
      <c r="D433" s="103"/>
      <c r="E433" s="103"/>
      <c r="F433" s="103"/>
      <c r="G433" s="103"/>
      <c r="H433" s="103"/>
      <c r="I433" s="103"/>
      <c r="T433" s="30" t="str">
        <f aca="false">IF(C433="","",IF(COUNTIFS(C$5:C433,C433,E$5:E433,E433)=1,1,0))</f>
        <v/>
      </c>
      <c r="U433" s="30" t="n">
        <f aca="false">IF(C433="",0,IF(AND(B433="brand",E433="budget_probe",N(F433)&gt;=Inputs!$C$124,H433="Y"),1,0))</f>
        <v>0</v>
      </c>
      <c r="V433" s="30" t="n">
        <f aca="false">IF(U433=1,IF(COUNTIFS(C$5:C433,C433,U$5:U433,1)=1,1,0),0)</f>
        <v>0</v>
      </c>
      <c r="W433" s="30" t="n">
        <f aca="false">IF(C433="",0,IF(AND(B433="office",E433="budget_probe",N(F433)&gt;=Inputs!$C$139),1,0))</f>
        <v>0</v>
      </c>
      <c r="X433" s="30" t="n">
        <f aca="false">IF(W433=1,IF(COUNTIFS(C$5:C433,C433,W$5:W433,1)=1,1,0),0)</f>
        <v>0</v>
      </c>
      <c r="Y433" s="30" t="n">
        <f aca="false">IF(C433="",0,IF(AND(B433="brand",E433="renewal_answer",TRIM(G433)="yes",N(F433)&gt;=Inputs!$C$135),1,0))</f>
        <v>0</v>
      </c>
      <c r="Z433" s="30" t="n">
        <f aca="false">IF(Y433=1,IF(COUNTIFS(C$5:C433,C433,Y$5:Y433,1)=1,1,0),0)</f>
        <v>0</v>
      </c>
      <c r="AA433" s="30" t="n">
        <f aca="false">IF(AND(E433="budget_probe",ISNUMBER(F433),I433&lt;&gt;Lists!$X$4),1,0)</f>
        <v>0</v>
      </c>
      <c r="AB433" s="30" t="str">
        <f aca="false">IF(AND(B433="office",AA433=1,COUNTIFS(C$5:C433,C433,AA$5:AA433,1)=1),F433,"")</f>
        <v/>
      </c>
      <c r="AC433" s="30" t="str">
        <f aca="false">IF(AND(B433="brand",AA433=1,COUNTIFS(C$5:C433,C433,AA$5:AA433,1)=1),F433,"")</f>
        <v/>
      </c>
      <c r="AD433" s="30" t="str">
        <f aca="false">IF(AND(B433="brand",E433="budget_probe",ISNUMBER(F433),I433=Lists!$X$4),IF(COUNTIFS(C$5:C433,C433,E$5:E433,"budget_probe",I$5:I433,Lists!$X$4)=1,F433,""),"")</f>
        <v/>
      </c>
      <c r="AE433" s="30" t="n">
        <f aca="false">IF(AND(B433="brand",E433="paid",ISNUMBER(F433)),IF(AND(SUMIFS(F$5:F433,B$5:B433,"brand",C$5:C433,C433,E$5:E433,"paid")&gt;=Inputs!$C$44,SUMIFS(F$5:F433,B$5:B433,"brand",C$5:C433,C433,E$5:E433,"paid")-F433&lt;Inputs!$C$44),1,0),0)</f>
        <v>0</v>
      </c>
    </row>
    <row r="434" customFormat="false" ht="15" hidden="false" customHeight="false" outlineLevel="0" collapsed="false">
      <c r="A434" s="102"/>
      <c r="B434" s="103"/>
      <c r="C434" s="103"/>
      <c r="D434" s="103"/>
      <c r="E434" s="103"/>
      <c r="F434" s="103"/>
      <c r="G434" s="103"/>
      <c r="H434" s="103"/>
      <c r="I434" s="103"/>
      <c r="T434" s="30" t="str">
        <f aca="false">IF(C434="","",IF(COUNTIFS(C$5:C434,C434,E$5:E434,E434)=1,1,0))</f>
        <v/>
      </c>
      <c r="U434" s="30" t="n">
        <f aca="false">IF(C434="",0,IF(AND(B434="brand",E434="budget_probe",N(F434)&gt;=Inputs!$C$124,H434="Y"),1,0))</f>
        <v>0</v>
      </c>
      <c r="V434" s="30" t="n">
        <f aca="false">IF(U434=1,IF(COUNTIFS(C$5:C434,C434,U$5:U434,1)=1,1,0),0)</f>
        <v>0</v>
      </c>
      <c r="W434" s="30" t="n">
        <f aca="false">IF(C434="",0,IF(AND(B434="office",E434="budget_probe",N(F434)&gt;=Inputs!$C$139),1,0))</f>
        <v>0</v>
      </c>
      <c r="X434" s="30" t="n">
        <f aca="false">IF(W434=1,IF(COUNTIFS(C$5:C434,C434,W$5:W434,1)=1,1,0),0)</f>
        <v>0</v>
      </c>
      <c r="Y434" s="30" t="n">
        <f aca="false">IF(C434="",0,IF(AND(B434="brand",E434="renewal_answer",TRIM(G434)="yes",N(F434)&gt;=Inputs!$C$135),1,0))</f>
        <v>0</v>
      </c>
      <c r="Z434" s="30" t="n">
        <f aca="false">IF(Y434=1,IF(COUNTIFS(C$5:C434,C434,Y$5:Y434,1)=1,1,0),0)</f>
        <v>0</v>
      </c>
      <c r="AA434" s="30" t="n">
        <f aca="false">IF(AND(E434="budget_probe",ISNUMBER(F434),I434&lt;&gt;Lists!$X$4),1,0)</f>
        <v>0</v>
      </c>
      <c r="AB434" s="30" t="str">
        <f aca="false">IF(AND(B434="office",AA434=1,COUNTIFS(C$5:C434,C434,AA$5:AA434,1)=1),F434,"")</f>
        <v/>
      </c>
      <c r="AC434" s="30" t="str">
        <f aca="false">IF(AND(B434="brand",AA434=1,COUNTIFS(C$5:C434,C434,AA$5:AA434,1)=1),F434,"")</f>
        <v/>
      </c>
      <c r="AD434" s="30" t="str">
        <f aca="false">IF(AND(B434="brand",E434="budget_probe",ISNUMBER(F434),I434=Lists!$X$4),IF(COUNTIFS(C$5:C434,C434,E$5:E434,"budget_probe",I$5:I434,Lists!$X$4)=1,F434,""),"")</f>
        <v/>
      </c>
      <c r="AE434" s="30" t="n">
        <f aca="false">IF(AND(B434="brand",E434="paid",ISNUMBER(F434)),IF(AND(SUMIFS(F$5:F434,B$5:B434,"brand",C$5:C434,C434,E$5:E434,"paid")&gt;=Inputs!$C$44,SUMIFS(F$5:F434,B$5:B434,"brand",C$5:C434,C434,E$5:E434,"paid")-F434&lt;Inputs!$C$44),1,0),0)</f>
        <v>0</v>
      </c>
    </row>
    <row r="435" customFormat="false" ht="15" hidden="false" customHeight="false" outlineLevel="0" collapsed="false">
      <c r="A435" s="102"/>
      <c r="B435" s="103"/>
      <c r="C435" s="103"/>
      <c r="D435" s="103"/>
      <c r="E435" s="103"/>
      <c r="F435" s="103"/>
      <c r="G435" s="103"/>
      <c r="H435" s="103"/>
      <c r="I435" s="103"/>
      <c r="T435" s="30" t="str">
        <f aca="false">IF(C435="","",IF(COUNTIFS(C$5:C435,C435,E$5:E435,E435)=1,1,0))</f>
        <v/>
      </c>
      <c r="U435" s="30" t="n">
        <f aca="false">IF(C435="",0,IF(AND(B435="brand",E435="budget_probe",N(F435)&gt;=Inputs!$C$124,H435="Y"),1,0))</f>
        <v>0</v>
      </c>
      <c r="V435" s="30" t="n">
        <f aca="false">IF(U435=1,IF(COUNTIFS(C$5:C435,C435,U$5:U435,1)=1,1,0),0)</f>
        <v>0</v>
      </c>
      <c r="W435" s="30" t="n">
        <f aca="false">IF(C435="",0,IF(AND(B435="office",E435="budget_probe",N(F435)&gt;=Inputs!$C$139),1,0))</f>
        <v>0</v>
      </c>
      <c r="X435" s="30" t="n">
        <f aca="false">IF(W435=1,IF(COUNTIFS(C$5:C435,C435,W$5:W435,1)=1,1,0),0)</f>
        <v>0</v>
      </c>
      <c r="Y435" s="30" t="n">
        <f aca="false">IF(C435="",0,IF(AND(B435="brand",E435="renewal_answer",TRIM(G435)="yes",N(F435)&gt;=Inputs!$C$135),1,0))</f>
        <v>0</v>
      </c>
      <c r="Z435" s="30" t="n">
        <f aca="false">IF(Y435=1,IF(COUNTIFS(C$5:C435,C435,Y$5:Y435,1)=1,1,0),0)</f>
        <v>0</v>
      </c>
      <c r="AA435" s="30" t="n">
        <f aca="false">IF(AND(E435="budget_probe",ISNUMBER(F435),I435&lt;&gt;Lists!$X$4),1,0)</f>
        <v>0</v>
      </c>
      <c r="AB435" s="30" t="str">
        <f aca="false">IF(AND(B435="office",AA435=1,COUNTIFS(C$5:C435,C435,AA$5:AA435,1)=1),F435,"")</f>
        <v/>
      </c>
      <c r="AC435" s="30" t="str">
        <f aca="false">IF(AND(B435="brand",AA435=1,COUNTIFS(C$5:C435,C435,AA$5:AA435,1)=1),F435,"")</f>
        <v/>
      </c>
      <c r="AD435" s="30" t="str">
        <f aca="false">IF(AND(B435="brand",E435="budget_probe",ISNUMBER(F435),I435=Lists!$X$4),IF(COUNTIFS(C$5:C435,C435,E$5:E435,"budget_probe",I$5:I435,Lists!$X$4)=1,F435,""),"")</f>
        <v/>
      </c>
      <c r="AE435" s="30" t="n">
        <f aca="false">IF(AND(B435="brand",E435="paid",ISNUMBER(F435)),IF(AND(SUMIFS(F$5:F435,B$5:B435,"brand",C$5:C435,C435,E$5:E435,"paid")&gt;=Inputs!$C$44,SUMIFS(F$5:F435,B$5:B435,"brand",C$5:C435,C435,E$5:E435,"paid")-F435&lt;Inputs!$C$44),1,0),0)</f>
        <v>0</v>
      </c>
    </row>
    <row r="436" customFormat="false" ht="15" hidden="false" customHeight="false" outlineLevel="0" collapsed="false">
      <c r="A436" s="102"/>
      <c r="B436" s="103"/>
      <c r="C436" s="103"/>
      <c r="D436" s="103"/>
      <c r="E436" s="103"/>
      <c r="F436" s="103"/>
      <c r="G436" s="103"/>
      <c r="H436" s="103"/>
      <c r="I436" s="103"/>
      <c r="T436" s="30" t="str">
        <f aca="false">IF(C436="","",IF(COUNTIFS(C$5:C436,C436,E$5:E436,E436)=1,1,0))</f>
        <v/>
      </c>
      <c r="U436" s="30" t="n">
        <f aca="false">IF(C436="",0,IF(AND(B436="brand",E436="budget_probe",N(F436)&gt;=Inputs!$C$124,H436="Y"),1,0))</f>
        <v>0</v>
      </c>
      <c r="V436" s="30" t="n">
        <f aca="false">IF(U436=1,IF(COUNTIFS(C$5:C436,C436,U$5:U436,1)=1,1,0),0)</f>
        <v>0</v>
      </c>
      <c r="W436" s="30" t="n">
        <f aca="false">IF(C436="",0,IF(AND(B436="office",E436="budget_probe",N(F436)&gt;=Inputs!$C$139),1,0))</f>
        <v>0</v>
      </c>
      <c r="X436" s="30" t="n">
        <f aca="false">IF(W436=1,IF(COUNTIFS(C$5:C436,C436,W$5:W436,1)=1,1,0),0)</f>
        <v>0</v>
      </c>
      <c r="Y436" s="30" t="n">
        <f aca="false">IF(C436="",0,IF(AND(B436="brand",E436="renewal_answer",TRIM(G436)="yes",N(F436)&gt;=Inputs!$C$135),1,0))</f>
        <v>0</v>
      </c>
      <c r="Z436" s="30" t="n">
        <f aca="false">IF(Y436=1,IF(COUNTIFS(C$5:C436,C436,Y$5:Y436,1)=1,1,0),0)</f>
        <v>0</v>
      </c>
      <c r="AA436" s="30" t="n">
        <f aca="false">IF(AND(E436="budget_probe",ISNUMBER(F436),I436&lt;&gt;Lists!$X$4),1,0)</f>
        <v>0</v>
      </c>
      <c r="AB436" s="30" t="str">
        <f aca="false">IF(AND(B436="office",AA436=1,COUNTIFS(C$5:C436,C436,AA$5:AA436,1)=1),F436,"")</f>
        <v/>
      </c>
      <c r="AC436" s="30" t="str">
        <f aca="false">IF(AND(B436="brand",AA436=1,COUNTIFS(C$5:C436,C436,AA$5:AA436,1)=1),F436,"")</f>
        <v/>
      </c>
      <c r="AD436" s="30" t="str">
        <f aca="false">IF(AND(B436="brand",E436="budget_probe",ISNUMBER(F436),I436=Lists!$X$4),IF(COUNTIFS(C$5:C436,C436,E$5:E436,"budget_probe",I$5:I436,Lists!$X$4)=1,F436,""),"")</f>
        <v/>
      </c>
      <c r="AE436" s="30" t="n">
        <f aca="false">IF(AND(B436="brand",E436="paid",ISNUMBER(F436)),IF(AND(SUMIFS(F$5:F436,B$5:B436,"brand",C$5:C436,C436,E$5:E436,"paid")&gt;=Inputs!$C$44,SUMIFS(F$5:F436,B$5:B436,"brand",C$5:C436,C436,E$5:E436,"paid")-F436&lt;Inputs!$C$44),1,0),0)</f>
        <v>0</v>
      </c>
    </row>
    <row r="437" customFormat="false" ht="15" hidden="false" customHeight="false" outlineLevel="0" collapsed="false">
      <c r="A437" s="102"/>
      <c r="B437" s="103"/>
      <c r="C437" s="103"/>
      <c r="D437" s="103"/>
      <c r="E437" s="103"/>
      <c r="F437" s="103"/>
      <c r="G437" s="103"/>
      <c r="H437" s="103"/>
      <c r="I437" s="103"/>
      <c r="T437" s="30" t="str">
        <f aca="false">IF(C437="","",IF(COUNTIFS(C$5:C437,C437,E$5:E437,E437)=1,1,0))</f>
        <v/>
      </c>
      <c r="U437" s="30" t="n">
        <f aca="false">IF(C437="",0,IF(AND(B437="brand",E437="budget_probe",N(F437)&gt;=Inputs!$C$124,H437="Y"),1,0))</f>
        <v>0</v>
      </c>
      <c r="V437" s="30" t="n">
        <f aca="false">IF(U437=1,IF(COUNTIFS(C$5:C437,C437,U$5:U437,1)=1,1,0),0)</f>
        <v>0</v>
      </c>
      <c r="W437" s="30" t="n">
        <f aca="false">IF(C437="",0,IF(AND(B437="office",E437="budget_probe",N(F437)&gt;=Inputs!$C$139),1,0))</f>
        <v>0</v>
      </c>
      <c r="X437" s="30" t="n">
        <f aca="false">IF(W437=1,IF(COUNTIFS(C$5:C437,C437,W$5:W437,1)=1,1,0),0)</f>
        <v>0</v>
      </c>
      <c r="Y437" s="30" t="n">
        <f aca="false">IF(C437="",0,IF(AND(B437="brand",E437="renewal_answer",TRIM(G437)="yes",N(F437)&gt;=Inputs!$C$135),1,0))</f>
        <v>0</v>
      </c>
      <c r="Z437" s="30" t="n">
        <f aca="false">IF(Y437=1,IF(COUNTIFS(C$5:C437,C437,Y$5:Y437,1)=1,1,0),0)</f>
        <v>0</v>
      </c>
      <c r="AA437" s="30" t="n">
        <f aca="false">IF(AND(E437="budget_probe",ISNUMBER(F437),I437&lt;&gt;Lists!$X$4),1,0)</f>
        <v>0</v>
      </c>
      <c r="AB437" s="30" t="str">
        <f aca="false">IF(AND(B437="office",AA437=1,COUNTIFS(C$5:C437,C437,AA$5:AA437,1)=1),F437,"")</f>
        <v/>
      </c>
      <c r="AC437" s="30" t="str">
        <f aca="false">IF(AND(B437="brand",AA437=1,COUNTIFS(C$5:C437,C437,AA$5:AA437,1)=1),F437,"")</f>
        <v/>
      </c>
      <c r="AD437" s="30" t="str">
        <f aca="false">IF(AND(B437="brand",E437="budget_probe",ISNUMBER(F437),I437=Lists!$X$4),IF(COUNTIFS(C$5:C437,C437,E$5:E437,"budget_probe",I$5:I437,Lists!$X$4)=1,F437,""),"")</f>
        <v/>
      </c>
      <c r="AE437" s="30" t="n">
        <f aca="false">IF(AND(B437="brand",E437="paid",ISNUMBER(F437)),IF(AND(SUMIFS(F$5:F437,B$5:B437,"brand",C$5:C437,C437,E$5:E437,"paid")&gt;=Inputs!$C$44,SUMIFS(F$5:F437,B$5:B437,"brand",C$5:C437,C437,E$5:E437,"paid")-F437&lt;Inputs!$C$44),1,0),0)</f>
        <v>0</v>
      </c>
    </row>
    <row r="438" customFormat="false" ht="15" hidden="false" customHeight="false" outlineLevel="0" collapsed="false">
      <c r="A438" s="102"/>
      <c r="B438" s="103"/>
      <c r="C438" s="103"/>
      <c r="D438" s="103"/>
      <c r="E438" s="103"/>
      <c r="F438" s="103"/>
      <c r="G438" s="103"/>
      <c r="H438" s="103"/>
      <c r="I438" s="103"/>
      <c r="T438" s="30" t="str">
        <f aca="false">IF(C438="","",IF(COUNTIFS(C$5:C438,C438,E$5:E438,E438)=1,1,0))</f>
        <v/>
      </c>
      <c r="U438" s="30" t="n">
        <f aca="false">IF(C438="",0,IF(AND(B438="brand",E438="budget_probe",N(F438)&gt;=Inputs!$C$124,H438="Y"),1,0))</f>
        <v>0</v>
      </c>
      <c r="V438" s="30" t="n">
        <f aca="false">IF(U438=1,IF(COUNTIFS(C$5:C438,C438,U$5:U438,1)=1,1,0),0)</f>
        <v>0</v>
      </c>
      <c r="W438" s="30" t="n">
        <f aca="false">IF(C438="",0,IF(AND(B438="office",E438="budget_probe",N(F438)&gt;=Inputs!$C$139),1,0))</f>
        <v>0</v>
      </c>
      <c r="X438" s="30" t="n">
        <f aca="false">IF(W438=1,IF(COUNTIFS(C$5:C438,C438,W$5:W438,1)=1,1,0),0)</f>
        <v>0</v>
      </c>
      <c r="Y438" s="30" t="n">
        <f aca="false">IF(C438="",0,IF(AND(B438="brand",E438="renewal_answer",TRIM(G438)="yes",N(F438)&gt;=Inputs!$C$135),1,0))</f>
        <v>0</v>
      </c>
      <c r="Z438" s="30" t="n">
        <f aca="false">IF(Y438=1,IF(COUNTIFS(C$5:C438,C438,Y$5:Y438,1)=1,1,0),0)</f>
        <v>0</v>
      </c>
      <c r="AA438" s="30" t="n">
        <f aca="false">IF(AND(E438="budget_probe",ISNUMBER(F438),I438&lt;&gt;Lists!$X$4),1,0)</f>
        <v>0</v>
      </c>
      <c r="AB438" s="30" t="str">
        <f aca="false">IF(AND(B438="office",AA438=1,COUNTIFS(C$5:C438,C438,AA$5:AA438,1)=1),F438,"")</f>
        <v/>
      </c>
      <c r="AC438" s="30" t="str">
        <f aca="false">IF(AND(B438="brand",AA438=1,COUNTIFS(C$5:C438,C438,AA$5:AA438,1)=1),F438,"")</f>
        <v/>
      </c>
      <c r="AD438" s="30" t="str">
        <f aca="false">IF(AND(B438="brand",E438="budget_probe",ISNUMBER(F438),I438=Lists!$X$4),IF(COUNTIFS(C$5:C438,C438,E$5:E438,"budget_probe",I$5:I438,Lists!$X$4)=1,F438,""),"")</f>
        <v/>
      </c>
      <c r="AE438" s="30" t="n">
        <f aca="false">IF(AND(B438="brand",E438="paid",ISNUMBER(F438)),IF(AND(SUMIFS(F$5:F438,B$5:B438,"brand",C$5:C438,C438,E$5:E438,"paid")&gt;=Inputs!$C$44,SUMIFS(F$5:F438,B$5:B438,"brand",C$5:C438,C438,E$5:E438,"paid")-F438&lt;Inputs!$C$44),1,0),0)</f>
        <v>0</v>
      </c>
    </row>
    <row r="439" customFormat="false" ht="15" hidden="false" customHeight="false" outlineLevel="0" collapsed="false">
      <c r="A439" s="102"/>
      <c r="B439" s="103"/>
      <c r="C439" s="103"/>
      <c r="D439" s="103"/>
      <c r="E439" s="103"/>
      <c r="F439" s="103"/>
      <c r="G439" s="103"/>
      <c r="H439" s="103"/>
      <c r="I439" s="103"/>
      <c r="T439" s="30" t="str">
        <f aca="false">IF(C439="","",IF(COUNTIFS(C$5:C439,C439,E$5:E439,E439)=1,1,0))</f>
        <v/>
      </c>
      <c r="U439" s="30" t="n">
        <f aca="false">IF(C439="",0,IF(AND(B439="brand",E439="budget_probe",N(F439)&gt;=Inputs!$C$124,H439="Y"),1,0))</f>
        <v>0</v>
      </c>
      <c r="V439" s="30" t="n">
        <f aca="false">IF(U439=1,IF(COUNTIFS(C$5:C439,C439,U$5:U439,1)=1,1,0),0)</f>
        <v>0</v>
      </c>
      <c r="W439" s="30" t="n">
        <f aca="false">IF(C439="",0,IF(AND(B439="office",E439="budget_probe",N(F439)&gt;=Inputs!$C$139),1,0))</f>
        <v>0</v>
      </c>
      <c r="X439" s="30" t="n">
        <f aca="false">IF(W439=1,IF(COUNTIFS(C$5:C439,C439,W$5:W439,1)=1,1,0),0)</f>
        <v>0</v>
      </c>
      <c r="Y439" s="30" t="n">
        <f aca="false">IF(C439="",0,IF(AND(B439="brand",E439="renewal_answer",TRIM(G439)="yes",N(F439)&gt;=Inputs!$C$135),1,0))</f>
        <v>0</v>
      </c>
      <c r="Z439" s="30" t="n">
        <f aca="false">IF(Y439=1,IF(COUNTIFS(C$5:C439,C439,Y$5:Y439,1)=1,1,0),0)</f>
        <v>0</v>
      </c>
      <c r="AA439" s="30" t="n">
        <f aca="false">IF(AND(E439="budget_probe",ISNUMBER(F439),I439&lt;&gt;Lists!$X$4),1,0)</f>
        <v>0</v>
      </c>
      <c r="AB439" s="30" t="str">
        <f aca="false">IF(AND(B439="office",AA439=1,COUNTIFS(C$5:C439,C439,AA$5:AA439,1)=1),F439,"")</f>
        <v/>
      </c>
      <c r="AC439" s="30" t="str">
        <f aca="false">IF(AND(B439="brand",AA439=1,COUNTIFS(C$5:C439,C439,AA$5:AA439,1)=1),F439,"")</f>
        <v/>
      </c>
      <c r="AD439" s="30" t="str">
        <f aca="false">IF(AND(B439="brand",E439="budget_probe",ISNUMBER(F439),I439=Lists!$X$4),IF(COUNTIFS(C$5:C439,C439,E$5:E439,"budget_probe",I$5:I439,Lists!$X$4)=1,F439,""),"")</f>
        <v/>
      </c>
      <c r="AE439" s="30" t="n">
        <f aca="false">IF(AND(B439="brand",E439="paid",ISNUMBER(F439)),IF(AND(SUMIFS(F$5:F439,B$5:B439,"brand",C$5:C439,C439,E$5:E439,"paid")&gt;=Inputs!$C$44,SUMIFS(F$5:F439,B$5:B439,"brand",C$5:C439,C439,E$5:E439,"paid")-F439&lt;Inputs!$C$44),1,0),0)</f>
        <v>0</v>
      </c>
    </row>
    <row r="440" customFormat="false" ht="15" hidden="false" customHeight="false" outlineLevel="0" collapsed="false">
      <c r="A440" s="102"/>
      <c r="B440" s="103"/>
      <c r="C440" s="103"/>
      <c r="D440" s="103"/>
      <c r="E440" s="103"/>
      <c r="F440" s="103"/>
      <c r="G440" s="103"/>
      <c r="H440" s="103"/>
      <c r="I440" s="103"/>
      <c r="T440" s="30" t="str">
        <f aca="false">IF(C440="","",IF(COUNTIFS(C$5:C440,C440,E$5:E440,E440)=1,1,0))</f>
        <v/>
      </c>
      <c r="U440" s="30" t="n">
        <f aca="false">IF(C440="",0,IF(AND(B440="brand",E440="budget_probe",N(F440)&gt;=Inputs!$C$124,H440="Y"),1,0))</f>
        <v>0</v>
      </c>
      <c r="V440" s="30" t="n">
        <f aca="false">IF(U440=1,IF(COUNTIFS(C$5:C440,C440,U$5:U440,1)=1,1,0),0)</f>
        <v>0</v>
      </c>
      <c r="W440" s="30" t="n">
        <f aca="false">IF(C440="",0,IF(AND(B440="office",E440="budget_probe",N(F440)&gt;=Inputs!$C$139),1,0))</f>
        <v>0</v>
      </c>
      <c r="X440" s="30" t="n">
        <f aca="false">IF(W440=1,IF(COUNTIFS(C$5:C440,C440,W$5:W440,1)=1,1,0),0)</f>
        <v>0</v>
      </c>
      <c r="Y440" s="30" t="n">
        <f aca="false">IF(C440="",0,IF(AND(B440="brand",E440="renewal_answer",TRIM(G440)="yes",N(F440)&gt;=Inputs!$C$135),1,0))</f>
        <v>0</v>
      </c>
      <c r="Z440" s="30" t="n">
        <f aca="false">IF(Y440=1,IF(COUNTIFS(C$5:C440,C440,Y$5:Y440,1)=1,1,0),0)</f>
        <v>0</v>
      </c>
      <c r="AA440" s="30" t="n">
        <f aca="false">IF(AND(E440="budget_probe",ISNUMBER(F440),I440&lt;&gt;Lists!$X$4),1,0)</f>
        <v>0</v>
      </c>
      <c r="AB440" s="30" t="str">
        <f aca="false">IF(AND(B440="office",AA440=1,COUNTIFS(C$5:C440,C440,AA$5:AA440,1)=1),F440,"")</f>
        <v/>
      </c>
      <c r="AC440" s="30" t="str">
        <f aca="false">IF(AND(B440="brand",AA440=1,COUNTIFS(C$5:C440,C440,AA$5:AA440,1)=1),F440,"")</f>
        <v/>
      </c>
      <c r="AD440" s="30" t="str">
        <f aca="false">IF(AND(B440="brand",E440="budget_probe",ISNUMBER(F440),I440=Lists!$X$4),IF(COUNTIFS(C$5:C440,C440,E$5:E440,"budget_probe",I$5:I440,Lists!$X$4)=1,F440,""),"")</f>
        <v/>
      </c>
      <c r="AE440" s="30" t="n">
        <f aca="false">IF(AND(B440="brand",E440="paid",ISNUMBER(F440)),IF(AND(SUMIFS(F$5:F440,B$5:B440,"brand",C$5:C440,C440,E$5:E440,"paid")&gt;=Inputs!$C$44,SUMIFS(F$5:F440,B$5:B440,"brand",C$5:C440,C440,E$5:E440,"paid")-F440&lt;Inputs!$C$44),1,0),0)</f>
        <v>0</v>
      </c>
    </row>
    <row r="441" customFormat="false" ht="15" hidden="false" customHeight="false" outlineLevel="0" collapsed="false">
      <c r="A441" s="102"/>
      <c r="B441" s="103"/>
      <c r="C441" s="103"/>
      <c r="D441" s="103"/>
      <c r="E441" s="103"/>
      <c r="F441" s="103"/>
      <c r="G441" s="103"/>
      <c r="H441" s="103"/>
      <c r="I441" s="103"/>
      <c r="T441" s="30" t="str">
        <f aca="false">IF(C441="","",IF(COUNTIFS(C$5:C441,C441,E$5:E441,E441)=1,1,0))</f>
        <v/>
      </c>
      <c r="U441" s="30" t="n">
        <f aca="false">IF(C441="",0,IF(AND(B441="brand",E441="budget_probe",N(F441)&gt;=Inputs!$C$124,H441="Y"),1,0))</f>
        <v>0</v>
      </c>
      <c r="V441" s="30" t="n">
        <f aca="false">IF(U441=1,IF(COUNTIFS(C$5:C441,C441,U$5:U441,1)=1,1,0),0)</f>
        <v>0</v>
      </c>
      <c r="W441" s="30" t="n">
        <f aca="false">IF(C441="",0,IF(AND(B441="office",E441="budget_probe",N(F441)&gt;=Inputs!$C$139),1,0))</f>
        <v>0</v>
      </c>
      <c r="X441" s="30" t="n">
        <f aca="false">IF(W441=1,IF(COUNTIFS(C$5:C441,C441,W$5:W441,1)=1,1,0),0)</f>
        <v>0</v>
      </c>
      <c r="Y441" s="30" t="n">
        <f aca="false">IF(C441="",0,IF(AND(B441="brand",E441="renewal_answer",TRIM(G441)="yes",N(F441)&gt;=Inputs!$C$135),1,0))</f>
        <v>0</v>
      </c>
      <c r="Z441" s="30" t="n">
        <f aca="false">IF(Y441=1,IF(COUNTIFS(C$5:C441,C441,Y$5:Y441,1)=1,1,0),0)</f>
        <v>0</v>
      </c>
      <c r="AA441" s="30" t="n">
        <f aca="false">IF(AND(E441="budget_probe",ISNUMBER(F441),I441&lt;&gt;Lists!$X$4),1,0)</f>
        <v>0</v>
      </c>
      <c r="AB441" s="30" t="str">
        <f aca="false">IF(AND(B441="office",AA441=1,COUNTIFS(C$5:C441,C441,AA$5:AA441,1)=1),F441,"")</f>
        <v/>
      </c>
      <c r="AC441" s="30" t="str">
        <f aca="false">IF(AND(B441="brand",AA441=1,COUNTIFS(C$5:C441,C441,AA$5:AA441,1)=1),F441,"")</f>
        <v/>
      </c>
      <c r="AD441" s="30" t="str">
        <f aca="false">IF(AND(B441="brand",E441="budget_probe",ISNUMBER(F441),I441=Lists!$X$4),IF(COUNTIFS(C$5:C441,C441,E$5:E441,"budget_probe",I$5:I441,Lists!$X$4)=1,F441,""),"")</f>
        <v/>
      </c>
      <c r="AE441" s="30" t="n">
        <f aca="false">IF(AND(B441="brand",E441="paid",ISNUMBER(F441)),IF(AND(SUMIFS(F$5:F441,B$5:B441,"brand",C$5:C441,C441,E$5:E441,"paid")&gt;=Inputs!$C$44,SUMIFS(F$5:F441,B$5:B441,"brand",C$5:C441,C441,E$5:E441,"paid")-F441&lt;Inputs!$C$44),1,0),0)</f>
        <v>0</v>
      </c>
    </row>
    <row r="442" customFormat="false" ht="15" hidden="false" customHeight="false" outlineLevel="0" collapsed="false">
      <c r="A442" s="102"/>
      <c r="B442" s="103"/>
      <c r="C442" s="103"/>
      <c r="D442" s="103"/>
      <c r="E442" s="103"/>
      <c r="F442" s="103"/>
      <c r="G442" s="103"/>
      <c r="H442" s="103"/>
      <c r="I442" s="103"/>
      <c r="T442" s="30" t="str">
        <f aca="false">IF(C442="","",IF(COUNTIFS(C$5:C442,C442,E$5:E442,E442)=1,1,0))</f>
        <v/>
      </c>
      <c r="U442" s="30" t="n">
        <f aca="false">IF(C442="",0,IF(AND(B442="brand",E442="budget_probe",N(F442)&gt;=Inputs!$C$124,H442="Y"),1,0))</f>
        <v>0</v>
      </c>
      <c r="V442" s="30" t="n">
        <f aca="false">IF(U442=1,IF(COUNTIFS(C$5:C442,C442,U$5:U442,1)=1,1,0),0)</f>
        <v>0</v>
      </c>
      <c r="W442" s="30" t="n">
        <f aca="false">IF(C442="",0,IF(AND(B442="office",E442="budget_probe",N(F442)&gt;=Inputs!$C$139),1,0))</f>
        <v>0</v>
      </c>
      <c r="X442" s="30" t="n">
        <f aca="false">IF(W442=1,IF(COUNTIFS(C$5:C442,C442,W$5:W442,1)=1,1,0),0)</f>
        <v>0</v>
      </c>
      <c r="Y442" s="30" t="n">
        <f aca="false">IF(C442="",0,IF(AND(B442="brand",E442="renewal_answer",TRIM(G442)="yes",N(F442)&gt;=Inputs!$C$135),1,0))</f>
        <v>0</v>
      </c>
      <c r="Z442" s="30" t="n">
        <f aca="false">IF(Y442=1,IF(COUNTIFS(C$5:C442,C442,Y$5:Y442,1)=1,1,0),0)</f>
        <v>0</v>
      </c>
      <c r="AA442" s="30" t="n">
        <f aca="false">IF(AND(E442="budget_probe",ISNUMBER(F442),I442&lt;&gt;Lists!$X$4),1,0)</f>
        <v>0</v>
      </c>
      <c r="AB442" s="30" t="str">
        <f aca="false">IF(AND(B442="office",AA442=1,COUNTIFS(C$5:C442,C442,AA$5:AA442,1)=1),F442,"")</f>
        <v/>
      </c>
      <c r="AC442" s="30" t="str">
        <f aca="false">IF(AND(B442="brand",AA442=1,COUNTIFS(C$5:C442,C442,AA$5:AA442,1)=1),F442,"")</f>
        <v/>
      </c>
      <c r="AD442" s="30" t="str">
        <f aca="false">IF(AND(B442="brand",E442="budget_probe",ISNUMBER(F442),I442=Lists!$X$4),IF(COUNTIFS(C$5:C442,C442,E$5:E442,"budget_probe",I$5:I442,Lists!$X$4)=1,F442,""),"")</f>
        <v/>
      </c>
      <c r="AE442" s="30" t="n">
        <f aca="false">IF(AND(B442="brand",E442="paid",ISNUMBER(F442)),IF(AND(SUMIFS(F$5:F442,B$5:B442,"brand",C$5:C442,C442,E$5:E442,"paid")&gt;=Inputs!$C$44,SUMIFS(F$5:F442,B$5:B442,"brand",C$5:C442,C442,E$5:E442,"paid")-F442&lt;Inputs!$C$44),1,0),0)</f>
        <v>0</v>
      </c>
    </row>
    <row r="443" customFormat="false" ht="15" hidden="false" customHeight="false" outlineLevel="0" collapsed="false">
      <c r="A443" s="102"/>
      <c r="B443" s="103"/>
      <c r="C443" s="103"/>
      <c r="D443" s="103"/>
      <c r="E443" s="103"/>
      <c r="F443" s="103"/>
      <c r="G443" s="103"/>
      <c r="H443" s="103"/>
      <c r="I443" s="103"/>
      <c r="T443" s="30" t="str">
        <f aca="false">IF(C443="","",IF(COUNTIFS(C$5:C443,C443,E$5:E443,E443)=1,1,0))</f>
        <v/>
      </c>
      <c r="U443" s="30" t="n">
        <f aca="false">IF(C443="",0,IF(AND(B443="brand",E443="budget_probe",N(F443)&gt;=Inputs!$C$124,H443="Y"),1,0))</f>
        <v>0</v>
      </c>
      <c r="V443" s="30" t="n">
        <f aca="false">IF(U443=1,IF(COUNTIFS(C$5:C443,C443,U$5:U443,1)=1,1,0),0)</f>
        <v>0</v>
      </c>
      <c r="W443" s="30" t="n">
        <f aca="false">IF(C443="",0,IF(AND(B443="office",E443="budget_probe",N(F443)&gt;=Inputs!$C$139),1,0))</f>
        <v>0</v>
      </c>
      <c r="X443" s="30" t="n">
        <f aca="false">IF(W443=1,IF(COUNTIFS(C$5:C443,C443,W$5:W443,1)=1,1,0),0)</f>
        <v>0</v>
      </c>
      <c r="Y443" s="30" t="n">
        <f aca="false">IF(C443="",0,IF(AND(B443="brand",E443="renewal_answer",TRIM(G443)="yes",N(F443)&gt;=Inputs!$C$135),1,0))</f>
        <v>0</v>
      </c>
      <c r="Z443" s="30" t="n">
        <f aca="false">IF(Y443=1,IF(COUNTIFS(C$5:C443,C443,Y$5:Y443,1)=1,1,0),0)</f>
        <v>0</v>
      </c>
      <c r="AA443" s="30" t="n">
        <f aca="false">IF(AND(E443="budget_probe",ISNUMBER(F443),I443&lt;&gt;Lists!$X$4),1,0)</f>
        <v>0</v>
      </c>
      <c r="AB443" s="30" t="str">
        <f aca="false">IF(AND(B443="office",AA443=1,COUNTIFS(C$5:C443,C443,AA$5:AA443,1)=1),F443,"")</f>
        <v/>
      </c>
      <c r="AC443" s="30" t="str">
        <f aca="false">IF(AND(B443="brand",AA443=1,COUNTIFS(C$5:C443,C443,AA$5:AA443,1)=1),F443,"")</f>
        <v/>
      </c>
      <c r="AD443" s="30" t="str">
        <f aca="false">IF(AND(B443="brand",E443="budget_probe",ISNUMBER(F443),I443=Lists!$X$4),IF(COUNTIFS(C$5:C443,C443,E$5:E443,"budget_probe",I$5:I443,Lists!$X$4)=1,F443,""),"")</f>
        <v/>
      </c>
      <c r="AE443" s="30" t="n">
        <f aca="false">IF(AND(B443="brand",E443="paid",ISNUMBER(F443)),IF(AND(SUMIFS(F$5:F443,B$5:B443,"brand",C$5:C443,C443,E$5:E443,"paid")&gt;=Inputs!$C$44,SUMIFS(F$5:F443,B$5:B443,"brand",C$5:C443,C443,E$5:E443,"paid")-F443&lt;Inputs!$C$44),1,0),0)</f>
        <v>0</v>
      </c>
    </row>
    <row r="444" customFormat="false" ht="15" hidden="false" customHeight="false" outlineLevel="0" collapsed="false">
      <c r="A444" s="102"/>
      <c r="B444" s="103"/>
      <c r="C444" s="103"/>
      <c r="D444" s="103"/>
      <c r="E444" s="103"/>
      <c r="F444" s="103"/>
      <c r="G444" s="103"/>
      <c r="H444" s="103"/>
      <c r="I444" s="103"/>
      <c r="T444" s="30" t="str">
        <f aca="false">IF(C444="","",IF(COUNTIFS(C$5:C444,C444,E$5:E444,E444)=1,1,0))</f>
        <v/>
      </c>
      <c r="U444" s="30" t="n">
        <f aca="false">IF(C444="",0,IF(AND(B444="brand",E444="budget_probe",N(F444)&gt;=Inputs!$C$124,H444="Y"),1,0))</f>
        <v>0</v>
      </c>
      <c r="V444" s="30" t="n">
        <f aca="false">IF(U444=1,IF(COUNTIFS(C$5:C444,C444,U$5:U444,1)=1,1,0),0)</f>
        <v>0</v>
      </c>
      <c r="W444" s="30" t="n">
        <f aca="false">IF(C444="",0,IF(AND(B444="office",E444="budget_probe",N(F444)&gt;=Inputs!$C$139),1,0))</f>
        <v>0</v>
      </c>
      <c r="X444" s="30" t="n">
        <f aca="false">IF(W444=1,IF(COUNTIFS(C$5:C444,C444,W$5:W444,1)=1,1,0),0)</f>
        <v>0</v>
      </c>
      <c r="Y444" s="30" t="n">
        <f aca="false">IF(C444="",0,IF(AND(B444="brand",E444="renewal_answer",TRIM(G444)="yes",N(F444)&gt;=Inputs!$C$135),1,0))</f>
        <v>0</v>
      </c>
      <c r="Z444" s="30" t="n">
        <f aca="false">IF(Y444=1,IF(COUNTIFS(C$5:C444,C444,Y$5:Y444,1)=1,1,0),0)</f>
        <v>0</v>
      </c>
      <c r="AA444" s="30" t="n">
        <f aca="false">IF(AND(E444="budget_probe",ISNUMBER(F444),I444&lt;&gt;Lists!$X$4),1,0)</f>
        <v>0</v>
      </c>
      <c r="AB444" s="30" t="str">
        <f aca="false">IF(AND(B444="office",AA444=1,COUNTIFS(C$5:C444,C444,AA$5:AA444,1)=1),F444,"")</f>
        <v/>
      </c>
      <c r="AC444" s="30" t="str">
        <f aca="false">IF(AND(B444="brand",AA444=1,COUNTIFS(C$5:C444,C444,AA$5:AA444,1)=1),F444,"")</f>
        <v/>
      </c>
      <c r="AD444" s="30" t="str">
        <f aca="false">IF(AND(B444="brand",E444="budget_probe",ISNUMBER(F444),I444=Lists!$X$4),IF(COUNTIFS(C$5:C444,C444,E$5:E444,"budget_probe",I$5:I444,Lists!$X$4)=1,F444,""),"")</f>
        <v/>
      </c>
      <c r="AE444" s="30" t="n">
        <f aca="false">IF(AND(B444="brand",E444="paid",ISNUMBER(F444)),IF(AND(SUMIFS(F$5:F444,B$5:B444,"brand",C$5:C444,C444,E$5:E444,"paid")&gt;=Inputs!$C$44,SUMIFS(F$5:F444,B$5:B444,"brand",C$5:C444,C444,E$5:E444,"paid")-F444&lt;Inputs!$C$44),1,0),0)</f>
        <v>0</v>
      </c>
    </row>
    <row r="445" customFormat="false" ht="15" hidden="false" customHeight="false" outlineLevel="0" collapsed="false">
      <c r="A445" s="102"/>
      <c r="B445" s="103"/>
      <c r="C445" s="103"/>
      <c r="D445" s="103"/>
      <c r="E445" s="103"/>
      <c r="F445" s="103"/>
      <c r="G445" s="103"/>
      <c r="H445" s="103"/>
      <c r="I445" s="103"/>
      <c r="T445" s="30" t="str">
        <f aca="false">IF(C445="","",IF(COUNTIFS(C$5:C445,C445,E$5:E445,E445)=1,1,0))</f>
        <v/>
      </c>
      <c r="U445" s="30" t="n">
        <f aca="false">IF(C445="",0,IF(AND(B445="brand",E445="budget_probe",N(F445)&gt;=Inputs!$C$124,H445="Y"),1,0))</f>
        <v>0</v>
      </c>
      <c r="V445" s="30" t="n">
        <f aca="false">IF(U445=1,IF(COUNTIFS(C$5:C445,C445,U$5:U445,1)=1,1,0),0)</f>
        <v>0</v>
      </c>
      <c r="W445" s="30" t="n">
        <f aca="false">IF(C445="",0,IF(AND(B445="office",E445="budget_probe",N(F445)&gt;=Inputs!$C$139),1,0))</f>
        <v>0</v>
      </c>
      <c r="X445" s="30" t="n">
        <f aca="false">IF(W445=1,IF(COUNTIFS(C$5:C445,C445,W$5:W445,1)=1,1,0),0)</f>
        <v>0</v>
      </c>
      <c r="Y445" s="30" t="n">
        <f aca="false">IF(C445="",0,IF(AND(B445="brand",E445="renewal_answer",TRIM(G445)="yes",N(F445)&gt;=Inputs!$C$135),1,0))</f>
        <v>0</v>
      </c>
      <c r="Z445" s="30" t="n">
        <f aca="false">IF(Y445=1,IF(COUNTIFS(C$5:C445,C445,Y$5:Y445,1)=1,1,0),0)</f>
        <v>0</v>
      </c>
      <c r="AA445" s="30" t="n">
        <f aca="false">IF(AND(E445="budget_probe",ISNUMBER(F445),I445&lt;&gt;Lists!$X$4),1,0)</f>
        <v>0</v>
      </c>
      <c r="AB445" s="30" t="str">
        <f aca="false">IF(AND(B445="office",AA445=1,COUNTIFS(C$5:C445,C445,AA$5:AA445,1)=1),F445,"")</f>
        <v/>
      </c>
      <c r="AC445" s="30" t="str">
        <f aca="false">IF(AND(B445="brand",AA445=1,COUNTIFS(C$5:C445,C445,AA$5:AA445,1)=1),F445,"")</f>
        <v/>
      </c>
      <c r="AD445" s="30" t="str">
        <f aca="false">IF(AND(B445="brand",E445="budget_probe",ISNUMBER(F445),I445=Lists!$X$4),IF(COUNTIFS(C$5:C445,C445,E$5:E445,"budget_probe",I$5:I445,Lists!$X$4)=1,F445,""),"")</f>
        <v/>
      </c>
      <c r="AE445" s="30" t="n">
        <f aca="false">IF(AND(B445="brand",E445="paid",ISNUMBER(F445)),IF(AND(SUMIFS(F$5:F445,B$5:B445,"brand",C$5:C445,C445,E$5:E445,"paid")&gt;=Inputs!$C$44,SUMIFS(F$5:F445,B$5:B445,"brand",C$5:C445,C445,E$5:E445,"paid")-F445&lt;Inputs!$C$44),1,0),0)</f>
        <v>0</v>
      </c>
    </row>
    <row r="446" customFormat="false" ht="15" hidden="false" customHeight="false" outlineLevel="0" collapsed="false">
      <c r="A446" s="102"/>
      <c r="B446" s="103"/>
      <c r="C446" s="103"/>
      <c r="D446" s="103"/>
      <c r="E446" s="103"/>
      <c r="F446" s="103"/>
      <c r="G446" s="103"/>
      <c r="H446" s="103"/>
      <c r="I446" s="103"/>
      <c r="T446" s="30" t="str">
        <f aca="false">IF(C446="","",IF(COUNTIFS(C$5:C446,C446,E$5:E446,E446)=1,1,0))</f>
        <v/>
      </c>
      <c r="U446" s="30" t="n">
        <f aca="false">IF(C446="",0,IF(AND(B446="brand",E446="budget_probe",N(F446)&gt;=Inputs!$C$124,H446="Y"),1,0))</f>
        <v>0</v>
      </c>
      <c r="V446" s="30" t="n">
        <f aca="false">IF(U446=1,IF(COUNTIFS(C$5:C446,C446,U$5:U446,1)=1,1,0),0)</f>
        <v>0</v>
      </c>
      <c r="W446" s="30" t="n">
        <f aca="false">IF(C446="",0,IF(AND(B446="office",E446="budget_probe",N(F446)&gt;=Inputs!$C$139),1,0))</f>
        <v>0</v>
      </c>
      <c r="X446" s="30" t="n">
        <f aca="false">IF(W446=1,IF(COUNTIFS(C$5:C446,C446,W$5:W446,1)=1,1,0),0)</f>
        <v>0</v>
      </c>
      <c r="Y446" s="30" t="n">
        <f aca="false">IF(C446="",0,IF(AND(B446="brand",E446="renewal_answer",TRIM(G446)="yes",N(F446)&gt;=Inputs!$C$135),1,0))</f>
        <v>0</v>
      </c>
      <c r="Z446" s="30" t="n">
        <f aca="false">IF(Y446=1,IF(COUNTIFS(C$5:C446,C446,Y$5:Y446,1)=1,1,0),0)</f>
        <v>0</v>
      </c>
      <c r="AA446" s="30" t="n">
        <f aca="false">IF(AND(E446="budget_probe",ISNUMBER(F446),I446&lt;&gt;Lists!$X$4),1,0)</f>
        <v>0</v>
      </c>
      <c r="AB446" s="30" t="str">
        <f aca="false">IF(AND(B446="office",AA446=1,COUNTIFS(C$5:C446,C446,AA$5:AA446,1)=1),F446,"")</f>
        <v/>
      </c>
      <c r="AC446" s="30" t="str">
        <f aca="false">IF(AND(B446="brand",AA446=1,COUNTIFS(C$5:C446,C446,AA$5:AA446,1)=1),F446,"")</f>
        <v/>
      </c>
      <c r="AD446" s="30" t="str">
        <f aca="false">IF(AND(B446="brand",E446="budget_probe",ISNUMBER(F446),I446=Lists!$X$4),IF(COUNTIFS(C$5:C446,C446,E$5:E446,"budget_probe",I$5:I446,Lists!$X$4)=1,F446,""),"")</f>
        <v/>
      </c>
      <c r="AE446" s="30" t="n">
        <f aca="false">IF(AND(B446="brand",E446="paid",ISNUMBER(F446)),IF(AND(SUMIFS(F$5:F446,B$5:B446,"brand",C$5:C446,C446,E$5:E446,"paid")&gt;=Inputs!$C$44,SUMIFS(F$5:F446,B$5:B446,"brand",C$5:C446,C446,E$5:E446,"paid")-F446&lt;Inputs!$C$44),1,0),0)</f>
        <v>0</v>
      </c>
    </row>
    <row r="447" customFormat="false" ht="15" hidden="false" customHeight="false" outlineLevel="0" collapsed="false">
      <c r="A447" s="102"/>
      <c r="B447" s="103"/>
      <c r="C447" s="103"/>
      <c r="D447" s="103"/>
      <c r="E447" s="103"/>
      <c r="F447" s="103"/>
      <c r="G447" s="103"/>
      <c r="H447" s="103"/>
      <c r="I447" s="103"/>
      <c r="T447" s="30" t="str">
        <f aca="false">IF(C447="","",IF(COUNTIFS(C$5:C447,C447,E$5:E447,E447)=1,1,0))</f>
        <v/>
      </c>
      <c r="U447" s="30" t="n">
        <f aca="false">IF(C447="",0,IF(AND(B447="brand",E447="budget_probe",N(F447)&gt;=Inputs!$C$124,H447="Y"),1,0))</f>
        <v>0</v>
      </c>
      <c r="V447" s="30" t="n">
        <f aca="false">IF(U447=1,IF(COUNTIFS(C$5:C447,C447,U$5:U447,1)=1,1,0),0)</f>
        <v>0</v>
      </c>
      <c r="W447" s="30" t="n">
        <f aca="false">IF(C447="",0,IF(AND(B447="office",E447="budget_probe",N(F447)&gt;=Inputs!$C$139),1,0))</f>
        <v>0</v>
      </c>
      <c r="X447" s="30" t="n">
        <f aca="false">IF(W447=1,IF(COUNTIFS(C$5:C447,C447,W$5:W447,1)=1,1,0),0)</f>
        <v>0</v>
      </c>
      <c r="Y447" s="30" t="n">
        <f aca="false">IF(C447="",0,IF(AND(B447="brand",E447="renewal_answer",TRIM(G447)="yes",N(F447)&gt;=Inputs!$C$135),1,0))</f>
        <v>0</v>
      </c>
      <c r="Z447" s="30" t="n">
        <f aca="false">IF(Y447=1,IF(COUNTIFS(C$5:C447,C447,Y$5:Y447,1)=1,1,0),0)</f>
        <v>0</v>
      </c>
      <c r="AA447" s="30" t="n">
        <f aca="false">IF(AND(E447="budget_probe",ISNUMBER(F447),I447&lt;&gt;Lists!$X$4),1,0)</f>
        <v>0</v>
      </c>
      <c r="AB447" s="30" t="str">
        <f aca="false">IF(AND(B447="office",AA447=1,COUNTIFS(C$5:C447,C447,AA$5:AA447,1)=1),F447,"")</f>
        <v/>
      </c>
      <c r="AC447" s="30" t="str">
        <f aca="false">IF(AND(B447="brand",AA447=1,COUNTIFS(C$5:C447,C447,AA$5:AA447,1)=1),F447,"")</f>
        <v/>
      </c>
      <c r="AD447" s="30" t="str">
        <f aca="false">IF(AND(B447="brand",E447="budget_probe",ISNUMBER(F447),I447=Lists!$X$4),IF(COUNTIFS(C$5:C447,C447,E$5:E447,"budget_probe",I$5:I447,Lists!$X$4)=1,F447,""),"")</f>
        <v/>
      </c>
      <c r="AE447" s="30" t="n">
        <f aca="false">IF(AND(B447="brand",E447="paid",ISNUMBER(F447)),IF(AND(SUMIFS(F$5:F447,B$5:B447,"brand",C$5:C447,C447,E$5:E447,"paid")&gt;=Inputs!$C$44,SUMIFS(F$5:F447,B$5:B447,"brand",C$5:C447,C447,E$5:E447,"paid")-F447&lt;Inputs!$C$44),1,0),0)</f>
        <v>0</v>
      </c>
    </row>
    <row r="448" customFormat="false" ht="15" hidden="false" customHeight="false" outlineLevel="0" collapsed="false">
      <c r="A448" s="102"/>
      <c r="B448" s="103"/>
      <c r="C448" s="103"/>
      <c r="D448" s="103"/>
      <c r="E448" s="103"/>
      <c r="F448" s="103"/>
      <c r="G448" s="103"/>
      <c r="H448" s="103"/>
      <c r="I448" s="103"/>
      <c r="T448" s="30" t="str">
        <f aca="false">IF(C448="","",IF(COUNTIFS(C$5:C448,C448,E$5:E448,E448)=1,1,0))</f>
        <v/>
      </c>
      <c r="U448" s="30" t="n">
        <f aca="false">IF(C448="",0,IF(AND(B448="brand",E448="budget_probe",N(F448)&gt;=Inputs!$C$124,H448="Y"),1,0))</f>
        <v>0</v>
      </c>
      <c r="V448" s="30" t="n">
        <f aca="false">IF(U448=1,IF(COUNTIFS(C$5:C448,C448,U$5:U448,1)=1,1,0),0)</f>
        <v>0</v>
      </c>
      <c r="W448" s="30" t="n">
        <f aca="false">IF(C448="",0,IF(AND(B448="office",E448="budget_probe",N(F448)&gt;=Inputs!$C$139),1,0))</f>
        <v>0</v>
      </c>
      <c r="X448" s="30" t="n">
        <f aca="false">IF(W448=1,IF(COUNTIFS(C$5:C448,C448,W$5:W448,1)=1,1,0),0)</f>
        <v>0</v>
      </c>
      <c r="Y448" s="30" t="n">
        <f aca="false">IF(C448="",0,IF(AND(B448="brand",E448="renewal_answer",TRIM(G448)="yes",N(F448)&gt;=Inputs!$C$135),1,0))</f>
        <v>0</v>
      </c>
      <c r="Z448" s="30" t="n">
        <f aca="false">IF(Y448=1,IF(COUNTIFS(C$5:C448,C448,Y$5:Y448,1)=1,1,0),0)</f>
        <v>0</v>
      </c>
      <c r="AA448" s="30" t="n">
        <f aca="false">IF(AND(E448="budget_probe",ISNUMBER(F448),I448&lt;&gt;Lists!$X$4),1,0)</f>
        <v>0</v>
      </c>
      <c r="AB448" s="30" t="str">
        <f aca="false">IF(AND(B448="office",AA448=1,COUNTIFS(C$5:C448,C448,AA$5:AA448,1)=1),F448,"")</f>
        <v/>
      </c>
      <c r="AC448" s="30" t="str">
        <f aca="false">IF(AND(B448="brand",AA448=1,COUNTIFS(C$5:C448,C448,AA$5:AA448,1)=1),F448,"")</f>
        <v/>
      </c>
      <c r="AD448" s="30" t="str">
        <f aca="false">IF(AND(B448="brand",E448="budget_probe",ISNUMBER(F448),I448=Lists!$X$4),IF(COUNTIFS(C$5:C448,C448,E$5:E448,"budget_probe",I$5:I448,Lists!$X$4)=1,F448,""),"")</f>
        <v/>
      </c>
      <c r="AE448" s="30" t="n">
        <f aca="false">IF(AND(B448="brand",E448="paid",ISNUMBER(F448)),IF(AND(SUMIFS(F$5:F448,B$5:B448,"brand",C$5:C448,C448,E$5:E448,"paid")&gt;=Inputs!$C$44,SUMIFS(F$5:F448,B$5:B448,"brand",C$5:C448,C448,E$5:E448,"paid")-F448&lt;Inputs!$C$44),1,0),0)</f>
        <v>0</v>
      </c>
    </row>
    <row r="449" customFormat="false" ht="15" hidden="false" customHeight="false" outlineLevel="0" collapsed="false">
      <c r="A449" s="102"/>
      <c r="B449" s="103"/>
      <c r="C449" s="103"/>
      <c r="D449" s="103"/>
      <c r="E449" s="103"/>
      <c r="F449" s="103"/>
      <c r="G449" s="103"/>
      <c r="H449" s="103"/>
      <c r="I449" s="103"/>
      <c r="T449" s="30" t="str">
        <f aca="false">IF(C449="","",IF(COUNTIFS(C$5:C449,C449,E$5:E449,E449)=1,1,0))</f>
        <v/>
      </c>
      <c r="U449" s="30" t="n">
        <f aca="false">IF(C449="",0,IF(AND(B449="brand",E449="budget_probe",N(F449)&gt;=Inputs!$C$124,H449="Y"),1,0))</f>
        <v>0</v>
      </c>
      <c r="V449" s="30" t="n">
        <f aca="false">IF(U449=1,IF(COUNTIFS(C$5:C449,C449,U$5:U449,1)=1,1,0),0)</f>
        <v>0</v>
      </c>
      <c r="W449" s="30" t="n">
        <f aca="false">IF(C449="",0,IF(AND(B449="office",E449="budget_probe",N(F449)&gt;=Inputs!$C$139),1,0))</f>
        <v>0</v>
      </c>
      <c r="X449" s="30" t="n">
        <f aca="false">IF(W449=1,IF(COUNTIFS(C$5:C449,C449,W$5:W449,1)=1,1,0),0)</f>
        <v>0</v>
      </c>
      <c r="Y449" s="30" t="n">
        <f aca="false">IF(C449="",0,IF(AND(B449="brand",E449="renewal_answer",TRIM(G449)="yes",N(F449)&gt;=Inputs!$C$135),1,0))</f>
        <v>0</v>
      </c>
      <c r="Z449" s="30" t="n">
        <f aca="false">IF(Y449=1,IF(COUNTIFS(C$5:C449,C449,Y$5:Y449,1)=1,1,0),0)</f>
        <v>0</v>
      </c>
      <c r="AA449" s="30" t="n">
        <f aca="false">IF(AND(E449="budget_probe",ISNUMBER(F449),I449&lt;&gt;Lists!$X$4),1,0)</f>
        <v>0</v>
      </c>
      <c r="AB449" s="30" t="str">
        <f aca="false">IF(AND(B449="office",AA449=1,COUNTIFS(C$5:C449,C449,AA$5:AA449,1)=1),F449,"")</f>
        <v/>
      </c>
      <c r="AC449" s="30" t="str">
        <f aca="false">IF(AND(B449="brand",AA449=1,COUNTIFS(C$5:C449,C449,AA$5:AA449,1)=1),F449,"")</f>
        <v/>
      </c>
      <c r="AD449" s="30" t="str">
        <f aca="false">IF(AND(B449="brand",E449="budget_probe",ISNUMBER(F449),I449=Lists!$X$4),IF(COUNTIFS(C$5:C449,C449,E$5:E449,"budget_probe",I$5:I449,Lists!$X$4)=1,F449,""),"")</f>
        <v/>
      </c>
      <c r="AE449" s="30" t="n">
        <f aca="false">IF(AND(B449="brand",E449="paid",ISNUMBER(F449)),IF(AND(SUMIFS(F$5:F449,B$5:B449,"brand",C$5:C449,C449,E$5:E449,"paid")&gt;=Inputs!$C$44,SUMIFS(F$5:F449,B$5:B449,"brand",C$5:C449,C449,E$5:E449,"paid")-F449&lt;Inputs!$C$44),1,0),0)</f>
        <v>0</v>
      </c>
    </row>
    <row r="450" customFormat="false" ht="15" hidden="false" customHeight="false" outlineLevel="0" collapsed="false">
      <c r="A450" s="102"/>
      <c r="B450" s="103"/>
      <c r="C450" s="103"/>
      <c r="D450" s="103"/>
      <c r="E450" s="103"/>
      <c r="F450" s="103"/>
      <c r="G450" s="103"/>
      <c r="H450" s="103"/>
      <c r="I450" s="103"/>
      <c r="T450" s="30" t="str">
        <f aca="false">IF(C450="","",IF(COUNTIFS(C$5:C450,C450,E$5:E450,E450)=1,1,0))</f>
        <v/>
      </c>
      <c r="U450" s="30" t="n">
        <f aca="false">IF(C450="",0,IF(AND(B450="brand",E450="budget_probe",N(F450)&gt;=Inputs!$C$124,H450="Y"),1,0))</f>
        <v>0</v>
      </c>
      <c r="V450" s="30" t="n">
        <f aca="false">IF(U450=1,IF(COUNTIFS(C$5:C450,C450,U$5:U450,1)=1,1,0),0)</f>
        <v>0</v>
      </c>
      <c r="W450" s="30" t="n">
        <f aca="false">IF(C450="",0,IF(AND(B450="office",E450="budget_probe",N(F450)&gt;=Inputs!$C$139),1,0))</f>
        <v>0</v>
      </c>
      <c r="X450" s="30" t="n">
        <f aca="false">IF(W450=1,IF(COUNTIFS(C$5:C450,C450,W$5:W450,1)=1,1,0),0)</f>
        <v>0</v>
      </c>
      <c r="Y450" s="30" t="n">
        <f aca="false">IF(C450="",0,IF(AND(B450="brand",E450="renewal_answer",TRIM(G450)="yes",N(F450)&gt;=Inputs!$C$135),1,0))</f>
        <v>0</v>
      </c>
      <c r="Z450" s="30" t="n">
        <f aca="false">IF(Y450=1,IF(COUNTIFS(C$5:C450,C450,Y$5:Y450,1)=1,1,0),0)</f>
        <v>0</v>
      </c>
      <c r="AA450" s="30" t="n">
        <f aca="false">IF(AND(E450="budget_probe",ISNUMBER(F450),I450&lt;&gt;Lists!$X$4),1,0)</f>
        <v>0</v>
      </c>
      <c r="AB450" s="30" t="str">
        <f aca="false">IF(AND(B450="office",AA450=1,COUNTIFS(C$5:C450,C450,AA$5:AA450,1)=1),F450,"")</f>
        <v/>
      </c>
      <c r="AC450" s="30" t="str">
        <f aca="false">IF(AND(B450="brand",AA450=1,COUNTIFS(C$5:C450,C450,AA$5:AA450,1)=1),F450,"")</f>
        <v/>
      </c>
      <c r="AD450" s="30" t="str">
        <f aca="false">IF(AND(B450="brand",E450="budget_probe",ISNUMBER(F450),I450=Lists!$X$4),IF(COUNTIFS(C$5:C450,C450,E$5:E450,"budget_probe",I$5:I450,Lists!$X$4)=1,F450,""),"")</f>
        <v/>
      </c>
      <c r="AE450" s="30" t="n">
        <f aca="false">IF(AND(B450="brand",E450="paid",ISNUMBER(F450)),IF(AND(SUMIFS(F$5:F450,B$5:B450,"brand",C$5:C450,C450,E$5:E450,"paid")&gt;=Inputs!$C$44,SUMIFS(F$5:F450,B$5:B450,"brand",C$5:C450,C450,E$5:E450,"paid")-F450&lt;Inputs!$C$44),1,0),0)</f>
        <v>0</v>
      </c>
    </row>
    <row r="451" customFormat="false" ht="15" hidden="false" customHeight="false" outlineLevel="0" collapsed="false">
      <c r="A451" s="102"/>
      <c r="B451" s="103"/>
      <c r="C451" s="103"/>
      <c r="D451" s="103"/>
      <c r="E451" s="103"/>
      <c r="F451" s="103"/>
      <c r="G451" s="103"/>
      <c r="H451" s="103"/>
      <c r="I451" s="103"/>
      <c r="T451" s="30" t="str">
        <f aca="false">IF(C451="","",IF(COUNTIFS(C$5:C451,C451,E$5:E451,E451)=1,1,0))</f>
        <v/>
      </c>
      <c r="U451" s="30" t="n">
        <f aca="false">IF(C451="",0,IF(AND(B451="brand",E451="budget_probe",N(F451)&gt;=Inputs!$C$124,H451="Y"),1,0))</f>
        <v>0</v>
      </c>
      <c r="V451" s="30" t="n">
        <f aca="false">IF(U451=1,IF(COUNTIFS(C$5:C451,C451,U$5:U451,1)=1,1,0),0)</f>
        <v>0</v>
      </c>
      <c r="W451" s="30" t="n">
        <f aca="false">IF(C451="",0,IF(AND(B451="office",E451="budget_probe",N(F451)&gt;=Inputs!$C$139),1,0))</f>
        <v>0</v>
      </c>
      <c r="X451" s="30" t="n">
        <f aca="false">IF(W451=1,IF(COUNTIFS(C$5:C451,C451,W$5:W451,1)=1,1,0),0)</f>
        <v>0</v>
      </c>
      <c r="Y451" s="30" t="n">
        <f aca="false">IF(C451="",0,IF(AND(B451="brand",E451="renewal_answer",TRIM(G451)="yes",N(F451)&gt;=Inputs!$C$135),1,0))</f>
        <v>0</v>
      </c>
      <c r="Z451" s="30" t="n">
        <f aca="false">IF(Y451=1,IF(COUNTIFS(C$5:C451,C451,Y$5:Y451,1)=1,1,0),0)</f>
        <v>0</v>
      </c>
      <c r="AA451" s="30" t="n">
        <f aca="false">IF(AND(E451="budget_probe",ISNUMBER(F451),I451&lt;&gt;Lists!$X$4),1,0)</f>
        <v>0</v>
      </c>
      <c r="AB451" s="30" t="str">
        <f aca="false">IF(AND(B451="office",AA451=1,COUNTIFS(C$5:C451,C451,AA$5:AA451,1)=1),F451,"")</f>
        <v/>
      </c>
      <c r="AC451" s="30" t="str">
        <f aca="false">IF(AND(B451="brand",AA451=1,COUNTIFS(C$5:C451,C451,AA$5:AA451,1)=1),F451,"")</f>
        <v/>
      </c>
      <c r="AD451" s="30" t="str">
        <f aca="false">IF(AND(B451="brand",E451="budget_probe",ISNUMBER(F451),I451=Lists!$X$4),IF(COUNTIFS(C$5:C451,C451,E$5:E451,"budget_probe",I$5:I451,Lists!$X$4)=1,F451,""),"")</f>
        <v/>
      </c>
      <c r="AE451" s="30" t="n">
        <f aca="false">IF(AND(B451="brand",E451="paid",ISNUMBER(F451)),IF(AND(SUMIFS(F$5:F451,B$5:B451,"brand",C$5:C451,C451,E$5:E451,"paid")&gt;=Inputs!$C$44,SUMIFS(F$5:F451,B$5:B451,"brand",C$5:C451,C451,E$5:E451,"paid")-F451&lt;Inputs!$C$44),1,0),0)</f>
        <v>0</v>
      </c>
    </row>
    <row r="452" customFormat="false" ht="15" hidden="false" customHeight="false" outlineLevel="0" collapsed="false">
      <c r="A452" s="102"/>
      <c r="B452" s="103"/>
      <c r="C452" s="103"/>
      <c r="D452" s="103"/>
      <c r="E452" s="103"/>
      <c r="F452" s="103"/>
      <c r="G452" s="103"/>
      <c r="H452" s="103"/>
      <c r="I452" s="103"/>
      <c r="T452" s="30" t="str">
        <f aca="false">IF(C452="","",IF(COUNTIFS(C$5:C452,C452,E$5:E452,E452)=1,1,0))</f>
        <v/>
      </c>
      <c r="U452" s="30" t="n">
        <f aca="false">IF(C452="",0,IF(AND(B452="brand",E452="budget_probe",N(F452)&gt;=Inputs!$C$124,H452="Y"),1,0))</f>
        <v>0</v>
      </c>
      <c r="V452" s="30" t="n">
        <f aca="false">IF(U452=1,IF(COUNTIFS(C$5:C452,C452,U$5:U452,1)=1,1,0),0)</f>
        <v>0</v>
      </c>
      <c r="W452" s="30" t="n">
        <f aca="false">IF(C452="",0,IF(AND(B452="office",E452="budget_probe",N(F452)&gt;=Inputs!$C$139),1,0))</f>
        <v>0</v>
      </c>
      <c r="X452" s="30" t="n">
        <f aca="false">IF(W452=1,IF(COUNTIFS(C$5:C452,C452,W$5:W452,1)=1,1,0),0)</f>
        <v>0</v>
      </c>
      <c r="Y452" s="30" t="n">
        <f aca="false">IF(C452="",0,IF(AND(B452="brand",E452="renewal_answer",TRIM(G452)="yes",N(F452)&gt;=Inputs!$C$135),1,0))</f>
        <v>0</v>
      </c>
      <c r="Z452" s="30" t="n">
        <f aca="false">IF(Y452=1,IF(COUNTIFS(C$5:C452,C452,Y$5:Y452,1)=1,1,0),0)</f>
        <v>0</v>
      </c>
      <c r="AA452" s="30" t="n">
        <f aca="false">IF(AND(E452="budget_probe",ISNUMBER(F452),I452&lt;&gt;Lists!$X$4),1,0)</f>
        <v>0</v>
      </c>
      <c r="AB452" s="30" t="str">
        <f aca="false">IF(AND(B452="office",AA452=1,COUNTIFS(C$5:C452,C452,AA$5:AA452,1)=1),F452,"")</f>
        <v/>
      </c>
      <c r="AC452" s="30" t="str">
        <f aca="false">IF(AND(B452="brand",AA452=1,COUNTIFS(C$5:C452,C452,AA$5:AA452,1)=1),F452,"")</f>
        <v/>
      </c>
      <c r="AD452" s="30" t="str">
        <f aca="false">IF(AND(B452="brand",E452="budget_probe",ISNUMBER(F452),I452=Lists!$X$4),IF(COUNTIFS(C$5:C452,C452,E$5:E452,"budget_probe",I$5:I452,Lists!$X$4)=1,F452,""),"")</f>
        <v/>
      </c>
      <c r="AE452" s="30" t="n">
        <f aca="false">IF(AND(B452="brand",E452="paid",ISNUMBER(F452)),IF(AND(SUMIFS(F$5:F452,B$5:B452,"brand",C$5:C452,C452,E$5:E452,"paid")&gt;=Inputs!$C$44,SUMIFS(F$5:F452,B$5:B452,"brand",C$5:C452,C452,E$5:E452,"paid")-F452&lt;Inputs!$C$44),1,0),0)</f>
        <v>0</v>
      </c>
    </row>
    <row r="453" customFormat="false" ht="15" hidden="false" customHeight="false" outlineLevel="0" collapsed="false">
      <c r="A453" s="102"/>
      <c r="B453" s="103"/>
      <c r="C453" s="103"/>
      <c r="D453" s="103"/>
      <c r="E453" s="103"/>
      <c r="F453" s="103"/>
      <c r="G453" s="103"/>
      <c r="H453" s="103"/>
      <c r="I453" s="103"/>
      <c r="T453" s="30" t="str">
        <f aca="false">IF(C453="","",IF(COUNTIFS(C$5:C453,C453,E$5:E453,E453)=1,1,0))</f>
        <v/>
      </c>
      <c r="U453" s="30" t="n">
        <f aca="false">IF(C453="",0,IF(AND(B453="brand",E453="budget_probe",N(F453)&gt;=Inputs!$C$124,H453="Y"),1,0))</f>
        <v>0</v>
      </c>
      <c r="V453" s="30" t="n">
        <f aca="false">IF(U453=1,IF(COUNTIFS(C$5:C453,C453,U$5:U453,1)=1,1,0),0)</f>
        <v>0</v>
      </c>
      <c r="W453" s="30" t="n">
        <f aca="false">IF(C453="",0,IF(AND(B453="office",E453="budget_probe",N(F453)&gt;=Inputs!$C$139),1,0))</f>
        <v>0</v>
      </c>
      <c r="X453" s="30" t="n">
        <f aca="false">IF(W453=1,IF(COUNTIFS(C$5:C453,C453,W$5:W453,1)=1,1,0),0)</f>
        <v>0</v>
      </c>
      <c r="Y453" s="30" t="n">
        <f aca="false">IF(C453="",0,IF(AND(B453="brand",E453="renewal_answer",TRIM(G453)="yes",N(F453)&gt;=Inputs!$C$135),1,0))</f>
        <v>0</v>
      </c>
      <c r="Z453" s="30" t="n">
        <f aca="false">IF(Y453=1,IF(COUNTIFS(C$5:C453,C453,Y$5:Y453,1)=1,1,0),0)</f>
        <v>0</v>
      </c>
      <c r="AA453" s="30" t="n">
        <f aca="false">IF(AND(E453="budget_probe",ISNUMBER(F453),I453&lt;&gt;Lists!$X$4),1,0)</f>
        <v>0</v>
      </c>
      <c r="AB453" s="30" t="str">
        <f aca="false">IF(AND(B453="office",AA453=1,COUNTIFS(C$5:C453,C453,AA$5:AA453,1)=1),F453,"")</f>
        <v/>
      </c>
      <c r="AC453" s="30" t="str">
        <f aca="false">IF(AND(B453="brand",AA453=1,COUNTIFS(C$5:C453,C453,AA$5:AA453,1)=1),F453,"")</f>
        <v/>
      </c>
      <c r="AD453" s="30" t="str">
        <f aca="false">IF(AND(B453="brand",E453="budget_probe",ISNUMBER(F453),I453=Lists!$X$4),IF(COUNTIFS(C$5:C453,C453,E$5:E453,"budget_probe",I$5:I453,Lists!$X$4)=1,F453,""),"")</f>
        <v/>
      </c>
      <c r="AE453" s="30" t="n">
        <f aca="false">IF(AND(B453="brand",E453="paid",ISNUMBER(F453)),IF(AND(SUMIFS(F$5:F453,B$5:B453,"brand",C$5:C453,C453,E$5:E453,"paid")&gt;=Inputs!$C$44,SUMIFS(F$5:F453,B$5:B453,"brand",C$5:C453,C453,E$5:E453,"paid")-F453&lt;Inputs!$C$44),1,0),0)</f>
        <v>0</v>
      </c>
    </row>
    <row r="454" customFormat="false" ht="15" hidden="false" customHeight="false" outlineLevel="0" collapsed="false">
      <c r="A454" s="102"/>
      <c r="B454" s="103"/>
      <c r="C454" s="103"/>
      <c r="D454" s="103"/>
      <c r="E454" s="103"/>
      <c r="F454" s="103"/>
      <c r="G454" s="103"/>
      <c r="H454" s="103"/>
      <c r="I454" s="103"/>
      <c r="T454" s="30" t="str">
        <f aca="false">IF(C454="","",IF(COUNTIFS(C$5:C454,C454,E$5:E454,E454)=1,1,0))</f>
        <v/>
      </c>
      <c r="U454" s="30" t="n">
        <f aca="false">IF(C454="",0,IF(AND(B454="brand",E454="budget_probe",N(F454)&gt;=Inputs!$C$124,H454="Y"),1,0))</f>
        <v>0</v>
      </c>
      <c r="V454" s="30" t="n">
        <f aca="false">IF(U454=1,IF(COUNTIFS(C$5:C454,C454,U$5:U454,1)=1,1,0),0)</f>
        <v>0</v>
      </c>
      <c r="W454" s="30" t="n">
        <f aca="false">IF(C454="",0,IF(AND(B454="office",E454="budget_probe",N(F454)&gt;=Inputs!$C$139),1,0))</f>
        <v>0</v>
      </c>
      <c r="X454" s="30" t="n">
        <f aca="false">IF(W454=1,IF(COUNTIFS(C$5:C454,C454,W$5:W454,1)=1,1,0),0)</f>
        <v>0</v>
      </c>
      <c r="Y454" s="30" t="n">
        <f aca="false">IF(C454="",0,IF(AND(B454="brand",E454="renewal_answer",TRIM(G454)="yes",N(F454)&gt;=Inputs!$C$135),1,0))</f>
        <v>0</v>
      </c>
      <c r="Z454" s="30" t="n">
        <f aca="false">IF(Y454=1,IF(COUNTIFS(C$5:C454,C454,Y$5:Y454,1)=1,1,0),0)</f>
        <v>0</v>
      </c>
      <c r="AA454" s="30" t="n">
        <f aca="false">IF(AND(E454="budget_probe",ISNUMBER(F454),I454&lt;&gt;Lists!$X$4),1,0)</f>
        <v>0</v>
      </c>
      <c r="AB454" s="30" t="str">
        <f aca="false">IF(AND(B454="office",AA454=1,COUNTIFS(C$5:C454,C454,AA$5:AA454,1)=1),F454,"")</f>
        <v/>
      </c>
      <c r="AC454" s="30" t="str">
        <f aca="false">IF(AND(B454="brand",AA454=1,COUNTIFS(C$5:C454,C454,AA$5:AA454,1)=1),F454,"")</f>
        <v/>
      </c>
      <c r="AD454" s="30" t="str">
        <f aca="false">IF(AND(B454="brand",E454="budget_probe",ISNUMBER(F454),I454=Lists!$X$4),IF(COUNTIFS(C$5:C454,C454,E$5:E454,"budget_probe",I$5:I454,Lists!$X$4)=1,F454,""),"")</f>
        <v/>
      </c>
      <c r="AE454" s="30" t="n">
        <f aca="false">IF(AND(B454="brand",E454="paid",ISNUMBER(F454)),IF(AND(SUMIFS(F$5:F454,B$5:B454,"brand",C$5:C454,C454,E$5:E454,"paid")&gt;=Inputs!$C$44,SUMIFS(F$5:F454,B$5:B454,"brand",C$5:C454,C454,E$5:E454,"paid")-F454&lt;Inputs!$C$44),1,0),0)</f>
        <v>0</v>
      </c>
    </row>
    <row r="455" customFormat="false" ht="15" hidden="false" customHeight="false" outlineLevel="0" collapsed="false">
      <c r="A455" s="102"/>
      <c r="B455" s="103"/>
      <c r="C455" s="103"/>
      <c r="D455" s="103"/>
      <c r="E455" s="103"/>
      <c r="F455" s="103"/>
      <c r="G455" s="103"/>
      <c r="H455" s="103"/>
      <c r="I455" s="103"/>
      <c r="T455" s="30" t="str">
        <f aca="false">IF(C455="","",IF(COUNTIFS(C$5:C455,C455,E$5:E455,E455)=1,1,0))</f>
        <v/>
      </c>
      <c r="U455" s="30" t="n">
        <f aca="false">IF(C455="",0,IF(AND(B455="brand",E455="budget_probe",N(F455)&gt;=Inputs!$C$124,H455="Y"),1,0))</f>
        <v>0</v>
      </c>
      <c r="V455" s="30" t="n">
        <f aca="false">IF(U455=1,IF(COUNTIFS(C$5:C455,C455,U$5:U455,1)=1,1,0),0)</f>
        <v>0</v>
      </c>
      <c r="W455" s="30" t="n">
        <f aca="false">IF(C455="",0,IF(AND(B455="office",E455="budget_probe",N(F455)&gt;=Inputs!$C$139),1,0))</f>
        <v>0</v>
      </c>
      <c r="X455" s="30" t="n">
        <f aca="false">IF(W455=1,IF(COUNTIFS(C$5:C455,C455,W$5:W455,1)=1,1,0),0)</f>
        <v>0</v>
      </c>
      <c r="Y455" s="30" t="n">
        <f aca="false">IF(C455="",0,IF(AND(B455="brand",E455="renewal_answer",TRIM(G455)="yes",N(F455)&gt;=Inputs!$C$135),1,0))</f>
        <v>0</v>
      </c>
      <c r="Z455" s="30" t="n">
        <f aca="false">IF(Y455=1,IF(COUNTIFS(C$5:C455,C455,Y$5:Y455,1)=1,1,0),0)</f>
        <v>0</v>
      </c>
      <c r="AA455" s="30" t="n">
        <f aca="false">IF(AND(E455="budget_probe",ISNUMBER(F455),I455&lt;&gt;Lists!$X$4),1,0)</f>
        <v>0</v>
      </c>
      <c r="AB455" s="30" t="str">
        <f aca="false">IF(AND(B455="office",AA455=1,COUNTIFS(C$5:C455,C455,AA$5:AA455,1)=1),F455,"")</f>
        <v/>
      </c>
      <c r="AC455" s="30" t="str">
        <f aca="false">IF(AND(B455="brand",AA455=1,COUNTIFS(C$5:C455,C455,AA$5:AA455,1)=1),F455,"")</f>
        <v/>
      </c>
      <c r="AD455" s="30" t="str">
        <f aca="false">IF(AND(B455="brand",E455="budget_probe",ISNUMBER(F455),I455=Lists!$X$4),IF(COUNTIFS(C$5:C455,C455,E$5:E455,"budget_probe",I$5:I455,Lists!$X$4)=1,F455,""),"")</f>
        <v/>
      </c>
      <c r="AE455" s="30" t="n">
        <f aca="false">IF(AND(B455="brand",E455="paid",ISNUMBER(F455)),IF(AND(SUMIFS(F$5:F455,B$5:B455,"brand",C$5:C455,C455,E$5:E455,"paid")&gt;=Inputs!$C$44,SUMIFS(F$5:F455,B$5:B455,"brand",C$5:C455,C455,E$5:E455,"paid")-F455&lt;Inputs!$C$44),1,0),0)</f>
        <v>0</v>
      </c>
    </row>
    <row r="456" customFormat="false" ht="15" hidden="false" customHeight="false" outlineLevel="0" collapsed="false">
      <c r="A456" s="102"/>
      <c r="B456" s="103"/>
      <c r="C456" s="103"/>
      <c r="D456" s="103"/>
      <c r="E456" s="103"/>
      <c r="F456" s="103"/>
      <c r="G456" s="103"/>
      <c r="H456" s="103"/>
      <c r="I456" s="103"/>
      <c r="T456" s="30" t="str">
        <f aca="false">IF(C456="","",IF(COUNTIFS(C$5:C456,C456,E$5:E456,E456)=1,1,0))</f>
        <v/>
      </c>
      <c r="U456" s="30" t="n">
        <f aca="false">IF(C456="",0,IF(AND(B456="brand",E456="budget_probe",N(F456)&gt;=Inputs!$C$124,H456="Y"),1,0))</f>
        <v>0</v>
      </c>
      <c r="V456" s="30" t="n">
        <f aca="false">IF(U456=1,IF(COUNTIFS(C$5:C456,C456,U$5:U456,1)=1,1,0),0)</f>
        <v>0</v>
      </c>
      <c r="W456" s="30" t="n">
        <f aca="false">IF(C456="",0,IF(AND(B456="office",E456="budget_probe",N(F456)&gt;=Inputs!$C$139),1,0))</f>
        <v>0</v>
      </c>
      <c r="X456" s="30" t="n">
        <f aca="false">IF(W456=1,IF(COUNTIFS(C$5:C456,C456,W$5:W456,1)=1,1,0),0)</f>
        <v>0</v>
      </c>
      <c r="Y456" s="30" t="n">
        <f aca="false">IF(C456="",0,IF(AND(B456="brand",E456="renewal_answer",TRIM(G456)="yes",N(F456)&gt;=Inputs!$C$135),1,0))</f>
        <v>0</v>
      </c>
      <c r="Z456" s="30" t="n">
        <f aca="false">IF(Y456=1,IF(COUNTIFS(C$5:C456,C456,Y$5:Y456,1)=1,1,0),0)</f>
        <v>0</v>
      </c>
      <c r="AA456" s="30" t="n">
        <f aca="false">IF(AND(E456="budget_probe",ISNUMBER(F456),I456&lt;&gt;Lists!$X$4),1,0)</f>
        <v>0</v>
      </c>
      <c r="AB456" s="30" t="str">
        <f aca="false">IF(AND(B456="office",AA456=1,COUNTIFS(C$5:C456,C456,AA$5:AA456,1)=1),F456,"")</f>
        <v/>
      </c>
      <c r="AC456" s="30" t="str">
        <f aca="false">IF(AND(B456="brand",AA456=1,COUNTIFS(C$5:C456,C456,AA$5:AA456,1)=1),F456,"")</f>
        <v/>
      </c>
      <c r="AD456" s="30" t="str">
        <f aca="false">IF(AND(B456="brand",E456="budget_probe",ISNUMBER(F456),I456=Lists!$X$4),IF(COUNTIFS(C$5:C456,C456,E$5:E456,"budget_probe",I$5:I456,Lists!$X$4)=1,F456,""),"")</f>
        <v/>
      </c>
      <c r="AE456" s="30" t="n">
        <f aca="false">IF(AND(B456="brand",E456="paid",ISNUMBER(F456)),IF(AND(SUMIFS(F$5:F456,B$5:B456,"brand",C$5:C456,C456,E$5:E456,"paid")&gt;=Inputs!$C$44,SUMIFS(F$5:F456,B$5:B456,"brand",C$5:C456,C456,E$5:E456,"paid")-F456&lt;Inputs!$C$44),1,0),0)</f>
        <v>0</v>
      </c>
    </row>
    <row r="457" customFormat="false" ht="15" hidden="false" customHeight="false" outlineLevel="0" collapsed="false">
      <c r="A457" s="102"/>
      <c r="B457" s="103"/>
      <c r="C457" s="103"/>
      <c r="D457" s="103"/>
      <c r="E457" s="103"/>
      <c r="F457" s="103"/>
      <c r="G457" s="103"/>
      <c r="H457" s="103"/>
      <c r="I457" s="103"/>
      <c r="T457" s="30" t="str">
        <f aca="false">IF(C457="","",IF(COUNTIFS(C$5:C457,C457,E$5:E457,E457)=1,1,0))</f>
        <v/>
      </c>
      <c r="U457" s="30" t="n">
        <f aca="false">IF(C457="",0,IF(AND(B457="brand",E457="budget_probe",N(F457)&gt;=Inputs!$C$124,H457="Y"),1,0))</f>
        <v>0</v>
      </c>
      <c r="V457" s="30" t="n">
        <f aca="false">IF(U457=1,IF(COUNTIFS(C$5:C457,C457,U$5:U457,1)=1,1,0),0)</f>
        <v>0</v>
      </c>
      <c r="W457" s="30" t="n">
        <f aca="false">IF(C457="",0,IF(AND(B457="office",E457="budget_probe",N(F457)&gt;=Inputs!$C$139),1,0))</f>
        <v>0</v>
      </c>
      <c r="X457" s="30" t="n">
        <f aca="false">IF(W457=1,IF(COUNTIFS(C$5:C457,C457,W$5:W457,1)=1,1,0),0)</f>
        <v>0</v>
      </c>
      <c r="Y457" s="30" t="n">
        <f aca="false">IF(C457="",0,IF(AND(B457="brand",E457="renewal_answer",TRIM(G457)="yes",N(F457)&gt;=Inputs!$C$135),1,0))</f>
        <v>0</v>
      </c>
      <c r="Z457" s="30" t="n">
        <f aca="false">IF(Y457=1,IF(COUNTIFS(C$5:C457,C457,Y$5:Y457,1)=1,1,0),0)</f>
        <v>0</v>
      </c>
      <c r="AA457" s="30" t="n">
        <f aca="false">IF(AND(E457="budget_probe",ISNUMBER(F457),I457&lt;&gt;Lists!$X$4),1,0)</f>
        <v>0</v>
      </c>
      <c r="AB457" s="30" t="str">
        <f aca="false">IF(AND(B457="office",AA457=1,COUNTIFS(C$5:C457,C457,AA$5:AA457,1)=1),F457,"")</f>
        <v/>
      </c>
      <c r="AC457" s="30" t="str">
        <f aca="false">IF(AND(B457="brand",AA457=1,COUNTIFS(C$5:C457,C457,AA$5:AA457,1)=1),F457,"")</f>
        <v/>
      </c>
      <c r="AD457" s="30" t="str">
        <f aca="false">IF(AND(B457="brand",E457="budget_probe",ISNUMBER(F457),I457=Lists!$X$4),IF(COUNTIFS(C$5:C457,C457,E$5:E457,"budget_probe",I$5:I457,Lists!$X$4)=1,F457,""),"")</f>
        <v/>
      </c>
      <c r="AE457" s="30" t="n">
        <f aca="false">IF(AND(B457="brand",E457="paid",ISNUMBER(F457)),IF(AND(SUMIFS(F$5:F457,B$5:B457,"brand",C$5:C457,C457,E$5:E457,"paid")&gt;=Inputs!$C$44,SUMIFS(F$5:F457,B$5:B457,"brand",C$5:C457,C457,E$5:E457,"paid")-F457&lt;Inputs!$C$44),1,0),0)</f>
        <v>0</v>
      </c>
    </row>
    <row r="458" customFormat="false" ht="15" hidden="false" customHeight="false" outlineLevel="0" collapsed="false">
      <c r="A458" s="102"/>
      <c r="B458" s="103"/>
      <c r="C458" s="103"/>
      <c r="D458" s="103"/>
      <c r="E458" s="103"/>
      <c r="F458" s="103"/>
      <c r="G458" s="103"/>
      <c r="H458" s="103"/>
      <c r="I458" s="103"/>
      <c r="T458" s="30" t="str">
        <f aca="false">IF(C458="","",IF(COUNTIFS(C$5:C458,C458,E$5:E458,E458)=1,1,0))</f>
        <v/>
      </c>
      <c r="U458" s="30" t="n">
        <f aca="false">IF(C458="",0,IF(AND(B458="brand",E458="budget_probe",N(F458)&gt;=Inputs!$C$124,H458="Y"),1,0))</f>
        <v>0</v>
      </c>
      <c r="V458" s="30" t="n">
        <f aca="false">IF(U458=1,IF(COUNTIFS(C$5:C458,C458,U$5:U458,1)=1,1,0),0)</f>
        <v>0</v>
      </c>
      <c r="W458" s="30" t="n">
        <f aca="false">IF(C458="",0,IF(AND(B458="office",E458="budget_probe",N(F458)&gt;=Inputs!$C$139),1,0))</f>
        <v>0</v>
      </c>
      <c r="X458" s="30" t="n">
        <f aca="false">IF(W458=1,IF(COUNTIFS(C$5:C458,C458,W$5:W458,1)=1,1,0),0)</f>
        <v>0</v>
      </c>
      <c r="Y458" s="30" t="n">
        <f aca="false">IF(C458="",0,IF(AND(B458="brand",E458="renewal_answer",TRIM(G458)="yes",N(F458)&gt;=Inputs!$C$135),1,0))</f>
        <v>0</v>
      </c>
      <c r="Z458" s="30" t="n">
        <f aca="false">IF(Y458=1,IF(COUNTIFS(C$5:C458,C458,Y$5:Y458,1)=1,1,0),0)</f>
        <v>0</v>
      </c>
      <c r="AA458" s="30" t="n">
        <f aca="false">IF(AND(E458="budget_probe",ISNUMBER(F458),I458&lt;&gt;Lists!$X$4),1,0)</f>
        <v>0</v>
      </c>
      <c r="AB458" s="30" t="str">
        <f aca="false">IF(AND(B458="office",AA458=1,COUNTIFS(C$5:C458,C458,AA$5:AA458,1)=1),F458,"")</f>
        <v/>
      </c>
      <c r="AC458" s="30" t="str">
        <f aca="false">IF(AND(B458="brand",AA458=1,COUNTIFS(C$5:C458,C458,AA$5:AA458,1)=1),F458,"")</f>
        <v/>
      </c>
      <c r="AD458" s="30" t="str">
        <f aca="false">IF(AND(B458="brand",E458="budget_probe",ISNUMBER(F458),I458=Lists!$X$4),IF(COUNTIFS(C$5:C458,C458,E$5:E458,"budget_probe",I$5:I458,Lists!$X$4)=1,F458,""),"")</f>
        <v/>
      </c>
      <c r="AE458" s="30" t="n">
        <f aca="false">IF(AND(B458="brand",E458="paid",ISNUMBER(F458)),IF(AND(SUMIFS(F$5:F458,B$5:B458,"brand",C$5:C458,C458,E$5:E458,"paid")&gt;=Inputs!$C$44,SUMIFS(F$5:F458,B$5:B458,"brand",C$5:C458,C458,E$5:E458,"paid")-F458&lt;Inputs!$C$44),1,0),0)</f>
        <v>0</v>
      </c>
    </row>
    <row r="459" customFormat="false" ht="15" hidden="false" customHeight="false" outlineLevel="0" collapsed="false">
      <c r="A459" s="102"/>
      <c r="B459" s="103"/>
      <c r="C459" s="103"/>
      <c r="D459" s="103"/>
      <c r="E459" s="103"/>
      <c r="F459" s="103"/>
      <c r="G459" s="103"/>
      <c r="H459" s="103"/>
      <c r="I459" s="103"/>
      <c r="T459" s="30" t="str">
        <f aca="false">IF(C459="","",IF(COUNTIFS(C$5:C459,C459,E$5:E459,E459)=1,1,0))</f>
        <v/>
      </c>
      <c r="U459" s="30" t="n">
        <f aca="false">IF(C459="",0,IF(AND(B459="brand",E459="budget_probe",N(F459)&gt;=Inputs!$C$124,H459="Y"),1,0))</f>
        <v>0</v>
      </c>
      <c r="V459" s="30" t="n">
        <f aca="false">IF(U459=1,IF(COUNTIFS(C$5:C459,C459,U$5:U459,1)=1,1,0),0)</f>
        <v>0</v>
      </c>
      <c r="W459" s="30" t="n">
        <f aca="false">IF(C459="",0,IF(AND(B459="office",E459="budget_probe",N(F459)&gt;=Inputs!$C$139),1,0))</f>
        <v>0</v>
      </c>
      <c r="X459" s="30" t="n">
        <f aca="false">IF(W459=1,IF(COUNTIFS(C$5:C459,C459,W$5:W459,1)=1,1,0),0)</f>
        <v>0</v>
      </c>
      <c r="Y459" s="30" t="n">
        <f aca="false">IF(C459="",0,IF(AND(B459="brand",E459="renewal_answer",TRIM(G459)="yes",N(F459)&gt;=Inputs!$C$135),1,0))</f>
        <v>0</v>
      </c>
      <c r="Z459" s="30" t="n">
        <f aca="false">IF(Y459=1,IF(COUNTIFS(C$5:C459,C459,Y$5:Y459,1)=1,1,0),0)</f>
        <v>0</v>
      </c>
      <c r="AA459" s="30" t="n">
        <f aca="false">IF(AND(E459="budget_probe",ISNUMBER(F459),I459&lt;&gt;Lists!$X$4),1,0)</f>
        <v>0</v>
      </c>
      <c r="AB459" s="30" t="str">
        <f aca="false">IF(AND(B459="office",AA459=1,COUNTIFS(C$5:C459,C459,AA$5:AA459,1)=1),F459,"")</f>
        <v/>
      </c>
      <c r="AC459" s="30" t="str">
        <f aca="false">IF(AND(B459="brand",AA459=1,COUNTIFS(C$5:C459,C459,AA$5:AA459,1)=1),F459,"")</f>
        <v/>
      </c>
      <c r="AD459" s="30" t="str">
        <f aca="false">IF(AND(B459="brand",E459="budget_probe",ISNUMBER(F459),I459=Lists!$X$4),IF(COUNTIFS(C$5:C459,C459,E$5:E459,"budget_probe",I$5:I459,Lists!$X$4)=1,F459,""),"")</f>
        <v/>
      </c>
      <c r="AE459" s="30" t="n">
        <f aca="false">IF(AND(B459="brand",E459="paid",ISNUMBER(F459)),IF(AND(SUMIFS(F$5:F459,B$5:B459,"brand",C$5:C459,C459,E$5:E459,"paid")&gt;=Inputs!$C$44,SUMIFS(F$5:F459,B$5:B459,"brand",C$5:C459,C459,E$5:E459,"paid")-F459&lt;Inputs!$C$44),1,0),0)</f>
        <v>0</v>
      </c>
    </row>
    <row r="460" customFormat="false" ht="15" hidden="false" customHeight="false" outlineLevel="0" collapsed="false">
      <c r="A460" s="102"/>
      <c r="B460" s="103"/>
      <c r="C460" s="103"/>
      <c r="D460" s="103"/>
      <c r="E460" s="103"/>
      <c r="F460" s="103"/>
      <c r="G460" s="103"/>
      <c r="H460" s="103"/>
      <c r="I460" s="103"/>
      <c r="T460" s="30" t="str">
        <f aca="false">IF(C460="","",IF(COUNTIFS(C$5:C460,C460,E$5:E460,E460)=1,1,0))</f>
        <v/>
      </c>
      <c r="U460" s="30" t="n">
        <f aca="false">IF(C460="",0,IF(AND(B460="brand",E460="budget_probe",N(F460)&gt;=Inputs!$C$124,H460="Y"),1,0))</f>
        <v>0</v>
      </c>
      <c r="V460" s="30" t="n">
        <f aca="false">IF(U460=1,IF(COUNTIFS(C$5:C460,C460,U$5:U460,1)=1,1,0),0)</f>
        <v>0</v>
      </c>
      <c r="W460" s="30" t="n">
        <f aca="false">IF(C460="",0,IF(AND(B460="office",E460="budget_probe",N(F460)&gt;=Inputs!$C$139),1,0))</f>
        <v>0</v>
      </c>
      <c r="X460" s="30" t="n">
        <f aca="false">IF(W460=1,IF(COUNTIFS(C$5:C460,C460,W$5:W460,1)=1,1,0),0)</f>
        <v>0</v>
      </c>
      <c r="Y460" s="30" t="n">
        <f aca="false">IF(C460="",0,IF(AND(B460="brand",E460="renewal_answer",TRIM(G460)="yes",N(F460)&gt;=Inputs!$C$135),1,0))</f>
        <v>0</v>
      </c>
      <c r="Z460" s="30" t="n">
        <f aca="false">IF(Y460=1,IF(COUNTIFS(C$5:C460,C460,Y$5:Y460,1)=1,1,0),0)</f>
        <v>0</v>
      </c>
      <c r="AA460" s="30" t="n">
        <f aca="false">IF(AND(E460="budget_probe",ISNUMBER(F460),I460&lt;&gt;Lists!$X$4),1,0)</f>
        <v>0</v>
      </c>
      <c r="AB460" s="30" t="str">
        <f aca="false">IF(AND(B460="office",AA460=1,COUNTIFS(C$5:C460,C460,AA$5:AA460,1)=1),F460,"")</f>
        <v/>
      </c>
      <c r="AC460" s="30" t="str">
        <f aca="false">IF(AND(B460="brand",AA460=1,COUNTIFS(C$5:C460,C460,AA$5:AA460,1)=1),F460,"")</f>
        <v/>
      </c>
      <c r="AD460" s="30" t="str">
        <f aca="false">IF(AND(B460="brand",E460="budget_probe",ISNUMBER(F460),I460=Lists!$X$4),IF(COUNTIFS(C$5:C460,C460,E$5:E460,"budget_probe",I$5:I460,Lists!$X$4)=1,F460,""),"")</f>
        <v/>
      </c>
      <c r="AE460" s="30" t="n">
        <f aca="false">IF(AND(B460="brand",E460="paid",ISNUMBER(F460)),IF(AND(SUMIFS(F$5:F460,B$5:B460,"brand",C$5:C460,C460,E$5:E460,"paid")&gt;=Inputs!$C$44,SUMIFS(F$5:F460,B$5:B460,"brand",C$5:C460,C460,E$5:E460,"paid")-F460&lt;Inputs!$C$44),1,0),0)</f>
        <v>0</v>
      </c>
    </row>
    <row r="461" customFormat="false" ht="15" hidden="false" customHeight="false" outlineLevel="0" collapsed="false">
      <c r="A461" s="102"/>
      <c r="B461" s="103"/>
      <c r="C461" s="103"/>
      <c r="D461" s="103"/>
      <c r="E461" s="103"/>
      <c r="F461" s="103"/>
      <c r="G461" s="103"/>
      <c r="H461" s="103"/>
      <c r="I461" s="103"/>
      <c r="T461" s="30" t="str">
        <f aca="false">IF(C461="","",IF(COUNTIFS(C$5:C461,C461,E$5:E461,E461)=1,1,0))</f>
        <v/>
      </c>
      <c r="U461" s="30" t="n">
        <f aca="false">IF(C461="",0,IF(AND(B461="brand",E461="budget_probe",N(F461)&gt;=Inputs!$C$124,H461="Y"),1,0))</f>
        <v>0</v>
      </c>
      <c r="V461" s="30" t="n">
        <f aca="false">IF(U461=1,IF(COUNTIFS(C$5:C461,C461,U$5:U461,1)=1,1,0),0)</f>
        <v>0</v>
      </c>
      <c r="W461" s="30" t="n">
        <f aca="false">IF(C461="",0,IF(AND(B461="office",E461="budget_probe",N(F461)&gt;=Inputs!$C$139),1,0))</f>
        <v>0</v>
      </c>
      <c r="X461" s="30" t="n">
        <f aca="false">IF(W461=1,IF(COUNTIFS(C$5:C461,C461,W$5:W461,1)=1,1,0),0)</f>
        <v>0</v>
      </c>
      <c r="Y461" s="30" t="n">
        <f aca="false">IF(C461="",0,IF(AND(B461="brand",E461="renewal_answer",TRIM(G461)="yes",N(F461)&gt;=Inputs!$C$135),1,0))</f>
        <v>0</v>
      </c>
      <c r="Z461" s="30" t="n">
        <f aca="false">IF(Y461=1,IF(COUNTIFS(C$5:C461,C461,Y$5:Y461,1)=1,1,0),0)</f>
        <v>0</v>
      </c>
      <c r="AA461" s="30" t="n">
        <f aca="false">IF(AND(E461="budget_probe",ISNUMBER(F461),I461&lt;&gt;Lists!$X$4),1,0)</f>
        <v>0</v>
      </c>
      <c r="AB461" s="30" t="str">
        <f aca="false">IF(AND(B461="office",AA461=1,COUNTIFS(C$5:C461,C461,AA$5:AA461,1)=1),F461,"")</f>
        <v/>
      </c>
      <c r="AC461" s="30" t="str">
        <f aca="false">IF(AND(B461="brand",AA461=1,COUNTIFS(C$5:C461,C461,AA$5:AA461,1)=1),F461,"")</f>
        <v/>
      </c>
      <c r="AD461" s="30" t="str">
        <f aca="false">IF(AND(B461="brand",E461="budget_probe",ISNUMBER(F461),I461=Lists!$X$4),IF(COUNTIFS(C$5:C461,C461,E$5:E461,"budget_probe",I$5:I461,Lists!$X$4)=1,F461,""),"")</f>
        <v/>
      </c>
      <c r="AE461" s="30" t="n">
        <f aca="false">IF(AND(B461="brand",E461="paid",ISNUMBER(F461)),IF(AND(SUMIFS(F$5:F461,B$5:B461,"brand",C$5:C461,C461,E$5:E461,"paid")&gt;=Inputs!$C$44,SUMIFS(F$5:F461,B$5:B461,"brand",C$5:C461,C461,E$5:E461,"paid")-F461&lt;Inputs!$C$44),1,0),0)</f>
        <v>0</v>
      </c>
    </row>
    <row r="462" customFormat="false" ht="15" hidden="false" customHeight="false" outlineLevel="0" collapsed="false">
      <c r="A462" s="102"/>
      <c r="B462" s="103"/>
      <c r="C462" s="103"/>
      <c r="D462" s="103"/>
      <c r="E462" s="103"/>
      <c r="F462" s="103"/>
      <c r="G462" s="103"/>
      <c r="H462" s="103"/>
      <c r="I462" s="103"/>
      <c r="T462" s="30" t="str">
        <f aca="false">IF(C462="","",IF(COUNTIFS(C$5:C462,C462,E$5:E462,E462)=1,1,0))</f>
        <v/>
      </c>
      <c r="U462" s="30" t="n">
        <f aca="false">IF(C462="",0,IF(AND(B462="brand",E462="budget_probe",N(F462)&gt;=Inputs!$C$124,H462="Y"),1,0))</f>
        <v>0</v>
      </c>
      <c r="V462" s="30" t="n">
        <f aca="false">IF(U462=1,IF(COUNTIFS(C$5:C462,C462,U$5:U462,1)=1,1,0),0)</f>
        <v>0</v>
      </c>
      <c r="W462" s="30" t="n">
        <f aca="false">IF(C462="",0,IF(AND(B462="office",E462="budget_probe",N(F462)&gt;=Inputs!$C$139),1,0))</f>
        <v>0</v>
      </c>
      <c r="X462" s="30" t="n">
        <f aca="false">IF(W462=1,IF(COUNTIFS(C$5:C462,C462,W$5:W462,1)=1,1,0),0)</f>
        <v>0</v>
      </c>
      <c r="Y462" s="30" t="n">
        <f aca="false">IF(C462="",0,IF(AND(B462="brand",E462="renewal_answer",TRIM(G462)="yes",N(F462)&gt;=Inputs!$C$135),1,0))</f>
        <v>0</v>
      </c>
      <c r="Z462" s="30" t="n">
        <f aca="false">IF(Y462=1,IF(COUNTIFS(C$5:C462,C462,Y$5:Y462,1)=1,1,0),0)</f>
        <v>0</v>
      </c>
      <c r="AA462" s="30" t="n">
        <f aca="false">IF(AND(E462="budget_probe",ISNUMBER(F462),I462&lt;&gt;Lists!$X$4),1,0)</f>
        <v>0</v>
      </c>
      <c r="AB462" s="30" t="str">
        <f aca="false">IF(AND(B462="office",AA462=1,COUNTIFS(C$5:C462,C462,AA$5:AA462,1)=1),F462,"")</f>
        <v/>
      </c>
      <c r="AC462" s="30" t="str">
        <f aca="false">IF(AND(B462="brand",AA462=1,COUNTIFS(C$5:C462,C462,AA$5:AA462,1)=1),F462,"")</f>
        <v/>
      </c>
      <c r="AD462" s="30" t="str">
        <f aca="false">IF(AND(B462="brand",E462="budget_probe",ISNUMBER(F462),I462=Lists!$X$4),IF(COUNTIFS(C$5:C462,C462,E$5:E462,"budget_probe",I$5:I462,Lists!$X$4)=1,F462,""),"")</f>
        <v/>
      </c>
      <c r="AE462" s="30" t="n">
        <f aca="false">IF(AND(B462="brand",E462="paid",ISNUMBER(F462)),IF(AND(SUMIFS(F$5:F462,B$5:B462,"brand",C$5:C462,C462,E$5:E462,"paid")&gt;=Inputs!$C$44,SUMIFS(F$5:F462,B$5:B462,"brand",C$5:C462,C462,E$5:E462,"paid")-F462&lt;Inputs!$C$44),1,0),0)</f>
        <v>0</v>
      </c>
    </row>
    <row r="463" customFormat="false" ht="15" hidden="false" customHeight="false" outlineLevel="0" collapsed="false">
      <c r="A463" s="102"/>
      <c r="B463" s="103"/>
      <c r="C463" s="103"/>
      <c r="D463" s="103"/>
      <c r="E463" s="103"/>
      <c r="F463" s="103"/>
      <c r="G463" s="103"/>
      <c r="H463" s="103"/>
      <c r="I463" s="103"/>
      <c r="T463" s="30" t="str">
        <f aca="false">IF(C463="","",IF(COUNTIFS(C$5:C463,C463,E$5:E463,E463)=1,1,0))</f>
        <v/>
      </c>
      <c r="U463" s="30" t="n">
        <f aca="false">IF(C463="",0,IF(AND(B463="brand",E463="budget_probe",N(F463)&gt;=Inputs!$C$124,H463="Y"),1,0))</f>
        <v>0</v>
      </c>
      <c r="V463" s="30" t="n">
        <f aca="false">IF(U463=1,IF(COUNTIFS(C$5:C463,C463,U$5:U463,1)=1,1,0),0)</f>
        <v>0</v>
      </c>
      <c r="W463" s="30" t="n">
        <f aca="false">IF(C463="",0,IF(AND(B463="office",E463="budget_probe",N(F463)&gt;=Inputs!$C$139),1,0))</f>
        <v>0</v>
      </c>
      <c r="X463" s="30" t="n">
        <f aca="false">IF(W463=1,IF(COUNTIFS(C$5:C463,C463,W$5:W463,1)=1,1,0),0)</f>
        <v>0</v>
      </c>
      <c r="Y463" s="30" t="n">
        <f aca="false">IF(C463="",0,IF(AND(B463="brand",E463="renewal_answer",TRIM(G463)="yes",N(F463)&gt;=Inputs!$C$135),1,0))</f>
        <v>0</v>
      </c>
      <c r="Z463" s="30" t="n">
        <f aca="false">IF(Y463=1,IF(COUNTIFS(C$5:C463,C463,Y$5:Y463,1)=1,1,0),0)</f>
        <v>0</v>
      </c>
      <c r="AA463" s="30" t="n">
        <f aca="false">IF(AND(E463="budget_probe",ISNUMBER(F463),I463&lt;&gt;Lists!$X$4),1,0)</f>
        <v>0</v>
      </c>
      <c r="AB463" s="30" t="str">
        <f aca="false">IF(AND(B463="office",AA463=1,COUNTIFS(C$5:C463,C463,AA$5:AA463,1)=1),F463,"")</f>
        <v/>
      </c>
      <c r="AC463" s="30" t="str">
        <f aca="false">IF(AND(B463="brand",AA463=1,COUNTIFS(C$5:C463,C463,AA$5:AA463,1)=1),F463,"")</f>
        <v/>
      </c>
      <c r="AD463" s="30" t="str">
        <f aca="false">IF(AND(B463="brand",E463="budget_probe",ISNUMBER(F463),I463=Lists!$X$4),IF(COUNTIFS(C$5:C463,C463,E$5:E463,"budget_probe",I$5:I463,Lists!$X$4)=1,F463,""),"")</f>
        <v/>
      </c>
      <c r="AE463" s="30" t="n">
        <f aca="false">IF(AND(B463="brand",E463="paid",ISNUMBER(F463)),IF(AND(SUMIFS(F$5:F463,B$5:B463,"brand",C$5:C463,C463,E$5:E463,"paid")&gt;=Inputs!$C$44,SUMIFS(F$5:F463,B$5:B463,"brand",C$5:C463,C463,E$5:E463,"paid")-F463&lt;Inputs!$C$44),1,0),0)</f>
        <v>0</v>
      </c>
    </row>
    <row r="464" customFormat="false" ht="15" hidden="false" customHeight="false" outlineLevel="0" collapsed="false">
      <c r="A464" s="102"/>
      <c r="B464" s="103"/>
      <c r="C464" s="103"/>
      <c r="D464" s="103"/>
      <c r="E464" s="103"/>
      <c r="F464" s="103"/>
      <c r="G464" s="103"/>
      <c r="H464" s="103"/>
      <c r="I464" s="103"/>
      <c r="T464" s="30" t="str">
        <f aca="false">IF(C464="","",IF(COUNTIFS(C$5:C464,C464,E$5:E464,E464)=1,1,0))</f>
        <v/>
      </c>
      <c r="U464" s="30" t="n">
        <f aca="false">IF(C464="",0,IF(AND(B464="brand",E464="budget_probe",N(F464)&gt;=Inputs!$C$124,H464="Y"),1,0))</f>
        <v>0</v>
      </c>
      <c r="V464" s="30" t="n">
        <f aca="false">IF(U464=1,IF(COUNTIFS(C$5:C464,C464,U$5:U464,1)=1,1,0),0)</f>
        <v>0</v>
      </c>
      <c r="W464" s="30" t="n">
        <f aca="false">IF(C464="",0,IF(AND(B464="office",E464="budget_probe",N(F464)&gt;=Inputs!$C$139),1,0))</f>
        <v>0</v>
      </c>
      <c r="X464" s="30" t="n">
        <f aca="false">IF(W464=1,IF(COUNTIFS(C$5:C464,C464,W$5:W464,1)=1,1,0),0)</f>
        <v>0</v>
      </c>
      <c r="Y464" s="30" t="n">
        <f aca="false">IF(C464="",0,IF(AND(B464="brand",E464="renewal_answer",TRIM(G464)="yes",N(F464)&gt;=Inputs!$C$135),1,0))</f>
        <v>0</v>
      </c>
      <c r="Z464" s="30" t="n">
        <f aca="false">IF(Y464=1,IF(COUNTIFS(C$5:C464,C464,Y$5:Y464,1)=1,1,0),0)</f>
        <v>0</v>
      </c>
      <c r="AA464" s="30" t="n">
        <f aca="false">IF(AND(E464="budget_probe",ISNUMBER(F464),I464&lt;&gt;Lists!$X$4),1,0)</f>
        <v>0</v>
      </c>
      <c r="AB464" s="30" t="str">
        <f aca="false">IF(AND(B464="office",AA464=1,COUNTIFS(C$5:C464,C464,AA$5:AA464,1)=1),F464,"")</f>
        <v/>
      </c>
      <c r="AC464" s="30" t="str">
        <f aca="false">IF(AND(B464="brand",AA464=1,COUNTIFS(C$5:C464,C464,AA$5:AA464,1)=1),F464,"")</f>
        <v/>
      </c>
      <c r="AD464" s="30" t="str">
        <f aca="false">IF(AND(B464="brand",E464="budget_probe",ISNUMBER(F464),I464=Lists!$X$4),IF(COUNTIFS(C$5:C464,C464,E$5:E464,"budget_probe",I$5:I464,Lists!$X$4)=1,F464,""),"")</f>
        <v/>
      </c>
      <c r="AE464" s="30" t="n">
        <f aca="false">IF(AND(B464="brand",E464="paid",ISNUMBER(F464)),IF(AND(SUMIFS(F$5:F464,B$5:B464,"brand",C$5:C464,C464,E$5:E464,"paid")&gt;=Inputs!$C$44,SUMIFS(F$5:F464,B$5:B464,"brand",C$5:C464,C464,E$5:E464,"paid")-F464&lt;Inputs!$C$44),1,0),0)</f>
        <v>0</v>
      </c>
    </row>
    <row r="465" customFormat="false" ht="15" hidden="false" customHeight="false" outlineLevel="0" collapsed="false">
      <c r="A465" s="102"/>
      <c r="B465" s="103"/>
      <c r="C465" s="103"/>
      <c r="D465" s="103"/>
      <c r="E465" s="103"/>
      <c r="F465" s="103"/>
      <c r="G465" s="103"/>
      <c r="H465" s="103"/>
      <c r="I465" s="103"/>
      <c r="T465" s="30" t="str">
        <f aca="false">IF(C465="","",IF(COUNTIFS(C$5:C465,C465,E$5:E465,E465)=1,1,0))</f>
        <v/>
      </c>
      <c r="U465" s="30" t="n">
        <f aca="false">IF(C465="",0,IF(AND(B465="brand",E465="budget_probe",N(F465)&gt;=Inputs!$C$124,H465="Y"),1,0))</f>
        <v>0</v>
      </c>
      <c r="V465" s="30" t="n">
        <f aca="false">IF(U465=1,IF(COUNTIFS(C$5:C465,C465,U$5:U465,1)=1,1,0),0)</f>
        <v>0</v>
      </c>
      <c r="W465" s="30" t="n">
        <f aca="false">IF(C465="",0,IF(AND(B465="office",E465="budget_probe",N(F465)&gt;=Inputs!$C$139),1,0))</f>
        <v>0</v>
      </c>
      <c r="X465" s="30" t="n">
        <f aca="false">IF(W465=1,IF(COUNTIFS(C$5:C465,C465,W$5:W465,1)=1,1,0),0)</f>
        <v>0</v>
      </c>
      <c r="Y465" s="30" t="n">
        <f aca="false">IF(C465="",0,IF(AND(B465="brand",E465="renewal_answer",TRIM(G465)="yes",N(F465)&gt;=Inputs!$C$135),1,0))</f>
        <v>0</v>
      </c>
      <c r="Z465" s="30" t="n">
        <f aca="false">IF(Y465=1,IF(COUNTIFS(C$5:C465,C465,Y$5:Y465,1)=1,1,0),0)</f>
        <v>0</v>
      </c>
      <c r="AA465" s="30" t="n">
        <f aca="false">IF(AND(E465="budget_probe",ISNUMBER(F465),I465&lt;&gt;Lists!$X$4),1,0)</f>
        <v>0</v>
      </c>
      <c r="AB465" s="30" t="str">
        <f aca="false">IF(AND(B465="office",AA465=1,COUNTIFS(C$5:C465,C465,AA$5:AA465,1)=1),F465,"")</f>
        <v/>
      </c>
      <c r="AC465" s="30" t="str">
        <f aca="false">IF(AND(B465="brand",AA465=1,COUNTIFS(C$5:C465,C465,AA$5:AA465,1)=1),F465,"")</f>
        <v/>
      </c>
      <c r="AD465" s="30" t="str">
        <f aca="false">IF(AND(B465="brand",E465="budget_probe",ISNUMBER(F465),I465=Lists!$X$4),IF(COUNTIFS(C$5:C465,C465,E$5:E465,"budget_probe",I$5:I465,Lists!$X$4)=1,F465,""),"")</f>
        <v/>
      </c>
      <c r="AE465" s="30" t="n">
        <f aca="false">IF(AND(B465="brand",E465="paid",ISNUMBER(F465)),IF(AND(SUMIFS(F$5:F465,B$5:B465,"brand",C$5:C465,C465,E$5:E465,"paid")&gt;=Inputs!$C$44,SUMIFS(F$5:F465,B$5:B465,"brand",C$5:C465,C465,E$5:E465,"paid")-F465&lt;Inputs!$C$44),1,0),0)</f>
        <v>0</v>
      </c>
    </row>
    <row r="466" customFormat="false" ht="15" hidden="false" customHeight="false" outlineLevel="0" collapsed="false">
      <c r="A466" s="102"/>
      <c r="B466" s="103"/>
      <c r="C466" s="103"/>
      <c r="D466" s="103"/>
      <c r="E466" s="103"/>
      <c r="F466" s="103"/>
      <c r="G466" s="103"/>
      <c r="H466" s="103"/>
      <c r="I466" s="103"/>
      <c r="T466" s="30" t="str">
        <f aca="false">IF(C466="","",IF(COUNTIFS(C$5:C466,C466,E$5:E466,E466)=1,1,0))</f>
        <v/>
      </c>
      <c r="U466" s="30" t="n">
        <f aca="false">IF(C466="",0,IF(AND(B466="brand",E466="budget_probe",N(F466)&gt;=Inputs!$C$124,H466="Y"),1,0))</f>
        <v>0</v>
      </c>
      <c r="V466" s="30" t="n">
        <f aca="false">IF(U466=1,IF(COUNTIFS(C$5:C466,C466,U$5:U466,1)=1,1,0),0)</f>
        <v>0</v>
      </c>
      <c r="W466" s="30" t="n">
        <f aca="false">IF(C466="",0,IF(AND(B466="office",E466="budget_probe",N(F466)&gt;=Inputs!$C$139),1,0))</f>
        <v>0</v>
      </c>
      <c r="X466" s="30" t="n">
        <f aca="false">IF(W466=1,IF(COUNTIFS(C$5:C466,C466,W$5:W466,1)=1,1,0),0)</f>
        <v>0</v>
      </c>
      <c r="Y466" s="30" t="n">
        <f aca="false">IF(C466="",0,IF(AND(B466="brand",E466="renewal_answer",TRIM(G466)="yes",N(F466)&gt;=Inputs!$C$135),1,0))</f>
        <v>0</v>
      </c>
      <c r="Z466" s="30" t="n">
        <f aca="false">IF(Y466=1,IF(COUNTIFS(C$5:C466,C466,Y$5:Y466,1)=1,1,0),0)</f>
        <v>0</v>
      </c>
      <c r="AA466" s="30" t="n">
        <f aca="false">IF(AND(E466="budget_probe",ISNUMBER(F466),I466&lt;&gt;Lists!$X$4),1,0)</f>
        <v>0</v>
      </c>
      <c r="AB466" s="30" t="str">
        <f aca="false">IF(AND(B466="office",AA466=1,COUNTIFS(C$5:C466,C466,AA$5:AA466,1)=1),F466,"")</f>
        <v/>
      </c>
      <c r="AC466" s="30" t="str">
        <f aca="false">IF(AND(B466="brand",AA466=1,COUNTIFS(C$5:C466,C466,AA$5:AA466,1)=1),F466,"")</f>
        <v/>
      </c>
      <c r="AD466" s="30" t="str">
        <f aca="false">IF(AND(B466="brand",E466="budget_probe",ISNUMBER(F466),I466=Lists!$X$4),IF(COUNTIFS(C$5:C466,C466,E$5:E466,"budget_probe",I$5:I466,Lists!$X$4)=1,F466,""),"")</f>
        <v/>
      </c>
      <c r="AE466" s="30" t="n">
        <f aca="false">IF(AND(B466="brand",E466="paid",ISNUMBER(F466)),IF(AND(SUMIFS(F$5:F466,B$5:B466,"brand",C$5:C466,C466,E$5:E466,"paid")&gt;=Inputs!$C$44,SUMIFS(F$5:F466,B$5:B466,"brand",C$5:C466,C466,E$5:E466,"paid")-F466&lt;Inputs!$C$44),1,0),0)</f>
        <v>0</v>
      </c>
    </row>
    <row r="467" customFormat="false" ht="15" hidden="false" customHeight="false" outlineLevel="0" collapsed="false">
      <c r="A467" s="102"/>
      <c r="B467" s="103"/>
      <c r="C467" s="103"/>
      <c r="D467" s="103"/>
      <c r="E467" s="103"/>
      <c r="F467" s="103"/>
      <c r="G467" s="103"/>
      <c r="H467" s="103"/>
      <c r="I467" s="103"/>
      <c r="T467" s="30" t="str">
        <f aca="false">IF(C467="","",IF(COUNTIFS(C$5:C467,C467,E$5:E467,E467)=1,1,0))</f>
        <v/>
      </c>
      <c r="U467" s="30" t="n">
        <f aca="false">IF(C467="",0,IF(AND(B467="brand",E467="budget_probe",N(F467)&gt;=Inputs!$C$124,H467="Y"),1,0))</f>
        <v>0</v>
      </c>
      <c r="V467" s="30" t="n">
        <f aca="false">IF(U467=1,IF(COUNTIFS(C$5:C467,C467,U$5:U467,1)=1,1,0),0)</f>
        <v>0</v>
      </c>
      <c r="W467" s="30" t="n">
        <f aca="false">IF(C467="",0,IF(AND(B467="office",E467="budget_probe",N(F467)&gt;=Inputs!$C$139),1,0))</f>
        <v>0</v>
      </c>
      <c r="X467" s="30" t="n">
        <f aca="false">IF(W467=1,IF(COUNTIFS(C$5:C467,C467,W$5:W467,1)=1,1,0),0)</f>
        <v>0</v>
      </c>
      <c r="Y467" s="30" t="n">
        <f aca="false">IF(C467="",0,IF(AND(B467="brand",E467="renewal_answer",TRIM(G467)="yes",N(F467)&gt;=Inputs!$C$135),1,0))</f>
        <v>0</v>
      </c>
      <c r="Z467" s="30" t="n">
        <f aca="false">IF(Y467=1,IF(COUNTIFS(C$5:C467,C467,Y$5:Y467,1)=1,1,0),0)</f>
        <v>0</v>
      </c>
      <c r="AA467" s="30" t="n">
        <f aca="false">IF(AND(E467="budget_probe",ISNUMBER(F467),I467&lt;&gt;Lists!$X$4),1,0)</f>
        <v>0</v>
      </c>
      <c r="AB467" s="30" t="str">
        <f aca="false">IF(AND(B467="office",AA467=1,COUNTIFS(C$5:C467,C467,AA$5:AA467,1)=1),F467,"")</f>
        <v/>
      </c>
      <c r="AC467" s="30" t="str">
        <f aca="false">IF(AND(B467="brand",AA467=1,COUNTIFS(C$5:C467,C467,AA$5:AA467,1)=1),F467,"")</f>
        <v/>
      </c>
      <c r="AD467" s="30" t="str">
        <f aca="false">IF(AND(B467="brand",E467="budget_probe",ISNUMBER(F467),I467=Lists!$X$4),IF(COUNTIFS(C$5:C467,C467,E$5:E467,"budget_probe",I$5:I467,Lists!$X$4)=1,F467,""),"")</f>
        <v/>
      </c>
      <c r="AE467" s="30" t="n">
        <f aca="false">IF(AND(B467="brand",E467="paid",ISNUMBER(F467)),IF(AND(SUMIFS(F$5:F467,B$5:B467,"brand",C$5:C467,C467,E$5:E467,"paid")&gt;=Inputs!$C$44,SUMIFS(F$5:F467,B$5:B467,"brand",C$5:C467,C467,E$5:E467,"paid")-F467&lt;Inputs!$C$44),1,0),0)</f>
        <v>0</v>
      </c>
    </row>
    <row r="468" customFormat="false" ht="15" hidden="false" customHeight="false" outlineLevel="0" collapsed="false">
      <c r="A468" s="102"/>
      <c r="B468" s="103"/>
      <c r="C468" s="103"/>
      <c r="D468" s="103"/>
      <c r="E468" s="103"/>
      <c r="F468" s="103"/>
      <c r="G468" s="103"/>
      <c r="H468" s="103"/>
      <c r="I468" s="103"/>
      <c r="T468" s="30" t="str">
        <f aca="false">IF(C468="","",IF(COUNTIFS(C$5:C468,C468,E$5:E468,E468)=1,1,0))</f>
        <v/>
      </c>
      <c r="U468" s="30" t="n">
        <f aca="false">IF(C468="",0,IF(AND(B468="brand",E468="budget_probe",N(F468)&gt;=Inputs!$C$124,H468="Y"),1,0))</f>
        <v>0</v>
      </c>
      <c r="V468" s="30" t="n">
        <f aca="false">IF(U468=1,IF(COUNTIFS(C$5:C468,C468,U$5:U468,1)=1,1,0),0)</f>
        <v>0</v>
      </c>
      <c r="W468" s="30" t="n">
        <f aca="false">IF(C468="",0,IF(AND(B468="office",E468="budget_probe",N(F468)&gt;=Inputs!$C$139),1,0))</f>
        <v>0</v>
      </c>
      <c r="X468" s="30" t="n">
        <f aca="false">IF(W468=1,IF(COUNTIFS(C$5:C468,C468,W$5:W468,1)=1,1,0),0)</f>
        <v>0</v>
      </c>
      <c r="Y468" s="30" t="n">
        <f aca="false">IF(C468="",0,IF(AND(B468="brand",E468="renewal_answer",TRIM(G468)="yes",N(F468)&gt;=Inputs!$C$135),1,0))</f>
        <v>0</v>
      </c>
      <c r="Z468" s="30" t="n">
        <f aca="false">IF(Y468=1,IF(COUNTIFS(C$5:C468,C468,Y$5:Y468,1)=1,1,0),0)</f>
        <v>0</v>
      </c>
      <c r="AA468" s="30" t="n">
        <f aca="false">IF(AND(E468="budget_probe",ISNUMBER(F468),I468&lt;&gt;Lists!$X$4),1,0)</f>
        <v>0</v>
      </c>
      <c r="AB468" s="30" t="str">
        <f aca="false">IF(AND(B468="office",AA468=1,COUNTIFS(C$5:C468,C468,AA$5:AA468,1)=1),F468,"")</f>
        <v/>
      </c>
      <c r="AC468" s="30" t="str">
        <f aca="false">IF(AND(B468="brand",AA468=1,COUNTIFS(C$5:C468,C468,AA$5:AA468,1)=1),F468,"")</f>
        <v/>
      </c>
      <c r="AD468" s="30" t="str">
        <f aca="false">IF(AND(B468="brand",E468="budget_probe",ISNUMBER(F468),I468=Lists!$X$4),IF(COUNTIFS(C$5:C468,C468,E$5:E468,"budget_probe",I$5:I468,Lists!$X$4)=1,F468,""),"")</f>
        <v/>
      </c>
      <c r="AE468" s="30" t="n">
        <f aca="false">IF(AND(B468="brand",E468="paid",ISNUMBER(F468)),IF(AND(SUMIFS(F$5:F468,B$5:B468,"brand",C$5:C468,C468,E$5:E468,"paid")&gt;=Inputs!$C$44,SUMIFS(F$5:F468,B$5:B468,"brand",C$5:C468,C468,E$5:E468,"paid")-F468&lt;Inputs!$C$44),1,0),0)</f>
        <v>0</v>
      </c>
    </row>
    <row r="469" customFormat="false" ht="15" hidden="false" customHeight="false" outlineLevel="0" collapsed="false">
      <c r="A469" s="102"/>
      <c r="B469" s="103"/>
      <c r="C469" s="103"/>
      <c r="D469" s="103"/>
      <c r="E469" s="103"/>
      <c r="F469" s="103"/>
      <c r="G469" s="103"/>
      <c r="H469" s="103"/>
      <c r="I469" s="103"/>
      <c r="T469" s="30" t="str">
        <f aca="false">IF(C469="","",IF(COUNTIFS(C$5:C469,C469,E$5:E469,E469)=1,1,0))</f>
        <v/>
      </c>
      <c r="U469" s="30" t="n">
        <f aca="false">IF(C469="",0,IF(AND(B469="brand",E469="budget_probe",N(F469)&gt;=Inputs!$C$124,H469="Y"),1,0))</f>
        <v>0</v>
      </c>
      <c r="V469" s="30" t="n">
        <f aca="false">IF(U469=1,IF(COUNTIFS(C$5:C469,C469,U$5:U469,1)=1,1,0),0)</f>
        <v>0</v>
      </c>
      <c r="W469" s="30" t="n">
        <f aca="false">IF(C469="",0,IF(AND(B469="office",E469="budget_probe",N(F469)&gt;=Inputs!$C$139),1,0))</f>
        <v>0</v>
      </c>
      <c r="X469" s="30" t="n">
        <f aca="false">IF(W469=1,IF(COUNTIFS(C$5:C469,C469,W$5:W469,1)=1,1,0),0)</f>
        <v>0</v>
      </c>
      <c r="Y469" s="30" t="n">
        <f aca="false">IF(C469="",0,IF(AND(B469="brand",E469="renewal_answer",TRIM(G469)="yes",N(F469)&gt;=Inputs!$C$135),1,0))</f>
        <v>0</v>
      </c>
      <c r="Z469" s="30" t="n">
        <f aca="false">IF(Y469=1,IF(COUNTIFS(C$5:C469,C469,Y$5:Y469,1)=1,1,0),0)</f>
        <v>0</v>
      </c>
      <c r="AA469" s="30" t="n">
        <f aca="false">IF(AND(E469="budget_probe",ISNUMBER(F469),I469&lt;&gt;Lists!$X$4),1,0)</f>
        <v>0</v>
      </c>
      <c r="AB469" s="30" t="str">
        <f aca="false">IF(AND(B469="office",AA469=1,COUNTIFS(C$5:C469,C469,AA$5:AA469,1)=1),F469,"")</f>
        <v/>
      </c>
      <c r="AC469" s="30" t="str">
        <f aca="false">IF(AND(B469="brand",AA469=1,COUNTIFS(C$5:C469,C469,AA$5:AA469,1)=1),F469,"")</f>
        <v/>
      </c>
      <c r="AD469" s="30" t="str">
        <f aca="false">IF(AND(B469="brand",E469="budget_probe",ISNUMBER(F469),I469=Lists!$X$4),IF(COUNTIFS(C$5:C469,C469,E$5:E469,"budget_probe",I$5:I469,Lists!$X$4)=1,F469,""),"")</f>
        <v/>
      </c>
      <c r="AE469" s="30" t="n">
        <f aca="false">IF(AND(B469="brand",E469="paid",ISNUMBER(F469)),IF(AND(SUMIFS(F$5:F469,B$5:B469,"brand",C$5:C469,C469,E$5:E469,"paid")&gt;=Inputs!$C$44,SUMIFS(F$5:F469,B$5:B469,"brand",C$5:C469,C469,E$5:E469,"paid")-F469&lt;Inputs!$C$44),1,0),0)</f>
        <v>0</v>
      </c>
    </row>
    <row r="470" customFormat="false" ht="15" hidden="false" customHeight="false" outlineLevel="0" collapsed="false">
      <c r="A470" s="102"/>
      <c r="B470" s="103"/>
      <c r="C470" s="103"/>
      <c r="D470" s="103"/>
      <c r="E470" s="103"/>
      <c r="F470" s="103"/>
      <c r="G470" s="103"/>
      <c r="H470" s="103"/>
      <c r="I470" s="103"/>
      <c r="T470" s="30" t="str">
        <f aca="false">IF(C470="","",IF(COUNTIFS(C$5:C470,C470,E$5:E470,E470)=1,1,0))</f>
        <v/>
      </c>
      <c r="U470" s="30" t="n">
        <f aca="false">IF(C470="",0,IF(AND(B470="brand",E470="budget_probe",N(F470)&gt;=Inputs!$C$124,H470="Y"),1,0))</f>
        <v>0</v>
      </c>
      <c r="V470" s="30" t="n">
        <f aca="false">IF(U470=1,IF(COUNTIFS(C$5:C470,C470,U$5:U470,1)=1,1,0),0)</f>
        <v>0</v>
      </c>
      <c r="W470" s="30" t="n">
        <f aca="false">IF(C470="",0,IF(AND(B470="office",E470="budget_probe",N(F470)&gt;=Inputs!$C$139),1,0))</f>
        <v>0</v>
      </c>
      <c r="X470" s="30" t="n">
        <f aca="false">IF(W470=1,IF(COUNTIFS(C$5:C470,C470,W$5:W470,1)=1,1,0),0)</f>
        <v>0</v>
      </c>
      <c r="Y470" s="30" t="n">
        <f aca="false">IF(C470="",0,IF(AND(B470="brand",E470="renewal_answer",TRIM(G470)="yes",N(F470)&gt;=Inputs!$C$135),1,0))</f>
        <v>0</v>
      </c>
      <c r="Z470" s="30" t="n">
        <f aca="false">IF(Y470=1,IF(COUNTIFS(C$5:C470,C470,Y$5:Y470,1)=1,1,0),0)</f>
        <v>0</v>
      </c>
      <c r="AA470" s="30" t="n">
        <f aca="false">IF(AND(E470="budget_probe",ISNUMBER(F470),I470&lt;&gt;Lists!$X$4),1,0)</f>
        <v>0</v>
      </c>
      <c r="AB470" s="30" t="str">
        <f aca="false">IF(AND(B470="office",AA470=1,COUNTIFS(C$5:C470,C470,AA$5:AA470,1)=1),F470,"")</f>
        <v/>
      </c>
      <c r="AC470" s="30" t="str">
        <f aca="false">IF(AND(B470="brand",AA470=1,COUNTIFS(C$5:C470,C470,AA$5:AA470,1)=1),F470,"")</f>
        <v/>
      </c>
      <c r="AD470" s="30" t="str">
        <f aca="false">IF(AND(B470="brand",E470="budget_probe",ISNUMBER(F470),I470=Lists!$X$4),IF(COUNTIFS(C$5:C470,C470,E$5:E470,"budget_probe",I$5:I470,Lists!$X$4)=1,F470,""),"")</f>
        <v/>
      </c>
      <c r="AE470" s="30" t="n">
        <f aca="false">IF(AND(B470="brand",E470="paid",ISNUMBER(F470)),IF(AND(SUMIFS(F$5:F470,B$5:B470,"brand",C$5:C470,C470,E$5:E470,"paid")&gt;=Inputs!$C$44,SUMIFS(F$5:F470,B$5:B470,"brand",C$5:C470,C470,E$5:E470,"paid")-F470&lt;Inputs!$C$44),1,0),0)</f>
        <v>0</v>
      </c>
    </row>
    <row r="471" customFormat="false" ht="15" hidden="false" customHeight="false" outlineLevel="0" collapsed="false">
      <c r="A471" s="102"/>
      <c r="B471" s="103"/>
      <c r="C471" s="103"/>
      <c r="D471" s="103"/>
      <c r="E471" s="103"/>
      <c r="F471" s="103"/>
      <c r="G471" s="103"/>
      <c r="H471" s="103"/>
      <c r="I471" s="103"/>
      <c r="T471" s="30" t="str">
        <f aca="false">IF(C471="","",IF(COUNTIFS(C$5:C471,C471,E$5:E471,E471)=1,1,0))</f>
        <v/>
      </c>
      <c r="U471" s="30" t="n">
        <f aca="false">IF(C471="",0,IF(AND(B471="brand",E471="budget_probe",N(F471)&gt;=Inputs!$C$124,H471="Y"),1,0))</f>
        <v>0</v>
      </c>
      <c r="V471" s="30" t="n">
        <f aca="false">IF(U471=1,IF(COUNTIFS(C$5:C471,C471,U$5:U471,1)=1,1,0),0)</f>
        <v>0</v>
      </c>
      <c r="W471" s="30" t="n">
        <f aca="false">IF(C471="",0,IF(AND(B471="office",E471="budget_probe",N(F471)&gt;=Inputs!$C$139),1,0))</f>
        <v>0</v>
      </c>
      <c r="X471" s="30" t="n">
        <f aca="false">IF(W471=1,IF(COUNTIFS(C$5:C471,C471,W$5:W471,1)=1,1,0),0)</f>
        <v>0</v>
      </c>
      <c r="Y471" s="30" t="n">
        <f aca="false">IF(C471="",0,IF(AND(B471="brand",E471="renewal_answer",TRIM(G471)="yes",N(F471)&gt;=Inputs!$C$135),1,0))</f>
        <v>0</v>
      </c>
      <c r="Z471" s="30" t="n">
        <f aca="false">IF(Y471=1,IF(COUNTIFS(C$5:C471,C471,Y$5:Y471,1)=1,1,0),0)</f>
        <v>0</v>
      </c>
      <c r="AA471" s="30" t="n">
        <f aca="false">IF(AND(E471="budget_probe",ISNUMBER(F471),I471&lt;&gt;Lists!$X$4),1,0)</f>
        <v>0</v>
      </c>
      <c r="AB471" s="30" t="str">
        <f aca="false">IF(AND(B471="office",AA471=1,COUNTIFS(C$5:C471,C471,AA$5:AA471,1)=1),F471,"")</f>
        <v/>
      </c>
      <c r="AC471" s="30" t="str">
        <f aca="false">IF(AND(B471="brand",AA471=1,COUNTIFS(C$5:C471,C471,AA$5:AA471,1)=1),F471,"")</f>
        <v/>
      </c>
      <c r="AD471" s="30" t="str">
        <f aca="false">IF(AND(B471="brand",E471="budget_probe",ISNUMBER(F471),I471=Lists!$X$4),IF(COUNTIFS(C$5:C471,C471,E$5:E471,"budget_probe",I$5:I471,Lists!$X$4)=1,F471,""),"")</f>
        <v/>
      </c>
      <c r="AE471" s="30" t="n">
        <f aca="false">IF(AND(B471="brand",E471="paid",ISNUMBER(F471)),IF(AND(SUMIFS(F$5:F471,B$5:B471,"brand",C$5:C471,C471,E$5:E471,"paid")&gt;=Inputs!$C$44,SUMIFS(F$5:F471,B$5:B471,"brand",C$5:C471,C471,E$5:E471,"paid")-F471&lt;Inputs!$C$44),1,0),0)</f>
        <v>0</v>
      </c>
    </row>
    <row r="472" customFormat="false" ht="15" hidden="false" customHeight="false" outlineLevel="0" collapsed="false">
      <c r="A472" s="102"/>
      <c r="B472" s="103"/>
      <c r="C472" s="103"/>
      <c r="D472" s="103"/>
      <c r="E472" s="103"/>
      <c r="F472" s="103"/>
      <c r="G472" s="103"/>
      <c r="H472" s="103"/>
      <c r="I472" s="103"/>
      <c r="T472" s="30" t="str">
        <f aca="false">IF(C472="","",IF(COUNTIFS(C$5:C472,C472,E$5:E472,E472)=1,1,0))</f>
        <v/>
      </c>
      <c r="U472" s="30" t="n">
        <f aca="false">IF(C472="",0,IF(AND(B472="brand",E472="budget_probe",N(F472)&gt;=Inputs!$C$124,H472="Y"),1,0))</f>
        <v>0</v>
      </c>
      <c r="V472" s="30" t="n">
        <f aca="false">IF(U472=1,IF(COUNTIFS(C$5:C472,C472,U$5:U472,1)=1,1,0),0)</f>
        <v>0</v>
      </c>
      <c r="W472" s="30" t="n">
        <f aca="false">IF(C472="",0,IF(AND(B472="office",E472="budget_probe",N(F472)&gt;=Inputs!$C$139),1,0))</f>
        <v>0</v>
      </c>
      <c r="X472" s="30" t="n">
        <f aca="false">IF(W472=1,IF(COUNTIFS(C$5:C472,C472,W$5:W472,1)=1,1,0),0)</f>
        <v>0</v>
      </c>
      <c r="Y472" s="30" t="n">
        <f aca="false">IF(C472="",0,IF(AND(B472="brand",E472="renewal_answer",TRIM(G472)="yes",N(F472)&gt;=Inputs!$C$135),1,0))</f>
        <v>0</v>
      </c>
      <c r="Z472" s="30" t="n">
        <f aca="false">IF(Y472=1,IF(COUNTIFS(C$5:C472,C472,Y$5:Y472,1)=1,1,0),0)</f>
        <v>0</v>
      </c>
      <c r="AA472" s="30" t="n">
        <f aca="false">IF(AND(E472="budget_probe",ISNUMBER(F472),I472&lt;&gt;Lists!$X$4),1,0)</f>
        <v>0</v>
      </c>
      <c r="AB472" s="30" t="str">
        <f aca="false">IF(AND(B472="office",AA472=1,COUNTIFS(C$5:C472,C472,AA$5:AA472,1)=1),F472,"")</f>
        <v/>
      </c>
      <c r="AC472" s="30" t="str">
        <f aca="false">IF(AND(B472="brand",AA472=1,COUNTIFS(C$5:C472,C472,AA$5:AA472,1)=1),F472,"")</f>
        <v/>
      </c>
      <c r="AD472" s="30" t="str">
        <f aca="false">IF(AND(B472="brand",E472="budget_probe",ISNUMBER(F472),I472=Lists!$X$4),IF(COUNTIFS(C$5:C472,C472,E$5:E472,"budget_probe",I$5:I472,Lists!$X$4)=1,F472,""),"")</f>
        <v/>
      </c>
      <c r="AE472" s="30" t="n">
        <f aca="false">IF(AND(B472="brand",E472="paid",ISNUMBER(F472)),IF(AND(SUMIFS(F$5:F472,B$5:B472,"brand",C$5:C472,C472,E$5:E472,"paid")&gt;=Inputs!$C$44,SUMIFS(F$5:F472,B$5:B472,"brand",C$5:C472,C472,E$5:E472,"paid")-F472&lt;Inputs!$C$44),1,0),0)</f>
        <v>0</v>
      </c>
    </row>
    <row r="473" customFormat="false" ht="15" hidden="false" customHeight="false" outlineLevel="0" collapsed="false">
      <c r="A473" s="102"/>
      <c r="B473" s="103"/>
      <c r="C473" s="103"/>
      <c r="D473" s="103"/>
      <c r="E473" s="103"/>
      <c r="F473" s="103"/>
      <c r="G473" s="103"/>
      <c r="H473" s="103"/>
      <c r="I473" s="103"/>
      <c r="T473" s="30" t="str">
        <f aca="false">IF(C473="","",IF(COUNTIFS(C$5:C473,C473,E$5:E473,E473)=1,1,0))</f>
        <v/>
      </c>
      <c r="U473" s="30" t="n">
        <f aca="false">IF(C473="",0,IF(AND(B473="brand",E473="budget_probe",N(F473)&gt;=Inputs!$C$124,H473="Y"),1,0))</f>
        <v>0</v>
      </c>
      <c r="V473" s="30" t="n">
        <f aca="false">IF(U473=1,IF(COUNTIFS(C$5:C473,C473,U$5:U473,1)=1,1,0),0)</f>
        <v>0</v>
      </c>
      <c r="W473" s="30" t="n">
        <f aca="false">IF(C473="",0,IF(AND(B473="office",E473="budget_probe",N(F473)&gt;=Inputs!$C$139),1,0))</f>
        <v>0</v>
      </c>
      <c r="X473" s="30" t="n">
        <f aca="false">IF(W473=1,IF(COUNTIFS(C$5:C473,C473,W$5:W473,1)=1,1,0),0)</f>
        <v>0</v>
      </c>
      <c r="Y473" s="30" t="n">
        <f aca="false">IF(C473="",0,IF(AND(B473="brand",E473="renewal_answer",TRIM(G473)="yes",N(F473)&gt;=Inputs!$C$135),1,0))</f>
        <v>0</v>
      </c>
      <c r="Z473" s="30" t="n">
        <f aca="false">IF(Y473=1,IF(COUNTIFS(C$5:C473,C473,Y$5:Y473,1)=1,1,0),0)</f>
        <v>0</v>
      </c>
      <c r="AA473" s="30" t="n">
        <f aca="false">IF(AND(E473="budget_probe",ISNUMBER(F473),I473&lt;&gt;Lists!$X$4),1,0)</f>
        <v>0</v>
      </c>
      <c r="AB473" s="30" t="str">
        <f aca="false">IF(AND(B473="office",AA473=1,COUNTIFS(C$5:C473,C473,AA$5:AA473,1)=1),F473,"")</f>
        <v/>
      </c>
      <c r="AC473" s="30" t="str">
        <f aca="false">IF(AND(B473="brand",AA473=1,COUNTIFS(C$5:C473,C473,AA$5:AA473,1)=1),F473,"")</f>
        <v/>
      </c>
      <c r="AD473" s="30" t="str">
        <f aca="false">IF(AND(B473="brand",E473="budget_probe",ISNUMBER(F473),I473=Lists!$X$4),IF(COUNTIFS(C$5:C473,C473,E$5:E473,"budget_probe",I$5:I473,Lists!$X$4)=1,F473,""),"")</f>
        <v/>
      </c>
      <c r="AE473" s="30" t="n">
        <f aca="false">IF(AND(B473="brand",E473="paid",ISNUMBER(F473)),IF(AND(SUMIFS(F$5:F473,B$5:B473,"brand",C$5:C473,C473,E$5:E473,"paid")&gt;=Inputs!$C$44,SUMIFS(F$5:F473,B$5:B473,"brand",C$5:C473,C473,E$5:E473,"paid")-F473&lt;Inputs!$C$44),1,0),0)</f>
        <v>0</v>
      </c>
    </row>
    <row r="474" customFormat="false" ht="15" hidden="false" customHeight="false" outlineLevel="0" collapsed="false">
      <c r="A474" s="102"/>
      <c r="B474" s="103"/>
      <c r="C474" s="103"/>
      <c r="D474" s="103"/>
      <c r="E474" s="103"/>
      <c r="F474" s="103"/>
      <c r="G474" s="103"/>
      <c r="H474" s="103"/>
      <c r="I474" s="103"/>
      <c r="T474" s="30" t="str">
        <f aca="false">IF(C474="","",IF(COUNTIFS(C$5:C474,C474,E$5:E474,E474)=1,1,0))</f>
        <v/>
      </c>
      <c r="U474" s="30" t="n">
        <f aca="false">IF(C474="",0,IF(AND(B474="brand",E474="budget_probe",N(F474)&gt;=Inputs!$C$124,H474="Y"),1,0))</f>
        <v>0</v>
      </c>
      <c r="V474" s="30" t="n">
        <f aca="false">IF(U474=1,IF(COUNTIFS(C$5:C474,C474,U$5:U474,1)=1,1,0),0)</f>
        <v>0</v>
      </c>
      <c r="W474" s="30" t="n">
        <f aca="false">IF(C474="",0,IF(AND(B474="office",E474="budget_probe",N(F474)&gt;=Inputs!$C$139),1,0))</f>
        <v>0</v>
      </c>
      <c r="X474" s="30" t="n">
        <f aca="false">IF(W474=1,IF(COUNTIFS(C$5:C474,C474,W$5:W474,1)=1,1,0),0)</f>
        <v>0</v>
      </c>
      <c r="Y474" s="30" t="n">
        <f aca="false">IF(C474="",0,IF(AND(B474="brand",E474="renewal_answer",TRIM(G474)="yes",N(F474)&gt;=Inputs!$C$135),1,0))</f>
        <v>0</v>
      </c>
      <c r="Z474" s="30" t="n">
        <f aca="false">IF(Y474=1,IF(COUNTIFS(C$5:C474,C474,Y$5:Y474,1)=1,1,0),0)</f>
        <v>0</v>
      </c>
      <c r="AA474" s="30" t="n">
        <f aca="false">IF(AND(E474="budget_probe",ISNUMBER(F474),I474&lt;&gt;Lists!$X$4),1,0)</f>
        <v>0</v>
      </c>
      <c r="AB474" s="30" t="str">
        <f aca="false">IF(AND(B474="office",AA474=1,COUNTIFS(C$5:C474,C474,AA$5:AA474,1)=1),F474,"")</f>
        <v/>
      </c>
      <c r="AC474" s="30" t="str">
        <f aca="false">IF(AND(B474="brand",AA474=1,COUNTIFS(C$5:C474,C474,AA$5:AA474,1)=1),F474,"")</f>
        <v/>
      </c>
      <c r="AD474" s="30" t="str">
        <f aca="false">IF(AND(B474="brand",E474="budget_probe",ISNUMBER(F474),I474=Lists!$X$4),IF(COUNTIFS(C$5:C474,C474,E$5:E474,"budget_probe",I$5:I474,Lists!$X$4)=1,F474,""),"")</f>
        <v/>
      </c>
      <c r="AE474" s="30" t="n">
        <f aca="false">IF(AND(B474="brand",E474="paid",ISNUMBER(F474)),IF(AND(SUMIFS(F$5:F474,B$5:B474,"brand",C$5:C474,C474,E$5:E474,"paid")&gt;=Inputs!$C$44,SUMIFS(F$5:F474,B$5:B474,"brand",C$5:C474,C474,E$5:E474,"paid")-F474&lt;Inputs!$C$44),1,0),0)</f>
        <v>0</v>
      </c>
    </row>
    <row r="475" customFormat="false" ht="15" hidden="false" customHeight="false" outlineLevel="0" collapsed="false">
      <c r="A475" s="102"/>
      <c r="B475" s="103"/>
      <c r="C475" s="103"/>
      <c r="D475" s="103"/>
      <c r="E475" s="103"/>
      <c r="F475" s="103"/>
      <c r="G475" s="103"/>
      <c r="H475" s="103"/>
      <c r="I475" s="103"/>
      <c r="T475" s="30" t="str">
        <f aca="false">IF(C475="","",IF(COUNTIFS(C$5:C475,C475,E$5:E475,E475)=1,1,0))</f>
        <v/>
      </c>
      <c r="U475" s="30" t="n">
        <f aca="false">IF(C475="",0,IF(AND(B475="brand",E475="budget_probe",N(F475)&gt;=Inputs!$C$124,H475="Y"),1,0))</f>
        <v>0</v>
      </c>
      <c r="V475" s="30" t="n">
        <f aca="false">IF(U475=1,IF(COUNTIFS(C$5:C475,C475,U$5:U475,1)=1,1,0),0)</f>
        <v>0</v>
      </c>
      <c r="W475" s="30" t="n">
        <f aca="false">IF(C475="",0,IF(AND(B475="office",E475="budget_probe",N(F475)&gt;=Inputs!$C$139),1,0))</f>
        <v>0</v>
      </c>
      <c r="X475" s="30" t="n">
        <f aca="false">IF(W475=1,IF(COUNTIFS(C$5:C475,C475,W$5:W475,1)=1,1,0),0)</f>
        <v>0</v>
      </c>
      <c r="Y475" s="30" t="n">
        <f aca="false">IF(C475="",0,IF(AND(B475="brand",E475="renewal_answer",TRIM(G475)="yes",N(F475)&gt;=Inputs!$C$135),1,0))</f>
        <v>0</v>
      </c>
      <c r="Z475" s="30" t="n">
        <f aca="false">IF(Y475=1,IF(COUNTIFS(C$5:C475,C475,Y$5:Y475,1)=1,1,0),0)</f>
        <v>0</v>
      </c>
      <c r="AA475" s="30" t="n">
        <f aca="false">IF(AND(E475="budget_probe",ISNUMBER(F475),I475&lt;&gt;Lists!$X$4),1,0)</f>
        <v>0</v>
      </c>
      <c r="AB475" s="30" t="str">
        <f aca="false">IF(AND(B475="office",AA475=1,COUNTIFS(C$5:C475,C475,AA$5:AA475,1)=1),F475,"")</f>
        <v/>
      </c>
      <c r="AC475" s="30" t="str">
        <f aca="false">IF(AND(B475="brand",AA475=1,COUNTIFS(C$5:C475,C475,AA$5:AA475,1)=1),F475,"")</f>
        <v/>
      </c>
      <c r="AD475" s="30" t="str">
        <f aca="false">IF(AND(B475="brand",E475="budget_probe",ISNUMBER(F475),I475=Lists!$X$4),IF(COUNTIFS(C$5:C475,C475,E$5:E475,"budget_probe",I$5:I475,Lists!$X$4)=1,F475,""),"")</f>
        <v/>
      </c>
      <c r="AE475" s="30" t="n">
        <f aca="false">IF(AND(B475="brand",E475="paid",ISNUMBER(F475)),IF(AND(SUMIFS(F$5:F475,B$5:B475,"brand",C$5:C475,C475,E$5:E475,"paid")&gt;=Inputs!$C$44,SUMIFS(F$5:F475,B$5:B475,"brand",C$5:C475,C475,E$5:E475,"paid")-F475&lt;Inputs!$C$44),1,0),0)</f>
        <v>0</v>
      </c>
    </row>
    <row r="476" customFormat="false" ht="15" hidden="false" customHeight="false" outlineLevel="0" collapsed="false">
      <c r="A476" s="102"/>
      <c r="B476" s="103"/>
      <c r="C476" s="103"/>
      <c r="D476" s="103"/>
      <c r="E476" s="103"/>
      <c r="F476" s="103"/>
      <c r="G476" s="103"/>
      <c r="H476" s="103"/>
      <c r="I476" s="103"/>
      <c r="T476" s="30" t="str">
        <f aca="false">IF(C476="","",IF(COUNTIFS(C$5:C476,C476,E$5:E476,E476)=1,1,0))</f>
        <v/>
      </c>
      <c r="U476" s="30" t="n">
        <f aca="false">IF(C476="",0,IF(AND(B476="brand",E476="budget_probe",N(F476)&gt;=Inputs!$C$124,H476="Y"),1,0))</f>
        <v>0</v>
      </c>
      <c r="V476" s="30" t="n">
        <f aca="false">IF(U476=1,IF(COUNTIFS(C$5:C476,C476,U$5:U476,1)=1,1,0),0)</f>
        <v>0</v>
      </c>
      <c r="W476" s="30" t="n">
        <f aca="false">IF(C476="",0,IF(AND(B476="office",E476="budget_probe",N(F476)&gt;=Inputs!$C$139),1,0))</f>
        <v>0</v>
      </c>
      <c r="X476" s="30" t="n">
        <f aca="false">IF(W476=1,IF(COUNTIFS(C$5:C476,C476,W$5:W476,1)=1,1,0),0)</f>
        <v>0</v>
      </c>
      <c r="Y476" s="30" t="n">
        <f aca="false">IF(C476="",0,IF(AND(B476="brand",E476="renewal_answer",TRIM(G476)="yes",N(F476)&gt;=Inputs!$C$135),1,0))</f>
        <v>0</v>
      </c>
      <c r="Z476" s="30" t="n">
        <f aca="false">IF(Y476=1,IF(COUNTIFS(C$5:C476,C476,Y$5:Y476,1)=1,1,0),0)</f>
        <v>0</v>
      </c>
      <c r="AA476" s="30" t="n">
        <f aca="false">IF(AND(E476="budget_probe",ISNUMBER(F476),I476&lt;&gt;Lists!$X$4),1,0)</f>
        <v>0</v>
      </c>
      <c r="AB476" s="30" t="str">
        <f aca="false">IF(AND(B476="office",AA476=1,COUNTIFS(C$5:C476,C476,AA$5:AA476,1)=1),F476,"")</f>
        <v/>
      </c>
      <c r="AC476" s="30" t="str">
        <f aca="false">IF(AND(B476="brand",AA476=1,COUNTIFS(C$5:C476,C476,AA$5:AA476,1)=1),F476,"")</f>
        <v/>
      </c>
      <c r="AD476" s="30" t="str">
        <f aca="false">IF(AND(B476="brand",E476="budget_probe",ISNUMBER(F476),I476=Lists!$X$4),IF(COUNTIFS(C$5:C476,C476,E$5:E476,"budget_probe",I$5:I476,Lists!$X$4)=1,F476,""),"")</f>
        <v/>
      </c>
      <c r="AE476" s="30" t="n">
        <f aca="false">IF(AND(B476="brand",E476="paid",ISNUMBER(F476)),IF(AND(SUMIFS(F$5:F476,B$5:B476,"brand",C$5:C476,C476,E$5:E476,"paid")&gt;=Inputs!$C$44,SUMIFS(F$5:F476,B$5:B476,"brand",C$5:C476,C476,E$5:E476,"paid")-F476&lt;Inputs!$C$44),1,0),0)</f>
        <v>0</v>
      </c>
    </row>
    <row r="477" customFormat="false" ht="15" hidden="false" customHeight="false" outlineLevel="0" collapsed="false">
      <c r="A477" s="102"/>
      <c r="B477" s="103"/>
      <c r="C477" s="103"/>
      <c r="D477" s="103"/>
      <c r="E477" s="103"/>
      <c r="F477" s="103"/>
      <c r="G477" s="103"/>
      <c r="H477" s="103"/>
      <c r="I477" s="103"/>
      <c r="T477" s="30" t="str">
        <f aca="false">IF(C477="","",IF(COUNTIFS(C$5:C477,C477,E$5:E477,E477)=1,1,0))</f>
        <v/>
      </c>
      <c r="U477" s="30" t="n">
        <f aca="false">IF(C477="",0,IF(AND(B477="brand",E477="budget_probe",N(F477)&gt;=Inputs!$C$124,H477="Y"),1,0))</f>
        <v>0</v>
      </c>
      <c r="V477" s="30" t="n">
        <f aca="false">IF(U477=1,IF(COUNTIFS(C$5:C477,C477,U$5:U477,1)=1,1,0),0)</f>
        <v>0</v>
      </c>
      <c r="W477" s="30" t="n">
        <f aca="false">IF(C477="",0,IF(AND(B477="office",E477="budget_probe",N(F477)&gt;=Inputs!$C$139),1,0))</f>
        <v>0</v>
      </c>
      <c r="X477" s="30" t="n">
        <f aca="false">IF(W477=1,IF(COUNTIFS(C$5:C477,C477,W$5:W477,1)=1,1,0),0)</f>
        <v>0</v>
      </c>
      <c r="Y477" s="30" t="n">
        <f aca="false">IF(C477="",0,IF(AND(B477="brand",E477="renewal_answer",TRIM(G477)="yes",N(F477)&gt;=Inputs!$C$135),1,0))</f>
        <v>0</v>
      </c>
      <c r="Z477" s="30" t="n">
        <f aca="false">IF(Y477=1,IF(COUNTIFS(C$5:C477,C477,Y$5:Y477,1)=1,1,0),0)</f>
        <v>0</v>
      </c>
      <c r="AA477" s="30" t="n">
        <f aca="false">IF(AND(E477="budget_probe",ISNUMBER(F477),I477&lt;&gt;Lists!$X$4),1,0)</f>
        <v>0</v>
      </c>
      <c r="AB477" s="30" t="str">
        <f aca="false">IF(AND(B477="office",AA477=1,COUNTIFS(C$5:C477,C477,AA$5:AA477,1)=1),F477,"")</f>
        <v/>
      </c>
      <c r="AC477" s="30" t="str">
        <f aca="false">IF(AND(B477="brand",AA477=1,COUNTIFS(C$5:C477,C477,AA$5:AA477,1)=1),F477,"")</f>
        <v/>
      </c>
      <c r="AD477" s="30" t="str">
        <f aca="false">IF(AND(B477="brand",E477="budget_probe",ISNUMBER(F477),I477=Lists!$X$4),IF(COUNTIFS(C$5:C477,C477,E$5:E477,"budget_probe",I$5:I477,Lists!$X$4)=1,F477,""),"")</f>
        <v/>
      </c>
      <c r="AE477" s="30" t="n">
        <f aca="false">IF(AND(B477="brand",E477="paid",ISNUMBER(F477)),IF(AND(SUMIFS(F$5:F477,B$5:B477,"brand",C$5:C477,C477,E$5:E477,"paid")&gt;=Inputs!$C$44,SUMIFS(F$5:F477,B$5:B477,"brand",C$5:C477,C477,E$5:E477,"paid")-F477&lt;Inputs!$C$44),1,0),0)</f>
        <v>0</v>
      </c>
    </row>
    <row r="478" customFormat="false" ht="15" hidden="false" customHeight="false" outlineLevel="0" collapsed="false">
      <c r="A478" s="102"/>
      <c r="B478" s="103"/>
      <c r="C478" s="103"/>
      <c r="D478" s="103"/>
      <c r="E478" s="103"/>
      <c r="F478" s="103"/>
      <c r="G478" s="103"/>
      <c r="H478" s="103"/>
      <c r="I478" s="103"/>
      <c r="T478" s="30" t="str">
        <f aca="false">IF(C478="","",IF(COUNTIFS(C$5:C478,C478,E$5:E478,E478)=1,1,0))</f>
        <v/>
      </c>
      <c r="U478" s="30" t="n">
        <f aca="false">IF(C478="",0,IF(AND(B478="brand",E478="budget_probe",N(F478)&gt;=Inputs!$C$124,H478="Y"),1,0))</f>
        <v>0</v>
      </c>
      <c r="V478" s="30" t="n">
        <f aca="false">IF(U478=1,IF(COUNTIFS(C$5:C478,C478,U$5:U478,1)=1,1,0),0)</f>
        <v>0</v>
      </c>
      <c r="W478" s="30" t="n">
        <f aca="false">IF(C478="",0,IF(AND(B478="office",E478="budget_probe",N(F478)&gt;=Inputs!$C$139),1,0))</f>
        <v>0</v>
      </c>
      <c r="X478" s="30" t="n">
        <f aca="false">IF(W478=1,IF(COUNTIFS(C$5:C478,C478,W$5:W478,1)=1,1,0),0)</f>
        <v>0</v>
      </c>
      <c r="Y478" s="30" t="n">
        <f aca="false">IF(C478="",0,IF(AND(B478="brand",E478="renewal_answer",TRIM(G478)="yes",N(F478)&gt;=Inputs!$C$135),1,0))</f>
        <v>0</v>
      </c>
      <c r="Z478" s="30" t="n">
        <f aca="false">IF(Y478=1,IF(COUNTIFS(C$5:C478,C478,Y$5:Y478,1)=1,1,0),0)</f>
        <v>0</v>
      </c>
      <c r="AA478" s="30" t="n">
        <f aca="false">IF(AND(E478="budget_probe",ISNUMBER(F478),I478&lt;&gt;Lists!$X$4),1,0)</f>
        <v>0</v>
      </c>
      <c r="AB478" s="30" t="str">
        <f aca="false">IF(AND(B478="office",AA478=1,COUNTIFS(C$5:C478,C478,AA$5:AA478,1)=1),F478,"")</f>
        <v/>
      </c>
      <c r="AC478" s="30" t="str">
        <f aca="false">IF(AND(B478="brand",AA478=1,COUNTIFS(C$5:C478,C478,AA$5:AA478,1)=1),F478,"")</f>
        <v/>
      </c>
      <c r="AD478" s="30" t="str">
        <f aca="false">IF(AND(B478="brand",E478="budget_probe",ISNUMBER(F478),I478=Lists!$X$4),IF(COUNTIFS(C$5:C478,C478,E$5:E478,"budget_probe",I$5:I478,Lists!$X$4)=1,F478,""),"")</f>
        <v/>
      </c>
      <c r="AE478" s="30" t="n">
        <f aca="false">IF(AND(B478="brand",E478="paid",ISNUMBER(F478)),IF(AND(SUMIFS(F$5:F478,B$5:B478,"brand",C$5:C478,C478,E$5:E478,"paid")&gt;=Inputs!$C$44,SUMIFS(F$5:F478,B$5:B478,"brand",C$5:C478,C478,E$5:E478,"paid")-F478&lt;Inputs!$C$44),1,0),0)</f>
        <v>0</v>
      </c>
    </row>
    <row r="479" customFormat="false" ht="15" hidden="false" customHeight="false" outlineLevel="0" collapsed="false">
      <c r="A479" s="102"/>
      <c r="B479" s="103"/>
      <c r="C479" s="103"/>
      <c r="D479" s="103"/>
      <c r="E479" s="103"/>
      <c r="F479" s="103"/>
      <c r="G479" s="103"/>
      <c r="H479" s="103"/>
      <c r="I479" s="103"/>
      <c r="T479" s="30" t="str">
        <f aca="false">IF(C479="","",IF(COUNTIFS(C$5:C479,C479,E$5:E479,E479)=1,1,0))</f>
        <v/>
      </c>
      <c r="U479" s="30" t="n">
        <f aca="false">IF(C479="",0,IF(AND(B479="brand",E479="budget_probe",N(F479)&gt;=Inputs!$C$124,H479="Y"),1,0))</f>
        <v>0</v>
      </c>
      <c r="V479" s="30" t="n">
        <f aca="false">IF(U479=1,IF(COUNTIFS(C$5:C479,C479,U$5:U479,1)=1,1,0),0)</f>
        <v>0</v>
      </c>
      <c r="W479" s="30" t="n">
        <f aca="false">IF(C479="",0,IF(AND(B479="office",E479="budget_probe",N(F479)&gt;=Inputs!$C$139),1,0))</f>
        <v>0</v>
      </c>
      <c r="X479" s="30" t="n">
        <f aca="false">IF(W479=1,IF(COUNTIFS(C$5:C479,C479,W$5:W479,1)=1,1,0),0)</f>
        <v>0</v>
      </c>
      <c r="Y479" s="30" t="n">
        <f aca="false">IF(C479="",0,IF(AND(B479="brand",E479="renewal_answer",TRIM(G479)="yes",N(F479)&gt;=Inputs!$C$135),1,0))</f>
        <v>0</v>
      </c>
      <c r="Z479" s="30" t="n">
        <f aca="false">IF(Y479=1,IF(COUNTIFS(C$5:C479,C479,Y$5:Y479,1)=1,1,0),0)</f>
        <v>0</v>
      </c>
      <c r="AA479" s="30" t="n">
        <f aca="false">IF(AND(E479="budget_probe",ISNUMBER(F479),I479&lt;&gt;Lists!$X$4),1,0)</f>
        <v>0</v>
      </c>
      <c r="AB479" s="30" t="str">
        <f aca="false">IF(AND(B479="office",AA479=1,COUNTIFS(C$5:C479,C479,AA$5:AA479,1)=1),F479,"")</f>
        <v/>
      </c>
      <c r="AC479" s="30" t="str">
        <f aca="false">IF(AND(B479="brand",AA479=1,COUNTIFS(C$5:C479,C479,AA$5:AA479,1)=1),F479,"")</f>
        <v/>
      </c>
      <c r="AD479" s="30" t="str">
        <f aca="false">IF(AND(B479="brand",E479="budget_probe",ISNUMBER(F479),I479=Lists!$X$4),IF(COUNTIFS(C$5:C479,C479,E$5:E479,"budget_probe",I$5:I479,Lists!$X$4)=1,F479,""),"")</f>
        <v/>
      </c>
      <c r="AE479" s="30" t="n">
        <f aca="false">IF(AND(B479="brand",E479="paid",ISNUMBER(F479)),IF(AND(SUMIFS(F$5:F479,B$5:B479,"brand",C$5:C479,C479,E$5:E479,"paid")&gt;=Inputs!$C$44,SUMIFS(F$5:F479,B$5:B479,"brand",C$5:C479,C479,E$5:E479,"paid")-F479&lt;Inputs!$C$44),1,0),0)</f>
        <v>0</v>
      </c>
    </row>
    <row r="480" customFormat="false" ht="15" hidden="false" customHeight="false" outlineLevel="0" collapsed="false">
      <c r="A480" s="102"/>
      <c r="B480" s="103"/>
      <c r="C480" s="103"/>
      <c r="D480" s="103"/>
      <c r="E480" s="103"/>
      <c r="F480" s="103"/>
      <c r="G480" s="103"/>
      <c r="H480" s="103"/>
      <c r="I480" s="103"/>
      <c r="T480" s="30" t="str">
        <f aca="false">IF(C480="","",IF(COUNTIFS(C$5:C480,C480,E$5:E480,E480)=1,1,0))</f>
        <v/>
      </c>
      <c r="U480" s="30" t="n">
        <f aca="false">IF(C480="",0,IF(AND(B480="brand",E480="budget_probe",N(F480)&gt;=Inputs!$C$124,H480="Y"),1,0))</f>
        <v>0</v>
      </c>
      <c r="V480" s="30" t="n">
        <f aca="false">IF(U480=1,IF(COUNTIFS(C$5:C480,C480,U$5:U480,1)=1,1,0),0)</f>
        <v>0</v>
      </c>
      <c r="W480" s="30" t="n">
        <f aca="false">IF(C480="",0,IF(AND(B480="office",E480="budget_probe",N(F480)&gt;=Inputs!$C$139),1,0))</f>
        <v>0</v>
      </c>
      <c r="X480" s="30" t="n">
        <f aca="false">IF(W480=1,IF(COUNTIFS(C$5:C480,C480,W$5:W480,1)=1,1,0),0)</f>
        <v>0</v>
      </c>
      <c r="Y480" s="30" t="n">
        <f aca="false">IF(C480="",0,IF(AND(B480="brand",E480="renewal_answer",TRIM(G480)="yes",N(F480)&gt;=Inputs!$C$135),1,0))</f>
        <v>0</v>
      </c>
      <c r="Z480" s="30" t="n">
        <f aca="false">IF(Y480=1,IF(COUNTIFS(C$5:C480,C480,Y$5:Y480,1)=1,1,0),0)</f>
        <v>0</v>
      </c>
      <c r="AA480" s="30" t="n">
        <f aca="false">IF(AND(E480="budget_probe",ISNUMBER(F480),I480&lt;&gt;Lists!$X$4),1,0)</f>
        <v>0</v>
      </c>
      <c r="AB480" s="30" t="str">
        <f aca="false">IF(AND(B480="office",AA480=1,COUNTIFS(C$5:C480,C480,AA$5:AA480,1)=1),F480,"")</f>
        <v/>
      </c>
      <c r="AC480" s="30" t="str">
        <f aca="false">IF(AND(B480="brand",AA480=1,COUNTIFS(C$5:C480,C480,AA$5:AA480,1)=1),F480,"")</f>
        <v/>
      </c>
      <c r="AD480" s="30" t="str">
        <f aca="false">IF(AND(B480="brand",E480="budget_probe",ISNUMBER(F480),I480=Lists!$X$4),IF(COUNTIFS(C$5:C480,C480,E$5:E480,"budget_probe",I$5:I480,Lists!$X$4)=1,F480,""),"")</f>
        <v/>
      </c>
      <c r="AE480" s="30" t="n">
        <f aca="false">IF(AND(B480="brand",E480="paid",ISNUMBER(F480)),IF(AND(SUMIFS(F$5:F480,B$5:B480,"brand",C$5:C480,C480,E$5:E480,"paid")&gt;=Inputs!$C$44,SUMIFS(F$5:F480,B$5:B480,"brand",C$5:C480,C480,E$5:E480,"paid")-F480&lt;Inputs!$C$44),1,0),0)</f>
        <v>0</v>
      </c>
    </row>
    <row r="481" customFormat="false" ht="15" hidden="false" customHeight="false" outlineLevel="0" collapsed="false">
      <c r="A481" s="102"/>
      <c r="B481" s="103"/>
      <c r="C481" s="103"/>
      <c r="D481" s="103"/>
      <c r="E481" s="103"/>
      <c r="F481" s="103"/>
      <c r="G481" s="103"/>
      <c r="H481" s="103"/>
      <c r="I481" s="103"/>
      <c r="T481" s="30" t="str">
        <f aca="false">IF(C481="","",IF(COUNTIFS(C$5:C481,C481,E$5:E481,E481)=1,1,0))</f>
        <v/>
      </c>
      <c r="U481" s="30" t="n">
        <f aca="false">IF(C481="",0,IF(AND(B481="brand",E481="budget_probe",N(F481)&gt;=Inputs!$C$124,H481="Y"),1,0))</f>
        <v>0</v>
      </c>
      <c r="V481" s="30" t="n">
        <f aca="false">IF(U481=1,IF(COUNTIFS(C$5:C481,C481,U$5:U481,1)=1,1,0),0)</f>
        <v>0</v>
      </c>
      <c r="W481" s="30" t="n">
        <f aca="false">IF(C481="",0,IF(AND(B481="office",E481="budget_probe",N(F481)&gt;=Inputs!$C$139),1,0))</f>
        <v>0</v>
      </c>
      <c r="X481" s="30" t="n">
        <f aca="false">IF(W481=1,IF(COUNTIFS(C$5:C481,C481,W$5:W481,1)=1,1,0),0)</f>
        <v>0</v>
      </c>
      <c r="Y481" s="30" t="n">
        <f aca="false">IF(C481="",0,IF(AND(B481="brand",E481="renewal_answer",TRIM(G481)="yes",N(F481)&gt;=Inputs!$C$135),1,0))</f>
        <v>0</v>
      </c>
      <c r="Z481" s="30" t="n">
        <f aca="false">IF(Y481=1,IF(COUNTIFS(C$5:C481,C481,Y$5:Y481,1)=1,1,0),0)</f>
        <v>0</v>
      </c>
      <c r="AA481" s="30" t="n">
        <f aca="false">IF(AND(E481="budget_probe",ISNUMBER(F481),I481&lt;&gt;Lists!$X$4),1,0)</f>
        <v>0</v>
      </c>
      <c r="AB481" s="30" t="str">
        <f aca="false">IF(AND(B481="office",AA481=1,COUNTIFS(C$5:C481,C481,AA$5:AA481,1)=1),F481,"")</f>
        <v/>
      </c>
      <c r="AC481" s="30" t="str">
        <f aca="false">IF(AND(B481="brand",AA481=1,COUNTIFS(C$5:C481,C481,AA$5:AA481,1)=1),F481,"")</f>
        <v/>
      </c>
      <c r="AD481" s="30" t="str">
        <f aca="false">IF(AND(B481="brand",E481="budget_probe",ISNUMBER(F481),I481=Lists!$X$4),IF(COUNTIFS(C$5:C481,C481,E$5:E481,"budget_probe",I$5:I481,Lists!$X$4)=1,F481,""),"")</f>
        <v/>
      </c>
      <c r="AE481" s="30" t="n">
        <f aca="false">IF(AND(B481="brand",E481="paid",ISNUMBER(F481)),IF(AND(SUMIFS(F$5:F481,B$5:B481,"brand",C$5:C481,C481,E$5:E481,"paid")&gt;=Inputs!$C$44,SUMIFS(F$5:F481,B$5:B481,"brand",C$5:C481,C481,E$5:E481,"paid")-F481&lt;Inputs!$C$44),1,0),0)</f>
        <v>0</v>
      </c>
    </row>
    <row r="482" customFormat="false" ht="15" hidden="false" customHeight="false" outlineLevel="0" collapsed="false">
      <c r="A482" s="102"/>
      <c r="B482" s="103"/>
      <c r="C482" s="103"/>
      <c r="D482" s="103"/>
      <c r="E482" s="103"/>
      <c r="F482" s="103"/>
      <c r="G482" s="103"/>
      <c r="H482" s="103"/>
      <c r="I482" s="103"/>
      <c r="T482" s="30" t="str">
        <f aca="false">IF(C482="","",IF(COUNTIFS(C$5:C482,C482,E$5:E482,E482)=1,1,0))</f>
        <v/>
      </c>
      <c r="U482" s="30" t="n">
        <f aca="false">IF(C482="",0,IF(AND(B482="brand",E482="budget_probe",N(F482)&gt;=Inputs!$C$124,H482="Y"),1,0))</f>
        <v>0</v>
      </c>
      <c r="V482" s="30" t="n">
        <f aca="false">IF(U482=1,IF(COUNTIFS(C$5:C482,C482,U$5:U482,1)=1,1,0),0)</f>
        <v>0</v>
      </c>
      <c r="W482" s="30" t="n">
        <f aca="false">IF(C482="",0,IF(AND(B482="office",E482="budget_probe",N(F482)&gt;=Inputs!$C$139),1,0))</f>
        <v>0</v>
      </c>
      <c r="X482" s="30" t="n">
        <f aca="false">IF(W482=1,IF(COUNTIFS(C$5:C482,C482,W$5:W482,1)=1,1,0),0)</f>
        <v>0</v>
      </c>
      <c r="Y482" s="30" t="n">
        <f aca="false">IF(C482="",0,IF(AND(B482="brand",E482="renewal_answer",TRIM(G482)="yes",N(F482)&gt;=Inputs!$C$135),1,0))</f>
        <v>0</v>
      </c>
      <c r="Z482" s="30" t="n">
        <f aca="false">IF(Y482=1,IF(COUNTIFS(C$5:C482,C482,Y$5:Y482,1)=1,1,0),0)</f>
        <v>0</v>
      </c>
      <c r="AA482" s="30" t="n">
        <f aca="false">IF(AND(E482="budget_probe",ISNUMBER(F482),I482&lt;&gt;Lists!$X$4),1,0)</f>
        <v>0</v>
      </c>
      <c r="AB482" s="30" t="str">
        <f aca="false">IF(AND(B482="office",AA482=1,COUNTIFS(C$5:C482,C482,AA$5:AA482,1)=1),F482,"")</f>
        <v/>
      </c>
      <c r="AC482" s="30" t="str">
        <f aca="false">IF(AND(B482="brand",AA482=1,COUNTIFS(C$5:C482,C482,AA$5:AA482,1)=1),F482,"")</f>
        <v/>
      </c>
      <c r="AD482" s="30" t="str">
        <f aca="false">IF(AND(B482="brand",E482="budget_probe",ISNUMBER(F482),I482=Lists!$X$4),IF(COUNTIFS(C$5:C482,C482,E$5:E482,"budget_probe",I$5:I482,Lists!$X$4)=1,F482,""),"")</f>
        <v/>
      </c>
      <c r="AE482" s="30" t="n">
        <f aca="false">IF(AND(B482="brand",E482="paid",ISNUMBER(F482)),IF(AND(SUMIFS(F$5:F482,B$5:B482,"brand",C$5:C482,C482,E$5:E482,"paid")&gt;=Inputs!$C$44,SUMIFS(F$5:F482,B$5:B482,"brand",C$5:C482,C482,E$5:E482,"paid")-F482&lt;Inputs!$C$44),1,0),0)</f>
        <v>0</v>
      </c>
    </row>
    <row r="483" customFormat="false" ht="15" hidden="false" customHeight="false" outlineLevel="0" collapsed="false">
      <c r="A483" s="102"/>
      <c r="B483" s="103"/>
      <c r="C483" s="103"/>
      <c r="D483" s="103"/>
      <c r="E483" s="103"/>
      <c r="F483" s="103"/>
      <c r="G483" s="103"/>
      <c r="H483" s="103"/>
      <c r="I483" s="103"/>
      <c r="T483" s="30" t="str">
        <f aca="false">IF(C483="","",IF(COUNTIFS(C$5:C483,C483,E$5:E483,E483)=1,1,0))</f>
        <v/>
      </c>
      <c r="U483" s="30" t="n">
        <f aca="false">IF(C483="",0,IF(AND(B483="brand",E483="budget_probe",N(F483)&gt;=Inputs!$C$124,H483="Y"),1,0))</f>
        <v>0</v>
      </c>
      <c r="V483" s="30" t="n">
        <f aca="false">IF(U483=1,IF(COUNTIFS(C$5:C483,C483,U$5:U483,1)=1,1,0),0)</f>
        <v>0</v>
      </c>
      <c r="W483" s="30" t="n">
        <f aca="false">IF(C483="",0,IF(AND(B483="office",E483="budget_probe",N(F483)&gt;=Inputs!$C$139),1,0))</f>
        <v>0</v>
      </c>
      <c r="X483" s="30" t="n">
        <f aca="false">IF(W483=1,IF(COUNTIFS(C$5:C483,C483,W$5:W483,1)=1,1,0),0)</f>
        <v>0</v>
      </c>
      <c r="Y483" s="30" t="n">
        <f aca="false">IF(C483="",0,IF(AND(B483="brand",E483="renewal_answer",TRIM(G483)="yes",N(F483)&gt;=Inputs!$C$135),1,0))</f>
        <v>0</v>
      </c>
      <c r="Z483" s="30" t="n">
        <f aca="false">IF(Y483=1,IF(COUNTIFS(C$5:C483,C483,Y$5:Y483,1)=1,1,0),0)</f>
        <v>0</v>
      </c>
      <c r="AA483" s="30" t="n">
        <f aca="false">IF(AND(E483="budget_probe",ISNUMBER(F483),I483&lt;&gt;Lists!$X$4),1,0)</f>
        <v>0</v>
      </c>
      <c r="AB483" s="30" t="str">
        <f aca="false">IF(AND(B483="office",AA483=1,COUNTIFS(C$5:C483,C483,AA$5:AA483,1)=1),F483,"")</f>
        <v/>
      </c>
      <c r="AC483" s="30" t="str">
        <f aca="false">IF(AND(B483="brand",AA483=1,COUNTIFS(C$5:C483,C483,AA$5:AA483,1)=1),F483,"")</f>
        <v/>
      </c>
      <c r="AD483" s="30" t="str">
        <f aca="false">IF(AND(B483="brand",E483="budget_probe",ISNUMBER(F483),I483=Lists!$X$4),IF(COUNTIFS(C$5:C483,C483,E$5:E483,"budget_probe",I$5:I483,Lists!$X$4)=1,F483,""),"")</f>
        <v/>
      </c>
      <c r="AE483" s="30" t="n">
        <f aca="false">IF(AND(B483="brand",E483="paid",ISNUMBER(F483)),IF(AND(SUMIFS(F$5:F483,B$5:B483,"brand",C$5:C483,C483,E$5:E483,"paid")&gt;=Inputs!$C$44,SUMIFS(F$5:F483,B$5:B483,"brand",C$5:C483,C483,E$5:E483,"paid")-F483&lt;Inputs!$C$44),1,0),0)</f>
        <v>0</v>
      </c>
    </row>
    <row r="484" customFormat="false" ht="15" hidden="false" customHeight="false" outlineLevel="0" collapsed="false">
      <c r="A484" s="102"/>
      <c r="B484" s="103"/>
      <c r="C484" s="103"/>
      <c r="D484" s="103"/>
      <c r="E484" s="103"/>
      <c r="F484" s="103"/>
      <c r="G484" s="103"/>
      <c r="H484" s="103"/>
      <c r="I484" s="103"/>
      <c r="T484" s="30" t="str">
        <f aca="false">IF(C484="","",IF(COUNTIFS(C$5:C484,C484,E$5:E484,E484)=1,1,0))</f>
        <v/>
      </c>
      <c r="U484" s="30" t="n">
        <f aca="false">IF(C484="",0,IF(AND(B484="brand",E484="budget_probe",N(F484)&gt;=Inputs!$C$124,H484="Y"),1,0))</f>
        <v>0</v>
      </c>
      <c r="V484" s="30" t="n">
        <f aca="false">IF(U484=1,IF(COUNTIFS(C$5:C484,C484,U$5:U484,1)=1,1,0),0)</f>
        <v>0</v>
      </c>
      <c r="W484" s="30" t="n">
        <f aca="false">IF(C484="",0,IF(AND(B484="office",E484="budget_probe",N(F484)&gt;=Inputs!$C$139),1,0))</f>
        <v>0</v>
      </c>
      <c r="X484" s="30" t="n">
        <f aca="false">IF(W484=1,IF(COUNTIFS(C$5:C484,C484,W$5:W484,1)=1,1,0),0)</f>
        <v>0</v>
      </c>
      <c r="Y484" s="30" t="n">
        <f aca="false">IF(C484="",0,IF(AND(B484="brand",E484="renewal_answer",TRIM(G484)="yes",N(F484)&gt;=Inputs!$C$135),1,0))</f>
        <v>0</v>
      </c>
      <c r="Z484" s="30" t="n">
        <f aca="false">IF(Y484=1,IF(COUNTIFS(C$5:C484,C484,Y$5:Y484,1)=1,1,0),0)</f>
        <v>0</v>
      </c>
      <c r="AA484" s="30" t="n">
        <f aca="false">IF(AND(E484="budget_probe",ISNUMBER(F484),I484&lt;&gt;Lists!$X$4),1,0)</f>
        <v>0</v>
      </c>
      <c r="AB484" s="30" t="str">
        <f aca="false">IF(AND(B484="office",AA484=1,COUNTIFS(C$5:C484,C484,AA$5:AA484,1)=1),F484,"")</f>
        <v/>
      </c>
      <c r="AC484" s="30" t="str">
        <f aca="false">IF(AND(B484="brand",AA484=1,COUNTIFS(C$5:C484,C484,AA$5:AA484,1)=1),F484,"")</f>
        <v/>
      </c>
      <c r="AD484" s="30" t="str">
        <f aca="false">IF(AND(B484="brand",E484="budget_probe",ISNUMBER(F484),I484=Lists!$X$4),IF(COUNTIFS(C$5:C484,C484,E$5:E484,"budget_probe",I$5:I484,Lists!$X$4)=1,F484,""),"")</f>
        <v/>
      </c>
      <c r="AE484" s="30" t="n">
        <f aca="false">IF(AND(B484="brand",E484="paid",ISNUMBER(F484)),IF(AND(SUMIFS(F$5:F484,B$5:B484,"brand",C$5:C484,C484,E$5:E484,"paid")&gt;=Inputs!$C$44,SUMIFS(F$5:F484,B$5:B484,"brand",C$5:C484,C484,E$5:E484,"paid")-F484&lt;Inputs!$C$44),1,0),0)</f>
        <v>0</v>
      </c>
    </row>
    <row r="485" customFormat="false" ht="15" hidden="false" customHeight="false" outlineLevel="0" collapsed="false">
      <c r="A485" s="102"/>
      <c r="B485" s="103"/>
      <c r="C485" s="103"/>
      <c r="D485" s="103"/>
      <c r="E485" s="103"/>
      <c r="F485" s="103"/>
      <c r="G485" s="103"/>
      <c r="H485" s="103"/>
      <c r="I485" s="103"/>
      <c r="T485" s="30" t="str">
        <f aca="false">IF(C485="","",IF(COUNTIFS(C$5:C485,C485,E$5:E485,E485)=1,1,0))</f>
        <v/>
      </c>
      <c r="U485" s="30" t="n">
        <f aca="false">IF(C485="",0,IF(AND(B485="brand",E485="budget_probe",N(F485)&gt;=Inputs!$C$124,H485="Y"),1,0))</f>
        <v>0</v>
      </c>
      <c r="V485" s="30" t="n">
        <f aca="false">IF(U485=1,IF(COUNTIFS(C$5:C485,C485,U$5:U485,1)=1,1,0),0)</f>
        <v>0</v>
      </c>
      <c r="W485" s="30" t="n">
        <f aca="false">IF(C485="",0,IF(AND(B485="office",E485="budget_probe",N(F485)&gt;=Inputs!$C$139),1,0))</f>
        <v>0</v>
      </c>
      <c r="X485" s="30" t="n">
        <f aca="false">IF(W485=1,IF(COUNTIFS(C$5:C485,C485,W$5:W485,1)=1,1,0),0)</f>
        <v>0</v>
      </c>
      <c r="Y485" s="30" t="n">
        <f aca="false">IF(C485="",0,IF(AND(B485="brand",E485="renewal_answer",TRIM(G485)="yes",N(F485)&gt;=Inputs!$C$135),1,0))</f>
        <v>0</v>
      </c>
      <c r="Z485" s="30" t="n">
        <f aca="false">IF(Y485=1,IF(COUNTIFS(C$5:C485,C485,Y$5:Y485,1)=1,1,0),0)</f>
        <v>0</v>
      </c>
      <c r="AA485" s="30" t="n">
        <f aca="false">IF(AND(E485="budget_probe",ISNUMBER(F485),I485&lt;&gt;Lists!$X$4),1,0)</f>
        <v>0</v>
      </c>
      <c r="AB485" s="30" t="str">
        <f aca="false">IF(AND(B485="office",AA485=1,COUNTIFS(C$5:C485,C485,AA$5:AA485,1)=1),F485,"")</f>
        <v/>
      </c>
      <c r="AC485" s="30" t="str">
        <f aca="false">IF(AND(B485="brand",AA485=1,COUNTIFS(C$5:C485,C485,AA$5:AA485,1)=1),F485,"")</f>
        <v/>
      </c>
      <c r="AD485" s="30" t="str">
        <f aca="false">IF(AND(B485="brand",E485="budget_probe",ISNUMBER(F485),I485=Lists!$X$4),IF(COUNTIFS(C$5:C485,C485,E$5:E485,"budget_probe",I$5:I485,Lists!$X$4)=1,F485,""),"")</f>
        <v/>
      </c>
      <c r="AE485" s="30" t="n">
        <f aca="false">IF(AND(B485="brand",E485="paid",ISNUMBER(F485)),IF(AND(SUMIFS(F$5:F485,B$5:B485,"brand",C$5:C485,C485,E$5:E485,"paid")&gt;=Inputs!$C$44,SUMIFS(F$5:F485,B$5:B485,"brand",C$5:C485,C485,E$5:E485,"paid")-F485&lt;Inputs!$C$44),1,0),0)</f>
        <v>0</v>
      </c>
    </row>
    <row r="486" customFormat="false" ht="15" hidden="false" customHeight="false" outlineLevel="0" collapsed="false">
      <c r="A486" s="102"/>
      <c r="B486" s="103"/>
      <c r="C486" s="103"/>
      <c r="D486" s="103"/>
      <c r="E486" s="103"/>
      <c r="F486" s="103"/>
      <c r="G486" s="103"/>
      <c r="H486" s="103"/>
      <c r="I486" s="103"/>
      <c r="T486" s="30" t="str">
        <f aca="false">IF(C486="","",IF(COUNTIFS(C$5:C486,C486,E$5:E486,E486)=1,1,0))</f>
        <v/>
      </c>
      <c r="U486" s="30" t="n">
        <f aca="false">IF(C486="",0,IF(AND(B486="brand",E486="budget_probe",N(F486)&gt;=Inputs!$C$124,H486="Y"),1,0))</f>
        <v>0</v>
      </c>
      <c r="V486" s="30" t="n">
        <f aca="false">IF(U486=1,IF(COUNTIFS(C$5:C486,C486,U$5:U486,1)=1,1,0),0)</f>
        <v>0</v>
      </c>
      <c r="W486" s="30" t="n">
        <f aca="false">IF(C486="",0,IF(AND(B486="office",E486="budget_probe",N(F486)&gt;=Inputs!$C$139),1,0))</f>
        <v>0</v>
      </c>
      <c r="X486" s="30" t="n">
        <f aca="false">IF(W486=1,IF(COUNTIFS(C$5:C486,C486,W$5:W486,1)=1,1,0),0)</f>
        <v>0</v>
      </c>
      <c r="Y486" s="30" t="n">
        <f aca="false">IF(C486="",0,IF(AND(B486="brand",E486="renewal_answer",TRIM(G486)="yes",N(F486)&gt;=Inputs!$C$135),1,0))</f>
        <v>0</v>
      </c>
      <c r="Z486" s="30" t="n">
        <f aca="false">IF(Y486=1,IF(COUNTIFS(C$5:C486,C486,Y$5:Y486,1)=1,1,0),0)</f>
        <v>0</v>
      </c>
      <c r="AA486" s="30" t="n">
        <f aca="false">IF(AND(E486="budget_probe",ISNUMBER(F486),I486&lt;&gt;Lists!$X$4),1,0)</f>
        <v>0</v>
      </c>
      <c r="AB486" s="30" t="str">
        <f aca="false">IF(AND(B486="office",AA486=1,COUNTIFS(C$5:C486,C486,AA$5:AA486,1)=1),F486,"")</f>
        <v/>
      </c>
      <c r="AC486" s="30" t="str">
        <f aca="false">IF(AND(B486="brand",AA486=1,COUNTIFS(C$5:C486,C486,AA$5:AA486,1)=1),F486,"")</f>
        <v/>
      </c>
      <c r="AD486" s="30" t="str">
        <f aca="false">IF(AND(B486="brand",E486="budget_probe",ISNUMBER(F486),I486=Lists!$X$4),IF(COUNTIFS(C$5:C486,C486,E$5:E486,"budget_probe",I$5:I486,Lists!$X$4)=1,F486,""),"")</f>
        <v/>
      </c>
      <c r="AE486" s="30" t="n">
        <f aca="false">IF(AND(B486="brand",E486="paid",ISNUMBER(F486)),IF(AND(SUMIFS(F$5:F486,B$5:B486,"brand",C$5:C486,C486,E$5:E486,"paid")&gt;=Inputs!$C$44,SUMIFS(F$5:F486,B$5:B486,"brand",C$5:C486,C486,E$5:E486,"paid")-F486&lt;Inputs!$C$44),1,0),0)</f>
        <v>0</v>
      </c>
    </row>
    <row r="487" customFormat="false" ht="15" hidden="false" customHeight="false" outlineLevel="0" collapsed="false">
      <c r="A487" s="102"/>
      <c r="B487" s="103"/>
      <c r="C487" s="103"/>
      <c r="D487" s="103"/>
      <c r="E487" s="103"/>
      <c r="F487" s="103"/>
      <c r="G487" s="103"/>
      <c r="H487" s="103"/>
      <c r="I487" s="103"/>
      <c r="T487" s="30" t="str">
        <f aca="false">IF(C487="","",IF(COUNTIFS(C$5:C487,C487,E$5:E487,E487)=1,1,0))</f>
        <v/>
      </c>
      <c r="U487" s="30" t="n">
        <f aca="false">IF(C487="",0,IF(AND(B487="brand",E487="budget_probe",N(F487)&gt;=Inputs!$C$124,H487="Y"),1,0))</f>
        <v>0</v>
      </c>
      <c r="V487" s="30" t="n">
        <f aca="false">IF(U487=1,IF(COUNTIFS(C$5:C487,C487,U$5:U487,1)=1,1,0),0)</f>
        <v>0</v>
      </c>
      <c r="W487" s="30" t="n">
        <f aca="false">IF(C487="",0,IF(AND(B487="office",E487="budget_probe",N(F487)&gt;=Inputs!$C$139),1,0))</f>
        <v>0</v>
      </c>
      <c r="X487" s="30" t="n">
        <f aca="false">IF(W487=1,IF(COUNTIFS(C$5:C487,C487,W$5:W487,1)=1,1,0),0)</f>
        <v>0</v>
      </c>
      <c r="Y487" s="30" t="n">
        <f aca="false">IF(C487="",0,IF(AND(B487="brand",E487="renewal_answer",TRIM(G487)="yes",N(F487)&gt;=Inputs!$C$135),1,0))</f>
        <v>0</v>
      </c>
      <c r="Z487" s="30" t="n">
        <f aca="false">IF(Y487=1,IF(COUNTIFS(C$5:C487,C487,Y$5:Y487,1)=1,1,0),0)</f>
        <v>0</v>
      </c>
      <c r="AA487" s="30" t="n">
        <f aca="false">IF(AND(E487="budget_probe",ISNUMBER(F487),I487&lt;&gt;Lists!$X$4),1,0)</f>
        <v>0</v>
      </c>
      <c r="AB487" s="30" t="str">
        <f aca="false">IF(AND(B487="office",AA487=1,COUNTIFS(C$5:C487,C487,AA$5:AA487,1)=1),F487,"")</f>
        <v/>
      </c>
      <c r="AC487" s="30" t="str">
        <f aca="false">IF(AND(B487="brand",AA487=1,COUNTIFS(C$5:C487,C487,AA$5:AA487,1)=1),F487,"")</f>
        <v/>
      </c>
      <c r="AD487" s="30" t="str">
        <f aca="false">IF(AND(B487="brand",E487="budget_probe",ISNUMBER(F487),I487=Lists!$X$4),IF(COUNTIFS(C$5:C487,C487,E$5:E487,"budget_probe",I$5:I487,Lists!$X$4)=1,F487,""),"")</f>
        <v/>
      </c>
      <c r="AE487" s="30" t="n">
        <f aca="false">IF(AND(B487="brand",E487="paid",ISNUMBER(F487)),IF(AND(SUMIFS(F$5:F487,B$5:B487,"brand",C$5:C487,C487,E$5:E487,"paid")&gt;=Inputs!$C$44,SUMIFS(F$5:F487,B$5:B487,"brand",C$5:C487,C487,E$5:E487,"paid")-F487&lt;Inputs!$C$44),1,0),0)</f>
        <v>0</v>
      </c>
    </row>
    <row r="488" customFormat="false" ht="15" hidden="false" customHeight="false" outlineLevel="0" collapsed="false">
      <c r="A488" s="102"/>
      <c r="B488" s="103"/>
      <c r="C488" s="103"/>
      <c r="D488" s="103"/>
      <c r="E488" s="103"/>
      <c r="F488" s="103"/>
      <c r="G488" s="103"/>
      <c r="H488" s="103"/>
      <c r="I488" s="103"/>
      <c r="T488" s="30" t="str">
        <f aca="false">IF(C488="","",IF(COUNTIFS(C$5:C488,C488,E$5:E488,E488)=1,1,0))</f>
        <v/>
      </c>
      <c r="U488" s="30" t="n">
        <f aca="false">IF(C488="",0,IF(AND(B488="brand",E488="budget_probe",N(F488)&gt;=Inputs!$C$124,H488="Y"),1,0))</f>
        <v>0</v>
      </c>
      <c r="V488" s="30" t="n">
        <f aca="false">IF(U488=1,IF(COUNTIFS(C$5:C488,C488,U$5:U488,1)=1,1,0),0)</f>
        <v>0</v>
      </c>
      <c r="W488" s="30" t="n">
        <f aca="false">IF(C488="",0,IF(AND(B488="office",E488="budget_probe",N(F488)&gt;=Inputs!$C$139),1,0))</f>
        <v>0</v>
      </c>
      <c r="X488" s="30" t="n">
        <f aca="false">IF(W488=1,IF(COUNTIFS(C$5:C488,C488,W$5:W488,1)=1,1,0),0)</f>
        <v>0</v>
      </c>
      <c r="Y488" s="30" t="n">
        <f aca="false">IF(C488="",0,IF(AND(B488="brand",E488="renewal_answer",TRIM(G488)="yes",N(F488)&gt;=Inputs!$C$135),1,0))</f>
        <v>0</v>
      </c>
      <c r="Z488" s="30" t="n">
        <f aca="false">IF(Y488=1,IF(COUNTIFS(C$5:C488,C488,Y$5:Y488,1)=1,1,0),0)</f>
        <v>0</v>
      </c>
      <c r="AA488" s="30" t="n">
        <f aca="false">IF(AND(E488="budget_probe",ISNUMBER(F488),I488&lt;&gt;Lists!$X$4),1,0)</f>
        <v>0</v>
      </c>
      <c r="AB488" s="30" t="str">
        <f aca="false">IF(AND(B488="office",AA488=1,COUNTIFS(C$5:C488,C488,AA$5:AA488,1)=1),F488,"")</f>
        <v/>
      </c>
      <c r="AC488" s="30" t="str">
        <f aca="false">IF(AND(B488="brand",AA488=1,COUNTIFS(C$5:C488,C488,AA$5:AA488,1)=1),F488,"")</f>
        <v/>
      </c>
      <c r="AD488" s="30" t="str">
        <f aca="false">IF(AND(B488="brand",E488="budget_probe",ISNUMBER(F488),I488=Lists!$X$4),IF(COUNTIFS(C$5:C488,C488,E$5:E488,"budget_probe",I$5:I488,Lists!$X$4)=1,F488,""),"")</f>
        <v/>
      </c>
      <c r="AE488" s="30" t="n">
        <f aca="false">IF(AND(B488="brand",E488="paid",ISNUMBER(F488)),IF(AND(SUMIFS(F$5:F488,B$5:B488,"brand",C$5:C488,C488,E$5:E488,"paid")&gt;=Inputs!$C$44,SUMIFS(F$5:F488,B$5:B488,"brand",C$5:C488,C488,E$5:E488,"paid")-F488&lt;Inputs!$C$44),1,0),0)</f>
        <v>0</v>
      </c>
    </row>
    <row r="489" customFormat="false" ht="15" hidden="false" customHeight="false" outlineLevel="0" collapsed="false">
      <c r="A489" s="102"/>
      <c r="B489" s="103"/>
      <c r="C489" s="103"/>
      <c r="D489" s="103"/>
      <c r="E489" s="103"/>
      <c r="F489" s="103"/>
      <c r="G489" s="103"/>
      <c r="H489" s="103"/>
      <c r="I489" s="103"/>
      <c r="T489" s="30" t="str">
        <f aca="false">IF(C489="","",IF(COUNTIFS(C$5:C489,C489,E$5:E489,E489)=1,1,0))</f>
        <v/>
      </c>
      <c r="U489" s="30" t="n">
        <f aca="false">IF(C489="",0,IF(AND(B489="brand",E489="budget_probe",N(F489)&gt;=Inputs!$C$124,H489="Y"),1,0))</f>
        <v>0</v>
      </c>
      <c r="V489" s="30" t="n">
        <f aca="false">IF(U489=1,IF(COUNTIFS(C$5:C489,C489,U$5:U489,1)=1,1,0),0)</f>
        <v>0</v>
      </c>
      <c r="W489" s="30" t="n">
        <f aca="false">IF(C489="",0,IF(AND(B489="office",E489="budget_probe",N(F489)&gt;=Inputs!$C$139),1,0))</f>
        <v>0</v>
      </c>
      <c r="X489" s="30" t="n">
        <f aca="false">IF(W489=1,IF(COUNTIFS(C$5:C489,C489,W$5:W489,1)=1,1,0),0)</f>
        <v>0</v>
      </c>
      <c r="Y489" s="30" t="n">
        <f aca="false">IF(C489="",0,IF(AND(B489="brand",E489="renewal_answer",TRIM(G489)="yes",N(F489)&gt;=Inputs!$C$135),1,0))</f>
        <v>0</v>
      </c>
      <c r="Z489" s="30" t="n">
        <f aca="false">IF(Y489=1,IF(COUNTIFS(C$5:C489,C489,Y$5:Y489,1)=1,1,0),0)</f>
        <v>0</v>
      </c>
      <c r="AA489" s="30" t="n">
        <f aca="false">IF(AND(E489="budget_probe",ISNUMBER(F489),I489&lt;&gt;Lists!$X$4),1,0)</f>
        <v>0</v>
      </c>
      <c r="AB489" s="30" t="str">
        <f aca="false">IF(AND(B489="office",AA489=1,COUNTIFS(C$5:C489,C489,AA$5:AA489,1)=1),F489,"")</f>
        <v/>
      </c>
      <c r="AC489" s="30" t="str">
        <f aca="false">IF(AND(B489="brand",AA489=1,COUNTIFS(C$5:C489,C489,AA$5:AA489,1)=1),F489,"")</f>
        <v/>
      </c>
      <c r="AD489" s="30" t="str">
        <f aca="false">IF(AND(B489="brand",E489="budget_probe",ISNUMBER(F489),I489=Lists!$X$4),IF(COUNTIFS(C$5:C489,C489,E$5:E489,"budget_probe",I$5:I489,Lists!$X$4)=1,F489,""),"")</f>
        <v/>
      </c>
      <c r="AE489" s="30" t="n">
        <f aca="false">IF(AND(B489="brand",E489="paid",ISNUMBER(F489)),IF(AND(SUMIFS(F$5:F489,B$5:B489,"brand",C$5:C489,C489,E$5:E489,"paid")&gt;=Inputs!$C$44,SUMIFS(F$5:F489,B$5:B489,"brand",C$5:C489,C489,E$5:E489,"paid")-F489&lt;Inputs!$C$44),1,0),0)</f>
        <v>0</v>
      </c>
    </row>
    <row r="490" customFormat="false" ht="15" hidden="false" customHeight="false" outlineLevel="0" collapsed="false">
      <c r="A490" s="102"/>
      <c r="B490" s="103"/>
      <c r="C490" s="103"/>
      <c r="D490" s="103"/>
      <c r="E490" s="103"/>
      <c r="F490" s="103"/>
      <c r="G490" s="103"/>
      <c r="H490" s="103"/>
      <c r="I490" s="103"/>
      <c r="T490" s="30" t="str">
        <f aca="false">IF(C490="","",IF(COUNTIFS(C$5:C490,C490,E$5:E490,E490)=1,1,0))</f>
        <v/>
      </c>
      <c r="U490" s="30" t="n">
        <f aca="false">IF(C490="",0,IF(AND(B490="brand",E490="budget_probe",N(F490)&gt;=Inputs!$C$124,H490="Y"),1,0))</f>
        <v>0</v>
      </c>
      <c r="V490" s="30" t="n">
        <f aca="false">IF(U490=1,IF(COUNTIFS(C$5:C490,C490,U$5:U490,1)=1,1,0),0)</f>
        <v>0</v>
      </c>
      <c r="W490" s="30" t="n">
        <f aca="false">IF(C490="",0,IF(AND(B490="office",E490="budget_probe",N(F490)&gt;=Inputs!$C$139),1,0))</f>
        <v>0</v>
      </c>
      <c r="X490" s="30" t="n">
        <f aca="false">IF(W490=1,IF(COUNTIFS(C$5:C490,C490,W$5:W490,1)=1,1,0),0)</f>
        <v>0</v>
      </c>
      <c r="Y490" s="30" t="n">
        <f aca="false">IF(C490="",0,IF(AND(B490="brand",E490="renewal_answer",TRIM(G490)="yes",N(F490)&gt;=Inputs!$C$135),1,0))</f>
        <v>0</v>
      </c>
      <c r="Z490" s="30" t="n">
        <f aca="false">IF(Y490=1,IF(COUNTIFS(C$5:C490,C490,Y$5:Y490,1)=1,1,0),0)</f>
        <v>0</v>
      </c>
      <c r="AA490" s="30" t="n">
        <f aca="false">IF(AND(E490="budget_probe",ISNUMBER(F490),I490&lt;&gt;Lists!$X$4),1,0)</f>
        <v>0</v>
      </c>
      <c r="AB490" s="30" t="str">
        <f aca="false">IF(AND(B490="office",AA490=1,COUNTIFS(C$5:C490,C490,AA$5:AA490,1)=1),F490,"")</f>
        <v/>
      </c>
      <c r="AC490" s="30" t="str">
        <f aca="false">IF(AND(B490="brand",AA490=1,COUNTIFS(C$5:C490,C490,AA$5:AA490,1)=1),F490,"")</f>
        <v/>
      </c>
      <c r="AD490" s="30" t="str">
        <f aca="false">IF(AND(B490="brand",E490="budget_probe",ISNUMBER(F490),I490=Lists!$X$4),IF(COUNTIFS(C$5:C490,C490,E$5:E490,"budget_probe",I$5:I490,Lists!$X$4)=1,F490,""),"")</f>
        <v/>
      </c>
      <c r="AE490" s="30" t="n">
        <f aca="false">IF(AND(B490="brand",E490="paid",ISNUMBER(F490)),IF(AND(SUMIFS(F$5:F490,B$5:B490,"brand",C$5:C490,C490,E$5:E490,"paid")&gt;=Inputs!$C$44,SUMIFS(F$5:F490,B$5:B490,"brand",C$5:C490,C490,E$5:E490,"paid")-F490&lt;Inputs!$C$44),1,0),0)</f>
        <v>0</v>
      </c>
    </row>
    <row r="491" customFormat="false" ht="15" hidden="false" customHeight="false" outlineLevel="0" collapsed="false">
      <c r="A491" s="102"/>
      <c r="B491" s="103"/>
      <c r="C491" s="103"/>
      <c r="D491" s="103"/>
      <c r="E491" s="103"/>
      <c r="F491" s="103"/>
      <c r="G491" s="103"/>
      <c r="H491" s="103"/>
      <c r="I491" s="103"/>
      <c r="T491" s="30" t="str">
        <f aca="false">IF(C491="","",IF(COUNTIFS(C$5:C491,C491,E$5:E491,E491)=1,1,0))</f>
        <v/>
      </c>
      <c r="U491" s="30" t="n">
        <f aca="false">IF(C491="",0,IF(AND(B491="brand",E491="budget_probe",N(F491)&gt;=Inputs!$C$124,H491="Y"),1,0))</f>
        <v>0</v>
      </c>
      <c r="V491" s="30" t="n">
        <f aca="false">IF(U491=1,IF(COUNTIFS(C$5:C491,C491,U$5:U491,1)=1,1,0),0)</f>
        <v>0</v>
      </c>
      <c r="W491" s="30" t="n">
        <f aca="false">IF(C491="",0,IF(AND(B491="office",E491="budget_probe",N(F491)&gt;=Inputs!$C$139),1,0))</f>
        <v>0</v>
      </c>
      <c r="X491" s="30" t="n">
        <f aca="false">IF(W491=1,IF(COUNTIFS(C$5:C491,C491,W$5:W491,1)=1,1,0),0)</f>
        <v>0</v>
      </c>
      <c r="Y491" s="30" t="n">
        <f aca="false">IF(C491="",0,IF(AND(B491="brand",E491="renewal_answer",TRIM(G491)="yes",N(F491)&gt;=Inputs!$C$135),1,0))</f>
        <v>0</v>
      </c>
      <c r="Z491" s="30" t="n">
        <f aca="false">IF(Y491=1,IF(COUNTIFS(C$5:C491,C491,Y$5:Y491,1)=1,1,0),0)</f>
        <v>0</v>
      </c>
      <c r="AA491" s="30" t="n">
        <f aca="false">IF(AND(E491="budget_probe",ISNUMBER(F491),I491&lt;&gt;Lists!$X$4),1,0)</f>
        <v>0</v>
      </c>
      <c r="AB491" s="30" t="str">
        <f aca="false">IF(AND(B491="office",AA491=1,COUNTIFS(C$5:C491,C491,AA$5:AA491,1)=1),F491,"")</f>
        <v/>
      </c>
      <c r="AC491" s="30" t="str">
        <f aca="false">IF(AND(B491="brand",AA491=1,COUNTIFS(C$5:C491,C491,AA$5:AA491,1)=1),F491,"")</f>
        <v/>
      </c>
      <c r="AD491" s="30" t="str">
        <f aca="false">IF(AND(B491="brand",E491="budget_probe",ISNUMBER(F491),I491=Lists!$X$4),IF(COUNTIFS(C$5:C491,C491,E$5:E491,"budget_probe",I$5:I491,Lists!$X$4)=1,F491,""),"")</f>
        <v/>
      </c>
      <c r="AE491" s="30" t="n">
        <f aca="false">IF(AND(B491="brand",E491="paid",ISNUMBER(F491)),IF(AND(SUMIFS(F$5:F491,B$5:B491,"brand",C$5:C491,C491,E$5:E491,"paid")&gt;=Inputs!$C$44,SUMIFS(F$5:F491,B$5:B491,"brand",C$5:C491,C491,E$5:E491,"paid")-F491&lt;Inputs!$C$44),1,0),0)</f>
        <v>0</v>
      </c>
    </row>
    <row r="492" customFormat="false" ht="15" hidden="false" customHeight="false" outlineLevel="0" collapsed="false">
      <c r="A492" s="102"/>
      <c r="B492" s="103"/>
      <c r="C492" s="103"/>
      <c r="D492" s="103"/>
      <c r="E492" s="103"/>
      <c r="F492" s="103"/>
      <c r="G492" s="103"/>
      <c r="H492" s="103"/>
      <c r="I492" s="103"/>
      <c r="T492" s="30" t="str">
        <f aca="false">IF(C492="","",IF(COUNTIFS(C$5:C492,C492,E$5:E492,E492)=1,1,0))</f>
        <v/>
      </c>
      <c r="U492" s="30" t="n">
        <f aca="false">IF(C492="",0,IF(AND(B492="brand",E492="budget_probe",N(F492)&gt;=Inputs!$C$124,H492="Y"),1,0))</f>
        <v>0</v>
      </c>
      <c r="V492" s="30" t="n">
        <f aca="false">IF(U492=1,IF(COUNTIFS(C$5:C492,C492,U$5:U492,1)=1,1,0),0)</f>
        <v>0</v>
      </c>
      <c r="W492" s="30" t="n">
        <f aca="false">IF(C492="",0,IF(AND(B492="office",E492="budget_probe",N(F492)&gt;=Inputs!$C$139),1,0))</f>
        <v>0</v>
      </c>
      <c r="X492" s="30" t="n">
        <f aca="false">IF(W492=1,IF(COUNTIFS(C$5:C492,C492,W$5:W492,1)=1,1,0),0)</f>
        <v>0</v>
      </c>
      <c r="Y492" s="30" t="n">
        <f aca="false">IF(C492="",0,IF(AND(B492="brand",E492="renewal_answer",TRIM(G492)="yes",N(F492)&gt;=Inputs!$C$135),1,0))</f>
        <v>0</v>
      </c>
      <c r="Z492" s="30" t="n">
        <f aca="false">IF(Y492=1,IF(COUNTIFS(C$5:C492,C492,Y$5:Y492,1)=1,1,0),0)</f>
        <v>0</v>
      </c>
      <c r="AA492" s="30" t="n">
        <f aca="false">IF(AND(E492="budget_probe",ISNUMBER(F492),I492&lt;&gt;Lists!$X$4),1,0)</f>
        <v>0</v>
      </c>
      <c r="AB492" s="30" t="str">
        <f aca="false">IF(AND(B492="office",AA492=1,COUNTIFS(C$5:C492,C492,AA$5:AA492,1)=1),F492,"")</f>
        <v/>
      </c>
      <c r="AC492" s="30" t="str">
        <f aca="false">IF(AND(B492="brand",AA492=1,COUNTIFS(C$5:C492,C492,AA$5:AA492,1)=1),F492,"")</f>
        <v/>
      </c>
      <c r="AD492" s="30" t="str">
        <f aca="false">IF(AND(B492="brand",E492="budget_probe",ISNUMBER(F492),I492=Lists!$X$4),IF(COUNTIFS(C$5:C492,C492,E$5:E492,"budget_probe",I$5:I492,Lists!$X$4)=1,F492,""),"")</f>
        <v/>
      </c>
      <c r="AE492" s="30" t="n">
        <f aca="false">IF(AND(B492="brand",E492="paid",ISNUMBER(F492)),IF(AND(SUMIFS(F$5:F492,B$5:B492,"brand",C$5:C492,C492,E$5:E492,"paid")&gt;=Inputs!$C$44,SUMIFS(F$5:F492,B$5:B492,"brand",C$5:C492,C492,E$5:E492,"paid")-F492&lt;Inputs!$C$44),1,0),0)</f>
        <v>0</v>
      </c>
    </row>
    <row r="493" customFormat="false" ht="15" hidden="false" customHeight="false" outlineLevel="0" collapsed="false">
      <c r="A493" s="102"/>
      <c r="B493" s="103"/>
      <c r="C493" s="103"/>
      <c r="D493" s="103"/>
      <c r="E493" s="103"/>
      <c r="F493" s="103"/>
      <c r="G493" s="103"/>
      <c r="H493" s="103"/>
      <c r="I493" s="103"/>
      <c r="T493" s="30" t="str">
        <f aca="false">IF(C493="","",IF(COUNTIFS(C$5:C493,C493,E$5:E493,E493)=1,1,0))</f>
        <v/>
      </c>
      <c r="U493" s="30" t="n">
        <f aca="false">IF(C493="",0,IF(AND(B493="brand",E493="budget_probe",N(F493)&gt;=Inputs!$C$124,H493="Y"),1,0))</f>
        <v>0</v>
      </c>
      <c r="V493" s="30" t="n">
        <f aca="false">IF(U493=1,IF(COUNTIFS(C$5:C493,C493,U$5:U493,1)=1,1,0),0)</f>
        <v>0</v>
      </c>
      <c r="W493" s="30" t="n">
        <f aca="false">IF(C493="",0,IF(AND(B493="office",E493="budget_probe",N(F493)&gt;=Inputs!$C$139),1,0))</f>
        <v>0</v>
      </c>
      <c r="X493" s="30" t="n">
        <f aca="false">IF(W493=1,IF(COUNTIFS(C$5:C493,C493,W$5:W493,1)=1,1,0),0)</f>
        <v>0</v>
      </c>
      <c r="Y493" s="30" t="n">
        <f aca="false">IF(C493="",0,IF(AND(B493="brand",E493="renewal_answer",TRIM(G493)="yes",N(F493)&gt;=Inputs!$C$135),1,0))</f>
        <v>0</v>
      </c>
      <c r="Z493" s="30" t="n">
        <f aca="false">IF(Y493=1,IF(COUNTIFS(C$5:C493,C493,Y$5:Y493,1)=1,1,0),0)</f>
        <v>0</v>
      </c>
      <c r="AA493" s="30" t="n">
        <f aca="false">IF(AND(E493="budget_probe",ISNUMBER(F493),I493&lt;&gt;Lists!$X$4),1,0)</f>
        <v>0</v>
      </c>
      <c r="AB493" s="30" t="str">
        <f aca="false">IF(AND(B493="office",AA493=1,COUNTIFS(C$5:C493,C493,AA$5:AA493,1)=1),F493,"")</f>
        <v/>
      </c>
      <c r="AC493" s="30" t="str">
        <f aca="false">IF(AND(B493="brand",AA493=1,COUNTIFS(C$5:C493,C493,AA$5:AA493,1)=1),F493,"")</f>
        <v/>
      </c>
      <c r="AD493" s="30" t="str">
        <f aca="false">IF(AND(B493="brand",E493="budget_probe",ISNUMBER(F493),I493=Lists!$X$4),IF(COUNTIFS(C$5:C493,C493,E$5:E493,"budget_probe",I$5:I493,Lists!$X$4)=1,F493,""),"")</f>
        <v/>
      </c>
      <c r="AE493" s="30" t="n">
        <f aca="false">IF(AND(B493="brand",E493="paid",ISNUMBER(F493)),IF(AND(SUMIFS(F$5:F493,B$5:B493,"brand",C$5:C493,C493,E$5:E493,"paid")&gt;=Inputs!$C$44,SUMIFS(F$5:F493,B$5:B493,"brand",C$5:C493,C493,E$5:E493,"paid")-F493&lt;Inputs!$C$44),1,0),0)</f>
        <v>0</v>
      </c>
    </row>
    <row r="494" customFormat="false" ht="15" hidden="false" customHeight="false" outlineLevel="0" collapsed="false">
      <c r="A494" s="102"/>
      <c r="B494" s="103"/>
      <c r="C494" s="103"/>
      <c r="D494" s="103"/>
      <c r="E494" s="103"/>
      <c r="F494" s="103"/>
      <c r="G494" s="103"/>
      <c r="H494" s="103"/>
      <c r="I494" s="103"/>
      <c r="T494" s="30" t="str">
        <f aca="false">IF(C494="","",IF(COUNTIFS(C$5:C494,C494,E$5:E494,E494)=1,1,0))</f>
        <v/>
      </c>
      <c r="U494" s="30" t="n">
        <f aca="false">IF(C494="",0,IF(AND(B494="brand",E494="budget_probe",N(F494)&gt;=Inputs!$C$124,H494="Y"),1,0))</f>
        <v>0</v>
      </c>
      <c r="V494" s="30" t="n">
        <f aca="false">IF(U494=1,IF(COUNTIFS(C$5:C494,C494,U$5:U494,1)=1,1,0),0)</f>
        <v>0</v>
      </c>
      <c r="W494" s="30" t="n">
        <f aca="false">IF(C494="",0,IF(AND(B494="office",E494="budget_probe",N(F494)&gt;=Inputs!$C$139),1,0))</f>
        <v>0</v>
      </c>
      <c r="X494" s="30" t="n">
        <f aca="false">IF(W494=1,IF(COUNTIFS(C$5:C494,C494,W$5:W494,1)=1,1,0),0)</f>
        <v>0</v>
      </c>
      <c r="Y494" s="30" t="n">
        <f aca="false">IF(C494="",0,IF(AND(B494="brand",E494="renewal_answer",TRIM(G494)="yes",N(F494)&gt;=Inputs!$C$135),1,0))</f>
        <v>0</v>
      </c>
      <c r="Z494" s="30" t="n">
        <f aca="false">IF(Y494=1,IF(COUNTIFS(C$5:C494,C494,Y$5:Y494,1)=1,1,0),0)</f>
        <v>0</v>
      </c>
      <c r="AA494" s="30" t="n">
        <f aca="false">IF(AND(E494="budget_probe",ISNUMBER(F494),I494&lt;&gt;Lists!$X$4),1,0)</f>
        <v>0</v>
      </c>
      <c r="AB494" s="30" t="str">
        <f aca="false">IF(AND(B494="office",AA494=1,COUNTIFS(C$5:C494,C494,AA$5:AA494,1)=1),F494,"")</f>
        <v/>
      </c>
      <c r="AC494" s="30" t="str">
        <f aca="false">IF(AND(B494="brand",AA494=1,COUNTIFS(C$5:C494,C494,AA$5:AA494,1)=1),F494,"")</f>
        <v/>
      </c>
      <c r="AD494" s="30" t="str">
        <f aca="false">IF(AND(B494="brand",E494="budget_probe",ISNUMBER(F494),I494=Lists!$X$4),IF(COUNTIFS(C$5:C494,C494,E$5:E494,"budget_probe",I$5:I494,Lists!$X$4)=1,F494,""),"")</f>
        <v/>
      </c>
      <c r="AE494" s="30" t="n">
        <f aca="false">IF(AND(B494="brand",E494="paid",ISNUMBER(F494)),IF(AND(SUMIFS(F$5:F494,B$5:B494,"brand",C$5:C494,C494,E$5:E494,"paid")&gt;=Inputs!$C$44,SUMIFS(F$5:F494,B$5:B494,"brand",C$5:C494,C494,E$5:E494,"paid")-F494&lt;Inputs!$C$44),1,0),0)</f>
        <v>0</v>
      </c>
    </row>
    <row r="495" customFormat="false" ht="15" hidden="false" customHeight="false" outlineLevel="0" collapsed="false">
      <c r="A495" s="102"/>
      <c r="B495" s="103"/>
      <c r="C495" s="103"/>
      <c r="D495" s="103"/>
      <c r="E495" s="103"/>
      <c r="F495" s="103"/>
      <c r="G495" s="103"/>
      <c r="H495" s="103"/>
      <c r="I495" s="103"/>
      <c r="T495" s="30" t="str">
        <f aca="false">IF(C495="","",IF(COUNTIFS(C$5:C495,C495,E$5:E495,E495)=1,1,0))</f>
        <v/>
      </c>
      <c r="U495" s="30" t="n">
        <f aca="false">IF(C495="",0,IF(AND(B495="brand",E495="budget_probe",N(F495)&gt;=Inputs!$C$124,H495="Y"),1,0))</f>
        <v>0</v>
      </c>
      <c r="V495" s="30" t="n">
        <f aca="false">IF(U495=1,IF(COUNTIFS(C$5:C495,C495,U$5:U495,1)=1,1,0),0)</f>
        <v>0</v>
      </c>
      <c r="W495" s="30" t="n">
        <f aca="false">IF(C495="",0,IF(AND(B495="office",E495="budget_probe",N(F495)&gt;=Inputs!$C$139),1,0))</f>
        <v>0</v>
      </c>
      <c r="X495" s="30" t="n">
        <f aca="false">IF(W495=1,IF(COUNTIFS(C$5:C495,C495,W$5:W495,1)=1,1,0),0)</f>
        <v>0</v>
      </c>
      <c r="Y495" s="30" t="n">
        <f aca="false">IF(C495="",0,IF(AND(B495="brand",E495="renewal_answer",TRIM(G495)="yes",N(F495)&gt;=Inputs!$C$135),1,0))</f>
        <v>0</v>
      </c>
      <c r="Z495" s="30" t="n">
        <f aca="false">IF(Y495=1,IF(COUNTIFS(C$5:C495,C495,Y$5:Y495,1)=1,1,0),0)</f>
        <v>0</v>
      </c>
      <c r="AA495" s="30" t="n">
        <f aca="false">IF(AND(E495="budget_probe",ISNUMBER(F495),I495&lt;&gt;Lists!$X$4),1,0)</f>
        <v>0</v>
      </c>
      <c r="AB495" s="30" t="str">
        <f aca="false">IF(AND(B495="office",AA495=1,COUNTIFS(C$5:C495,C495,AA$5:AA495,1)=1),F495,"")</f>
        <v/>
      </c>
      <c r="AC495" s="30" t="str">
        <f aca="false">IF(AND(B495="brand",AA495=1,COUNTIFS(C$5:C495,C495,AA$5:AA495,1)=1),F495,"")</f>
        <v/>
      </c>
      <c r="AD495" s="30" t="str">
        <f aca="false">IF(AND(B495="brand",E495="budget_probe",ISNUMBER(F495),I495=Lists!$X$4),IF(COUNTIFS(C$5:C495,C495,E$5:E495,"budget_probe",I$5:I495,Lists!$X$4)=1,F495,""),"")</f>
        <v/>
      </c>
      <c r="AE495" s="30" t="n">
        <f aca="false">IF(AND(B495="brand",E495="paid",ISNUMBER(F495)),IF(AND(SUMIFS(F$5:F495,B$5:B495,"brand",C$5:C495,C495,E$5:E495,"paid")&gt;=Inputs!$C$44,SUMIFS(F$5:F495,B$5:B495,"brand",C$5:C495,C495,E$5:E495,"paid")-F495&lt;Inputs!$C$44),1,0),0)</f>
        <v>0</v>
      </c>
    </row>
    <row r="496" customFormat="false" ht="15" hidden="false" customHeight="false" outlineLevel="0" collapsed="false">
      <c r="A496" s="102"/>
      <c r="B496" s="103"/>
      <c r="C496" s="103"/>
      <c r="D496" s="103"/>
      <c r="E496" s="103"/>
      <c r="F496" s="103"/>
      <c r="G496" s="103"/>
      <c r="H496" s="103"/>
      <c r="I496" s="103"/>
      <c r="T496" s="30" t="str">
        <f aca="false">IF(C496="","",IF(COUNTIFS(C$5:C496,C496,E$5:E496,E496)=1,1,0))</f>
        <v/>
      </c>
      <c r="U496" s="30" t="n">
        <f aca="false">IF(C496="",0,IF(AND(B496="brand",E496="budget_probe",N(F496)&gt;=Inputs!$C$124,H496="Y"),1,0))</f>
        <v>0</v>
      </c>
      <c r="V496" s="30" t="n">
        <f aca="false">IF(U496=1,IF(COUNTIFS(C$5:C496,C496,U$5:U496,1)=1,1,0),0)</f>
        <v>0</v>
      </c>
      <c r="W496" s="30" t="n">
        <f aca="false">IF(C496="",0,IF(AND(B496="office",E496="budget_probe",N(F496)&gt;=Inputs!$C$139),1,0))</f>
        <v>0</v>
      </c>
      <c r="X496" s="30" t="n">
        <f aca="false">IF(W496=1,IF(COUNTIFS(C$5:C496,C496,W$5:W496,1)=1,1,0),0)</f>
        <v>0</v>
      </c>
      <c r="Y496" s="30" t="n">
        <f aca="false">IF(C496="",0,IF(AND(B496="brand",E496="renewal_answer",TRIM(G496)="yes",N(F496)&gt;=Inputs!$C$135),1,0))</f>
        <v>0</v>
      </c>
      <c r="Z496" s="30" t="n">
        <f aca="false">IF(Y496=1,IF(COUNTIFS(C$5:C496,C496,Y$5:Y496,1)=1,1,0),0)</f>
        <v>0</v>
      </c>
      <c r="AA496" s="30" t="n">
        <f aca="false">IF(AND(E496="budget_probe",ISNUMBER(F496),I496&lt;&gt;Lists!$X$4),1,0)</f>
        <v>0</v>
      </c>
      <c r="AB496" s="30" t="str">
        <f aca="false">IF(AND(B496="office",AA496=1,COUNTIFS(C$5:C496,C496,AA$5:AA496,1)=1),F496,"")</f>
        <v/>
      </c>
      <c r="AC496" s="30" t="str">
        <f aca="false">IF(AND(B496="brand",AA496=1,COUNTIFS(C$5:C496,C496,AA$5:AA496,1)=1),F496,"")</f>
        <v/>
      </c>
      <c r="AD496" s="30" t="str">
        <f aca="false">IF(AND(B496="brand",E496="budget_probe",ISNUMBER(F496),I496=Lists!$X$4),IF(COUNTIFS(C$5:C496,C496,E$5:E496,"budget_probe",I$5:I496,Lists!$X$4)=1,F496,""),"")</f>
        <v/>
      </c>
      <c r="AE496" s="30" t="n">
        <f aca="false">IF(AND(B496="brand",E496="paid",ISNUMBER(F496)),IF(AND(SUMIFS(F$5:F496,B$5:B496,"brand",C$5:C496,C496,E$5:E496,"paid")&gt;=Inputs!$C$44,SUMIFS(F$5:F496,B$5:B496,"brand",C$5:C496,C496,E$5:E496,"paid")-F496&lt;Inputs!$C$44),1,0),0)</f>
        <v>0</v>
      </c>
    </row>
    <row r="497" customFormat="false" ht="15" hidden="false" customHeight="false" outlineLevel="0" collapsed="false">
      <c r="A497" s="102"/>
      <c r="B497" s="103"/>
      <c r="C497" s="103"/>
      <c r="D497" s="103"/>
      <c r="E497" s="103"/>
      <c r="F497" s="103"/>
      <c r="G497" s="103"/>
      <c r="H497" s="103"/>
      <c r="I497" s="103"/>
      <c r="T497" s="30" t="str">
        <f aca="false">IF(C497="","",IF(COUNTIFS(C$5:C497,C497,E$5:E497,E497)=1,1,0))</f>
        <v/>
      </c>
      <c r="U497" s="30" t="n">
        <f aca="false">IF(C497="",0,IF(AND(B497="brand",E497="budget_probe",N(F497)&gt;=Inputs!$C$124,H497="Y"),1,0))</f>
        <v>0</v>
      </c>
      <c r="V497" s="30" t="n">
        <f aca="false">IF(U497=1,IF(COUNTIFS(C$5:C497,C497,U$5:U497,1)=1,1,0),0)</f>
        <v>0</v>
      </c>
      <c r="W497" s="30" t="n">
        <f aca="false">IF(C497="",0,IF(AND(B497="office",E497="budget_probe",N(F497)&gt;=Inputs!$C$139),1,0))</f>
        <v>0</v>
      </c>
      <c r="X497" s="30" t="n">
        <f aca="false">IF(W497=1,IF(COUNTIFS(C$5:C497,C497,W$5:W497,1)=1,1,0),0)</f>
        <v>0</v>
      </c>
      <c r="Y497" s="30" t="n">
        <f aca="false">IF(C497="",0,IF(AND(B497="brand",E497="renewal_answer",TRIM(G497)="yes",N(F497)&gt;=Inputs!$C$135),1,0))</f>
        <v>0</v>
      </c>
      <c r="Z497" s="30" t="n">
        <f aca="false">IF(Y497=1,IF(COUNTIFS(C$5:C497,C497,Y$5:Y497,1)=1,1,0),0)</f>
        <v>0</v>
      </c>
      <c r="AA497" s="30" t="n">
        <f aca="false">IF(AND(E497="budget_probe",ISNUMBER(F497),I497&lt;&gt;Lists!$X$4),1,0)</f>
        <v>0</v>
      </c>
      <c r="AB497" s="30" t="str">
        <f aca="false">IF(AND(B497="office",AA497=1,COUNTIFS(C$5:C497,C497,AA$5:AA497,1)=1),F497,"")</f>
        <v/>
      </c>
      <c r="AC497" s="30" t="str">
        <f aca="false">IF(AND(B497="brand",AA497=1,COUNTIFS(C$5:C497,C497,AA$5:AA497,1)=1),F497,"")</f>
        <v/>
      </c>
      <c r="AD497" s="30" t="str">
        <f aca="false">IF(AND(B497="brand",E497="budget_probe",ISNUMBER(F497),I497=Lists!$X$4),IF(COUNTIFS(C$5:C497,C497,E$5:E497,"budget_probe",I$5:I497,Lists!$X$4)=1,F497,""),"")</f>
        <v/>
      </c>
      <c r="AE497" s="30" t="n">
        <f aca="false">IF(AND(B497="brand",E497="paid",ISNUMBER(F497)),IF(AND(SUMIFS(F$5:F497,B$5:B497,"brand",C$5:C497,C497,E$5:E497,"paid")&gt;=Inputs!$C$44,SUMIFS(F$5:F497,B$5:B497,"brand",C$5:C497,C497,E$5:E497,"paid")-F497&lt;Inputs!$C$44),1,0),0)</f>
        <v>0</v>
      </c>
    </row>
    <row r="498" customFormat="false" ht="15" hidden="false" customHeight="false" outlineLevel="0" collapsed="false">
      <c r="A498" s="102"/>
      <c r="B498" s="103"/>
      <c r="C498" s="103"/>
      <c r="D498" s="103"/>
      <c r="E498" s="103"/>
      <c r="F498" s="103"/>
      <c r="G498" s="103"/>
      <c r="H498" s="103"/>
      <c r="I498" s="103"/>
      <c r="T498" s="30" t="str">
        <f aca="false">IF(C498="","",IF(COUNTIFS(C$5:C498,C498,E$5:E498,E498)=1,1,0))</f>
        <v/>
      </c>
      <c r="U498" s="30" t="n">
        <f aca="false">IF(C498="",0,IF(AND(B498="brand",E498="budget_probe",N(F498)&gt;=Inputs!$C$124,H498="Y"),1,0))</f>
        <v>0</v>
      </c>
      <c r="V498" s="30" t="n">
        <f aca="false">IF(U498=1,IF(COUNTIFS(C$5:C498,C498,U$5:U498,1)=1,1,0),0)</f>
        <v>0</v>
      </c>
      <c r="W498" s="30" t="n">
        <f aca="false">IF(C498="",0,IF(AND(B498="office",E498="budget_probe",N(F498)&gt;=Inputs!$C$139),1,0))</f>
        <v>0</v>
      </c>
      <c r="X498" s="30" t="n">
        <f aca="false">IF(W498=1,IF(COUNTIFS(C$5:C498,C498,W$5:W498,1)=1,1,0),0)</f>
        <v>0</v>
      </c>
      <c r="Y498" s="30" t="n">
        <f aca="false">IF(C498="",0,IF(AND(B498="brand",E498="renewal_answer",TRIM(G498)="yes",N(F498)&gt;=Inputs!$C$135),1,0))</f>
        <v>0</v>
      </c>
      <c r="Z498" s="30" t="n">
        <f aca="false">IF(Y498=1,IF(COUNTIFS(C$5:C498,C498,Y$5:Y498,1)=1,1,0),0)</f>
        <v>0</v>
      </c>
      <c r="AA498" s="30" t="n">
        <f aca="false">IF(AND(E498="budget_probe",ISNUMBER(F498),I498&lt;&gt;Lists!$X$4),1,0)</f>
        <v>0</v>
      </c>
      <c r="AB498" s="30" t="str">
        <f aca="false">IF(AND(B498="office",AA498=1,COUNTIFS(C$5:C498,C498,AA$5:AA498,1)=1),F498,"")</f>
        <v/>
      </c>
      <c r="AC498" s="30" t="str">
        <f aca="false">IF(AND(B498="brand",AA498=1,COUNTIFS(C$5:C498,C498,AA$5:AA498,1)=1),F498,"")</f>
        <v/>
      </c>
      <c r="AD498" s="30" t="str">
        <f aca="false">IF(AND(B498="brand",E498="budget_probe",ISNUMBER(F498),I498=Lists!$X$4),IF(COUNTIFS(C$5:C498,C498,E$5:E498,"budget_probe",I$5:I498,Lists!$X$4)=1,F498,""),"")</f>
        <v/>
      </c>
      <c r="AE498" s="30" t="n">
        <f aca="false">IF(AND(B498="brand",E498="paid",ISNUMBER(F498)),IF(AND(SUMIFS(F$5:F498,B$5:B498,"brand",C$5:C498,C498,E$5:E498,"paid")&gt;=Inputs!$C$44,SUMIFS(F$5:F498,B$5:B498,"brand",C$5:C498,C498,E$5:E498,"paid")-F498&lt;Inputs!$C$44),1,0),0)</f>
        <v>0</v>
      </c>
    </row>
    <row r="499" customFormat="false" ht="15" hidden="false" customHeight="false" outlineLevel="0" collapsed="false">
      <c r="A499" s="102"/>
      <c r="B499" s="103"/>
      <c r="C499" s="103"/>
      <c r="D499" s="103"/>
      <c r="E499" s="103"/>
      <c r="F499" s="103"/>
      <c r="G499" s="103"/>
      <c r="H499" s="103"/>
      <c r="I499" s="103"/>
      <c r="T499" s="30" t="str">
        <f aca="false">IF(C499="","",IF(COUNTIFS(C$5:C499,C499,E$5:E499,E499)=1,1,0))</f>
        <v/>
      </c>
      <c r="U499" s="30" t="n">
        <f aca="false">IF(C499="",0,IF(AND(B499="brand",E499="budget_probe",N(F499)&gt;=Inputs!$C$124,H499="Y"),1,0))</f>
        <v>0</v>
      </c>
      <c r="V499" s="30" t="n">
        <f aca="false">IF(U499=1,IF(COUNTIFS(C$5:C499,C499,U$5:U499,1)=1,1,0),0)</f>
        <v>0</v>
      </c>
      <c r="W499" s="30" t="n">
        <f aca="false">IF(C499="",0,IF(AND(B499="office",E499="budget_probe",N(F499)&gt;=Inputs!$C$139),1,0))</f>
        <v>0</v>
      </c>
      <c r="X499" s="30" t="n">
        <f aca="false">IF(W499=1,IF(COUNTIFS(C$5:C499,C499,W$5:W499,1)=1,1,0),0)</f>
        <v>0</v>
      </c>
      <c r="Y499" s="30" t="n">
        <f aca="false">IF(C499="",0,IF(AND(B499="brand",E499="renewal_answer",TRIM(G499)="yes",N(F499)&gt;=Inputs!$C$135),1,0))</f>
        <v>0</v>
      </c>
      <c r="Z499" s="30" t="n">
        <f aca="false">IF(Y499=1,IF(COUNTIFS(C$5:C499,C499,Y$5:Y499,1)=1,1,0),0)</f>
        <v>0</v>
      </c>
      <c r="AA499" s="30" t="n">
        <f aca="false">IF(AND(E499="budget_probe",ISNUMBER(F499),I499&lt;&gt;Lists!$X$4),1,0)</f>
        <v>0</v>
      </c>
      <c r="AB499" s="30" t="str">
        <f aca="false">IF(AND(B499="office",AA499=1,COUNTIFS(C$5:C499,C499,AA$5:AA499,1)=1),F499,"")</f>
        <v/>
      </c>
      <c r="AC499" s="30" t="str">
        <f aca="false">IF(AND(B499="brand",AA499=1,COUNTIFS(C$5:C499,C499,AA$5:AA499,1)=1),F499,"")</f>
        <v/>
      </c>
      <c r="AD499" s="30" t="str">
        <f aca="false">IF(AND(B499="brand",E499="budget_probe",ISNUMBER(F499),I499=Lists!$X$4),IF(COUNTIFS(C$5:C499,C499,E$5:E499,"budget_probe",I$5:I499,Lists!$X$4)=1,F499,""),"")</f>
        <v/>
      </c>
      <c r="AE499" s="30" t="n">
        <f aca="false">IF(AND(B499="brand",E499="paid",ISNUMBER(F499)),IF(AND(SUMIFS(F$5:F499,B$5:B499,"brand",C$5:C499,C499,E$5:E499,"paid")&gt;=Inputs!$C$44,SUMIFS(F$5:F499,B$5:B499,"brand",C$5:C499,C499,E$5:E499,"paid")-F499&lt;Inputs!$C$44),1,0),0)</f>
        <v>0</v>
      </c>
    </row>
    <row r="500" customFormat="false" ht="15" hidden="false" customHeight="false" outlineLevel="0" collapsed="false">
      <c r="A500" s="102"/>
      <c r="B500" s="103"/>
      <c r="C500" s="103"/>
      <c r="D500" s="103"/>
      <c r="E500" s="103"/>
      <c r="F500" s="103"/>
      <c r="G500" s="103"/>
      <c r="H500" s="103"/>
      <c r="I500" s="103"/>
      <c r="T500" s="30" t="str">
        <f aca="false">IF(C500="","",IF(COUNTIFS(C$5:C500,C500,E$5:E500,E500)=1,1,0))</f>
        <v/>
      </c>
      <c r="U500" s="30" t="n">
        <f aca="false">IF(C500="",0,IF(AND(B500="brand",E500="budget_probe",N(F500)&gt;=Inputs!$C$124,H500="Y"),1,0))</f>
        <v>0</v>
      </c>
      <c r="V500" s="30" t="n">
        <f aca="false">IF(U500=1,IF(COUNTIFS(C$5:C500,C500,U$5:U500,1)=1,1,0),0)</f>
        <v>0</v>
      </c>
      <c r="W500" s="30" t="n">
        <f aca="false">IF(C500="",0,IF(AND(B500="office",E500="budget_probe",N(F500)&gt;=Inputs!$C$139),1,0))</f>
        <v>0</v>
      </c>
      <c r="X500" s="30" t="n">
        <f aca="false">IF(W500=1,IF(COUNTIFS(C$5:C500,C500,W$5:W500,1)=1,1,0),0)</f>
        <v>0</v>
      </c>
      <c r="Y500" s="30" t="n">
        <f aca="false">IF(C500="",0,IF(AND(B500="brand",E500="renewal_answer",TRIM(G500)="yes",N(F500)&gt;=Inputs!$C$135),1,0))</f>
        <v>0</v>
      </c>
      <c r="Z500" s="30" t="n">
        <f aca="false">IF(Y500=1,IF(COUNTIFS(C$5:C500,C500,Y$5:Y500,1)=1,1,0),0)</f>
        <v>0</v>
      </c>
      <c r="AA500" s="30" t="n">
        <f aca="false">IF(AND(E500="budget_probe",ISNUMBER(F500),I500&lt;&gt;Lists!$X$4),1,0)</f>
        <v>0</v>
      </c>
      <c r="AB500" s="30" t="str">
        <f aca="false">IF(AND(B500="office",AA500=1,COUNTIFS(C$5:C500,C500,AA$5:AA500,1)=1),F500,"")</f>
        <v/>
      </c>
      <c r="AC500" s="30" t="str">
        <f aca="false">IF(AND(B500="brand",AA500=1,COUNTIFS(C$5:C500,C500,AA$5:AA500,1)=1),F500,"")</f>
        <v/>
      </c>
      <c r="AD500" s="30" t="str">
        <f aca="false">IF(AND(B500="brand",E500="budget_probe",ISNUMBER(F500),I500=Lists!$X$4),IF(COUNTIFS(C$5:C500,C500,E$5:E500,"budget_probe",I$5:I500,Lists!$X$4)=1,F500,""),"")</f>
        <v/>
      </c>
      <c r="AE500" s="30" t="n">
        <f aca="false">IF(AND(B500="brand",E500="paid",ISNUMBER(F500)),IF(AND(SUMIFS(F$5:F500,B$5:B500,"brand",C$5:C500,C500,E$5:E500,"paid")&gt;=Inputs!$C$44,SUMIFS(F$5:F500,B$5:B500,"brand",C$5:C500,C500,E$5:E500,"paid")-F500&lt;Inputs!$C$44),1,0),0)</f>
        <v>0</v>
      </c>
    </row>
    <row r="501" customFormat="false" ht="15" hidden="false" customHeight="false" outlineLevel="0" collapsed="false">
      <c r="A501" s="102"/>
      <c r="B501" s="103"/>
      <c r="C501" s="103"/>
      <c r="D501" s="103"/>
      <c r="E501" s="103"/>
      <c r="F501" s="103"/>
      <c r="G501" s="103"/>
      <c r="H501" s="103"/>
      <c r="I501" s="103"/>
      <c r="T501" s="30" t="str">
        <f aca="false">IF(C501="","",IF(COUNTIFS(C$5:C501,C501,E$5:E501,E501)=1,1,0))</f>
        <v/>
      </c>
      <c r="U501" s="30" t="n">
        <f aca="false">IF(C501="",0,IF(AND(B501="brand",E501="budget_probe",N(F501)&gt;=Inputs!$C$124,H501="Y"),1,0))</f>
        <v>0</v>
      </c>
      <c r="V501" s="30" t="n">
        <f aca="false">IF(U501=1,IF(COUNTIFS(C$5:C501,C501,U$5:U501,1)=1,1,0),0)</f>
        <v>0</v>
      </c>
      <c r="W501" s="30" t="n">
        <f aca="false">IF(C501="",0,IF(AND(B501="office",E501="budget_probe",N(F501)&gt;=Inputs!$C$139),1,0))</f>
        <v>0</v>
      </c>
      <c r="X501" s="30" t="n">
        <f aca="false">IF(W501=1,IF(COUNTIFS(C$5:C501,C501,W$5:W501,1)=1,1,0),0)</f>
        <v>0</v>
      </c>
      <c r="Y501" s="30" t="n">
        <f aca="false">IF(C501="",0,IF(AND(B501="brand",E501="renewal_answer",TRIM(G501)="yes",N(F501)&gt;=Inputs!$C$135),1,0))</f>
        <v>0</v>
      </c>
      <c r="Z501" s="30" t="n">
        <f aca="false">IF(Y501=1,IF(COUNTIFS(C$5:C501,C501,Y$5:Y501,1)=1,1,0),0)</f>
        <v>0</v>
      </c>
      <c r="AA501" s="30" t="n">
        <f aca="false">IF(AND(E501="budget_probe",ISNUMBER(F501),I501&lt;&gt;Lists!$X$4),1,0)</f>
        <v>0</v>
      </c>
      <c r="AB501" s="30" t="str">
        <f aca="false">IF(AND(B501="office",AA501=1,COUNTIFS(C$5:C501,C501,AA$5:AA501,1)=1),F501,"")</f>
        <v/>
      </c>
      <c r="AC501" s="30" t="str">
        <f aca="false">IF(AND(B501="brand",AA501=1,COUNTIFS(C$5:C501,C501,AA$5:AA501,1)=1),F501,"")</f>
        <v/>
      </c>
      <c r="AD501" s="30" t="str">
        <f aca="false">IF(AND(B501="brand",E501="budget_probe",ISNUMBER(F501),I501=Lists!$X$4),IF(COUNTIFS(C$5:C501,C501,E$5:E501,"budget_probe",I$5:I501,Lists!$X$4)=1,F501,""),"")</f>
        <v/>
      </c>
      <c r="AE501" s="30" t="n">
        <f aca="false">IF(AND(B501="brand",E501="paid",ISNUMBER(F501)),IF(AND(SUMIFS(F$5:F501,B$5:B501,"brand",C$5:C501,C501,E$5:E501,"paid")&gt;=Inputs!$C$44,SUMIFS(F$5:F501,B$5:B501,"brand",C$5:C501,C501,E$5:E501,"paid")-F501&lt;Inputs!$C$44),1,0),0)</f>
        <v>0</v>
      </c>
    </row>
    <row r="502" customFormat="false" ht="15" hidden="false" customHeight="false" outlineLevel="0" collapsed="false">
      <c r="A502" s="102"/>
      <c r="B502" s="103"/>
      <c r="C502" s="103"/>
      <c r="D502" s="103"/>
      <c r="E502" s="103"/>
      <c r="F502" s="103"/>
      <c r="G502" s="103"/>
      <c r="H502" s="103"/>
      <c r="I502" s="103"/>
      <c r="T502" s="30" t="str">
        <f aca="false">IF(C502="","",IF(COUNTIFS(C$5:C502,C502,E$5:E502,E502)=1,1,0))</f>
        <v/>
      </c>
      <c r="U502" s="30" t="n">
        <f aca="false">IF(C502="",0,IF(AND(B502="brand",E502="budget_probe",N(F502)&gt;=Inputs!$C$124,H502="Y"),1,0))</f>
        <v>0</v>
      </c>
      <c r="V502" s="30" t="n">
        <f aca="false">IF(U502=1,IF(COUNTIFS(C$5:C502,C502,U$5:U502,1)=1,1,0),0)</f>
        <v>0</v>
      </c>
      <c r="W502" s="30" t="n">
        <f aca="false">IF(C502="",0,IF(AND(B502="office",E502="budget_probe",N(F502)&gt;=Inputs!$C$139),1,0))</f>
        <v>0</v>
      </c>
      <c r="X502" s="30" t="n">
        <f aca="false">IF(W502=1,IF(COUNTIFS(C$5:C502,C502,W$5:W502,1)=1,1,0),0)</f>
        <v>0</v>
      </c>
      <c r="Y502" s="30" t="n">
        <f aca="false">IF(C502="",0,IF(AND(B502="brand",E502="renewal_answer",TRIM(G502)="yes",N(F502)&gt;=Inputs!$C$135),1,0))</f>
        <v>0</v>
      </c>
      <c r="Z502" s="30" t="n">
        <f aca="false">IF(Y502=1,IF(COUNTIFS(C$5:C502,C502,Y$5:Y502,1)=1,1,0),0)</f>
        <v>0</v>
      </c>
      <c r="AA502" s="30" t="n">
        <f aca="false">IF(AND(E502="budget_probe",ISNUMBER(F502),I502&lt;&gt;Lists!$X$4),1,0)</f>
        <v>0</v>
      </c>
      <c r="AB502" s="30" t="str">
        <f aca="false">IF(AND(B502="office",AA502=1,COUNTIFS(C$5:C502,C502,AA$5:AA502,1)=1),F502,"")</f>
        <v/>
      </c>
      <c r="AC502" s="30" t="str">
        <f aca="false">IF(AND(B502="brand",AA502=1,COUNTIFS(C$5:C502,C502,AA$5:AA502,1)=1),F502,"")</f>
        <v/>
      </c>
      <c r="AD502" s="30" t="str">
        <f aca="false">IF(AND(B502="brand",E502="budget_probe",ISNUMBER(F502),I502=Lists!$X$4),IF(COUNTIFS(C$5:C502,C502,E$5:E502,"budget_probe",I$5:I502,Lists!$X$4)=1,F502,""),"")</f>
        <v/>
      </c>
      <c r="AE502" s="30" t="n">
        <f aca="false">IF(AND(B502="brand",E502="paid",ISNUMBER(F502)),IF(AND(SUMIFS(F$5:F502,B$5:B502,"brand",C$5:C502,C502,E$5:E502,"paid")&gt;=Inputs!$C$44,SUMIFS(F$5:F502,B$5:B502,"brand",C$5:C502,C502,E$5:E502,"paid")-F502&lt;Inputs!$C$44),1,0),0)</f>
        <v>0</v>
      </c>
    </row>
    <row r="503" customFormat="false" ht="15" hidden="false" customHeight="false" outlineLevel="0" collapsed="false">
      <c r="A503" s="102"/>
      <c r="B503" s="103"/>
      <c r="C503" s="103"/>
      <c r="D503" s="103"/>
      <c r="E503" s="103"/>
      <c r="F503" s="103"/>
      <c r="G503" s="103"/>
      <c r="H503" s="103"/>
      <c r="I503" s="103"/>
      <c r="T503" s="30" t="str">
        <f aca="false">IF(C503="","",IF(COUNTIFS(C$5:C503,C503,E$5:E503,E503)=1,1,0))</f>
        <v/>
      </c>
      <c r="U503" s="30" t="n">
        <f aca="false">IF(C503="",0,IF(AND(B503="brand",E503="budget_probe",N(F503)&gt;=Inputs!$C$124,H503="Y"),1,0))</f>
        <v>0</v>
      </c>
      <c r="V503" s="30" t="n">
        <f aca="false">IF(U503=1,IF(COUNTIFS(C$5:C503,C503,U$5:U503,1)=1,1,0),0)</f>
        <v>0</v>
      </c>
      <c r="W503" s="30" t="n">
        <f aca="false">IF(C503="",0,IF(AND(B503="office",E503="budget_probe",N(F503)&gt;=Inputs!$C$139),1,0))</f>
        <v>0</v>
      </c>
      <c r="X503" s="30" t="n">
        <f aca="false">IF(W503=1,IF(COUNTIFS(C$5:C503,C503,W$5:W503,1)=1,1,0),0)</f>
        <v>0</v>
      </c>
      <c r="Y503" s="30" t="n">
        <f aca="false">IF(C503="",0,IF(AND(B503="brand",E503="renewal_answer",TRIM(G503)="yes",N(F503)&gt;=Inputs!$C$135),1,0))</f>
        <v>0</v>
      </c>
      <c r="Z503" s="30" t="n">
        <f aca="false">IF(Y503=1,IF(COUNTIFS(C$5:C503,C503,Y$5:Y503,1)=1,1,0),0)</f>
        <v>0</v>
      </c>
      <c r="AA503" s="30" t="n">
        <f aca="false">IF(AND(E503="budget_probe",ISNUMBER(F503),I503&lt;&gt;Lists!$X$4),1,0)</f>
        <v>0</v>
      </c>
      <c r="AB503" s="30" t="str">
        <f aca="false">IF(AND(B503="office",AA503=1,COUNTIFS(C$5:C503,C503,AA$5:AA503,1)=1),F503,"")</f>
        <v/>
      </c>
      <c r="AC503" s="30" t="str">
        <f aca="false">IF(AND(B503="brand",AA503=1,COUNTIFS(C$5:C503,C503,AA$5:AA503,1)=1),F503,"")</f>
        <v/>
      </c>
      <c r="AD503" s="30" t="str">
        <f aca="false">IF(AND(B503="brand",E503="budget_probe",ISNUMBER(F503),I503=Lists!$X$4),IF(COUNTIFS(C$5:C503,C503,E$5:E503,"budget_probe",I$5:I503,Lists!$X$4)=1,F503,""),"")</f>
        <v/>
      </c>
      <c r="AE503" s="30" t="n">
        <f aca="false">IF(AND(B503="brand",E503="paid",ISNUMBER(F503)),IF(AND(SUMIFS(F$5:F503,B$5:B503,"brand",C$5:C503,C503,E$5:E503,"paid")&gt;=Inputs!$C$44,SUMIFS(F$5:F503,B$5:B503,"brand",C$5:C503,C503,E$5:E503,"paid")-F503&lt;Inputs!$C$44),1,0),0)</f>
        <v>0</v>
      </c>
    </row>
    <row r="504" customFormat="false" ht="15" hidden="false" customHeight="false" outlineLevel="0" collapsed="false">
      <c r="A504" s="102"/>
      <c r="B504" s="103"/>
      <c r="C504" s="103"/>
      <c r="D504" s="103"/>
      <c r="E504" s="103"/>
      <c r="F504" s="103"/>
      <c r="G504" s="103"/>
      <c r="H504" s="103"/>
      <c r="I504" s="103"/>
      <c r="T504" s="30" t="str">
        <f aca="false">IF(C504="","",IF(COUNTIFS(C$5:C504,C504,E$5:E504,E504)=1,1,0))</f>
        <v/>
      </c>
      <c r="U504" s="30" t="n">
        <f aca="false">IF(C504="",0,IF(AND(B504="brand",E504="budget_probe",N(F504)&gt;=Inputs!$C$124,H504="Y"),1,0))</f>
        <v>0</v>
      </c>
      <c r="V504" s="30" t="n">
        <f aca="false">IF(U504=1,IF(COUNTIFS(C$5:C504,C504,U$5:U504,1)=1,1,0),0)</f>
        <v>0</v>
      </c>
      <c r="W504" s="30" t="n">
        <f aca="false">IF(C504="",0,IF(AND(B504="office",E504="budget_probe",N(F504)&gt;=Inputs!$C$139),1,0))</f>
        <v>0</v>
      </c>
      <c r="X504" s="30" t="n">
        <f aca="false">IF(W504=1,IF(COUNTIFS(C$5:C504,C504,W$5:W504,1)=1,1,0),0)</f>
        <v>0</v>
      </c>
      <c r="Y504" s="30" t="n">
        <f aca="false">IF(C504="",0,IF(AND(B504="brand",E504="renewal_answer",TRIM(G504)="yes",N(F504)&gt;=Inputs!$C$135),1,0))</f>
        <v>0</v>
      </c>
      <c r="Z504" s="30" t="n">
        <f aca="false">IF(Y504=1,IF(COUNTIFS(C$5:C504,C504,Y$5:Y504,1)=1,1,0),0)</f>
        <v>0</v>
      </c>
      <c r="AA504" s="30" t="n">
        <f aca="false">IF(AND(E504="budget_probe",ISNUMBER(F504),I504&lt;&gt;Lists!$X$4),1,0)</f>
        <v>0</v>
      </c>
      <c r="AB504" s="30" t="str">
        <f aca="false">IF(AND(B504="office",AA504=1,COUNTIFS(C$5:C504,C504,AA$5:AA504,1)=1),F504,"")</f>
        <v/>
      </c>
      <c r="AC504" s="30" t="str">
        <f aca="false">IF(AND(B504="brand",AA504=1,COUNTIFS(C$5:C504,C504,AA$5:AA504,1)=1),F504,"")</f>
        <v/>
      </c>
      <c r="AD504" s="30" t="str">
        <f aca="false">IF(AND(B504="brand",E504="budget_probe",ISNUMBER(F504),I504=Lists!$X$4),IF(COUNTIFS(C$5:C504,C504,E$5:E504,"budget_probe",I$5:I504,Lists!$X$4)=1,F504,""),"")</f>
        <v/>
      </c>
      <c r="AE504" s="30" t="n">
        <f aca="false">IF(AND(B504="brand",E504="paid",ISNUMBER(F504)),IF(AND(SUMIFS(F$5:F504,B$5:B504,"brand",C$5:C504,C504,E$5:E504,"paid")&gt;=Inputs!$C$44,SUMIFS(F$5:F504,B$5:B504,"brand",C$5:C504,C504,E$5:E504,"paid")-F504&lt;Inputs!$C$44),1,0),0)</f>
        <v>0</v>
      </c>
    </row>
    <row r="505" customFormat="false" ht="15" hidden="false" customHeight="false" outlineLevel="0" collapsed="false">
      <c r="A505" s="102"/>
      <c r="B505" s="103"/>
      <c r="C505" s="103"/>
      <c r="D505" s="103"/>
      <c r="E505" s="103"/>
      <c r="F505" s="103"/>
      <c r="G505" s="103"/>
      <c r="H505" s="103"/>
      <c r="I505" s="103"/>
      <c r="T505" s="30" t="str">
        <f aca="false">IF(C505="","",IF(COUNTIFS(C$5:C505,C505,E$5:E505,E505)=1,1,0))</f>
        <v/>
      </c>
      <c r="U505" s="30" t="n">
        <f aca="false">IF(C505="",0,IF(AND(B505="brand",E505="budget_probe",N(F505)&gt;=Inputs!$C$124,H505="Y"),1,0))</f>
        <v>0</v>
      </c>
      <c r="V505" s="30" t="n">
        <f aca="false">IF(U505=1,IF(COUNTIFS(C$5:C505,C505,U$5:U505,1)=1,1,0),0)</f>
        <v>0</v>
      </c>
      <c r="W505" s="30" t="n">
        <f aca="false">IF(C505="",0,IF(AND(B505="office",E505="budget_probe",N(F505)&gt;=Inputs!$C$139),1,0))</f>
        <v>0</v>
      </c>
      <c r="X505" s="30" t="n">
        <f aca="false">IF(W505=1,IF(COUNTIFS(C$5:C505,C505,W$5:W505,1)=1,1,0),0)</f>
        <v>0</v>
      </c>
      <c r="Y505" s="30" t="n">
        <f aca="false">IF(C505="",0,IF(AND(B505="brand",E505="renewal_answer",TRIM(G505)="yes",N(F505)&gt;=Inputs!$C$135),1,0))</f>
        <v>0</v>
      </c>
      <c r="Z505" s="30" t="n">
        <f aca="false">IF(Y505=1,IF(COUNTIFS(C$5:C505,C505,Y$5:Y505,1)=1,1,0),0)</f>
        <v>0</v>
      </c>
      <c r="AA505" s="30" t="n">
        <f aca="false">IF(AND(E505="budget_probe",ISNUMBER(F505),I505&lt;&gt;Lists!$X$4),1,0)</f>
        <v>0</v>
      </c>
      <c r="AB505" s="30" t="str">
        <f aca="false">IF(AND(B505="office",AA505=1,COUNTIFS(C$5:C505,C505,AA$5:AA505,1)=1),F505,"")</f>
        <v/>
      </c>
      <c r="AC505" s="30" t="str">
        <f aca="false">IF(AND(B505="brand",AA505=1,COUNTIFS(C$5:C505,C505,AA$5:AA505,1)=1),F505,"")</f>
        <v/>
      </c>
      <c r="AD505" s="30" t="str">
        <f aca="false">IF(AND(B505="brand",E505="budget_probe",ISNUMBER(F505),I505=Lists!$X$4),IF(COUNTIFS(C$5:C505,C505,E$5:E505,"budget_probe",I$5:I505,Lists!$X$4)=1,F505,""),"")</f>
        <v/>
      </c>
      <c r="AE505" s="30" t="n">
        <f aca="false">IF(AND(B505="brand",E505="paid",ISNUMBER(F505)),IF(AND(SUMIFS(F$5:F505,B$5:B505,"brand",C$5:C505,C505,E$5:E505,"paid")&gt;=Inputs!$C$44,SUMIFS(F$5:F505,B$5:B505,"brand",C$5:C505,C505,E$5:E505,"paid")-F505&lt;Inputs!$C$44),1,0),0)</f>
        <v>0</v>
      </c>
    </row>
    <row r="506" customFormat="false" ht="15" hidden="false" customHeight="false" outlineLevel="0" collapsed="false">
      <c r="A506" s="102"/>
      <c r="B506" s="103"/>
      <c r="C506" s="103"/>
      <c r="D506" s="103"/>
      <c r="E506" s="103"/>
      <c r="F506" s="103"/>
      <c r="G506" s="103"/>
      <c r="H506" s="103"/>
      <c r="I506" s="103"/>
      <c r="T506" s="30" t="str">
        <f aca="false">IF(C506="","",IF(COUNTIFS(C$5:C506,C506,E$5:E506,E506)=1,1,0))</f>
        <v/>
      </c>
      <c r="U506" s="30" t="n">
        <f aca="false">IF(C506="",0,IF(AND(B506="brand",E506="budget_probe",N(F506)&gt;=Inputs!$C$124,H506="Y"),1,0))</f>
        <v>0</v>
      </c>
      <c r="V506" s="30" t="n">
        <f aca="false">IF(U506=1,IF(COUNTIFS(C$5:C506,C506,U$5:U506,1)=1,1,0),0)</f>
        <v>0</v>
      </c>
      <c r="W506" s="30" t="n">
        <f aca="false">IF(C506="",0,IF(AND(B506="office",E506="budget_probe",N(F506)&gt;=Inputs!$C$139),1,0))</f>
        <v>0</v>
      </c>
      <c r="X506" s="30" t="n">
        <f aca="false">IF(W506=1,IF(COUNTIFS(C$5:C506,C506,W$5:W506,1)=1,1,0),0)</f>
        <v>0</v>
      </c>
      <c r="Y506" s="30" t="n">
        <f aca="false">IF(C506="",0,IF(AND(B506="brand",E506="renewal_answer",TRIM(G506)="yes",N(F506)&gt;=Inputs!$C$135),1,0))</f>
        <v>0</v>
      </c>
      <c r="Z506" s="30" t="n">
        <f aca="false">IF(Y506=1,IF(COUNTIFS(C$5:C506,C506,Y$5:Y506,1)=1,1,0),0)</f>
        <v>0</v>
      </c>
      <c r="AA506" s="30" t="n">
        <f aca="false">IF(AND(E506="budget_probe",ISNUMBER(F506),I506&lt;&gt;Lists!$X$4),1,0)</f>
        <v>0</v>
      </c>
      <c r="AB506" s="30" t="str">
        <f aca="false">IF(AND(B506="office",AA506=1,COUNTIFS(C$5:C506,C506,AA$5:AA506,1)=1),F506,"")</f>
        <v/>
      </c>
      <c r="AC506" s="30" t="str">
        <f aca="false">IF(AND(B506="brand",AA506=1,COUNTIFS(C$5:C506,C506,AA$5:AA506,1)=1),F506,"")</f>
        <v/>
      </c>
      <c r="AD506" s="30" t="str">
        <f aca="false">IF(AND(B506="brand",E506="budget_probe",ISNUMBER(F506),I506=Lists!$X$4),IF(COUNTIFS(C$5:C506,C506,E$5:E506,"budget_probe",I$5:I506,Lists!$X$4)=1,F506,""),"")</f>
        <v/>
      </c>
      <c r="AE506" s="30" t="n">
        <f aca="false">IF(AND(B506="brand",E506="paid",ISNUMBER(F506)),IF(AND(SUMIFS(F$5:F506,B$5:B506,"brand",C$5:C506,C506,E$5:E506,"paid")&gt;=Inputs!$C$44,SUMIFS(F$5:F506,B$5:B506,"brand",C$5:C506,C506,E$5:E506,"paid")-F506&lt;Inputs!$C$44),1,0),0)</f>
        <v>0</v>
      </c>
    </row>
    <row r="507" customFormat="false" ht="15" hidden="false" customHeight="false" outlineLevel="0" collapsed="false">
      <c r="A507" s="102"/>
      <c r="B507" s="103"/>
      <c r="C507" s="103"/>
      <c r="D507" s="103"/>
      <c r="E507" s="103"/>
      <c r="F507" s="103"/>
      <c r="G507" s="103"/>
      <c r="H507" s="103"/>
      <c r="I507" s="103"/>
      <c r="T507" s="30" t="str">
        <f aca="false">IF(C507="","",IF(COUNTIFS(C$5:C507,C507,E$5:E507,E507)=1,1,0))</f>
        <v/>
      </c>
      <c r="U507" s="30" t="n">
        <f aca="false">IF(C507="",0,IF(AND(B507="brand",E507="budget_probe",N(F507)&gt;=Inputs!$C$124,H507="Y"),1,0))</f>
        <v>0</v>
      </c>
      <c r="V507" s="30" t="n">
        <f aca="false">IF(U507=1,IF(COUNTIFS(C$5:C507,C507,U$5:U507,1)=1,1,0),0)</f>
        <v>0</v>
      </c>
      <c r="W507" s="30" t="n">
        <f aca="false">IF(C507="",0,IF(AND(B507="office",E507="budget_probe",N(F507)&gt;=Inputs!$C$139),1,0))</f>
        <v>0</v>
      </c>
      <c r="X507" s="30" t="n">
        <f aca="false">IF(W507=1,IF(COUNTIFS(C$5:C507,C507,W$5:W507,1)=1,1,0),0)</f>
        <v>0</v>
      </c>
      <c r="Y507" s="30" t="n">
        <f aca="false">IF(C507="",0,IF(AND(B507="brand",E507="renewal_answer",TRIM(G507)="yes",N(F507)&gt;=Inputs!$C$135),1,0))</f>
        <v>0</v>
      </c>
      <c r="Z507" s="30" t="n">
        <f aca="false">IF(Y507=1,IF(COUNTIFS(C$5:C507,C507,Y$5:Y507,1)=1,1,0),0)</f>
        <v>0</v>
      </c>
      <c r="AA507" s="30" t="n">
        <f aca="false">IF(AND(E507="budget_probe",ISNUMBER(F507),I507&lt;&gt;Lists!$X$4),1,0)</f>
        <v>0</v>
      </c>
      <c r="AB507" s="30" t="str">
        <f aca="false">IF(AND(B507="office",AA507=1,COUNTIFS(C$5:C507,C507,AA$5:AA507,1)=1),F507,"")</f>
        <v/>
      </c>
      <c r="AC507" s="30" t="str">
        <f aca="false">IF(AND(B507="brand",AA507=1,COUNTIFS(C$5:C507,C507,AA$5:AA507,1)=1),F507,"")</f>
        <v/>
      </c>
      <c r="AD507" s="30" t="str">
        <f aca="false">IF(AND(B507="brand",E507="budget_probe",ISNUMBER(F507),I507=Lists!$X$4),IF(COUNTIFS(C$5:C507,C507,E$5:E507,"budget_probe",I$5:I507,Lists!$X$4)=1,F507,""),"")</f>
        <v/>
      </c>
      <c r="AE507" s="30" t="n">
        <f aca="false">IF(AND(B507="brand",E507="paid",ISNUMBER(F507)),IF(AND(SUMIFS(F$5:F507,B$5:B507,"brand",C$5:C507,C507,E$5:E507,"paid")&gt;=Inputs!$C$44,SUMIFS(F$5:F507,B$5:B507,"brand",C$5:C507,C507,E$5:E507,"paid")-F507&lt;Inputs!$C$44),1,0),0)</f>
        <v>0</v>
      </c>
    </row>
    <row r="508" customFormat="false" ht="15" hidden="false" customHeight="false" outlineLevel="0" collapsed="false">
      <c r="A508" s="102"/>
      <c r="B508" s="103"/>
      <c r="C508" s="103"/>
      <c r="D508" s="103"/>
      <c r="E508" s="103"/>
      <c r="F508" s="103"/>
      <c r="G508" s="103"/>
      <c r="H508" s="103"/>
      <c r="I508" s="103"/>
      <c r="T508" s="30" t="str">
        <f aca="false">IF(C508="","",IF(COUNTIFS(C$5:C508,C508,E$5:E508,E508)=1,1,0))</f>
        <v/>
      </c>
      <c r="U508" s="30" t="n">
        <f aca="false">IF(C508="",0,IF(AND(B508="brand",E508="budget_probe",N(F508)&gt;=Inputs!$C$124,H508="Y"),1,0))</f>
        <v>0</v>
      </c>
      <c r="V508" s="30" t="n">
        <f aca="false">IF(U508=1,IF(COUNTIFS(C$5:C508,C508,U$5:U508,1)=1,1,0),0)</f>
        <v>0</v>
      </c>
      <c r="W508" s="30" t="n">
        <f aca="false">IF(C508="",0,IF(AND(B508="office",E508="budget_probe",N(F508)&gt;=Inputs!$C$139),1,0))</f>
        <v>0</v>
      </c>
      <c r="X508" s="30" t="n">
        <f aca="false">IF(W508=1,IF(COUNTIFS(C$5:C508,C508,W$5:W508,1)=1,1,0),0)</f>
        <v>0</v>
      </c>
      <c r="Y508" s="30" t="n">
        <f aca="false">IF(C508="",0,IF(AND(B508="brand",E508="renewal_answer",TRIM(G508)="yes",N(F508)&gt;=Inputs!$C$135),1,0))</f>
        <v>0</v>
      </c>
      <c r="Z508" s="30" t="n">
        <f aca="false">IF(Y508=1,IF(COUNTIFS(C$5:C508,C508,Y$5:Y508,1)=1,1,0),0)</f>
        <v>0</v>
      </c>
      <c r="AA508" s="30" t="n">
        <f aca="false">IF(AND(E508="budget_probe",ISNUMBER(F508),I508&lt;&gt;Lists!$X$4),1,0)</f>
        <v>0</v>
      </c>
      <c r="AB508" s="30" t="str">
        <f aca="false">IF(AND(B508="office",AA508=1,COUNTIFS(C$5:C508,C508,AA$5:AA508,1)=1),F508,"")</f>
        <v/>
      </c>
      <c r="AC508" s="30" t="str">
        <f aca="false">IF(AND(B508="brand",AA508=1,COUNTIFS(C$5:C508,C508,AA$5:AA508,1)=1),F508,"")</f>
        <v/>
      </c>
      <c r="AD508" s="30" t="str">
        <f aca="false">IF(AND(B508="brand",E508="budget_probe",ISNUMBER(F508),I508=Lists!$X$4),IF(COUNTIFS(C$5:C508,C508,E$5:E508,"budget_probe",I$5:I508,Lists!$X$4)=1,F508,""),"")</f>
        <v/>
      </c>
      <c r="AE508" s="30" t="n">
        <f aca="false">IF(AND(B508="brand",E508="paid",ISNUMBER(F508)),IF(AND(SUMIFS(F$5:F508,B$5:B508,"brand",C$5:C508,C508,E$5:E508,"paid")&gt;=Inputs!$C$44,SUMIFS(F$5:F508,B$5:B508,"brand",C$5:C508,C508,E$5:E508,"paid")-F508&lt;Inputs!$C$44),1,0),0)</f>
        <v>0</v>
      </c>
    </row>
    <row r="509" customFormat="false" ht="15" hidden="false" customHeight="false" outlineLevel="0" collapsed="false">
      <c r="A509" s="102"/>
      <c r="B509" s="103"/>
      <c r="C509" s="103"/>
      <c r="D509" s="103"/>
      <c r="E509" s="103"/>
      <c r="F509" s="103"/>
      <c r="G509" s="103"/>
      <c r="H509" s="103"/>
      <c r="I509" s="103"/>
      <c r="T509" s="30" t="str">
        <f aca="false">IF(C509="","",IF(COUNTIFS(C$5:C509,C509,E$5:E509,E509)=1,1,0))</f>
        <v/>
      </c>
      <c r="U509" s="30" t="n">
        <f aca="false">IF(C509="",0,IF(AND(B509="brand",E509="budget_probe",N(F509)&gt;=Inputs!$C$124,H509="Y"),1,0))</f>
        <v>0</v>
      </c>
      <c r="V509" s="30" t="n">
        <f aca="false">IF(U509=1,IF(COUNTIFS(C$5:C509,C509,U$5:U509,1)=1,1,0),0)</f>
        <v>0</v>
      </c>
      <c r="W509" s="30" t="n">
        <f aca="false">IF(C509="",0,IF(AND(B509="office",E509="budget_probe",N(F509)&gt;=Inputs!$C$139),1,0))</f>
        <v>0</v>
      </c>
      <c r="X509" s="30" t="n">
        <f aca="false">IF(W509=1,IF(COUNTIFS(C$5:C509,C509,W$5:W509,1)=1,1,0),0)</f>
        <v>0</v>
      </c>
      <c r="Y509" s="30" t="n">
        <f aca="false">IF(C509="",0,IF(AND(B509="brand",E509="renewal_answer",TRIM(G509)="yes",N(F509)&gt;=Inputs!$C$135),1,0))</f>
        <v>0</v>
      </c>
      <c r="Z509" s="30" t="n">
        <f aca="false">IF(Y509=1,IF(COUNTIFS(C$5:C509,C509,Y$5:Y509,1)=1,1,0),0)</f>
        <v>0</v>
      </c>
      <c r="AA509" s="30" t="n">
        <f aca="false">IF(AND(E509="budget_probe",ISNUMBER(F509),I509&lt;&gt;Lists!$X$4),1,0)</f>
        <v>0</v>
      </c>
      <c r="AB509" s="30" t="str">
        <f aca="false">IF(AND(B509="office",AA509=1,COUNTIFS(C$5:C509,C509,AA$5:AA509,1)=1),F509,"")</f>
        <v/>
      </c>
      <c r="AC509" s="30" t="str">
        <f aca="false">IF(AND(B509="brand",AA509=1,COUNTIFS(C$5:C509,C509,AA$5:AA509,1)=1),F509,"")</f>
        <v/>
      </c>
      <c r="AD509" s="30" t="str">
        <f aca="false">IF(AND(B509="brand",E509="budget_probe",ISNUMBER(F509),I509=Lists!$X$4),IF(COUNTIFS(C$5:C509,C509,E$5:E509,"budget_probe",I$5:I509,Lists!$X$4)=1,F509,""),"")</f>
        <v/>
      </c>
      <c r="AE509" s="30" t="n">
        <f aca="false">IF(AND(B509="brand",E509="paid",ISNUMBER(F509)),IF(AND(SUMIFS(F$5:F509,B$5:B509,"brand",C$5:C509,C509,E$5:E509,"paid")&gt;=Inputs!$C$44,SUMIFS(F$5:F509,B$5:B509,"brand",C$5:C509,C509,E$5:E509,"paid")-F509&lt;Inputs!$C$44),1,0),0)</f>
        <v>0</v>
      </c>
    </row>
    <row r="510" customFormat="false" ht="15" hidden="false" customHeight="false" outlineLevel="0" collapsed="false">
      <c r="A510" s="102"/>
      <c r="B510" s="103"/>
      <c r="C510" s="103"/>
      <c r="D510" s="103"/>
      <c r="E510" s="103"/>
      <c r="F510" s="103"/>
      <c r="G510" s="103"/>
      <c r="H510" s="103"/>
      <c r="I510" s="103"/>
      <c r="T510" s="30" t="str">
        <f aca="false">IF(C510="","",IF(COUNTIFS(C$5:C510,C510,E$5:E510,E510)=1,1,0))</f>
        <v/>
      </c>
      <c r="U510" s="30" t="n">
        <f aca="false">IF(C510="",0,IF(AND(B510="brand",E510="budget_probe",N(F510)&gt;=Inputs!$C$124,H510="Y"),1,0))</f>
        <v>0</v>
      </c>
      <c r="V510" s="30" t="n">
        <f aca="false">IF(U510=1,IF(COUNTIFS(C$5:C510,C510,U$5:U510,1)=1,1,0),0)</f>
        <v>0</v>
      </c>
      <c r="W510" s="30" t="n">
        <f aca="false">IF(C510="",0,IF(AND(B510="office",E510="budget_probe",N(F510)&gt;=Inputs!$C$139),1,0))</f>
        <v>0</v>
      </c>
      <c r="X510" s="30" t="n">
        <f aca="false">IF(W510=1,IF(COUNTIFS(C$5:C510,C510,W$5:W510,1)=1,1,0),0)</f>
        <v>0</v>
      </c>
      <c r="Y510" s="30" t="n">
        <f aca="false">IF(C510="",0,IF(AND(B510="brand",E510="renewal_answer",TRIM(G510)="yes",N(F510)&gt;=Inputs!$C$135),1,0))</f>
        <v>0</v>
      </c>
      <c r="Z510" s="30" t="n">
        <f aca="false">IF(Y510=1,IF(COUNTIFS(C$5:C510,C510,Y$5:Y510,1)=1,1,0),0)</f>
        <v>0</v>
      </c>
      <c r="AA510" s="30" t="n">
        <f aca="false">IF(AND(E510="budget_probe",ISNUMBER(F510),I510&lt;&gt;Lists!$X$4),1,0)</f>
        <v>0</v>
      </c>
      <c r="AB510" s="30" t="str">
        <f aca="false">IF(AND(B510="office",AA510=1,COUNTIFS(C$5:C510,C510,AA$5:AA510,1)=1),F510,"")</f>
        <v/>
      </c>
      <c r="AC510" s="30" t="str">
        <f aca="false">IF(AND(B510="brand",AA510=1,COUNTIFS(C$5:C510,C510,AA$5:AA510,1)=1),F510,"")</f>
        <v/>
      </c>
      <c r="AD510" s="30" t="str">
        <f aca="false">IF(AND(B510="brand",E510="budget_probe",ISNUMBER(F510),I510=Lists!$X$4),IF(COUNTIFS(C$5:C510,C510,E$5:E510,"budget_probe",I$5:I510,Lists!$X$4)=1,F510,""),"")</f>
        <v/>
      </c>
      <c r="AE510" s="30" t="n">
        <f aca="false">IF(AND(B510="brand",E510="paid",ISNUMBER(F510)),IF(AND(SUMIFS(F$5:F510,B$5:B510,"brand",C$5:C510,C510,E$5:E510,"paid")&gt;=Inputs!$C$44,SUMIFS(F$5:F510,B$5:B510,"brand",C$5:C510,C510,E$5:E510,"paid")-F510&lt;Inputs!$C$44),1,0),0)</f>
        <v>0</v>
      </c>
    </row>
    <row r="511" customFormat="false" ht="15" hidden="false" customHeight="false" outlineLevel="0" collapsed="false">
      <c r="A511" s="102"/>
      <c r="B511" s="103"/>
      <c r="C511" s="103"/>
      <c r="D511" s="103"/>
      <c r="E511" s="103"/>
      <c r="F511" s="103"/>
      <c r="G511" s="103"/>
      <c r="H511" s="103"/>
      <c r="I511" s="103"/>
      <c r="T511" s="30" t="str">
        <f aca="false">IF(C511="","",IF(COUNTIFS(C$5:C511,C511,E$5:E511,E511)=1,1,0))</f>
        <v/>
      </c>
      <c r="U511" s="30" t="n">
        <f aca="false">IF(C511="",0,IF(AND(B511="brand",E511="budget_probe",N(F511)&gt;=Inputs!$C$124,H511="Y"),1,0))</f>
        <v>0</v>
      </c>
      <c r="V511" s="30" t="n">
        <f aca="false">IF(U511=1,IF(COUNTIFS(C$5:C511,C511,U$5:U511,1)=1,1,0),0)</f>
        <v>0</v>
      </c>
      <c r="W511" s="30" t="n">
        <f aca="false">IF(C511="",0,IF(AND(B511="office",E511="budget_probe",N(F511)&gt;=Inputs!$C$139),1,0))</f>
        <v>0</v>
      </c>
      <c r="X511" s="30" t="n">
        <f aca="false">IF(W511=1,IF(COUNTIFS(C$5:C511,C511,W$5:W511,1)=1,1,0),0)</f>
        <v>0</v>
      </c>
      <c r="Y511" s="30" t="n">
        <f aca="false">IF(C511="",0,IF(AND(B511="brand",E511="renewal_answer",TRIM(G511)="yes",N(F511)&gt;=Inputs!$C$135),1,0))</f>
        <v>0</v>
      </c>
      <c r="Z511" s="30" t="n">
        <f aca="false">IF(Y511=1,IF(COUNTIFS(C$5:C511,C511,Y$5:Y511,1)=1,1,0),0)</f>
        <v>0</v>
      </c>
      <c r="AA511" s="30" t="n">
        <f aca="false">IF(AND(E511="budget_probe",ISNUMBER(F511),I511&lt;&gt;Lists!$X$4),1,0)</f>
        <v>0</v>
      </c>
      <c r="AB511" s="30" t="str">
        <f aca="false">IF(AND(B511="office",AA511=1,COUNTIFS(C$5:C511,C511,AA$5:AA511,1)=1),F511,"")</f>
        <v/>
      </c>
      <c r="AC511" s="30" t="str">
        <f aca="false">IF(AND(B511="brand",AA511=1,COUNTIFS(C$5:C511,C511,AA$5:AA511,1)=1),F511,"")</f>
        <v/>
      </c>
      <c r="AD511" s="30" t="str">
        <f aca="false">IF(AND(B511="brand",E511="budget_probe",ISNUMBER(F511),I511=Lists!$X$4),IF(COUNTIFS(C$5:C511,C511,E$5:E511,"budget_probe",I$5:I511,Lists!$X$4)=1,F511,""),"")</f>
        <v/>
      </c>
      <c r="AE511" s="30" t="n">
        <f aca="false">IF(AND(B511="brand",E511="paid",ISNUMBER(F511)),IF(AND(SUMIFS(F$5:F511,B$5:B511,"brand",C$5:C511,C511,E$5:E511,"paid")&gt;=Inputs!$C$44,SUMIFS(F$5:F511,B$5:B511,"brand",C$5:C511,C511,E$5:E511,"paid")-F511&lt;Inputs!$C$44),1,0),0)</f>
        <v>0</v>
      </c>
    </row>
    <row r="512" customFormat="false" ht="15" hidden="false" customHeight="false" outlineLevel="0" collapsed="false">
      <c r="A512" s="102"/>
      <c r="B512" s="103"/>
      <c r="C512" s="103"/>
      <c r="D512" s="103"/>
      <c r="E512" s="103"/>
      <c r="F512" s="103"/>
      <c r="G512" s="103"/>
      <c r="H512" s="103"/>
      <c r="I512" s="103"/>
      <c r="T512" s="30" t="str">
        <f aca="false">IF(C512="","",IF(COUNTIFS(C$5:C512,C512,E$5:E512,E512)=1,1,0))</f>
        <v/>
      </c>
      <c r="U512" s="30" t="n">
        <f aca="false">IF(C512="",0,IF(AND(B512="brand",E512="budget_probe",N(F512)&gt;=Inputs!$C$124,H512="Y"),1,0))</f>
        <v>0</v>
      </c>
      <c r="V512" s="30" t="n">
        <f aca="false">IF(U512=1,IF(COUNTIFS(C$5:C512,C512,U$5:U512,1)=1,1,0),0)</f>
        <v>0</v>
      </c>
      <c r="W512" s="30" t="n">
        <f aca="false">IF(C512="",0,IF(AND(B512="office",E512="budget_probe",N(F512)&gt;=Inputs!$C$139),1,0))</f>
        <v>0</v>
      </c>
      <c r="X512" s="30" t="n">
        <f aca="false">IF(W512=1,IF(COUNTIFS(C$5:C512,C512,W$5:W512,1)=1,1,0),0)</f>
        <v>0</v>
      </c>
      <c r="Y512" s="30" t="n">
        <f aca="false">IF(C512="",0,IF(AND(B512="brand",E512="renewal_answer",TRIM(G512)="yes",N(F512)&gt;=Inputs!$C$135),1,0))</f>
        <v>0</v>
      </c>
      <c r="Z512" s="30" t="n">
        <f aca="false">IF(Y512=1,IF(COUNTIFS(C$5:C512,C512,Y$5:Y512,1)=1,1,0),0)</f>
        <v>0</v>
      </c>
      <c r="AA512" s="30" t="n">
        <f aca="false">IF(AND(E512="budget_probe",ISNUMBER(F512),I512&lt;&gt;Lists!$X$4),1,0)</f>
        <v>0</v>
      </c>
      <c r="AB512" s="30" t="str">
        <f aca="false">IF(AND(B512="office",AA512=1,COUNTIFS(C$5:C512,C512,AA$5:AA512,1)=1),F512,"")</f>
        <v/>
      </c>
      <c r="AC512" s="30" t="str">
        <f aca="false">IF(AND(B512="brand",AA512=1,COUNTIFS(C$5:C512,C512,AA$5:AA512,1)=1),F512,"")</f>
        <v/>
      </c>
      <c r="AD512" s="30" t="str">
        <f aca="false">IF(AND(B512="brand",E512="budget_probe",ISNUMBER(F512),I512=Lists!$X$4),IF(COUNTIFS(C$5:C512,C512,E$5:E512,"budget_probe",I$5:I512,Lists!$X$4)=1,F512,""),"")</f>
        <v/>
      </c>
      <c r="AE512" s="30" t="n">
        <f aca="false">IF(AND(B512="brand",E512="paid",ISNUMBER(F512)),IF(AND(SUMIFS(F$5:F512,B$5:B512,"brand",C$5:C512,C512,E$5:E512,"paid")&gt;=Inputs!$C$44,SUMIFS(F$5:F512,B$5:B512,"brand",C$5:C512,C512,E$5:E512,"paid")-F512&lt;Inputs!$C$44),1,0),0)</f>
        <v>0</v>
      </c>
    </row>
    <row r="513" customFormat="false" ht="15" hidden="false" customHeight="false" outlineLevel="0" collapsed="false">
      <c r="A513" s="102"/>
      <c r="B513" s="103"/>
      <c r="C513" s="103"/>
      <c r="D513" s="103"/>
      <c r="E513" s="103"/>
      <c r="F513" s="103"/>
      <c r="G513" s="103"/>
      <c r="H513" s="103"/>
      <c r="I513" s="103"/>
      <c r="T513" s="30" t="str">
        <f aca="false">IF(C513="","",IF(COUNTIFS(C$5:C513,C513,E$5:E513,E513)=1,1,0))</f>
        <v/>
      </c>
      <c r="U513" s="30" t="n">
        <f aca="false">IF(C513="",0,IF(AND(B513="brand",E513="budget_probe",N(F513)&gt;=Inputs!$C$124,H513="Y"),1,0))</f>
        <v>0</v>
      </c>
      <c r="V513" s="30" t="n">
        <f aca="false">IF(U513=1,IF(COUNTIFS(C$5:C513,C513,U$5:U513,1)=1,1,0),0)</f>
        <v>0</v>
      </c>
      <c r="W513" s="30" t="n">
        <f aca="false">IF(C513="",0,IF(AND(B513="office",E513="budget_probe",N(F513)&gt;=Inputs!$C$139),1,0))</f>
        <v>0</v>
      </c>
      <c r="X513" s="30" t="n">
        <f aca="false">IF(W513=1,IF(COUNTIFS(C$5:C513,C513,W$5:W513,1)=1,1,0),0)</f>
        <v>0</v>
      </c>
      <c r="Y513" s="30" t="n">
        <f aca="false">IF(C513="",0,IF(AND(B513="brand",E513="renewal_answer",TRIM(G513)="yes",N(F513)&gt;=Inputs!$C$135),1,0))</f>
        <v>0</v>
      </c>
      <c r="Z513" s="30" t="n">
        <f aca="false">IF(Y513=1,IF(COUNTIFS(C$5:C513,C513,Y$5:Y513,1)=1,1,0),0)</f>
        <v>0</v>
      </c>
      <c r="AA513" s="30" t="n">
        <f aca="false">IF(AND(E513="budget_probe",ISNUMBER(F513),I513&lt;&gt;Lists!$X$4),1,0)</f>
        <v>0</v>
      </c>
      <c r="AB513" s="30" t="str">
        <f aca="false">IF(AND(B513="office",AA513=1,COUNTIFS(C$5:C513,C513,AA$5:AA513,1)=1),F513,"")</f>
        <v/>
      </c>
      <c r="AC513" s="30" t="str">
        <f aca="false">IF(AND(B513="brand",AA513=1,COUNTIFS(C$5:C513,C513,AA$5:AA513,1)=1),F513,"")</f>
        <v/>
      </c>
      <c r="AD513" s="30" t="str">
        <f aca="false">IF(AND(B513="brand",E513="budget_probe",ISNUMBER(F513),I513=Lists!$X$4),IF(COUNTIFS(C$5:C513,C513,E$5:E513,"budget_probe",I$5:I513,Lists!$X$4)=1,F513,""),"")</f>
        <v/>
      </c>
      <c r="AE513" s="30" t="n">
        <f aca="false">IF(AND(B513="brand",E513="paid",ISNUMBER(F513)),IF(AND(SUMIFS(F$5:F513,B$5:B513,"brand",C$5:C513,C513,E$5:E513,"paid")&gt;=Inputs!$C$44,SUMIFS(F$5:F513,B$5:B513,"brand",C$5:C513,C513,E$5:E513,"paid")-F513&lt;Inputs!$C$44),1,0),0)</f>
        <v>0</v>
      </c>
    </row>
    <row r="514" customFormat="false" ht="15" hidden="false" customHeight="false" outlineLevel="0" collapsed="false">
      <c r="A514" s="102"/>
      <c r="B514" s="103"/>
      <c r="C514" s="103"/>
      <c r="D514" s="103"/>
      <c r="E514" s="103"/>
      <c r="F514" s="103"/>
      <c r="G514" s="103"/>
      <c r="H514" s="103"/>
      <c r="I514" s="103"/>
      <c r="T514" s="30" t="str">
        <f aca="false">IF(C514="","",IF(COUNTIFS(C$5:C514,C514,E$5:E514,E514)=1,1,0))</f>
        <v/>
      </c>
      <c r="U514" s="30" t="n">
        <f aca="false">IF(C514="",0,IF(AND(B514="brand",E514="budget_probe",N(F514)&gt;=Inputs!$C$124,H514="Y"),1,0))</f>
        <v>0</v>
      </c>
      <c r="V514" s="30" t="n">
        <f aca="false">IF(U514=1,IF(COUNTIFS(C$5:C514,C514,U$5:U514,1)=1,1,0),0)</f>
        <v>0</v>
      </c>
      <c r="W514" s="30" t="n">
        <f aca="false">IF(C514="",0,IF(AND(B514="office",E514="budget_probe",N(F514)&gt;=Inputs!$C$139),1,0))</f>
        <v>0</v>
      </c>
      <c r="X514" s="30" t="n">
        <f aca="false">IF(W514=1,IF(COUNTIFS(C$5:C514,C514,W$5:W514,1)=1,1,0),0)</f>
        <v>0</v>
      </c>
      <c r="Y514" s="30" t="n">
        <f aca="false">IF(C514="",0,IF(AND(B514="brand",E514="renewal_answer",TRIM(G514)="yes",N(F514)&gt;=Inputs!$C$135),1,0))</f>
        <v>0</v>
      </c>
      <c r="Z514" s="30" t="n">
        <f aca="false">IF(Y514=1,IF(COUNTIFS(C$5:C514,C514,Y$5:Y514,1)=1,1,0),0)</f>
        <v>0</v>
      </c>
      <c r="AA514" s="30" t="n">
        <f aca="false">IF(AND(E514="budget_probe",ISNUMBER(F514),I514&lt;&gt;Lists!$X$4),1,0)</f>
        <v>0</v>
      </c>
      <c r="AB514" s="30" t="str">
        <f aca="false">IF(AND(B514="office",AA514=1,COUNTIFS(C$5:C514,C514,AA$5:AA514,1)=1),F514,"")</f>
        <v/>
      </c>
      <c r="AC514" s="30" t="str">
        <f aca="false">IF(AND(B514="brand",AA514=1,COUNTIFS(C$5:C514,C514,AA$5:AA514,1)=1),F514,"")</f>
        <v/>
      </c>
      <c r="AD514" s="30" t="str">
        <f aca="false">IF(AND(B514="brand",E514="budget_probe",ISNUMBER(F514),I514=Lists!$X$4),IF(COUNTIFS(C$5:C514,C514,E$5:E514,"budget_probe",I$5:I514,Lists!$X$4)=1,F514,""),"")</f>
        <v/>
      </c>
      <c r="AE514" s="30" t="n">
        <f aca="false">IF(AND(B514="brand",E514="paid",ISNUMBER(F514)),IF(AND(SUMIFS(F$5:F514,B$5:B514,"brand",C$5:C514,C514,E$5:E514,"paid")&gt;=Inputs!$C$44,SUMIFS(F$5:F514,B$5:B514,"brand",C$5:C514,C514,E$5:E514,"paid")-F514&lt;Inputs!$C$44),1,0),0)</f>
        <v>0</v>
      </c>
    </row>
    <row r="515" customFormat="false" ht="15" hidden="false" customHeight="false" outlineLevel="0" collapsed="false">
      <c r="A515" s="102"/>
      <c r="B515" s="103"/>
      <c r="C515" s="103"/>
      <c r="D515" s="103"/>
      <c r="E515" s="103"/>
      <c r="F515" s="103"/>
      <c r="G515" s="103"/>
      <c r="H515" s="103"/>
      <c r="I515" s="103"/>
      <c r="T515" s="30" t="str">
        <f aca="false">IF(C515="","",IF(COUNTIFS(C$5:C515,C515,E$5:E515,E515)=1,1,0))</f>
        <v/>
      </c>
      <c r="U515" s="30" t="n">
        <f aca="false">IF(C515="",0,IF(AND(B515="brand",E515="budget_probe",N(F515)&gt;=Inputs!$C$124,H515="Y"),1,0))</f>
        <v>0</v>
      </c>
      <c r="V515" s="30" t="n">
        <f aca="false">IF(U515=1,IF(COUNTIFS(C$5:C515,C515,U$5:U515,1)=1,1,0),0)</f>
        <v>0</v>
      </c>
      <c r="W515" s="30" t="n">
        <f aca="false">IF(C515="",0,IF(AND(B515="office",E515="budget_probe",N(F515)&gt;=Inputs!$C$139),1,0))</f>
        <v>0</v>
      </c>
      <c r="X515" s="30" t="n">
        <f aca="false">IF(W515=1,IF(COUNTIFS(C$5:C515,C515,W$5:W515,1)=1,1,0),0)</f>
        <v>0</v>
      </c>
      <c r="Y515" s="30" t="n">
        <f aca="false">IF(C515="",0,IF(AND(B515="brand",E515="renewal_answer",TRIM(G515)="yes",N(F515)&gt;=Inputs!$C$135),1,0))</f>
        <v>0</v>
      </c>
      <c r="Z515" s="30" t="n">
        <f aca="false">IF(Y515=1,IF(COUNTIFS(C$5:C515,C515,Y$5:Y515,1)=1,1,0),0)</f>
        <v>0</v>
      </c>
      <c r="AA515" s="30" t="n">
        <f aca="false">IF(AND(E515="budget_probe",ISNUMBER(F515),I515&lt;&gt;Lists!$X$4),1,0)</f>
        <v>0</v>
      </c>
      <c r="AB515" s="30" t="str">
        <f aca="false">IF(AND(B515="office",AA515=1,COUNTIFS(C$5:C515,C515,AA$5:AA515,1)=1),F515,"")</f>
        <v/>
      </c>
      <c r="AC515" s="30" t="str">
        <f aca="false">IF(AND(B515="brand",AA515=1,COUNTIFS(C$5:C515,C515,AA$5:AA515,1)=1),F515,"")</f>
        <v/>
      </c>
      <c r="AD515" s="30" t="str">
        <f aca="false">IF(AND(B515="brand",E515="budget_probe",ISNUMBER(F515),I515=Lists!$X$4),IF(COUNTIFS(C$5:C515,C515,E$5:E515,"budget_probe",I$5:I515,Lists!$X$4)=1,F515,""),"")</f>
        <v/>
      </c>
      <c r="AE515" s="30" t="n">
        <f aca="false">IF(AND(B515="brand",E515="paid",ISNUMBER(F515)),IF(AND(SUMIFS(F$5:F515,B$5:B515,"brand",C$5:C515,C515,E$5:E515,"paid")&gt;=Inputs!$C$44,SUMIFS(F$5:F515,B$5:B515,"brand",C$5:C515,C515,E$5:E515,"paid")-F515&lt;Inputs!$C$44),1,0),0)</f>
        <v>0</v>
      </c>
    </row>
    <row r="516" customFormat="false" ht="15" hidden="false" customHeight="false" outlineLevel="0" collapsed="false">
      <c r="A516" s="102"/>
      <c r="B516" s="103"/>
      <c r="C516" s="103"/>
      <c r="D516" s="103"/>
      <c r="E516" s="103"/>
      <c r="F516" s="103"/>
      <c r="G516" s="103"/>
      <c r="H516" s="103"/>
      <c r="I516" s="103"/>
      <c r="T516" s="30" t="str">
        <f aca="false">IF(C516="","",IF(COUNTIFS(C$5:C516,C516,E$5:E516,E516)=1,1,0))</f>
        <v/>
      </c>
      <c r="U516" s="30" t="n">
        <f aca="false">IF(C516="",0,IF(AND(B516="brand",E516="budget_probe",N(F516)&gt;=Inputs!$C$124,H516="Y"),1,0))</f>
        <v>0</v>
      </c>
      <c r="V516" s="30" t="n">
        <f aca="false">IF(U516=1,IF(COUNTIFS(C$5:C516,C516,U$5:U516,1)=1,1,0),0)</f>
        <v>0</v>
      </c>
      <c r="W516" s="30" t="n">
        <f aca="false">IF(C516="",0,IF(AND(B516="office",E516="budget_probe",N(F516)&gt;=Inputs!$C$139),1,0))</f>
        <v>0</v>
      </c>
      <c r="X516" s="30" t="n">
        <f aca="false">IF(W516=1,IF(COUNTIFS(C$5:C516,C516,W$5:W516,1)=1,1,0),0)</f>
        <v>0</v>
      </c>
      <c r="Y516" s="30" t="n">
        <f aca="false">IF(C516="",0,IF(AND(B516="brand",E516="renewal_answer",TRIM(G516)="yes",N(F516)&gt;=Inputs!$C$135),1,0))</f>
        <v>0</v>
      </c>
      <c r="Z516" s="30" t="n">
        <f aca="false">IF(Y516=1,IF(COUNTIFS(C$5:C516,C516,Y$5:Y516,1)=1,1,0),0)</f>
        <v>0</v>
      </c>
      <c r="AA516" s="30" t="n">
        <f aca="false">IF(AND(E516="budget_probe",ISNUMBER(F516),I516&lt;&gt;Lists!$X$4),1,0)</f>
        <v>0</v>
      </c>
      <c r="AB516" s="30" t="str">
        <f aca="false">IF(AND(B516="office",AA516=1,COUNTIFS(C$5:C516,C516,AA$5:AA516,1)=1),F516,"")</f>
        <v/>
      </c>
      <c r="AC516" s="30" t="str">
        <f aca="false">IF(AND(B516="brand",AA516=1,COUNTIFS(C$5:C516,C516,AA$5:AA516,1)=1),F516,"")</f>
        <v/>
      </c>
      <c r="AD516" s="30" t="str">
        <f aca="false">IF(AND(B516="brand",E516="budget_probe",ISNUMBER(F516),I516=Lists!$X$4),IF(COUNTIFS(C$5:C516,C516,E$5:E516,"budget_probe",I$5:I516,Lists!$X$4)=1,F516,""),"")</f>
        <v/>
      </c>
      <c r="AE516" s="30" t="n">
        <f aca="false">IF(AND(B516="brand",E516="paid",ISNUMBER(F516)),IF(AND(SUMIFS(F$5:F516,B$5:B516,"brand",C$5:C516,C516,E$5:E516,"paid")&gt;=Inputs!$C$44,SUMIFS(F$5:F516,B$5:B516,"brand",C$5:C516,C516,E$5:E516,"paid")-F516&lt;Inputs!$C$44),1,0),0)</f>
        <v>0</v>
      </c>
    </row>
    <row r="517" customFormat="false" ht="15" hidden="false" customHeight="false" outlineLevel="0" collapsed="false">
      <c r="A517" s="102"/>
      <c r="B517" s="103"/>
      <c r="C517" s="103"/>
      <c r="D517" s="103"/>
      <c r="E517" s="103"/>
      <c r="F517" s="103"/>
      <c r="G517" s="103"/>
      <c r="H517" s="103"/>
      <c r="I517" s="103"/>
      <c r="T517" s="30" t="str">
        <f aca="false">IF(C517="","",IF(COUNTIFS(C$5:C517,C517,E$5:E517,E517)=1,1,0))</f>
        <v/>
      </c>
      <c r="U517" s="30" t="n">
        <f aca="false">IF(C517="",0,IF(AND(B517="brand",E517="budget_probe",N(F517)&gt;=Inputs!$C$124,H517="Y"),1,0))</f>
        <v>0</v>
      </c>
      <c r="V517" s="30" t="n">
        <f aca="false">IF(U517=1,IF(COUNTIFS(C$5:C517,C517,U$5:U517,1)=1,1,0),0)</f>
        <v>0</v>
      </c>
      <c r="W517" s="30" t="n">
        <f aca="false">IF(C517="",0,IF(AND(B517="office",E517="budget_probe",N(F517)&gt;=Inputs!$C$139),1,0))</f>
        <v>0</v>
      </c>
      <c r="X517" s="30" t="n">
        <f aca="false">IF(W517=1,IF(COUNTIFS(C$5:C517,C517,W$5:W517,1)=1,1,0),0)</f>
        <v>0</v>
      </c>
      <c r="Y517" s="30" t="n">
        <f aca="false">IF(C517="",0,IF(AND(B517="brand",E517="renewal_answer",TRIM(G517)="yes",N(F517)&gt;=Inputs!$C$135),1,0))</f>
        <v>0</v>
      </c>
      <c r="Z517" s="30" t="n">
        <f aca="false">IF(Y517=1,IF(COUNTIFS(C$5:C517,C517,Y$5:Y517,1)=1,1,0),0)</f>
        <v>0</v>
      </c>
      <c r="AA517" s="30" t="n">
        <f aca="false">IF(AND(E517="budget_probe",ISNUMBER(F517),I517&lt;&gt;Lists!$X$4),1,0)</f>
        <v>0</v>
      </c>
      <c r="AB517" s="30" t="str">
        <f aca="false">IF(AND(B517="office",AA517=1,COUNTIFS(C$5:C517,C517,AA$5:AA517,1)=1),F517,"")</f>
        <v/>
      </c>
      <c r="AC517" s="30" t="str">
        <f aca="false">IF(AND(B517="brand",AA517=1,COUNTIFS(C$5:C517,C517,AA$5:AA517,1)=1),F517,"")</f>
        <v/>
      </c>
      <c r="AD517" s="30" t="str">
        <f aca="false">IF(AND(B517="brand",E517="budget_probe",ISNUMBER(F517),I517=Lists!$X$4),IF(COUNTIFS(C$5:C517,C517,E$5:E517,"budget_probe",I$5:I517,Lists!$X$4)=1,F517,""),"")</f>
        <v/>
      </c>
      <c r="AE517" s="30" t="n">
        <f aca="false">IF(AND(B517="brand",E517="paid",ISNUMBER(F517)),IF(AND(SUMIFS(F$5:F517,B$5:B517,"brand",C$5:C517,C517,E$5:E517,"paid")&gt;=Inputs!$C$44,SUMIFS(F$5:F517,B$5:B517,"brand",C$5:C517,C517,E$5:E517,"paid")-F517&lt;Inputs!$C$44),1,0),0)</f>
        <v>0</v>
      </c>
    </row>
    <row r="518" customFormat="false" ht="15" hidden="false" customHeight="false" outlineLevel="0" collapsed="false">
      <c r="A518" s="102"/>
      <c r="B518" s="103"/>
      <c r="C518" s="103"/>
      <c r="D518" s="103"/>
      <c r="E518" s="103"/>
      <c r="F518" s="103"/>
      <c r="G518" s="103"/>
      <c r="H518" s="103"/>
      <c r="I518" s="103"/>
      <c r="T518" s="30" t="str">
        <f aca="false">IF(C518="","",IF(COUNTIFS(C$5:C518,C518,E$5:E518,E518)=1,1,0))</f>
        <v/>
      </c>
      <c r="U518" s="30" t="n">
        <f aca="false">IF(C518="",0,IF(AND(B518="brand",E518="budget_probe",N(F518)&gt;=Inputs!$C$124,H518="Y"),1,0))</f>
        <v>0</v>
      </c>
      <c r="V518" s="30" t="n">
        <f aca="false">IF(U518=1,IF(COUNTIFS(C$5:C518,C518,U$5:U518,1)=1,1,0),0)</f>
        <v>0</v>
      </c>
      <c r="W518" s="30" t="n">
        <f aca="false">IF(C518="",0,IF(AND(B518="office",E518="budget_probe",N(F518)&gt;=Inputs!$C$139),1,0))</f>
        <v>0</v>
      </c>
      <c r="X518" s="30" t="n">
        <f aca="false">IF(W518=1,IF(COUNTIFS(C$5:C518,C518,W$5:W518,1)=1,1,0),0)</f>
        <v>0</v>
      </c>
      <c r="Y518" s="30" t="n">
        <f aca="false">IF(C518="",0,IF(AND(B518="brand",E518="renewal_answer",TRIM(G518)="yes",N(F518)&gt;=Inputs!$C$135),1,0))</f>
        <v>0</v>
      </c>
      <c r="Z518" s="30" t="n">
        <f aca="false">IF(Y518=1,IF(COUNTIFS(C$5:C518,C518,Y$5:Y518,1)=1,1,0),0)</f>
        <v>0</v>
      </c>
      <c r="AA518" s="30" t="n">
        <f aca="false">IF(AND(E518="budget_probe",ISNUMBER(F518),I518&lt;&gt;Lists!$X$4),1,0)</f>
        <v>0</v>
      </c>
      <c r="AB518" s="30" t="str">
        <f aca="false">IF(AND(B518="office",AA518=1,COUNTIFS(C$5:C518,C518,AA$5:AA518,1)=1),F518,"")</f>
        <v/>
      </c>
      <c r="AC518" s="30" t="str">
        <f aca="false">IF(AND(B518="brand",AA518=1,COUNTIFS(C$5:C518,C518,AA$5:AA518,1)=1),F518,"")</f>
        <v/>
      </c>
      <c r="AD518" s="30" t="str">
        <f aca="false">IF(AND(B518="brand",E518="budget_probe",ISNUMBER(F518),I518=Lists!$X$4),IF(COUNTIFS(C$5:C518,C518,E$5:E518,"budget_probe",I$5:I518,Lists!$X$4)=1,F518,""),"")</f>
        <v/>
      </c>
      <c r="AE518" s="30" t="n">
        <f aca="false">IF(AND(B518="brand",E518="paid",ISNUMBER(F518)),IF(AND(SUMIFS(F$5:F518,B$5:B518,"brand",C$5:C518,C518,E$5:E518,"paid")&gt;=Inputs!$C$44,SUMIFS(F$5:F518,B$5:B518,"brand",C$5:C518,C518,E$5:E518,"paid")-F518&lt;Inputs!$C$44),1,0),0)</f>
        <v>0</v>
      </c>
    </row>
    <row r="519" customFormat="false" ht="15" hidden="false" customHeight="false" outlineLevel="0" collapsed="false">
      <c r="A519" s="102"/>
      <c r="B519" s="103"/>
      <c r="C519" s="103"/>
      <c r="D519" s="103"/>
      <c r="E519" s="103"/>
      <c r="F519" s="103"/>
      <c r="G519" s="103"/>
      <c r="H519" s="103"/>
      <c r="I519" s="103"/>
      <c r="T519" s="30" t="str">
        <f aca="false">IF(C519="","",IF(COUNTIFS(C$5:C519,C519,E$5:E519,E519)=1,1,0))</f>
        <v/>
      </c>
      <c r="U519" s="30" t="n">
        <f aca="false">IF(C519="",0,IF(AND(B519="brand",E519="budget_probe",N(F519)&gt;=Inputs!$C$124,H519="Y"),1,0))</f>
        <v>0</v>
      </c>
      <c r="V519" s="30" t="n">
        <f aca="false">IF(U519=1,IF(COUNTIFS(C$5:C519,C519,U$5:U519,1)=1,1,0),0)</f>
        <v>0</v>
      </c>
      <c r="W519" s="30" t="n">
        <f aca="false">IF(C519="",0,IF(AND(B519="office",E519="budget_probe",N(F519)&gt;=Inputs!$C$139),1,0))</f>
        <v>0</v>
      </c>
      <c r="X519" s="30" t="n">
        <f aca="false">IF(W519=1,IF(COUNTIFS(C$5:C519,C519,W$5:W519,1)=1,1,0),0)</f>
        <v>0</v>
      </c>
      <c r="Y519" s="30" t="n">
        <f aca="false">IF(C519="",0,IF(AND(B519="brand",E519="renewal_answer",TRIM(G519)="yes",N(F519)&gt;=Inputs!$C$135),1,0))</f>
        <v>0</v>
      </c>
      <c r="Z519" s="30" t="n">
        <f aca="false">IF(Y519=1,IF(COUNTIFS(C$5:C519,C519,Y$5:Y519,1)=1,1,0),0)</f>
        <v>0</v>
      </c>
      <c r="AA519" s="30" t="n">
        <f aca="false">IF(AND(E519="budget_probe",ISNUMBER(F519),I519&lt;&gt;Lists!$X$4),1,0)</f>
        <v>0</v>
      </c>
      <c r="AB519" s="30" t="str">
        <f aca="false">IF(AND(B519="office",AA519=1,COUNTIFS(C$5:C519,C519,AA$5:AA519,1)=1),F519,"")</f>
        <v/>
      </c>
      <c r="AC519" s="30" t="str">
        <f aca="false">IF(AND(B519="brand",AA519=1,COUNTIFS(C$5:C519,C519,AA$5:AA519,1)=1),F519,"")</f>
        <v/>
      </c>
      <c r="AD519" s="30" t="str">
        <f aca="false">IF(AND(B519="brand",E519="budget_probe",ISNUMBER(F519),I519=Lists!$X$4),IF(COUNTIFS(C$5:C519,C519,E$5:E519,"budget_probe",I$5:I519,Lists!$X$4)=1,F519,""),"")</f>
        <v/>
      </c>
      <c r="AE519" s="30" t="n">
        <f aca="false">IF(AND(B519="brand",E519="paid",ISNUMBER(F519)),IF(AND(SUMIFS(F$5:F519,B$5:B519,"brand",C$5:C519,C519,E$5:E519,"paid")&gt;=Inputs!$C$44,SUMIFS(F$5:F519,B$5:B519,"brand",C$5:C519,C519,E$5:E519,"paid")-F519&lt;Inputs!$C$44),1,0),0)</f>
        <v>0</v>
      </c>
    </row>
    <row r="520" customFormat="false" ht="15" hidden="false" customHeight="false" outlineLevel="0" collapsed="false">
      <c r="A520" s="102"/>
      <c r="B520" s="103"/>
      <c r="C520" s="103"/>
      <c r="D520" s="103"/>
      <c r="E520" s="103"/>
      <c r="F520" s="103"/>
      <c r="G520" s="103"/>
      <c r="H520" s="103"/>
      <c r="I520" s="103"/>
      <c r="T520" s="30" t="str">
        <f aca="false">IF(C520="","",IF(COUNTIFS(C$5:C520,C520,E$5:E520,E520)=1,1,0))</f>
        <v/>
      </c>
      <c r="U520" s="30" t="n">
        <f aca="false">IF(C520="",0,IF(AND(B520="brand",E520="budget_probe",N(F520)&gt;=Inputs!$C$124,H520="Y"),1,0))</f>
        <v>0</v>
      </c>
      <c r="V520" s="30" t="n">
        <f aca="false">IF(U520=1,IF(COUNTIFS(C$5:C520,C520,U$5:U520,1)=1,1,0),0)</f>
        <v>0</v>
      </c>
      <c r="W520" s="30" t="n">
        <f aca="false">IF(C520="",0,IF(AND(B520="office",E520="budget_probe",N(F520)&gt;=Inputs!$C$139),1,0))</f>
        <v>0</v>
      </c>
      <c r="X520" s="30" t="n">
        <f aca="false">IF(W520=1,IF(COUNTIFS(C$5:C520,C520,W$5:W520,1)=1,1,0),0)</f>
        <v>0</v>
      </c>
      <c r="Y520" s="30" t="n">
        <f aca="false">IF(C520="",0,IF(AND(B520="brand",E520="renewal_answer",TRIM(G520)="yes",N(F520)&gt;=Inputs!$C$135),1,0))</f>
        <v>0</v>
      </c>
      <c r="Z520" s="30" t="n">
        <f aca="false">IF(Y520=1,IF(COUNTIFS(C$5:C520,C520,Y$5:Y520,1)=1,1,0),0)</f>
        <v>0</v>
      </c>
      <c r="AA520" s="30" t="n">
        <f aca="false">IF(AND(E520="budget_probe",ISNUMBER(F520),I520&lt;&gt;Lists!$X$4),1,0)</f>
        <v>0</v>
      </c>
      <c r="AB520" s="30" t="str">
        <f aca="false">IF(AND(B520="office",AA520=1,COUNTIFS(C$5:C520,C520,AA$5:AA520,1)=1),F520,"")</f>
        <v/>
      </c>
      <c r="AC520" s="30" t="str">
        <f aca="false">IF(AND(B520="brand",AA520=1,COUNTIFS(C$5:C520,C520,AA$5:AA520,1)=1),F520,"")</f>
        <v/>
      </c>
      <c r="AD520" s="30" t="str">
        <f aca="false">IF(AND(B520="brand",E520="budget_probe",ISNUMBER(F520),I520=Lists!$X$4),IF(COUNTIFS(C$5:C520,C520,E$5:E520,"budget_probe",I$5:I520,Lists!$X$4)=1,F520,""),"")</f>
        <v/>
      </c>
      <c r="AE520" s="30" t="n">
        <f aca="false">IF(AND(B520="brand",E520="paid",ISNUMBER(F520)),IF(AND(SUMIFS(F$5:F520,B$5:B520,"brand",C$5:C520,C520,E$5:E520,"paid")&gt;=Inputs!$C$44,SUMIFS(F$5:F520,B$5:B520,"brand",C$5:C520,C520,E$5:E520,"paid")-F520&lt;Inputs!$C$44),1,0),0)</f>
        <v>0</v>
      </c>
    </row>
    <row r="521" customFormat="false" ht="15" hidden="false" customHeight="false" outlineLevel="0" collapsed="false">
      <c r="A521" s="102"/>
      <c r="B521" s="103"/>
      <c r="C521" s="103"/>
      <c r="D521" s="103"/>
      <c r="E521" s="103"/>
      <c r="F521" s="103"/>
      <c r="G521" s="103"/>
      <c r="H521" s="103"/>
      <c r="I521" s="103"/>
      <c r="T521" s="30" t="str">
        <f aca="false">IF(C521="","",IF(COUNTIFS(C$5:C521,C521,E$5:E521,E521)=1,1,0))</f>
        <v/>
      </c>
      <c r="U521" s="30" t="n">
        <f aca="false">IF(C521="",0,IF(AND(B521="brand",E521="budget_probe",N(F521)&gt;=Inputs!$C$124,H521="Y"),1,0))</f>
        <v>0</v>
      </c>
      <c r="V521" s="30" t="n">
        <f aca="false">IF(U521=1,IF(COUNTIFS(C$5:C521,C521,U$5:U521,1)=1,1,0),0)</f>
        <v>0</v>
      </c>
      <c r="W521" s="30" t="n">
        <f aca="false">IF(C521="",0,IF(AND(B521="office",E521="budget_probe",N(F521)&gt;=Inputs!$C$139),1,0))</f>
        <v>0</v>
      </c>
      <c r="X521" s="30" t="n">
        <f aca="false">IF(W521=1,IF(COUNTIFS(C$5:C521,C521,W$5:W521,1)=1,1,0),0)</f>
        <v>0</v>
      </c>
      <c r="Y521" s="30" t="n">
        <f aca="false">IF(C521="",0,IF(AND(B521="brand",E521="renewal_answer",TRIM(G521)="yes",N(F521)&gt;=Inputs!$C$135),1,0))</f>
        <v>0</v>
      </c>
      <c r="Z521" s="30" t="n">
        <f aca="false">IF(Y521=1,IF(COUNTIFS(C$5:C521,C521,Y$5:Y521,1)=1,1,0),0)</f>
        <v>0</v>
      </c>
      <c r="AA521" s="30" t="n">
        <f aca="false">IF(AND(E521="budget_probe",ISNUMBER(F521),I521&lt;&gt;Lists!$X$4),1,0)</f>
        <v>0</v>
      </c>
      <c r="AB521" s="30" t="str">
        <f aca="false">IF(AND(B521="office",AA521=1,COUNTIFS(C$5:C521,C521,AA$5:AA521,1)=1),F521,"")</f>
        <v/>
      </c>
      <c r="AC521" s="30" t="str">
        <f aca="false">IF(AND(B521="brand",AA521=1,COUNTIFS(C$5:C521,C521,AA$5:AA521,1)=1),F521,"")</f>
        <v/>
      </c>
      <c r="AD521" s="30" t="str">
        <f aca="false">IF(AND(B521="brand",E521="budget_probe",ISNUMBER(F521),I521=Lists!$X$4),IF(COUNTIFS(C$5:C521,C521,E$5:E521,"budget_probe",I$5:I521,Lists!$X$4)=1,F521,""),"")</f>
        <v/>
      </c>
      <c r="AE521" s="30" t="n">
        <f aca="false">IF(AND(B521="brand",E521="paid",ISNUMBER(F521)),IF(AND(SUMIFS(F$5:F521,B$5:B521,"brand",C$5:C521,C521,E$5:E521,"paid")&gt;=Inputs!$C$44,SUMIFS(F$5:F521,B$5:B521,"brand",C$5:C521,C521,E$5:E521,"paid")-F521&lt;Inputs!$C$44),1,0),0)</f>
        <v>0</v>
      </c>
    </row>
    <row r="522" customFormat="false" ht="15" hidden="false" customHeight="false" outlineLevel="0" collapsed="false">
      <c r="A522" s="102"/>
      <c r="B522" s="103"/>
      <c r="C522" s="103"/>
      <c r="D522" s="103"/>
      <c r="E522" s="103"/>
      <c r="F522" s="103"/>
      <c r="G522" s="103"/>
      <c r="H522" s="103"/>
      <c r="I522" s="103"/>
      <c r="T522" s="30" t="str">
        <f aca="false">IF(C522="","",IF(COUNTIFS(C$5:C522,C522,E$5:E522,E522)=1,1,0))</f>
        <v/>
      </c>
      <c r="U522" s="30" t="n">
        <f aca="false">IF(C522="",0,IF(AND(B522="brand",E522="budget_probe",N(F522)&gt;=Inputs!$C$124,H522="Y"),1,0))</f>
        <v>0</v>
      </c>
      <c r="V522" s="30" t="n">
        <f aca="false">IF(U522=1,IF(COUNTIFS(C$5:C522,C522,U$5:U522,1)=1,1,0),0)</f>
        <v>0</v>
      </c>
      <c r="W522" s="30" t="n">
        <f aca="false">IF(C522="",0,IF(AND(B522="office",E522="budget_probe",N(F522)&gt;=Inputs!$C$139),1,0))</f>
        <v>0</v>
      </c>
      <c r="X522" s="30" t="n">
        <f aca="false">IF(W522=1,IF(COUNTIFS(C$5:C522,C522,W$5:W522,1)=1,1,0),0)</f>
        <v>0</v>
      </c>
      <c r="Y522" s="30" t="n">
        <f aca="false">IF(C522="",0,IF(AND(B522="brand",E522="renewal_answer",TRIM(G522)="yes",N(F522)&gt;=Inputs!$C$135),1,0))</f>
        <v>0</v>
      </c>
      <c r="Z522" s="30" t="n">
        <f aca="false">IF(Y522=1,IF(COUNTIFS(C$5:C522,C522,Y$5:Y522,1)=1,1,0),0)</f>
        <v>0</v>
      </c>
      <c r="AA522" s="30" t="n">
        <f aca="false">IF(AND(E522="budget_probe",ISNUMBER(F522),I522&lt;&gt;Lists!$X$4),1,0)</f>
        <v>0</v>
      </c>
      <c r="AB522" s="30" t="str">
        <f aca="false">IF(AND(B522="office",AA522=1,COUNTIFS(C$5:C522,C522,AA$5:AA522,1)=1),F522,"")</f>
        <v/>
      </c>
      <c r="AC522" s="30" t="str">
        <f aca="false">IF(AND(B522="brand",AA522=1,COUNTIFS(C$5:C522,C522,AA$5:AA522,1)=1),F522,"")</f>
        <v/>
      </c>
      <c r="AD522" s="30" t="str">
        <f aca="false">IF(AND(B522="brand",E522="budget_probe",ISNUMBER(F522),I522=Lists!$X$4),IF(COUNTIFS(C$5:C522,C522,E$5:E522,"budget_probe",I$5:I522,Lists!$X$4)=1,F522,""),"")</f>
        <v/>
      </c>
      <c r="AE522" s="30" t="n">
        <f aca="false">IF(AND(B522="brand",E522="paid",ISNUMBER(F522)),IF(AND(SUMIFS(F$5:F522,B$5:B522,"brand",C$5:C522,C522,E$5:E522,"paid")&gt;=Inputs!$C$44,SUMIFS(F$5:F522,B$5:B522,"brand",C$5:C522,C522,E$5:E522,"paid")-F522&lt;Inputs!$C$44),1,0),0)</f>
        <v>0</v>
      </c>
    </row>
    <row r="523" customFormat="false" ht="15" hidden="false" customHeight="false" outlineLevel="0" collapsed="false">
      <c r="A523" s="102"/>
      <c r="B523" s="103"/>
      <c r="C523" s="103"/>
      <c r="D523" s="103"/>
      <c r="E523" s="103"/>
      <c r="F523" s="103"/>
      <c r="G523" s="103"/>
      <c r="H523" s="103"/>
      <c r="I523" s="103"/>
      <c r="T523" s="30" t="str">
        <f aca="false">IF(C523="","",IF(COUNTIFS(C$5:C523,C523,E$5:E523,E523)=1,1,0))</f>
        <v/>
      </c>
      <c r="U523" s="30" t="n">
        <f aca="false">IF(C523="",0,IF(AND(B523="brand",E523="budget_probe",N(F523)&gt;=Inputs!$C$124,H523="Y"),1,0))</f>
        <v>0</v>
      </c>
      <c r="V523" s="30" t="n">
        <f aca="false">IF(U523=1,IF(COUNTIFS(C$5:C523,C523,U$5:U523,1)=1,1,0),0)</f>
        <v>0</v>
      </c>
      <c r="W523" s="30" t="n">
        <f aca="false">IF(C523="",0,IF(AND(B523="office",E523="budget_probe",N(F523)&gt;=Inputs!$C$139),1,0))</f>
        <v>0</v>
      </c>
      <c r="X523" s="30" t="n">
        <f aca="false">IF(W523=1,IF(COUNTIFS(C$5:C523,C523,W$5:W523,1)=1,1,0),0)</f>
        <v>0</v>
      </c>
      <c r="Y523" s="30" t="n">
        <f aca="false">IF(C523="",0,IF(AND(B523="brand",E523="renewal_answer",TRIM(G523)="yes",N(F523)&gt;=Inputs!$C$135),1,0))</f>
        <v>0</v>
      </c>
      <c r="Z523" s="30" t="n">
        <f aca="false">IF(Y523=1,IF(COUNTIFS(C$5:C523,C523,Y$5:Y523,1)=1,1,0),0)</f>
        <v>0</v>
      </c>
      <c r="AA523" s="30" t="n">
        <f aca="false">IF(AND(E523="budget_probe",ISNUMBER(F523),I523&lt;&gt;Lists!$X$4),1,0)</f>
        <v>0</v>
      </c>
      <c r="AB523" s="30" t="str">
        <f aca="false">IF(AND(B523="office",AA523=1,COUNTIFS(C$5:C523,C523,AA$5:AA523,1)=1),F523,"")</f>
        <v/>
      </c>
      <c r="AC523" s="30" t="str">
        <f aca="false">IF(AND(B523="brand",AA523=1,COUNTIFS(C$5:C523,C523,AA$5:AA523,1)=1),F523,"")</f>
        <v/>
      </c>
      <c r="AD523" s="30" t="str">
        <f aca="false">IF(AND(B523="brand",E523="budget_probe",ISNUMBER(F523),I523=Lists!$X$4),IF(COUNTIFS(C$5:C523,C523,E$5:E523,"budget_probe",I$5:I523,Lists!$X$4)=1,F523,""),"")</f>
        <v/>
      </c>
      <c r="AE523" s="30" t="n">
        <f aca="false">IF(AND(B523="brand",E523="paid",ISNUMBER(F523)),IF(AND(SUMIFS(F$5:F523,B$5:B523,"brand",C$5:C523,C523,E$5:E523,"paid")&gt;=Inputs!$C$44,SUMIFS(F$5:F523,B$5:B523,"brand",C$5:C523,C523,E$5:E523,"paid")-F523&lt;Inputs!$C$44),1,0),0)</f>
        <v>0</v>
      </c>
    </row>
    <row r="524" customFormat="false" ht="15" hidden="false" customHeight="false" outlineLevel="0" collapsed="false">
      <c r="A524" s="102"/>
      <c r="B524" s="103"/>
      <c r="C524" s="103"/>
      <c r="D524" s="103"/>
      <c r="E524" s="103"/>
      <c r="F524" s="103"/>
      <c r="G524" s="103"/>
      <c r="H524" s="103"/>
      <c r="I524" s="103"/>
      <c r="T524" s="30" t="str">
        <f aca="false">IF(C524="","",IF(COUNTIFS(C$5:C524,C524,E$5:E524,E524)=1,1,0))</f>
        <v/>
      </c>
      <c r="U524" s="30" t="n">
        <f aca="false">IF(C524="",0,IF(AND(B524="brand",E524="budget_probe",N(F524)&gt;=Inputs!$C$124,H524="Y"),1,0))</f>
        <v>0</v>
      </c>
      <c r="V524" s="30" t="n">
        <f aca="false">IF(U524=1,IF(COUNTIFS(C$5:C524,C524,U$5:U524,1)=1,1,0),0)</f>
        <v>0</v>
      </c>
      <c r="W524" s="30" t="n">
        <f aca="false">IF(C524="",0,IF(AND(B524="office",E524="budget_probe",N(F524)&gt;=Inputs!$C$139),1,0))</f>
        <v>0</v>
      </c>
      <c r="X524" s="30" t="n">
        <f aca="false">IF(W524=1,IF(COUNTIFS(C$5:C524,C524,W$5:W524,1)=1,1,0),0)</f>
        <v>0</v>
      </c>
      <c r="Y524" s="30" t="n">
        <f aca="false">IF(C524="",0,IF(AND(B524="brand",E524="renewal_answer",TRIM(G524)="yes",N(F524)&gt;=Inputs!$C$135),1,0))</f>
        <v>0</v>
      </c>
      <c r="Z524" s="30" t="n">
        <f aca="false">IF(Y524=1,IF(COUNTIFS(C$5:C524,C524,Y$5:Y524,1)=1,1,0),0)</f>
        <v>0</v>
      </c>
      <c r="AA524" s="30" t="n">
        <f aca="false">IF(AND(E524="budget_probe",ISNUMBER(F524),I524&lt;&gt;Lists!$X$4),1,0)</f>
        <v>0</v>
      </c>
      <c r="AB524" s="30" t="str">
        <f aca="false">IF(AND(B524="office",AA524=1,COUNTIFS(C$5:C524,C524,AA$5:AA524,1)=1),F524,"")</f>
        <v/>
      </c>
      <c r="AC524" s="30" t="str">
        <f aca="false">IF(AND(B524="brand",AA524=1,COUNTIFS(C$5:C524,C524,AA$5:AA524,1)=1),F524,"")</f>
        <v/>
      </c>
      <c r="AD524" s="30" t="str">
        <f aca="false">IF(AND(B524="brand",E524="budget_probe",ISNUMBER(F524),I524=Lists!$X$4),IF(COUNTIFS(C$5:C524,C524,E$5:E524,"budget_probe",I$5:I524,Lists!$X$4)=1,F524,""),"")</f>
        <v/>
      </c>
      <c r="AE524" s="30" t="n">
        <f aca="false">IF(AND(B524="brand",E524="paid",ISNUMBER(F524)),IF(AND(SUMIFS(F$5:F524,B$5:B524,"brand",C$5:C524,C524,E$5:E524,"paid")&gt;=Inputs!$C$44,SUMIFS(F$5:F524,B$5:B524,"brand",C$5:C524,C524,E$5:E524,"paid")-F524&lt;Inputs!$C$44),1,0),0)</f>
        <v>0</v>
      </c>
    </row>
    <row r="525" customFormat="false" ht="15" hidden="false" customHeight="false" outlineLevel="0" collapsed="false">
      <c r="A525" s="102"/>
      <c r="B525" s="103"/>
      <c r="C525" s="103"/>
      <c r="D525" s="103"/>
      <c r="E525" s="103"/>
      <c r="F525" s="103"/>
      <c r="G525" s="103"/>
      <c r="H525" s="103"/>
      <c r="I525" s="103"/>
      <c r="T525" s="30" t="str">
        <f aca="false">IF(C525="","",IF(COUNTIFS(C$5:C525,C525,E$5:E525,E525)=1,1,0))</f>
        <v/>
      </c>
      <c r="U525" s="30" t="n">
        <f aca="false">IF(C525="",0,IF(AND(B525="brand",E525="budget_probe",N(F525)&gt;=Inputs!$C$124,H525="Y"),1,0))</f>
        <v>0</v>
      </c>
      <c r="V525" s="30" t="n">
        <f aca="false">IF(U525=1,IF(COUNTIFS(C$5:C525,C525,U$5:U525,1)=1,1,0),0)</f>
        <v>0</v>
      </c>
      <c r="W525" s="30" t="n">
        <f aca="false">IF(C525="",0,IF(AND(B525="office",E525="budget_probe",N(F525)&gt;=Inputs!$C$139),1,0))</f>
        <v>0</v>
      </c>
      <c r="X525" s="30" t="n">
        <f aca="false">IF(W525=1,IF(COUNTIFS(C$5:C525,C525,W$5:W525,1)=1,1,0),0)</f>
        <v>0</v>
      </c>
      <c r="Y525" s="30" t="n">
        <f aca="false">IF(C525="",0,IF(AND(B525="brand",E525="renewal_answer",TRIM(G525)="yes",N(F525)&gt;=Inputs!$C$135),1,0))</f>
        <v>0</v>
      </c>
      <c r="Z525" s="30" t="n">
        <f aca="false">IF(Y525=1,IF(COUNTIFS(C$5:C525,C525,Y$5:Y525,1)=1,1,0),0)</f>
        <v>0</v>
      </c>
      <c r="AA525" s="30" t="n">
        <f aca="false">IF(AND(E525="budget_probe",ISNUMBER(F525),I525&lt;&gt;Lists!$X$4),1,0)</f>
        <v>0</v>
      </c>
      <c r="AB525" s="30" t="str">
        <f aca="false">IF(AND(B525="office",AA525=1,COUNTIFS(C$5:C525,C525,AA$5:AA525,1)=1),F525,"")</f>
        <v/>
      </c>
      <c r="AC525" s="30" t="str">
        <f aca="false">IF(AND(B525="brand",AA525=1,COUNTIFS(C$5:C525,C525,AA$5:AA525,1)=1),F525,"")</f>
        <v/>
      </c>
      <c r="AD525" s="30" t="str">
        <f aca="false">IF(AND(B525="brand",E525="budget_probe",ISNUMBER(F525),I525=Lists!$X$4),IF(COUNTIFS(C$5:C525,C525,E$5:E525,"budget_probe",I$5:I525,Lists!$X$4)=1,F525,""),"")</f>
        <v/>
      </c>
      <c r="AE525" s="30" t="n">
        <f aca="false">IF(AND(B525="brand",E525="paid",ISNUMBER(F525)),IF(AND(SUMIFS(F$5:F525,B$5:B525,"brand",C$5:C525,C525,E$5:E525,"paid")&gt;=Inputs!$C$44,SUMIFS(F$5:F525,B$5:B525,"brand",C$5:C525,C525,E$5:E525,"paid")-F525&lt;Inputs!$C$44),1,0),0)</f>
        <v>0</v>
      </c>
    </row>
    <row r="526" customFormat="false" ht="15" hidden="false" customHeight="false" outlineLevel="0" collapsed="false">
      <c r="A526" s="102"/>
      <c r="B526" s="103"/>
      <c r="C526" s="103"/>
      <c r="D526" s="103"/>
      <c r="E526" s="103"/>
      <c r="F526" s="103"/>
      <c r="G526" s="103"/>
      <c r="H526" s="103"/>
      <c r="I526" s="103"/>
      <c r="T526" s="30" t="str">
        <f aca="false">IF(C526="","",IF(COUNTIFS(C$5:C526,C526,E$5:E526,E526)=1,1,0))</f>
        <v/>
      </c>
      <c r="U526" s="30" t="n">
        <f aca="false">IF(C526="",0,IF(AND(B526="brand",E526="budget_probe",N(F526)&gt;=Inputs!$C$124,H526="Y"),1,0))</f>
        <v>0</v>
      </c>
      <c r="V526" s="30" t="n">
        <f aca="false">IF(U526=1,IF(COUNTIFS(C$5:C526,C526,U$5:U526,1)=1,1,0),0)</f>
        <v>0</v>
      </c>
      <c r="W526" s="30" t="n">
        <f aca="false">IF(C526="",0,IF(AND(B526="office",E526="budget_probe",N(F526)&gt;=Inputs!$C$139),1,0))</f>
        <v>0</v>
      </c>
      <c r="X526" s="30" t="n">
        <f aca="false">IF(W526=1,IF(COUNTIFS(C$5:C526,C526,W$5:W526,1)=1,1,0),0)</f>
        <v>0</v>
      </c>
      <c r="Y526" s="30" t="n">
        <f aca="false">IF(C526="",0,IF(AND(B526="brand",E526="renewal_answer",TRIM(G526)="yes",N(F526)&gt;=Inputs!$C$135),1,0))</f>
        <v>0</v>
      </c>
      <c r="Z526" s="30" t="n">
        <f aca="false">IF(Y526=1,IF(COUNTIFS(C$5:C526,C526,Y$5:Y526,1)=1,1,0),0)</f>
        <v>0</v>
      </c>
      <c r="AA526" s="30" t="n">
        <f aca="false">IF(AND(E526="budget_probe",ISNUMBER(F526),I526&lt;&gt;Lists!$X$4),1,0)</f>
        <v>0</v>
      </c>
      <c r="AB526" s="30" t="str">
        <f aca="false">IF(AND(B526="office",AA526=1,COUNTIFS(C$5:C526,C526,AA$5:AA526,1)=1),F526,"")</f>
        <v/>
      </c>
      <c r="AC526" s="30" t="str">
        <f aca="false">IF(AND(B526="brand",AA526=1,COUNTIFS(C$5:C526,C526,AA$5:AA526,1)=1),F526,"")</f>
        <v/>
      </c>
      <c r="AD526" s="30" t="str">
        <f aca="false">IF(AND(B526="brand",E526="budget_probe",ISNUMBER(F526),I526=Lists!$X$4),IF(COUNTIFS(C$5:C526,C526,E$5:E526,"budget_probe",I$5:I526,Lists!$X$4)=1,F526,""),"")</f>
        <v/>
      </c>
      <c r="AE526" s="30" t="n">
        <f aca="false">IF(AND(B526="brand",E526="paid",ISNUMBER(F526)),IF(AND(SUMIFS(F$5:F526,B$5:B526,"brand",C$5:C526,C526,E$5:E526,"paid")&gt;=Inputs!$C$44,SUMIFS(F$5:F526,B$5:B526,"brand",C$5:C526,C526,E$5:E526,"paid")-F526&lt;Inputs!$C$44),1,0),0)</f>
        <v>0</v>
      </c>
    </row>
    <row r="527" customFormat="false" ht="15" hidden="false" customHeight="false" outlineLevel="0" collapsed="false">
      <c r="A527" s="102"/>
      <c r="B527" s="103"/>
      <c r="C527" s="103"/>
      <c r="D527" s="103"/>
      <c r="E527" s="103"/>
      <c r="F527" s="103"/>
      <c r="G527" s="103"/>
      <c r="H527" s="103"/>
      <c r="I527" s="103"/>
      <c r="T527" s="30" t="str">
        <f aca="false">IF(C527="","",IF(COUNTIFS(C$5:C527,C527,E$5:E527,E527)=1,1,0))</f>
        <v/>
      </c>
      <c r="U527" s="30" t="n">
        <f aca="false">IF(C527="",0,IF(AND(B527="brand",E527="budget_probe",N(F527)&gt;=Inputs!$C$124,H527="Y"),1,0))</f>
        <v>0</v>
      </c>
      <c r="V527" s="30" t="n">
        <f aca="false">IF(U527=1,IF(COUNTIFS(C$5:C527,C527,U$5:U527,1)=1,1,0),0)</f>
        <v>0</v>
      </c>
      <c r="W527" s="30" t="n">
        <f aca="false">IF(C527="",0,IF(AND(B527="office",E527="budget_probe",N(F527)&gt;=Inputs!$C$139),1,0))</f>
        <v>0</v>
      </c>
      <c r="X527" s="30" t="n">
        <f aca="false">IF(W527=1,IF(COUNTIFS(C$5:C527,C527,W$5:W527,1)=1,1,0),0)</f>
        <v>0</v>
      </c>
      <c r="Y527" s="30" t="n">
        <f aca="false">IF(C527="",0,IF(AND(B527="brand",E527="renewal_answer",TRIM(G527)="yes",N(F527)&gt;=Inputs!$C$135),1,0))</f>
        <v>0</v>
      </c>
      <c r="Z527" s="30" t="n">
        <f aca="false">IF(Y527=1,IF(COUNTIFS(C$5:C527,C527,Y$5:Y527,1)=1,1,0),0)</f>
        <v>0</v>
      </c>
      <c r="AA527" s="30" t="n">
        <f aca="false">IF(AND(E527="budget_probe",ISNUMBER(F527),I527&lt;&gt;Lists!$X$4),1,0)</f>
        <v>0</v>
      </c>
      <c r="AB527" s="30" t="str">
        <f aca="false">IF(AND(B527="office",AA527=1,COUNTIFS(C$5:C527,C527,AA$5:AA527,1)=1),F527,"")</f>
        <v/>
      </c>
      <c r="AC527" s="30" t="str">
        <f aca="false">IF(AND(B527="brand",AA527=1,COUNTIFS(C$5:C527,C527,AA$5:AA527,1)=1),F527,"")</f>
        <v/>
      </c>
      <c r="AD527" s="30" t="str">
        <f aca="false">IF(AND(B527="brand",E527="budget_probe",ISNUMBER(F527),I527=Lists!$X$4),IF(COUNTIFS(C$5:C527,C527,E$5:E527,"budget_probe",I$5:I527,Lists!$X$4)=1,F527,""),"")</f>
        <v/>
      </c>
      <c r="AE527" s="30" t="n">
        <f aca="false">IF(AND(B527="brand",E527="paid",ISNUMBER(F527)),IF(AND(SUMIFS(F$5:F527,B$5:B527,"brand",C$5:C527,C527,E$5:E527,"paid")&gt;=Inputs!$C$44,SUMIFS(F$5:F527,B$5:B527,"brand",C$5:C527,C527,E$5:E527,"paid")-F527&lt;Inputs!$C$44),1,0),0)</f>
        <v>0</v>
      </c>
    </row>
    <row r="528" customFormat="false" ht="15" hidden="false" customHeight="false" outlineLevel="0" collapsed="false">
      <c r="A528" s="102"/>
      <c r="B528" s="103"/>
      <c r="C528" s="103"/>
      <c r="D528" s="103"/>
      <c r="E528" s="103"/>
      <c r="F528" s="103"/>
      <c r="G528" s="103"/>
      <c r="H528" s="103"/>
      <c r="I528" s="103"/>
      <c r="T528" s="30" t="str">
        <f aca="false">IF(C528="","",IF(COUNTIFS(C$5:C528,C528,E$5:E528,E528)=1,1,0))</f>
        <v/>
      </c>
      <c r="U528" s="30" t="n">
        <f aca="false">IF(C528="",0,IF(AND(B528="brand",E528="budget_probe",N(F528)&gt;=Inputs!$C$124,H528="Y"),1,0))</f>
        <v>0</v>
      </c>
      <c r="V528" s="30" t="n">
        <f aca="false">IF(U528=1,IF(COUNTIFS(C$5:C528,C528,U$5:U528,1)=1,1,0),0)</f>
        <v>0</v>
      </c>
      <c r="W528" s="30" t="n">
        <f aca="false">IF(C528="",0,IF(AND(B528="office",E528="budget_probe",N(F528)&gt;=Inputs!$C$139),1,0))</f>
        <v>0</v>
      </c>
      <c r="X528" s="30" t="n">
        <f aca="false">IF(W528=1,IF(COUNTIFS(C$5:C528,C528,W$5:W528,1)=1,1,0),0)</f>
        <v>0</v>
      </c>
      <c r="Y528" s="30" t="n">
        <f aca="false">IF(C528="",0,IF(AND(B528="brand",E528="renewal_answer",TRIM(G528)="yes",N(F528)&gt;=Inputs!$C$135),1,0))</f>
        <v>0</v>
      </c>
      <c r="Z528" s="30" t="n">
        <f aca="false">IF(Y528=1,IF(COUNTIFS(C$5:C528,C528,Y$5:Y528,1)=1,1,0),0)</f>
        <v>0</v>
      </c>
      <c r="AA528" s="30" t="n">
        <f aca="false">IF(AND(E528="budget_probe",ISNUMBER(F528),I528&lt;&gt;Lists!$X$4),1,0)</f>
        <v>0</v>
      </c>
      <c r="AB528" s="30" t="str">
        <f aca="false">IF(AND(B528="office",AA528=1,COUNTIFS(C$5:C528,C528,AA$5:AA528,1)=1),F528,"")</f>
        <v/>
      </c>
      <c r="AC528" s="30" t="str">
        <f aca="false">IF(AND(B528="brand",AA528=1,COUNTIFS(C$5:C528,C528,AA$5:AA528,1)=1),F528,"")</f>
        <v/>
      </c>
      <c r="AD528" s="30" t="str">
        <f aca="false">IF(AND(B528="brand",E528="budget_probe",ISNUMBER(F528),I528=Lists!$X$4),IF(COUNTIFS(C$5:C528,C528,E$5:E528,"budget_probe",I$5:I528,Lists!$X$4)=1,F528,""),"")</f>
        <v/>
      </c>
      <c r="AE528" s="30" t="n">
        <f aca="false">IF(AND(B528="brand",E528="paid",ISNUMBER(F528)),IF(AND(SUMIFS(F$5:F528,B$5:B528,"brand",C$5:C528,C528,E$5:E528,"paid")&gt;=Inputs!$C$44,SUMIFS(F$5:F528,B$5:B528,"brand",C$5:C528,C528,E$5:E528,"paid")-F528&lt;Inputs!$C$44),1,0),0)</f>
        <v>0</v>
      </c>
    </row>
    <row r="529" customFormat="false" ht="15" hidden="false" customHeight="false" outlineLevel="0" collapsed="false">
      <c r="A529" s="102"/>
      <c r="B529" s="103"/>
      <c r="C529" s="103"/>
      <c r="D529" s="103"/>
      <c r="E529" s="103"/>
      <c r="F529" s="103"/>
      <c r="G529" s="103"/>
      <c r="H529" s="103"/>
      <c r="I529" s="103"/>
      <c r="T529" s="30" t="str">
        <f aca="false">IF(C529="","",IF(COUNTIFS(C$5:C529,C529,E$5:E529,E529)=1,1,0))</f>
        <v/>
      </c>
      <c r="U529" s="30" t="n">
        <f aca="false">IF(C529="",0,IF(AND(B529="brand",E529="budget_probe",N(F529)&gt;=Inputs!$C$124,H529="Y"),1,0))</f>
        <v>0</v>
      </c>
      <c r="V529" s="30" t="n">
        <f aca="false">IF(U529=1,IF(COUNTIFS(C$5:C529,C529,U$5:U529,1)=1,1,0),0)</f>
        <v>0</v>
      </c>
      <c r="W529" s="30" t="n">
        <f aca="false">IF(C529="",0,IF(AND(B529="office",E529="budget_probe",N(F529)&gt;=Inputs!$C$139),1,0))</f>
        <v>0</v>
      </c>
      <c r="X529" s="30" t="n">
        <f aca="false">IF(W529=1,IF(COUNTIFS(C$5:C529,C529,W$5:W529,1)=1,1,0),0)</f>
        <v>0</v>
      </c>
      <c r="Y529" s="30" t="n">
        <f aca="false">IF(C529="",0,IF(AND(B529="brand",E529="renewal_answer",TRIM(G529)="yes",N(F529)&gt;=Inputs!$C$135),1,0))</f>
        <v>0</v>
      </c>
      <c r="Z529" s="30" t="n">
        <f aca="false">IF(Y529=1,IF(COUNTIFS(C$5:C529,C529,Y$5:Y529,1)=1,1,0),0)</f>
        <v>0</v>
      </c>
      <c r="AA529" s="30" t="n">
        <f aca="false">IF(AND(E529="budget_probe",ISNUMBER(F529),I529&lt;&gt;Lists!$X$4),1,0)</f>
        <v>0</v>
      </c>
      <c r="AB529" s="30" t="str">
        <f aca="false">IF(AND(B529="office",AA529=1,COUNTIFS(C$5:C529,C529,AA$5:AA529,1)=1),F529,"")</f>
        <v/>
      </c>
      <c r="AC529" s="30" t="str">
        <f aca="false">IF(AND(B529="brand",AA529=1,COUNTIFS(C$5:C529,C529,AA$5:AA529,1)=1),F529,"")</f>
        <v/>
      </c>
      <c r="AD529" s="30" t="str">
        <f aca="false">IF(AND(B529="brand",E529="budget_probe",ISNUMBER(F529),I529=Lists!$X$4),IF(COUNTIFS(C$5:C529,C529,E$5:E529,"budget_probe",I$5:I529,Lists!$X$4)=1,F529,""),"")</f>
        <v/>
      </c>
      <c r="AE529" s="30" t="n">
        <f aca="false">IF(AND(B529="brand",E529="paid",ISNUMBER(F529)),IF(AND(SUMIFS(F$5:F529,B$5:B529,"brand",C$5:C529,C529,E$5:E529,"paid")&gt;=Inputs!$C$44,SUMIFS(F$5:F529,B$5:B529,"brand",C$5:C529,C529,E$5:E529,"paid")-F529&lt;Inputs!$C$44),1,0),0)</f>
        <v>0</v>
      </c>
    </row>
    <row r="530" customFormat="false" ht="15" hidden="false" customHeight="false" outlineLevel="0" collapsed="false">
      <c r="A530" s="102"/>
      <c r="B530" s="103"/>
      <c r="C530" s="103"/>
      <c r="D530" s="103"/>
      <c r="E530" s="103"/>
      <c r="F530" s="103"/>
      <c r="G530" s="103"/>
      <c r="H530" s="103"/>
      <c r="I530" s="103"/>
      <c r="T530" s="30" t="str">
        <f aca="false">IF(C530="","",IF(COUNTIFS(C$5:C530,C530,E$5:E530,E530)=1,1,0))</f>
        <v/>
      </c>
      <c r="U530" s="30" t="n">
        <f aca="false">IF(C530="",0,IF(AND(B530="brand",E530="budget_probe",N(F530)&gt;=Inputs!$C$124,H530="Y"),1,0))</f>
        <v>0</v>
      </c>
      <c r="V530" s="30" t="n">
        <f aca="false">IF(U530=1,IF(COUNTIFS(C$5:C530,C530,U$5:U530,1)=1,1,0),0)</f>
        <v>0</v>
      </c>
      <c r="W530" s="30" t="n">
        <f aca="false">IF(C530="",0,IF(AND(B530="office",E530="budget_probe",N(F530)&gt;=Inputs!$C$139),1,0))</f>
        <v>0</v>
      </c>
      <c r="X530" s="30" t="n">
        <f aca="false">IF(W530=1,IF(COUNTIFS(C$5:C530,C530,W$5:W530,1)=1,1,0),0)</f>
        <v>0</v>
      </c>
      <c r="Y530" s="30" t="n">
        <f aca="false">IF(C530="",0,IF(AND(B530="brand",E530="renewal_answer",TRIM(G530)="yes",N(F530)&gt;=Inputs!$C$135),1,0))</f>
        <v>0</v>
      </c>
      <c r="Z530" s="30" t="n">
        <f aca="false">IF(Y530=1,IF(COUNTIFS(C$5:C530,C530,Y$5:Y530,1)=1,1,0),0)</f>
        <v>0</v>
      </c>
      <c r="AA530" s="30" t="n">
        <f aca="false">IF(AND(E530="budget_probe",ISNUMBER(F530),I530&lt;&gt;Lists!$X$4),1,0)</f>
        <v>0</v>
      </c>
      <c r="AB530" s="30" t="str">
        <f aca="false">IF(AND(B530="office",AA530=1,COUNTIFS(C$5:C530,C530,AA$5:AA530,1)=1),F530,"")</f>
        <v/>
      </c>
      <c r="AC530" s="30" t="str">
        <f aca="false">IF(AND(B530="brand",AA530=1,COUNTIFS(C$5:C530,C530,AA$5:AA530,1)=1),F530,"")</f>
        <v/>
      </c>
      <c r="AD530" s="30" t="str">
        <f aca="false">IF(AND(B530="brand",E530="budget_probe",ISNUMBER(F530),I530=Lists!$X$4),IF(COUNTIFS(C$5:C530,C530,E$5:E530,"budget_probe",I$5:I530,Lists!$X$4)=1,F530,""),"")</f>
        <v/>
      </c>
      <c r="AE530" s="30" t="n">
        <f aca="false">IF(AND(B530="brand",E530="paid",ISNUMBER(F530)),IF(AND(SUMIFS(F$5:F530,B$5:B530,"brand",C$5:C530,C530,E$5:E530,"paid")&gt;=Inputs!$C$44,SUMIFS(F$5:F530,B$5:B530,"brand",C$5:C530,C530,E$5:E530,"paid")-F530&lt;Inputs!$C$44),1,0),0)</f>
        <v>0</v>
      </c>
    </row>
    <row r="531" customFormat="false" ht="15" hidden="false" customHeight="false" outlineLevel="0" collapsed="false">
      <c r="A531" s="102"/>
      <c r="B531" s="103"/>
      <c r="C531" s="103"/>
      <c r="D531" s="103"/>
      <c r="E531" s="103"/>
      <c r="F531" s="103"/>
      <c r="G531" s="103"/>
      <c r="H531" s="103"/>
      <c r="I531" s="103"/>
      <c r="T531" s="30" t="str">
        <f aca="false">IF(C531="","",IF(COUNTIFS(C$5:C531,C531,E$5:E531,E531)=1,1,0))</f>
        <v/>
      </c>
      <c r="U531" s="30" t="n">
        <f aca="false">IF(C531="",0,IF(AND(B531="brand",E531="budget_probe",N(F531)&gt;=Inputs!$C$124,H531="Y"),1,0))</f>
        <v>0</v>
      </c>
      <c r="V531" s="30" t="n">
        <f aca="false">IF(U531=1,IF(COUNTIFS(C$5:C531,C531,U$5:U531,1)=1,1,0),0)</f>
        <v>0</v>
      </c>
      <c r="W531" s="30" t="n">
        <f aca="false">IF(C531="",0,IF(AND(B531="office",E531="budget_probe",N(F531)&gt;=Inputs!$C$139),1,0))</f>
        <v>0</v>
      </c>
      <c r="X531" s="30" t="n">
        <f aca="false">IF(W531=1,IF(COUNTIFS(C$5:C531,C531,W$5:W531,1)=1,1,0),0)</f>
        <v>0</v>
      </c>
      <c r="Y531" s="30" t="n">
        <f aca="false">IF(C531="",0,IF(AND(B531="brand",E531="renewal_answer",TRIM(G531)="yes",N(F531)&gt;=Inputs!$C$135),1,0))</f>
        <v>0</v>
      </c>
      <c r="Z531" s="30" t="n">
        <f aca="false">IF(Y531=1,IF(COUNTIFS(C$5:C531,C531,Y$5:Y531,1)=1,1,0),0)</f>
        <v>0</v>
      </c>
      <c r="AA531" s="30" t="n">
        <f aca="false">IF(AND(E531="budget_probe",ISNUMBER(F531),I531&lt;&gt;Lists!$X$4),1,0)</f>
        <v>0</v>
      </c>
      <c r="AB531" s="30" t="str">
        <f aca="false">IF(AND(B531="office",AA531=1,COUNTIFS(C$5:C531,C531,AA$5:AA531,1)=1),F531,"")</f>
        <v/>
      </c>
      <c r="AC531" s="30" t="str">
        <f aca="false">IF(AND(B531="brand",AA531=1,COUNTIFS(C$5:C531,C531,AA$5:AA531,1)=1),F531,"")</f>
        <v/>
      </c>
      <c r="AD531" s="30" t="str">
        <f aca="false">IF(AND(B531="brand",E531="budget_probe",ISNUMBER(F531),I531=Lists!$X$4),IF(COUNTIFS(C$5:C531,C531,E$5:E531,"budget_probe",I$5:I531,Lists!$X$4)=1,F531,""),"")</f>
        <v/>
      </c>
      <c r="AE531" s="30" t="n">
        <f aca="false">IF(AND(B531="brand",E531="paid",ISNUMBER(F531)),IF(AND(SUMIFS(F$5:F531,B$5:B531,"brand",C$5:C531,C531,E$5:E531,"paid")&gt;=Inputs!$C$44,SUMIFS(F$5:F531,B$5:B531,"brand",C$5:C531,C531,E$5:E531,"paid")-F531&lt;Inputs!$C$44),1,0),0)</f>
        <v>0</v>
      </c>
    </row>
    <row r="532" customFormat="false" ht="15" hidden="false" customHeight="false" outlineLevel="0" collapsed="false">
      <c r="A532" s="102"/>
      <c r="B532" s="103"/>
      <c r="C532" s="103"/>
      <c r="D532" s="103"/>
      <c r="E532" s="103"/>
      <c r="F532" s="103"/>
      <c r="G532" s="103"/>
      <c r="H532" s="103"/>
      <c r="I532" s="103"/>
      <c r="T532" s="30" t="str">
        <f aca="false">IF(C532="","",IF(COUNTIFS(C$5:C532,C532,E$5:E532,E532)=1,1,0))</f>
        <v/>
      </c>
      <c r="U532" s="30" t="n">
        <f aca="false">IF(C532="",0,IF(AND(B532="brand",E532="budget_probe",N(F532)&gt;=Inputs!$C$124,H532="Y"),1,0))</f>
        <v>0</v>
      </c>
      <c r="V532" s="30" t="n">
        <f aca="false">IF(U532=1,IF(COUNTIFS(C$5:C532,C532,U$5:U532,1)=1,1,0),0)</f>
        <v>0</v>
      </c>
      <c r="W532" s="30" t="n">
        <f aca="false">IF(C532="",0,IF(AND(B532="office",E532="budget_probe",N(F532)&gt;=Inputs!$C$139),1,0))</f>
        <v>0</v>
      </c>
      <c r="X532" s="30" t="n">
        <f aca="false">IF(W532=1,IF(COUNTIFS(C$5:C532,C532,W$5:W532,1)=1,1,0),0)</f>
        <v>0</v>
      </c>
      <c r="Y532" s="30" t="n">
        <f aca="false">IF(C532="",0,IF(AND(B532="brand",E532="renewal_answer",TRIM(G532)="yes",N(F532)&gt;=Inputs!$C$135),1,0))</f>
        <v>0</v>
      </c>
      <c r="Z532" s="30" t="n">
        <f aca="false">IF(Y532=1,IF(COUNTIFS(C$5:C532,C532,Y$5:Y532,1)=1,1,0),0)</f>
        <v>0</v>
      </c>
      <c r="AA532" s="30" t="n">
        <f aca="false">IF(AND(E532="budget_probe",ISNUMBER(F532),I532&lt;&gt;Lists!$X$4),1,0)</f>
        <v>0</v>
      </c>
      <c r="AB532" s="30" t="str">
        <f aca="false">IF(AND(B532="office",AA532=1,COUNTIFS(C$5:C532,C532,AA$5:AA532,1)=1),F532,"")</f>
        <v/>
      </c>
      <c r="AC532" s="30" t="str">
        <f aca="false">IF(AND(B532="brand",AA532=1,COUNTIFS(C$5:C532,C532,AA$5:AA532,1)=1),F532,"")</f>
        <v/>
      </c>
      <c r="AD532" s="30" t="str">
        <f aca="false">IF(AND(B532="brand",E532="budget_probe",ISNUMBER(F532),I532=Lists!$X$4),IF(COUNTIFS(C$5:C532,C532,E$5:E532,"budget_probe",I$5:I532,Lists!$X$4)=1,F532,""),"")</f>
        <v/>
      </c>
      <c r="AE532" s="30" t="n">
        <f aca="false">IF(AND(B532="brand",E532="paid",ISNUMBER(F532)),IF(AND(SUMIFS(F$5:F532,B$5:B532,"brand",C$5:C532,C532,E$5:E532,"paid")&gt;=Inputs!$C$44,SUMIFS(F$5:F532,B$5:B532,"brand",C$5:C532,C532,E$5:E532,"paid")-F532&lt;Inputs!$C$44),1,0),0)</f>
        <v>0</v>
      </c>
    </row>
    <row r="533" customFormat="false" ht="15" hidden="false" customHeight="false" outlineLevel="0" collapsed="false">
      <c r="A533" s="102"/>
      <c r="B533" s="103"/>
      <c r="C533" s="103"/>
      <c r="D533" s="103"/>
      <c r="E533" s="103"/>
      <c r="F533" s="103"/>
      <c r="G533" s="103"/>
      <c r="H533" s="103"/>
      <c r="I533" s="103"/>
      <c r="T533" s="30" t="str">
        <f aca="false">IF(C533="","",IF(COUNTIFS(C$5:C533,C533,E$5:E533,E533)=1,1,0))</f>
        <v/>
      </c>
      <c r="U533" s="30" t="n">
        <f aca="false">IF(C533="",0,IF(AND(B533="brand",E533="budget_probe",N(F533)&gt;=Inputs!$C$124,H533="Y"),1,0))</f>
        <v>0</v>
      </c>
      <c r="V533" s="30" t="n">
        <f aca="false">IF(U533=1,IF(COUNTIFS(C$5:C533,C533,U$5:U533,1)=1,1,0),0)</f>
        <v>0</v>
      </c>
      <c r="W533" s="30" t="n">
        <f aca="false">IF(C533="",0,IF(AND(B533="office",E533="budget_probe",N(F533)&gt;=Inputs!$C$139),1,0))</f>
        <v>0</v>
      </c>
      <c r="X533" s="30" t="n">
        <f aca="false">IF(W533=1,IF(COUNTIFS(C$5:C533,C533,W$5:W533,1)=1,1,0),0)</f>
        <v>0</v>
      </c>
      <c r="Y533" s="30" t="n">
        <f aca="false">IF(C533="",0,IF(AND(B533="brand",E533="renewal_answer",TRIM(G533)="yes",N(F533)&gt;=Inputs!$C$135),1,0))</f>
        <v>0</v>
      </c>
      <c r="Z533" s="30" t="n">
        <f aca="false">IF(Y533=1,IF(COUNTIFS(C$5:C533,C533,Y$5:Y533,1)=1,1,0),0)</f>
        <v>0</v>
      </c>
      <c r="AA533" s="30" t="n">
        <f aca="false">IF(AND(E533="budget_probe",ISNUMBER(F533),I533&lt;&gt;Lists!$X$4),1,0)</f>
        <v>0</v>
      </c>
      <c r="AB533" s="30" t="str">
        <f aca="false">IF(AND(B533="office",AA533=1,COUNTIFS(C$5:C533,C533,AA$5:AA533,1)=1),F533,"")</f>
        <v/>
      </c>
      <c r="AC533" s="30" t="str">
        <f aca="false">IF(AND(B533="brand",AA533=1,COUNTIFS(C$5:C533,C533,AA$5:AA533,1)=1),F533,"")</f>
        <v/>
      </c>
      <c r="AD533" s="30" t="str">
        <f aca="false">IF(AND(B533="brand",E533="budget_probe",ISNUMBER(F533),I533=Lists!$X$4),IF(COUNTIFS(C$5:C533,C533,E$5:E533,"budget_probe",I$5:I533,Lists!$X$4)=1,F533,""),"")</f>
        <v/>
      </c>
      <c r="AE533" s="30" t="n">
        <f aca="false">IF(AND(B533="brand",E533="paid",ISNUMBER(F533)),IF(AND(SUMIFS(F$5:F533,B$5:B533,"brand",C$5:C533,C533,E$5:E533,"paid")&gt;=Inputs!$C$44,SUMIFS(F$5:F533,B$5:B533,"brand",C$5:C533,C533,E$5:E533,"paid")-F533&lt;Inputs!$C$44),1,0),0)</f>
        <v>0</v>
      </c>
    </row>
    <row r="534" customFormat="false" ht="15" hidden="false" customHeight="false" outlineLevel="0" collapsed="false">
      <c r="A534" s="102"/>
      <c r="B534" s="103"/>
      <c r="C534" s="103"/>
      <c r="D534" s="103"/>
      <c r="E534" s="103"/>
      <c r="F534" s="103"/>
      <c r="G534" s="103"/>
      <c r="H534" s="103"/>
      <c r="I534" s="103"/>
      <c r="T534" s="30" t="str">
        <f aca="false">IF(C534="","",IF(COUNTIFS(C$5:C534,C534,E$5:E534,E534)=1,1,0))</f>
        <v/>
      </c>
      <c r="U534" s="30" t="n">
        <f aca="false">IF(C534="",0,IF(AND(B534="brand",E534="budget_probe",N(F534)&gt;=Inputs!$C$124,H534="Y"),1,0))</f>
        <v>0</v>
      </c>
      <c r="V534" s="30" t="n">
        <f aca="false">IF(U534=1,IF(COUNTIFS(C$5:C534,C534,U$5:U534,1)=1,1,0),0)</f>
        <v>0</v>
      </c>
      <c r="W534" s="30" t="n">
        <f aca="false">IF(C534="",0,IF(AND(B534="office",E534="budget_probe",N(F534)&gt;=Inputs!$C$139),1,0))</f>
        <v>0</v>
      </c>
      <c r="X534" s="30" t="n">
        <f aca="false">IF(W534=1,IF(COUNTIFS(C$5:C534,C534,W$5:W534,1)=1,1,0),0)</f>
        <v>0</v>
      </c>
      <c r="Y534" s="30" t="n">
        <f aca="false">IF(C534="",0,IF(AND(B534="brand",E534="renewal_answer",TRIM(G534)="yes",N(F534)&gt;=Inputs!$C$135),1,0))</f>
        <v>0</v>
      </c>
      <c r="Z534" s="30" t="n">
        <f aca="false">IF(Y534=1,IF(COUNTIFS(C$5:C534,C534,Y$5:Y534,1)=1,1,0),0)</f>
        <v>0</v>
      </c>
      <c r="AA534" s="30" t="n">
        <f aca="false">IF(AND(E534="budget_probe",ISNUMBER(F534),I534&lt;&gt;Lists!$X$4),1,0)</f>
        <v>0</v>
      </c>
      <c r="AB534" s="30" t="str">
        <f aca="false">IF(AND(B534="office",AA534=1,COUNTIFS(C$5:C534,C534,AA$5:AA534,1)=1),F534,"")</f>
        <v/>
      </c>
      <c r="AC534" s="30" t="str">
        <f aca="false">IF(AND(B534="brand",AA534=1,COUNTIFS(C$5:C534,C534,AA$5:AA534,1)=1),F534,"")</f>
        <v/>
      </c>
      <c r="AD534" s="30" t="str">
        <f aca="false">IF(AND(B534="brand",E534="budget_probe",ISNUMBER(F534),I534=Lists!$X$4),IF(COUNTIFS(C$5:C534,C534,E$5:E534,"budget_probe",I$5:I534,Lists!$X$4)=1,F534,""),"")</f>
        <v/>
      </c>
      <c r="AE534" s="30" t="n">
        <f aca="false">IF(AND(B534="brand",E534="paid",ISNUMBER(F534)),IF(AND(SUMIFS(F$5:F534,B$5:B534,"brand",C$5:C534,C534,E$5:E534,"paid")&gt;=Inputs!$C$44,SUMIFS(F$5:F534,B$5:B534,"brand",C$5:C534,C534,E$5:E534,"paid")-F534&lt;Inputs!$C$44),1,0),0)</f>
        <v>0</v>
      </c>
    </row>
    <row r="535" customFormat="false" ht="15" hidden="false" customHeight="false" outlineLevel="0" collapsed="false">
      <c r="A535" s="102"/>
      <c r="B535" s="103"/>
      <c r="C535" s="103"/>
      <c r="D535" s="103"/>
      <c r="E535" s="103"/>
      <c r="F535" s="103"/>
      <c r="G535" s="103"/>
      <c r="H535" s="103"/>
      <c r="I535" s="103"/>
      <c r="T535" s="30" t="str">
        <f aca="false">IF(C535="","",IF(COUNTIFS(C$5:C535,C535,E$5:E535,E535)=1,1,0))</f>
        <v/>
      </c>
      <c r="U535" s="30" t="n">
        <f aca="false">IF(C535="",0,IF(AND(B535="brand",E535="budget_probe",N(F535)&gt;=Inputs!$C$124,H535="Y"),1,0))</f>
        <v>0</v>
      </c>
      <c r="V535" s="30" t="n">
        <f aca="false">IF(U535=1,IF(COUNTIFS(C$5:C535,C535,U$5:U535,1)=1,1,0),0)</f>
        <v>0</v>
      </c>
      <c r="W535" s="30" t="n">
        <f aca="false">IF(C535="",0,IF(AND(B535="office",E535="budget_probe",N(F535)&gt;=Inputs!$C$139),1,0))</f>
        <v>0</v>
      </c>
      <c r="X535" s="30" t="n">
        <f aca="false">IF(W535=1,IF(COUNTIFS(C$5:C535,C535,W$5:W535,1)=1,1,0),0)</f>
        <v>0</v>
      </c>
      <c r="Y535" s="30" t="n">
        <f aca="false">IF(C535="",0,IF(AND(B535="brand",E535="renewal_answer",TRIM(G535)="yes",N(F535)&gt;=Inputs!$C$135),1,0))</f>
        <v>0</v>
      </c>
      <c r="Z535" s="30" t="n">
        <f aca="false">IF(Y535=1,IF(COUNTIFS(C$5:C535,C535,Y$5:Y535,1)=1,1,0),0)</f>
        <v>0</v>
      </c>
      <c r="AA535" s="30" t="n">
        <f aca="false">IF(AND(E535="budget_probe",ISNUMBER(F535),I535&lt;&gt;Lists!$X$4),1,0)</f>
        <v>0</v>
      </c>
      <c r="AB535" s="30" t="str">
        <f aca="false">IF(AND(B535="office",AA535=1,COUNTIFS(C$5:C535,C535,AA$5:AA535,1)=1),F535,"")</f>
        <v/>
      </c>
      <c r="AC535" s="30" t="str">
        <f aca="false">IF(AND(B535="brand",AA535=1,COUNTIFS(C$5:C535,C535,AA$5:AA535,1)=1),F535,"")</f>
        <v/>
      </c>
      <c r="AD535" s="30" t="str">
        <f aca="false">IF(AND(B535="brand",E535="budget_probe",ISNUMBER(F535),I535=Lists!$X$4),IF(COUNTIFS(C$5:C535,C535,E$5:E535,"budget_probe",I$5:I535,Lists!$X$4)=1,F535,""),"")</f>
        <v/>
      </c>
      <c r="AE535" s="30" t="n">
        <f aca="false">IF(AND(B535="brand",E535="paid",ISNUMBER(F535)),IF(AND(SUMIFS(F$5:F535,B$5:B535,"brand",C$5:C535,C535,E$5:E535,"paid")&gt;=Inputs!$C$44,SUMIFS(F$5:F535,B$5:B535,"brand",C$5:C535,C535,E$5:E535,"paid")-F535&lt;Inputs!$C$44),1,0),0)</f>
        <v>0</v>
      </c>
    </row>
    <row r="536" customFormat="false" ht="15" hidden="false" customHeight="false" outlineLevel="0" collapsed="false">
      <c r="A536" s="102"/>
      <c r="B536" s="103"/>
      <c r="C536" s="103"/>
      <c r="D536" s="103"/>
      <c r="E536" s="103"/>
      <c r="F536" s="103"/>
      <c r="G536" s="103"/>
      <c r="H536" s="103"/>
      <c r="I536" s="103"/>
      <c r="T536" s="30" t="str">
        <f aca="false">IF(C536="","",IF(COUNTIFS(C$5:C536,C536,E$5:E536,E536)=1,1,0))</f>
        <v/>
      </c>
      <c r="U536" s="30" t="n">
        <f aca="false">IF(C536="",0,IF(AND(B536="brand",E536="budget_probe",N(F536)&gt;=Inputs!$C$124,H536="Y"),1,0))</f>
        <v>0</v>
      </c>
      <c r="V536" s="30" t="n">
        <f aca="false">IF(U536=1,IF(COUNTIFS(C$5:C536,C536,U$5:U536,1)=1,1,0),0)</f>
        <v>0</v>
      </c>
      <c r="W536" s="30" t="n">
        <f aca="false">IF(C536="",0,IF(AND(B536="office",E536="budget_probe",N(F536)&gt;=Inputs!$C$139),1,0))</f>
        <v>0</v>
      </c>
      <c r="X536" s="30" t="n">
        <f aca="false">IF(W536=1,IF(COUNTIFS(C$5:C536,C536,W$5:W536,1)=1,1,0),0)</f>
        <v>0</v>
      </c>
      <c r="Y536" s="30" t="n">
        <f aca="false">IF(C536="",0,IF(AND(B536="brand",E536="renewal_answer",TRIM(G536)="yes",N(F536)&gt;=Inputs!$C$135),1,0))</f>
        <v>0</v>
      </c>
      <c r="Z536" s="30" t="n">
        <f aca="false">IF(Y536=1,IF(COUNTIFS(C$5:C536,C536,Y$5:Y536,1)=1,1,0),0)</f>
        <v>0</v>
      </c>
      <c r="AA536" s="30" t="n">
        <f aca="false">IF(AND(E536="budget_probe",ISNUMBER(F536),I536&lt;&gt;Lists!$X$4),1,0)</f>
        <v>0</v>
      </c>
      <c r="AB536" s="30" t="str">
        <f aca="false">IF(AND(B536="office",AA536=1,COUNTIFS(C$5:C536,C536,AA$5:AA536,1)=1),F536,"")</f>
        <v/>
      </c>
      <c r="AC536" s="30" t="str">
        <f aca="false">IF(AND(B536="brand",AA536=1,COUNTIFS(C$5:C536,C536,AA$5:AA536,1)=1),F536,"")</f>
        <v/>
      </c>
      <c r="AD536" s="30" t="str">
        <f aca="false">IF(AND(B536="brand",E536="budget_probe",ISNUMBER(F536),I536=Lists!$X$4),IF(COUNTIFS(C$5:C536,C536,E$5:E536,"budget_probe",I$5:I536,Lists!$X$4)=1,F536,""),"")</f>
        <v/>
      </c>
      <c r="AE536" s="30" t="n">
        <f aca="false">IF(AND(B536="brand",E536="paid",ISNUMBER(F536)),IF(AND(SUMIFS(F$5:F536,B$5:B536,"brand",C$5:C536,C536,E$5:E536,"paid")&gt;=Inputs!$C$44,SUMIFS(F$5:F536,B$5:B536,"brand",C$5:C536,C536,E$5:E536,"paid")-F536&lt;Inputs!$C$44),1,0),0)</f>
        <v>0</v>
      </c>
    </row>
    <row r="537" customFormat="false" ht="15" hidden="false" customHeight="false" outlineLevel="0" collapsed="false">
      <c r="A537" s="102"/>
      <c r="B537" s="103"/>
      <c r="C537" s="103"/>
      <c r="D537" s="103"/>
      <c r="E537" s="103"/>
      <c r="F537" s="103"/>
      <c r="G537" s="103"/>
      <c r="H537" s="103"/>
      <c r="I537" s="103"/>
      <c r="T537" s="30" t="str">
        <f aca="false">IF(C537="","",IF(COUNTIFS(C$5:C537,C537,E$5:E537,E537)=1,1,0))</f>
        <v/>
      </c>
      <c r="U537" s="30" t="n">
        <f aca="false">IF(C537="",0,IF(AND(B537="brand",E537="budget_probe",N(F537)&gt;=Inputs!$C$124,H537="Y"),1,0))</f>
        <v>0</v>
      </c>
      <c r="V537" s="30" t="n">
        <f aca="false">IF(U537=1,IF(COUNTIFS(C$5:C537,C537,U$5:U537,1)=1,1,0),0)</f>
        <v>0</v>
      </c>
      <c r="W537" s="30" t="n">
        <f aca="false">IF(C537="",0,IF(AND(B537="office",E537="budget_probe",N(F537)&gt;=Inputs!$C$139),1,0))</f>
        <v>0</v>
      </c>
      <c r="X537" s="30" t="n">
        <f aca="false">IF(W537=1,IF(COUNTIFS(C$5:C537,C537,W$5:W537,1)=1,1,0),0)</f>
        <v>0</v>
      </c>
      <c r="Y537" s="30" t="n">
        <f aca="false">IF(C537="",0,IF(AND(B537="brand",E537="renewal_answer",TRIM(G537)="yes",N(F537)&gt;=Inputs!$C$135),1,0))</f>
        <v>0</v>
      </c>
      <c r="Z537" s="30" t="n">
        <f aca="false">IF(Y537=1,IF(COUNTIFS(C$5:C537,C537,Y$5:Y537,1)=1,1,0),0)</f>
        <v>0</v>
      </c>
      <c r="AA537" s="30" t="n">
        <f aca="false">IF(AND(E537="budget_probe",ISNUMBER(F537),I537&lt;&gt;Lists!$X$4),1,0)</f>
        <v>0</v>
      </c>
      <c r="AB537" s="30" t="str">
        <f aca="false">IF(AND(B537="office",AA537=1,COUNTIFS(C$5:C537,C537,AA$5:AA537,1)=1),F537,"")</f>
        <v/>
      </c>
      <c r="AC537" s="30" t="str">
        <f aca="false">IF(AND(B537="brand",AA537=1,COUNTIFS(C$5:C537,C537,AA$5:AA537,1)=1),F537,"")</f>
        <v/>
      </c>
      <c r="AD537" s="30" t="str">
        <f aca="false">IF(AND(B537="brand",E537="budget_probe",ISNUMBER(F537),I537=Lists!$X$4),IF(COUNTIFS(C$5:C537,C537,E$5:E537,"budget_probe",I$5:I537,Lists!$X$4)=1,F537,""),"")</f>
        <v/>
      </c>
      <c r="AE537" s="30" t="n">
        <f aca="false">IF(AND(B537="brand",E537="paid",ISNUMBER(F537)),IF(AND(SUMIFS(F$5:F537,B$5:B537,"brand",C$5:C537,C537,E$5:E537,"paid")&gt;=Inputs!$C$44,SUMIFS(F$5:F537,B$5:B537,"brand",C$5:C537,C537,E$5:E537,"paid")-F537&lt;Inputs!$C$44),1,0),0)</f>
        <v>0</v>
      </c>
    </row>
    <row r="538" customFormat="false" ht="15" hidden="false" customHeight="false" outlineLevel="0" collapsed="false">
      <c r="A538" s="102"/>
      <c r="B538" s="103"/>
      <c r="C538" s="103"/>
      <c r="D538" s="103"/>
      <c r="E538" s="103"/>
      <c r="F538" s="103"/>
      <c r="G538" s="103"/>
      <c r="H538" s="103"/>
      <c r="I538" s="103"/>
      <c r="T538" s="30" t="str">
        <f aca="false">IF(C538="","",IF(COUNTIFS(C$5:C538,C538,E$5:E538,E538)=1,1,0))</f>
        <v/>
      </c>
      <c r="U538" s="30" t="n">
        <f aca="false">IF(C538="",0,IF(AND(B538="brand",E538="budget_probe",N(F538)&gt;=Inputs!$C$124,H538="Y"),1,0))</f>
        <v>0</v>
      </c>
      <c r="V538" s="30" t="n">
        <f aca="false">IF(U538=1,IF(COUNTIFS(C$5:C538,C538,U$5:U538,1)=1,1,0),0)</f>
        <v>0</v>
      </c>
      <c r="W538" s="30" t="n">
        <f aca="false">IF(C538="",0,IF(AND(B538="office",E538="budget_probe",N(F538)&gt;=Inputs!$C$139),1,0))</f>
        <v>0</v>
      </c>
      <c r="X538" s="30" t="n">
        <f aca="false">IF(W538=1,IF(COUNTIFS(C$5:C538,C538,W$5:W538,1)=1,1,0),0)</f>
        <v>0</v>
      </c>
      <c r="Y538" s="30" t="n">
        <f aca="false">IF(C538="",0,IF(AND(B538="brand",E538="renewal_answer",TRIM(G538)="yes",N(F538)&gt;=Inputs!$C$135),1,0))</f>
        <v>0</v>
      </c>
      <c r="Z538" s="30" t="n">
        <f aca="false">IF(Y538=1,IF(COUNTIFS(C$5:C538,C538,Y$5:Y538,1)=1,1,0),0)</f>
        <v>0</v>
      </c>
      <c r="AA538" s="30" t="n">
        <f aca="false">IF(AND(E538="budget_probe",ISNUMBER(F538),I538&lt;&gt;Lists!$X$4),1,0)</f>
        <v>0</v>
      </c>
      <c r="AB538" s="30" t="str">
        <f aca="false">IF(AND(B538="office",AA538=1,COUNTIFS(C$5:C538,C538,AA$5:AA538,1)=1),F538,"")</f>
        <v/>
      </c>
      <c r="AC538" s="30" t="str">
        <f aca="false">IF(AND(B538="brand",AA538=1,COUNTIFS(C$5:C538,C538,AA$5:AA538,1)=1),F538,"")</f>
        <v/>
      </c>
      <c r="AD538" s="30" t="str">
        <f aca="false">IF(AND(B538="brand",E538="budget_probe",ISNUMBER(F538),I538=Lists!$X$4),IF(COUNTIFS(C$5:C538,C538,E$5:E538,"budget_probe",I$5:I538,Lists!$X$4)=1,F538,""),"")</f>
        <v/>
      </c>
      <c r="AE538" s="30" t="n">
        <f aca="false">IF(AND(B538="brand",E538="paid",ISNUMBER(F538)),IF(AND(SUMIFS(F$5:F538,B$5:B538,"brand",C$5:C538,C538,E$5:E538,"paid")&gt;=Inputs!$C$44,SUMIFS(F$5:F538,B$5:B538,"brand",C$5:C538,C538,E$5:E538,"paid")-F538&lt;Inputs!$C$44),1,0),0)</f>
        <v>0</v>
      </c>
    </row>
    <row r="539" customFormat="false" ht="15" hidden="false" customHeight="false" outlineLevel="0" collapsed="false">
      <c r="A539" s="102"/>
      <c r="B539" s="103"/>
      <c r="C539" s="103"/>
      <c r="D539" s="103"/>
      <c r="E539" s="103"/>
      <c r="F539" s="103"/>
      <c r="G539" s="103"/>
      <c r="H539" s="103"/>
      <c r="I539" s="103"/>
      <c r="T539" s="30" t="str">
        <f aca="false">IF(C539="","",IF(COUNTIFS(C$5:C539,C539,E$5:E539,E539)=1,1,0))</f>
        <v/>
      </c>
      <c r="U539" s="30" t="n">
        <f aca="false">IF(C539="",0,IF(AND(B539="brand",E539="budget_probe",N(F539)&gt;=Inputs!$C$124,H539="Y"),1,0))</f>
        <v>0</v>
      </c>
      <c r="V539" s="30" t="n">
        <f aca="false">IF(U539=1,IF(COUNTIFS(C$5:C539,C539,U$5:U539,1)=1,1,0),0)</f>
        <v>0</v>
      </c>
      <c r="W539" s="30" t="n">
        <f aca="false">IF(C539="",0,IF(AND(B539="office",E539="budget_probe",N(F539)&gt;=Inputs!$C$139),1,0))</f>
        <v>0</v>
      </c>
      <c r="X539" s="30" t="n">
        <f aca="false">IF(W539=1,IF(COUNTIFS(C$5:C539,C539,W$5:W539,1)=1,1,0),0)</f>
        <v>0</v>
      </c>
      <c r="Y539" s="30" t="n">
        <f aca="false">IF(C539="",0,IF(AND(B539="brand",E539="renewal_answer",TRIM(G539)="yes",N(F539)&gt;=Inputs!$C$135),1,0))</f>
        <v>0</v>
      </c>
      <c r="Z539" s="30" t="n">
        <f aca="false">IF(Y539=1,IF(COUNTIFS(C$5:C539,C539,Y$5:Y539,1)=1,1,0),0)</f>
        <v>0</v>
      </c>
      <c r="AA539" s="30" t="n">
        <f aca="false">IF(AND(E539="budget_probe",ISNUMBER(F539),I539&lt;&gt;Lists!$X$4),1,0)</f>
        <v>0</v>
      </c>
      <c r="AB539" s="30" t="str">
        <f aca="false">IF(AND(B539="office",AA539=1,COUNTIFS(C$5:C539,C539,AA$5:AA539,1)=1),F539,"")</f>
        <v/>
      </c>
      <c r="AC539" s="30" t="str">
        <f aca="false">IF(AND(B539="brand",AA539=1,COUNTIFS(C$5:C539,C539,AA$5:AA539,1)=1),F539,"")</f>
        <v/>
      </c>
      <c r="AD539" s="30" t="str">
        <f aca="false">IF(AND(B539="brand",E539="budget_probe",ISNUMBER(F539),I539=Lists!$X$4),IF(COUNTIFS(C$5:C539,C539,E$5:E539,"budget_probe",I$5:I539,Lists!$X$4)=1,F539,""),"")</f>
        <v/>
      </c>
      <c r="AE539" s="30" t="n">
        <f aca="false">IF(AND(B539="brand",E539="paid",ISNUMBER(F539)),IF(AND(SUMIFS(F$5:F539,B$5:B539,"brand",C$5:C539,C539,E$5:E539,"paid")&gt;=Inputs!$C$44,SUMIFS(F$5:F539,B$5:B539,"brand",C$5:C539,C539,E$5:E539,"paid")-F539&lt;Inputs!$C$44),1,0),0)</f>
        <v>0</v>
      </c>
    </row>
    <row r="540" customFormat="false" ht="15" hidden="false" customHeight="false" outlineLevel="0" collapsed="false">
      <c r="A540" s="102"/>
      <c r="B540" s="103"/>
      <c r="C540" s="103"/>
      <c r="D540" s="103"/>
      <c r="E540" s="103"/>
      <c r="F540" s="103"/>
      <c r="G540" s="103"/>
      <c r="H540" s="103"/>
      <c r="I540" s="103"/>
      <c r="T540" s="30" t="str">
        <f aca="false">IF(C540="","",IF(COUNTIFS(C$5:C540,C540,E$5:E540,E540)=1,1,0))</f>
        <v/>
      </c>
      <c r="U540" s="30" t="n">
        <f aca="false">IF(C540="",0,IF(AND(B540="brand",E540="budget_probe",N(F540)&gt;=Inputs!$C$124,H540="Y"),1,0))</f>
        <v>0</v>
      </c>
      <c r="V540" s="30" t="n">
        <f aca="false">IF(U540=1,IF(COUNTIFS(C$5:C540,C540,U$5:U540,1)=1,1,0),0)</f>
        <v>0</v>
      </c>
      <c r="W540" s="30" t="n">
        <f aca="false">IF(C540="",0,IF(AND(B540="office",E540="budget_probe",N(F540)&gt;=Inputs!$C$139),1,0))</f>
        <v>0</v>
      </c>
      <c r="X540" s="30" t="n">
        <f aca="false">IF(W540=1,IF(COUNTIFS(C$5:C540,C540,W$5:W540,1)=1,1,0),0)</f>
        <v>0</v>
      </c>
      <c r="Y540" s="30" t="n">
        <f aca="false">IF(C540="",0,IF(AND(B540="brand",E540="renewal_answer",TRIM(G540)="yes",N(F540)&gt;=Inputs!$C$135),1,0))</f>
        <v>0</v>
      </c>
      <c r="Z540" s="30" t="n">
        <f aca="false">IF(Y540=1,IF(COUNTIFS(C$5:C540,C540,Y$5:Y540,1)=1,1,0),0)</f>
        <v>0</v>
      </c>
      <c r="AA540" s="30" t="n">
        <f aca="false">IF(AND(E540="budget_probe",ISNUMBER(F540),I540&lt;&gt;Lists!$X$4),1,0)</f>
        <v>0</v>
      </c>
      <c r="AB540" s="30" t="str">
        <f aca="false">IF(AND(B540="office",AA540=1,COUNTIFS(C$5:C540,C540,AA$5:AA540,1)=1),F540,"")</f>
        <v/>
      </c>
      <c r="AC540" s="30" t="str">
        <f aca="false">IF(AND(B540="brand",AA540=1,COUNTIFS(C$5:C540,C540,AA$5:AA540,1)=1),F540,"")</f>
        <v/>
      </c>
      <c r="AD540" s="30" t="str">
        <f aca="false">IF(AND(B540="brand",E540="budget_probe",ISNUMBER(F540),I540=Lists!$X$4),IF(COUNTIFS(C$5:C540,C540,E$5:E540,"budget_probe",I$5:I540,Lists!$X$4)=1,F540,""),"")</f>
        <v/>
      </c>
      <c r="AE540" s="30" t="n">
        <f aca="false">IF(AND(B540="brand",E540="paid",ISNUMBER(F540)),IF(AND(SUMIFS(F$5:F540,B$5:B540,"brand",C$5:C540,C540,E$5:E540,"paid")&gt;=Inputs!$C$44,SUMIFS(F$5:F540,B$5:B540,"brand",C$5:C540,C540,E$5:E540,"paid")-F540&lt;Inputs!$C$44),1,0),0)</f>
        <v>0</v>
      </c>
    </row>
    <row r="541" customFormat="false" ht="15" hidden="false" customHeight="false" outlineLevel="0" collapsed="false">
      <c r="A541" s="102"/>
      <c r="B541" s="103"/>
      <c r="C541" s="103"/>
      <c r="D541" s="103"/>
      <c r="E541" s="103"/>
      <c r="F541" s="103"/>
      <c r="G541" s="103"/>
      <c r="H541" s="103"/>
      <c r="I541" s="103"/>
      <c r="T541" s="30" t="str">
        <f aca="false">IF(C541="","",IF(COUNTIFS(C$5:C541,C541,E$5:E541,E541)=1,1,0))</f>
        <v/>
      </c>
      <c r="U541" s="30" t="n">
        <f aca="false">IF(C541="",0,IF(AND(B541="brand",E541="budget_probe",N(F541)&gt;=Inputs!$C$124,H541="Y"),1,0))</f>
        <v>0</v>
      </c>
      <c r="V541" s="30" t="n">
        <f aca="false">IF(U541=1,IF(COUNTIFS(C$5:C541,C541,U$5:U541,1)=1,1,0),0)</f>
        <v>0</v>
      </c>
      <c r="W541" s="30" t="n">
        <f aca="false">IF(C541="",0,IF(AND(B541="office",E541="budget_probe",N(F541)&gt;=Inputs!$C$139),1,0))</f>
        <v>0</v>
      </c>
      <c r="X541" s="30" t="n">
        <f aca="false">IF(W541=1,IF(COUNTIFS(C$5:C541,C541,W$5:W541,1)=1,1,0),0)</f>
        <v>0</v>
      </c>
      <c r="Y541" s="30" t="n">
        <f aca="false">IF(C541="",0,IF(AND(B541="brand",E541="renewal_answer",TRIM(G541)="yes",N(F541)&gt;=Inputs!$C$135),1,0))</f>
        <v>0</v>
      </c>
      <c r="Z541" s="30" t="n">
        <f aca="false">IF(Y541=1,IF(COUNTIFS(C$5:C541,C541,Y$5:Y541,1)=1,1,0),0)</f>
        <v>0</v>
      </c>
      <c r="AA541" s="30" t="n">
        <f aca="false">IF(AND(E541="budget_probe",ISNUMBER(F541),I541&lt;&gt;Lists!$X$4),1,0)</f>
        <v>0</v>
      </c>
      <c r="AB541" s="30" t="str">
        <f aca="false">IF(AND(B541="office",AA541=1,COUNTIFS(C$5:C541,C541,AA$5:AA541,1)=1),F541,"")</f>
        <v/>
      </c>
      <c r="AC541" s="30" t="str">
        <f aca="false">IF(AND(B541="brand",AA541=1,COUNTIFS(C$5:C541,C541,AA$5:AA541,1)=1),F541,"")</f>
        <v/>
      </c>
      <c r="AD541" s="30" t="str">
        <f aca="false">IF(AND(B541="brand",E541="budget_probe",ISNUMBER(F541),I541=Lists!$X$4),IF(COUNTIFS(C$5:C541,C541,E$5:E541,"budget_probe",I$5:I541,Lists!$X$4)=1,F541,""),"")</f>
        <v/>
      </c>
      <c r="AE541" s="30" t="n">
        <f aca="false">IF(AND(B541="brand",E541="paid",ISNUMBER(F541)),IF(AND(SUMIFS(F$5:F541,B$5:B541,"brand",C$5:C541,C541,E$5:E541,"paid")&gt;=Inputs!$C$44,SUMIFS(F$5:F541,B$5:B541,"brand",C$5:C541,C541,E$5:E541,"paid")-F541&lt;Inputs!$C$44),1,0),0)</f>
        <v>0</v>
      </c>
    </row>
    <row r="542" customFormat="false" ht="15" hidden="false" customHeight="false" outlineLevel="0" collapsed="false">
      <c r="A542" s="102"/>
      <c r="B542" s="103"/>
      <c r="C542" s="103"/>
      <c r="D542" s="103"/>
      <c r="E542" s="103"/>
      <c r="F542" s="103"/>
      <c r="G542" s="103"/>
      <c r="H542" s="103"/>
      <c r="I542" s="103"/>
      <c r="T542" s="30" t="str">
        <f aca="false">IF(C542="","",IF(COUNTIFS(C$5:C542,C542,E$5:E542,E542)=1,1,0))</f>
        <v/>
      </c>
      <c r="U542" s="30" t="n">
        <f aca="false">IF(C542="",0,IF(AND(B542="brand",E542="budget_probe",N(F542)&gt;=Inputs!$C$124,H542="Y"),1,0))</f>
        <v>0</v>
      </c>
      <c r="V542" s="30" t="n">
        <f aca="false">IF(U542=1,IF(COUNTIFS(C$5:C542,C542,U$5:U542,1)=1,1,0),0)</f>
        <v>0</v>
      </c>
      <c r="W542" s="30" t="n">
        <f aca="false">IF(C542="",0,IF(AND(B542="office",E542="budget_probe",N(F542)&gt;=Inputs!$C$139),1,0))</f>
        <v>0</v>
      </c>
      <c r="X542" s="30" t="n">
        <f aca="false">IF(W542=1,IF(COUNTIFS(C$5:C542,C542,W$5:W542,1)=1,1,0),0)</f>
        <v>0</v>
      </c>
      <c r="Y542" s="30" t="n">
        <f aca="false">IF(C542="",0,IF(AND(B542="brand",E542="renewal_answer",TRIM(G542)="yes",N(F542)&gt;=Inputs!$C$135),1,0))</f>
        <v>0</v>
      </c>
      <c r="Z542" s="30" t="n">
        <f aca="false">IF(Y542=1,IF(COUNTIFS(C$5:C542,C542,Y$5:Y542,1)=1,1,0),0)</f>
        <v>0</v>
      </c>
      <c r="AA542" s="30" t="n">
        <f aca="false">IF(AND(E542="budget_probe",ISNUMBER(F542),I542&lt;&gt;Lists!$X$4),1,0)</f>
        <v>0</v>
      </c>
      <c r="AB542" s="30" t="str">
        <f aca="false">IF(AND(B542="office",AA542=1,COUNTIFS(C$5:C542,C542,AA$5:AA542,1)=1),F542,"")</f>
        <v/>
      </c>
      <c r="AC542" s="30" t="str">
        <f aca="false">IF(AND(B542="brand",AA542=1,COUNTIFS(C$5:C542,C542,AA$5:AA542,1)=1),F542,"")</f>
        <v/>
      </c>
      <c r="AD542" s="30" t="str">
        <f aca="false">IF(AND(B542="brand",E542="budget_probe",ISNUMBER(F542),I542=Lists!$X$4),IF(COUNTIFS(C$5:C542,C542,E$5:E542,"budget_probe",I$5:I542,Lists!$X$4)=1,F542,""),"")</f>
        <v/>
      </c>
      <c r="AE542" s="30" t="n">
        <f aca="false">IF(AND(B542="brand",E542="paid",ISNUMBER(F542)),IF(AND(SUMIFS(F$5:F542,B$5:B542,"brand",C$5:C542,C542,E$5:E542,"paid")&gt;=Inputs!$C$44,SUMIFS(F$5:F542,B$5:B542,"brand",C$5:C542,C542,E$5:E542,"paid")-F542&lt;Inputs!$C$44),1,0),0)</f>
        <v>0</v>
      </c>
    </row>
    <row r="543" customFormat="false" ht="15" hidden="false" customHeight="false" outlineLevel="0" collapsed="false">
      <c r="A543" s="102"/>
      <c r="B543" s="103"/>
      <c r="C543" s="103"/>
      <c r="D543" s="103"/>
      <c r="E543" s="103"/>
      <c r="F543" s="103"/>
      <c r="G543" s="103"/>
      <c r="H543" s="103"/>
      <c r="I543" s="103"/>
      <c r="T543" s="30" t="str">
        <f aca="false">IF(C543="","",IF(COUNTIFS(C$5:C543,C543,E$5:E543,E543)=1,1,0))</f>
        <v/>
      </c>
      <c r="U543" s="30" t="n">
        <f aca="false">IF(C543="",0,IF(AND(B543="brand",E543="budget_probe",N(F543)&gt;=Inputs!$C$124,H543="Y"),1,0))</f>
        <v>0</v>
      </c>
      <c r="V543" s="30" t="n">
        <f aca="false">IF(U543=1,IF(COUNTIFS(C$5:C543,C543,U$5:U543,1)=1,1,0),0)</f>
        <v>0</v>
      </c>
      <c r="W543" s="30" t="n">
        <f aca="false">IF(C543="",0,IF(AND(B543="office",E543="budget_probe",N(F543)&gt;=Inputs!$C$139),1,0))</f>
        <v>0</v>
      </c>
      <c r="X543" s="30" t="n">
        <f aca="false">IF(W543=1,IF(COUNTIFS(C$5:C543,C543,W$5:W543,1)=1,1,0),0)</f>
        <v>0</v>
      </c>
      <c r="Y543" s="30" t="n">
        <f aca="false">IF(C543="",0,IF(AND(B543="brand",E543="renewal_answer",TRIM(G543)="yes",N(F543)&gt;=Inputs!$C$135),1,0))</f>
        <v>0</v>
      </c>
      <c r="Z543" s="30" t="n">
        <f aca="false">IF(Y543=1,IF(COUNTIFS(C$5:C543,C543,Y$5:Y543,1)=1,1,0),0)</f>
        <v>0</v>
      </c>
      <c r="AA543" s="30" t="n">
        <f aca="false">IF(AND(E543="budget_probe",ISNUMBER(F543),I543&lt;&gt;Lists!$X$4),1,0)</f>
        <v>0</v>
      </c>
      <c r="AB543" s="30" t="str">
        <f aca="false">IF(AND(B543="office",AA543=1,COUNTIFS(C$5:C543,C543,AA$5:AA543,1)=1),F543,"")</f>
        <v/>
      </c>
      <c r="AC543" s="30" t="str">
        <f aca="false">IF(AND(B543="brand",AA543=1,COUNTIFS(C$5:C543,C543,AA$5:AA543,1)=1),F543,"")</f>
        <v/>
      </c>
      <c r="AD543" s="30" t="str">
        <f aca="false">IF(AND(B543="brand",E543="budget_probe",ISNUMBER(F543),I543=Lists!$X$4),IF(COUNTIFS(C$5:C543,C543,E$5:E543,"budget_probe",I$5:I543,Lists!$X$4)=1,F543,""),"")</f>
        <v/>
      </c>
      <c r="AE543" s="30" t="n">
        <f aca="false">IF(AND(B543="brand",E543="paid",ISNUMBER(F543)),IF(AND(SUMIFS(F$5:F543,B$5:B543,"brand",C$5:C543,C543,E$5:E543,"paid")&gt;=Inputs!$C$44,SUMIFS(F$5:F543,B$5:B543,"brand",C$5:C543,C543,E$5:E543,"paid")-F543&lt;Inputs!$C$44),1,0),0)</f>
        <v>0</v>
      </c>
    </row>
    <row r="544" customFormat="false" ht="15" hidden="false" customHeight="false" outlineLevel="0" collapsed="false">
      <c r="A544" s="102"/>
      <c r="B544" s="103"/>
      <c r="C544" s="103"/>
      <c r="D544" s="103"/>
      <c r="E544" s="103"/>
      <c r="F544" s="103"/>
      <c r="G544" s="103"/>
      <c r="H544" s="103"/>
      <c r="I544" s="103"/>
      <c r="T544" s="30" t="str">
        <f aca="false">IF(C544="","",IF(COUNTIFS(C$5:C544,C544,E$5:E544,E544)=1,1,0))</f>
        <v/>
      </c>
      <c r="U544" s="30" t="n">
        <f aca="false">IF(C544="",0,IF(AND(B544="brand",E544="budget_probe",N(F544)&gt;=Inputs!$C$124,H544="Y"),1,0))</f>
        <v>0</v>
      </c>
      <c r="V544" s="30" t="n">
        <f aca="false">IF(U544=1,IF(COUNTIFS(C$5:C544,C544,U$5:U544,1)=1,1,0),0)</f>
        <v>0</v>
      </c>
      <c r="W544" s="30" t="n">
        <f aca="false">IF(C544="",0,IF(AND(B544="office",E544="budget_probe",N(F544)&gt;=Inputs!$C$139),1,0))</f>
        <v>0</v>
      </c>
      <c r="X544" s="30" t="n">
        <f aca="false">IF(W544=1,IF(COUNTIFS(C$5:C544,C544,W$5:W544,1)=1,1,0),0)</f>
        <v>0</v>
      </c>
      <c r="Y544" s="30" t="n">
        <f aca="false">IF(C544="",0,IF(AND(B544="brand",E544="renewal_answer",TRIM(G544)="yes",N(F544)&gt;=Inputs!$C$135),1,0))</f>
        <v>0</v>
      </c>
      <c r="Z544" s="30" t="n">
        <f aca="false">IF(Y544=1,IF(COUNTIFS(C$5:C544,C544,Y$5:Y544,1)=1,1,0),0)</f>
        <v>0</v>
      </c>
      <c r="AA544" s="30" t="n">
        <f aca="false">IF(AND(E544="budget_probe",ISNUMBER(F544),I544&lt;&gt;Lists!$X$4),1,0)</f>
        <v>0</v>
      </c>
      <c r="AB544" s="30" t="str">
        <f aca="false">IF(AND(B544="office",AA544=1,COUNTIFS(C$5:C544,C544,AA$5:AA544,1)=1),F544,"")</f>
        <v/>
      </c>
      <c r="AC544" s="30" t="str">
        <f aca="false">IF(AND(B544="brand",AA544=1,COUNTIFS(C$5:C544,C544,AA$5:AA544,1)=1),F544,"")</f>
        <v/>
      </c>
      <c r="AD544" s="30" t="str">
        <f aca="false">IF(AND(B544="brand",E544="budget_probe",ISNUMBER(F544),I544=Lists!$X$4),IF(COUNTIFS(C$5:C544,C544,E$5:E544,"budget_probe",I$5:I544,Lists!$X$4)=1,F544,""),"")</f>
        <v/>
      </c>
      <c r="AE544" s="30" t="n">
        <f aca="false">IF(AND(B544="brand",E544="paid",ISNUMBER(F544)),IF(AND(SUMIFS(F$5:F544,B$5:B544,"brand",C$5:C544,C544,E$5:E544,"paid")&gt;=Inputs!$C$44,SUMIFS(F$5:F544,B$5:B544,"brand",C$5:C544,C544,E$5:E544,"paid")-F544&lt;Inputs!$C$44),1,0),0)</f>
        <v>0</v>
      </c>
    </row>
    <row r="545" customFormat="false" ht="15" hidden="false" customHeight="false" outlineLevel="0" collapsed="false">
      <c r="A545" s="102"/>
      <c r="B545" s="103"/>
      <c r="C545" s="103"/>
      <c r="D545" s="103"/>
      <c r="E545" s="103"/>
      <c r="F545" s="103"/>
      <c r="G545" s="103"/>
      <c r="H545" s="103"/>
      <c r="I545" s="103"/>
      <c r="T545" s="30" t="str">
        <f aca="false">IF(C545="","",IF(COUNTIFS(C$5:C545,C545,E$5:E545,E545)=1,1,0))</f>
        <v/>
      </c>
      <c r="U545" s="30" t="n">
        <f aca="false">IF(C545="",0,IF(AND(B545="brand",E545="budget_probe",N(F545)&gt;=Inputs!$C$124,H545="Y"),1,0))</f>
        <v>0</v>
      </c>
      <c r="V545" s="30" t="n">
        <f aca="false">IF(U545=1,IF(COUNTIFS(C$5:C545,C545,U$5:U545,1)=1,1,0),0)</f>
        <v>0</v>
      </c>
      <c r="W545" s="30" t="n">
        <f aca="false">IF(C545="",0,IF(AND(B545="office",E545="budget_probe",N(F545)&gt;=Inputs!$C$139),1,0))</f>
        <v>0</v>
      </c>
      <c r="X545" s="30" t="n">
        <f aca="false">IF(W545=1,IF(COUNTIFS(C$5:C545,C545,W$5:W545,1)=1,1,0),0)</f>
        <v>0</v>
      </c>
      <c r="Y545" s="30" t="n">
        <f aca="false">IF(C545="",0,IF(AND(B545="brand",E545="renewal_answer",TRIM(G545)="yes",N(F545)&gt;=Inputs!$C$135),1,0))</f>
        <v>0</v>
      </c>
      <c r="Z545" s="30" t="n">
        <f aca="false">IF(Y545=1,IF(COUNTIFS(C$5:C545,C545,Y$5:Y545,1)=1,1,0),0)</f>
        <v>0</v>
      </c>
      <c r="AA545" s="30" t="n">
        <f aca="false">IF(AND(E545="budget_probe",ISNUMBER(F545),I545&lt;&gt;Lists!$X$4),1,0)</f>
        <v>0</v>
      </c>
      <c r="AB545" s="30" t="str">
        <f aca="false">IF(AND(B545="office",AA545=1,COUNTIFS(C$5:C545,C545,AA$5:AA545,1)=1),F545,"")</f>
        <v/>
      </c>
      <c r="AC545" s="30" t="str">
        <f aca="false">IF(AND(B545="brand",AA545=1,COUNTIFS(C$5:C545,C545,AA$5:AA545,1)=1),F545,"")</f>
        <v/>
      </c>
      <c r="AD545" s="30" t="str">
        <f aca="false">IF(AND(B545="brand",E545="budget_probe",ISNUMBER(F545),I545=Lists!$X$4),IF(COUNTIFS(C$5:C545,C545,E$5:E545,"budget_probe",I$5:I545,Lists!$X$4)=1,F545,""),"")</f>
        <v/>
      </c>
      <c r="AE545" s="30" t="n">
        <f aca="false">IF(AND(B545="brand",E545="paid",ISNUMBER(F545)),IF(AND(SUMIFS(F$5:F545,B$5:B545,"brand",C$5:C545,C545,E$5:E545,"paid")&gt;=Inputs!$C$44,SUMIFS(F$5:F545,B$5:B545,"brand",C$5:C545,C545,E$5:E545,"paid")-F545&lt;Inputs!$C$44),1,0),0)</f>
        <v>0</v>
      </c>
    </row>
    <row r="546" customFormat="false" ht="15" hidden="false" customHeight="false" outlineLevel="0" collapsed="false">
      <c r="A546" s="102"/>
      <c r="B546" s="103"/>
      <c r="C546" s="103"/>
      <c r="D546" s="103"/>
      <c r="E546" s="103"/>
      <c r="F546" s="103"/>
      <c r="G546" s="103"/>
      <c r="H546" s="103"/>
      <c r="I546" s="103"/>
      <c r="T546" s="30" t="str">
        <f aca="false">IF(C546="","",IF(COUNTIFS(C$5:C546,C546,E$5:E546,E546)=1,1,0))</f>
        <v/>
      </c>
      <c r="U546" s="30" t="n">
        <f aca="false">IF(C546="",0,IF(AND(B546="brand",E546="budget_probe",N(F546)&gt;=Inputs!$C$124,H546="Y"),1,0))</f>
        <v>0</v>
      </c>
      <c r="V546" s="30" t="n">
        <f aca="false">IF(U546=1,IF(COUNTIFS(C$5:C546,C546,U$5:U546,1)=1,1,0),0)</f>
        <v>0</v>
      </c>
      <c r="W546" s="30" t="n">
        <f aca="false">IF(C546="",0,IF(AND(B546="office",E546="budget_probe",N(F546)&gt;=Inputs!$C$139),1,0))</f>
        <v>0</v>
      </c>
      <c r="X546" s="30" t="n">
        <f aca="false">IF(W546=1,IF(COUNTIFS(C$5:C546,C546,W$5:W546,1)=1,1,0),0)</f>
        <v>0</v>
      </c>
      <c r="Y546" s="30" t="n">
        <f aca="false">IF(C546="",0,IF(AND(B546="brand",E546="renewal_answer",TRIM(G546)="yes",N(F546)&gt;=Inputs!$C$135),1,0))</f>
        <v>0</v>
      </c>
      <c r="Z546" s="30" t="n">
        <f aca="false">IF(Y546=1,IF(COUNTIFS(C$5:C546,C546,Y$5:Y546,1)=1,1,0),0)</f>
        <v>0</v>
      </c>
      <c r="AA546" s="30" t="n">
        <f aca="false">IF(AND(E546="budget_probe",ISNUMBER(F546),I546&lt;&gt;Lists!$X$4),1,0)</f>
        <v>0</v>
      </c>
      <c r="AB546" s="30" t="str">
        <f aca="false">IF(AND(B546="office",AA546=1,COUNTIFS(C$5:C546,C546,AA$5:AA546,1)=1),F546,"")</f>
        <v/>
      </c>
      <c r="AC546" s="30" t="str">
        <f aca="false">IF(AND(B546="brand",AA546=1,COUNTIFS(C$5:C546,C546,AA$5:AA546,1)=1),F546,"")</f>
        <v/>
      </c>
      <c r="AD546" s="30" t="str">
        <f aca="false">IF(AND(B546="brand",E546="budget_probe",ISNUMBER(F546),I546=Lists!$X$4),IF(COUNTIFS(C$5:C546,C546,E$5:E546,"budget_probe",I$5:I546,Lists!$X$4)=1,F546,""),"")</f>
        <v/>
      </c>
      <c r="AE546" s="30" t="n">
        <f aca="false">IF(AND(B546="brand",E546="paid",ISNUMBER(F546)),IF(AND(SUMIFS(F$5:F546,B$5:B546,"brand",C$5:C546,C546,E$5:E546,"paid")&gt;=Inputs!$C$44,SUMIFS(F$5:F546,B$5:B546,"brand",C$5:C546,C546,E$5:E546,"paid")-F546&lt;Inputs!$C$44),1,0),0)</f>
        <v>0</v>
      </c>
    </row>
    <row r="547" customFormat="false" ht="15" hidden="false" customHeight="false" outlineLevel="0" collapsed="false">
      <c r="A547" s="102"/>
      <c r="B547" s="103"/>
      <c r="C547" s="103"/>
      <c r="D547" s="103"/>
      <c r="E547" s="103"/>
      <c r="F547" s="103"/>
      <c r="G547" s="103"/>
      <c r="H547" s="103"/>
      <c r="I547" s="103"/>
      <c r="T547" s="30" t="str">
        <f aca="false">IF(C547="","",IF(COUNTIFS(C$5:C547,C547,E$5:E547,E547)=1,1,0))</f>
        <v/>
      </c>
      <c r="U547" s="30" t="n">
        <f aca="false">IF(C547="",0,IF(AND(B547="brand",E547="budget_probe",N(F547)&gt;=Inputs!$C$124,H547="Y"),1,0))</f>
        <v>0</v>
      </c>
      <c r="V547" s="30" t="n">
        <f aca="false">IF(U547=1,IF(COUNTIFS(C$5:C547,C547,U$5:U547,1)=1,1,0),0)</f>
        <v>0</v>
      </c>
      <c r="W547" s="30" t="n">
        <f aca="false">IF(C547="",0,IF(AND(B547="office",E547="budget_probe",N(F547)&gt;=Inputs!$C$139),1,0))</f>
        <v>0</v>
      </c>
      <c r="X547" s="30" t="n">
        <f aca="false">IF(W547=1,IF(COUNTIFS(C$5:C547,C547,W$5:W547,1)=1,1,0),0)</f>
        <v>0</v>
      </c>
      <c r="Y547" s="30" t="n">
        <f aca="false">IF(C547="",0,IF(AND(B547="brand",E547="renewal_answer",TRIM(G547)="yes",N(F547)&gt;=Inputs!$C$135),1,0))</f>
        <v>0</v>
      </c>
      <c r="Z547" s="30" t="n">
        <f aca="false">IF(Y547=1,IF(COUNTIFS(C$5:C547,C547,Y$5:Y547,1)=1,1,0),0)</f>
        <v>0</v>
      </c>
      <c r="AA547" s="30" t="n">
        <f aca="false">IF(AND(E547="budget_probe",ISNUMBER(F547),I547&lt;&gt;Lists!$X$4),1,0)</f>
        <v>0</v>
      </c>
      <c r="AB547" s="30" t="str">
        <f aca="false">IF(AND(B547="office",AA547=1,COUNTIFS(C$5:C547,C547,AA$5:AA547,1)=1),F547,"")</f>
        <v/>
      </c>
      <c r="AC547" s="30" t="str">
        <f aca="false">IF(AND(B547="brand",AA547=1,COUNTIFS(C$5:C547,C547,AA$5:AA547,1)=1),F547,"")</f>
        <v/>
      </c>
      <c r="AD547" s="30" t="str">
        <f aca="false">IF(AND(B547="brand",E547="budget_probe",ISNUMBER(F547),I547=Lists!$X$4),IF(COUNTIFS(C$5:C547,C547,E$5:E547,"budget_probe",I$5:I547,Lists!$X$4)=1,F547,""),"")</f>
        <v/>
      </c>
      <c r="AE547" s="30" t="n">
        <f aca="false">IF(AND(B547="brand",E547="paid",ISNUMBER(F547)),IF(AND(SUMIFS(F$5:F547,B$5:B547,"brand",C$5:C547,C547,E$5:E547,"paid")&gt;=Inputs!$C$44,SUMIFS(F$5:F547,B$5:B547,"brand",C$5:C547,C547,E$5:E547,"paid")-F547&lt;Inputs!$C$44),1,0),0)</f>
        <v>0</v>
      </c>
    </row>
    <row r="548" customFormat="false" ht="15" hidden="false" customHeight="false" outlineLevel="0" collapsed="false">
      <c r="A548" s="102"/>
      <c r="B548" s="103"/>
      <c r="C548" s="103"/>
      <c r="D548" s="103"/>
      <c r="E548" s="103"/>
      <c r="F548" s="103"/>
      <c r="G548" s="103"/>
      <c r="H548" s="103"/>
      <c r="I548" s="103"/>
      <c r="T548" s="30" t="str">
        <f aca="false">IF(C548="","",IF(COUNTIFS(C$5:C548,C548,E$5:E548,E548)=1,1,0))</f>
        <v/>
      </c>
      <c r="U548" s="30" t="n">
        <f aca="false">IF(C548="",0,IF(AND(B548="brand",E548="budget_probe",N(F548)&gt;=Inputs!$C$124,H548="Y"),1,0))</f>
        <v>0</v>
      </c>
      <c r="V548" s="30" t="n">
        <f aca="false">IF(U548=1,IF(COUNTIFS(C$5:C548,C548,U$5:U548,1)=1,1,0),0)</f>
        <v>0</v>
      </c>
      <c r="W548" s="30" t="n">
        <f aca="false">IF(C548="",0,IF(AND(B548="office",E548="budget_probe",N(F548)&gt;=Inputs!$C$139),1,0))</f>
        <v>0</v>
      </c>
      <c r="X548" s="30" t="n">
        <f aca="false">IF(W548=1,IF(COUNTIFS(C$5:C548,C548,W$5:W548,1)=1,1,0),0)</f>
        <v>0</v>
      </c>
      <c r="Y548" s="30" t="n">
        <f aca="false">IF(C548="",0,IF(AND(B548="brand",E548="renewal_answer",TRIM(G548)="yes",N(F548)&gt;=Inputs!$C$135),1,0))</f>
        <v>0</v>
      </c>
      <c r="Z548" s="30" t="n">
        <f aca="false">IF(Y548=1,IF(COUNTIFS(C$5:C548,C548,Y$5:Y548,1)=1,1,0),0)</f>
        <v>0</v>
      </c>
      <c r="AA548" s="30" t="n">
        <f aca="false">IF(AND(E548="budget_probe",ISNUMBER(F548),I548&lt;&gt;Lists!$X$4),1,0)</f>
        <v>0</v>
      </c>
      <c r="AB548" s="30" t="str">
        <f aca="false">IF(AND(B548="office",AA548=1,COUNTIFS(C$5:C548,C548,AA$5:AA548,1)=1),F548,"")</f>
        <v/>
      </c>
      <c r="AC548" s="30" t="str">
        <f aca="false">IF(AND(B548="brand",AA548=1,COUNTIFS(C$5:C548,C548,AA$5:AA548,1)=1),F548,"")</f>
        <v/>
      </c>
      <c r="AD548" s="30" t="str">
        <f aca="false">IF(AND(B548="brand",E548="budget_probe",ISNUMBER(F548),I548=Lists!$X$4),IF(COUNTIFS(C$5:C548,C548,E$5:E548,"budget_probe",I$5:I548,Lists!$X$4)=1,F548,""),"")</f>
        <v/>
      </c>
      <c r="AE548" s="30" t="n">
        <f aca="false">IF(AND(B548="brand",E548="paid",ISNUMBER(F548)),IF(AND(SUMIFS(F$5:F548,B$5:B548,"brand",C$5:C548,C548,E$5:E548,"paid")&gt;=Inputs!$C$44,SUMIFS(F$5:F548,B$5:B548,"brand",C$5:C548,C548,E$5:E548,"paid")-F548&lt;Inputs!$C$44),1,0),0)</f>
        <v>0</v>
      </c>
    </row>
    <row r="549" customFormat="false" ht="15" hidden="false" customHeight="false" outlineLevel="0" collapsed="false">
      <c r="A549" s="102"/>
      <c r="B549" s="103"/>
      <c r="C549" s="103"/>
      <c r="D549" s="103"/>
      <c r="E549" s="103"/>
      <c r="F549" s="103"/>
      <c r="G549" s="103"/>
      <c r="H549" s="103"/>
      <c r="I549" s="103"/>
      <c r="T549" s="30" t="str">
        <f aca="false">IF(C549="","",IF(COUNTIFS(C$5:C549,C549,E$5:E549,E549)=1,1,0))</f>
        <v/>
      </c>
      <c r="U549" s="30" t="n">
        <f aca="false">IF(C549="",0,IF(AND(B549="brand",E549="budget_probe",N(F549)&gt;=Inputs!$C$124,H549="Y"),1,0))</f>
        <v>0</v>
      </c>
      <c r="V549" s="30" t="n">
        <f aca="false">IF(U549=1,IF(COUNTIFS(C$5:C549,C549,U$5:U549,1)=1,1,0),0)</f>
        <v>0</v>
      </c>
      <c r="W549" s="30" t="n">
        <f aca="false">IF(C549="",0,IF(AND(B549="office",E549="budget_probe",N(F549)&gt;=Inputs!$C$139),1,0))</f>
        <v>0</v>
      </c>
      <c r="X549" s="30" t="n">
        <f aca="false">IF(W549=1,IF(COUNTIFS(C$5:C549,C549,W$5:W549,1)=1,1,0),0)</f>
        <v>0</v>
      </c>
      <c r="Y549" s="30" t="n">
        <f aca="false">IF(C549="",0,IF(AND(B549="brand",E549="renewal_answer",TRIM(G549)="yes",N(F549)&gt;=Inputs!$C$135),1,0))</f>
        <v>0</v>
      </c>
      <c r="Z549" s="30" t="n">
        <f aca="false">IF(Y549=1,IF(COUNTIFS(C$5:C549,C549,Y$5:Y549,1)=1,1,0),0)</f>
        <v>0</v>
      </c>
      <c r="AA549" s="30" t="n">
        <f aca="false">IF(AND(E549="budget_probe",ISNUMBER(F549),I549&lt;&gt;Lists!$X$4),1,0)</f>
        <v>0</v>
      </c>
      <c r="AB549" s="30" t="str">
        <f aca="false">IF(AND(B549="office",AA549=1,COUNTIFS(C$5:C549,C549,AA$5:AA549,1)=1),F549,"")</f>
        <v/>
      </c>
      <c r="AC549" s="30" t="str">
        <f aca="false">IF(AND(B549="brand",AA549=1,COUNTIFS(C$5:C549,C549,AA$5:AA549,1)=1),F549,"")</f>
        <v/>
      </c>
      <c r="AD549" s="30" t="str">
        <f aca="false">IF(AND(B549="brand",E549="budget_probe",ISNUMBER(F549),I549=Lists!$X$4),IF(COUNTIFS(C$5:C549,C549,E$5:E549,"budget_probe",I$5:I549,Lists!$X$4)=1,F549,""),"")</f>
        <v/>
      </c>
      <c r="AE549" s="30" t="n">
        <f aca="false">IF(AND(B549="brand",E549="paid",ISNUMBER(F549)),IF(AND(SUMIFS(F$5:F549,B$5:B549,"brand",C$5:C549,C549,E$5:E549,"paid")&gt;=Inputs!$C$44,SUMIFS(F$5:F549,B$5:B549,"brand",C$5:C549,C549,E$5:E549,"paid")-F549&lt;Inputs!$C$44),1,0),0)</f>
        <v>0</v>
      </c>
    </row>
    <row r="550" customFormat="false" ht="15" hidden="false" customHeight="false" outlineLevel="0" collapsed="false">
      <c r="A550" s="102"/>
      <c r="B550" s="103"/>
      <c r="C550" s="103"/>
      <c r="D550" s="103"/>
      <c r="E550" s="103"/>
      <c r="F550" s="103"/>
      <c r="G550" s="103"/>
      <c r="H550" s="103"/>
      <c r="I550" s="103"/>
      <c r="T550" s="30" t="str">
        <f aca="false">IF(C550="","",IF(COUNTIFS(C$5:C550,C550,E$5:E550,E550)=1,1,0))</f>
        <v/>
      </c>
      <c r="U550" s="30" t="n">
        <f aca="false">IF(C550="",0,IF(AND(B550="brand",E550="budget_probe",N(F550)&gt;=Inputs!$C$124,H550="Y"),1,0))</f>
        <v>0</v>
      </c>
      <c r="V550" s="30" t="n">
        <f aca="false">IF(U550=1,IF(COUNTIFS(C$5:C550,C550,U$5:U550,1)=1,1,0),0)</f>
        <v>0</v>
      </c>
      <c r="W550" s="30" t="n">
        <f aca="false">IF(C550="",0,IF(AND(B550="office",E550="budget_probe",N(F550)&gt;=Inputs!$C$139),1,0))</f>
        <v>0</v>
      </c>
      <c r="X550" s="30" t="n">
        <f aca="false">IF(W550=1,IF(COUNTIFS(C$5:C550,C550,W$5:W550,1)=1,1,0),0)</f>
        <v>0</v>
      </c>
      <c r="Y550" s="30" t="n">
        <f aca="false">IF(C550="",0,IF(AND(B550="brand",E550="renewal_answer",TRIM(G550)="yes",N(F550)&gt;=Inputs!$C$135),1,0))</f>
        <v>0</v>
      </c>
      <c r="Z550" s="30" t="n">
        <f aca="false">IF(Y550=1,IF(COUNTIFS(C$5:C550,C550,Y$5:Y550,1)=1,1,0),0)</f>
        <v>0</v>
      </c>
      <c r="AA550" s="30" t="n">
        <f aca="false">IF(AND(E550="budget_probe",ISNUMBER(F550),I550&lt;&gt;Lists!$X$4),1,0)</f>
        <v>0</v>
      </c>
      <c r="AB550" s="30" t="str">
        <f aca="false">IF(AND(B550="office",AA550=1,COUNTIFS(C$5:C550,C550,AA$5:AA550,1)=1),F550,"")</f>
        <v/>
      </c>
      <c r="AC550" s="30" t="str">
        <f aca="false">IF(AND(B550="brand",AA550=1,COUNTIFS(C$5:C550,C550,AA$5:AA550,1)=1),F550,"")</f>
        <v/>
      </c>
      <c r="AD550" s="30" t="str">
        <f aca="false">IF(AND(B550="brand",E550="budget_probe",ISNUMBER(F550),I550=Lists!$X$4),IF(COUNTIFS(C$5:C550,C550,E$5:E550,"budget_probe",I$5:I550,Lists!$X$4)=1,F550,""),"")</f>
        <v/>
      </c>
      <c r="AE550" s="30" t="n">
        <f aca="false">IF(AND(B550="brand",E550="paid",ISNUMBER(F550)),IF(AND(SUMIFS(F$5:F550,B$5:B550,"brand",C$5:C550,C550,E$5:E550,"paid")&gt;=Inputs!$C$44,SUMIFS(F$5:F550,B$5:B550,"brand",C$5:C550,C550,E$5:E550,"paid")-F550&lt;Inputs!$C$44),1,0),0)</f>
        <v>0</v>
      </c>
    </row>
    <row r="551" customFormat="false" ht="15" hidden="false" customHeight="false" outlineLevel="0" collapsed="false">
      <c r="A551" s="102"/>
      <c r="B551" s="103"/>
      <c r="C551" s="103"/>
      <c r="D551" s="103"/>
      <c r="E551" s="103"/>
      <c r="F551" s="103"/>
      <c r="G551" s="103"/>
      <c r="H551" s="103"/>
      <c r="I551" s="103"/>
      <c r="T551" s="30" t="str">
        <f aca="false">IF(C551="","",IF(COUNTIFS(C$5:C551,C551,E$5:E551,E551)=1,1,0))</f>
        <v/>
      </c>
      <c r="U551" s="30" t="n">
        <f aca="false">IF(C551="",0,IF(AND(B551="brand",E551="budget_probe",N(F551)&gt;=Inputs!$C$124,H551="Y"),1,0))</f>
        <v>0</v>
      </c>
      <c r="V551" s="30" t="n">
        <f aca="false">IF(U551=1,IF(COUNTIFS(C$5:C551,C551,U$5:U551,1)=1,1,0),0)</f>
        <v>0</v>
      </c>
      <c r="W551" s="30" t="n">
        <f aca="false">IF(C551="",0,IF(AND(B551="office",E551="budget_probe",N(F551)&gt;=Inputs!$C$139),1,0))</f>
        <v>0</v>
      </c>
      <c r="X551" s="30" t="n">
        <f aca="false">IF(W551=1,IF(COUNTIFS(C$5:C551,C551,W$5:W551,1)=1,1,0),0)</f>
        <v>0</v>
      </c>
      <c r="Y551" s="30" t="n">
        <f aca="false">IF(C551="",0,IF(AND(B551="brand",E551="renewal_answer",TRIM(G551)="yes",N(F551)&gt;=Inputs!$C$135),1,0))</f>
        <v>0</v>
      </c>
      <c r="Z551" s="30" t="n">
        <f aca="false">IF(Y551=1,IF(COUNTIFS(C$5:C551,C551,Y$5:Y551,1)=1,1,0),0)</f>
        <v>0</v>
      </c>
      <c r="AA551" s="30" t="n">
        <f aca="false">IF(AND(E551="budget_probe",ISNUMBER(F551),I551&lt;&gt;Lists!$X$4),1,0)</f>
        <v>0</v>
      </c>
      <c r="AB551" s="30" t="str">
        <f aca="false">IF(AND(B551="office",AA551=1,COUNTIFS(C$5:C551,C551,AA$5:AA551,1)=1),F551,"")</f>
        <v/>
      </c>
      <c r="AC551" s="30" t="str">
        <f aca="false">IF(AND(B551="brand",AA551=1,COUNTIFS(C$5:C551,C551,AA$5:AA551,1)=1),F551,"")</f>
        <v/>
      </c>
      <c r="AD551" s="30" t="str">
        <f aca="false">IF(AND(B551="brand",E551="budget_probe",ISNUMBER(F551),I551=Lists!$X$4),IF(COUNTIFS(C$5:C551,C551,E$5:E551,"budget_probe",I$5:I551,Lists!$X$4)=1,F551,""),"")</f>
        <v/>
      </c>
      <c r="AE551" s="30" t="n">
        <f aca="false">IF(AND(B551="brand",E551="paid",ISNUMBER(F551)),IF(AND(SUMIFS(F$5:F551,B$5:B551,"brand",C$5:C551,C551,E$5:E551,"paid")&gt;=Inputs!$C$44,SUMIFS(F$5:F551,B$5:B551,"brand",C$5:C551,C551,E$5:E551,"paid")-F551&lt;Inputs!$C$44),1,0),0)</f>
        <v>0</v>
      </c>
    </row>
    <row r="552" customFormat="false" ht="15" hidden="false" customHeight="false" outlineLevel="0" collapsed="false">
      <c r="A552" s="102"/>
      <c r="B552" s="103"/>
      <c r="C552" s="103"/>
      <c r="D552" s="103"/>
      <c r="E552" s="103"/>
      <c r="F552" s="103"/>
      <c r="G552" s="103"/>
      <c r="H552" s="103"/>
      <c r="I552" s="103"/>
      <c r="T552" s="30" t="str">
        <f aca="false">IF(C552="","",IF(COUNTIFS(C$5:C552,C552,E$5:E552,E552)=1,1,0))</f>
        <v/>
      </c>
      <c r="U552" s="30" t="n">
        <f aca="false">IF(C552="",0,IF(AND(B552="brand",E552="budget_probe",N(F552)&gt;=Inputs!$C$124,H552="Y"),1,0))</f>
        <v>0</v>
      </c>
      <c r="V552" s="30" t="n">
        <f aca="false">IF(U552=1,IF(COUNTIFS(C$5:C552,C552,U$5:U552,1)=1,1,0),0)</f>
        <v>0</v>
      </c>
      <c r="W552" s="30" t="n">
        <f aca="false">IF(C552="",0,IF(AND(B552="office",E552="budget_probe",N(F552)&gt;=Inputs!$C$139),1,0))</f>
        <v>0</v>
      </c>
      <c r="X552" s="30" t="n">
        <f aca="false">IF(W552=1,IF(COUNTIFS(C$5:C552,C552,W$5:W552,1)=1,1,0),0)</f>
        <v>0</v>
      </c>
      <c r="Y552" s="30" t="n">
        <f aca="false">IF(C552="",0,IF(AND(B552="brand",E552="renewal_answer",TRIM(G552)="yes",N(F552)&gt;=Inputs!$C$135),1,0))</f>
        <v>0</v>
      </c>
      <c r="Z552" s="30" t="n">
        <f aca="false">IF(Y552=1,IF(COUNTIFS(C$5:C552,C552,Y$5:Y552,1)=1,1,0),0)</f>
        <v>0</v>
      </c>
      <c r="AA552" s="30" t="n">
        <f aca="false">IF(AND(E552="budget_probe",ISNUMBER(F552),I552&lt;&gt;Lists!$X$4),1,0)</f>
        <v>0</v>
      </c>
      <c r="AB552" s="30" t="str">
        <f aca="false">IF(AND(B552="office",AA552=1,COUNTIFS(C$5:C552,C552,AA$5:AA552,1)=1),F552,"")</f>
        <v/>
      </c>
      <c r="AC552" s="30" t="str">
        <f aca="false">IF(AND(B552="brand",AA552=1,COUNTIFS(C$5:C552,C552,AA$5:AA552,1)=1),F552,"")</f>
        <v/>
      </c>
      <c r="AD552" s="30" t="str">
        <f aca="false">IF(AND(B552="brand",E552="budget_probe",ISNUMBER(F552),I552=Lists!$X$4),IF(COUNTIFS(C$5:C552,C552,E$5:E552,"budget_probe",I$5:I552,Lists!$X$4)=1,F552,""),"")</f>
        <v/>
      </c>
      <c r="AE552" s="30" t="n">
        <f aca="false">IF(AND(B552="brand",E552="paid",ISNUMBER(F552)),IF(AND(SUMIFS(F$5:F552,B$5:B552,"brand",C$5:C552,C552,E$5:E552,"paid")&gt;=Inputs!$C$44,SUMIFS(F$5:F552,B$5:B552,"brand",C$5:C552,C552,E$5:E552,"paid")-F552&lt;Inputs!$C$44),1,0),0)</f>
        <v>0</v>
      </c>
    </row>
    <row r="553" customFormat="false" ht="15" hidden="false" customHeight="false" outlineLevel="0" collapsed="false">
      <c r="A553" s="102"/>
      <c r="B553" s="103"/>
      <c r="C553" s="103"/>
      <c r="D553" s="103"/>
      <c r="E553" s="103"/>
      <c r="F553" s="103"/>
      <c r="G553" s="103"/>
      <c r="H553" s="103"/>
      <c r="I553" s="103"/>
      <c r="T553" s="30" t="str">
        <f aca="false">IF(C553="","",IF(COUNTIFS(C$5:C553,C553,E$5:E553,E553)=1,1,0))</f>
        <v/>
      </c>
      <c r="U553" s="30" t="n">
        <f aca="false">IF(C553="",0,IF(AND(B553="brand",E553="budget_probe",N(F553)&gt;=Inputs!$C$124,H553="Y"),1,0))</f>
        <v>0</v>
      </c>
      <c r="V553" s="30" t="n">
        <f aca="false">IF(U553=1,IF(COUNTIFS(C$5:C553,C553,U$5:U553,1)=1,1,0),0)</f>
        <v>0</v>
      </c>
      <c r="W553" s="30" t="n">
        <f aca="false">IF(C553="",0,IF(AND(B553="office",E553="budget_probe",N(F553)&gt;=Inputs!$C$139),1,0))</f>
        <v>0</v>
      </c>
      <c r="X553" s="30" t="n">
        <f aca="false">IF(W553=1,IF(COUNTIFS(C$5:C553,C553,W$5:W553,1)=1,1,0),0)</f>
        <v>0</v>
      </c>
      <c r="Y553" s="30" t="n">
        <f aca="false">IF(C553="",0,IF(AND(B553="brand",E553="renewal_answer",TRIM(G553)="yes",N(F553)&gt;=Inputs!$C$135),1,0))</f>
        <v>0</v>
      </c>
      <c r="Z553" s="30" t="n">
        <f aca="false">IF(Y553=1,IF(COUNTIFS(C$5:C553,C553,Y$5:Y553,1)=1,1,0),0)</f>
        <v>0</v>
      </c>
      <c r="AA553" s="30" t="n">
        <f aca="false">IF(AND(E553="budget_probe",ISNUMBER(F553),I553&lt;&gt;Lists!$X$4),1,0)</f>
        <v>0</v>
      </c>
      <c r="AB553" s="30" t="str">
        <f aca="false">IF(AND(B553="office",AA553=1,COUNTIFS(C$5:C553,C553,AA$5:AA553,1)=1),F553,"")</f>
        <v/>
      </c>
      <c r="AC553" s="30" t="str">
        <f aca="false">IF(AND(B553="brand",AA553=1,COUNTIFS(C$5:C553,C553,AA$5:AA553,1)=1),F553,"")</f>
        <v/>
      </c>
      <c r="AD553" s="30" t="str">
        <f aca="false">IF(AND(B553="brand",E553="budget_probe",ISNUMBER(F553),I553=Lists!$X$4),IF(COUNTIFS(C$5:C553,C553,E$5:E553,"budget_probe",I$5:I553,Lists!$X$4)=1,F553,""),"")</f>
        <v/>
      </c>
      <c r="AE553" s="30" t="n">
        <f aca="false">IF(AND(B553="brand",E553="paid",ISNUMBER(F553)),IF(AND(SUMIFS(F$5:F553,B$5:B553,"brand",C$5:C553,C553,E$5:E553,"paid")&gt;=Inputs!$C$44,SUMIFS(F$5:F553,B$5:B553,"brand",C$5:C553,C553,E$5:E553,"paid")-F553&lt;Inputs!$C$44),1,0),0)</f>
        <v>0</v>
      </c>
    </row>
    <row r="554" customFormat="false" ht="15" hidden="false" customHeight="false" outlineLevel="0" collapsed="false">
      <c r="A554" s="102"/>
      <c r="B554" s="103"/>
      <c r="C554" s="103"/>
      <c r="D554" s="103"/>
      <c r="E554" s="103"/>
      <c r="F554" s="103"/>
      <c r="G554" s="103"/>
      <c r="H554" s="103"/>
      <c r="I554" s="103"/>
      <c r="T554" s="30" t="str">
        <f aca="false">IF(C554="","",IF(COUNTIFS(C$5:C554,C554,E$5:E554,E554)=1,1,0))</f>
        <v/>
      </c>
      <c r="U554" s="30" t="n">
        <f aca="false">IF(C554="",0,IF(AND(B554="brand",E554="budget_probe",N(F554)&gt;=Inputs!$C$124,H554="Y"),1,0))</f>
        <v>0</v>
      </c>
      <c r="V554" s="30" t="n">
        <f aca="false">IF(U554=1,IF(COUNTIFS(C$5:C554,C554,U$5:U554,1)=1,1,0),0)</f>
        <v>0</v>
      </c>
      <c r="W554" s="30" t="n">
        <f aca="false">IF(C554="",0,IF(AND(B554="office",E554="budget_probe",N(F554)&gt;=Inputs!$C$139),1,0))</f>
        <v>0</v>
      </c>
      <c r="X554" s="30" t="n">
        <f aca="false">IF(W554=1,IF(COUNTIFS(C$5:C554,C554,W$5:W554,1)=1,1,0),0)</f>
        <v>0</v>
      </c>
      <c r="Y554" s="30" t="n">
        <f aca="false">IF(C554="",0,IF(AND(B554="brand",E554="renewal_answer",TRIM(G554)="yes",N(F554)&gt;=Inputs!$C$135),1,0))</f>
        <v>0</v>
      </c>
      <c r="Z554" s="30" t="n">
        <f aca="false">IF(Y554=1,IF(COUNTIFS(C$5:C554,C554,Y$5:Y554,1)=1,1,0),0)</f>
        <v>0</v>
      </c>
      <c r="AA554" s="30" t="n">
        <f aca="false">IF(AND(E554="budget_probe",ISNUMBER(F554),I554&lt;&gt;Lists!$X$4),1,0)</f>
        <v>0</v>
      </c>
      <c r="AB554" s="30" t="str">
        <f aca="false">IF(AND(B554="office",AA554=1,COUNTIFS(C$5:C554,C554,AA$5:AA554,1)=1),F554,"")</f>
        <v/>
      </c>
      <c r="AC554" s="30" t="str">
        <f aca="false">IF(AND(B554="brand",AA554=1,COUNTIFS(C$5:C554,C554,AA$5:AA554,1)=1),F554,"")</f>
        <v/>
      </c>
      <c r="AD554" s="30" t="str">
        <f aca="false">IF(AND(B554="brand",E554="budget_probe",ISNUMBER(F554),I554=Lists!$X$4),IF(COUNTIFS(C$5:C554,C554,E$5:E554,"budget_probe",I$5:I554,Lists!$X$4)=1,F554,""),"")</f>
        <v/>
      </c>
      <c r="AE554" s="30" t="n">
        <f aca="false">IF(AND(B554="brand",E554="paid",ISNUMBER(F554)),IF(AND(SUMIFS(F$5:F554,B$5:B554,"brand",C$5:C554,C554,E$5:E554,"paid")&gt;=Inputs!$C$44,SUMIFS(F$5:F554,B$5:B554,"brand",C$5:C554,C554,E$5:E554,"paid")-F554&lt;Inputs!$C$44),1,0),0)</f>
        <v>0</v>
      </c>
    </row>
    <row r="555" customFormat="false" ht="15" hidden="false" customHeight="false" outlineLevel="0" collapsed="false">
      <c r="A555" s="102"/>
      <c r="B555" s="103"/>
      <c r="C555" s="103"/>
      <c r="D555" s="103"/>
      <c r="E555" s="103"/>
      <c r="F555" s="103"/>
      <c r="G555" s="103"/>
      <c r="H555" s="103"/>
      <c r="I555" s="103"/>
      <c r="T555" s="30" t="str">
        <f aca="false">IF(C555="","",IF(COUNTIFS(C$5:C555,C555,E$5:E555,E555)=1,1,0))</f>
        <v/>
      </c>
      <c r="U555" s="30" t="n">
        <f aca="false">IF(C555="",0,IF(AND(B555="brand",E555="budget_probe",N(F555)&gt;=Inputs!$C$124,H555="Y"),1,0))</f>
        <v>0</v>
      </c>
      <c r="V555" s="30" t="n">
        <f aca="false">IF(U555=1,IF(COUNTIFS(C$5:C555,C555,U$5:U555,1)=1,1,0),0)</f>
        <v>0</v>
      </c>
      <c r="W555" s="30" t="n">
        <f aca="false">IF(C555="",0,IF(AND(B555="office",E555="budget_probe",N(F555)&gt;=Inputs!$C$139),1,0))</f>
        <v>0</v>
      </c>
      <c r="X555" s="30" t="n">
        <f aca="false">IF(W555=1,IF(COUNTIFS(C$5:C555,C555,W$5:W555,1)=1,1,0),0)</f>
        <v>0</v>
      </c>
      <c r="Y555" s="30" t="n">
        <f aca="false">IF(C555="",0,IF(AND(B555="brand",E555="renewal_answer",TRIM(G555)="yes",N(F555)&gt;=Inputs!$C$135),1,0))</f>
        <v>0</v>
      </c>
      <c r="Z555" s="30" t="n">
        <f aca="false">IF(Y555=1,IF(COUNTIFS(C$5:C555,C555,Y$5:Y555,1)=1,1,0),0)</f>
        <v>0</v>
      </c>
      <c r="AA555" s="30" t="n">
        <f aca="false">IF(AND(E555="budget_probe",ISNUMBER(F555),I555&lt;&gt;Lists!$X$4),1,0)</f>
        <v>0</v>
      </c>
      <c r="AB555" s="30" t="str">
        <f aca="false">IF(AND(B555="office",AA555=1,COUNTIFS(C$5:C555,C555,AA$5:AA555,1)=1),F555,"")</f>
        <v/>
      </c>
      <c r="AC555" s="30" t="str">
        <f aca="false">IF(AND(B555="brand",AA555=1,COUNTIFS(C$5:C555,C555,AA$5:AA555,1)=1),F555,"")</f>
        <v/>
      </c>
      <c r="AD555" s="30" t="str">
        <f aca="false">IF(AND(B555="brand",E555="budget_probe",ISNUMBER(F555),I555=Lists!$X$4),IF(COUNTIFS(C$5:C555,C555,E$5:E555,"budget_probe",I$5:I555,Lists!$X$4)=1,F555,""),"")</f>
        <v/>
      </c>
      <c r="AE555" s="30" t="n">
        <f aca="false">IF(AND(B555="brand",E555="paid",ISNUMBER(F555)),IF(AND(SUMIFS(F$5:F555,B$5:B555,"brand",C$5:C555,C555,E$5:E555,"paid")&gt;=Inputs!$C$44,SUMIFS(F$5:F555,B$5:B555,"brand",C$5:C555,C555,E$5:E555,"paid")-F555&lt;Inputs!$C$44),1,0),0)</f>
        <v>0</v>
      </c>
    </row>
    <row r="556" customFormat="false" ht="15" hidden="false" customHeight="false" outlineLevel="0" collapsed="false">
      <c r="A556" s="102"/>
      <c r="B556" s="103"/>
      <c r="C556" s="103"/>
      <c r="D556" s="103"/>
      <c r="E556" s="103"/>
      <c r="F556" s="103"/>
      <c r="G556" s="103"/>
      <c r="H556" s="103"/>
      <c r="I556" s="103"/>
      <c r="T556" s="30" t="str">
        <f aca="false">IF(C556="","",IF(COUNTIFS(C$5:C556,C556,E$5:E556,E556)=1,1,0))</f>
        <v/>
      </c>
      <c r="U556" s="30" t="n">
        <f aca="false">IF(C556="",0,IF(AND(B556="brand",E556="budget_probe",N(F556)&gt;=Inputs!$C$124,H556="Y"),1,0))</f>
        <v>0</v>
      </c>
      <c r="V556" s="30" t="n">
        <f aca="false">IF(U556=1,IF(COUNTIFS(C$5:C556,C556,U$5:U556,1)=1,1,0),0)</f>
        <v>0</v>
      </c>
      <c r="W556" s="30" t="n">
        <f aca="false">IF(C556="",0,IF(AND(B556="office",E556="budget_probe",N(F556)&gt;=Inputs!$C$139),1,0))</f>
        <v>0</v>
      </c>
      <c r="X556" s="30" t="n">
        <f aca="false">IF(W556=1,IF(COUNTIFS(C$5:C556,C556,W$5:W556,1)=1,1,0),0)</f>
        <v>0</v>
      </c>
      <c r="Y556" s="30" t="n">
        <f aca="false">IF(C556="",0,IF(AND(B556="brand",E556="renewal_answer",TRIM(G556)="yes",N(F556)&gt;=Inputs!$C$135),1,0))</f>
        <v>0</v>
      </c>
      <c r="Z556" s="30" t="n">
        <f aca="false">IF(Y556=1,IF(COUNTIFS(C$5:C556,C556,Y$5:Y556,1)=1,1,0),0)</f>
        <v>0</v>
      </c>
      <c r="AA556" s="30" t="n">
        <f aca="false">IF(AND(E556="budget_probe",ISNUMBER(F556),I556&lt;&gt;Lists!$X$4),1,0)</f>
        <v>0</v>
      </c>
      <c r="AB556" s="30" t="str">
        <f aca="false">IF(AND(B556="office",AA556=1,COUNTIFS(C$5:C556,C556,AA$5:AA556,1)=1),F556,"")</f>
        <v/>
      </c>
      <c r="AC556" s="30" t="str">
        <f aca="false">IF(AND(B556="brand",AA556=1,COUNTIFS(C$5:C556,C556,AA$5:AA556,1)=1),F556,"")</f>
        <v/>
      </c>
      <c r="AD556" s="30" t="str">
        <f aca="false">IF(AND(B556="brand",E556="budget_probe",ISNUMBER(F556),I556=Lists!$X$4),IF(COUNTIFS(C$5:C556,C556,E$5:E556,"budget_probe",I$5:I556,Lists!$X$4)=1,F556,""),"")</f>
        <v/>
      </c>
      <c r="AE556" s="30" t="n">
        <f aca="false">IF(AND(B556="brand",E556="paid",ISNUMBER(F556)),IF(AND(SUMIFS(F$5:F556,B$5:B556,"brand",C$5:C556,C556,E$5:E556,"paid")&gt;=Inputs!$C$44,SUMIFS(F$5:F556,B$5:B556,"brand",C$5:C556,C556,E$5:E556,"paid")-F556&lt;Inputs!$C$44),1,0),0)</f>
        <v>0</v>
      </c>
    </row>
    <row r="557" customFormat="false" ht="15" hidden="false" customHeight="false" outlineLevel="0" collapsed="false">
      <c r="A557" s="102"/>
      <c r="B557" s="103"/>
      <c r="C557" s="103"/>
      <c r="D557" s="103"/>
      <c r="E557" s="103"/>
      <c r="F557" s="103"/>
      <c r="G557" s="103"/>
      <c r="H557" s="103"/>
      <c r="I557" s="103"/>
      <c r="T557" s="30" t="str">
        <f aca="false">IF(C557="","",IF(COUNTIFS(C$5:C557,C557,E$5:E557,E557)=1,1,0))</f>
        <v/>
      </c>
      <c r="U557" s="30" t="n">
        <f aca="false">IF(C557="",0,IF(AND(B557="brand",E557="budget_probe",N(F557)&gt;=Inputs!$C$124,H557="Y"),1,0))</f>
        <v>0</v>
      </c>
      <c r="V557" s="30" t="n">
        <f aca="false">IF(U557=1,IF(COUNTIFS(C$5:C557,C557,U$5:U557,1)=1,1,0),0)</f>
        <v>0</v>
      </c>
      <c r="W557" s="30" t="n">
        <f aca="false">IF(C557="",0,IF(AND(B557="office",E557="budget_probe",N(F557)&gt;=Inputs!$C$139),1,0))</f>
        <v>0</v>
      </c>
      <c r="X557" s="30" t="n">
        <f aca="false">IF(W557=1,IF(COUNTIFS(C$5:C557,C557,W$5:W557,1)=1,1,0),0)</f>
        <v>0</v>
      </c>
      <c r="Y557" s="30" t="n">
        <f aca="false">IF(C557="",0,IF(AND(B557="brand",E557="renewal_answer",TRIM(G557)="yes",N(F557)&gt;=Inputs!$C$135),1,0))</f>
        <v>0</v>
      </c>
      <c r="Z557" s="30" t="n">
        <f aca="false">IF(Y557=1,IF(COUNTIFS(C$5:C557,C557,Y$5:Y557,1)=1,1,0),0)</f>
        <v>0</v>
      </c>
      <c r="AA557" s="30" t="n">
        <f aca="false">IF(AND(E557="budget_probe",ISNUMBER(F557),I557&lt;&gt;Lists!$X$4),1,0)</f>
        <v>0</v>
      </c>
      <c r="AB557" s="30" t="str">
        <f aca="false">IF(AND(B557="office",AA557=1,COUNTIFS(C$5:C557,C557,AA$5:AA557,1)=1),F557,"")</f>
        <v/>
      </c>
      <c r="AC557" s="30" t="str">
        <f aca="false">IF(AND(B557="brand",AA557=1,COUNTIFS(C$5:C557,C557,AA$5:AA557,1)=1),F557,"")</f>
        <v/>
      </c>
      <c r="AD557" s="30" t="str">
        <f aca="false">IF(AND(B557="brand",E557="budget_probe",ISNUMBER(F557),I557=Lists!$X$4),IF(COUNTIFS(C$5:C557,C557,E$5:E557,"budget_probe",I$5:I557,Lists!$X$4)=1,F557,""),"")</f>
        <v/>
      </c>
      <c r="AE557" s="30" t="n">
        <f aca="false">IF(AND(B557="brand",E557="paid",ISNUMBER(F557)),IF(AND(SUMIFS(F$5:F557,B$5:B557,"brand",C$5:C557,C557,E$5:E557,"paid")&gt;=Inputs!$C$44,SUMIFS(F$5:F557,B$5:B557,"brand",C$5:C557,C557,E$5:E557,"paid")-F557&lt;Inputs!$C$44),1,0),0)</f>
        <v>0</v>
      </c>
    </row>
    <row r="558" customFormat="false" ht="15" hidden="false" customHeight="false" outlineLevel="0" collapsed="false">
      <c r="A558" s="102"/>
      <c r="B558" s="103"/>
      <c r="C558" s="103"/>
      <c r="D558" s="103"/>
      <c r="E558" s="103"/>
      <c r="F558" s="103"/>
      <c r="G558" s="103"/>
      <c r="H558" s="103"/>
      <c r="I558" s="103"/>
      <c r="T558" s="30" t="str">
        <f aca="false">IF(C558="","",IF(COUNTIFS(C$5:C558,C558,E$5:E558,E558)=1,1,0))</f>
        <v/>
      </c>
      <c r="U558" s="30" t="n">
        <f aca="false">IF(C558="",0,IF(AND(B558="brand",E558="budget_probe",N(F558)&gt;=Inputs!$C$124,H558="Y"),1,0))</f>
        <v>0</v>
      </c>
      <c r="V558" s="30" t="n">
        <f aca="false">IF(U558=1,IF(COUNTIFS(C$5:C558,C558,U$5:U558,1)=1,1,0),0)</f>
        <v>0</v>
      </c>
      <c r="W558" s="30" t="n">
        <f aca="false">IF(C558="",0,IF(AND(B558="office",E558="budget_probe",N(F558)&gt;=Inputs!$C$139),1,0))</f>
        <v>0</v>
      </c>
      <c r="X558" s="30" t="n">
        <f aca="false">IF(W558=1,IF(COUNTIFS(C$5:C558,C558,W$5:W558,1)=1,1,0),0)</f>
        <v>0</v>
      </c>
      <c r="Y558" s="30" t="n">
        <f aca="false">IF(C558="",0,IF(AND(B558="brand",E558="renewal_answer",TRIM(G558)="yes",N(F558)&gt;=Inputs!$C$135),1,0))</f>
        <v>0</v>
      </c>
      <c r="Z558" s="30" t="n">
        <f aca="false">IF(Y558=1,IF(COUNTIFS(C$5:C558,C558,Y$5:Y558,1)=1,1,0),0)</f>
        <v>0</v>
      </c>
      <c r="AA558" s="30" t="n">
        <f aca="false">IF(AND(E558="budget_probe",ISNUMBER(F558),I558&lt;&gt;Lists!$X$4),1,0)</f>
        <v>0</v>
      </c>
      <c r="AB558" s="30" t="str">
        <f aca="false">IF(AND(B558="office",AA558=1,COUNTIFS(C$5:C558,C558,AA$5:AA558,1)=1),F558,"")</f>
        <v/>
      </c>
      <c r="AC558" s="30" t="str">
        <f aca="false">IF(AND(B558="brand",AA558=1,COUNTIFS(C$5:C558,C558,AA$5:AA558,1)=1),F558,"")</f>
        <v/>
      </c>
      <c r="AD558" s="30" t="str">
        <f aca="false">IF(AND(B558="brand",E558="budget_probe",ISNUMBER(F558),I558=Lists!$X$4),IF(COUNTIFS(C$5:C558,C558,E$5:E558,"budget_probe",I$5:I558,Lists!$X$4)=1,F558,""),"")</f>
        <v/>
      </c>
      <c r="AE558" s="30" t="n">
        <f aca="false">IF(AND(B558="brand",E558="paid",ISNUMBER(F558)),IF(AND(SUMIFS(F$5:F558,B$5:B558,"brand",C$5:C558,C558,E$5:E558,"paid")&gt;=Inputs!$C$44,SUMIFS(F$5:F558,B$5:B558,"brand",C$5:C558,C558,E$5:E558,"paid")-F558&lt;Inputs!$C$44),1,0),0)</f>
        <v>0</v>
      </c>
    </row>
    <row r="559" customFormat="false" ht="15" hidden="false" customHeight="false" outlineLevel="0" collapsed="false">
      <c r="A559" s="102"/>
      <c r="B559" s="103"/>
      <c r="C559" s="103"/>
      <c r="D559" s="103"/>
      <c r="E559" s="103"/>
      <c r="F559" s="103"/>
      <c r="G559" s="103"/>
      <c r="H559" s="103"/>
      <c r="I559" s="103"/>
      <c r="T559" s="30" t="str">
        <f aca="false">IF(C559="","",IF(COUNTIFS(C$5:C559,C559,E$5:E559,E559)=1,1,0))</f>
        <v/>
      </c>
      <c r="U559" s="30" t="n">
        <f aca="false">IF(C559="",0,IF(AND(B559="brand",E559="budget_probe",N(F559)&gt;=Inputs!$C$124,H559="Y"),1,0))</f>
        <v>0</v>
      </c>
      <c r="V559" s="30" t="n">
        <f aca="false">IF(U559=1,IF(COUNTIFS(C$5:C559,C559,U$5:U559,1)=1,1,0),0)</f>
        <v>0</v>
      </c>
      <c r="W559" s="30" t="n">
        <f aca="false">IF(C559="",0,IF(AND(B559="office",E559="budget_probe",N(F559)&gt;=Inputs!$C$139),1,0))</f>
        <v>0</v>
      </c>
      <c r="X559" s="30" t="n">
        <f aca="false">IF(W559=1,IF(COUNTIFS(C$5:C559,C559,W$5:W559,1)=1,1,0),0)</f>
        <v>0</v>
      </c>
      <c r="Y559" s="30" t="n">
        <f aca="false">IF(C559="",0,IF(AND(B559="brand",E559="renewal_answer",TRIM(G559)="yes",N(F559)&gt;=Inputs!$C$135),1,0))</f>
        <v>0</v>
      </c>
      <c r="Z559" s="30" t="n">
        <f aca="false">IF(Y559=1,IF(COUNTIFS(C$5:C559,C559,Y$5:Y559,1)=1,1,0),0)</f>
        <v>0</v>
      </c>
      <c r="AA559" s="30" t="n">
        <f aca="false">IF(AND(E559="budget_probe",ISNUMBER(F559),I559&lt;&gt;Lists!$X$4),1,0)</f>
        <v>0</v>
      </c>
      <c r="AB559" s="30" t="str">
        <f aca="false">IF(AND(B559="office",AA559=1,COUNTIFS(C$5:C559,C559,AA$5:AA559,1)=1),F559,"")</f>
        <v/>
      </c>
      <c r="AC559" s="30" t="str">
        <f aca="false">IF(AND(B559="brand",AA559=1,COUNTIFS(C$5:C559,C559,AA$5:AA559,1)=1),F559,"")</f>
        <v/>
      </c>
      <c r="AD559" s="30" t="str">
        <f aca="false">IF(AND(B559="brand",E559="budget_probe",ISNUMBER(F559),I559=Lists!$X$4),IF(COUNTIFS(C$5:C559,C559,E$5:E559,"budget_probe",I$5:I559,Lists!$X$4)=1,F559,""),"")</f>
        <v/>
      </c>
      <c r="AE559" s="30" t="n">
        <f aca="false">IF(AND(B559="brand",E559="paid",ISNUMBER(F559)),IF(AND(SUMIFS(F$5:F559,B$5:B559,"brand",C$5:C559,C559,E$5:E559,"paid")&gt;=Inputs!$C$44,SUMIFS(F$5:F559,B$5:B559,"brand",C$5:C559,C559,E$5:E559,"paid")-F559&lt;Inputs!$C$44),1,0),0)</f>
        <v>0</v>
      </c>
    </row>
    <row r="560" customFormat="false" ht="15" hidden="false" customHeight="false" outlineLevel="0" collapsed="false">
      <c r="A560" s="102"/>
      <c r="B560" s="103"/>
      <c r="C560" s="103"/>
      <c r="D560" s="103"/>
      <c r="E560" s="103"/>
      <c r="F560" s="103"/>
      <c r="G560" s="103"/>
      <c r="H560" s="103"/>
      <c r="I560" s="103"/>
      <c r="T560" s="30" t="str">
        <f aca="false">IF(C560="","",IF(COUNTIFS(C$5:C560,C560,E$5:E560,E560)=1,1,0))</f>
        <v/>
      </c>
      <c r="U560" s="30" t="n">
        <f aca="false">IF(C560="",0,IF(AND(B560="brand",E560="budget_probe",N(F560)&gt;=Inputs!$C$124,H560="Y"),1,0))</f>
        <v>0</v>
      </c>
      <c r="V560" s="30" t="n">
        <f aca="false">IF(U560=1,IF(COUNTIFS(C$5:C560,C560,U$5:U560,1)=1,1,0),0)</f>
        <v>0</v>
      </c>
      <c r="W560" s="30" t="n">
        <f aca="false">IF(C560="",0,IF(AND(B560="office",E560="budget_probe",N(F560)&gt;=Inputs!$C$139),1,0))</f>
        <v>0</v>
      </c>
      <c r="X560" s="30" t="n">
        <f aca="false">IF(W560=1,IF(COUNTIFS(C$5:C560,C560,W$5:W560,1)=1,1,0),0)</f>
        <v>0</v>
      </c>
      <c r="Y560" s="30" t="n">
        <f aca="false">IF(C560="",0,IF(AND(B560="brand",E560="renewal_answer",TRIM(G560)="yes",N(F560)&gt;=Inputs!$C$135),1,0))</f>
        <v>0</v>
      </c>
      <c r="Z560" s="30" t="n">
        <f aca="false">IF(Y560=1,IF(COUNTIFS(C$5:C560,C560,Y$5:Y560,1)=1,1,0),0)</f>
        <v>0</v>
      </c>
      <c r="AA560" s="30" t="n">
        <f aca="false">IF(AND(E560="budget_probe",ISNUMBER(F560),I560&lt;&gt;Lists!$X$4),1,0)</f>
        <v>0</v>
      </c>
      <c r="AB560" s="30" t="str">
        <f aca="false">IF(AND(B560="office",AA560=1,COUNTIFS(C$5:C560,C560,AA$5:AA560,1)=1),F560,"")</f>
        <v/>
      </c>
      <c r="AC560" s="30" t="str">
        <f aca="false">IF(AND(B560="brand",AA560=1,COUNTIFS(C$5:C560,C560,AA$5:AA560,1)=1),F560,"")</f>
        <v/>
      </c>
      <c r="AD560" s="30" t="str">
        <f aca="false">IF(AND(B560="brand",E560="budget_probe",ISNUMBER(F560),I560=Lists!$X$4),IF(COUNTIFS(C$5:C560,C560,E$5:E560,"budget_probe",I$5:I560,Lists!$X$4)=1,F560,""),"")</f>
        <v/>
      </c>
      <c r="AE560" s="30" t="n">
        <f aca="false">IF(AND(B560="brand",E560="paid",ISNUMBER(F560)),IF(AND(SUMIFS(F$5:F560,B$5:B560,"brand",C$5:C560,C560,E$5:E560,"paid")&gt;=Inputs!$C$44,SUMIFS(F$5:F560,B$5:B560,"brand",C$5:C560,C560,E$5:E560,"paid")-F560&lt;Inputs!$C$44),1,0),0)</f>
        <v>0</v>
      </c>
    </row>
    <row r="561" customFormat="false" ht="15" hidden="false" customHeight="false" outlineLevel="0" collapsed="false">
      <c r="A561" s="102"/>
      <c r="B561" s="103"/>
      <c r="C561" s="103"/>
      <c r="D561" s="103"/>
      <c r="E561" s="103"/>
      <c r="F561" s="103"/>
      <c r="G561" s="103"/>
      <c r="H561" s="103"/>
      <c r="I561" s="103"/>
      <c r="T561" s="30" t="str">
        <f aca="false">IF(C561="","",IF(COUNTIFS(C$5:C561,C561,E$5:E561,E561)=1,1,0))</f>
        <v/>
      </c>
      <c r="U561" s="30" t="n">
        <f aca="false">IF(C561="",0,IF(AND(B561="brand",E561="budget_probe",N(F561)&gt;=Inputs!$C$124,H561="Y"),1,0))</f>
        <v>0</v>
      </c>
      <c r="V561" s="30" t="n">
        <f aca="false">IF(U561=1,IF(COUNTIFS(C$5:C561,C561,U$5:U561,1)=1,1,0),0)</f>
        <v>0</v>
      </c>
      <c r="W561" s="30" t="n">
        <f aca="false">IF(C561="",0,IF(AND(B561="office",E561="budget_probe",N(F561)&gt;=Inputs!$C$139),1,0))</f>
        <v>0</v>
      </c>
      <c r="X561" s="30" t="n">
        <f aca="false">IF(W561=1,IF(COUNTIFS(C$5:C561,C561,W$5:W561,1)=1,1,0),0)</f>
        <v>0</v>
      </c>
      <c r="Y561" s="30" t="n">
        <f aca="false">IF(C561="",0,IF(AND(B561="brand",E561="renewal_answer",TRIM(G561)="yes",N(F561)&gt;=Inputs!$C$135),1,0))</f>
        <v>0</v>
      </c>
      <c r="Z561" s="30" t="n">
        <f aca="false">IF(Y561=1,IF(COUNTIFS(C$5:C561,C561,Y$5:Y561,1)=1,1,0),0)</f>
        <v>0</v>
      </c>
      <c r="AA561" s="30" t="n">
        <f aca="false">IF(AND(E561="budget_probe",ISNUMBER(F561),I561&lt;&gt;Lists!$X$4),1,0)</f>
        <v>0</v>
      </c>
      <c r="AB561" s="30" t="str">
        <f aca="false">IF(AND(B561="office",AA561=1,COUNTIFS(C$5:C561,C561,AA$5:AA561,1)=1),F561,"")</f>
        <v/>
      </c>
      <c r="AC561" s="30" t="str">
        <f aca="false">IF(AND(B561="brand",AA561=1,COUNTIFS(C$5:C561,C561,AA$5:AA561,1)=1),F561,"")</f>
        <v/>
      </c>
      <c r="AD561" s="30" t="str">
        <f aca="false">IF(AND(B561="brand",E561="budget_probe",ISNUMBER(F561),I561=Lists!$X$4),IF(COUNTIFS(C$5:C561,C561,E$5:E561,"budget_probe",I$5:I561,Lists!$X$4)=1,F561,""),"")</f>
        <v/>
      </c>
      <c r="AE561" s="30" t="n">
        <f aca="false">IF(AND(B561="brand",E561="paid",ISNUMBER(F561)),IF(AND(SUMIFS(F$5:F561,B$5:B561,"brand",C$5:C561,C561,E$5:E561,"paid")&gt;=Inputs!$C$44,SUMIFS(F$5:F561,B$5:B561,"brand",C$5:C561,C561,E$5:E561,"paid")-F561&lt;Inputs!$C$44),1,0),0)</f>
        <v>0</v>
      </c>
    </row>
    <row r="562" customFormat="false" ht="15" hidden="false" customHeight="false" outlineLevel="0" collapsed="false">
      <c r="A562" s="102"/>
      <c r="B562" s="103"/>
      <c r="C562" s="103"/>
      <c r="D562" s="103"/>
      <c r="E562" s="103"/>
      <c r="F562" s="103"/>
      <c r="G562" s="103"/>
      <c r="H562" s="103"/>
      <c r="I562" s="103"/>
      <c r="T562" s="30" t="str">
        <f aca="false">IF(C562="","",IF(COUNTIFS(C$5:C562,C562,E$5:E562,E562)=1,1,0))</f>
        <v/>
      </c>
      <c r="U562" s="30" t="n">
        <f aca="false">IF(C562="",0,IF(AND(B562="brand",E562="budget_probe",N(F562)&gt;=Inputs!$C$124,H562="Y"),1,0))</f>
        <v>0</v>
      </c>
      <c r="V562" s="30" t="n">
        <f aca="false">IF(U562=1,IF(COUNTIFS(C$5:C562,C562,U$5:U562,1)=1,1,0),0)</f>
        <v>0</v>
      </c>
      <c r="W562" s="30" t="n">
        <f aca="false">IF(C562="",0,IF(AND(B562="office",E562="budget_probe",N(F562)&gt;=Inputs!$C$139),1,0))</f>
        <v>0</v>
      </c>
      <c r="X562" s="30" t="n">
        <f aca="false">IF(W562=1,IF(COUNTIFS(C$5:C562,C562,W$5:W562,1)=1,1,0),0)</f>
        <v>0</v>
      </c>
      <c r="Y562" s="30" t="n">
        <f aca="false">IF(C562="",0,IF(AND(B562="brand",E562="renewal_answer",TRIM(G562)="yes",N(F562)&gt;=Inputs!$C$135),1,0))</f>
        <v>0</v>
      </c>
      <c r="Z562" s="30" t="n">
        <f aca="false">IF(Y562=1,IF(COUNTIFS(C$5:C562,C562,Y$5:Y562,1)=1,1,0),0)</f>
        <v>0</v>
      </c>
      <c r="AA562" s="30" t="n">
        <f aca="false">IF(AND(E562="budget_probe",ISNUMBER(F562),I562&lt;&gt;Lists!$X$4),1,0)</f>
        <v>0</v>
      </c>
      <c r="AB562" s="30" t="str">
        <f aca="false">IF(AND(B562="office",AA562=1,COUNTIFS(C$5:C562,C562,AA$5:AA562,1)=1),F562,"")</f>
        <v/>
      </c>
      <c r="AC562" s="30" t="str">
        <f aca="false">IF(AND(B562="brand",AA562=1,COUNTIFS(C$5:C562,C562,AA$5:AA562,1)=1),F562,"")</f>
        <v/>
      </c>
      <c r="AD562" s="30" t="str">
        <f aca="false">IF(AND(B562="brand",E562="budget_probe",ISNUMBER(F562),I562=Lists!$X$4),IF(COUNTIFS(C$5:C562,C562,E$5:E562,"budget_probe",I$5:I562,Lists!$X$4)=1,F562,""),"")</f>
        <v/>
      </c>
      <c r="AE562" s="30" t="n">
        <f aca="false">IF(AND(B562="brand",E562="paid",ISNUMBER(F562)),IF(AND(SUMIFS(F$5:F562,B$5:B562,"brand",C$5:C562,C562,E$5:E562,"paid")&gt;=Inputs!$C$44,SUMIFS(F$5:F562,B$5:B562,"brand",C$5:C562,C562,E$5:E562,"paid")-F562&lt;Inputs!$C$44),1,0),0)</f>
        <v>0</v>
      </c>
    </row>
    <row r="563" customFormat="false" ht="15" hidden="false" customHeight="false" outlineLevel="0" collapsed="false">
      <c r="A563" s="102"/>
      <c r="B563" s="103"/>
      <c r="C563" s="103"/>
      <c r="D563" s="103"/>
      <c r="E563" s="103"/>
      <c r="F563" s="103"/>
      <c r="G563" s="103"/>
      <c r="H563" s="103"/>
      <c r="I563" s="103"/>
      <c r="T563" s="30" t="str">
        <f aca="false">IF(C563="","",IF(COUNTIFS(C$5:C563,C563,E$5:E563,E563)=1,1,0))</f>
        <v/>
      </c>
      <c r="U563" s="30" t="n">
        <f aca="false">IF(C563="",0,IF(AND(B563="brand",E563="budget_probe",N(F563)&gt;=Inputs!$C$124,H563="Y"),1,0))</f>
        <v>0</v>
      </c>
      <c r="V563" s="30" t="n">
        <f aca="false">IF(U563=1,IF(COUNTIFS(C$5:C563,C563,U$5:U563,1)=1,1,0),0)</f>
        <v>0</v>
      </c>
      <c r="W563" s="30" t="n">
        <f aca="false">IF(C563="",0,IF(AND(B563="office",E563="budget_probe",N(F563)&gt;=Inputs!$C$139),1,0))</f>
        <v>0</v>
      </c>
      <c r="X563" s="30" t="n">
        <f aca="false">IF(W563=1,IF(COUNTIFS(C$5:C563,C563,W$5:W563,1)=1,1,0),0)</f>
        <v>0</v>
      </c>
      <c r="Y563" s="30" t="n">
        <f aca="false">IF(C563="",0,IF(AND(B563="brand",E563="renewal_answer",TRIM(G563)="yes",N(F563)&gt;=Inputs!$C$135),1,0))</f>
        <v>0</v>
      </c>
      <c r="Z563" s="30" t="n">
        <f aca="false">IF(Y563=1,IF(COUNTIFS(C$5:C563,C563,Y$5:Y563,1)=1,1,0),0)</f>
        <v>0</v>
      </c>
      <c r="AA563" s="30" t="n">
        <f aca="false">IF(AND(E563="budget_probe",ISNUMBER(F563),I563&lt;&gt;Lists!$X$4),1,0)</f>
        <v>0</v>
      </c>
      <c r="AB563" s="30" t="str">
        <f aca="false">IF(AND(B563="office",AA563=1,COUNTIFS(C$5:C563,C563,AA$5:AA563,1)=1),F563,"")</f>
        <v/>
      </c>
      <c r="AC563" s="30" t="str">
        <f aca="false">IF(AND(B563="brand",AA563=1,COUNTIFS(C$5:C563,C563,AA$5:AA563,1)=1),F563,"")</f>
        <v/>
      </c>
      <c r="AD563" s="30" t="str">
        <f aca="false">IF(AND(B563="brand",E563="budget_probe",ISNUMBER(F563),I563=Lists!$X$4),IF(COUNTIFS(C$5:C563,C563,E$5:E563,"budget_probe",I$5:I563,Lists!$X$4)=1,F563,""),"")</f>
        <v/>
      </c>
      <c r="AE563" s="30" t="n">
        <f aca="false">IF(AND(B563="brand",E563="paid",ISNUMBER(F563)),IF(AND(SUMIFS(F$5:F563,B$5:B563,"brand",C$5:C563,C563,E$5:E563,"paid")&gt;=Inputs!$C$44,SUMIFS(F$5:F563,B$5:B563,"brand",C$5:C563,C563,E$5:E563,"paid")-F563&lt;Inputs!$C$44),1,0),0)</f>
        <v>0</v>
      </c>
    </row>
    <row r="564" customFormat="false" ht="15" hidden="false" customHeight="false" outlineLevel="0" collapsed="false">
      <c r="A564" s="102"/>
      <c r="B564" s="103"/>
      <c r="C564" s="103"/>
      <c r="D564" s="103"/>
      <c r="E564" s="103"/>
      <c r="F564" s="103"/>
      <c r="G564" s="103"/>
      <c r="H564" s="103"/>
      <c r="I564" s="103"/>
      <c r="T564" s="30" t="str">
        <f aca="false">IF(C564="","",IF(COUNTIFS(C$5:C564,C564,E$5:E564,E564)=1,1,0))</f>
        <v/>
      </c>
      <c r="U564" s="30" t="n">
        <f aca="false">IF(C564="",0,IF(AND(B564="brand",E564="budget_probe",N(F564)&gt;=Inputs!$C$124,H564="Y"),1,0))</f>
        <v>0</v>
      </c>
      <c r="V564" s="30" t="n">
        <f aca="false">IF(U564=1,IF(COUNTIFS(C$5:C564,C564,U$5:U564,1)=1,1,0),0)</f>
        <v>0</v>
      </c>
      <c r="W564" s="30" t="n">
        <f aca="false">IF(C564="",0,IF(AND(B564="office",E564="budget_probe",N(F564)&gt;=Inputs!$C$139),1,0))</f>
        <v>0</v>
      </c>
      <c r="X564" s="30" t="n">
        <f aca="false">IF(W564=1,IF(COUNTIFS(C$5:C564,C564,W$5:W564,1)=1,1,0),0)</f>
        <v>0</v>
      </c>
      <c r="Y564" s="30" t="n">
        <f aca="false">IF(C564="",0,IF(AND(B564="brand",E564="renewal_answer",TRIM(G564)="yes",N(F564)&gt;=Inputs!$C$135),1,0))</f>
        <v>0</v>
      </c>
      <c r="Z564" s="30" t="n">
        <f aca="false">IF(Y564=1,IF(COUNTIFS(C$5:C564,C564,Y$5:Y564,1)=1,1,0),0)</f>
        <v>0</v>
      </c>
      <c r="AA564" s="30" t="n">
        <f aca="false">IF(AND(E564="budget_probe",ISNUMBER(F564),I564&lt;&gt;Lists!$X$4),1,0)</f>
        <v>0</v>
      </c>
      <c r="AB564" s="30" t="str">
        <f aca="false">IF(AND(B564="office",AA564=1,COUNTIFS(C$5:C564,C564,AA$5:AA564,1)=1),F564,"")</f>
        <v/>
      </c>
      <c r="AC564" s="30" t="str">
        <f aca="false">IF(AND(B564="brand",AA564=1,COUNTIFS(C$5:C564,C564,AA$5:AA564,1)=1),F564,"")</f>
        <v/>
      </c>
      <c r="AD564" s="30" t="str">
        <f aca="false">IF(AND(B564="brand",E564="budget_probe",ISNUMBER(F564),I564=Lists!$X$4),IF(COUNTIFS(C$5:C564,C564,E$5:E564,"budget_probe",I$5:I564,Lists!$X$4)=1,F564,""),"")</f>
        <v/>
      </c>
      <c r="AE564" s="30" t="n">
        <f aca="false">IF(AND(B564="brand",E564="paid",ISNUMBER(F564)),IF(AND(SUMIFS(F$5:F564,B$5:B564,"brand",C$5:C564,C564,E$5:E564,"paid")&gt;=Inputs!$C$44,SUMIFS(F$5:F564,B$5:B564,"brand",C$5:C564,C564,E$5:E564,"paid")-F564&lt;Inputs!$C$44),1,0),0)</f>
        <v>0</v>
      </c>
    </row>
    <row r="565" customFormat="false" ht="15" hidden="false" customHeight="false" outlineLevel="0" collapsed="false">
      <c r="A565" s="102"/>
      <c r="B565" s="103"/>
      <c r="C565" s="103"/>
      <c r="D565" s="103"/>
      <c r="E565" s="103"/>
      <c r="F565" s="103"/>
      <c r="G565" s="103"/>
      <c r="H565" s="103"/>
      <c r="I565" s="103"/>
      <c r="T565" s="30" t="str">
        <f aca="false">IF(C565="","",IF(COUNTIFS(C$5:C565,C565,E$5:E565,E565)=1,1,0))</f>
        <v/>
      </c>
      <c r="U565" s="30" t="n">
        <f aca="false">IF(C565="",0,IF(AND(B565="brand",E565="budget_probe",N(F565)&gt;=Inputs!$C$124,H565="Y"),1,0))</f>
        <v>0</v>
      </c>
      <c r="V565" s="30" t="n">
        <f aca="false">IF(U565=1,IF(COUNTIFS(C$5:C565,C565,U$5:U565,1)=1,1,0),0)</f>
        <v>0</v>
      </c>
      <c r="W565" s="30" t="n">
        <f aca="false">IF(C565="",0,IF(AND(B565="office",E565="budget_probe",N(F565)&gt;=Inputs!$C$139),1,0))</f>
        <v>0</v>
      </c>
      <c r="X565" s="30" t="n">
        <f aca="false">IF(W565=1,IF(COUNTIFS(C$5:C565,C565,W$5:W565,1)=1,1,0),0)</f>
        <v>0</v>
      </c>
      <c r="Y565" s="30" t="n">
        <f aca="false">IF(C565="",0,IF(AND(B565="brand",E565="renewal_answer",TRIM(G565)="yes",N(F565)&gt;=Inputs!$C$135),1,0))</f>
        <v>0</v>
      </c>
      <c r="Z565" s="30" t="n">
        <f aca="false">IF(Y565=1,IF(COUNTIFS(C$5:C565,C565,Y$5:Y565,1)=1,1,0),0)</f>
        <v>0</v>
      </c>
      <c r="AA565" s="30" t="n">
        <f aca="false">IF(AND(E565="budget_probe",ISNUMBER(F565),I565&lt;&gt;Lists!$X$4),1,0)</f>
        <v>0</v>
      </c>
      <c r="AB565" s="30" t="str">
        <f aca="false">IF(AND(B565="office",AA565=1,COUNTIFS(C$5:C565,C565,AA$5:AA565,1)=1),F565,"")</f>
        <v/>
      </c>
      <c r="AC565" s="30" t="str">
        <f aca="false">IF(AND(B565="brand",AA565=1,COUNTIFS(C$5:C565,C565,AA$5:AA565,1)=1),F565,"")</f>
        <v/>
      </c>
      <c r="AD565" s="30" t="str">
        <f aca="false">IF(AND(B565="brand",E565="budget_probe",ISNUMBER(F565),I565=Lists!$X$4),IF(COUNTIFS(C$5:C565,C565,E$5:E565,"budget_probe",I$5:I565,Lists!$X$4)=1,F565,""),"")</f>
        <v/>
      </c>
      <c r="AE565" s="30" t="n">
        <f aca="false">IF(AND(B565="brand",E565="paid",ISNUMBER(F565)),IF(AND(SUMIFS(F$5:F565,B$5:B565,"brand",C$5:C565,C565,E$5:E565,"paid")&gt;=Inputs!$C$44,SUMIFS(F$5:F565,B$5:B565,"brand",C$5:C565,C565,E$5:E565,"paid")-F565&lt;Inputs!$C$44),1,0),0)</f>
        <v>0</v>
      </c>
    </row>
    <row r="566" customFormat="false" ht="15" hidden="false" customHeight="false" outlineLevel="0" collapsed="false">
      <c r="A566" s="102"/>
      <c r="B566" s="103"/>
      <c r="C566" s="103"/>
      <c r="D566" s="103"/>
      <c r="E566" s="103"/>
      <c r="F566" s="103"/>
      <c r="G566" s="103"/>
      <c r="H566" s="103"/>
      <c r="I566" s="103"/>
      <c r="T566" s="30" t="str">
        <f aca="false">IF(C566="","",IF(COUNTIFS(C$5:C566,C566,E$5:E566,E566)=1,1,0))</f>
        <v/>
      </c>
      <c r="U566" s="30" t="n">
        <f aca="false">IF(C566="",0,IF(AND(B566="brand",E566="budget_probe",N(F566)&gt;=Inputs!$C$124,H566="Y"),1,0))</f>
        <v>0</v>
      </c>
      <c r="V566" s="30" t="n">
        <f aca="false">IF(U566=1,IF(COUNTIFS(C$5:C566,C566,U$5:U566,1)=1,1,0),0)</f>
        <v>0</v>
      </c>
      <c r="W566" s="30" t="n">
        <f aca="false">IF(C566="",0,IF(AND(B566="office",E566="budget_probe",N(F566)&gt;=Inputs!$C$139),1,0))</f>
        <v>0</v>
      </c>
      <c r="X566" s="30" t="n">
        <f aca="false">IF(W566=1,IF(COUNTIFS(C$5:C566,C566,W$5:W566,1)=1,1,0),0)</f>
        <v>0</v>
      </c>
      <c r="Y566" s="30" t="n">
        <f aca="false">IF(C566="",0,IF(AND(B566="brand",E566="renewal_answer",TRIM(G566)="yes",N(F566)&gt;=Inputs!$C$135),1,0))</f>
        <v>0</v>
      </c>
      <c r="Z566" s="30" t="n">
        <f aca="false">IF(Y566=1,IF(COUNTIFS(C$5:C566,C566,Y$5:Y566,1)=1,1,0),0)</f>
        <v>0</v>
      </c>
      <c r="AA566" s="30" t="n">
        <f aca="false">IF(AND(E566="budget_probe",ISNUMBER(F566),I566&lt;&gt;Lists!$X$4),1,0)</f>
        <v>0</v>
      </c>
      <c r="AB566" s="30" t="str">
        <f aca="false">IF(AND(B566="office",AA566=1,COUNTIFS(C$5:C566,C566,AA$5:AA566,1)=1),F566,"")</f>
        <v/>
      </c>
      <c r="AC566" s="30" t="str">
        <f aca="false">IF(AND(B566="brand",AA566=1,COUNTIFS(C$5:C566,C566,AA$5:AA566,1)=1),F566,"")</f>
        <v/>
      </c>
      <c r="AD566" s="30" t="str">
        <f aca="false">IF(AND(B566="brand",E566="budget_probe",ISNUMBER(F566),I566=Lists!$X$4),IF(COUNTIFS(C$5:C566,C566,E$5:E566,"budget_probe",I$5:I566,Lists!$X$4)=1,F566,""),"")</f>
        <v/>
      </c>
      <c r="AE566" s="30" t="n">
        <f aca="false">IF(AND(B566="brand",E566="paid",ISNUMBER(F566)),IF(AND(SUMIFS(F$5:F566,B$5:B566,"brand",C$5:C566,C566,E$5:E566,"paid")&gt;=Inputs!$C$44,SUMIFS(F$5:F566,B$5:B566,"brand",C$5:C566,C566,E$5:E566,"paid")-F566&lt;Inputs!$C$44),1,0),0)</f>
        <v>0</v>
      </c>
    </row>
    <row r="567" customFormat="false" ht="15" hidden="false" customHeight="false" outlineLevel="0" collapsed="false">
      <c r="A567" s="102"/>
      <c r="B567" s="103"/>
      <c r="C567" s="103"/>
      <c r="D567" s="103"/>
      <c r="E567" s="103"/>
      <c r="F567" s="103"/>
      <c r="G567" s="103"/>
      <c r="H567" s="103"/>
      <c r="I567" s="103"/>
      <c r="T567" s="30" t="str">
        <f aca="false">IF(C567="","",IF(COUNTIFS(C$5:C567,C567,E$5:E567,E567)=1,1,0))</f>
        <v/>
      </c>
      <c r="U567" s="30" t="n">
        <f aca="false">IF(C567="",0,IF(AND(B567="brand",E567="budget_probe",N(F567)&gt;=Inputs!$C$124,H567="Y"),1,0))</f>
        <v>0</v>
      </c>
      <c r="V567" s="30" t="n">
        <f aca="false">IF(U567=1,IF(COUNTIFS(C$5:C567,C567,U$5:U567,1)=1,1,0),0)</f>
        <v>0</v>
      </c>
      <c r="W567" s="30" t="n">
        <f aca="false">IF(C567="",0,IF(AND(B567="office",E567="budget_probe",N(F567)&gt;=Inputs!$C$139),1,0))</f>
        <v>0</v>
      </c>
      <c r="X567" s="30" t="n">
        <f aca="false">IF(W567=1,IF(COUNTIFS(C$5:C567,C567,W$5:W567,1)=1,1,0),0)</f>
        <v>0</v>
      </c>
      <c r="Y567" s="30" t="n">
        <f aca="false">IF(C567="",0,IF(AND(B567="brand",E567="renewal_answer",TRIM(G567)="yes",N(F567)&gt;=Inputs!$C$135),1,0))</f>
        <v>0</v>
      </c>
      <c r="Z567" s="30" t="n">
        <f aca="false">IF(Y567=1,IF(COUNTIFS(C$5:C567,C567,Y$5:Y567,1)=1,1,0),0)</f>
        <v>0</v>
      </c>
      <c r="AA567" s="30" t="n">
        <f aca="false">IF(AND(E567="budget_probe",ISNUMBER(F567),I567&lt;&gt;Lists!$X$4),1,0)</f>
        <v>0</v>
      </c>
      <c r="AB567" s="30" t="str">
        <f aca="false">IF(AND(B567="office",AA567=1,COUNTIFS(C$5:C567,C567,AA$5:AA567,1)=1),F567,"")</f>
        <v/>
      </c>
      <c r="AC567" s="30" t="str">
        <f aca="false">IF(AND(B567="brand",AA567=1,COUNTIFS(C$5:C567,C567,AA$5:AA567,1)=1),F567,"")</f>
        <v/>
      </c>
      <c r="AD567" s="30" t="str">
        <f aca="false">IF(AND(B567="brand",E567="budget_probe",ISNUMBER(F567),I567=Lists!$X$4),IF(COUNTIFS(C$5:C567,C567,E$5:E567,"budget_probe",I$5:I567,Lists!$X$4)=1,F567,""),"")</f>
        <v/>
      </c>
      <c r="AE567" s="30" t="n">
        <f aca="false">IF(AND(B567="brand",E567="paid",ISNUMBER(F567)),IF(AND(SUMIFS(F$5:F567,B$5:B567,"brand",C$5:C567,C567,E$5:E567,"paid")&gt;=Inputs!$C$44,SUMIFS(F$5:F567,B$5:B567,"brand",C$5:C567,C567,E$5:E567,"paid")-F567&lt;Inputs!$C$44),1,0),0)</f>
        <v>0</v>
      </c>
    </row>
    <row r="568" customFormat="false" ht="15" hidden="false" customHeight="false" outlineLevel="0" collapsed="false">
      <c r="A568" s="102"/>
      <c r="B568" s="103"/>
      <c r="C568" s="103"/>
      <c r="D568" s="103"/>
      <c r="E568" s="103"/>
      <c r="F568" s="103"/>
      <c r="G568" s="103"/>
      <c r="H568" s="103"/>
      <c r="I568" s="103"/>
      <c r="T568" s="30" t="str">
        <f aca="false">IF(C568="","",IF(COUNTIFS(C$5:C568,C568,E$5:E568,E568)=1,1,0))</f>
        <v/>
      </c>
      <c r="U568" s="30" t="n">
        <f aca="false">IF(C568="",0,IF(AND(B568="brand",E568="budget_probe",N(F568)&gt;=Inputs!$C$124,H568="Y"),1,0))</f>
        <v>0</v>
      </c>
      <c r="V568" s="30" t="n">
        <f aca="false">IF(U568=1,IF(COUNTIFS(C$5:C568,C568,U$5:U568,1)=1,1,0),0)</f>
        <v>0</v>
      </c>
      <c r="W568" s="30" t="n">
        <f aca="false">IF(C568="",0,IF(AND(B568="office",E568="budget_probe",N(F568)&gt;=Inputs!$C$139),1,0))</f>
        <v>0</v>
      </c>
      <c r="X568" s="30" t="n">
        <f aca="false">IF(W568=1,IF(COUNTIFS(C$5:C568,C568,W$5:W568,1)=1,1,0),0)</f>
        <v>0</v>
      </c>
      <c r="Y568" s="30" t="n">
        <f aca="false">IF(C568="",0,IF(AND(B568="brand",E568="renewal_answer",TRIM(G568)="yes",N(F568)&gt;=Inputs!$C$135),1,0))</f>
        <v>0</v>
      </c>
      <c r="Z568" s="30" t="n">
        <f aca="false">IF(Y568=1,IF(COUNTIFS(C$5:C568,C568,Y$5:Y568,1)=1,1,0),0)</f>
        <v>0</v>
      </c>
      <c r="AA568" s="30" t="n">
        <f aca="false">IF(AND(E568="budget_probe",ISNUMBER(F568),I568&lt;&gt;Lists!$X$4),1,0)</f>
        <v>0</v>
      </c>
      <c r="AB568" s="30" t="str">
        <f aca="false">IF(AND(B568="office",AA568=1,COUNTIFS(C$5:C568,C568,AA$5:AA568,1)=1),F568,"")</f>
        <v/>
      </c>
      <c r="AC568" s="30" t="str">
        <f aca="false">IF(AND(B568="brand",AA568=1,COUNTIFS(C$5:C568,C568,AA$5:AA568,1)=1),F568,"")</f>
        <v/>
      </c>
      <c r="AD568" s="30" t="str">
        <f aca="false">IF(AND(B568="brand",E568="budget_probe",ISNUMBER(F568),I568=Lists!$X$4),IF(COUNTIFS(C$5:C568,C568,E$5:E568,"budget_probe",I$5:I568,Lists!$X$4)=1,F568,""),"")</f>
        <v/>
      </c>
      <c r="AE568" s="30" t="n">
        <f aca="false">IF(AND(B568="brand",E568="paid",ISNUMBER(F568)),IF(AND(SUMIFS(F$5:F568,B$5:B568,"brand",C$5:C568,C568,E$5:E568,"paid")&gt;=Inputs!$C$44,SUMIFS(F$5:F568,B$5:B568,"brand",C$5:C568,C568,E$5:E568,"paid")-F568&lt;Inputs!$C$44),1,0),0)</f>
        <v>0</v>
      </c>
    </row>
    <row r="569" customFormat="false" ht="15" hidden="false" customHeight="false" outlineLevel="0" collapsed="false">
      <c r="A569" s="102"/>
      <c r="B569" s="103"/>
      <c r="C569" s="103"/>
      <c r="D569" s="103"/>
      <c r="E569" s="103"/>
      <c r="F569" s="103"/>
      <c r="G569" s="103"/>
      <c r="H569" s="103"/>
      <c r="I569" s="103"/>
      <c r="T569" s="30" t="str">
        <f aca="false">IF(C569="","",IF(COUNTIFS(C$5:C569,C569,E$5:E569,E569)=1,1,0))</f>
        <v/>
      </c>
      <c r="U569" s="30" t="n">
        <f aca="false">IF(C569="",0,IF(AND(B569="brand",E569="budget_probe",N(F569)&gt;=Inputs!$C$124,H569="Y"),1,0))</f>
        <v>0</v>
      </c>
      <c r="V569" s="30" t="n">
        <f aca="false">IF(U569=1,IF(COUNTIFS(C$5:C569,C569,U$5:U569,1)=1,1,0),0)</f>
        <v>0</v>
      </c>
      <c r="W569" s="30" t="n">
        <f aca="false">IF(C569="",0,IF(AND(B569="office",E569="budget_probe",N(F569)&gt;=Inputs!$C$139),1,0))</f>
        <v>0</v>
      </c>
      <c r="X569" s="30" t="n">
        <f aca="false">IF(W569=1,IF(COUNTIFS(C$5:C569,C569,W$5:W569,1)=1,1,0),0)</f>
        <v>0</v>
      </c>
      <c r="Y569" s="30" t="n">
        <f aca="false">IF(C569="",0,IF(AND(B569="brand",E569="renewal_answer",TRIM(G569)="yes",N(F569)&gt;=Inputs!$C$135),1,0))</f>
        <v>0</v>
      </c>
      <c r="Z569" s="30" t="n">
        <f aca="false">IF(Y569=1,IF(COUNTIFS(C$5:C569,C569,Y$5:Y569,1)=1,1,0),0)</f>
        <v>0</v>
      </c>
      <c r="AA569" s="30" t="n">
        <f aca="false">IF(AND(E569="budget_probe",ISNUMBER(F569),I569&lt;&gt;Lists!$X$4),1,0)</f>
        <v>0</v>
      </c>
      <c r="AB569" s="30" t="str">
        <f aca="false">IF(AND(B569="office",AA569=1,COUNTIFS(C$5:C569,C569,AA$5:AA569,1)=1),F569,"")</f>
        <v/>
      </c>
      <c r="AC569" s="30" t="str">
        <f aca="false">IF(AND(B569="brand",AA569=1,COUNTIFS(C$5:C569,C569,AA$5:AA569,1)=1),F569,"")</f>
        <v/>
      </c>
      <c r="AD569" s="30" t="str">
        <f aca="false">IF(AND(B569="brand",E569="budget_probe",ISNUMBER(F569),I569=Lists!$X$4),IF(COUNTIFS(C$5:C569,C569,E$5:E569,"budget_probe",I$5:I569,Lists!$X$4)=1,F569,""),"")</f>
        <v/>
      </c>
      <c r="AE569" s="30" t="n">
        <f aca="false">IF(AND(B569="brand",E569="paid",ISNUMBER(F569)),IF(AND(SUMIFS(F$5:F569,B$5:B569,"brand",C$5:C569,C569,E$5:E569,"paid")&gt;=Inputs!$C$44,SUMIFS(F$5:F569,B$5:B569,"brand",C$5:C569,C569,E$5:E569,"paid")-F569&lt;Inputs!$C$44),1,0),0)</f>
        <v>0</v>
      </c>
    </row>
    <row r="570" customFormat="false" ht="15" hidden="false" customHeight="false" outlineLevel="0" collapsed="false">
      <c r="A570" s="102"/>
      <c r="B570" s="103"/>
      <c r="C570" s="103"/>
      <c r="D570" s="103"/>
      <c r="E570" s="103"/>
      <c r="F570" s="103"/>
      <c r="G570" s="103"/>
      <c r="H570" s="103"/>
      <c r="I570" s="103"/>
      <c r="T570" s="30" t="str">
        <f aca="false">IF(C570="","",IF(COUNTIFS(C$5:C570,C570,E$5:E570,E570)=1,1,0))</f>
        <v/>
      </c>
      <c r="U570" s="30" t="n">
        <f aca="false">IF(C570="",0,IF(AND(B570="brand",E570="budget_probe",N(F570)&gt;=Inputs!$C$124,H570="Y"),1,0))</f>
        <v>0</v>
      </c>
      <c r="V570" s="30" t="n">
        <f aca="false">IF(U570=1,IF(COUNTIFS(C$5:C570,C570,U$5:U570,1)=1,1,0),0)</f>
        <v>0</v>
      </c>
      <c r="W570" s="30" t="n">
        <f aca="false">IF(C570="",0,IF(AND(B570="office",E570="budget_probe",N(F570)&gt;=Inputs!$C$139),1,0))</f>
        <v>0</v>
      </c>
      <c r="X570" s="30" t="n">
        <f aca="false">IF(W570=1,IF(COUNTIFS(C$5:C570,C570,W$5:W570,1)=1,1,0),0)</f>
        <v>0</v>
      </c>
      <c r="Y570" s="30" t="n">
        <f aca="false">IF(C570="",0,IF(AND(B570="brand",E570="renewal_answer",TRIM(G570)="yes",N(F570)&gt;=Inputs!$C$135),1,0))</f>
        <v>0</v>
      </c>
      <c r="Z570" s="30" t="n">
        <f aca="false">IF(Y570=1,IF(COUNTIFS(C$5:C570,C570,Y$5:Y570,1)=1,1,0),0)</f>
        <v>0</v>
      </c>
      <c r="AA570" s="30" t="n">
        <f aca="false">IF(AND(E570="budget_probe",ISNUMBER(F570),I570&lt;&gt;Lists!$X$4),1,0)</f>
        <v>0</v>
      </c>
      <c r="AB570" s="30" t="str">
        <f aca="false">IF(AND(B570="office",AA570=1,COUNTIFS(C$5:C570,C570,AA$5:AA570,1)=1),F570,"")</f>
        <v/>
      </c>
      <c r="AC570" s="30" t="str">
        <f aca="false">IF(AND(B570="brand",AA570=1,COUNTIFS(C$5:C570,C570,AA$5:AA570,1)=1),F570,"")</f>
        <v/>
      </c>
      <c r="AD570" s="30" t="str">
        <f aca="false">IF(AND(B570="brand",E570="budget_probe",ISNUMBER(F570),I570=Lists!$X$4),IF(COUNTIFS(C$5:C570,C570,E$5:E570,"budget_probe",I$5:I570,Lists!$X$4)=1,F570,""),"")</f>
        <v/>
      </c>
      <c r="AE570" s="30" t="n">
        <f aca="false">IF(AND(B570="brand",E570="paid",ISNUMBER(F570)),IF(AND(SUMIFS(F$5:F570,B$5:B570,"brand",C$5:C570,C570,E$5:E570,"paid")&gt;=Inputs!$C$44,SUMIFS(F$5:F570,B$5:B570,"brand",C$5:C570,C570,E$5:E570,"paid")-F570&lt;Inputs!$C$44),1,0),0)</f>
        <v>0</v>
      </c>
    </row>
    <row r="571" customFormat="false" ht="15" hidden="false" customHeight="false" outlineLevel="0" collapsed="false">
      <c r="A571" s="102"/>
      <c r="B571" s="103"/>
      <c r="C571" s="103"/>
      <c r="D571" s="103"/>
      <c r="E571" s="103"/>
      <c r="F571" s="103"/>
      <c r="G571" s="103"/>
      <c r="H571" s="103"/>
      <c r="I571" s="103"/>
      <c r="T571" s="30" t="str">
        <f aca="false">IF(C571="","",IF(COUNTIFS(C$5:C571,C571,E$5:E571,E571)=1,1,0))</f>
        <v/>
      </c>
      <c r="U571" s="30" t="n">
        <f aca="false">IF(C571="",0,IF(AND(B571="brand",E571="budget_probe",N(F571)&gt;=Inputs!$C$124,H571="Y"),1,0))</f>
        <v>0</v>
      </c>
      <c r="V571" s="30" t="n">
        <f aca="false">IF(U571=1,IF(COUNTIFS(C$5:C571,C571,U$5:U571,1)=1,1,0),0)</f>
        <v>0</v>
      </c>
      <c r="W571" s="30" t="n">
        <f aca="false">IF(C571="",0,IF(AND(B571="office",E571="budget_probe",N(F571)&gt;=Inputs!$C$139),1,0))</f>
        <v>0</v>
      </c>
      <c r="X571" s="30" t="n">
        <f aca="false">IF(W571=1,IF(COUNTIFS(C$5:C571,C571,W$5:W571,1)=1,1,0),0)</f>
        <v>0</v>
      </c>
      <c r="Y571" s="30" t="n">
        <f aca="false">IF(C571="",0,IF(AND(B571="brand",E571="renewal_answer",TRIM(G571)="yes",N(F571)&gt;=Inputs!$C$135),1,0))</f>
        <v>0</v>
      </c>
      <c r="Z571" s="30" t="n">
        <f aca="false">IF(Y571=1,IF(COUNTIFS(C$5:C571,C571,Y$5:Y571,1)=1,1,0),0)</f>
        <v>0</v>
      </c>
      <c r="AA571" s="30" t="n">
        <f aca="false">IF(AND(E571="budget_probe",ISNUMBER(F571),I571&lt;&gt;Lists!$X$4),1,0)</f>
        <v>0</v>
      </c>
      <c r="AB571" s="30" t="str">
        <f aca="false">IF(AND(B571="office",AA571=1,COUNTIFS(C$5:C571,C571,AA$5:AA571,1)=1),F571,"")</f>
        <v/>
      </c>
      <c r="AC571" s="30" t="str">
        <f aca="false">IF(AND(B571="brand",AA571=1,COUNTIFS(C$5:C571,C571,AA$5:AA571,1)=1),F571,"")</f>
        <v/>
      </c>
      <c r="AD571" s="30" t="str">
        <f aca="false">IF(AND(B571="brand",E571="budget_probe",ISNUMBER(F571),I571=Lists!$X$4),IF(COUNTIFS(C$5:C571,C571,E$5:E571,"budget_probe",I$5:I571,Lists!$X$4)=1,F571,""),"")</f>
        <v/>
      </c>
      <c r="AE571" s="30" t="n">
        <f aca="false">IF(AND(B571="brand",E571="paid",ISNUMBER(F571)),IF(AND(SUMIFS(F$5:F571,B$5:B571,"brand",C$5:C571,C571,E$5:E571,"paid")&gt;=Inputs!$C$44,SUMIFS(F$5:F571,B$5:B571,"brand",C$5:C571,C571,E$5:E571,"paid")-F571&lt;Inputs!$C$44),1,0),0)</f>
        <v>0</v>
      </c>
    </row>
    <row r="572" customFormat="false" ht="15" hidden="false" customHeight="false" outlineLevel="0" collapsed="false">
      <c r="A572" s="102"/>
      <c r="B572" s="103"/>
      <c r="C572" s="103"/>
      <c r="D572" s="103"/>
      <c r="E572" s="103"/>
      <c r="F572" s="103"/>
      <c r="G572" s="103"/>
      <c r="H572" s="103"/>
      <c r="I572" s="103"/>
      <c r="T572" s="30" t="str">
        <f aca="false">IF(C572="","",IF(COUNTIFS(C$5:C572,C572,E$5:E572,E572)=1,1,0))</f>
        <v/>
      </c>
      <c r="U572" s="30" t="n">
        <f aca="false">IF(C572="",0,IF(AND(B572="brand",E572="budget_probe",N(F572)&gt;=Inputs!$C$124,H572="Y"),1,0))</f>
        <v>0</v>
      </c>
      <c r="V572" s="30" t="n">
        <f aca="false">IF(U572=1,IF(COUNTIFS(C$5:C572,C572,U$5:U572,1)=1,1,0),0)</f>
        <v>0</v>
      </c>
      <c r="W572" s="30" t="n">
        <f aca="false">IF(C572="",0,IF(AND(B572="office",E572="budget_probe",N(F572)&gt;=Inputs!$C$139),1,0))</f>
        <v>0</v>
      </c>
      <c r="X572" s="30" t="n">
        <f aca="false">IF(W572=1,IF(COUNTIFS(C$5:C572,C572,W$5:W572,1)=1,1,0),0)</f>
        <v>0</v>
      </c>
      <c r="Y572" s="30" t="n">
        <f aca="false">IF(C572="",0,IF(AND(B572="brand",E572="renewal_answer",TRIM(G572)="yes",N(F572)&gt;=Inputs!$C$135),1,0))</f>
        <v>0</v>
      </c>
      <c r="Z572" s="30" t="n">
        <f aca="false">IF(Y572=1,IF(COUNTIFS(C$5:C572,C572,Y$5:Y572,1)=1,1,0),0)</f>
        <v>0</v>
      </c>
      <c r="AA572" s="30" t="n">
        <f aca="false">IF(AND(E572="budget_probe",ISNUMBER(F572),I572&lt;&gt;Lists!$X$4),1,0)</f>
        <v>0</v>
      </c>
      <c r="AB572" s="30" t="str">
        <f aca="false">IF(AND(B572="office",AA572=1,COUNTIFS(C$5:C572,C572,AA$5:AA572,1)=1),F572,"")</f>
        <v/>
      </c>
      <c r="AC572" s="30" t="str">
        <f aca="false">IF(AND(B572="brand",AA572=1,COUNTIFS(C$5:C572,C572,AA$5:AA572,1)=1),F572,"")</f>
        <v/>
      </c>
      <c r="AD572" s="30" t="str">
        <f aca="false">IF(AND(B572="brand",E572="budget_probe",ISNUMBER(F572),I572=Lists!$X$4),IF(COUNTIFS(C$5:C572,C572,E$5:E572,"budget_probe",I$5:I572,Lists!$X$4)=1,F572,""),"")</f>
        <v/>
      </c>
      <c r="AE572" s="30" t="n">
        <f aca="false">IF(AND(B572="brand",E572="paid",ISNUMBER(F572)),IF(AND(SUMIFS(F$5:F572,B$5:B572,"brand",C$5:C572,C572,E$5:E572,"paid")&gt;=Inputs!$C$44,SUMIFS(F$5:F572,B$5:B572,"brand",C$5:C572,C572,E$5:E572,"paid")-F572&lt;Inputs!$C$44),1,0),0)</f>
        <v>0</v>
      </c>
    </row>
    <row r="573" customFormat="false" ht="15" hidden="false" customHeight="false" outlineLevel="0" collapsed="false">
      <c r="A573" s="102"/>
      <c r="B573" s="103"/>
      <c r="C573" s="103"/>
      <c r="D573" s="103"/>
      <c r="E573" s="103"/>
      <c r="F573" s="103"/>
      <c r="G573" s="103"/>
      <c r="H573" s="103"/>
      <c r="I573" s="103"/>
      <c r="T573" s="30" t="str">
        <f aca="false">IF(C573="","",IF(COUNTIFS(C$5:C573,C573,E$5:E573,E573)=1,1,0))</f>
        <v/>
      </c>
      <c r="U573" s="30" t="n">
        <f aca="false">IF(C573="",0,IF(AND(B573="brand",E573="budget_probe",N(F573)&gt;=Inputs!$C$124,H573="Y"),1,0))</f>
        <v>0</v>
      </c>
      <c r="V573" s="30" t="n">
        <f aca="false">IF(U573=1,IF(COUNTIFS(C$5:C573,C573,U$5:U573,1)=1,1,0),0)</f>
        <v>0</v>
      </c>
      <c r="W573" s="30" t="n">
        <f aca="false">IF(C573="",0,IF(AND(B573="office",E573="budget_probe",N(F573)&gt;=Inputs!$C$139),1,0))</f>
        <v>0</v>
      </c>
      <c r="X573" s="30" t="n">
        <f aca="false">IF(W573=1,IF(COUNTIFS(C$5:C573,C573,W$5:W573,1)=1,1,0),0)</f>
        <v>0</v>
      </c>
      <c r="Y573" s="30" t="n">
        <f aca="false">IF(C573="",0,IF(AND(B573="brand",E573="renewal_answer",TRIM(G573)="yes",N(F573)&gt;=Inputs!$C$135),1,0))</f>
        <v>0</v>
      </c>
      <c r="Z573" s="30" t="n">
        <f aca="false">IF(Y573=1,IF(COUNTIFS(C$5:C573,C573,Y$5:Y573,1)=1,1,0),0)</f>
        <v>0</v>
      </c>
      <c r="AA573" s="30" t="n">
        <f aca="false">IF(AND(E573="budget_probe",ISNUMBER(F573),I573&lt;&gt;Lists!$X$4),1,0)</f>
        <v>0</v>
      </c>
      <c r="AB573" s="30" t="str">
        <f aca="false">IF(AND(B573="office",AA573=1,COUNTIFS(C$5:C573,C573,AA$5:AA573,1)=1),F573,"")</f>
        <v/>
      </c>
      <c r="AC573" s="30" t="str">
        <f aca="false">IF(AND(B573="brand",AA573=1,COUNTIFS(C$5:C573,C573,AA$5:AA573,1)=1),F573,"")</f>
        <v/>
      </c>
      <c r="AD573" s="30" t="str">
        <f aca="false">IF(AND(B573="brand",E573="budget_probe",ISNUMBER(F573),I573=Lists!$X$4),IF(COUNTIFS(C$5:C573,C573,E$5:E573,"budget_probe",I$5:I573,Lists!$X$4)=1,F573,""),"")</f>
        <v/>
      </c>
      <c r="AE573" s="30" t="n">
        <f aca="false">IF(AND(B573="brand",E573="paid",ISNUMBER(F573)),IF(AND(SUMIFS(F$5:F573,B$5:B573,"brand",C$5:C573,C573,E$5:E573,"paid")&gt;=Inputs!$C$44,SUMIFS(F$5:F573,B$5:B573,"brand",C$5:C573,C573,E$5:E573,"paid")-F573&lt;Inputs!$C$44),1,0),0)</f>
        <v>0</v>
      </c>
    </row>
    <row r="574" customFormat="false" ht="15" hidden="false" customHeight="false" outlineLevel="0" collapsed="false">
      <c r="A574" s="102"/>
      <c r="B574" s="103"/>
      <c r="C574" s="103"/>
      <c r="D574" s="103"/>
      <c r="E574" s="103"/>
      <c r="F574" s="103"/>
      <c r="G574" s="103"/>
      <c r="H574" s="103"/>
      <c r="I574" s="103"/>
      <c r="T574" s="30" t="str">
        <f aca="false">IF(C574="","",IF(COUNTIFS(C$5:C574,C574,E$5:E574,E574)=1,1,0))</f>
        <v/>
      </c>
      <c r="U574" s="30" t="n">
        <f aca="false">IF(C574="",0,IF(AND(B574="brand",E574="budget_probe",N(F574)&gt;=Inputs!$C$124,H574="Y"),1,0))</f>
        <v>0</v>
      </c>
      <c r="V574" s="30" t="n">
        <f aca="false">IF(U574=1,IF(COUNTIFS(C$5:C574,C574,U$5:U574,1)=1,1,0),0)</f>
        <v>0</v>
      </c>
      <c r="W574" s="30" t="n">
        <f aca="false">IF(C574="",0,IF(AND(B574="office",E574="budget_probe",N(F574)&gt;=Inputs!$C$139),1,0))</f>
        <v>0</v>
      </c>
      <c r="X574" s="30" t="n">
        <f aca="false">IF(W574=1,IF(COUNTIFS(C$5:C574,C574,W$5:W574,1)=1,1,0),0)</f>
        <v>0</v>
      </c>
      <c r="Y574" s="30" t="n">
        <f aca="false">IF(C574="",0,IF(AND(B574="brand",E574="renewal_answer",TRIM(G574)="yes",N(F574)&gt;=Inputs!$C$135),1,0))</f>
        <v>0</v>
      </c>
      <c r="Z574" s="30" t="n">
        <f aca="false">IF(Y574=1,IF(COUNTIFS(C$5:C574,C574,Y$5:Y574,1)=1,1,0),0)</f>
        <v>0</v>
      </c>
      <c r="AA574" s="30" t="n">
        <f aca="false">IF(AND(E574="budget_probe",ISNUMBER(F574),I574&lt;&gt;Lists!$X$4),1,0)</f>
        <v>0</v>
      </c>
      <c r="AB574" s="30" t="str">
        <f aca="false">IF(AND(B574="office",AA574=1,COUNTIFS(C$5:C574,C574,AA$5:AA574,1)=1),F574,"")</f>
        <v/>
      </c>
      <c r="AC574" s="30" t="str">
        <f aca="false">IF(AND(B574="brand",AA574=1,COUNTIFS(C$5:C574,C574,AA$5:AA574,1)=1),F574,"")</f>
        <v/>
      </c>
      <c r="AD574" s="30" t="str">
        <f aca="false">IF(AND(B574="brand",E574="budget_probe",ISNUMBER(F574),I574=Lists!$X$4),IF(COUNTIFS(C$5:C574,C574,E$5:E574,"budget_probe",I$5:I574,Lists!$X$4)=1,F574,""),"")</f>
        <v/>
      </c>
      <c r="AE574" s="30" t="n">
        <f aca="false">IF(AND(B574="brand",E574="paid",ISNUMBER(F574)),IF(AND(SUMIFS(F$5:F574,B$5:B574,"brand",C$5:C574,C574,E$5:E574,"paid")&gt;=Inputs!$C$44,SUMIFS(F$5:F574,B$5:B574,"brand",C$5:C574,C574,E$5:E574,"paid")-F574&lt;Inputs!$C$44),1,0),0)</f>
        <v>0</v>
      </c>
    </row>
    <row r="575" customFormat="false" ht="15" hidden="false" customHeight="false" outlineLevel="0" collapsed="false">
      <c r="A575" s="102"/>
      <c r="B575" s="103"/>
      <c r="C575" s="103"/>
      <c r="D575" s="103"/>
      <c r="E575" s="103"/>
      <c r="F575" s="103"/>
      <c r="G575" s="103"/>
      <c r="H575" s="103"/>
      <c r="I575" s="103"/>
      <c r="T575" s="30" t="str">
        <f aca="false">IF(C575="","",IF(COUNTIFS(C$5:C575,C575,E$5:E575,E575)=1,1,0))</f>
        <v/>
      </c>
      <c r="U575" s="30" t="n">
        <f aca="false">IF(C575="",0,IF(AND(B575="brand",E575="budget_probe",N(F575)&gt;=Inputs!$C$124,H575="Y"),1,0))</f>
        <v>0</v>
      </c>
      <c r="V575" s="30" t="n">
        <f aca="false">IF(U575=1,IF(COUNTIFS(C$5:C575,C575,U$5:U575,1)=1,1,0),0)</f>
        <v>0</v>
      </c>
      <c r="W575" s="30" t="n">
        <f aca="false">IF(C575="",0,IF(AND(B575="office",E575="budget_probe",N(F575)&gt;=Inputs!$C$139),1,0))</f>
        <v>0</v>
      </c>
      <c r="X575" s="30" t="n">
        <f aca="false">IF(W575=1,IF(COUNTIFS(C$5:C575,C575,W$5:W575,1)=1,1,0),0)</f>
        <v>0</v>
      </c>
      <c r="Y575" s="30" t="n">
        <f aca="false">IF(C575="",0,IF(AND(B575="brand",E575="renewal_answer",TRIM(G575)="yes",N(F575)&gt;=Inputs!$C$135),1,0))</f>
        <v>0</v>
      </c>
      <c r="Z575" s="30" t="n">
        <f aca="false">IF(Y575=1,IF(COUNTIFS(C$5:C575,C575,Y$5:Y575,1)=1,1,0),0)</f>
        <v>0</v>
      </c>
      <c r="AA575" s="30" t="n">
        <f aca="false">IF(AND(E575="budget_probe",ISNUMBER(F575),I575&lt;&gt;Lists!$X$4),1,0)</f>
        <v>0</v>
      </c>
      <c r="AB575" s="30" t="str">
        <f aca="false">IF(AND(B575="office",AA575=1,COUNTIFS(C$5:C575,C575,AA$5:AA575,1)=1),F575,"")</f>
        <v/>
      </c>
      <c r="AC575" s="30" t="str">
        <f aca="false">IF(AND(B575="brand",AA575=1,COUNTIFS(C$5:C575,C575,AA$5:AA575,1)=1),F575,"")</f>
        <v/>
      </c>
      <c r="AD575" s="30" t="str">
        <f aca="false">IF(AND(B575="brand",E575="budget_probe",ISNUMBER(F575),I575=Lists!$X$4),IF(COUNTIFS(C$5:C575,C575,E$5:E575,"budget_probe",I$5:I575,Lists!$X$4)=1,F575,""),"")</f>
        <v/>
      </c>
      <c r="AE575" s="30" t="n">
        <f aca="false">IF(AND(B575="brand",E575="paid",ISNUMBER(F575)),IF(AND(SUMIFS(F$5:F575,B$5:B575,"brand",C$5:C575,C575,E$5:E575,"paid")&gt;=Inputs!$C$44,SUMIFS(F$5:F575,B$5:B575,"brand",C$5:C575,C575,E$5:E575,"paid")-F575&lt;Inputs!$C$44),1,0),0)</f>
        <v>0</v>
      </c>
    </row>
    <row r="576" customFormat="false" ht="15" hidden="false" customHeight="false" outlineLevel="0" collapsed="false">
      <c r="A576" s="102"/>
      <c r="B576" s="103"/>
      <c r="C576" s="103"/>
      <c r="D576" s="103"/>
      <c r="E576" s="103"/>
      <c r="F576" s="103"/>
      <c r="G576" s="103"/>
      <c r="H576" s="103"/>
      <c r="I576" s="103"/>
      <c r="T576" s="30" t="str">
        <f aca="false">IF(C576="","",IF(COUNTIFS(C$5:C576,C576,E$5:E576,E576)=1,1,0))</f>
        <v/>
      </c>
      <c r="U576" s="30" t="n">
        <f aca="false">IF(C576="",0,IF(AND(B576="brand",E576="budget_probe",N(F576)&gt;=Inputs!$C$124,H576="Y"),1,0))</f>
        <v>0</v>
      </c>
      <c r="V576" s="30" t="n">
        <f aca="false">IF(U576=1,IF(COUNTIFS(C$5:C576,C576,U$5:U576,1)=1,1,0),0)</f>
        <v>0</v>
      </c>
      <c r="W576" s="30" t="n">
        <f aca="false">IF(C576="",0,IF(AND(B576="office",E576="budget_probe",N(F576)&gt;=Inputs!$C$139),1,0))</f>
        <v>0</v>
      </c>
      <c r="X576" s="30" t="n">
        <f aca="false">IF(W576=1,IF(COUNTIFS(C$5:C576,C576,W$5:W576,1)=1,1,0),0)</f>
        <v>0</v>
      </c>
      <c r="Y576" s="30" t="n">
        <f aca="false">IF(C576="",0,IF(AND(B576="brand",E576="renewal_answer",TRIM(G576)="yes",N(F576)&gt;=Inputs!$C$135),1,0))</f>
        <v>0</v>
      </c>
      <c r="Z576" s="30" t="n">
        <f aca="false">IF(Y576=1,IF(COUNTIFS(C$5:C576,C576,Y$5:Y576,1)=1,1,0),0)</f>
        <v>0</v>
      </c>
      <c r="AA576" s="30" t="n">
        <f aca="false">IF(AND(E576="budget_probe",ISNUMBER(F576),I576&lt;&gt;Lists!$X$4),1,0)</f>
        <v>0</v>
      </c>
      <c r="AB576" s="30" t="str">
        <f aca="false">IF(AND(B576="office",AA576=1,COUNTIFS(C$5:C576,C576,AA$5:AA576,1)=1),F576,"")</f>
        <v/>
      </c>
      <c r="AC576" s="30" t="str">
        <f aca="false">IF(AND(B576="brand",AA576=1,COUNTIFS(C$5:C576,C576,AA$5:AA576,1)=1),F576,"")</f>
        <v/>
      </c>
      <c r="AD576" s="30" t="str">
        <f aca="false">IF(AND(B576="brand",E576="budget_probe",ISNUMBER(F576),I576=Lists!$X$4),IF(COUNTIFS(C$5:C576,C576,E$5:E576,"budget_probe",I$5:I576,Lists!$X$4)=1,F576,""),"")</f>
        <v/>
      </c>
      <c r="AE576" s="30" t="n">
        <f aca="false">IF(AND(B576="brand",E576="paid",ISNUMBER(F576)),IF(AND(SUMIFS(F$5:F576,B$5:B576,"brand",C$5:C576,C576,E$5:E576,"paid")&gt;=Inputs!$C$44,SUMIFS(F$5:F576,B$5:B576,"brand",C$5:C576,C576,E$5:E576,"paid")-F576&lt;Inputs!$C$44),1,0),0)</f>
        <v>0</v>
      </c>
    </row>
    <row r="577" customFormat="false" ht="15" hidden="false" customHeight="false" outlineLevel="0" collapsed="false">
      <c r="A577" s="102"/>
      <c r="B577" s="103"/>
      <c r="C577" s="103"/>
      <c r="D577" s="103"/>
      <c r="E577" s="103"/>
      <c r="F577" s="103"/>
      <c r="G577" s="103"/>
      <c r="H577" s="103"/>
      <c r="I577" s="103"/>
      <c r="T577" s="30" t="str">
        <f aca="false">IF(C577="","",IF(COUNTIFS(C$5:C577,C577,E$5:E577,E577)=1,1,0))</f>
        <v/>
      </c>
      <c r="U577" s="30" t="n">
        <f aca="false">IF(C577="",0,IF(AND(B577="brand",E577="budget_probe",N(F577)&gt;=Inputs!$C$124,H577="Y"),1,0))</f>
        <v>0</v>
      </c>
      <c r="V577" s="30" t="n">
        <f aca="false">IF(U577=1,IF(COUNTIFS(C$5:C577,C577,U$5:U577,1)=1,1,0),0)</f>
        <v>0</v>
      </c>
      <c r="W577" s="30" t="n">
        <f aca="false">IF(C577="",0,IF(AND(B577="office",E577="budget_probe",N(F577)&gt;=Inputs!$C$139),1,0))</f>
        <v>0</v>
      </c>
      <c r="X577" s="30" t="n">
        <f aca="false">IF(W577=1,IF(COUNTIFS(C$5:C577,C577,W$5:W577,1)=1,1,0),0)</f>
        <v>0</v>
      </c>
      <c r="Y577" s="30" t="n">
        <f aca="false">IF(C577="",0,IF(AND(B577="brand",E577="renewal_answer",TRIM(G577)="yes",N(F577)&gt;=Inputs!$C$135),1,0))</f>
        <v>0</v>
      </c>
      <c r="Z577" s="30" t="n">
        <f aca="false">IF(Y577=1,IF(COUNTIFS(C$5:C577,C577,Y$5:Y577,1)=1,1,0),0)</f>
        <v>0</v>
      </c>
      <c r="AA577" s="30" t="n">
        <f aca="false">IF(AND(E577="budget_probe",ISNUMBER(F577),I577&lt;&gt;Lists!$X$4),1,0)</f>
        <v>0</v>
      </c>
      <c r="AB577" s="30" t="str">
        <f aca="false">IF(AND(B577="office",AA577=1,COUNTIFS(C$5:C577,C577,AA$5:AA577,1)=1),F577,"")</f>
        <v/>
      </c>
      <c r="AC577" s="30" t="str">
        <f aca="false">IF(AND(B577="brand",AA577=1,COUNTIFS(C$5:C577,C577,AA$5:AA577,1)=1),F577,"")</f>
        <v/>
      </c>
      <c r="AD577" s="30" t="str">
        <f aca="false">IF(AND(B577="brand",E577="budget_probe",ISNUMBER(F577),I577=Lists!$X$4),IF(COUNTIFS(C$5:C577,C577,E$5:E577,"budget_probe",I$5:I577,Lists!$X$4)=1,F577,""),"")</f>
        <v/>
      </c>
      <c r="AE577" s="30" t="n">
        <f aca="false">IF(AND(B577="brand",E577="paid",ISNUMBER(F577)),IF(AND(SUMIFS(F$5:F577,B$5:B577,"brand",C$5:C577,C577,E$5:E577,"paid")&gt;=Inputs!$C$44,SUMIFS(F$5:F577,B$5:B577,"brand",C$5:C577,C577,E$5:E577,"paid")-F577&lt;Inputs!$C$44),1,0),0)</f>
        <v>0</v>
      </c>
    </row>
    <row r="578" customFormat="false" ht="15" hidden="false" customHeight="false" outlineLevel="0" collapsed="false">
      <c r="A578" s="102"/>
      <c r="B578" s="103"/>
      <c r="C578" s="103"/>
      <c r="D578" s="103"/>
      <c r="E578" s="103"/>
      <c r="F578" s="103"/>
      <c r="G578" s="103"/>
      <c r="H578" s="103"/>
      <c r="I578" s="103"/>
      <c r="T578" s="30" t="str">
        <f aca="false">IF(C578="","",IF(COUNTIFS(C$5:C578,C578,E$5:E578,E578)=1,1,0))</f>
        <v/>
      </c>
      <c r="U578" s="30" t="n">
        <f aca="false">IF(C578="",0,IF(AND(B578="brand",E578="budget_probe",N(F578)&gt;=Inputs!$C$124,H578="Y"),1,0))</f>
        <v>0</v>
      </c>
      <c r="V578" s="30" t="n">
        <f aca="false">IF(U578=1,IF(COUNTIFS(C$5:C578,C578,U$5:U578,1)=1,1,0),0)</f>
        <v>0</v>
      </c>
      <c r="W578" s="30" t="n">
        <f aca="false">IF(C578="",0,IF(AND(B578="office",E578="budget_probe",N(F578)&gt;=Inputs!$C$139),1,0))</f>
        <v>0</v>
      </c>
      <c r="X578" s="30" t="n">
        <f aca="false">IF(W578=1,IF(COUNTIFS(C$5:C578,C578,W$5:W578,1)=1,1,0),0)</f>
        <v>0</v>
      </c>
      <c r="Y578" s="30" t="n">
        <f aca="false">IF(C578="",0,IF(AND(B578="brand",E578="renewal_answer",TRIM(G578)="yes",N(F578)&gt;=Inputs!$C$135),1,0))</f>
        <v>0</v>
      </c>
      <c r="Z578" s="30" t="n">
        <f aca="false">IF(Y578=1,IF(COUNTIFS(C$5:C578,C578,Y$5:Y578,1)=1,1,0),0)</f>
        <v>0</v>
      </c>
      <c r="AA578" s="30" t="n">
        <f aca="false">IF(AND(E578="budget_probe",ISNUMBER(F578),I578&lt;&gt;Lists!$X$4),1,0)</f>
        <v>0</v>
      </c>
      <c r="AB578" s="30" t="str">
        <f aca="false">IF(AND(B578="office",AA578=1,COUNTIFS(C$5:C578,C578,AA$5:AA578,1)=1),F578,"")</f>
        <v/>
      </c>
      <c r="AC578" s="30" t="str">
        <f aca="false">IF(AND(B578="brand",AA578=1,COUNTIFS(C$5:C578,C578,AA$5:AA578,1)=1),F578,"")</f>
        <v/>
      </c>
      <c r="AD578" s="30" t="str">
        <f aca="false">IF(AND(B578="brand",E578="budget_probe",ISNUMBER(F578),I578=Lists!$X$4),IF(COUNTIFS(C$5:C578,C578,E$5:E578,"budget_probe",I$5:I578,Lists!$X$4)=1,F578,""),"")</f>
        <v/>
      </c>
      <c r="AE578" s="30" t="n">
        <f aca="false">IF(AND(B578="brand",E578="paid",ISNUMBER(F578)),IF(AND(SUMIFS(F$5:F578,B$5:B578,"brand",C$5:C578,C578,E$5:E578,"paid")&gt;=Inputs!$C$44,SUMIFS(F$5:F578,B$5:B578,"brand",C$5:C578,C578,E$5:E578,"paid")-F578&lt;Inputs!$C$44),1,0),0)</f>
        <v>0</v>
      </c>
    </row>
    <row r="579" customFormat="false" ht="15" hidden="false" customHeight="false" outlineLevel="0" collapsed="false">
      <c r="A579" s="102"/>
      <c r="B579" s="103"/>
      <c r="C579" s="103"/>
      <c r="D579" s="103"/>
      <c r="E579" s="103"/>
      <c r="F579" s="103"/>
      <c r="G579" s="103"/>
      <c r="H579" s="103"/>
      <c r="I579" s="103"/>
      <c r="T579" s="30" t="str">
        <f aca="false">IF(C579="","",IF(COUNTIFS(C$5:C579,C579,E$5:E579,E579)=1,1,0))</f>
        <v/>
      </c>
      <c r="U579" s="30" t="n">
        <f aca="false">IF(C579="",0,IF(AND(B579="brand",E579="budget_probe",N(F579)&gt;=Inputs!$C$124,H579="Y"),1,0))</f>
        <v>0</v>
      </c>
      <c r="V579" s="30" t="n">
        <f aca="false">IF(U579=1,IF(COUNTIFS(C$5:C579,C579,U$5:U579,1)=1,1,0),0)</f>
        <v>0</v>
      </c>
      <c r="W579" s="30" t="n">
        <f aca="false">IF(C579="",0,IF(AND(B579="office",E579="budget_probe",N(F579)&gt;=Inputs!$C$139),1,0))</f>
        <v>0</v>
      </c>
      <c r="X579" s="30" t="n">
        <f aca="false">IF(W579=1,IF(COUNTIFS(C$5:C579,C579,W$5:W579,1)=1,1,0),0)</f>
        <v>0</v>
      </c>
      <c r="Y579" s="30" t="n">
        <f aca="false">IF(C579="",0,IF(AND(B579="brand",E579="renewal_answer",TRIM(G579)="yes",N(F579)&gt;=Inputs!$C$135),1,0))</f>
        <v>0</v>
      </c>
      <c r="Z579" s="30" t="n">
        <f aca="false">IF(Y579=1,IF(COUNTIFS(C$5:C579,C579,Y$5:Y579,1)=1,1,0),0)</f>
        <v>0</v>
      </c>
      <c r="AA579" s="30" t="n">
        <f aca="false">IF(AND(E579="budget_probe",ISNUMBER(F579),I579&lt;&gt;Lists!$X$4),1,0)</f>
        <v>0</v>
      </c>
      <c r="AB579" s="30" t="str">
        <f aca="false">IF(AND(B579="office",AA579=1,COUNTIFS(C$5:C579,C579,AA$5:AA579,1)=1),F579,"")</f>
        <v/>
      </c>
      <c r="AC579" s="30" t="str">
        <f aca="false">IF(AND(B579="brand",AA579=1,COUNTIFS(C$5:C579,C579,AA$5:AA579,1)=1),F579,"")</f>
        <v/>
      </c>
      <c r="AD579" s="30" t="str">
        <f aca="false">IF(AND(B579="brand",E579="budget_probe",ISNUMBER(F579),I579=Lists!$X$4),IF(COUNTIFS(C$5:C579,C579,E$5:E579,"budget_probe",I$5:I579,Lists!$X$4)=1,F579,""),"")</f>
        <v/>
      </c>
      <c r="AE579" s="30" t="n">
        <f aca="false">IF(AND(B579="brand",E579="paid",ISNUMBER(F579)),IF(AND(SUMIFS(F$5:F579,B$5:B579,"brand",C$5:C579,C579,E$5:E579,"paid")&gt;=Inputs!$C$44,SUMIFS(F$5:F579,B$5:B579,"brand",C$5:C579,C579,E$5:E579,"paid")-F579&lt;Inputs!$C$44),1,0),0)</f>
        <v>0</v>
      </c>
    </row>
    <row r="580" customFormat="false" ht="15" hidden="false" customHeight="false" outlineLevel="0" collapsed="false">
      <c r="A580" s="102"/>
      <c r="B580" s="103"/>
      <c r="C580" s="103"/>
      <c r="D580" s="103"/>
      <c r="E580" s="103"/>
      <c r="F580" s="103"/>
      <c r="G580" s="103"/>
      <c r="H580" s="103"/>
      <c r="I580" s="103"/>
      <c r="T580" s="30" t="str">
        <f aca="false">IF(C580="","",IF(COUNTIFS(C$5:C580,C580,E$5:E580,E580)=1,1,0))</f>
        <v/>
      </c>
      <c r="U580" s="30" t="n">
        <f aca="false">IF(C580="",0,IF(AND(B580="brand",E580="budget_probe",N(F580)&gt;=Inputs!$C$124,H580="Y"),1,0))</f>
        <v>0</v>
      </c>
      <c r="V580" s="30" t="n">
        <f aca="false">IF(U580=1,IF(COUNTIFS(C$5:C580,C580,U$5:U580,1)=1,1,0),0)</f>
        <v>0</v>
      </c>
      <c r="W580" s="30" t="n">
        <f aca="false">IF(C580="",0,IF(AND(B580="office",E580="budget_probe",N(F580)&gt;=Inputs!$C$139),1,0))</f>
        <v>0</v>
      </c>
      <c r="X580" s="30" t="n">
        <f aca="false">IF(W580=1,IF(COUNTIFS(C$5:C580,C580,W$5:W580,1)=1,1,0),0)</f>
        <v>0</v>
      </c>
      <c r="Y580" s="30" t="n">
        <f aca="false">IF(C580="",0,IF(AND(B580="brand",E580="renewal_answer",TRIM(G580)="yes",N(F580)&gt;=Inputs!$C$135),1,0))</f>
        <v>0</v>
      </c>
      <c r="Z580" s="30" t="n">
        <f aca="false">IF(Y580=1,IF(COUNTIFS(C$5:C580,C580,Y$5:Y580,1)=1,1,0),0)</f>
        <v>0</v>
      </c>
      <c r="AA580" s="30" t="n">
        <f aca="false">IF(AND(E580="budget_probe",ISNUMBER(F580),I580&lt;&gt;Lists!$X$4),1,0)</f>
        <v>0</v>
      </c>
      <c r="AB580" s="30" t="str">
        <f aca="false">IF(AND(B580="office",AA580=1,COUNTIFS(C$5:C580,C580,AA$5:AA580,1)=1),F580,"")</f>
        <v/>
      </c>
      <c r="AC580" s="30" t="str">
        <f aca="false">IF(AND(B580="brand",AA580=1,COUNTIFS(C$5:C580,C580,AA$5:AA580,1)=1),F580,"")</f>
        <v/>
      </c>
      <c r="AD580" s="30" t="str">
        <f aca="false">IF(AND(B580="brand",E580="budget_probe",ISNUMBER(F580),I580=Lists!$X$4),IF(COUNTIFS(C$5:C580,C580,E$5:E580,"budget_probe",I$5:I580,Lists!$X$4)=1,F580,""),"")</f>
        <v/>
      </c>
      <c r="AE580" s="30" t="n">
        <f aca="false">IF(AND(B580="brand",E580="paid",ISNUMBER(F580)),IF(AND(SUMIFS(F$5:F580,B$5:B580,"brand",C$5:C580,C580,E$5:E580,"paid")&gt;=Inputs!$C$44,SUMIFS(F$5:F580,B$5:B580,"brand",C$5:C580,C580,E$5:E580,"paid")-F580&lt;Inputs!$C$44),1,0),0)</f>
        <v>0</v>
      </c>
    </row>
    <row r="581" customFormat="false" ht="15" hidden="false" customHeight="false" outlineLevel="0" collapsed="false">
      <c r="A581" s="102"/>
      <c r="B581" s="103"/>
      <c r="C581" s="103"/>
      <c r="D581" s="103"/>
      <c r="E581" s="103"/>
      <c r="F581" s="103"/>
      <c r="G581" s="103"/>
      <c r="H581" s="103"/>
      <c r="I581" s="103"/>
      <c r="T581" s="30" t="str">
        <f aca="false">IF(C581="","",IF(COUNTIFS(C$5:C581,C581,E$5:E581,E581)=1,1,0))</f>
        <v/>
      </c>
      <c r="U581" s="30" t="n">
        <f aca="false">IF(C581="",0,IF(AND(B581="brand",E581="budget_probe",N(F581)&gt;=Inputs!$C$124,H581="Y"),1,0))</f>
        <v>0</v>
      </c>
      <c r="V581" s="30" t="n">
        <f aca="false">IF(U581=1,IF(COUNTIFS(C$5:C581,C581,U$5:U581,1)=1,1,0),0)</f>
        <v>0</v>
      </c>
      <c r="W581" s="30" t="n">
        <f aca="false">IF(C581="",0,IF(AND(B581="office",E581="budget_probe",N(F581)&gt;=Inputs!$C$139),1,0))</f>
        <v>0</v>
      </c>
      <c r="X581" s="30" t="n">
        <f aca="false">IF(W581=1,IF(COUNTIFS(C$5:C581,C581,W$5:W581,1)=1,1,0),0)</f>
        <v>0</v>
      </c>
      <c r="Y581" s="30" t="n">
        <f aca="false">IF(C581="",0,IF(AND(B581="brand",E581="renewal_answer",TRIM(G581)="yes",N(F581)&gt;=Inputs!$C$135),1,0))</f>
        <v>0</v>
      </c>
      <c r="Z581" s="30" t="n">
        <f aca="false">IF(Y581=1,IF(COUNTIFS(C$5:C581,C581,Y$5:Y581,1)=1,1,0),0)</f>
        <v>0</v>
      </c>
      <c r="AA581" s="30" t="n">
        <f aca="false">IF(AND(E581="budget_probe",ISNUMBER(F581),I581&lt;&gt;Lists!$X$4),1,0)</f>
        <v>0</v>
      </c>
      <c r="AB581" s="30" t="str">
        <f aca="false">IF(AND(B581="office",AA581=1,COUNTIFS(C$5:C581,C581,AA$5:AA581,1)=1),F581,"")</f>
        <v/>
      </c>
      <c r="AC581" s="30" t="str">
        <f aca="false">IF(AND(B581="brand",AA581=1,COUNTIFS(C$5:C581,C581,AA$5:AA581,1)=1),F581,"")</f>
        <v/>
      </c>
      <c r="AD581" s="30" t="str">
        <f aca="false">IF(AND(B581="brand",E581="budget_probe",ISNUMBER(F581),I581=Lists!$X$4),IF(COUNTIFS(C$5:C581,C581,E$5:E581,"budget_probe",I$5:I581,Lists!$X$4)=1,F581,""),"")</f>
        <v/>
      </c>
      <c r="AE581" s="30" t="n">
        <f aca="false">IF(AND(B581="brand",E581="paid",ISNUMBER(F581)),IF(AND(SUMIFS(F$5:F581,B$5:B581,"brand",C$5:C581,C581,E$5:E581,"paid")&gt;=Inputs!$C$44,SUMIFS(F$5:F581,B$5:B581,"brand",C$5:C581,C581,E$5:E581,"paid")-F581&lt;Inputs!$C$44),1,0),0)</f>
        <v>0</v>
      </c>
    </row>
    <row r="582" customFormat="false" ht="15" hidden="false" customHeight="false" outlineLevel="0" collapsed="false">
      <c r="A582" s="102"/>
      <c r="B582" s="103"/>
      <c r="C582" s="103"/>
      <c r="D582" s="103"/>
      <c r="E582" s="103"/>
      <c r="F582" s="103"/>
      <c r="G582" s="103"/>
      <c r="H582" s="103"/>
      <c r="I582" s="103"/>
      <c r="T582" s="30" t="str">
        <f aca="false">IF(C582="","",IF(COUNTIFS(C$5:C582,C582,E$5:E582,E582)=1,1,0))</f>
        <v/>
      </c>
      <c r="U582" s="30" t="n">
        <f aca="false">IF(C582="",0,IF(AND(B582="brand",E582="budget_probe",N(F582)&gt;=Inputs!$C$124,H582="Y"),1,0))</f>
        <v>0</v>
      </c>
      <c r="V582" s="30" t="n">
        <f aca="false">IF(U582=1,IF(COUNTIFS(C$5:C582,C582,U$5:U582,1)=1,1,0),0)</f>
        <v>0</v>
      </c>
      <c r="W582" s="30" t="n">
        <f aca="false">IF(C582="",0,IF(AND(B582="office",E582="budget_probe",N(F582)&gt;=Inputs!$C$139),1,0))</f>
        <v>0</v>
      </c>
      <c r="X582" s="30" t="n">
        <f aca="false">IF(W582=1,IF(COUNTIFS(C$5:C582,C582,W$5:W582,1)=1,1,0),0)</f>
        <v>0</v>
      </c>
      <c r="Y582" s="30" t="n">
        <f aca="false">IF(C582="",0,IF(AND(B582="brand",E582="renewal_answer",TRIM(G582)="yes",N(F582)&gt;=Inputs!$C$135),1,0))</f>
        <v>0</v>
      </c>
      <c r="Z582" s="30" t="n">
        <f aca="false">IF(Y582=1,IF(COUNTIFS(C$5:C582,C582,Y$5:Y582,1)=1,1,0),0)</f>
        <v>0</v>
      </c>
      <c r="AA582" s="30" t="n">
        <f aca="false">IF(AND(E582="budget_probe",ISNUMBER(F582),I582&lt;&gt;Lists!$X$4),1,0)</f>
        <v>0</v>
      </c>
      <c r="AB582" s="30" t="str">
        <f aca="false">IF(AND(B582="office",AA582=1,COUNTIFS(C$5:C582,C582,AA$5:AA582,1)=1),F582,"")</f>
        <v/>
      </c>
      <c r="AC582" s="30" t="str">
        <f aca="false">IF(AND(B582="brand",AA582=1,COUNTIFS(C$5:C582,C582,AA$5:AA582,1)=1),F582,"")</f>
        <v/>
      </c>
      <c r="AD582" s="30" t="str">
        <f aca="false">IF(AND(B582="brand",E582="budget_probe",ISNUMBER(F582),I582=Lists!$X$4),IF(COUNTIFS(C$5:C582,C582,E$5:E582,"budget_probe",I$5:I582,Lists!$X$4)=1,F582,""),"")</f>
        <v/>
      </c>
      <c r="AE582" s="30" t="n">
        <f aca="false">IF(AND(B582="brand",E582="paid",ISNUMBER(F582)),IF(AND(SUMIFS(F$5:F582,B$5:B582,"brand",C$5:C582,C582,E$5:E582,"paid")&gt;=Inputs!$C$44,SUMIFS(F$5:F582,B$5:B582,"brand",C$5:C582,C582,E$5:E582,"paid")-F582&lt;Inputs!$C$44),1,0),0)</f>
        <v>0</v>
      </c>
    </row>
    <row r="583" customFormat="false" ht="15" hidden="false" customHeight="false" outlineLevel="0" collapsed="false">
      <c r="A583" s="102"/>
      <c r="B583" s="103"/>
      <c r="C583" s="103"/>
      <c r="D583" s="103"/>
      <c r="E583" s="103"/>
      <c r="F583" s="103"/>
      <c r="G583" s="103"/>
      <c r="H583" s="103"/>
      <c r="I583" s="103"/>
      <c r="T583" s="30" t="str">
        <f aca="false">IF(C583="","",IF(COUNTIFS(C$5:C583,C583,E$5:E583,E583)=1,1,0))</f>
        <v/>
      </c>
      <c r="U583" s="30" t="n">
        <f aca="false">IF(C583="",0,IF(AND(B583="brand",E583="budget_probe",N(F583)&gt;=Inputs!$C$124,H583="Y"),1,0))</f>
        <v>0</v>
      </c>
      <c r="V583" s="30" t="n">
        <f aca="false">IF(U583=1,IF(COUNTIFS(C$5:C583,C583,U$5:U583,1)=1,1,0),0)</f>
        <v>0</v>
      </c>
      <c r="W583" s="30" t="n">
        <f aca="false">IF(C583="",0,IF(AND(B583="office",E583="budget_probe",N(F583)&gt;=Inputs!$C$139),1,0))</f>
        <v>0</v>
      </c>
      <c r="X583" s="30" t="n">
        <f aca="false">IF(W583=1,IF(COUNTIFS(C$5:C583,C583,W$5:W583,1)=1,1,0),0)</f>
        <v>0</v>
      </c>
      <c r="Y583" s="30" t="n">
        <f aca="false">IF(C583="",0,IF(AND(B583="brand",E583="renewal_answer",TRIM(G583)="yes",N(F583)&gt;=Inputs!$C$135),1,0))</f>
        <v>0</v>
      </c>
      <c r="Z583" s="30" t="n">
        <f aca="false">IF(Y583=1,IF(COUNTIFS(C$5:C583,C583,Y$5:Y583,1)=1,1,0),0)</f>
        <v>0</v>
      </c>
      <c r="AA583" s="30" t="n">
        <f aca="false">IF(AND(E583="budget_probe",ISNUMBER(F583),I583&lt;&gt;Lists!$X$4),1,0)</f>
        <v>0</v>
      </c>
      <c r="AB583" s="30" t="str">
        <f aca="false">IF(AND(B583="office",AA583=1,COUNTIFS(C$5:C583,C583,AA$5:AA583,1)=1),F583,"")</f>
        <v/>
      </c>
      <c r="AC583" s="30" t="str">
        <f aca="false">IF(AND(B583="brand",AA583=1,COUNTIFS(C$5:C583,C583,AA$5:AA583,1)=1),F583,"")</f>
        <v/>
      </c>
      <c r="AD583" s="30" t="str">
        <f aca="false">IF(AND(B583="brand",E583="budget_probe",ISNUMBER(F583),I583=Lists!$X$4),IF(COUNTIFS(C$5:C583,C583,E$5:E583,"budget_probe",I$5:I583,Lists!$X$4)=1,F583,""),"")</f>
        <v/>
      </c>
      <c r="AE583" s="30" t="n">
        <f aca="false">IF(AND(B583="brand",E583="paid",ISNUMBER(F583)),IF(AND(SUMIFS(F$5:F583,B$5:B583,"brand",C$5:C583,C583,E$5:E583,"paid")&gt;=Inputs!$C$44,SUMIFS(F$5:F583,B$5:B583,"brand",C$5:C583,C583,E$5:E583,"paid")-F583&lt;Inputs!$C$44),1,0),0)</f>
        <v>0</v>
      </c>
    </row>
    <row r="584" customFormat="false" ht="15" hidden="false" customHeight="false" outlineLevel="0" collapsed="false">
      <c r="A584" s="102"/>
      <c r="B584" s="103"/>
      <c r="C584" s="103"/>
      <c r="D584" s="103"/>
      <c r="E584" s="103"/>
      <c r="F584" s="103"/>
      <c r="G584" s="103"/>
      <c r="H584" s="103"/>
      <c r="I584" s="103"/>
      <c r="T584" s="30" t="str">
        <f aca="false">IF(C584="","",IF(COUNTIFS(C$5:C584,C584,E$5:E584,E584)=1,1,0))</f>
        <v/>
      </c>
      <c r="U584" s="30" t="n">
        <f aca="false">IF(C584="",0,IF(AND(B584="brand",E584="budget_probe",N(F584)&gt;=Inputs!$C$124,H584="Y"),1,0))</f>
        <v>0</v>
      </c>
      <c r="V584" s="30" t="n">
        <f aca="false">IF(U584=1,IF(COUNTIFS(C$5:C584,C584,U$5:U584,1)=1,1,0),0)</f>
        <v>0</v>
      </c>
      <c r="W584" s="30" t="n">
        <f aca="false">IF(C584="",0,IF(AND(B584="office",E584="budget_probe",N(F584)&gt;=Inputs!$C$139),1,0))</f>
        <v>0</v>
      </c>
      <c r="X584" s="30" t="n">
        <f aca="false">IF(W584=1,IF(COUNTIFS(C$5:C584,C584,W$5:W584,1)=1,1,0),0)</f>
        <v>0</v>
      </c>
      <c r="Y584" s="30" t="n">
        <f aca="false">IF(C584="",0,IF(AND(B584="brand",E584="renewal_answer",TRIM(G584)="yes",N(F584)&gt;=Inputs!$C$135),1,0))</f>
        <v>0</v>
      </c>
      <c r="Z584" s="30" t="n">
        <f aca="false">IF(Y584=1,IF(COUNTIFS(C$5:C584,C584,Y$5:Y584,1)=1,1,0),0)</f>
        <v>0</v>
      </c>
      <c r="AA584" s="30" t="n">
        <f aca="false">IF(AND(E584="budget_probe",ISNUMBER(F584),I584&lt;&gt;Lists!$X$4),1,0)</f>
        <v>0</v>
      </c>
      <c r="AB584" s="30" t="str">
        <f aca="false">IF(AND(B584="office",AA584=1,COUNTIFS(C$5:C584,C584,AA$5:AA584,1)=1),F584,"")</f>
        <v/>
      </c>
      <c r="AC584" s="30" t="str">
        <f aca="false">IF(AND(B584="brand",AA584=1,COUNTIFS(C$5:C584,C584,AA$5:AA584,1)=1),F584,"")</f>
        <v/>
      </c>
      <c r="AD584" s="30" t="str">
        <f aca="false">IF(AND(B584="brand",E584="budget_probe",ISNUMBER(F584),I584=Lists!$X$4),IF(COUNTIFS(C$5:C584,C584,E$5:E584,"budget_probe",I$5:I584,Lists!$X$4)=1,F584,""),"")</f>
        <v/>
      </c>
      <c r="AE584" s="30" t="n">
        <f aca="false">IF(AND(B584="brand",E584="paid",ISNUMBER(F584)),IF(AND(SUMIFS(F$5:F584,B$5:B584,"brand",C$5:C584,C584,E$5:E584,"paid")&gt;=Inputs!$C$44,SUMIFS(F$5:F584,B$5:B584,"brand",C$5:C584,C584,E$5:E584,"paid")-F584&lt;Inputs!$C$44),1,0),0)</f>
        <v>0</v>
      </c>
    </row>
    <row r="585" customFormat="false" ht="15" hidden="false" customHeight="false" outlineLevel="0" collapsed="false">
      <c r="A585" s="102"/>
      <c r="B585" s="103"/>
      <c r="C585" s="103"/>
      <c r="D585" s="103"/>
      <c r="E585" s="103"/>
      <c r="F585" s="103"/>
      <c r="G585" s="103"/>
      <c r="H585" s="103"/>
      <c r="I585" s="103"/>
      <c r="T585" s="30" t="str">
        <f aca="false">IF(C585="","",IF(COUNTIFS(C$5:C585,C585,E$5:E585,E585)=1,1,0))</f>
        <v/>
      </c>
      <c r="U585" s="30" t="n">
        <f aca="false">IF(C585="",0,IF(AND(B585="brand",E585="budget_probe",N(F585)&gt;=Inputs!$C$124,H585="Y"),1,0))</f>
        <v>0</v>
      </c>
      <c r="V585" s="30" t="n">
        <f aca="false">IF(U585=1,IF(COUNTIFS(C$5:C585,C585,U$5:U585,1)=1,1,0),0)</f>
        <v>0</v>
      </c>
      <c r="W585" s="30" t="n">
        <f aca="false">IF(C585="",0,IF(AND(B585="office",E585="budget_probe",N(F585)&gt;=Inputs!$C$139),1,0))</f>
        <v>0</v>
      </c>
      <c r="X585" s="30" t="n">
        <f aca="false">IF(W585=1,IF(COUNTIFS(C$5:C585,C585,W$5:W585,1)=1,1,0),0)</f>
        <v>0</v>
      </c>
      <c r="Y585" s="30" t="n">
        <f aca="false">IF(C585="",0,IF(AND(B585="brand",E585="renewal_answer",TRIM(G585)="yes",N(F585)&gt;=Inputs!$C$135),1,0))</f>
        <v>0</v>
      </c>
      <c r="Z585" s="30" t="n">
        <f aca="false">IF(Y585=1,IF(COUNTIFS(C$5:C585,C585,Y$5:Y585,1)=1,1,0),0)</f>
        <v>0</v>
      </c>
      <c r="AA585" s="30" t="n">
        <f aca="false">IF(AND(E585="budget_probe",ISNUMBER(F585),I585&lt;&gt;Lists!$X$4),1,0)</f>
        <v>0</v>
      </c>
      <c r="AB585" s="30" t="str">
        <f aca="false">IF(AND(B585="office",AA585=1,COUNTIFS(C$5:C585,C585,AA$5:AA585,1)=1),F585,"")</f>
        <v/>
      </c>
      <c r="AC585" s="30" t="str">
        <f aca="false">IF(AND(B585="brand",AA585=1,COUNTIFS(C$5:C585,C585,AA$5:AA585,1)=1),F585,"")</f>
        <v/>
      </c>
      <c r="AD585" s="30" t="str">
        <f aca="false">IF(AND(B585="brand",E585="budget_probe",ISNUMBER(F585),I585=Lists!$X$4),IF(COUNTIFS(C$5:C585,C585,E$5:E585,"budget_probe",I$5:I585,Lists!$X$4)=1,F585,""),"")</f>
        <v/>
      </c>
      <c r="AE585" s="30" t="n">
        <f aca="false">IF(AND(B585="brand",E585="paid",ISNUMBER(F585)),IF(AND(SUMIFS(F$5:F585,B$5:B585,"brand",C$5:C585,C585,E$5:E585,"paid")&gt;=Inputs!$C$44,SUMIFS(F$5:F585,B$5:B585,"brand",C$5:C585,C585,E$5:E585,"paid")-F585&lt;Inputs!$C$44),1,0),0)</f>
        <v>0</v>
      </c>
    </row>
    <row r="586" customFormat="false" ht="15" hidden="false" customHeight="false" outlineLevel="0" collapsed="false">
      <c r="A586" s="102"/>
      <c r="B586" s="103"/>
      <c r="C586" s="103"/>
      <c r="D586" s="103"/>
      <c r="E586" s="103"/>
      <c r="F586" s="103"/>
      <c r="G586" s="103"/>
      <c r="H586" s="103"/>
      <c r="I586" s="103"/>
      <c r="T586" s="30" t="str">
        <f aca="false">IF(C586="","",IF(COUNTIFS(C$5:C586,C586,E$5:E586,E586)=1,1,0))</f>
        <v/>
      </c>
      <c r="U586" s="30" t="n">
        <f aca="false">IF(C586="",0,IF(AND(B586="brand",E586="budget_probe",N(F586)&gt;=Inputs!$C$124,H586="Y"),1,0))</f>
        <v>0</v>
      </c>
      <c r="V586" s="30" t="n">
        <f aca="false">IF(U586=1,IF(COUNTIFS(C$5:C586,C586,U$5:U586,1)=1,1,0),0)</f>
        <v>0</v>
      </c>
      <c r="W586" s="30" t="n">
        <f aca="false">IF(C586="",0,IF(AND(B586="office",E586="budget_probe",N(F586)&gt;=Inputs!$C$139),1,0))</f>
        <v>0</v>
      </c>
      <c r="X586" s="30" t="n">
        <f aca="false">IF(W586=1,IF(COUNTIFS(C$5:C586,C586,W$5:W586,1)=1,1,0),0)</f>
        <v>0</v>
      </c>
      <c r="Y586" s="30" t="n">
        <f aca="false">IF(C586="",0,IF(AND(B586="brand",E586="renewal_answer",TRIM(G586)="yes",N(F586)&gt;=Inputs!$C$135),1,0))</f>
        <v>0</v>
      </c>
      <c r="Z586" s="30" t="n">
        <f aca="false">IF(Y586=1,IF(COUNTIFS(C$5:C586,C586,Y$5:Y586,1)=1,1,0),0)</f>
        <v>0</v>
      </c>
      <c r="AA586" s="30" t="n">
        <f aca="false">IF(AND(E586="budget_probe",ISNUMBER(F586),I586&lt;&gt;Lists!$X$4),1,0)</f>
        <v>0</v>
      </c>
      <c r="AB586" s="30" t="str">
        <f aca="false">IF(AND(B586="office",AA586=1,COUNTIFS(C$5:C586,C586,AA$5:AA586,1)=1),F586,"")</f>
        <v/>
      </c>
      <c r="AC586" s="30" t="str">
        <f aca="false">IF(AND(B586="brand",AA586=1,COUNTIFS(C$5:C586,C586,AA$5:AA586,1)=1),F586,"")</f>
        <v/>
      </c>
      <c r="AD586" s="30" t="str">
        <f aca="false">IF(AND(B586="brand",E586="budget_probe",ISNUMBER(F586),I586=Lists!$X$4),IF(COUNTIFS(C$5:C586,C586,E$5:E586,"budget_probe",I$5:I586,Lists!$X$4)=1,F586,""),"")</f>
        <v/>
      </c>
      <c r="AE586" s="30" t="n">
        <f aca="false">IF(AND(B586="brand",E586="paid",ISNUMBER(F586)),IF(AND(SUMIFS(F$5:F586,B$5:B586,"brand",C$5:C586,C586,E$5:E586,"paid")&gt;=Inputs!$C$44,SUMIFS(F$5:F586,B$5:B586,"brand",C$5:C586,C586,E$5:E586,"paid")-F586&lt;Inputs!$C$44),1,0),0)</f>
        <v>0</v>
      </c>
    </row>
    <row r="587" customFormat="false" ht="15" hidden="false" customHeight="false" outlineLevel="0" collapsed="false">
      <c r="A587" s="102"/>
      <c r="B587" s="103"/>
      <c r="C587" s="103"/>
      <c r="D587" s="103"/>
      <c r="E587" s="103"/>
      <c r="F587" s="103"/>
      <c r="G587" s="103"/>
      <c r="H587" s="103"/>
      <c r="I587" s="103"/>
      <c r="T587" s="30" t="str">
        <f aca="false">IF(C587="","",IF(COUNTIFS(C$5:C587,C587,E$5:E587,E587)=1,1,0))</f>
        <v/>
      </c>
      <c r="U587" s="30" t="n">
        <f aca="false">IF(C587="",0,IF(AND(B587="brand",E587="budget_probe",N(F587)&gt;=Inputs!$C$124,H587="Y"),1,0))</f>
        <v>0</v>
      </c>
      <c r="V587" s="30" t="n">
        <f aca="false">IF(U587=1,IF(COUNTIFS(C$5:C587,C587,U$5:U587,1)=1,1,0),0)</f>
        <v>0</v>
      </c>
      <c r="W587" s="30" t="n">
        <f aca="false">IF(C587="",0,IF(AND(B587="office",E587="budget_probe",N(F587)&gt;=Inputs!$C$139),1,0))</f>
        <v>0</v>
      </c>
      <c r="X587" s="30" t="n">
        <f aca="false">IF(W587=1,IF(COUNTIFS(C$5:C587,C587,W$5:W587,1)=1,1,0),0)</f>
        <v>0</v>
      </c>
      <c r="Y587" s="30" t="n">
        <f aca="false">IF(C587="",0,IF(AND(B587="brand",E587="renewal_answer",TRIM(G587)="yes",N(F587)&gt;=Inputs!$C$135),1,0))</f>
        <v>0</v>
      </c>
      <c r="Z587" s="30" t="n">
        <f aca="false">IF(Y587=1,IF(COUNTIFS(C$5:C587,C587,Y$5:Y587,1)=1,1,0),0)</f>
        <v>0</v>
      </c>
      <c r="AA587" s="30" t="n">
        <f aca="false">IF(AND(E587="budget_probe",ISNUMBER(F587),I587&lt;&gt;Lists!$X$4),1,0)</f>
        <v>0</v>
      </c>
      <c r="AB587" s="30" t="str">
        <f aca="false">IF(AND(B587="office",AA587=1,COUNTIFS(C$5:C587,C587,AA$5:AA587,1)=1),F587,"")</f>
        <v/>
      </c>
      <c r="AC587" s="30" t="str">
        <f aca="false">IF(AND(B587="brand",AA587=1,COUNTIFS(C$5:C587,C587,AA$5:AA587,1)=1),F587,"")</f>
        <v/>
      </c>
      <c r="AD587" s="30" t="str">
        <f aca="false">IF(AND(B587="brand",E587="budget_probe",ISNUMBER(F587),I587=Lists!$X$4),IF(COUNTIFS(C$5:C587,C587,E$5:E587,"budget_probe",I$5:I587,Lists!$X$4)=1,F587,""),"")</f>
        <v/>
      </c>
      <c r="AE587" s="30" t="n">
        <f aca="false">IF(AND(B587="brand",E587="paid",ISNUMBER(F587)),IF(AND(SUMIFS(F$5:F587,B$5:B587,"brand",C$5:C587,C587,E$5:E587,"paid")&gt;=Inputs!$C$44,SUMIFS(F$5:F587,B$5:B587,"brand",C$5:C587,C587,E$5:E587,"paid")-F587&lt;Inputs!$C$44),1,0),0)</f>
        <v>0</v>
      </c>
    </row>
    <row r="588" customFormat="false" ht="15" hidden="false" customHeight="false" outlineLevel="0" collapsed="false">
      <c r="A588" s="102"/>
      <c r="B588" s="103"/>
      <c r="C588" s="103"/>
      <c r="D588" s="103"/>
      <c r="E588" s="103"/>
      <c r="F588" s="103"/>
      <c r="G588" s="103"/>
      <c r="H588" s="103"/>
      <c r="I588" s="103"/>
      <c r="T588" s="30" t="str">
        <f aca="false">IF(C588="","",IF(COUNTIFS(C$5:C588,C588,E$5:E588,E588)=1,1,0))</f>
        <v/>
      </c>
      <c r="U588" s="30" t="n">
        <f aca="false">IF(C588="",0,IF(AND(B588="brand",E588="budget_probe",N(F588)&gt;=Inputs!$C$124,H588="Y"),1,0))</f>
        <v>0</v>
      </c>
      <c r="V588" s="30" t="n">
        <f aca="false">IF(U588=1,IF(COUNTIFS(C$5:C588,C588,U$5:U588,1)=1,1,0),0)</f>
        <v>0</v>
      </c>
      <c r="W588" s="30" t="n">
        <f aca="false">IF(C588="",0,IF(AND(B588="office",E588="budget_probe",N(F588)&gt;=Inputs!$C$139),1,0))</f>
        <v>0</v>
      </c>
      <c r="X588" s="30" t="n">
        <f aca="false">IF(W588=1,IF(COUNTIFS(C$5:C588,C588,W$5:W588,1)=1,1,0),0)</f>
        <v>0</v>
      </c>
      <c r="Y588" s="30" t="n">
        <f aca="false">IF(C588="",0,IF(AND(B588="brand",E588="renewal_answer",TRIM(G588)="yes",N(F588)&gt;=Inputs!$C$135),1,0))</f>
        <v>0</v>
      </c>
      <c r="Z588" s="30" t="n">
        <f aca="false">IF(Y588=1,IF(COUNTIFS(C$5:C588,C588,Y$5:Y588,1)=1,1,0),0)</f>
        <v>0</v>
      </c>
      <c r="AA588" s="30" t="n">
        <f aca="false">IF(AND(E588="budget_probe",ISNUMBER(F588),I588&lt;&gt;Lists!$X$4),1,0)</f>
        <v>0</v>
      </c>
      <c r="AB588" s="30" t="str">
        <f aca="false">IF(AND(B588="office",AA588=1,COUNTIFS(C$5:C588,C588,AA$5:AA588,1)=1),F588,"")</f>
        <v/>
      </c>
      <c r="AC588" s="30" t="str">
        <f aca="false">IF(AND(B588="brand",AA588=1,COUNTIFS(C$5:C588,C588,AA$5:AA588,1)=1),F588,"")</f>
        <v/>
      </c>
      <c r="AD588" s="30" t="str">
        <f aca="false">IF(AND(B588="brand",E588="budget_probe",ISNUMBER(F588),I588=Lists!$X$4),IF(COUNTIFS(C$5:C588,C588,E$5:E588,"budget_probe",I$5:I588,Lists!$X$4)=1,F588,""),"")</f>
        <v/>
      </c>
      <c r="AE588" s="30" t="n">
        <f aca="false">IF(AND(B588="brand",E588="paid",ISNUMBER(F588)),IF(AND(SUMIFS(F$5:F588,B$5:B588,"brand",C$5:C588,C588,E$5:E588,"paid")&gt;=Inputs!$C$44,SUMIFS(F$5:F588,B$5:B588,"brand",C$5:C588,C588,E$5:E588,"paid")-F588&lt;Inputs!$C$44),1,0),0)</f>
        <v>0</v>
      </c>
    </row>
    <row r="589" customFormat="false" ht="15" hidden="false" customHeight="false" outlineLevel="0" collapsed="false">
      <c r="A589" s="102"/>
      <c r="B589" s="103"/>
      <c r="C589" s="103"/>
      <c r="D589" s="103"/>
      <c r="E589" s="103"/>
      <c r="F589" s="103"/>
      <c r="G589" s="103"/>
      <c r="H589" s="103"/>
      <c r="I589" s="103"/>
      <c r="T589" s="30" t="str">
        <f aca="false">IF(C589="","",IF(COUNTIFS(C$5:C589,C589,E$5:E589,E589)=1,1,0))</f>
        <v/>
      </c>
      <c r="U589" s="30" t="n">
        <f aca="false">IF(C589="",0,IF(AND(B589="brand",E589="budget_probe",N(F589)&gt;=Inputs!$C$124,H589="Y"),1,0))</f>
        <v>0</v>
      </c>
      <c r="V589" s="30" t="n">
        <f aca="false">IF(U589=1,IF(COUNTIFS(C$5:C589,C589,U$5:U589,1)=1,1,0),0)</f>
        <v>0</v>
      </c>
      <c r="W589" s="30" t="n">
        <f aca="false">IF(C589="",0,IF(AND(B589="office",E589="budget_probe",N(F589)&gt;=Inputs!$C$139),1,0))</f>
        <v>0</v>
      </c>
      <c r="X589" s="30" t="n">
        <f aca="false">IF(W589=1,IF(COUNTIFS(C$5:C589,C589,W$5:W589,1)=1,1,0),0)</f>
        <v>0</v>
      </c>
      <c r="Y589" s="30" t="n">
        <f aca="false">IF(C589="",0,IF(AND(B589="brand",E589="renewal_answer",TRIM(G589)="yes",N(F589)&gt;=Inputs!$C$135),1,0))</f>
        <v>0</v>
      </c>
      <c r="Z589" s="30" t="n">
        <f aca="false">IF(Y589=1,IF(COUNTIFS(C$5:C589,C589,Y$5:Y589,1)=1,1,0),0)</f>
        <v>0</v>
      </c>
      <c r="AA589" s="30" t="n">
        <f aca="false">IF(AND(E589="budget_probe",ISNUMBER(F589),I589&lt;&gt;Lists!$X$4),1,0)</f>
        <v>0</v>
      </c>
      <c r="AB589" s="30" t="str">
        <f aca="false">IF(AND(B589="office",AA589=1,COUNTIFS(C$5:C589,C589,AA$5:AA589,1)=1),F589,"")</f>
        <v/>
      </c>
      <c r="AC589" s="30" t="str">
        <f aca="false">IF(AND(B589="brand",AA589=1,COUNTIFS(C$5:C589,C589,AA$5:AA589,1)=1),F589,"")</f>
        <v/>
      </c>
      <c r="AD589" s="30" t="str">
        <f aca="false">IF(AND(B589="brand",E589="budget_probe",ISNUMBER(F589),I589=Lists!$X$4),IF(COUNTIFS(C$5:C589,C589,E$5:E589,"budget_probe",I$5:I589,Lists!$X$4)=1,F589,""),"")</f>
        <v/>
      </c>
      <c r="AE589" s="30" t="n">
        <f aca="false">IF(AND(B589="brand",E589="paid",ISNUMBER(F589)),IF(AND(SUMIFS(F$5:F589,B$5:B589,"brand",C$5:C589,C589,E$5:E589,"paid")&gt;=Inputs!$C$44,SUMIFS(F$5:F589,B$5:B589,"brand",C$5:C589,C589,E$5:E589,"paid")-F589&lt;Inputs!$C$44),1,0),0)</f>
        <v>0</v>
      </c>
    </row>
    <row r="590" customFormat="false" ht="15" hidden="false" customHeight="false" outlineLevel="0" collapsed="false">
      <c r="A590" s="102"/>
      <c r="B590" s="103"/>
      <c r="C590" s="103"/>
      <c r="D590" s="103"/>
      <c r="E590" s="103"/>
      <c r="F590" s="103"/>
      <c r="G590" s="103"/>
      <c r="H590" s="103"/>
      <c r="I590" s="103"/>
      <c r="T590" s="30" t="str">
        <f aca="false">IF(C590="","",IF(COUNTIFS(C$5:C590,C590,E$5:E590,E590)=1,1,0))</f>
        <v/>
      </c>
      <c r="U590" s="30" t="n">
        <f aca="false">IF(C590="",0,IF(AND(B590="brand",E590="budget_probe",N(F590)&gt;=Inputs!$C$124,H590="Y"),1,0))</f>
        <v>0</v>
      </c>
      <c r="V590" s="30" t="n">
        <f aca="false">IF(U590=1,IF(COUNTIFS(C$5:C590,C590,U$5:U590,1)=1,1,0),0)</f>
        <v>0</v>
      </c>
      <c r="W590" s="30" t="n">
        <f aca="false">IF(C590="",0,IF(AND(B590="office",E590="budget_probe",N(F590)&gt;=Inputs!$C$139),1,0))</f>
        <v>0</v>
      </c>
      <c r="X590" s="30" t="n">
        <f aca="false">IF(W590=1,IF(COUNTIFS(C$5:C590,C590,W$5:W590,1)=1,1,0),0)</f>
        <v>0</v>
      </c>
      <c r="Y590" s="30" t="n">
        <f aca="false">IF(C590="",0,IF(AND(B590="brand",E590="renewal_answer",TRIM(G590)="yes",N(F590)&gt;=Inputs!$C$135),1,0))</f>
        <v>0</v>
      </c>
      <c r="Z590" s="30" t="n">
        <f aca="false">IF(Y590=1,IF(COUNTIFS(C$5:C590,C590,Y$5:Y590,1)=1,1,0),0)</f>
        <v>0</v>
      </c>
      <c r="AA590" s="30" t="n">
        <f aca="false">IF(AND(E590="budget_probe",ISNUMBER(F590),I590&lt;&gt;Lists!$X$4),1,0)</f>
        <v>0</v>
      </c>
      <c r="AB590" s="30" t="str">
        <f aca="false">IF(AND(B590="office",AA590=1,COUNTIFS(C$5:C590,C590,AA$5:AA590,1)=1),F590,"")</f>
        <v/>
      </c>
      <c r="AC590" s="30" t="str">
        <f aca="false">IF(AND(B590="brand",AA590=1,COUNTIFS(C$5:C590,C590,AA$5:AA590,1)=1),F590,"")</f>
        <v/>
      </c>
      <c r="AD590" s="30" t="str">
        <f aca="false">IF(AND(B590="brand",E590="budget_probe",ISNUMBER(F590),I590=Lists!$X$4),IF(COUNTIFS(C$5:C590,C590,E$5:E590,"budget_probe",I$5:I590,Lists!$X$4)=1,F590,""),"")</f>
        <v/>
      </c>
      <c r="AE590" s="30" t="n">
        <f aca="false">IF(AND(B590="brand",E590="paid",ISNUMBER(F590)),IF(AND(SUMIFS(F$5:F590,B$5:B590,"brand",C$5:C590,C590,E$5:E590,"paid")&gt;=Inputs!$C$44,SUMIFS(F$5:F590,B$5:B590,"brand",C$5:C590,C590,E$5:E590,"paid")-F590&lt;Inputs!$C$44),1,0),0)</f>
        <v>0</v>
      </c>
    </row>
    <row r="591" customFormat="false" ht="15" hidden="false" customHeight="false" outlineLevel="0" collapsed="false">
      <c r="A591" s="102"/>
      <c r="B591" s="103"/>
      <c r="C591" s="103"/>
      <c r="D591" s="103"/>
      <c r="E591" s="103"/>
      <c r="F591" s="103"/>
      <c r="G591" s="103"/>
      <c r="H591" s="103"/>
      <c r="I591" s="103"/>
      <c r="T591" s="30" t="str">
        <f aca="false">IF(C591="","",IF(COUNTIFS(C$5:C591,C591,E$5:E591,E591)=1,1,0))</f>
        <v/>
      </c>
      <c r="U591" s="30" t="n">
        <f aca="false">IF(C591="",0,IF(AND(B591="brand",E591="budget_probe",N(F591)&gt;=Inputs!$C$124,H591="Y"),1,0))</f>
        <v>0</v>
      </c>
      <c r="V591" s="30" t="n">
        <f aca="false">IF(U591=1,IF(COUNTIFS(C$5:C591,C591,U$5:U591,1)=1,1,0),0)</f>
        <v>0</v>
      </c>
      <c r="W591" s="30" t="n">
        <f aca="false">IF(C591="",0,IF(AND(B591="office",E591="budget_probe",N(F591)&gt;=Inputs!$C$139),1,0))</f>
        <v>0</v>
      </c>
      <c r="X591" s="30" t="n">
        <f aca="false">IF(W591=1,IF(COUNTIFS(C$5:C591,C591,W$5:W591,1)=1,1,0),0)</f>
        <v>0</v>
      </c>
      <c r="Y591" s="30" t="n">
        <f aca="false">IF(C591="",0,IF(AND(B591="brand",E591="renewal_answer",TRIM(G591)="yes",N(F591)&gt;=Inputs!$C$135),1,0))</f>
        <v>0</v>
      </c>
      <c r="Z591" s="30" t="n">
        <f aca="false">IF(Y591=1,IF(COUNTIFS(C$5:C591,C591,Y$5:Y591,1)=1,1,0),0)</f>
        <v>0</v>
      </c>
      <c r="AA591" s="30" t="n">
        <f aca="false">IF(AND(E591="budget_probe",ISNUMBER(F591),I591&lt;&gt;Lists!$X$4),1,0)</f>
        <v>0</v>
      </c>
      <c r="AB591" s="30" t="str">
        <f aca="false">IF(AND(B591="office",AA591=1,COUNTIFS(C$5:C591,C591,AA$5:AA591,1)=1),F591,"")</f>
        <v/>
      </c>
      <c r="AC591" s="30" t="str">
        <f aca="false">IF(AND(B591="brand",AA591=1,COUNTIFS(C$5:C591,C591,AA$5:AA591,1)=1),F591,"")</f>
        <v/>
      </c>
      <c r="AD591" s="30" t="str">
        <f aca="false">IF(AND(B591="brand",E591="budget_probe",ISNUMBER(F591),I591=Lists!$X$4),IF(COUNTIFS(C$5:C591,C591,E$5:E591,"budget_probe",I$5:I591,Lists!$X$4)=1,F591,""),"")</f>
        <v/>
      </c>
      <c r="AE591" s="30" t="n">
        <f aca="false">IF(AND(B591="brand",E591="paid",ISNUMBER(F591)),IF(AND(SUMIFS(F$5:F591,B$5:B591,"brand",C$5:C591,C591,E$5:E591,"paid")&gt;=Inputs!$C$44,SUMIFS(F$5:F591,B$5:B591,"brand",C$5:C591,C591,E$5:E591,"paid")-F591&lt;Inputs!$C$44),1,0),0)</f>
        <v>0</v>
      </c>
    </row>
    <row r="592" customFormat="false" ht="15" hidden="false" customHeight="false" outlineLevel="0" collapsed="false">
      <c r="A592" s="102"/>
      <c r="B592" s="103"/>
      <c r="C592" s="103"/>
      <c r="D592" s="103"/>
      <c r="E592" s="103"/>
      <c r="F592" s="103"/>
      <c r="G592" s="103"/>
      <c r="H592" s="103"/>
      <c r="I592" s="103"/>
      <c r="T592" s="30" t="str">
        <f aca="false">IF(C592="","",IF(COUNTIFS(C$5:C592,C592,E$5:E592,E592)=1,1,0))</f>
        <v/>
      </c>
      <c r="U592" s="30" t="n">
        <f aca="false">IF(C592="",0,IF(AND(B592="brand",E592="budget_probe",N(F592)&gt;=Inputs!$C$124,H592="Y"),1,0))</f>
        <v>0</v>
      </c>
      <c r="V592" s="30" t="n">
        <f aca="false">IF(U592=1,IF(COUNTIFS(C$5:C592,C592,U$5:U592,1)=1,1,0),0)</f>
        <v>0</v>
      </c>
      <c r="W592" s="30" t="n">
        <f aca="false">IF(C592="",0,IF(AND(B592="office",E592="budget_probe",N(F592)&gt;=Inputs!$C$139),1,0))</f>
        <v>0</v>
      </c>
      <c r="X592" s="30" t="n">
        <f aca="false">IF(W592=1,IF(COUNTIFS(C$5:C592,C592,W$5:W592,1)=1,1,0),0)</f>
        <v>0</v>
      </c>
      <c r="Y592" s="30" t="n">
        <f aca="false">IF(C592="",0,IF(AND(B592="brand",E592="renewal_answer",TRIM(G592)="yes",N(F592)&gt;=Inputs!$C$135),1,0))</f>
        <v>0</v>
      </c>
      <c r="Z592" s="30" t="n">
        <f aca="false">IF(Y592=1,IF(COUNTIFS(C$5:C592,C592,Y$5:Y592,1)=1,1,0),0)</f>
        <v>0</v>
      </c>
      <c r="AA592" s="30" t="n">
        <f aca="false">IF(AND(E592="budget_probe",ISNUMBER(F592),I592&lt;&gt;Lists!$X$4),1,0)</f>
        <v>0</v>
      </c>
      <c r="AB592" s="30" t="str">
        <f aca="false">IF(AND(B592="office",AA592=1,COUNTIFS(C$5:C592,C592,AA$5:AA592,1)=1),F592,"")</f>
        <v/>
      </c>
      <c r="AC592" s="30" t="str">
        <f aca="false">IF(AND(B592="brand",AA592=1,COUNTIFS(C$5:C592,C592,AA$5:AA592,1)=1),F592,"")</f>
        <v/>
      </c>
      <c r="AD592" s="30" t="str">
        <f aca="false">IF(AND(B592="brand",E592="budget_probe",ISNUMBER(F592),I592=Lists!$X$4),IF(COUNTIFS(C$5:C592,C592,E$5:E592,"budget_probe",I$5:I592,Lists!$X$4)=1,F592,""),"")</f>
        <v/>
      </c>
      <c r="AE592" s="30" t="n">
        <f aca="false">IF(AND(B592="brand",E592="paid",ISNUMBER(F592)),IF(AND(SUMIFS(F$5:F592,B$5:B592,"brand",C$5:C592,C592,E$5:E592,"paid")&gt;=Inputs!$C$44,SUMIFS(F$5:F592,B$5:B592,"brand",C$5:C592,C592,E$5:E592,"paid")-F592&lt;Inputs!$C$44),1,0),0)</f>
        <v>0</v>
      </c>
    </row>
    <row r="593" customFormat="false" ht="15" hidden="false" customHeight="false" outlineLevel="0" collapsed="false">
      <c r="A593" s="102"/>
      <c r="B593" s="103"/>
      <c r="C593" s="103"/>
      <c r="D593" s="103"/>
      <c r="E593" s="103"/>
      <c r="F593" s="103"/>
      <c r="G593" s="103"/>
      <c r="H593" s="103"/>
      <c r="I593" s="103"/>
      <c r="T593" s="30" t="str">
        <f aca="false">IF(C593="","",IF(COUNTIFS(C$5:C593,C593,E$5:E593,E593)=1,1,0))</f>
        <v/>
      </c>
      <c r="U593" s="30" t="n">
        <f aca="false">IF(C593="",0,IF(AND(B593="brand",E593="budget_probe",N(F593)&gt;=Inputs!$C$124,H593="Y"),1,0))</f>
        <v>0</v>
      </c>
      <c r="V593" s="30" t="n">
        <f aca="false">IF(U593=1,IF(COUNTIFS(C$5:C593,C593,U$5:U593,1)=1,1,0),0)</f>
        <v>0</v>
      </c>
      <c r="W593" s="30" t="n">
        <f aca="false">IF(C593="",0,IF(AND(B593="office",E593="budget_probe",N(F593)&gt;=Inputs!$C$139),1,0))</f>
        <v>0</v>
      </c>
      <c r="X593" s="30" t="n">
        <f aca="false">IF(W593=1,IF(COUNTIFS(C$5:C593,C593,W$5:W593,1)=1,1,0),0)</f>
        <v>0</v>
      </c>
      <c r="Y593" s="30" t="n">
        <f aca="false">IF(C593="",0,IF(AND(B593="brand",E593="renewal_answer",TRIM(G593)="yes",N(F593)&gt;=Inputs!$C$135),1,0))</f>
        <v>0</v>
      </c>
      <c r="Z593" s="30" t="n">
        <f aca="false">IF(Y593=1,IF(COUNTIFS(C$5:C593,C593,Y$5:Y593,1)=1,1,0),0)</f>
        <v>0</v>
      </c>
      <c r="AA593" s="30" t="n">
        <f aca="false">IF(AND(E593="budget_probe",ISNUMBER(F593),I593&lt;&gt;Lists!$X$4),1,0)</f>
        <v>0</v>
      </c>
      <c r="AB593" s="30" t="str">
        <f aca="false">IF(AND(B593="office",AA593=1,COUNTIFS(C$5:C593,C593,AA$5:AA593,1)=1),F593,"")</f>
        <v/>
      </c>
      <c r="AC593" s="30" t="str">
        <f aca="false">IF(AND(B593="brand",AA593=1,COUNTIFS(C$5:C593,C593,AA$5:AA593,1)=1),F593,"")</f>
        <v/>
      </c>
      <c r="AD593" s="30" t="str">
        <f aca="false">IF(AND(B593="brand",E593="budget_probe",ISNUMBER(F593),I593=Lists!$X$4),IF(COUNTIFS(C$5:C593,C593,E$5:E593,"budget_probe",I$5:I593,Lists!$X$4)=1,F593,""),"")</f>
        <v/>
      </c>
      <c r="AE593" s="30" t="n">
        <f aca="false">IF(AND(B593="brand",E593="paid",ISNUMBER(F593)),IF(AND(SUMIFS(F$5:F593,B$5:B593,"brand",C$5:C593,C593,E$5:E593,"paid")&gt;=Inputs!$C$44,SUMIFS(F$5:F593,B$5:B593,"brand",C$5:C593,C593,E$5:E593,"paid")-F593&lt;Inputs!$C$44),1,0),0)</f>
        <v>0</v>
      </c>
    </row>
    <row r="594" customFormat="false" ht="15" hidden="false" customHeight="false" outlineLevel="0" collapsed="false">
      <c r="A594" s="102"/>
      <c r="B594" s="103"/>
      <c r="C594" s="103"/>
      <c r="D594" s="103"/>
      <c r="E594" s="103"/>
      <c r="F594" s="103"/>
      <c r="G594" s="103"/>
      <c r="H594" s="103"/>
      <c r="I594" s="103"/>
      <c r="T594" s="30" t="str">
        <f aca="false">IF(C594="","",IF(COUNTIFS(C$5:C594,C594,E$5:E594,E594)=1,1,0))</f>
        <v/>
      </c>
      <c r="U594" s="30" t="n">
        <f aca="false">IF(C594="",0,IF(AND(B594="brand",E594="budget_probe",N(F594)&gt;=Inputs!$C$124,H594="Y"),1,0))</f>
        <v>0</v>
      </c>
      <c r="V594" s="30" t="n">
        <f aca="false">IF(U594=1,IF(COUNTIFS(C$5:C594,C594,U$5:U594,1)=1,1,0),0)</f>
        <v>0</v>
      </c>
      <c r="W594" s="30" t="n">
        <f aca="false">IF(C594="",0,IF(AND(B594="office",E594="budget_probe",N(F594)&gt;=Inputs!$C$139),1,0))</f>
        <v>0</v>
      </c>
      <c r="X594" s="30" t="n">
        <f aca="false">IF(W594=1,IF(COUNTIFS(C$5:C594,C594,W$5:W594,1)=1,1,0),0)</f>
        <v>0</v>
      </c>
      <c r="Y594" s="30" t="n">
        <f aca="false">IF(C594="",0,IF(AND(B594="brand",E594="renewal_answer",TRIM(G594)="yes",N(F594)&gt;=Inputs!$C$135),1,0))</f>
        <v>0</v>
      </c>
      <c r="Z594" s="30" t="n">
        <f aca="false">IF(Y594=1,IF(COUNTIFS(C$5:C594,C594,Y$5:Y594,1)=1,1,0),0)</f>
        <v>0</v>
      </c>
      <c r="AA594" s="30" t="n">
        <f aca="false">IF(AND(E594="budget_probe",ISNUMBER(F594),I594&lt;&gt;Lists!$X$4),1,0)</f>
        <v>0</v>
      </c>
      <c r="AB594" s="30" t="str">
        <f aca="false">IF(AND(B594="office",AA594=1,COUNTIFS(C$5:C594,C594,AA$5:AA594,1)=1),F594,"")</f>
        <v/>
      </c>
      <c r="AC594" s="30" t="str">
        <f aca="false">IF(AND(B594="brand",AA594=1,COUNTIFS(C$5:C594,C594,AA$5:AA594,1)=1),F594,"")</f>
        <v/>
      </c>
      <c r="AD594" s="30" t="str">
        <f aca="false">IF(AND(B594="brand",E594="budget_probe",ISNUMBER(F594),I594=Lists!$X$4),IF(COUNTIFS(C$5:C594,C594,E$5:E594,"budget_probe",I$5:I594,Lists!$X$4)=1,F594,""),"")</f>
        <v/>
      </c>
      <c r="AE594" s="30" t="n">
        <f aca="false">IF(AND(B594="brand",E594="paid",ISNUMBER(F594)),IF(AND(SUMIFS(F$5:F594,B$5:B594,"brand",C$5:C594,C594,E$5:E594,"paid")&gt;=Inputs!$C$44,SUMIFS(F$5:F594,B$5:B594,"brand",C$5:C594,C594,E$5:E594,"paid")-F594&lt;Inputs!$C$44),1,0),0)</f>
        <v>0</v>
      </c>
    </row>
    <row r="595" customFormat="false" ht="15" hidden="false" customHeight="false" outlineLevel="0" collapsed="false">
      <c r="A595" s="102"/>
      <c r="B595" s="103"/>
      <c r="C595" s="103"/>
      <c r="D595" s="103"/>
      <c r="E595" s="103"/>
      <c r="F595" s="103"/>
      <c r="G595" s="103"/>
      <c r="H595" s="103"/>
      <c r="I595" s="103"/>
      <c r="T595" s="30" t="str">
        <f aca="false">IF(C595="","",IF(COUNTIFS(C$5:C595,C595,E$5:E595,E595)=1,1,0))</f>
        <v/>
      </c>
      <c r="U595" s="30" t="n">
        <f aca="false">IF(C595="",0,IF(AND(B595="brand",E595="budget_probe",N(F595)&gt;=Inputs!$C$124,H595="Y"),1,0))</f>
        <v>0</v>
      </c>
      <c r="V595" s="30" t="n">
        <f aca="false">IF(U595=1,IF(COUNTIFS(C$5:C595,C595,U$5:U595,1)=1,1,0),0)</f>
        <v>0</v>
      </c>
      <c r="W595" s="30" t="n">
        <f aca="false">IF(C595="",0,IF(AND(B595="office",E595="budget_probe",N(F595)&gt;=Inputs!$C$139),1,0))</f>
        <v>0</v>
      </c>
      <c r="X595" s="30" t="n">
        <f aca="false">IF(W595=1,IF(COUNTIFS(C$5:C595,C595,W$5:W595,1)=1,1,0),0)</f>
        <v>0</v>
      </c>
      <c r="Y595" s="30" t="n">
        <f aca="false">IF(C595="",0,IF(AND(B595="brand",E595="renewal_answer",TRIM(G595)="yes",N(F595)&gt;=Inputs!$C$135),1,0))</f>
        <v>0</v>
      </c>
      <c r="Z595" s="30" t="n">
        <f aca="false">IF(Y595=1,IF(COUNTIFS(C$5:C595,C595,Y$5:Y595,1)=1,1,0),0)</f>
        <v>0</v>
      </c>
      <c r="AA595" s="30" t="n">
        <f aca="false">IF(AND(E595="budget_probe",ISNUMBER(F595),I595&lt;&gt;Lists!$X$4),1,0)</f>
        <v>0</v>
      </c>
      <c r="AB595" s="30" t="str">
        <f aca="false">IF(AND(B595="office",AA595=1,COUNTIFS(C$5:C595,C595,AA$5:AA595,1)=1),F595,"")</f>
        <v/>
      </c>
      <c r="AC595" s="30" t="str">
        <f aca="false">IF(AND(B595="brand",AA595=1,COUNTIFS(C$5:C595,C595,AA$5:AA595,1)=1),F595,"")</f>
        <v/>
      </c>
      <c r="AD595" s="30" t="str">
        <f aca="false">IF(AND(B595="brand",E595="budget_probe",ISNUMBER(F595),I595=Lists!$X$4),IF(COUNTIFS(C$5:C595,C595,E$5:E595,"budget_probe",I$5:I595,Lists!$X$4)=1,F595,""),"")</f>
        <v/>
      </c>
      <c r="AE595" s="30" t="n">
        <f aca="false">IF(AND(B595="brand",E595="paid",ISNUMBER(F595)),IF(AND(SUMIFS(F$5:F595,B$5:B595,"brand",C$5:C595,C595,E$5:E595,"paid")&gt;=Inputs!$C$44,SUMIFS(F$5:F595,B$5:B595,"brand",C$5:C595,C595,E$5:E595,"paid")-F595&lt;Inputs!$C$44),1,0),0)</f>
        <v>0</v>
      </c>
    </row>
    <row r="596" customFormat="false" ht="15" hidden="false" customHeight="false" outlineLevel="0" collapsed="false">
      <c r="A596" s="102"/>
      <c r="B596" s="103"/>
      <c r="C596" s="103"/>
      <c r="D596" s="103"/>
      <c r="E596" s="103"/>
      <c r="F596" s="103"/>
      <c r="G596" s="103"/>
      <c r="H596" s="103"/>
      <c r="I596" s="103"/>
      <c r="T596" s="30" t="str">
        <f aca="false">IF(C596="","",IF(COUNTIFS(C$5:C596,C596,E$5:E596,E596)=1,1,0))</f>
        <v/>
      </c>
      <c r="U596" s="30" t="n">
        <f aca="false">IF(C596="",0,IF(AND(B596="brand",E596="budget_probe",N(F596)&gt;=Inputs!$C$124,H596="Y"),1,0))</f>
        <v>0</v>
      </c>
      <c r="V596" s="30" t="n">
        <f aca="false">IF(U596=1,IF(COUNTIFS(C$5:C596,C596,U$5:U596,1)=1,1,0),0)</f>
        <v>0</v>
      </c>
      <c r="W596" s="30" t="n">
        <f aca="false">IF(C596="",0,IF(AND(B596="office",E596="budget_probe",N(F596)&gt;=Inputs!$C$139),1,0))</f>
        <v>0</v>
      </c>
      <c r="X596" s="30" t="n">
        <f aca="false">IF(W596=1,IF(COUNTIFS(C$5:C596,C596,W$5:W596,1)=1,1,0),0)</f>
        <v>0</v>
      </c>
      <c r="Y596" s="30" t="n">
        <f aca="false">IF(C596="",0,IF(AND(B596="brand",E596="renewal_answer",TRIM(G596)="yes",N(F596)&gt;=Inputs!$C$135),1,0))</f>
        <v>0</v>
      </c>
      <c r="Z596" s="30" t="n">
        <f aca="false">IF(Y596=1,IF(COUNTIFS(C$5:C596,C596,Y$5:Y596,1)=1,1,0),0)</f>
        <v>0</v>
      </c>
      <c r="AA596" s="30" t="n">
        <f aca="false">IF(AND(E596="budget_probe",ISNUMBER(F596),I596&lt;&gt;Lists!$X$4),1,0)</f>
        <v>0</v>
      </c>
      <c r="AB596" s="30" t="str">
        <f aca="false">IF(AND(B596="office",AA596=1,COUNTIFS(C$5:C596,C596,AA$5:AA596,1)=1),F596,"")</f>
        <v/>
      </c>
      <c r="AC596" s="30" t="str">
        <f aca="false">IF(AND(B596="brand",AA596=1,COUNTIFS(C$5:C596,C596,AA$5:AA596,1)=1),F596,"")</f>
        <v/>
      </c>
      <c r="AD596" s="30" t="str">
        <f aca="false">IF(AND(B596="brand",E596="budget_probe",ISNUMBER(F596),I596=Lists!$X$4),IF(COUNTIFS(C$5:C596,C596,E$5:E596,"budget_probe",I$5:I596,Lists!$X$4)=1,F596,""),"")</f>
        <v/>
      </c>
      <c r="AE596" s="30" t="n">
        <f aca="false">IF(AND(B596="brand",E596="paid",ISNUMBER(F596)),IF(AND(SUMIFS(F$5:F596,B$5:B596,"brand",C$5:C596,C596,E$5:E596,"paid")&gt;=Inputs!$C$44,SUMIFS(F$5:F596,B$5:B596,"brand",C$5:C596,C596,E$5:E596,"paid")-F596&lt;Inputs!$C$44),1,0),0)</f>
        <v>0</v>
      </c>
    </row>
    <row r="597" customFormat="false" ht="15" hidden="false" customHeight="false" outlineLevel="0" collapsed="false">
      <c r="A597" s="102"/>
      <c r="B597" s="103"/>
      <c r="C597" s="103"/>
      <c r="D597" s="103"/>
      <c r="E597" s="103"/>
      <c r="F597" s="103"/>
      <c r="G597" s="103"/>
      <c r="H597" s="103"/>
      <c r="I597" s="103"/>
      <c r="T597" s="30" t="str">
        <f aca="false">IF(C597="","",IF(COUNTIFS(C$5:C597,C597,E$5:E597,E597)=1,1,0))</f>
        <v/>
      </c>
      <c r="U597" s="30" t="n">
        <f aca="false">IF(C597="",0,IF(AND(B597="brand",E597="budget_probe",N(F597)&gt;=Inputs!$C$124,H597="Y"),1,0))</f>
        <v>0</v>
      </c>
      <c r="V597" s="30" t="n">
        <f aca="false">IF(U597=1,IF(COUNTIFS(C$5:C597,C597,U$5:U597,1)=1,1,0),0)</f>
        <v>0</v>
      </c>
      <c r="W597" s="30" t="n">
        <f aca="false">IF(C597="",0,IF(AND(B597="office",E597="budget_probe",N(F597)&gt;=Inputs!$C$139),1,0))</f>
        <v>0</v>
      </c>
      <c r="X597" s="30" t="n">
        <f aca="false">IF(W597=1,IF(COUNTIFS(C$5:C597,C597,W$5:W597,1)=1,1,0),0)</f>
        <v>0</v>
      </c>
      <c r="Y597" s="30" t="n">
        <f aca="false">IF(C597="",0,IF(AND(B597="brand",E597="renewal_answer",TRIM(G597)="yes",N(F597)&gt;=Inputs!$C$135),1,0))</f>
        <v>0</v>
      </c>
      <c r="Z597" s="30" t="n">
        <f aca="false">IF(Y597=1,IF(COUNTIFS(C$5:C597,C597,Y$5:Y597,1)=1,1,0),0)</f>
        <v>0</v>
      </c>
      <c r="AA597" s="30" t="n">
        <f aca="false">IF(AND(E597="budget_probe",ISNUMBER(F597),I597&lt;&gt;Lists!$X$4),1,0)</f>
        <v>0</v>
      </c>
      <c r="AB597" s="30" t="str">
        <f aca="false">IF(AND(B597="office",AA597=1,COUNTIFS(C$5:C597,C597,AA$5:AA597,1)=1),F597,"")</f>
        <v/>
      </c>
      <c r="AC597" s="30" t="str">
        <f aca="false">IF(AND(B597="brand",AA597=1,COUNTIFS(C$5:C597,C597,AA$5:AA597,1)=1),F597,"")</f>
        <v/>
      </c>
      <c r="AD597" s="30" t="str">
        <f aca="false">IF(AND(B597="brand",E597="budget_probe",ISNUMBER(F597),I597=Lists!$X$4),IF(COUNTIFS(C$5:C597,C597,E$5:E597,"budget_probe",I$5:I597,Lists!$X$4)=1,F597,""),"")</f>
        <v/>
      </c>
      <c r="AE597" s="30" t="n">
        <f aca="false">IF(AND(B597="brand",E597="paid",ISNUMBER(F597)),IF(AND(SUMIFS(F$5:F597,B$5:B597,"brand",C$5:C597,C597,E$5:E597,"paid")&gt;=Inputs!$C$44,SUMIFS(F$5:F597,B$5:B597,"brand",C$5:C597,C597,E$5:E597,"paid")-F597&lt;Inputs!$C$44),1,0),0)</f>
        <v>0</v>
      </c>
    </row>
    <row r="598" customFormat="false" ht="15" hidden="false" customHeight="false" outlineLevel="0" collapsed="false">
      <c r="A598" s="102"/>
      <c r="B598" s="103"/>
      <c r="C598" s="103"/>
      <c r="D598" s="103"/>
      <c r="E598" s="103"/>
      <c r="F598" s="103"/>
      <c r="G598" s="103"/>
      <c r="H598" s="103"/>
      <c r="I598" s="103"/>
      <c r="T598" s="30" t="str">
        <f aca="false">IF(C598="","",IF(COUNTIFS(C$5:C598,C598,E$5:E598,E598)=1,1,0))</f>
        <v/>
      </c>
      <c r="U598" s="30" t="n">
        <f aca="false">IF(C598="",0,IF(AND(B598="brand",E598="budget_probe",N(F598)&gt;=Inputs!$C$124,H598="Y"),1,0))</f>
        <v>0</v>
      </c>
      <c r="V598" s="30" t="n">
        <f aca="false">IF(U598=1,IF(COUNTIFS(C$5:C598,C598,U$5:U598,1)=1,1,0),0)</f>
        <v>0</v>
      </c>
      <c r="W598" s="30" t="n">
        <f aca="false">IF(C598="",0,IF(AND(B598="office",E598="budget_probe",N(F598)&gt;=Inputs!$C$139),1,0))</f>
        <v>0</v>
      </c>
      <c r="X598" s="30" t="n">
        <f aca="false">IF(W598=1,IF(COUNTIFS(C$5:C598,C598,W$5:W598,1)=1,1,0),0)</f>
        <v>0</v>
      </c>
      <c r="Y598" s="30" t="n">
        <f aca="false">IF(C598="",0,IF(AND(B598="brand",E598="renewal_answer",TRIM(G598)="yes",N(F598)&gt;=Inputs!$C$135),1,0))</f>
        <v>0</v>
      </c>
      <c r="Z598" s="30" t="n">
        <f aca="false">IF(Y598=1,IF(COUNTIFS(C$5:C598,C598,Y$5:Y598,1)=1,1,0),0)</f>
        <v>0</v>
      </c>
      <c r="AA598" s="30" t="n">
        <f aca="false">IF(AND(E598="budget_probe",ISNUMBER(F598),I598&lt;&gt;Lists!$X$4),1,0)</f>
        <v>0</v>
      </c>
      <c r="AB598" s="30" t="str">
        <f aca="false">IF(AND(B598="office",AA598=1,COUNTIFS(C$5:C598,C598,AA$5:AA598,1)=1),F598,"")</f>
        <v/>
      </c>
      <c r="AC598" s="30" t="str">
        <f aca="false">IF(AND(B598="brand",AA598=1,COUNTIFS(C$5:C598,C598,AA$5:AA598,1)=1),F598,"")</f>
        <v/>
      </c>
      <c r="AD598" s="30" t="str">
        <f aca="false">IF(AND(B598="brand",E598="budget_probe",ISNUMBER(F598),I598=Lists!$X$4),IF(COUNTIFS(C$5:C598,C598,E$5:E598,"budget_probe",I$5:I598,Lists!$X$4)=1,F598,""),"")</f>
        <v/>
      </c>
      <c r="AE598" s="30" t="n">
        <f aca="false">IF(AND(B598="brand",E598="paid",ISNUMBER(F598)),IF(AND(SUMIFS(F$5:F598,B$5:B598,"brand",C$5:C598,C598,E$5:E598,"paid")&gt;=Inputs!$C$44,SUMIFS(F$5:F598,B$5:B598,"brand",C$5:C598,C598,E$5:E598,"paid")-F598&lt;Inputs!$C$44),1,0),0)</f>
        <v>0</v>
      </c>
    </row>
    <row r="599" customFormat="false" ht="15" hidden="false" customHeight="false" outlineLevel="0" collapsed="false">
      <c r="A599" s="102"/>
      <c r="B599" s="103"/>
      <c r="C599" s="103"/>
      <c r="D599" s="103"/>
      <c r="E599" s="103"/>
      <c r="F599" s="103"/>
      <c r="G599" s="103"/>
      <c r="H599" s="103"/>
      <c r="I599" s="103"/>
      <c r="T599" s="30" t="str">
        <f aca="false">IF(C599="","",IF(COUNTIFS(C$5:C599,C599,E$5:E599,E599)=1,1,0))</f>
        <v/>
      </c>
      <c r="U599" s="30" t="n">
        <f aca="false">IF(C599="",0,IF(AND(B599="brand",E599="budget_probe",N(F599)&gt;=Inputs!$C$124,H599="Y"),1,0))</f>
        <v>0</v>
      </c>
      <c r="V599" s="30" t="n">
        <f aca="false">IF(U599=1,IF(COUNTIFS(C$5:C599,C599,U$5:U599,1)=1,1,0),0)</f>
        <v>0</v>
      </c>
      <c r="W599" s="30" t="n">
        <f aca="false">IF(C599="",0,IF(AND(B599="office",E599="budget_probe",N(F599)&gt;=Inputs!$C$139),1,0))</f>
        <v>0</v>
      </c>
      <c r="X599" s="30" t="n">
        <f aca="false">IF(W599=1,IF(COUNTIFS(C$5:C599,C599,W$5:W599,1)=1,1,0),0)</f>
        <v>0</v>
      </c>
      <c r="Y599" s="30" t="n">
        <f aca="false">IF(C599="",0,IF(AND(B599="brand",E599="renewal_answer",TRIM(G599)="yes",N(F599)&gt;=Inputs!$C$135),1,0))</f>
        <v>0</v>
      </c>
      <c r="Z599" s="30" t="n">
        <f aca="false">IF(Y599=1,IF(COUNTIFS(C$5:C599,C599,Y$5:Y599,1)=1,1,0),0)</f>
        <v>0</v>
      </c>
      <c r="AA599" s="30" t="n">
        <f aca="false">IF(AND(E599="budget_probe",ISNUMBER(F599),I599&lt;&gt;Lists!$X$4),1,0)</f>
        <v>0</v>
      </c>
      <c r="AB599" s="30" t="str">
        <f aca="false">IF(AND(B599="office",AA599=1,COUNTIFS(C$5:C599,C599,AA$5:AA599,1)=1),F599,"")</f>
        <v/>
      </c>
      <c r="AC599" s="30" t="str">
        <f aca="false">IF(AND(B599="brand",AA599=1,COUNTIFS(C$5:C599,C599,AA$5:AA599,1)=1),F599,"")</f>
        <v/>
      </c>
      <c r="AD599" s="30" t="str">
        <f aca="false">IF(AND(B599="brand",E599="budget_probe",ISNUMBER(F599),I599=Lists!$X$4),IF(COUNTIFS(C$5:C599,C599,E$5:E599,"budget_probe",I$5:I599,Lists!$X$4)=1,F599,""),"")</f>
        <v/>
      </c>
      <c r="AE599" s="30" t="n">
        <f aca="false">IF(AND(B599="brand",E599="paid",ISNUMBER(F599)),IF(AND(SUMIFS(F$5:F599,B$5:B599,"brand",C$5:C599,C599,E$5:E599,"paid")&gt;=Inputs!$C$44,SUMIFS(F$5:F599,B$5:B599,"brand",C$5:C599,C599,E$5:E599,"paid")-F599&lt;Inputs!$C$44),1,0),0)</f>
        <v>0</v>
      </c>
    </row>
    <row r="600" customFormat="false" ht="15" hidden="false" customHeight="false" outlineLevel="0" collapsed="false">
      <c r="A600" s="102"/>
      <c r="B600" s="103"/>
      <c r="C600" s="103"/>
      <c r="D600" s="103"/>
      <c r="E600" s="103"/>
      <c r="F600" s="103"/>
      <c r="G600" s="103"/>
      <c r="H600" s="103"/>
      <c r="I600" s="103"/>
      <c r="T600" s="30" t="str">
        <f aca="false">IF(C600="","",IF(COUNTIFS(C$5:C600,C600,E$5:E600,E600)=1,1,0))</f>
        <v/>
      </c>
      <c r="U600" s="30" t="n">
        <f aca="false">IF(C600="",0,IF(AND(B600="brand",E600="budget_probe",N(F600)&gt;=Inputs!$C$124,H600="Y"),1,0))</f>
        <v>0</v>
      </c>
      <c r="V600" s="30" t="n">
        <f aca="false">IF(U600=1,IF(COUNTIFS(C$5:C600,C600,U$5:U600,1)=1,1,0),0)</f>
        <v>0</v>
      </c>
      <c r="W600" s="30" t="n">
        <f aca="false">IF(C600="",0,IF(AND(B600="office",E600="budget_probe",N(F600)&gt;=Inputs!$C$139),1,0))</f>
        <v>0</v>
      </c>
      <c r="X600" s="30" t="n">
        <f aca="false">IF(W600=1,IF(COUNTIFS(C$5:C600,C600,W$5:W600,1)=1,1,0),0)</f>
        <v>0</v>
      </c>
      <c r="Y600" s="30" t="n">
        <f aca="false">IF(C600="",0,IF(AND(B600="brand",E600="renewal_answer",TRIM(G600)="yes",N(F600)&gt;=Inputs!$C$135),1,0))</f>
        <v>0</v>
      </c>
      <c r="Z600" s="30" t="n">
        <f aca="false">IF(Y600=1,IF(COUNTIFS(C$5:C600,C600,Y$5:Y600,1)=1,1,0),0)</f>
        <v>0</v>
      </c>
      <c r="AA600" s="30" t="n">
        <f aca="false">IF(AND(E600="budget_probe",ISNUMBER(F600),I600&lt;&gt;Lists!$X$4),1,0)</f>
        <v>0</v>
      </c>
      <c r="AB600" s="30" t="str">
        <f aca="false">IF(AND(B600="office",AA600=1,COUNTIFS(C$5:C600,C600,AA$5:AA600,1)=1),F600,"")</f>
        <v/>
      </c>
      <c r="AC600" s="30" t="str">
        <f aca="false">IF(AND(B600="brand",AA600=1,COUNTIFS(C$5:C600,C600,AA$5:AA600,1)=1),F600,"")</f>
        <v/>
      </c>
      <c r="AD600" s="30" t="str">
        <f aca="false">IF(AND(B600="brand",E600="budget_probe",ISNUMBER(F600),I600=Lists!$X$4),IF(COUNTIFS(C$5:C600,C600,E$5:E600,"budget_probe",I$5:I600,Lists!$X$4)=1,F600,""),"")</f>
        <v/>
      </c>
      <c r="AE600" s="30" t="n">
        <f aca="false">IF(AND(B600="brand",E600="paid",ISNUMBER(F600)),IF(AND(SUMIFS(F$5:F600,B$5:B600,"brand",C$5:C600,C600,E$5:E600,"paid")&gt;=Inputs!$C$44,SUMIFS(F$5:F600,B$5:B600,"brand",C$5:C600,C600,E$5:E600,"paid")-F600&lt;Inputs!$C$44),1,0),0)</f>
        <v>0</v>
      </c>
    </row>
    <row r="601" customFormat="false" ht="15" hidden="false" customHeight="false" outlineLevel="0" collapsed="false">
      <c r="A601" s="102"/>
      <c r="B601" s="103"/>
      <c r="C601" s="103"/>
      <c r="D601" s="103"/>
      <c r="E601" s="103"/>
      <c r="F601" s="103"/>
      <c r="G601" s="103"/>
      <c r="H601" s="103"/>
      <c r="I601" s="103"/>
      <c r="T601" s="30" t="str">
        <f aca="false">IF(C601="","",IF(COUNTIFS(C$5:C601,C601,E$5:E601,E601)=1,1,0))</f>
        <v/>
      </c>
      <c r="U601" s="30" t="n">
        <f aca="false">IF(C601="",0,IF(AND(B601="brand",E601="budget_probe",N(F601)&gt;=Inputs!$C$124,H601="Y"),1,0))</f>
        <v>0</v>
      </c>
      <c r="V601" s="30" t="n">
        <f aca="false">IF(U601=1,IF(COUNTIFS(C$5:C601,C601,U$5:U601,1)=1,1,0),0)</f>
        <v>0</v>
      </c>
      <c r="W601" s="30" t="n">
        <f aca="false">IF(C601="",0,IF(AND(B601="office",E601="budget_probe",N(F601)&gt;=Inputs!$C$139),1,0))</f>
        <v>0</v>
      </c>
      <c r="X601" s="30" t="n">
        <f aca="false">IF(W601=1,IF(COUNTIFS(C$5:C601,C601,W$5:W601,1)=1,1,0),0)</f>
        <v>0</v>
      </c>
      <c r="Y601" s="30" t="n">
        <f aca="false">IF(C601="",0,IF(AND(B601="brand",E601="renewal_answer",TRIM(G601)="yes",N(F601)&gt;=Inputs!$C$135),1,0))</f>
        <v>0</v>
      </c>
      <c r="Z601" s="30" t="n">
        <f aca="false">IF(Y601=1,IF(COUNTIFS(C$5:C601,C601,Y$5:Y601,1)=1,1,0),0)</f>
        <v>0</v>
      </c>
      <c r="AA601" s="30" t="n">
        <f aca="false">IF(AND(E601="budget_probe",ISNUMBER(F601),I601&lt;&gt;Lists!$X$4),1,0)</f>
        <v>0</v>
      </c>
      <c r="AB601" s="30" t="str">
        <f aca="false">IF(AND(B601="office",AA601=1,COUNTIFS(C$5:C601,C601,AA$5:AA601,1)=1),F601,"")</f>
        <v/>
      </c>
      <c r="AC601" s="30" t="str">
        <f aca="false">IF(AND(B601="brand",AA601=1,COUNTIFS(C$5:C601,C601,AA$5:AA601,1)=1),F601,"")</f>
        <v/>
      </c>
      <c r="AD601" s="30" t="str">
        <f aca="false">IF(AND(B601="brand",E601="budget_probe",ISNUMBER(F601),I601=Lists!$X$4),IF(COUNTIFS(C$5:C601,C601,E$5:E601,"budget_probe",I$5:I601,Lists!$X$4)=1,F601,""),"")</f>
        <v/>
      </c>
      <c r="AE601" s="30" t="n">
        <f aca="false">IF(AND(B601="brand",E601="paid",ISNUMBER(F601)),IF(AND(SUMIFS(F$5:F601,B$5:B601,"brand",C$5:C601,C601,E$5:E601,"paid")&gt;=Inputs!$C$44,SUMIFS(F$5:F601,B$5:B601,"brand",C$5:C601,C601,E$5:E601,"paid")-F601&lt;Inputs!$C$44),1,0),0)</f>
        <v>0</v>
      </c>
    </row>
    <row r="602" customFormat="false" ht="15" hidden="false" customHeight="false" outlineLevel="0" collapsed="false">
      <c r="A602" s="102"/>
      <c r="B602" s="103"/>
      <c r="C602" s="103"/>
      <c r="D602" s="103"/>
      <c r="E602" s="103"/>
      <c r="F602" s="103"/>
      <c r="G602" s="103"/>
      <c r="H602" s="103"/>
      <c r="I602" s="103"/>
      <c r="T602" s="30" t="str">
        <f aca="false">IF(C602="","",IF(COUNTIFS(C$5:C602,C602,E$5:E602,E602)=1,1,0))</f>
        <v/>
      </c>
      <c r="U602" s="30" t="n">
        <f aca="false">IF(C602="",0,IF(AND(B602="brand",E602="budget_probe",N(F602)&gt;=Inputs!$C$124,H602="Y"),1,0))</f>
        <v>0</v>
      </c>
      <c r="V602" s="30" t="n">
        <f aca="false">IF(U602=1,IF(COUNTIFS(C$5:C602,C602,U$5:U602,1)=1,1,0),0)</f>
        <v>0</v>
      </c>
      <c r="W602" s="30" t="n">
        <f aca="false">IF(C602="",0,IF(AND(B602="office",E602="budget_probe",N(F602)&gt;=Inputs!$C$139),1,0))</f>
        <v>0</v>
      </c>
      <c r="X602" s="30" t="n">
        <f aca="false">IF(W602=1,IF(COUNTIFS(C$5:C602,C602,W$5:W602,1)=1,1,0),0)</f>
        <v>0</v>
      </c>
      <c r="Y602" s="30" t="n">
        <f aca="false">IF(C602="",0,IF(AND(B602="brand",E602="renewal_answer",TRIM(G602)="yes",N(F602)&gt;=Inputs!$C$135),1,0))</f>
        <v>0</v>
      </c>
      <c r="Z602" s="30" t="n">
        <f aca="false">IF(Y602=1,IF(COUNTIFS(C$5:C602,C602,Y$5:Y602,1)=1,1,0),0)</f>
        <v>0</v>
      </c>
      <c r="AA602" s="30" t="n">
        <f aca="false">IF(AND(E602="budget_probe",ISNUMBER(F602),I602&lt;&gt;Lists!$X$4),1,0)</f>
        <v>0</v>
      </c>
      <c r="AB602" s="30" t="str">
        <f aca="false">IF(AND(B602="office",AA602=1,COUNTIFS(C$5:C602,C602,AA$5:AA602,1)=1),F602,"")</f>
        <v/>
      </c>
      <c r="AC602" s="30" t="str">
        <f aca="false">IF(AND(B602="brand",AA602=1,COUNTIFS(C$5:C602,C602,AA$5:AA602,1)=1),F602,"")</f>
        <v/>
      </c>
      <c r="AD602" s="30" t="str">
        <f aca="false">IF(AND(B602="brand",E602="budget_probe",ISNUMBER(F602),I602=Lists!$X$4),IF(COUNTIFS(C$5:C602,C602,E$5:E602,"budget_probe",I$5:I602,Lists!$X$4)=1,F602,""),"")</f>
        <v/>
      </c>
      <c r="AE602" s="30" t="n">
        <f aca="false">IF(AND(B602="brand",E602="paid",ISNUMBER(F602)),IF(AND(SUMIFS(F$5:F602,B$5:B602,"brand",C$5:C602,C602,E$5:E602,"paid")&gt;=Inputs!$C$44,SUMIFS(F$5:F602,B$5:B602,"brand",C$5:C602,C602,E$5:E602,"paid")-F602&lt;Inputs!$C$44),1,0),0)</f>
        <v>0</v>
      </c>
    </row>
    <row r="603" customFormat="false" ht="15" hidden="false" customHeight="false" outlineLevel="0" collapsed="false">
      <c r="A603" s="102"/>
      <c r="B603" s="103"/>
      <c r="C603" s="103"/>
      <c r="D603" s="103"/>
      <c r="E603" s="103"/>
      <c r="F603" s="103"/>
      <c r="G603" s="103"/>
      <c r="H603" s="103"/>
      <c r="I603" s="103"/>
      <c r="T603" s="30" t="str">
        <f aca="false">IF(C603="","",IF(COUNTIFS(C$5:C603,C603,E$5:E603,E603)=1,1,0))</f>
        <v/>
      </c>
      <c r="U603" s="30" t="n">
        <f aca="false">IF(C603="",0,IF(AND(B603="brand",E603="budget_probe",N(F603)&gt;=Inputs!$C$124,H603="Y"),1,0))</f>
        <v>0</v>
      </c>
      <c r="V603" s="30" t="n">
        <f aca="false">IF(U603=1,IF(COUNTIFS(C$5:C603,C603,U$5:U603,1)=1,1,0),0)</f>
        <v>0</v>
      </c>
      <c r="W603" s="30" t="n">
        <f aca="false">IF(C603="",0,IF(AND(B603="office",E603="budget_probe",N(F603)&gt;=Inputs!$C$139),1,0))</f>
        <v>0</v>
      </c>
      <c r="X603" s="30" t="n">
        <f aca="false">IF(W603=1,IF(COUNTIFS(C$5:C603,C603,W$5:W603,1)=1,1,0),0)</f>
        <v>0</v>
      </c>
      <c r="Y603" s="30" t="n">
        <f aca="false">IF(C603="",0,IF(AND(B603="brand",E603="renewal_answer",TRIM(G603)="yes",N(F603)&gt;=Inputs!$C$135),1,0))</f>
        <v>0</v>
      </c>
      <c r="Z603" s="30" t="n">
        <f aca="false">IF(Y603=1,IF(COUNTIFS(C$5:C603,C603,Y$5:Y603,1)=1,1,0),0)</f>
        <v>0</v>
      </c>
      <c r="AA603" s="30" t="n">
        <f aca="false">IF(AND(E603="budget_probe",ISNUMBER(F603),I603&lt;&gt;Lists!$X$4),1,0)</f>
        <v>0</v>
      </c>
      <c r="AB603" s="30" t="str">
        <f aca="false">IF(AND(B603="office",AA603=1,COUNTIFS(C$5:C603,C603,AA$5:AA603,1)=1),F603,"")</f>
        <v/>
      </c>
      <c r="AC603" s="30" t="str">
        <f aca="false">IF(AND(B603="brand",AA603=1,COUNTIFS(C$5:C603,C603,AA$5:AA603,1)=1),F603,"")</f>
        <v/>
      </c>
      <c r="AD603" s="30" t="str">
        <f aca="false">IF(AND(B603="brand",E603="budget_probe",ISNUMBER(F603),I603=Lists!$X$4),IF(COUNTIFS(C$5:C603,C603,E$5:E603,"budget_probe",I$5:I603,Lists!$X$4)=1,F603,""),"")</f>
        <v/>
      </c>
      <c r="AE603" s="30" t="n">
        <f aca="false">IF(AND(B603="brand",E603="paid",ISNUMBER(F603)),IF(AND(SUMIFS(F$5:F603,B$5:B603,"brand",C$5:C603,C603,E$5:E603,"paid")&gt;=Inputs!$C$44,SUMIFS(F$5:F603,B$5:B603,"brand",C$5:C603,C603,E$5:E603,"paid")-F603&lt;Inputs!$C$44),1,0),0)</f>
        <v>0</v>
      </c>
    </row>
    <row r="604" customFormat="false" ht="15" hidden="false" customHeight="false" outlineLevel="0" collapsed="false">
      <c r="A604" s="102"/>
      <c r="B604" s="103"/>
      <c r="C604" s="103"/>
      <c r="D604" s="103"/>
      <c r="E604" s="103"/>
      <c r="F604" s="103"/>
      <c r="G604" s="103"/>
      <c r="H604" s="103"/>
      <c r="I604" s="103"/>
      <c r="T604" s="30" t="str">
        <f aca="false">IF(C604="","",IF(COUNTIFS(C$5:C604,C604,E$5:E604,E604)=1,1,0))</f>
        <v/>
      </c>
      <c r="U604" s="30" t="n">
        <f aca="false">IF(C604="",0,IF(AND(B604="brand",E604="budget_probe",N(F604)&gt;=Inputs!$C$124,H604="Y"),1,0))</f>
        <v>0</v>
      </c>
      <c r="V604" s="30" t="n">
        <f aca="false">IF(U604=1,IF(COUNTIFS(C$5:C604,C604,U$5:U604,1)=1,1,0),0)</f>
        <v>0</v>
      </c>
      <c r="W604" s="30" t="n">
        <f aca="false">IF(C604="",0,IF(AND(B604="office",E604="budget_probe",N(F604)&gt;=Inputs!$C$139),1,0))</f>
        <v>0</v>
      </c>
      <c r="X604" s="30" t="n">
        <f aca="false">IF(W604=1,IF(COUNTIFS(C$5:C604,C604,W$5:W604,1)=1,1,0),0)</f>
        <v>0</v>
      </c>
      <c r="Y604" s="30" t="n">
        <f aca="false">IF(C604="",0,IF(AND(B604="brand",E604="renewal_answer",TRIM(G604)="yes",N(F604)&gt;=Inputs!$C$135),1,0))</f>
        <v>0</v>
      </c>
      <c r="Z604" s="30" t="n">
        <f aca="false">IF(Y604=1,IF(COUNTIFS(C$5:C604,C604,Y$5:Y604,1)=1,1,0),0)</f>
        <v>0</v>
      </c>
      <c r="AA604" s="30" t="n">
        <f aca="false">IF(AND(E604="budget_probe",ISNUMBER(F604),I604&lt;&gt;Lists!$X$4),1,0)</f>
        <v>0</v>
      </c>
      <c r="AB604" s="30" t="str">
        <f aca="false">IF(AND(B604="office",AA604=1,COUNTIFS(C$5:C604,C604,AA$5:AA604,1)=1),F604,"")</f>
        <v/>
      </c>
      <c r="AC604" s="30" t="str">
        <f aca="false">IF(AND(B604="brand",AA604=1,COUNTIFS(C$5:C604,C604,AA$5:AA604,1)=1),F604,"")</f>
        <v/>
      </c>
      <c r="AD604" s="30" t="str">
        <f aca="false">IF(AND(B604="brand",E604="budget_probe",ISNUMBER(F604),I604=Lists!$X$4),IF(COUNTIFS(C$5:C604,C604,E$5:E604,"budget_probe",I$5:I604,Lists!$X$4)=1,F604,""),"")</f>
        <v/>
      </c>
      <c r="AE604" s="30" t="n">
        <f aca="false">IF(AND(B604="brand",E604="paid",ISNUMBER(F604)),IF(AND(SUMIFS(F$5:F604,B$5:B604,"brand",C$5:C604,C604,E$5:E604,"paid")&gt;=Inputs!$C$44,SUMIFS(F$5:F604,B$5:B604,"brand",C$5:C604,C604,E$5:E604,"paid")-F604&lt;Inputs!$C$44),1,0),0)</f>
        <v>0</v>
      </c>
    </row>
    <row r="605" customFormat="false" ht="15" hidden="false" customHeight="false" outlineLevel="0" collapsed="false">
      <c r="A605" s="102"/>
      <c r="B605" s="103"/>
      <c r="C605" s="103"/>
      <c r="D605" s="103"/>
      <c r="E605" s="103"/>
      <c r="F605" s="103"/>
      <c r="G605" s="103"/>
      <c r="H605" s="103"/>
      <c r="I605" s="103"/>
      <c r="T605" s="30" t="str">
        <f aca="false">IF(C605="","",IF(COUNTIFS(C$5:C605,C605,E$5:E605,E605)=1,1,0))</f>
        <v/>
      </c>
      <c r="U605" s="30" t="n">
        <f aca="false">IF(C605="",0,IF(AND(B605="brand",E605="budget_probe",N(F605)&gt;=Inputs!$C$124,H605="Y"),1,0))</f>
        <v>0</v>
      </c>
      <c r="V605" s="30" t="n">
        <f aca="false">IF(U605=1,IF(COUNTIFS(C$5:C605,C605,U$5:U605,1)=1,1,0),0)</f>
        <v>0</v>
      </c>
      <c r="W605" s="30" t="n">
        <f aca="false">IF(C605="",0,IF(AND(B605="office",E605="budget_probe",N(F605)&gt;=Inputs!$C$139),1,0))</f>
        <v>0</v>
      </c>
      <c r="X605" s="30" t="n">
        <f aca="false">IF(W605=1,IF(COUNTIFS(C$5:C605,C605,W$5:W605,1)=1,1,0),0)</f>
        <v>0</v>
      </c>
      <c r="Y605" s="30" t="n">
        <f aca="false">IF(C605="",0,IF(AND(B605="brand",E605="renewal_answer",TRIM(G605)="yes",N(F605)&gt;=Inputs!$C$135),1,0))</f>
        <v>0</v>
      </c>
      <c r="Z605" s="30" t="n">
        <f aca="false">IF(Y605=1,IF(COUNTIFS(C$5:C605,C605,Y$5:Y605,1)=1,1,0),0)</f>
        <v>0</v>
      </c>
      <c r="AA605" s="30" t="n">
        <f aca="false">IF(AND(E605="budget_probe",ISNUMBER(F605),I605&lt;&gt;Lists!$X$4),1,0)</f>
        <v>0</v>
      </c>
      <c r="AB605" s="30" t="str">
        <f aca="false">IF(AND(B605="office",AA605=1,COUNTIFS(C$5:C605,C605,AA$5:AA605,1)=1),F605,"")</f>
        <v/>
      </c>
      <c r="AC605" s="30" t="str">
        <f aca="false">IF(AND(B605="brand",AA605=1,COUNTIFS(C$5:C605,C605,AA$5:AA605,1)=1),F605,"")</f>
        <v/>
      </c>
      <c r="AD605" s="30" t="str">
        <f aca="false">IF(AND(B605="brand",E605="budget_probe",ISNUMBER(F605),I605=Lists!$X$4),IF(COUNTIFS(C$5:C605,C605,E$5:E605,"budget_probe",I$5:I605,Lists!$X$4)=1,F605,""),"")</f>
        <v/>
      </c>
      <c r="AE605" s="30" t="n">
        <f aca="false">IF(AND(B605="brand",E605="paid",ISNUMBER(F605)),IF(AND(SUMIFS(F$5:F605,B$5:B605,"brand",C$5:C605,C605,E$5:E605,"paid")&gt;=Inputs!$C$44,SUMIFS(F$5:F605,B$5:B605,"brand",C$5:C605,C605,E$5:E605,"paid")-F605&lt;Inputs!$C$44),1,0),0)</f>
        <v>0</v>
      </c>
    </row>
    <row r="606" customFormat="false" ht="15" hidden="false" customHeight="false" outlineLevel="0" collapsed="false">
      <c r="A606" s="102"/>
      <c r="B606" s="103"/>
      <c r="C606" s="103"/>
      <c r="D606" s="103"/>
      <c r="E606" s="103"/>
      <c r="F606" s="103"/>
      <c r="G606" s="103"/>
      <c r="H606" s="103"/>
      <c r="I606" s="103"/>
      <c r="T606" s="30" t="str">
        <f aca="false">IF(C606="","",IF(COUNTIFS(C$5:C606,C606,E$5:E606,E606)=1,1,0))</f>
        <v/>
      </c>
      <c r="U606" s="30" t="n">
        <f aca="false">IF(C606="",0,IF(AND(B606="brand",E606="budget_probe",N(F606)&gt;=Inputs!$C$124,H606="Y"),1,0))</f>
        <v>0</v>
      </c>
      <c r="V606" s="30" t="n">
        <f aca="false">IF(U606=1,IF(COUNTIFS(C$5:C606,C606,U$5:U606,1)=1,1,0),0)</f>
        <v>0</v>
      </c>
      <c r="W606" s="30" t="n">
        <f aca="false">IF(C606="",0,IF(AND(B606="office",E606="budget_probe",N(F606)&gt;=Inputs!$C$139),1,0))</f>
        <v>0</v>
      </c>
      <c r="X606" s="30" t="n">
        <f aca="false">IF(W606=1,IF(COUNTIFS(C$5:C606,C606,W$5:W606,1)=1,1,0),0)</f>
        <v>0</v>
      </c>
      <c r="Y606" s="30" t="n">
        <f aca="false">IF(C606="",0,IF(AND(B606="brand",E606="renewal_answer",TRIM(G606)="yes",N(F606)&gt;=Inputs!$C$135),1,0))</f>
        <v>0</v>
      </c>
      <c r="Z606" s="30" t="n">
        <f aca="false">IF(Y606=1,IF(COUNTIFS(C$5:C606,C606,Y$5:Y606,1)=1,1,0),0)</f>
        <v>0</v>
      </c>
      <c r="AA606" s="30" t="n">
        <f aca="false">IF(AND(E606="budget_probe",ISNUMBER(F606),I606&lt;&gt;Lists!$X$4),1,0)</f>
        <v>0</v>
      </c>
      <c r="AB606" s="30" t="str">
        <f aca="false">IF(AND(B606="office",AA606=1,COUNTIFS(C$5:C606,C606,AA$5:AA606,1)=1),F606,"")</f>
        <v/>
      </c>
      <c r="AC606" s="30" t="str">
        <f aca="false">IF(AND(B606="brand",AA606=1,COUNTIFS(C$5:C606,C606,AA$5:AA606,1)=1),F606,"")</f>
        <v/>
      </c>
      <c r="AD606" s="30" t="str">
        <f aca="false">IF(AND(B606="brand",E606="budget_probe",ISNUMBER(F606),I606=Lists!$X$4),IF(COUNTIFS(C$5:C606,C606,E$5:E606,"budget_probe",I$5:I606,Lists!$X$4)=1,F606,""),"")</f>
        <v/>
      </c>
      <c r="AE606" s="30" t="n">
        <f aca="false">IF(AND(B606="brand",E606="paid",ISNUMBER(F606)),IF(AND(SUMIFS(F$5:F606,B$5:B606,"brand",C$5:C606,C606,E$5:E606,"paid")&gt;=Inputs!$C$44,SUMIFS(F$5:F606,B$5:B606,"brand",C$5:C606,C606,E$5:E606,"paid")-F606&lt;Inputs!$C$44),1,0),0)</f>
        <v>0</v>
      </c>
    </row>
    <row r="607" customFormat="false" ht="15" hidden="false" customHeight="false" outlineLevel="0" collapsed="false">
      <c r="A607" s="102"/>
      <c r="B607" s="103"/>
      <c r="C607" s="103"/>
      <c r="D607" s="103"/>
      <c r="E607" s="103"/>
      <c r="F607" s="103"/>
      <c r="G607" s="103"/>
      <c r="H607" s="103"/>
      <c r="I607" s="103"/>
      <c r="T607" s="30" t="str">
        <f aca="false">IF(C607="","",IF(COUNTIFS(C$5:C607,C607,E$5:E607,E607)=1,1,0))</f>
        <v/>
      </c>
      <c r="U607" s="30" t="n">
        <f aca="false">IF(C607="",0,IF(AND(B607="brand",E607="budget_probe",N(F607)&gt;=Inputs!$C$124,H607="Y"),1,0))</f>
        <v>0</v>
      </c>
      <c r="V607" s="30" t="n">
        <f aca="false">IF(U607=1,IF(COUNTIFS(C$5:C607,C607,U$5:U607,1)=1,1,0),0)</f>
        <v>0</v>
      </c>
      <c r="W607" s="30" t="n">
        <f aca="false">IF(C607="",0,IF(AND(B607="office",E607="budget_probe",N(F607)&gt;=Inputs!$C$139),1,0))</f>
        <v>0</v>
      </c>
      <c r="X607" s="30" t="n">
        <f aca="false">IF(W607=1,IF(COUNTIFS(C$5:C607,C607,W$5:W607,1)=1,1,0),0)</f>
        <v>0</v>
      </c>
      <c r="Y607" s="30" t="n">
        <f aca="false">IF(C607="",0,IF(AND(B607="brand",E607="renewal_answer",TRIM(G607)="yes",N(F607)&gt;=Inputs!$C$135),1,0))</f>
        <v>0</v>
      </c>
      <c r="Z607" s="30" t="n">
        <f aca="false">IF(Y607=1,IF(COUNTIFS(C$5:C607,C607,Y$5:Y607,1)=1,1,0),0)</f>
        <v>0</v>
      </c>
      <c r="AA607" s="30" t="n">
        <f aca="false">IF(AND(E607="budget_probe",ISNUMBER(F607),I607&lt;&gt;Lists!$X$4),1,0)</f>
        <v>0</v>
      </c>
      <c r="AB607" s="30" t="str">
        <f aca="false">IF(AND(B607="office",AA607=1,COUNTIFS(C$5:C607,C607,AA$5:AA607,1)=1),F607,"")</f>
        <v/>
      </c>
      <c r="AC607" s="30" t="str">
        <f aca="false">IF(AND(B607="brand",AA607=1,COUNTIFS(C$5:C607,C607,AA$5:AA607,1)=1),F607,"")</f>
        <v/>
      </c>
      <c r="AD607" s="30" t="str">
        <f aca="false">IF(AND(B607="brand",E607="budget_probe",ISNUMBER(F607),I607=Lists!$X$4),IF(COUNTIFS(C$5:C607,C607,E$5:E607,"budget_probe",I$5:I607,Lists!$X$4)=1,F607,""),"")</f>
        <v/>
      </c>
      <c r="AE607" s="30" t="n">
        <f aca="false">IF(AND(B607="brand",E607="paid",ISNUMBER(F607)),IF(AND(SUMIFS(F$5:F607,B$5:B607,"brand",C$5:C607,C607,E$5:E607,"paid")&gt;=Inputs!$C$44,SUMIFS(F$5:F607,B$5:B607,"brand",C$5:C607,C607,E$5:E607,"paid")-F607&lt;Inputs!$C$44),1,0),0)</f>
        <v>0</v>
      </c>
    </row>
    <row r="608" customFormat="false" ht="15" hidden="false" customHeight="false" outlineLevel="0" collapsed="false">
      <c r="A608" s="102"/>
      <c r="B608" s="103"/>
      <c r="C608" s="103"/>
      <c r="D608" s="103"/>
      <c r="E608" s="103"/>
      <c r="F608" s="103"/>
      <c r="G608" s="103"/>
      <c r="H608" s="103"/>
      <c r="I608" s="103"/>
      <c r="T608" s="30" t="str">
        <f aca="false">IF(C608="","",IF(COUNTIFS(C$5:C608,C608,E$5:E608,E608)=1,1,0))</f>
        <v/>
      </c>
      <c r="U608" s="30" t="n">
        <f aca="false">IF(C608="",0,IF(AND(B608="brand",E608="budget_probe",N(F608)&gt;=Inputs!$C$124,H608="Y"),1,0))</f>
        <v>0</v>
      </c>
      <c r="V608" s="30" t="n">
        <f aca="false">IF(U608=1,IF(COUNTIFS(C$5:C608,C608,U$5:U608,1)=1,1,0),0)</f>
        <v>0</v>
      </c>
      <c r="W608" s="30" t="n">
        <f aca="false">IF(C608="",0,IF(AND(B608="office",E608="budget_probe",N(F608)&gt;=Inputs!$C$139),1,0))</f>
        <v>0</v>
      </c>
      <c r="X608" s="30" t="n">
        <f aca="false">IF(W608=1,IF(COUNTIFS(C$5:C608,C608,W$5:W608,1)=1,1,0),0)</f>
        <v>0</v>
      </c>
      <c r="Y608" s="30" t="n">
        <f aca="false">IF(C608="",0,IF(AND(B608="brand",E608="renewal_answer",TRIM(G608)="yes",N(F608)&gt;=Inputs!$C$135),1,0))</f>
        <v>0</v>
      </c>
      <c r="Z608" s="30" t="n">
        <f aca="false">IF(Y608=1,IF(COUNTIFS(C$5:C608,C608,Y$5:Y608,1)=1,1,0),0)</f>
        <v>0</v>
      </c>
      <c r="AA608" s="30" t="n">
        <f aca="false">IF(AND(E608="budget_probe",ISNUMBER(F608),I608&lt;&gt;Lists!$X$4),1,0)</f>
        <v>0</v>
      </c>
      <c r="AB608" s="30" t="str">
        <f aca="false">IF(AND(B608="office",AA608=1,COUNTIFS(C$5:C608,C608,AA$5:AA608,1)=1),F608,"")</f>
        <v/>
      </c>
      <c r="AC608" s="30" t="str">
        <f aca="false">IF(AND(B608="brand",AA608=1,COUNTIFS(C$5:C608,C608,AA$5:AA608,1)=1),F608,"")</f>
        <v/>
      </c>
      <c r="AD608" s="30" t="str">
        <f aca="false">IF(AND(B608="brand",E608="budget_probe",ISNUMBER(F608),I608=Lists!$X$4),IF(COUNTIFS(C$5:C608,C608,E$5:E608,"budget_probe",I$5:I608,Lists!$X$4)=1,F608,""),"")</f>
        <v/>
      </c>
      <c r="AE608" s="30" t="n">
        <f aca="false">IF(AND(B608="brand",E608="paid",ISNUMBER(F608)),IF(AND(SUMIFS(F$5:F608,B$5:B608,"brand",C$5:C608,C608,E$5:E608,"paid")&gt;=Inputs!$C$44,SUMIFS(F$5:F608,B$5:B608,"brand",C$5:C608,C608,E$5:E608,"paid")-F608&lt;Inputs!$C$44),1,0),0)</f>
        <v>0</v>
      </c>
    </row>
    <row r="609" customFormat="false" ht="15" hidden="false" customHeight="false" outlineLevel="0" collapsed="false">
      <c r="A609" s="102"/>
      <c r="B609" s="103"/>
      <c r="C609" s="103"/>
      <c r="D609" s="103"/>
      <c r="E609" s="103"/>
      <c r="F609" s="103"/>
      <c r="G609" s="103"/>
      <c r="H609" s="103"/>
      <c r="I609" s="103"/>
      <c r="T609" s="30" t="str">
        <f aca="false">IF(C609="","",IF(COUNTIFS(C$5:C609,C609,E$5:E609,E609)=1,1,0))</f>
        <v/>
      </c>
      <c r="U609" s="30" t="n">
        <f aca="false">IF(C609="",0,IF(AND(B609="brand",E609="budget_probe",N(F609)&gt;=Inputs!$C$124,H609="Y"),1,0))</f>
        <v>0</v>
      </c>
      <c r="V609" s="30" t="n">
        <f aca="false">IF(U609=1,IF(COUNTIFS(C$5:C609,C609,U$5:U609,1)=1,1,0),0)</f>
        <v>0</v>
      </c>
      <c r="W609" s="30" t="n">
        <f aca="false">IF(C609="",0,IF(AND(B609="office",E609="budget_probe",N(F609)&gt;=Inputs!$C$139),1,0))</f>
        <v>0</v>
      </c>
      <c r="X609" s="30" t="n">
        <f aca="false">IF(W609=1,IF(COUNTIFS(C$5:C609,C609,W$5:W609,1)=1,1,0),0)</f>
        <v>0</v>
      </c>
      <c r="Y609" s="30" t="n">
        <f aca="false">IF(C609="",0,IF(AND(B609="brand",E609="renewal_answer",TRIM(G609)="yes",N(F609)&gt;=Inputs!$C$135),1,0))</f>
        <v>0</v>
      </c>
      <c r="Z609" s="30" t="n">
        <f aca="false">IF(Y609=1,IF(COUNTIFS(C$5:C609,C609,Y$5:Y609,1)=1,1,0),0)</f>
        <v>0</v>
      </c>
      <c r="AA609" s="30" t="n">
        <f aca="false">IF(AND(E609="budget_probe",ISNUMBER(F609),I609&lt;&gt;Lists!$X$4),1,0)</f>
        <v>0</v>
      </c>
      <c r="AB609" s="30" t="str">
        <f aca="false">IF(AND(B609="office",AA609=1,COUNTIFS(C$5:C609,C609,AA$5:AA609,1)=1),F609,"")</f>
        <v/>
      </c>
      <c r="AC609" s="30" t="str">
        <f aca="false">IF(AND(B609="brand",AA609=1,COUNTIFS(C$5:C609,C609,AA$5:AA609,1)=1),F609,"")</f>
        <v/>
      </c>
      <c r="AD609" s="30" t="str">
        <f aca="false">IF(AND(B609="brand",E609="budget_probe",ISNUMBER(F609),I609=Lists!$X$4),IF(COUNTIFS(C$5:C609,C609,E$5:E609,"budget_probe",I$5:I609,Lists!$X$4)=1,F609,""),"")</f>
        <v/>
      </c>
      <c r="AE609" s="30" t="n">
        <f aca="false">IF(AND(B609="brand",E609="paid",ISNUMBER(F609)),IF(AND(SUMIFS(F$5:F609,B$5:B609,"brand",C$5:C609,C609,E$5:E609,"paid")&gt;=Inputs!$C$44,SUMIFS(F$5:F609,B$5:B609,"brand",C$5:C609,C609,E$5:E609,"paid")-F609&lt;Inputs!$C$44),1,0),0)</f>
        <v>0</v>
      </c>
    </row>
    <row r="610" customFormat="false" ht="15" hidden="false" customHeight="false" outlineLevel="0" collapsed="false">
      <c r="A610" s="102"/>
      <c r="B610" s="103"/>
      <c r="C610" s="103"/>
      <c r="D610" s="103"/>
      <c r="E610" s="103"/>
      <c r="F610" s="103"/>
      <c r="G610" s="103"/>
      <c r="H610" s="103"/>
      <c r="I610" s="103"/>
      <c r="T610" s="30" t="str">
        <f aca="false">IF(C610="","",IF(COUNTIFS(C$5:C610,C610,E$5:E610,E610)=1,1,0))</f>
        <v/>
      </c>
      <c r="U610" s="30" t="n">
        <f aca="false">IF(C610="",0,IF(AND(B610="brand",E610="budget_probe",N(F610)&gt;=Inputs!$C$124,H610="Y"),1,0))</f>
        <v>0</v>
      </c>
      <c r="V610" s="30" t="n">
        <f aca="false">IF(U610=1,IF(COUNTIFS(C$5:C610,C610,U$5:U610,1)=1,1,0),0)</f>
        <v>0</v>
      </c>
      <c r="W610" s="30" t="n">
        <f aca="false">IF(C610="",0,IF(AND(B610="office",E610="budget_probe",N(F610)&gt;=Inputs!$C$139),1,0))</f>
        <v>0</v>
      </c>
      <c r="X610" s="30" t="n">
        <f aca="false">IF(W610=1,IF(COUNTIFS(C$5:C610,C610,W$5:W610,1)=1,1,0),0)</f>
        <v>0</v>
      </c>
      <c r="Y610" s="30" t="n">
        <f aca="false">IF(C610="",0,IF(AND(B610="brand",E610="renewal_answer",TRIM(G610)="yes",N(F610)&gt;=Inputs!$C$135),1,0))</f>
        <v>0</v>
      </c>
      <c r="Z610" s="30" t="n">
        <f aca="false">IF(Y610=1,IF(COUNTIFS(C$5:C610,C610,Y$5:Y610,1)=1,1,0),0)</f>
        <v>0</v>
      </c>
      <c r="AA610" s="30" t="n">
        <f aca="false">IF(AND(E610="budget_probe",ISNUMBER(F610),I610&lt;&gt;Lists!$X$4),1,0)</f>
        <v>0</v>
      </c>
      <c r="AB610" s="30" t="str">
        <f aca="false">IF(AND(B610="office",AA610=1,COUNTIFS(C$5:C610,C610,AA$5:AA610,1)=1),F610,"")</f>
        <v/>
      </c>
      <c r="AC610" s="30" t="str">
        <f aca="false">IF(AND(B610="brand",AA610=1,COUNTIFS(C$5:C610,C610,AA$5:AA610,1)=1),F610,"")</f>
        <v/>
      </c>
      <c r="AD610" s="30" t="str">
        <f aca="false">IF(AND(B610="brand",E610="budget_probe",ISNUMBER(F610),I610=Lists!$X$4),IF(COUNTIFS(C$5:C610,C610,E$5:E610,"budget_probe",I$5:I610,Lists!$X$4)=1,F610,""),"")</f>
        <v/>
      </c>
      <c r="AE610" s="30" t="n">
        <f aca="false">IF(AND(B610="brand",E610="paid",ISNUMBER(F610)),IF(AND(SUMIFS(F$5:F610,B$5:B610,"brand",C$5:C610,C610,E$5:E610,"paid")&gt;=Inputs!$C$44,SUMIFS(F$5:F610,B$5:B610,"brand",C$5:C610,C610,E$5:E610,"paid")-F610&lt;Inputs!$C$44),1,0),0)</f>
        <v>0</v>
      </c>
    </row>
    <row r="611" customFormat="false" ht="15" hidden="false" customHeight="false" outlineLevel="0" collapsed="false">
      <c r="A611" s="102"/>
      <c r="B611" s="103"/>
      <c r="C611" s="103"/>
      <c r="D611" s="103"/>
      <c r="E611" s="103"/>
      <c r="F611" s="103"/>
      <c r="G611" s="103"/>
      <c r="H611" s="103"/>
      <c r="I611" s="103"/>
      <c r="T611" s="30" t="str">
        <f aca="false">IF(C611="","",IF(COUNTIFS(C$5:C611,C611,E$5:E611,E611)=1,1,0))</f>
        <v/>
      </c>
      <c r="U611" s="30" t="n">
        <f aca="false">IF(C611="",0,IF(AND(B611="brand",E611="budget_probe",N(F611)&gt;=Inputs!$C$124,H611="Y"),1,0))</f>
        <v>0</v>
      </c>
      <c r="V611" s="30" t="n">
        <f aca="false">IF(U611=1,IF(COUNTIFS(C$5:C611,C611,U$5:U611,1)=1,1,0),0)</f>
        <v>0</v>
      </c>
      <c r="W611" s="30" t="n">
        <f aca="false">IF(C611="",0,IF(AND(B611="office",E611="budget_probe",N(F611)&gt;=Inputs!$C$139),1,0))</f>
        <v>0</v>
      </c>
      <c r="X611" s="30" t="n">
        <f aca="false">IF(W611=1,IF(COUNTIFS(C$5:C611,C611,W$5:W611,1)=1,1,0),0)</f>
        <v>0</v>
      </c>
      <c r="Y611" s="30" t="n">
        <f aca="false">IF(C611="",0,IF(AND(B611="brand",E611="renewal_answer",TRIM(G611)="yes",N(F611)&gt;=Inputs!$C$135),1,0))</f>
        <v>0</v>
      </c>
      <c r="Z611" s="30" t="n">
        <f aca="false">IF(Y611=1,IF(COUNTIFS(C$5:C611,C611,Y$5:Y611,1)=1,1,0),0)</f>
        <v>0</v>
      </c>
      <c r="AA611" s="30" t="n">
        <f aca="false">IF(AND(E611="budget_probe",ISNUMBER(F611),I611&lt;&gt;Lists!$X$4),1,0)</f>
        <v>0</v>
      </c>
      <c r="AB611" s="30" t="str">
        <f aca="false">IF(AND(B611="office",AA611=1,COUNTIFS(C$5:C611,C611,AA$5:AA611,1)=1),F611,"")</f>
        <v/>
      </c>
      <c r="AC611" s="30" t="str">
        <f aca="false">IF(AND(B611="brand",AA611=1,COUNTIFS(C$5:C611,C611,AA$5:AA611,1)=1),F611,"")</f>
        <v/>
      </c>
      <c r="AD611" s="30" t="str">
        <f aca="false">IF(AND(B611="brand",E611="budget_probe",ISNUMBER(F611),I611=Lists!$X$4),IF(COUNTIFS(C$5:C611,C611,E$5:E611,"budget_probe",I$5:I611,Lists!$X$4)=1,F611,""),"")</f>
        <v/>
      </c>
      <c r="AE611" s="30" t="n">
        <f aca="false">IF(AND(B611="brand",E611="paid",ISNUMBER(F611)),IF(AND(SUMIFS(F$5:F611,B$5:B611,"brand",C$5:C611,C611,E$5:E611,"paid")&gt;=Inputs!$C$44,SUMIFS(F$5:F611,B$5:B611,"brand",C$5:C611,C611,E$5:E611,"paid")-F611&lt;Inputs!$C$44),1,0),0)</f>
        <v>0</v>
      </c>
    </row>
    <row r="612" customFormat="false" ht="15" hidden="false" customHeight="false" outlineLevel="0" collapsed="false">
      <c r="A612" s="102"/>
      <c r="B612" s="103"/>
      <c r="C612" s="103"/>
      <c r="D612" s="103"/>
      <c r="E612" s="103"/>
      <c r="F612" s="103"/>
      <c r="G612" s="103"/>
      <c r="H612" s="103"/>
      <c r="I612" s="103"/>
      <c r="T612" s="30" t="str">
        <f aca="false">IF(C612="","",IF(COUNTIFS(C$5:C612,C612,E$5:E612,E612)=1,1,0))</f>
        <v/>
      </c>
      <c r="U612" s="30" t="n">
        <f aca="false">IF(C612="",0,IF(AND(B612="brand",E612="budget_probe",N(F612)&gt;=Inputs!$C$124,H612="Y"),1,0))</f>
        <v>0</v>
      </c>
      <c r="V612" s="30" t="n">
        <f aca="false">IF(U612=1,IF(COUNTIFS(C$5:C612,C612,U$5:U612,1)=1,1,0),0)</f>
        <v>0</v>
      </c>
      <c r="W612" s="30" t="n">
        <f aca="false">IF(C612="",0,IF(AND(B612="office",E612="budget_probe",N(F612)&gt;=Inputs!$C$139),1,0))</f>
        <v>0</v>
      </c>
      <c r="X612" s="30" t="n">
        <f aca="false">IF(W612=1,IF(COUNTIFS(C$5:C612,C612,W$5:W612,1)=1,1,0),0)</f>
        <v>0</v>
      </c>
      <c r="Y612" s="30" t="n">
        <f aca="false">IF(C612="",0,IF(AND(B612="brand",E612="renewal_answer",TRIM(G612)="yes",N(F612)&gt;=Inputs!$C$135),1,0))</f>
        <v>0</v>
      </c>
      <c r="Z612" s="30" t="n">
        <f aca="false">IF(Y612=1,IF(COUNTIFS(C$5:C612,C612,Y$5:Y612,1)=1,1,0),0)</f>
        <v>0</v>
      </c>
      <c r="AA612" s="30" t="n">
        <f aca="false">IF(AND(E612="budget_probe",ISNUMBER(F612),I612&lt;&gt;Lists!$X$4),1,0)</f>
        <v>0</v>
      </c>
      <c r="AB612" s="30" t="str">
        <f aca="false">IF(AND(B612="office",AA612=1,COUNTIFS(C$5:C612,C612,AA$5:AA612,1)=1),F612,"")</f>
        <v/>
      </c>
      <c r="AC612" s="30" t="str">
        <f aca="false">IF(AND(B612="brand",AA612=1,COUNTIFS(C$5:C612,C612,AA$5:AA612,1)=1),F612,"")</f>
        <v/>
      </c>
      <c r="AD612" s="30" t="str">
        <f aca="false">IF(AND(B612="brand",E612="budget_probe",ISNUMBER(F612),I612=Lists!$X$4),IF(COUNTIFS(C$5:C612,C612,E$5:E612,"budget_probe",I$5:I612,Lists!$X$4)=1,F612,""),"")</f>
        <v/>
      </c>
      <c r="AE612" s="30" t="n">
        <f aca="false">IF(AND(B612="brand",E612="paid",ISNUMBER(F612)),IF(AND(SUMIFS(F$5:F612,B$5:B612,"brand",C$5:C612,C612,E$5:E612,"paid")&gt;=Inputs!$C$44,SUMIFS(F$5:F612,B$5:B612,"brand",C$5:C612,C612,E$5:E612,"paid")-F612&lt;Inputs!$C$44),1,0),0)</f>
        <v>0</v>
      </c>
    </row>
    <row r="613" customFormat="false" ht="15" hidden="false" customHeight="false" outlineLevel="0" collapsed="false">
      <c r="A613" s="102"/>
      <c r="B613" s="103"/>
      <c r="C613" s="103"/>
      <c r="D613" s="103"/>
      <c r="E613" s="103"/>
      <c r="F613" s="103"/>
      <c r="G613" s="103"/>
      <c r="H613" s="103"/>
      <c r="I613" s="103"/>
      <c r="T613" s="30" t="str">
        <f aca="false">IF(C613="","",IF(COUNTIFS(C$5:C613,C613,E$5:E613,E613)=1,1,0))</f>
        <v/>
      </c>
      <c r="U613" s="30" t="n">
        <f aca="false">IF(C613="",0,IF(AND(B613="brand",E613="budget_probe",N(F613)&gt;=Inputs!$C$124,H613="Y"),1,0))</f>
        <v>0</v>
      </c>
      <c r="V613" s="30" t="n">
        <f aca="false">IF(U613=1,IF(COUNTIFS(C$5:C613,C613,U$5:U613,1)=1,1,0),0)</f>
        <v>0</v>
      </c>
      <c r="W613" s="30" t="n">
        <f aca="false">IF(C613="",0,IF(AND(B613="office",E613="budget_probe",N(F613)&gt;=Inputs!$C$139),1,0))</f>
        <v>0</v>
      </c>
      <c r="X613" s="30" t="n">
        <f aca="false">IF(W613=1,IF(COUNTIFS(C$5:C613,C613,W$5:W613,1)=1,1,0),0)</f>
        <v>0</v>
      </c>
      <c r="Y613" s="30" t="n">
        <f aca="false">IF(C613="",0,IF(AND(B613="brand",E613="renewal_answer",TRIM(G613)="yes",N(F613)&gt;=Inputs!$C$135),1,0))</f>
        <v>0</v>
      </c>
      <c r="Z613" s="30" t="n">
        <f aca="false">IF(Y613=1,IF(COUNTIFS(C$5:C613,C613,Y$5:Y613,1)=1,1,0),0)</f>
        <v>0</v>
      </c>
      <c r="AA613" s="30" t="n">
        <f aca="false">IF(AND(E613="budget_probe",ISNUMBER(F613),I613&lt;&gt;Lists!$X$4),1,0)</f>
        <v>0</v>
      </c>
      <c r="AB613" s="30" t="str">
        <f aca="false">IF(AND(B613="office",AA613=1,COUNTIFS(C$5:C613,C613,AA$5:AA613,1)=1),F613,"")</f>
        <v/>
      </c>
      <c r="AC613" s="30" t="str">
        <f aca="false">IF(AND(B613="brand",AA613=1,COUNTIFS(C$5:C613,C613,AA$5:AA613,1)=1),F613,"")</f>
        <v/>
      </c>
      <c r="AD613" s="30" t="str">
        <f aca="false">IF(AND(B613="brand",E613="budget_probe",ISNUMBER(F613),I613=Lists!$X$4),IF(COUNTIFS(C$5:C613,C613,E$5:E613,"budget_probe",I$5:I613,Lists!$X$4)=1,F613,""),"")</f>
        <v/>
      </c>
      <c r="AE613" s="30" t="n">
        <f aca="false">IF(AND(B613="brand",E613="paid",ISNUMBER(F613)),IF(AND(SUMIFS(F$5:F613,B$5:B613,"brand",C$5:C613,C613,E$5:E613,"paid")&gt;=Inputs!$C$44,SUMIFS(F$5:F613,B$5:B613,"brand",C$5:C613,C613,E$5:E613,"paid")-F613&lt;Inputs!$C$44),1,0),0)</f>
        <v>0</v>
      </c>
    </row>
    <row r="614" customFormat="false" ht="15" hidden="false" customHeight="false" outlineLevel="0" collapsed="false">
      <c r="A614" s="102"/>
      <c r="B614" s="103"/>
      <c r="C614" s="103"/>
      <c r="D614" s="103"/>
      <c r="E614" s="103"/>
      <c r="F614" s="103"/>
      <c r="G614" s="103"/>
      <c r="H614" s="103"/>
      <c r="I614" s="103"/>
      <c r="T614" s="30" t="str">
        <f aca="false">IF(C614="","",IF(COUNTIFS(C$5:C614,C614,E$5:E614,E614)=1,1,0))</f>
        <v/>
      </c>
      <c r="U614" s="30" t="n">
        <f aca="false">IF(C614="",0,IF(AND(B614="brand",E614="budget_probe",N(F614)&gt;=Inputs!$C$124,H614="Y"),1,0))</f>
        <v>0</v>
      </c>
      <c r="V614" s="30" t="n">
        <f aca="false">IF(U614=1,IF(COUNTIFS(C$5:C614,C614,U$5:U614,1)=1,1,0),0)</f>
        <v>0</v>
      </c>
      <c r="W614" s="30" t="n">
        <f aca="false">IF(C614="",0,IF(AND(B614="office",E614="budget_probe",N(F614)&gt;=Inputs!$C$139),1,0))</f>
        <v>0</v>
      </c>
      <c r="X614" s="30" t="n">
        <f aca="false">IF(W614=1,IF(COUNTIFS(C$5:C614,C614,W$5:W614,1)=1,1,0),0)</f>
        <v>0</v>
      </c>
      <c r="Y614" s="30" t="n">
        <f aca="false">IF(C614="",0,IF(AND(B614="brand",E614="renewal_answer",TRIM(G614)="yes",N(F614)&gt;=Inputs!$C$135),1,0))</f>
        <v>0</v>
      </c>
      <c r="Z614" s="30" t="n">
        <f aca="false">IF(Y614=1,IF(COUNTIFS(C$5:C614,C614,Y$5:Y614,1)=1,1,0),0)</f>
        <v>0</v>
      </c>
      <c r="AA614" s="30" t="n">
        <f aca="false">IF(AND(E614="budget_probe",ISNUMBER(F614),I614&lt;&gt;Lists!$X$4),1,0)</f>
        <v>0</v>
      </c>
      <c r="AB614" s="30" t="str">
        <f aca="false">IF(AND(B614="office",AA614=1,COUNTIFS(C$5:C614,C614,AA$5:AA614,1)=1),F614,"")</f>
        <v/>
      </c>
      <c r="AC614" s="30" t="str">
        <f aca="false">IF(AND(B614="brand",AA614=1,COUNTIFS(C$5:C614,C614,AA$5:AA614,1)=1),F614,"")</f>
        <v/>
      </c>
      <c r="AD614" s="30" t="str">
        <f aca="false">IF(AND(B614="brand",E614="budget_probe",ISNUMBER(F614),I614=Lists!$X$4),IF(COUNTIFS(C$5:C614,C614,E$5:E614,"budget_probe",I$5:I614,Lists!$X$4)=1,F614,""),"")</f>
        <v/>
      </c>
      <c r="AE614" s="30" t="n">
        <f aca="false">IF(AND(B614="brand",E614="paid",ISNUMBER(F614)),IF(AND(SUMIFS(F$5:F614,B$5:B614,"brand",C$5:C614,C614,E$5:E614,"paid")&gt;=Inputs!$C$44,SUMIFS(F$5:F614,B$5:B614,"brand",C$5:C614,C614,E$5:E614,"paid")-F614&lt;Inputs!$C$44),1,0),0)</f>
        <v>0</v>
      </c>
    </row>
    <row r="615" customFormat="false" ht="15" hidden="false" customHeight="false" outlineLevel="0" collapsed="false">
      <c r="A615" s="102"/>
      <c r="B615" s="103"/>
      <c r="C615" s="103"/>
      <c r="D615" s="103"/>
      <c r="E615" s="103"/>
      <c r="F615" s="103"/>
      <c r="G615" s="103"/>
      <c r="H615" s="103"/>
      <c r="I615" s="103"/>
      <c r="T615" s="30" t="str">
        <f aca="false">IF(C615="","",IF(COUNTIFS(C$5:C615,C615,E$5:E615,E615)=1,1,0))</f>
        <v/>
      </c>
      <c r="U615" s="30" t="n">
        <f aca="false">IF(C615="",0,IF(AND(B615="brand",E615="budget_probe",N(F615)&gt;=Inputs!$C$124,H615="Y"),1,0))</f>
        <v>0</v>
      </c>
      <c r="V615" s="30" t="n">
        <f aca="false">IF(U615=1,IF(COUNTIFS(C$5:C615,C615,U$5:U615,1)=1,1,0),0)</f>
        <v>0</v>
      </c>
      <c r="W615" s="30" t="n">
        <f aca="false">IF(C615="",0,IF(AND(B615="office",E615="budget_probe",N(F615)&gt;=Inputs!$C$139),1,0))</f>
        <v>0</v>
      </c>
      <c r="X615" s="30" t="n">
        <f aca="false">IF(W615=1,IF(COUNTIFS(C$5:C615,C615,W$5:W615,1)=1,1,0),0)</f>
        <v>0</v>
      </c>
      <c r="Y615" s="30" t="n">
        <f aca="false">IF(C615="",0,IF(AND(B615="brand",E615="renewal_answer",TRIM(G615)="yes",N(F615)&gt;=Inputs!$C$135),1,0))</f>
        <v>0</v>
      </c>
      <c r="Z615" s="30" t="n">
        <f aca="false">IF(Y615=1,IF(COUNTIFS(C$5:C615,C615,Y$5:Y615,1)=1,1,0),0)</f>
        <v>0</v>
      </c>
      <c r="AA615" s="30" t="n">
        <f aca="false">IF(AND(E615="budget_probe",ISNUMBER(F615),I615&lt;&gt;Lists!$X$4),1,0)</f>
        <v>0</v>
      </c>
      <c r="AB615" s="30" t="str">
        <f aca="false">IF(AND(B615="office",AA615=1,COUNTIFS(C$5:C615,C615,AA$5:AA615,1)=1),F615,"")</f>
        <v/>
      </c>
      <c r="AC615" s="30" t="str">
        <f aca="false">IF(AND(B615="brand",AA615=1,COUNTIFS(C$5:C615,C615,AA$5:AA615,1)=1),F615,"")</f>
        <v/>
      </c>
      <c r="AD615" s="30" t="str">
        <f aca="false">IF(AND(B615="brand",E615="budget_probe",ISNUMBER(F615),I615=Lists!$X$4),IF(COUNTIFS(C$5:C615,C615,E$5:E615,"budget_probe",I$5:I615,Lists!$X$4)=1,F615,""),"")</f>
        <v/>
      </c>
      <c r="AE615" s="30" t="n">
        <f aca="false">IF(AND(B615="brand",E615="paid",ISNUMBER(F615)),IF(AND(SUMIFS(F$5:F615,B$5:B615,"brand",C$5:C615,C615,E$5:E615,"paid")&gt;=Inputs!$C$44,SUMIFS(F$5:F615,B$5:B615,"brand",C$5:C615,C615,E$5:E615,"paid")-F615&lt;Inputs!$C$44),1,0),0)</f>
        <v>0</v>
      </c>
    </row>
    <row r="616" customFormat="false" ht="15" hidden="false" customHeight="false" outlineLevel="0" collapsed="false">
      <c r="A616" s="102"/>
      <c r="B616" s="103"/>
      <c r="C616" s="103"/>
      <c r="D616" s="103"/>
      <c r="E616" s="103"/>
      <c r="F616" s="103"/>
      <c r="G616" s="103"/>
      <c r="H616" s="103"/>
      <c r="I616" s="103"/>
      <c r="T616" s="30" t="str">
        <f aca="false">IF(C616="","",IF(COUNTIFS(C$5:C616,C616,E$5:E616,E616)=1,1,0))</f>
        <v/>
      </c>
      <c r="U616" s="30" t="n">
        <f aca="false">IF(C616="",0,IF(AND(B616="brand",E616="budget_probe",N(F616)&gt;=Inputs!$C$124,H616="Y"),1,0))</f>
        <v>0</v>
      </c>
      <c r="V616" s="30" t="n">
        <f aca="false">IF(U616=1,IF(COUNTIFS(C$5:C616,C616,U$5:U616,1)=1,1,0),0)</f>
        <v>0</v>
      </c>
      <c r="W616" s="30" t="n">
        <f aca="false">IF(C616="",0,IF(AND(B616="office",E616="budget_probe",N(F616)&gt;=Inputs!$C$139),1,0))</f>
        <v>0</v>
      </c>
      <c r="X616" s="30" t="n">
        <f aca="false">IF(W616=1,IF(COUNTIFS(C$5:C616,C616,W$5:W616,1)=1,1,0),0)</f>
        <v>0</v>
      </c>
      <c r="Y616" s="30" t="n">
        <f aca="false">IF(C616="",0,IF(AND(B616="brand",E616="renewal_answer",TRIM(G616)="yes",N(F616)&gt;=Inputs!$C$135),1,0))</f>
        <v>0</v>
      </c>
      <c r="Z616" s="30" t="n">
        <f aca="false">IF(Y616=1,IF(COUNTIFS(C$5:C616,C616,Y$5:Y616,1)=1,1,0),0)</f>
        <v>0</v>
      </c>
      <c r="AA616" s="30" t="n">
        <f aca="false">IF(AND(E616="budget_probe",ISNUMBER(F616),I616&lt;&gt;Lists!$X$4),1,0)</f>
        <v>0</v>
      </c>
      <c r="AB616" s="30" t="str">
        <f aca="false">IF(AND(B616="office",AA616=1,COUNTIFS(C$5:C616,C616,AA$5:AA616,1)=1),F616,"")</f>
        <v/>
      </c>
      <c r="AC616" s="30" t="str">
        <f aca="false">IF(AND(B616="brand",AA616=1,COUNTIFS(C$5:C616,C616,AA$5:AA616,1)=1),F616,"")</f>
        <v/>
      </c>
      <c r="AD616" s="30" t="str">
        <f aca="false">IF(AND(B616="brand",E616="budget_probe",ISNUMBER(F616),I616=Lists!$X$4),IF(COUNTIFS(C$5:C616,C616,E$5:E616,"budget_probe",I$5:I616,Lists!$X$4)=1,F616,""),"")</f>
        <v/>
      </c>
      <c r="AE616" s="30" t="n">
        <f aca="false">IF(AND(B616="brand",E616="paid",ISNUMBER(F616)),IF(AND(SUMIFS(F$5:F616,B$5:B616,"brand",C$5:C616,C616,E$5:E616,"paid")&gt;=Inputs!$C$44,SUMIFS(F$5:F616,B$5:B616,"brand",C$5:C616,C616,E$5:E616,"paid")-F616&lt;Inputs!$C$44),1,0),0)</f>
        <v>0</v>
      </c>
    </row>
    <row r="617" customFormat="false" ht="15" hidden="false" customHeight="false" outlineLevel="0" collapsed="false">
      <c r="A617" s="102"/>
      <c r="B617" s="103"/>
      <c r="C617" s="103"/>
      <c r="D617" s="103"/>
      <c r="E617" s="103"/>
      <c r="F617" s="103"/>
      <c r="G617" s="103"/>
      <c r="H617" s="103"/>
      <c r="I617" s="103"/>
      <c r="T617" s="30" t="str">
        <f aca="false">IF(C617="","",IF(COUNTIFS(C$5:C617,C617,E$5:E617,E617)=1,1,0))</f>
        <v/>
      </c>
      <c r="U617" s="30" t="n">
        <f aca="false">IF(C617="",0,IF(AND(B617="brand",E617="budget_probe",N(F617)&gt;=Inputs!$C$124,H617="Y"),1,0))</f>
        <v>0</v>
      </c>
      <c r="V617" s="30" t="n">
        <f aca="false">IF(U617=1,IF(COUNTIFS(C$5:C617,C617,U$5:U617,1)=1,1,0),0)</f>
        <v>0</v>
      </c>
      <c r="W617" s="30" t="n">
        <f aca="false">IF(C617="",0,IF(AND(B617="office",E617="budget_probe",N(F617)&gt;=Inputs!$C$139),1,0))</f>
        <v>0</v>
      </c>
      <c r="X617" s="30" t="n">
        <f aca="false">IF(W617=1,IF(COUNTIFS(C$5:C617,C617,W$5:W617,1)=1,1,0),0)</f>
        <v>0</v>
      </c>
      <c r="Y617" s="30" t="n">
        <f aca="false">IF(C617="",0,IF(AND(B617="brand",E617="renewal_answer",TRIM(G617)="yes",N(F617)&gt;=Inputs!$C$135),1,0))</f>
        <v>0</v>
      </c>
      <c r="Z617" s="30" t="n">
        <f aca="false">IF(Y617=1,IF(COUNTIFS(C$5:C617,C617,Y$5:Y617,1)=1,1,0),0)</f>
        <v>0</v>
      </c>
      <c r="AA617" s="30" t="n">
        <f aca="false">IF(AND(E617="budget_probe",ISNUMBER(F617),I617&lt;&gt;Lists!$X$4),1,0)</f>
        <v>0</v>
      </c>
      <c r="AB617" s="30" t="str">
        <f aca="false">IF(AND(B617="office",AA617=1,COUNTIFS(C$5:C617,C617,AA$5:AA617,1)=1),F617,"")</f>
        <v/>
      </c>
      <c r="AC617" s="30" t="str">
        <f aca="false">IF(AND(B617="brand",AA617=1,COUNTIFS(C$5:C617,C617,AA$5:AA617,1)=1),F617,"")</f>
        <v/>
      </c>
      <c r="AD617" s="30" t="str">
        <f aca="false">IF(AND(B617="brand",E617="budget_probe",ISNUMBER(F617),I617=Lists!$X$4),IF(COUNTIFS(C$5:C617,C617,E$5:E617,"budget_probe",I$5:I617,Lists!$X$4)=1,F617,""),"")</f>
        <v/>
      </c>
      <c r="AE617" s="30" t="n">
        <f aca="false">IF(AND(B617="brand",E617="paid",ISNUMBER(F617)),IF(AND(SUMIFS(F$5:F617,B$5:B617,"brand",C$5:C617,C617,E$5:E617,"paid")&gt;=Inputs!$C$44,SUMIFS(F$5:F617,B$5:B617,"brand",C$5:C617,C617,E$5:E617,"paid")-F617&lt;Inputs!$C$44),1,0),0)</f>
        <v>0</v>
      </c>
    </row>
    <row r="618" customFormat="false" ht="15" hidden="false" customHeight="false" outlineLevel="0" collapsed="false">
      <c r="A618" s="102"/>
      <c r="B618" s="103"/>
      <c r="C618" s="103"/>
      <c r="D618" s="103"/>
      <c r="E618" s="103"/>
      <c r="F618" s="103"/>
      <c r="G618" s="103"/>
      <c r="H618" s="103"/>
      <c r="I618" s="103"/>
      <c r="T618" s="30" t="str">
        <f aca="false">IF(C618="","",IF(COUNTIFS(C$5:C618,C618,E$5:E618,E618)=1,1,0))</f>
        <v/>
      </c>
      <c r="U618" s="30" t="n">
        <f aca="false">IF(C618="",0,IF(AND(B618="brand",E618="budget_probe",N(F618)&gt;=Inputs!$C$124,H618="Y"),1,0))</f>
        <v>0</v>
      </c>
      <c r="V618" s="30" t="n">
        <f aca="false">IF(U618=1,IF(COUNTIFS(C$5:C618,C618,U$5:U618,1)=1,1,0),0)</f>
        <v>0</v>
      </c>
      <c r="W618" s="30" t="n">
        <f aca="false">IF(C618="",0,IF(AND(B618="office",E618="budget_probe",N(F618)&gt;=Inputs!$C$139),1,0))</f>
        <v>0</v>
      </c>
      <c r="X618" s="30" t="n">
        <f aca="false">IF(W618=1,IF(COUNTIFS(C$5:C618,C618,W$5:W618,1)=1,1,0),0)</f>
        <v>0</v>
      </c>
      <c r="Y618" s="30" t="n">
        <f aca="false">IF(C618="",0,IF(AND(B618="brand",E618="renewal_answer",TRIM(G618)="yes",N(F618)&gt;=Inputs!$C$135),1,0))</f>
        <v>0</v>
      </c>
      <c r="Z618" s="30" t="n">
        <f aca="false">IF(Y618=1,IF(COUNTIFS(C$5:C618,C618,Y$5:Y618,1)=1,1,0),0)</f>
        <v>0</v>
      </c>
      <c r="AA618" s="30" t="n">
        <f aca="false">IF(AND(E618="budget_probe",ISNUMBER(F618),I618&lt;&gt;Lists!$X$4),1,0)</f>
        <v>0</v>
      </c>
      <c r="AB618" s="30" t="str">
        <f aca="false">IF(AND(B618="office",AA618=1,COUNTIFS(C$5:C618,C618,AA$5:AA618,1)=1),F618,"")</f>
        <v/>
      </c>
      <c r="AC618" s="30" t="str">
        <f aca="false">IF(AND(B618="brand",AA618=1,COUNTIFS(C$5:C618,C618,AA$5:AA618,1)=1),F618,"")</f>
        <v/>
      </c>
      <c r="AD618" s="30" t="str">
        <f aca="false">IF(AND(B618="brand",E618="budget_probe",ISNUMBER(F618),I618=Lists!$X$4),IF(COUNTIFS(C$5:C618,C618,E$5:E618,"budget_probe",I$5:I618,Lists!$X$4)=1,F618,""),"")</f>
        <v/>
      </c>
      <c r="AE618" s="30" t="n">
        <f aca="false">IF(AND(B618="brand",E618="paid",ISNUMBER(F618)),IF(AND(SUMIFS(F$5:F618,B$5:B618,"brand",C$5:C618,C618,E$5:E618,"paid")&gt;=Inputs!$C$44,SUMIFS(F$5:F618,B$5:B618,"brand",C$5:C618,C618,E$5:E618,"paid")-F618&lt;Inputs!$C$44),1,0),0)</f>
        <v>0</v>
      </c>
    </row>
    <row r="619" customFormat="false" ht="15" hidden="false" customHeight="false" outlineLevel="0" collapsed="false">
      <c r="A619" s="102"/>
      <c r="B619" s="103"/>
      <c r="C619" s="103"/>
      <c r="D619" s="103"/>
      <c r="E619" s="103"/>
      <c r="F619" s="103"/>
      <c r="G619" s="103"/>
      <c r="H619" s="103"/>
      <c r="I619" s="103"/>
      <c r="T619" s="30" t="str">
        <f aca="false">IF(C619="","",IF(COUNTIFS(C$5:C619,C619,E$5:E619,E619)=1,1,0))</f>
        <v/>
      </c>
      <c r="U619" s="30" t="n">
        <f aca="false">IF(C619="",0,IF(AND(B619="brand",E619="budget_probe",N(F619)&gt;=Inputs!$C$124,H619="Y"),1,0))</f>
        <v>0</v>
      </c>
      <c r="V619" s="30" t="n">
        <f aca="false">IF(U619=1,IF(COUNTIFS(C$5:C619,C619,U$5:U619,1)=1,1,0),0)</f>
        <v>0</v>
      </c>
      <c r="W619" s="30" t="n">
        <f aca="false">IF(C619="",0,IF(AND(B619="office",E619="budget_probe",N(F619)&gt;=Inputs!$C$139),1,0))</f>
        <v>0</v>
      </c>
      <c r="X619" s="30" t="n">
        <f aca="false">IF(W619=1,IF(COUNTIFS(C$5:C619,C619,W$5:W619,1)=1,1,0),0)</f>
        <v>0</v>
      </c>
      <c r="Y619" s="30" t="n">
        <f aca="false">IF(C619="",0,IF(AND(B619="brand",E619="renewal_answer",TRIM(G619)="yes",N(F619)&gt;=Inputs!$C$135),1,0))</f>
        <v>0</v>
      </c>
      <c r="Z619" s="30" t="n">
        <f aca="false">IF(Y619=1,IF(COUNTIFS(C$5:C619,C619,Y$5:Y619,1)=1,1,0),0)</f>
        <v>0</v>
      </c>
      <c r="AA619" s="30" t="n">
        <f aca="false">IF(AND(E619="budget_probe",ISNUMBER(F619),I619&lt;&gt;Lists!$X$4),1,0)</f>
        <v>0</v>
      </c>
      <c r="AB619" s="30" t="str">
        <f aca="false">IF(AND(B619="office",AA619=1,COUNTIFS(C$5:C619,C619,AA$5:AA619,1)=1),F619,"")</f>
        <v/>
      </c>
      <c r="AC619" s="30" t="str">
        <f aca="false">IF(AND(B619="brand",AA619=1,COUNTIFS(C$5:C619,C619,AA$5:AA619,1)=1),F619,"")</f>
        <v/>
      </c>
      <c r="AD619" s="30" t="str">
        <f aca="false">IF(AND(B619="brand",E619="budget_probe",ISNUMBER(F619),I619=Lists!$X$4),IF(COUNTIFS(C$5:C619,C619,E$5:E619,"budget_probe",I$5:I619,Lists!$X$4)=1,F619,""),"")</f>
        <v/>
      </c>
      <c r="AE619" s="30" t="n">
        <f aca="false">IF(AND(B619="brand",E619="paid",ISNUMBER(F619)),IF(AND(SUMIFS(F$5:F619,B$5:B619,"brand",C$5:C619,C619,E$5:E619,"paid")&gt;=Inputs!$C$44,SUMIFS(F$5:F619,B$5:B619,"brand",C$5:C619,C619,E$5:E619,"paid")-F619&lt;Inputs!$C$44),1,0),0)</f>
        <v>0</v>
      </c>
    </row>
    <row r="620" customFormat="false" ht="15" hidden="false" customHeight="false" outlineLevel="0" collapsed="false">
      <c r="A620" s="102"/>
      <c r="B620" s="103"/>
      <c r="C620" s="103"/>
      <c r="D620" s="103"/>
      <c r="E620" s="103"/>
      <c r="F620" s="103"/>
      <c r="G620" s="103"/>
      <c r="H620" s="103"/>
      <c r="I620" s="103"/>
      <c r="T620" s="30" t="str">
        <f aca="false">IF(C620="","",IF(COUNTIFS(C$5:C620,C620,E$5:E620,E620)=1,1,0))</f>
        <v/>
      </c>
      <c r="U620" s="30" t="n">
        <f aca="false">IF(C620="",0,IF(AND(B620="brand",E620="budget_probe",N(F620)&gt;=Inputs!$C$124,H620="Y"),1,0))</f>
        <v>0</v>
      </c>
      <c r="V620" s="30" t="n">
        <f aca="false">IF(U620=1,IF(COUNTIFS(C$5:C620,C620,U$5:U620,1)=1,1,0),0)</f>
        <v>0</v>
      </c>
      <c r="W620" s="30" t="n">
        <f aca="false">IF(C620="",0,IF(AND(B620="office",E620="budget_probe",N(F620)&gt;=Inputs!$C$139),1,0))</f>
        <v>0</v>
      </c>
      <c r="X620" s="30" t="n">
        <f aca="false">IF(W620=1,IF(COUNTIFS(C$5:C620,C620,W$5:W620,1)=1,1,0),0)</f>
        <v>0</v>
      </c>
      <c r="Y620" s="30" t="n">
        <f aca="false">IF(C620="",0,IF(AND(B620="brand",E620="renewal_answer",TRIM(G620)="yes",N(F620)&gt;=Inputs!$C$135),1,0))</f>
        <v>0</v>
      </c>
      <c r="Z620" s="30" t="n">
        <f aca="false">IF(Y620=1,IF(COUNTIFS(C$5:C620,C620,Y$5:Y620,1)=1,1,0),0)</f>
        <v>0</v>
      </c>
      <c r="AA620" s="30" t="n">
        <f aca="false">IF(AND(E620="budget_probe",ISNUMBER(F620),I620&lt;&gt;Lists!$X$4),1,0)</f>
        <v>0</v>
      </c>
      <c r="AB620" s="30" t="str">
        <f aca="false">IF(AND(B620="office",AA620=1,COUNTIFS(C$5:C620,C620,AA$5:AA620,1)=1),F620,"")</f>
        <v/>
      </c>
      <c r="AC620" s="30" t="str">
        <f aca="false">IF(AND(B620="brand",AA620=1,COUNTIFS(C$5:C620,C620,AA$5:AA620,1)=1),F620,"")</f>
        <v/>
      </c>
      <c r="AD620" s="30" t="str">
        <f aca="false">IF(AND(B620="brand",E620="budget_probe",ISNUMBER(F620),I620=Lists!$X$4),IF(COUNTIFS(C$5:C620,C620,E$5:E620,"budget_probe",I$5:I620,Lists!$X$4)=1,F620,""),"")</f>
        <v/>
      </c>
      <c r="AE620" s="30" t="n">
        <f aca="false">IF(AND(B620="brand",E620="paid",ISNUMBER(F620)),IF(AND(SUMIFS(F$5:F620,B$5:B620,"brand",C$5:C620,C620,E$5:E620,"paid")&gt;=Inputs!$C$44,SUMIFS(F$5:F620,B$5:B620,"brand",C$5:C620,C620,E$5:E620,"paid")-F620&lt;Inputs!$C$44),1,0),0)</f>
        <v>0</v>
      </c>
    </row>
    <row r="621" customFormat="false" ht="15" hidden="false" customHeight="false" outlineLevel="0" collapsed="false">
      <c r="A621" s="102"/>
      <c r="B621" s="103"/>
      <c r="C621" s="103"/>
      <c r="D621" s="103"/>
      <c r="E621" s="103"/>
      <c r="F621" s="103"/>
      <c r="G621" s="103"/>
      <c r="H621" s="103"/>
      <c r="I621" s="103"/>
      <c r="T621" s="30" t="str">
        <f aca="false">IF(C621="","",IF(COUNTIFS(C$5:C621,C621,E$5:E621,E621)=1,1,0))</f>
        <v/>
      </c>
      <c r="U621" s="30" t="n">
        <f aca="false">IF(C621="",0,IF(AND(B621="brand",E621="budget_probe",N(F621)&gt;=Inputs!$C$124,H621="Y"),1,0))</f>
        <v>0</v>
      </c>
      <c r="V621" s="30" t="n">
        <f aca="false">IF(U621=1,IF(COUNTIFS(C$5:C621,C621,U$5:U621,1)=1,1,0),0)</f>
        <v>0</v>
      </c>
      <c r="W621" s="30" t="n">
        <f aca="false">IF(C621="",0,IF(AND(B621="office",E621="budget_probe",N(F621)&gt;=Inputs!$C$139),1,0))</f>
        <v>0</v>
      </c>
      <c r="X621" s="30" t="n">
        <f aca="false">IF(W621=1,IF(COUNTIFS(C$5:C621,C621,W$5:W621,1)=1,1,0),0)</f>
        <v>0</v>
      </c>
      <c r="Y621" s="30" t="n">
        <f aca="false">IF(C621="",0,IF(AND(B621="brand",E621="renewal_answer",TRIM(G621)="yes",N(F621)&gt;=Inputs!$C$135),1,0))</f>
        <v>0</v>
      </c>
      <c r="Z621" s="30" t="n">
        <f aca="false">IF(Y621=1,IF(COUNTIFS(C$5:C621,C621,Y$5:Y621,1)=1,1,0),0)</f>
        <v>0</v>
      </c>
      <c r="AA621" s="30" t="n">
        <f aca="false">IF(AND(E621="budget_probe",ISNUMBER(F621),I621&lt;&gt;Lists!$X$4),1,0)</f>
        <v>0</v>
      </c>
      <c r="AB621" s="30" t="str">
        <f aca="false">IF(AND(B621="office",AA621=1,COUNTIFS(C$5:C621,C621,AA$5:AA621,1)=1),F621,"")</f>
        <v/>
      </c>
      <c r="AC621" s="30" t="str">
        <f aca="false">IF(AND(B621="brand",AA621=1,COUNTIFS(C$5:C621,C621,AA$5:AA621,1)=1),F621,"")</f>
        <v/>
      </c>
      <c r="AD621" s="30" t="str">
        <f aca="false">IF(AND(B621="brand",E621="budget_probe",ISNUMBER(F621),I621=Lists!$X$4),IF(COUNTIFS(C$5:C621,C621,E$5:E621,"budget_probe",I$5:I621,Lists!$X$4)=1,F621,""),"")</f>
        <v/>
      </c>
      <c r="AE621" s="30" t="n">
        <f aca="false">IF(AND(B621="brand",E621="paid",ISNUMBER(F621)),IF(AND(SUMIFS(F$5:F621,B$5:B621,"brand",C$5:C621,C621,E$5:E621,"paid")&gt;=Inputs!$C$44,SUMIFS(F$5:F621,B$5:B621,"brand",C$5:C621,C621,E$5:E621,"paid")-F621&lt;Inputs!$C$44),1,0),0)</f>
        <v>0</v>
      </c>
    </row>
    <row r="622" customFormat="false" ht="15" hidden="false" customHeight="false" outlineLevel="0" collapsed="false">
      <c r="A622" s="102"/>
      <c r="B622" s="103"/>
      <c r="C622" s="103"/>
      <c r="D622" s="103"/>
      <c r="E622" s="103"/>
      <c r="F622" s="103"/>
      <c r="G622" s="103"/>
      <c r="H622" s="103"/>
      <c r="I622" s="103"/>
      <c r="T622" s="30" t="str">
        <f aca="false">IF(C622="","",IF(COUNTIFS(C$5:C622,C622,E$5:E622,E622)=1,1,0))</f>
        <v/>
      </c>
      <c r="U622" s="30" t="n">
        <f aca="false">IF(C622="",0,IF(AND(B622="brand",E622="budget_probe",N(F622)&gt;=Inputs!$C$124,H622="Y"),1,0))</f>
        <v>0</v>
      </c>
      <c r="V622" s="30" t="n">
        <f aca="false">IF(U622=1,IF(COUNTIFS(C$5:C622,C622,U$5:U622,1)=1,1,0),0)</f>
        <v>0</v>
      </c>
      <c r="W622" s="30" t="n">
        <f aca="false">IF(C622="",0,IF(AND(B622="office",E622="budget_probe",N(F622)&gt;=Inputs!$C$139),1,0))</f>
        <v>0</v>
      </c>
      <c r="X622" s="30" t="n">
        <f aca="false">IF(W622=1,IF(COUNTIFS(C$5:C622,C622,W$5:W622,1)=1,1,0),0)</f>
        <v>0</v>
      </c>
      <c r="Y622" s="30" t="n">
        <f aca="false">IF(C622="",0,IF(AND(B622="brand",E622="renewal_answer",TRIM(G622)="yes",N(F622)&gt;=Inputs!$C$135),1,0))</f>
        <v>0</v>
      </c>
      <c r="Z622" s="30" t="n">
        <f aca="false">IF(Y622=1,IF(COUNTIFS(C$5:C622,C622,Y$5:Y622,1)=1,1,0),0)</f>
        <v>0</v>
      </c>
      <c r="AA622" s="30" t="n">
        <f aca="false">IF(AND(E622="budget_probe",ISNUMBER(F622),I622&lt;&gt;Lists!$X$4),1,0)</f>
        <v>0</v>
      </c>
      <c r="AB622" s="30" t="str">
        <f aca="false">IF(AND(B622="office",AA622=1,COUNTIFS(C$5:C622,C622,AA$5:AA622,1)=1),F622,"")</f>
        <v/>
      </c>
      <c r="AC622" s="30" t="str">
        <f aca="false">IF(AND(B622="brand",AA622=1,COUNTIFS(C$5:C622,C622,AA$5:AA622,1)=1),F622,"")</f>
        <v/>
      </c>
      <c r="AD622" s="30" t="str">
        <f aca="false">IF(AND(B622="brand",E622="budget_probe",ISNUMBER(F622),I622=Lists!$X$4),IF(COUNTIFS(C$5:C622,C622,E$5:E622,"budget_probe",I$5:I622,Lists!$X$4)=1,F622,""),"")</f>
        <v/>
      </c>
      <c r="AE622" s="30" t="n">
        <f aca="false">IF(AND(B622="brand",E622="paid",ISNUMBER(F622)),IF(AND(SUMIFS(F$5:F622,B$5:B622,"brand",C$5:C622,C622,E$5:E622,"paid")&gt;=Inputs!$C$44,SUMIFS(F$5:F622,B$5:B622,"brand",C$5:C622,C622,E$5:E622,"paid")-F622&lt;Inputs!$C$44),1,0),0)</f>
        <v>0</v>
      </c>
    </row>
    <row r="623" customFormat="false" ht="15" hidden="false" customHeight="false" outlineLevel="0" collapsed="false">
      <c r="A623" s="102"/>
      <c r="B623" s="103"/>
      <c r="C623" s="103"/>
      <c r="D623" s="103"/>
      <c r="E623" s="103"/>
      <c r="F623" s="103"/>
      <c r="G623" s="103"/>
      <c r="H623" s="103"/>
      <c r="I623" s="103"/>
      <c r="T623" s="30" t="str">
        <f aca="false">IF(C623="","",IF(COUNTIFS(C$5:C623,C623,E$5:E623,E623)=1,1,0))</f>
        <v/>
      </c>
      <c r="U623" s="30" t="n">
        <f aca="false">IF(C623="",0,IF(AND(B623="brand",E623="budget_probe",N(F623)&gt;=Inputs!$C$124,H623="Y"),1,0))</f>
        <v>0</v>
      </c>
      <c r="V623" s="30" t="n">
        <f aca="false">IF(U623=1,IF(COUNTIFS(C$5:C623,C623,U$5:U623,1)=1,1,0),0)</f>
        <v>0</v>
      </c>
      <c r="W623" s="30" t="n">
        <f aca="false">IF(C623="",0,IF(AND(B623="office",E623="budget_probe",N(F623)&gt;=Inputs!$C$139),1,0))</f>
        <v>0</v>
      </c>
      <c r="X623" s="30" t="n">
        <f aca="false">IF(W623=1,IF(COUNTIFS(C$5:C623,C623,W$5:W623,1)=1,1,0),0)</f>
        <v>0</v>
      </c>
      <c r="Y623" s="30" t="n">
        <f aca="false">IF(C623="",0,IF(AND(B623="brand",E623="renewal_answer",TRIM(G623)="yes",N(F623)&gt;=Inputs!$C$135),1,0))</f>
        <v>0</v>
      </c>
      <c r="Z623" s="30" t="n">
        <f aca="false">IF(Y623=1,IF(COUNTIFS(C$5:C623,C623,Y$5:Y623,1)=1,1,0),0)</f>
        <v>0</v>
      </c>
      <c r="AA623" s="30" t="n">
        <f aca="false">IF(AND(E623="budget_probe",ISNUMBER(F623),I623&lt;&gt;Lists!$X$4),1,0)</f>
        <v>0</v>
      </c>
      <c r="AB623" s="30" t="str">
        <f aca="false">IF(AND(B623="office",AA623=1,COUNTIFS(C$5:C623,C623,AA$5:AA623,1)=1),F623,"")</f>
        <v/>
      </c>
      <c r="AC623" s="30" t="str">
        <f aca="false">IF(AND(B623="brand",AA623=1,COUNTIFS(C$5:C623,C623,AA$5:AA623,1)=1),F623,"")</f>
        <v/>
      </c>
      <c r="AD623" s="30" t="str">
        <f aca="false">IF(AND(B623="brand",E623="budget_probe",ISNUMBER(F623),I623=Lists!$X$4),IF(COUNTIFS(C$5:C623,C623,E$5:E623,"budget_probe",I$5:I623,Lists!$X$4)=1,F623,""),"")</f>
        <v/>
      </c>
      <c r="AE623" s="30" t="n">
        <f aca="false">IF(AND(B623="brand",E623="paid",ISNUMBER(F623)),IF(AND(SUMIFS(F$5:F623,B$5:B623,"brand",C$5:C623,C623,E$5:E623,"paid")&gt;=Inputs!$C$44,SUMIFS(F$5:F623,B$5:B623,"brand",C$5:C623,C623,E$5:E623,"paid")-F623&lt;Inputs!$C$44),1,0),0)</f>
        <v>0</v>
      </c>
    </row>
    <row r="624" customFormat="false" ht="15" hidden="false" customHeight="false" outlineLevel="0" collapsed="false">
      <c r="A624" s="102"/>
      <c r="B624" s="103"/>
      <c r="C624" s="103"/>
      <c r="D624" s="103"/>
      <c r="E624" s="103"/>
      <c r="F624" s="103"/>
      <c r="G624" s="103"/>
      <c r="H624" s="103"/>
      <c r="I624" s="103"/>
      <c r="T624" s="30" t="str">
        <f aca="false">IF(C624="","",IF(COUNTIFS(C$5:C624,C624,E$5:E624,E624)=1,1,0))</f>
        <v/>
      </c>
      <c r="U624" s="30" t="n">
        <f aca="false">IF(C624="",0,IF(AND(B624="brand",E624="budget_probe",N(F624)&gt;=Inputs!$C$124,H624="Y"),1,0))</f>
        <v>0</v>
      </c>
      <c r="V624" s="30" t="n">
        <f aca="false">IF(U624=1,IF(COUNTIFS(C$5:C624,C624,U$5:U624,1)=1,1,0),0)</f>
        <v>0</v>
      </c>
      <c r="W624" s="30" t="n">
        <f aca="false">IF(C624="",0,IF(AND(B624="office",E624="budget_probe",N(F624)&gt;=Inputs!$C$139),1,0))</f>
        <v>0</v>
      </c>
      <c r="X624" s="30" t="n">
        <f aca="false">IF(W624=1,IF(COUNTIFS(C$5:C624,C624,W$5:W624,1)=1,1,0),0)</f>
        <v>0</v>
      </c>
      <c r="Y624" s="30" t="n">
        <f aca="false">IF(C624="",0,IF(AND(B624="brand",E624="renewal_answer",TRIM(G624)="yes",N(F624)&gt;=Inputs!$C$135),1,0))</f>
        <v>0</v>
      </c>
      <c r="Z624" s="30" t="n">
        <f aca="false">IF(Y624=1,IF(COUNTIFS(C$5:C624,C624,Y$5:Y624,1)=1,1,0),0)</f>
        <v>0</v>
      </c>
      <c r="AA624" s="30" t="n">
        <f aca="false">IF(AND(E624="budget_probe",ISNUMBER(F624),I624&lt;&gt;Lists!$X$4),1,0)</f>
        <v>0</v>
      </c>
      <c r="AB624" s="30" t="str">
        <f aca="false">IF(AND(B624="office",AA624=1,COUNTIFS(C$5:C624,C624,AA$5:AA624,1)=1),F624,"")</f>
        <v/>
      </c>
      <c r="AC624" s="30" t="str">
        <f aca="false">IF(AND(B624="brand",AA624=1,COUNTIFS(C$5:C624,C624,AA$5:AA624,1)=1),F624,"")</f>
        <v/>
      </c>
      <c r="AD624" s="30" t="str">
        <f aca="false">IF(AND(B624="brand",E624="budget_probe",ISNUMBER(F624),I624=Lists!$X$4),IF(COUNTIFS(C$5:C624,C624,E$5:E624,"budget_probe",I$5:I624,Lists!$X$4)=1,F624,""),"")</f>
        <v/>
      </c>
      <c r="AE624" s="30" t="n">
        <f aca="false">IF(AND(B624="brand",E624="paid",ISNUMBER(F624)),IF(AND(SUMIFS(F$5:F624,B$5:B624,"brand",C$5:C624,C624,E$5:E624,"paid")&gt;=Inputs!$C$44,SUMIFS(F$5:F624,B$5:B624,"brand",C$5:C624,C624,E$5:E624,"paid")-F624&lt;Inputs!$C$44),1,0),0)</f>
        <v>0</v>
      </c>
    </row>
    <row r="625" customFormat="false" ht="15" hidden="false" customHeight="false" outlineLevel="0" collapsed="false">
      <c r="A625" s="102"/>
      <c r="B625" s="103"/>
      <c r="C625" s="103"/>
      <c r="D625" s="103"/>
      <c r="E625" s="103"/>
      <c r="F625" s="103"/>
      <c r="G625" s="103"/>
      <c r="H625" s="103"/>
      <c r="I625" s="103"/>
      <c r="T625" s="30" t="str">
        <f aca="false">IF(C625="","",IF(COUNTIFS(C$5:C625,C625,E$5:E625,E625)=1,1,0))</f>
        <v/>
      </c>
      <c r="U625" s="30" t="n">
        <f aca="false">IF(C625="",0,IF(AND(B625="brand",E625="budget_probe",N(F625)&gt;=Inputs!$C$124,H625="Y"),1,0))</f>
        <v>0</v>
      </c>
      <c r="V625" s="30" t="n">
        <f aca="false">IF(U625=1,IF(COUNTIFS(C$5:C625,C625,U$5:U625,1)=1,1,0),0)</f>
        <v>0</v>
      </c>
      <c r="W625" s="30" t="n">
        <f aca="false">IF(C625="",0,IF(AND(B625="office",E625="budget_probe",N(F625)&gt;=Inputs!$C$139),1,0))</f>
        <v>0</v>
      </c>
      <c r="X625" s="30" t="n">
        <f aca="false">IF(W625=1,IF(COUNTIFS(C$5:C625,C625,W$5:W625,1)=1,1,0),0)</f>
        <v>0</v>
      </c>
      <c r="Y625" s="30" t="n">
        <f aca="false">IF(C625="",0,IF(AND(B625="brand",E625="renewal_answer",TRIM(G625)="yes",N(F625)&gt;=Inputs!$C$135),1,0))</f>
        <v>0</v>
      </c>
      <c r="Z625" s="30" t="n">
        <f aca="false">IF(Y625=1,IF(COUNTIFS(C$5:C625,C625,Y$5:Y625,1)=1,1,0),0)</f>
        <v>0</v>
      </c>
      <c r="AA625" s="30" t="n">
        <f aca="false">IF(AND(E625="budget_probe",ISNUMBER(F625),I625&lt;&gt;Lists!$X$4),1,0)</f>
        <v>0</v>
      </c>
      <c r="AB625" s="30" t="str">
        <f aca="false">IF(AND(B625="office",AA625=1,COUNTIFS(C$5:C625,C625,AA$5:AA625,1)=1),F625,"")</f>
        <v/>
      </c>
      <c r="AC625" s="30" t="str">
        <f aca="false">IF(AND(B625="brand",AA625=1,COUNTIFS(C$5:C625,C625,AA$5:AA625,1)=1),F625,"")</f>
        <v/>
      </c>
      <c r="AD625" s="30" t="str">
        <f aca="false">IF(AND(B625="brand",E625="budget_probe",ISNUMBER(F625),I625=Lists!$X$4),IF(COUNTIFS(C$5:C625,C625,E$5:E625,"budget_probe",I$5:I625,Lists!$X$4)=1,F625,""),"")</f>
        <v/>
      </c>
      <c r="AE625" s="30" t="n">
        <f aca="false">IF(AND(B625="brand",E625="paid",ISNUMBER(F625)),IF(AND(SUMIFS(F$5:F625,B$5:B625,"brand",C$5:C625,C625,E$5:E625,"paid")&gt;=Inputs!$C$44,SUMIFS(F$5:F625,B$5:B625,"brand",C$5:C625,C625,E$5:E625,"paid")-F625&lt;Inputs!$C$44),1,0),0)</f>
        <v>0</v>
      </c>
    </row>
    <row r="626" customFormat="false" ht="15" hidden="false" customHeight="false" outlineLevel="0" collapsed="false">
      <c r="A626" s="102"/>
      <c r="B626" s="103"/>
      <c r="C626" s="103"/>
      <c r="D626" s="103"/>
      <c r="E626" s="103"/>
      <c r="F626" s="103"/>
      <c r="G626" s="103"/>
      <c r="H626" s="103"/>
      <c r="I626" s="103"/>
      <c r="T626" s="30" t="str">
        <f aca="false">IF(C626="","",IF(COUNTIFS(C$5:C626,C626,E$5:E626,E626)=1,1,0))</f>
        <v/>
      </c>
      <c r="U626" s="30" t="n">
        <f aca="false">IF(C626="",0,IF(AND(B626="brand",E626="budget_probe",N(F626)&gt;=Inputs!$C$124,H626="Y"),1,0))</f>
        <v>0</v>
      </c>
      <c r="V626" s="30" t="n">
        <f aca="false">IF(U626=1,IF(COUNTIFS(C$5:C626,C626,U$5:U626,1)=1,1,0),0)</f>
        <v>0</v>
      </c>
      <c r="W626" s="30" t="n">
        <f aca="false">IF(C626="",0,IF(AND(B626="office",E626="budget_probe",N(F626)&gt;=Inputs!$C$139),1,0))</f>
        <v>0</v>
      </c>
      <c r="X626" s="30" t="n">
        <f aca="false">IF(W626=1,IF(COUNTIFS(C$5:C626,C626,W$5:W626,1)=1,1,0),0)</f>
        <v>0</v>
      </c>
      <c r="Y626" s="30" t="n">
        <f aca="false">IF(C626="",0,IF(AND(B626="brand",E626="renewal_answer",TRIM(G626)="yes",N(F626)&gt;=Inputs!$C$135),1,0))</f>
        <v>0</v>
      </c>
      <c r="Z626" s="30" t="n">
        <f aca="false">IF(Y626=1,IF(COUNTIFS(C$5:C626,C626,Y$5:Y626,1)=1,1,0),0)</f>
        <v>0</v>
      </c>
      <c r="AA626" s="30" t="n">
        <f aca="false">IF(AND(E626="budget_probe",ISNUMBER(F626),I626&lt;&gt;Lists!$X$4),1,0)</f>
        <v>0</v>
      </c>
      <c r="AB626" s="30" t="str">
        <f aca="false">IF(AND(B626="office",AA626=1,COUNTIFS(C$5:C626,C626,AA$5:AA626,1)=1),F626,"")</f>
        <v/>
      </c>
      <c r="AC626" s="30" t="str">
        <f aca="false">IF(AND(B626="brand",AA626=1,COUNTIFS(C$5:C626,C626,AA$5:AA626,1)=1),F626,"")</f>
        <v/>
      </c>
      <c r="AD626" s="30" t="str">
        <f aca="false">IF(AND(B626="brand",E626="budget_probe",ISNUMBER(F626),I626=Lists!$X$4),IF(COUNTIFS(C$5:C626,C626,E$5:E626,"budget_probe",I$5:I626,Lists!$X$4)=1,F626,""),"")</f>
        <v/>
      </c>
      <c r="AE626" s="30" t="n">
        <f aca="false">IF(AND(B626="brand",E626="paid",ISNUMBER(F626)),IF(AND(SUMIFS(F$5:F626,B$5:B626,"brand",C$5:C626,C626,E$5:E626,"paid")&gt;=Inputs!$C$44,SUMIFS(F$5:F626,B$5:B626,"brand",C$5:C626,C626,E$5:E626,"paid")-F626&lt;Inputs!$C$44),1,0),0)</f>
        <v>0</v>
      </c>
    </row>
    <row r="627" customFormat="false" ht="15" hidden="false" customHeight="false" outlineLevel="0" collapsed="false">
      <c r="A627" s="102"/>
      <c r="B627" s="103"/>
      <c r="C627" s="103"/>
      <c r="D627" s="103"/>
      <c r="E627" s="103"/>
      <c r="F627" s="103"/>
      <c r="G627" s="103"/>
      <c r="H627" s="103"/>
      <c r="I627" s="103"/>
      <c r="T627" s="30" t="str">
        <f aca="false">IF(C627="","",IF(COUNTIFS(C$5:C627,C627,E$5:E627,E627)=1,1,0))</f>
        <v/>
      </c>
      <c r="U627" s="30" t="n">
        <f aca="false">IF(C627="",0,IF(AND(B627="brand",E627="budget_probe",N(F627)&gt;=Inputs!$C$124,H627="Y"),1,0))</f>
        <v>0</v>
      </c>
      <c r="V627" s="30" t="n">
        <f aca="false">IF(U627=1,IF(COUNTIFS(C$5:C627,C627,U$5:U627,1)=1,1,0),0)</f>
        <v>0</v>
      </c>
      <c r="W627" s="30" t="n">
        <f aca="false">IF(C627="",0,IF(AND(B627="office",E627="budget_probe",N(F627)&gt;=Inputs!$C$139),1,0))</f>
        <v>0</v>
      </c>
      <c r="X627" s="30" t="n">
        <f aca="false">IF(W627=1,IF(COUNTIFS(C$5:C627,C627,W$5:W627,1)=1,1,0),0)</f>
        <v>0</v>
      </c>
      <c r="Y627" s="30" t="n">
        <f aca="false">IF(C627="",0,IF(AND(B627="brand",E627="renewal_answer",TRIM(G627)="yes",N(F627)&gt;=Inputs!$C$135),1,0))</f>
        <v>0</v>
      </c>
      <c r="Z627" s="30" t="n">
        <f aca="false">IF(Y627=1,IF(COUNTIFS(C$5:C627,C627,Y$5:Y627,1)=1,1,0),0)</f>
        <v>0</v>
      </c>
      <c r="AA627" s="30" t="n">
        <f aca="false">IF(AND(E627="budget_probe",ISNUMBER(F627),I627&lt;&gt;Lists!$X$4),1,0)</f>
        <v>0</v>
      </c>
      <c r="AB627" s="30" t="str">
        <f aca="false">IF(AND(B627="office",AA627=1,COUNTIFS(C$5:C627,C627,AA$5:AA627,1)=1),F627,"")</f>
        <v/>
      </c>
      <c r="AC627" s="30" t="str">
        <f aca="false">IF(AND(B627="brand",AA627=1,COUNTIFS(C$5:C627,C627,AA$5:AA627,1)=1),F627,"")</f>
        <v/>
      </c>
      <c r="AD627" s="30" t="str">
        <f aca="false">IF(AND(B627="brand",E627="budget_probe",ISNUMBER(F627),I627=Lists!$X$4),IF(COUNTIFS(C$5:C627,C627,E$5:E627,"budget_probe",I$5:I627,Lists!$X$4)=1,F627,""),"")</f>
        <v/>
      </c>
      <c r="AE627" s="30" t="n">
        <f aca="false">IF(AND(B627="brand",E627="paid",ISNUMBER(F627)),IF(AND(SUMIFS(F$5:F627,B$5:B627,"brand",C$5:C627,C627,E$5:E627,"paid")&gt;=Inputs!$C$44,SUMIFS(F$5:F627,B$5:B627,"brand",C$5:C627,C627,E$5:E627,"paid")-F627&lt;Inputs!$C$44),1,0),0)</f>
        <v>0</v>
      </c>
    </row>
    <row r="628" customFormat="false" ht="15" hidden="false" customHeight="false" outlineLevel="0" collapsed="false">
      <c r="A628" s="102"/>
      <c r="B628" s="103"/>
      <c r="C628" s="103"/>
      <c r="D628" s="103"/>
      <c r="E628" s="103"/>
      <c r="F628" s="103"/>
      <c r="G628" s="103"/>
      <c r="H628" s="103"/>
      <c r="I628" s="103"/>
      <c r="T628" s="30" t="str">
        <f aca="false">IF(C628="","",IF(COUNTIFS(C$5:C628,C628,E$5:E628,E628)=1,1,0))</f>
        <v/>
      </c>
      <c r="U628" s="30" t="n">
        <f aca="false">IF(C628="",0,IF(AND(B628="brand",E628="budget_probe",N(F628)&gt;=Inputs!$C$124,H628="Y"),1,0))</f>
        <v>0</v>
      </c>
      <c r="V628" s="30" t="n">
        <f aca="false">IF(U628=1,IF(COUNTIFS(C$5:C628,C628,U$5:U628,1)=1,1,0),0)</f>
        <v>0</v>
      </c>
      <c r="W628" s="30" t="n">
        <f aca="false">IF(C628="",0,IF(AND(B628="office",E628="budget_probe",N(F628)&gt;=Inputs!$C$139),1,0))</f>
        <v>0</v>
      </c>
      <c r="X628" s="30" t="n">
        <f aca="false">IF(W628=1,IF(COUNTIFS(C$5:C628,C628,W$5:W628,1)=1,1,0),0)</f>
        <v>0</v>
      </c>
      <c r="Y628" s="30" t="n">
        <f aca="false">IF(C628="",0,IF(AND(B628="brand",E628="renewal_answer",TRIM(G628)="yes",N(F628)&gt;=Inputs!$C$135),1,0))</f>
        <v>0</v>
      </c>
      <c r="Z628" s="30" t="n">
        <f aca="false">IF(Y628=1,IF(COUNTIFS(C$5:C628,C628,Y$5:Y628,1)=1,1,0),0)</f>
        <v>0</v>
      </c>
      <c r="AA628" s="30" t="n">
        <f aca="false">IF(AND(E628="budget_probe",ISNUMBER(F628),I628&lt;&gt;Lists!$X$4),1,0)</f>
        <v>0</v>
      </c>
      <c r="AB628" s="30" t="str">
        <f aca="false">IF(AND(B628="office",AA628=1,COUNTIFS(C$5:C628,C628,AA$5:AA628,1)=1),F628,"")</f>
        <v/>
      </c>
      <c r="AC628" s="30" t="str">
        <f aca="false">IF(AND(B628="brand",AA628=1,COUNTIFS(C$5:C628,C628,AA$5:AA628,1)=1),F628,"")</f>
        <v/>
      </c>
      <c r="AD628" s="30" t="str">
        <f aca="false">IF(AND(B628="brand",E628="budget_probe",ISNUMBER(F628),I628=Lists!$X$4),IF(COUNTIFS(C$5:C628,C628,E$5:E628,"budget_probe",I$5:I628,Lists!$X$4)=1,F628,""),"")</f>
        <v/>
      </c>
      <c r="AE628" s="30" t="n">
        <f aca="false">IF(AND(B628="brand",E628="paid",ISNUMBER(F628)),IF(AND(SUMIFS(F$5:F628,B$5:B628,"brand",C$5:C628,C628,E$5:E628,"paid")&gt;=Inputs!$C$44,SUMIFS(F$5:F628,B$5:B628,"brand",C$5:C628,C628,E$5:E628,"paid")-F628&lt;Inputs!$C$44),1,0),0)</f>
        <v>0</v>
      </c>
    </row>
    <row r="629" customFormat="false" ht="15" hidden="false" customHeight="false" outlineLevel="0" collapsed="false">
      <c r="A629" s="102"/>
      <c r="B629" s="103"/>
      <c r="C629" s="103"/>
      <c r="D629" s="103"/>
      <c r="E629" s="103"/>
      <c r="F629" s="103"/>
      <c r="G629" s="103"/>
      <c r="H629" s="103"/>
      <c r="I629" s="103"/>
      <c r="T629" s="30" t="str">
        <f aca="false">IF(C629="","",IF(COUNTIFS(C$5:C629,C629,E$5:E629,E629)=1,1,0))</f>
        <v/>
      </c>
      <c r="U629" s="30" t="n">
        <f aca="false">IF(C629="",0,IF(AND(B629="brand",E629="budget_probe",N(F629)&gt;=Inputs!$C$124,H629="Y"),1,0))</f>
        <v>0</v>
      </c>
      <c r="V629" s="30" t="n">
        <f aca="false">IF(U629=1,IF(COUNTIFS(C$5:C629,C629,U$5:U629,1)=1,1,0),0)</f>
        <v>0</v>
      </c>
      <c r="W629" s="30" t="n">
        <f aca="false">IF(C629="",0,IF(AND(B629="office",E629="budget_probe",N(F629)&gt;=Inputs!$C$139),1,0))</f>
        <v>0</v>
      </c>
      <c r="X629" s="30" t="n">
        <f aca="false">IF(W629=1,IF(COUNTIFS(C$5:C629,C629,W$5:W629,1)=1,1,0),0)</f>
        <v>0</v>
      </c>
      <c r="Y629" s="30" t="n">
        <f aca="false">IF(C629="",0,IF(AND(B629="brand",E629="renewal_answer",TRIM(G629)="yes",N(F629)&gt;=Inputs!$C$135),1,0))</f>
        <v>0</v>
      </c>
      <c r="Z629" s="30" t="n">
        <f aca="false">IF(Y629=1,IF(COUNTIFS(C$5:C629,C629,Y$5:Y629,1)=1,1,0),0)</f>
        <v>0</v>
      </c>
      <c r="AA629" s="30" t="n">
        <f aca="false">IF(AND(E629="budget_probe",ISNUMBER(F629),I629&lt;&gt;Lists!$X$4),1,0)</f>
        <v>0</v>
      </c>
      <c r="AB629" s="30" t="str">
        <f aca="false">IF(AND(B629="office",AA629=1,COUNTIFS(C$5:C629,C629,AA$5:AA629,1)=1),F629,"")</f>
        <v/>
      </c>
      <c r="AC629" s="30" t="str">
        <f aca="false">IF(AND(B629="brand",AA629=1,COUNTIFS(C$5:C629,C629,AA$5:AA629,1)=1),F629,"")</f>
        <v/>
      </c>
      <c r="AD629" s="30" t="str">
        <f aca="false">IF(AND(B629="brand",E629="budget_probe",ISNUMBER(F629),I629=Lists!$X$4),IF(COUNTIFS(C$5:C629,C629,E$5:E629,"budget_probe",I$5:I629,Lists!$X$4)=1,F629,""),"")</f>
        <v/>
      </c>
      <c r="AE629" s="30" t="n">
        <f aca="false">IF(AND(B629="brand",E629="paid",ISNUMBER(F629)),IF(AND(SUMIFS(F$5:F629,B$5:B629,"brand",C$5:C629,C629,E$5:E629,"paid")&gt;=Inputs!$C$44,SUMIFS(F$5:F629,B$5:B629,"brand",C$5:C629,C629,E$5:E629,"paid")-F629&lt;Inputs!$C$44),1,0),0)</f>
        <v>0</v>
      </c>
    </row>
    <row r="630" customFormat="false" ht="15" hidden="false" customHeight="false" outlineLevel="0" collapsed="false">
      <c r="A630" s="102"/>
      <c r="B630" s="103"/>
      <c r="C630" s="103"/>
      <c r="D630" s="103"/>
      <c r="E630" s="103"/>
      <c r="F630" s="103"/>
      <c r="G630" s="103"/>
      <c r="H630" s="103"/>
      <c r="I630" s="103"/>
      <c r="T630" s="30" t="str">
        <f aca="false">IF(C630="","",IF(COUNTIFS(C$5:C630,C630,E$5:E630,E630)=1,1,0))</f>
        <v/>
      </c>
      <c r="U630" s="30" t="n">
        <f aca="false">IF(C630="",0,IF(AND(B630="brand",E630="budget_probe",N(F630)&gt;=Inputs!$C$124,H630="Y"),1,0))</f>
        <v>0</v>
      </c>
      <c r="V630" s="30" t="n">
        <f aca="false">IF(U630=1,IF(COUNTIFS(C$5:C630,C630,U$5:U630,1)=1,1,0),0)</f>
        <v>0</v>
      </c>
      <c r="W630" s="30" t="n">
        <f aca="false">IF(C630="",0,IF(AND(B630="office",E630="budget_probe",N(F630)&gt;=Inputs!$C$139),1,0))</f>
        <v>0</v>
      </c>
      <c r="X630" s="30" t="n">
        <f aca="false">IF(W630=1,IF(COUNTIFS(C$5:C630,C630,W$5:W630,1)=1,1,0),0)</f>
        <v>0</v>
      </c>
      <c r="Y630" s="30" t="n">
        <f aca="false">IF(C630="",0,IF(AND(B630="brand",E630="renewal_answer",TRIM(G630)="yes",N(F630)&gt;=Inputs!$C$135),1,0))</f>
        <v>0</v>
      </c>
      <c r="Z630" s="30" t="n">
        <f aca="false">IF(Y630=1,IF(COUNTIFS(C$5:C630,C630,Y$5:Y630,1)=1,1,0),0)</f>
        <v>0</v>
      </c>
      <c r="AA630" s="30" t="n">
        <f aca="false">IF(AND(E630="budget_probe",ISNUMBER(F630),I630&lt;&gt;Lists!$X$4),1,0)</f>
        <v>0</v>
      </c>
      <c r="AB630" s="30" t="str">
        <f aca="false">IF(AND(B630="office",AA630=1,COUNTIFS(C$5:C630,C630,AA$5:AA630,1)=1),F630,"")</f>
        <v/>
      </c>
      <c r="AC630" s="30" t="str">
        <f aca="false">IF(AND(B630="brand",AA630=1,COUNTIFS(C$5:C630,C630,AA$5:AA630,1)=1),F630,"")</f>
        <v/>
      </c>
      <c r="AD630" s="30" t="str">
        <f aca="false">IF(AND(B630="brand",E630="budget_probe",ISNUMBER(F630),I630=Lists!$X$4),IF(COUNTIFS(C$5:C630,C630,E$5:E630,"budget_probe",I$5:I630,Lists!$X$4)=1,F630,""),"")</f>
        <v/>
      </c>
      <c r="AE630" s="30" t="n">
        <f aca="false">IF(AND(B630="brand",E630="paid",ISNUMBER(F630)),IF(AND(SUMIFS(F$5:F630,B$5:B630,"brand",C$5:C630,C630,E$5:E630,"paid")&gt;=Inputs!$C$44,SUMIFS(F$5:F630,B$5:B630,"brand",C$5:C630,C630,E$5:E630,"paid")-F630&lt;Inputs!$C$44),1,0),0)</f>
        <v>0</v>
      </c>
    </row>
    <row r="631" customFormat="false" ht="15" hidden="false" customHeight="false" outlineLevel="0" collapsed="false">
      <c r="A631" s="102"/>
      <c r="B631" s="103"/>
      <c r="C631" s="103"/>
      <c r="D631" s="103"/>
      <c r="E631" s="103"/>
      <c r="F631" s="103"/>
      <c r="G631" s="103"/>
      <c r="H631" s="103"/>
      <c r="I631" s="103"/>
      <c r="T631" s="30" t="str">
        <f aca="false">IF(C631="","",IF(COUNTIFS(C$5:C631,C631,E$5:E631,E631)=1,1,0))</f>
        <v/>
      </c>
      <c r="U631" s="30" t="n">
        <f aca="false">IF(C631="",0,IF(AND(B631="brand",E631="budget_probe",N(F631)&gt;=Inputs!$C$124,H631="Y"),1,0))</f>
        <v>0</v>
      </c>
      <c r="V631" s="30" t="n">
        <f aca="false">IF(U631=1,IF(COUNTIFS(C$5:C631,C631,U$5:U631,1)=1,1,0),0)</f>
        <v>0</v>
      </c>
      <c r="W631" s="30" t="n">
        <f aca="false">IF(C631="",0,IF(AND(B631="office",E631="budget_probe",N(F631)&gt;=Inputs!$C$139),1,0))</f>
        <v>0</v>
      </c>
      <c r="X631" s="30" t="n">
        <f aca="false">IF(W631=1,IF(COUNTIFS(C$5:C631,C631,W$5:W631,1)=1,1,0),0)</f>
        <v>0</v>
      </c>
      <c r="Y631" s="30" t="n">
        <f aca="false">IF(C631="",0,IF(AND(B631="brand",E631="renewal_answer",TRIM(G631)="yes",N(F631)&gt;=Inputs!$C$135),1,0))</f>
        <v>0</v>
      </c>
      <c r="Z631" s="30" t="n">
        <f aca="false">IF(Y631=1,IF(COUNTIFS(C$5:C631,C631,Y$5:Y631,1)=1,1,0),0)</f>
        <v>0</v>
      </c>
      <c r="AA631" s="30" t="n">
        <f aca="false">IF(AND(E631="budget_probe",ISNUMBER(F631),I631&lt;&gt;Lists!$X$4),1,0)</f>
        <v>0</v>
      </c>
      <c r="AB631" s="30" t="str">
        <f aca="false">IF(AND(B631="office",AA631=1,COUNTIFS(C$5:C631,C631,AA$5:AA631,1)=1),F631,"")</f>
        <v/>
      </c>
      <c r="AC631" s="30" t="str">
        <f aca="false">IF(AND(B631="brand",AA631=1,COUNTIFS(C$5:C631,C631,AA$5:AA631,1)=1),F631,"")</f>
        <v/>
      </c>
      <c r="AD631" s="30" t="str">
        <f aca="false">IF(AND(B631="brand",E631="budget_probe",ISNUMBER(F631),I631=Lists!$X$4),IF(COUNTIFS(C$5:C631,C631,E$5:E631,"budget_probe",I$5:I631,Lists!$X$4)=1,F631,""),"")</f>
        <v/>
      </c>
      <c r="AE631" s="30" t="n">
        <f aca="false">IF(AND(B631="brand",E631="paid",ISNUMBER(F631)),IF(AND(SUMIFS(F$5:F631,B$5:B631,"brand",C$5:C631,C631,E$5:E631,"paid")&gt;=Inputs!$C$44,SUMIFS(F$5:F631,B$5:B631,"brand",C$5:C631,C631,E$5:E631,"paid")-F631&lt;Inputs!$C$44),1,0),0)</f>
        <v>0</v>
      </c>
    </row>
    <row r="632" customFormat="false" ht="15" hidden="false" customHeight="false" outlineLevel="0" collapsed="false">
      <c r="A632" s="102"/>
      <c r="B632" s="103"/>
      <c r="C632" s="103"/>
      <c r="D632" s="103"/>
      <c r="E632" s="103"/>
      <c r="F632" s="103"/>
      <c r="G632" s="103"/>
      <c r="H632" s="103"/>
      <c r="I632" s="103"/>
      <c r="T632" s="30" t="str">
        <f aca="false">IF(C632="","",IF(COUNTIFS(C$5:C632,C632,E$5:E632,E632)=1,1,0))</f>
        <v/>
      </c>
      <c r="U632" s="30" t="n">
        <f aca="false">IF(C632="",0,IF(AND(B632="brand",E632="budget_probe",N(F632)&gt;=Inputs!$C$124,H632="Y"),1,0))</f>
        <v>0</v>
      </c>
      <c r="V632" s="30" t="n">
        <f aca="false">IF(U632=1,IF(COUNTIFS(C$5:C632,C632,U$5:U632,1)=1,1,0),0)</f>
        <v>0</v>
      </c>
      <c r="W632" s="30" t="n">
        <f aca="false">IF(C632="",0,IF(AND(B632="office",E632="budget_probe",N(F632)&gt;=Inputs!$C$139),1,0))</f>
        <v>0</v>
      </c>
      <c r="X632" s="30" t="n">
        <f aca="false">IF(W632=1,IF(COUNTIFS(C$5:C632,C632,W$5:W632,1)=1,1,0),0)</f>
        <v>0</v>
      </c>
      <c r="Y632" s="30" t="n">
        <f aca="false">IF(C632="",0,IF(AND(B632="brand",E632="renewal_answer",TRIM(G632)="yes",N(F632)&gt;=Inputs!$C$135),1,0))</f>
        <v>0</v>
      </c>
      <c r="Z632" s="30" t="n">
        <f aca="false">IF(Y632=1,IF(COUNTIFS(C$5:C632,C632,Y$5:Y632,1)=1,1,0),0)</f>
        <v>0</v>
      </c>
      <c r="AA632" s="30" t="n">
        <f aca="false">IF(AND(E632="budget_probe",ISNUMBER(F632),I632&lt;&gt;Lists!$X$4),1,0)</f>
        <v>0</v>
      </c>
      <c r="AB632" s="30" t="str">
        <f aca="false">IF(AND(B632="office",AA632=1,COUNTIFS(C$5:C632,C632,AA$5:AA632,1)=1),F632,"")</f>
        <v/>
      </c>
      <c r="AC632" s="30" t="str">
        <f aca="false">IF(AND(B632="brand",AA632=1,COUNTIFS(C$5:C632,C632,AA$5:AA632,1)=1),F632,"")</f>
        <v/>
      </c>
      <c r="AD632" s="30" t="str">
        <f aca="false">IF(AND(B632="brand",E632="budget_probe",ISNUMBER(F632),I632=Lists!$X$4),IF(COUNTIFS(C$5:C632,C632,E$5:E632,"budget_probe",I$5:I632,Lists!$X$4)=1,F632,""),"")</f>
        <v/>
      </c>
      <c r="AE632" s="30" t="n">
        <f aca="false">IF(AND(B632="brand",E632="paid",ISNUMBER(F632)),IF(AND(SUMIFS(F$5:F632,B$5:B632,"brand",C$5:C632,C632,E$5:E632,"paid")&gt;=Inputs!$C$44,SUMIFS(F$5:F632,B$5:B632,"brand",C$5:C632,C632,E$5:E632,"paid")-F632&lt;Inputs!$C$44),1,0),0)</f>
        <v>0</v>
      </c>
    </row>
    <row r="633" customFormat="false" ht="15" hidden="false" customHeight="false" outlineLevel="0" collapsed="false">
      <c r="A633" s="102"/>
      <c r="B633" s="103"/>
      <c r="C633" s="103"/>
      <c r="D633" s="103"/>
      <c r="E633" s="103"/>
      <c r="F633" s="103"/>
      <c r="G633" s="103"/>
      <c r="H633" s="103"/>
      <c r="I633" s="103"/>
      <c r="T633" s="30" t="str">
        <f aca="false">IF(C633="","",IF(COUNTIFS(C$5:C633,C633,E$5:E633,E633)=1,1,0))</f>
        <v/>
      </c>
      <c r="U633" s="30" t="n">
        <f aca="false">IF(C633="",0,IF(AND(B633="brand",E633="budget_probe",N(F633)&gt;=Inputs!$C$124,H633="Y"),1,0))</f>
        <v>0</v>
      </c>
      <c r="V633" s="30" t="n">
        <f aca="false">IF(U633=1,IF(COUNTIFS(C$5:C633,C633,U$5:U633,1)=1,1,0),0)</f>
        <v>0</v>
      </c>
      <c r="W633" s="30" t="n">
        <f aca="false">IF(C633="",0,IF(AND(B633="office",E633="budget_probe",N(F633)&gt;=Inputs!$C$139),1,0))</f>
        <v>0</v>
      </c>
      <c r="X633" s="30" t="n">
        <f aca="false">IF(W633=1,IF(COUNTIFS(C$5:C633,C633,W$5:W633,1)=1,1,0),0)</f>
        <v>0</v>
      </c>
      <c r="Y633" s="30" t="n">
        <f aca="false">IF(C633="",0,IF(AND(B633="brand",E633="renewal_answer",TRIM(G633)="yes",N(F633)&gt;=Inputs!$C$135),1,0))</f>
        <v>0</v>
      </c>
      <c r="Z633" s="30" t="n">
        <f aca="false">IF(Y633=1,IF(COUNTIFS(C$5:C633,C633,Y$5:Y633,1)=1,1,0),0)</f>
        <v>0</v>
      </c>
      <c r="AA633" s="30" t="n">
        <f aca="false">IF(AND(E633="budget_probe",ISNUMBER(F633),I633&lt;&gt;Lists!$X$4),1,0)</f>
        <v>0</v>
      </c>
      <c r="AB633" s="30" t="str">
        <f aca="false">IF(AND(B633="office",AA633=1,COUNTIFS(C$5:C633,C633,AA$5:AA633,1)=1),F633,"")</f>
        <v/>
      </c>
      <c r="AC633" s="30" t="str">
        <f aca="false">IF(AND(B633="brand",AA633=1,COUNTIFS(C$5:C633,C633,AA$5:AA633,1)=1),F633,"")</f>
        <v/>
      </c>
      <c r="AD633" s="30" t="str">
        <f aca="false">IF(AND(B633="brand",E633="budget_probe",ISNUMBER(F633),I633=Lists!$X$4),IF(COUNTIFS(C$5:C633,C633,E$5:E633,"budget_probe",I$5:I633,Lists!$X$4)=1,F633,""),"")</f>
        <v/>
      </c>
      <c r="AE633" s="30" t="n">
        <f aca="false">IF(AND(B633="brand",E633="paid",ISNUMBER(F633)),IF(AND(SUMIFS(F$5:F633,B$5:B633,"brand",C$5:C633,C633,E$5:E633,"paid")&gt;=Inputs!$C$44,SUMIFS(F$5:F633,B$5:B633,"brand",C$5:C633,C633,E$5:E633,"paid")-F633&lt;Inputs!$C$44),1,0),0)</f>
        <v>0</v>
      </c>
    </row>
    <row r="634" customFormat="false" ht="15" hidden="false" customHeight="false" outlineLevel="0" collapsed="false">
      <c r="A634" s="102"/>
      <c r="B634" s="103"/>
      <c r="C634" s="103"/>
      <c r="D634" s="103"/>
      <c r="E634" s="103"/>
      <c r="F634" s="103"/>
      <c r="G634" s="103"/>
      <c r="H634" s="103"/>
      <c r="I634" s="103"/>
      <c r="T634" s="30" t="str">
        <f aca="false">IF(C634="","",IF(COUNTIFS(C$5:C634,C634,E$5:E634,E634)=1,1,0))</f>
        <v/>
      </c>
      <c r="U634" s="30" t="n">
        <f aca="false">IF(C634="",0,IF(AND(B634="brand",E634="budget_probe",N(F634)&gt;=Inputs!$C$124,H634="Y"),1,0))</f>
        <v>0</v>
      </c>
      <c r="V634" s="30" t="n">
        <f aca="false">IF(U634=1,IF(COUNTIFS(C$5:C634,C634,U$5:U634,1)=1,1,0),0)</f>
        <v>0</v>
      </c>
      <c r="W634" s="30" t="n">
        <f aca="false">IF(C634="",0,IF(AND(B634="office",E634="budget_probe",N(F634)&gt;=Inputs!$C$139),1,0))</f>
        <v>0</v>
      </c>
      <c r="X634" s="30" t="n">
        <f aca="false">IF(W634=1,IF(COUNTIFS(C$5:C634,C634,W$5:W634,1)=1,1,0),0)</f>
        <v>0</v>
      </c>
      <c r="Y634" s="30" t="n">
        <f aca="false">IF(C634="",0,IF(AND(B634="brand",E634="renewal_answer",TRIM(G634)="yes",N(F634)&gt;=Inputs!$C$135),1,0))</f>
        <v>0</v>
      </c>
      <c r="Z634" s="30" t="n">
        <f aca="false">IF(Y634=1,IF(COUNTIFS(C$5:C634,C634,Y$5:Y634,1)=1,1,0),0)</f>
        <v>0</v>
      </c>
      <c r="AA634" s="30" t="n">
        <f aca="false">IF(AND(E634="budget_probe",ISNUMBER(F634),I634&lt;&gt;Lists!$X$4),1,0)</f>
        <v>0</v>
      </c>
      <c r="AB634" s="30" t="str">
        <f aca="false">IF(AND(B634="office",AA634=1,COUNTIFS(C$5:C634,C634,AA$5:AA634,1)=1),F634,"")</f>
        <v/>
      </c>
      <c r="AC634" s="30" t="str">
        <f aca="false">IF(AND(B634="brand",AA634=1,COUNTIFS(C$5:C634,C634,AA$5:AA634,1)=1),F634,"")</f>
        <v/>
      </c>
      <c r="AD634" s="30" t="str">
        <f aca="false">IF(AND(B634="brand",E634="budget_probe",ISNUMBER(F634),I634=Lists!$X$4),IF(COUNTIFS(C$5:C634,C634,E$5:E634,"budget_probe",I$5:I634,Lists!$X$4)=1,F634,""),"")</f>
        <v/>
      </c>
      <c r="AE634" s="30" t="n">
        <f aca="false">IF(AND(B634="brand",E634="paid",ISNUMBER(F634)),IF(AND(SUMIFS(F$5:F634,B$5:B634,"brand",C$5:C634,C634,E$5:E634,"paid")&gt;=Inputs!$C$44,SUMIFS(F$5:F634,B$5:B634,"brand",C$5:C634,C634,E$5:E634,"paid")-F634&lt;Inputs!$C$44),1,0),0)</f>
        <v>0</v>
      </c>
    </row>
    <row r="635" customFormat="false" ht="15" hidden="false" customHeight="false" outlineLevel="0" collapsed="false">
      <c r="A635" s="102"/>
      <c r="B635" s="103"/>
      <c r="C635" s="103"/>
      <c r="D635" s="103"/>
      <c r="E635" s="103"/>
      <c r="F635" s="103"/>
      <c r="G635" s="103"/>
      <c r="H635" s="103"/>
      <c r="I635" s="103"/>
      <c r="T635" s="30" t="str">
        <f aca="false">IF(C635="","",IF(COUNTIFS(C$5:C635,C635,E$5:E635,E635)=1,1,0))</f>
        <v/>
      </c>
      <c r="U635" s="30" t="n">
        <f aca="false">IF(C635="",0,IF(AND(B635="brand",E635="budget_probe",N(F635)&gt;=Inputs!$C$124,H635="Y"),1,0))</f>
        <v>0</v>
      </c>
      <c r="V635" s="30" t="n">
        <f aca="false">IF(U635=1,IF(COUNTIFS(C$5:C635,C635,U$5:U635,1)=1,1,0),0)</f>
        <v>0</v>
      </c>
      <c r="W635" s="30" t="n">
        <f aca="false">IF(C635="",0,IF(AND(B635="office",E635="budget_probe",N(F635)&gt;=Inputs!$C$139),1,0))</f>
        <v>0</v>
      </c>
      <c r="X635" s="30" t="n">
        <f aca="false">IF(W635=1,IF(COUNTIFS(C$5:C635,C635,W$5:W635,1)=1,1,0),0)</f>
        <v>0</v>
      </c>
      <c r="Y635" s="30" t="n">
        <f aca="false">IF(C635="",0,IF(AND(B635="brand",E635="renewal_answer",TRIM(G635)="yes",N(F635)&gt;=Inputs!$C$135),1,0))</f>
        <v>0</v>
      </c>
      <c r="Z635" s="30" t="n">
        <f aca="false">IF(Y635=1,IF(COUNTIFS(C$5:C635,C635,Y$5:Y635,1)=1,1,0),0)</f>
        <v>0</v>
      </c>
      <c r="AA635" s="30" t="n">
        <f aca="false">IF(AND(E635="budget_probe",ISNUMBER(F635),I635&lt;&gt;Lists!$X$4),1,0)</f>
        <v>0</v>
      </c>
      <c r="AB635" s="30" t="str">
        <f aca="false">IF(AND(B635="office",AA635=1,COUNTIFS(C$5:C635,C635,AA$5:AA635,1)=1),F635,"")</f>
        <v/>
      </c>
      <c r="AC635" s="30" t="str">
        <f aca="false">IF(AND(B635="brand",AA635=1,COUNTIFS(C$5:C635,C635,AA$5:AA635,1)=1),F635,"")</f>
        <v/>
      </c>
      <c r="AD635" s="30" t="str">
        <f aca="false">IF(AND(B635="brand",E635="budget_probe",ISNUMBER(F635),I635=Lists!$X$4),IF(COUNTIFS(C$5:C635,C635,E$5:E635,"budget_probe",I$5:I635,Lists!$X$4)=1,F635,""),"")</f>
        <v/>
      </c>
      <c r="AE635" s="30" t="n">
        <f aca="false">IF(AND(B635="brand",E635="paid",ISNUMBER(F635)),IF(AND(SUMIFS(F$5:F635,B$5:B635,"brand",C$5:C635,C635,E$5:E635,"paid")&gt;=Inputs!$C$44,SUMIFS(F$5:F635,B$5:B635,"brand",C$5:C635,C635,E$5:E635,"paid")-F635&lt;Inputs!$C$44),1,0),0)</f>
        <v>0</v>
      </c>
    </row>
    <row r="636" customFormat="false" ht="15" hidden="false" customHeight="false" outlineLevel="0" collapsed="false">
      <c r="A636" s="102"/>
      <c r="B636" s="103"/>
      <c r="C636" s="103"/>
      <c r="D636" s="103"/>
      <c r="E636" s="103"/>
      <c r="F636" s="103"/>
      <c r="G636" s="103"/>
      <c r="H636" s="103"/>
      <c r="I636" s="103"/>
      <c r="T636" s="30" t="str">
        <f aca="false">IF(C636="","",IF(COUNTIFS(C$5:C636,C636,E$5:E636,E636)=1,1,0))</f>
        <v/>
      </c>
      <c r="U636" s="30" t="n">
        <f aca="false">IF(C636="",0,IF(AND(B636="brand",E636="budget_probe",N(F636)&gt;=Inputs!$C$124,H636="Y"),1,0))</f>
        <v>0</v>
      </c>
      <c r="V636" s="30" t="n">
        <f aca="false">IF(U636=1,IF(COUNTIFS(C$5:C636,C636,U$5:U636,1)=1,1,0),0)</f>
        <v>0</v>
      </c>
      <c r="W636" s="30" t="n">
        <f aca="false">IF(C636="",0,IF(AND(B636="office",E636="budget_probe",N(F636)&gt;=Inputs!$C$139),1,0))</f>
        <v>0</v>
      </c>
      <c r="X636" s="30" t="n">
        <f aca="false">IF(W636=1,IF(COUNTIFS(C$5:C636,C636,W$5:W636,1)=1,1,0),0)</f>
        <v>0</v>
      </c>
      <c r="Y636" s="30" t="n">
        <f aca="false">IF(C636="",0,IF(AND(B636="brand",E636="renewal_answer",TRIM(G636)="yes",N(F636)&gt;=Inputs!$C$135),1,0))</f>
        <v>0</v>
      </c>
      <c r="Z636" s="30" t="n">
        <f aca="false">IF(Y636=1,IF(COUNTIFS(C$5:C636,C636,Y$5:Y636,1)=1,1,0),0)</f>
        <v>0</v>
      </c>
      <c r="AA636" s="30" t="n">
        <f aca="false">IF(AND(E636="budget_probe",ISNUMBER(F636),I636&lt;&gt;Lists!$X$4),1,0)</f>
        <v>0</v>
      </c>
      <c r="AB636" s="30" t="str">
        <f aca="false">IF(AND(B636="office",AA636=1,COUNTIFS(C$5:C636,C636,AA$5:AA636,1)=1),F636,"")</f>
        <v/>
      </c>
      <c r="AC636" s="30" t="str">
        <f aca="false">IF(AND(B636="brand",AA636=1,COUNTIFS(C$5:C636,C636,AA$5:AA636,1)=1),F636,"")</f>
        <v/>
      </c>
      <c r="AD636" s="30" t="str">
        <f aca="false">IF(AND(B636="brand",E636="budget_probe",ISNUMBER(F636),I636=Lists!$X$4),IF(COUNTIFS(C$5:C636,C636,E$5:E636,"budget_probe",I$5:I636,Lists!$X$4)=1,F636,""),"")</f>
        <v/>
      </c>
      <c r="AE636" s="30" t="n">
        <f aca="false">IF(AND(B636="brand",E636="paid",ISNUMBER(F636)),IF(AND(SUMIFS(F$5:F636,B$5:B636,"brand",C$5:C636,C636,E$5:E636,"paid")&gt;=Inputs!$C$44,SUMIFS(F$5:F636,B$5:B636,"brand",C$5:C636,C636,E$5:E636,"paid")-F636&lt;Inputs!$C$44),1,0),0)</f>
        <v>0</v>
      </c>
    </row>
    <row r="637" customFormat="false" ht="15" hidden="false" customHeight="false" outlineLevel="0" collapsed="false">
      <c r="A637" s="102"/>
      <c r="B637" s="103"/>
      <c r="C637" s="103"/>
      <c r="D637" s="103"/>
      <c r="E637" s="103"/>
      <c r="F637" s="103"/>
      <c r="G637" s="103"/>
      <c r="H637" s="103"/>
      <c r="I637" s="103"/>
      <c r="T637" s="30" t="str">
        <f aca="false">IF(C637="","",IF(COUNTIFS(C$5:C637,C637,E$5:E637,E637)=1,1,0))</f>
        <v/>
      </c>
      <c r="U637" s="30" t="n">
        <f aca="false">IF(C637="",0,IF(AND(B637="brand",E637="budget_probe",N(F637)&gt;=Inputs!$C$124,H637="Y"),1,0))</f>
        <v>0</v>
      </c>
      <c r="V637" s="30" t="n">
        <f aca="false">IF(U637=1,IF(COUNTIFS(C$5:C637,C637,U$5:U637,1)=1,1,0),0)</f>
        <v>0</v>
      </c>
      <c r="W637" s="30" t="n">
        <f aca="false">IF(C637="",0,IF(AND(B637="office",E637="budget_probe",N(F637)&gt;=Inputs!$C$139),1,0))</f>
        <v>0</v>
      </c>
      <c r="X637" s="30" t="n">
        <f aca="false">IF(W637=1,IF(COUNTIFS(C$5:C637,C637,W$5:W637,1)=1,1,0),0)</f>
        <v>0</v>
      </c>
      <c r="Y637" s="30" t="n">
        <f aca="false">IF(C637="",0,IF(AND(B637="brand",E637="renewal_answer",TRIM(G637)="yes",N(F637)&gt;=Inputs!$C$135),1,0))</f>
        <v>0</v>
      </c>
      <c r="Z637" s="30" t="n">
        <f aca="false">IF(Y637=1,IF(COUNTIFS(C$5:C637,C637,Y$5:Y637,1)=1,1,0),0)</f>
        <v>0</v>
      </c>
      <c r="AA637" s="30" t="n">
        <f aca="false">IF(AND(E637="budget_probe",ISNUMBER(F637),I637&lt;&gt;Lists!$X$4),1,0)</f>
        <v>0</v>
      </c>
      <c r="AB637" s="30" t="str">
        <f aca="false">IF(AND(B637="office",AA637=1,COUNTIFS(C$5:C637,C637,AA$5:AA637,1)=1),F637,"")</f>
        <v/>
      </c>
      <c r="AC637" s="30" t="str">
        <f aca="false">IF(AND(B637="brand",AA637=1,COUNTIFS(C$5:C637,C637,AA$5:AA637,1)=1),F637,"")</f>
        <v/>
      </c>
      <c r="AD637" s="30" t="str">
        <f aca="false">IF(AND(B637="brand",E637="budget_probe",ISNUMBER(F637),I637=Lists!$X$4),IF(COUNTIFS(C$5:C637,C637,E$5:E637,"budget_probe",I$5:I637,Lists!$X$4)=1,F637,""),"")</f>
        <v/>
      </c>
      <c r="AE637" s="30" t="n">
        <f aca="false">IF(AND(B637="brand",E637="paid",ISNUMBER(F637)),IF(AND(SUMIFS(F$5:F637,B$5:B637,"brand",C$5:C637,C637,E$5:E637,"paid")&gt;=Inputs!$C$44,SUMIFS(F$5:F637,B$5:B637,"brand",C$5:C637,C637,E$5:E637,"paid")-F637&lt;Inputs!$C$44),1,0),0)</f>
        <v>0</v>
      </c>
    </row>
    <row r="638" customFormat="false" ht="15" hidden="false" customHeight="false" outlineLevel="0" collapsed="false">
      <c r="A638" s="102"/>
      <c r="B638" s="103"/>
      <c r="C638" s="103"/>
      <c r="D638" s="103"/>
      <c r="E638" s="103"/>
      <c r="F638" s="103"/>
      <c r="G638" s="103"/>
      <c r="H638" s="103"/>
      <c r="I638" s="103"/>
      <c r="T638" s="30" t="str">
        <f aca="false">IF(C638="","",IF(COUNTIFS(C$5:C638,C638,E$5:E638,E638)=1,1,0))</f>
        <v/>
      </c>
      <c r="U638" s="30" t="n">
        <f aca="false">IF(C638="",0,IF(AND(B638="brand",E638="budget_probe",N(F638)&gt;=Inputs!$C$124,H638="Y"),1,0))</f>
        <v>0</v>
      </c>
      <c r="V638" s="30" t="n">
        <f aca="false">IF(U638=1,IF(COUNTIFS(C$5:C638,C638,U$5:U638,1)=1,1,0),0)</f>
        <v>0</v>
      </c>
      <c r="W638" s="30" t="n">
        <f aca="false">IF(C638="",0,IF(AND(B638="office",E638="budget_probe",N(F638)&gt;=Inputs!$C$139),1,0))</f>
        <v>0</v>
      </c>
      <c r="X638" s="30" t="n">
        <f aca="false">IF(W638=1,IF(COUNTIFS(C$5:C638,C638,W$5:W638,1)=1,1,0),0)</f>
        <v>0</v>
      </c>
      <c r="Y638" s="30" t="n">
        <f aca="false">IF(C638="",0,IF(AND(B638="brand",E638="renewal_answer",TRIM(G638)="yes",N(F638)&gt;=Inputs!$C$135),1,0))</f>
        <v>0</v>
      </c>
      <c r="Z638" s="30" t="n">
        <f aca="false">IF(Y638=1,IF(COUNTIFS(C$5:C638,C638,Y$5:Y638,1)=1,1,0),0)</f>
        <v>0</v>
      </c>
      <c r="AA638" s="30" t="n">
        <f aca="false">IF(AND(E638="budget_probe",ISNUMBER(F638),I638&lt;&gt;Lists!$X$4),1,0)</f>
        <v>0</v>
      </c>
      <c r="AB638" s="30" t="str">
        <f aca="false">IF(AND(B638="office",AA638=1,COUNTIFS(C$5:C638,C638,AA$5:AA638,1)=1),F638,"")</f>
        <v/>
      </c>
      <c r="AC638" s="30" t="str">
        <f aca="false">IF(AND(B638="brand",AA638=1,COUNTIFS(C$5:C638,C638,AA$5:AA638,1)=1),F638,"")</f>
        <v/>
      </c>
      <c r="AD638" s="30" t="str">
        <f aca="false">IF(AND(B638="brand",E638="budget_probe",ISNUMBER(F638),I638=Lists!$X$4),IF(COUNTIFS(C$5:C638,C638,E$5:E638,"budget_probe",I$5:I638,Lists!$X$4)=1,F638,""),"")</f>
        <v/>
      </c>
      <c r="AE638" s="30" t="n">
        <f aca="false">IF(AND(B638="brand",E638="paid",ISNUMBER(F638)),IF(AND(SUMIFS(F$5:F638,B$5:B638,"brand",C$5:C638,C638,E$5:E638,"paid")&gt;=Inputs!$C$44,SUMIFS(F$5:F638,B$5:B638,"brand",C$5:C638,C638,E$5:E638,"paid")-F638&lt;Inputs!$C$44),1,0),0)</f>
        <v>0</v>
      </c>
    </row>
    <row r="639" customFormat="false" ht="15" hidden="false" customHeight="false" outlineLevel="0" collapsed="false">
      <c r="A639" s="102"/>
      <c r="B639" s="103"/>
      <c r="C639" s="103"/>
      <c r="D639" s="103"/>
      <c r="E639" s="103"/>
      <c r="F639" s="103"/>
      <c r="G639" s="103"/>
      <c r="H639" s="103"/>
      <c r="I639" s="103"/>
      <c r="T639" s="30" t="str">
        <f aca="false">IF(C639="","",IF(COUNTIFS(C$5:C639,C639,E$5:E639,E639)=1,1,0))</f>
        <v/>
      </c>
      <c r="U639" s="30" t="n">
        <f aca="false">IF(C639="",0,IF(AND(B639="brand",E639="budget_probe",N(F639)&gt;=Inputs!$C$124,H639="Y"),1,0))</f>
        <v>0</v>
      </c>
      <c r="V639" s="30" t="n">
        <f aca="false">IF(U639=1,IF(COUNTIFS(C$5:C639,C639,U$5:U639,1)=1,1,0),0)</f>
        <v>0</v>
      </c>
      <c r="W639" s="30" t="n">
        <f aca="false">IF(C639="",0,IF(AND(B639="office",E639="budget_probe",N(F639)&gt;=Inputs!$C$139),1,0))</f>
        <v>0</v>
      </c>
      <c r="X639" s="30" t="n">
        <f aca="false">IF(W639=1,IF(COUNTIFS(C$5:C639,C639,W$5:W639,1)=1,1,0),0)</f>
        <v>0</v>
      </c>
      <c r="Y639" s="30" t="n">
        <f aca="false">IF(C639="",0,IF(AND(B639="brand",E639="renewal_answer",TRIM(G639)="yes",N(F639)&gt;=Inputs!$C$135),1,0))</f>
        <v>0</v>
      </c>
      <c r="Z639" s="30" t="n">
        <f aca="false">IF(Y639=1,IF(COUNTIFS(C$5:C639,C639,Y$5:Y639,1)=1,1,0),0)</f>
        <v>0</v>
      </c>
      <c r="AA639" s="30" t="n">
        <f aca="false">IF(AND(E639="budget_probe",ISNUMBER(F639),I639&lt;&gt;Lists!$X$4),1,0)</f>
        <v>0</v>
      </c>
      <c r="AB639" s="30" t="str">
        <f aca="false">IF(AND(B639="office",AA639=1,COUNTIFS(C$5:C639,C639,AA$5:AA639,1)=1),F639,"")</f>
        <v/>
      </c>
      <c r="AC639" s="30" t="str">
        <f aca="false">IF(AND(B639="brand",AA639=1,COUNTIFS(C$5:C639,C639,AA$5:AA639,1)=1),F639,"")</f>
        <v/>
      </c>
      <c r="AD639" s="30" t="str">
        <f aca="false">IF(AND(B639="brand",E639="budget_probe",ISNUMBER(F639),I639=Lists!$X$4),IF(COUNTIFS(C$5:C639,C639,E$5:E639,"budget_probe",I$5:I639,Lists!$X$4)=1,F639,""),"")</f>
        <v/>
      </c>
      <c r="AE639" s="30" t="n">
        <f aca="false">IF(AND(B639="brand",E639="paid",ISNUMBER(F639)),IF(AND(SUMIFS(F$5:F639,B$5:B639,"brand",C$5:C639,C639,E$5:E639,"paid")&gt;=Inputs!$C$44,SUMIFS(F$5:F639,B$5:B639,"brand",C$5:C639,C639,E$5:E639,"paid")-F639&lt;Inputs!$C$44),1,0),0)</f>
        <v>0</v>
      </c>
    </row>
    <row r="640" customFormat="false" ht="15" hidden="false" customHeight="false" outlineLevel="0" collapsed="false">
      <c r="A640" s="102"/>
      <c r="B640" s="103"/>
      <c r="C640" s="103"/>
      <c r="D640" s="103"/>
      <c r="E640" s="103"/>
      <c r="F640" s="103"/>
      <c r="G640" s="103"/>
      <c r="H640" s="103"/>
      <c r="I640" s="103"/>
      <c r="T640" s="30" t="str">
        <f aca="false">IF(C640="","",IF(COUNTIFS(C$5:C640,C640,E$5:E640,E640)=1,1,0))</f>
        <v/>
      </c>
      <c r="U640" s="30" t="n">
        <f aca="false">IF(C640="",0,IF(AND(B640="brand",E640="budget_probe",N(F640)&gt;=Inputs!$C$124,H640="Y"),1,0))</f>
        <v>0</v>
      </c>
      <c r="V640" s="30" t="n">
        <f aca="false">IF(U640=1,IF(COUNTIFS(C$5:C640,C640,U$5:U640,1)=1,1,0),0)</f>
        <v>0</v>
      </c>
      <c r="W640" s="30" t="n">
        <f aca="false">IF(C640="",0,IF(AND(B640="office",E640="budget_probe",N(F640)&gt;=Inputs!$C$139),1,0))</f>
        <v>0</v>
      </c>
      <c r="X640" s="30" t="n">
        <f aca="false">IF(W640=1,IF(COUNTIFS(C$5:C640,C640,W$5:W640,1)=1,1,0),0)</f>
        <v>0</v>
      </c>
      <c r="Y640" s="30" t="n">
        <f aca="false">IF(C640="",0,IF(AND(B640="brand",E640="renewal_answer",TRIM(G640)="yes",N(F640)&gt;=Inputs!$C$135),1,0))</f>
        <v>0</v>
      </c>
      <c r="Z640" s="30" t="n">
        <f aca="false">IF(Y640=1,IF(COUNTIFS(C$5:C640,C640,Y$5:Y640,1)=1,1,0),0)</f>
        <v>0</v>
      </c>
      <c r="AA640" s="30" t="n">
        <f aca="false">IF(AND(E640="budget_probe",ISNUMBER(F640),I640&lt;&gt;Lists!$X$4),1,0)</f>
        <v>0</v>
      </c>
      <c r="AB640" s="30" t="str">
        <f aca="false">IF(AND(B640="office",AA640=1,COUNTIFS(C$5:C640,C640,AA$5:AA640,1)=1),F640,"")</f>
        <v/>
      </c>
      <c r="AC640" s="30" t="str">
        <f aca="false">IF(AND(B640="brand",AA640=1,COUNTIFS(C$5:C640,C640,AA$5:AA640,1)=1),F640,"")</f>
        <v/>
      </c>
      <c r="AD640" s="30" t="str">
        <f aca="false">IF(AND(B640="brand",E640="budget_probe",ISNUMBER(F640),I640=Lists!$X$4),IF(COUNTIFS(C$5:C640,C640,E$5:E640,"budget_probe",I$5:I640,Lists!$X$4)=1,F640,""),"")</f>
        <v/>
      </c>
      <c r="AE640" s="30" t="n">
        <f aca="false">IF(AND(B640="brand",E640="paid",ISNUMBER(F640)),IF(AND(SUMIFS(F$5:F640,B$5:B640,"brand",C$5:C640,C640,E$5:E640,"paid")&gt;=Inputs!$C$44,SUMIFS(F$5:F640,B$5:B640,"brand",C$5:C640,C640,E$5:E640,"paid")-F640&lt;Inputs!$C$44),1,0),0)</f>
        <v>0</v>
      </c>
    </row>
    <row r="641" customFormat="false" ht="15" hidden="false" customHeight="false" outlineLevel="0" collapsed="false">
      <c r="A641" s="102"/>
      <c r="B641" s="103"/>
      <c r="C641" s="103"/>
      <c r="D641" s="103"/>
      <c r="E641" s="103"/>
      <c r="F641" s="103"/>
      <c r="G641" s="103"/>
      <c r="H641" s="103"/>
      <c r="I641" s="103"/>
      <c r="T641" s="30" t="str">
        <f aca="false">IF(C641="","",IF(COUNTIFS(C$5:C641,C641,E$5:E641,E641)=1,1,0))</f>
        <v/>
      </c>
      <c r="U641" s="30" t="n">
        <f aca="false">IF(C641="",0,IF(AND(B641="brand",E641="budget_probe",N(F641)&gt;=Inputs!$C$124,H641="Y"),1,0))</f>
        <v>0</v>
      </c>
      <c r="V641" s="30" t="n">
        <f aca="false">IF(U641=1,IF(COUNTIFS(C$5:C641,C641,U$5:U641,1)=1,1,0),0)</f>
        <v>0</v>
      </c>
      <c r="W641" s="30" t="n">
        <f aca="false">IF(C641="",0,IF(AND(B641="office",E641="budget_probe",N(F641)&gt;=Inputs!$C$139),1,0))</f>
        <v>0</v>
      </c>
      <c r="X641" s="30" t="n">
        <f aca="false">IF(W641=1,IF(COUNTIFS(C$5:C641,C641,W$5:W641,1)=1,1,0),0)</f>
        <v>0</v>
      </c>
      <c r="Y641" s="30" t="n">
        <f aca="false">IF(C641="",0,IF(AND(B641="brand",E641="renewal_answer",TRIM(G641)="yes",N(F641)&gt;=Inputs!$C$135),1,0))</f>
        <v>0</v>
      </c>
      <c r="Z641" s="30" t="n">
        <f aca="false">IF(Y641=1,IF(COUNTIFS(C$5:C641,C641,Y$5:Y641,1)=1,1,0),0)</f>
        <v>0</v>
      </c>
      <c r="AA641" s="30" t="n">
        <f aca="false">IF(AND(E641="budget_probe",ISNUMBER(F641),I641&lt;&gt;Lists!$X$4),1,0)</f>
        <v>0</v>
      </c>
      <c r="AB641" s="30" t="str">
        <f aca="false">IF(AND(B641="office",AA641=1,COUNTIFS(C$5:C641,C641,AA$5:AA641,1)=1),F641,"")</f>
        <v/>
      </c>
      <c r="AC641" s="30" t="str">
        <f aca="false">IF(AND(B641="brand",AA641=1,COUNTIFS(C$5:C641,C641,AA$5:AA641,1)=1),F641,"")</f>
        <v/>
      </c>
      <c r="AD641" s="30" t="str">
        <f aca="false">IF(AND(B641="brand",E641="budget_probe",ISNUMBER(F641),I641=Lists!$X$4),IF(COUNTIFS(C$5:C641,C641,E$5:E641,"budget_probe",I$5:I641,Lists!$X$4)=1,F641,""),"")</f>
        <v/>
      </c>
      <c r="AE641" s="30" t="n">
        <f aca="false">IF(AND(B641="brand",E641="paid",ISNUMBER(F641)),IF(AND(SUMIFS(F$5:F641,B$5:B641,"brand",C$5:C641,C641,E$5:E641,"paid")&gt;=Inputs!$C$44,SUMIFS(F$5:F641,B$5:B641,"brand",C$5:C641,C641,E$5:E641,"paid")-F641&lt;Inputs!$C$44),1,0),0)</f>
        <v>0</v>
      </c>
    </row>
    <row r="642" customFormat="false" ht="15" hidden="false" customHeight="false" outlineLevel="0" collapsed="false">
      <c r="A642" s="102"/>
      <c r="B642" s="103"/>
      <c r="C642" s="103"/>
      <c r="D642" s="103"/>
      <c r="E642" s="103"/>
      <c r="F642" s="103"/>
      <c r="G642" s="103"/>
      <c r="H642" s="103"/>
      <c r="I642" s="103"/>
      <c r="T642" s="30" t="str">
        <f aca="false">IF(C642="","",IF(COUNTIFS(C$5:C642,C642,E$5:E642,E642)=1,1,0))</f>
        <v/>
      </c>
      <c r="U642" s="30" t="n">
        <f aca="false">IF(C642="",0,IF(AND(B642="brand",E642="budget_probe",N(F642)&gt;=Inputs!$C$124,H642="Y"),1,0))</f>
        <v>0</v>
      </c>
      <c r="V642" s="30" t="n">
        <f aca="false">IF(U642=1,IF(COUNTIFS(C$5:C642,C642,U$5:U642,1)=1,1,0),0)</f>
        <v>0</v>
      </c>
      <c r="W642" s="30" t="n">
        <f aca="false">IF(C642="",0,IF(AND(B642="office",E642="budget_probe",N(F642)&gt;=Inputs!$C$139),1,0))</f>
        <v>0</v>
      </c>
      <c r="X642" s="30" t="n">
        <f aca="false">IF(W642=1,IF(COUNTIFS(C$5:C642,C642,W$5:W642,1)=1,1,0),0)</f>
        <v>0</v>
      </c>
      <c r="Y642" s="30" t="n">
        <f aca="false">IF(C642="",0,IF(AND(B642="brand",E642="renewal_answer",TRIM(G642)="yes",N(F642)&gt;=Inputs!$C$135),1,0))</f>
        <v>0</v>
      </c>
      <c r="Z642" s="30" t="n">
        <f aca="false">IF(Y642=1,IF(COUNTIFS(C$5:C642,C642,Y$5:Y642,1)=1,1,0),0)</f>
        <v>0</v>
      </c>
      <c r="AA642" s="30" t="n">
        <f aca="false">IF(AND(E642="budget_probe",ISNUMBER(F642),I642&lt;&gt;Lists!$X$4),1,0)</f>
        <v>0</v>
      </c>
      <c r="AB642" s="30" t="str">
        <f aca="false">IF(AND(B642="office",AA642=1,COUNTIFS(C$5:C642,C642,AA$5:AA642,1)=1),F642,"")</f>
        <v/>
      </c>
      <c r="AC642" s="30" t="str">
        <f aca="false">IF(AND(B642="brand",AA642=1,COUNTIFS(C$5:C642,C642,AA$5:AA642,1)=1),F642,"")</f>
        <v/>
      </c>
      <c r="AD642" s="30" t="str">
        <f aca="false">IF(AND(B642="brand",E642="budget_probe",ISNUMBER(F642),I642=Lists!$X$4),IF(COUNTIFS(C$5:C642,C642,E$5:E642,"budget_probe",I$5:I642,Lists!$X$4)=1,F642,""),"")</f>
        <v/>
      </c>
      <c r="AE642" s="30" t="n">
        <f aca="false">IF(AND(B642="brand",E642="paid",ISNUMBER(F642)),IF(AND(SUMIFS(F$5:F642,B$5:B642,"brand",C$5:C642,C642,E$5:E642,"paid")&gt;=Inputs!$C$44,SUMIFS(F$5:F642,B$5:B642,"brand",C$5:C642,C642,E$5:E642,"paid")-F642&lt;Inputs!$C$44),1,0),0)</f>
        <v>0</v>
      </c>
    </row>
    <row r="643" customFormat="false" ht="15" hidden="false" customHeight="false" outlineLevel="0" collapsed="false">
      <c r="A643" s="102"/>
      <c r="B643" s="103"/>
      <c r="C643" s="103"/>
      <c r="D643" s="103"/>
      <c r="E643" s="103"/>
      <c r="F643" s="103"/>
      <c r="G643" s="103"/>
      <c r="H643" s="103"/>
      <c r="I643" s="103"/>
      <c r="T643" s="30" t="str">
        <f aca="false">IF(C643="","",IF(COUNTIFS(C$5:C643,C643,E$5:E643,E643)=1,1,0))</f>
        <v/>
      </c>
      <c r="U643" s="30" t="n">
        <f aca="false">IF(C643="",0,IF(AND(B643="brand",E643="budget_probe",N(F643)&gt;=Inputs!$C$124,H643="Y"),1,0))</f>
        <v>0</v>
      </c>
      <c r="V643" s="30" t="n">
        <f aca="false">IF(U643=1,IF(COUNTIFS(C$5:C643,C643,U$5:U643,1)=1,1,0),0)</f>
        <v>0</v>
      </c>
      <c r="W643" s="30" t="n">
        <f aca="false">IF(C643="",0,IF(AND(B643="office",E643="budget_probe",N(F643)&gt;=Inputs!$C$139),1,0))</f>
        <v>0</v>
      </c>
      <c r="X643" s="30" t="n">
        <f aca="false">IF(W643=1,IF(COUNTIFS(C$5:C643,C643,W$5:W643,1)=1,1,0),0)</f>
        <v>0</v>
      </c>
      <c r="Y643" s="30" t="n">
        <f aca="false">IF(C643="",0,IF(AND(B643="brand",E643="renewal_answer",TRIM(G643)="yes",N(F643)&gt;=Inputs!$C$135),1,0))</f>
        <v>0</v>
      </c>
      <c r="Z643" s="30" t="n">
        <f aca="false">IF(Y643=1,IF(COUNTIFS(C$5:C643,C643,Y$5:Y643,1)=1,1,0),0)</f>
        <v>0</v>
      </c>
      <c r="AA643" s="30" t="n">
        <f aca="false">IF(AND(E643="budget_probe",ISNUMBER(F643),I643&lt;&gt;Lists!$X$4),1,0)</f>
        <v>0</v>
      </c>
      <c r="AB643" s="30" t="str">
        <f aca="false">IF(AND(B643="office",AA643=1,COUNTIFS(C$5:C643,C643,AA$5:AA643,1)=1),F643,"")</f>
        <v/>
      </c>
      <c r="AC643" s="30" t="str">
        <f aca="false">IF(AND(B643="brand",AA643=1,COUNTIFS(C$5:C643,C643,AA$5:AA643,1)=1),F643,"")</f>
        <v/>
      </c>
      <c r="AD643" s="30" t="str">
        <f aca="false">IF(AND(B643="brand",E643="budget_probe",ISNUMBER(F643),I643=Lists!$X$4),IF(COUNTIFS(C$5:C643,C643,E$5:E643,"budget_probe",I$5:I643,Lists!$X$4)=1,F643,""),"")</f>
        <v/>
      </c>
      <c r="AE643" s="30" t="n">
        <f aca="false">IF(AND(B643="brand",E643="paid",ISNUMBER(F643)),IF(AND(SUMIFS(F$5:F643,B$5:B643,"brand",C$5:C643,C643,E$5:E643,"paid")&gt;=Inputs!$C$44,SUMIFS(F$5:F643,B$5:B643,"brand",C$5:C643,C643,E$5:E643,"paid")-F643&lt;Inputs!$C$44),1,0),0)</f>
        <v>0</v>
      </c>
    </row>
    <row r="644" customFormat="false" ht="15" hidden="false" customHeight="false" outlineLevel="0" collapsed="false">
      <c r="A644" s="102"/>
      <c r="B644" s="103"/>
      <c r="C644" s="103"/>
      <c r="D644" s="103"/>
      <c r="E644" s="103"/>
      <c r="F644" s="103"/>
      <c r="G644" s="103"/>
      <c r="H644" s="103"/>
      <c r="I644" s="103"/>
      <c r="T644" s="30" t="str">
        <f aca="false">IF(C644="","",IF(COUNTIFS(C$5:C644,C644,E$5:E644,E644)=1,1,0))</f>
        <v/>
      </c>
      <c r="U644" s="30" t="n">
        <f aca="false">IF(C644="",0,IF(AND(B644="brand",E644="budget_probe",N(F644)&gt;=Inputs!$C$124,H644="Y"),1,0))</f>
        <v>0</v>
      </c>
      <c r="V644" s="30" t="n">
        <f aca="false">IF(U644=1,IF(COUNTIFS(C$5:C644,C644,U$5:U644,1)=1,1,0),0)</f>
        <v>0</v>
      </c>
      <c r="W644" s="30" t="n">
        <f aca="false">IF(C644="",0,IF(AND(B644="office",E644="budget_probe",N(F644)&gt;=Inputs!$C$139),1,0))</f>
        <v>0</v>
      </c>
      <c r="X644" s="30" t="n">
        <f aca="false">IF(W644=1,IF(COUNTIFS(C$5:C644,C644,W$5:W644,1)=1,1,0),0)</f>
        <v>0</v>
      </c>
      <c r="Y644" s="30" t="n">
        <f aca="false">IF(C644="",0,IF(AND(B644="brand",E644="renewal_answer",TRIM(G644)="yes",N(F644)&gt;=Inputs!$C$135),1,0))</f>
        <v>0</v>
      </c>
      <c r="Z644" s="30" t="n">
        <f aca="false">IF(Y644=1,IF(COUNTIFS(C$5:C644,C644,Y$5:Y644,1)=1,1,0),0)</f>
        <v>0</v>
      </c>
      <c r="AA644" s="30" t="n">
        <f aca="false">IF(AND(E644="budget_probe",ISNUMBER(F644),I644&lt;&gt;Lists!$X$4),1,0)</f>
        <v>0</v>
      </c>
      <c r="AB644" s="30" t="str">
        <f aca="false">IF(AND(B644="office",AA644=1,COUNTIFS(C$5:C644,C644,AA$5:AA644,1)=1),F644,"")</f>
        <v/>
      </c>
      <c r="AC644" s="30" t="str">
        <f aca="false">IF(AND(B644="brand",AA644=1,COUNTIFS(C$5:C644,C644,AA$5:AA644,1)=1),F644,"")</f>
        <v/>
      </c>
      <c r="AD644" s="30" t="str">
        <f aca="false">IF(AND(B644="brand",E644="budget_probe",ISNUMBER(F644),I644=Lists!$X$4),IF(COUNTIFS(C$5:C644,C644,E$5:E644,"budget_probe",I$5:I644,Lists!$X$4)=1,F644,""),"")</f>
        <v/>
      </c>
      <c r="AE644" s="30" t="n">
        <f aca="false">IF(AND(B644="brand",E644="paid",ISNUMBER(F644)),IF(AND(SUMIFS(F$5:F644,B$5:B644,"brand",C$5:C644,C644,E$5:E644,"paid")&gt;=Inputs!$C$44,SUMIFS(F$5:F644,B$5:B644,"brand",C$5:C644,C644,E$5:E644,"paid")-F644&lt;Inputs!$C$44),1,0),0)</f>
        <v>0</v>
      </c>
    </row>
    <row r="645" customFormat="false" ht="15" hidden="false" customHeight="false" outlineLevel="0" collapsed="false">
      <c r="A645" s="102"/>
      <c r="B645" s="103"/>
      <c r="C645" s="103"/>
      <c r="D645" s="103"/>
      <c r="E645" s="103"/>
      <c r="F645" s="103"/>
      <c r="G645" s="103"/>
      <c r="H645" s="103"/>
      <c r="I645" s="103"/>
      <c r="T645" s="30" t="str">
        <f aca="false">IF(C645="","",IF(COUNTIFS(C$5:C645,C645,E$5:E645,E645)=1,1,0))</f>
        <v/>
      </c>
      <c r="U645" s="30" t="n">
        <f aca="false">IF(C645="",0,IF(AND(B645="brand",E645="budget_probe",N(F645)&gt;=Inputs!$C$124,H645="Y"),1,0))</f>
        <v>0</v>
      </c>
      <c r="V645" s="30" t="n">
        <f aca="false">IF(U645=1,IF(COUNTIFS(C$5:C645,C645,U$5:U645,1)=1,1,0),0)</f>
        <v>0</v>
      </c>
      <c r="W645" s="30" t="n">
        <f aca="false">IF(C645="",0,IF(AND(B645="office",E645="budget_probe",N(F645)&gt;=Inputs!$C$139),1,0))</f>
        <v>0</v>
      </c>
      <c r="X645" s="30" t="n">
        <f aca="false">IF(W645=1,IF(COUNTIFS(C$5:C645,C645,W$5:W645,1)=1,1,0),0)</f>
        <v>0</v>
      </c>
      <c r="Y645" s="30" t="n">
        <f aca="false">IF(C645="",0,IF(AND(B645="brand",E645="renewal_answer",TRIM(G645)="yes",N(F645)&gt;=Inputs!$C$135),1,0))</f>
        <v>0</v>
      </c>
      <c r="Z645" s="30" t="n">
        <f aca="false">IF(Y645=1,IF(COUNTIFS(C$5:C645,C645,Y$5:Y645,1)=1,1,0),0)</f>
        <v>0</v>
      </c>
      <c r="AA645" s="30" t="n">
        <f aca="false">IF(AND(E645="budget_probe",ISNUMBER(F645),I645&lt;&gt;Lists!$X$4),1,0)</f>
        <v>0</v>
      </c>
      <c r="AB645" s="30" t="str">
        <f aca="false">IF(AND(B645="office",AA645=1,COUNTIFS(C$5:C645,C645,AA$5:AA645,1)=1),F645,"")</f>
        <v/>
      </c>
      <c r="AC645" s="30" t="str">
        <f aca="false">IF(AND(B645="brand",AA645=1,COUNTIFS(C$5:C645,C645,AA$5:AA645,1)=1),F645,"")</f>
        <v/>
      </c>
      <c r="AD645" s="30" t="str">
        <f aca="false">IF(AND(B645="brand",E645="budget_probe",ISNUMBER(F645),I645=Lists!$X$4),IF(COUNTIFS(C$5:C645,C645,E$5:E645,"budget_probe",I$5:I645,Lists!$X$4)=1,F645,""),"")</f>
        <v/>
      </c>
      <c r="AE645" s="30" t="n">
        <f aca="false">IF(AND(B645="brand",E645="paid",ISNUMBER(F645)),IF(AND(SUMIFS(F$5:F645,B$5:B645,"brand",C$5:C645,C645,E$5:E645,"paid")&gt;=Inputs!$C$44,SUMIFS(F$5:F645,B$5:B645,"brand",C$5:C645,C645,E$5:E645,"paid")-F645&lt;Inputs!$C$44),1,0),0)</f>
        <v>0</v>
      </c>
    </row>
    <row r="646" customFormat="false" ht="15" hidden="false" customHeight="false" outlineLevel="0" collapsed="false">
      <c r="A646" s="102"/>
      <c r="B646" s="103"/>
      <c r="C646" s="103"/>
      <c r="D646" s="103"/>
      <c r="E646" s="103"/>
      <c r="F646" s="103"/>
      <c r="G646" s="103"/>
      <c r="H646" s="103"/>
      <c r="I646" s="103"/>
      <c r="T646" s="30" t="str">
        <f aca="false">IF(C646="","",IF(COUNTIFS(C$5:C646,C646,E$5:E646,E646)=1,1,0))</f>
        <v/>
      </c>
      <c r="U646" s="30" t="n">
        <f aca="false">IF(C646="",0,IF(AND(B646="brand",E646="budget_probe",N(F646)&gt;=Inputs!$C$124,H646="Y"),1,0))</f>
        <v>0</v>
      </c>
      <c r="V646" s="30" t="n">
        <f aca="false">IF(U646=1,IF(COUNTIFS(C$5:C646,C646,U$5:U646,1)=1,1,0),0)</f>
        <v>0</v>
      </c>
      <c r="W646" s="30" t="n">
        <f aca="false">IF(C646="",0,IF(AND(B646="office",E646="budget_probe",N(F646)&gt;=Inputs!$C$139),1,0))</f>
        <v>0</v>
      </c>
      <c r="X646" s="30" t="n">
        <f aca="false">IF(W646=1,IF(COUNTIFS(C$5:C646,C646,W$5:W646,1)=1,1,0),0)</f>
        <v>0</v>
      </c>
      <c r="Y646" s="30" t="n">
        <f aca="false">IF(C646="",0,IF(AND(B646="brand",E646="renewal_answer",TRIM(G646)="yes",N(F646)&gt;=Inputs!$C$135),1,0))</f>
        <v>0</v>
      </c>
      <c r="Z646" s="30" t="n">
        <f aca="false">IF(Y646=1,IF(COUNTIFS(C$5:C646,C646,Y$5:Y646,1)=1,1,0),0)</f>
        <v>0</v>
      </c>
      <c r="AA646" s="30" t="n">
        <f aca="false">IF(AND(E646="budget_probe",ISNUMBER(F646),I646&lt;&gt;Lists!$X$4),1,0)</f>
        <v>0</v>
      </c>
      <c r="AB646" s="30" t="str">
        <f aca="false">IF(AND(B646="office",AA646=1,COUNTIFS(C$5:C646,C646,AA$5:AA646,1)=1),F646,"")</f>
        <v/>
      </c>
      <c r="AC646" s="30" t="str">
        <f aca="false">IF(AND(B646="brand",AA646=1,COUNTIFS(C$5:C646,C646,AA$5:AA646,1)=1),F646,"")</f>
        <v/>
      </c>
      <c r="AD646" s="30" t="str">
        <f aca="false">IF(AND(B646="brand",E646="budget_probe",ISNUMBER(F646),I646=Lists!$X$4),IF(COUNTIFS(C$5:C646,C646,E$5:E646,"budget_probe",I$5:I646,Lists!$X$4)=1,F646,""),"")</f>
        <v/>
      </c>
      <c r="AE646" s="30" t="n">
        <f aca="false">IF(AND(B646="brand",E646="paid",ISNUMBER(F646)),IF(AND(SUMIFS(F$5:F646,B$5:B646,"brand",C$5:C646,C646,E$5:E646,"paid")&gt;=Inputs!$C$44,SUMIFS(F$5:F646,B$5:B646,"brand",C$5:C646,C646,E$5:E646,"paid")-F646&lt;Inputs!$C$44),1,0),0)</f>
        <v>0</v>
      </c>
    </row>
    <row r="647" customFormat="false" ht="15" hidden="false" customHeight="false" outlineLevel="0" collapsed="false">
      <c r="A647" s="102"/>
      <c r="B647" s="103"/>
      <c r="C647" s="103"/>
      <c r="D647" s="103"/>
      <c r="E647" s="103"/>
      <c r="F647" s="103"/>
      <c r="G647" s="103"/>
      <c r="H647" s="103"/>
      <c r="I647" s="103"/>
      <c r="T647" s="30" t="str">
        <f aca="false">IF(C647="","",IF(COUNTIFS(C$5:C647,C647,E$5:E647,E647)=1,1,0))</f>
        <v/>
      </c>
      <c r="U647" s="30" t="n">
        <f aca="false">IF(C647="",0,IF(AND(B647="brand",E647="budget_probe",N(F647)&gt;=Inputs!$C$124,H647="Y"),1,0))</f>
        <v>0</v>
      </c>
      <c r="V647" s="30" t="n">
        <f aca="false">IF(U647=1,IF(COUNTIFS(C$5:C647,C647,U$5:U647,1)=1,1,0),0)</f>
        <v>0</v>
      </c>
      <c r="W647" s="30" t="n">
        <f aca="false">IF(C647="",0,IF(AND(B647="office",E647="budget_probe",N(F647)&gt;=Inputs!$C$139),1,0))</f>
        <v>0</v>
      </c>
      <c r="X647" s="30" t="n">
        <f aca="false">IF(W647=1,IF(COUNTIFS(C$5:C647,C647,W$5:W647,1)=1,1,0),0)</f>
        <v>0</v>
      </c>
      <c r="Y647" s="30" t="n">
        <f aca="false">IF(C647="",0,IF(AND(B647="brand",E647="renewal_answer",TRIM(G647)="yes",N(F647)&gt;=Inputs!$C$135),1,0))</f>
        <v>0</v>
      </c>
      <c r="Z647" s="30" t="n">
        <f aca="false">IF(Y647=1,IF(COUNTIFS(C$5:C647,C647,Y$5:Y647,1)=1,1,0),0)</f>
        <v>0</v>
      </c>
      <c r="AA647" s="30" t="n">
        <f aca="false">IF(AND(E647="budget_probe",ISNUMBER(F647),I647&lt;&gt;Lists!$X$4),1,0)</f>
        <v>0</v>
      </c>
      <c r="AB647" s="30" t="str">
        <f aca="false">IF(AND(B647="office",AA647=1,COUNTIFS(C$5:C647,C647,AA$5:AA647,1)=1),F647,"")</f>
        <v/>
      </c>
      <c r="AC647" s="30" t="str">
        <f aca="false">IF(AND(B647="brand",AA647=1,COUNTIFS(C$5:C647,C647,AA$5:AA647,1)=1),F647,"")</f>
        <v/>
      </c>
      <c r="AD647" s="30" t="str">
        <f aca="false">IF(AND(B647="brand",E647="budget_probe",ISNUMBER(F647),I647=Lists!$X$4),IF(COUNTIFS(C$5:C647,C647,E$5:E647,"budget_probe",I$5:I647,Lists!$X$4)=1,F647,""),"")</f>
        <v/>
      </c>
      <c r="AE647" s="30" t="n">
        <f aca="false">IF(AND(B647="brand",E647="paid",ISNUMBER(F647)),IF(AND(SUMIFS(F$5:F647,B$5:B647,"brand",C$5:C647,C647,E$5:E647,"paid")&gt;=Inputs!$C$44,SUMIFS(F$5:F647,B$5:B647,"brand",C$5:C647,C647,E$5:E647,"paid")-F647&lt;Inputs!$C$44),1,0),0)</f>
        <v>0</v>
      </c>
    </row>
    <row r="648" customFormat="false" ht="15" hidden="false" customHeight="false" outlineLevel="0" collapsed="false">
      <c r="A648" s="102"/>
      <c r="B648" s="103"/>
      <c r="C648" s="103"/>
      <c r="D648" s="103"/>
      <c r="E648" s="103"/>
      <c r="F648" s="103"/>
      <c r="G648" s="103"/>
      <c r="H648" s="103"/>
      <c r="I648" s="103"/>
      <c r="T648" s="30" t="str">
        <f aca="false">IF(C648="","",IF(COUNTIFS(C$5:C648,C648,E$5:E648,E648)=1,1,0))</f>
        <v/>
      </c>
      <c r="U648" s="30" t="n">
        <f aca="false">IF(C648="",0,IF(AND(B648="brand",E648="budget_probe",N(F648)&gt;=Inputs!$C$124,H648="Y"),1,0))</f>
        <v>0</v>
      </c>
      <c r="V648" s="30" t="n">
        <f aca="false">IF(U648=1,IF(COUNTIFS(C$5:C648,C648,U$5:U648,1)=1,1,0),0)</f>
        <v>0</v>
      </c>
      <c r="W648" s="30" t="n">
        <f aca="false">IF(C648="",0,IF(AND(B648="office",E648="budget_probe",N(F648)&gt;=Inputs!$C$139),1,0))</f>
        <v>0</v>
      </c>
      <c r="X648" s="30" t="n">
        <f aca="false">IF(W648=1,IF(COUNTIFS(C$5:C648,C648,W$5:W648,1)=1,1,0),0)</f>
        <v>0</v>
      </c>
      <c r="Y648" s="30" t="n">
        <f aca="false">IF(C648="",0,IF(AND(B648="brand",E648="renewal_answer",TRIM(G648)="yes",N(F648)&gt;=Inputs!$C$135),1,0))</f>
        <v>0</v>
      </c>
      <c r="Z648" s="30" t="n">
        <f aca="false">IF(Y648=1,IF(COUNTIFS(C$5:C648,C648,Y$5:Y648,1)=1,1,0),0)</f>
        <v>0</v>
      </c>
      <c r="AA648" s="30" t="n">
        <f aca="false">IF(AND(E648="budget_probe",ISNUMBER(F648),I648&lt;&gt;Lists!$X$4),1,0)</f>
        <v>0</v>
      </c>
      <c r="AB648" s="30" t="str">
        <f aca="false">IF(AND(B648="office",AA648=1,COUNTIFS(C$5:C648,C648,AA$5:AA648,1)=1),F648,"")</f>
        <v/>
      </c>
      <c r="AC648" s="30" t="str">
        <f aca="false">IF(AND(B648="brand",AA648=1,COUNTIFS(C$5:C648,C648,AA$5:AA648,1)=1),F648,"")</f>
        <v/>
      </c>
      <c r="AD648" s="30" t="str">
        <f aca="false">IF(AND(B648="brand",E648="budget_probe",ISNUMBER(F648),I648=Lists!$X$4),IF(COUNTIFS(C$5:C648,C648,E$5:E648,"budget_probe",I$5:I648,Lists!$X$4)=1,F648,""),"")</f>
        <v/>
      </c>
      <c r="AE648" s="30" t="n">
        <f aca="false">IF(AND(B648="brand",E648="paid",ISNUMBER(F648)),IF(AND(SUMIFS(F$5:F648,B$5:B648,"brand",C$5:C648,C648,E$5:E648,"paid")&gt;=Inputs!$C$44,SUMIFS(F$5:F648,B$5:B648,"brand",C$5:C648,C648,E$5:E648,"paid")-F648&lt;Inputs!$C$44),1,0),0)</f>
        <v>0</v>
      </c>
    </row>
    <row r="649" customFormat="false" ht="15" hidden="false" customHeight="false" outlineLevel="0" collapsed="false">
      <c r="A649" s="102"/>
      <c r="B649" s="103"/>
      <c r="C649" s="103"/>
      <c r="D649" s="103"/>
      <c r="E649" s="103"/>
      <c r="F649" s="103"/>
      <c r="G649" s="103"/>
      <c r="H649" s="103"/>
      <c r="I649" s="103"/>
      <c r="T649" s="30" t="str">
        <f aca="false">IF(C649="","",IF(COUNTIFS(C$5:C649,C649,E$5:E649,E649)=1,1,0))</f>
        <v/>
      </c>
      <c r="U649" s="30" t="n">
        <f aca="false">IF(C649="",0,IF(AND(B649="brand",E649="budget_probe",N(F649)&gt;=Inputs!$C$124,H649="Y"),1,0))</f>
        <v>0</v>
      </c>
      <c r="V649" s="30" t="n">
        <f aca="false">IF(U649=1,IF(COUNTIFS(C$5:C649,C649,U$5:U649,1)=1,1,0),0)</f>
        <v>0</v>
      </c>
      <c r="W649" s="30" t="n">
        <f aca="false">IF(C649="",0,IF(AND(B649="office",E649="budget_probe",N(F649)&gt;=Inputs!$C$139),1,0))</f>
        <v>0</v>
      </c>
      <c r="X649" s="30" t="n">
        <f aca="false">IF(W649=1,IF(COUNTIFS(C$5:C649,C649,W$5:W649,1)=1,1,0),0)</f>
        <v>0</v>
      </c>
      <c r="Y649" s="30" t="n">
        <f aca="false">IF(C649="",0,IF(AND(B649="brand",E649="renewal_answer",TRIM(G649)="yes",N(F649)&gt;=Inputs!$C$135),1,0))</f>
        <v>0</v>
      </c>
      <c r="Z649" s="30" t="n">
        <f aca="false">IF(Y649=1,IF(COUNTIFS(C$5:C649,C649,Y$5:Y649,1)=1,1,0),0)</f>
        <v>0</v>
      </c>
      <c r="AA649" s="30" t="n">
        <f aca="false">IF(AND(E649="budget_probe",ISNUMBER(F649),I649&lt;&gt;Lists!$X$4),1,0)</f>
        <v>0</v>
      </c>
      <c r="AB649" s="30" t="str">
        <f aca="false">IF(AND(B649="office",AA649=1,COUNTIFS(C$5:C649,C649,AA$5:AA649,1)=1),F649,"")</f>
        <v/>
      </c>
      <c r="AC649" s="30" t="str">
        <f aca="false">IF(AND(B649="brand",AA649=1,COUNTIFS(C$5:C649,C649,AA$5:AA649,1)=1),F649,"")</f>
        <v/>
      </c>
      <c r="AD649" s="30" t="str">
        <f aca="false">IF(AND(B649="brand",E649="budget_probe",ISNUMBER(F649),I649=Lists!$X$4),IF(COUNTIFS(C$5:C649,C649,E$5:E649,"budget_probe",I$5:I649,Lists!$X$4)=1,F649,""),"")</f>
        <v/>
      </c>
      <c r="AE649" s="30" t="n">
        <f aca="false">IF(AND(B649="brand",E649="paid",ISNUMBER(F649)),IF(AND(SUMIFS(F$5:F649,B$5:B649,"brand",C$5:C649,C649,E$5:E649,"paid")&gt;=Inputs!$C$44,SUMIFS(F$5:F649,B$5:B649,"brand",C$5:C649,C649,E$5:E649,"paid")-F649&lt;Inputs!$C$44),1,0),0)</f>
        <v>0</v>
      </c>
    </row>
    <row r="650" customFormat="false" ht="15" hidden="false" customHeight="false" outlineLevel="0" collapsed="false">
      <c r="A650" s="102"/>
      <c r="B650" s="103"/>
      <c r="C650" s="103"/>
      <c r="D650" s="103"/>
      <c r="E650" s="103"/>
      <c r="F650" s="103"/>
      <c r="G650" s="103"/>
      <c r="H650" s="103"/>
      <c r="I650" s="103"/>
      <c r="T650" s="30" t="str">
        <f aca="false">IF(C650="","",IF(COUNTIFS(C$5:C650,C650,E$5:E650,E650)=1,1,0))</f>
        <v/>
      </c>
      <c r="U650" s="30" t="n">
        <f aca="false">IF(C650="",0,IF(AND(B650="brand",E650="budget_probe",N(F650)&gt;=Inputs!$C$124,H650="Y"),1,0))</f>
        <v>0</v>
      </c>
      <c r="V650" s="30" t="n">
        <f aca="false">IF(U650=1,IF(COUNTIFS(C$5:C650,C650,U$5:U650,1)=1,1,0),0)</f>
        <v>0</v>
      </c>
      <c r="W650" s="30" t="n">
        <f aca="false">IF(C650="",0,IF(AND(B650="office",E650="budget_probe",N(F650)&gt;=Inputs!$C$139),1,0))</f>
        <v>0</v>
      </c>
      <c r="X650" s="30" t="n">
        <f aca="false">IF(W650=1,IF(COUNTIFS(C$5:C650,C650,W$5:W650,1)=1,1,0),0)</f>
        <v>0</v>
      </c>
      <c r="Y650" s="30" t="n">
        <f aca="false">IF(C650="",0,IF(AND(B650="brand",E650="renewal_answer",TRIM(G650)="yes",N(F650)&gt;=Inputs!$C$135),1,0))</f>
        <v>0</v>
      </c>
      <c r="Z650" s="30" t="n">
        <f aca="false">IF(Y650=1,IF(COUNTIFS(C$5:C650,C650,Y$5:Y650,1)=1,1,0),0)</f>
        <v>0</v>
      </c>
      <c r="AA650" s="30" t="n">
        <f aca="false">IF(AND(E650="budget_probe",ISNUMBER(F650),I650&lt;&gt;Lists!$X$4),1,0)</f>
        <v>0</v>
      </c>
      <c r="AB650" s="30" t="str">
        <f aca="false">IF(AND(B650="office",AA650=1,COUNTIFS(C$5:C650,C650,AA$5:AA650,1)=1),F650,"")</f>
        <v/>
      </c>
      <c r="AC650" s="30" t="str">
        <f aca="false">IF(AND(B650="brand",AA650=1,COUNTIFS(C$5:C650,C650,AA$5:AA650,1)=1),F650,"")</f>
        <v/>
      </c>
      <c r="AD650" s="30" t="str">
        <f aca="false">IF(AND(B650="brand",E650="budget_probe",ISNUMBER(F650),I650=Lists!$X$4),IF(COUNTIFS(C$5:C650,C650,E$5:E650,"budget_probe",I$5:I650,Lists!$X$4)=1,F650,""),"")</f>
        <v/>
      </c>
      <c r="AE650" s="30" t="n">
        <f aca="false">IF(AND(B650="brand",E650="paid",ISNUMBER(F650)),IF(AND(SUMIFS(F$5:F650,B$5:B650,"brand",C$5:C650,C650,E$5:E650,"paid")&gt;=Inputs!$C$44,SUMIFS(F$5:F650,B$5:B650,"brand",C$5:C650,C650,E$5:E650,"paid")-F650&lt;Inputs!$C$44),1,0),0)</f>
        <v>0</v>
      </c>
    </row>
    <row r="651" customFormat="false" ht="15" hidden="false" customHeight="false" outlineLevel="0" collapsed="false">
      <c r="A651" s="102"/>
      <c r="B651" s="103"/>
      <c r="C651" s="103"/>
      <c r="D651" s="103"/>
      <c r="E651" s="103"/>
      <c r="F651" s="103"/>
      <c r="G651" s="103"/>
      <c r="H651" s="103"/>
      <c r="I651" s="103"/>
      <c r="T651" s="30" t="str">
        <f aca="false">IF(C651="","",IF(COUNTIFS(C$5:C651,C651,E$5:E651,E651)=1,1,0))</f>
        <v/>
      </c>
      <c r="U651" s="30" t="n">
        <f aca="false">IF(C651="",0,IF(AND(B651="brand",E651="budget_probe",N(F651)&gt;=Inputs!$C$124,H651="Y"),1,0))</f>
        <v>0</v>
      </c>
      <c r="V651" s="30" t="n">
        <f aca="false">IF(U651=1,IF(COUNTIFS(C$5:C651,C651,U$5:U651,1)=1,1,0),0)</f>
        <v>0</v>
      </c>
      <c r="W651" s="30" t="n">
        <f aca="false">IF(C651="",0,IF(AND(B651="office",E651="budget_probe",N(F651)&gt;=Inputs!$C$139),1,0))</f>
        <v>0</v>
      </c>
      <c r="X651" s="30" t="n">
        <f aca="false">IF(W651=1,IF(COUNTIFS(C$5:C651,C651,W$5:W651,1)=1,1,0),0)</f>
        <v>0</v>
      </c>
      <c r="Y651" s="30" t="n">
        <f aca="false">IF(C651="",0,IF(AND(B651="brand",E651="renewal_answer",TRIM(G651)="yes",N(F651)&gt;=Inputs!$C$135),1,0))</f>
        <v>0</v>
      </c>
      <c r="Z651" s="30" t="n">
        <f aca="false">IF(Y651=1,IF(COUNTIFS(C$5:C651,C651,Y$5:Y651,1)=1,1,0),0)</f>
        <v>0</v>
      </c>
      <c r="AA651" s="30" t="n">
        <f aca="false">IF(AND(E651="budget_probe",ISNUMBER(F651),I651&lt;&gt;Lists!$X$4),1,0)</f>
        <v>0</v>
      </c>
      <c r="AB651" s="30" t="str">
        <f aca="false">IF(AND(B651="office",AA651=1,COUNTIFS(C$5:C651,C651,AA$5:AA651,1)=1),F651,"")</f>
        <v/>
      </c>
      <c r="AC651" s="30" t="str">
        <f aca="false">IF(AND(B651="brand",AA651=1,COUNTIFS(C$5:C651,C651,AA$5:AA651,1)=1),F651,"")</f>
        <v/>
      </c>
      <c r="AD651" s="30" t="str">
        <f aca="false">IF(AND(B651="brand",E651="budget_probe",ISNUMBER(F651),I651=Lists!$X$4),IF(COUNTIFS(C$5:C651,C651,E$5:E651,"budget_probe",I$5:I651,Lists!$X$4)=1,F651,""),"")</f>
        <v/>
      </c>
      <c r="AE651" s="30" t="n">
        <f aca="false">IF(AND(B651="brand",E651="paid",ISNUMBER(F651)),IF(AND(SUMIFS(F$5:F651,B$5:B651,"brand",C$5:C651,C651,E$5:E651,"paid")&gt;=Inputs!$C$44,SUMIFS(F$5:F651,B$5:B651,"brand",C$5:C651,C651,E$5:E651,"paid")-F651&lt;Inputs!$C$44),1,0),0)</f>
        <v>0</v>
      </c>
    </row>
    <row r="652" customFormat="false" ht="15" hidden="false" customHeight="false" outlineLevel="0" collapsed="false">
      <c r="A652" s="102"/>
      <c r="B652" s="103"/>
      <c r="C652" s="103"/>
      <c r="D652" s="103"/>
      <c r="E652" s="103"/>
      <c r="F652" s="103"/>
      <c r="G652" s="103"/>
      <c r="H652" s="103"/>
      <c r="I652" s="103"/>
      <c r="T652" s="30" t="str">
        <f aca="false">IF(C652="","",IF(COUNTIFS(C$5:C652,C652,E$5:E652,E652)=1,1,0))</f>
        <v/>
      </c>
      <c r="U652" s="30" t="n">
        <f aca="false">IF(C652="",0,IF(AND(B652="brand",E652="budget_probe",N(F652)&gt;=Inputs!$C$124,H652="Y"),1,0))</f>
        <v>0</v>
      </c>
      <c r="V652" s="30" t="n">
        <f aca="false">IF(U652=1,IF(COUNTIFS(C$5:C652,C652,U$5:U652,1)=1,1,0),0)</f>
        <v>0</v>
      </c>
      <c r="W652" s="30" t="n">
        <f aca="false">IF(C652="",0,IF(AND(B652="office",E652="budget_probe",N(F652)&gt;=Inputs!$C$139),1,0))</f>
        <v>0</v>
      </c>
      <c r="X652" s="30" t="n">
        <f aca="false">IF(W652=1,IF(COUNTIFS(C$5:C652,C652,W$5:W652,1)=1,1,0),0)</f>
        <v>0</v>
      </c>
      <c r="Y652" s="30" t="n">
        <f aca="false">IF(C652="",0,IF(AND(B652="brand",E652="renewal_answer",TRIM(G652)="yes",N(F652)&gt;=Inputs!$C$135),1,0))</f>
        <v>0</v>
      </c>
      <c r="Z652" s="30" t="n">
        <f aca="false">IF(Y652=1,IF(COUNTIFS(C$5:C652,C652,Y$5:Y652,1)=1,1,0),0)</f>
        <v>0</v>
      </c>
      <c r="AA652" s="30" t="n">
        <f aca="false">IF(AND(E652="budget_probe",ISNUMBER(F652),I652&lt;&gt;Lists!$X$4),1,0)</f>
        <v>0</v>
      </c>
      <c r="AB652" s="30" t="str">
        <f aca="false">IF(AND(B652="office",AA652=1,COUNTIFS(C$5:C652,C652,AA$5:AA652,1)=1),F652,"")</f>
        <v/>
      </c>
      <c r="AC652" s="30" t="str">
        <f aca="false">IF(AND(B652="brand",AA652=1,COUNTIFS(C$5:C652,C652,AA$5:AA652,1)=1),F652,"")</f>
        <v/>
      </c>
      <c r="AD652" s="30" t="str">
        <f aca="false">IF(AND(B652="brand",E652="budget_probe",ISNUMBER(F652),I652=Lists!$X$4),IF(COUNTIFS(C$5:C652,C652,E$5:E652,"budget_probe",I$5:I652,Lists!$X$4)=1,F652,""),"")</f>
        <v/>
      </c>
      <c r="AE652" s="30" t="n">
        <f aca="false">IF(AND(B652="brand",E652="paid",ISNUMBER(F652)),IF(AND(SUMIFS(F$5:F652,B$5:B652,"brand",C$5:C652,C652,E$5:E652,"paid")&gt;=Inputs!$C$44,SUMIFS(F$5:F652,B$5:B652,"brand",C$5:C652,C652,E$5:E652,"paid")-F652&lt;Inputs!$C$44),1,0),0)</f>
        <v>0</v>
      </c>
    </row>
    <row r="653" customFormat="false" ht="15" hidden="false" customHeight="false" outlineLevel="0" collapsed="false">
      <c r="A653" s="102"/>
      <c r="B653" s="103"/>
      <c r="C653" s="103"/>
      <c r="D653" s="103"/>
      <c r="E653" s="103"/>
      <c r="F653" s="103"/>
      <c r="G653" s="103"/>
      <c r="H653" s="103"/>
      <c r="I653" s="103"/>
      <c r="T653" s="30" t="str">
        <f aca="false">IF(C653="","",IF(COUNTIFS(C$5:C653,C653,E$5:E653,E653)=1,1,0))</f>
        <v/>
      </c>
      <c r="U653" s="30" t="n">
        <f aca="false">IF(C653="",0,IF(AND(B653="brand",E653="budget_probe",N(F653)&gt;=Inputs!$C$124,H653="Y"),1,0))</f>
        <v>0</v>
      </c>
      <c r="V653" s="30" t="n">
        <f aca="false">IF(U653=1,IF(COUNTIFS(C$5:C653,C653,U$5:U653,1)=1,1,0),0)</f>
        <v>0</v>
      </c>
      <c r="W653" s="30" t="n">
        <f aca="false">IF(C653="",0,IF(AND(B653="office",E653="budget_probe",N(F653)&gt;=Inputs!$C$139),1,0))</f>
        <v>0</v>
      </c>
      <c r="X653" s="30" t="n">
        <f aca="false">IF(W653=1,IF(COUNTIFS(C$5:C653,C653,W$5:W653,1)=1,1,0),0)</f>
        <v>0</v>
      </c>
      <c r="Y653" s="30" t="n">
        <f aca="false">IF(C653="",0,IF(AND(B653="brand",E653="renewal_answer",TRIM(G653)="yes",N(F653)&gt;=Inputs!$C$135),1,0))</f>
        <v>0</v>
      </c>
      <c r="Z653" s="30" t="n">
        <f aca="false">IF(Y653=1,IF(COUNTIFS(C$5:C653,C653,Y$5:Y653,1)=1,1,0),0)</f>
        <v>0</v>
      </c>
      <c r="AA653" s="30" t="n">
        <f aca="false">IF(AND(E653="budget_probe",ISNUMBER(F653),I653&lt;&gt;Lists!$X$4),1,0)</f>
        <v>0</v>
      </c>
      <c r="AB653" s="30" t="str">
        <f aca="false">IF(AND(B653="office",AA653=1,COUNTIFS(C$5:C653,C653,AA$5:AA653,1)=1),F653,"")</f>
        <v/>
      </c>
      <c r="AC653" s="30" t="str">
        <f aca="false">IF(AND(B653="brand",AA653=1,COUNTIFS(C$5:C653,C653,AA$5:AA653,1)=1),F653,"")</f>
        <v/>
      </c>
      <c r="AD653" s="30" t="str">
        <f aca="false">IF(AND(B653="brand",E653="budget_probe",ISNUMBER(F653),I653=Lists!$X$4),IF(COUNTIFS(C$5:C653,C653,E$5:E653,"budget_probe",I$5:I653,Lists!$X$4)=1,F653,""),"")</f>
        <v/>
      </c>
      <c r="AE653" s="30" t="n">
        <f aca="false">IF(AND(B653="brand",E653="paid",ISNUMBER(F653)),IF(AND(SUMIFS(F$5:F653,B$5:B653,"brand",C$5:C653,C653,E$5:E653,"paid")&gt;=Inputs!$C$44,SUMIFS(F$5:F653,B$5:B653,"brand",C$5:C653,C653,E$5:E653,"paid")-F653&lt;Inputs!$C$44),1,0),0)</f>
        <v>0</v>
      </c>
    </row>
    <row r="654" customFormat="false" ht="15" hidden="false" customHeight="false" outlineLevel="0" collapsed="false">
      <c r="A654" s="102"/>
      <c r="B654" s="103"/>
      <c r="C654" s="103"/>
      <c r="D654" s="103"/>
      <c r="E654" s="103"/>
      <c r="F654" s="103"/>
      <c r="G654" s="103"/>
      <c r="H654" s="103"/>
      <c r="I654" s="103"/>
      <c r="T654" s="30" t="str">
        <f aca="false">IF(C654="","",IF(COUNTIFS(C$5:C654,C654,E$5:E654,E654)=1,1,0))</f>
        <v/>
      </c>
      <c r="U654" s="30" t="n">
        <f aca="false">IF(C654="",0,IF(AND(B654="brand",E654="budget_probe",N(F654)&gt;=Inputs!$C$124,H654="Y"),1,0))</f>
        <v>0</v>
      </c>
      <c r="V654" s="30" t="n">
        <f aca="false">IF(U654=1,IF(COUNTIFS(C$5:C654,C654,U$5:U654,1)=1,1,0),0)</f>
        <v>0</v>
      </c>
      <c r="W654" s="30" t="n">
        <f aca="false">IF(C654="",0,IF(AND(B654="office",E654="budget_probe",N(F654)&gt;=Inputs!$C$139),1,0))</f>
        <v>0</v>
      </c>
      <c r="X654" s="30" t="n">
        <f aca="false">IF(W654=1,IF(COUNTIFS(C$5:C654,C654,W$5:W654,1)=1,1,0),0)</f>
        <v>0</v>
      </c>
      <c r="Y654" s="30" t="n">
        <f aca="false">IF(C654="",0,IF(AND(B654="brand",E654="renewal_answer",TRIM(G654)="yes",N(F654)&gt;=Inputs!$C$135),1,0))</f>
        <v>0</v>
      </c>
      <c r="Z654" s="30" t="n">
        <f aca="false">IF(Y654=1,IF(COUNTIFS(C$5:C654,C654,Y$5:Y654,1)=1,1,0),0)</f>
        <v>0</v>
      </c>
      <c r="AA654" s="30" t="n">
        <f aca="false">IF(AND(E654="budget_probe",ISNUMBER(F654),I654&lt;&gt;Lists!$X$4),1,0)</f>
        <v>0</v>
      </c>
      <c r="AB654" s="30" t="str">
        <f aca="false">IF(AND(B654="office",AA654=1,COUNTIFS(C$5:C654,C654,AA$5:AA654,1)=1),F654,"")</f>
        <v/>
      </c>
      <c r="AC654" s="30" t="str">
        <f aca="false">IF(AND(B654="brand",AA654=1,COUNTIFS(C$5:C654,C654,AA$5:AA654,1)=1),F654,"")</f>
        <v/>
      </c>
      <c r="AD654" s="30" t="str">
        <f aca="false">IF(AND(B654="brand",E654="budget_probe",ISNUMBER(F654),I654=Lists!$X$4),IF(COUNTIFS(C$5:C654,C654,E$5:E654,"budget_probe",I$5:I654,Lists!$X$4)=1,F654,""),"")</f>
        <v/>
      </c>
      <c r="AE654" s="30" t="n">
        <f aca="false">IF(AND(B654="brand",E654="paid",ISNUMBER(F654)),IF(AND(SUMIFS(F$5:F654,B$5:B654,"brand",C$5:C654,C654,E$5:E654,"paid")&gt;=Inputs!$C$44,SUMIFS(F$5:F654,B$5:B654,"brand",C$5:C654,C654,E$5:E654,"paid")-F654&lt;Inputs!$C$44),1,0),0)</f>
        <v>0</v>
      </c>
    </row>
    <row r="655" customFormat="false" ht="15" hidden="false" customHeight="false" outlineLevel="0" collapsed="false">
      <c r="A655" s="102"/>
      <c r="B655" s="103"/>
      <c r="C655" s="103"/>
      <c r="D655" s="103"/>
      <c r="E655" s="103"/>
      <c r="F655" s="103"/>
      <c r="G655" s="103"/>
      <c r="H655" s="103"/>
      <c r="I655" s="103"/>
      <c r="T655" s="30" t="str">
        <f aca="false">IF(C655="","",IF(COUNTIFS(C$5:C655,C655,E$5:E655,E655)=1,1,0))</f>
        <v/>
      </c>
      <c r="U655" s="30" t="n">
        <f aca="false">IF(C655="",0,IF(AND(B655="brand",E655="budget_probe",N(F655)&gt;=Inputs!$C$124,H655="Y"),1,0))</f>
        <v>0</v>
      </c>
      <c r="V655" s="30" t="n">
        <f aca="false">IF(U655=1,IF(COUNTIFS(C$5:C655,C655,U$5:U655,1)=1,1,0),0)</f>
        <v>0</v>
      </c>
      <c r="W655" s="30" t="n">
        <f aca="false">IF(C655="",0,IF(AND(B655="office",E655="budget_probe",N(F655)&gt;=Inputs!$C$139),1,0))</f>
        <v>0</v>
      </c>
      <c r="X655" s="30" t="n">
        <f aca="false">IF(W655=1,IF(COUNTIFS(C$5:C655,C655,W$5:W655,1)=1,1,0),0)</f>
        <v>0</v>
      </c>
      <c r="Y655" s="30" t="n">
        <f aca="false">IF(C655="",0,IF(AND(B655="brand",E655="renewal_answer",TRIM(G655)="yes",N(F655)&gt;=Inputs!$C$135),1,0))</f>
        <v>0</v>
      </c>
      <c r="Z655" s="30" t="n">
        <f aca="false">IF(Y655=1,IF(COUNTIFS(C$5:C655,C655,Y$5:Y655,1)=1,1,0),0)</f>
        <v>0</v>
      </c>
      <c r="AA655" s="30" t="n">
        <f aca="false">IF(AND(E655="budget_probe",ISNUMBER(F655),I655&lt;&gt;Lists!$X$4),1,0)</f>
        <v>0</v>
      </c>
      <c r="AB655" s="30" t="str">
        <f aca="false">IF(AND(B655="office",AA655=1,COUNTIFS(C$5:C655,C655,AA$5:AA655,1)=1),F655,"")</f>
        <v/>
      </c>
      <c r="AC655" s="30" t="str">
        <f aca="false">IF(AND(B655="brand",AA655=1,COUNTIFS(C$5:C655,C655,AA$5:AA655,1)=1),F655,"")</f>
        <v/>
      </c>
      <c r="AD655" s="30" t="str">
        <f aca="false">IF(AND(B655="brand",E655="budget_probe",ISNUMBER(F655),I655=Lists!$X$4),IF(COUNTIFS(C$5:C655,C655,E$5:E655,"budget_probe",I$5:I655,Lists!$X$4)=1,F655,""),"")</f>
        <v/>
      </c>
      <c r="AE655" s="30" t="n">
        <f aca="false">IF(AND(B655="brand",E655="paid",ISNUMBER(F655)),IF(AND(SUMIFS(F$5:F655,B$5:B655,"brand",C$5:C655,C655,E$5:E655,"paid")&gt;=Inputs!$C$44,SUMIFS(F$5:F655,B$5:B655,"brand",C$5:C655,C655,E$5:E655,"paid")-F655&lt;Inputs!$C$44),1,0),0)</f>
        <v>0</v>
      </c>
    </row>
    <row r="656" customFormat="false" ht="15" hidden="false" customHeight="false" outlineLevel="0" collapsed="false">
      <c r="A656" s="102"/>
      <c r="B656" s="103"/>
      <c r="C656" s="103"/>
      <c r="D656" s="103"/>
      <c r="E656" s="103"/>
      <c r="F656" s="103"/>
      <c r="G656" s="103"/>
      <c r="H656" s="103"/>
      <c r="I656" s="103"/>
      <c r="T656" s="30" t="str">
        <f aca="false">IF(C656="","",IF(COUNTIFS(C$5:C656,C656,E$5:E656,E656)=1,1,0))</f>
        <v/>
      </c>
      <c r="U656" s="30" t="n">
        <f aca="false">IF(C656="",0,IF(AND(B656="brand",E656="budget_probe",N(F656)&gt;=Inputs!$C$124,H656="Y"),1,0))</f>
        <v>0</v>
      </c>
      <c r="V656" s="30" t="n">
        <f aca="false">IF(U656=1,IF(COUNTIFS(C$5:C656,C656,U$5:U656,1)=1,1,0),0)</f>
        <v>0</v>
      </c>
      <c r="W656" s="30" t="n">
        <f aca="false">IF(C656="",0,IF(AND(B656="office",E656="budget_probe",N(F656)&gt;=Inputs!$C$139),1,0))</f>
        <v>0</v>
      </c>
      <c r="X656" s="30" t="n">
        <f aca="false">IF(W656=1,IF(COUNTIFS(C$5:C656,C656,W$5:W656,1)=1,1,0),0)</f>
        <v>0</v>
      </c>
      <c r="Y656" s="30" t="n">
        <f aca="false">IF(C656="",0,IF(AND(B656="brand",E656="renewal_answer",TRIM(G656)="yes",N(F656)&gt;=Inputs!$C$135),1,0))</f>
        <v>0</v>
      </c>
      <c r="Z656" s="30" t="n">
        <f aca="false">IF(Y656=1,IF(COUNTIFS(C$5:C656,C656,Y$5:Y656,1)=1,1,0),0)</f>
        <v>0</v>
      </c>
      <c r="AA656" s="30" t="n">
        <f aca="false">IF(AND(E656="budget_probe",ISNUMBER(F656),I656&lt;&gt;Lists!$X$4),1,0)</f>
        <v>0</v>
      </c>
      <c r="AB656" s="30" t="str">
        <f aca="false">IF(AND(B656="office",AA656=1,COUNTIFS(C$5:C656,C656,AA$5:AA656,1)=1),F656,"")</f>
        <v/>
      </c>
      <c r="AC656" s="30" t="str">
        <f aca="false">IF(AND(B656="brand",AA656=1,COUNTIFS(C$5:C656,C656,AA$5:AA656,1)=1),F656,"")</f>
        <v/>
      </c>
      <c r="AD656" s="30" t="str">
        <f aca="false">IF(AND(B656="brand",E656="budget_probe",ISNUMBER(F656),I656=Lists!$X$4),IF(COUNTIFS(C$5:C656,C656,E$5:E656,"budget_probe",I$5:I656,Lists!$X$4)=1,F656,""),"")</f>
        <v/>
      </c>
      <c r="AE656" s="30" t="n">
        <f aca="false">IF(AND(B656="brand",E656="paid",ISNUMBER(F656)),IF(AND(SUMIFS(F$5:F656,B$5:B656,"brand",C$5:C656,C656,E$5:E656,"paid")&gt;=Inputs!$C$44,SUMIFS(F$5:F656,B$5:B656,"brand",C$5:C656,C656,E$5:E656,"paid")-F656&lt;Inputs!$C$44),1,0),0)</f>
        <v>0</v>
      </c>
    </row>
    <row r="657" customFormat="false" ht="15" hidden="false" customHeight="false" outlineLevel="0" collapsed="false">
      <c r="A657" s="102"/>
      <c r="B657" s="103"/>
      <c r="C657" s="103"/>
      <c r="D657" s="103"/>
      <c r="E657" s="103"/>
      <c r="F657" s="103"/>
      <c r="G657" s="103"/>
      <c r="H657" s="103"/>
      <c r="I657" s="103"/>
      <c r="T657" s="30" t="str">
        <f aca="false">IF(C657="","",IF(COUNTIFS(C$5:C657,C657,E$5:E657,E657)=1,1,0))</f>
        <v/>
      </c>
      <c r="U657" s="30" t="n">
        <f aca="false">IF(C657="",0,IF(AND(B657="brand",E657="budget_probe",N(F657)&gt;=Inputs!$C$124,H657="Y"),1,0))</f>
        <v>0</v>
      </c>
      <c r="V657" s="30" t="n">
        <f aca="false">IF(U657=1,IF(COUNTIFS(C$5:C657,C657,U$5:U657,1)=1,1,0),0)</f>
        <v>0</v>
      </c>
      <c r="W657" s="30" t="n">
        <f aca="false">IF(C657="",0,IF(AND(B657="office",E657="budget_probe",N(F657)&gt;=Inputs!$C$139),1,0))</f>
        <v>0</v>
      </c>
      <c r="X657" s="30" t="n">
        <f aca="false">IF(W657=1,IF(COUNTIFS(C$5:C657,C657,W$5:W657,1)=1,1,0),0)</f>
        <v>0</v>
      </c>
      <c r="Y657" s="30" t="n">
        <f aca="false">IF(C657="",0,IF(AND(B657="brand",E657="renewal_answer",TRIM(G657)="yes",N(F657)&gt;=Inputs!$C$135),1,0))</f>
        <v>0</v>
      </c>
      <c r="Z657" s="30" t="n">
        <f aca="false">IF(Y657=1,IF(COUNTIFS(C$5:C657,C657,Y$5:Y657,1)=1,1,0),0)</f>
        <v>0</v>
      </c>
      <c r="AA657" s="30" t="n">
        <f aca="false">IF(AND(E657="budget_probe",ISNUMBER(F657),I657&lt;&gt;Lists!$X$4),1,0)</f>
        <v>0</v>
      </c>
      <c r="AB657" s="30" t="str">
        <f aca="false">IF(AND(B657="office",AA657=1,COUNTIFS(C$5:C657,C657,AA$5:AA657,1)=1),F657,"")</f>
        <v/>
      </c>
      <c r="AC657" s="30" t="str">
        <f aca="false">IF(AND(B657="brand",AA657=1,COUNTIFS(C$5:C657,C657,AA$5:AA657,1)=1),F657,"")</f>
        <v/>
      </c>
      <c r="AD657" s="30" t="str">
        <f aca="false">IF(AND(B657="brand",E657="budget_probe",ISNUMBER(F657),I657=Lists!$X$4),IF(COUNTIFS(C$5:C657,C657,E$5:E657,"budget_probe",I$5:I657,Lists!$X$4)=1,F657,""),"")</f>
        <v/>
      </c>
      <c r="AE657" s="30" t="n">
        <f aca="false">IF(AND(B657="brand",E657="paid",ISNUMBER(F657)),IF(AND(SUMIFS(F$5:F657,B$5:B657,"brand",C$5:C657,C657,E$5:E657,"paid")&gt;=Inputs!$C$44,SUMIFS(F$5:F657,B$5:B657,"brand",C$5:C657,C657,E$5:E657,"paid")-F657&lt;Inputs!$C$44),1,0),0)</f>
        <v>0</v>
      </c>
    </row>
    <row r="658" customFormat="false" ht="15" hidden="false" customHeight="false" outlineLevel="0" collapsed="false">
      <c r="A658" s="102"/>
      <c r="B658" s="103"/>
      <c r="C658" s="103"/>
      <c r="D658" s="103"/>
      <c r="E658" s="103"/>
      <c r="F658" s="103"/>
      <c r="G658" s="103"/>
      <c r="H658" s="103"/>
      <c r="I658" s="103"/>
      <c r="T658" s="30" t="str">
        <f aca="false">IF(C658="","",IF(COUNTIFS(C$5:C658,C658,E$5:E658,E658)=1,1,0))</f>
        <v/>
      </c>
      <c r="U658" s="30" t="n">
        <f aca="false">IF(C658="",0,IF(AND(B658="brand",E658="budget_probe",N(F658)&gt;=Inputs!$C$124,H658="Y"),1,0))</f>
        <v>0</v>
      </c>
      <c r="V658" s="30" t="n">
        <f aca="false">IF(U658=1,IF(COUNTIFS(C$5:C658,C658,U$5:U658,1)=1,1,0),0)</f>
        <v>0</v>
      </c>
      <c r="W658" s="30" t="n">
        <f aca="false">IF(C658="",0,IF(AND(B658="office",E658="budget_probe",N(F658)&gt;=Inputs!$C$139),1,0))</f>
        <v>0</v>
      </c>
      <c r="X658" s="30" t="n">
        <f aca="false">IF(W658=1,IF(COUNTIFS(C$5:C658,C658,W$5:W658,1)=1,1,0),0)</f>
        <v>0</v>
      </c>
      <c r="Y658" s="30" t="n">
        <f aca="false">IF(C658="",0,IF(AND(B658="brand",E658="renewal_answer",TRIM(G658)="yes",N(F658)&gt;=Inputs!$C$135),1,0))</f>
        <v>0</v>
      </c>
      <c r="Z658" s="30" t="n">
        <f aca="false">IF(Y658=1,IF(COUNTIFS(C$5:C658,C658,Y$5:Y658,1)=1,1,0),0)</f>
        <v>0</v>
      </c>
      <c r="AA658" s="30" t="n">
        <f aca="false">IF(AND(E658="budget_probe",ISNUMBER(F658),I658&lt;&gt;Lists!$X$4),1,0)</f>
        <v>0</v>
      </c>
      <c r="AB658" s="30" t="str">
        <f aca="false">IF(AND(B658="office",AA658=1,COUNTIFS(C$5:C658,C658,AA$5:AA658,1)=1),F658,"")</f>
        <v/>
      </c>
      <c r="AC658" s="30" t="str">
        <f aca="false">IF(AND(B658="brand",AA658=1,COUNTIFS(C$5:C658,C658,AA$5:AA658,1)=1),F658,"")</f>
        <v/>
      </c>
      <c r="AD658" s="30" t="str">
        <f aca="false">IF(AND(B658="brand",E658="budget_probe",ISNUMBER(F658),I658=Lists!$X$4),IF(COUNTIFS(C$5:C658,C658,E$5:E658,"budget_probe",I$5:I658,Lists!$X$4)=1,F658,""),"")</f>
        <v/>
      </c>
      <c r="AE658" s="30" t="n">
        <f aca="false">IF(AND(B658="brand",E658="paid",ISNUMBER(F658)),IF(AND(SUMIFS(F$5:F658,B$5:B658,"brand",C$5:C658,C658,E$5:E658,"paid")&gt;=Inputs!$C$44,SUMIFS(F$5:F658,B$5:B658,"brand",C$5:C658,C658,E$5:E658,"paid")-F658&lt;Inputs!$C$44),1,0),0)</f>
        <v>0</v>
      </c>
    </row>
    <row r="659" customFormat="false" ht="15" hidden="false" customHeight="false" outlineLevel="0" collapsed="false">
      <c r="A659" s="102"/>
      <c r="B659" s="103"/>
      <c r="C659" s="103"/>
      <c r="D659" s="103"/>
      <c r="E659" s="103"/>
      <c r="F659" s="103"/>
      <c r="G659" s="103"/>
      <c r="H659" s="103"/>
      <c r="I659" s="103"/>
      <c r="T659" s="30" t="str">
        <f aca="false">IF(C659="","",IF(COUNTIFS(C$5:C659,C659,E$5:E659,E659)=1,1,0))</f>
        <v/>
      </c>
      <c r="U659" s="30" t="n">
        <f aca="false">IF(C659="",0,IF(AND(B659="brand",E659="budget_probe",N(F659)&gt;=Inputs!$C$124,H659="Y"),1,0))</f>
        <v>0</v>
      </c>
      <c r="V659" s="30" t="n">
        <f aca="false">IF(U659=1,IF(COUNTIFS(C$5:C659,C659,U$5:U659,1)=1,1,0),0)</f>
        <v>0</v>
      </c>
      <c r="W659" s="30" t="n">
        <f aca="false">IF(C659="",0,IF(AND(B659="office",E659="budget_probe",N(F659)&gt;=Inputs!$C$139),1,0))</f>
        <v>0</v>
      </c>
      <c r="X659" s="30" t="n">
        <f aca="false">IF(W659=1,IF(COUNTIFS(C$5:C659,C659,W$5:W659,1)=1,1,0),0)</f>
        <v>0</v>
      </c>
      <c r="Y659" s="30" t="n">
        <f aca="false">IF(C659="",0,IF(AND(B659="brand",E659="renewal_answer",TRIM(G659)="yes",N(F659)&gt;=Inputs!$C$135),1,0))</f>
        <v>0</v>
      </c>
      <c r="Z659" s="30" t="n">
        <f aca="false">IF(Y659=1,IF(COUNTIFS(C$5:C659,C659,Y$5:Y659,1)=1,1,0),0)</f>
        <v>0</v>
      </c>
      <c r="AA659" s="30" t="n">
        <f aca="false">IF(AND(E659="budget_probe",ISNUMBER(F659),I659&lt;&gt;Lists!$X$4),1,0)</f>
        <v>0</v>
      </c>
      <c r="AB659" s="30" t="str">
        <f aca="false">IF(AND(B659="office",AA659=1,COUNTIFS(C$5:C659,C659,AA$5:AA659,1)=1),F659,"")</f>
        <v/>
      </c>
      <c r="AC659" s="30" t="str">
        <f aca="false">IF(AND(B659="brand",AA659=1,COUNTIFS(C$5:C659,C659,AA$5:AA659,1)=1),F659,"")</f>
        <v/>
      </c>
      <c r="AD659" s="30" t="str">
        <f aca="false">IF(AND(B659="brand",E659="budget_probe",ISNUMBER(F659),I659=Lists!$X$4),IF(COUNTIFS(C$5:C659,C659,E$5:E659,"budget_probe",I$5:I659,Lists!$X$4)=1,F659,""),"")</f>
        <v/>
      </c>
      <c r="AE659" s="30" t="n">
        <f aca="false">IF(AND(B659="brand",E659="paid",ISNUMBER(F659)),IF(AND(SUMIFS(F$5:F659,B$5:B659,"brand",C$5:C659,C659,E$5:E659,"paid")&gt;=Inputs!$C$44,SUMIFS(F$5:F659,B$5:B659,"brand",C$5:C659,C659,E$5:E659,"paid")-F659&lt;Inputs!$C$44),1,0),0)</f>
        <v>0</v>
      </c>
    </row>
    <row r="660" customFormat="false" ht="15" hidden="false" customHeight="false" outlineLevel="0" collapsed="false">
      <c r="A660" s="102"/>
      <c r="B660" s="103"/>
      <c r="C660" s="103"/>
      <c r="D660" s="103"/>
      <c r="E660" s="103"/>
      <c r="F660" s="103"/>
      <c r="G660" s="103"/>
      <c r="H660" s="103"/>
      <c r="I660" s="103"/>
      <c r="T660" s="30" t="str">
        <f aca="false">IF(C660="","",IF(COUNTIFS(C$5:C660,C660,E$5:E660,E660)=1,1,0))</f>
        <v/>
      </c>
      <c r="U660" s="30" t="n">
        <f aca="false">IF(C660="",0,IF(AND(B660="brand",E660="budget_probe",N(F660)&gt;=Inputs!$C$124,H660="Y"),1,0))</f>
        <v>0</v>
      </c>
      <c r="V660" s="30" t="n">
        <f aca="false">IF(U660=1,IF(COUNTIFS(C$5:C660,C660,U$5:U660,1)=1,1,0),0)</f>
        <v>0</v>
      </c>
      <c r="W660" s="30" t="n">
        <f aca="false">IF(C660="",0,IF(AND(B660="office",E660="budget_probe",N(F660)&gt;=Inputs!$C$139),1,0))</f>
        <v>0</v>
      </c>
      <c r="X660" s="30" t="n">
        <f aca="false">IF(W660=1,IF(COUNTIFS(C$5:C660,C660,W$5:W660,1)=1,1,0),0)</f>
        <v>0</v>
      </c>
      <c r="Y660" s="30" t="n">
        <f aca="false">IF(C660="",0,IF(AND(B660="brand",E660="renewal_answer",TRIM(G660)="yes",N(F660)&gt;=Inputs!$C$135),1,0))</f>
        <v>0</v>
      </c>
      <c r="Z660" s="30" t="n">
        <f aca="false">IF(Y660=1,IF(COUNTIFS(C$5:C660,C660,Y$5:Y660,1)=1,1,0),0)</f>
        <v>0</v>
      </c>
      <c r="AA660" s="30" t="n">
        <f aca="false">IF(AND(E660="budget_probe",ISNUMBER(F660),I660&lt;&gt;Lists!$X$4),1,0)</f>
        <v>0</v>
      </c>
      <c r="AB660" s="30" t="str">
        <f aca="false">IF(AND(B660="office",AA660=1,COUNTIFS(C$5:C660,C660,AA$5:AA660,1)=1),F660,"")</f>
        <v/>
      </c>
      <c r="AC660" s="30" t="str">
        <f aca="false">IF(AND(B660="brand",AA660=1,COUNTIFS(C$5:C660,C660,AA$5:AA660,1)=1),F660,"")</f>
        <v/>
      </c>
      <c r="AD660" s="30" t="str">
        <f aca="false">IF(AND(B660="brand",E660="budget_probe",ISNUMBER(F660),I660=Lists!$X$4),IF(COUNTIFS(C$5:C660,C660,E$5:E660,"budget_probe",I$5:I660,Lists!$X$4)=1,F660,""),"")</f>
        <v/>
      </c>
      <c r="AE660" s="30" t="n">
        <f aca="false">IF(AND(B660="brand",E660="paid",ISNUMBER(F660)),IF(AND(SUMIFS(F$5:F660,B$5:B660,"brand",C$5:C660,C660,E$5:E660,"paid")&gt;=Inputs!$C$44,SUMIFS(F$5:F660,B$5:B660,"brand",C$5:C660,C660,E$5:E660,"paid")-F660&lt;Inputs!$C$44),1,0),0)</f>
        <v>0</v>
      </c>
    </row>
    <row r="661" customFormat="false" ht="15" hidden="false" customHeight="false" outlineLevel="0" collapsed="false">
      <c r="A661" s="102"/>
      <c r="B661" s="103"/>
      <c r="C661" s="103"/>
      <c r="D661" s="103"/>
      <c r="E661" s="103"/>
      <c r="F661" s="103"/>
      <c r="G661" s="103"/>
      <c r="H661" s="103"/>
      <c r="I661" s="103"/>
      <c r="T661" s="30" t="str">
        <f aca="false">IF(C661="","",IF(COUNTIFS(C$5:C661,C661,E$5:E661,E661)=1,1,0))</f>
        <v/>
      </c>
      <c r="U661" s="30" t="n">
        <f aca="false">IF(C661="",0,IF(AND(B661="brand",E661="budget_probe",N(F661)&gt;=Inputs!$C$124,H661="Y"),1,0))</f>
        <v>0</v>
      </c>
      <c r="V661" s="30" t="n">
        <f aca="false">IF(U661=1,IF(COUNTIFS(C$5:C661,C661,U$5:U661,1)=1,1,0),0)</f>
        <v>0</v>
      </c>
      <c r="W661" s="30" t="n">
        <f aca="false">IF(C661="",0,IF(AND(B661="office",E661="budget_probe",N(F661)&gt;=Inputs!$C$139),1,0))</f>
        <v>0</v>
      </c>
      <c r="X661" s="30" t="n">
        <f aca="false">IF(W661=1,IF(COUNTIFS(C$5:C661,C661,W$5:W661,1)=1,1,0),0)</f>
        <v>0</v>
      </c>
      <c r="Y661" s="30" t="n">
        <f aca="false">IF(C661="",0,IF(AND(B661="brand",E661="renewal_answer",TRIM(G661)="yes",N(F661)&gt;=Inputs!$C$135),1,0))</f>
        <v>0</v>
      </c>
      <c r="Z661" s="30" t="n">
        <f aca="false">IF(Y661=1,IF(COUNTIFS(C$5:C661,C661,Y$5:Y661,1)=1,1,0),0)</f>
        <v>0</v>
      </c>
      <c r="AA661" s="30" t="n">
        <f aca="false">IF(AND(E661="budget_probe",ISNUMBER(F661),I661&lt;&gt;Lists!$X$4),1,0)</f>
        <v>0</v>
      </c>
      <c r="AB661" s="30" t="str">
        <f aca="false">IF(AND(B661="office",AA661=1,COUNTIFS(C$5:C661,C661,AA$5:AA661,1)=1),F661,"")</f>
        <v/>
      </c>
      <c r="AC661" s="30" t="str">
        <f aca="false">IF(AND(B661="brand",AA661=1,COUNTIFS(C$5:C661,C661,AA$5:AA661,1)=1),F661,"")</f>
        <v/>
      </c>
      <c r="AD661" s="30" t="str">
        <f aca="false">IF(AND(B661="brand",E661="budget_probe",ISNUMBER(F661),I661=Lists!$X$4),IF(COUNTIFS(C$5:C661,C661,E$5:E661,"budget_probe",I$5:I661,Lists!$X$4)=1,F661,""),"")</f>
        <v/>
      </c>
      <c r="AE661" s="30" t="n">
        <f aca="false">IF(AND(B661="brand",E661="paid",ISNUMBER(F661)),IF(AND(SUMIFS(F$5:F661,B$5:B661,"brand",C$5:C661,C661,E$5:E661,"paid")&gt;=Inputs!$C$44,SUMIFS(F$5:F661,B$5:B661,"brand",C$5:C661,C661,E$5:E661,"paid")-F661&lt;Inputs!$C$44),1,0),0)</f>
        <v>0</v>
      </c>
    </row>
    <row r="662" customFormat="false" ht="15" hidden="false" customHeight="false" outlineLevel="0" collapsed="false">
      <c r="A662" s="102"/>
      <c r="B662" s="103"/>
      <c r="C662" s="103"/>
      <c r="D662" s="103"/>
      <c r="E662" s="103"/>
      <c r="F662" s="103"/>
      <c r="G662" s="103"/>
      <c r="H662" s="103"/>
      <c r="I662" s="103"/>
      <c r="T662" s="30" t="str">
        <f aca="false">IF(C662="","",IF(COUNTIFS(C$5:C662,C662,E$5:E662,E662)=1,1,0))</f>
        <v/>
      </c>
      <c r="U662" s="30" t="n">
        <f aca="false">IF(C662="",0,IF(AND(B662="brand",E662="budget_probe",N(F662)&gt;=Inputs!$C$124,H662="Y"),1,0))</f>
        <v>0</v>
      </c>
      <c r="V662" s="30" t="n">
        <f aca="false">IF(U662=1,IF(COUNTIFS(C$5:C662,C662,U$5:U662,1)=1,1,0),0)</f>
        <v>0</v>
      </c>
      <c r="W662" s="30" t="n">
        <f aca="false">IF(C662="",0,IF(AND(B662="office",E662="budget_probe",N(F662)&gt;=Inputs!$C$139),1,0))</f>
        <v>0</v>
      </c>
      <c r="X662" s="30" t="n">
        <f aca="false">IF(W662=1,IF(COUNTIFS(C$5:C662,C662,W$5:W662,1)=1,1,0),0)</f>
        <v>0</v>
      </c>
      <c r="Y662" s="30" t="n">
        <f aca="false">IF(C662="",0,IF(AND(B662="brand",E662="renewal_answer",TRIM(G662)="yes",N(F662)&gt;=Inputs!$C$135),1,0))</f>
        <v>0</v>
      </c>
      <c r="Z662" s="30" t="n">
        <f aca="false">IF(Y662=1,IF(COUNTIFS(C$5:C662,C662,Y$5:Y662,1)=1,1,0),0)</f>
        <v>0</v>
      </c>
      <c r="AA662" s="30" t="n">
        <f aca="false">IF(AND(E662="budget_probe",ISNUMBER(F662),I662&lt;&gt;Lists!$X$4),1,0)</f>
        <v>0</v>
      </c>
      <c r="AB662" s="30" t="str">
        <f aca="false">IF(AND(B662="office",AA662=1,COUNTIFS(C$5:C662,C662,AA$5:AA662,1)=1),F662,"")</f>
        <v/>
      </c>
      <c r="AC662" s="30" t="str">
        <f aca="false">IF(AND(B662="brand",AA662=1,COUNTIFS(C$5:C662,C662,AA$5:AA662,1)=1),F662,"")</f>
        <v/>
      </c>
      <c r="AD662" s="30" t="str">
        <f aca="false">IF(AND(B662="brand",E662="budget_probe",ISNUMBER(F662),I662=Lists!$X$4),IF(COUNTIFS(C$5:C662,C662,E$5:E662,"budget_probe",I$5:I662,Lists!$X$4)=1,F662,""),"")</f>
        <v/>
      </c>
      <c r="AE662" s="30" t="n">
        <f aca="false">IF(AND(B662="brand",E662="paid",ISNUMBER(F662)),IF(AND(SUMIFS(F$5:F662,B$5:B662,"brand",C$5:C662,C662,E$5:E662,"paid")&gt;=Inputs!$C$44,SUMIFS(F$5:F662,B$5:B662,"brand",C$5:C662,C662,E$5:E662,"paid")-F662&lt;Inputs!$C$44),1,0),0)</f>
        <v>0</v>
      </c>
    </row>
    <row r="663" customFormat="false" ht="15" hidden="false" customHeight="false" outlineLevel="0" collapsed="false">
      <c r="A663" s="102"/>
      <c r="B663" s="103"/>
      <c r="C663" s="103"/>
      <c r="D663" s="103"/>
      <c r="E663" s="103"/>
      <c r="F663" s="103"/>
      <c r="G663" s="103"/>
      <c r="H663" s="103"/>
      <c r="I663" s="103"/>
      <c r="T663" s="30" t="str">
        <f aca="false">IF(C663="","",IF(COUNTIFS(C$5:C663,C663,E$5:E663,E663)=1,1,0))</f>
        <v/>
      </c>
      <c r="U663" s="30" t="n">
        <f aca="false">IF(C663="",0,IF(AND(B663="brand",E663="budget_probe",N(F663)&gt;=Inputs!$C$124,H663="Y"),1,0))</f>
        <v>0</v>
      </c>
      <c r="V663" s="30" t="n">
        <f aca="false">IF(U663=1,IF(COUNTIFS(C$5:C663,C663,U$5:U663,1)=1,1,0),0)</f>
        <v>0</v>
      </c>
      <c r="W663" s="30" t="n">
        <f aca="false">IF(C663="",0,IF(AND(B663="office",E663="budget_probe",N(F663)&gt;=Inputs!$C$139),1,0))</f>
        <v>0</v>
      </c>
      <c r="X663" s="30" t="n">
        <f aca="false">IF(W663=1,IF(COUNTIFS(C$5:C663,C663,W$5:W663,1)=1,1,0),0)</f>
        <v>0</v>
      </c>
      <c r="Y663" s="30" t="n">
        <f aca="false">IF(C663="",0,IF(AND(B663="brand",E663="renewal_answer",TRIM(G663)="yes",N(F663)&gt;=Inputs!$C$135),1,0))</f>
        <v>0</v>
      </c>
      <c r="Z663" s="30" t="n">
        <f aca="false">IF(Y663=1,IF(COUNTIFS(C$5:C663,C663,Y$5:Y663,1)=1,1,0),0)</f>
        <v>0</v>
      </c>
      <c r="AA663" s="30" t="n">
        <f aca="false">IF(AND(E663="budget_probe",ISNUMBER(F663),I663&lt;&gt;Lists!$X$4),1,0)</f>
        <v>0</v>
      </c>
      <c r="AB663" s="30" t="str">
        <f aca="false">IF(AND(B663="office",AA663=1,COUNTIFS(C$5:C663,C663,AA$5:AA663,1)=1),F663,"")</f>
        <v/>
      </c>
      <c r="AC663" s="30" t="str">
        <f aca="false">IF(AND(B663="brand",AA663=1,COUNTIFS(C$5:C663,C663,AA$5:AA663,1)=1),F663,"")</f>
        <v/>
      </c>
      <c r="AD663" s="30" t="str">
        <f aca="false">IF(AND(B663="brand",E663="budget_probe",ISNUMBER(F663),I663=Lists!$X$4),IF(COUNTIFS(C$5:C663,C663,E$5:E663,"budget_probe",I$5:I663,Lists!$X$4)=1,F663,""),"")</f>
        <v/>
      </c>
      <c r="AE663" s="30" t="n">
        <f aca="false">IF(AND(B663="brand",E663="paid",ISNUMBER(F663)),IF(AND(SUMIFS(F$5:F663,B$5:B663,"brand",C$5:C663,C663,E$5:E663,"paid")&gt;=Inputs!$C$44,SUMIFS(F$5:F663,B$5:B663,"brand",C$5:C663,C663,E$5:E663,"paid")-F663&lt;Inputs!$C$44),1,0),0)</f>
        <v>0</v>
      </c>
    </row>
    <row r="664" customFormat="false" ht="15" hidden="false" customHeight="false" outlineLevel="0" collapsed="false">
      <c r="A664" s="102"/>
      <c r="B664" s="103"/>
      <c r="C664" s="103"/>
      <c r="D664" s="103"/>
      <c r="E664" s="103"/>
      <c r="F664" s="103"/>
      <c r="G664" s="103"/>
      <c r="H664" s="103"/>
      <c r="I664" s="103"/>
      <c r="T664" s="30" t="str">
        <f aca="false">IF(C664="","",IF(COUNTIFS(C$5:C664,C664,E$5:E664,E664)=1,1,0))</f>
        <v/>
      </c>
      <c r="U664" s="30" t="n">
        <f aca="false">IF(C664="",0,IF(AND(B664="brand",E664="budget_probe",N(F664)&gt;=Inputs!$C$124,H664="Y"),1,0))</f>
        <v>0</v>
      </c>
      <c r="V664" s="30" t="n">
        <f aca="false">IF(U664=1,IF(COUNTIFS(C$5:C664,C664,U$5:U664,1)=1,1,0),0)</f>
        <v>0</v>
      </c>
      <c r="W664" s="30" t="n">
        <f aca="false">IF(C664="",0,IF(AND(B664="office",E664="budget_probe",N(F664)&gt;=Inputs!$C$139),1,0))</f>
        <v>0</v>
      </c>
      <c r="X664" s="30" t="n">
        <f aca="false">IF(W664=1,IF(COUNTIFS(C$5:C664,C664,W$5:W664,1)=1,1,0),0)</f>
        <v>0</v>
      </c>
      <c r="Y664" s="30" t="n">
        <f aca="false">IF(C664="",0,IF(AND(B664="brand",E664="renewal_answer",TRIM(G664)="yes",N(F664)&gt;=Inputs!$C$135),1,0))</f>
        <v>0</v>
      </c>
      <c r="Z664" s="30" t="n">
        <f aca="false">IF(Y664=1,IF(COUNTIFS(C$5:C664,C664,Y$5:Y664,1)=1,1,0),0)</f>
        <v>0</v>
      </c>
      <c r="AA664" s="30" t="n">
        <f aca="false">IF(AND(E664="budget_probe",ISNUMBER(F664),I664&lt;&gt;Lists!$X$4),1,0)</f>
        <v>0</v>
      </c>
      <c r="AB664" s="30" t="str">
        <f aca="false">IF(AND(B664="office",AA664=1,COUNTIFS(C$5:C664,C664,AA$5:AA664,1)=1),F664,"")</f>
        <v/>
      </c>
      <c r="AC664" s="30" t="str">
        <f aca="false">IF(AND(B664="brand",AA664=1,COUNTIFS(C$5:C664,C664,AA$5:AA664,1)=1),F664,"")</f>
        <v/>
      </c>
      <c r="AD664" s="30" t="str">
        <f aca="false">IF(AND(B664="brand",E664="budget_probe",ISNUMBER(F664),I664=Lists!$X$4),IF(COUNTIFS(C$5:C664,C664,E$5:E664,"budget_probe",I$5:I664,Lists!$X$4)=1,F664,""),"")</f>
        <v/>
      </c>
      <c r="AE664" s="30" t="n">
        <f aca="false">IF(AND(B664="brand",E664="paid",ISNUMBER(F664)),IF(AND(SUMIFS(F$5:F664,B$5:B664,"brand",C$5:C664,C664,E$5:E664,"paid")&gt;=Inputs!$C$44,SUMIFS(F$5:F664,B$5:B664,"brand",C$5:C664,C664,E$5:E664,"paid")-F664&lt;Inputs!$C$44),1,0),0)</f>
        <v>0</v>
      </c>
    </row>
    <row r="665" customFormat="false" ht="15" hidden="false" customHeight="false" outlineLevel="0" collapsed="false">
      <c r="A665" s="102"/>
      <c r="B665" s="103"/>
      <c r="C665" s="103"/>
      <c r="D665" s="103"/>
      <c r="E665" s="103"/>
      <c r="F665" s="103"/>
      <c r="G665" s="103"/>
      <c r="H665" s="103"/>
      <c r="I665" s="103"/>
      <c r="T665" s="30" t="str">
        <f aca="false">IF(C665="","",IF(COUNTIFS(C$5:C665,C665,E$5:E665,E665)=1,1,0))</f>
        <v/>
      </c>
      <c r="U665" s="30" t="n">
        <f aca="false">IF(C665="",0,IF(AND(B665="brand",E665="budget_probe",N(F665)&gt;=Inputs!$C$124,H665="Y"),1,0))</f>
        <v>0</v>
      </c>
      <c r="V665" s="30" t="n">
        <f aca="false">IF(U665=1,IF(COUNTIFS(C$5:C665,C665,U$5:U665,1)=1,1,0),0)</f>
        <v>0</v>
      </c>
      <c r="W665" s="30" t="n">
        <f aca="false">IF(C665="",0,IF(AND(B665="office",E665="budget_probe",N(F665)&gt;=Inputs!$C$139),1,0))</f>
        <v>0</v>
      </c>
      <c r="X665" s="30" t="n">
        <f aca="false">IF(W665=1,IF(COUNTIFS(C$5:C665,C665,W$5:W665,1)=1,1,0),0)</f>
        <v>0</v>
      </c>
      <c r="Y665" s="30" t="n">
        <f aca="false">IF(C665="",0,IF(AND(B665="brand",E665="renewal_answer",TRIM(G665)="yes",N(F665)&gt;=Inputs!$C$135),1,0))</f>
        <v>0</v>
      </c>
      <c r="Z665" s="30" t="n">
        <f aca="false">IF(Y665=1,IF(COUNTIFS(C$5:C665,C665,Y$5:Y665,1)=1,1,0),0)</f>
        <v>0</v>
      </c>
      <c r="AA665" s="30" t="n">
        <f aca="false">IF(AND(E665="budget_probe",ISNUMBER(F665),I665&lt;&gt;Lists!$X$4),1,0)</f>
        <v>0</v>
      </c>
      <c r="AB665" s="30" t="str">
        <f aca="false">IF(AND(B665="office",AA665=1,COUNTIFS(C$5:C665,C665,AA$5:AA665,1)=1),F665,"")</f>
        <v/>
      </c>
      <c r="AC665" s="30" t="str">
        <f aca="false">IF(AND(B665="brand",AA665=1,COUNTIFS(C$5:C665,C665,AA$5:AA665,1)=1),F665,"")</f>
        <v/>
      </c>
      <c r="AD665" s="30" t="str">
        <f aca="false">IF(AND(B665="brand",E665="budget_probe",ISNUMBER(F665),I665=Lists!$X$4),IF(COUNTIFS(C$5:C665,C665,E$5:E665,"budget_probe",I$5:I665,Lists!$X$4)=1,F665,""),"")</f>
        <v/>
      </c>
      <c r="AE665" s="30" t="n">
        <f aca="false">IF(AND(B665="brand",E665="paid",ISNUMBER(F665)),IF(AND(SUMIFS(F$5:F665,B$5:B665,"brand",C$5:C665,C665,E$5:E665,"paid")&gt;=Inputs!$C$44,SUMIFS(F$5:F665,B$5:B665,"brand",C$5:C665,C665,E$5:E665,"paid")-F665&lt;Inputs!$C$44),1,0),0)</f>
        <v>0</v>
      </c>
    </row>
    <row r="666" customFormat="false" ht="15" hidden="false" customHeight="false" outlineLevel="0" collapsed="false">
      <c r="A666" s="102"/>
      <c r="B666" s="103"/>
      <c r="C666" s="103"/>
      <c r="D666" s="103"/>
      <c r="E666" s="103"/>
      <c r="F666" s="103"/>
      <c r="G666" s="103"/>
      <c r="H666" s="103"/>
      <c r="I666" s="103"/>
      <c r="T666" s="30" t="str">
        <f aca="false">IF(C666="","",IF(COUNTIFS(C$5:C666,C666,E$5:E666,E666)=1,1,0))</f>
        <v/>
      </c>
      <c r="U666" s="30" t="n">
        <f aca="false">IF(C666="",0,IF(AND(B666="brand",E666="budget_probe",N(F666)&gt;=Inputs!$C$124,H666="Y"),1,0))</f>
        <v>0</v>
      </c>
      <c r="V666" s="30" t="n">
        <f aca="false">IF(U666=1,IF(COUNTIFS(C$5:C666,C666,U$5:U666,1)=1,1,0),0)</f>
        <v>0</v>
      </c>
      <c r="W666" s="30" t="n">
        <f aca="false">IF(C666="",0,IF(AND(B666="office",E666="budget_probe",N(F666)&gt;=Inputs!$C$139),1,0))</f>
        <v>0</v>
      </c>
      <c r="X666" s="30" t="n">
        <f aca="false">IF(W666=1,IF(COUNTIFS(C$5:C666,C666,W$5:W666,1)=1,1,0),0)</f>
        <v>0</v>
      </c>
      <c r="Y666" s="30" t="n">
        <f aca="false">IF(C666="",0,IF(AND(B666="brand",E666="renewal_answer",TRIM(G666)="yes",N(F666)&gt;=Inputs!$C$135),1,0))</f>
        <v>0</v>
      </c>
      <c r="Z666" s="30" t="n">
        <f aca="false">IF(Y666=1,IF(COUNTIFS(C$5:C666,C666,Y$5:Y666,1)=1,1,0),0)</f>
        <v>0</v>
      </c>
      <c r="AA666" s="30" t="n">
        <f aca="false">IF(AND(E666="budget_probe",ISNUMBER(F666),I666&lt;&gt;Lists!$X$4),1,0)</f>
        <v>0</v>
      </c>
      <c r="AB666" s="30" t="str">
        <f aca="false">IF(AND(B666="office",AA666=1,COUNTIFS(C$5:C666,C666,AA$5:AA666,1)=1),F666,"")</f>
        <v/>
      </c>
      <c r="AC666" s="30" t="str">
        <f aca="false">IF(AND(B666="brand",AA666=1,COUNTIFS(C$5:C666,C666,AA$5:AA666,1)=1),F666,"")</f>
        <v/>
      </c>
      <c r="AD666" s="30" t="str">
        <f aca="false">IF(AND(B666="brand",E666="budget_probe",ISNUMBER(F666),I666=Lists!$X$4),IF(COUNTIFS(C$5:C666,C666,E$5:E666,"budget_probe",I$5:I666,Lists!$X$4)=1,F666,""),"")</f>
        <v/>
      </c>
      <c r="AE666" s="30" t="n">
        <f aca="false">IF(AND(B666="brand",E666="paid",ISNUMBER(F666)),IF(AND(SUMIFS(F$5:F666,B$5:B666,"brand",C$5:C666,C666,E$5:E666,"paid")&gt;=Inputs!$C$44,SUMIFS(F$5:F666,B$5:B666,"brand",C$5:C666,C666,E$5:E666,"paid")-F666&lt;Inputs!$C$44),1,0),0)</f>
        <v>0</v>
      </c>
    </row>
    <row r="667" customFormat="false" ht="15" hidden="false" customHeight="false" outlineLevel="0" collapsed="false">
      <c r="A667" s="102"/>
      <c r="B667" s="103"/>
      <c r="C667" s="103"/>
      <c r="D667" s="103"/>
      <c r="E667" s="103"/>
      <c r="F667" s="103"/>
      <c r="G667" s="103"/>
      <c r="H667" s="103"/>
      <c r="I667" s="103"/>
      <c r="T667" s="30" t="str">
        <f aca="false">IF(C667="","",IF(COUNTIFS(C$5:C667,C667,E$5:E667,E667)=1,1,0))</f>
        <v/>
      </c>
      <c r="U667" s="30" t="n">
        <f aca="false">IF(C667="",0,IF(AND(B667="brand",E667="budget_probe",N(F667)&gt;=Inputs!$C$124,H667="Y"),1,0))</f>
        <v>0</v>
      </c>
      <c r="V667" s="30" t="n">
        <f aca="false">IF(U667=1,IF(COUNTIFS(C$5:C667,C667,U$5:U667,1)=1,1,0),0)</f>
        <v>0</v>
      </c>
      <c r="W667" s="30" t="n">
        <f aca="false">IF(C667="",0,IF(AND(B667="office",E667="budget_probe",N(F667)&gt;=Inputs!$C$139),1,0))</f>
        <v>0</v>
      </c>
      <c r="X667" s="30" t="n">
        <f aca="false">IF(W667=1,IF(COUNTIFS(C$5:C667,C667,W$5:W667,1)=1,1,0),0)</f>
        <v>0</v>
      </c>
      <c r="Y667" s="30" t="n">
        <f aca="false">IF(C667="",0,IF(AND(B667="brand",E667="renewal_answer",TRIM(G667)="yes",N(F667)&gt;=Inputs!$C$135),1,0))</f>
        <v>0</v>
      </c>
      <c r="Z667" s="30" t="n">
        <f aca="false">IF(Y667=1,IF(COUNTIFS(C$5:C667,C667,Y$5:Y667,1)=1,1,0),0)</f>
        <v>0</v>
      </c>
      <c r="AA667" s="30" t="n">
        <f aca="false">IF(AND(E667="budget_probe",ISNUMBER(F667),I667&lt;&gt;Lists!$X$4),1,0)</f>
        <v>0</v>
      </c>
      <c r="AB667" s="30" t="str">
        <f aca="false">IF(AND(B667="office",AA667=1,COUNTIFS(C$5:C667,C667,AA$5:AA667,1)=1),F667,"")</f>
        <v/>
      </c>
      <c r="AC667" s="30" t="str">
        <f aca="false">IF(AND(B667="brand",AA667=1,COUNTIFS(C$5:C667,C667,AA$5:AA667,1)=1),F667,"")</f>
        <v/>
      </c>
      <c r="AD667" s="30" t="str">
        <f aca="false">IF(AND(B667="brand",E667="budget_probe",ISNUMBER(F667),I667=Lists!$X$4),IF(COUNTIFS(C$5:C667,C667,E$5:E667,"budget_probe",I$5:I667,Lists!$X$4)=1,F667,""),"")</f>
        <v/>
      </c>
      <c r="AE667" s="30" t="n">
        <f aca="false">IF(AND(B667="brand",E667="paid",ISNUMBER(F667)),IF(AND(SUMIFS(F$5:F667,B$5:B667,"brand",C$5:C667,C667,E$5:E667,"paid")&gt;=Inputs!$C$44,SUMIFS(F$5:F667,B$5:B667,"brand",C$5:C667,C667,E$5:E667,"paid")-F667&lt;Inputs!$C$44),1,0),0)</f>
        <v>0</v>
      </c>
    </row>
    <row r="668" customFormat="false" ht="15" hidden="false" customHeight="false" outlineLevel="0" collapsed="false">
      <c r="A668" s="102"/>
      <c r="B668" s="103"/>
      <c r="C668" s="103"/>
      <c r="D668" s="103"/>
      <c r="E668" s="103"/>
      <c r="F668" s="103"/>
      <c r="G668" s="103"/>
      <c r="H668" s="103"/>
      <c r="I668" s="103"/>
      <c r="T668" s="30" t="str">
        <f aca="false">IF(C668="","",IF(COUNTIFS(C$5:C668,C668,E$5:E668,E668)=1,1,0))</f>
        <v/>
      </c>
      <c r="U668" s="30" t="n">
        <f aca="false">IF(C668="",0,IF(AND(B668="brand",E668="budget_probe",N(F668)&gt;=Inputs!$C$124,H668="Y"),1,0))</f>
        <v>0</v>
      </c>
      <c r="V668" s="30" t="n">
        <f aca="false">IF(U668=1,IF(COUNTIFS(C$5:C668,C668,U$5:U668,1)=1,1,0),0)</f>
        <v>0</v>
      </c>
      <c r="W668" s="30" t="n">
        <f aca="false">IF(C668="",0,IF(AND(B668="office",E668="budget_probe",N(F668)&gt;=Inputs!$C$139),1,0))</f>
        <v>0</v>
      </c>
      <c r="X668" s="30" t="n">
        <f aca="false">IF(W668=1,IF(COUNTIFS(C$5:C668,C668,W$5:W668,1)=1,1,0),0)</f>
        <v>0</v>
      </c>
      <c r="Y668" s="30" t="n">
        <f aca="false">IF(C668="",0,IF(AND(B668="brand",E668="renewal_answer",TRIM(G668)="yes",N(F668)&gt;=Inputs!$C$135),1,0))</f>
        <v>0</v>
      </c>
      <c r="Z668" s="30" t="n">
        <f aca="false">IF(Y668=1,IF(COUNTIFS(C$5:C668,C668,Y$5:Y668,1)=1,1,0),0)</f>
        <v>0</v>
      </c>
      <c r="AA668" s="30" t="n">
        <f aca="false">IF(AND(E668="budget_probe",ISNUMBER(F668),I668&lt;&gt;Lists!$X$4),1,0)</f>
        <v>0</v>
      </c>
      <c r="AB668" s="30" t="str">
        <f aca="false">IF(AND(B668="office",AA668=1,COUNTIFS(C$5:C668,C668,AA$5:AA668,1)=1),F668,"")</f>
        <v/>
      </c>
      <c r="AC668" s="30" t="str">
        <f aca="false">IF(AND(B668="brand",AA668=1,COUNTIFS(C$5:C668,C668,AA$5:AA668,1)=1),F668,"")</f>
        <v/>
      </c>
      <c r="AD668" s="30" t="str">
        <f aca="false">IF(AND(B668="brand",E668="budget_probe",ISNUMBER(F668),I668=Lists!$X$4),IF(COUNTIFS(C$5:C668,C668,E$5:E668,"budget_probe",I$5:I668,Lists!$X$4)=1,F668,""),"")</f>
        <v/>
      </c>
      <c r="AE668" s="30" t="n">
        <f aca="false">IF(AND(B668="brand",E668="paid",ISNUMBER(F668)),IF(AND(SUMIFS(F$5:F668,B$5:B668,"brand",C$5:C668,C668,E$5:E668,"paid")&gt;=Inputs!$C$44,SUMIFS(F$5:F668,B$5:B668,"brand",C$5:C668,C668,E$5:E668,"paid")-F668&lt;Inputs!$C$44),1,0),0)</f>
        <v>0</v>
      </c>
    </row>
    <row r="669" customFormat="false" ht="15" hidden="false" customHeight="false" outlineLevel="0" collapsed="false">
      <c r="A669" s="102"/>
      <c r="B669" s="103"/>
      <c r="C669" s="103"/>
      <c r="D669" s="103"/>
      <c r="E669" s="103"/>
      <c r="F669" s="103"/>
      <c r="G669" s="103"/>
      <c r="H669" s="103"/>
      <c r="I669" s="103"/>
      <c r="T669" s="30" t="str">
        <f aca="false">IF(C669="","",IF(COUNTIFS(C$5:C669,C669,E$5:E669,E669)=1,1,0))</f>
        <v/>
      </c>
      <c r="U669" s="30" t="n">
        <f aca="false">IF(C669="",0,IF(AND(B669="brand",E669="budget_probe",N(F669)&gt;=Inputs!$C$124,H669="Y"),1,0))</f>
        <v>0</v>
      </c>
      <c r="V669" s="30" t="n">
        <f aca="false">IF(U669=1,IF(COUNTIFS(C$5:C669,C669,U$5:U669,1)=1,1,0),0)</f>
        <v>0</v>
      </c>
      <c r="W669" s="30" t="n">
        <f aca="false">IF(C669="",0,IF(AND(B669="office",E669="budget_probe",N(F669)&gt;=Inputs!$C$139),1,0))</f>
        <v>0</v>
      </c>
      <c r="X669" s="30" t="n">
        <f aca="false">IF(W669=1,IF(COUNTIFS(C$5:C669,C669,W$5:W669,1)=1,1,0),0)</f>
        <v>0</v>
      </c>
      <c r="Y669" s="30" t="n">
        <f aca="false">IF(C669="",0,IF(AND(B669="brand",E669="renewal_answer",TRIM(G669)="yes",N(F669)&gt;=Inputs!$C$135),1,0))</f>
        <v>0</v>
      </c>
      <c r="Z669" s="30" t="n">
        <f aca="false">IF(Y669=1,IF(COUNTIFS(C$5:C669,C669,Y$5:Y669,1)=1,1,0),0)</f>
        <v>0</v>
      </c>
      <c r="AA669" s="30" t="n">
        <f aca="false">IF(AND(E669="budget_probe",ISNUMBER(F669),I669&lt;&gt;Lists!$X$4),1,0)</f>
        <v>0</v>
      </c>
      <c r="AB669" s="30" t="str">
        <f aca="false">IF(AND(B669="office",AA669=1,COUNTIFS(C$5:C669,C669,AA$5:AA669,1)=1),F669,"")</f>
        <v/>
      </c>
      <c r="AC669" s="30" t="str">
        <f aca="false">IF(AND(B669="brand",AA669=1,COUNTIFS(C$5:C669,C669,AA$5:AA669,1)=1),F669,"")</f>
        <v/>
      </c>
      <c r="AD669" s="30" t="str">
        <f aca="false">IF(AND(B669="brand",E669="budget_probe",ISNUMBER(F669),I669=Lists!$X$4),IF(COUNTIFS(C$5:C669,C669,E$5:E669,"budget_probe",I$5:I669,Lists!$X$4)=1,F669,""),"")</f>
        <v/>
      </c>
      <c r="AE669" s="30" t="n">
        <f aca="false">IF(AND(B669="brand",E669="paid",ISNUMBER(F669)),IF(AND(SUMIFS(F$5:F669,B$5:B669,"brand",C$5:C669,C669,E$5:E669,"paid")&gt;=Inputs!$C$44,SUMIFS(F$5:F669,B$5:B669,"brand",C$5:C669,C669,E$5:E669,"paid")-F669&lt;Inputs!$C$44),1,0),0)</f>
        <v>0</v>
      </c>
    </row>
    <row r="670" customFormat="false" ht="15" hidden="false" customHeight="false" outlineLevel="0" collapsed="false">
      <c r="A670" s="102"/>
      <c r="B670" s="103"/>
      <c r="C670" s="103"/>
      <c r="D670" s="103"/>
      <c r="E670" s="103"/>
      <c r="F670" s="103"/>
      <c r="G670" s="103"/>
      <c r="H670" s="103"/>
      <c r="I670" s="103"/>
      <c r="T670" s="30" t="str">
        <f aca="false">IF(C670="","",IF(COUNTIFS(C$5:C670,C670,E$5:E670,E670)=1,1,0))</f>
        <v/>
      </c>
      <c r="U670" s="30" t="n">
        <f aca="false">IF(C670="",0,IF(AND(B670="brand",E670="budget_probe",N(F670)&gt;=Inputs!$C$124,H670="Y"),1,0))</f>
        <v>0</v>
      </c>
      <c r="V670" s="30" t="n">
        <f aca="false">IF(U670=1,IF(COUNTIFS(C$5:C670,C670,U$5:U670,1)=1,1,0),0)</f>
        <v>0</v>
      </c>
      <c r="W670" s="30" t="n">
        <f aca="false">IF(C670="",0,IF(AND(B670="office",E670="budget_probe",N(F670)&gt;=Inputs!$C$139),1,0))</f>
        <v>0</v>
      </c>
      <c r="X670" s="30" t="n">
        <f aca="false">IF(W670=1,IF(COUNTIFS(C$5:C670,C670,W$5:W670,1)=1,1,0),0)</f>
        <v>0</v>
      </c>
      <c r="Y670" s="30" t="n">
        <f aca="false">IF(C670="",0,IF(AND(B670="brand",E670="renewal_answer",TRIM(G670)="yes",N(F670)&gt;=Inputs!$C$135),1,0))</f>
        <v>0</v>
      </c>
      <c r="Z670" s="30" t="n">
        <f aca="false">IF(Y670=1,IF(COUNTIFS(C$5:C670,C670,Y$5:Y670,1)=1,1,0),0)</f>
        <v>0</v>
      </c>
      <c r="AA670" s="30" t="n">
        <f aca="false">IF(AND(E670="budget_probe",ISNUMBER(F670),I670&lt;&gt;Lists!$X$4),1,0)</f>
        <v>0</v>
      </c>
      <c r="AB670" s="30" t="str">
        <f aca="false">IF(AND(B670="office",AA670=1,COUNTIFS(C$5:C670,C670,AA$5:AA670,1)=1),F670,"")</f>
        <v/>
      </c>
      <c r="AC670" s="30" t="str">
        <f aca="false">IF(AND(B670="brand",AA670=1,COUNTIFS(C$5:C670,C670,AA$5:AA670,1)=1),F670,"")</f>
        <v/>
      </c>
      <c r="AD670" s="30" t="str">
        <f aca="false">IF(AND(B670="brand",E670="budget_probe",ISNUMBER(F670),I670=Lists!$X$4),IF(COUNTIFS(C$5:C670,C670,E$5:E670,"budget_probe",I$5:I670,Lists!$X$4)=1,F670,""),"")</f>
        <v/>
      </c>
      <c r="AE670" s="30" t="n">
        <f aca="false">IF(AND(B670="brand",E670="paid",ISNUMBER(F670)),IF(AND(SUMIFS(F$5:F670,B$5:B670,"brand",C$5:C670,C670,E$5:E670,"paid")&gt;=Inputs!$C$44,SUMIFS(F$5:F670,B$5:B670,"brand",C$5:C670,C670,E$5:E670,"paid")-F670&lt;Inputs!$C$44),1,0),0)</f>
        <v>0</v>
      </c>
    </row>
    <row r="671" customFormat="false" ht="15" hidden="false" customHeight="false" outlineLevel="0" collapsed="false">
      <c r="A671" s="102"/>
      <c r="B671" s="103"/>
      <c r="C671" s="103"/>
      <c r="D671" s="103"/>
      <c r="E671" s="103"/>
      <c r="F671" s="103"/>
      <c r="G671" s="103"/>
      <c r="H671" s="103"/>
      <c r="I671" s="103"/>
      <c r="T671" s="30" t="str">
        <f aca="false">IF(C671="","",IF(COUNTIFS(C$5:C671,C671,E$5:E671,E671)=1,1,0))</f>
        <v/>
      </c>
      <c r="U671" s="30" t="n">
        <f aca="false">IF(C671="",0,IF(AND(B671="brand",E671="budget_probe",N(F671)&gt;=Inputs!$C$124,H671="Y"),1,0))</f>
        <v>0</v>
      </c>
      <c r="V671" s="30" t="n">
        <f aca="false">IF(U671=1,IF(COUNTIFS(C$5:C671,C671,U$5:U671,1)=1,1,0),0)</f>
        <v>0</v>
      </c>
      <c r="W671" s="30" t="n">
        <f aca="false">IF(C671="",0,IF(AND(B671="office",E671="budget_probe",N(F671)&gt;=Inputs!$C$139),1,0))</f>
        <v>0</v>
      </c>
      <c r="X671" s="30" t="n">
        <f aca="false">IF(W671=1,IF(COUNTIFS(C$5:C671,C671,W$5:W671,1)=1,1,0),0)</f>
        <v>0</v>
      </c>
      <c r="Y671" s="30" t="n">
        <f aca="false">IF(C671="",0,IF(AND(B671="brand",E671="renewal_answer",TRIM(G671)="yes",N(F671)&gt;=Inputs!$C$135),1,0))</f>
        <v>0</v>
      </c>
      <c r="Z671" s="30" t="n">
        <f aca="false">IF(Y671=1,IF(COUNTIFS(C$5:C671,C671,Y$5:Y671,1)=1,1,0),0)</f>
        <v>0</v>
      </c>
      <c r="AA671" s="30" t="n">
        <f aca="false">IF(AND(E671="budget_probe",ISNUMBER(F671),I671&lt;&gt;Lists!$X$4),1,0)</f>
        <v>0</v>
      </c>
      <c r="AB671" s="30" t="str">
        <f aca="false">IF(AND(B671="office",AA671=1,COUNTIFS(C$5:C671,C671,AA$5:AA671,1)=1),F671,"")</f>
        <v/>
      </c>
      <c r="AC671" s="30" t="str">
        <f aca="false">IF(AND(B671="brand",AA671=1,COUNTIFS(C$5:C671,C671,AA$5:AA671,1)=1),F671,"")</f>
        <v/>
      </c>
      <c r="AD671" s="30" t="str">
        <f aca="false">IF(AND(B671="brand",E671="budget_probe",ISNUMBER(F671),I671=Lists!$X$4),IF(COUNTIFS(C$5:C671,C671,E$5:E671,"budget_probe",I$5:I671,Lists!$X$4)=1,F671,""),"")</f>
        <v/>
      </c>
      <c r="AE671" s="30" t="n">
        <f aca="false">IF(AND(B671="brand",E671="paid",ISNUMBER(F671)),IF(AND(SUMIFS(F$5:F671,B$5:B671,"brand",C$5:C671,C671,E$5:E671,"paid")&gt;=Inputs!$C$44,SUMIFS(F$5:F671,B$5:B671,"brand",C$5:C671,C671,E$5:E671,"paid")-F671&lt;Inputs!$C$44),1,0),0)</f>
        <v>0</v>
      </c>
    </row>
    <row r="672" customFormat="false" ht="15" hidden="false" customHeight="false" outlineLevel="0" collapsed="false">
      <c r="A672" s="102"/>
      <c r="B672" s="103"/>
      <c r="C672" s="103"/>
      <c r="D672" s="103"/>
      <c r="E672" s="103"/>
      <c r="F672" s="103"/>
      <c r="G672" s="103"/>
      <c r="H672" s="103"/>
      <c r="I672" s="103"/>
      <c r="T672" s="30" t="str">
        <f aca="false">IF(C672="","",IF(COUNTIFS(C$5:C672,C672,E$5:E672,E672)=1,1,0))</f>
        <v/>
      </c>
      <c r="U672" s="30" t="n">
        <f aca="false">IF(C672="",0,IF(AND(B672="brand",E672="budget_probe",N(F672)&gt;=Inputs!$C$124,H672="Y"),1,0))</f>
        <v>0</v>
      </c>
      <c r="V672" s="30" t="n">
        <f aca="false">IF(U672=1,IF(COUNTIFS(C$5:C672,C672,U$5:U672,1)=1,1,0),0)</f>
        <v>0</v>
      </c>
      <c r="W672" s="30" t="n">
        <f aca="false">IF(C672="",0,IF(AND(B672="office",E672="budget_probe",N(F672)&gt;=Inputs!$C$139),1,0))</f>
        <v>0</v>
      </c>
      <c r="X672" s="30" t="n">
        <f aca="false">IF(W672=1,IF(COUNTIFS(C$5:C672,C672,W$5:W672,1)=1,1,0),0)</f>
        <v>0</v>
      </c>
      <c r="Y672" s="30" t="n">
        <f aca="false">IF(C672="",0,IF(AND(B672="brand",E672="renewal_answer",TRIM(G672)="yes",N(F672)&gt;=Inputs!$C$135),1,0))</f>
        <v>0</v>
      </c>
      <c r="Z672" s="30" t="n">
        <f aca="false">IF(Y672=1,IF(COUNTIFS(C$5:C672,C672,Y$5:Y672,1)=1,1,0),0)</f>
        <v>0</v>
      </c>
      <c r="AA672" s="30" t="n">
        <f aca="false">IF(AND(E672="budget_probe",ISNUMBER(F672),I672&lt;&gt;Lists!$X$4),1,0)</f>
        <v>0</v>
      </c>
      <c r="AB672" s="30" t="str">
        <f aca="false">IF(AND(B672="office",AA672=1,COUNTIFS(C$5:C672,C672,AA$5:AA672,1)=1),F672,"")</f>
        <v/>
      </c>
      <c r="AC672" s="30" t="str">
        <f aca="false">IF(AND(B672="brand",AA672=1,COUNTIFS(C$5:C672,C672,AA$5:AA672,1)=1),F672,"")</f>
        <v/>
      </c>
      <c r="AD672" s="30" t="str">
        <f aca="false">IF(AND(B672="brand",E672="budget_probe",ISNUMBER(F672),I672=Lists!$X$4),IF(COUNTIFS(C$5:C672,C672,E$5:E672,"budget_probe",I$5:I672,Lists!$X$4)=1,F672,""),"")</f>
        <v/>
      </c>
      <c r="AE672" s="30" t="n">
        <f aca="false">IF(AND(B672="brand",E672="paid",ISNUMBER(F672)),IF(AND(SUMIFS(F$5:F672,B$5:B672,"brand",C$5:C672,C672,E$5:E672,"paid")&gt;=Inputs!$C$44,SUMIFS(F$5:F672,B$5:B672,"brand",C$5:C672,C672,E$5:E672,"paid")-F672&lt;Inputs!$C$44),1,0),0)</f>
        <v>0</v>
      </c>
    </row>
    <row r="673" customFormat="false" ht="15" hidden="false" customHeight="false" outlineLevel="0" collapsed="false">
      <c r="A673" s="102"/>
      <c r="B673" s="103"/>
      <c r="C673" s="103"/>
      <c r="D673" s="103"/>
      <c r="E673" s="103"/>
      <c r="F673" s="103"/>
      <c r="G673" s="103"/>
      <c r="H673" s="103"/>
      <c r="I673" s="103"/>
      <c r="T673" s="30" t="str">
        <f aca="false">IF(C673="","",IF(COUNTIFS(C$5:C673,C673,E$5:E673,E673)=1,1,0))</f>
        <v/>
      </c>
      <c r="U673" s="30" t="n">
        <f aca="false">IF(C673="",0,IF(AND(B673="brand",E673="budget_probe",N(F673)&gt;=Inputs!$C$124,H673="Y"),1,0))</f>
        <v>0</v>
      </c>
      <c r="V673" s="30" t="n">
        <f aca="false">IF(U673=1,IF(COUNTIFS(C$5:C673,C673,U$5:U673,1)=1,1,0),0)</f>
        <v>0</v>
      </c>
      <c r="W673" s="30" t="n">
        <f aca="false">IF(C673="",0,IF(AND(B673="office",E673="budget_probe",N(F673)&gt;=Inputs!$C$139),1,0))</f>
        <v>0</v>
      </c>
      <c r="X673" s="30" t="n">
        <f aca="false">IF(W673=1,IF(COUNTIFS(C$5:C673,C673,W$5:W673,1)=1,1,0),0)</f>
        <v>0</v>
      </c>
      <c r="Y673" s="30" t="n">
        <f aca="false">IF(C673="",0,IF(AND(B673="brand",E673="renewal_answer",TRIM(G673)="yes",N(F673)&gt;=Inputs!$C$135),1,0))</f>
        <v>0</v>
      </c>
      <c r="Z673" s="30" t="n">
        <f aca="false">IF(Y673=1,IF(COUNTIFS(C$5:C673,C673,Y$5:Y673,1)=1,1,0),0)</f>
        <v>0</v>
      </c>
      <c r="AA673" s="30" t="n">
        <f aca="false">IF(AND(E673="budget_probe",ISNUMBER(F673),I673&lt;&gt;Lists!$X$4),1,0)</f>
        <v>0</v>
      </c>
      <c r="AB673" s="30" t="str">
        <f aca="false">IF(AND(B673="office",AA673=1,COUNTIFS(C$5:C673,C673,AA$5:AA673,1)=1),F673,"")</f>
        <v/>
      </c>
      <c r="AC673" s="30" t="str">
        <f aca="false">IF(AND(B673="brand",AA673=1,COUNTIFS(C$5:C673,C673,AA$5:AA673,1)=1),F673,"")</f>
        <v/>
      </c>
      <c r="AD673" s="30" t="str">
        <f aca="false">IF(AND(B673="brand",E673="budget_probe",ISNUMBER(F673),I673=Lists!$X$4),IF(COUNTIFS(C$5:C673,C673,E$5:E673,"budget_probe",I$5:I673,Lists!$X$4)=1,F673,""),"")</f>
        <v/>
      </c>
      <c r="AE673" s="30" t="n">
        <f aca="false">IF(AND(B673="brand",E673="paid",ISNUMBER(F673)),IF(AND(SUMIFS(F$5:F673,B$5:B673,"brand",C$5:C673,C673,E$5:E673,"paid")&gt;=Inputs!$C$44,SUMIFS(F$5:F673,B$5:B673,"brand",C$5:C673,C673,E$5:E673,"paid")-F673&lt;Inputs!$C$44),1,0),0)</f>
        <v>0</v>
      </c>
    </row>
    <row r="674" customFormat="false" ht="15" hidden="false" customHeight="false" outlineLevel="0" collapsed="false">
      <c r="A674" s="102"/>
      <c r="B674" s="103"/>
      <c r="C674" s="103"/>
      <c r="D674" s="103"/>
      <c r="E674" s="103"/>
      <c r="F674" s="103"/>
      <c r="G674" s="103"/>
      <c r="H674" s="103"/>
      <c r="I674" s="103"/>
      <c r="T674" s="30" t="str">
        <f aca="false">IF(C674="","",IF(COUNTIFS(C$5:C674,C674,E$5:E674,E674)=1,1,0))</f>
        <v/>
      </c>
      <c r="U674" s="30" t="n">
        <f aca="false">IF(C674="",0,IF(AND(B674="brand",E674="budget_probe",N(F674)&gt;=Inputs!$C$124,H674="Y"),1,0))</f>
        <v>0</v>
      </c>
      <c r="V674" s="30" t="n">
        <f aca="false">IF(U674=1,IF(COUNTIFS(C$5:C674,C674,U$5:U674,1)=1,1,0),0)</f>
        <v>0</v>
      </c>
      <c r="W674" s="30" t="n">
        <f aca="false">IF(C674="",0,IF(AND(B674="office",E674="budget_probe",N(F674)&gt;=Inputs!$C$139),1,0))</f>
        <v>0</v>
      </c>
      <c r="X674" s="30" t="n">
        <f aca="false">IF(W674=1,IF(COUNTIFS(C$5:C674,C674,W$5:W674,1)=1,1,0),0)</f>
        <v>0</v>
      </c>
      <c r="Y674" s="30" t="n">
        <f aca="false">IF(C674="",0,IF(AND(B674="brand",E674="renewal_answer",TRIM(G674)="yes",N(F674)&gt;=Inputs!$C$135),1,0))</f>
        <v>0</v>
      </c>
      <c r="Z674" s="30" t="n">
        <f aca="false">IF(Y674=1,IF(COUNTIFS(C$5:C674,C674,Y$5:Y674,1)=1,1,0),0)</f>
        <v>0</v>
      </c>
      <c r="AA674" s="30" t="n">
        <f aca="false">IF(AND(E674="budget_probe",ISNUMBER(F674),I674&lt;&gt;Lists!$X$4),1,0)</f>
        <v>0</v>
      </c>
      <c r="AB674" s="30" t="str">
        <f aca="false">IF(AND(B674="office",AA674=1,COUNTIFS(C$5:C674,C674,AA$5:AA674,1)=1),F674,"")</f>
        <v/>
      </c>
      <c r="AC674" s="30" t="str">
        <f aca="false">IF(AND(B674="brand",AA674=1,COUNTIFS(C$5:C674,C674,AA$5:AA674,1)=1),F674,"")</f>
        <v/>
      </c>
      <c r="AD674" s="30" t="str">
        <f aca="false">IF(AND(B674="brand",E674="budget_probe",ISNUMBER(F674),I674=Lists!$X$4),IF(COUNTIFS(C$5:C674,C674,E$5:E674,"budget_probe",I$5:I674,Lists!$X$4)=1,F674,""),"")</f>
        <v/>
      </c>
      <c r="AE674" s="30" t="n">
        <f aca="false">IF(AND(B674="brand",E674="paid",ISNUMBER(F674)),IF(AND(SUMIFS(F$5:F674,B$5:B674,"brand",C$5:C674,C674,E$5:E674,"paid")&gt;=Inputs!$C$44,SUMIFS(F$5:F674,B$5:B674,"brand",C$5:C674,C674,E$5:E674,"paid")-F674&lt;Inputs!$C$44),1,0),0)</f>
        <v>0</v>
      </c>
    </row>
    <row r="675" customFormat="false" ht="15" hidden="false" customHeight="false" outlineLevel="0" collapsed="false">
      <c r="A675" s="102"/>
      <c r="B675" s="103"/>
      <c r="C675" s="103"/>
      <c r="D675" s="103"/>
      <c r="E675" s="103"/>
      <c r="F675" s="103"/>
      <c r="G675" s="103"/>
      <c r="H675" s="103"/>
      <c r="I675" s="103"/>
      <c r="T675" s="30" t="str">
        <f aca="false">IF(C675="","",IF(COUNTIFS(C$5:C675,C675,E$5:E675,E675)=1,1,0))</f>
        <v/>
      </c>
      <c r="U675" s="30" t="n">
        <f aca="false">IF(C675="",0,IF(AND(B675="brand",E675="budget_probe",N(F675)&gt;=Inputs!$C$124,H675="Y"),1,0))</f>
        <v>0</v>
      </c>
      <c r="V675" s="30" t="n">
        <f aca="false">IF(U675=1,IF(COUNTIFS(C$5:C675,C675,U$5:U675,1)=1,1,0),0)</f>
        <v>0</v>
      </c>
      <c r="W675" s="30" t="n">
        <f aca="false">IF(C675="",0,IF(AND(B675="office",E675="budget_probe",N(F675)&gt;=Inputs!$C$139),1,0))</f>
        <v>0</v>
      </c>
      <c r="X675" s="30" t="n">
        <f aca="false">IF(W675=1,IF(COUNTIFS(C$5:C675,C675,W$5:W675,1)=1,1,0),0)</f>
        <v>0</v>
      </c>
      <c r="Y675" s="30" t="n">
        <f aca="false">IF(C675="",0,IF(AND(B675="brand",E675="renewal_answer",TRIM(G675)="yes",N(F675)&gt;=Inputs!$C$135),1,0))</f>
        <v>0</v>
      </c>
      <c r="Z675" s="30" t="n">
        <f aca="false">IF(Y675=1,IF(COUNTIFS(C$5:C675,C675,Y$5:Y675,1)=1,1,0),0)</f>
        <v>0</v>
      </c>
      <c r="AA675" s="30" t="n">
        <f aca="false">IF(AND(E675="budget_probe",ISNUMBER(F675),I675&lt;&gt;Lists!$X$4),1,0)</f>
        <v>0</v>
      </c>
      <c r="AB675" s="30" t="str">
        <f aca="false">IF(AND(B675="office",AA675=1,COUNTIFS(C$5:C675,C675,AA$5:AA675,1)=1),F675,"")</f>
        <v/>
      </c>
      <c r="AC675" s="30" t="str">
        <f aca="false">IF(AND(B675="brand",AA675=1,COUNTIFS(C$5:C675,C675,AA$5:AA675,1)=1),F675,"")</f>
        <v/>
      </c>
      <c r="AD675" s="30" t="str">
        <f aca="false">IF(AND(B675="brand",E675="budget_probe",ISNUMBER(F675),I675=Lists!$X$4),IF(COUNTIFS(C$5:C675,C675,E$5:E675,"budget_probe",I$5:I675,Lists!$X$4)=1,F675,""),"")</f>
        <v/>
      </c>
      <c r="AE675" s="30" t="n">
        <f aca="false">IF(AND(B675="brand",E675="paid",ISNUMBER(F675)),IF(AND(SUMIFS(F$5:F675,B$5:B675,"brand",C$5:C675,C675,E$5:E675,"paid")&gt;=Inputs!$C$44,SUMIFS(F$5:F675,B$5:B675,"brand",C$5:C675,C675,E$5:E675,"paid")-F675&lt;Inputs!$C$44),1,0),0)</f>
        <v>0</v>
      </c>
    </row>
    <row r="676" customFormat="false" ht="15" hidden="false" customHeight="false" outlineLevel="0" collapsed="false">
      <c r="A676" s="102"/>
      <c r="B676" s="103"/>
      <c r="C676" s="103"/>
      <c r="D676" s="103"/>
      <c r="E676" s="103"/>
      <c r="F676" s="103"/>
      <c r="G676" s="103"/>
      <c r="H676" s="103"/>
      <c r="I676" s="103"/>
      <c r="T676" s="30" t="str">
        <f aca="false">IF(C676="","",IF(COUNTIFS(C$5:C676,C676,E$5:E676,E676)=1,1,0))</f>
        <v/>
      </c>
      <c r="U676" s="30" t="n">
        <f aca="false">IF(C676="",0,IF(AND(B676="brand",E676="budget_probe",N(F676)&gt;=Inputs!$C$124,H676="Y"),1,0))</f>
        <v>0</v>
      </c>
      <c r="V676" s="30" t="n">
        <f aca="false">IF(U676=1,IF(COUNTIFS(C$5:C676,C676,U$5:U676,1)=1,1,0),0)</f>
        <v>0</v>
      </c>
      <c r="W676" s="30" t="n">
        <f aca="false">IF(C676="",0,IF(AND(B676="office",E676="budget_probe",N(F676)&gt;=Inputs!$C$139),1,0))</f>
        <v>0</v>
      </c>
      <c r="X676" s="30" t="n">
        <f aca="false">IF(W676=1,IF(COUNTIFS(C$5:C676,C676,W$5:W676,1)=1,1,0),0)</f>
        <v>0</v>
      </c>
      <c r="Y676" s="30" t="n">
        <f aca="false">IF(C676="",0,IF(AND(B676="brand",E676="renewal_answer",TRIM(G676)="yes",N(F676)&gt;=Inputs!$C$135),1,0))</f>
        <v>0</v>
      </c>
      <c r="Z676" s="30" t="n">
        <f aca="false">IF(Y676=1,IF(COUNTIFS(C$5:C676,C676,Y$5:Y676,1)=1,1,0),0)</f>
        <v>0</v>
      </c>
      <c r="AA676" s="30" t="n">
        <f aca="false">IF(AND(E676="budget_probe",ISNUMBER(F676),I676&lt;&gt;Lists!$X$4),1,0)</f>
        <v>0</v>
      </c>
      <c r="AB676" s="30" t="str">
        <f aca="false">IF(AND(B676="office",AA676=1,COUNTIFS(C$5:C676,C676,AA$5:AA676,1)=1),F676,"")</f>
        <v/>
      </c>
      <c r="AC676" s="30" t="str">
        <f aca="false">IF(AND(B676="brand",AA676=1,COUNTIFS(C$5:C676,C676,AA$5:AA676,1)=1),F676,"")</f>
        <v/>
      </c>
      <c r="AD676" s="30" t="str">
        <f aca="false">IF(AND(B676="brand",E676="budget_probe",ISNUMBER(F676),I676=Lists!$X$4),IF(COUNTIFS(C$5:C676,C676,E$5:E676,"budget_probe",I$5:I676,Lists!$X$4)=1,F676,""),"")</f>
        <v/>
      </c>
      <c r="AE676" s="30" t="n">
        <f aca="false">IF(AND(B676="brand",E676="paid",ISNUMBER(F676)),IF(AND(SUMIFS(F$5:F676,B$5:B676,"brand",C$5:C676,C676,E$5:E676,"paid")&gt;=Inputs!$C$44,SUMIFS(F$5:F676,B$5:B676,"brand",C$5:C676,C676,E$5:E676,"paid")-F676&lt;Inputs!$C$44),1,0),0)</f>
        <v>0</v>
      </c>
    </row>
    <row r="677" customFormat="false" ht="15" hidden="false" customHeight="false" outlineLevel="0" collapsed="false">
      <c r="A677" s="102"/>
      <c r="B677" s="103"/>
      <c r="C677" s="103"/>
      <c r="D677" s="103"/>
      <c r="E677" s="103"/>
      <c r="F677" s="103"/>
      <c r="G677" s="103"/>
      <c r="H677" s="103"/>
      <c r="I677" s="103"/>
      <c r="T677" s="30" t="str">
        <f aca="false">IF(C677="","",IF(COUNTIFS(C$5:C677,C677,E$5:E677,E677)=1,1,0))</f>
        <v/>
      </c>
      <c r="U677" s="30" t="n">
        <f aca="false">IF(C677="",0,IF(AND(B677="brand",E677="budget_probe",N(F677)&gt;=Inputs!$C$124,H677="Y"),1,0))</f>
        <v>0</v>
      </c>
      <c r="V677" s="30" t="n">
        <f aca="false">IF(U677=1,IF(COUNTIFS(C$5:C677,C677,U$5:U677,1)=1,1,0),0)</f>
        <v>0</v>
      </c>
      <c r="W677" s="30" t="n">
        <f aca="false">IF(C677="",0,IF(AND(B677="office",E677="budget_probe",N(F677)&gt;=Inputs!$C$139),1,0))</f>
        <v>0</v>
      </c>
      <c r="X677" s="30" t="n">
        <f aca="false">IF(W677=1,IF(COUNTIFS(C$5:C677,C677,W$5:W677,1)=1,1,0),0)</f>
        <v>0</v>
      </c>
      <c r="Y677" s="30" t="n">
        <f aca="false">IF(C677="",0,IF(AND(B677="brand",E677="renewal_answer",TRIM(G677)="yes",N(F677)&gt;=Inputs!$C$135),1,0))</f>
        <v>0</v>
      </c>
      <c r="Z677" s="30" t="n">
        <f aca="false">IF(Y677=1,IF(COUNTIFS(C$5:C677,C677,Y$5:Y677,1)=1,1,0),0)</f>
        <v>0</v>
      </c>
      <c r="AA677" s="30" t="n">
        <f aca="false">IF(AND(E677="budget_probe",ISNUMBER(F677),I677&lt;&gt;Lists!$X$4),1,0)</f>
        <v>0</v>
      </c>
      <c r="AB677" s="30" t="str">
        <f aca="false">IF(AND(B677="office",AA677=1,COUNTIFS(C$5:C677,C677,AA$5:AA677,1)=1),F677,"")</f>
        <v/>
      </c>
      <c r="AC677" s="30" t="str">
        <f aca="false">IF(AND(B677="brand",AA677=1,COUNTIFS(C$5:C677,C677,AA$5:AA677,1)=1),F677,"")</f>
        <v/>
      </c>
      <c r="AD677" s="30" t="str">
        <f aca="false">IF(AND(B677="brand",E677="budget_probe",ISNUMBER(F677),I677=Lists!$X$4),IF(COUNTIFS(C$5:C677,C677,E$5:E677,"budget_probe",I$5:I677,Lists!$X$4)=1,F677,""),"")</f>
        <v/>
      </c>
      <c r="AE677" s="30" t="n">
        <f aca="false">IF(AND(B677="brand",E677="paid",ISNUMBER(F677)),IF(AND(SUMIFS(F$5:F677,B$5:B677,"brand",C$5:C677,C677,E$5:E677,"paid")&gt;=Inputs!$C$44,SUMIFS(F$5:F677,B$5:B677,"brand",C$5:C677,C677,E$5:E677,"paid")-F677&lt;Inputs!$C$44),1,0),0)</f>
        <v>0</v>
      </c>
    </row>
    <row r="678" customFormat="false" ht="15" hidden="false" customHeight="false" outlineLevel="0" collapsed="false">
      <c r="A678" s="102"/>
      <c r="B678" s="103"/>
      <c r="C678" s="103"/>
      <c r="D678" s="103"/>
      <c r="E678" s="103"/>
      <c r="F678" s="103"/>
      <c r="G678" s="103"/>
      <c r="H678" s="103"/>
      <c r="I678" s="103"/>
      <c r="T678" s="30" t="str">
        <f aca="false">IF(C678="","",IF(COUNTIFS(C$5:C678,C678,E$5:E678,E678)=1,1,0))</f>
        <v/>
      </c>
      <c r="U678" s="30" t="n">
        <f aca="false">IF(C678="",0,IF(AND(B678="brand",E678="budget_probe",N(F678)&gt;=Inputs!$C$124,H678="Y"),1,0))</f>
        <v>0</v>
      </c>
      <c r="V678" s="30" t="n">
        <f aca="false">IF(U678=1,IF(COUNTIFS(C$5:C678,C678,U$5:U678,1)=1,1,0),0)</f>
        <v>0</v>
      </c>
      <c r="W678" s="30" t="n">
        <f aca="false">IF(C678="",0,IF(AND(B678="office",E678="budget_probe",N(F678)&gt;=Inputs!$C$139),1,0))</f>
        <v>0</v>
      </c>
      <c r="X678" s="30" t="n">
        <f aca="false">IF(W678=1,IF(COUNTIFS(C$5:C678,C678,W$5:W678,1)=1,1,0),0)</f>
        <v>0</v>
      </c>
      <c r="Y678" s="30" t="n">
        <f aca="false">IF(C678="",0,IF(AND(B678="brand",E678="renewal_answer",TRIM(G678)="yes",N(F678)&gt;=Inputs!$C$135),1,0))</f>
        <v>0</v>
      </c>
      <c r="Z678" s="30" t="n">
        <f aca="false">IF(Y678=1,IF(COUNTIFS(C$5:C678,C678,Y$5:Y678,1)=1,1,0),0)</f>
        <v>0</v>
      </c>
      <c r="AA678" s="30" t="n">
        <f aca="false">IF(AND(E678="budget_probe",ISNUMBER(F678),I678&lt;&gt;Lists!$X$4),1,0)</f>
        <v>0</v>
      </c>
      <c r="AB678" s="30" t="str">
        <f aca="false">IF(AND(B678="office",AA678=1,COUNTIFS(C$5:C678,C678,AA$5:AA678,1)=1),F678,"")</f>
        <v/>
      </c>
      <c r="AC678" s="30" t="str">
        <f aca="false">IF(AND(B678="brand",AA678=1,COUNTIFS(C$5:C678,C678,AA$5:AA678,1)=1),F678,"")</f>
        <v/>
      </c>
      <c r="AD678" s="30" t="str">
        <f aca="false">IF(AND(B678="brand",E678="budget_probe",ISNUMBER(F678),I678=Lists!$X$4),IF(COUNTIFS(C$5:C678,C678,E$5:E678,"budget_probe",I$5:I678,Lists!$X$4)=1,F678,""),"")</f>
        <v/>
      </c>
      <c r="AE678" s="30" t="n">
        <f aca="false">IF(AND(B678="brand",E678="paid",ISNUMBER(F678)),IF(AND(SUMIFS(F$5:F678,B$5:B678,"brand",C$5:C678,C678,E$5:E678,"paid")&gt;=Inputs!$C$44,SUMIFS(F$5:F678,B$5:B678,"brand",C$5:C678,C678,E$5:E678,"paid")-F678&lt;Inputs!$C$44),1,0),0)</f>
        <v>0</v>
      </c>
    </row>
    <row r="679" customFormat="false" ht="15" hidden="false" customHeight="false" outlineLevel="0" collapsed="false">
      <c r="A679" s="102"/>
      <c r="B679" s="103"/>
      <c r="C679" s="103"/>
      <c r="D679" s="103"/>
      <c r="E679" s="103"/>
      <c r="F679" s="103"/>
      <c r="G679" s="103"/>
      <c r="H679" s="103"/>
      <c r="I679" s="103"/>
      <c r="T679" s="30" t="str">
        <f aca="false">IF(C679="","",IF(COUNTIFS(C$5:C679,C679,E$5:E679,E679)=1,1,0))</f>
        <v/>
      </c>
      <c r="U679" s="30" t="n">
        <f aca="false">IF(C679="",0,IF(AND(B679="brand",E679="budget_probe",N(F679)&gt;=Inputs!$C$124,H679="Y"),1,0))</f>
        <v>0</v>
      </c>
      <c r="V679" s="30" t="n">
        <f aca="false">IF(U679=1,IF(COUNTIFS(C$5:C679,C679,U$5:U679,1)=1,1,0),0)</f>
        <v>0</v>
      </c>
      <c r="W679" s="30" t="n">
        <f aca="false">IF(C679="",0,IF(AND(B679="office",E679="budget_probe",N(F679)&gt;=Inputs!$C$139),1,0))</f>
        <v>0</v>
      </c>
      <c r="X679" s="30" t="n">
        <f aca="false">IF(W679=1,IF(COUNTIFS(C$5:C679,C679,W$5:W679,1)=1,1,0),0)</f>
        <v>0</v>
      </c>
      <c r="Y679" s="30" t="n">
        <f aca="false">IF(C679="",0,IF(AND(B679="brand",E679="renewal_answer",TRIM(G679)="yes",N(F679)&gt;=Inputs!$C$135),1,0))</f>
        <v>0</v>
      </c>
      <c r="Z679" s="30" t="n">
        <f aca="false">IF(Y679=1,IF(COUNTIFS(C$5:C679,C679,Y$5:Y679,1)=1,1,0),0)</f>
        <v>0</v>
      </c>
      <c r="AA679" s="30" t="n">
        <f aca="false">IF(AND(E679="budget_probe",ISNUMBER(F679),I679&lt;&gt;Lists!$X$4),1,0)</f>
        <v>0</v>
      </c>
      <c r="AB679" s="30" t="str">
        <f aca="false">IF(AND(B679="office",AA679=1,COUNTIFS(C$5:C679,C679,AA$5:AA679,1)=1),F679,"")</f>
        <v/>
      </c>
      <c r="AC679" s="30" t="str">
        <f aca="false">IF(AND(B679="brand",AA679=1,COUNTIFS(C$5:C679,C679,AA$5:AA679,1)=1),F679,"")</f>
        <v/>
      </c>
      <c r="AD679" s="30" t="str">
        <f aca="false">IF(AND(B679="brand",E679="budget_probe",ISNUMBER(F679),I679=Lists!$X$4),IF(COUNTIFS(C$5:C679,C679,E$5:E679,"budget_probe",I$5:I679,Lists!$X$4)=1,F679,""),"")</f>
        <v/>
      </c>
      <c r="AE679" s="30" t="n">
        <f aca="false">IF(AND(B679="brand",E679="paid",ISNUMBER(F679)),IF(AND(SUMIFS(F$5:F679,B$5:B679,"brand",C$5:C679,C679,E$5:E679,"paid")&gt;=Inputs!$C$44,SUMIFS(F$5:F679,B$5:B679,"brand",C$5:C679,C679,E$5:E679,"paid")-F679&lt;Inputs!$C$44),1,0),0)</f>
        <v>0</v>
      </c>
    </row>
    <row r="680" customFormat="false" ht="15" hidden="false" customHeight="false" outlineLevel="0" collapsed="false">
      <c r="A680" s="102"/>
      <c r="B680" s="103"/>
      <c r="C680" s="103"/>
      <c r="D680" s="103"/>
      <c r="E680" s="103"/>
      <c r="F680" s="103"/>
      <c r="G680" s="103"/>
      <c r="H680" s="103"/>
      <c r="I680" s="103"/>
      <c r="T680" s="30" t="str">
        <f aca="false">IF(C680="","",IF(COUNTIFS(C$5:C680,C680,E$5:E680,E680)=1,1,0))</f>
        <v/>
      </c>
      <c r="U680" s="30" t="n">
        <f aca="false">IF(C680="",0,IF(AND(B680="brand",E680="budget_probe",N(F680)&gt;=Inputs!$C$124,H680="Y"),1,0))</f>
        <v>0</v>
      </c>
      <c r="V680" s="30" t="n">
        <f aca="false">IF(U680=1,IF(COUNTIFS(C$5:C680,C680,U$5:U680,1)=1,1,0),0)</f>
        <v>0</v>
      </c>
      <c r="W680" s="30" t="n">
        <f aca="false">IF(C680="",0,IF(AND(B680="office",E680="budget_probe",N(F680)&gt;=Inputs!$C$139),1,0))</f>
        <v>0</v>
      </c>
      <c r="X680" s="30" t="n">
        <f aca="false">IF(W680=1,IF(COUNTIFS(C$5:C680,C680,W$5:W680,1)=1,1,0),0)</f>
        <v>0</v>
      </c>
      <c r="Y680" s="30" t="n">
        <f aca="false">IF(C680="",0,IF(AND(B680="brand",E680="renewal_answer",TRIM(G680)="yes",N(F680)&gt;=Inputs!$C$135),1,0))</f>
        <v>0</v>
      </c>
      <c r="Z680" s="30" t="n">
        <f aca="false">IF(Y680=1,IF(COUNTIFS(C$5:C680,C680,Y$5:Y680,1)=1,1,0),0)</f>
        <v>0</v>
      </c>
      <c r="AA680" s="30" t="n">
        <f aca="false">IF(AND(E680="budget_probe",ISNUMBER(F680),I680&lt;&gt;Lists!$X$4),1,0)</f>
        <v>0</v>
      </c>
      <c r="AB680" s="30" t="str">
        <f aca="false">IF(AND(B680="office",AA680=1,COUNTIFS(C$5:C680,C680,AA$5:AA680,1)=1),F680,"")</f>
        <v/>
      </c>
      <c r="AC680" s="30" t="str">
        <f aca="false">IF(AND(B680="brand",AA680=1,COUNTIFS(C$5:C680,C680,AA$5:AA680,1)=1),F680,"")</f>
        <v/>
      </c>
      <c r="AD680" s="30" t="str">
        <f aca="false">IF(AND(B680="brand",E680="budget_probe",ISNUMBER(F680),I680=Lists!$X$4),IF(COUNTIFS(C$5:C680,C680,E$5:E680,"budget_probe",I$5:I680,Lists!$X$4)=1,F680,""),"")</f>
        <v/>
      </c>
      <c r="AE680" s="30" t="n">
        <f aca="false">IF(AND(B680="brand",E680="paid",ISNUMBER(F680)),IF(AND(SUMIFS(F$5:F680,B$5:B680,"brand",C$5:C680,C680,E$5:E680,"paid")&gt;=Inputs!$C$44,SUMIFS(F$5:F680,B$5:B680,"brand",C$5:C680,C680,E$5:E680,"paid")-F680&lt;Inputs!$C$44),1,0),0)</f>
        <v>0</v>
      </c>
    </row>
    <row r="681" customFormat="false" ht="15" hidden="false" customHeight="false" outlineLevel="0" collapsed="false">
      <c r="A681" s="102"/>
      <c r="B681" s="103"/>
      <c r="C681" s="103"/>
      <c r="D681" s="103"/>
      <c r="E681" s="103"/>
      <c r="F681" s="103"/>
      <c r="G681" s="103"/>
      <c r="H681" s="103"/>
      <c r="I681" s="103"/>
      <c r="T681" s="30" t="str">
        <f aca="false">IF(C681="","",IF(COUNTIFS(C$5:C681,C681,E$5:E681,E681)=1,1,0))</f>
        <v/>
      </c>
      <c r="U681" s="30" t="n">
        <f aca="false">IF(C681="",0,IF(AND(B681="brand",E681="budget_probe",N(F681)&gt;=Inputs!$C$124,H681="Y"),1,0))</f>
        <v>0</v>
      </c>
      <c r="V681" s="30" t="n">
        <f aca="false">IF(U681=1,IF(COUNTIFS(C$5:C681,C681,U$5:U681,1)=1,1,0),0)</f>
        <v>0</v>
      </c>
      <c r="W681" s="30" t="n">
        <f aca="false">IF(C681="",0,IF(AND(B681="office",E681="budget_probe",N(F681)&gt;=Inputs!$C$139),1,0))</f>
        <v>0</v>
      </c>
      <c r="X681" s="30" t="n">
        <f aca="false">IF(W681=1,IF(COUNTIFS(C$5:C681,C681,W$5:W681,1)=1,1,0),0)</f>
        <v>0</v>
      </c>
      <c r="Y681" s="30" t="n">
        <f aca="false">IF(C681="",0,IF(AND(B681="brand",E681="renewal_answer",TRIM(G681)="yes",N(F681)&gt;=Inputs!$C$135),1,0))</f>
        <v>0</v>
      </c>
      <c r="Z681" s="30" t="n">
        <f aca="false">IF(Y681=1,IF(COUNTIFS(C$5:C681,C681,Y$5:Y681,1)=1,1,0),0)</f>
        <v>0</v>
      </c>
      <c r="AA681" s="30" t="n">
        <f aca="false">IF(AND(E681="budget_probe",ISNUMBER(F681),I681&lt;&gt;Lists!$X$4),1,0)</f>
        <v>0</v>
      </c>
      <c r="AB681" s="30" t="str">
        <f aca="false">IF(AND(B681="office",AA681=1,COUNTIFS(C$5:C681,C681,AA$5:AA681,1)=1),F681,"")</f>
        <v/>
      </c>
      <c r="AC681" s="30" t="str">
        <f aca="false">IF(AND(B681="brand",AA681=1,COUNTIFS(C$5:C681,C681,AA$5:AA681,1)=1),F681,"")</f>
        <v/>
      </c>
      <c r="AD681" s="30" t="str">
        <f aca="false">IF(AND(B681="brand",E681="budget_probe",ISNUMBER(F681),I681=Lists!$X$4),IF(COUNTIFS(C$5:C681,C681,E$5:E681,"budget_probe",I$5:I681,Lists!$X$4)=1,F681,""),"")</f>
        <v/>
      </c>
      <c r="AE681" s="30" t="n">
        <f aca="false">IF(AND(B681="brand",E681="paid",ISNUMBER(F681)),IF(AND(SUMIFS(F$5:F681,B$5:B681,"brand",C$5:C681,C681,E$5:E681,"paid")&gt;=Inputs!$C$44,SUMIFS(F$5:F681,B$5:B681,"brand",C$5:C681,C681,E$5:E681,"paid")-F681&lt;Inputs!$C$44),1,0),0)</f>
        <v>0</v>
      </c>
    </row>
    <row r="682" customFormat="false" ht="15" hidden="false" customHeight="false" outlineLevel="0" collapsed="false">
      <c r="A682" s="102"/>
      <c r="B682" s="103"/>
      <c r="C682" s="103"/>
      <c r="D682" s="103"/>
      <c r="E682" s="103"/>
      <c r="F682" s="103"/>
      <c r="G682" s="103"/>
      <c r="H682" s="103"/>
      <c r="I682" s="103"/>
      <c r="T682" s="30" t="str">
        <f aca="false">IF(C682="","",IF(COUNTIFS(C$5:C682,C682,E$5:E682,E682)=1,1,0))</f>
        <v/>
      </c>
      <c r="U682" s="30" t="n">
        <f aca="false">IF(C682="",0,IF(AND(B682="brand",E682="budget_probe",N(F682)&gt;=Inputs!$C$124,H682="Y"),1,0))</f>
        <v>0</v>
      </c>
      <c r="V682" s="30" t="n">
        <f aca="false">IF(U682=1,IF(COUNTIFS(C$5:C682,C682,U$5:U682,1)=1,1,0),0)</f>
        <v>0</v>
      </c>
      <c r="W682" s="30" t="n">
        <f aca="false">IF(C682="",0,IF(AND(B682="office",E682="budget_probe",N(F682)&gt;=Inputs!$C$139),1,0))</f>
        <v>0</v>
      </c>
      <c r="X682" s="30" t="n">
        <f aca="false">IF(W682=1,IF(COUNTIFS(C$5:C682,C682,W$5:W682,1)=1,1,0),0)</f>
        <v>0</v>
      </c>
      <c r="Y682" s="30" t="n">
        <f aca="false">IF(C682="",0,IF(AND(B682="brand",E682="renewal_answer",TRIM(G682)="yes",N(F682)&gt;=Inputs!$C$135),1,0))</f>
        <v>0</v>
      </c>
      <c r="Z682" s="30" t="n">
        <f aca="false">IF(Y682=1,IF(COUNTIFS(C$5:C682,C682,Y$5:Y682,1)=1,1,0),0)</f>
        <v>0</v>
      </c>
      <c r="AA682" s="30" t="n">
        <f aca="false">IF(AND(E682="budget_probe",ISNUMBER(F682),I682&lt;&gt;Lists!$X$4),1,0)</f>
        <v>0</v>
      </c>
      <c r="AB682" s="30" t="str">
        <f aca="false">IF(AND(B682="office",AA682=1,COUNTIFS(C$5:C682,C682,AA$5:AA682,1)=1),F682,"")</f>
        <v/>
      </c>
      <c r="AC682" s="30" t="str">
        <f aca="false">IF(AND(B682="brand",AA682=1,COUNTIFS(C$5:C682,C682,AA$5:AA682,1)=1),F682,"")</f>
        <v/>
      </c>
      <c r="AD682" s="30" t="str">
        <f aca="false">IF(AND(B682="brand",E682="budget_probe",ISNUMBER(F682),I682=Lists!$X$4),IF(COUNTIFS(C$5:C682,C682,E$5:E682,"budget_probe",I$5:I682,Lists!$X$4)=1,F682,""),"")</f>
        <v/>
      </c>
      <c r="AE682" s="30" t="n">
        <f aca="false">IF(AND(B682="brand",E682="paid",ISNUMBER(F682)),IF(AND(SUMIFS(F$5:F682,B$5:B682,"brand",C$5:C682,C682,E$5:E682,"paid")&gt;=Inputs!$C$44,SUMIFS(F$5:F682,B$5:B682,"brand",C$5:C682,C682,E$5:E682,"paid")-F682&lt;Inputs!$C$44),1,0),0)</f>
        <v>0</v>
      </c>
    </row>
    <row r="683" customFormat="false" ht="15" hidden="false" customHeight="false" outlineLevel="0" collapsed="false">
      <c r="A683" s="102"/>
      <c r="B683" s="103"/>
      <c r="C683" s="103"/>
      <c r="D683" s="103"/>
      <c r="E683" s="103"/>
      <c r="F683" s="103"/>
      <c r="G683" s="103"/>
      <c r="H683" s="103"/>
      <c r="I683" s="103"/>
      <c r="T683" s="30" t="str">
        <f aca="false">IF(C683="","",IF(COUNTIFS(C$5:C683,C683,E$5:E683,E683)=1,1,0))</f>
        <v/>
      </c>
      <c r="U683" s="30" t="n">
        <f aca="false">IF(C683="",0,IF(AND(B683="brand",E683="budget_probe",N(F683)&gt;=Inputs!$C$124,H683="Y"),1,0))</f>
        <v>0</v>
      </c>
      <c r="V683" s="30" t="n">
        <f aca="false">IF(U683=1,IF(COUNTIFS(C$5:C683,C683,U$5:U683,1)=1,1,0),0)</f>
        <v>0</v>
      </c>
      <c r="W683" s="30" t="n">
        <f aca="false">IF(C683="",0,IF(AND(B683="office",E683="budget_probe",N(F683)&gt;=Inputs!$C$139),1,0))</f>
        <v>0</v>
      </c>
      <c r="X683" s="30" t="n">
        <f aca="false">IF(W683=1,IF(COUNTIFS(C$5:C683,C683,W$5:W683,1)=1,1,0),0)</f>
        <v>0</v>
      </c>
      <c r="Y683" s="30" t="n">
        <f aca="false">IF(C683="",0,IF(AND(B683="brand",E683="renewal_answer",TRIM(G683)="yes",N(F683)&gt;=Inputs!$C$135),1,0))</f>
        <v>0</v>
      </c>
      <c r="Z683" s="30" t="n">
        <f aca="false">IF(Y683=1,IF(COUNTIFS(C$5:C683,C683,Y$5:Y683,1)=1,1,0),0)</f>
        <v>0</v>
      </c>
      <c r="AA683" s="30" t="n">
        <f aca="false">IF(AND(E683="budget_probe",ISNUMBER(F683),I683&lt;&gt;Lists!$X$4),1,0)</f>
        <v>0</v>
      </c>
      <c r="AB683" s="30" t="str">
        <f aca="false">IF(AND(B683="office",AA683=1,COUNTIFS(C$5:C683,C683,AA$5:AA683,1)=1),F683,"")</f>
        <v/>
      </c>
      <c r="AC683" s="30" t="str">
        <f aca="false">IF(AND(B683="brand",AA683=1,COUNTIFS(C$5:C683,C683,AA$5:AA683,1)=1),F683,"")</f>
        <v/>
      </c>
      <c r="AD683" s="30" t="str">
        <f aca="false">IF(AND(B683="brand",E683="budget_probe",ISNUMBER(F683),I683=Lists!$X$4),IF(COUNTIFS(C$5:C683,C683,E$5:E683,"budget_probe",I$5:I683,Lists!$X$4)=1,F683,""),"")</f>
        <v/>
      </c>
      <c r="AE683" s="30" t="n">
        <f aca="false">IF(AND(B683="brand",E683="paid",ISNUMBER(F683)),IF(AND(SUMIFS(F$5:F683,B$5:B683,"brand",C$5:C683,C683,E$5:E683,"paid")&gt;=Inputs!$C$44,SUMIFS(F$5:F683,B$5:B683,"brand",C$5:C683,C683,E$5:E683,"paid")-F683&lt;Inputs!$C$44),1,0),0)</f>
        <v>0</v>
      </c>
    </row>
    <row r="684" customFormat="false" ht="15" hidden="false" customHeight="false" outlineLevel="0" collapsed="false">
      <c r="A684" s="102"/>
      <c r="B684" s="103"/>
      <c r="C684" s="103"/>
      <c r="D684" s="103"/>
      <c r="E684" s="103"/>
      <c r="F684" s="103"/>
      <c r="G684" s="103"/>
      <c r="H684" s="103"/>
      <c r="I684" s="103"/>
      <c r="T684" s="30" t="str">
        <f aca="false">IF(C684="","",IF(COUNTIFS(C$5:C684,C684,E$5:E684,E684)=1,1,0))</f>
        <v/>
      </c>
      <c r="U684" s="30" t="n">
        <f aca="false">IF(C684="",0,IF(AND(B684="brand",E684="budget_probe",N(F684)&gt;=Inputs!$C$124,H684="Y"),1,0))</f>
        <v>0</v>
      </c>
      <c r="V684" s="30" t="n">
        <f aca="false">IF(U684=1,IF(COUNTIFS(C$5:C684,C684,U$5:U684,1)=1,1,0),0)</f>
        <v>0</v>
      </c>
      <c r="W684" s="30" t="n">
        <f aca="false">IF(C684="",0,IF(AND(B684="office",E684="budget_probe",N(F684)&gt;=Inputs!$C$139),1,0))</f>
        <v>0</v>
      </c>
      <c r="X684" s="30" t="n">
        <f aca="false">IF(W684=1,IF(COUNTIFS(C$5:C684,C684,W$5:W684,1)=1,1,0),0)</f>
        <v>0</v>
      </c>
      <c r="Y684" s="30" t="n">
        <f aca="false">IF(C684="",0,IF(AND(B684="brand",E684="renewal_answer",TRIM(G684)="yes",N(F684)&gt;=Inputs!$C$135),1,0))</f>
        <v>0</v>
      </c>
      <c r="Z684" s="30" t="n">
        <f aca="false">IF(Y684=1,IF(COUNTIFS(C$5:C684,C684,Y$5:Y684,1)=1,1,0),0)</f>
        <v>0</v>
      </c>
      <c r="AA684" s="30" t="n">
        <f aca="false">IF(AND(E684="budget_probe",ISNUMBER(F684),I684&lt;&gt;Lists!$X$4),1,0)</f>
        <v>0</v>
      </c>
      <c r="AB684" s="30" t="str">
        <f aca="false">IF(AND(B684="office",AA684=1,COUNTIFS(C$5:C684,C684,AA$5:AA684,1)=1),F684,"")</f>
        <v/>
      </c>
      <c r="AC684" s="30" t="str">
        <f aca="false">IF(AND(B684="brand",AA684=1,COUNTIFS(C$5:C684,C684,AA$5:AA684,1)=1),F684,"")</f>
        <v/>
      </c>
      <c r="AD684" s="30" t="str">
        <f aca="false">IF(AND(B684="brand",E684="budget_probe",ISNUMBER(F684),I684=Lists!$X$4),IF(COUNTIFS(C$5:C684,C684,E$5:E684,"budget_probe",I$5:I684,Lists!$X$4)=1,F684,""),"")</f>
        <v/>
      </c>
      <c r="AE684" s="30" t="n">
        <f aca="false">IF(AND(B684="brand",E684="paid",ISNUMBER(F684)),IF(AND(SUMIFS(F$5:F684,B$5:B684,"brand",C$5:C684,C684,E$5:E684,"paid")&gt;=Inputs!$C$44,SUMIFS(F$5:F684,B$5:B684,"brand",C$5:C684,C684,E$5:E684,"paid")-F684&lt;Inputs!$C$44),1,0),0)</f>
        <v>0</v>
      </c>
    </row>
    <row r="685" customFormat="false" ht="15" hidden="false" customHeight="false" outlineLevel="0" collapsed="false">
      <c r="A685" s="102"/>
      <c r="B685" s="103"/>
      <c r="C685" s="103"/>
      <c r="D685" s="103"/>
      <c r="E685" s="103"/>
      <c r="F685" s="103"/>
      <c r="G685" s="103"/>
      <c r="H685" s="103"/>
      <c r="I685" s="103"/>
      <c r="T685" s="30" t="str">
        <f aca="false">IF(C685="","",IF(COUNTIFS(C$5:C685,C685,E$5:E685,E685)=1,1,0))</f>
        <v/>
      </c>
      <c r="U685" s="30" t="n">
        <f aca="false">IF(C685="",0,IF(AND(B685="brand",E685="budget_probe",N(F685)&gt;=Inputs!$C$124,H685="Y"),1,0))</f>
        <v>0</v>
      </c>
      <c r="V685" s="30" t="n">
        <f aca="false">IF(U685=1,IF(COUNTIFS(C$5:C685,C685,U$5:U685,1)=1,1,0),0)</f>
        <v>0</v>
      </c>
      <c r="W685" s="30" t="n">
        <f aca="false">IF(C685="",0,IF(AND(B685="office",E685="budget_probe",N(F685)&gt;=Inputs!$C$139),1,0))</f>
        <v>0</v>
      </c>
      <c r="X685" s="30" t="n">
        <f aca="false">IF(W685=1,IF(COUNTIFS(C$5:C685,C685,W$5:W685,1)=1,1,0),0)</f>
        <v>0</v>
      </c>
      <c r="Y685" s="30" t="n">
        <f aca="false">IF(C685="",0,IF(AND(B685="brand",E685="renewal_answer",TRIM(G685)="yes",N(F685)&gt;=Inputs!$C$135),1,0))</f>
        <v>0</v>
      </c>
      <c r="Z685" s="30" t="n">
        <f aca="false">IF(Y685=1,IF(COUNTIFS(C$5:C685,C685,Y$5:Y685,1)=1,1,0),0)</f>
        <v>0</v>
      </c>
      <c r="AA685" s="30" t="n">
        <f aca="false">IF(AND(E685="budget_probe",ISNUMBER(F685),I685&lt;&gt;Lists!$X$4),1,0)</f>
        <v>0</v>
      </c>
      <c r="AB685" s="30" t="str">
        <f aca="false">IF(AND(B685="office",AA685=1,COUNTIFS(C$5:C685,C685,AA$5:AA685,1)=1),F685,"")</f>
        <v/>
      </c>
      <c r="AC685" s="30" t="str">
        <f aca="false">IF(AND(B685="brand",AA685=1,COUNTIFS(C$5:C685,C685,AA$5:AA685,1)=1),F685,"")</f>
        <v/>
      </c>
      <c r="AD685" s="30" t="str">
        <f aca="false">IF(AND(B685="brand",E685="budget_probe",ISNUMBER(F685),I685=Lists!$X$4),IF(COUNTIFS(C$5:C685,C685,E$5:E685,"budget_probe",I$5:I685,Lists!$X$4)=1,F685,""),"")</f>
        <v/>
      </c>
      <c r="AE685" s="30" t="n">
        <f aca="false">IF(AND(B685="brand",E685="paid",ISNUMBER(F685)),IF(AND(SUMIFS(F$5:F685,B$5:B685,"brand",C$5:C685,C685,E$5:E685,"paid")&gt;=Inputs!$C$44,SUMIFS(F$5:F685,B$5:B685,"brand",C$5:C685,C685,E$5:E685,"paid")-F685&lt;Inputs!$C$44),1,0),0)</f>
        <v>0</v>
      </c>
    </row>
    <row r="686" customFormat="false" ht="15" hidden="false" customHeight="false" outlineLevel="0" collapsed="false">
      <c r="A686" s="102"/>
      <c r="B686" s="103"/>
      <c r="C686" s="103"/>
      <c r="D686" s="103"/>
      <c r="E686" s="103"/>
      <c r="F686" s="103"/>
      <c r="G686" s="103"/>
      <c r="H686" s="103"/>
      <c r="I686" s="103"/>
      <c r="T686" s="30" t="str">
        <f aca="false">IF(C686="","",IF(COUNTIFS(C$5:C686,C686,E$5:E686,E686)=1,1,0))</f>
        <v/>
      </c>
      <c r="U686" s="30" t="n">
        <f aca="false">IF(C686="",0,IF(AND(B686="brand",E686="budget_probe",N(F686)&gt;=Inputs!$C$124,H686="Y"),1,0))</f>
        <v>0</v>
      </c>
      <c r="V686" s="30" t="n">
        <f aca="false">IF(U686=1,IF(COUNTIFS(C$5:C686,C686,U$5:U686,1)=1,1,0),0)</f>
        <v>0</v>
      </c>
      <c r="W686" s="30" t="n">
        <f aca="false">IF(C686="",0,IF(AND(B686="office",E686="budget_probe",N(F686)&gt;=Inputs!$C$139),1,0))</f>
        <v>0</v>
      </c>
      <c r="X686" s="30" t="n">
        <f aca="false">IF(W686=1,IF(COUNTIFS(C$5:C686,C686,W$5:W686,1)=1,1,0),0)</f>
        <v>0</v>
      </c>
      <c r="Y686" s="30" t="n">
        <f aca="false">IF(C686="",0,IF(AND(B686="brand",E686="renewal_answer",TRIM(G686)="yes",N(F686)&gt;=Inputs!$C$135),1,0))</f>
        <v>0</v>
      </c>
      <c r="Z686" s="30" t="n">
        <f aca="false">IF(Y686=1,IF(COUNTIFS(C$5:C686,C686,Y$5:Y686,1)=1,1,0),0)</f>
        <v>0</v>
      </c>
      <c r="AA686" s="30" t="n">
        <f aca="false">IF(AND(E686="budget_probe",ISNUMBER(F686),I686&lt;&gt;Lists!$X$4),1,0)</f>
        <v>0</v>
      </c>
      <c r="AB686" s="30" t="str">
        <f aca="false">IF(AND(B686="office",AA686=1,COUNTIFS(C$5:C686,C686,AA$5:AA686,1)=1),F686,"")</f>
        <v/>
      </c>
      <c r="AC686" s="30" t="str">
        <f aca="false">IF(AND(B686="brand",AA686=1,COUNTIFS(C$5:C686,C686,AA$5:AA686,1)=1),F686,"")</f>
        <v/>
      </c>
      <c r="AD686" s="30" t="str">
        <f aca="false">IF(AND(B686="brand",E686="budget_probe",ISNUMBER(F686),I686=Lists!$X$4),IF(COUNTIFS(C$5:C686,C686,E$5:E686,"budget_probe",I$5:I686,Lists!$X$4)=1,F686,""),"")</f>
        <v/>
      </c>
      <c r="AE686" s="30" t="n">
        <f aca="false">IF(AND(B686="brand",E686="paid",ISNUMBER(F686)),IF(AND(SUMIFS(F$5:F686,B$5:B686,"brand",C$5:C686,C686,E$5:E686,"paid")&gt;=Inputs!$C$44,SUMIFS(F$5:F686,B$5:B686,"brand",C$5:C686,C686,E$5:E686,"paid")-F686&lt;Inputs!$C$44),1,0),0)</f>
        <v>0</v>
      </c>
    </row>
    <row r="687" customFormat="false" ht="15" hidden="false" customHeight="false" outlineLevel="0" collapsed="false">
      <c r="A687" s="102"/>
      <c r="B687" s="103"/>
      <c r="C687" s="103"/>
      <c r="D687" s="103"/>
      <c r="E687" s="103"/>
      <c r="F687" s="103"/>
      <c r="G687" s="103"/>
      <c r="H687" s="103"/>
      <c r="I687" s="103"/>
      <c r="T687" s="30" t="str">
        <f aca="false">IF(C687="","",IF(COUNTIFS(C$5:C687,C687,E$5:E687,E687)=1,1,0))</f>
        <v/>
      </c>
      <c r="U687" s="30" t="n">
        <f aca="false">IF(C687="",0,IF(AND(B687="brand",E687="budget_probe",N(F687)&gt;=Inputs!$C$124,H687="Y"),1,0))</f>
        <v>0</v>
      </c>
      <c r="V687" s="30" t="n">
        <f aca="false">IF(U687=1,IF(COUNTIFS(C$5:C687,C687,U$5:U687,1)=1,1,0),0)</f>
        <v>0</v>
      </c>
      <c r="W687" s="30" t="n">
        <f aca="false">IF(C687="",0,IF(AND(B687="office",E687="budget_probe",N(F687)&gt;=Inputs!$C$139),1,0))</f>
        <v>0</v>
      </c>
      <c r="X687" s="30" t="n">
        <f aca="false">IF(W687=1,IF(COUNTIFS(C$5:C687,C687,W$5:W687,1)=1,1,0),0)</f>
        <v>0</v>
      </c>
      <c r="Y687" s="30" t="n">
        <f aca="false">IF(C687="",0,IF(AND(B687="brand",E687="renewal_answer",TRIM(G687)="yes",N(F687)&gt;=Inputs!$C$135),1,0))</f>
        <v>0</v>
      </c>
      <c r="Z687" s="30" t="n">
        <f aca="false">IF(Y687=1,IF(COUNTIFS(C$5:C687,C687,Y$5:Y687,1)=1,1,0),0)</f>
        <v>0</v>
      </c>
      <c r="AA687" s="30" t="n">
        <f aca="false">IF(AND(E687="budget_probe",ISNUMBER(F687),I687&lt;&gt;Lists!$X$4),1,0)</f>
        <v>0</v>
      </c>
      <c r="AB687" s="30" t="str">
        <f aca="false">IF(AND(B687="office",AA687=1,COUNTIFS(C$5:C687,C687,AA$5:AA687,1)=1),F687,"")</f>
        <v/>
      </c>
      <c r="AC687" s="30" t="str">
        <f aca="false">IF(AND(B687="brand",AA687=1,COUNTIFS(C$5:C687,C687,AA$5:AA687,1)=1),F687,"")</f>
        <v/>
      </c>
      <c r="AD687" s="30" t="str">
        <f aca="false">IF(AND(B687="brand",E687="budget_probe",ISNUMBER(F687),I687=Lists!$X$4),IF(COUNTIFS(C$5:C687,C687,E$5:E687,"budget_probe",I$5:I687,Lists!$X$4)=1,F687,""),"")</f>
        <v/>
      </c>
      <c r="AE687" s="30" t="n">
        <f aca="false">IF(AND(B687="brand",E687="paid",ISNUMBER(F687)),IF(AND(SUMIFS(F$5:F687,B$5:B687,"brand",C$5:C687,C687,E$5:E687,"paid")&gt;=Inputs!$C$44,SUMIFS(F$5:F687,B$5:B687,"brand",C$5:C687,C687,E$5:E687,"paid")-F687&lt;Inputs!$C$44),1,0),0)</f>
        <v>0</v>
      </c>
    </row>
    <row r="688" customFormat="false" ht="15" hidden="false" customHeight="false" outlineLevel="0" collapsed="false">
      <c r="A688" s="102"/>
      <c r="B688" s="103"/>
      <c r="C688" s="103"/>
      <c r="D688" s="103"/>
      <c r="E688" s="103"/>
      <c r="F688" s="103"/>
      <c r="G688" s="103"/>
      <c r="H688" s="103"/>
      <c r="I688" s="103"/>
      <c r="T688" s="30" t="str">
        <f aca="false">IF(C688="","",IF(COUNTIFS(C$5:C688,C688,E$5:E688,E688)=1,1,0))</f>
        <v/>
      </c>
      <c r="U688" s="30" t="n">
        <f aca="false">IF(C688="",0,IF(AND(B688="brand",E688="budget_probe",N(F688)&gt;=Inputs!$C$124,H688="Y"),1,0))</f>
        <v>0</v>
      </c>
      <c r="V688" s="30" t="n">
        <f aca="false">IF(U688=1,IF(COUNTIFS(C$5:C688,C688,U$5:U688,1)=1,1,0),0)</f>
        <v>0</v>
      </c>
      <c r="W688" s="30" t="n">
        <f aca="false">IF(C688="",0,IF(AND(B688="office",E688="budget_probe",N(F688)&gt;=Inputs!$C$139),1,0))</f>
        <v>0</v>
      </c>
      <c r="X688" s="30" t="n">
        <f aca="false">IF(W688=1,IF(COUNTIFS(C$5:C688,C688,W$5:W688,1)=1,1,0),0)</f>
        <v>0</v>
      </c>
      <c r="Y688" s="30" t="n">
        <f aca="false">IF(C688="",0,IF(AND(B688="brand",E688="renewal_answer",TRIM(G688)="yes",N(F688)&gt;=Inputs!$C$135),1,0))</f>
        <v>0</v>
      </c>
      <c r="Z688" s="30" t="n">
        <f aca="false">IF(Y688=1,IF(COUNTIFS(C$5:C688,C688,Y$5:Y688,1)=1,1,0),0)</f>
        <v>0</v>
      </c>
      <c r="AA688" s="30" t="n">
        <f aca="false">IF(AND(E688="budget_probe",ISNUMBER(F688),I688&lt;&gt;Lists!$X$4),1,0)</f>
        <v>0</v>
      </c>
      <c r="AB688" s="30" t="str">
        <f aca="false">IF(AND(B688="office",AA688=1,COUNTIFS(C$5:C688,C688,AA$5:AA688,1)=1),F688,"")</f>
        <v/>
      </c>
      <c r="AC688" s="30" t="str">
        <f aca="false">IF(AND(B688="brand",AA688=1,COUNTIFS(C$5:C688,C688,AA$5:AA688,1)=1),F688,"")</f>
        <v/>
      </c>
      <c r="AD688" s="30" t="str">
        <f aca="false">IF(AND(B688="brand",E688="budget_probe",ISNUMBER(F688),I688=Lists!$X$4),IF(COUNTIFS(C$5:C688,C688,E$5:E688,"budget_probe",I$5:I688,Lists!$X$4)=1,F688,""),"")</f>
        <v/>
      </c>
      <c r="AE688" s="30" t="n">
        <f aca="false">IF(AND(B688="brand",E688="paid",ISNUMBER(F688)),IF(AND(SUMIFS(F$5:F688,B$5:B688,"brand",C$5:C688,C688,E$5:E688,"paid")&gt;=Inputs!$C$44,SUMIFS(F$5:F688,B$5:B688,"brand",C$5:C688,C688,E$5:E688,"paid")-F688&lt;Inputs!$C$44),1,0),0)</f>
        <v>0</v>
      </c>
    </row>
    <row r="689" customFormat="false" ht="15" hidden="false" customHeight="false" outlineLevel="0" collapsed="false">
      <c r="A689" s="102"/>
      <c r="B689" s="103"/>
      <c r="C689" s="103"/>
      <c r="D689" s="103"/>
      <c r="E689" s="103"/>
      <c r="F689" s="103"/>
      <c r="G689" s="103"/>
      <c r="H689" s="103"/>
      <c r="I689" s="103"/>
      <c r="T689" s="30" t="str">
        <f aca="false">IF(C689="","",IF(COUNTIFS(C$5:C689,C689,E$5:E689,E689)=1,1,0))</f>
        <v/>
      </c>
      <c r="U689" s="30" t="n">
        <f aca="false">IF(C689="",0,IF(AND(B689="brand",E689="budget_probe",N(F689)&gt;=Inputs!$C$124,H689="Y"),1,0))</f>
        <v>0</v>
      </c>
      <c r="V689" s="30" t="n">
        <f aca="false">IF(U689=1,IF(COUNTIFS(C$5:C689,C689,U$5:U689,1)=1,1,0),0)</f>
        <v>0</v>
      </c>
      <c r="W689" s="30" t="n">
        <f aca="false">IF(C689="",0,IF(AND(B689="office",E689="budget_probe",N(F689)&gt;=Inputs!$C$139),1,0))</f>
        <v>0</v>
      </c>
      <c r="X689" s="30" t="n">
        <f aca="false">IF(W689=1,IF(COUNTIFS(C$5:C689,C689,W$5:W689,1)=1,1,0),0)</f>
        <v>0</v>
      </c>
      <c r="Y689" s="30" t="n">
        <f aca="false">IF(C689="",0,IF(AND(B689="brand",E689="renewal_answer",TRIM(G689)="yes",N(F689)&gt;=Inputs!$C$135),1,0))</f>
        <v>0</v>
      </c>
      <c r="Z689" s="30" t="n">
        <f aca="false">IF(Y689=1,IF(COUNTIFS(C$5:C689,C689,Y$5:Y689,1)=1,1,0),0)</f>
        <v>0</v>
      </c>
      <c r="AA689" s="30" t="n">
        <f aca="false">IF(AND(E689="budget_probe",ISNUMBER(F689),I689&lt;&gt;Lists!$X$4),1,0)</f>
        <v>0</v>
      </c>
      <c r="AB689" s="30" t="str">
        <f aca="false">IF(AND(B689="office",AA689=1,COUNTIFS(C$5:C689,C689,AA$5:AA689,1)=1),F689,"")</f>
        <v/>
      </c>
      <c r="AC689" s="30" t="str">
        <f aca="false">IF(AND(B689="brand",AA689=1,COUNTIFS(C$5:C689,C689,AA$5:AA689,1)=1),F689,"")</f>
        <v/>
      </c>
      <c r="AD689" s="30" t="str">
        <f aca="false">IF(AND(B689="brand",E689="budget_probe",ISNUMBER(F689),I689=Lists!$X$4),IF(COUNTIFS(C$5:C689,C689,E$5:E689,"budget_probe",I$5:I689,Lists!$X$4)=1,F689,""),"")</f>
        <v/>
      </c>
      <c r="AE689" s="30" t="n">
        <f aca="false">IF(AND(B689="brand",E689="paid",ISNUMBER(F689)),IF(AND(SUMIFS(F$5:F689,B$5:B689,"brand",C$5:C689,C689,E$5:E689,"paid")&gt;=Inputs!$C$44,SUMIFS(F$5:F689,B$5:B689,"brand",C$5:C689,C689,E$5:E689,"paid")-F689&lt;Inputs!$C$44),1,0),0)</f>
        <v>0</v>
      </c>
    </row>
    <row r="690" customFormat="false" ht="15" hidden="false" customHeight="false" outlineLevel="0" collapsed="false">
      <c r="A690" s="102"/>
      <c r="B690" s="103"/>
      <c r="C690" s="103"/>
      <c r="D690" s="103"/>
      <c r="E690" s="103"/>
      <c r="F690" s="103"/>
      <c r="G690" s="103"/>
      <c r="H690" s="103"/>
      <c r="I690" s="103"/>
      <c r="T690" s="30" t="str">
        <f aca="false">IF(C690="","",IF(COUNTIFS(C$5:C690,C690,E$5:E690,E690)=1,1,0))</f>
        <v/>
      </c>
      <c r="U690" s="30" t="n">
        <f aca="false">IF(C690="",0,IF(AND(B690="brand",E690="budget_probe",N(F690)&gt;=Inputs!$C$124,H690="Y"),1,0))</f>
        <v>0</v>
      </c>
      <c r="V690" s="30" t="n">
        <f aca="false">IF(U690=1,IF(COUNTIFS(C$5:C690,C690,U$5:U690,1)=1,1,0),0)</f>
        <v>0</v>
      </c>
      <c r="W690" s="30" t="n">
        <f aca="false">IF(C690="",0,IF(AND(B690="office",E690="budget_probe",N(F690)&gt;=Inputs!$C$139),1,0))</f>
        <v>0</v>
      </c>
      <c r="X690" s="30" t="n">
        <f aca="false">IF(W690=1,IF(COUNTIFS(C$5:C690,C690,W$5:W690,1)=1,1,0),0)</f>
        <v>0</v>
      </c>
      <c r="Y690" s="30" t="n">
        <f aca="false">IF(C690="",0,IF(AND(B690="brand",E690="renewal_answer",TRIM(G690)="yes",N(F690)&gt;=Inputs!$C$135),1,0))</f>
        <v>0</v>
      </c>
      <c r="Z690" s="30" t="n">
        <f aca="false">IF(Y690=1,IF(COUNTIFS(C$5:C690,C690,Y$5:Y690,1)=1,1,0),0)</f>
        <v>0</v>
      </c>
      <c r="AA690" s="30" t="n">
        <f aca="false">IF(AND(E690="budget_probe",ISNUMBER(F690),I690&lt;&gt;Lists!$X$4),1,0)</f>
        <v>0</v>
      </c>
      <c r="AB690" s="30" t="str">
        <f aca="false">IF(AND(B690="office",AA690=1,COUNTIFS(C$5:C690,C690,AA$5:AA690,1)=1),F690,"")</f>
        <v/>
      </c>
      <c r="AC690" s="30" t="str">
        <f aca="false">IF(AND(B690="brand",AA690=1,COUNTIFS(C$5:C690,C690,AA$5:AA690,1)=1),F690,"")</f>
        <v/>
      </c>
      <c r="AD690" s="30" t="str">
        <f aca="false">IF(AND(B690="brand",E690="budget_probe",ISNUMBER(F690),I690=Lists!$X$4),IF(COUNTIFS(C$5:C690,C690,E$5:E690,"budget_probe",I$5:I690,Lists!$X$4)=1,F690,""),"")</f>
        <v/>
      </c>
      <c r="AE690" s="30" t="n">
        <f aca="false">IF(AND(B690="brand",E690="paid",ISNUMBER(F690)),IF(AND(SUMIFS(F$5:F690,B$5:B690,"brand",C$5:C690,C690,E$5:E690,"paid")&gt;=Inputs!$C$44,SUMIFS(F$5:F690,B$5:B690,"brand",C$5:C690,C690,E$5:E690,"paid")-F690&lt;Inputs!$C$44),1,0),0)</f>
        <v>0</v>
      </c>
    </row>
    <row r="691" customFormat="false" ht="15" hidden="false" customHeight="false" outlineLevel="0" collapsed="false">
      <c r="A691" s="102"/>
      <c r="B691" s="103"/>
      <c r="C691" s="103"/>
      <c r="D691" s="103"/>
      <c r="E691" s="103"/>
      <c r="F691" s="103"/>
      <c r="G691" s="103"/>
      <c r="H691" s="103"/>
      <c r="I691" s="103"/>
      <c r="T691" s="30" t="str">
        <f aca="false">IF(C691="","",IF(COUNTIFS(C$5:C691,C691,E$5:E691,E691)=1,1,0))</f>
        <v/>
      </c>
      <c r="U691" s="30" t="n">
        <f aca="false">IF(C691="",0,IF(AND(B691="brand",E691="budget_probe",N(F691)&gt;=Inputs!$C$124,H691="Y"),1,0))</f>
        <v>0</v>
      </c>
      <c r="V691" s="30" t="n">
        <f aca="false">IF(U691=1,IF(COUNTIFS(C$5:C691,C691,U$5:U691,1)=1,1,0),0)</f>
        <v>0</v>
      </c>
      <c r="W691" s="30" t="n">
        <f aca="false">IF(C691="",0,IF(AND(B691="office",E691="budget_probe",N(F691)&gt;=Inputs!$C$139),1,0))</f>
        <v>0</v>
      </c>
      <c r="X691" s="30" t="n">
        <f aca="false">IF(W691=1,IF(COUNTIFS(C$5:C691,C691,W$5:W691,1)=1,1,0),0)</f>
        <v>0</v>
      </c>
      <c r="Y691" s="30" t="n">
        <f aca="false">IF(C691="",0,IF(AND(B691="brand",E691="renewal_answer",TRIM(G691)="yes",N(F691)&gt;=Inputs!$C$135),1,0))</f>
        <v>0</v>
      </c>
      <c r="Z691" s="30" t="n">
        <f aca="false">IF(Y691=1,IF(COUNTIFS(C$5:C691,C691,Y$5:Y691,1)=1,1,0),0)</f>
        <v>0</v>
      </c>
      <c r="AA691" s="30" t="n">
        <f aca="false">IF(AND(E691="budget_probe",ISNUMBER(F691),I691&lt;&gt;Lists!$X$4),1,0)</f>
        <v>0</v>
      </c>
      <c r="AB691" s="30" t="str">
        <f aca="false">IF(AND(B691="office",AA691=1,COUNTIFS(C$5:C691,C691,AA$5:AA691,1)=1),F691,"")</f>
        <v/>
      </c>
      <c r="AC691" s="30" t="str">
        <f aca="false">IF(AND(B691="brand",AA691=1,COUNTIFS(C$5:C691,C691,AA$5:AA691,1)=1),F691,"")</f>
        <v/>
      </c>
      <c r="AD691" s="30" t="str">
        <f aca="false">IF(AND(B691="brand",E691="budget_probe",ISNUMBER(F691),I691=Lists!$X$4),IF(COUNTIFS(C$5:C691,C691,E$5:E691,"budget_probe",I$5:I691,Lists!$X$4)=1,F691,""),"")</f>
        <v/>
      </c>
      <c r="AE691" s="30" t="n">
        <f aca="false">IF(AND(B691="brand",E691="paid",ISNUMBER(F691)),IF(AND(SUMIFS(F$5:F691,B$5:B691,"brand",C$5:C691,C691,E$5:E691,"paid")&gt;=Inputs!$C$44,SUMIFS(F$5:F691,B$5:B691,"brand",C$5:C691,C691,E$5:E691,"paid")-F691&lt;Inputs!$C$44),1,0),0)</f>
        <v>0</v>
      </c>
    </row>
    <row r="692" customFormat="false" ht="15" hidden="false" customHeight="false" outlineLevel="0" collapsed="false">
      <c r="A692" s="102"/>
      <c r="B692" s="103"/>
      <c r="C692" s="103"/>
      <c r="D692" s="103"/>
      <c r="E692" s="103"/>
      <c r="F692" s="103"/>
      <c r="G692" s="103"/>
      <c r="H692" s="103"/>
      <c r="I692" s="103"/>
      <c r="T692" s="30" t="str">
        <f aca="false">IF(C692="","",IF(COUNTIFS(C$5:C692,C692,E$5:E692,E692)=1,1,0))</f>
        <v/>
      </c>
      <c r="U692" s="30" t="n">
        <f aca="false">IF(C692="",0,IF(AND(B692="brand",E692="budget_probe",N(F692)&gt;=Inputs!$C$124,H692="Y"),1,0))</f>
        <v>0</v>
      </c>
      <c r="V692" s="30" t="n">
        <f aca="false">IF(U692=1,IF(COUNTIFS(C$5:C692,C692,U$5:U692,1)=1,1,0),0)</f>
        <v>0</v>
      </c>
      <c r="W692" s="30" t="n">
        <f aca="false">IF(C692="",0,IF(AND(B692="office",E692="budget_probe",N(F692)&gt;=Inputs!$C$139),1,0))</f>
        <v>0</v>
      </c>
      <c r="X692" s="30" t="n">
        <f aca="false">IF(W692=1,IF(COUNTIFS(C$5:C692,C692,W$5:W692,1)=1,1,0),0)</f>
        <v>0</v>
      </c>
      <c r="Y692" s="30" t="n">
        <f aca="false">IF(C692="",0,IF(AND(B692="brand",E692="renewal_answer",TRIM(G692)="yes",N(F692)&gt;=Inputs!$C$135),1,0))</f>
        <v>0</v>
      </c>
      <c r="Z692" s="30" t="n">
        <f aca="false">IF(Y692=1,IF(COUNTIFS(C$5:C692,C692,Y$5:Y692,1)=1,1,0),0)</f>
        <v>0</v>
      </c>
      <c r="AA692" s="30" t="n">
        <f aca="false">IF(AND(E692="budget_probe",ISNUMBER(F692),I692&lt;&gt;Lists!$X$4),1,0)</f>
        <v>0</v>
      </c>
      <c r="AB692" s="30" t="str">
        <f aca="false">IF(AND(B692="office",AA692=1,COUNTIFS(C$5:C692,C692,AA$5:AA692,1)=1),F692,"")</f>
        <v/>
      </c>
      <c r="AC692" s="30" t="str">
        <f aca="false">IF(AND(B692="brand",AA692=1,COUNTIFS(C$5:C692,C692,AA$5:AA692,1)=1),F692,"")</f>
        <v/>
      </c>
      <c r="AD692" s="30" t="str">
        <f aca="false">IF(AND(B692="brand",E692="budget_probe",ISNUMBER(F692),I692=Lists!$X$4),IF(COUNTIFS(C$5:C692,C692,E$5:E692,"budget_probe",I$5:I692,Lists!$X$4)=1,F692,""),"")</f>
        <v/>
      </c>
      <c r="AE692" s="30" t="n">
        <f aca="false">IF(AND(B692="brand",E692="paid",ISNUMBER(F692)),IF(AND(SUMIFS(F$5:F692,B$5:B692,"brand",C$5:C692,C692,E$5:E692,"paid")&gt;=Inputs!$C$44,SUMIFS(F$5:F692,B$5:B692,"brand",C$5:C692,C692,E$5:E692,"paid")-F692&lt;Inputs!$C$44),1,0),0)</f>
        <v>0</v>
      </c>
    </row>
    <row r="693" customFormat="false" ht="15" hidden="false" customHeight="false" outlineLevel="0" collapsed="false">
      <c r="A693" s="102"/>
      <c r="B693" s="103"/>
      <c r="C693" s="103"/>
      <c r="D693" s="103"/>
      <c r="E693" s="103"/>
      <c r="F693" s="103"/>
      <c r="G693" s="103"/>
      <c r="H693" s="103"/>
      <c r="I693" s="103"/>
      <c r="T693" s="30" t="str">
        <f aca="false">IF(C693="","",IF(COUNTIFS(C$5:C693,C693,E$5:E693,E693)=1,1,0))</f>
        <v/>
      </c>
      <c r="U693" s="30" t="n">
        <f aca="false">IF(C693="",0,IF(AND(B693="brand",E693="budget_probe",N(F693)&gt;=Inputs!$C$124,H693="Y"),1,0))</f>
        <v>0</v>
      </c>
      <c r="V693" s="30" t="n">
        <f aca="false">IF(U693=1,IF(COUNTIFS(C$5:C693,C693,U$5:U693,1)=1,1,0),0)</f>
        <v>0</v>
      </c>
      <c r="W693" s="30" t="n">
        <f aca="false">IF(C693="",0,IF(AND(B693="office",E693="budget_probe",N(F693)&gt;=Inputs!$C$139),1,0))</f>
        <v>0</v>
      </c>
      <c r="X693" s="30" t="n">
        <f aca="false">IF(W693=1,IF(COUNTIFS(C$5:C693,C693,W$5:W693,1)=1,1,0),0)</f>
        <v>0</v>
      </c>
      <c r="Y693" s="30" t="n">
        <f aca="false">IF(C693="",0,IF(AND(B693="brand",E693="renewal_answer",TRIM(G693)="yes",N(F693)&gt;=Inputs!$C$135),1,0))</f>
        <v>0</v>
      </c>
      <c r="Z693" s="30" t="n">
        <f aca="false">IF(Y693=1,IF(COUNTIFS(C$5:C693,C693,Y$5:Y693,1)=1,1,0),0)</f>
        <v>0</v>
      </c>
      <c r="AA693" s="30" t="n">
        <f aca="false">IF(AND(E693="budget_probe",ISNUMBER(F693),I693&lt;&gt;Lists!$X$4),1,0)</f>
        <v>0</v>
      </c>
      <c r="AB693" s="30" t="str">
        <f aca="false">IF(AND(B693="office",AA693=1,COUNTIFS(C$5:C693,C693,AA$5:AA693,1)=1),F693,"")</f>
        <v/>
      </c>
      <c r="AC693" s="30" t="str">
        <f aca="false">IF(AND(B693="brand",AA693=1,COUNTIFS(C$5:C693,C693,AA$5:AA693,1)=1),F693,"")</f>
        <v/>
      </c>
      <c r="AD693" s="30" t="str">
        <f aca="false">IF(AND(B693="brand",E693="budget_probe",ISNUMBER(F693),I693=Lists!$X$4),IF(COUNTIFS(C$5:C693,C693,E$5:E693,"budget_probe",I$5:I693,Lists!$X$4)=1,F693,""),"")</f>
        <v/>
      </c>
      <c r="AE693" s="30" t="n">
        <f aca="false">IF(AND(B693="brand",E693="paid",ISNUMBER(F693)),IF(AND(SUMIFS(F$5:F693,B$5:B693,"brand",C$5:C693,C693,E$5:E693,"paid")&gt;=Inputs!$C$44,SUMIFS(F$5:F693,B$5:B693,"brand",C$5:C693,C693,E$5:E693,"paid")-F693&lt;Inputs!$C$44),1,0),0)</f>
        <v>0</v>
      </c>
    </row>
    <row r="694" customFormat="false" ht="15" hidden="false" customHeight="false" outlineLevel="0" collapsed="false">
      <c r="A694" s="102"/>
      <c r="B694" s="103"/>
      <c r="C694" s="103"/>
      <c r="D694" s="103"/>
      <c r="E694" s="103"/>
      <c r="F694" s="103"/>
      <c r="G694" s="103"/>
      <c r="H694" s="103"/>
      <c r="I694" s="103"/>
      <c r="T694" s="30" t="str">
        <f aca="false">IF(C694="","",IF(COUNTIFS(C$5:C694,C694,E$5:E694,E694)=1,1,0))</f>
        <v/>
      </c>
      <c r="U694" s="30" t="n">
        <f aca="false">IF(C694="",0,IF(AND(B694="brand",E694="budget_probe",N(F694)&gt;=Inputs!$C$124,H694="Y"),1,0))</f>
        <v>0</v>
      </c>
      <c r="V694" s="30" t="n">
        <f aca="false">IF(U694=1,IF(COUNTIFS(C$5:C694,C694,U$5:U694,1)=1,1,0),0)</f>
        <v>0</v>
      </c>
      <c r="W694" s="30" t="n">
        <f aca="false">IF(C694="",0,IF(AND(B694="office",E694="budget_probe",N(F694)&gt;=Inputs!$C$139),1,0))</f>
        <v>0</v>
      </c>
      <c r="X694" s="30" t="n">
        <f aca="false">IF(W694=1,IF(COUNTIFS(C$5:C694,C694,W$5:W694,1)=1,1,0),0)</f>
        <v>0</v>
      </c>
      <c r="Y694" s="30" t="n">
        <f aca="false">IF(C694="",0,IF(AND(B694="brand",E694="renewal_answer",TRIM(G694)="yes",N(F694)&gt;=Inputs!$C$135),1,0))</f>
        <v>0</v>
      </c>
      <c r="Z694" s="30" t="n">
        <f aca="false">IF(Y694=1,IF(COUNTIFS(C$5:C694,C694,Y$5:Y694,1)=1,1,0),0)</f>
        <v>0</v>
      </c>
      <c r="AA694" s="30" t="n">
        <f aca="false">IF(AND(E694="budget_probe",ISNUMBER(F694),I694&lt;&gt;Lists!$X$4),1,0)</f>
        <v>0</v>
      </c>
      <c r="AB694" s="30" t="str">
        <f aca="false">IF(AND(B694="office",AA694=1,COUNTIFS(C$5:C694,C694,AA$5:AA694,1)=1),F694,"")</f>
        <v/>
      </c>
      <c r="AC694" s="30" t="str">
        <f aca="false">IF(AND(B694="brand",AA694=1,COUNTIFS(C$5:C694,C694,AA$5:AA694,1)=1),F694,"")</f>
        <v/>
      </c>
      <c r="AD694" s="30" t="str">
        <f aca="false">IF(AND(B694="brand",E694="budget_probe",ISNUMBER(F694),I694=Lists!$X$4),IF(COUNTIFS(C$5:C694,C694,E$5:E694,"budget_probe",I$5:I694,Lists!$X$4)=1,F694,""),"")</f>
        <v/>
      </c>
      <c r="AE694" s="30" t="n">
        <f aca="false">IF(AND(B694="brand",E694="paid",ISNUMBER(F694)),IF(AND(SUMIFS(F$5:F694,B$5:B694,"brand",C$5:C694,C694,E$5:E694,"paid")&gt;=Inputs!$C$44,SUMIFS(F$5:F694,B$5:B694,"brand",C$5:C694,C694,E$5:E694,"paid")-F694&lt;Inputs!$C$44),1,0),0)</f>
        <v>0</v>
      </c>
    </row>
    <row r="695" customFormat="false" ht="15" hidden="false" customHeight="false" outlineLevel="0" collapsed="false">
      <c r="A695" s="102"/>
      <c r="B695" s="103"/>
      <c r="C695" s="103"/>
      <c r="D695" s="103"/>
      <c r="E695" s="103"/>
      <c r="F695" s="103"/>
      <c r="G695" s="103"/>
      <c r="H695" s="103"/>
      <c r="I695" s="103"/>
      <c r="T695" s="30" t="str">
        <f aca="false">IF(C695="","",IF(COUNTIFS(C$5:C695,C695,E$5:E695,E695)=1,1,0))</f>
        <v/>
      </c>
      <c r="U695" s="30" t="n">
        <f aca="false">IF(C695="",0,IF(AND(B695="brand",E695="budget_probe",N(F695)&gt;=Inputs!$C$124,H695="Y"),1,0))</f>
        <v>0</v>
      </c>
      <c r="V695" s="30" t="n">
        <f aca="false">IF(U695=1,IF(COUNTIFS(C$5:C695,C695,U$5:U695,1)=1,1,0),0)</f>
        <v>0</v>
      </c>
      <c r="W695" s="30" t="n">
        <f aca="false">IF(C695="",0,IF(AND(B695="office",E695="budget_probe",N(F695)&gt;=Inputs!$C$139),1,0))</f>
        <v>0</v>
      </c>
      <c r="X695" s="30" t="n">
        <f aca="false">IF(W695=1,IF(COUNTIFS(C$5:C695,C695,W$5:W695,1)=1,1,0),0)</f>
        <v>0</v>
      </c>
      <c r="Y695" s="30" t="n">
        <f aca="false">IF(C695="",0,IF(AND(B695="brand",E695="renewal_answer",TRIM(G695)="yes",N(F695)&gt;=Inputs!$C$135),1,0))</f>
        <v>0</v>
      </c>
      <c r="Z695" s="30" t="n">
        <f aca="false">IF(Y695=1,IF(COUNTIFS(C$5:C695,C695,Y$5:Y695,1)=1,1,0),0)</f>
        <v>0</v>
      </c>
      <c r="AA695" s="30" t="n">
        <f aca="false">IF(AND(E695="budget_probe",ISNUMBER(F695),I695&lt;&gt;Lists!$X$4),1,0)</f>
        <v>0</v>
      </c>
      <c r="AB695" s="30" t="str">
        <f aca="false">IF(AND(B695="office",AA695=1,COUNTIFS(C$5:C695,C695,AA$5:AA695,1)=1),F695,"")</f>
        <v/>
      </c>
      <c r="AC695" s="30" t="str">
        <f aca="false">IF(AND(B695="brand",AA695=1,COUNTIFS(C$5:C695,C695,AA$5:AA695,1)=1),F695,"")</f>
        <v/>
      </c>
      <c r="AD695" s="30" t="str">
        <f aca="false">IF(AND(B695="brand",E695="budget_probe",ISNUMBER(F695),I695=Lists!$X$4),IF(COUNTIFS(C$5:C695,C695,E$5:E695,"budget_probe",I$5:I695,Lists!$X$4)=1,F695,""),"")</f>
        <v/>
      </c>
      <c r="AE695" s="30" t="n">
        <f aca="false">IF(AND(B695="brand",E695="paid",ISNUMBER(F695)),IF(AND(SUMIFS(F$5:F695,B$5:B695,"brand",C$5:C695,C695,E$5:E695,"paid")&gt;=Inputs!$C$44,SUMIFS(F$5:F695,B$5:B695,"brand",C$5:C695,C695,E$5:E695,"paid")-F695&lt;Inputs!$C$44),1,0),0)</f>
        <v>0</v>
      </c>
    </row>
    <row r="696" customFormat="false" ht="15" hidden="false" customHeight="false" outlineLevel="0" collapsed="false">
      <c r="A696" s="102"/>
      <c r="B696" s="103"/>
      <c r="C696" s="103"/>
      <c r="D696" s="103"/>
      <c r="E696" s="103"/>
      <c r="F696" s="103"/>
      <c r="G696" s="103"/>
      <c r="H696" s="103"/>
      <c r="I696" s="103"/>
      <c r="T696" s="30" t="str">
        <f aca="false">IF(C696="","",IF(COUNTIFS(C$5:C696,C696,E$5:E696,E696)=1,1,0))</f>
        <v/>
      </c>
      <c r="U696" s="30" t="n">
        <f aca="false">IF(C696="",0,IF(AND(B696="brand",E696="budget_probe",N(F696)&gt;=Inputs!$C$124,H696="Y"),1,0))</f>
        <v>0</v>
      </c>
      <c r="V696" s="30" t="n">
        <f aca="false">IF(U696=1,IF(COUNTIFS(C$5:C696,C696,U$5:U696,1)=1,1,0),0)</f>
        <v>0</v>
      </c>
      <c r="W696" s="30" t="n">
        <f aca="false">IF(C696="",0,IF(AND(B696="office",E696="budget_probe",N(F696)&gt;=Inputs!$C$139),1,0))</f>
        <v>0</v>
      </c>
      <c r="X696" s="30" t="n">
        <f aca="false">IF(W696=1,IF(COUNTIFS(C$5:C696,C696,W$5:W696,1)=1,1,0),0)</f>
        <v>0</v>
      </c>
      <c r="Y696" s="30" t="n">
        <f aca="false">IF(C696="",0,IF(AND(B696="brand",E696="renewal_answer",TRIM(G696)="yes",N(F696)&gt;=Inputs!$C$135),1,0))</f>
        <v>0</v>
      </c>
      <c r="Z696" s="30" t="n">
        <f aca="false">IF(Y696=1,IF(COUNTIFS(C$5:C696,C696,Y$5:Y696,1)=1,1,0),0)</f>
        <v>0</v>
      </c>
      <c r="AA696" s="30" t="n">
        <f aca="false">IF(AND(E696="budget_probe",ISNUMBER(F696),I696&lt;&gt;Lists!$X$4),1,0)</f>
        <v>0</v>
      </c>
      <c r="AB696" s="30" t="str">
        <f aca="false">IF(AND(B696="office",AA696=1,COUNTIFS(C$5:C696,C696,AA$5:AA696,1)=1),F696,"")</f>
        <v/>
      </c>
      <c r="AC696" s="30" t="str">
        <f aca="false">IF(AND(B696="brand",AA696=1,COUNTIFS(C$5:C696,C696,AA$5:AA696,1)=1),F696,"")</f>
        <v/>
      </c>
      <c r="AD696" s="30" t="str">
        <f aca="false">IF(AND(B696="brand",E696="budget_probe",ISNUMBER(F696),I696=Lists!$X$4),IF(COUNTIFS(C$5:C696,C696,E$5:E696,"budget_probe",I$5:I696,Lists!$X$4)=1,F696,""),"")</f>
        <v/>
      </c>
      <c r="AE696" s="30" t="n">
        <f aca="false">IF(AND(B696="brand",E696="paid",ISNUMBER(F696)),IF(AND(SUMIFS(F$5:F696,B$5:B696,"brand",C$5:C696,C696,E$5:E696,"paid")&gt;=Inputs!$C$44,SUMIFS(F$5:F696,B$5:B696,"brand",C$5:C696,C696,E$5:E696,"paid")-F696&lt;Inputs!$C$44),1,0),0)</f>
        <v>0</v>
      </c>
    </row>
    <row r="697" customFormat="false" ht="15" hidden="false" customHeight="false" outlineLevel="0" collapsed="false">
      <c r="A697" s="102"/>
      <c r="B697" s="103"/>
      <c r="C697" s="103"/>
      <c r="D697" s="103"/>
      <c r="E697" s="103"/>
      <c r="F697" s="103"/>
      <c r="G697" s="103"/>
      <c r="H697" s="103"/>
      <c r="I697" s="103"/>
      <c r="T697" s="30" t="str">
        <f aca="false">IF(C697="","",IF(COUNTIFS(C$5:C697,C697,E$5:E697,E697)=1,1,0))</f>
        <v/>
      </c>
      <c r="U697" s="30" t="n">
        <f aca="false">IF(C697="",0,IF(AND(B697="brand",E697="budget_probe",N(F697)&gt;=Inputs!$C$124,H697="Y"),1,0))</f>
        <v>0</v>
      </c>
      <c r="V697" s="30" t="n">
        <f aca="false">IF(U697=1,IF(COUNTIFS(C$5:C697,C697,U$5:U697,1)=1,1,0),0)</f>
        <v>0</v>
      </c>
      <c r="W697" s="30" t="n">
        <f aca="false">IF(C697="",0,IF(AND(B697="office",E697="budget_probe",N(F697)&gt;=Inputs!$C$139),1,0))</f>
        <v>0</v>
      </c>
      <c r="X697" s="30" t="n">
        <f aca="false">IF(W697=1,IF(COUNTIFS(C$5:C697,C697,W$5:W697,1)=1,1,0),0)</f>
        <v>0</v>
      </c>
      <c r="Y697" s="30" t="n">
        <f aca="false">IF(C697="",0,IF(AND(B697="brand",E697="renewal_answer",TRIM(G697)="yes",N(F697)&gt;=Inputs!$C$135),1,0))</f>
        <v>0</v>
      </c>
      <c r="Z697" s="30" t="n">
        <f aca="false">IF(Y697=1,IF(COUNTIFS(C$5:C697,C697,Y$5:Y697,1)=1,1,0),0)</f>
        <v>0</v>
      </c>
      <c r="AA697" s="30" t="n">
        <f aca="false">IF(AND(E697="budget_probe",ISNUMBER(F697),I697&lt;&gt;Lists!$X$4),1,0)</f>
        <v>0</v>
      </c>
      <c r="AB697" s="30" t="str">
        <f aca="false">IF(AND(B697="office",AA697=1,COUNTIFS(C$5:C697,C697,AA$5:AA697,1)=1),F697,"")</f>
        <v/>
      </c>
      <c r="AC697" s="30" t="str">
        <f aca="false">IF(AND(B697="brand",AA697=1,COUNTIFS(C$5:C697,C697,AA$5:AA697,1)=1),F697,"")</f>
        <v/>
      </c>
      <c r="AD697" s="30" t="str">
        <f aca="false">IF(AND(B697="brand",E697="budget_probe",ISNUMBER(F697),I697=Lists!$X$4),IF(COUNTIFS(C$5:C697,C697,E$5:E697,"budget_probe",I$5:I697,Lists!$X$4)=1,F697,""),"")</f>
        <v/>
      </c>
      <c r="AE697" s="30" t="n">
        <f aca="false">IF(AND(B697="brand",E697="paid",ISNUMBER(F697)),IF(AND(SUMIFS(F$5:F697,B$5:B697,"brand",C$5:C697,C697,E$5:E697,"paid")&gt;=Inputs!$C$44,SUMIFS(F$5:F697,B$5:B697,"brand",C$5:C697,C697,E$5:E697,"paid")-F697&lt;Inputs!$C$44),1,0),0)</f>
        <v>0</v>
      </c>
    </row>
    <row r="698" customFormat="false" ht="15" hidden="false" customHeight="false" outlineLevel="0" collapsed="false">
      <c r="A698" s="102"/>
      <c r="B698" s="103"/>
      <c r="C698" s="103"/>
      <c r="D698" s="103"/>
      <c r="E698" s="103"/>
      <c r="F698" s="103"/>
      <c r="G698" s="103"/>
      <c r="H698" s="103"/>
      <c r="I698" s="103"/>
      <c r="T698" s="30" t="str">
        <f aca="false">IF(C698="","",IF(COUNTIFS(C$5:C698,C698,E$5:E698,E698)=1,1,0))</f>
        <v/>
      </c>
      <c r="U698" s="30" t="n">
        <f aca="false">IF(C698="",0,IF(AND(B698="brand",E698="budget_probe",N(F698)&gt;=Inputs!$C$124,H698="Y"),1,0))</f>
        <v>0</v>
      </c>
      <c r="V698" s="30" t="n">
        <f aca="false">IF(U698=1,IF(COUNTIFS(C$5:C698,C698,U$5:U698,1)=1,1,0),0)</f>
        <v>0</v>
      </c>
      <c r="W698" s="30" t="n">
        <f aca="false">IF(C698="",0,IF(AND(B698="office",E698="budget_probe",N(F698)&gt;=Inputs!$C$139),1,0))</f>
        <v>0</v>
      </c>
      <c r="X698" s="30" t="n">
        <f aca="false">IF(W698=1,IF(COUNTIFS(C$5:C698,C698,W$5:W698,1)=1,1,0),0)</f>
        <v>0</v>
      </c>
      <c r="Y698" s="30" t="n">
        <f aca="false">IF(C698="",0,IF(AND(B698="brand",E698="renewal_answer",TRIM(G698)="yes",N(F698)&gt;=Inputs!$C$135),1,0))</f>
        <v>0</v>
      </c>
      <c r="Z698" s="30" t="n">
        <f aca="false">IF(Y698=1,IF(COUNTIFS(C$5:C698,C698,Y$5:Y698,1)=1,1,0),0)</f>
        <v>0</v>
      </c>
      <c r="AA698" s="30" t="n">
        <f aca="false">IF(AND(E698="budget_probe",ISNUMBER(F698),I698&lt;&gt;Lists!$X$4),1,0)</f>
        <v>0</v>
      </c>
      <c r="AB698" s="30" t="str">
        <f aca="false">IF(AND(B698="office",AA698=1,COUNTIFS(C$5:C698,C698,AA$5:AA698,1)=1),F698,"")</f>
        <v/>
      </c>
      <c r="AC698" s="30" t="str">
        <f aca="false">IF(AND(B698="brand",AA698=1,COUNTIFS(C$5:C698,C698,AA$5:AA698,1)=1),F698,"")</f>
        <v/>
      </c>
      <c r="AD698" s="30" t="str">
        <f aca="false">IF(AND(B698="brand",E698="budget_probe",ISNUMBER(F698),I698=Lists!$X$4),IF(COUNTIFS(C$5:C698,C698,E$5:E698,"budget_probe",I$5:I698,Lists!$X$4)=1,F698,""),"")</f>
        <v/>
      </c>
      <c r="AE698" s="30" t="n">
        <f aca="false">IF(AND(B698="brand",E698="paid",ISNUMBER(F698)),IF(AND(SUMIFS(F$5:F698,B$5:B698,"brand",C$5:C698,C698,E$5:E698,"paid")&gt;=Inputs!$C$44,SUMIFS(F$5:F698,B$5:B698,"brand",C$5:C698,C698,E$5:E698,"paid")-F698&lt;Inputs!$C$44),1,0),0)</f>
        <v>0</v>
      </c>
    </row>
    <row r="699" customFormat="false" ht="15" hidden="false" customHeight="false" outlineLevel="0" collapsed="false">
      <c r="A699" s="102"/>
      <c r="B699" s="103"/>
      <c r="C699" s="103"/>
      <c r="D699" s="103"/>
      <c r="E699" s="103"/>
      <c r="F699" s="103"/>
      <c r="G699" s="103"/>
      <c r="H699" s="103"/>
      <c r="I699" s="103"/>
      <c r="T699" s="30" t="str">
        <f aca="false">IF(C699="","",IF(COUNTIFS(C$5:C699,C699,E$5:E699,E699)=1,1,0))</f>
        <v/>
      </c>
      <c r="U699" s="30" t="n">
        <f aca="false">IF(C699="",0,IF(AND(B699="brand",E699="budget_probe",N(F699)&gt;=Inputs!$C$124,H699="Y"),1,0))</f>
        <v>0</v>
      </c>
      <c r="V699" s="30" t="n">
        <f aca="false">IF(U699=1,IF(COUNTIFS(C$5:C699,C699,U$5:U699,1)=1,1,0),0)</f>
        <v>0</v>
      </c>
      <c r="W699" s="30" t="n">
        <f aca="false">IF(C699="",0,IF(AND(B699="office",E699="budget_probe",N(F699)&gt;=Inputs!$C$139),1,0))</f>
        <v>0</v>
      </c>
      <c r="X699" s="30" t="n">
        <f aca="false">IF(W699=1,IF(COUNTIFS(C$5:C699,C699,W$5:W699,1)=1,1,0),0)</f>
        <v>0</v>
      </c>
      <c r="Y699" s="30" t="n">
        <f aca="false">IF(C699="",0,IF(AND(B699="brand",E699="renewal_answer",TRIM(G699)="yes",N(F699)&gt;=Inputs!$C$135),1,0))</f>
        <v>0</v>
      </c>
      <c r="Z699" s="30" t="n">
        <f aca="false">IF(Y699=1,IF(COUNTIFS(C$5:C699,C699,Y$5:Y699,1)=1,1,0),0)</f>
        <v>0</v>
      </c>
      <c r="AA699" s="30" t="n">
        <f aca="false">IF(AND(E699="budget_probe",ISNUMBER(F699),I699&lt;&gt;Lists!$X$4),1,0)</f>
        <v>0</v>
      </c>
      <c r="AB699" s="30" t="str">
        <f aca="false">IF(AND(B699="office",AA699=1,COUNTIFS(C$5:C699,C699,AA$5:AA699,1)=1),F699,"")</f>
        <v/>
      </c>
      <c r="AC699" s="30" t="str">
        <f aca="false">IF(AND(B699="brand",AA699=1,COUNTIFS(C$5:C699,C699,AA$5:AA699,1)=1),F699,"")</f>
        <v/>
      </c>
      <c r="AD699" s="30" t="str">
        <f aca="false">IF(AND(B699="brand",E699="budget_probe",ISNUMBER(F699),I699=Lists!$X$4),IF(COUNTIFS(C$5:C699,C699,E$5:E699,"budget_probe",I$5:I699,Lists!$X$4)=1,F699,""),"")</f>
        <v/>
      </c>
      <c r="AE699" s="30" t="n">
        <f aca="false">IF(AND(B699="brand",E699="paid",ISNUMBER(F699)),IF(AND(SUMIFS(F$5:F699,B$5:B699,"brand",C$5:C699,C699,E$5:E699,"paid")&gt;=Inputs!$C$44,SUMIFS(F$5:F699,B$5:B699,"brand",C$5:C699,C699,E$5:E699,"paid")-F699&lt;Inputs!$C$44),1,0),0)</f>
        <v>0</v>
      </c>
    </row>
    <row r="700" customFormat="false" ht="15" hidden="false" customHeight="false" outlineLevel="0" collapsed="false">
      <c r="A700" s="102"/>
      <c r="B700" s="103"/>
      <c r="C700" s="103"/>
      <c r="D700" s="103"/>
      <c r="E700" s="103"/>
      <c r="F700" s="103"/>
      <c r="G700" s="103"/>
      <c r="H700" s="103"/>
      <c r="I700" s="103"/>
      <c r="T700" s="30" t="str">
        <f aca="false">IF(C700="","",IF(COUNTIFS(C$5:C700,C700,E$5:E700,E700)=1,1,0))</f>
        <v/>
      </c>
      <c r="U700" s="30" t="n">
        <f aca="false">IF(C700="",0,IF(AND(B700="brand",E700="budget_probe",N(F700)&gt;=Inputs!$C$124,H700="Y"),1,0))</f>
        <v>0</v>
      </c>
      <c r="V700" s="30" t="n">
        <f aca="false">IF(U700=1,IF(COUNTIFS(C$5:C700,C700,U$5:U700,1)=1,1,0),0)</f>
        <v>0</v>
      </c>
      <c r="W700" s="30" t="n">
        <f aca="false">IF(C700="",0,IF(AND(B700="office",E700="budget_probe",N(F700)&gt;=Inputs!$C$139),1,0))</f>
        <v>0</v>
      </c>
      <c r="X700" s="30" t="n">
        <f aca="false">IF(W700=1,IF(COUNTIFS(C$5:C700,C700,W$5:W700,1)=1,1,0),0)</f>
        <v>0</v>
      </c>
      <c r="Y700" s="30" t="n">
        <f aca="false">IF(C700="",0,IF(AND(B700="brand",E700="renewal_answer",TRIM(G700)="yes",N(F700)&gt;=Inputs!$C$135),1,0))</f>
        <v>0</v>
      </c>
      <c r="Z700" s="30" t="n">
        <f aca="false">IF(Y700=1,IF(COUNTIFS(C$5:C700,C700,Y$5:Y700,1)=1,1,0),0)</f>
        <v>0</v>
      </c>
      <c r="AA700" s="30" t="n">
        <f aca="false">IF(AND(E700="budget_probe",ISNUMBER(F700),I700&lt;&gt;Lists!$X$4),1,0)</f>
        <v>0</v>
      </c>
      <c r="AB700" s="30" t="str">
        <f aca="false">IF(AND(B700="office",AA700=1,COUNTIFS(C$5:C700,C700,AA$5:AA700,1)=1),F700,"")</f>
        <v/>
      </c>
      <c r="AC700" s="30" t="str">
        <f aca="false">IF(AND(B700="brand",AA700=1,COUNTIFS(C$5:C700,C700,AA$5:AA700,1)=1),F700,"")</f>
        <v/>
      </c>
      <c r="AD700" s="30" t="str">
        <f aca="false">IF(AND(B700="brand",E700="budget_probe",ISNUMBER(F700),I700=Lists!$X$4),IF(COUNTIFS(C$5:C700,C700,E$5:E700,"budget_probe",I$5:I700,Lists!$X$4)=1,F700,""),"")</f>
        <v/>
      </c>
      <c r="AE700" s="30" t="n">
        <f aca="false">IF(AND(B700="brand",E700="paid",ISNUMBER(F700)),IF(AND(SUMIFS(F$5:F700,B$5:B700,"brand",C$5:C700,C700,E$5:E700,"paid")&gt;=Inputs!$C$44,SUMIFS(F$5:F700,B$5:B700,"brand",C$5:C700,C700,E$5:E700,"paid")-F700&lt;Inputs!$C$44),1,0),0)</f>
        <v>0</v>
      </c>
    </row>
    <row r="701" customFormat="false" ht="15" hidden="false" customHeight="false" outlineLevel="0" collapsed="false">
      <c r="A701" s="102"/>
      <c r="B701" s="103"/>
      <c r="C701" s="103"/>
      <c r="D701" s="103"/>
      <c r="E701" s="103"/>
      <c r="F701" s="103"/>
      <c r="G701" s="103"/>
      <c r="H701" s="103"/>
      <c r="I701" s="103"/>
      <c r="T701" s="30" t="str">
        <f aca="false">IF(C701="","",IF(COUNTIFS(C$5:C701,C701,E$5:E701,E701)=1,1,0))</f>
        <v/>
      </c>
      <c r="U701" s="30" t="n">
        <f aca="false">IF(C701="",0,IF(AND(B701="brand",E701="budget_probe",N(F701)&gt;=Inputs!$C$124,H701="Y"),1,0))</f>
        <v>0</v>
      </c>
      <c r="V701" s="30" t="n">
        <f aca="false">IF(U701=1,IF(COUNTIFS(C$5:C701,C701,U$5:U701,1)=1,1,0),0)</f>
        <v>0</v>
      </c>
      <c r="W701" s="30" t="n">
        <f aca="false">IF(C701="",0,IF(AND(B701="office",E701="budget_probe",N(F701)&gt;=Inputs!$C$139),1,0))</f>
        <v>0</v>
      </c>
      <c r="X701" s="30" t="n">
        <f aca="false">IF(W701=1,IF(COUNTIFS(C$5:C701,C701,W$5:W701,1)=1,1,0),0)</f>
        <v>0</v>
      </c>
      <c r="Y701" s="30" t="n">
        <f aca="false">IF(C701="",0,IF(AND(B701="brand",E701="renewal_answer",TRIM(G701)="yes",N(F701)&gt;=Inputs!$C$135),1,0))</f>
        <v>0</v>
      </c>
      <c r="Z701" s="30" t="n">
        <f aca="false">IF(Y701=1,IF(COUNTIFS(C$5:C701,C701,Y$5:Y701,1)=1,1,0),0)</f>
        <v>0</v>
      </c>
      <c r="AA701" s="30" t="n">
        <f aca="false">IF(AND(E701="budget_probe",ISNUMBER(F701),I701&lt;&gt;Lists!$X$4),1,0)</f>
        <v>0</v>
      </c>
      <c r="AB701" s="30" t="str">
        <f aca="false">IF(AND(B701="office",AA701=1,COUNTIFS(C$5:C701,C701,AA$5:AA701,1)=1),F701,"")</f>
        <v/>
      </c>
      <c r="AC701" s="30" t="str">
        <f aca="false">IF(AND(B701="brand",AA701=1,COUNTIFS(C$5:C701,C701,AA$5:AA701,1)=1),F701,"")</f>
        <v/>
      </c>
      <c r="AD701" s="30" t="str">
        <f aca="false">IF(AND(B701="brand",E701="budget_probe",ISNUMBER(F701),I701=Lists!$X$4),IF(COUNTIFS(C$5:C701,C701,E$5:E701,"budget_probe",I$5:I701,Lists!$X$4)=1,F701,""),"")</f>
        <v/>
      </c>
      <c r="AE701" s="30" t="n">
        <f aca="false">IF(AND(B701="brand",E701="paid",ISNUMBER(F701)),IF(AND(SUMIFS(F$5:F701,B$5:B701,"brand",C$5:C701,C701,E$5:E701,"paid")&gt;=Inputs!$C$44,SUMIFS(F$5:F701,B$5:B701,"brand",C$5:C701,C701,E$5:E701,"paid")-F701&lt;Inputs!$C$44),1,0),0)</f>
        <v>0</v>
      </c>
    </row>
    <row r="702" customFormat="false" ht="15" hidden="false" customHeight="false" outlineLevel="0" collapsed="false">
      <c r="A702" s="102"/>
      <c r="B702" s="103"/>
      <c r="C702" s="103"/>
      <c r="D702" s="103"/>
      <c r="E702" s="103"/>
      <c r="F702" s="103"/>
      <c r="G702" s="103"/>
      <c r="H702" s="103"/>
      <c r="I702" s="103"/>
      <c r="T702" s="30" t="str">
        <f aca="false">IF(C702="","",IF(COUNTIFS(C$5:C702,C702,E$5:E702,E702)=1,1,0))</f>
        <v/>
      </c>
      <c r="U702" s="30" t="n">
        <f aca="false">IF(C702="",0,IF(AND(B702="brand",E702="budget_probe",N(F702)&gt;=Inputs!$C$124,H702="Y"),1,0))</f>
        <v>0</v>
      </c>
      <c r="V702" s="30" t="n">
        <f aca="false">IF(U702=1,IF(COUNTIFS(C$5:C702,C702,U$5:U702,1)=1,1,0),0)</f>
        <v>0</v>
      </c>
      <c r="W702" s="30" t="n">
        <f aca="false">IF(C702="",0,IF(AND(B702="office",E702="budget_probe",N(F702)&gt;=Inputs!$C$139),1,0))</f>
        <v>0</v>
      </c>
      <c r="X702" s="30" t="n">
        <f aca="false">IF(W702=1,IF(COUNTIFS(C$5:C702,C702,W$5:W702,1)=1,1,0),0)</f>
        <v>0</v>
      </c>
      <c r="Y702" s="30" t="n">
        <f aca="false">IF(C702="",0,IF(AND(B702="brand",E702="renewal_answer",TRIM(G702)="yes",N(F702)&gt;=Inputs!$C$135),1,0))</f>
        <v>0</v>
      </c>
      <c r="Z702" s="30" t="n">
        <f aca="false">IF(Y702=1,IF(COUNTIFS(C$5:C702,C702,Y$5:Y702,1)=1,1,0),0)</f>
        <v>0</v>
      </c>
      <c r="AA702" s="30" t="n">
        <f aca="false">IF(AND(E702="budget_probe",ISNUMBER(F702),I702&lt;&gt;Lists!$X$4),1,0)</f>
        <v>0</v>
      </c>
      <c r="AB702" s="30" t="str">
        <f aca="false">IF(AND(B702="office",AA702=1,COUNTIFS(C$5:C702,C702,AA$5:AA702,1)=1),F702,"")</f>
        <v/>
      </c>
      <c r="AC702" s="30" t="str">
        <f aca="false">IF(AND(B702="brand",AA702=1,COUNTIFS(C$5:C702,C702,AA$5:AA702,1)=1),F702,"")</f>
        <v/>
      </c>
      <c r="AD702" s="30" t="str">
        <f aca="false">IF(AND(B702="brand",E702="budget_probe",ISNUMBER(F702),I702=Lists!$X$4),IF(COUNTIFS(C$5:C702,C702,E$5:E702,"budget_probe",I$5:I702,Lists!$X$4)=1,F702,""),"")</f>
        <v/>
      </c>
      <c r="AE702" s="30" t="n">
        <f aca="false">IF(AND(B702="brand",E702="paid",ISNUMBER(F702)),IF(AND(SUMIFS(F$5:F702,B$5:B702,"brand",C$5:C702,C702,E$5:E702,"paid")&gt;=Inputs!$C$44,SUMIFS(F$5:F702,B$5:B702,"brand",C$5:C702,C702,E$5:E702,"paid")-F702&lt;Inputs!$C$44),1,0),0)</f>
        <v>0</v>
      </c>
    </row>
    <row r="703" customFormat="false" ht="15" hidden="false" customHeight="false" outlineLevel="0" collapsed="false">
      <c r="A703" s="102"/>
      <c r="B703" s="103"/>
      <c r="C703" s="103"/>
      <c r="D703" s="103"/>
      <c r="E703" s="103"/>
      <c r="F703" s="103"/>
      <c r="G703" s="103"/>
      <c r="H703" s="103"/>
      <c r="I703" s="103"/>
      <c r="T703" s="30" t="str">
        <f aca="false">IF(C703="","",IF(COUNTIFS(C$5:C703,C703,E$5:E703,E703)=1,1,0))</f>
        <v/>
      </c>
      <c r="U703" s="30" t="n">
        <f aca="false">IF(C703="",0,IF(AND(B703="brand",E703="budget_probe",N(F703)&gt;=Inputs!$C$124,H703="Y"),1,0))</f>
        <v>0</v>
      </c>
      <c r="V703" s="30" t="n">
        <f aca="false">IF(U703=1,IF(COUNTIFS(C$5:C703,C703,U$5:U703,1)=1,1,0),0)</f>
        <v>0</v>
      </c>
      <c r="W703" s="30" t="n">
        <f aca="false">IF(C703="",0,IF(AND(B703="office",E703="budget_probe",N(F703)&gt;=Inputs!$C$139),1,0))</f>
        <v>0</v>
      </c>
      <c r="X703" s="30" t="n">
        <f aca="false">IF(W703=1,IF(COUNTIFS(C$5:C703,C703,W$5:W703,1)=1,1,0),0)</f>
        <v>0</v>
      </c>
      <c r="Y703" s="30" t="n">
        <f aca="false">IF(C703="",0,IF(AND(B703="brand",E703="renewal_answer",TRIM(G703)="yes",N(F703)&gt;=Inputs!$C$135),1,0))</f>
        <v>0</v>
      </c>
      <c r="Z703" s="30" t="n">
        <f aca="false">IF(Y703=1,IF(COUNTIFS(C$5:C703,C703,Y$5:Y703,1)=1,1,0),0)</f>
        <v>0</v>
      </c>
      <c r="AA703" s="30" t="n">
        <f aca="false">IF(AND(E703="budget_probe",ISNUMBER(F703),I703&lt;&gt;Lists!$X$4),1,0)</f>
        <v>0</v>
      </c>
      <c r="AB703" s="30" t="str">
        <f aca="false">IF(AND(B703="office",AA703=1,COUNTIFS(C$5:C703,C703,AA$5:AA703,1)=1),F703,"")</f>
        <v/>
      </c>
      <c r="AC703" s="30" t="str">
        <f aca="false">IF(AND(B703="brand",AA703=1,COUNTIFS(C$5:C703,C703,AA$5:AA703,1)=1),F703,"")</f>
        <v/>
      </c>
      <c r="AD703" s="30" t="str">
        <f aca="false">IF(AND(B703="brand",E703="budget_probe",ISNUMBER(F703),I703=Lists!$X$4),IF(COUNTIFS(C$5:C703,C703,E$5:E703,"budget_probe",I$5:I703,Lists!$X$4)=1,F703,""),"")</f>
        <v/>
      </c>
      <c r="AE703" s="30" t="n">
        <f aca="false">IF(AND(B703="brand",E703="paid",ISNUMBER(F703)),IF(AND(SUMIFS(F$5:F703,B$5:B703,"brand",C$5:C703,C703,E$5:E703,"paid")&gt;=Inputs!$C$44,SUMIFS(F$5:F703,B$5:B703,"brand",C$5:C703,C703,E$5:E703,"paid")-F703&lt;Inputs!$C$44),1,0),0)</f>
        <v>0</v>
      </c>
    </row>
    <row r="704" customFormat="false" ht="15" hidden="false" customHeight="false" outlineLevel="0" collapsed="false">
      <c r="A704" s="102"/>
      <c r="B704" s="103"/>
      <c r="C704" s="103"/>
      <c r="D704" s="103"/>
      <c r="E704" s="103"/>
      <c r="F704" s="103"/>
      <c r="G704" s="103"/>
      <c r="H704" s="103"/>
      <c r="I704" s="103"/>
      <c r="T704" s="30" t="str">
        <f aca="false">IF(C704="","",IF(COUNTIFS(C$5:C704,C704,E$5:E704,E704)=1,1,0))</f>
        <v/>
      </c>
      <c r="U704" s="30" t="n">
        <f aca="false">IF(C704="",0,IF(AND(B704="brand",E704="budget_probe",N(F704)&gt;=Inputs!$C$124,H704="Y"),1,0))</f>
        <v>0</v>
      </c>
      <c r="V704" s="30" t="n">
        <f aca="false">IF(U704=1,IF(COUNTIFS(C$5:C704,C704,U$5:U704,1)=1,1,0),0)</f>
        <v>0</v>
      </c>
      <c r="W704" s="30" t="n">
        <f aca="false">IF(C704="",0,IF(AND(B704="office",E704="budget_probe",N(F704)&gt;=Inputs!$C$139),1,0))</f>
        <v>0</v>
      </c>
      <c r="X704" s="30" t="n">
        <f aca="false">IF(W704=1,IF(COUNTIFS(C$5:C704,C704,W$5:W704,1)=1,1,0),0)</f>
        <v>0</v>
      </c>
      <c r="Y704" s="30" t="n">
        <f aca="false">IF(C704="",0,IF(AND(B704="brand",E704="renewal_answer",TRIM(G704)="yes",N(F704)&gt;=Inputs!$C$135),1,0))</f>
        <v>0</v>
      </c>
      <c r="Z704" s="30" t="n">
        <f aca="false">IF(Y704=1,IF(COUNTIFS(C$5:C704,C704,Y$5:Y704,1)=1,1,0),0)</f>
        <v>0</v>
      </c>
      <c r="AA704" s="30" t="n">
        <f aca="false">IF(AND(E704="budget_probe",ISNUMBER(F704),I704&lt;&gt;Lists!$X$4),1,0)</f>
        <v>0</v>
      </c>
      <c r="AB704" s="30" t="str">
        <f aca="false">IF(AND(B704="office",AA704=1,COUNTIFS(C$5:C704,C704,AA$5:AA704,1)=1),F704,"")</f>
        <v/>
      </c>
      <c r="AC704" s="30" t="str">
        <f aca="false">IF(AND(B704="brand",AA704=1,COUNTIFS(C$5:C704,C704,AA$5:AA704,1)=1),F704,"")</f>
        <v/>
      </c>
      <c r="AD704" s="30" t="str">
        <f aca="false">IF(AND(B704="brand",E704="budget_probe",ISNUMBER(F704),I704=Lists!$X$4),IF(COUNTIFS(C$5:C704,C704,E$5:E704,"budget_probe",I$5:I704,Lists!$X$4)=1,F704,""),"")</f>
        <v/>
      </c>
      <c r="AE704" s="30" t="n">
        <f aca="false">IF(AND(B704="brand",E704="paid",ISNUMBER(F704)),IF(AND(SUMIFS(F$5:F704,B$5:B704,"brand",C$5:C704,C704,E$5:E704,"paid")&gt;=Inputs!$C$44,SUMIFS(F$5:F704,B$5:B704,"brand",C$5:C704,C704,E$5:E704,"paid")-F704&lt;Inputs!$C$44),1,0),0)</f>
        <v>0</v>
      </c>
    </row>
    <row r="705" customFormat="false" ht="15" hidden="false" customHeight="false" outlineLevel="0" collapsed="false">
      <c r="A705" s="102"/>
      <c r="B705" s="103"/>
      <c r="C705" s="103"/>
      <c r="D705" s="103"/>
      <c r="E705" s="103"/>
      <c r="F705" s="103"/>
      <c r="G705" s="103"/>
      <c r="H705" s="103"/>
      <c r="I705" s="103"/>
      <c r="T705" s="30" t="str">
        <f aca="false">IF(C705="","",IF(COUNTIFS(C$5:C705,C705,E$5:E705,E705)=1,1,0))</f>
        <v/>
      </c>
      <c r="U705" s="30" t="n">
        <f aca="false">IF(C705="",0,IF(AND(B705="brand",E705="budget_probe",N(F705)&gt;=Inputs!$C$124,H705="Y"),1,0))</f>
        <v>0</v>
      </c>
      <c r="V705" s="30" t="n">
        <f aca="false">IF(U705=1,IF(COUNTIFS(C$5:C705,C705,U$5:U705,1)=1,1,0),0)</f>
        <v>0</v>
      </c>
      <c r="W705" s="30" t="n">
        <f aca="false">IF(C705="",0,IF(AND(B705="office",E705="budget_probe",N(F705)&gt;=Inputs!$C$139),1,0))</f>
        <v>0</v>
      </c>
      <c r="X705" s="30" t="n">
        <f aca="false">IF(W705=1,IF(COUNTIFS(C$5:C705,C705,W$5:W705,1)=1,1,0),0)</f>
        <v>0</v>
      </c>
      <c r="Y705" s="30" t="n">
        <f aca="false">IF(C705="",0,IF(AND(B705="brand",E705="renewal_answer",TRIM(G705)="yes",N(F705)&gt;=Inputs!$C$135),1,0))</f>
        <v>0</v>
      </c>
      <c r="Z705" s="30" t="n">
        <f aca="false">IF(Y705=1,IF(COUNTIFS(C$5:C705,C705,Y$5:Y705,1)=1,1,0),0)</f>
        <v>0</v>
      </c>
      <c r="AA705" s="30" t="n">
        <f aca="false">IF(AND(E705="budget_probe",ISNUMBER(F705),I705&lt;&gt;Lists!$X$4),1,0)</f>
        <v>0</v>
      </c>
      <c r="AB705" s="30" t="str">
        <f aca="false">IF(AND(B705="office",AA705=1,COUNTIFS(C$5:C705,C705,AA$5:AA705,1)=1),F705,"")</f>
        <v/>
      </c>
      <c r="AC705" s="30" t="str">
        <f aca="false">IF(AND(B705="brand",AA705=1,COUNTIFS(C$5:C705,C705,AA$5:AA705,1)=1),F705,"")</f>
        <v/>
      </c>
      <c r="AD705" s="30" t="str">
        <f aca="false">IF(AND(B705="brand",E705="budget_probe",ISNUMBER(F705),I705=Lists!$X$4),IF(COUNTIFS(C$5:C705,C705,E$5:E705,"budget_probe",I$5:I705,Lists!$X$4)=1,F705,""),"")</f>
        <v/>
      </c>
      <c r="AE705" s="30" t="n">
        <f aca="false">IF(AND(B705="brand",E705="paid",ISNUMBER(F705)),IF(AND(SUMIFS(F$5:F705,B$5:B705,"brand",C$5:C705,C705,E$5:E705,"paid")&gt;=Inputs!$C$44,SUMIFS(F$5:F705,B$5:B705,"brand",C$5:C705,C705,E$5:E705,"paid")-F705&lt;Inputs!$C$44),1,0),0)</f>
        <v>0</v>
      </c>
    </row>
    <row r="706" customFormat="false" ht="15" hidden="false" customHeight="false" outlineLevel="0" collapsed="false">
      <c r="A706" s="102"/>
      <c r="B706" s="103"/>
      <c r="C706" s="103"/>
      <c r="D706" s="103"/>
      <c r="E706" s="103"/>
      <c r="F706" s="103"/>
      <c r="G706" s="103"/>
      <c r="H706" s="103"/>
      <c r="I706" s="103"/>
      <c r="T706" s="30" t="str">
        <f aca="false">IF(C706="","",IF(COUNTIFS(C$5:C706,C706,E$5:E706,E706)=1,1,0))</f>
        <v/>
      </c>
      <c r="U706" s="30" t="n">
        <f aca="false">IF(C706="",0,IF(AND(B706="brand",E706="budget_probe",N(F706)&gt;=Inputs!$C$124,H706="Y"),1,0))</f>
        <v>0</v>
      </c>
      <c r="V706" s="30" t="n">
        <f aca="false">IF(U706=1,IF(COUNTIFS(C$5:C706,C706,U$5:U706,1)=1,1,0),0)</f>
        <v>0</v>
      </c>
      <c r="W706" s="30" t="n">
        <f aca="false">IF(C706="",0,IF(AND(B706="office",E706="budget_probe",N(F706)&gt;=Inputs!$C$139),1,0))</f>
        <v>0</v>
      </c>
      <c r="X706" s="30" t="n">
        <f aca="false">IF(W706=1,IF(COUNTIFS(C$5:C706,C706,W$5:W706,1)=1,1,0),0)</f>
        <v>0</v>
      </c>
      <c r="Y706" s="30" t="n">
        <f aca="false">IF(C706="",0,IF(AND(B706="brand",E706="renewal_answer",TRIM(G706)="yes",N(F706)&gt;=Inputs!$C$135),1,0))</f>
        <v>0</v>
      </c>
      <c r="Z706" s="30" t="n">
        <f aca="false">IF(Y706=1,IF(COUNTIFS(C$5:C706,C706,Y$5:Y706,1)=1,1,0),0)</f>
        <v>0</v>
      </c>
      <c r="AA706" s="30" t="n">
        <f aca="false">IF(AND(E706="budget_probe",ISNUMBER(F706),I706&lt;&gt;Lists!$X$4),1,0)</f>
        <v>0</v>
      </c>
      <c r="AB706" s="30" t="str">
        <f aca="false">IF(AND(B706="office",AA706=1,COUNTIFS(C$5:C706,C706,AA$5:AA706,1)=1),F706,"")</f>
        <v/>
      </c>
      <c r="AC706" s="30" t="str">
        <f aca="false">IF(AND(B706="brand",AA706=1,COUNTIFS(C$5:C706,C706,AA$5:AA706,1)=1),F706,"")</f>
        <v/>
      </c>
      <c r="AD706" s="30" t="str">
        <f aca="false">IF(AND(B706="brand",E706="budget_probe",ISNUMBER(F706),I706=Lists!$X$4),IF(COUNTIFS(C$5:C706,C706,E$5:E706,"budget_probe",I$5:I706,Lists!$X$4)=1,F706,""),"")</f>
        <v/>
      </c>
      <c r="AE706" s="30" t="n">
        <f aca="false">IF(AND(B706="brand",E706="paid",ISNUMBER(F706)),IF(AND(SUMIFS(F$5:F706,B$5:B706,"brand",C$5:C706,C706,E$5:E706,"paid")&gt;=Inputs!$C$44,SUMIFS(F$5:F706,B$5:B706,"brand",C$5:C706,C706,E$5:E706,"paid")-F706&lt;Inputs!$C$44),1,0),0)</f>
        <v>0</v>
      </c>
    </row>
    <row r="707" customFormat="false" ht="15" hidden="false" customHeight="false" outlineLevel="0" collapsed="false">
      <c r="A707" s="102"/>
      <c r="B707" s="103"/>
      <c r="C707" s="103"/>
      <c r="D707" s="103"/>
      <c r="E707" s="103"/>
      <c r="F707" s="103"/>
      <c r="G707" s="103"/>
      <c r="H707" s="103"/>
      <c r="I707" s="103"/>
      <c r="T707" s="30" t="str">
        <f aca="false">IF(C707="","",IF(COUNTIFS(C$5:C707,C707,E$5:E707,E707)=1,1,0))</f>
        <v/>
      </c>
      <c r="U707" s="30" t="n">
        <f aca="false">IF(C707="",0,IF(AND(B707="brand",E707="budget_probe",N(F707)&gt;=Inputs!$C$124,H707="Y"),1,0))</f>
        <v>0</v>
      </c>
      <c r="V707" s="30" t="n">
        <f aca="false">IF(U707=1,IF(COUNTIFS(C$5:C707,C707,U$5:U707,1)=1,1,0),0)</f>
        <v>0</v>
      </c>
      <c r="W707" s="30" t="n">
        <f aca="false">IF(C707="",0,IF(AND(B707="office",E707="budget_probe",N(F707)&gt;=Inputs!$C$139),1,0))</f>
        <v>0</v>
      </c>
      <c r="X707" s="30" t="n">
        <f aca="false">IF(W707=1,IF(COUNTIFS(C$5:C707,C707,W$5:W707,1)=1,1,0),0)</f>
        <v>0</v>
      </c>
      <c r="Y707" s="30" t="n">
        <f aca="false">IF(C707="",0,IF(AND(B707="brand",E707="renewal_answer",TRIM(G707)="yes",N(F707)&gt;=Inputs!$C$135),1,0))</f>
        <v>0</v>
      </c>
      <c r="Z707" s="30" t="n">
        <f aca="false">IF(Y707=1,IF(COUNTIFS(C$5:C707,C707,Y$5:Y707,1)=1,1,0),0)</f>
        <v>0</v>
      </c>
      <c r="AA707" s="30" t="n">
        <f aca="false">IF(AND(E707="budget_probe",ISNUMBER(F707),I707&lt;&gt;Lists!$X$4),1,0)</f>
        <v>0</v>
      </c>
      <c r="AB707" s="30" t="str">
        <f aca="false">IF(AND(B707="office",AA707=1,COUNTIFS(C$5:C707,C707,AA$5:AA707,1)=1),F707,"")</f>
        <v/>
      </c>
      <c r="AC707" s="30" t="str">
        <f aca="false">IF(AND(B707="brand",AA707=1,COUNTIFS(C$5:C707,C707,AA$5:AA707,1)=1),F707,"")</f>
        <v/>
      </c>
      <c r="AD707" s="30" t="str">
        <f aca="false">IF(AND(B707="brand",E707="budget_probe",ISNUMBER(F707),I707=Lists!$X$4),IF(COUNTIFS(C$5:C707,C707,E$5:E707,"budget_probe",I$5:I707,Lists!$X$4)=1,F707,""),"")</f>
        <v/>
      </c>
      <c r="AE707" s="30" t="n">
        <f aca="false">IF(AND(B707="brand",E707="paid",ISNUMBER(F707)),IF(AND(SUMIFS(F$5:F707,B$5:B707,"brand",C$5:C707,C707,E$5:E707,"paid")&gt;=Inputs!$C$44,SUMIFS(F$5:F707,B$5:B707,"brand",C$5:C707,C707,E$5:E707,"paid")-F707&lt;Inputs!$C$44),1,0),0)</f>
        <v>0</v>
      </c>
    </row>
    <row r="708" customFormat="false" ht="15" hidden="false" customHeight="false" outlineLevel="0" collapsed="false">
      <c r="A708" s="102"/>
      <c r="B708" s="103"/>
      <c r="C708" s="103"/>
      <c r="D708" s="103"/>
      <c r="E708" s="103"/>
      <c r="F708" s="103"/>
      <c r="G708" s="103"/>
      <c r="H708" s="103"/>
      <c r="I708" s="103"/>
      <c r="T708" s="30" t="str">
        <f aca="false">IF(C708="","",IF(COUNTIFS(C$5:C708,C708,E$5:E708,E708)=1,1,0))</f>
        <v/>
      </c>
      <c r="U708" s="30" t="n">
        <f aca="false">IF(C708="",0,IF(AND(B708="brand",E708="budget_probe",N(F708)&gt;=Inputs!$C$124,H708="Y"),1,0))</f>
        <v>0</v>
      </c>
      <c r="V708" s="30" t="n">
        <f aca="false">IF(U708=1,IF(COUNTIFS(C$5:C708,C708,U$5:U708,1)=1,1,0),0)</f>
        <v>0</v>
      </c>
      <c r="W708" s="30" t="n">
        <f aca="false">IF(C708="",0,IF(AND(B708="office",E708="budget_probe",N(F708)&gt;=Inputs!$C$139),1,0))</f>
        <v>0</v>
      </c>
      <c r="X708" s="30" t="n">
        <f aca="false">IF(W708=1,IF(COUNTIFS(C$5:C708,C708,W$5:W708,1)=1,1,0),0)</f>
        <v>0</v>
      </c>
      <c r="Y708" s="30" t="n">
        <f aca="false">IF(C708="",0,IF(AND(B708="brand",E708="renewal_answer",TRIM(G708)="yes",N(F708)&gt;=Inputs!$C$135),1,0))</f>
        <v>0</v>
      </c>
      <c r="Z708" s="30" t="n">
        <f aca="false">IF(Y708=1,IF(COUNTIFS(C$5:C708,C708,Y$5:Y708,1)=1,1,0),0)</f>
        <v>0</v>
      </c>
      <c r="AA708" s="30" t="n">
        <f aca="false">IF(AND(E708="budget_probe",ISNUMBER(F708),I708&lt;&gt;Lists!$X$4),1,0)</f>
        <v>0</v>
      </c>
      <c r="AB708" s="30" t="str">
        <f aca="false">IF(AND(B708="office",AA708=1,COUNTIFS(C$5:C708,C708,AA$5:AA708,1)=1),F708,"")</f>
        <v/>
      </c>
      <c r="AC708" s="30" t="str">
        <f aca="false">IF(AND(B708="brand",AA708=1,COUNTIFS(C$5:C708,C708,AA$5:AA708,1)=1),F708,"")</f>
        <v/>
      </c>
      <c r="AD708" s="30" t="str">
        <f aca="false">IF(AND(B708="brand",E708="budget_probe",ISNUMBER(F708),I708=Lists!$X$4),IF(COUNTIFS(C$5:C708,C708,E$5:E708,"budget_probe",I$5:I708,Lists!$X$4)=1,F708,""),"")</f>
        <v/>
      </c>
      <c r="AE708" s="30" t="n">
        <f aca="false">IF(AND(B708="brand",E708="paid",ISNUMBER(F708)),IF(AND(SUMIFS(F$5:F708,B$5:B708,"brand",C$5:C708,C708,E$5:E708,"paid")&gt;=Inputs!$C$44,SUMIFS(F$5:F708,B$5:B708,"brand",C$5:C708,C708,E$5:E708,"paid")-F708&lt;Inputs!$C$44),1,0),0)</f>
        <v>0</v>
      </c>
    </row>
    <row r="709" customFormat="false" ht="15" hidden="false" customHeight="false" outlineLevel="0" collapsed="false">
      <c r="A709" s="102"/>
      <c r="B709" s="103"/>
      <c r="C709" s="103"/>
      <c r="D709" s="103"/>
      <c r="E709" s="103"/>
      <c r="F709" s="103"/>
      <c r="G709" s="103"/>
      <c r="H709" s="103"/>
      <c r="I709" s="103"/>
      <c r="T709" s="30" t="str">
        <f aca="false">IF(C709="","",IF(COUNTIFS(C$5:C709,C709,E$5:E709,E709)=1,1,0))</f>
        <v/>
      </c>
      <c r="U709" s="30" t="n">
        <f aca="false">IF(C709="",0,IF(AND(B709="brand",E709="budget_probe",N(F709)&gt;=Inputs!$C$124,H709="Y"),1,0))</f>
        <v>0</v>
      </c>
      <c r="V709" s="30" t="n">
        <f aca="false">IF(U709=1,IF(COUNTIFS(C$5:C709,C709,U$5:U709,1)=1,1,0),0)</f>
        <v>0</v>
      </c>
      <c r="W709" s="30" t="n">
        <f aca="false">IF(C709="",0,IF(AND(B709="office",E709="budget_probe",N(F709)&gt;=Inputs!$C$139),1,0))</f>
        <v>0</v>
      </c>
      <c r="X709" s="30" t="n">
        <f aca="false">IF(W709=1,IF(COUNTIFS(C$5:C709,C709,W$5:W709,1)=1,1,0),0)</f>
        <v>0</v>
      </c>
      <c r="Y709" s="30" t="n">
        <f aca="false">IF(C709="",0,IF(AND(B709="brand",E709="renewal_answer",TRIM(G709)="yes",N(F709)&gt;=Inputs!$C$135),1,0))</f>
        <v>0</v>
      </c>
      <c r="Z709" s="30" t="n">
        <f aca="false">IF(Y709=1,IF(COUNTIFS(C$5:C709,C709,Y$5:Y709,1)=1,1,0),0)</f>
        <v>0</v>
      </c>
      <c r="AA709" s="30" t="n">
        <f aca="false">IF(AND(E709="budget_probe",ISNUMBER(F709),I709&lt;&gt;Lists!$X$4),1,0)</f>
        <v>0</v>
      </c>
      <c r="AB709" s="30" t="str">
        <f aca="false">IF(AND(B709="office",AA709=1,COUNTIFS(C$5:C709,C709,AA$5:AA709,1)=1),F709,"")</f>
        <v/>
      </c>
      <c r="AC709" s="30" t="str">
        <f aca="false">IF(AND(B709="brand",AA709=1,COUNTIFS(C$5:C709,C709,AA$5:AA709,1)=1),F709,"")</f>
        <v/>
      </c>
      <c r="AD709" s="30" t="str">
        <f aca="false">IF(AND(B709="brand",E709="budget_probe",ISNUMBER(F709),I709=Lists!$X$4),IF(COUNTIFS(C$5:C709,C709,E$5:E709,"budget_probe",I$5:I709,Lists!$X$4)=1,F709,""),"")</f>
        <v/>
      </c>
      <c r="AE709" s="30" t="n">
        <f aca="false">IF(AND(B709="brand",E709="paid",ISNUMBER(F709)),IF(AND(SUMIFS(F$5:F709,B$5:B709,"brand",C$5:C709,C709,E$5:E709,"paid")&gt;=Inputs!$C$44,SUMIFS(F$5:F709,B$5:B709,"brand",C$5:C709,C709,E$5:E709,"paid")-F709&lt;Inputs!$C$44),1,0),0)</f>
        <v>0</v>
      </c>
    </row>
    <row r="710" customFormat="false" ht="15" hidden="false" customHeight="false" outlineLevel="0" collapsed="false">
      <c r="A710" s="102"/>
      <c r="B710" s="103"/>
      <c r="C710" s="103"/>
      <c r="D710" s="103"/>
      <c r="E710" s="103"/>
      <c r="F710" s="103"/>
      <c r="G710" s="103"/>
      <c r="H710" s="103"/>
      <c r="I710" s="103"/>
      <c r="T710" s="30" t="str">
        <f aca="false">IF(C710="","",IF(COUNTIFS(C$5:C710,C710,E$5:E710,E710)=1,1,0))</f>
        <v/>
      </c>
      <c r="U710" s="30" t="n">
        <f aca="false">IF(C710="",0,IF(AND(B710="brand",E710="budget_probe",N(F710)&gt;=Inputs!$C$124,H710="Y"),1,0))</f>
        <v>0</v>
      </c>
      <c r="V710" s="30" t="n">
        <f aca="false">IF(U710=1,IF(COUNTIFS(C$5:C710,C710,U$5:U710,1)=1,1,0),0)</f>
        <v>0</v>
      </c>
      <c r="W710" s="30" t="n">
        <f aca="false">IF(C710="",0,IF(AND(B710="office",E710="budget_probe",N(F710)&gt;=Inputs!$C$139),1,0))</f>
        <v>0</v>
      </c>
      <c r="X710" s="30" t="n">
        <f aca="false">IF(W710=1,IF(COUNTIFS(C$5:C710,C710,W$5:W710,1)=1,1,0),0)</f>
        <v>0</v>
      </c>
      <c r="Y710" s="30" t="n">
        <f aca="false">IF(C710="",0,IF(AND(B710="brand",E710="renewal_answer",TRIM(G710)="yes",N(F710)&gt;=Inputs!$C$135),1,0))</f>
        <v>0</v>
      </c>
      <c r="Z710" s="30" t="n">
        <f aca="false">IF(Y710=1,IF(COUNTIFS(C$5:C710,C710,Y$5:Y710,1)=1,1,0),0)</f>
        <v>0</v>
      </c>
      <c r="AA710" s="30" t="n">
        <f aca="false">IF(AND(E710="budget_probe",ISNUMBER(F710),I710&lt;&gt;Lists!$X$4),1,0)</f>
        <v>0</v>
      </c>
      <c r="AB710" s="30" t="str">
        <f aca="false">IF(AND(B710="office",AA710=1,COUNTIFS(C$5:C710,C710,AA$5:AA710,1)=1),F710,"")</f>
        <v/>
      </c>
      <c r="AC710" s="30" t="str">
        <f aca="false">IF(AND(B710="brand",AA710=1,COUNTIFS(C$5:C710,C710,AA$5:AA710,1)=1),F710,"")</f>
        <v/>
      </c>
      <c r="AD710" s="30" t="str">
        <f aca="false">IF(AND(B710="brand",E710="budget_probe",ISNUMBER(F710),I710=Lists!$X$4),IF(COUNTIFS(C$5:C710,C710,E$5:E710,"budget_probe",I$5:I710,Lists!$X$4)=1,F710,""),"")</f>
        <v/>
      </c>
      <c r="AE710" s="30" t="n">
        <f aca="false">IF(AND(B710="brand",E710="paid",ISNUMBER(F710)),IF(AND(SUMIFS(F$5:F710,B$5:B710,"brand",C$5:C710,C710,E$5:E710,"paid")&gt;=Inputs!$C$44,SUMIFS(F$5:F710,B$5:B710,"brand",C$5:C710,C710,E$5:E710,"paid")-F710&lt;Inputs!$C$44),1,0),0)</f>
        <v>0</v>
      </c>
    </row>
    <row r="711" customFormat="false" ht="15" hidden="false" customHeight="false" outlineLevel="0" collapsed="false">
      <c r="A711" s="102"/>
      <c r="B711" s="103"/>
      <c r="C711" s="103"/>
      <c r="D711" s="103"/>
      <c r="E711" s="103"/>
      <c r="F711" s="103"/>
      <c r="G711" s="103"/>
      <c r="H711" s="103"/>
      <c r="I711" s="103"/>
      <c r="T711" s="30" t="str">
        <f aca="false">IF(C711="","",IF(COUNTIFS(C$5:C711,C711,E$5:E711,E711)=1,1,0))</f>
        <v/>
      </c>
      <c r="U711" s="30" t="n">
        <f aca="false">IF(C711="",0,IF(AND(B711="brand",E711="budget_probe",N(F711)&gt;=Inputs!$C$124,H711="Y"),1,0))</f>
        <v>0</v>
      </c>
      <c r="V711" s="30" t="n">
        <f aca="false">IF(U711=1,IF(COUNTIFS(C$5:C711,C711,U$5:U711,1)=1,1,0),0)</f>
        <v>0</v>
      </c>
      <c r="W711" s="30" t="n">
        <f aca="false">IF(C711="",0,IF(AND(B711="office",E711="budget_probe",N(F711)&gt;=Inputs!$C$139),1,0))</f>
        <v>0</v>
      </c>
      <c r="X711" s="30" t="n">
        <f aca="false">IF(W711=1,IF(COUNTIFS(C$5:C711,C711,W$5:W711,1)=1,1,0),0)</f>
        <v>0</v>
      </c>
      <c r="Y711" s="30" t="n">
        <f aca="false">IF(C711="",0,IF(AND(B711="brand",E711="renewal_answer",TRIM(G711)="yes",N(F711)&gt;=Inputs!$C$135),1,0))</f>
        <v>0</v>
      </c>
      <c r="Z711" s="30" t="n">
        <f aca="false">IF(Y711=1,IF(COUNTIFS(C$5:C711,C711,Y$5:Y711,1)=1,1,0),0)</f>
        <v>0</v>
      </c>
      <c r="AA711" s="30" t="n">
        <f aca="false">IF(AND(E711="budget_probe",ISNUMBER(F711),I711&lt;&gt;Lists!$X$4),1,0)</f>
        <v>0</v>
      </c>
      <c r="AB711" s="30" t="str">
        <f aca="false">IF(AND(B711="office",AA711=1,COUNTIFS(C$5:C711,C711,AA$5:AA711,1)=1),F711,"")</f>
        <v/>
      </c>
      <c r="AC711" s="30" t="str">
        <f aca="false">IF(AND(B711="brand",AA711=1,COUNTIFS(C$5:C711,C711,AA$5:AA711,1)=1),F711,"")</f>
        <v/>
      </c>
      <c r="AD711" s="30" t="str">
        <f aca="false">IF(AND(B711="brand",E711="budget_probe",ISNUMBER(F711),I711=Lists!$X$4),IF(COUNTIFS(C$5:C711,C711,E$5:E711,"budget_probe",I$5:I711,Lists!$X$4)=1,F711,""),"")</f>
        <v/>
      </c>
      <c r="AE711" s="30" t="n">
        <f aca="false">IF(AND(B711="brand",E711="paid",ISNUMBER(F711)),IF(AND(SUMIFS(F$5:F711,B$5:B711,"brand",C$5:C711,C711,E$5:E711,"paid")&gt;=Inputs!$C$44,SUMIFS(F$5:F711,B$5:B711,"brand",C$5:C711,C711,E$5:E711,"paid")-F711&lt;Inputs!$C$44),1,0),0)</f>
        <v>0</v>
      </c>
    </row>
    <row r="712" customFormat="false" ht="15" hidden="false" customHeight="false" outlineLevel="0" collapsed="false">
      <c r="A712" s="102"/>
      <c r="B712" s="103"/>
      <c r="C712" s="103"/>
      <c r="D712" s="103"/>
      <c r="E712" s="103"/>
      <c r="F712" s="103"/>
      <c r="G712" s="103"/>
      <c r="H712" s="103"/>
      <c r="I712" s="103"/>
      <c r="T712" s="30" t="str">
        <f aca="false">IF(C712="","",IF(COUNTIFS(C$5:C712,C712,E$5:E712,E712)=1,1,0))</f>
        <v/>
      </c>
      <c r="U712" s="30" t="n">
        <f aca="false">IF(C712="",0,IF(AND(B712="brand",E712="budget_probe",N(F712)&gt;=Inputs!$C$124,H712="Y"),1,0))</f>
        <v>0</v>
      </c>
      <c r="V712" s="30" t="n">
        <f aca="false">IF(U712=1,IF(COUNTIFS(C$5:C712,C712,U$5:U712,1)=1,1,0),0)</f>
        <v>0</v>
      </c>
      <c r="W712" s="30" t="n">
        <f aca="false">IF(C712="",0,IF(AND(B712="office",E712="budget_probe",N(F712)&gt;=Inputs!$C$139),1,0))</f>
        <v>0</v>
      </c>
      <c r="X712" s="30" t="n">
        <f aca="false">IF(W712=1,IF(COUNTIFS(C$5:C712,C712,W$5:W712,1)=1,1,0),0)</f>
        <v>0</v>
      </c>
      <c r="Y712" s="30" t="n">
        <f aca="false">IF(C712="",0,IF(AND(B712="brand",E712="renewal_answer",TRIM(G712)="yes",N(F712)&gt;=Inputs!$C$135),1,0))</f>
        <v>0</v>
      </c>
      <c r="Z712" s="30" t="n">
        <f aca="false">IF(Y712=1,IF(COUNTIFS(C$5:C712,C712,Y$5:Y712,1)=1,1,0),0)</f>
        <v>0</v>
      </c>
      <c r="AA712" s="30" t="n">
        <f aca="false">IF(AND(E712="budget_probe",ISNUMBER(F712),I712&lt;&gt;Lists!$X$4),1,0)</f>
        <v>0</v>
      </c>
      <c r="AB712" s="30" t="str">
        <f aca="false">IF(AND(B712="office",AA712=1,COUNTIFS(C$5:C712,C712,AA$5:AA712,1)=1),F712,"")</f>
        <v/>
      </c>
      <c r="AC712" s="30" t="str">
        <f aca="false">IF(AND(B712="brand",AA712=1,COUNTIFS(C$5:C712,C712,AA$5:AA712,1)=1),F712,"")</f>
        <v/>
      </c>
      <c r="AD712" s="30" t="str">
        <f aca="false">IF(AND(B712="brand",E712="budget_probe",ISNUMBER(F712),I712=Lists!$X$4),IF(COUNTIFS(C$5:C712,C712,E$5:E712,"budget_probe",I$5:I712,Lists!$X$4)=1,F712,""),"")</f>
        <v/>
      </c>
      <c r="AE712" s="30" t="n">
        <f aca="false">IF(AND(B712="brand",E712="paid",ISNUMBER(F712)),IF(AND(SUMIFS(F$5:F712,B$5:B712,"brand",C$5:C712,C712,E$5:E712,"paid")&gt;=Inputs!$C$44,SUMIFS(F$5:F712,B$5:B712,"brand",C$5:C712,C712,E$5:E712,"paid")-F712&lt;Inputs!$C$44),1,0),0)</f>
        <v>0</v>
      </c>
    </row>
    <row r="713" customFormat="false" ht="15" hidden="false" customHeight="false" outlineLevel="0" collapsed="false">
      <c r="A713" s="102"/>
      <c r="B713" s="103"/>
      <c r="C713" s="103"/>
      <c r="D713" s="103"/>
      <c r="E713" s="103"/>
      <c r="F713" s="103"/>
      <c r="G713" s="103"/>
      <c r="H713" s="103"/>
      <c r="I713" s="103"/>
      <c r="T713" s="30" t="str">
        <f aca="false">IF(C713="","",IF(COUNTIFS(C$5:C713,C713,E$5:E713,E713)=1,1,0))</f>
        <v/>
      </c>
      <c r="U713" s="30" t="n">
        <f aca="false">IF(C713="",0,IF(AND(B713="brand",E713="budget_probe",N(F713)&gt;=Inputs!$C$124,H713="Y"),1,0))</f>
        <v>0</v>
      </c>
      <c r="V713" s="30" t="n">
        <f aca="false">IF(U713=1,IF(COUNTIFS(C$5:C713,C713,U$5:U713,1)=1,1,0),0)</f>
        <v>0</v>
      </c>
      <c r="W713" s="30" t="n">
        <f aca="false">IF(C713="",0,IF(AND(B713="office",E713="budget_probe",N(F713)&gt;=Inputs!$C$139),1,0))</f>
        <v>0</v>
      </c>
      <c r="X713" s="30" t="n">
        <f aca="false">IF(W713=1,IF(COUNTIFS(C$5:C713,C713,W$5:W713,1)=1,1,0),0)</f>
        <v>0</v>
      </c>
      <c r="Y713" s="30" t="n">
        <f aca="false">IF(C713="",0,IF(AND(B713="brand",E713="renewal_answer",TRIM(G713)="yes",N(F713)&gt;=Inputs!$C$135),1,0))</f>
        <v>0</v>
      </c>
      <c r="Z713" s="30" t="n">
        <f aca="false">IF(Y713=1,IF(COUNTIFS(C$5:C713,C713,Y$5:Y713,1)=1,1,0),0)</f>
        <v>0</v>
      </c>
      <c r="AA713" s="30" t="n">
        <f aca="false">IF(AND(E713="budget_probe",ISNUMBER(F713),I713&lt;&gt;Lists!$X$4),1,0)</f>
        <v>0</v>
      </c>
      <c r="AB713" s="30" t="str">
        <f aca="false">IF(AND(B713="office",AA713=1,COUNTIFS(C$5:C713,C713,AA$5:AA713,1)=1),F713,"")</f>
        <v/>
      </c>
      <c r="AC713" s="30" t="str">
        <f aca="false">IF(AND(B713="brand",AA713=1,COUNTIFS(C$5:C713,C713,AA$5:AA713,1)=1),F713,"")</f>
        <v/>
      </c>
      <c r="AD713" s="30" t="str">
        <f aca="false">IF(AND(B713="brand",E713="budget_probe",ISNUMBER(F713),I713=Lists!$X$4),IF(COUNTIFS(C$5:C713,C713,E$5:E713,"budget_probe",I$5:I713,Lists!$X$4)=1,F713,""),"")</f>
        <v/>
      </c>
      <c r="AE713" s="30" t="n">
        <f aca="false">IF(AND(B713="brand",E713="paid",ISNUMBER(F713)),IF(AND(SUMIFS(F$5:F713,B$5:B713,"brand",C$5:C713,C713,E$5:E713,"paid")&gt;=Inputs!$C$44,SUMIFS(F$5:F713,B$5:B713,"brand",C$5:C713,C713,E$5:E713,"paid")-F713&lt;Inputs!$C$44),1,0),0)</f>
        <v>0</v>
      </c>
    </row>
    <row r="714" customFormat="false" ht="15" hidden="false" customHeight="false" outlineLevel="0" collapsed="false">
      <c r="A714" s="102"/>
      <c r="B714" s="103"/>
      <c r="C714" s="103"/>
      <c r="D714" s="103"/>
      <c r="E714" s="103"/>
      <c r="F714" s="103"/>
      <c r="G714" s="103"/>
      <c r="H714" s="103"/>
      <c r="I714" s="103"/>
      <c r="T714" s="30" t="str">
        <f aca="false">IF(C714="","",IF(COUNTIFS(C$5:C714,C714,E$5:E714,E714)=1,1,0))</f>
        <v/>
      </c>
      <c r="U714" s="30" t="n">
        <f aca="false">IF(C714="",0,IF(AND(B714="brand",E714="budget_probe",N(F714)&gt;=Inputs!$C$124,H714="Y"),1,0))</f>
        <v>0</v>
      </c>
      <c r="V714" s="30" t="n">
        <f aca="false">IF(U714=1,IF(COUNTIFS(C$5:C714,C714,U$5:U714,1)=1,1,0),0)</f>
        <v>0</v>
      </c>
      <c r="W714" s="30" t="n">
        <f aca="false">IF(C714="",0,IF(AND(B714="office",E714="budget_probe",N(F714)&gt;=Inputs!$C$139),1,0))</f>
        <v>0</v>
      </c>
      <c r="X714" s="30" t="n">
        <f aca="false">IF(W714=1,IF(COUNTIFS(C$5:C714,C714,W$5:W714,1)=1,1,0),0)</f>
        <v>0</v>
      </c>
      <c r="Y714" s="30" t="n">
        <f aca="false">IF(C714="",0,IF(AND(B714="brand",E714="renewal_answer",TRIM(G714)="yes",N(F714)&gt;=Inputs!$C$135),1,0))</f>
        <v>0</v>
      </c>
      <c r="Z714" s="30" t="n">
        <f aca="false">IF(Y714=1,IF(COUNTIFS(C$5:C714,C714,Y$5:Y714,1)=1,1,0),0)</f>
        <v>0</v>
      </c>
      <c r="AA714" s="30" t="n">
        <f aca="false">IF(AND(E714="budget_probe",ISNUMBER(F714),I714&lt;&gt;Lists!$X$4),1,0)</f>
        <v>0</v>
      </c>
      <c r="AB714" s="30" t="str">
        <f aca="false">IF(AND(B714="office",AA714=1,COUNTIFS(C$5:C714,C714,AA$5:AA714,1)=1),F714,"")</f>
        <v/>
      </c>
      <c r="AC714" s="30" t="str">
        <f aca="false">IF(AND(B714="brand",AA714=1,COUNTIFS(C$5:C714,C714,AA$5:AA714,1)=1),F714,"")</f>
        <v/>
      </c>
      <c r="AD714" s="30" t="str">
        <f aca="false">IF(AND(B714="brand",E714="budget_probe",ISNUMBER(F714),I714=Lists!$X$4),IF(COUNTIFS(C$5:C714,C714,E$5:E714,"budget_probe",I$5:I714,Lists!$X$4)=1,F714,""),"")</f>
        <v/>
      </c>
      <c r="AE714" s="30" t="n">
        <f aca="false">IF(AND(B714="brand",E714="paid",ISNUMBER(F714)),IF(AND(SUMIFS(F$5:F714,B$5:B714,"brand",C$5:C714,C714,E$5:E714,"paid")&gt;=Inputs!$C$44,SUMIFS(F$5:F714,B$5:B714,"brand",C$5:C714,C714,E$5:E714,"paid")-F714&lt;Inputs!$C$44),1,0),0)</f>
        <v>0</v>
      </c>
    </row>
    <row r="715" customFormat="false" ht="15" hidden="false" customHeight="false" outlineLevel="0" collapsed="false">
      <c r="A715" s="102"/>
      <c r="B715" s="103"/>
      <c r="C715" s="103"/>
      <c r="D715" s="103"/>
      <c r="E715" s="103"/>
      <c r="F715" s="103"/>
      <c r="G715" s="103"/>
      <c r="H715" s="103"/>
      <c r="I715" s="103"/>
      <c r="T715" s="30" t="str">
        <f aca="false">IF(C715="","",IF(COUNTIFS(C$5:C715,C715,E$5:E715,E715)=1,1,0))</f>
        <v/>
      </c>
      <c r="U715" s="30" t="n">
        <f aca="false">IF(C715="",0,IF(AND(B715="brand",E715="budget_probe",N(F715)&gt;=Inputs!$C$124,H715="Y"),1,0))</f>
        <v>0</v>
      </c>
      <c r="V715" s="30" t="n">
        <f aca="false">IF(U715=1,IF(COUNTIFS(C$5:C715,C715,U$5:U715,1)=1,1,0),0)</f>
        <v>0</v>
      </c>
      <c r="W715" s="30" t="n">
        <f aca="false">IF(C715="",0,IF(AND(B715="office",E715="budget_probe",N(F715)&gt;=Inputs!$C$139),1,0))</f>
        <v>0</v>
      </c>
      <c r="X715" s="30" t="n">
        <f aca="false">IF(W715=1,IF(COUNTIFS(C$5:C715,C715,W$5:W715,1)=1,1,0),0)</f>
        <v>0</v>
      </c>
      <c r="Y715" s="30" t="n">
        <f aca="false">IF(C715="",0,IF(AND(B715="brand",E715="renewal_answer",TRIM(G715)="yes",N(F715)&gt;=Inputs!$C$135),1,0))</f>
        <v>0</v>
      </c>
      <c r="Z715" s="30" t="n">
        <f aca="false">IF(Y715=1,IF(COUNTIFS(C$5:C715,C715,Y$5:Y715,1)=1,1,0),0)</f>
        <v>0</v>
      </c>
      <c r="AA715" s="30" t="n">
        <f aca="false">IF(AND(E715="budget_probe",ISNUMBER(F715),I715&lt;&gt;Lists!$X$4),1,0)</f>
        <v>0</v>
      </c>
      <c r="AB715" s="30" t="str">
        <f aca="false">IF(AND(B715="office",AA715=1,COUNTIFS(C$5:C715,C715,AA$5:AA715,1)=1),F715,"")</f>
        <v/>
      </c>
      <c r="AC715" s="30" t="str">
        <f aca="false">IF(AND(B715="brand",AA715=1,COUNTIFS(C$5:C715,C715,AA$5:AA715,1)=1),F715,"")</f>
        <v/>
      </c>
      <c r="AD715" s="30" t="str">
        <f aca="false">IF(AND(B715="brand",E715="budget_probe",ISNUMBER(F715),I715=Lists!$X$4),IF(COUNTIFS(C$5:C715,C715,E$5:E715,"budget_probe",I$5:I715,Lists!$X$4)=1,F715,""),"")</f>
        <v/>
      </c>
      <c r="AE715" s="30" t="n">
        <f aca="false">IF(AND(B715="brand",E715="paid",ISNUMBER(F715)),IF(AND(SUMIFS(F$5:F715,B$5:B715,"brand",C$5:C715,C715,E$5:E715,"paid")&gt;=Inputs!$C$44,SUMIFS(F$5:F715,B$5:B715,"brand",C$5:C715,C715,E$5:E715,"paid")-F715&lt;Inputs!$C$44),1,0),0)</f>
        <v>0</v>
      </c>
    </row>
    <row r="716" customFormat="false" ht="15" hidden="false" customHeight="false" outlineLevel="0" collapsed="false">
      <c r="A716" s="102"/>
      <c r="B716" s="103"/>
      <c r="C716" s="103"/>
      <c r="D716" s="103"/>
      <c r="E716" s="103"/>
      <c r="F716" s="103"/>
      <c r="G716" s="103"/>
      <c r="H716" s="103"/>
      <c r="I716" s="103"/>
      <c r="T716" s="30" t="str">
        <f aca="false">IF(C716="","",IF(COUNTIFS(C$5:C716,C716,E$5:E716,E716)=1,1,0))</f>
        <v/>
      </c>
      <c r="U716" s="30" t="n">
        <f aca="false">IF(C716="",0,IF(AND(B716="brand",E716="budget_probe",N(F716)&gt;=Inputs!$C$124,H716="Y"),1,0))</f>
        <v>0</v>
      </c>
      <c r="V716" s="30" t="n">
        <f aca="false">IF(U716=1,IF(COUNTIFS(C$5:C716,C716,U$5:U716,1)=1,1,0),0)</f>
        <v>0</v>
      </c>
      <c r="W716" s="30" t="n">
        <f aca="false">IF(C716="",0,IF(AND(B716="office",E716="budget_probe",N(F716)&gt;=Inputs!$C$139),1,0))</f>
        <v>0</v>
      </c>
      <c r="X716" s="30" t="n">
        <f aca="false">IF(W716=1,IF(COUNTIFS(C$5:C716,C716,W$5:W716,1)=1,1,0),0)</f>
        <v>0</v>
      </c>
      <c r="Y716" s="30" t="n">
        <f aca="false">IF(C716="",0,IF(AND(B716="brand",E716="renewal_answer",TRIM(G716)="yes",N(F716)&gt;=Inputs!$C$135),1,0))</f>
        <v>0</v>
      </c>
      <c r="Z716" s="30" t="n">
        <f aca="false">IF(Y716=1,IF(COUNTIFS(C$5:C716,C716,Y$5:Y716,1)=1,1,0),0)</f>
        <v>0</v>
      </c>
      <c r="AA716" s="30" t="n">
        <f aca="false">IF(AND(E716="budget_probe",ISNUMBER(F716),I716&lt;&gt;Lists!$X$4),1,0)</f>
        <v>0</v>
      </c>
      <c r="AB716" s="30" t="str">
        <f aca="false">IF(AND(B716="office",AA716=1,COUNTIFS(C$5:C716,C716,AA$5:AA716,1)=1),F716,"")</f>
        <v/>
      </c>
      <c r="AC716" s="30" t="str">
        <f aca="false">IF(AND(B716="brand",AA716=1,COUNTIFS(C$5:C716,C716,AA$5:AA716,1)=1),F716,"")</f>
        <v/>
      </c>
      <c r="AD716" s="30" t="str">
        <f aca="false">IF(AND(B716="brand",E716="budget_probe",ISNUMBER(F716),I716=Lists!$X$4),IF(COUNTIFS(C$5:C716,C716,E$5:E716,"budget_probe",I$5:I716,Lists!$X$4)=1,F716,""),"")</f>
        <v/>
      </c>
      <c r="AE716" s="30" t="n">
        <f aca="false">IF(AND(B716="brand",E716="paid",ISNUMBER(F716)),IF(AND(SUMIFS(F$5:F716,B$5:B716,"brand",C$5:C716,C716,E$5:E716,"paid")&gt;=Inputs!$C$44,SUMIFS(F$5:F716,B$5:B716,"brand",C$5:C716,C716,E$5:E716,"paid")-F716&lt;Inputs!$C$44),1,0),0)</f>
        <v>0</v>
      </c>
    </row>
    <row r="717" customFormat="false" ht="15" hidden="false" customHeight="false" outlineLevel="0" collapsed="false">
      <c r="A717" s="102"/>
      <c r="B717" s="103"/>
      <c r="C717" s="103"/>
      <c r="D717" s="103"/>
      <c r="E717" s="103"/>
      <c r="F717" s="103"/>
      <c r="G717" s="103"/>
      <c r="H717" s="103"/>
      <c r="I717" s="103"/>
      <c r="T717" s="30" t="str">
        <f aca="false">IF(C717="","",IF(COUNTIFS(C$5:C717,C717,E$5:E717,E717)=1,1,0))</f>
        <v/>
      </c>
      <c r="U717" s="30" t="n">
        <f aca="false">IF(C717="",0,IF(AND(B717="brand",E717="budget_probe",N(F717)&gt;=Inputs!$C$124,H717="Y"),1,0))</f>
        <v>0</v>
      </c>
      <c r="V717" s="30" t="n">
        <f aca="false">IF(U717=1,IF(COUNTIFS(C$5:C717,C717,U$5:U717,1)=1,1,0),0)</f>
        <v>0</v>
      </c>
      <c r="W717" s="30" t="n">
        <f aca="false">IF(C717="",0,IF(AND(B717="office",E717="budget_probe",N(F717)&gt;=Inputs!$C$139),1,0))</f>
        <v>0</v>
      </c>
      <c r="X717" s="30" t="n">
        <f aca="false">IF(W717=1,IF(COUNTIFS(C$5:C717,C717,W$5:W717,1)=1,1,0),0)</f>
        <v>0</v>
      </c>
      <c r="Y717" s="30" t="n">
        <f aca="false">IF(C717="",0,IF(AND(B717="brand",E717="renewal_answer",TRIM(G717)="yes",N(F717)&gt;=Inputs!$C$135),1,0))</f>
        <v>0</v>
      </c>
      <c r="Z717" s="30" t="n">
        <f aca="false">IF(Y717=1,IF(COUNTIFS(C$5:C717,C717,Y$5:Y717,1)=1,1,0),0)</f>
        <v>0</v>
      </c>
      <c r="AA717" s="30" t="n">
        <f aca="false">IF(AND(E717="budget_probe",ISNUMBER(F717),I717&lt;&gt;Lists!$X$4),1,0)</f>
        <v>0</v>
      </c>
      <c r="AB717" s="30" t="str">
        <f aca="false">IF(AND(B717="office",AA717=1,COUNTIFS(C$5:C717,C717,AA$5:AA717,1)=1),F717,"")</f>
        <v/>
      </c>
      <c r="AC717" s="30" t="str">
        <f aca="false">IF(AND(B717="brand",AA717=1,COUNTIFS(C$5:C717,C717,AA$5:AA717,1)=1),F717,"")</f>
        <v/>
      </c>
      <c r="AD717" s="30" t="str">
        <f aca="false">IF(AND(B717="brand",E717="budget_probe",ISNUMBER(F717),I717=Lists!$X$4),IF(COUNTIFS(C$5:C717,C717,E$5:E717,"budget_probe",I$5:I717,Lists!$X$4)=1,F717,""),"")</f>
        <v/>
      </c>
      <c r="AE717" s="30" t="n">
        <f aca="false">IF(AND(B717="brand",E717="paid",ISNUMBER(F717)),IF(AND(SUMIFS(F$5:F717,B$5:B717,"brand",C$5:C717,C717,E$5:E717,"paid")&gt;=Inputs!$C$44,SUMIFS(F$5:F717,B$5:B717,"brand",C$5:C717,C717,E$5:E717,"paid")-F717&lt;Inputs!$C$44),1,0),0)</f>
        <v>0</v>
      </c>
    </row>
    <row r="718" customFormat="false" ht="15" hidden="false" customHeight="false" outlineLevel="0" collapsed="false">
      <c r="A718" s="102"/>
      <c r="B718" s="103"/>
      <c r="C718" s="103"/>
      <c r="D718" s="103"/>
      <c r="E718" s="103"/>
      <c r="F718" s="103"/>
      <c r="G718" s="103"/>
      <c r="H718" s="103"/>
      <c r="I718" s="103"/>
      <c r="T718" s="30" t="str">
        <f aca="false">IF(C718="","",IF(COUNTIFS(C$5:C718,C718,E$5:E718,E718)=1,1,0))</f>
        <v/>
      </c>
      <c r="U718" s="30" t="n">
        <f aca="false">IF(C718="",0,IF(AND(B718="brand",E718="budget_probe",N(F718)&gt;=Inputs!$C$124,H718="Y"),1,0))</f>
        <v>0</v>
      </c>
      <c r="V718" s="30" t="n">
        <f aca="false">IF(U718=1,IF(COUNTIFS(C$5:C718,C718,U$5:U718,1)=1,1,0),0)</f>
        <v>0</v>
      </c>
      <c r="W718" s="30" t="n">
        <f aca="false">IF(C718="",0,IF(AND(B718="office",E718="budget_probe",N(F718)&gt;=Inputs!$C$139),1,0))</f>
        <v>0</v>
      </c>
      <c r="X718" s="30" t="n">
        <f aca="false">IF(W718=1,IF(COUNTIFS(C$5:C718,C718,W$5:W718,1)=1,1,0),0)</f>
        <v>0</v>
      </c>
      <c r="Y718" s="30" t="n">
        <f aca="false">IF(C718="",0,IF(AND(B718="brand",E718="renewal_answer",TRIM(G718)="yes",N(F718)&gt;=Inputs!$C$135),1,0))</f>
        <v>0</v>
      </c>
      <c r="Z718" s="30" t="n">
        <f aca="false">IF(Y718=1,IF(COUNTIFS(C$5:C718,C718,Y$5:Y718,1)=1,1,0),0)</f>
        <v>0</v>
      </c>
      <c r="AA718" s="30" t="n">
        <f aca="false">IF(AND(E718="budget_probe",ISNUMBER(F718),I718&lt;&gt;Lists!$X$4),1,0)</f>
        <v>0</v>
      </c>
      <c r="AB718" s="30" t="str">
        <f aca="false">IF(AND(B718="office",AA718=1,COUNTIFS(C$5:C718,C718,AA$5:AA718,1)=1),F718,"")</f>
        <v/>
      </c>
      <c r="AC718" s="30" t="str">
        <f aca="false">IF(AND(B718="brand",AA718=1,COUNTIFS(C$5:C718,C718,AA$5:AA718,1)=1),F718,"")</f>
        <v/>
      </c>
      <c r="AD718" s="30" t="str">
        <f aca="false">IF(AND(B718="brand",E718="budget_probe",ISNUMBER(F718),I718=Lists!$X$4),IF(COUNTIFS(C$5:C718,C718,E$5:E718,"budget_probe",I$5:I718,Lists!$X$4)=1,F718,""),"")</f>
        <v/>
      </c>
      <c r="AE718" s="30" t="n">
        <f aca="false">IF(AND(B718="brand",E718="paid",ISNUMBER(F718)),IF(AND(SUMIFS(F$5:F718,B$5:B718,"brand",C$5:C718,C718,E$5:E718,"paid")&gt;=Inputs!$C$44,SUMIFS(F$5:F718,B$5:B718,"brand",C$5:C718,C718,E$5:E718,"paid")-F718&lt;Inputs!$C$44),1,0),0)</f>
        <v>0</v>
      </c>
    </row>
    <row r="719" customFormat="false" ht="15" hidden="false" customHeight="false" outlineLevel="0" collapsed="false">
      <c r="A719" s="102"/>
      <c r="B719" s="103"/>
      <c r="C719" s="103"/>
      <c r="D719" s="103"/>
      <c r="E719" s="103"/>
      <c r="F719" s="103"/>
      <c r="G719" s="103"/>
      <c r="H719" s="103"/>
      <c r="I719" s="103"/>
      <c r="T719" s="30" t="str">
        <f aca="false">IF(C719="","",IF(COUNTIFS(C$5:C719,C719,E$5:E719,E719)=1,1,0))</f>
        <v/>
      </c>
      <c r="U719" s="30" t="n">
        <f aca="false">IF(C719="",0,IF(AND(B719="brand",E719="budget_probe",N(F719)&gt;=Inputs!$C$124,H719="Y"),1,0))</f>
        <v>0</v>
      </c>
      <c r="V719" s="30" t="n">
        <f aca="false">IF(U719=1,IF(COUNTIFS(C$5:C719,C719,U$5:U719,1)=1,1,0),0)</f>
        <v>0</v>
      </c>
      <c r="W719" s="30" t="n">
        <f aca="false">IF(C719="",0,IF(AND(B719="office",E719="budget_probe",N(F719)&gt;=Inputs!$C$139),1,0))</f>
        <v>0</v>
      </c>
      <c r="X719" s="30" t="n">
        <f aca="false">IF(W719=1,IF(COUNTIFS(C$5:C719,C719,W$5:W719,1)=1,1,0),0)</f>
        <v>0</v>
      </c>
      <c r="Y719" s="30" t="n">
        <f aca="false">IF(C719="",0,IF(AND(B719="brand",E719="renewal_answer",TRIM(G719)="yes",N(F719)&gt;=Inputs!$C$135),1,0))</f>
        <v>0</v>
      </c>
      <c r="Z719" s="30" t="n">
        <f aca="false">IF(Y719=1,IF(COUNTIFS(C$5:C719,C719,Y$5:Y719,1)=1,1,0),0)</f>
        <v>0</v>
      </c>
      <c r="AA719" s="30" t="n">
        <f aca="false">IF(AND(E719="budget_probe",ISNUMBER(F719),I719&lt;&gt;Lists!$X$4),1,0)</f>
        <v>0</v>
      </c>
      <c r="AB719" s="30" t="str">
        <f aca="false">IF(AND(B719="office",AA719=1,COUNTIFS(C$5:C719,C719,AA$5:AA719,1)=1),F719,"")</f>
        <v/>
      </c>
      <c r="AC719" s="30" t="str">
        <f aca="false">IF(AND(B719="brand",AA719=1,COUNTIFS(C$5:C719,C719,AA$5:AA719,1)=1),F719,"")</f>
        <v/>
      </c>
      <c r="AD719" s="30" t="str">
        <f aca="false">IF(AND(B719="brand",E719="budget_probe",ISNUMBER(F719),I719=Lists!$X$4),IF(COUNTIFS(C$5:C719,C719,E$5:E719,"budget_probe",I$5:I719,Lists!$X$4)=1,F719,""),"")</f>
        <v/>
      </c>
      <c r="AE719" s="30" t="n">
        <f aca="false">IF(AND(B719="brand",E719="paid",ISNUMBER(F719)),IF(AND(SUMIFS(F$5:F719,B$5:B719,"brand",C$5:C719,C719,E$5:E719,"paid")&gt;=Inputs!$C$44,SUMIFS(F$5:F719,B$5:B719,"brand",C$5:C719,C719,E$5:E719,"paid")-F719&lt;Inputs!$C$44),1,0),0)</f>
        <v>0</v>
      </c>
    </row>
    <row r="720" customFormat="false" ht="15" hidden="false" customHeight="false" outlineLevel="0" collapsed="false">
      <c r="A720" s="102"/>
      <c r="B720" s="103"/>
      <c r="C720" s="103"/>
      <c r="D720" s="103"/>
      <c r="E720" s="103"/>
      <c r="F720" s="103"/>
      <c r="G720" s="103"/>
      <c r="H720" s="103"/>
      <c r="I720" s="103"/>
      <c r="T720" s="30" t="str">
        <f aca="false">IF(C720="","",IF(COUNTIFS(C$5:C720,C720,E$5:E720,E720)=1,1,0))</f>
        <v/>
      </c>
      <c r="U720" s="30" t="n">
        <f aca="false">IF(C720="",0,IF(AND(B720="brand",E720="budget_probe",N(F720)&gt;=Inputs!$C$124,H720="Y"),1,0))</f>
        <v>0</v>
      </c>
      <c r="V720" s="30" t="n">
        <f aca="false">IF(U720=1,IF(COUNTIFS(C$5:C720,C720,U$5:U720,1)=1,1,0),0)</f>
        <v>0</v>
      </c>
      <c r="W720" s="30" t="n">
        <f aca="false">IF(C720="",0,IF(AND(B720="office",E720="budget_probe",N(F720)&gt;=Inputs!$C$139),1,0))</f>
        <v>0</v>
      </c>
      <c r="X720" s="30" t="n">
        <f aca="false">IF(W720=1,IF(COUNTIFS(C$5:C720,C720,W$5:W720,1)=1,1,0),0)</f>
        <v>0</v>
      </c>
      <c r="Y720" s="30" t="n">
        <f aca="false">IF(C720="",0,IF(AND(B720="brand",E720="renewal_answer",TRIM(G720)="yes",N(F720)&gt;=Inputs!$C$135),1,0))</f>
        <v>0</v>
      </c>
      <c r="Z720" s="30" t="n">
        <f aca="false">IF(Y720=1,IF(COUNTIFS(C$5:C720,C720,Y$5:Y720,1)=1,1,0),0)</f>
        <v>0</v>
      </c>
      <c r="AA720" s="30" t="n">
        <f aca="false">IF(AND(E720="budget_probe",ISNUMBER(F720),I720&lt;&gt;Lists!$X$4),1,0)</f>
        <v>0</v>
      </c>
      <c r="AB720" s="30" t="str">
        <f aca="false">IF(AND(B720="office",AA720=1,COUNTIFS(C$5:C720,C720,AA$5:AA720,1)=1),F720,"")</f>
        <v/>
      </c>
      <c r="AC720" s="30" t="str">
        <f aca="false">IF(AND(B720="brand",AA720=1,COUNTIFS(C$5:C720,C720,AA$5:AA720,1)=1),F720,"")</f>
        <v/>
      </c>
      <c r="AD720" s="30" t="str">
        <f aca="false">IF(AND(B720="brand",E720="budget_probe",ISNUMBER(F720),I720=Lists!$X$4),IF(COUNTIFS(C$5:C720,C720,E$5:E720,"budget_probe",I$5:I720,Lists!$X$4)=1,F720,""),"")</f>
        <v/>
      </c>
      <c r="AE720" s="30" t="n">
        <f aca="false">IF(AND(B720="brand",E720="paid",ISNUMBER(F720)),IF(AND(SUMIFS(F$5:F720,B$5:B720,"brand",C$5:C720,C720,E$5:E720,"paid")&gt;=Inputs!$C$44,SUMIFS(F$5:F720,B$5:B720,"brand",C$5:C720,C720,E$5:E720,"paid")-F720&lt;Inputs!$C$44),1,0),0)</f>
        <v>0</v>
      </c>
    </row>
    <row r="721" customFormat="false" ht="15" hidden="false" customHeight="false" outlineLevel="0" collapsed="false">
      <c r="A721" s="102"/>
      <c r="B721" s="103"/>
      <c r="C721" s="103"/>
      <c r="D721" s="103"/>
      <c r="E721" s="103"/>
      <c r="F721" s="103"/>
      <c r="G721" s="103"/>
      <c r="H721" s="103"/>
      <c r="I721" s="103"/>
      <c r="T721" s="30" t="str">
        <f aca="false">IF(C721="","",IF(COUNTIFS(C$5:C721,C721,E$5:E721,E721)=1,1,0))</f>
        <v/>
      </c>
      <c r="U721" s="30" t="n">
        <f aca="false">IF(C721="",0,IF(AND(B721="brand",E721="budget_probe",N(F721)&gt;=Inputs!$C$124,H721="Y"),1,0))</f>
        <v>0</v>
      </c>
      <c r="V721" s="30" t="n">
        <f aca="false">IF(U721=1,IF(COUNTIFS(C$5:C721,C721,U$5:U721,1)=1,1,0),0)</f>
        <v>0</v>
      </c>
      <c r="W721" s="30" t="n">
        <f aca="false">IF(C721="",0,IF(AND(B721="office",E721="budget_probe",N(F721)&gt;=Inputs!$C$139),1,0))</f>
        <v>0</v>
      </c>
      <c r="X721" s="30" t="n">
        <f aca="false">IF(W721=1,IF(COUNTIFS(C$5:C721,C721,W$5:W721,1)=1,1,0),0)</f>
        <v>0</v>
      </c>
      <c r="Y721" s="30" t="n">
        <f aca="false">IF(C721="",0,IF(AND(B721="brand",E721="renewal_answer",TRIM(G721)="yes",N(F721)&gt;=Inputs!$C$135),1,0))</f>
        <v>0</v>
      </c>
      <c r="Z721" s="30" t="n">
        <f aca="false">IF(Y721=1,IF(COUNTIFS(C$5:C721,C721,Y$5:Y721,1)=1,1,0),0)</f>
        <v>0</v>
      </c>
      <c r="AA721" s="30" t="n">
        <f aca="false">IF(AND(E721="budget_probe",ISNUMBER(F721),I721&lt;&gt;Lists!$X$4),1,0)</f>
        <v>0</v>
      </c>
      <c r="AB721" s="30" t="str">
        <f aca="false">IF(AND(B721="office",AA721=1,COUNTIFS(C$5:C721,C721,AA$5:AA721,1)=1),F721,"")</f>
        <v/>
      </c>
      <c r="AC721" s="30" t="str">
        <f aca="false">IF(AND(B721="brand",AA721=1,COUNTIFS(C$5:C721,C721,AA$5:AA721,1)=1),F721,"")</f>
        <v/>
      </c>
      <c r="AD721" s="30" t="str">
        <f aca="false">IF(AND(B721="brand",E721="budget_probe",ISNUMBER(F721),I721=Lists!$X$4),IF(COUNTIFS(C$5:C721,C721,E$5:E721,"budget_probe",I$5:I721,Lists!$X$4)=1,F721,""),"")</f>
        <v/>
      </c>
      <c r="AE721" s="30" t="n">
        <f aca="false">IF(AND(B721="brand",E721="paid",ISNUMBER(F721)),IF(AND(SUMIFS(F$5:F721,B$5:B721,"brand",C$5:C721,C721,E$5:E721,"paid")&gt;=Inputs!$C$44,SUMIFS(F$5:F721,B$5:B721,"brand",C$5:C721,C721,E$5:E721,"paid")-F721&lt;Inputs!$C$44),1,0),0)</f>
        <v>0</v>
      </c>
    </row>
    <row r="722" customFormat="false" ht="15" hidden="false" customHeight="false" outlineLevel="0" collapsed="false">
      <c r="A722" s="102"/>
      <c r="B722" s="103"/>
      <c r="C722" s="103"/>
      <c r="D722" s="103"/>
      <c r="E722" s="103"/>
      <c r="F722" s="103"/>
      <c r="G722" s="103"/>
      <c r="H722" s="103"/>
      <c r="I722" s="103"/>
      <c r="T722" s="30" t="str">
        <f aca="false">IF(C722="","",IF(COUNTIFS(C$5:C722,C722,E$5:E722,E722)=1,1,0))</f>
        <v/>
      </c>
      <c r="U722" s="30" t="n">
        <f aca="false">IF(C722="",0,IF(AND(B722="brand",E722="budget_probe",N(F722)&gt;=Inputs!$C$124,H722="Y"),1,0))</f>
        <v>0</v>
      </c>
      <c r="V722" s="30" t="n">
        <f aca="false">IF(U722=1,IF(COUNTIFS(C$5:C722,C722,U$5:U722,1)=1,1,0),0)</f>
        <v>0</v>
      </c>
      <c r="W722" s="30" t="n">
        <f aca="false">IF(C722="",0,IF(AND(B722="office",E722="budget_probe",N(F722)&gt;=Inputs!$C$139),1,0))</f>
        <v>0</v>
      </c>
      <c r="X722" s="30" t="n">
        <f aca="false">IF(W722=1,IF(COUNTIFS(C$5:C722,C722,W$5:W722,1)=1,1,0),0)</f>
        <v>0</v>
      </c>
      <c r="Y722" s="30" t="n">
        <f aca="false">IF(C722="",0,IF(AND(B722="brand",E722="renewal_answer",TRIM(G722)="yes",N(F722)&gt;=Inputs!$C$135),1,0))</f>
        <v>0</v>
      </c>
      <c r="Z722" s="30" t="n">
        <f aca="false">IF(Y722=1,IF(COUNTIFS(C$5:C722,C722,Y$5:Y722,1)=1,1,0),0)</f>
        <v>0</v>
      </c>
      <c r="AA722" s="30" t="n">
        <f aca="false">IF(AND(E722="budget_probe",ISNUMBER(F722),I722&lt;&gt;Lists!$X$4),1,0)</f>
        <v>0</v>
      </c>
      <c r="AB722" s="30" t="str">
        <f aca="false">IF(AND(B722="office",AA722=1,COUNTIFS(C$5:C722,C722,AA$5:AA722,1)=1),F722,"")</f>
        <v/>
      </c>
      <c r="AC722" s="30" t="str">
        <f aca="false">IF(AND(B722="brand",AA722=1,COUNTIFS(C$5:C722,C722,AA$5:AA722,1)=1),F722,"")</f>
        <v/>
      </c>
      <c r="AD722" s="30" t="str">
        <f aca="false">IF(AND(B722="brand",E722="budget_probe",ISNUMBER(F722),I722=Lists!$X$4),IF(COUNTIFS(C$5:C722,C722,E$5:E722,"budget_probe",I$5:I722,Lists!$X$4)=1,F722,""),"")</f>
        <v/>
      </c>
      <c r="AE722" s="30" t="n">
        <f aca="false">IF(AND(B722="brand",E722="paid",ISNUMBER(F722)),IF(AND(SUMIFS(F$5:F722,B$5:B722,"brand",C$5:C722,C722,E$5:E722,"paid")&gt;=Inputs!$C$44,SUMIFS(F$5:F722,B$5:B722,"brand",C$5:C722,C722,E$5:E722,"paid")-F722&lt;Inputs!$C$44),1,0),0)</f>
        <v>0</v>
      </c>
    </row>
    <row r="723" customFormat="false" ht="15" hidden="false" customHeight="false" outlineLevel="0" collapsed="false">
      <c r="A723" s="102"/>
      <c r="B723" s="103"/>
      <c r="C723" s="103"/>
      <c r="D723" s="103"/>
      <c r="E723" s="103"/>
      <c r="F723" s="103"/>
      <c r="G723" s="103"/>
      <c r="H723" s="103"/>
      <c r="I723" s="103"/>
      <c r="T723" s="30" t="str">
        <f aca="false">IF(C723="","",IF(COUNTIFS(C$5:C723,C723,E$5:E723,E723)=1,1,0))</f>
        <v/>
      </c>
      <c r="U723" s="30" t="n">
        <f aca="false">IF(C723="",0,IF(AND(B723="brand",E723="budget_probe",N(F723)&gt;=Inputs!$C$124,H723="Y"),1,0))</f>
        <v>0</v>
      </c>
      <c r="V723" s="30" t="n">
        <f aca="false">IF(U723=1,IF(COUNTIFS(C$5:C723,C723,U$5:U723,1)=1,1,0),0)</f>
        <v>0</v>
      </c>
      <c r="W723" s="30" t="n">
        <f aca="false">IF(C723="",0,IF(AND(B723="office",E723="budget_probe",N(F723)&gt;=Inputs!$C$139),1,0))</f>
        <v>0</v>
      </c>
      <c r="X723" s="30" t="n">
        <f aca="false">IF(W723=1,IF(COUNTIFS(C$5:C723,C723,W$5:W723,1)=1,1,0),0)</f>
        <v>0</v>
      </c>
      <c r="Y723" s="30" t="n">
        <f aca="false">IF(C723="",0,IF(AND(B723="brand",E723="renewal_answer",TRIM(G723)="yes",N(F723)&gt;=Inputs!$C$135),1,0))</f>
        <v>0</v>
      </c>
      <c r="Z723" s="30" t="n">
        <f aca="false">IF(Y723=1,IF(COUNTIFS(C$5:C723,C723,Y$5:Y723,1)=1,1,0),0)</f>
        <v>0</v>
      </c>
      <c r="AA723" s="30" t="n">
        <f aca="false">IF(AND(E723="budget_probe",ISNUMBER(F723),I723&lt;&gt;Lists!$X$4),1,0)</f>
        <v>0</v>
      </c>
      <c r="AB723" s="30" t="str">
        <f aca="false">IF(AND(B723="office",AA723=1,COUNTIFS(C$5:C723,C723,AA$5:AA723,1)=1),F723,"")</f>
        <v/>
      </c>
      <c r="AC723" s="30" t="str">
        <f aca="false">IF(AND(B723="brand",AA723=1,COUNTIFS(C$5:C723,C723,AA$5:AA723,1)=1),F723,"")</f>
        <v/>
      </c>
      <c r="AD723" s="30" t="str">
        <f aca="false">IF(AND(B723="brand",E723="budget_probe",ISNUMBER(F723),I723=Lists!$X$4),IF(COUNTIFS(C$5:C723,C723,E$5:E723,"budget_probe",I$5:I723,Lists!$X$4)=1,F723,""),"")</f>
        <v/>
      </c>
      <c r="AE723" s="30" t="n">
        <f aca="false">IF(AND(B723="brand",E723="paid",ISNUMBER(F723)),IF(AND(SUMIFS(F$5:F723,B$5:B723,"brand",C$5:C723,C723,E$5:E723,"paid")&gt;=Inputs!$C$44,SUMIFS(F$5:F723,B$5:B723,"brand",C$5:C723,C723,E$5:E723,"paid")-F723&lt;Inputs!$C$44),1,0),0)</f>
        <v>0</v>
      </c>
    </row>
    <row r="724" customFormat="false" ht="15" hidden="false" customHeight="false" outlineLevel="0" collapsed="false">
      <c r="A724" s="102"/>
      <c r="B724" s="103"/>
      <c r="C724" s="103"/>
      <c r="D724" s="103"/>
      <c r="E724" s="103"/>
      <c r="F724" s="103"/>
      <c r="G724" s="103"/>
      <c r="H724" s="103"/>
      <c r="I724" s="103"/>
      <c r="T724" s="30" t="str">
        <f aca="false">IF(C724="","",IF(COUNTIFS(C$5:C724,C724,E$5:E724,E724)=1,1,0))</f>
        <v/>
      </c>
      <c r="U724" s="30" t="n">
        <f aca="false">IF(C724="",0,IF(AND(B724="brand",E724="budget_probe",N(F724)&gt;=Inputs!$C$124,H724="Y"),1,0))</f>
        <v>0</v>
      </c>
      <c r="V724" s="30" t="n">
        <f aca="false">IF(U724=1,IF(COUNTIFS(C$5:C724,C724,U$5:U724,1)=1,1,0),0)</f>
        <v>0</v>
      </c>
      <c r="W724" s="30" t="n">
        <f aca="false">IF(C724="",0,IF(AND(B724="office",E724="budget_probe",N(F724)&gt;=Inputs!$C$139),1,0))</f>
        <v>0</v>
      </c>
      <c r="X724" s="30" t="n">
        <f aca="false">IF(W724=1,IF(COUNTIFS(C$5:C724,C724,W$5:W724,1)=1,1,0),0)</f>
        <v>0</v>
      </c>
      <c r="Y724" s="30" t="n">
        <f aca="false">IF(C724="",0,IF(AND(B724="brand",E724="renewal_answer",TRIM(G724)="yes",N(F724)&gt;=Inputs!$C$135),1,0))</f>
        <v>0</v>
      </c>
      <c r="Z724" s="30" t="n">
        <f aca="false">IF(Y724=1,IF(COUNTIFS(C$5:C724,C724,Y$5:Y724,1)=1,1,0),0)</f>
        <v>0</v>
      </c>
      <c r="AA724" s="30" t="n">
        <f aca="false">IF(AND(E724="budget_probe",ISNUMBER(F724),I724&lt;&gt;Lists!$X$4),1,0)</f>
        <v>0</v>
      </c>
      <c r="AB724" s="30" t="str">
        <f aca="false">IF(AND(B724="office",AA724=1,COUNTIFS(C$5:C724,C724,AA$5:AA724,1)=1),F724,"")</f>
        <v/>
      </c>
      <c r="AC724" s="30" t="str">
        <f aca="false">IF(AND(B724="brand",AA724=1,COUNTIFS(C$5:C724,C724,AA$5:AA724,1)=1),F724,"")</f>
        <v/>
      </c>
      <c r="AD724" s="30" t="str">
        <f aca="false">IF(AND(B724="brand",E724="budget_probe",ISNUMBER(F724),I724=Lists!$X$4),IF(COUNTIFS(C$5:C724,C724,E$5:E724,"budget_probe",I$5:I724,Lists!$X$4)=1,F724,""),"")</f>
        <v/>
      </c>
      <c r="AE724" s="30" t="n">
        <f aca="false">IF(AND(B724="brand",E724="paid",ISNUMBER(F724)),IF(AND(SUMIFS(F$5:F724,B$5:B724,"brand",C$5:C724,C724,E$5:E724,"paid")&gt;=Inputs!$C$44,SUMIFS(F$5:F724,B$5:B724,"brand",C$5:C724,C724,E$5:E724,"paid")-F724&lt;Inputs!$C$44),1,0),0)</f>
        <v>0</v>
      </c>
    </row>
    <row r="725" customFormat="false" ht="15" hidden="false" customHeight="false" outlineLevel="0" collapsed="false">
      <c r="A725" s="102"/>
      <c r="B725" s="103"/>
      <c r="C725" s="103"/>
      <c r="D725" s="103"/>
      <c r="E725" s="103"/>
      <c r="F725" s="103"/>
      <c r="G725" s="103"/>
      <c r="H725" s="103"/>
      <c r="I725" s="103"/>
      <c r="T725" s="30" t="str">
        <f aca="false">IF(C725="","",IF(COUNTIFS(C$5:C725,C725,E$5:E725,E725)=1,1,0))</f>
        <v/>
      </c>
      <c r="U725" s="30" t="n">
        <f aca="false">IF(C725="",0,IF(AND(B725="brand",E725="budget_probe",N(F725)&gt;=Inputs!$C$124,H725="Y"),1,0))</f>
        <v>0</v>
      </c>
      <c r="V725" s="30" t="n">
        <f aca="false">IF(U725=1,IF(COUNTIFS(C$5:C725,C725,U$5:U725,1)=1,1,0),0)</f>
        <v>0</v>
      </c>
      <c r="W725" s="30" t="n">
        <f aca="false">IF(C725="",0,IF(AND(B725="office",E725="budget_probe",N(F725)&gt;=Inputs!$C$139),1,0))</f>
        <v>0</v>
      </c>
      <c r="X725" s="30" t="n">
        <f aca="false">IF(W725=1,IF(COUNTIFS(C$5:C725,C725,W$5:W725,1)=1,1,0),0)</f>
        <v>0</v>
      </c>
      <c r="Y725" s="30" t="n">
        <f aca="false">IF(C725="",0,IF(AND(B725="brand",E725="renewal_answer",TRIM(G725)="yes",N(F725)&gt;=Inputs!$C$135),1,0))</f>
        <v>0</v>
      </c>
      <c r="Z725" s="30" t="n">
        <f aca="false">IF(Y725=1,IF(COUNTIFS(C$5:C725,C725,Y$5:Y725,1)=1,1,0),0)</f>
        <v>0</v>
      </c>
      <c r="AA725" s="30" t="n">
        <f aca="false">IF(AND(E725="budget_probe",ISNUMBER(F725),I725&lt;&gt;Lists!$X$4),1,0)</f>
        <v>0</v>
      </c>
      <c r="AB725" s="30" t="str">
        <f aca="false">IF(AND(B725="office",AA725=1,COUNTIFS(C$5:C725,C725,AA$5:AA725,1)=1),F725,"")</f>
        <v/>
      </c>
      <c r="AC725" s="30" t="str">
        <f aca="false">IF(AND(B725="brand",AA725=1,COUNTIFS(C$5:C725,C725,AA$5:AA725,1)=1),F725,"")</f>
        <v/>
      </c>
      <c r="AD725" s="30" t="str">
        <f aca="false">IF(AND(B725="brand",E725="budget_probe",ISNUMBER(F725),I725=Lists!$X$4),IF(COUNTIFS(C$5:C725,C725,E$5:E725,"budget_probe",I$5:I725,Lists!$X$4)=1,F725,""),"")</f>
        <v/>
      </c>
      <c r="AE725" s="30" t="n">
        <f aca="false">IF(AND(B725="brand",E725="paid",ISNUMBER(F725)),IF(AND(SUMIFS(F$5:F725,B$5:B725,"brand",C$5:C725,C725,E$5:E725,"paid")&gt;=Inputs!$C$44,SUMIFS(F$5:F725,B$5:B725,"brand",C$5:C725,C725,E$5:E725,"paid")-F725&lt;Inputs!$C$44),1,0),0)</f>
        <v>0</v>
      </c>
    </row>
    <row r="726" customFormat="false" ht="15" hidden="false" customHeight="false" outlineLevel="0" collapsed="false">
      <c r="A726" s="102"/>
      <c r="B726" s="103"/>
      <c r="C726" s="103"/>
      <c r="D726" s="103"/>
      <c r="E726" s="103"/>
      <c r="F726" s="103"/>
      <c r="G726" s="103"/>
      <c r="H726" s="103"/>
      <c r="I726" s="103"/>
      <c r="T726" s="30" t="str">
        <f aca="false">IF(C726="","",IF(COUNTIFS(C$5:C726,C726,E$5:E726,E726)=1,1,0))</f>
        <v/>
      </c>
      <c r="U726" s="30" t="n">
        <f aca="false">IF(C726="",0,IF(AND(B726="brand",E726="budget_probe",N(F726)&gt;=Inputs!$C$124,H726="Y"),1,0))</f>
        <v>0</v>
      </c>
      <c r="V726" s="30" t="n">
        <f aca="false">IF(U726=1,IF(COUNTIFS(C$5:C726,C726,U$5:U726,1)=1,1,0),0)</f>
        <v>0</v>
      </c>
      <c r="W726" s="30" t="n">
        <f aca="false">IF(C726="",0,IF(AND(B726="office",E726="budget_probe",N(F726)&gt;=Inputs!$C$139),1,0))</f>
        <v>0</v>
      </c>
      <c r="X726" s="30" t="n">
        <f aca="false">IF(W726=1,IF(COUNTIFS(C$5:C726,C726,W$5:W726,1)=1,1,0),0)</f>
        <v>0</v>
      </c>
      <c r="Y726" s="30" t="n">
        <f aca="false">IF(C726="",0,IF(AND(B726="brand",E726="renewal_answer",TRIM(G726)="yes",N(F726)&gt;=Inputs!$C$135),1,0))</f>
        <v>0</v>
      </c>
      <c r="Z726" s="30" t="n">
        <f aca="false">IF(Y726=1,IF(COUNTIFS(C$5:C726,C726,Y$5:Y726,1)=1,1,0),0)</f>
        <v>0</v>
      </c>
      <c r="AA726" s="30" t="n">
        <f aca="false">IF(AND(E726="budget_probe",ISNUMBER(F726),I726&lt;&gt;Lists!$X$4),1,0)</f>
        <v>0</v>
      </c>
      <c r="AB726" s="30" t="str">
        <f aca="false">IF(AND(B726="office",AA726=1,COUNTIFS(C$5:C726,C726,AA$5:AA726,1)=1),F726,"")</f>
        <v/>
      </c>
      <c r="AC726" s="30" t="str">
        <f aca="false">IF(AND(B726="brand",AA726=1,COUNTIFS(C$5:C726,C726,AA$5:AA726,1)=1),F726,"")</f>
        <v/>
      </c>
      <c r="AD726" s="30" t="str">
        <f aca="false">IF(AND(B726="brand",E726="budget_probe",ISNUMBER(F726),I726=Lists!$X$4),IF(COUNTIFS(C$5:C726,C726,E$5:E726,"budget_probe",I$5:I726,Lists!$X$4)=1,F726,""),"")</f>
        <v/>
      </c>
      <c r="AE726" s="30" t="n">
        <f aca="false">IF(AND(B726="brand",E726="paid",ISNUMBER(F726)),IF(AND(SUMIFS(F$5:F726,B$5:B726,"brand",C$5:C726,C726,E$5:E726,"paid")&gt;=Inputs!$C$44,SUMIFS(F$5:F726,B$5:B726,"brand",C$5:C726,C726,E$5:E726,"paid")-F726&lt;Inputs!$C$44),1,0),0)</f>
        <v>0</v>
      </c>
    </row>
    <row r="727" customFormat="false" ht="15" hidden="false" customHeight="false" outlineLevel="0" collapsed="false">
      <c r="A727" s="102"/>
      <c r="B727" s="103"/>
      <c r="C727" s="103"/>
      <c r="D727" s="103"/>
      <c r="E727" s="103"/>
      <c r="F727" s="103"/>
      <c r="G727" s="103"/>
      <c r="H727" s="103"/>
      <c r="I727" s="103"/>
      <c r="T727" s="30" t="str">
        <f aca="false">IF(C727="","",IF(COUNTIFS(C$5:C727,C727,E$5:E727,E727)=1,1,0))</f>
        <v/>
      </c>
      <c r="U727" s="30" t="n">
        <f aca="false">IF(C727="",0,IF(AND(B727="brand",E727="budget_probe",N(F727)&gt;=Inputs!$C$124,H727="Y"),1,0))</f>
        <v>0</v>
      </c>
      <c r="V727" s="30" t="n">
        <f aca="false">IF(U727=1,IF(COUNTIFS(C$5:C727,C727,U$5:U727,1)=1,1,0),0)</f>
        <v>0</v>
      </c>
      <c r="W727" s="30" t="n">
        <f aca="false">IF(C727="",0,IF(AND(B727="office",E727="budget_probe",N(F727)&gt;=Inputs!$C$139),1,0))</f>
        <v>0</v>
      </c>
      <c r="X727" s="30" t="n">
        <f aca="false">IF(W727=1,IF(COUNTIFS(C$5:C727,C727,W$5:W727,1)=1,1,0),0)</f>
        <v>0</v>
      </c>
      <c r="Y727" s="30" t="n">
        <f aca="false">IF(C727="",0,IF(AND(B727="brand",E727="renewal_answer",TRIM(G727)="yes",N(F727)&gt;=Inputs!$C$135),1,0))</f>
        <v>0</v>
      </c>
      <c r="Z727" s="30" t="n">
        <f aca="false">IF(Y727=1,IF(COUNTIFS(C$5:C727,C727,Y$5:Y727,1)=1,1,0),0)</f>
        <v>0</v>
      </c>
      <c r="AA727" s="30" t="n">
        <f aca="false">IF(AND(E727="budget_probe",ISNUMBER(F727),I727&lt;&gt;Lists!$X$4),1,0)</f>
        <v>0</v>
      </c>
      <c r="AB727" s="30" t="str">
        <f aca="false">IF(AND(B727="office",AA727=1,COUNTIFS(C$5:C727,C727,AA$5:AA727,1)=1),F727,"")</f>
        <v/>
      </c>
      <c r="AC727" s="30" t="str">
        <f aca="false">IF(AND(B727="brand",AA727=1,COUNTIFS(C$5:C727,C727,AA$5:AA727,1)=1),F727,"")</f>
        <v/>
      </c>
      <c r="AD727" s="30" t="str">
        <f aca="false">IF(AND(B727="brand",E727="budget_probe",ISNUMBER(F727),I727=Lists!$X$4),IF(COUNTIFS(C$5:C727,C727,E$5:E727,"budget_probe",I$5:I727,Lists!$X$4)=1,F727,""),"")</f>
        <v/>
      </c>
      <c r="AE727" s="30" t="n">
        <f aca="false">IF(AND(B727="brand",E727="paid",ISNUMBER(F727)),IF(AND(SUMIFS(F$5:F727,B$5:B727,"brand",C$5:C727,C727,E$5:E727,"paid")&gt;=Inputs!$C$44,SUMIFS(F$5:F727,B$5:B727,"brand",C$5:C727,C727,E$5:E727,"paid")-F727&lt;Inputs!$C$44),1,0),0)</f>
        <v>0</v>
      </c>
    </row>
    <row r="728" customFormat="false" ht="15" hidden="false" customHeight="false" outlineLevel="0" collapsed="false">
      <c r="A728" s="102"/>
      <c r="B728" s="103"/>
      <c r="C728" s="103"/>
      <c r="D728" s="103"/>
      <c r="E728" s="103"/>
      <c r="F728" s="103"/>
      <c r="G728" s="103"/>
      <c r="H728" s="103"/>
      <c r="I728" s="103"/>
      <c r="T728" s="30" t="str">
        <f aca="false">IF(C728="","",IF(COUNTIFS(C$5:C728,C728,E$5:E728,E728)=1,1,0))</f>
        <v/>
      </c>
      <c r="U728" s="30" t="n">
        <f aca="false">IF(C728="",0,IF(AND(B728="brand",E728="budget_probe",N(F728)&gt;=Inputs!$C$124,H728="Y"),1,0))</f>
        <v>0</v>
      </c>
      <c r="V728" s="30" t="n">
        <f aca="false">IF(U728=1,IF(COUNTIFS(C$5:C728,C728,U$5:U728,1)=1,1,0),0)</f>
        <v>0</v>
      </c>
      <c r="W728" s="30" t="n">
        <f aca="false">IF(C728="",0,IF(AND(B728="office",E728="budget_probe",N(F728)&gt;=Inputs!$C$139),1,0))</f>
        <v>0</v>
      </c>
      <c r="X728" s="30" t="n">
        <f aca="false">IF(W728=1,IF(COUNTIFS(C$5:C728,C728,W$5:W728,1)=1,1,0),0)</f>
        <v>0</v>
      </c>
      <c r="Y728" s="30" t="n">
        <f aca="false">IF(C728="",0,IF(AND(B728="brand",E728="renewal_answer",TRIM(G728)="yes",N(F728)&gt;=Inputs!$C$135),1,0))</f>
        <v>0</v>
      </c>
      <c r="Z728" s="30" t="n">
        <f aca="false">IF(Y728=1,IF(COUNTIFS(C$5:C728,C728,Y$5:Y728,1)=1,1,0),0)</f>
        <v>0</v>
      </c>
      <c r="AA728" s="30" t="n">
        <f aca="false">IF(AND(E728="budget_probe",ISNUMBER(F728),I728&lt;&gt;Lists!$X$4),1,0)</f>
        <v>0</v>
      </c>
      <c r="AB728" s="30" t="str">
        <f aca="false">IF(AND(B728="office",AA728=1,COUNTIFS(C$5:C728,C728,AA$5:AA728,1)=1),F728,"")</f>
        <v/>
      </c>
      <c r="AC728" s="30" t="str">
        <f aca="false">IF(AND(B728="brand",AA728=1,COUNTIFS(C$5:C728,C728,AA$5:AA728,1)=1),F728,"")</f>
        <v/>
      </c>
      <c r="AD728" s="30" t="str">
        <f aca="false">IF(AND(B728="brand",E728="budget_probe",ISNUMBER(F728),I728=Lists!$X$4),IF(COUNTIFS(C$5:C728,C728,E$5:E728,"budget_probe",I$5:I728,Lists!$X$4)=1,F728,""),"")</f>
        <v/>
      </c>
      <c r="AE728" s="30" t="n">
        <f aca="false">IF(AND(B728="brand",E728="paid",ISNUMBER(F728)),IF(AND(SUMIFS(F$5:F728,B$5:B728,"brand",C$5:C728,C728,E$5:E728,"paid")&gt;=Inputs!$C$44,SUMIFS(F$5:F728,B$5:B728,"brand",C$5:C728,C728,E$5:E728,"paid")-F728&lt;Inputs!$C$44),1,0),0)</f>
        <v>0</v>
      </c>
    </row>
    <row r="729" customFormat="false" ht="15" hidden="false" customHeight="false" outlineLevel="0" collapsed="false">
      <c r="A729" s="102"/>
      <c r="B729" s="103"/>
      <c r="C729" s="103"/>
      <c r="D729" s="103"/>
      <c r="E729" s="103"/>
      <c r="F729" s="103"/>
      <c r="G729" s="103"/>
      <c r="H729" s="103"/>
      <c r="I729" s="103"/>
      <c r="T729" s="30" t="str">
        <f aca="false">IF(C729="","",IF(COUNTIFS(C$5:C729,C729,E$5:E729,E729)=1,1,0))</f>
        <v/>
      </c>
      <c r="U729" s="30" t="n">
        <f aca="false">IF(C729="",0,IF(AND(B729="brand",E729="budget_probe",N(F729)&gt;=Inputs!$C$124,H729="Y"),1,0))</f>
        <v>0</v>
      </c>
      <c r="V729" s="30" t="n">
        <f aca="false">IF(U729=1,IF(COUNTIFS(C$5:C729,C729,U$5:U729,1)=1,1,0),0)</f>
        <v>0</v>
      </c>
      <c r="W729" s="30" t="n">
        <f aca="false">IF(C729="",0,IF(AND(B729="office",E729="budget_probe",N(F729)&gt;=Inputs!$C$139),1,0))</f>
        <v>0</v>
      </c>
      <c r="X729" s="30" t="n">
        <f aca="false">IF(W729=1,IF(COUNTIFS(C$5:C729,C729,W$5:W729,1)=1,1,0),0)</f>
        <v>0</v>
      </c>
      <c r="Y729" s="30" t="n">
        <f aca="false">IF(C729="",0,IF(AND(B729="brand",E729="renewal_answer",TRIM(G729)="yes",N(F729)&gt;=Inputs!$C$135),1,0))</f>
        <v>0</v>
      </c>
      <c r="Z729" s="30" t="n">
        <f aca="false">IF(Y729=1,IF(COUNTIFS(C$5:C729,C729,Y$5:Y729,1)=1,1,0),0)</f>
        <v>0</v>
      </c>
      <c r="AA729" s="30" t="n">
        <f aca="false">IF(AND(E729="budget_probe",ISNUMBER(F729),I729&lt;&gt;Lists!$X$4),1,0)</f>
        <v>0</v>
      </c>
      <c r="AB729" s="30" t="str">
        <f aca="false">IF(AND(B729="office",AA729=1,COUNTIFS(C$5:C729,C729,AA$5:AA729,1)=1),F729,"")</f>
        <v/>
      </c>
      <c r="AC729" s="30" t="str">
        <f aca="false">IF(AND(B729="brand",AA729=1,COUNTIFS(C$5:C729,C729,AA$5:AA729,1)=1),F729,"")</f>
        <v/>
      </c>
      <c r="AD729" s="30" t="str">
        <f aca="false">IF(AND(B729="brand",E729="budget_probe",ISNUMBER(F729),I729=Lists!$X$4),IF(COUNTIFS(C$5:C729,C729,E$5:E729,"budget_probe",I$5:I729,Lists!$X$4)=1,F729,""),"")</f>
        <v/>
      </c>
      <c r="AE729" s="30" t="n">
        <f aca="false">IF(AND(B729="brand",E729="paid",ISNUMBER(F729)),IF(AND(SUMIFS(F$5:F729,B$5:B729,"brand",C$5:C729,C729,E$5:E729,"paid")&gt;=Inputs!$C$44,SUMIFS(F$5:F729,B$5:B729,"brand",C$5:C729,C729,E$5:E729,"paid")-F729&lt;Inputs!$C$44),1,0),0)</f>
        <v>0</v>
      </c>
    </row>
    <row r="730" customFormat="false" ht="15" hidden="false" customHeight="false" outlineLevel="0" collapsed="false">
      <c r="A730" s="102"/>
      <c r="B730" s="103"/>
      <c r="C730" s="103"/>
      <c r="D730" s="103"/>
      <c r="E730" s="103"/>
      <c r="F730" s="103"/>
      <c r="G730" s="103"/>
      <c r="H730" s="103"/>
      <c r="I730" s="103"/>
      <c r="T730" s="30" t="str">
        <f aca="false">IF(C730="","",IF(COUNTIFS(C$5:C730,C730,E$5:E730,E730)=1,1,0))</f>
        <v/>
      </c>
      <c r="U730" s="30" t="n">
        <f aca="false">IF(C730="",0,IF(AND(B730="brand",E730="budget_probe",N(F730)&gt;=Inputs!$C$124,H730="Y"),1,0))</f>
        <v>0</v>
      </c>
      <c r="V730" s="30" t="n">
        <f aca="false">IF(U730=1,IF(COUNTIFS(C$5:C730,C730,U$5:U730,1)=1,1,0),0)</f>
        <v>0</v>
      </c>
      <c r="W730" s="30" t="n">
        <f aca="false">IF(C730="",0,IF(AND(B730="office",E730="budget_probe",N(F730)&gt;=Inputs!$C$139),1,0))</f>
        <v>0</v>
      </c>
      <c r="X730" s="30" t="n">
        <f aca="false">IF(W730=1,IF(COUNTIFS(C$5:C730,C730,W$5:W730,1)=1,1,0),0)</f>
        <v>0</v>
      </c>
      <c r="Y730" s="30" t="n">
        <f aca="false">IF(C730="",0,IF(AND(B730="brand",E730="renewal_answer",TRIM(G730)="yes",N(F730)&gt;=Inputs!$C$135),1,0))</f>
        <v>0</v>
      </c>
      <c r="Z730" s="30" t="n">
        <f aca="false">IF(Y730=1,IF(COUNTIFS(C$5:C730,C730,Y$5:Y730,1)=1,1,0),0)</f>
        <v>0</v>
      </c>
      <c r="AA730" s="30" t="n">
        <f aca="false">IF(AND(E730="budget_probe",ISNUMBER(F730),I730&lt;&gt;Lists!$X$4),1,0)</f>
        <v>0</v>
      </c>
      <c r="AB730" s="30" t="str">
        <f aca="false">IF(AND(B730="office",AA730=1,COUNTIFS(C$5:C730,C730,AA$5:AA730,1)=1),F730,"")</f>
        <v/>
      </c>
      <c r="AC730" s="30" t="str">
        <f aca="false">IF(AND(B730="brand",AA730=1,COUNTIFS(C$5:C730,C730,AA$5:AA730,1)=1),F730,"")</f>
        <v/>
      </c>
      <c r="AD730" s="30" t="str">
        <f aca="false">IF(AND(B730="brand",E730="budget_probe",ISNUMBER(F730),I730=Lists!$X$4),IF(COUNTIFS(C$5:C730,C730,E$5:E730,"budget_probe",I$5:I730,Lists!$X$4)=1,F730,""),"")</f>
        <v/>
      </c>
      <c r="AE730" s="30" t="n">
        <f aca="false">IF(AND(B730="brand",E730="paid",ISNUMBER(F730)),IF(AND(SUMIFS(F$5:F730,B$5:B730,"brand",C$5:C730,C730,E$5:E730,"paid")&gt;=Inputs!$C$44,SUMIFS(F$5:F730,B$5:B730,"brand",C$5:C730,C730,E$5:E730,"paid")-F730&lt;Inputs!$C$44),1,0),0)</f>
        <v>0</v>
      </c>
    </row>
    <row r="731" customFormat="false" ht="15" hidden="false" customHeight="false" outlineLevel="0" collapsed="false">
      <c r="A731" s="102"/>
      <c r="B731" s="103"/>
      <c r="C731" s="103"/>
      <c r="D731" s="103"/>
      <c r="E731" s="103"/>
      <c r="F731" s="103"/>
      <c r="G731" s="103"/>
      <c r="H731" s="103"/>
      <c r="I731" s="103"/>
      <c r="T731" s="30" t="str">
        <f aca="false">IF(C731="","",IF(COUNTIFS(C$5:C731,C731,E$5:E731,E731)=1,1,0))</f>
        <v/>
      </c>
      <c r="U731" s="30" t="n">
        <f aca="false">IF(C731="",0,IF(AND(B731="brand",E731="budget_probe",N(F731)&gt;=Inputs!$C$124,H731="Y"),1,0))</f>
        <v>0</v>
      </c>
      <c r="V731" s="30" t="n">
        <f aca="false">IF(U731=1,IF(COUNTIFS(C$5:C731,C731,U$5:U731,1)=1,1,0),0)</f>
        <v>0</v>
      </c>
      <c r="W731" s="30" t="n">
        <f aca="false">IF(C731="",0,IF(AND(B731="office",E731="budget_probe",N(F731)&gt;=Inputs!$C$139),1,0))</f>
        <v>0</v>
      </c>
      <c r="X731" s="30" t="n">
        <f aca="false">IF(W731=1,IF(COUNTIFS(C$5:C731,C731,W$5:W731,1)=1,1,0),0)</f>
        <v>0</v>
      </c>
      <c r="Y731" s="30" t="n">
        <f aca="false">IF(C731="",0,IF(AND(B731="brand",E731="renewal_answer",TRIM(G731)="yes",N(F731)&gt;=Inputs!$C$135),1,0))</f>
        <v>0</v>
      </c>
      <c r="Z731" s="30" t="n">
        <f aca="false">IF(Y731=1,IF(COUNTIFS(C$5:C731,C731,Y$5:Y731,1)=1,1,0),0)</f>
        <v>0</v>
      </c>
      <c r="AA731" s="30" t="n">
        <f aca="false">IF(AND(E731="budget_probe",ISNUMBER(F731),I731&lt;&gt;Lists!$X$4),1,0)</f>
        <v>0</v>
      </c>
      <c r="AB731" s="30" t="str">
        <f aca="false">IF(AND(B731="office",AA731=1,COUNTIFS(C$5:C731,C731,AA$5:AA731,1)=1),F731,"")</f>
        <v/>
      </c>
      <c r="AC731" s="30" t="str">
        <f aca="false">IF(AND(B731="brand",AA731=1,COUNTIFS(C$5:C731,C731,AA$5:AA731,1)=1),F731,"")</f>
        <v/>
      </c>
      <c r="AD731" s="30" t="str">
        <f aca="false">IF(AND(B731="brand",E731="budget_probe",ISNUMBER(F731),I731=Lists!$X$4),IF(COUNTIFS(C$5:C731,C731,E$5:E731,"budget_probe",I$5:I731,Lists!$X$4)=1,F731,""),"")</f>
        <v/>
      </c>
      <c r="AE731" s="30" t="n">
        <f aca="false">IF(AND(B731="brand",E731="paid",ISNUMBER(F731)),IF(AND(SUMIFS(F$5:F731,B$5:B731,"brand",C$5:C731,C731,E$5:E731,"paid")&gt;=Inputs!$C$44,SUMIFS(F$5:F731,B$5:B731,"brand",C$5:C731,C731,E$5:E731,"paid")-F731&lt;Inputs!$C$44),1,0),0)</f>
        <v>0</v>
      </c>
    </row>
    <row r="732" customFormat="false" ht="15" hidden="false" customHeight="false" outlineLevel="0" collapsed="false">
      <c r="A732" s="102"/>
      <c r="B732" s="103"/>
      <c r="C732" s="103"/>
      <c r="D732" s="103"/>
      <c r="E732" s="103"/>
      <c r="F732" s="103"/>
      <c r="G732" s="103"/>
      <c r="H732" s="103"/>
      <c r="I732" s="103"/>
      <c r="T732" s="30" t="str">
        <f aca="false">IF(C732="","",IF(COUNTIFS(C$5:C732,C732,E$5:E732,E732)=1,1,0))</f>
        <v/>
      </c>
      <c r="U732" s="30" t="n">
        <f aca="false">IF(C732="",0,IF(AND(B732="brand",E732="budget_probe",N(F732)&gt;=Inputs!$C$124,H732="Y"),1,0))</f>
        <v>0</v>
      </c>
      <c r="V732" s="30" t="n">
        <f aca="false">IF(U732=1,IF(COUNTIFS(C$5:C732,C732,U$5:U732,1)=1,1,0),0)</f>
        <v>0</v>
      </c>
      <c r="W732" s="30" t="n">
        <f aca="false">IF(C732="",0,IF(AND(B732="office",E732="budget_probe",N(F732)&gt;=Inputs!$C$139),1,0))</f>
        <v>0</v>
      </c>
      <c r="X732" s="30" t="n">
        <f aca="false">IF(W732=1,IF(COUNTIFS(C$5:C732,C732,W$5:W732,1)=1,1,0),0)</f>
        <v>0</v>
      </c>
      <c r="Y732" s="30" t="n">
        <f aca="false">IF(C732="",0,IF(AND(B732="brand",E732="renewal_answer",TRIM(G732)="yes",N(F732)&gt;=Inputs!$C$135),1,0))</f>
        <v>0</v>
      </c>
      <c r="Z732" s="30" t="n">
        <f aca="false">IF(Y732=1,IF(COUNTIFS(C$5:C732,C732,Y$5:Y732,1)=1,1,0),0)</f>
        <v>0</v>
      </c>
      <c r="AA732" s="30" t="n">
        <f aca="false">IF(AND(E732="budget_probe",ISNUMBER(F732),I732&lt;&gt;Lists!$X$4),1,0)</f>
        <v>0</v>
      </c>
      <c r="AB732" s="30" t="str">
        <f aca="false">IF(AND(B732="office",AA732=1,COUNTIFS(C$5:C732,C732,AA$5:AA732,1)=1),F732,"")</f>
        <v/>
      </c>
      <c r="AC732" s="30" t="str">
        <f aca="false">IF(AND(B732="brand",AA732=1,COUNTIFS(C$5:C732,C732,AA$5:AA732,1)=1),F732,"")</f>
        <v/>
      </c>
      <c r="AD732" s="30" t="str">
        <f aca="false">IF(AND(B732="brand",E732="budget_probe",ISNUMBER(F732),I732=Lists!$X$4),IF(COUNTIFS(C$5:C732,C732,E$5:E732,"budget_probe",I$5:I732,Lists!$X$4)=1,F732,""),"")</f>
        <v/>
      </c>
      <c r="AE732" s="30" t="n">
        <f aca="false">IF(AND(B732="brand",E732="paid",ISNUMBER(F732)),IF(AND(SUMIFS(F$5:F732,B$5:B732,"brand",C$5:C732,C732,E$5:E732,"paid")&gt;=Inputs!$C$44,SUMIFS(F$5:F732,B$5:B732,"brand",C$5:C732,C732,E$5:E732,"paid")-F732&lt;Inputs!$C$44),1,0),0)</f>
        <v>0</v>
      </c>
    </row>
    <row r="733" customFormat="false" ht="15" hidden="false" customHeight="false" outlineLevel="0" collapsed="false">
      <c r="A733" s="102"/>
      <c r="B733" s="103"/>
      <c r="C733" s="103"/>
      <c r="D733" s="103"/>
      <c r="E733" s="103"/>
      <c r="F733" s="103"/>
      <c r="G733" s="103"/>
      <c r="H733" s="103"/>
      <c r="I733" s="103"/>
      <c r="T733" s="30" t="str">
        <f aca="false">IF(C733="","",IF(COUNTIFS(C$5:C733,C733,E$5:E733,E733)=1,1,0))</f>
        <v/>
      </c>
      <c r="U733" s="30" t="n">
        <f aca="false">IF(C733="",0,IF(AND(B733="brand",E733="budget_probe",N(F733)&gt;=Inputs!$C$124,H733="Y"),1,0))</f>
        <v>0</v>
      </c>
      <c r="V733" s="30" t="n">
        <f aca="false">IF(U733=1,IF(COUNTIFS(C$5:C733,C733,U$5:U733,1)=1,1,0),0)</f>
        <v>0</v>
      </c>
      <c r="W733" s="30" t="n">
        <f aca="false">IF(C733="",0,IF(AND(B733="office",E733="budget_probe",N(F733)&gt;=Inputs!$C$139),1,0))</f>
        <v>0</v>
      </c>
      <c r="X733" s="30" t="n">
        <f aca="false">IF(W733=1,IF(COUNTIFS(C$5:C733,C733,W$5:W733,1)=1,1,0),0)</f>
        <v>0</v>
      </c>
      <c r="Y733" s="30" t="n">
        <f aca="false">IF(C733="",0,IF(AND(B733="brand",E733="renewal_answer",TRIM(G733)="yes",N(F733)&gt;=Inputs!$C$135),1,0))</f>
        <v>0</v>
      </c>
      <c r="Z733" s="30" t="n">
        <f aca="false">IF(Y733=1,IF(COUNTIFS(C$5:C733,C733,Y$5:Y733,1)=1,1,0),0)</f>
        <v>0</v>
      </c>
      <c r="AA733" s="30" t="n">
        <f aca="false">IF(AND(E733="budget_probe",ISNUMBER(F733),I733&lt;&gt;Lists!$X$4),1,0)</f>
        <v>0</v>
      </c>
      <c r="AB733" s="30" t="str">
        <f aca="false">IF(AND(B733="office",AA733=1,COUNTIFS(C$5:C733,C733,AA$5:AA733,1)=1),F733,"")</f>
        <v/>
      </c>
      <c r="AC733" s="30" t="str">
        <f aca="false">IF(AND(B733="brand",AA733=1,COUNTIFS(C$5:C733,C733,AA$5:AA733,1)=1),F733,"")</f>
        <v/>
      </c>
      <c r="AD733" s="30" t="str">
        <f aca="false">IF(AND(B733="brand",E733="budget_probe",ISNUMBER(F733),I733=Lists!$X$4),IF(COUNTIFS(C$5:C733,C733,E$5:E733,"budget_probe",I$5:I733,Lists!$X$4)=1,F733,""),"")</f>
        <v/>
      </c>
      <c r="AE733" s="30" t="n">
        <f aca="false">IF(AND(B733="brand",E733="paid",ISNUMBER(F733)),IF(AND(SUMIFS(F$5:F733,B$5:B733,"brand",C$5:C733,C733,E$5:E733,"paid")&gt;=Inputs!$C$44,SUMIFS(F$5:F733,B$5:B733,"brand",C$5:C733,C733,E$5:E733,"paid")-F733&lt;Inputs!$C$44),1,0),0)</f>
        <v>0</v>
      </c>
    </row>
    <row r="734" customFormat="false" ht="15" hidden="false" customHeight="false" outlineLevel="0" collapsed="false">
      <c r="A734" s="102"/>
      <c r="B734" s="103"/>
      <c r="C734" s="103"/>
      <c r="D734" s="103"/>
      <c r="E734" s="103"/>
      <c r="F734" s="103"/>
      <c r="G734" s="103"/>
      <c r="H734" s="103"/>
      <c r="I734" s="103"/>
      <c r="T734" s="30" t="str">
        <f aca="false">IF(C734="","",IF(COUNTIFS(C$5:C734,C734,E$5:E734,E734)=1,1,0))</f>
        <v/>
      </c>
      <c r="U734" s="30" t="n">
        <f aca="false">IF(C734="",0,IF(AND(B734="brand",E734="budget_probe",N(F734)&gt;=Inputs!$C$124,H734="Y"),1,0))</f>
        <v>0</v>
      </c>
      <c r="V734" s="30" t="n">
        <f aca="false">IF(U734=1,IF(COUNTIFS(C$5:C734,C734,U$5:U734,1)=1,1,0),0)</f>
        <v>0</v>
      </c>
      <c r="W734" s="30" t="n">
        <f aca="false">IF(C734="",0,IF(AND(B734="office",E734="budget_probe",N(F734)&gt;=Inputs!$C$139),1,0))</f>
        <v>0</v>
      </c>
      <c r="X734" s="30" t="n">
        <f aca="false">IF(W734=1,IF(COUNTIFS(C$5:C734,C734,W$5:W734,1)=1,1,0),0)</f>
        <v>0</v>
      </c>
      <c r="Y734" s="30" t="n">
        <f aca="false">IF(C734="",0,IF(AND(B734="brand",E734="renewal_answer",TRIM(G734)="yes",N(F734)&gt;=Inputs!$C$135),1,0))</f>
        <v>0</v>
      </c>
      <c r="Z734" s="30" t="n">
        <f aca="false">IF(Y734=1,IF(COUNTIFS(C$5:C734,C734,Y$5:Y734,1)=1,1,0),0)</f>
        <v>0</v>
      </c>
      <c r="AA734" s="30" t="n">
        <f aca="false">IF(AND(E734="budget_probe",ISNUMBER(F734),I734&lt;&gt;Lists!$X$4),1,0)</f>
        <v>0</v>
      </c>
      <c r="AB734" s="30" t="str">
        <f aca="false">IF(AND(B734="office",AA734=1,COUNTIFS(C$5:C734,C734,AA$5:AA734,1)=1),F734,"")</f>
        <v/>
      </c>
      <c r="AC734" s="30" t="str">
        <f aca="false">IF(AND(B734="brand",AA734=1,COUNTIFS(C$5:C734,C734,AA$5:AA734,1)=1),F734,"")</f>
        <v/>
      </c>
      <c r="AD734" s="30" t="str">
        <f aca="false">IF(AND(B734="brand",E734="budget_probe",ISNUMBER(F734),I734=Lists!$X$4),IF(COUNTIFS(C$5:C734,C734,E$5:E734,"budget_probe",I$5:I734,Lists!$X$4)=1,F734,""),"")</f>
        <v/>
      </c>
      <c r="AE734" s="30" t="n">
        <f aca="false">IF(AND(B734="brand",E734="paid",ISNUMBER(F734)),IF(AND(SUMIFS(F$5:F734,B$5:B734,"brand",C$5:C734,C734,E$5:E734,"paid")&gt;=Inputs!$C$44,SUMIFS(F$5:F734,B$5:B734,"brand",C$5:C734,C734,E$5:E734,"paid")-F734&lt;Inputs!$C$44),1,0),0)</f>
        <v>0</v>
      </c>
    </row>
    <row r="735" customFormat="false" ht="15" hidden="false" customHeight="false" outlineLevel="0" collapsed="false">
      <c r="A735" s="102"/>
      <c r="B735" s="103"/>
      <c r="C735" s="103"/>
      <c r="D735" s="103"/>
      <c r="E735" s="103"/>
      <c r="F735" s="103"/>
      <c r="G735" s="103"/>
      <c r="H735" s="103"/>
      <c r="I735" s="103"/>
      <c r="T735" s="30" t="str">
        <f aca="false">IF(C735="","",IF(COUNTIFS(C$5:C735,C735,E$5:E735,E735)=1,1,0))</f>
        <v/>
      </c>
      <c r="U735" s="30" t="n">
        <f aca="false">IF(C735="",0,IF(AND(B735="brand",E735="budget_probe",N(F735)&gt;=Inputs!$C$124,H735="Y"),1,0))</f>
        <v>0</v>
      </c>
      <c r="V735" s="30" t="n">
        <f aca="false">IF(U735=1,IF(COUNTIFS(C$5:C735,C735,U$5:U735,1)=1,1,0),0)</f>
        <v>0</v>
      </c>
      <c r="W735" s="30" t="n">
        <f aca="false">IF(C735="",0,IF(AND(B735="office",E735="budget_probe",N(F735)&gt;=Inputs!$C$139),1,0))</f>
        <v>0</v>
      </c>
      <c r="X735" s="30" t="n">
        <f aca="false">IF(W735=1,IF(COUNTIFS(C$5:C735,C735,W$5:W735,1)=1,1,0),0)</f>
        <v>0</v>
      </c>
      <c r="Y735" s="30" t="n">
        <f aca="false">IF(C735="",0,IF(AND(B735="brand",E735="renewal_answer",TRIM(G735)="yes",N(F735)&gt;=Inputs!$C$135),1,0))</f>
        <v>0</v>
      </c>
      <c r="Z735" s="30" t="n">
        <f aca="false">IF(Y735=1,IF(COUNTIFS(C$5:C735,C735,Y$5:Y735,1)=1,1,0),0)</f>
        <v>0</v>
      </c>
      <c r="AA735" s="30" t="n">
        <f aca="false">IF(AND(E735="budget_probe",ISNUMBER(F735),I735&lt;&gt;Lists!$X$4),1,0)</f>
        <v>0</v>
      </c>
      <c r="AB735" s="30" t="str">
        <f aca="false">IF(AND(B735="office",AA735=1,COUNTIFS(C$5:C735,C735,AA$5:AA735,1)=1),F735,"")</f>
        <v/>
      </c>
      <c r="AC735" s="30" t="str">
        <f aca="false">IF(AND(B735="brand",AA735=1,COUNTIFS(C$5:C735,C735,AA$5:AA735,1)=1),F735,"")</f>
        <v/>
      </c>
      <c r="AD735" s="30" t="str">
        <f aca="false">IF(AND(B735="brand",E735="budget_probe",ISNUMBER(F735),I735=Lists!$X$4),IF(COUNTIFS(C$5:C735,C735,E$5:E735,"budget_probe",I$5:I735,Lists!$X$4)=1,F735,""),"")</f>
        <v/>
      </c>
      <c r="AE735" s="30" t="n">
        <f aca="false">IF(AND(B735="brand",E735="paid",ISNUMBER(F735)),IF(AND(SUMIFS(F$5:F735,B$5:B735,"brand",C$5:C735,C735,E$5:E735,"paid")&gt;=Inputs!$C$44,SUMIFS(F$5:F735,B$5:B735,"brand",C$5:C735,C735,E$5:E735,"paid")-F735&lt;Inputs!$C$44),1,0),0)</f>
        <v>0</v>
      </c>
    </row>
    <row r="736" customFormat="false" ht="15" hidden="false" customHeight="false" outlineLevel="0" collapsed="false">
      <c r="A736" s="102"/>
      <c r="B736" s="103"/>
      <c r="C736" s="103"/>
      <c r="D736" s="103"/>
      <c r="E736" s="103"/>
      <c r="F736" s="103"/>
      <c r="G736" s="103"/>
      <c r="H736" s="103"/>
      <c r="I736" s="103"/>
      <c r="T736" s="30" t="str">
        <f aca="false">IF(C736="","",IF(COUNTIFS(C$5:C736,C736,E$5:E736,E736)=1,1,0))</f>
        <v/>
      </c>
      <c r="U736" s="30" t="n">
        <f aca="false">IF(C736="",0,IF(AND(B736="brand",E736="budget_probe",N(F736)&gt;=Inputs!$C$124,H736="Y"),1,0))</f>
        <v>0</v>
      </c>
      <c r="V736" s="30" t="n">
        <f aca="false">IF(U736=1,IF(COUNTIFS(C$5:C736,C736,U$5:U736,1)=1,1,0),0)</f>
        <v>0</v>
      </c>
      <c r="W736" s="30" t="n">
        <f aca="false">IF(C736="",0,IF(AND(B736="office",E736="budget_probe",N(F736)&gt;=Inputs!$C$139),1,0))</f>
        <v>0</v>
      </c>
      <c r="X736" s="30" t="n">
        <f aca="false">IF(W736=1,IF(COUNTIFS(C$5:C736,C736,W$5:W736,1)=1,1,0),0)</f>
        <v>0</v>
      </c>
      <c r="Y736" s="30" t="n">
        <f aca="false">IF(C736="",0,IF(AND(B736="brand",E736="renewal_answer",TRIM(G736)="yes",N(F736)&gt;=Inputs!$C$135),1,0))</f>
        <v>0</v>
      </c>
      <c r="Z736" s="30" t="n">
        <f aca="false">IF(Y736=1,IF(COUNTIFS(C$5:C736,C736,Y$5:Y736,1)=1,1,0),0)</f>
        <v>0</v>
      </c>
      <c r="AA736" s="30" t="n">
        <f aca="false">IF(AND(E736="budget_probe",ISNUMBER(F736),I736&lt;&gt;Lists!$X$4),1,0)</f>
        <v>0</v>
      </c>
      <c r="AB736" s="30" t="str">
        <f aca="false">IF(AND(B736="office",AA736=1,COUNTIFS(C$5:C736,C736,AA$5:AA736,1)=1),F736,"")</f>
        <v/>
      </c>
      <c r="AC736" s="30" t="str">
        <f aca="false">IF(AND(B736="brand",AA736=1,COUNTIFS(C$5:C736,C736,AA$5:AA736,1)=1),F736,"")</f>
        <v/>
      </c>
      <c r="AD736" s="30" t="str">
        <f aca="false">IF(AND(B736="brand",E736="budget_probe",ISNUMBER(F736),I736=Lists!$X$4),IF(COUNTIFS(C$5:C736,C736,E$5:E736,"budget_probe",I$5:I736,Lists!$X$4)=1,F736,""),"")</f>
        <v/>
      </c>
      <c r="AE736" s="30" t="n">
        <f aca="false">IF(AND(B736="brand",E736="paid",ISNUMBER(F736)),IF(AND(SUMIFS(F$5:F736,B$5:B736,"brand",C$5:C736,C736,E$5:E736,"paid")&gt;=Inputs!$C$44,SUMIFS(F$5:F736,B$5:B736,"brand",C$5:C736,C736,E$5:E736,"paid")-F736&lt;Inputs!$C$44),1,0),0)</f>
        <v>0</v>
      </c>
    </row>
    <row r="737" customFormat="false" ht="15" hidden="false" customHeight="false" outlineLevel="0" collapsed="false">
      <c r="A737" s="102"/>
      <c r="B737" s="103"/>
      <c r="C737" s="103"/>
      <c r="D737" s="103"/>
      <c r="E737" s="103"/>
      <c r="F737" s="103"/>
      <c r="G737" s="103"/>
      <c r="H737" s="103"/>
      <c r="I737" s="103"/>
      <c r="T737" s="30" t="str">
        <f aca="false">IF(C737="","",IF(COUNTIFS(C$5:C737,C737,E$5:E737,E737)=1,1,0))</f>
        <v/>
      </c>
      <c r="U737" s="30" t="n">
        <f aca="false">IF(C737="",0,IF(AND(B737="brand",E737="budget_probe",N(F737)&gt;=Inputs!$C$124,H737="Y"),1,0))</f>
        <v>0</v>
      </c>
      <c r="V737" s="30" t="n">
        <f aca="false">IF(U737=1,IF(COUNTIFS(C$5:C737,C737,U$5:U737,1)=1,1,0),0)</f>
        <v>0</v>
      </c>
      <c r="W737" s="30" t="n">
        <f aca="false">IF(C737="",0,IF(AND(B737="office",E737="budget_probe",N(F737)&gt;=Inputs!$C$139),1,0))</f>
        <v>0</v>
      </c>
      <c r="X737" s="30" t="n">
        <f aca="false">IF(W737=1,IF(COUNTIFS(C$5:C737,C737,W$5:W737,1)=1,1,0),0)</f>
        <v>0</v>
      </c>
      <c r="Y737" s="30" t="n">
        <f aca="false">IF(C737="",0,IF(AND(B737="brand",E737="renewal_answer",TRIM(G737)="yes",N(F737)&gt;=Inputs!$C$135),1,0))</f>
        <v>0</v>
      </c>
      <c r="Z737" s="30" t="n">
        <f aca="false">IF(Y737=1,IF(COUNTIFS(C$5:C737,C737,Y$5:Y737,1)=1,1,0),0)</f>
        <v>0</v>
      </c>
      <c r="AA737" s="30" t="n">
        <f aca="false">IF(AND(E737="budget_probe",ISNUMBER(F737),I737&lt;&gt;Lists!$X$4),1,0)</f>
        <v>0</v>
      </c>
      <c r="AB737" s="30" t="str">
        <f aca="false">IF(AND(B737="office",AA737=1,COUNTIFS(C$5:C737,C737,AA$5:AA737,1)=1),F737,"")</f>
        <v/>
      </c>
      <c r="AC737" s="30" t="str">
        <f aca="false">IF(AND(B737="brand",AA737=1,COUNTIFS(C$5:C737,C737,AA$5:AA737,1)=1),F737,"")</f>
        <v/>
      </c>
      <c r="AD737" s="30" t="str">
        <f aca="false">IF(AND(B737="brand",E737="budget_probe",ISNUMBER(F737),I737=Lists!$X$4),IF(COUNTIFS(C$5:C737,C737,E$5:E737,"budget_probe",I$5:I737,Lists!$X$4)=1,F737,""),"")</f>
        <v/>
      </c>
      <c r="AE737" s="30" t="n">
        <f aca="false">IF(AND(B737="brand",E737="paid",ISNUMBER(F737)),IF(AND(SUMIFS(F$5:F737,B$5:B737,"brand",C$5:C737,C737,E$5:E737,"paid")&gt;=Inputs!$C$44,SUMIFS(F$5:F737,B$5:B737,"brand",C$5:C737,C737,E$5:E737,"paid")-F737&lt;Inputs!$C$44),1,0),0)</f>
        <v>0</v>
      </c>
    </row>
    <row r="738" customFormat="false" ht="15" hidden="false" customHeight="false" outlineLevel="0" collapsed="false">
      <c r="A738" s="102"/>
      <c r="B738" s="103"/>
      <c r="C738" s="103"/>
      <c r="D738" s="103"/>
      <c r="E738" s="103"/>
      <c r="F738" s="103"/>
      <c r="G738" s="103"/>
      <c r="H738" s="103"/>
      <c r="I738" s="103"/>
      <c r="T738" s="30" t="str">
        <f aca="false">IF(C738="","",IF(COUNTIFS(C$5:C738,C738,E$5:E738,E738)=1,1,0))</f>
        <v/>
      </c>
      <c r="U738" s="30" t="n">
        <f aca="false">IF(C738="",0,IF(AND(B738="brand",E738="budget_probe",N(F738)&gt;=Inputs!$C$124,H738="Y"),1,0))</f>
        <v>0</v>
      </c>
      <c r="V738" s="30" t="n">
        <f aca="false">IF(U738=1,IF(COUNTIFS(C$5:C738,C738,U$5:U738,1)=1,1,0),0)</f>
        <v>0</v>
      </c>
      <c r="W738" s="30" t="n">
        <f aca="false">IF(C738="",0,IF(AND(B738="office",E738="budget_probe",N(F738)&gt;=Inputs!$C$139),1,0))</f>
        <v>0</v>
      </c>
      <c r="X738" s="30" t="n">
        <f aca="false">IF(W738=1,IF(COUNTIFS(C$5:C738,C738,W$5:W738,1)=1,1,0),0)</f>
        <v>0</v>
      </c>
      <c r="Y738" s="30" t="n">
        <f aca="false">IF(C738="",0,IF(AND(B738="brand",E738="renewal_answer",TRIM(G738)="yes",N(F738)&gt;=Inputs!$C$135),1,0))</f>
        <v>0</v>
      </c>
      <c r="Z738" s="30" t="n">
        <f aca="false">IF(Y738=1,IF(COUNTIFS(C$5:C738,C738,Y$5:Y738,1)=1,1,0),0)</f>
        <v>0</v>
      </c>
      <c r="AA738" s="30" t="n">
        <f aca="false">IF(AND(E738="budget_probe",ISNUMBER(F738),I738&lt;&gt;Lists!$X$4),1,0)</f>
        <v>0</v>
      </c>
      <c r="AB738" s="30" t="str">
        <f aca="false">IF(AND(B738="office",AA738=1,COUNTIFS(C$5:C738,C738,AA$5:AA738,1)=1),F738,"")</f>
        <v/>
      </c>
      <c r="AC738" s="30" t="str">
        <f aca="false">IF(AND(B738="brand",AA738=1,COUNTIFS(C$5:C738,C738,AA$5:AA738,1)=1),F738,"")</f>
        <v/>
      </c>
      <c r="AD738" s="30" t="str">
        <f aca="false">IF(AND(B738="brand",E738="budget_probe",ISNUMBER(F738),I738=Lists!$X$4),IF(COUNTIFS(C$5:C738,C738,E$5:E738,"budget_probe",I$5:I738,Lists!$X$4)=1,F738,""),"")</f>
        <v/>
      </c>
      <c r="AE738" s="30" t="n">
        <f aca="false">IF(AND(B738="brand",E738="paid",ISNUMBER(F738)),IF(AND(SUMIFS(F$5:F738,B$5:B738,"brand",C$5:C738,C738,E$5:E738,"paid")&gt;=Inputs!$C$44,SUMIFS(F$5:F738,B$5:B738,"brand",C$5:C738,C738,E$5:E738,"paid")-F738&lt;Inputs!$C$44),1,0),0)</f>
        <v>0</v>
      </c>
    </row>
    <row r="739" customFormat="false" ht="15" hidden="false" customHeight="false" outlineLevel="0" collapsed="false">
      <c r="A739" s="102"/>
      <c r="B739" s="103"/>
      <c r="C739" s="103"/>
      <c r="D739" s="103"/>
      <c r="E739" s="103"/>
      <c r="F739" s="103"/>
      <c r="G739" s="103"/>
      <c r="H739" s="103"/>
      <c r="I739" s="103"/>
      <c r="T739" s="30" t="str">
        <f aca="false">IF(C739="","",IF(COUNTIFS(C$5:C739,C739,E$5:E739,E739)=1,1,0))</f>
        <v/>
      </c>
      <c r="U739" s="30" t="n">
        <f aca="false">IF(C739="",0,IF(AND(B739="brand",E739="budget_probe",N(F739)&gt;=Inputs!$C$124,H739="Y"),1,0))</f>
        <v>0</v>
      </c>
      <c r="V739" s="30" t="n">
        <f aca="false">IF(U739=1,IF(COUNTIFS(C$5:C739,C739,U$5:U739,1)=1,1,0),0)</f>
        <v>0</v>
      </c>
      <c r="W739" s="30" t="n">
        <f aca="false">IF(C739="",0,IF(AND(B739="office",E739="budget_probe",N(F739)&gt;=Inputs!$C$139),1,0))</f>
        <v>0</v>
      </c>
      <c r="X739" s="30" t="n">
        <f aca="false">IF(W739=1,IF(COUNTIFS(C$5:C739,C739,W$5:W739,1)=1,1,0),0)</f>
        <v>0</v>
      </c>
      <c r="Y739" s="30" t="n">
        <f aca="false">IF(C739="",0,IF(AND(B739="brand",E739="renewal_answer",TRIM(G739)="yes",N(F739)&gt;=Inputs!$C$135),1,0))</f>
        <v>0</v>
      </c>
      <c r="Z739" s="30" t="n">
        <f aca="false">IF(Y739=1,IF(COUNTIFS(C$5:C739,C739,Y$5:Y739,1)=1,1,0),0)</f>
        <v>0</v>
      </c>
      <c r="AA739" s="30" t="n">
        <f aca="false">IF(AND(E739="budget_probe",ISNUMBER(F739),I739&lt;&gt;Lists!$X$4),1,0)</f>
        <v>0</v>
      </c>
      <c r="AB739" s="30" t="str">
        <f aca="false">IF(AND(B739="office",AA739=1,COUNTIFS(C$5:C739,C739,AA$5:AA739,1)=1),F739,"")</f>
        <v/>
      </c>
      <c r="AC739" s="30" t="str">
        <f aca="false">IF(AND(B739="brand",AA739=1,COUNTIFS(C$5:C739,C739,AA$5:AA739,1)=1),F739,"")</f>
        <v/>
      </c>
      <c r="AD739" s="30" t="str">
        <f aca="false">IF(AND(B739="brand",E739="budget_probe",ISNUMBER(F739),I739=Lists!$X$4),IF(COUNTIFS(C$5:C739,C739,E$5:E739,"budget_probe",I$5:I739,Lists!$X$4)=1,F739,""),"")</f>
        <v/>
      </c>
      <c r="AE739" s="30" t="n">
        <f aca="false">IF(AND(B739="brand",E739="paid",ISNUMBER(F739)),IF(AND(SUMIFS(F$5:F739,B$5:B739,"brand",C$5:C739,C739,E$5:E739,"paid")&gt;=Inputs!$C$44,SUMIFS(F$5:F739,B$5:B739,"brand",C$5:C739,C739,E$5:E739,"paid")-F739&lt;Inputs!$C$44),1,0),0)</f>
        <v>0</v>
      </c>
    </row>
    <row r="740" customFormat="false" ht="15" hidden="false" customHeight="false" outlineLevel="0" collapsed="false">
      <c r="A740" s="102"/>
      <c r="B740" s="103"/>
      <c r="C740" s="103"/>
      <c r="D740" s="103"/>
      <c r="E740" s="103"/>
      <c r="F740" s="103"/>
      <c r="G740" s="103"/>
      <c r="H740" s="103"/>
      <c r="I740" s="103"/>
      <c r="T740" s="30" t="str">
        <f aca="false">IF(C740="","",IF(COUNTIFS(C$5:C740,C740,E$5:E740,E740)=1,1,0))</f>
        <v/>
      </c>
      <c r="U740" s="30" t="n">
        <f aca="false">IF(C740="",0,IF(AND(B740="brand",E740="budget_probe",N(F740)&gt;=Inputs!$C$124,H740="Y"),1,0))</f>
        <v>0</v>
      </c>
      <c r="V740" s="30" t="n">
        <f aca="false">IF(U740=1,IF(COUNTIFS(C$5:C740,C740,U$5:U740,1)=1,1,0),0)</f>
        <v>0</v>
      </c>
      <c r="W740" s="30" t="n">
        <f aca="false">IF(C740="",0,IF(AND(B740="office",E740="budget_probe",N(F740)&gt;=Inputs!$C$139),1,0))</f>
        <v>0</v>
      </c>
      <c r="X740" s="30" t="n">
        <f aca="false">IF(W740=1,IF(COUNTIFS(C$5:C740,C740,W$5:W740,1)=1,1,0),0)</f>
        <v>0</v>
      </c>
      <c r="Y740" s="30" t="n">
        <f aca="false">IF(C740="",0,IF(AND(B740="brand",E740="renewal_answer",TRIM(G740)="yes",N(F740)&gt;=Inputs!$C$135),1,0))</f>
        <v>0</v>
      </c>
      <c r="Z740" s="30" t="n">
        <f aca="false">IF(Y740=1,IF(COUNTIFS(C$5:C740,C740,Y$5:Y740,1)=1,1,0),0)</f>
        <v>0</v>
      </c>
      <c r="AA740" s="30" t="n">
        <f aca="false">IF(AND(E740="budget_probe",ISNUMBER(F740),I740&lt;&gt;Lists!$X$4),1,0)</f>
        <v>0</v>
      </c>
      <c r="AB740" s="30" t="str">
        <f aca="false">IF(AND(B740="office",AA740=1,COUNTIFS(C$5:C740,C740,AA$5:AA740,1)=1),F740,"")</f>
        <v/>
      </c>
      <c r="AC740" s="30" t="str">
        <f aca="false">IF(AND(B740="brand",AA740=1,COUNTIFS(C$5:C740,C740,AA$5:AA740,1)=1),F740,"")</f>
        <v/>
      </c>
      <c r="AD740" s="30" t="str">
        <f aca="false">IF(AND(B740="brand",E740="budget_probe",ISNUMBER(F740),I740=Lists!$X$4),IF(COUNTIFS(C$5:C740,C740,E$5:E740,"budget_probe",I$5:I740,Lists!$X$4)=1,F740,""),"")</f>
        <v/>
      </c>
      <c r="AE740" s="30" t="n">
        <f aca="false">IF(AND(B740="brand",E740="paid",ISNUMBER(F740)),IF(AND(SUMIFS(F$5:F740,B$5:B740,"brand",C$5:C740,C740,E$5:E740,"paid")&gt;=Inputs!$C$44,SUMIFS(F$5:F740,B$5:B740,"brand",C$5:C740,C740,E$5:E740,"paid")-F740&lt;Inputs!$C$44),1,0),0)</f>
        <v>0</v>
      </c>
    </row>
    <row r="741" customFormat="false" ht="15" hidden="false" customHeight="false" outlineLevel="0" collapsed="false">
      <c r="A741" s="102"/>
      <c r="B741" s="103"/>
      <c r="C741" s="103"/>
      <c r="D741" s="103"/>
      <c r="E741" s="103"/>
      <c r="F741" s="103"/>
      <c r="G741" s="103"/>
      <c r="H741" s="103"/>
      <c r="I741" s="103"/>
      <c r="T741" s="30" t="str">
        <f aca="false">IF(C741="","",IF(COUNTIFS(C$5:C741,C741,E$5:E741,E741)=1,1,0))</f>
        <v/>
      </c>
      <c r="U741" s="30" t="n">
        <f aca="false">IF(C741="",0,IF(AND(B741="brand",E741="budget_probe",N(F741)&gt;=Inputs!$C$124,H741="Y"),1,0))</f>
        <v>0</v>
      </c>
      <c r="V741" s="30" t="n">
        <f aca="false">IF(U741=1,IF(COUNTIFS(C$5:C741,C741,U$5:U741,1)=1,1,0),0)</f>
        <v>0</v>
      </c>
      <c r="W741" s="30" t="n">
        <f aca="false">IF(C741="",0,IF(AND(B741="office",E741="budget_probe",N(F741)&gt;=Inputs!$C$139),1,0))</f>
        <v>0</v>
      </c>
      <c r="X741" s="30" t="n">
        <f aca="false">IF(W741=1,IF(COUNTIFS(C$5:C741,C741,W$5:W741,1)=1,1,0),0)</f>
        <v>0</v>
      </c>
      <c r="Y741" s="30" t="n">
        <f aca="false">IF(C741="",0,IF(AND(B741="brand",E741="renewal_answer",TRIM(G741)="yes",N(F741)&gt;=Inputs!$C$135),1,0))</f>
        <v>0</v>
      </c>
      <c r="Z741" s="30" t="n">
        <f aca="false">IF(Y741=1,IF(COUNTIFS(C$5:C741,C741,Y$5:Y741,1)=1,1,0),0)</f>
        <v>0</v>
      </c>
      <c r="AA741" s="30" t="n">
        <f aca="false">IF(AND(E741="budget_probe",ISNUMBER(F741),I741&lt;&gt;Lists!$X$4),1,0)</f>
        <v>0</v>
      </c>
      <c r="AB741" s="30" t="str">
        <f aca="false">IF(AND(B741="office",AA741=1,COUNTIFS(C$5:C741,C741,AA$5:AA741,1)=1),F741,"")</f>
        <v/>
      </c>
      <c r="AC741" s="30" t="str">
        <f aca="false">IF(AND(B741="brand",AA741=1,COUNTIFS(C$5:C741,C741,AA$5:AA741,1)=1),F741,"")</f>
        <v/>
      </c>
      <c r="AD741" s="30" t="str">
        <f aca="false">IF(AND(B741="brand",E741="budget_probe",ISNUMBER(F741),I741=Lists!$X$4),IF(COUNTIFS(C$5:C741,C741,E$5:E741,"budget_probe",I$5:I741,Lists!$X$4)=1,F741,""),"")</f>
        <v/>
      </c>
      <c r="AE741" s="30" t="n">
        <f aca="false">IF(AND(B741="brand",E741="paid",ISNUMBER(F741)),IF(AND(SUMIFS(F$5:F741,B$5:B741,"brand",C$5:C741,C741,E$5:E741,"paid")&gt;=Inputs!$C$44,SUMIFS(F$5:F741,B$5:B741,"brand",C$5:C741,C741,E$5:E741,"paid")-F741&lt;Inputs!$C$44),1,0),0)</f>
        <v>0</v>
      </c>
    </row>
    <row r="742" customFormat="false" ht="15" hidden="false" customHeight="false" outlineLevel="0" collapsed="false">
      <c r="A742" s="102"/>
      <c r="B742" s="103"/>
      <c r="C742" s="103"/>
      <c r="D742" s="103"/>
      <c r="E742" s="103"/>
      <c r="F742" s="103"/>
      <c r="G742" s="103"/>
      <c r="H742" s="103"/>
      <c r="I742" s="103"/>
      <c r="T742" s="30" t="str">
        <f aca="false">IF(C742="","",IF(COUNTIFS(C$5:C742,C742,E$5:E742,E742)=1,1,0))</f>
        <v/>
      </c>
      <c r="U742" s="30" t="n">
        <f aca="false">IF(C742="",0,IF(AND(B742="brand",E742="budget_probe",N(F742)&gt;=Inputs!$C$124,H742="Y"),1,0))</f>
        <v>0</v>
      </c>
      <c r="V742" s="30" t="n">
        <f aca="false">IF(U742=1,IF(COUNTIFS(C$5:C742,C742,U$5:U742,1)=1,1,0),0)</f>
        <v>0</v>
      </c>
      <c r="W742" s="30" t="n">
        <f aca="false">IF(C742="",0,IF(AND(B742="office",E742="budget_probe",N(F742)&gt;=Inputs!$C$139),1,0))</f>
        <v>0</v>
      </c>
      <c r="X742" s="30" t="n">
        <f aca="false">IF(W742=1,IF(COUNTIFS(C$5:C742,C742,W$5:W742,1)=1,1,0),0)</f>
        <v>0</v>
      </c>
      <c r="Y742" s="30" t="n">
        <f aca="false">IF(C742="",0,IF(AND(B742="brand",E742="renewal_answer",TRIM(G742)="yes",N(F742)&gt;=Inputs!$C$135),1,0))</f>
        <v>0</v>
      </c>
      <c r="Z742" s="30" t="n">
        <f aca="false">IF(Y742=1,IF(COUNTIFS(C$5:C742,C742,Y$5:Y742,1)=1,1,0),0)</f>
        <v>0</v>
      </c>
      <c r="AA742" s="30" t="n">
        <f aca="false">IF(AND(E742="budget_probe",ISNUMBER(F742),I742&lt;&gt;Lists!$X$4),1,0)</f>
        <v>0</v>
      </c>
      <c r="AB742" s="30" t="str">
        <f aca="false">IF(AND(B742="office",AA742=1,COUNTIFS(C$5:C742,C742,AA$5:AA742,1)=1),F742,"")</f>
        <v/>
      </c>
      <c r="AC742" s="30" t="str">
        <f aca="false">IF(AND(B742="brand",AA742=1,COUNTIFS(C$5:C742,C742,AA$5:AA742,1)=1),F742,"")</f>
        <v/>
      </c>
      <c r="AD742" s="30" t="str">
        <f aca="false">IF(AND(B742="brand",E742="budget_probe",ISNUMBER(F742),I742=Lists!$X$4),IF(COUNTIFS(C$5:C742,C742,E$5:E742,"budget_probe",I$5:I742,Lists!$X$4)=1,F742,""),"")</f>
        <v/>
      </c>
      <c r="AE742" s="30" t="n">
        <f aca="false">IF(AND(B742="brand",E742="paid",ISNUMBER(F742)),IF(AND(SUMIFS(F$5:F742,B$5:B742,"brand",C$5:C742,C742,E$5:E742,"paid")&gt;=Inputs!$C$44,SUMIFS(F$5:F742,B$5:B742,"brand",C$5:C742,C742,E$5:E742,"paid")-F742&lt;Inputs!$C$44),1,0),0)</f>
        <v>0</v>
      </c>
    </row>
    <row r="743" customFormat="false" ht="15" hidden="false" customHeight="false" outlineLevel="0" collapsed="false">
      <c r="A743" s="102"/>
      <c r="B743" s="103"/>
      <c r="C743" s="103"/>
      <c r="D743" s="103"/>
      <c r="E743" s="103"/>
      <c r="F743" s="103"/>
      <c r="G743" s="103"/>
      <c r="H743" s="103"/>
      <c r="I743" s="103"/>
      <c r="T743" s="30" t="str">
        <f aca="false">IF(C743="","",IF(COUNTIFS(C$5:C743,C743,E$5:E743,E743)=1,1,0))</f>
        <v/>
      </c>
      <c r="U743" s="30" t="n">
        <f aca="false">IF(C743="",0,IF(AND(B743="brand",E743="budget_probe",N(F743)&gt;=Inputs!$C$124,H743="Y"),1,0))</f>
        <v>0</v>
      </c>
      <c r="V743" s="30" t="n">
        <f aca="false">IF(U743=1,IF(COUNTIFS(C$5:C743,C743,U$5:U743,1)=1,1,0),0)</f>
        <v>0</v>
      </c>
      <c r="W743" s="30" t="n">
        <f aca="false">IF(C743="",0,IF(AND(B743="office",E743="budget_probe",N(F743)&gt;=Inputs!$C$139),1,0))</f>
        <v>0</v>
      </c>
      <c r="X743" s="30" t="n">
        <f aca="false">IF(W743=1,IF(COUNTIFS(C$5:C743,C743,W$5:W743,1)=1,1,0),0)</f>
        <v>0</v>
      </c>
      <c r="Y743" s="30" t="n">
        <f aca="false">IF(C743="",0,IF(AND(B743="brand",E743="renewal_answer",TRIM(G743)="yes",N(F743)&gt;=Inputs!$C$135),1,0))</f>
        <v>0</v>
      </c>
      <c r="Z743" s="30" t="n">
        <f aca="false">IF(Y743=1,IF(COUNTIFS(C$5:C743,C743,Y$5:Y743,1)=1,1,0),0)</f>
        <v>0</v>
      </c>
      <c r="AA743" s="30" t="n">
        <f aca="false">IF(AND(E743="budget_probe",ISNUMBER(F743),I743&lt;&gt;Lists!$X$4),1,0)</f>
        <v>0</v>
      </c>
      <c r="AB743" s="30" t="str">
        <f aca="false">IF(AND(B743="office",AA743=1,COUNTIFS(C$5:C743,C743,AA$5:AA743,1)=1),F743,"")</f>
        <v/>
      </c>
      <c r="AC743" s="30" t="str">
        <f aca="false">IF(AND(B743="brand",AA743=1,COUNTIFS(C$5:C743,C743,AA$5:AA743,1)=1),F743,"")</f>
        <v/>
      </c>
      <c r="AD743" s="30" t="str">
        <f aca="false">IF(AND(B743="brand",E743="budget_probe",ISNUMBER(F743),I743=Lists!$X$4),IF(COUNTIFS(C$5:C743,C743,E$5:E743,"budget_probe",I$5:I743,Lists!$X$4)=1,F743,""),"")</f>
        <v/>
      </c>
      <c r="AE743" s="30" t="n">
        <f aca="false">IF(AND(B743="brand",E743="paid",ISNUMBER(F743)),IF(AND(SUMIFS(F$5:F743,B$5:B743,"brand",C$5:C743,C743,E$5:E743,"paid")&gt;=Inputs!$C$44,SUMIFS(F$5:F743,B$5:B743,"brand",C$5:C743,C743,E$5:E743,"paid")-F743&lt;Inputs!$C$44),1,0),0)</f>
        <v>0</v>
      </c>
    </row>
    <row r="744" customFormat="false" ht="15" hidden="false" customHeight="false" outlineLevel="0" collapsed="false">
      <c r="A744" s="102"/>
      <c r="B744" s="103"/>
      <c r="C744" s="103"/>
      <c r="D744" s="103"/>
      <c r="E744" s="103"/>
      <c r="F744" s="103"/>
      <c r="G744" s="103"/>
      <c r="H744" s="103"/>
      <c r="I744" s="103"/>
      <c r="T744" s="30" t="str">
        <f aca="false">IF(C744="","",IF(COUNTIFS(C$5:C744,C744,E$5:E744,E744)=1,1,0))</f>
        <v/>
      </c>
      <c r="U744" s="30" t="n">
        <f aca="false">IF(C744="",0,IF(AND(B744="brand",E744="budget_probe",N(F744)&gt;=Inputs!$C$124,H744="Y"),1,0))</f>
        <v>0</v>
      </c>
      <c r="V744" s="30" t="n">
        <f aca="false">IF(U744=1,IF(COUNTIFS(C$5:C744,C744,U$5:U744,1)=1,1,0),0)</f>
        <v>0</v>
      </c>
      <c r="W744" s="30" t="n">
        <f aca="false">IF(C744="",0,IF(AND(B744="office",E744="budget_probe",N(F744)&gt;=Inputs!$C$139),1,0))</f>
        <v>0</v>
      </c>
      <c r="X744" s="30" t="n">
        <f aca="false">IF(W744=1,IF(COUNTIFS(C$5:C744,C744,W$5:W744,1)=1,1,0),0)</f>
        <v>0</v>
      </c>
      <c r="Y744" s="30" t="n">
        <f aca="false">IF(C744="",0,IF(AND(B744="brand",E744="renewal_answer",TRIM(G744)="yes",N(F744)&gt;=Inputs!$C$135),1,0))</f>
        <v>0</v>
      </c>
      <c r="Z744" s="30" t="n">
        <f aca="false">IF(Y744=1,IF(COUNTIFS(C$5:C744,C744,Y$5:Y744,1)=1,1,0),0)</f>
        <v>0</v>
      </c>
      <c r="AA744" s="30" t="n">
        <f aca="false">IF(AND(E744="budget_probe",ISNUMBER(F744),I744&lt;&gt;Lists!$X$4),1,0)</f>
        <v>0</v>
      </c>
      <c r="AB744" s="30" t="str">
        <f aca="false">IF(AND(B744="office",AA744=1,COUNTIFS(C$5:C744,C744,AA$5:AA744,1)=1),F744,"")</f>
        <v/>
      </c>
      <c r="AC744" s="30" t="str">
        <f aca="false">IF(AND(B744="brand",AA744=1,COUNTIFS(C$5:C744,C744,AA$5:AA744,1)=1),F744,"")</f>
        <v/>
      </c>
      <c r="AD744" s="30" t="str">
        <f aca="false">IF(AND(B744="brand",E744="budget_probe",ISNUMBER(F744),I744=Lists!$X$4),IF(COUNTIFS(C$5:C744,C744,E$5:E744,"budget_probe",I$5:I744,Lists!$X$4)=1,F744,""),"")</f>
        <v/>
      </c>
      <c r="AE744" s="30" t="n">
        <f aca="false">IF(AND(B744="brand",E744="paid",ISNUMBER(F744)),IF(AND(SUMIFS(F$5:F744,B$5:B744,"brand",C$5:C744,C744,E$5:E744,"paid")&gt;=Inputs!$C$44,SUMIFS(F$5:F744,B$5:B744,"brand",C$5:C744,C744,E$5:E744,"paid")-F744&lt;Inputs!$C$44),1,0),0)</f>
        <v>0</v>
      </c>
    </row>
    <row r="745" customFormat="false" ht="15" hidden="false" customHeight="false" outlineLevel="0" collapsed="false">
      <c r="A745" s="102"/>
      <c r="B745" s="103"/>
      <c r="C745" s="103"/>
      <c r="D745" s="103"/>
      <c r="E745" s="103"/>
      <c r="F745" s="103"/>
      <c r="G745" s="103"/>
      <c r="H745" s="103"/>
      <c r="I745" s="103"/>
      <c r="T745" s="30" t="str">
        <f aca="false">IF(C745="","",IF(COUNTIFS(C$5:C745,C745,E$5:E745,E745)=1,1,0))</f>
        <v/>
      </c>
      <c r="U745" s="30" t="n">
        <f aca="false">IF(C745="",0,IF(AND(B745="brand",E745="budget_probe",N(F745)&gt;=Inputs!$C$124,H745="Y"),1,0))</f>
        <v>0</v>
      </c>
      <c r="V745" s="30" t="n">
        <f aca="false">IF(U745=1,IF(COUNTIFS(C$5:C745,C745,U$5:U745,1)=1,1,0),0)</f>
        <v>0</v>
      </c>
      <c r="W745" s="30" t="n">
        <f aca="false">IF(C745="",0,IF(AND(B745="office",E745="budget_probe",N(F745)&gt;=Inputs!$C$139),1,0))</f>
        <v>0</v>
      </c>
      <c r="X745" s="30" t="n">
        <f aca="false">IF(W745=1,IF(COUNTIFS(C$5:C745,C745,W$5:W745,1)=1,1,0),0)</f>
        <v>0</v>
      </c>
      <c r="Y745" s="30" t="n">
        <f aca="false">IF(C745="",0,IF(AND(B745="brand",E745="renewal_answer",TRIM(G745)="yes",N(F745)&gt;=Inputs!$C$135),1,0))</f>
        <v>0</v>
      </c>
      <c r="Z745" s="30" t="n">
        <f aca="false">IF(Y745=1,IF(COUNTIFS(C$5:C745,C745,Y$5:Y745,1)=1,1,0),0)</f>
        <v>0</v>
      </c>
      <c r="AA745" s="30" t="n">
        <f aca="false">IF(AND(E745="budget_probe",ISNUMBER(F745),I745&lt;&gt;Lists!$X$4),1,0)</f>
        <v>0</v>
      </c>
      <c r="AB745" s="30" t="str">
        <f aca="false">IF(AND(B745="office",AA745=1,COUNTIFS(C$5:C745,C745,AA$5:AA745,1)=1),F745,"")</f>
        <v/>
      </c>
      <c r="AC745" s="30" t="str">
        <f aca="false">IF(AND(B745="brand",AA745=1,COUNTIFS(C$5:C745,C745,AA$5:AA745,1)=1),F745,"")</f>
        <v/>
      </c>
      <c r="AD745" s="30" t="str">
        <f aca="false">IF(AND(B745="brand",E745="budget_probe",ISNUMBER(F745),I745=Lists!$X$4),IF(COUNTIFS(C$5:C745,C745,E$5:E745,"budget_probe",I$5:I745,Lists!$X$4)=1,F745,""),"")</f>
        <v/>
      </c>
      <c r="AE745" s="30" t="n">
        <f aca="false">IF(AND(B745="brand",E745="paid",ISNUMBER(F745)),IF(AND(SUMIFS(F$5:F745,B$5:B745,"brand",C$5:C745,C745,E$5:E745,"paid")&gt;=Inputs!$C$44,SUMIFS(F$5:F745,B$5:B745,"brand",C$5:C745,C745,E$5:E745,"paid")-F745&lt;Inputs!$C$44),1,0),0)</f>
        <v>0</v>
      </c>
    </row>
    <row r="746" customFormat="false" ht="15" hidden="false" customHeight="false" outlineLevel="0" collapsed="false">
      <c r="A746" s="102"/>
      <c r="B746" s="103"/>
      <c r="C746" s="103"/>
      <c r="D746" s="103"/>
      <c r="E746" s="103"/>
      <c r="F746" s="103"/>
      <c r="G746" s="103"/>
      <c r="H746" s="103"/>
      <c r="I746" s="103"/>
      <c r="T746" s="30" t="str">
        <f aca="false">IF(C746="","",IF(COUNTIFS(C$5:C746,C746,E$5:E746,E746)=1,1,0))</f>
        <v/>
      </c>
      <c r="U746" s="30" t="n">
        <f aca="false">IF(C746="",0,IF(AND(B746="brand",E746="budget_probe",N(F746)&gt;=Inputs!$C$124,H746="Y"),1,0))</f>
        <v>0</v>
      </c>
      <c r="V746" s="30" t="n">
        <f aca="false">IF(U746=1,IF(COUNTIFS(C$5:C746,C746,U$5:U746,1)=1,1,0),0)</f>
        <v>0</v>
      </c>
      <c r="W746" s="30" t="n">
        <f aca="false">IF(C746="",0,IF(AND(B746="office",E746="budget_probe",N(F746)&gt;=Inputs!$C$139),1,0))</f>
        <v>0</v>
      </c>
      <c r="X746" s="30" t="n">
        <f aca="false">IF(W746=1,IF(COUNTIFS(C$5:C746,C746,W$5:W746,1)=1,1,0),0)</f>
        <v>0</v>
      </c>
      <c r="Y746" s="30" t="n">
        <f aca="false">IF(C746="",0,IF(AND(B746="brand",E746="renewal_answer",TRIM(G746)="yes",N(F746)&gt;=Inputs!$C$135),1,0))</f>
        <v>0</v>
      </c>
      <c r="Z746" s="30" t="n">
        <f aca="false">IF(Y746=1,IF(COUNTIFS(C$5:C746,C746,Y$5:Y746,1)=1,1,0),0)</f>
        <v>0</v>
      </c>
      <c r="AA746" s="30" t="n">
        <f aca="false">IF(AND(E746="budget_probe",ISNUMBER(F746),I746&lt;&gt;Lists!$X$4),1,0)</f>
        <v>0</v>
      </c>
      <c r="AB746" s="30" t="str">
        <f aca="false">IF(AND(B746="office",AA746=1,COUNTIFS(C$5:C746,C746,AA$5:AA746,1)=1),F746,"")</f>
        <v/>
      </c>
      <c r="AC746" s="30" t="str">
        <f aca="false">IF(AND(B746="brand",AA746=1,COUNTIFS(C$5:C746,C746,AA$5:AA746,1)=1),F746,"")</f>
        <v/>
      </c>
      <c r="AD746" s="30" t="str">
        <f aca="false">IF(AND(B746="brand",E746="budget_probe",ISNUMBER(F746),I746=Lists!$X$4),IF(COUNTIFS(C$5:C746,C746,E$5:E746,"budget_probe",I$5:I746,Lists!$X$4)=1,F746,""),"")</f>
        <v/>
      </c>
      <c r="AE746" s="30" t="n">
        <f aca="false">IF(AND(B746="brand",E746="paid",ISNUMBER(F746)),IF(AND(SUMIFS(F$5:F746,B$5:B746,"brand",C$5:C746,C746,E$5:E746,"paid")&gt;=Inputs!$C$44,SUMIFS(F$5:F746,B$5:B746,"brand",C$5:C746,C746,E$5:E746,"paid")-F746&lt;Inputs!$C$44),1,0),0)</f>
        <v>0</v>
      </c>
    </row>
    <row r="747" customFormat="false" ht="15" hidden="false" customHeight="false" outlineLevel="0" collapsed="false">
      <c r="A747" s="102"/>
      <c r="B747" s="103"/>
      <c r="C747" s="103"/>
      <c r="D747" s="103"/>
      <c r="E747" s="103"/>
      <c r="F747" s="103"/>
      <c r="G747" s="103"/>
      <c r="H747" s="103"/>
      <c r="I747" s="103"/>
      <c r="T747" s="30" t="str">
        <f aca="false">IF(C747="","",IF(COUNTIFS(C$5:C747,C747,E$5:E747,E747)=1,1,0))</f>
        <v/>
      </c>
      <c r="U747" s="30" t="n">
        <f aca="false">IF(C747="",0,IF(AND(B747="brand",E747="budget_probe",N(F747)&gt;=Inputs!$C$124,H747="Y"),1,0))</f>
        <v>0</v>
      </c>
      <c r="V747" s="30" t="n">
        <f aca="false">IF(U747=1,IF(COUNTIFS(C$5:C747,C747,U$5:U747,1)=1,1,0),0)</f>
        <v>0</v>
      </c>
      <c r="W747" s="30" t="n">
        <f aca="false">IF(C747="",0,IF(AND(B747="office",E747="budget_probe",N(F747)&gt;=Inputs!$C$139),1,0))</f>
        <v>0</v>
      </c>
      <c r="X747" s="30" t="n">
        <f aca="false">IF(W747=1,IF(COUNTIFS(C$5:C747,C747,W$5:W747,1)=1,1,0),0)</f>
        <v>0</v>
      </c>
      <c r="Y747" s="30" t="n">
        <f aca="false">IF(C747="",0,IF(AND(B747="brand",E747="renewal_answer",TRIM(G747)="yes",N(F747)&gt;=Inputs!$C$135),1,0))</f>
        <v>0</v>
      </c>
      <c r="Z747" s="30" t="n">
        <f aca="false">IF(Y747=1,IF(COUNTIFS(C$5:C747,C747,Y$5:Y747,1)=1,1,0),0)</f>
        <v>0</v>
      </c>
      <c r="AA747" s="30" t="n">
        <f aca="false">IF(AND(E747="budget_probe",ISNUMBER(F747),I747&lt;&gt;Lists!$X$4),1,0)</f>
        <v>0</v>
      </c>
      <c r="AB747" s="30" t="str">
        <f aca="false">IF(AND(B747="office",AA747=1,COUNTIFS(C$5:C747,C747,AA$5:AA747,1)=1),F747,"")</f>
        <v/>
      </c>
      <c r="AC747" s="30" t="str">
        <f aca="false">IF(AND(B747="brand",AA747=1,COUNTIFS(C$5:C747,C747,AA$5:AA747,1)=1),F747,"")</f>
        <v/>
      </c>
      <c r="AD747" s="30" t="str">
        <f aca="false">IF(AND(B747="brand",E747="budget_probe",ISNUMBER(F747),I747=Lists!$X$4),IF(COUNTIFS(C$5:C747,C747,E$5:E747,"budget_probe",I$5:I747,Lists!$X$4)=1,F747,""),"")</f>
        <v/>
      </c>
      <c r="AE747" s="30" t="n">
        <f aca="false">IF(AND(B747="brand",E747="paid",ISNUMBER(F747)),IF(AND(SUMIFS(F$5:F747,B$5:B747,"brand",C$5:C747,C747,E$5:E747,"paid")&gt;=Inputs!$C$44,SUMIFS(F$5:F747,B$5:B747,"brand",C$5:C747,C747,E$5:E747,"paid")-F747&lt;Inputs!$C$44),1,0),0)</f>
        <v>0</v>
      </c>
    </row>
    <row r="748" customFormat="false" ht="15" hidden="false" customHeight="false" outlineLevel="0" collapsed="false">
      <c r="A748" s="102"/>
      <c r="B748" s="103"/>
      <c r="C748" s="103"/>
      <c r="D748" s="103"/>
      <c r="E748" s="103"/>
      <c r="F748" s="103"/>
      <c r="G748" s="103"/>
      <c r="H748" s="103"/>
      <c r="I748" s="103"/>
      <c r="T748" s="30" t="str">
        <f aca="false">IF(C748="","",IF(COUNTIFS(C$5:C748,C748,E$5:E748,E748)=1,1,0))</f>
        <v/>
      </c>
      <c r="U748" s="30" t="n">
        <f aca="false">IF(C748="",0,IF(AND(B748="brand",E748="budget_probe",N(F748)&gt;=Inputs!$C$124,H748="Y"),1,0))</f>
        <v>0</v>
      </c>
      <c r="V748" s="30" t="n">
        <f aca="false">IF(U748=1,IF(COUNTIFS(C$5:C748,C748,U$5:U748,1)=1,1,0),0)</f>
        <v>0</v>
      </c>
      <c r="W748" s="30" t="n">
        <f aca="false">IF(C748="",0,IF(AND(B748="office",E748="budget_probe",N(F748)&gt;=Inputs!$C$139),1,0))</f>
        <v>0</v>
      </c>
      <c r="X748" s="30" t="n">
        <f aca="false">IF(W748=1,IF(COUNTIFS(C$5:C748,C748,W$5:W748,1)=1,1,0),0)</f>
        <v>0</v>
      </c>
      <c r="Y748" s="30" t="n">
        <f aca="false">IF(C748="",0,IF(AND(B748="brand",E748="renewal_answer",TRIM(G748)="yes",N(F748)&gt;=Inputs!$C$135),1,0))</f>
        <v>0</v>
      </c>
      <c r="Z748" s="30" t="n">
        <f aca="false">IF(Y748=1,IF(COUNTIFS(C$5:C748,C748,Y$5:Y748,1)=1,1,0),0)</f>
        <v>0</v>
      </c>
      <c r="AA748" s="30" t="n">
        <f aca="false">IF(AND(E748="budget_probe",ISNUMBER(F748),I748&lt;&gt;Lists!$X$4),1,0)</f>
        <v>0</v>
      </c>
      <c r="AB748" s="30" t="str">
        <f aca="false">IF(AND(B748="office",AA748=1,COUNTIFS(C$5:C748,C748,AA$5:AA748,1)=1),F748,"")</f>
        <v/>
      </c>
      <c r="AC748" s="30" t="str">
        <f aca="false">IF(AND(B748="brand",AA748=1,COUNTIFS(C$5:C748,C748,AA$5:AA748,1)=1),F748,"")</f>
        <v/>
      </c>
      <c r="AD748" s="30" t="str">
        <f aca="false">IF(AND(B748="brand",E748="budget_probe",ISNUMBER(F748),I748=Lists!$X$4),IF(COUNTIFS(C$5:C748,C748,E$5:E748,"budget_probe",I$5:I748,Lists!$X$4)=1,F748,""),"")</f>
        <v/>
      </c>
      <c r="AE748" s="30" t="n">
        <f aca="false">IF(AND(B748="brand",E748="paid",ISNUMBER(F748)),IF(AND(SUMIFS(F$5:F748,B$5:B748,"brand",C$5:C748,C748,E$5:E748,"paid")&gt;=Inputs!$C$44,SUMIFS(F$5:F748,B$5:B748,"brand",C$5:C748,C748,E$5:E748,"paid")-F748&lt;Inputs!$C$44),1,0),0)</f>
        <v>0</v>
      </c>
    </row>
    <row r="749" customFormat="false" ht="15" hidden="false" customHeight="false" outlineLevel="0" collapsed="false">
      <c r="A749" s="102"/>
      <c r="B749" s="103"/>
      <c r="C749" s="103"/>
      <c r="D749" s="103"/>
      <c r="E749" s="103"/>
      <c r="F749" s="103"/>
      <c r="G749" s="103"/>
      <c r="H749" s="103"/>
      <c r="I749" s="103"/>
      <c r="T749" s="30" t="str">
        <f aca="false">IF(C749="","",IF(COUNTIFS(C$5:C749,C749,E$5:E749,E749)=1,1,0))</f>
        <v/>
      </c>
      <c r="U749" s="30" t="n">
        <f aca="false">IF(C749="",0,IF(AND(B749="brand",E749="budget_probe",N(F749)&gt;=Inputs!$C$124,H749="Y"),1,0))</f>
        <v>0</v>
      </c>
      <c r="V749" s="30" t="n">
        <f aca="false">IF(U749=1,IF(COUNTIFS(C$5:C749,C749,U$5:U749,1)=1,1,0),0)</f>
        <v>0</v>
      </c>
      <c r="W749" s="30" t="n">
        <f aca="false">IF(C749="",0,IF(AND(B749="office",E749="budget_probe",N(F749)&gt;=Inputs!$C$139),1,0))</f>
        <v>0</v>
      </c>
      <c r="X749" s="30" t="n">
        <f aca="false">IF(W749=1,IF(COUNTIFS(C$5:C749,C749,W$5:W749,1)=1,1,0),0)</f>
        <v>0</v>
      </c>
      <c r="Y749" s="30" t="n">
        <f aca="false">IF(C749="",0,IF(AND(B749="brand",E749="renewal_answer",TRIM(G749)="yes",N(F749)&gt;=Inputs!$C$135),1,0))</f>
        <v>0</v>
      </c>
      <c r="Z749" s="30" t="n">
        <f aca="false">IF(Y749=1,IF(COUNTIFS(C$5:C749,C749,Y$5:Y749,1)=1,1,0),0)</f>
        <v>0</v>
      </c>
      <c r="AA749" s="30" t="n">
        <f aca="false">IF(AND(E749="budget_probe",ISNUMBER(F749),I749&lt;&gt;Lists!$X$4),1,0)</f>
        <v>0</v>
      </c>
      <c r="AB749" s="30" t="str">
        <f aca="false">IF(AND(B749="office",AA749=1,COUNTIFS(C$5:C749,C749,AA$5:AA749,1)=1),F749,"")</f>
        <v/>
      </c>
      <c r="AC749" s="30" t="str">
        <f aca="false">IF(AND(B749="brand",AA749=1,COUNTIFS(C$5:C749,C749,AA$5:AA749,1)=1),F749,"")</f>
        <v/>
      </c>
      <c r="AD749" s="30" t="str">
        <f aca="false">IF(AND(B749="brand",E749="budget_probe",ISNUMBER(F749),I749=Lists!$X$4),IF(COUNTIFS(C$5:C749,C749,E$5:E749,"budget_probe",I$5:I749,Lists!$X$4)=1,F749,""),"")</f>
        <v/>
      </c>
      <c r="AE749" s="30" t="n">
        <f aca="false">IF(AND(B749="brand",E749="paid",ISNUMBER(F749)),IF(AND(SUMIFS(F$5:F749,B$5:B749,"brand",C$5:C749,C749,E$5:E749,"paid")&gt;=Inputs!$C$44,SUMIFS(F$5:F749,B$5:B749,"brand",C$5:C749,C749,E$5:E749,"paid")-F749&lt;Inputs!$C$44),1,0),0)</f>
        <v>0</v>
      </c>
    </row>
    <row r="750" customFormat="false" ht="15" hidden="false" customHeight="false" outlineLevel="0" collapsed="false">
      <c r="A750" s="102"/>
      <c r="B750" s="103"/>
      <c r="C750" s="103"/>
      <c r="D750" s="103"/>
      <c r="E750" s="103"/>
      <c r="F750" s="103"/>
      <c r="G750" s="103"/>
      <c r="H750" s="103"/>
      <c r="I750" s="103"/>
      <c r="T750" s="30" t="str">
        <f aca="false">IF(C750="","",IF(COUNTIFS(C$5:C750,C750,E$5:E750,E750)=1,1,0))</f>
        <v/>
      </c>
      <c r="U750" s="30" t="n">
        <f aca="false">IF(C750="",0,IF(AND(B750="brand",E750="budget_probe",N(F750)&gt;=Inputs!$C$124,H750="Y"),1,0))</f>
        <v>0</v>
      </c>
      <c r="V750" s="30" t="n">
        <f aca="false">IF(U750=1,IF(COUNTIFS(C$5:C750,C750,U$5:U750,1)=1,1,0),0)</f>
        <v>0</v>
      </c>
      <c r="W750" s="30" t="n">
        <f aca="false">IF(C750="",0,IF(AND(B750="office",E750="budget_probe",N(F750)&gt;=Inputs!$C$139),1,0))</f>
        <v>0</v>
      </c>
      <c r="X750" s="30" t="n">
        <f aca="false">IF(W750=1,IF(COUNTIFS(C$5:C750,C750,W$5:W750,1)=1,1,0),0)</f>
        <v>0</v>
      </c>
      <c r="Y750" s="30" t="n">
        <f aca="false">IF(C750="",0,IF(AND(B750="brand",E750="renewal_answer",TRIM(G750)="yes",N(F750)&gt;=Inputs!$C$135),1,0))</f>
        <v>0</v>
      </c>
      <c r="Z750" s="30" t="n">
        <f aca="false">IF(Y750=1,IF(COUNTIFS(C$5:C750,C750,Y$5:Y750,1)=1,1,0),0)</f>
        <v>0</v>
      </c>
      <c r="AA750" s="30" t="n">
        <f aca="false">IF(AND(E750="budget_probe",ISNUMBER(F750),I750&lt;&gt;Lists!$X$4),1,0)</f>
        <v>0</v>
      </c>
      <c r="AB750" s="30" t="str">
        <f aca="false">IF(AND(B750="office",AA750=1,COUNTIFS(C$5:C750,C750,AA$5:AA750,1)=1),F750,"")</f>
        <v/>
      </c>
      <c r="AC750" s="30" t="str">
        <f aca="false">IF(AND(B750="brand",AA750=1,COUNTIFS(C$5:C750,C750,AA$5:AA750,1)=1),F750,"")</f>
        <v/>
      </c>
      <c r="AD750" s="30" t="str">
        <f aca="false">IF(AND(B750="brand",E750="budget_probe",ISNUMBER(F750),I750=Lists!$X$4),IF(COUNTIFS(C$5:C750,C750,E$5:E750,"budget_probe",I$5:I750,Lists!$X$4)=1,F750,""),"")</f>
        <v/>
      </c>
      <c r="AE750" s="30" t="n">
        <f aca="false">IF(AND(B750="brand",E750="paid",ISNUMBER(F750)),IF(AND(SUMIFS(F$5:F750,B$5:B750,"brand",C$5:C750,C750,E$5:E750,"paid")&gt;=Inputs!$C$44,SUMIFS(F$5:F750,B$5:B750,"brand",C$5:C750,C750,E$5:E750,"paid")-F750&lt;Inputs!$C$44),1,0),0)</f>
        <v>0</v>
      </c>
    </row>
    <row r="751" customFormat="false" ht="15" hidden="false" customHeight="false" outlineLevel="0" collapsed="false">
      <c r="A751" s="102"/>
      <c r="B751" s="103"/>
      <c r="C751" s="103"/>
      <c r="D751" s="103"/>
      <c r="E751" s="103"/>
      <c r="F751" s="103"/>
      <c r="G751" s="103"/>
      <c r="H751" s="103"/>
      <c r="I751" s="103"/>
      <c r="T751" s="30" t="str">
        <f aca="false">IF(C751="","",IF(COUNTIFS(C$5:C751,C751,E$5:E751,E751)=1,1,0))</f>
        <v/>
      </c>
      <c r="U751" s="30" t="n">
        <f aca="false">IF(C751="",0,IF(AND(B751="brand",E751="budget_probe",N(F751)&gt;=Inputs!$C$124,H751="Y"),1,0))</f>
        <v>0</v>
      </c>
      <c r="V751" s="30" t="n">
        <f aca="false">IF(U751=1,IF(COUNTIFS(C$5:C751,C751,U$5:U751,1)=1,1,0),0)</f>
        <v>0</v>
      </c>
      <c r="W751" s="30" t="n">
        <f aca="false">IF(C751="",0,IF(AND(B751="office",E751="budget_probe",N(F751)&gt;=Inputs!$C$139),1,0))</f>
        <v>0</v>
      </c>
      <c r="X751" s="30" t="n">
        <f aca="false">IF(W751=1,IF(COUNTIFS(C$5:C751,C751,W$5:W751,1)=1,1,0),0)</f>
        <v>0</v>
      </c>
      <c r="Y751" s="30" t="n">
        <f aca="false">IF(C751="",0,IF(AND(B751="brand",E751="renewal_answer",TRIM(G751)="yes",N(F751)&gt;=Inputs!$C$135),1,0))</f>
        <v>0</v>
      </c>
      <c r="Z751" s="30" t="n">
        <f aca="false">IF(Y751=1,IF(COUNTIFS(C$5:C751,C751,Y$5:Y751,1)=1,1,0),0)</f>
        <v>0</v>
      </c>
      <c r="AA751" s="30" t="n">
        <f aca="false">IF(AND(E751="budget_probe",ISNUMBER(F751),I751&lt;&gt;Lists!$X$4),1,0)</f>
        <v>0</v>
      </c>
      <c r="AB751" s="30" t="str">
        <f aca="false">IF(AND(B751="office",AA751=1,COUNTIFS(C$5:C751,C751,AA$5:AA751,1)=1),F751,"")</f>
        <v/>
      </c>
      <c r="AC751" s="30" t="str">
        <f aca="false">IF(AND(B751="brand",AA751=1,COUNTIFS(C$5:C751,C751,AA$5:AA751,1)=1),F751,"")</f>
        <v/>
      </c>
      <c r="AD751" s="30" t="str">
        <f aca="false">IF(AND(B751="brand",E751="budget_probe",ISNUMBER(F751),I751=Lists!$X$4),IF(COUNTIFS(C$5:C751,C751,E$5:E751,"budget_probe",I$5:I751,Lists!$X$4)=1,F751,""),"")</f>
        <v/>
      </c>
      <c r="AE751" s="30" t="n">
        <f aca="false">IF(AND(B751="brand",E751="paid",ISNUMBER(F751)),IF(AND(SUMIFS(F$5:F751,B$5:B751,"brand",C$5:C751,C751,E$5:E751,"paid")&gt;=Inputs!$C$44,SUMIFS(F$5:F751,B$5:B751,"brand",C$5:C751,C751,E$5:E751,"paid")-F751&lt;Inputs!$C$44),1,0),0)</f>
        <v>0</v>
      </c>
    </row>
    <row r="752" customFormat="false" ht="15" hidden="false" customHeight="false" outlineLevel="0" collapsed="false">
      <c r="A752" s="102"/>
      <c r="B752" s="103"/>
      <c r="C752" s="103"/>
      <c r="D752" s="103"/>
      <c r="E752" s="103"/>
      <c r="F752" s="103"/>
      <c r="G752" s="103"/>
      <c r="H752" s="103"/>
      <c r="I752" s="103"/>
      <c r="T752" s="30" t="str">
        <f aca="false">IF(C752="","",IF(COUNTIFS(C$5:C752,C752,E$5:E752,E752)=1,1,0))</f>
        <v/>
      </c>
      <c r="U752" s="30" t="n">
        <f aca="false">IF(C752="",0,IF(AND(B752="brand",E752="budget_probe",N(F752)&gt;=Inputs!$C$124,H752="Y"),1,0))</f>
        <v>0</v>
      </c>
      <c r="V752" s="30" t="n">
        <f aca="false">IF(U752=1,IF(COUNTIFS(C$5:C752,C752,U$5:U752,1)=1,1,0),0)</f>
        <v>0</v>
      </c>
      <c r="W752" s="30" t="n">
        <f aca="false">IF(C752="",0,IF(AND(B752="office",E752="budget_probe",N(F752)&gt;=Inputs!$C$139),1,0))</f>
        <v>0</v>
      </c>
      <c r="X752" s="30" t="n">
        <f aca="false">IF(W752=1,IF(COUNTIFS(C$5:C752,C752,W$5:W752,1)=1,1,0),0)</f>
        <v>0</v>
      </c>
      <c r="Y752" s="30" t="n">
        <f aca="false">IF(C752="",0,IF(AND(B752="brand",E752="renewal_answer",TRIM(G752)="yes",N(F752)&gt;=Inputs!$C$135),1,0))</f>
        <v>0</v>
      </c>
      <c r="Z752" s="30" t="n">
        <f aca="false">IF(Y752=1,IF(COUNTIFS(C$5:C752,C752,Y$5:Y752,1)=1,1,0),0)</f>
        <v>0</v>
      </c>
      <c r="AA752" s="30" t="n">
        <f aca="false">IF(AND(E752="budget_probe",ISNUMBER(F752),I752&lt;&gt;Lists!$X$4),1,0)</f>
        <v>0</v>
      </c>
      <c r="AB752" s="30" t="str">
        <f aca="false">IF(AND(B752="office",AA752=1,COUNTIFS(C$5:C752,C752,AA$5:AA752,1)=1),F752,"")</f>
        <v/>
      </c>
      <c r="AC752" s="30" t="str">
        <f aca="false">IF(AND(B752="brand",AA752=1,COUNTIFS(C$5:C752,C752,AA$5:AA752,1)=1),F752,"")</f>
        <v/>
      </c>
      <c r="AD752" s="30" t="str">
        <f aca="false">IF(AND(B752="brand",E752="budget_probe",ISNUMBER(F752),I752=Lists!$X$4),IF(COUNTIFS(C$5:C752,C752,E$5:E752,"budget_probe",I$5:I752,Lists!$X$4)=1,F752,""),"")</f>
        <v/>
      </c>
      <c r="AE752" s="30" t="n">
        <f aca="false">IF(AND(B752="brand",E752="paid",ISNUMBER(F752)),IF(AND(SUMIFS(F$5:F752,B$5:B752,"brand",C$5:C752,C752,E$5:E752,"paid")&gt;=Inputs!$C$44,SUMIFS(F$5:F752,B$5:B752,"brand",C$5:C752,C752,E$5:E752,"paid")-F752&lt;Inputs!$C$44),1,0),0)</f>
        <v>0</v>
      </c>
    </row>
    <row r="753" customFormat="false" ht="15" hidden="false" customHeight="false" outlineLevel="0" collapsed="false">
      <c r="A753" s="102"/>
      <c r="B753" s="103"/>
      <c r="C753" s="103"/>
      <c r="D753" s="103"/>
      <c r="E753" s="103"/>
      <c r="F753" s="103"/>
      <c r="G753" s="103"/>
      <c r="H753" s="103"/>
      <c r="I753" s="103"/>
      <c r="T753" s="30" t="str">
        <f aca="false">IF(C753="","",IF(COUNTIFS(C$5:C753,C753,E$5:E753,E753)=1,1,0))</f>
        <v/>
      </c>
      <c r="U753" s="30" t="n">
        <f aca="false">IF(C753="",0,IF(AND(B753="brand",E753="budget_probe",N(F753)&gt;=Inputs!$C$124,H753="Y"),1,0))</f>
        <v>0</v>
      </c>
      <c r="V753" s="30" t="n">
        <f aca="false">IF(U753=1,IF(COUNTIFS(C$5:C753,C753,U$5:U753,1)=1,1,0),0)</f>
        <v>0</v>
      </c>
      <c r="W753" s="30" t="n">
        <f aca="false">IF(C753="",0,IF(AND(B753="office",E753="budget_probe",N(F753)&gt;=Inputs!$C$139),1,0))</f>
        <v>0</v>
      </c>
      <c r="X753" s="30" t="n">
        <f aca="false">IF(W753=1,IF(COUNTIFS(C$5:C753,C753,W$5:W753,1)=1,1,0),0)</f>
        <v>0</v>
      </c>
      <c r="Y753" s="30" t="n">
        <f aca="false">IF(C753="",0,IF(AND(B753="brand",E753="renewal_answer",TRIM(G753)="yes",N(F753)&gt;=Inputs!$C$135),1,0))</f>
        <v>0</v>
      </c>
      <c r="Z753" s="30" t="n">
        <f aca="false">IF(Y753=1,IF(COUNTIFS(C$5:C753,C753,Y$5:Y753,1)=1,1,0),0)</f>
        <v>0</v>
      </c>
      <c r="AA753" s="30" t="n">
        <f aca="false">IF(AND(E753="budget_probe",ISNUMBER(F753),I753&lt;&gt;Lists!$X$4),1,0)</f>
        <v>0</v>
      </c>
      <c r="AB753" s="30" t="str">
        <f aca="false">IF(AND(B753="office",AA753=1,COUNTIFS(C$5:C753,C753,AA$5:AA753,1)=1),F753,"")</f>
        <v/>
      </c>
      <c r="AC753" s="30" t="str">
        <f aca="false">IF(AND(B753="brand",AA753=1,COUNTIFS(C$5:C753,C753,AA$5:AA753,1)=1),F753,"")</f>
        <v/>
      </c>
      <c r="AD753" s="30" t="str">
        <f aca="false">IF(AND(B753="brand",E753="budget_probe",ISNUMBER(F753),I753=Lists!$X$4),IF(COUNTIFS(C$5:C753,C753,E$5:E753,"budget_probe",I$5:I753,Lists!$X$4)=1,F753,""),"")</f>
        <v/>
      </c>
      <c r="AE753" s="30" t="n">
        <f aca="false">IF(AND(B753="brand",E753="paid",ISNUMBER(F753)),IF(AND(SUMIFS(F$5:F753,B$5:B753,"brand",C$5:C753,C753,E$5:E753,"paid")&gt;=Inputs!$C$44,SUMIFS(F$5:F753,B$5:B753,"brand",C$5:C753,C753,E$5:E753,"paid")-F753&lt;Inputs!$C$44),1,0),0)</f>
        <v>0</v>
      </c>
    </row>
    <row r="754" customFormat="false" ht="15" hidden="false" customHeight="false" outlineLevel="0" collapsed="false">
      <c r="A754" s="102"/>
      <c r="B754" s="103"/>
      <c r="C754" s="103"/>
      <c r="D754" s="103"/>
      <c r="E754" s="103"/>
      <c r="F754" s="103"/>
      <c r="G754" s="103"/>
      <c r="H754" s="103"/>
      <c r="I754" s="103"/>
      <c r="T754" s="30" t="str">
        <f aca="false">IF(C754="","",IF(COUNTIFS(C$5:C754,C754,E$5:E754,E754)=1,1,0))</f>
        <v/>
      </c>
      <c r="U754" s="30" t="n">
        <f aca="false">IF(C754="",0,IF(AND(B754="brand",E754="budget_probe",N(F754)&gt;=Inputs!$C$124,H754="Y"),1,0))</f>
        <v>0</v>
      </c>
      <c r="V754" s="30" t="n">
        <f aca="false">IF(U754=1,IF(COUNTIFS(C$5:C754,C754,U$5:U754,1)=1,1,0),0)</f>
        <v>0</v>
      </c>
      <c r="W754" s="30" t="n">
        <f aca="false">IF(C754="",0,IF(AND(B754="office",E754="budget_probe",N(F754)&gt;=Inputs!$C$139),1,0))</f>
        <v>0</v>
      </c>
      <c r="X754" s="30" t="n">
        <f aca="false">IF(W754=1,IF(COUNTIFS(C$5:C754,C754,W$5:W754,1)=1,1,0),0)</f>
        <v>0</v>
      </c>
      <c r="Y754" s="30" t="n">
        <f aca="false">IF(C754="",0,IF(AND(B754="brand",E754="renewal_answer",TRIM(G754)="yes",N(F754)&gt;=Inputs!$C$135),1,0))</f>
        <v>0</v>
      </c>
      <c r="Z754" s="30" t="n">
        <f aca="false">IF(Y754=1,IF(COUNTIFS(C$5:C754,C754,Y$5:Y754,1)=1,1,0),0)</f>
        <v>0</v>
      </c>
      <c r="AA754" s="30" t="n">
        <f aca="false">IF(AND(E754="budget_probe",ISNUMBER(F754),I754&lt;&gt;Lists!$X$4),1,0)</f>
        <v>0</v>
      </c>
      <c r="AB754" s="30" t="str">
        <f aca="false">IF(AND(B754="office",AA754=1,COUNTIFS(C$5:C754,C754,AA$5:AA754,1)=1),F754,"")</f>
        <v/>
      </c>
      <c r="AC754" s="30" t="str">
        <f aca="false">IF(AND(B754="brand",AA754=1,COUNTIFS(C$5:C754,C754,AA$5:AA754,1)=1),F754,"")</f>
        <v/>
      </c>
      <c r="AD754" s="30" t="str">
        <f aca="false">IF(AND(B754="brand",E754="budget_probe",ISNUMBER(F754),I754=Lists!$X$4),IF(COUNTIFS(C$5:C754,C754,E$5:E754,"budget_probe",I$5:I754,Lists!$X$4)=1,F754,""),"")</f>
        <v/>
      </c>
      <c r="AE754" s="30" t="n">
        <f aca="false">IF(AND(B754="brand",E754="paid",ISNUMBER(F754)),IF(AND(SUMIFS(F$5:F754,B$5:B754,"brand",C$5:C754,C754,E$5:E754,"paid")&gt;=Inputs!$C$44,SUMIFS(F$5:F754,B$5:B754,"brand",C$5:C754,C754,E$5:E754,"paid")-F754&lt;Inputs!$C$44),1,0),0)</f>
        <v>0</v>
      </c>
    </row>
    <row r="755" customFormat="false" ht="15" hidden="false" customHeight="false" outlineLevel="0" collapsed="false">
      <c r="A755" s="102"/>
      <c r="B755" s="103"/>
      <c r="C755" s="103"/>
      <c r="D755" s="103"/>
      <c r="E755" s="103"/>
      <c r="F755" s="103"/>
      <c r="G755" s="103"/>
      <c r="H755" s="103"/>
      <c r="I755" s="103"/>
      <c r="T755" s="30" t="str">
        <f aca="false">IF(C755="","",IF(COUNTIFS(C$5:C755,C755,E$5:E755,E755)=1,1,0))</f>
        <v/>
      </c>
      <c r="U755" s="30" t="n">
        <f aca="false">IF(C755="",0,IF(AND(B755="brand",E755="budget_probe",N(F755)&gt;=Inputs!$C$124,H755="Y"),1,0))</f>
        <v>0</v>
      </c>
      <c r="V755" s="30" t="n">
        <f aca="false">IF(U755=1,IF(COUNTIFS(C$5:C755,C755,U$5:U755,1)=1,1,0),0)</f>
        <v>0</v>
      </c>
      <c r="W755" s="30" t="n">
        <f aca="false">IF(C755="",0,IF(AND(B755="office",E755="budget_probe",N(F755)&gt;=Inputs!$C$139),1,0))</f>
        <v>0</v>
      </c>
      <c r="X755" s="30" t="n">
        <f aca="false">IF(W755=1,IF(COUNTIFS(C$5:C755,C755,W$5:W755,1)=1,1,0),0)</f>
        <v>0</v>
      </c>
      <c r="Y755" s="30" t="n">
        <f aca="false">IF(C755="",0,IF(AND(B755="brand",E755="renewal_answer",TRIM(G755)="yes",N(F755)&gt;=Inputs!$C$135),1,0))</f>
        <v>0</v>
      </c>
      <c r="Z755" s="30" t="n">
        <f aca="false">IF(Y755=1,IF(COUNTIFS(C$5:C755,C755,Y$5:Y755,1)=1,1,0),0)</f>
        <v>0</v>
      </c>
      <c r="AA755" s="30" t="n">
        <f aca="false">IF(AND(E755="budget_probe",ISNUMBER(F755),I755&lt;&gt;Lists!$X$4),1,0)</f>
        <v>0</v>
      </c>
      <c r="AB755" s="30" t="str">
        <f aca="false">IF(AND(B755="office",AA755=1,COUNTIFS(C$5:C755,C755,AA$5:AA755,1)=1),F755,"")</f>
        <v/>
      </c>
      <c r="AC755" s="30" t="str">
        <f aca="false">IF(AND(B755="brand",AA755=1,COUNTIFS(C$5:C755,C755,AA$5:AA755,1)=1),F755,"")</f>
        <v/>
      </c>
      <c r="AD755" s="30" t="str">
        <f aca="false">IF(AND(B755="brand",E755="budget_probe",ISNUMBER(F755),I755=Lists!$X$4),IF(COUNTIFS(C$5:C755,C755,E$5:E755,"budget_probe",I$5:I755,Lists!$X$4)=1,F755,""),"")</f>
        <v/>
      </c>
      <c r="AE755" s="30" t="n">
        <f aca="false">IF(AND(B755="brand",E755="paid",ISNUMBER(F755)),IF(AND(SUMIFS(F$5:F755,B$5:B755,"brand",C$5:C755,C755,E$5:E755,"paid")&gt;=Inputs!$C$44,SUMIFS(F$5:F755,B$5:B755,"brand",C$5:C755,C755,E$5:E755,"paid")-F755&lt;Inputs!$C$44),1,0),0)</f>
        <v>0</v>
      </c>
    </row>
    <row r="756" customFormat="false" ht="15" hidden="false" customHeight="false" outlineLevel="0" collapsed="false">
      <c r="A756" s="102"/>
      <c r="B756" s="103"/>
      <c r="C756" s="103"/>
      <c r="D756" s="103"/>
      <c r="E756" s="103"/>
      <c r="F756" s="103"/>
      <c r="G756" s="103"/>
      <c r="H756" s="103"/>
      <c r="I756" s="103"/>
      <c r="T756" s="30" t="str">
        <f aca="false">IF(C756="","",IF(COUNTIFS(C$5:C756,C756,E$5:E756,E756)=1,1,0))</f>
        <v/>
      </c>
      <c r="U756" s="30" t="n">
        <f aca="false">IF(C756="",0,IF(AND(B756="brand",E756="budget_probe",N(F756)&gt;=Inputs!$C$124,H756="Y"),1,0))</f>
        <v>0</v>
      </c>
      <c r="V756" s="30" t="n">
        <f aca="false">IF(U756=1,IF(COUNTIFS(C$5:C756,C756,U$5:U756,1)=1,1,0),0)</f>
        <v>0</v>
      </c>
      <c r="W756" s="30" t="n">
        <f aca="false">IF(C756="",0,IF(AND(B756="office",E756="budget_probe",N(F756)&gt;=Inputs!$C$139),1,0))</f>
        <v>0</v>
      </c>
      <c r="X756" s="30" t="n">
        <f aca="false">IF(W756=1,IF(COUNTIFS(C$5:C756,C756,W$5:W756,1)=1,1,0),0)</f>
        <v>0</v>
      </c>
      <c r="Y756" s="30" t="n">
        <f aca="false">IF(C756="",0,IF(AND(B756="brand",E756="renewal_answer",TRIM(G756)="yes",N(F756)&gt;=Inputs!$C$135),1,0))</f>
        <v>0</v>
      </c>
      <c r="Z756" s="30" t="n">
        <f aca="false">IF(Y756=1,IF(COUNTIFS(C$5:C756,C756,Y$5:Y756,1)=1,1,0),0)</f>
        <v>0</v>
      </c>
      <c r="AA756" s="30" t="n">
        <f aca="false">IF(AND(E756="budget_probe",ISNUMBER(F756),I756&lt;&gt;Lists!$X$4),1,0)</f>
        <v>0</v>
      </c>
      <c r="AB756" s="30" t="str">
        <f aca="false">IF(AND(B756="office",AA756=1,COUNTIFS(C$5:C756,C756,AA$5:AA756,1)=1),F756,"")</f>
        <v/>
      </c>
      <c r="AC756" s="30" t="str">
        <f aca="false">IF(AND(B756="brand",AA756=1,COUNTIFS(C$5:C756,C756,AA$5:AA756,1)=1),F756,"")</f>
        <v/>
      </c>
      <c r="AD756" s="30" t="str">
        <f aca="false">IF(AND(B756="brand",E756="budget_probe",ISNUMBER(F756),I756=Lists!$X$4),IF(COUNTIFS(C$5:C756,C756,E$5:E756,"budget_probe",I$5:I756,Lists!$X$4)=1,F756,""),"")</f>
        <v/>
      </c>
      <c r="AE756" s="30" t="n">
        <f aca="false">IF(AND(B756="brand",E756="paid",ISNUMBER(F756)),IF(AND(SUMIFS(F$5:F756,B$5:B756,"brand",C$5:C756,C756,E$5:E756,"paid")&gt;=Inputs!$C$44,SUMIFS(F$5:F756,B$5:B756,"brand",C$5:C756,C756,E$5:E756,"paid")-F756&lt;Inputs!$C$44),1,0),0)</f>
        <v>0</v>
      </c>
    </row>
    <row r="757" customFormat="false" ht="15" hidden="false" customHeight="false" outlineLevel="0" collapsed="false">
      <c r="A757" s="102"/>
      <c r="B757" s="103"/>
      <c r="C757" s="103"/>
      <c r="D757" s="103"/>
      <c r="E757" s="103"/>
      <c r="F757" s="103"/>
      <c r="G757" s="103"/>
      <c r="H757" s="103"/>
      <c r="I757" s="103"/>
      <c r="T757" s="30" t="str">
        <f aca="false">IF(C757="","",IF(COUNTIFS(C$5:C757,C757,E$5:E757,E757)=1,1,0))</f>
        <v/>
      </c>
      <c r="U757" s="30" t="n">
        <f aca="false">IF(C757="",0,IF(AND(B757="brand",E757="budget_probe",N(F757)&gt;=Inputs!$C$124,H757="Y"),1,0))</f>
        <v>0</v>
      </c>
      <c r="V757" s="30" t="n">
        <f aca="false">IF(U757=1,IF(COUNTIFS(C$5:C757,C757,U$5:U757,1)=1,1,0),0)</f>
        <v>0</v>
      </c>
      <c r="W757" s="30" t="n">
        <f aca="false">IF(C757="",0,IF(AND(B757="office",E757="budget_probe",N(F757)&gt;=Inputs!$C$139),1,0))</f>
        <v>0</v>
      </c>
      <c r="X757" s="30" t="n">
        <f aca="false">IF(W757=1,IF(COUNTIFS(C$5:C757,C757,W$5:W757,1)=1,1,0),0)</f>
        <v>0</v>
      </c>
      <c r="Y757" s="30" t="n">
        <f aca="false">IF(C757="",0,IF(AND(B757="brand",E757="renewal_answer",TRIM(G757)="yes",N(F757)&gt;=Inputs!$C$135),1,0))</f>
        <v>0</v>
      </c>
      <c r="Z757" s="30" t="n">
        <f aca="false">IF(Y757=1,IF(COUNTIFS(C$5:C757,C757,Y$5:Y757,1)=1,1,0),0)</f>
        <v>0</v>
      </c>
      <c r="AA757" s="30" t="n">
        <f aca="false">IF(AND(E757="budget_probe",ISNUMBER(F757),I757&lt;&gt;Lists!$X$4),1,0)</f>
        <v>0</v>
      </c>
      <c r="AB757" s="30" t="str">
        <f aca="false">IF(AND(B757="office",AA757=1,COUNTIFS(C$5:C757,C757,AA$5:AA757,1)=1),F757,"")</f>
        <v/>
      </c>
      <c r="AC757" s="30" t="str">
        <f aca="false">IF(AND(B757="brand",AA757=1,COUNTIFS(C$5:C757,C757,AA$5:AA757,1)=1),F757,"")</f>
        <v/>
      </c>
      <c r="AD757" s="30" t="str">
        <f aca="false">IF(AND(B757="brand",E757="budget_probe",ISNUMBER(F757),I757=Lists!$X$4),IF(COUNTIFS(C$5:C757,C757,E$5:E757,"budget_probe",I$5:I757,Lists!$X$4)=1,F757,""),"")</f>
        <v/>
      </c>
      <c r="AE757" s="30" t="n">
        <f aca="false">IF(AND(B757="brand",E757="paid",ISNUMBER(F757)),IF(AND(SUMIFS(F$5:F757,B$5:B757,"brand",C$5:C757,C757,E$5:E757,"paid")&gt;=Inputs!$C$44,SUMIFS(F$5:F757,B$5:B757,"brand",C$5:C757,C757,E$5:E757,"paid")-F757&lt;Inputs!$C$44),1,0),0)</f>
        <v>0</v>
      </c>
    </row>
    <row r="758" customFormat="false" ht="15" hidden="false" customHeight="false" outlineLevel="0" collapsed="false">
      <c r="A758" s="102"/>
      <c r="B758" s="103"/>
      <c r="C758" s="103"/>
      <c r="D758" s="103"/>
      <c r="E758" s="103"/>
      <c r="F758" s="103"/>
      <c r="G758" s="103"/>
      <c r="H758" s="103"/>
      <c r="I758" s="103"/>
      <c r="T758" s="30" t="str">
        <f aca="false">IF(C758="","",IF(COUNTIFS(C$5:C758,C758,E$5:E758,E758)=1,1,0))</f>
        <v/>
      </c>
      <c r="U758" s="30" t="n">
        <f aca="false">IF(C758="",0,IF(AND(B758="brand",E758="budget_probe",N(F758)&gt;=Inputs!$C$124,H758="Y"),1,0))</f>
        <v>0</v>
      </c>
      <c r="V758" s="30" t="n">
        <f aca="false">IF(U758=1,IF(COUNTIFS(C$5:C758,C758,U$5:U758,1)=1,1,0),0)</f>
        <v>0</v>
      </c>
      <c r="W758" s="30" t="n">
        <f aca="false">IF(C758="",0,IF(AND(B758="office",E758="budget_probe",N(F758)&gt;=Inputs!$C$139),1,0))</f>
        <v>0</v>
      </c>
      <c r="X758" s="30" t="n">
        <f aca="false">IF(W758=1,IF(COUNTIFS(C$5:C758,C758,W$5:W758,1)=1,1,0),0)</f>
        <v>0</v>
      </c>
      <c r="Y758" s="30" t="n">
        <f aca="false">IF(C758="",0,IF(AND(B758="brand",E758="renewal_answer",TRIM(G758)="yes",N(F758)&gt;=Inputs!$C$135),1,0))</f>
        <v>0</v>
      </c>
      <c r="Z758" s="30" t="n">
        <f aca="false">IF(Y758=1,IF(COUNTIFS(C$5:C758,C758,Y$5:Y758,1)=1,1,0),0)</f>
        <v>0</v>
      </c>
      <c r="AA758" s="30" t="n">
        <f aca="false">IF(AND(E758="budget_probe",ISNUMBER(F758),I758&lt;&gt;Lists!$X$4),1,0)</f>
        <v>0</v>
      </c>
      <c r="AB758" s="30" t="str">
        <f aca="false">IF(AND(B758="office",AA758=1,COUNTIFS(C$5:C758,C758,AA$5:AA758,1)=1),F758,"")</f>
        <v/>
      </c>
      <c r="AC758" s="30" t="str">
        <f aca="false">IF(AND(B758="brand",AA758=1,COUNTIFS(C$5:C758,C758,AA$5:AA758,1)=1),F758,"")</f>
        <v/>
      </c>
      <c r="AD758" s="30" t="str">
        <f aca="false">IF(AND(B758="brand",E758="budget_probe",ISNUMBER(F758),I758=Lists!$X$4),IF(COUNTIFS(C$5:C758,C758,E$5:E758,"budget_probe",I$5:I758,Lists!$X$4)=1,F758,""),"")</f>
        <v/>
      </c>
      <c r="AE758" s="30" t="n">
        <f aca="false">IF(AND(B758="brand",E758="paid",ISNUMBER(F758)),IF(AND(SUMIFS(F$5:F758,B$5:B758,"brand",C$5:C758,C758,E$5:E758,"paid")&gt;=Inputs!$C$44,SUMIFS(F$5:F758,B$5:B758,"brand",C$5:C758,C758,E$5:E758,"paid")-F758&lt;Inputs!$C$44),1,0),0)</f>
        <v>0</v>
      </c>
    </row>
    <row r="759" customFormat="false" ht="15" hidden="false" customHeight="false" outlineLevel="0" collapsed="false">
      <c r="A759" s="102"/>
      <c r="B759" s="103"/>
      <c r="C759" s="103"/>
      <c r="D759" s="103"/>
      <c r="E759" s="103"/>
      <c r="F759" s="103"/>
      <c r="G759" s="103"/>
      <c r="H759" s="103"/>
      <c r="I759" s="103"/>
      <c r="T759" s="30" t="str">
        <f aca="false">IF(C759="","",IF(COUNTIFS(C$5:C759,C759,E$5:E759,E759)=1,1,0))</f>
        <v/>
      </c>
      <c r="U759" s="30" t="n">
        <f aca="false">IF(C759="",0,IF(AND(B759="brand",E759="budget_probe",N(F759)&gt;=Inputs!$C$124,H759="Y"),1,0))</f>
        <v>0</v>
      </c>
      <c r="V759" s="30" t="n">
        <f aca="false">IF(U759=1,IF(COUNTIFS(C$5:C759,C759,U$5:U759,1)=1,1,0),0)</f>
        <v>0</v>
      </c>
      <c r="W759" s="30" t="n">
        <f aca="false">IF(C759="",0,IF(AND(B759="office",E759="budget_probe",N(F759)&gt;=Inputs!$C$139),1,0))</f>
        <v>0</v>
      </c>
      <c r="X759" s="30" t="n">
        <f aca="false">IF(W759=1,IF(COUNTIFS(C$5:C759,C759,W$5:W759,1)=1,1,0),0)</f>
        <v>0</v>
      </c>
      <c r="Y759" s="30" t="n">
        <f aca="false">IF(C759="",0,IF(AND(B759="brand",E759="renewal_answer",TRIM(G759)="yes",N(F759)&gt;=Inputs!$C$135),1,0))</f>
        <v>0</v>
      </c>
      <c r="Z759" s="30" t="n">
        <f aca="false">IF(Y759=1,IF(COUNTIFS(C$5:C759,C759,Y$5:Y759,1)=1,1,0),0)</f>
        <v>0</v>
      </c>
      <c r="AA759" s="30" t="n">
        <f aca="false">IF(AND(E759="budget_probe",ISNUMBER(F759),I759&lt;&gt;Lists!$X$4),1,0)</f>
        <v>0</v>
      </c>
      <c r="AB759" s="30" t="str">
        <f aca="false">IF(AND(B759="office",AA759=1,COUNTIFS(C$5:C759,C759,AA$5:AA759,1)=1),F759,"")</f>
        <v/>
      </c>
      <c r="AC759" s="30" t="str">
        <f aca="false">IF(AND(B759="brand",AA759=1,COUNTIFS(C$5:C759,C759,AA$5:AA759,1)=1),F759,"")</f>
        <v/>
      </c>
      <c r="AD759" s="30" t="str">
        <f aca="false">IF(AND(B759="brand",E759="budget_probe",ISNUMBER(F759),I759=Lists!$X$4),IF(COUNTIFS(C$5:C759,C759,E$5:E759,"budget_probe",I$5:I759,Lists!$X$4)=1,F759,""),"")</f>
        <v/>
      </c>
      <c r="AE759" s="30" t="n">
        <f aca="false">IF(AND(B759="brand",E759="paid",ISNUMBER(F759)),IF(AND(SUMIFS(F$5:F759,B$5:B759,"brand",C$5:C759,C759,E$5:E759,"paid")&gt;=Inputs!$C$44,SUMIFS(F$5:F759,B$5:B759,"brand",C$5:C759,C759,E$5:E759,"paid")-F759&lt;Inputs!$C$44),1,0),0)</f>
        <v>0</v>
      </c>
    </row>
    <row r="760" customFormat="false" ht="15" hidden="false" customHeight="false" outlineLevel="0" collapsed="false">
      <c r="A760" s="102"/>
      <c r="B760" s="103"/>
      <c r="C760" s="103"/>
      <c r="D760" s="103"/>
      <c r="E760" s="103"/>
      <c r="F760" s="103"/>
      <c r="G760" s="103"/>
      <c r="H760" s="103"/>
      <c r="I760" s="103"/>
      <c r="T760" s="30" t="str">
        <f aca="false">IF(C760="","",IF(COUNTIFS(C$5:C760,C760,E$5:E760,E760)=1,1,0))</f>
        <v/>
      </c>
      <c r="U760" s="30" t="n">
        <f aca="false">IF(C760="",0,IF(AND(B760="brand",E760="budget_probe",N(F760)&gt;=Inputs!$C$124,H760="Y"),1,0))</f>
        <v>0</v>
      </c>
      <c r="V760" s="30" t="n">
        <f aca="false">IF(U760=1,IF(COUNTIFS(C$5:C760,C760,U$5:U760,1)=1,1,0),0)</f>
        <v>0</v>
      </c>
      <c r="W760" s="30" t="n">
        <f aca="false">IF(C760="",0,IF(AND(B760="office",E760="budget_probe",N(F760)&gt;=Inputs!$C$139),1,0))</f>
        <v>0</v>
      </c>
      <c r="X760" s="30" t="n">
        <f aca="false">IF(W760=1,IF(COUNTIFS(C$5:C760,C760,W$5:W760,1)=1,1,0),0)</f>
        <v>0</v>
      </c>
      <c r="Y760" s="30" t="n">
        <f aca="false">IF(C760="",0,IF(AND(B760="brand",E760="renewal_answer",TRIM(G760)="yes",N(F760)&gt;=Inputs!$C$135),1,0))</f>
        <v>0</v>
      </c>
      <c r="Z760" s="30" t="n">
        <f aca="false">IF(Y760=1,IF(COUNTIFS(C$5:C760,C760,Y$5:Y760,1)=1,1,0),0)</f>
        <v>0</v>
      </c>
      <c r="AA760" s="30" t="n">
        <f aca="false">IF(AND(E760="budget_probe",ISNUMBER(F760),I760&lt;&gt;Lists!$X$4),1,0)</f>
        <v>0</v>
      </c>
      <c r="AB760" s="30" t="str">
        <f aca="false">IF(AND(B760="office",AA760=1,COUNTIFS(C$5:C760,C760,AA$5:AA760,1)=1),F760,"")</f>
        <v/>
      </c>
      <c r="AC760" s="30" t="str">
        <f aca="false">IF(AND(B760="brand",AA760=1,COUNTIFS(C$5:C760,C760,AA$5:AA760,1)=1),F760,"")</f>
        <v/>
      </c>
      <c r="AD760" s="30" t="str">
        <f aca="false">IF(AND(B760="brand",E760="budget_probe",ISNUMBER(F760),I760=Lists!$X$4),IF(COUNTIFS(C$5:C760,C760,E$5:E760,"budget_probe",I$5:I760,Lists!$X$4)=1,F760,""),"")</f>
        <v/>
      </c>
      <c r="AE760" s="30" t="n">
        <f aca="false">IF(AND(B760="brand",E760="paid",ISNUMBER(F760)),IF(AND(SUMIFS(F$5:F760,B$5:B760,"brand",C$5:C760,C760,E$5:E760,"paid")&gt;=Inputs!$C$44,SUMIFS(F$5:F760,B$5:B760,"brand",C$5:C760,C760,E$5:E760,"paid")-F760&lt;Inputs!$C$44),1,0),0)</f>
        <v>0</v>
      </c>
    </row>
    <row r="761" customFormat="false" ht="15" hidden="false" customHeight="false" outlineLevel="0" collapsed="false">
      <c r="A761" s="102"/>
      <c r="B761" s="103"/>
      <c r="C761" s="103"/>
      <c r="D761" s="103"/>
      <c r="E761" s="103"/>
      <c r="F761" s="103"/>
      <c r="G761" s="103"/>
      <c r="H761" s="103"/>
      <c r="I761" s="103"/>
      <c r="T761" s="30" t="str">
        <f aca="false">IF(C761="","",IF(COUNTIFS(C$5:C761,C761,E$5:E761,E761)=1,1,0))</f>
        <v/>
      </c>
      <c r="U761" s="30" t="n">
        <f aca="false">IF(C761="",0,IF(AND(B761="brand",E761="budget_probe",N(F761)&gt;=Inputs!$C$124,H761="Y"),1,0))</f>
        <v>0</v>
      </c>
      <c r="V761" s="30" t="n">
        <f aca="false">IF(U761=1,IF(COUNTIFS(C$5:C761,C761,U$5:U761,1)=1,1,0),0)</f>
        <v>0</v>
      </c>
      <c r="W761" s="30" t="n">
        <f aca="false">IF(C761="",0,IF(AND(B761="office",E761="budget_probe",N(F761)&gt;=Inputs!$C$139),1,0))</f>
        <v>0</v>
      </c>
      <c r="X761" s="30" t="n">
        <f aca="false">IF(W761=1,IF(COUNTIFS(C$5:C761,C761,W$5:W761,1)=1,1,0),0)</f>
        <v>0</v>
      </c>
      <c r="Y761" s="30" t="n">
        <f aca="false">IF(C761="",0,IF(AND(B761="brand",E761="renewal_answer",TRIM(G761)="yes",N(F761)&gt;=Inputs!$C$135),1,0))</f>
        <v>0</v>
      </c>
      <c r="Z761" s="30" t="n">
        <f aca="false">IF(Y761=1,IF(COUNTIFS(C$5:C761,C761,Y$5:Y761,1)=1,1,0),0)</f>
        <v>0</v>
      </c>
      <c r="AA761" s="30" t="n">
        <f aca="false">IF(AND(E761="budget_probe",ISNUMBER(F761),I761&lt;&gt;Lists!$X$4),1,0)</f>
        <v>0</v>
      </c>
      <c r="AB761" s="30" t="str">
        <f aca="false">IF(AND(B761="office",AA761=1,COUNTIFS(C$5:C761,C761,AA$5:AA761,1)=1),F761,"")</f>
        <v/>
      </c>
      <c r="AC761" s="30" t="str">
        <f aca="false">IF(AND(B761="brand",AA761=1,COUNTIFS(C$5:C761,C761,AA$5:AA761,1)=1),F761,"")</f>
        <v/>
      </c>
      <c r="AD761" s="30" t="str">
        <f aca="false">IF(AND(B761="brand",E761="budget_probe",ISNUMBER(F761),I761=Lists!$X$4),IF(COUNTIFS(C$5:C761,C761,E$5:E761,"budget_probe",I$5:I761,Lists!$X$4)=1,F761,""),"")</f>
        <v/>
      </c>
      <c r="AE761" s="30" t="n">
        <f aca="false">IF(AND(B761="brand",E761="paid",ISNUMBER(F761)),IF(AND(SUMIFS(F$5:F761,B$5:B761,"brand",C$5:C761,C761,E$5:E761,"paid")&gt;=Inputs!$C$44,SUMIFS(F$5:F761,B$5:B761,"brand",C$5:C761,C761,E$5:E761,"paid")-F761&lt;Inputs!$C$44),1,0),0)</f>
        <v>0</v>
      </c>
    </row>
    <row r="762" customFormat="false" ht="15" hidden="false" customHeight="false" outlineLevel="0" collapsed="false">
      <c r="A762" s="102"/>
      <c r="B762" s="103"/>
      <c r="C762" s="103"/>
      <c r="D762" s="103"/>
      <c r="E762" s="103"/>
      <c r="F762" s="103"/>
      <c r="G762" s="103"/>
      <c r="H762" s="103"/>
      <c r="I762" s="103"/>
      <c r="T762" s="30" t="str">
        <f aca="false">IF(C762="","",IF(COUNTIFS(C$5:C762,C762,E$5:E762,E762)=1,1,0))</f>
        <v/>
      </c>
      <c r="U762" s="30" t="n">
        <f aca="false">IF(C762="",0,IF(AND(B762="brand",E762="budget_probe",N(F762)&gt;=Inputs!$C$124,H762="Y"),1,0))</f>
        <v>0</v>
      </c>
      <c r="V762" s="30" t="n">
        <f aca="false">IF(U762=1,IF(COUNTIFS(C$5:C762,C762,U$5:U762,1)=1,1,0),0)</f>
        <v>0</v>
      </c>
      <c r="W762" s="30" t="n">
        <f aca="false">IF(C762="",0,IF(AND(B762="office",E762="budget_probe",N(F762)&gt;=Inputs!$C$139),1,0))</f>
        <v>0</v>
      </c>
      <c r="X762" s="30" t="n">
        <f aca="false">IF(W762=1,IF(COUNTIFS(C$5:C762,C762,W$5:W762,1)=1,1,0),0)</f>
        <v>0</v>
      </c>
      <c r="Y762" s="30" t="n">
        <f aca="false">IF(C762="",0,IF(AND(B762="brand",E762="renewal_answer",TRIM(G762)="yes",N(F762)&gt;=Inputs!$C$135),1,0))</f>
        <v>0</v>
      </c>
      <c r="Z762" s="30" t="n">
        <f aca="false">IF(Y762=1,IF(COUNTIFS(C$5:C762,C762,Y$5:Y762,1)=1,1,0),0)</f>
        <v>0</v>
      </c>
      <c r="AA762" s="30" t="n">
        <f aca="false">IF(AND(E762="budget_probe",ISNUMBER(F762),I762&lt;&gt;Lists!$X$4),1,0)</f>
        <v>0</v>
      </c>
      <c r="AB762" s="30" t="str">
        <f aca="false">IF(AND(B762="office",AA762=1,COUNTIFS(C$5:C762,C762,AA$5:AA762,1)=1),F762,"")</f>
        <v/>
      </c>
      <c r="AC762" s="30" t="str">
        <f aca="false">IF(AND(B762="brand",AA762=1,COUNTIFS(C$5:C762,C762,AA$5:AA762,1)=1),F762,"")</f>
        <v/>
      </c>
      <c r="AD762" s="30" t="str">
        <f aca="false">IF(AND(B762="brand",E762="budget_probe",ISNUMBER(F762),I762=Lists!$X$4),IF(COUNTIFS(C$5:C762,C762,E$5:E762,"budget_probe",I$5:I762,Lists!$X$4)=1,F762,""),"")</f>
        <v/>
      </c>
      <c r="AE762" s="30" t="n">
        <f aca="false">IF(AND(B762="brand",E762="paid",ISNUMBER(F762)),IF(AND(SUMIFS(F$5:F762,B$5:B762,"brand",C$5:C762,C762,E$5:E762,"paid")&gt;=Inputs!$C$44,SUMIFS(F$5:F762,B$5:B762,"brand",C$5:C762,C762,E$5:E762,"paid")-F762&lt;Inputs!$C$44),1,0),0)</f>
        <v>0</v>
      </c>
    </row>
    <row r="763" customFormat="false" ht="15" hidden="false" customHeight="false" outlineLevel="0" collapsed="false">
      <c r="A763" s="102"/>
      <c r="B763" s="103"/>
      <c r="C763" s="103"/>
      <c r="D763" s="103"/>
      <c r="E763" s="103"/>
      <c r="F763" s="103"/>
      <c r="G763" s="103"/>
      <c r="H763" s="103"/>
      <c r="I763" s="103"/>
      <c r="T763" s="30" t="str">
        <f aca="false">IF(C763="","",IF(COUNTIFS(C$5:C763,C763,E$5:E763,E763)=1,1,0))</f>
        <v/>
      </c>
      <c r="U763" s="30" t="n">
        <f aca="false">IF(C763="",0,IF(AND(B763="brand",E763="budget_probe",N(F763)&gt;=Inputs!$C$124,H763="Y"),1,0))</f>
        <v>0</v>
      </c>
      <c r="V763" s="30" t="n">
        <f aca="false">IF(U763=1,IF(COUNTIFS(C$5:C763,C763,U$5:U763,1)=1,1,0),0)</f>
        <v>0</v>
      </c>
      <c r="W763" s="30" t="n">
        <f aca="false">IF(C763="",0,IF(AND(B763="office",E763="budget_probe",N(F763)&gt;=Inputs!$C$139),1,0))</f>
        <v>0</v>
      </c>
      <c r="X763" s="30" t="n">
        <f aca="false">IF(W763=1,IF(COUNTIFS(C$5:C763,C763,W$5:W763,1)=1,1,0),0)</f>
        <v>0</v>
      </c>
      <c r="Y763" s="30" t="n">
        <f aca="false">IF(C763="",0,IF(AND(B763="brand",E763="renewal_answer",TRIM(G763)="yes",N(F763)&gt;=Inputs!$C$135),1,0))</f>
        <v>0</v>
      </c>
      <c r="Z763" s="30" t="n">
        <f aca="false">IF(Y763=1,IF(COUNTIFS(C$5:C763,C763,Y$5:Y763,1)=1,1,0),0)</f>
        <v>0</v>
      </c>
      <c r="AA763" s="30" t="n">
        <f aca="false">IF(AND(E763="budget_probe",ISNUMBER(F763),I763&lt;&gt;Lists!$X$4),1,0)</f>
        <v>0</v>
      </c>
      <c r="AB763" s="30" t="str">
        <f aca="false">IF(AND(B763="office",AA763=1,COUNTIFS(C$5:C763,C763,AA$5:AA763,1)=1),F763,"")</f>
        <v/>
      </c>
      <c r="AC763" s="30" t="str">
        <f aca="false">IF(AND(B763="brand",AA763=1,COUNTIFS(C$5:C763,C763,AA$5:AA763,1)=1),F763,"")</f>
        <v/>
      </c>
      <c r="AD763" s="30" t="str">
        <f aca="false">IF(AND(B763="brand",E763="budget_probe",ISNUMBER(F763),I763=Lists!$X$4),IF(COUNTIFS(C$5:C763,C763,E$5:E763,"budget_probe",I$5:I763,Lists!$X$4)=1,F763,""),"")</f>
        <v/>
      </c>
      <c r="AE763" s="30" t="n">
        <f aca="false">IF(AND(B763="brand",E763="paid",ISNUMBER(F763)),IF(AND(SUMIFS(F$5:F763,B$5:B763,"brand",C$5:C763,C763,E$5:E763,"paid")&gt;=Inputs!$C$44,SUMIFS(F$5:F763,B$5:B763,"brand",C$5:C763,C763,E$5:E763,"paid")-F763&lt;Inputs!$C$44),1,0),0)</f>
        <v>0</v>
      </c>
    </row>
    <row r="764" customFormat="false" ht="15" hidden="false" customHeight="false" outlineLevel="0" collapsed="false">
      <c r="A764" s="102"/>
      <c r="B764" s="103"/>
      <c r="C764" s="103"/>
      <c r="D764" s="103"/>
      <c r="E764" s="103"/>
      <c r="F764" s="103"/>
      <c r="G764" s="103"/>
      <c r="H764" s="103"/>
      <c r="I764" s="103"/>
      <c r="T764" s="30" t="str">
        <f aca="false">IF(C764="","",IF(COUNTIFS(C$5:C764,C764,E$5:E764,E764)=1,1,0))</f>
        <v/>
      </c>
      <c r="U764" s="30" t="n">
        <f aca="false">IF(C764="",0,IF(AND(B764="brand",E764="budget_probe",N(F764)&gt;=Inputs!$C$124,H764="Y"),1,0))</f>
        <v>0</v>
      </c>
      <c r="V764" s="30" t="n">
        <f aca="false">IF(U764=1,IF(COUNTIFS(C$5:C764,C764,U$5:U764,1)=1,1,0),0)</f>
        <v>0</v>
      </c>
      <c r="W764" s="30" t="n">
        <f aca="false">IF(C764="",0,IF(AND(B764="office",E764="budget_probe",N(F764)&gt;=Inputs!$C$139),1,0))</f>
        <v>0</v>
      </c>
      <c r="X764" s="30" t="n">
        <f aca="false">IF(W764=1,IF(COUNTIFS(C$5:C764,C764,W$5:W764,1)=1,1,0),0)</f>
        <v>0</v>
      </c>
      <c r="Y764" s="30" t="n">
        <f aca="false">IF(C764="",0,IF(AND(B764="brand",E764="renewal_answer",TRIM(G764)="yes",N(F764)&gt;=Inputs!$C$135),1,0))</f>
        <v>0</v>
      </c>
      <c r="Z764" s="30" t="n">
        <f aca="false">IF(Y764=1,IF(COUNTIFS(C$5:C764,C764,Y$5:Y764,1)=1,1,0),0)</f>
        <v>0</v>
      </c>
      <c r="AA764" s="30" t="n">
        <f aca="false">IF(AND(E764="budget_probe",ISNUMBER(F764),I764&lt;&gt;Lists!$X$4),1,0)</f>
        <v>0</v>
      </c>
      <c r="AB764" s="30" t="str">
        <f aca="false">IF(AND(B764="office",AA764=1,COUNTIFS(C$5:C764,C764,AA$5:AA764,1)=1),F764,"")</f>
        <v/>
      </c>
      <c r="AC764" s="30" t="str">
        <f aca="false">IF(AND(B764="brand",AA764=1,COUNTIFS(C$5:C764,C764,AA$5:AA764,1)=1),F764,"")</f>
        <v/>
      </c>
      <c r="AD764" s="30" t="str">
        <f aca="false">IF(AND(B764="brand",E764="budget_probe",ISNUMBER(F764),I764=Lists!$X$4),IF(COUNTIFS(C$5:C764,C764,E$5:E764,"budget_probe",I$5:I764,Lists!$X$4)=1,F764,""),"")</f>
        <v/>
      </c>
      <c r="AE764" s="30" t="n">
        <f aca="false">IF(AND(B764="brand",E764="paid",ISNUMBER(F764)),IF(AND(SUMIFS(F$5:F764,B$5:B764,"brand",C$5:C764,C764,E$5:E764,"paid")&gt;=Inputs!$C$44,SUMIFS(F$5:F764,B$5:B764,"brand",C$5:C764,C764,E$5:E764,"paid")-F764&lt;Inputs!$C$44),1,0),0)</f>
        <v>0</v>
      </c>
    </row>
    <row r="765" customFormat="false" ht="15" hidden="false" customHeight="false" outlineLevel="0" collapsed="false">
      <c r="A765" s="102"/>
      <c r="B765" s="103"/>
      <c r="C765" s="103"/>
      <c r="D765" s="103"/>
      <c r="E765" s="103"/>
      <c r="F765" s="103"/>
      <c r="G765" s="103"/>
      <c r="H765" s="103"/>
      <c r="I765" s="103"/>
      <c r="T765" s="30" t="str">
        <f aca="false">IF(C765="","",IF(COUNTIFS(C$5:C765,C765,E$5:E765,E765)=1,1,0))</f>
        <v/>
      </c>
      <c r="U765" s="30" t="n">
        <f aca="false">IF(C765="",0,IF(AND(B765="brand",E765="budget_probe",N(F765)&gt;=Inputs!$C$124,H765="Y"),1,0))</f>
        <v>0</v>
      </c>
      <c r="V765" s="30" t="n">
        <f aca="false">IF(U765=1,IF(COUNTIFS(C$5:C765,C765,U$5:U765,1)=1,1,0),0)</f>
        <v>0</v>
      </c>
      <c r="W765" s="30" t="n">
        <f aca="false">IF(C765="",0,IF(AND(B765="office",E765="budget_probe",N(F765)&gt;=Inputs!$C$139),1,0))</f>
        <v>0</v>
      </c>
      <c r="X765" s="30" t="n">
        <f aca="false">IF(W765=1,IF(COUNTIFS(C$5:C765,C765,W$5:W765,1)=1,1,0),0)</f>
        <v>0</v>
      </c>
      <c r="Y765" s="30" t="n">
        <f aca="false">IF(C765="",0,IF(AND(B765="brand",E765="renewal_answer",TRIM(G765)="yes",N(F765)&gt;=Inputs!$C$135),1,0))</f>
        <v>0</v>
      </c>
      <c r="Z765" s="30" t="n">
        <f aca="false">IF(Y765=1,IF(COUNTIFS(C$5:C765,C765,Y$5:Y765,1)=1,1,0),0)</f>
        <v>0</v>
      </c>
      <c r="AA765" s="30" t="n">
        <f aca="false">IF(AND(E765="budget_probe",ISNUMBER(F765),I765&lt;&gt;Lists!$X$4),1,0)</f>
        <v>0</v>
      </c>
      <c r="AB765" s="30" t="str">
        <f aca="false">IF(AND(B765="office",AA765=1,COUNTIFS(C$5:C765,C765,AA$5:AA765,1)=1),F765,"")</f>
        <v/>
      </c>
      <c r="AC765" s="30" t="str">
        <f aca="false">IF(AND(B765="brand",AA765=1,COUNTIFS(C$5:C765,C765,AA$5:AA765,1)=1),F765,"")</f>
        <v/>
      </c>
      <c r="AD765" s="30" t="str">
        <f aca="false">IF(AND(B765="brand",E765="budget_probe",ISNUMBER(F765),I765=Lists!$X$4),IF(COUNTIFS(C$5:C765,C765,E$5:E765,"budget_probe",I$5:I765,Lists!$X$4)=1,F765,""),"")</f>
        <v/>
      </c>
      <c r="AE765" s="30" t="n">
        <f aca="false">IF(AND(B765="brand",E765="paid",ISNUMBER(F765)),IF(AND(SUMIFS(F$5:F765,B$5:B765,"brand",C$5:C765,C765,E$5:E765,"paid")&gt;=Inputs!$C$44,SUMIFS(F$5:F765,B$5:B765,"brand",C$5:C765,C765,E$5:E765,"paid")-F765&lt;Inputs!$C$44),1,0),0)</f>
        <v>0</v>
      </c>
    </row>
    <row r="766" customFormat="false" ht="15" hidden="false" customHeight="false" outlineLevel="0" collapsed="false">
      <c r="A766" s="102"/>
      <c r="B766" s="103"/>
      <c r="C766" s="103"/>
      <c r="D766" s="103"/>
      <c r="E766" s="103"/>
      <c r="F766" s="103"/>
      <c r="G766" s="103"/>
      <c r="H766" s="103"/>
      <c r="I766" s="103"/>
      <c r="T766" s="30" t="str">
        <f aca="false">IF(C766="","",IF(COUNTIFS(C$5:C766,C766,E$5:E766,E766)=1,1,0))</f>
        <v/>
      </c>
      <c r="U766" s="30" t="n">
        <f aca="false">IF(C766="",0,IF(AND(B766="brand",E766="budget_probe",N(F766)&gt;=Inputs!$C$124,H766="Y"),1,0))</f>
        <v>0</v>
      </c>
      <c r="V766" s="30" t="n">
        <f aca="false">IF(U766=1,IF(COUNTIFS(C$5:C766,C766,U$5:U766,1)=1,1,0),0)</f>
        <v>0</v>
      </c>
      <c r="W766" s="30" t="n">
        <f aca="false">IF(C766="",0,IF(AND(B766="office",E766="budget_probe",N(F766)&gt;=Inputs!$C$139),1,0))</f>
        <v>0</v>
      </c>
      <c r="X766" s="30" t="n">
        <f aca="false">IF(W766=1,IF(COUNTIFS(C$5:C766,C766,W$5:W766,1)=1,1,0),0)</f>
        <v>0</v>
      </c>
      <c r="Y766" s="30" t="n">
        <f aca="false">IF(C766="",0,IF(AND(B766="brand",E766="renewal_answer",TRIM(G766)="yes",N(F766)&gt;=Inputs!$C$135),1,0))</f>
        <v>0</v>
      </c>
      <c r="Z766" s="30" t="n">
        <f aca="false">IF(Y766=1,IF(COUNTIFS(C$5:C766,C766,Y$5:Y766,1)=1,1,0),0)</f>
        <v>0</v>
      </c>
      <c r="AA766" s="30" t="n">
        <f aca="false">IF(AND(E766="budget_probe",ISNUMBER(F766),I766&lt;&gt;Lists!$X$4),1,0)</f>
        <v>0</v>
      </c>
      <c r="AB766" s="30" t="str">
        <f aca="false">IF(AND(B766="office",AA766=1,COUNTIFS(C$5:C766,C766,AA$5:AA766,1)=1),F766,"")</f>
        <v/>
      </c>
      <c r="AC766" s="30" t="str">
        <f aca="false">IF(AND(B766="brand",AA766=1,COUNTIFS(C$5:C766,C766,AA$5:AA766,1)=1),F766,"")</f>
        <v/>
      </c>
      <c r="AD766" s="30" t="str">
        <f aca="false">IF(AND(B766="brand",E766="budget_probe",ISNUMBER(F766),I766=Lists!$X$4),IF(COUNTIFS(C$5:C766,C766,E$5:E766,"budget_probe",I$5:I766,Lists!$X$4)=1,F766,""),"")</f>
        <v/>
      </c>
      <c r="AE766" s="30" t="n">
        <f aca="false">IF(AND(B766="brand",E766="paid",ISNUMBER(F766)),IF(AND(SUMIFS(F$5:F766,B$5:B766,"brand",C$5:C766,C766,E$5:E766,"paid")&gt;=Inputs!$C$44,SUMIFS(F$5:F766,B$5:B766,"brand",C$5:C766,C766,E$5:E766,"paid")-F766&lt;Inputs!$C$44),1,0),0)</f>
        <v>0</v>
      </c>
    </row>
    <row r="767" customFormat="false" ht="15" hidden="false" customHeight="false" outlineLevel="0" collapsed="false">
      <c r="A767" s="102"/>
      <c r="B767" s="103"/>
      <c r="C767" s="103"/>
      <c r="D767" s="103"/>
      <c r="E767" s="103"/>
      <c r="F767" s="103"/>
      <c r="G767" s="103"/>
      <c r="H767" s="103"/>
      <c r="I767" s="103"/>
      <c r="T767" s="30" t="str">
        <f aca="false">IF(C767="","",IF(COUNTIFS(C$5:C767,C767,E$5:E767,E767)=1,1,0))</f>
        <v/>
      </c>
      <c r="U767" s="30" t="n">
        <f aca="false">IF(C767="",0,IF(AND(B767="brand",E767="budget_probe",N(F767)&gt;=Inputs!$C$124,H767="Y"),1,0))</f>
        <v>0</v>
      </c>
      <c r="V767" s="30" t="n">
        <f aca="false">IF(U767=1,IF(COUNTIFS(C$5:C767,C767,U$5:U767,1)=1,1,0),0)</f>
        <v>0</v>
      </c>
      <c r="W767" s="30" t="n">
        <f aca="false">IF(C767="",0,IF(AND(B767="office",E767="budget_probe",N(F767)&gt;=Inputs!$C$139),1,0))</f>
        <v>0</v>
      </c>
      <c r="X767" s="30" t="n">
        <f aca="false">IF(W767=1,IF(COUNTIFS(C$5:C767,C767,W$5:W767,1)=1,1,0),0)</f>
        <v>0</v>
      </c>
      <c r="Y767" s="30" t="n">
        <f aca="false">IF(C767="",0,IF(AND(B767="brand",E767="renewal_answer",TRIM(G767)="yes",N(F767)&gt;=Inputs!$C$135),1,0))</f>
        <v>0</v>
      </c>
      <c r="Z767" s="30" t="n">
        <f aca="false">IF(Y767=1,IF(COUNTIFS(C$5:C767,C767,Y$5:Y767,1)=1,1,0),0)</f>
        <v>0</v>
      </c>
      <c r="AA767" s="30" t="n">
        <f aca="false">IF(AND(E767="budget_probe",ISNUMBER(F767),I767&lt;&gt;Lists!$X$4),1,0)</f>
        <v>0</v>
      </c>
      <c r="AB767" s="30" t="str">
        <f aca="false">IF(AND(B767="office",AA767=1,COUNTIFS(C$5:C767,C767,AA$5:AA767,1)=1),F767,"")</f>
        <v/>
      </c>
      <c r="AC767" s="30" t="str">
        <f aca="false">IF(AND(B767="brand",AA767=1,COUNTIFS(C$5:C767,C767,AA$5:AA767,1)=1),F767,"")</f>
        <v/>
      </c>
      <c r="AD767" s="30" t="str">
        <f aca="false">IF(AND(B767="brand",E767="budget_probe",ISNUMBER(F767),I767=Lists!$X$4),IF(COUNTIFS(C$5:C767,C767,E$5:E767,"budget_probe",I$5:I767,Lists!$X$4)=1,F767,""),"")</f>
        <v/>
      </c>
      <c r="AE767" s="30" t="n">
        <f aca="false">IF(AND(B767="brand",E767="paid",ISNUMBER(F767)),IF(AND(SUMIFS(F$5:F767,B$5:B767,"brand",C$5:C767,C767,E$5:E767,"paid")&gt;=Inputs!$C$44,SUMIFS(F$5:F767,B$5:B767,"brand",C$5:C767,C767,E$5:E767,"paid")-F767&lt;Inputs!$C$44),1,0),0)</f>
        <v>0</v>
      </c>
    </row>
    <row r="768" customFormat="false" ht="15" hidden="false" customHeight="false" outlineLevel="0" collapsed="false">
      <c r="A768" s="102"/>
      <c r="B768" s="103"/>
      <c r="C768" s="103"/>
      <c r="D768" s="103"/>
      <c r="E768" s="103"/>
      <c r="F768" s="103"/>
      <c r="G768" s="103"/>
      <c r="H768" s="103"/>
      <c r="I768" s="103"/>
      <c r="T768" s="30" t="str">
        <f aca="false">IF(C768="","",IF(COUNTIFS(C$5:C768,C768,E$5:E768,E768)=1,1,0))</f>
        <v/>
      </c>
      <c r="U768" s="30" t="n">
        <f aca="false">IF(C768="",0,IF(AND(B768="brand",E768="budget_probe",N(F768)&gt;=Inputs!$C$124,H768="Y"),1,0))</f>
        <v>0</v>
      </c>
      <c r="V768" s="30" t="n">
        <f aca="false">IF(U768=1,IF(COUNTIFS(C$5:C768,C768,U$5:U768,1)=1,1,0),0)</f>
        <v>0</v>
      </c>
      <c r="W768" s="30" t="n">
        <f aca="false">IF(C768="",0,IF(AND(B768="office",E768="budget_probe",N(F768)&gt;=Inputs!$C$139),1,0))</f>
        <v>0</v>
      </c>
      <c r="X768" s="30" t="n">
        <f aca="false">IF(W768=1,IF(COUNTIFS(C$5:C768,C768,W$5:W768,1)=1,1,0),0)</f>
        <v>0</v>
      </c>
      <c r="Y768" s="30" t="n">
        <f aca="false">IF(C768="",0,IF(AND(B768="brand",E768="renewal_answer",TRIM(G768)="yes",N(F768)&gt;=Inputs!$C$135),1,0))</f>
        <v>0</v>
      </c>
      <c r="Z768" s="30" t="n">
        <f aca="false">IF(Y768=1,IF(COUNTIFS(C$5:C768,C768,Y$5:Y768,1)=1,1,0),0)</f>
        <v>0</v>
      </c>
      <c r="AA768" s="30" t="n">
        <f aca="false">IF(AND(E768="budget_probe",ISNUMBER(F768),I768&lt;&gt;Lists!$X$4),1,0)</f>
        <v>0</v>
      </c>
      <c r="AB768" s="30" t="str">
        <f aca="false">IF(AND(B768="office",AA768=1,COUNTIFS(C$5:C768,C768,AA$5:AA768,1)=1),F768,"")</f>
        <v/>
      </c>
      <c r="AC768" s="30" t="str">
        <f aca="false">IF(AND(B768="brand",AA768=1,COUNTIFS(C$5:C768,C768,AA$5:AA768,1)=1),F768,"")</f>
        <v/>
      </c>
      <c r="AD768" s="30" t="str">
        <f aca="false">IF(AND(B768="brand",E768="budget_probe",ISNUMBER(F768),I768=Lists!$X$4),IF(COUNTIFS(C$5:C768,C768,E$5:E768,"budget_probe",I$5:I768,Lists!$X$4)=1,F768,""),"")</f>
        <v/>
      </c>
      <c r="AE768" s="30" t="n">
        <f aca="false">IF(AND(B768="brand",E768="paid",ISNUMBER(F768)),IF(AND(SUMIFS(F$5:F768,B$5:B768,"brand",C$5:C768,C768,E$5:E768,"paid")&gt;=Inputs!$C$44,SUMIFS(F$5:F768,B$5:B768,"brand",C$5:C768,C768,E$5:E768,"paid")-F768&lt;Inputs!$C$44),1,0),0)</f>
        <v>0</v>
      </c>
    </row>
    <row r="769" customFormat="false" ht="15" hidden="false" customHeight="false" outlineLevel="0" collapsed="false">
      <c r="A769" s="102"/>
      <c r="B769" s="103"/>
      <c r="C769" s="103"/>
      <c r="D769" s="103"/>
      <c r="E769" s="103"/>
      <c r="F769" s="103"/>
      <c r="G769" s="103"/>
      <c r="H769" s="103"/>
      <c r="I769" s="103"/>
      <c r="T769" s="30" t="str">
        <f aca="false">IF(C769="","",IF(COUNTIFS(C$5:C769,C769,E$5:E769,E769)=1,1,0))</f>
        <v/>
      </c>
      <c r="U769" s="30" t="n">
        <f aca="false">IF(C769="",0,IF(AND(B769="brand",E769="budget_probe",N(F769)&gt;=Inputs!$C$124,H769="Y"),1,0))</f>
        <v>0</v>
      </c>
      <c r="V769" s="30" t="n">
        <f aca="false">IF(U769=1,IF(COUNTIFS(C$5:C769,C769,U$5:U769,1)=1,1,0),0)</f>
        <v>0</v>
      </c>
      <c r="W769" s="30" t="n">
        <f aca="false">IF(C769="",0,IF(AND(B769="office",E769="budget_probe",N(F769)&gt;=Inputs!$C$139),1,0))</f>
        <v>0</v>
      </c>
      <c r="X769" s="30" t="n">
        <f aca="false">IF(W769=1,IF(COUNTIFS(C$5:C769,C769,W$5:W769,1)=1,1,0),0)</f>
        <v>0</v>
      </c>
      <c r="Y769" s="30" t="n">
        <f aca="false">IF(C769="",0,IF(AND(B769="brand",E769="renewal_answer",TRIM(G769)="yes",N(F769)&gt;=Inputs!$C$135),1,0))</f>
        <v>0</v>
      </c>
      <c r="Z769" s="30" t="n">
        <f aca="false">IF(Y769=1,IF(COUNTIFS(C$5:C769,C769,Y$5:Y769,1)=1,1,0),0)</f>
        <v>0</v>
      </c>
      <c r="AA769" s="30" t="n">
        <f aca="false">IF(AND(E769="budget_probe",ISNUMBER(F769),I769&lt;&gt;Lists!$X$4),1,0)</f>
        <v>0</v>
      </c>
      <c r="AB769" s="30" t="str">
        <f aca="false">IF(AND(B769="office",AA769=1,COUNTIFS(C$5:C769,C769,AA$5:AA769,1)=1),F769,"")</f>
        <v/>
      </c>
      <c r="AC769" s="30" t="str">
        <f aca="false">IF(AND(B769="brand",AA769=1,COUNTIFS(C$5:C769,C769,AA$5:AA769,1)=1),F769,"")</f>
        <v/>
      </c>
      <c r="AD769" s="30" t="str">
        <f aca="false">IF(AND(B769="brand",E769="budget_probe",ISNUMBER(F769),I769=Lists!$X$4),IF(COUNTIFS(C$5:C769,C769,E$5:E769,"budget_probe",I$5:I769,Lists!$X$4)=1,F769,""),"")</f>
        <v/>
      </c>
      <c r="AE769" s="30" t="n">
        <f aca="false">IF(AND(B769="brand",E769="paid",ISNUMBER(F769)),IF(AND(SUMIFS(F$5:F769,B$5:B769,"brand",C$5:C769,C769,E$5:E769,"paid")&gt;=Inputs!$C$44,SUMIFS(F$5:F769,B$5:B769,"brand",C$5:C769,C769,E$5:E769,"paid")-F769&lt;Inputs!$C$44),1,0),0)</f>
        <v>0</v>
      </c>
    </row>
    <row r="770" customFormat="false" ht="15" hidden="false" customHeight="false" outlineLevel="0" collapsed="false">
      <c r="A770" s="102"/>
      <c r="B770" s="103"/>
      <c r="C770" s="103"/>
      <c r="D770" s="103"/>
      <c r="E770" s="103"/>
      <c r="F770" s="103"/>
      <c r="G770" s="103"/>
      <c r="H770" s="103"/>
      <c r="I770" s="103"/>
      <c r="T770" s="30" t="str">
        <f aca="false">IF(C770="","",IF(COUNTIFS(C$5:C770,C770,E$5:E770,E770)=1,1,0))</f>
        <v/>
      </c>
      <c r="U770" s="30" t="n">
        <f aca="false">IF(C770="",0,IF(AND(B770="brand",E770="budget_probe",N(F770)&gt;=Inputs!$C$124,H770="Y"),1,0))</f>
        <v>0</v>
      </c>
      <c r="V770" s="30" t="n">
        <f aca="false">IF(U770=1,IF(COUNTIFS(C$5:C770,C770,U$5:U770,1)=1,1,0),0)</f>
        <v>0</v>
      </c>
      <c r="W770" s="30" t="n">
        <f aca="false">IF(C770="",0,IF(AND(B770="office",E770="budget_probe",N(F770)&gt;=Inputs!$C$139),1,0))</f>
        <v>0</v>
      </c>
      <c r="X770" s="30" t="n">
        <f aca="false">IF(W770=1,IF(COUNTIFS(C$5:C770,C770,W$5:W770,1)=1,1,0),0)</f>
        <v>0</v>
      </c>
      <c r="Y770" s="30" t="n">
        <f aca="false">IF(C770="",0,IF(AND(B770="brand",E770="renewal_answer",TRIM(G770)="yes",N(F770)&gt;=Inputs!$C$135),1,0))</f>
        <v>0</v>
      </c>
      <c r="Z770" s="30" t="n">
        <f aca="false">IF(Y770=1,IF(COUNTIFS(C$5:C770,C770,Y$5:Y770,1)=1,1,0),0)</f>
        <v>0</v>
      </c>
      <c r="AA770" s="30" t="n">
        <f aca="false">IF(AND(E770="budget_probe",ISNUMBER(F770),I770&lt;&gt;Lists!$X$4),1,0)</f>
        <v>0</v>
      </c>
      <c r="AB770" s="30" t="str">
        <f aca="false">IF(AND(B770="office",AA770=1,COUNTIFS(C$5:C770,C770,AA$5:AA770,1)=1),F770,"")</f>
        <v/>
      </c>
      <c r="AC770" s="30" t="str">
        <f aca="false">IF(AND(B770="brand",AA770=1,COUNTIFS(C$5:C770,C770,AA$5:AA770,1)=1),F770,"")</f>
        <v/>
      </c>
      <c r="AD770" s="30" t="str">
        <f aca="false">IF(AND(B770="brand",E770="budget_probe",ISNUMBER(F770),I770=Lists!$X$4),IF(COUNTIFS(C$5:C770,C770,E$5:E770,"budget_probe",I$5:I770,Lists!$X$4)=1,F770,""),"")</f>
        <v/>
      </c>
      <c r="AE770" s="30" t="n">
        <f aca="false">IF(AND(B770="brand",E770="paid",ISNUMBER(F770)),IF(AND(SUMIFS(F$5:F770,B$5:B770,"brand",C$5:C770,C770,E$5:E770,"paid")&gt;=Inputs!$C$44,SUMIFS(F$5:F770,B$5:B770,"brand",C$5:C770,C770,E$5:E770,"paid")-F770&lt;Inputs!$C$44),1,0),0)</f>
        <v>0</v>
      </c>
    </row>
    <row r="771" customFormat="false" ht="15" hidden="false" customHeight="false" outlineLevel="0" collapsed="false">
      <c r="A771" s="102"/>
      <c r="B771" s="103"/>
      <c r="C771" s="103"/>
      <c r="D771" s="103"/>
      <c r="E771" s="103"/>
      <c r="F771" s="103"/>
      <c r="G771" s="103"/>
      <c r="H771" s="103"/>
      <c r="I771" s="103"/>
      <c r="T771" s="30" t="str">
        <f aca="false">IF(C771="","",IF(COUNTIFS(C$5:C771,C771,E$5:E771,E771)=1,1,0))</f>
        <v/>
      </c>
      <c r="U771" s="30" t="n">
        <f aca="false">IF(C771="",0,IF(AND(B771="brand",E771="budget_probe",N(F771)&gt;=Inputs!$C$124,H771="Y"),1,0))</f>
        <v>0</v>
      </c>
      <c r="V771" s="30" t="n">
        <f aca="false">IF(U771=1,IF(COUNTIFS(C$5:C771,C771,U$5:U771,1)=1,1,0),0)</f>
        <v>0</v>
      </c>
      <c r="W771" s="30" t="n">
        <f aca="false">IF(C771="",0,IF(AND(B771="office",E771="budget_probe",N(F771)&gt;=Inputs!$C$139),1,0))</f>
        <v>0</v>
      </c>
      <c r="X771" s="30" t="n">
        <f aca="false">IF(W771=1,IF(COUNTIFS(C$5:C771,C771,W$5:W771,1)=1,1,0),0)</f>
        <v>0</v>
      </c>
      <c r="Y771" s="30" t="n">
        <f aca="false">IF(C771="",0,IF(AND(B771="brand",E771="renewal_answer",TRIM(G771)="yes",N(F771)&gt;=Inputs!$C$135),1,0))</f>
        <v>0</v>
      </c>
      <c r="Z771" s="30" t="n">
        <f aca="false">IF(Y771=1,IF(COUNTIFS(C$5:C771,C771,Y$5:Y771,1)=1,1,0),0)</f>
        <v>0</v>
      </c>
      <c r="AA771" s="30" t="n">
        <f aca="false">IF(AND(E771="budget_probe",ISNUMBER(F771),I771&lt;&gt;Lists!$X$4),1,0)</f>
        <v>0</v>
      </c>
      <c r="AB771" s="30" t="str">
        <f aca="false">IF(AND(B771="office",AA771=1,COUNTIFS(C$5:C771,C771,AA$5:AA771,1)=1),F771,"")</f>
        <v/>
      </c>
      <c r="AC771" s="30" t="str">
        <f aca="false">IF(AND(B771="brand",AA771=1,COUNTIFS(C$5:C771,C771,AA$5:AA771,1)=1),F771,"")</f>
        <v/>
      </c>
      <c r="AD771" s="30" t="str">
        <f aca="false">IF(AND(B771="brand",E771="budget_probe",ISNUMBER(F771),I771=Lists!$X$4),IF(COUNTIFS(C$5:C771,C771,E$5:E771,"budget_probe",I$5:I771,Lists!$X$4)=1,F771,""),"")</f>
        <v/>
      </c>
      <c r="AE771" s="30" t="n">
        <f aca="false">IF(AND(B771="brand",E771="paid",ISNUMBER(F771)),IF(AND(SUMIFS(F$5:F771,B$5:B771,"brand",C$5:C771,C771,E$5:E771,"paid")&gt;=Inputs!$C$44,SUMIFS(F$5:F771,B$5:B771,"brand",C$5:C771,C771,E$5:E771,"paid")-F771&lt;Inputs!$C$44),1,0),0)</f>
        <v>0</v>
      </c>
    </row>
    <row r="772" customFormat="false" ht="15" hidden="false" customHeight="false" outlineLevel="0" collapsed="false">
      <c r="A772" s="102"/>
      <c r="B772" s="103"/>
      <c r="C772" s="103"/>
      <c r="D772" s="103"/>
      <c r="E772" s="103"/>
      <c r="F772" s="103"/>
      <c r="G772" s="103"/>
      <c r="H772" s="103"/>
      <c r="I772" s="103"/>
      <c r="T772" s="30" t="str">
        <f aca="false">IF(C772="","",IF(COUNTIFS(C$5:C772,C772,E$5:E772,E772)=1,1,0))</f>
        <v/>
      </c>
      <c r="U772" s="30" t="n">
        <f aca="false">IF(C772="",0,IF(AND(B772="brand",E772="budget_probe",N(F772)&gt;=Inputs!$C$124,H772="Y"),1,0))</f>
        <v>0</v>
      </c>
      <c r="V772" s="30" t="n">
        <f aca="false">IF(U772=1,IF(COUNTIFS(C$5:C772,C772,U$5:U772,1)=1,1,0),0)</f>
        <v>0</v>
      </c>
      <c r="W772" s="30" t="n">
        <f aca="false">IF(C772="",0,IF(AND(B772="office",E772="budget_probe",N(F772)&gt;=Inputs!$C$139),1,0))</f>
        <v>0</v>
      </c>
      <c r="X772" s="30" t="n">
        <f aca="false">IF(W772=1,IF(COUNTIFS(C$5:C772,C772,W$5:W772,1)=1,1,0),0)</f>
        <v>0</v>
      </c>
      <c r="Y772" s="30" t="n">
        <f aca="false">IF(C772="",0,IF(AND(B772="brand",E772="renewal_answer",TRIM(G772)="yes",N(F772)&gt;=Inputs!$C$135),1,0))</f>
        <v>0</v>
      </c>
      <c r="Z772" s="30" t="n">
        <f aca="false">IF(Y772=1,IF(COUNTIFS(C$5:C772,C772,Y$5:Y772,1)=1,1,0),0)</f>
        <v>0</v>
      </c>
      <c r="AA772" s="30" t="n">
        <f aca="false">IF(AND(E772="budget_probe",ISNUMBER(F772),I772&lt;&gt;Lists!$X$4),1,0)</f>
        <v>0</v>
      </c>
      <c r="AB772" s="30" t="str">
        <f aca="false">IF(AND(B772="office",AA772=1,COUNTIFS(C$5:C772,C772,AA$5:AA772,1)=1),F772,"")</f>
        <v/>
      </c>
      <c r="AC772" s="30" t="str">
        <f aca="false">IF(AND(B772="brand",AA772=1,COUNTIFS(C$5:C772,C772,AA$5:AA772,1)=1),F772,"")</f>
        <v/>
      </c>
      <c r="AD772" s="30" t="str">
        <f aca="false">IF(AND(B772="brand",E772="budget_probe",ISNUMBER(F772),I772=Lists!$X$4),IF(COUNTIFS(C$5:C772,C772,E$5:E772,"budget_probe",I$5:I772,Lists!$X$4)=1,F772,""),"")</f>
        <v/>
      </c>
      <c r="AE772" s="30" t="n">
        <f aca="false">IF(AND(B772="brand",E772="paid",ISNUMBER(F772)),IF(AND(SUMIFS(F$5:F772,B$5:B772,"brand",C$5:C772,C772,E$5:E772,"paid")&gt;=Inputs!$C$44,SUMIFS(F$5:F772,B$5:B772,"brand",C$5:C772,C772,E$5:E772,"paid")-F772&lt;Inputs!$C$44),1,0),0)</f>
        <v>0</v>
      </c>
    </row>
    <row r="773" customFormat="false" ht="15" hidden="false" customHeight="false" outlineLevel="0" collapsed="false">
      <c r="A773" s="102"/>
      <c r="B773" s="103"/>
      <c r="C773" s="103"/>
      <c r="D773" s="103"/>
      <c r="E773" s="103"/>
      <c r="F773" s="103"/>
      <c r="G773" s="103"/>
      <c r="H773" s="103"/>
      <c r="I773" s="103"/>
      <c r="T773" s="30" t="str">
        <f aca="false">IF(C773="","",IF(COUNTIFS(C$5:C773,C773,E$5:E773,E773)=1,1,0))</f>
        <v/>
      </c>
      <c r="U773" s="30" t="n">
        <f aca="false">IF(C773="",0,IF(AND(B773="brand",E773="budget_probe",N(F773)&gt;=Inputs!$C$124,H773="Y"),1,0))</f>
        <v>0</v>
      </c>
      <c r="V773" s="30" t="n">
        <f aca="false">IF(U773=1,IF(COUNTIFS(C$5:C773,C773,U$5:U773,1)=1,1,0),0)</f>
        <v>0</v>
      </c>
      <c r="W773" s="30" t="n">
        <f aca="false">IF(C773="",0,IF(AND(B773="office",E773="budget_probe",N(F773)&gt;=Inputs!$C$139),1,0))</f>
        <v>0</v>
      </c>
      <c r="X773" s="30" t="n">
        <f aca="false">IF(W773=1,IF(COUNTIFS(C$5:C773,C773,W$5:W773,1)=1,1,0),0)</f>
        <v>0</v>
      </c>
      <c r="Y773" s="30" t="n">
        <f aca="false">IF(C773="",0,IF(AND(B773="brand",E773="renewal_answer",TRIM(G773)="yes",N(F773)&gt;=Inputs!$C$135),1,0))</f>
        <v>0</v>
      </c>
      <c r="Z773" s="30" t="n">
        <f aca="false">IF(Y773=1,IF(COUNTIFS(C$5:C773,C773,Y$5:Y773,1)=1,1,0),0)</f>
        <v>0</v>
      </c>
      <c r="AA773" s="30" t="n">
        <f aca="false">IF(AND(E773="budget_probe",ISNUMBER(F773),I773&lt;&gt;Lists!$X$4),1,0)</f>
        <v>0</v>
      </c>
      <c r="AB773" s="30" t="str">
        <f aca="false">IF(AND(B773="office",AA773=1,COUNTIFS(C$5:C773,C773,AA$5:AA773,1)=1),F773,"")</f>
        <v/>
      </c>
      <c r="AC773" s="30" t="str">
        <f aca="false">IF(AND(B773="brand",AA773=1,COUNTIFS(C$5:C773,C773,AA$5:AA773,1)=1),F773,"")</f>
        <v/>
      </c>
      <c r="AD773" s="30" t="str">
        <f aca="false">IF(AND(B773="brand",E773="budget_probe",ISNUMBER(F773),I773=Lists!$X$4),IF(COUNTIFS(C$5:C773,C773,E$5:E773,"budget_probe",I$5:I773,Lists!$X$4)=1,F773,""),"")</f>
        <v/>
      </c>
      <c r="AE773" s="30" t="n">
        <f aca="false">IF(AND(B773="brand",E773="paid",ISNUMBER(F773)),IF(AND(SUMIFS(F$5:F773,B$5:B773,"brand",C$5:C773,C773,E$5:E773,"paid")&gt;=Inputs!$C$44,SUMIFS(F$5:F773,B$5:B773,"brand",C$5:C773,C773,E$5:E773,"paid")-F773&lt;Inputs!$C$44),1,0),0)</f>
        <v>0</v>
      </c>
    </row>
    <row r="774" customFormat="false" ht="15" hidden="false" customHeight="false" outlineLevel="0" collapsed="false">
      <c r="A774" s="102"/>
      <c r="B774" s="103"/>
      <c r="C774" s="103"/>
      <c r="D774" s="103"/>
      <c r="E774" s="103"/>
      <c r="F774" s="103"/>
      <c r="G774" s="103"/>
      <c r="H774" s="103"/>
      <c r="I774" s="103"/>
      <c r="T774" s="30" t="str">
        <f aca="false">IF(C774="","",IF(COUNTIFS(C$5:C774,C774,E$5:E774,E774)=1,1,0))</f>
        <v/>
      </c>
      <c r="U774" s="30" t="n">
        <f aca="false">IF(C774="",0,IF(AND(B774="brand",E774="budget_probe",N(F774)&gt;=Inputs!$C$124,H774="Y"),1,0))</f>
        <v>0</v>
      </c>
      <c r="V774" s="30" t="n">
        <f aca="false">IF(U774=1,IF(COUNTIFS(C$5:C774,C774,U$5:U774,1)=1,1,0),0)</f>
        <v>0</v>
      </c>
      <c r="W774" s="30" t="n">
        <f aca="false">IF(C774="",0,IF(AND(B774="office",E774="budget_probe",N(F774)&gt;=Inputs!$C$139),1,0))</f>
        <v>0</v>
      </c>
      <c r="X774" s="30" t="n">
        <f aca="false">IF(W774=1,IF(COUNTIFS(C$5:C774,C774,W$5:W774,1)=1,1,0),0)</f>
        <v>0</v>
      </c>
      <c r="Y774" s="30" t="n">
        <f aca="false">IF(C774="",0,IF(AND(B774="brand",E774="renewal_answer",TRIM(G774)="yes",N(F774)&gt;=Inputs!$C$135),1,0))</f>
        <v>0</v>
      </c>
      <c r="Z774" s="30" t="n">
        <f aca="false">IF(Y774=1,IF(COUNTIFS(C$5:C774,C774,Y$5:Y774,1)=1,1,0),0)</f>
        <v>0</v>
      </c>
      <c r="AA774" s="30" t="n">
        <f aca="false">IF(AND(E774="budget_probe",ISNUMBER(F774),I774&lt;&gt;Lists!$X$4),1,0)</f>
        <v>0</v>
      </c>
      <c r="AB774" s="30" t="str">
        <f aca="false">IF(AND(B774="office",AA774=1,COUNTIFS(C$5:C774,C774,AA$5:AA774,1)=1),F774,"")</f>
        <v/>
      </c>
      <c r="AC774" s="30" t="str">
        <f aca="false">IF(AND(B774="brand",AA774=1,COUNTIFS(C$5:C774,C774,AA$5:AA774,1)=1),F774,"")</f>
        <v/>
      </c>
      <c r="AD774" s="30" t="str">
        <f aca="false">IF(AND(B774="brand",E774="budget_probe",ISNUMBER(F774),I774=Lists!$X$4),IF(COUNTIFS(C$5:C774,C774,E$5:E774,"budget_probe",I$5:I774,Lists!$X$4)=1,F774,""),"")</f>
        <v/>
      </c>
      <c r="AE774" s="30" t="n">
        <f aca="false">IF(AND(B774="brand",E774="paid",ISNUMBER(F774)),IF(AND(SUMIFS(F$5:F774,B$5:B774,"brand",C$5:C774,C774,E$5:E774,"paid")&gt;=Inputs!$C$44,SUMIFS(F$5:F774,B$5:B774,"brand",C$5:C774,C774,E$5:E774,"paid")-F774&lt;Inputs!$C$44),1,0),0)</f>
        <v>0</v>
      </c>
    </row>
    <row r="775" customFormat="false" ht="15" hidden="false" customHeight="false" outlineLevel="0" collapsed="false">
      <c r="A775" s="102"/>
      <c r="B775" s="103"/>
      <c r="C775" s="103"/>
      <c r="D775" s="103"/>
      <c r="E775" s="103"/>
      <c r="F775" s="103"/>
      <c r="G775" s="103"/>
      <c r="H775" s="103"/>
      <c r="I775" s="103"/>
      <c r="T775" s="30" t="str">
        <f aca="false">IF(C775="","",IF(COUNTIFS(C$5:C775,C775,E$5:E775,E775)=1,1,0))</f>
        <v/>
      </c>
      <c r="U775" s="30" t="n">
        <f aca="false">IF(C775="",0,IF(AND(B775="brand",E775="budget_probe",N(F775)&gt;=Inputs!$C$124,H775="Y"),1,0))</f>
        <v>0</v>
      </c>
      <c r="V775" s="30" t="n">
        <f aca="false">IF(U775=1,IF(COUNTIFS(C$5:C775,C775,U$5:U775,1)=1,1,0),0)</f>
        <v>0</v>
      </c>
      <c r="W775" s="30" t="n">
        <f aca="false">IF(C775="",0,IF(AND(B775="office",E775="budget_probe",N(F775)&gt;=Inputs!$C$139),1,0))</f>
        <v>0</v>
      </c>
      <c r="X775" s="30" t="n">
        <f aca="false">IF(W775=1,IF(COUNTIFS(C$5:C775,C775,W$5:W775,1)=1,1,0),0)</f>
        <v>0</v>
      </c>
      <c r="Y775" s="30" t="n">
        <f aca="false">IF(C775="",0,IF(AND(B775="brand",E775="renewal_answer",TRIM(G775)="yes",N(F775)&gt;=Inputs!$C$135),1,0))</f>
        <v>0</v>
      </c>
      <c r="Z775" s="30" t="n">
        <f aca="false">IF(Y775=1,IF(COUNTIFS(C$5:C775,C775,Y$5:Y775,1)=1,1,0),0)</f>
        <v>0</v>
      </c>
      <c r="AA775" s="30" t="n">
        <f aca="false">IF(AND(E775="budget_probe",ISNUMBER(F775),I775&lt;&gt;Lists!$X$4),1,0)</f>
        <v>0</v>
      </c>
      <c r="AB775" s="30" t="str">
        <f aca="false">IF(AND(B775="office",AA775=1,COUNTIFS(C$5:C775,C775,AA$5:AA775,1)=1),F775,"")</f>
        <v/>
      </c>
      <c r="AC775" s="30" t="str">
        <f aca="false">IF(AND(B775="brand",AA775=1,COUNTIFS(C$5:C775,C775,AA$5:AA775,1)=1),F775,"")</f>
        <v/>
      </c>
      <c r="AD775" s="30" t="str">
        <f aca="false">IF(AND(B775="brand",E775="budget_probe",ISNUMBER(F775),I775=Lists!$X$4),IF(COUNTIFS(C$5:C775,C775,E$5:E775,"budget_probe",I$5:I775,Lists!$X$4)=1,F775,""),"")</f>
        <v/>
      </c>
      <c r="AE775" s="30" t="n">
        <f aca="false">IF(AND(B775="brand",E775="paid",ISNUMBER(F775)),IF(AND(SUMIFS(F$5:F775,B$5:B775,"brand",C$5:C775,C775,E$5:E775,"paid")&gt;=Inputs!$C$44,SUMIFS(F$5:F775,B$5:B775,"brand",C$5:C775,C775,E$5:E775,"paid")-F775&lt;Inputs!$C$44),1,0),0)</f>
        <v>0</v>
      </c>
    </row>
    <row r="776" customFormat="false" ht="15" hidden="false" customHeight="false" outlineLevel="0" collapsed="false">
      <c r="A776" s="102"/>
      <c r="B776" s="103"/>
      <c r="C776" s="103"/>
      <c r="D776" s="103"/>
      <c r="E776" s="103"/>
      <c r="F776" s="103"/>
      <c r="G776" s="103"/>
      <c r="H776" s="103"/>
      <c r="I776" s="103"/>
      <c r="T776" s="30" t="str">
        <f aca="false">IF(C776="","",IF(COUNTIFS(C$5:C776,C776,E$5:E776,E776)=1,1,0))</f>
        <v/>
      </c>
      <c r="U776" s="30" t="n">
        <f aca="false">IF(C776="",0,IF(AND(B776="brand",E776="budget_probe",N(F776)&gt;=Inputs!$C$124,H776="Y"),1,0))</f>
        <v>0</v>
      </c>
      <c r="V776" s="30" t="n">
        <f aca="false">IF(U776=1,IF(COUNTIFS(C$5:C776,C776,U$5:U776,1)=1,1,0),0)</f>
        <v>0</v>
      </c>
      <c r="W776" s="30" t="n">
        <f aca="false">IF(C776="",0,IF(AND(B776="office",E776="budget_probe",N(F776)&gt;=Inputs!$C$139),1,0))</f>
        <v>0</v>
      </c>
      <c r="X776" s="30" t="n">
        <f aca="false">IF(W776=1,IF(COUNTIFS(C$5:C776,C776,W$5:W776,1)=1,1,0),0)</f>
        <v>0</v>
      </c>
      <c r="Y776" s="30" t="n">
        <f aca="false">IF(C776="",0,IF(AND(B776="brand",E776="renewal_answer",TRIM(G776)="yes",N(F776)&gt;=Inputs!$C$135),1,0))</f>
        <v>0</v>
      </c>
      <c r="Z776" s="30" t="n">
        <f aca="false">IF(Y776=1,IF(COUNTIFS(C$5:C776,C776,Y$5:Y776,1)=1,1,0),0)</f>
        <v>0</v>
      </c>
      <c r="AA776" s="30" t="n">
        <f aca="false">IF(AND(E776="budget_probe",ISNUMBER(F776),I776&lt;&gt;Lists!$X$4),1,0)</f>
        <v>0</v>
      </c>
      <c r="AB776" s="30" t="str">
        <f aca="false">IF(AND(B776="office",AA776=1,COUNTIFS(C$5:C776,C776,AA$5:AA776,1)=1),F776,"")</f>
        <v/>
      </c>
      <c r="AC776" s="30" t="str">
        <f aca="false">IF(AND(B776="brand",AA776=1,COUNTIFS(C$5:C776,C776,AA$5:AA776,1)=1),F776,"")</f>
        <v/>
      </c>
      <c r="AD776" s="30" t="str">
        <f aca="false">IF(AND(B776="brand",E776="budget_probe",ISNUMBER(F776),I776=Lists!$X$4),IF(COUNTIFS(C$5:C776,C776,E$5:E776,"budget_probe",I$5:I776,Lists!$X$4)=1,F776,""),"")</f>
        <v/>
      </c>
      <c r="AE776" s="30" t="n">
        <f aca="false">IF(AND(B776="brand",E776="paid",ISNUMBER(F776)),IF(AND(SUMIFS(F$5:F776,B$5:B776,"brand",C$5:C776,C776,E$5:E776,"paid")&gt;=Inputs!$C$44,SUMIFS(F$5:F776,B$5:B776,"brand",C$5:C776,C776,E$5:E776,"paid")-F776&lt;Inputs!$C$44),1,0),0)</f>
        <v>0</v>
      </c>
    </row>
    <row r="777" customFormat="false" ht="15" hidden="false" customHeight="false" outlineLevel="0" collapsed="false">
      <c r="A777" s="102"/>
      <c r="B777" s="103"/>
      <c r="C777" s="103"/>
      <c r="D777" s="103"/>
      <c r="E777" s="103"/>
      <c r="F777" s="103"/>
      <c r="G777" s="103"/>
      <c r="H777" s="103"/>
      <c r="I777" s="103"/>
      <c r="T777" s="30" t="str">
        <f aca="false">IF(C777="","",IF(COUNTIFS(C$5:C777,C777,E$5:E777,E777)=1,1,0))</f>
        <v/>
      </c>
      <c r="U777" s="30" t="n">
        <f aca="false">IF(C777="",0,IF(AND(B777="brand",E777="budget_probe",N(F777)&gt;=Inputs!$C$124,H777="Y"),1,0))</f>
        <v>0</v>
      </c>
      <c r="V777" s="30" t="n">
        <f aca="false">IF(U777=1,IF(COUNTIFS(C$5:C777,C777,U$5:U777,1)=1,1,0),0)</f>
        <v>0</v>
      </c>
      <c r="W777" s="30" t="n">
        <f aca="false">IF(C777="",0,IF(AND(B777="office",E777="budget_probe",N(F777)&gt;=Inputs!$C$139),1,0))</f>
        <v>0</v>
      </c>
      <c r="X777" s="30" t="n">
        <f aca="false">IF(W777=1,IF(COUNTIFS(C$5:C777,C777,W$5:W777,1)=1,1,0),0)</f>
        <v>0</v>
      </c>
      <c r="Y777" s="30" t="n">
        <f aca="false">IF(C777="",0,IF(AND(B777="brand",E777="renewal_answer",TRIM(G777)="yes",N(F777)&gt;=Inputs!$C$135),1,0))</f>
        <v>0</v>
      </c>
      <c r="Z777" s="30" t="n">
        <f aca="false">IF(Y777=1,IF(COUNTIFS(C$5:C777,C777,Y$5:Y777,1)=1,1,0),0)</f>
        <v>0</v>
      </c>
      <c r="AA777" s="30" t="n">
        <f aca="false">IF(AND(E777="budget_probe",ISNUMBER(F777),I777&lt;&gt;Lists!$X$4),1,0)</f>
        <v>0</v>
      </c>
      <c r="AB777" s="30" t="str">
        <f aca="false">IF(AND(B777="office",AA777=1,COUNTIFS(C$5:C777,C777,AA$5:AA777,1)=1),F777,"")</f>
        <v/>
      </c>
      <c r="AC777" s="30" t="str">
        <f aca="false">IF(AND(B777="brand",AA777=1,COUNTIFS(C$5:C777,C777,AA$5:AA777,1)=1),F777,"")</f>
        <v/>
      </c>
      <c r="AD777" s="30" t="str">
        <f aca="false">IF(AND(B777="brand",E777="budget_probe",ISNUMBER(F777),I777=Lists!$X$4),IF(COUNTIFS(C$5:C777,C777,E$5:E777,"budget_probe",I$5:I777,Lists!$X$4)=1,F777,""),"")</f>
        <v/>
      </c>
      <c r="AE777" s="30" t="n">
        <f aca="false">IF(AND(B777="brand",E777="paid",ISNUMBER(F777)),IF(AND(SUMIFS(F$5:F777,B$5:B777,"brand",C$5:C777,C777,E$5:E777,"paid")&gt;=Inputs!$C$44,SUMIFS(F$5:F777,B$5:B777,"brand",C$5:C777,C777,E$5:E777,"paid")-F777&lt;Inputs!$C$44),1,0),0)</f>
        <v>0</v>
      </c>
    </row>
    <row r="778" customFormat="false" ht="15" hidden="false" customHeight="false" outlineLevel="0" collapsed="false">
      <c r="A778" s="102"/>
      <c r="B778" s="103"/>
      <c r="C778" s="103"/>
      <c r="D778" s="103"/>
      <c r="E778" s="103"/>
      <c r="F778" s="103"/>
      <c r="G778" s="103"/>
      <c r="H778" s="103"/>
      <c r="I778" s="103"/>
      <c r="T778" s="30" t="str">
        <f aca="false">IF(C778="","",IF(COUNTIFS(C$5:C778,C778,E$5:E778,E778)=1,1,0))</f>
        <v/>
      </c>
      <c r="U778" s="30" t="n">
        <f aca="false">IF(C778="",0,IF(AND(B778="brand",E778="budget_probe",N(F778)&gt;=Inputs!$C$124,H778="Y"),1,0))</f>
        <v>0</v>
      </c>
      <c r="V778" s="30" t="n">
        <f aca="false">IF(U778=1,IF(COUNTIFS(C$5:C778,C778,U$5:U778,1)=1,1,0),0)</f>
        <v>0</v>
      </c>
      <c r="W778" s="30" t="n">
        <f aca="false">IF(C778="",0,IF(AND(B778="office",E778="budget_probe",N(F778)&gt;=Inputs!$C$139),1,0))</f>
        <v>0</v>
      </c>
      <c r="X778" s="30" t="n">
        <f aca="false">IF(W778=1,IF(COUNTIFS(C$5:C778,C778,W$5:W778,1)=1,1,0),0)</f>
        <v>0</v>
      </c>
      <c r="Y778" s="30" t="n">
        <f aca="false">IF(C778="",0,IF(AND(B778="brand",E778="renewal_answer",TRIM(G778)="yes",N(F778)&gt;=Inputs!$C$135),1,0))</f>
        <v>0</v>
      </c>
      <c r="Z778" s="30" t="n">
        <f aca="false">IF(Y778=1,IF(COUNTIFS(C$5:C778,C778,Y$5:Y778,1)=1,1,0),0)</f>
        <v>0</v>
      </c>
      <c r="AA778" s="30" t="n">
        <f aca="false">IF(AND(E778="budget_probe",ISNUMBER(F778),I778&lt;&gt;Lists!$X$4),1,0)</f>
        <v>0</v>
      </c>
      <c r="AB778" s="30" t="str">
        <f aca="false">IF(AND(B778="office",AA778=1,COUNTIFS(C$5:C778,C778,AA$5:AA778,1)=1),F778,"")</f>
        <v/>
      </c>
      <c r="AC778" s="30" t="str">
        <f aca="false">IF(AND(B778="brand",AA778=1,COUNTIFS(C$5:C778,C778,AA$5:AA778,1)=1),F778,"")</f>
        <v/>
      </c>
      <c r="AD778" s="30" t="str">
        <f aca="false">IF(AND(B778="brand",E778="budget_probe",ISNUMBER(F778),I778=Lists!$X$4),IF(COUNTIFS(C$5:C778,C778,E$5:E778,"budget_probe",I$5:I778,Lists!$X$4)=1,F778,""),"")</f>
        <v/>
      </c>
      <c r="AE778" s="30" t="n">
        <f aca="false">IF(AND(B778="brand",E778="paid",ISNUMBER(F778)),IF(AND(SUMIFS(F$5:F778,B$5:B778,"brand",C$5:C778,C778,E$5:E778,"paid")&gt;=Inputs!$C$44,SUMIFS(F$5:F778,B$5:B778,"brand",C$5:C778,C778,E$5:E778,"paid")-F778&lt;Inputs!$C$44),1,0),0)</f>
        <v>0</v>
      </c>
    </row>
    <row r="779" customFormat="false" ht="15" hidden="false" customHeight="false" outlineLevel="0" collapsed="false">
      <c r="A779" s="102"/>
      <c r="B779" s="103"/>
      <c r="C779" s="103"/>
      <c r="D779" s="103"/>
      <c r="E779" s="103"/>
      <c r="F779" s="103"/>
      <c r="G779" s="103"/>
      <c r="H779" s="103"/>
      <c r="I779" s="103"/>
      <c r="T779" s="30" t="str">
        <f aca="false">IF(C779="","",IF(COUNTIFS(C$5:C779,C779,E$5:E779,E779)=1,1,0))</f>
        <v/>
      </c>
      <c r="U779" s="30" t="n">
        <f aca="false">IF(C779="",0,IF(AND(B779="brand",E779="budget_probe",N(F779)&gt;=Inputs!$C$124,H779="Y"),1,0))</f>
        <v>0</v>
      </c>
      <c r="V779" s="30" t="n">
        <f aca="false">IF(U779=1,IF(COUNTIFS(C$5:C779,C779,U$5:U779,1)=1,1,0),0)</f>
        <v>0</v>
      </c>
      <c r="W779" s="30" t="n">
        <f aca="false">IF(C779="",0,IF(AND(B779="office",E779="budget_probe",N(F779)&gt;=Inputs!$C$139),1,0))</f>
        <v>0</v>
      </c>
      <c r="X779" s="30" t="n">
        <f aca="false">IF(W779=1,IF(COUNTIFS(C$5:C779,C779,W$5:W779,1)=1,1,0),0)</f>
        <v>0</v>
      </c>
      <c r="Y779" s="30" t="n">
        <f aca="false">IF(C779="",0,IF(AND(B779="brand",E779="renewal_answer",TRIM(G779)="yes",N(F779)&gt;=Inputs!$C$135),1,0))</f>
        <v>0</v>
      </c>
      <c r="Z779" s="30" t="n">
        <f aca="false">IF(Y779=1,IF(COUNTIFS(C$5:C779,C779,Y$5:Y779,1)=1,1,0),0)</f>
        <v>0</v>
      </c>
      <c r="AA779" s="30" t="n">
        <f aca="false">IF(AND(E779="budget_probe",ISNUMBER(F779),I779&lt;&gt;Lists!$X$4),1,0)</f>
        <v>0</v>
      </c>
      <c r="AB779" s="30" t="str">
        <f aca="false">IF(AND(B779="office",AA779=1,COUNTIFS(C$5:C779,C779,AA$5:AA779,1)=1),F779,"")</f>
        <v/>
      </c>
      <c r="AC779" s="30" t="str">
        <f aca="false">IF(AND(B779="brand",AA779=1,COUNTIFS(C$5:C779,C779,AA$5:AA779,1)=1),F779,"")</f>
        <v/>
      </c>
      <c r="AD779" s="30" t="str">
        <f aca="false">IF(AND(B779="brand",E779="budget_probe",ISNUMBER(F779),I779=Lists!$X$4),IF(COUNTIFS(C$5:C779,C779,E$5:E779,"budget_probe",I$5:I779,Lists!$X$4)=1,F779,""),"")</f>
        <v/>
      </c>
      <c r="AE779" s="30" t="n">
        <f aca="false">IF(AND(B779="brand",E779="paid",ISNUMBER(F779)),IF(AND(SUMIFS(F$5:F779,B$5:B779,"brand",C$5:C779,C779,E$5:E779,"paid")&gt;=Inputs!$C$44,SUMIFS(F$5:F779,B$5:B779,"brand",C$5:C779,C779,E$5:E779,"paid")-F779&lt;Inputs!$C$44),1,0),0)</f>
        <v>0</v>
      </c>
    </row>
    <row r="780" customFormat="false" ht="15" hidden="false" customHeight="false" outlineLevel="0" collapsed="false">
      <c r="A780" s="102"/>
      <c r="B780" s="103"/>
      <c r="C780" s="103"/>
      <c r="D780" s="103"/>
      <c r="E780" s="103"/>
      <c r="F780" s="103"/>
      <c r="G780" s="103"/>
      <c r="H780" s="103"/>
      <c r="I780" s="103"/>
      <c r="T780" s="30" t="str">
        <f aca="false">IF(C780="","",IF(COUNTIFS(C$5:C780,C780,E$5:E780,E780)=1,1,0))</f>
        <v/>
      </c>
      <c r="U780" s="30" t="n">
        <f aca="false">IF(C780="",0,IF(AND(B780="brand",E780="budget_probe",N(F780)&gt;=Inputs!$C$124,H780="Y"),1,0))</f>
        <v>0</v>
      </c>
      <c r="V780" s="30" t="n">
        <f aca="false">IF(U780=1,IF(COUNTIFS(C$5:C780,C780,U$5:U780,1)=1,1,0),0)</f>
        <v>0</v>
      </c>
      <c r="W780" s="30" t="n">
        <f aca="false">IF(C780="",0,IF(AND(B780="office",E780="budget_probe",N(F780)&gt;=Inputs!$C$139),1,0))</f>
        <v>0</v>
      </c>
      <c r="X780" s="30" t="n">
        <f aca="false">IF(W780=1,IF(COUNTIFS(C$5:C780,C780,W$5:W780,1)=1,1,0),0)</f>
        <v>0</v>
      </c>
      <c r="Y780" s="30" t="n">
        <f aca="false">IF(C780="",0,IF(AND(B780="brand",E780="renewal_answer",TRIM(G780)="yes",N(F780)&gt;=Inputs!$C$135),1,0))</f>
        <v>0</v>
      </c>
      <c r="Z780" s="30" t="n">
        <f aca="false">IF(Y780=1,IF(COUNTIFS(C$5:C780,C780,Y$5:Y780,1)=1,1,0),0)</f>
        <v>0</v>
      </c>
      <c r="AA780" s="30" t="n">
        <f aca="false">IF(AND(E780="budget_probe",ISNUMBER(F780),I780&lt;&gt;Lists!$X$4),1,0)</f>
        <v>0</v>
      </c>
      <c r="AB780" s="30" t="str">
        <f aca="false">IF(AND(B780="office",AA780=1,COUNTIFS(C$5:C780,C780,AA$5:AA780,1)=1),F780,"")</f>
        <v/>
      </c>
      <c r="AC780" s="30" t="str">
        <f aca="false">IF(AND(B780="brand",AA780=1,COUNTIFS(C$5:C780,C780,AA$5:AA780,1)=1),F780,"")</f>
        <v/>
      </c>
      <c r="AD780" s="30" t="str">
        <f aca="false">IF(AND(B780="brand",E780="budget_probe",ISNUMBER(F780),I780=Lists!$X$4),IF(COUNTIFS(C$5:C780,C780,E$5:E780,"budget_probe",I$5:I780,Lists!$X$4)=1,F780,""),"")</f>
        <v/>
      </c>
      <c r="AE780" s="30" t="n">
        <f aca="false">IF(AND(B780="brand",E780="paid",ISNUMBER(F780)),IF(AND(SUMIFS(F$5:F780,B$5:B780,"brand",C$5:C780,C780,E$5:E780,"paid")&gt;=Inputs!$C$44,SUMIFS(F$5:F780,B$5:B780,"brand",C$5:C780,C780,E$5:E780,"paid")-F780&lt;Inputs!$C$44),1,0),0)</f>
        <v>0</v>
      </c>
    </row>
    <row r="781" customFormat="false" ht="15" hidden="false" customHeight="false" outlineLevel="0" collapsed="false">
      <c r="A781" s="102"/>
      <c r="B781" s="103"/>
      <c r="C781" s="103"/>
      <c r="D781" s="103"/>
      <c r="E781" s="103"/>
      <c r="F781" s="103"/>
      <c r="G781" s="103"/>
      <c r="H781" s="103"/>
      <c r="I781" s="103"/>
      <c r="T781" s="30" t="str">
        <f aca="false">IF(C781="","",IF(COUNTIFS(C$5:C781,C781,E$5:E781,E781)=1,1,0))</f>
        <v/>
      </c>
      <c r="U781" s="30" t="n">
        <f aca="false">IF(C781="",0,IF(AND(B781="brand",E781="budget_probe",N(F781)&gt;=Inputs!$C$124,H781="Y"),1,0))</f>
        <v>0</v>
      </c>
      <c r="V781" s="30" t="n">
        <f aca="false">IF(U781=1,IF(COUNTIFS(C$5:C781,C781,U$5:U781,1)=1,1,0),0)</f>
        <v>0</v>
      </c>
      <c r="W781" s="30" t="n">
        <f aca="false">IF(C781="",0,IF(AND(B781="office",E781="budget_probe",N(F781)&gt;=Inputs!$C$139),1,0))</f>
        <v>0</v>
      </c>
      <c r="X781" s="30" t="n">
        <f aca="false">IF(W781=1,IF(COUNTIFS(C$5:C781,C781,W$5:W781,1)=1,1,0),0)</f>
        <v>0</v>
      </c>
      <c r="Y781" s="30" t="n">
        <f aca="false">IF(C781="",0,IF(AND(B781="brand",E781="renewal_answer",TRIM(G781)="yes",N(F781)&gt;=Inputs!$C$135),1,0))</f>
        <v>0</v>
      </c>
      <c r="Z781" s="30" t="n">
        <f aca="false">IF(Y781=1,IF(COUNTIFS(C$5:C781,C781,Y$5:Y781,1)=1,1,0),0)</f>
        <v>0</v>
      </c>
      <c r="AA781" s="30" t="n">
        <f aca="false">IF(AND(E781="budget_probe",ISNUMBER(F781),I781&lt;&gt;Lists!$X$4),1,0)</f>
        <v>0</v>
      </c>
      <c r="AB781" s="30" t="str">
        <f aca="false">IF(AND(B781="office",AA781=1,COUNTIFS(C$5:C781,C781,AA$5:AA781,1)=1),F781,"")</f>
        <v/>
      </c>
      <c r="AC781" s="30" t="str">
        <f aca="false">IF(AND(B781="brand",AA781=1,COUNTIFS(C$5:C781,C781,AA$5:AA781,1)=1),F781,"")</f>
        <v/>
      </c>
      <c r="AD781" s="30" t="str">
        <f aca="false">IF(AND(B781="brand",E781="budget_probe",ISNUMBER(F781),I781=Lists!$X$4),IF(COUNTIFS(C$5:C781,C781,E$5:E781,"budget_probe",I$5:I781,Lists!$X$4)=1,F781,""),"")</f>
        <v/>
      </c>
      <c r="AE781" s="30" t="n">
        <f aca="false">IF(AND(B781="brand",E781="paid",ISNUMBER(F781)),IF(AND(SUMIFS(F$5:F781,B$5:B781,"brand",C$5:C781,C781,E$5:E781,"paid")&gt;=Inputs!$C$44,SUMIFS(F$5:F781,B$5:B781,"brand",C$5:C781,C781,E$5:E781,"paid")-F781&lt;Inputs!$C$44),1,0),0)</f>
        <v>0</v>
      </c>
    </row>
    <row r="782" customFormat="false" ht="15" hidden="false" customHeight="false" outlineLevel="0" collapsed="false">
      <c r="A782" s="102"/>
      <c r="B782" s="103"/>
      <c r="C782" s="103"/>
      <c r="D782" s="103"/>
      <c r="E782" s="103"/>
      <c r="F782" s="103"/>
      <c r="G782" s="103"/>
      <c r="H782" s="103"/>
      <c r="I782" s="103"/>
      <c r="T782" s="30" t="str">
        <f aca="false">IF(C782="","",IF(COUNTIFS(C$5:C782,C782,E$5:E782,E782)=1,1,0))</f>
        <v/>
      </c>
      <c r="U782" s="30" t="n">
        <f aca="false">IF(C782="",0,IF(AND(B782="brand",E782="budget_probe",N(F782)&gt;=Inputs!$C$124,H782="Y"),1,0))</f>
        <v>0</v>
      </c>
      <c r="V782" s="30" t="n">
        <f aca="false">IF(U782=1,IF(COUNTIFS(C$5:C782,C782,U$5:U782,1)=1,1,0),0)</f>
        <v>0</v>
      </c>
      <c r="W782" s="30" t="n">
        <f aca="false">IF(C782="",0,IF(AND(B782="office",E782="budget_probe",N(F782)&gt;=Inputs!$C$139),1,0))</f>
        <v>0</v>
      </c>
      <c r="X782" s="30" t="n">
        <f aca="false">IF(W782=1,IF(COUNTIFS(C$5:C782,C782,W$5:W782,1)=1,1,0),0)</f>
        <v>0</v>
      </c>
      <c r="Y782" s="30" t="n">
        <f aca="false">IF(C782="",0,IF(AND(B782="brand",E782="renewal_answer",TRIM(G782)="yes",N(F782)&gt;=Inputs!$C$135),1,0))</f>
        <v>0</v>
      </c>
      <c r="Z782" s="30" t="n">
        <f aca="false">IF(Y782=1,IF(COUNTIFS(C$5:C782,C782,Y$5:Y782,1)=1,1,0),0)</f>
        <v>0</v>
      </c>
      <c r="AA782" s="30" t="n">
        <f aca="false">IF(AND(E782="budget_probe",ISNUMBER(F782),I782&lt;&gt;Lists!$X$4),1,0)</f>
        <v>0</v>
      </c>
      <c r="AB782" s="30" t="str">
        <f aca="false">IF(AND(B782="office",AA782=1,COUNTIFS(C$5:C782,C782,AA$5:AA782,1)=1),F782,"")</f>
        <v/>
      </c>
      <c r="AC782" s="30" t="str">
        <f aca="false">IF(AND(B782="brand",AA782=1,COUNTIFS(C$5:C782,C782,AA$5:AA782,1)=1),F782,"")</f>
        <v/>
      </c>
      <c r="AD782" s="30" t="str">
        <f aca="false">IF(AND(B782="brand",E782="budget_probe",ISNUMBER(F782),I782=Lists!$X$4),IF(COUNTIFS(C$5:C782,C782,E$5:E782,"budget_probe",I$5:I782,Lists!$X$4)=1,F782,""),"")</f>
        <v/>
      </c>
      <c r="AE782" s="30" t="n">
        <f aca="false">IF(AND(B782="brand",E782="paid",ISNUMBER(F782)),IF(AND(SUMIFS(F$5:F782,B$5:B782,"brand",C$5:C782,C782,E$5:E782,"paid")&gt;=Inputs!$C$44,SUMIFS(F$5:F782,B$5:B782,"brand",C$5:C782,C782,E$5:E782,"paid")-F782&lt;Inputs!$C$44),1,0),0)</f>
        <v>0</v>
      </c>
    </row>
    <row r="783" customFormat="false" ht="15" hidden="false" customHeight="false" outlineLevel="0" collapsed="false">
      <c r="A783" s="102"/>
      <c r="B783" s="103"/>
      <c r="C783" s="103"/>
      <c r="D783" s="103"/>
      <c r="E783" s="103"/>
      <c r="F783" s="103"/>
      <c r="G783" s="103"/>
      <c r="H783" s="103"/>
      <c r="I783" s="103"/>
      <c r="T783" s="30" t="str">
        <f aca="false">IF(C783="","",IF(COUNTIFS(C$5:C783,C783,E$5:E783,E783)=1,1,0))</f>
        <v/>
      </c>
      <c r="U783" s="30" t="n">
        <f aca="false">IF(C783="",0,IF(AND(B783="brand",E783="budget_probe",N(F783)&gt;=Inputs!$C$124,H783="Y"),1,0))</f>
        <v>0</v>
      </c>
      <c r="V783" s="30" t="n">
        <f aca="false">IF(U783=1,IF(COUNTIFS(C$5:C783,C783,U$5:U783,1)=1,1,0),0)</f>
        <v>0</v>
      </c>
      <c r="W783" s="30" t="n">
        <f aca="false">IF(C783="",0,IF(AND(B783="office",E783="budget_probe",N(F783)&gt;=Inputs!$C$139),1,0))</f>
        <v>0</v>
      </c>
      <c r="X783" s="30" t="n">
        <f aca="false">IF(W783=1,IF(COUNTIFS(C$5:C783,C783,W$5:W783,1)=1,1,0),0)</f>
        <v>0</v>
      </c>
      <c r="Y783" s="30" t="n">
        <f aca="false">IF(C783="",0,IF(AND(B783="brand",E783="renewal_answer",TRIM(G783)="yes",N(F783)&gt;=Inputs!$C$135),1,0))</f>
        <v>0</v>
      </c>
      <c r="Z783" s="30" t="n">
        <f aca="false">IF(Y783=1,IF(COUNTIFS(C$5:C783,C783,Y$5:Y783,1)=1,1,0),0)</f>
        <v>0</v>
      </c>
      <c r="AA783" s="30" t="n">
        <f aca="false">IF(AND(E783="budget_probe",ISNUMBER(F783),I783&lt;&gt;Lists!$X$4),1,0)</f>
        <v>0</v>
      </c>
      <c r="AB783" s="30" t="str">
        <f aca="false">IF(AND(B783="office",AA783=1,COUNTIFS(C$5:C783,C783,AA$5:AA783,1)=1),F783,"")</f>
        <v/>
      </c>
      <c r="AC783" s="30" t="str">
        <f aca="false">IF(AND(B783="brand",AA783=1,COUNTIFS(C$5:C783,C783,AA$5:AA783,1)=1),F783,"")</f>
        <v/>
      </c>
      <c r="AD783" s="30" t="str">
        <f aca="false">IF(AND(B783="brand",E783="budget_probe",ISNUMBER(F783),I783=Lists!$X$4),IF(COUNTIFS(C$5:C783,C783,E$5:E783,"budget_probe",I$5:I783,Lists!$X$4)=1,F783,""),"")</f>
        <v/>
      </c>
      <c r="AE783" s="30" t="n">
        <f aca="false">IF(AND(B783="brand",E783="paid",ISNUMBER(F783)),IF(AND(SUMIFS(F$5:F783,B$5:B783,"brand",C$5:C783,C783,E$5:E783,"paid")&gt;=Inputs!$C$44,SUMIFS(F$5:F783,B$5:B783,"brand",C$5:C783,C783,E$5:E783,"paid")-F783&lt;Inputs!$C$44),1,0),0)</f>
        <v>0</v>
      </c>
    </row>
    <row r="784" customFormat="false" ht="15" hidden="false" customHeight="false" outlineLevel="0" collapsed="false">
      <c r="A784" s="102"/>
      <c r="B784" s="103"/>
      <c r="C784" s="103"/>
      <c r="D784" s="103"/>
      <c r="E784" s="103"/>
      <c r="F784" s="103"/>
      <c r="G784" s="103"/>
      <c r="H784" s="103"/>
      <c r="I784" s="103"/>
      <c r="T784" s="30" t="str">
        <f aca="false">IF(C784="","",IF(COUNTIFS(C$5:C784,C784,E$5:E784,E784)=1,1,0))</f>
        <v/>
      </c>
      <c r="U784" s="30" t="n">
        <f aca="false">IF(C784="",0,IF(AND(B784="brand",E784="budget_probe",N(F784)&gt;=Inputs!$C$124,H784="Y"),1,0))</f>
        <v>0</v>
      </c>
      <c r="V784" s="30" t="n">
        <f aca="false">IF(U784=1,IF(COUNTIFS(C$5:C784,C784,U$5:U784,1)=1,1,0),0)</f>
        <v>0</v>
      </c>
      <c r="W784" s="30" t="n">
        <f aca="false">IF(C784="",0,IF(AND(B784="office",E784="budget_probe",N(F784)&gt;=Inputs!$C$139),1,0))</f>
        <v>0</v>
      </c>
      <c r="X784" s="30" t="n">
        <f aca="false">IF(W784=1,IF(COUNTIFS(C$5:C784,C784,W$5:W784,1)=1,1,0),0)</f>
        <v>0</v>
      </c>
      <c r="Y784" s="30" t="n">
        <f aca="false">IF(C784="",0,IF(AND(B784="brand",E784="renewal_answer",TRIM(G784)="yes",N(F784)&gt;=Inputs!$C$135),1,0))</f>
        <v>0</v>
      </c>
      <c r="Z784" s="30" t="n">
        <f aca="false">IF(Y784=1,IF(COUNTIFS(C$5:C784,C784,Y$5:Y784,1)=1,1,0),0)</f>
        <v>0</v>
      </c>
      <c r="AA784" s="30" t="n">
        <f aca="false">IF(AND(E784="budget_probe",ISNUMBER(F784),I784&lt;&gt;Lists!$X$4),1,0)</f>
        <v>0</v>
      </c>
      <c r="AB784" s="30" t="str">
        <f aca="false">IF(AND(B784="office",AA784=1,COUNTIFS(C$5:C784,C784,AA$5:AA784,1)=1),F784,"")</f>
        <v/>
      </c>
      <c r="AC784" s="30" t="str">
        <f aca="false">IF(AND(B784="brand",AA784=1,COUNTIFS(C$5:C784,C784,AA$5:AA784,1)=1),F784,"")</f>
        <v/>
      </c>
      <c r="AD784" s="30" t="str">
        <f aca="false">IF(AND(B784="brand",E784="budget_probe",ISNUMBER(F784),I784=Lists!$X$4),IF(COUNTIFS(C$5:C784,C784,E$5:E784,"budget_probe",I$5:I784,Lists!$X$4)=1,F784,""),"")</f>
        <v/>
      </c>
      <c r="AE784" s="30" t="n">
        <f aca="false">IF(AND(B784="brand",E784="paid",ISNUMBER(F784)),IF(AND(SUMIFS(F$5:F784,B$5:B784,"brand",C$5:C784,C784,E$5:E784,"paid")&gt;=Inputs!$C$44,SUMIFS(F$5:F784,B$5:B784,"brand",C$5:C784,C784,E$5:E784,"paid")-F784&lt;Inputs!$C$44),1,0),0)</f>
        <v>0</v>
      </c>
    </row>
    <row r="785" customFormat="false" ht="15" hidden="false" customHeight="false" outlineLevel="0" collapsed="false">
      <c r="A785" s="102"/>
      <c r="B785" s="103"/>
      <c r="C785" s="103"/>
      <c r="D785" s="103"/>
      <c r="E785" s="103"/>
      <c r="F785" s="103"/>
      <c r="G785" s="103"/>
      <c r="H785" s="103"/>
      <c r="I785" s="103"/>
      <c r="T785" s="30" t="str">
        <f aca="false">IF(C785="","",IF(COUNTIFS(C$5:C785,C785,E$5:E785,E785)=1,1,0))</f>
        <v/>
      </c>
      <c r="U785" s="30" t="n">
        <f aca="false">IF(C785="",0,IF(AND(B785="brand",E785="budget_probe",N(F785)&gt;=Inputs!$C$124,H785="Y"),1,0))</f>
        <v>0</v>
      </c>
      <c r="V785" s="30" t="n">
        <f aca="false">IF(U785=1,IF(COUNTIFS(C$5:C785,C785,U$5:U785,1)=1,1,0),0)</f>
        <v>0</v>
      </c>
      <c r="W785" s="30" t="n">
        <f aca="false">IF(C785="",0,IF(AND(B785="office",E785="budget_probe",N(F785)&gt;=Inputs!$C$139),1,0))</f>
        <v>0</v>
      </c>
      <c r="X785" s="30" t="n">
        <f aca="false">IF(W785=1,IF(COUNTIFS(C$5:C785,C785,W$5:W785,1)=1,1,0),0)</f>
        <v>0</v>
      </c>
      <c r="Y785" s="30" t="n">
        <f aca="false">IF(C785="",0,IF(AND(B785="brand",E785="renewal_answer",TRIM(G785)="yes",N(F785)&gt;=Inputs!$C$135),1,0))</f>
        <v>0</v>
      </c>
      <c r="Z785" s="30" t="n">
        <f aca="false">IF(Y785=1,IF(COUNTIFS(C$5:C785,C785,Y$5:Y785,1)=1,1,0),0)</f>
        <v>0</v>
      </c>
      <c r="AA785" s="30" t="n">
        <f aca="false">IF(AND(E785="budget_probe",ISNUMBER(F785),I785&lt;&gt;Lists!$X$4),1,0)</f>
        <v>0</v>
      </c>
      <c r="AB785" s="30" t="str">
        <f aca="false">IF(AND(B785="office",AA785=1,COUNTIFS(C$5:C785,C785,AA$5:AA785,1)=1),F785,"")</f>
        <v/>
      </c>
      <c r="AC785" s="30" t="str">
        <f aca="false">IF(AND(B785="brand",AA785=1,COUNTIFS(C$5:C785,C785,AA$5:AA785,1)=1),F785,"")</f>
        <v/>
      </c>
      <c r="AD785" s="30" t="str">
        <f aca="false">IF(AND(B785="brand",E785="budget_probe",ISNUMBER(F785),I785=Lists!$X$4),IF(COUNTIFS(C$5:C785,C785,E$5:E785,"budget_probe",I$5:I785,Lists!$X$4)=1,F785,""),"")</f>
        <v/>
      </c>
      <c r="AE785" s="30" t="n">
        <f aca="false">IF(AND(B785="brand",E785="paid",ISNUMBER(F785)),IF(AND(SUMIFS(F$5:F785,B$5:B785,"brand",C$5:C785,C785,E$5:E785,"paid")&gt;=Inputs!$C$44,SUMIFS(F$5:F785,B$5:B785,"brand",C$5:C785,C785,E$5:E785,"paid")-F785&lt;Inputs!$C$44),1,0),0)</f>
        <v>0</v>
      </c>
    </row>
    <row r="786" customFormat="false" ht="15" hidden="false" customHeight="false" outlineLevel="0" collapsed="false">
      <c r="A786" s="102"/>
      <c r="B786" s="103"/>
      <c r="C786" s="103"/>
      <c r="D786" s="103"/>
      <c r="E786" s="103"/>
      <c r="F786" s="103"/>
      <c r="G786" s="103"/>
      <c r="H786" s="103"/>
      <c r="I786" s="103"/>
      <c r="T786" s="30" t="str">
        <f aca="false">IF(C786="","",IF(COUNTIFS(C$5:C786,C786,E$5:E786,E786)=1,1,0))</f>
        <v/>
      </c>
      <c r="U786" s="30" t="n">
        <f aca="false">IF(C786="",0,IF(AND(B786="brand",E786="budget_probe",N(F786)&gt;=Inputs!$C$124,H786="Y"),1,0))</f>
        <v>0</v>
      </c>
      <c r="V786" s="30" t="n">
        <f aca="false">IF(U786=1,IF(COUNTIFS(C$5:C786,C786,U$5:U786,1)=1,1,0),0)</f>
        <v>0</v>
      </c>
      <c r="W786" s="30" t="n">
        <f aca="false">IF(C786="",0,IF(AND(B786="office",E786="budget_probe",N(F786)&gt;=Inputs!$C$139),1,0))</f>
        <v>0</v>
      </c>
      <c r="X786" s="30" t="n">
        <f aca="false">IF(W786=1,IF(COUNTIFS(C$5:C786,C786,W$5:W786,1)=1,1,0),0)</f>
        <v>0</v>
      </c>
      <c r="Y786" s="30" t="n">
        <f aca="false">IF(C786="",0,IF(AND(B786="brand",E786="renewal_answer",TRIM(G786)="yes",N(F786)&gt;=Inputs!$C$135),1,0))</f>
        <v>0</v>
      </c>
      <c r="Z786" s="30" t="n">
        <f aca="false">IF(Y786=1,IF(COUNTIFS(C$5:C786,C786,Y$5:Y786,1)=1,1,0),0)</f>
        <v>0</v>
      </c>
      <c r="AA786" s="30" t="n">
        <f aca="false">IF(AND(E786="budget_probe",ISNUMBER(F786),I786&lt;&gt;Lists!$X$4),1,0)</f>
        <v>0</v>
      </c>
      <c r="AB786" s="30" t="str">
        <f aca="false">IF(AND(B786="office",AA786=1,COUNTIFS(C$5:C786,C786,AA$5:AA786,1)=1),F786,"")</f>
        <v/>
      </c>
      <c r="AC786" s="30" t="str">
        <f aca="false">IF(AND(B786="brand",AA786=1,COUNTIFS(C$5:C786,C786,AA$5:AA786,1)=1),F786,"")</f>
        <v/>
      </c>
      <c r="AD786" s="30" t="str">
        <f aca="false">IF(AND(B786="brand",E786="budget_probe",ISNUMBER(F786),I786=Lists!$X$4),IF(COUNTIFS(C$5:C786,C786,E$5:E786,"budget_probe",I$5:I786,Lists!$X$4)=1,F786,""),"")</f>
        <v/>
      </c>
      <c r="AE786" s="30" t="n">
        <f aca="false">IF(AND(B786="brand",E786="paid",ISNUMBER(F786)),IF(AND(SUMIFS(F$5:F786,B$5:B786,"brand",C$5:C786,C786,E$5:E786,"paid")&gt;=Inputs!$C$44,SUMIFS(F$5:F786,B$5:B786,"brand",C$5:C786,C786,E$5:E786,"paid")-F786&lt;Inputs!$C$44),1,0),0)</f>
        <v>0</v>
      </c>
    </row>
    <row r="787" customFormat="false" ht="15" hidden="false" customHeight="false" outlineLevel="0" collapsed="false">
      <c r="A787" s="102"/>
      <c r="B787" s="103"/>
      <c r="C787" s="103"/>
      <c r="D787" s="103"/>
      <c r="E787" s="103"/>
      <c r="F787" s="103"/>
      <c r="G787" s="103"/>
      <c r="H787" s="103"/>
      <c r="I787" s="103"/>
      <c r="T787" s="30" t="str">
        <f aca="false">IF(C787="","",IF(COUNTIFS(C$5:C787,C787,E$5:E787,E787)=1,1,0))</f>
        <v/>
      </c>
      <c r="U787" s="30" t="n">
        <f aca="false">IF(C787="",0,IF(AND(B787="brand",E787="budget_probe",N(F787)&gt;=Inputs!$C$124,H787="Y"),1,0))</f>
        <v>0</v>
      </c>
      <c r="V787" s="30" t="n">
        <f aca="false">IF(U787=1,IF(COUNTIFS(C$5:C787,C787,U$5:U787,1)=1,1,0),0)</f>
        <v>0</v>
      </c>
      <c r="W787" s="30" t="n">
        <f aca="false">IF(C787="",0,IF(AND(B787="office",E787="budget_probe",N(F787)&gt;=Inputs!$C$139),1,0))</f>
        <v>0</v>
      </c>
      <c r="X787" s="30" t="n">
        <f aca="false">IF(W787=1,IF(COUNTIFS(C$5:C787,C787,W$5:W787,1)=1,1,0),0)</f>
        <v>0</v>
      </c>
      <c r="Y787" s="30" t="n">
        <f aca="false">IF(C787="",0,IF(AND(B787="brand",E787="renewal_answer",TRIM(G787)="yes",N(F787)&gt;=Inputs!$C$135),1,0))</f>
        <v>0</v>
      </c>
      <c r="Z787" s="30" t="n">
        <f aca="false">IF(Y787=1,IF(COUNTIFS(C$5:C787,C787,Y$5:Y787,1)=1,1,0),0)</f>
        <v>0</v>
      </c>
      <c r="AA787" s="30" t="n">
        <f aca="false">IF(AND(E787="budget_probe",ISNUMBER(F787),I787&lt;&gt;Lists!$X$4),1,0)</f>
        <v>0</v>
      </c>
      <c r="AB787" s="30" t="str">
        <f aca="false">IF(AND(B787="office",AA787=1,COUNTIFS(C$5:C787,C787,AA$5:AA787,1)=1),F787,"")</f>
        <v/>
      </c>
      <c r="AC787" s="30" t="str">
        <f aca="false">IF(AND(B787="brand",AA787=1,COUNTIFS(C$5:C787,C787,AA$5:AA787,1)=1),F787,"")</f>
        <v/>
      </c>
      <c r="AD787" s="30" t="str">
        <f aca="false">IF(AND(B787="brand",E787="budget_probe",ISNUMBER(F787),I787=Lists!$X$4),IF(COUNTIFS(C$5:C787,C787,E$5:E787,"budget_probe",I$5:I787,Lists!$X$4)=1,F787,""),"")</f>
        <v/>
      </c>
      <c r="AE787" s="30" t="n">
        <f aca="false">IF(AND(B787="brand",E787="paid",ISNUMBER(F787)),IF(AND(SUMIFS(F$5:F787,B$5:B787,"brand",C$5:C787,C787,E$5:E787,"paid")&gt;=Inputs!$C$44,SUMIFS(F$5:F787,B$5:B787,"brand",C$5:C787,C787,E$5:E787,"paid")-F787&lt;Inputs!$C$44),1,0),0)</f>
        <v>0</v>
      </c>
    </row>
    <row r="788" customFormat="false" ht="15" hidden="false" customHeight="false" outlineLevel="0" collapsed="false">
      <c r="A788" s="102"/>
      <c r="B788" s="103"/>
      <c r="C788" s="103"/>
      <c r="D788" s="103"/>
      <c r="E788" s="103"/>
      <c r="F788" s="103"/>
      <c r="G788" s="103"/>
      <c r="H788" s="103"/>
      <c r="I788" s="103"/>
      <c r="T788" s="30" t="str">
        <f aca="false">IF(C788="","",IF(COUNTIFS(C$5:C788,C788,E$5:E788,E788)=1,1,0))</f>
        <v/>
      </c>
      <c r="U788" s="30" t="n">
        <f aca="false">IF(C788="",0,IF(AND(B788="brand",E788="budget_probe",N(F788)&gt;=Inputs!$C$124,H788="Y"),1,0))</f>
        <v>0</v>
      </c>
      <c r="V788" s="30" t="n">
        <f aca="false">IF(U788=1,IF(COUNTIFS(C$5:C788,C788,U$5:U788,1)=1,1,0),0)</f>
        <v>0</v>
      </c>
      <c r="W788" s="30" t="n">
        <f aca="false">IF(C788="",0,IF(AND(B788="office",E788="budget_probe",N(F788)&gt;=Inputs!$C$139),1,0))</f>
        <v>0</v>
      </c>
      <c r="X788" s="30" t="n">
        <f aca="false">IF(W788=1,IF(COUNTIFS(C$5:C788,C788,W$5:W788,1)=1,1,0),0)</f>
        <v>0</v>
      </c>
      <c r="Y788" s="30" t="n">
        <f aca="false">IF(C788="",0,IF(AND(B788="brand",E788="renewal_answer",TRIM(G788)="yes",N(F788)&gt;=Inputs!$C$135),1,0))</f>
        <v>0</v>
      </c>
      <c r="Z788" s="30" t="n">
        <f aca="false">IF(Y788=1,IF(COUNTIFS(C$5:C788,C788,Y$5:Y788,1)=1,1,0),0)</f>
        <v>0</v>
      </c>
      <c r="AA788" s="30" t="n">
        <f aca="false">IF(AND(E788="budget_probe",ISNUMBER(F788),I788&lt;&gt;Lists!$X$4),1,0)</f>
        <v>0</v>
      </c>
      <c r="AB788" s="30" t="str">
        <f aca="false">IF(AND(B788="office",AA788=1,COUNTIFS(C$5:C788,C788,AA$5:AA788,1)=1),F788,"")</f>
        <v/>
      </c>
      <c r="AC788" s="30" t="str">
        <f aca="false">IF(AND(B788="brand",AA788=1,COUNTIFS(C$5:C788,C788,AA$5:AA788,1)=1),F788,"")</f>
        <v/>
      </c>
      <c r="AD788" s="30" t="str">
        <f aca="false">IF(AND(B788="brand",E788="budget_probe",ISNUMBER(F788),I788=Lists!$X$4),IF(COUNTIFS(C$5:C788,C788,E$5:E788,"budget_probe",I$5:I788,Lists!$X$4)=1,F788,""),"")</f>
        <v/>
      </c>
      <c r="AE788" s="30" t="n">
        <f aca="false">IF(AND(B788="brand",E788="paid",ISNUMBER(F788)),IF(AND(SUMIFS(F$5:F788,B$5:B788,"brand",C$5:C788,C788,E$5:E788,"paid")&gt;=Inputs!$C$44,SUMIFS(F$5:F788,B$5:B788,"brand",C$5:C788,C788,E$5:E788,"paid")-F788&lt;Inputs!$C$44),1,0),0)</f>
        <v>0</v>
      </c>
    </row>
    <row r="789" customFormat="false" ht="15" hidden="false" customHeight="false" outlineLevel="0" collapsed="false">
      <c r="A789" s="102"/>
      <c r="B789" s="103"/>
      <c r="C789" s="103"/>
      <c r="D789" s="103"/>
      <c r="E789" s="103"/>
      <c r="F789" s="103"/>
      <c r="G789" s="103"/>
      <c r="H789" s="103"/>
      <c r="I789" s="103"/>
      <c r="T789" s="30" t="str">
        <f aca="false">IF(C789="","",IF(COUNTIFS(C$5:C789,C789,E$5:E789,E789)=1,1,0))</f>
        <v/>
      </c>
      <c r="U789" s="30" t="n">
        <f aca="false">IF(C789="",0,IF(AND(B789="brand",E789="budget_probe",N(F789)&gt;=Inputs!$C$124,H789="Y"),1,0))</f>
        <v>0</v>
      </c>
      <c r="V789" s="30" t="n">
        <f aca="false">IF(U789=1,IF(COUNTIFS(C$5:C789,C789,U$5:U789,1)=1,1,0),0)</f>
        <v>0</v>
      </c>
      <c r="W789" s="30" t="n">
        <f aca="false">IF(C789="",0,IF(AND(B789="office",E789="budget_probe",N(F789)&gt;=Inputs!$C$139),1,0))</f>
        <v>0</v>
      </c>
      <c r="X789" s="30" t="n">
        <f aca="false">IF(W789=1,IF(COUNTIFS(C$5:C789,C789,W$5:W789,1)=1,1,0),0)</f>
        <v>0</v>
      </c>
      <c r="Y789" s="30" t="n">
        <f aca="false">IF(C789="",0,IF(AND(B789="brand",E789="renewal_answer",TRIM(G789)="yes",N(F789)&gt;=Inputs!$C$135),1,0))</f>
        <v>0</v>
      </c>
      <c r="Z789" s="30" t="n">
        <f aca="false">IF(Y789=1,IF(COUNTIFS(C$5:C789,C789,Y$5:Y789,1)=1,1,0),0)</f>
        <v>0</v>
      </c>
      <c r="AA789" s="30" t="n">
        <f aca="false">IF(AND(E789="budget_probe",ISNUMBER(F789),I789&lt;&gt;Lists!$X$4),1,0)</f>
        <v>0</v>
      </c>
      <c r="AB789" s="30" t="str">
        <f aca="false">IF(AND(B789="office",AA789=1,COUNTIFS(C$5:C789,C789,AA$5:AA789,1)=1),F789,"")</f>
        <v/>
      </c>
      <c r="AC789" s="30" t="str">
        <f aca="false">IF(AND(B789="brand",AA789=1,COUNTIFS(C$5:C789,C789,AA$5:AA789,1)=1),F789,"")</f>
        <v/>
      </c>
      <c r="AD789" s="30" t="str">
        <f aca="false">IF(AND(B789="brand",E789="budget_probe",ISNUMBER(F789),I789=Lists!$X$4),IF(COUNTIFS(C$5:C789,C789,E$5:E789,"budget_probe",I$5:I789,Lists!$X$4)=1,F789,""),"")</f>
        <v/>
      </c>
      <c r="AE789" s="30" t="n">
        <f aca="false">IF(AND(B789="brand",E789="paid",ISNUMBER(F789)),IF(AND(SUMIFS(F$5:F789,B$5:B789,"brand",C$5:C789,C789,E$5:E789,"paid")&gt;=Inputs!$C$44,SUMIFS(F$5:F789,B$5:B789,"brand",C$5:C789,C789,E$5:E789,"paid")-F789&lt;Inputs!$C$44),1,0),0)</f>
        <v>0</v>
      </c>
    </row>
    <row r="790" customFormat="false" ht="15" hidden="false" customHeight="false" outlineLevel="0" collapsed="false">
      <c r="A790" s="102"/>
      <c r="B790" s="103"/>
      <c r="C790" s="103"/>
      <c r="D790" s="103"/>
      <c r="E790" s="103"/>
      <c r="F790" s="103"/>
      <c r="G790" s="103"/>
      <c r="H790" s="103"/>
      <c r="I790" s="103"/>
      <c r="T790" s="30" t="str">
        <f aca="false">IF(C790="","",IF(COUNTIFS(C$5:C790,C790,E$5:E790,E790)=1,1,0))</f>
        <v/>
      </c>
      <c r="U790" s="30" t="n">
        <f aca="false">IF(C790="",0,IF(AND(B790="brand",E790="budget_probe",N(F790)&gt;=Inputs!$C$124,H790="Y"),1,0))</f>
        <v>0</v>
      </c>
      <c r="V790" s="30" t="n">
        <f aca="false">IF(U790=1,IF(COUNTIFS(C$5:C790,C790,U$5:U790,1)=1,1,0),0)</f>
        <v>0</v>
      </c>
      <c r="W790" s="30" t="n">
        <f aca="false">IF(C790="",0,IF(AND(B790="office",E790="budget_probe",N(F790)&gt;=Inputs!$C$139),1,0))</f>
        <v>0</v>
      </c>
      <c r="X790" s="30" t="n">
        <f aca="false">IF(W790=1,IF(COUNTIFS(C$5:C790,C790,W$5:W790,1)=1,1,0),0)</f>
        <v>0</v>
      </c>
      <c r="Y790" s="30" t="n">
        <f aca="false">IF(C790="",0,IF(AND(B790="brand",E790="renewal_answer",TRIM(G790)="yes",N(F790)&gt;=Inputs!$C$135),1,0))</f>
        <v>0</v>
      </c>
      <c r="Z790" s="30" t="n">
        <f aca="false">IF(Y790=1,IF(COUNTIFS(C$5:C790,C790,Y$5:Y790,1)=1,1,0),0)</f>
        <v>0</v>
      </c>
      <c r="AA790" s="30" t="n">
        <f aca="false">IF(AND(E790="budget_probe",ISNUMBER(F790),I790&lt;&gt;Lists!$X$4),1,0)</f>
        <v>0</v>
      </c>
      <c r="AB790" s="30" t="str">
        <f aca="false">IF(AND(B790="office",AA790=1,COUNTIFS(C$5:C790,C790,AA$5:AA790,1)=1),F790,"")</f>
        <v/>
      </c>
      <c r="AC790" s="30" t="str">
        <f aca="false">IF(AND(B790="brand",AA790=1,COUNTIFS(C$5:C790,C790,AA$5:AA790,1)=1),F790,"")</f>
        <v/>
      </c>
      <c r="AD790" s="30" t="str">
        <f aca="false">IF(AND(B790="brand",E790="budget_probe",ISNUMBER(F790),I790=Lists!$X$4),IF(COUNTIFS(C$5:C790,C790,E$5:E790,"budget_probe",I$5:I790,Lists!$X$4)=1,F790,""),"")</f>
        <v/>
      </c>
      <c r="AE790" s="30" t="n">
        <f aca="false">IF(AND(B790="brand",E790="paid",ISNUMBER(F790)),IF(AND(SUMIFS(F$5:F790,B$5:B790,"brand",C$5:C790,C790,E$5:E790,"paid")&gt;=Inputs!$C$44,SUMIFS(F$5:F790,B$5:B790,"brand",C$5:C790,C790,E$5:E790,"paid")-F790&lt;Inputs!$C$44),1,0),0)</f>
        <v>0</v>
      </c>
    </row>
    <row r="791" customFormat="false" ht="15" hidden="false" customHeight="false" outlineLevel="0" collapsed="false">
      <c r="A791" s="102"/>
      <c r="B791" s="103"/>
      <c r="C791" s="103"/>
      <c r="D791" s="103"/>
      <c r="E791" s="103"/>
      <c r="F791" s="103"/>
      <c r="G791" s="103"/>
      <c r="H791" s="103"/>
      <c r="I791" s="103"/>
      <c r="T791" s="30" t="str">
        <f aca="false">IF(C791="","",IF(COUNTIFS(C$5:C791,C791,E$5:E791,E791)=1,1,0))</f>
        <v/>
      </c>
      <c r="U791" s="30" t="n">
        <f aca="false">IF(C791="",0,IF(AND(B791="brand",E791="budget_probe",N(F791)&gt;=Inputs!$C$124,H791="Y"),1,0))</f>
        <v>0</v>
      </c>
      <c r="V791" s="30" t="n">
        <f aca="false">IF(U791=1,IF(COUNTIFS(C$5:C791,C791,U$5:U791,1)=1,1,0),0)</f>
        <v>0</v>
      </c>
      <c r="W791" s="30" t="n">
        <f aca="false">IF(C791="",0,IF(AND(B791="office",E791="budget_probe",N(F791)&gt;=Inputs!$C$139),1,0))</f>
        <v>0</v>
      </c>
      <c r="X791" s="30" t="n">
        <f aca="false">IF(W791=1,IF(COUNTIFS(C$5:C791,C791,W$5:W791,1)=1,1,0),0)</f>
        <v>0</v>
      </c>
      <c r="Y791" s="30" t="n">
        <f aca="false">IF(C791="",0,IF(AND(B791="brand",E791="renewal_answer",TRIM(G791)="yes",N(F791)&gt;=Inputs!$C$135),1,0))</f>
        <v>0</v>
      </c>
      <c r="Z791" s="30" t="n">
        <f aca="false">IF(Y791=1,IF(COUNTIFS(C$5:C791,C791,Y$5:Y791,1)=1,1,0),0)</f>
        <v>0</v>
      </c>
      <c r="AA791" s="30" t="n">
        <f aca="false">IF(AND(E791="budget_probe",ISNUMBER(F791),I791&lt;&gt;Lists!$X$4),1,0)</f>
        <v>0</v>
      </c>
      <c r="AB791" s="30" t="str">
        <f aca="false">IF(AND(B791="office",AA791=1,COUNTIFS(C$5:C791,C791,AA$5:AA791,1)=1),F791,"")</f>
        <v/>
      </c>
      <c r="AC791" s="30" t="str">
        <f aca="false">IF(AND(B791="brand",AA791=1,COUNTIFS(C$5:C791,C791,AA$5:AA791,1)=1),F791,"")</f>
        <v/>
      </c>
      <c r="AD791" s="30" t="str">
        <f aca="false">IF(AND(B791="brand",E791="budget_probe",ISNUMBER(F791),I791=Lists!$X$4),IF(COUNTIFS(C$5:C791,C791,E$5:E791,"budget_probe",I$5:I791,Lists!$X$4)=1,F791,""),"")</f>
        <v/>
      </c>
      <c r="AE791" s="30" t="n">
        <f aca="false">IF(AND(B791="brand",E791="paid",ISNUMBER(F791)),IF(AND(SUMIFS(F$5:F791,B$5:B791,"brand",C$5:C791,C791,E$5:E791,"paid")&gt;=Inputs!$C$44,SUMIFS(F$5:F791,B$5:B791,"brand",C$5:C791,C791,E$5:E791,"paid")-F791&lt;Inputs!$C$44),1,0),0)</f>
        <v>0</v>
      </c>
    </row>
    <row r="792" customFormat="false" ht="15" hidden="false" customHeight="false" outlineLevel="0" collapsed="false">
      <c r="A792" s="102"/>
      <c r="B792" s="103"/>
      <c r="C792" s="103"/>
      <c r="D792" s="103"/>
      <c r="E792" s="103"/>
      <c r="F792" s="103"/>
      <c r="G792" s="103"/>
      <c r="H792" s="103"/>
      <c r="I792" s="103"/>
      <c r="T792" s="30" t="str">
        <f aca="false">IF(C792="","",IF(COUNTIFS(C$5:C792,C792,E$5:E792,E792)=1,1,0))</f>
        <v/>
      </c>
      <c r="U792" s="30" t="n">
        <f aca="false">IF(C792="",0,IF(AND(B792="brand",E792="budget_probe",N(F792)&gt;=Inputs!$C$124,H792="Y"),1,0))</f>
        <v>0</v>
      </c>
      <c r="V792" s="30" t="n">
        <f aca="false">IF(U792=1,IF(COUNTIFS(C$5:C792,C792,U$5:U792,1)=1,1,0),0)</f>
        <v>0</v>
      </c>
      <c r="W792" s="30" t="n">
        <f aca="false">IF(C792="",0,IF(AND(B792="office",E792="budget_probe",N(F792)&gt;=Inputs!$C$139),1,0))</f>
        <v>0</v>
      </c>
      <c r="X792" s="30" t="n">
        <f aca="false">IF(W792=1,IF(COUNTIFS(C$5:C792,C792,W$5:W792,1)=1,1,0),0)</f>
        <v>0</v>
      </c>
      <c r="Y792" s="30" t="n">
        <f aca="false">IF(C792="",0,IF(AND(B792="brand",E792="renewal_answer",TRIM(G792)="yes",N(F792)&gt;=Inputs!$C$135),1,0))</f>
        <v>0</v>
      </c>
      <c r="Z792" s="30" t="n">
        <f aca="false">IF(Y792=1,IF(COUNTIFS(C$5:C792,C792,Y$5:Y792,1)=1,1,0),0)</f>
        <v>0</v>
      </c>
      <c r="AA792" s="30" t="n">
        <f aca="false">IF(AND(E792="budget_probe",ISNUMBER(F792),I792&lt;&gt;Lists!$X$4),1,0)</f>
        <v>0</v>
      </c>
      <c r="AB792" s="30" t="str">
        <f aca="false">IF(AND(B792="office",AA792=1,COUNTIFS(C$5:C792,C792,AA$5:AA792,1)=1),F792,"")</f>
        <v/>
      </c>
      <c r="AC792" s="30" t="str">
        <f aca="false">IF(AND(B792="brand",AA792=1,COUNTIFS(C$5:C792,C792,AA$5:AA792,1)=1),F792,"")</f>
        <v/>
      </c>
      <c r="AD792" s="30" t="str">
        <f aca="false">IF(AND(B792="brand",E792="budget_probe",ISNUMBER(F792),I792=Lists!$X$4),IF(COUNTIFS(C$5:C792,C792,E$5:E792,"budget_probe",I$5:I792,Lists!$X$4)=1,F792,""),"")</f>
        <v/>
      </c>
      <c r="AE792" s="30" t="n">
        <f aca="false">IF(AND(B792="brand",E792="paid",ISNUMBER(F792)),IF(AND(SUMIFS(F$5:F792,B$5:B792,"brand",C$5:C792,C792,E$5:E792,"paid")&gt;=Inputs!$C$44,SUMIFS(F$5:F792,B$5:B792,"brand",C$5:C792,C792,E$5:E792,"paid")-F792&lt;Inputs!$C$44),1,0),0)</f>
        <v>0</v>
      </c>
    </row>
    <row r="793" customFormat="false" ht="15" hidden="false" customHeight="false" outlineLevel="0" collapsed="false">
      <c r="A793" s="102"/>
      <c r="B793" s="103"/>
      <c r="C793" s="103"/>
      <c r="D793" s="103"/>
      <c r="E793" s="103"/>
      <c r="F793" s="103"/>
      <c r="G793" s="103"/>
      <c r="H793" s="103"/>
      <c r="I793" s="103"/>
      <c r="T793" s="30" t="str">
        <f aca="false">IF(C793="","",IF(COUNTIFS(C$5:C793,C793,E$5:E793,E793)=1,1,0))</f>
        <v/>
      </c>
      <c r="U793" s="30" t="n">
        <f aca="false">IF(C793="",0,IF(AND(B793="brand",E793="budget_probe",N(F793)&gt;=Inputs!$C$124,H793="Y"),1,0))</f>
        <v>0</v>
      </c>
      <c r="V793" s="30" t="n">
        <f aca="false">IF(U793=1,IF(COUNTIFS(C$5:C793,C793,U$5:U793,1)=1,1,0),0)</f>
        <v>0</v>
      </c>
      <c r="W793" s="30" t="n">
        <f aca="false">IF(C793="",0,IF(AND(B793="office",E793="budget_probe",N(F793)&gt;=Inputs!$C$139),1,0))</f>
        <v>0</v>
      </c>
      <c r="X793" s="30" t="n">
        <f aca="false">IF(W793=1,IF(COUNTIFS(C$5:C793,C793,W$5:W793,1)=1,1,0),0)</f>
        <v>0</v>
      </c>
      <c r="Y793" s="30" t="n">
        <f aca="false">IF(C793="",0,IF(AND(B793="brand",E793="renewal_answer",TRIM(G793)="yes",N(F793)&gt;=Inputs!$C$135),1,0))</f>
        <v>0</v>
      </c>
      <c r="Z793" s="30" t="n">
        <f aca="false">IF(Y793=1,IF(COUNTIFS(C$5:C793,C793,Y$5:Y793,1)=1,1,0),0)</f>
        <v>0</v>
      </c>
      <c r="AA793" s="30" t="n">
        <f aca="false">IF(AND(E793="budget_probe",ISNUMBER(F793),I793&lt;&gt;Lists!$X$4),1,0)</f>
        <v>0</v>
      </c>
      <c r="AB793" s="30" t="str">
        <f aca="false">IF(AND(B793="office",AA793=1,COUNTIFS(C$5:C793,C793,AA$5:AA793,1)=1),F793,"")</f>
        <v/>
      </c>
      <c r="AC793" s="30" t="str">
        <f aca="false">IF(AND(B793="brand",AA793=1,COUNTIFS(C$5:C793,C793,AA$5:AA793,1)=1),F793,"")</f>
        <v/>
      </c>
      <c r="AD793" s="30" t="str">
        <f aca="false">IF(AND(B793="brand",E793="budget_probe",ISNUMBER(F793),I793=Lists!$X$4),IF(COUNTIFS(C$5:C793,C793,E$5:E793,"budget_probe",I$5:I793,Lists!$X$4)=1,F793,""),"")</f>
        <v/>
      </c>
      <c r="AE793" s="30" t="n">
        <f aca="false">IF(AND(B793="brand",E793="paid",ISNUMBER(F793)),IF(AND(SUMIFS(F$5:F793,B$5:B793,"brand",C$5:C793,C793,E$5:E793,"paid")&gt;=Inputs!$C$44,SUMIFS(F$5:F793,B$5:B793,"brand",C$5:C793,C793,E$5:E793,"paid")-F793&lt;Inputs!$C$44),1,0),0)</f>
        <v>0</v>
      </c>
    </row>
    <row r="794" customFormat="false" ht="15" hidden="false" customHeight="false" outlineLevel="0" collapsed="false">
      <c r="A794" s="102"/>
      <c r="B794" s="103"/>
      <c r="C794" s="103"/>
      <c r="D794" s="103"/>
      <c r="E794" s="103"/>
      <c r="F794" s="103"/>
      <c r="G794" s="103"/>
      <c r="H794" s="103"/>
      <c r="I794" s="103"/>
      <c r="T794" s="30" t="str">
        <f aca="false">IF(C794="","",IF(COUNTIFS(C$5:C794,C794,E$5:E794,E794)=1,1,0))</f>
        <v/>
      </c>
      <c r="U794" s="30" t="n">
        <f aca="false">IF(C794="",0,IF(AND(B794="brand",E794="budget_probe",N(F794)&gt;=Inputs!$C$124,H794="Y"),1,0))</f>
        <v>0</v>
      </c>
      <c r="V794" s="30" t="n">
        <f aca="false">IF(U794=1,IF(COUNTIFS(C$5:C794,C794,U$5:U794,1)=1,1,0),0)</f>
        <v>0</v>
      </c>
      <c r="W794" s="30" t="n">
        <f aca="false">IF(C794="",0,IF(AND(B794="office",E794="budget_probe",N(F794)&gt;=Inputs!$C$139),1,0))</f>
        <v>0</v>
      </c>
      <c r="X794" s="30" t="n">
        <f aca="false">IF(W794=1,IF(COUNTIFS(C$5:C794,C794,W$5:W794,1)=1,1,0),0)</f>
        <v>0</v>
      </c>
      <c r="Y794" s="30" t="n">
        <f aca="false">IF(C794="",0,IF(AND(B794="brand",E794="renewal_answer",TRIM(G794)="yes",N(F794)&gt;=Inputs!$C$135),1,0))</f>
        <v>0</v>
      </c>
      <c r="Z794" s="30" t="n">
        <f aca="false">IF(Y794=1,IF(COUNTIFS(C$5:C794,C794,Y$5:Y794,1)=1,1,0),0)</f>
        <v>0</v>
      </c>
      <c r="AA794" s="30" t="n">
        <f aca="false">IF(AND(E794="budget_probe",ISNUMBER(F794),I794&lt;&gt;Lists!$X$4),1,0)</f>
        <v>0</v>
      </c>
      <c r="AB794" s="30" t="str">
        <f aca="false">IF(AND(B794="office",AA794=1,COUNTIFS(C$5:C794,C794,AA$5:AA794,1)=1),F794,"")</f>
        <v/>
      </c>
      <c r="AC794" s="30" t="str">
        <f aca="false">IF(AND(B794="brand",AA794=1,COUNTIFS(C$5:C794,C794,AA$5:AA794,1)=1),F794,"")</f>
        <v/>
      </c>
      <c r="AD794" s="30" t="str">
        <f aca="false">IF(AND(B794="brand",E794="budget_probe",ISNUMBER(F794),I794=Lists!$X$4),IF(COUNTIFS(C$5:C794,C794,E$5:E794,"budget_probe",I$5:I794,Lists!$X$4)=1,F794,""),"")</f>
        <v/>
      </c>
      <c r="AE794" s="30" t="n">
        <f aca="false">IF(AND(B794="brand",E794="paid",ISNUMBER(F794)),IF(AND(SUMIFS(F$5:F794,B$5:B794,"brand",C$5:C794,C794,E$5:E794,"paid")&gt;=Inputs!$C$44,SUMIFS(F$5:F794,B$5:B794,"brand",C$5:C794,C794,E$5:E794,"paid")-F794&lt;Inputs!$C$44),1,0),0)</f>
        <v>0</v>
      </c>
    </row>
    <row r="795" customFormat="false" ht="15" hidden="false" customHeight="false" outlineLevel="0" collapsed="false">
      <c r="A795" s="102"/>
      <c r="B795" s="103"/>
      <c r="C795" s="103"/>
      <c r="D795" s="103"/>
      <c r="E795" s="103"/>
      <c r="F795" s="103"/>
      <c r="G795" s="103"/>
      <c r="H795" s="103"/>
      <c r="I795" s="103"/>
      <c r="T795" s="30" t="str">
        <f aca="false">IF(C795="","",IF(COUNTIFS(C$5:C795,C795,E$5:E795,E795)=1,1,0))</f>
        <v/>
      </c>
      <c r="U795" s="30" t="n">
        <f aca="false">IF(C795="",0,IF(AND(B795="brand",E795="budget_probe",N(F795)&gt;=Inputs!$C$124,H795="Y"),1,0))</f>
        <v>0</v>
      </c>
      <c r="V795" s="30" t="n">
        <f aca="false">IF(U795=1,IF(COUNTIFS(C$5:C795,C795,U$5:U795,1)=1,1,0),0)</f>
        <v>0</v>
      </c>
      <c r="W795" s="30" t="n">
        <f aca="false">IF(C795="",0,IF(AND(B795="office",E795="budget_probe",N(F795)&gt;=Inputs!$C$139),1,0))</f>
        <v>0</v>
      </c>
      <c r="X795" s="30" t="n">
        <f aca="false">IF(W795=1,IF(COUNTIFS(C$5:C795,C795,W$5:W795,1)=1,1,0),0)</f>
        <v>0</v>
      </c>
      <c r="Y795" s="30" t="n">
        <f aca="false">IF(C795="",0,IF(AND(B795="brand",E795="renewal_answer",TRIM(G795)="yes",N(F795)&gt;=Inputs!$C$135),1,0))</f>
        <v>0</v>
      </c>
      <c r="Z795" s="30" t="n">
        <f aca="false">IF(Y795=1,IF(COUNTIFS(C$5:C795,C795,Y$5:Y795,1)=1,1,0),0)</f>
        <v>0</v>
      </c>
      <c r="AA795" s="30" t="n">
        <f aca="false">IF(AND(E795="budget_probe",ISNUMBER(F795),I795&lt;&gt;Lists!$X$4),1,0)</f>
        <v>0</v>
      </c>
      <c r="AB795" s="30" t="str">
        <f aca="false">IF(AND(B795="office",AA795=1,COUNTIFS(C$5:C795,C795,AA$5:AA795,1)=1),F795,"")</f>
        <v/>
      </c>
      <c r="AC795" s="30" t="str">
        <f aca="false">IF(AND(B795="brand",AA795=1,COUNTIFS(C$5:C795,C795,AA$5:AA795,1)=1),F795,"")</f>
        <v/>
      </c>
      <c r="AD795" s="30" t="str">
        <f aca="false">IF(AND(B795="brand",E795="budget_probe",ISNUMBER(F795),I795=Lists!$X$4),IF(COUNTIFS(C$5:C795,C795,E$5:E795,"budget_probe",I$5:I795,Lists!$X$4)=1,F795,""),"")</f>
        <v/>
      </c>
      <c r="AE795" s="30" t="n">
        <f aca="false">IF(AND(B795="brand",E795="paid",ISNUMBER(F795)),IF(AND(SUMIFS(F$5:F795,B$5:B795,"brand",C$5:C795,C795,E$5:E795,"paid")&gt;=Inputs!$C$44,SUMIFS(F$5:F795,B$5:B795,"brand",C$5:C795,C795,E$5:E795,"paid")-F795&lt;Inputs!$C$44),1,0),0)</f>
        <v>0</v>
      </c>
    </row>
    <row r="796" customFormat="false" ht="15" hidden="false" customHeight="false" outlineLevel="0" collapsed="false">
      <c r="A796" s="102"/>
      <c r="B796" s="103"/>
      <c r="C796" s="103"/>
      <c r="D796" s="103"/>
      <c r="E796" s="103"/>
      <c r="F796" s="103"/>
      <c r="G796" s="103"/>
      <c r="H796" s="103"/>
      <c r="I796" s="103"/>
      <c r="T796" s="30" t="str">
        <f aca="false">IF(C796="","",IF(COUNTIFS(C$5:C796,C796,E$5:E796,E796)=1,1,0))</f>
        <v/>
      </c>
      <c r="U796" s="30" t="n">
        <f aca="false">IF(C796="",0,IF(AND(B796="brand",E796="budget_probe",N(F796)&gt;=Inputs!$C$124,H796="Y"),1,0))</f>
        <v>0</v>
      </c>
      <c r="V796" s="30" t="n">
        <f aca="false">IF(U796=1,IF(COUNTIFS(C$5:C796,C796,U$5:U796,1)=1,1,0),0)</f>
        <v>0</v>
      </c>
      <c r="W796" s="30" t="n">
        <f aca="false">IF(C796="",0,IF(AND(B796="office",E796="budget_probe",N(F796)&gt;=Inputs!$C$139),1,0))</f>
        <v>0</v>
      </c>
      <c r="X796" s="30" t="n">
        <f aca="false">IF(W796=1,IF(COUNTIFS(C$5:C796,C796,W$5:W796,1)=1,1,0),0)</f>
        <v>0</v>
      </c>
      <c r="Y796" s="30" t="n">
        <f aca="false">IF(C796="",0,IF(AND(B796="brand",E796="renewal_answer",TRIM(G796)="yes",N(F796)&gt;=Inputs!$C$135),1,0))</f>
        <v>0</v>
      </c>
      <c r="Z796" s="30" t="n">
        <f aca="false">IF(Y796=1,IF(COUNTIFS(C$5:C796,C796,Y$5:Y796,1)=1,1,0),0)</f>
        <v>0</v>
      </c>
      <c r="AA796" s="30" t="n">
        <f aca="false">IF(AND(E796="budget_probe",ISNUMBER(F796),I796&lt;&gt;Lists!$X$4),1,0)</f>
        <v>0</v>
      </c>
      <c r="AB796" s="30" t="str">
        <f aca="false">IF(AND(B796="office",AA796=1,COUNTIFS(C$5:C796,C796,AA$5:AA796,1)=1),F796,"")</f>
        <v/>
      </c>
      <c r="AC796" s="30" t="str">
        <f aca="false">IF(AND(B796="brand",AA796=1,COUNTIFS(C$5:C796,C796,AA$5:AA796,1)=1),F796,"")</f>
        <v/>
      </c>
      <c r="AD796" s="30" t="str">
        <f aca="false">IF(AND(B796="brand",E796="budget_probe",ISNUMBER(F796),I796=Lists!$X$4),IF(COUNTIFS(C$5:C796,C796,E$5:E796,"budget_probe",I$5:I796,Lists!$X$4)=1,F796,""),"")</f>
        <v/>
      </c>
      <c r="AE796" s="30" t="n">
        <f aca="false">IF(AND(B796="brand",E796="paid",ISNUMBER(F796)),IF(AND(SUMIFS(F$5:F796,B$5:B796,"brand",C$5:C796,C796,E$5:E796,"paid")&gt;=Inputs!$C$44,SUMIFS(F$5:F796,B$5:B796,"brand",C$5:C796,C796,E$5:E796,"paid")-F796&lt;Inputs!$C$44),1,0),0)</f>
        <v>0</v>
      </c>
    </row>
    <row r="797" customFormat="false" ht="15" hidden="false" customHeight="false" outlineLevel="0" collapsed="false">
      <c r="A797" s="102"/>
      <c r="B797" s="103"/>
      <c r="C797" s="103"/>
      <c r="D797" s="103"/>
      <c r="E797" s="103"/>
      <c r="F797" s="103"/>
      <c r="G797" s="103"/>
      <c r="H797" s="103"/>
      <c r="I797" s="103"/>
      <c r="T797" s="30" t="str">
        <f aca="false">IF(C797="","",IF(COUNTIFS(C$5:C797,C797,E$5:E797,E797)=1,1,0))</f>
        <v/>
      </c>
      <c r="U797" s="30" t="n">
        <f aca="false">IF(C797="",0,IF(AND(B797="brand",E797="budget_probe",N(F797)&gt;=Inputs!$C$124,H797="Y"),1,0))</f>
        <v>0</v>
      </c>
      <c r="V797" s="30" t="n">
        <f aca="false">IF(U797=1,IF(COUNTIFS(C$5:C797,C797,U$5:U797,1)=1,1,0),0)</f>
        <v>0</v>
      </c>
      <c r="W797" s="30" t="n">
        <f aca="false">IF(C797="",0,IF(AND(B797="office",E797="budget_probe",N(F797)&gt;=Inputs!$C$139),1,0))</f>
        <v>0</v>
      </c>
      <c r="X797" s="30" t="n">
        <f aca="false">IF(W797=1,IF(COUNTIFS(C$5:C797,C797,W$5:W797,1)=1,1,0),0)</f>
        <v>0</v>
      </c>
      <c r="Y797" s="30" t="n">
        <f aca="false">IF(C797="",0,IF(AND(B797="brand",E797="renewal_answer",TRIM(G797)="yes",N(F797)&gt;=Inputs!$C$135),1,0))</f>
        <v>0</v>
      </c>
      <c r="Z797" s="30" t="n">
        <f aca="false">IF(Y797=1,IF(COUNTIFS(C$5:C797,C797,Y$5:Y797,1)=1,1,0),0)</f>
        <v>0</v>
      </c>
      <c r="AA797" s="30" t="n">
        <f aca="false">IF(AND(E797="budget_probe",ISNUMBER(F797),I797&lt;&gt;Lists!$X$4),1,0)</f>
        <v>0</v>
      </c>
      <c r="AB797" s="30" t="str">
        <f aca="false">IF(AND(B797="office",AA797=1,COUNTIFS(C$5:C797,C797,AA$5:AA797,1)=1),F797,"")</f>
        <v/>
      </c>
      <c r="AC797" s="30" t="str">
        <f aca="false">IF(AND(B797="brand",AA797=1,COUNTIFS(C$5:C797,C797,AA$5:AA797,1)=1),F797,"")</f>
        <v/>
      </c>
      <c r="AD797" s="30" t="str">
        <f aca="false">IF(AND(B797="brand",E797="budget_probe",ISNUMBER(F797),I797=Lists!$X$4),IF(COUNTIFS(C$5:C797,C797,E$5:E797,"budget_probe",I$5:I797,Lists!$X$4)=1,F797,""),"")</f>
        <v/>
      </c>
      <c r="AE797" s="30" t="n">
        <f aca="false">IF(AND(B797="brand",E797="paid",ISNUMBER(F797)),IF(AND(SUMIFS(F$5:F797,B$5:B797,"brand",C$5:C797,C797,E$5:E797,"paid")&gt;=Inputs!$C$44,SUMIFS(F$5:F797,B$5:B797,"brand",C$5:C797,C797,E$5:E797,"paid")-F797&lt;Inputs!$C$44),1,0),0)</f>
        <v>0</v>
      </c>
    </row>
    <row r="798" customFormat="false" ht="15" hidden="false" customHeight="false" outlineLevel="0" collapsed="false">
      <c r="A798" s="102"/>
      <c r="B798" s="103"/>
      <c r="C798" s="103"/>
      <c r="D798" s="103"/>
      <c r="E798" s="103"/>
      <c r="F798" s="103"/>
      <c r="G798" s="103"/>
      <c r="H798" s="103"/>
      <c r="I798" s="103"/>
      <c r="T798" s="30" t="str">
        <f aca="false">IF(C798="","",IF(COUNTIFS(C$5:C798,C798,E$5:E798,E798)=1,1,0))</f>
        <v/>
      </c>
      <c r="U798" s="30" t="n">
        <f aca="false">IF(C798="",0,IF(AND(B798="brand",E798="budget_probe",N(F798)&gt;=Inputs!$C$124,H798="Y"),1,0))</f>
        <v>0</v>
      </c>
      <c r="V798" s="30" t="n">
        <f aca="false">IF(U798=1,IF(COUNTIFS(C$5:C798,C798,U$5:U798,1)=1,1,0),0)</f>
        <v>0</v>
      </c>
      <c r="W798" s="30" t="n">
        <f aca="false">IF(C798="",0,IF(AND(B798="office",E798="budget_probe",N(F798)&gt;=Inputs!$C$139),1,0))</f>
        <v>0</v>
      </c>
      <c r="X798" s="30" t="n">
        <f aca="false">IF(W798=1,IF(COUNTIFS(C$5:C798,C798,W$5:W798,1)=1,1,0),0)</f>
        <v>0</v>
      </c>
      <c r="Y798" s="30" t="n">
        <f aca="false">IF(C798="",0,IF(AND(B798="brand",E798="renewal_answer",TRIM(G798)="yes",N(F798)&gt;=Inputs!$C$135),1,0))</f>
        <v>0</v>
      </c>
      <c r="Z798" s="30" t="n">
        <f aca="false">IF(Y798=1,IF(COUNTIFS(C$5:C798,C798,Y$5:Y798,1)=1,1,0),0)</f>
        <v>0</v>
      </c>
      <c r="AA798" s="30" t="n">
        <f aca="false">IF(AND(E798="budget_probe",ISNUMBER(F798),I798&lt;&gt;Lists!$X$4),1,0)</f>
        <v>0</v>
      </c>
      <c r="AB798" s="30" t="str">
        <f aca="false">IF(AND(B798="office",AA798=1,COUNTIFS(C$5:C798,C798,AA$5:AA798,1)=1),F798,"")</f>
        <v/>
      </c>
      <c r="AC798" s="30" t="str">
        <f aca="false">IF(AND(B798="brand",AA798=1,COUNTIFS(C$5:C798,C798,AA$5:AA798,1)=1),F798,"")</f>
        <v/>
      </c>
      <c r="AD798" s="30" t="str">
        <f aca="false">IF(AND(B798="brand",E798="budget_probe",ISNUMBER(F798),I798=Lists!$X$4),IF(COUNTIFS(C$5:C798,C798,E$5:E798,"budget_probe",I$5:I798,Lists!$X$4)=1,F798,""),"")</f>
        <v/>
      </c>
      <c r="AE798" s="30" t="n">
        <f aca="false">IF(AND(B798="brand",E798="paid",ISNUMBER(F798)),IF(AND(SUMIFS(F$5:F798,B$5:B798,"brand",C$5:C798,C798,E$5:E798,"paid")&gt;=Inputs!$C$44,SUMIFS(F$5:F798,B$5:B798,"brand",C$5:C798,C798,E$5:E798,"paid")-F798&lt;Inputs!$C$44),1,0),0)</f>
        <v>0</v>
      </c>
    </row>
    <row r="799" customFormat="false" ht="15" hidden="false" customHeight="false" outlineLevel="0" collapsed="false">
      <c r="A799" s="102"/>
      <c r="B799" s="103"/>
      <c r="C799" s="103"/>
      <c r="D799" s="103"/>
      <c r="E799" s="103"/>
      <c r="F799" s="103"/>
      <c r="G799" s="103"/>
      <c r="H799" s="103"/>
      <c r="I799" s="103"/>
      <c r="T799" s="30" t="str">
        <f aca="false">IF(C799="","",IF(COUNTIFS(C$5:C799,C799,E$5:E799,E799)=1,1,0))</f>
        <v/>
      </c>
      <c r="U799" s="30" t="n">
        <f aca="false">IF(C799="",0,IF(AND(B799="brand",E799="budget_probe",N(F799)&gt;=Inputs!$C$124,H799="Y"),1,0))</f>
        <v>0</v>
      </c>
      <c r="V799" s="30" t="n">
        <f aca="false">IF(U799=1,IF(COUNTIFS(C$5:C799,C799,U$5:U799,1)=1,1,0),0)</f>
        <v>0</v>
      </c>
      <c r="W799" s="30" t="n">
        <f aca="false">IF(C799="",0,IF(AND(B799="office",E799="budget_probe",N(F799)&gt;=Inputs!$C$139),1,0))</f>
        <v>0</v>
      </c>
      <c r="X799" s="30" t="n">
        <f aca="false">IF(W799=1,IF(COUNTIFS(C$5:C799,C799,W$5:W799,1)=1,1,0),0)</f>
        <v>0</v>
      </c>
      <c r="Y799" s="30" t="n">
        <f aca="false">IF(C799="",0,IF(AND(B799="brand",E799="renewal_answer",TRIM(G799)="yes",N(F799)&gt;=Inputs!$C$135),1,0))</f>
        <v>0</v>
      </c>
      <c r="Z799" s="30" t="n">
        <f aca="false">IF(Y799=1,IF(COUNTIFS(C$5:C799,C799,Y$5:Y799,1)=1,1,0),0)</f>
        <v>0</v>
      </c>
      <c r="AA799" s="30" t="n">
        <f aca="false">IF(AND(E799="budget_probe",ISNUMBER(F799),I799&lt;&gt;Lists!$X$4),1,0)</f>
        <v>0</v>
      </c>
      <c r="AB799" s="30" t="str">
        <f aca="false">IF(AND(B799="office",AA799=1,COUNTIFS(C$5:C799,C799,AA$5:AA799,1)=1),F799,"")</f>
        <v/>
      </c>
      <c r="AC799" s="30" t="str">
        <f aca="false">IF(AND(B799="brand",AA799=1,COUNTIFS(C$5:C799,C799,AA$5:AA799,1)=1),F799,"")</f>
        <v/>
      </c>
      <c r="AD799" s="30" t="str">
        <f aca="false">IF(AND(B799="brand",E799="budget_probe",ISNUMBER(F799),I799=Lists!$X$4),IF(COUNTIFS(C$5:C799,C799,E$5:E799,"budget_probe",I$5:I799,Lists!$X$4)=1,F799,""),"")</f>
        <v/>
      </c>
      <c r="AE799" s="30" t="n">
        <f aca="false">IF(AND(B799="brand",E799="paid",ISNUMBER(F799)),IF(AND(SUMIFS(F$5:F799,B$5:B799,"brand",C$5:C799,C799,E$5:E799,"paid")&gt;=Inputs!$C$44,SUMIFS(F$5:F799,B$5:B799,"brand",C$5:C799,C799,E$5:E799,"paid")-F799&lt;Inputs!$C$44),1,0),0)</f>
        <v>0</v>
      </c>
    </row>
    <row r="800" customFormat="false" ht="15" hidden="false" customHeight="false" outlineLevel="0" collapsed="false">
      <c r="A800" s="102"/>
      <c r="B800" s="103"/>
      <c r="C800" s="103"/>
      <c r="D800" s="103"/>
      <c r="E800" s="103"/>
      <c r="F800" s="103"/>
      <c r="G800" s="103"/>
      <c r="H800" s="103"/>
      <c r="I800" s="103"/>
      <c r="T800" s="30" t="str">
        <f aca="false">IF(C800="","",IF(COUNTIFS(C$5:C800,C800,E$5:E800,E800)=1,1,0))</f>
        <v/>
      </c>
      <c r="U800" s="30" t="n">
        <f aca="false">IF(C800="",0,IF(AND(B800="brand",E800="budget_probe",N(F800)&gt;=Inputs!$C$124,H800="Y"),1,0))</f>
        <v>0</v>
      </c>
      <c r="V800" s="30" t="n">
        <f aca="false">IF(U800=1,IF(COUNTIFS(C$5:C800,C800,U$5:U800,1)=1,1,0),0)</f>
        <v>0</v>
      </c>
      <c r="W800" s="30" t="n">
        <f aca="false">IF(C800="",0,IF(AND(B800="office",E800="budget_probe",N(F800)&gt;=Inputs!$C$139),1,0))</f>
        <v>0</v>
      </c>
      <c r="X800" s="30" t="n">
        <f aca="false">IF(W800=1,IF(COUNTIFS(C$5:C800,C800,W$5:W800,1)=1,1,0),0)</f>
        <v>0</v>
      </c>
      <c r="Y800" s="30" t="n">
        <f aca="false">IF(C800="",0,IF(AND(B800="brand",E800="renewal_answer",TRIM(G800)="yes",N(F800)&gt;=Inputs!$C$135),1,0))</f>
        <v>0</v>
      </c>
      <c r="Z800" s="30" t="n">
        <f aca="false">IF(Y800=1,IF(COUNTIFS(C$5:C800,C800,Y$5:Y800,1)=1,1,0),0)</f>
        <v>0</v>
      </c>
      <c r="AA800" s="30" t="n">
        <f aca="false">IF(AND(E800="budget_probe",ISNUMBER(F800),I800&lt;&gt;Lists!$X$4),1,0)</f>
        <v>0</v>
      </c>
      <c r="AB800" s="30" t="str">
        <f aca="false">IF(AND(B800="office",AA800=1,COUNTIFS(C$5:C800,C800,AA$5:AA800,1)=1),F800,"")</f>
        <v/>
      </c>
      <c r="AC800" s="30" t="str">
        <f aca="false">IF(AND(B800="brand",AA800=1,COUNTIFS(C$5:C800,C800,AA$5:AA800,1)=1),F800,"")</f>
        <v/>
      </c>
      <c r="AD800" s="30" t="str">
        <f aca="false">IF(AND(B800="brand",E800="budget_probe",ISNUMBER(F800),I800=Lists!$X$4),IF(COUNTIFS(C$5:C800,C800,E$5:E800,"budget_probe",I$5:I800,Lists!$X$4)=1,F800,""),"")</f>
        <v/>
      </c>
      <c r="AE800" s="30" t="n">
        <f aca="false">IF(AND(B800="brand",E800="paid",ISNUMBER(F800)),IF(AND(SUMIFS(F$5:F800,B$5:B800,"brand",C$5:C800,C800,E$5:E800,"paid")&gt;=Inputs!$C$44,SUMIFS(F$5:F800,B$5:B800,"brand",C$5:C800,C800,E$5:E800,"paid")-F800&lt;Inputs!$C$44),1,0),0)</f>
        <v>0</v>
      </c>
    </row>
    <row r="801" customFormat="false" ht="15" hidden="false" customHeight="false" outlineLevel="0" collapsed="false">
      <c r="A801" s="102"/>
      <c r="B801" s="103"/>
      <c r="C801" s="103"/>
      <c r="D801" s="103"/>
      <c r="E801" s="103"/>
      <c r="F801" s="103"/>
      <c r="G801" s="103"/>
      <c r="H801" s="103"/>
      <c r="I801" s="103"/>
      <c r="T801" s="30" t="str">
        <f aca="false">IF(C801="","",IF(COUNTIFS(C$5:C801,C801,E$5:E801,E801)=1,1,0))</f>
        <v/>
      </c>
      <c r="U801" s="30" t="n">
        <f aca="false">IF(C801="",0,IF(AND(B801="brand",E801="budget_probe",N(F801)&gt;=Inputs!$C$124,H801="Y"),1,0))</f>
        <v>0</v>
      </c>
      <c r="V801" s="30" t="n">
        <f aca="false">IF(U801=1,IF(COUNTIFS(C$5:C801,C801,U$5:U801,1)=1,1,0),0)</f>
        <v>0</v>
      </c>
      <c r="W801" s="30" t="n">
        <f aca="false">IF(C801="",0,IF(AND(B801="office",E801="budget_probe",N(F801)&gt;=Inputs!$C$139),1,0))</f>
        <v>0</v>
      </c>
      <c r="X801" s="30" t="n">
        <f aca="false">IF(W801=1,IF(COUNTIFS(C$5:C801,C801,W$5:W801,1)=1,1,0),0)</f>
        <v>0</v>
      </c>
      <c r="Y801" s="30" t="n">
        <f aca="false">IF(C801="",0,IF(AND(B801="brand",E801="renewal_answer",TRIM(G801)="yes",N(F801)&gt;=Inputs!$C$135),1,0))</f>
        <v>0</v>
      </c>
      <c r="Z801" s="30" t="n">
        <f aca="false">IF(Y801=1,IF(COUNTIFS(C$5:C801,C801,Y$5:Y801,1)=1,1,0),0)</f>
        <v>0</v>
      </c>
      <c r="AA801" s="30" t="n">
        <f aca="false">IF(AND(E801="budget_probe",ISNUMBER(F801),I801&lt;&gt;Lists!$X$4),1,0)</f>
        <v>0</v>
      </c>
      <c r="AB801" s="30" t="str">
        <f aca="false">IF(AND(B801="office",AA801=1,COUNTIFS(C$5:C801,C801,AA$5:AA801,1)=1),F801,"")</f>
        <v/>
      </c>
      <c r="AC801" s="30" t="str">
        <f aca="false">IF(AND(B801="brand",AA801=1,COUNTIFS(C$5:C801,C801,AA$5:AA801,1)=1),F801,"")</f>
        <v/>
      </c>
      <c r="AD801" s="30" t="str">
        <f aca="false">IF(AND(B801="brand",E801="budget_probe",ISNUMBER(F801),I801=Lists!$X$4),IF(COUNTIFS(C$5:C801,C801,E$5:E801,"budget_probe",I$5:I801,Lists!$X$4)=1,F801,""),"")</f>
        <v/>
      </c>
      <c r="AE801" s="30" t="n">
        <f aca="false">IF(AND(B801="brand",E801="paid",ISNUMBER(F801)),IF(AND(SUMIFS(F$5:F801,B$5:B801,"brand",C$5:C801,C801,E$5:E801,"paid")&gt;=Inputs!$C$44,SUMIFS(F$5:F801,B$5:B801,"brand",C$5:C801,C801,E$5:E801,"paid")-F801&lt;Inputs!$C$44),1,0),0)</f>
        <v>0</v>
      </c>
    </row>
    <row r="802" customFormat="false" ht="15" hidden="false" customHeight="false" outlineLevel="0" collapsed="false">
      <c r="A802" s="102"/>
      <c r="B802" s="103"/>
      <c r="C802" s="103"/>
      <c r="D802" s="103"/>
      <c r="E802" s="103"/>
      <c r="F802" s="103"/>
      <c r="G802" s="103"/>
      <c r="H802" s="103"/>
      <c r="I802" s="103"/>
      <c r="T802" s="30" t="str">
        <f aca="false">IF(C802="","",IF(COUNTIFS(C$5:C802,C802,E$5:E802,E802)=1,1,0))</f>
        <v/>
      </c>
      <c r="U802" s="30" t="n">
        <f aca="false">IF(C802="",0,IF(AND(B802="brand",E802="budget_probe",N(F802)&gt;=Inputs!$C$124,H802="Y"),1,0))</f>
        <v>0</v>
      </c>
      <c r="V802" s="30" t="n">
        <f aca="false">IF(U802=1,IF(COUNTIFS(C$5:C802,C802,U$5:U802,1)=1,1,0),0)</f>
        <v>0</v>
      </c>
      <c r="W802" s="30" t="n">
        <f aca="false">IF(C802="",0,IF(AND(B802="office",E802="budget_probe",N(F802)&gt;=Inputs!$C$139),1,0))</f>
        <v>0</v>
      </c>
      <c r="X802" s="30" t="n">
        <f aca="false">IF(W802=1,IF(COUNTIFS(C$5:C802,C802,W$5:W802,1)=1,1,0),0)</f>
        <v>0</v>
      </c>
      <c r="Y802" s="30" t="n">
        <f aca="false">IF(C802="",0,IF(AND(B802="brand",E802="renewal_answer",TRIM(G802)="yes",N(F802)&gt;=Inputs!$C$135),1,0))</f>
        <v>0</v>
      </c>
      <c r="Z802" s="30" t="n">
        <f aca="false">IF(Y802=1,IF(COUNTIFS(C$5:C802,C802,Y$5:Y802,1)=1,1,0),0)</f>
        <v>0</v>
      </c>
      <c r="AA802" s="30" t="n">
        <f aca="false">IF(AND(E802="budget_probe",ISNUMBER(F802),I802&lt;&gt;Lists!$X$4),1,0)</f>
        <v>0</v>
      </c>
      <c r="AB802" s="30" t="str">
        <f aca="false">IF(AND(B802="office",AA802=1,COUNTIFS(C$5:C802,C802,AA$5:AA802,1)=1),F802,"")</f>
        <v/>
      </c>
      <c r="AC802" s="30" t="str">
        <f aca="false">IF(AND(B802="brand",AA802=1,COUNTIFS(C$5:C802,C802,AA$5:AA802,1)=1),F802,"")</f>
        <v/>
      </c>
      <c r="AD802" s="30" t="str">
        <f aca="false">IF(AND(B802="brand",E802="budget_probe",ISNUMBER(F802),I802=Lists!$X$4),IF(COUNTIFS(C$5:C802,C802,E$5:E802,"budget_probe",I$5:I802,Lists!$X$4)=1,F802,""),"")</f>
        <v/>
      </c>
      <c r="AE802" s="30" t="n">
        <f aca="false">IF(AND(B802="brand",E802="paid",ISNUMBER(F802)),IF(AND(SUMIFS(F$5:F802,B$5:B802,"brand",C$5:C802,C802,E$5:E802,"paid")&gt;=Inputs!$C$44,SUMIFS(F$5:F802,B$5:B802,"brand",C$5:C802,C802,E$5:E802,"paid")-F802&lt;Inputs!$C$44),1,0),0)</f>
        <v>0</v>
      </c>
    </row>
    <row r="803" customFormat="false" ht="15" hidden="false" customHeight="false" outlineLevel="0" collapsed="false">
      <c r="A803" s="102"/>
      <c r="B803" s="103"/>
      <c r="C803" s="103"/>
      <c r="D803" s="103"/>
      <c r="E803" s="103"/>
      <c r="F803" s="103"/>
      <c r="G803" s="103"/>
      <c r="H803" s="103"/>
      <c r="I803" s="103"/>
      <c r="T803" s="30" t="str">
        <f aca="false">IF(C803="","",IF(COUNTIFS(C$5:C803,C803,E$5:E803,E803)=1,1,0))</f>
        <v/>
      </c>
      <c r="U803" s="30" t="n">
        <f aca="false">IF(C803="",0,IF(AND(B803="brand",E803="budget_probe",N(F803)&gt;=Inputs!$C$124,H803="Y"),1,0))</f>
        <v>0</v>
      </c>
      <c r="V803" s="30" t="n">
        <f aca="false">IF(U803=1,IF(COUNTIFS(C$5:C803,C803,U$5:U803,1)=1,1,0),0)</f>
        <v>0</v>
      </c>
      <c r="W803" s="30" t="n">
        <f aca="false">IF(C803="",0,IF(AND(B803="office",E803="budget_probe",N(F803)&gt;=Inputs!$C$139),1,0))</f>
        <v>0</v>
      </c>
      <c r="X803" s="30" t="n">
        <f aca="false">IF(W803=1,IF(COUNTIFS(C$5:C803,C803,W$5:W803,1)=1,1,0),0)</f>
        <v>0</v>
      </c>
      <c r="Y803" s="30" t="n">
        <f aca="false">IF(C803="",0,IF(AND(B803="brand",E803="renewal_answer",TRIM(G803)="yes",N(F803)&gt;=Inputs!$C$135),1,0))</f>
        <v>0</v>
      </c>
      <c r="Z803" s="30" t="n">
        <f aca="false">IF(Y803=1,IF(COUNTIFS(C$5:C803,C803,Y$5:Y803,1)=1,1,0),0)</f>
        <v>0</v>
      </c>
      <c r="AA803" s="30" t="n">
        <f aca="false">IF(AND(E803="budget_probe",ISNUMBER(F803),I803&lt;&gt;Lists!$X$4),1,0)</f>
        <v>0</v>
      </c>
      <c r="AB803" s="30" t="str">
        <f aca="false">IF(AND(B803="office",AA803=1,COUNTIFS(C$5:C803,C803,AA$5:AA803,1)=1),F803,"")</f>
        <v/>
      </c>
      <c r="AC803" s="30" t="str">
        <f aca="false">IF(AND(B803="brand",AA803=1,COUNTIFS(C$5:C803,C803,AA$5:AA803,1)=1),F803,"")</f>
        <v/>
      </c>
      <c r="AD803" s="30" t="str">
        <f aca="false">IF(AND(B803="brand",E803="budget_probe",ISNUMBER(F803),I803=Lists!$X$4),IF(COUNTIFS(C$5:C803,C803,E$5:E803,"budget_probe",I$5:I803,Lists!$X$4)=1,F803,""),"")</f>
        <v/>
      </c>
      <c r="AE803" s="30" t="n">
        <f aca="false">IF(AND(B803="brand",E803="paid",ISNUMBER(F803)),IF(AND(SUMIFS(F$5:F803,B$5:B803,"brand",C$5:C803,C803,E$5:E803,"paid")&gt;=Inputs!$C$44,SUMIFS(F$5:F803,B$5:B803,"brand",C$5:C803,C803,E$5:E803,"paid")-F803&lt;Inputs!$C$44),1,0),0)</f>
        <v>0</v>
      </c>
    </row>
    <row r="804" customFormat="false" ht="15" hidden="false" customHeight="false" outlineLevel="0" collapsed="false">
      <c r="A804" s="102"/>
      <c r="B804" s="103"/>
      <c r="C804" s="103"/>
      <c r="D804" s="103"/>
      <c r="E804" s="103"/>
      <c r="F804" s="103"/>
      <c r="G804" s="103"/>
      <c r="H804" s="103"/>
      <c r="I804" s="103"/>
      <c r="T804" s="30" t="str">
        <f aca="false">IF(C804="","",IF(COUNTIFS(C$5:C804,C804,E$5:E804,E804)=1,1,0))</f>
        <v/>
      </c>
      <c r="U804" s="30" t="n">
        <f aca="false">IF(C804="",0,IF(AND(B804="brand",E804="budget_probe",N(F804)&gt;=Inputs!$C$124,H804="Y"),1,0))</f>
        <v>0</v>
      </c>
      <c r="V804" s="30" t="n">
        <f aca="false">IF(U804=1,IF(COUNTIFS(C$5:C804,C804,U$5:U804,1)=1,1,0),0)</f>
        <v>0</v>
      </c>
      <c r="W804" s="30" t="n">
        <f aca="false">IF(C804="",0,IF(AND(B804="office",E804="budget_probe",N(F804)&gt;=Inputs!$C$139),1,0))</f>
        <v>0</v>
      </c>
      <c r="X804" s="30" t="n">
        <f aca="false">IF(W804=1,IF(COUNTIFS(C$5:C804,C804,W$5:W804,1)=1,1,0),0)</f>
        <v>0</v>
      </c>
      <c r="Y804" s="30" t="n">
        <f aca="false">IF(C804="",0,IF(AND(B804="brand",E804="renewal_answer",TRIM(G804)="yes",N(F804)&gt;=Inputs!$C$135),1,0))</f>
        <v>0</v>
      </c>
      <c r="Z804" s="30" t="n">
        <f aca="false">IF(Y804=1,IF(COUNTIFS(C$5:C804,C804,Y$5:Y804,1)=1,1,0),0)</f>
        <v>0</v>
      </c>
      <c r="AA804" s="30" t="n">
        <f aca="false">IF(AND(E804="budget_probe",ISNUMBER(F804),I804&lt;&gt;Lists!$X$4),1,0)</f>
        <v>0</v>
      </c>
      <c r="AB804" s="30" t="str">
        <f aca="false">IF(AND(B804="office",AA804=1,COUNTIFS(C$5:C804,C804,AA$5:AA804,1)=1),F804,"")</f>
        <v/>
      </c>
      <c r="AC804" s="30" t="str">
        <f aca="false">IF(AND(B804="brand",AA804=1,COUNTIFS(C$5:C804,C804,AA$5:AA804,1)=1),F804,"")</f>
        <v/>
      </c>
      <c r="AD804" s="30" t="str">
        <f aca="false">IF(AND(B804="brand",E804="budget_probe",ISNUMBER(F804),I804=Lists!$X$4),IF(COUNTIFS(C$5:C804,C804,E$5:E804,"budget_probe",I$5:I804,Lists!$X$4)=1,F804,""),"")</f>
        <v/>
      </c>
      <c r="AE804" s="30" t="n">
        <f aca="false">IF(AND(B804="brand",E804="paid",ISNUMBER(F804)),IF(AND(SUMIFS(F$5:F804,B$5:B804,"brand",C$5:C804,C804,E$5:E804,"paid")&gt;=Inputs!$C$44,SUMIFS(F$5:F804,B$5:B804,"brand",C$5:C804,C804,E$5:E804,"paid")-F804&lt;Inputs!$C$44),1,0),0)</f>
        <v>0</v>
      </c>
    </row>
    <row r="805" customFormat="false" ht="15" hidden="false" customHeight="false" outlineLevel="0" collapsed="false">
      <c r="A805" s="102"/>
      <c r="B805" s="103"/>
      <c r="C805" s="103"/>
      <c r="D805" s="103"/>
      <c r="E805" s="103"/>
      <c r="F805" s="103"/>
      <c r="G805" s="103"/>
      <c r="H805" s="103"/>
      <c r="I805" s="103"/>
      <c r="T805" s="30" t="str">
        <f aca="false">IF(C805="","",IF(COUNTIFS(C$5:C805,C805,E$5:E805,E805)=1,1,0))</f>
        <v/>
      </c>
      <c r="U805" s="30" t="n">
        <f aca="false">IF(C805="",0,IF(AND(B805="brand",E805="budget_probe",N(F805)&gt;=Inputs!$C$124,H805="Y"),1,0))</f>
        <v>0</v>
      </c>
      <c r="V805" s="30" t="n">
        <f aca="false">IF(U805=1,IF(COUNTIFS(C$5:C805,C805,U$5:U805,1)=1,1,0),0)</f>
        <v>0</v>
      </c>
      <c r="W805" s="30" t="n">
        <f aca="false">IF(C805="",0,IF(AND(B805="office",E805="budget_probe",N(F805)&gt;=Inputs!$C$139),1,0))</f>
        <v>0</v>
      </c>
      <c r="X805" s="30" t="n">
        <f aca="false">IF(W805=1,IF(COUNTIFS(C$5:C805,C805,W$5:W805,1)=1,1,0),0)</f>
        <v>0</v>
      </c>
      <c r="Y805" s="30" t="n">
        <f aca="false">IF(C805="",0,IF(AND(B805="brand",E805="renewal_answer",TRIM(G805)="yes",N(F805)&gt;=Inputs!$C$135),1,0))</f>
        <v>0</v>
      </c>
      <c r="Z805" s="30" t="n">
        <f aca="false">IF(Y805=1,IF(COUNTIFS(C$5:C805,C805,Y$5:Y805,1)=1,1,0),0)</f>
        <v>0</v>
      </c>
      <c r="AA805" s="30" t="n">
        <f aca="false">IF(AND(E805="budget_probe",ISNUMBER(F805),I805&lt;&gt;Lists!$X$4),1,0)</f>
        <v>0</v>
      </c>
      <c r="AB805" s="30" t="str">
        <f aca="false">IF(AND(B805="office",AA805=1,COUNTIFS(C$5:C805,C805,AA$5:AA805,1)=1),F805,"")</f>
        <v/>
      </c>
      <c r="AC805" s="30" t="str">
        <f aca="false">IF(AND(B805="brand",AA805=1,COUNTIFS(C$5:C805,C805,AA$5:AA805,1)=1),F805,"")</f>
        <v/>
      </c>
      <c r="AD805" s="30" t="str">
        <f aca="false">IF(AND(B805="brand",E805="budget_probe",ISNUMBER(F805),I805=Lists!$X$4),IF(COUNTIFS(C$5:C805,C805,E$5:E805,"budget_probe",I$5:I805,Lists!$X$4)=1,F805,""),"")</f>
        <v/>
      </c>
      <c r="AE805" s="30" t="n">
        <f aca="false">IF(AND(B805="brand",E805="paid",ISNUMBER(F805)),IF(AND(SUMIFS(F$5:F805,B$5:B805,"brand",C$5:C805,C805,E$5:E805,"paid")&gt;=Inputs!$C$44,SUMIFS(F$5:F805,B$5:B805,"brand",C$5:C805,C805,E$5:E805,"paid")-F805&lt;Inputs!$C$44),1,0),0)</f>
        <v>0</v>
      </c>
    </row>
    <row r="806" customFormat="false" ht="15" hidden="false" customHeight="false" outlineLevel="0" collapsed="false">
      <c r="A806" s="102"/>
      <c r="B806" s="103"/>
      <c r="C806" s="103"/>
      <c r="D806" s="103"/>
      <c r="E806" s="103"/>
      <c r="F806" s="103"/>
      <c r="G806" s="103"/>
      <c r="H806" s="103"/>
      <c r="I806" s="103"/>
      <c r="T806" s="30" t="str">
        <f aca="false">IF(C806="","",IF(COUNTIFS(C$5:C806,C806,E$5:E806,E806)=1,1,0))</f>
        <v/>
      </c>
      <c r="U806" s="30" t="n">
        <f aca="false">IF(C806="",0,IF(AND(B806="brand",E806="budget_probe",N(F806)&gt;=Inputs!$C$124,H806="Y"),1,0))</f>
        <v>0</v>
      </c>
      <c r="V806" s="30" t="n">
        <f aca="false">IF(U806=1,IF(COUNTIFS(C$5:C806,C806,U$5:U806,1)=1,1,0),0)</f>
        <v>0</v>
      </c>
      <c r="W806" s="30" t="n">
        <f aca="false">IF(C806="",0,IF(AND(B806="office",E806="budget_probe",N(F806)&gt;=Inputs!$C$139),1,0))</f>
        <v>0</v>
      </c>
      <c r="X806" s="30" t="n">
        <f aca="false">IF(W806=1,IF(COUNTIFS(C$5:C806,C806,W$5:W806,1)=1,1,0),0)</f>
        <v>0</v>
      </c>
      <c r="Y806" s="30" t="n">
        <f aca="false">IF(C806="",0,IF(AND(B806="brand",E806="renewal_answer",TRIM(G806)="yes",N(F806)&gt;=Inputs!$C$135),1,0))</f>
        <v>0</v>
      </c>
      <c r="Z806" s="30" t="n">
        <f aca="false">IF(Y806=1,IF(COUNTIFS(C$5:C806,C806,Y$5:Y806,1)=1,1,0),0)</f>
        <v>0</v>
      </c>
      <c r="AA806" s="30" t="n">
        <f aca="false">IF(AND(E806="budget_probe",ISNUMBER(F806),I806&lt;&gt;Lists!$X$4),1,0)</f>
        <v>0</v>
      </c>
      <c r="AB806" s="30" t="str">
        <f aca="false">IF(AND(B806="office",AA806=1,COUNTIFS(C$5:C806,C806,AA$5:AA806,1)=1),F806,"")</f>
        <v/>
      </c>
      <c r="AC806" s="30" t="str">
        <f aca="false">IF(AND(B806="brand",AA806=1,COUNTIFS(C$5:C806,C806,AA$5:AA806,1)=1),F806,"")</f>
        <v/>
      </c>
      <c r="AD806" s="30" t="str">
        <f aca="false">IF(AND(B806="brand",E806="budget_probe",ISNUMBER(F806),I806=Lists!$X$4),IF(COUNTIFS(C$5:C806,C806,E$5:E806,"budget_probe",I$5:I806,Lists!$X$4)=1,F806,""),"")</f>
        <v/>
      </c>
      <c r="AE806" s="30" t="n">
        <f aca="false">IF(AND(B806="brand",E806="paid",ISNUMBER(F806)),IF(AND(SUMIFS(F$5:F806,B$5:B806,"brand",C$5:C806,C806,E$5:E806,"paid")&gt;=Inputs!$C$44,SUMIFS(F$5:F806,B$5:B806,"brand",C$5:C806,C806,E$5:E806,"paid")-F806&lt;Inputs!$C$44),1,0),0)</f>
        <v>0</v>
      </c>
    </row>
    <row r="807" customFormat="false" ht="15" hidden="false" customHeight="false" outlineLevel="0" collapsed="false">
      <c r="A807" s="102"/>
      <c r="B807" s="103"/>
      <c r="C807" s="103"/>
      <c r="D807" s="103"/>
      <c r="E807" s="103"/>
      <c r="F807" s="103"/>
      <c r="G807" s="103"/>
      <c r="H807" s="103"/>
      <c r="I807" s="103"/>
      <c r="T807" s="30" t="str">
        <f aca="false">IF(C807="","",IF(COUNTIFS(C$5:C807,C807,E$5:E807,E807)=1,1,0))</f>
        <v/>
      </c>
      <c r="U807" s="30" t="n">
        <f aca="false">IF(C807="",0,IF(AND(B807="brand",E807="budget_probe",N(F807)&gt;=Inputs!$C$124,H807="Y"),1,0))</f>
        <v>0</v>
      </c>
      <c r="V807" s="30" t="n">
        <f aca="false">IF(U807=1,IF(COUNTIFS(C$5:C807,C807,U$5:U807,1)=1,1,0),0)</f>
        <v>0</v>
      </c>
      <c r="W807" s="30" t="n">
        <f aca="false">IF(C807="",0,IF(AND(B807="office",E807="budget_probe",N(F807)&gt;=Inputs!$C$139),1,0))</f>
        <v>0</v>
      </c>
      <c r="X807" s="30" t="n">
        <f aca="false">IF(W807=1,IF(COUNTIFS(C$5:C807,C807,W$5:W807,1)=1,1,0),0)</f>
        <v>0</v>
      </c>
      <c r="Y807" s="30" t="n">
        <f aca="false">IF(C807="",0,IF(AND(B807="brand",E807="renewal_answer",TRIM(G807)="yes",N(F807)&gt;=Inputs!$C$135),1,0))</f>
        <v>0</v>
      </c>
      <c r="Z807" s="30" t="n">
        <f aca="false">IF(Y807=1,IF(COUNTIFS(C$5:C807,C807,Y$5:Y807,1)=1,1,0),0)</f>
        <v>0</v>
      </c>
      <c r="AA807" s="30" t="n">
        <f aca="false">IF(AND(E807="budget_probe",ISNUMBER(F807),I807&lt;&gt;Lists!$X$4),1,0)</f>
        <v>0</v>
      </c>
      <c r="AB807" s="30" t="str">
        <f aca="false">IF(AND(B807="office",AA807=1,COUNTIFS(C$5:C807,C807,AA$5:AA807,1)=1),F807,"")</f>
        <v/>
      </c>
      <c r="AC807" s="30" t="str">
        <f aca="false">IF(AND(B807="brand",AA807=1,COUNTIFS(C$5:C807,C807,AA$5:AA807,1)=1),F807,"")</f>
        <v/>
      </c>
      <c r="AD807" s="30" t="str">
        <f aca="false">IF(AND(B807="brand",E807="budget_probe",ISNUMBER(F807),I807=Lists!$X$4),IF(COUNTIFS(C$5:C807,C807,E$5:E807,"budget_probe",I$5:I807,Lists!$X$4)=1,F807,""),"")</f>
        <v/>
      </c>
      <c r="AE807" s="30" t="n">
        <f aca="false">IF(AND(B807="brand",E807="paid",ISNUMBER(F807)),IF(AND(SUMIFS(F$5:F807,B$5:B807,"brand",C$5:C807,C807,E$5:E807,"paid")&gt;=Inputs!$C$44,SUMIFS(F$5:F807,B$5:B807,"brand",C$5:C807,C807,E$5:E807,"paid")-F807&lt;Inputs!$C$44),1,0),0)</f>
        <v>0</v>
      </c>
    </row>
    <row r="808" customFormat="false" ht="15" hidden="false" customHeight="false" outlineLevel="0" collapsed="false">
      <c r="A808" s="102"/>
      <c r="B808" s="103"/>
      <c r="C808" s="103"/>
      <c r="D808" s="103"/>
      <c r="E808" s="103"/>
      <c r="F808" s="103"/>
      <c r="G808" s="103"/>
      <c r="H808" s="103"/>
      <c r="I808" s="103"/>
      <c r="T808" s="30" t="str">
        <f aca="false">IF(C808="","",IF(COUNTIFS(C$5:C808,C808,E$5:E808,E808)=1,1,0))</f>
        <v/>
      </c>
      <c r="U808" s="30" t="n">
        <f aca="false">IF(C808="",0,IF(AND(B808="brand",E808="budget_probe",N(F808)&gt;=Inputs!$C$124,H808="Y"),1,0))</f>
        <v>0</v>
      </c>
      <c r="V808" s="30" t="n">
        <f aca="false">IF(U808=1,IF(COUNTIFS(C$5:C808,C808,U$5:U808,1)=1,1,0),0)</f>
        <v>0</v>
      </c>
      <c r="W808" s="30" t="n">
        <f aca="false">IF(C808="",0,IF(AND(B808="office",E808="budget_probe",N(F808)&gt;=Inputs!$C$139),1,0))</f>
        <v>0</v>
      </c>
      <c r="X808" s="30" t="n">
        <f aca="false">IF(W808=1,IF(COUNTIFS(C$5:C808,C808,W$5:W808,1)=1,1,0),0)</f>
        <v>0</v>
      </c>
      <c r="Y808" s="30" t="n">
        <f aca="false">IF(C808="",0,IF(AND(B808="brand",E808="renewal_answer",TRIM(G808)="yes",N(F808)&gt;=Inputs!$C$135),1,0))</f>
        <v>0</v>
      </c>
      <c r="Z808" s="30" t="n">
        <f aca="false">IF(Y808=1,IF(COUNTIFS(C$5:C808,C808,Y$5:Y808,1)=1,1,0),0)</f>
        <v>0</v>
      </c>
      <c r="AA808" s="30" t="n">
        <f aca="false">IF(AND(E808="budget_probe",ISNUMBER(F808),I808&lt;&gt;Lists!$X$4),1,0)</f>
        <v>0</v>
      </c>
      <c r="AB808" s="30" t="str">
        <f aca="false">IF(AND(B808="office",AA808=1,COUNTIFS(C$5:C808,C808,AA$5:AA808,1)=1),F808,"")</f>
        <v/>
      </c>
      <c r="AC808" s="30" t="str">
        <f aca="false">IF(AND(B808="brand",AA808=1,COUNTIFS(C$5:C808,C808,AA$5:AA808,1)=1),F808,"")</f>
        <v/>
      </c>
      <c r="AD808" s="30" t="str">
        <f aca="false">IF(AND(B808="brand",E808="budget_probe",ISNUMBER(F808),I808=Lists!$X$4),IF(COUNTIFS(C$5:C808,C808,E$5:E808,"budget_probe",I$5:I808,Lists!$X$4)=1,F808,""),"")</f>
        <v/>
      </c>
      <c r="AE808" s="30" t="n">
        <f aca="false">IF(AND(B808="brand",E808="paid",ISNUMBER(F808)),IF(AND(SUMIFS(F$5:F808,B$5:B808,"brand",C$5:C808,C808,E$5:E808,"paid")&gt;=Inputs!$C$44,SUMIFS(F$5:F808,B$5:B808,"brand",C$5:C808,C808,E$5:E808,"paid")-F808&lt;Inputs!$C$44),1,0),0)</f>
        <v>0</v>
      </c>
    </row>
    <row r="809" customFormat="false" ht="15" hidden="false" customHeight="false" outlineLevel="0" collapsed="false">
      <c r="A809" s="102"/>
      <c r="B809" s="103"/>
      <c r="C809" s="103"/>
      <c r="D809" s="103"/>
      <c r="E809" s="103"/>
      <c r="F809" s="103"/>
      <c r="G809" s="103"/>
      <c r="H809" s="103"/>
      <c r="I809" s="103"/>
      <c r="T809" s="30" t="str">
        <f aca="false">IF(C809="","",IF(COUNTIFS(C$5:C809,C809,E$5:E809,E809)=1,1,0))</f>
        <v/>
      </c>
      <c r="U809" s="30" t="n">
        <f aca="false">IF(C809="",0,IF(AND(B809="brand",E809="budget_probe",N(F809)&gt;=Inputs!$C$124,H809="Y"),1,0))</f>
        <v>0</v>
      </c>
      <c r="V809" s="30" t="n">
        <f aca="false">IF(U809=1,IF(COUNTIFS(C$5:C809,C809,U$5:U809,1)=1,1,0),0)</f>
        <v>0</v>
      </c>
      <c r="W809" s="30" t="n">
        <f aca="false">IF(C809="",0,IF(AND(B809="office",E809="budget_probe",N(F809)&gt;=Inputs!$C$139),1,0))</f>
        <v>0</v>
      </c>
      <c r="X809" s="30" t="n">
        <f aca="false">IF(W809=1,IF(COUNTIFS(C$5:C809,C809,W$5:W809,1)=1,1,0),0)</f>
        <v>0</v>
      </c>
      <c r="Y809" s="30" t="n">
        <f aca="false">IF(C809="",0,IF(AND(B809="brand",E809="renewal_answer",TRIM(G809)="yes",N(F809)&gt;=Inputs!$C$135),1,0))</f>
        <v>0</v>
      </c>
      <c r="Z809" s="30" t="n">
        <f aca="false">IF(Y809=1,IF(COUNTIFS(C$5:C809,C809,Y$5:Y809,1)=1,1,0),0)</f>
        <v>0</v>
      </c>
      <c r="AA809" s="30" t="n">
        <f aca="false">IF(AND(E809="budget_probe",ISNUMBER(F809),I809&lt;&gt;Lists!$X$4),1,0)</f>
        <v>0</v>
      </c>
      <c r="AB809" s="30" t="str">
        <f aca="false">IF(AND(B809="office",AA809=1,COUNTIFS(C$5:C809,C809,AA$5:AA809,1)=1),F809,"")</f>
        <v/>
      </c>
      <c r="AC809" s="30" t="str">
        <f aca="false">IF(AND(B809="brand",AA809=1,COUNTIFS(C$5:C809,C809,AA$5:AA809,1)=1),F809,"")</f>
        <v/>
      </c>
      <c r="AD809" s="30" t="str">
        <f aca="false">IF(AND(B809="brand",E809="budget_probe",ISNUMBER(F809),I809=Lists!$X$4),IF(COUNTIFS(C$5:C809,C809,E$5:E809,"budget_probe",I$5:I809,Lists!$X$4)=1,F809,""),"")</f>
        <v/>
      </c>
      <c r="AE809" s="30" t="n">
        <f aca="false">IF(AND(B809="brand",E809="paid",ISNUMBER(F809)),IF(AND(SUMIFS(F$5:F809,B$5:B809,"brand",C$5:C809,C809,E$5:E809,"paid")&gt;=Inputs!$C$44,SUMIFS(F$5:F809,B$5:B809,"brand",C$5:C809,C809,E$5:E809,"paid")-F809&lt;Inputs!$C$44),1,0),0)</f>
        <v>0</v>
      </c>
    </row>
    <row r="810" customFormat="false" ht="15" hidden="false" customHeight="false" outlineLevel="0" collapsed="false">
      <c r="A810" s="102"/>
      <c r="B810" s="103"/>
      <c r="C810" s="103"/>
      <c r="D810" s="103"/>
      <c r="E810" s="103"/>
      <c r="F810" s="103"/>
      <c r="G810" s="103"/>
      <c r="H810" s="103"/>
      <c r="I810" s="103"/>
      <c r="T810" s="30" t="str">
        <f aca="false">IF(C810="","",IF(COUNTIFS(C$5:C810,C810,E$5:E810,E810)=1,1,0))</f>
        <v/>
      </c>
      <c r="U810" s="30" t="n">
        <f aca="false">IF(C810="",0,IF(AND(B810="brand",E810="budget_probe",N(F810)&gt;=Inputs!$C$124,H810="Y"),1,0))</f>
        <v>0</v>
      </c>
      <c r="V810" s="30" t="n">
        <f aca="false">IF(U810=1,IF(COUNTIFS(C$5:C810,C810,U$5:U810,1)=1,1,0),0)</f>
        <v>0</v>
      </c>
      <c r="W810" s="30" t="n">
        <f aca="false">IF(C810="",0,IF(AND(B810="office",E810="budget_probe",N(F810)&gt;=Inputs!$C$139),1,0))</f>
        <v>0</v>
      </c>
      <c r="X810" s="30" t="n">
        <f aca="false">IF(W810=1,IF(COUNTIFS(C$5:C810,C810,W$5:W810,1)=1,1,0),0)</f>
        <v>0</v>
      </c>
      <c r="Y810" s="30" t="n">
        <f aca="false">IF(C810="",0,IF(AND(B810="brand",E810="renewal_answer",TRIM(G810)="yes",N(F810)&gt;=Inputs!$C$135),1,0))</f>
        <v>0</v>
      </c>
      <c r="Z810" s="30" t="n">
        <f aca="false">IF(Y810=1,IF(COUNTIFS(C$5:C810,C810,Y$5:Y810,1)=1,1,0),0)</f>
        <v>0</v>
      </c>
      <c r="AA810" s="30" t="n">
        <f aca="false">IF(AND(E810="budget_probe",ISNUMBER(F810),I810&lt;&gt;Lists!$X$4),1,0)</f>
        <v>0</v>
      </c>
      <c r="AB810" s="30" t="str">
        <f aca="false">IF(AND(B810="office",AA810=1,COUNTIFS(C$5:C810,C810,AA$5:AA810,1)=1),F810,"")</f>
        <v/>
      </c>
      <c r="AC810" s="30" t="str">
        <f aca="false">IF(AND(B810="brand",AA810=1,COUNTIFS(C$5:C810,C810,AA$5:AA810,1)=1),F810,"")</f>
        <v/>
      </c>
      <c r="AD810" s="30" t="str">
        <f aca="false">IF(AND(B810="brand",E810="budget_probe",ISNUMBER(F810),I810=Lists!$X$4),IF(COUNTIFS(C$5:C810,C810,E$5:E810,"budget_probe",I$5:I810,Lists!$X$4)=1,F810,""),"")</f>
        <v/>
      </c>
      <c r="AE810" s="30" t="n">
        <f aca="false">IF(AND(B810="brand",E810="paid",ISNUMBER(F810)),IF(AND(SUMIFS(F$5:F810,B$5:B810,"brand",C$5:C810,C810,E$5:E810,"paid")&gt;=Inputs!$C$44,SUMIFS(F$5:F810,B$5:B810,"brand",C$5:C810,C810,E$5:E810,"paid")-F810&lt;Inputs!$C$44),1,0),0)</f>
        <v>0</v>
      </c>
    </row>
    <row r="811" customFormat="false" ht="15" hidden="false" customHeight="false" outlineLevel="0" collapsed="false">
      <c r="A811" s="102"/>
      <c r="B811" s="103"/>
      <c r="C811" s="103"/>
      <c r="D811" s="103"/>
      <c r="E811" s="103"/>
      <c r="F811" s="103"/>
      <c r="G811" s="103"/>
      <c r="H811" s="103"/>
      <c r="I811" s="103"/>
      <c r="T811" s="30" t="str">
        <f aca="false">IF(C811="","",IF(COUNTIFS(C$5:C811,C811,E$5:E811,E811)=1,1,0))</f>
        <v/>
      </c>
      <c r="U811" s="30" t="n">
        <f aca="false">IF(C811="",0,IF(AND(B811="brand",E811="budget_probe",N(F811)&gt;=Inputs!$C$124,H811="Y"),1,0))</f>
        <v>0</v>
      </c>
      <c r="V811" s="30" t="n">
        <f aca="false">IF(U811=1,IF(COUNTIFS(C$5:C811,C811,U$5:U811,1)=1,1,0),0)</f>
        <v>0</v>
      </c>
      <c r="W811" s="30" t="n">
        <f aca="false">IF(C811="",0,IF(AND(B811="office",E811="budget_probe",N(F811)&gt;=Inputs!$C$139),1,0))</f>
        <v>0</v>
      </c>
      <c r="X811" s="30" t="n">
        <f aca="false">IF(W811=1,IF(COUNTIFS(C$5:C811,C811,W$5:W811,1)=1,1,0),0)</f>
        <v>0</v>
      </c>
      <c r="Y811" s="30" t="n">
        <f aca="false">IF(C811="",0,IF(AND(B811="brand",E811="renewal_answer",TRIM(G811)="yes",N(F811)&gt;=Inputs!$C$135),1,0))</f>
        <v>0</v>
      </c>
      <c r="Z811" s="30" t="n">
        <f aca="false">IF(Y811=1,IF(COUNTIFS(C$5:C811,C811,Y$5:Y811,1)=1,1,0),0)</f>
        <v>0</v>
      </c>
      <c r="AA811" s="30" t="n">
        <f aca="false">IF(AND(E811="budget_probe",ISNUMBER(F811),I811&lt;&gt;Lists!$X$4),1,0)</f>
        <v>0</v>
      </c>
      <c r="AB811" s="30" t="str">
        <f aca="false">IF(AND(B811="office",AA811=1,COUNTIFS(C$5:C811,C811,AA$5:AA811,1)=1),F811,"")</f>
        <v/>
      </c>
      <c r="AC811" s="30" t="str">
        <f aca="false">IF(AND(B811="brand",AA811=1,COUNTIFS(C$5:C811,C811,AA$5:AA811,1)=1),F811,"")</f>
        <v/>
      </c>
      <c r="AD811" s="30" t="str">
        <f aca="false">IF(AND(B811="brand",E811="budget_probe",ISNUMBER(F811),I811=Lists!$X$4),IF(COUNTIFS(C$5:C811,C811,E$5:E811,"budget_probe",I$5:I811,Lists!$X$4)=1,F811,""),"")</f>
        <v/>
      </c>
      <c r="AE811" s="30" t="n">
        <f aca="false">IF(AND(B811="brand",E811="paid",ISNUMBER(F811)),IF(AND(SUMIFS(F$5:F811,B$5:B811,"brand",C$5:C811,C811,E$5:E811,"paid")&gt;=Inputs!$C$44,SUMIFS(F$5:F811,B$5:B811,"brand",C$5:C811,C811,E$5:E811,"paid")-F811&lt;Inputs!$C$44),1,0),0)</f>
        <v>0</v>
      </c>
    </row>
    <row r="812" customFormat="false" ht="15" hidden="false" customHeight="false" outlineLevel="0" collapsed="false">
      <c r="A812" s="102"/>
      <c r="B812" s="103"/>
      <c r="C812" s="103"/>
      <c r="D812" s="103"/>
      <c r="E812" s="103"/>
      <c r="F812" s="103"/>
      <c r="G812" s="103"/>
      <c r="H812" s="103"/>
      <c r="I812" s="103"/>
      <c r="T812" s="30" t="str">
        <f aca="false">IF(C812="","",IF(COUNTIFS(C$5:C812,C812,E$5:E812,E812)=1,1,0))</f>
        <v/>
      </c>
      <c r="U812" s="30" t="n">
        <f aca="false">IF(C812="",0,IF(AND(B812="brand",E812="budget_probe",N(F812)&gt;=Inputs!$C$124,H812="Y"),1,0))</f>
        <v>0</v>
      </c>
      <c r="V812" s="30" t="n">
        <f aca="false">IF(U812=1,IF(COUNTIFS(C$5:C812,C812,U$5:U812,1)=1,1,0),0)</f>
        <v>0</v>
      </c>
      <c r="W812" s="30" t="n">
        <f aca="false">IF(C812="",0,IF(AND(B812="office",E812="budget_probe",N(F812)&gt;=Inputs!$C$139),1,0))</f>
        <v>0</v>
      </c>
      <c r="X812" s="30" t="n">
        <f aca="false">IF(W812=1,IF(COUNTIFS(C$5:C812,C812,W$5:W812,1)=1,1,0),0)</f>
        <v>0</v>
      </c>
      <c r="Y812" s="30" t="n">
        <f aca="false">IF(C812="",0,IF(AND(B812="brand",E812="renewal_answer",TRIM(G812)="yes",N(F812)&gt;=Inputs!$C$135),1,0))</f>
        <v>0</v>
      </c>
      <c r="Z812" s="30" t="n">
        <f aca="false">IF(Y812=1,IF(COUNTIFS(C$5:C812,C812,Y$5:Y812,1)=1,1,0),0)</f>
        <v>0</v>
      </c>
      <c r="AA812" s="30" t="n">
        <f aca="false">IF(AND(E812="budget_probe",ISNUMBER(F812),I812&lt;&gt;Lists!$X$4),1,0)</f>
        <v>0</v>
      </c>
      <c r="AB812" s="30" t="str">
        <f aca="false">IF(AND(B812="office",AA812=1,COUNTIFS(C$5:C812,C812,AA$5:AA812,1)=1),F812,"")</f>
        <v/>
      </c>
      <c r="AC812" s="30" t="str">
        <f aca="false">IF(AND(B812="brand",AA812=1,COUNTIFS(C$5:C812,C812,AA$5:AA812,1)=1),F812,"")</f>
        <v/>
      </c>
      <c r="AD812" s="30" t="str">
        <f aca="false">IF(AND(B812="brand",E812="budget_probe",ISNUMBER(F812),I812=Lists!$X$4),IF(COUNTIFS(C$5:C812,C812,E$5:E812,"budget_probe",I$5:I812,Lists!$X$4)=1,F812,""),"")</f>
        <v/>
      </c>
      <c r="AE812" s="30" t="n">
        <f aca="false">IF(AND(B812="brand",E812="paid",ISNUMBER(F812)),IF(AND(SUMIFS(F$5:F812,B$5:B812,"brand",C$5:C812,C812,E$5:E812,"paid")&gt;=Inputs!$C$44,SUMIFS(F$5:F812,B$5:B812,"brand",C$5:C812,C812,E$5:E812,"paid")-F812&lt;Inputs!$C$44),1,0),0)</f>
        <v>0</v>
      </c>
    </row>
    <row r="813" customFormat="false" ht="15" hidden="false" customHeight="false" outlineLevel="0" collapsed="false">
      <c r="A813" s="102"/>
      <c r="B813" s="103"/>
      <c r="C813" s="103"/>
      <c r="D813" s="103"/>
      <c r="E813" s="103"/>
      <c r="F813" s="103"/>
      <c r="G813" s="103"/>
      <c r="H813" s="103"/>
      <c r="I813" s="103"/>
      <c r="T813" s="30" t="str">
        <f aca="false">IF(C813="","",IF(COUNTIFS(C$5:C813,C813,E$5:E813,E813)=1,1,0))</f>
        <v/>
      </c>
      <c r="U813" s="30" t="n">
        <f aca="false">IF(C813="",0,IF(AND(B813="brand",E813="budget_probe",N(F813)&gt;=Inputs!$C$124,H813="Y"),1,0))</f>
        <v>0</v>
      </c>
      <c r="V813" s="30" t="n">
        <f aca="false">IF(U813=1,IF(COUNTIFS(C$5:C813,C813,U$5:U813,1)=1,1,0),0)</f>
        <v>0</v>
      </c>
      <c r="W813" s="30" t="n">
        <f aca="false">IF(C813="",0,IF(AND(B813="office",E813="budget_probe",N(F813)&gt;=Inputs!$C$139),1,0))</f>
        <v>0</v>
      </c>
      <c r="X813" s="30" t="n">
        <f aca="false">IF(W813=1,IF(COUNTIFS(C$5:C813,C813,W$5:W813,1)=1,1,0),0)</f>
        <v>0</v>
      </c>
      <c r="Y813" s="30" t="n">
        <f aca="false">IF(C813="",0,IF(AND(B813="brand",E813="renewal_answer",TRIM(G813)="yes",N(F813)&gt;=Inputs!$C$135),1,0))</f>
        <v>0</v>
      </c>
      <c r="Z813" s="30" t="n">
        <f aca="false">IF(Y813=1,IF(COUNTIFS(C$5:C813,C813,Y$5:Y813,1)=1,1,0),0)</f>
        <v>0</v>
      </c>
      <c r="AA813" s="30" t="n">
        <f aca="false">IF(AND(E813="budget_probe",ISNUMBER(F813),I813&lt;&gt;Lists!$X$4),1,0)</f>
        <v>0</v>
      </c>
      <c r="AB813" s="30" t="str">
        <f aca="false">IF(AND(B813="office",AA813=1,COUNTIFS(C$5:C813,C813,AA$5:AA813,1)=1),F813,"")</f>
        <v/>
      </c>
      <c r="AC813" s="30" t="str">
        <f aca="false">IF(AND(B813="brand",AA813=1,COUNTIFS(C$5:C813,C813,AA$5:AA813,1)=1),F813,"")</f>
        <v/>
      </c>
      <c r="AD813" s="30" t="str">
        <f aca="false">IF(AND(B813="brand",E813="budget_probe",ISNUMBER(F813),I813=Lists!$X$4),IF(COUNTIFS(C$5:C813,C813,E$5:E813,"budget_probe",I$5:I813,Lists!$X$4)=1,F813,""),"")</f>
        <v/>
      </c>
      <c r="AE813" s="30" t="n">
        <f aca="false">IF(AND(B813="brand",E813="paid",ISNUMBER(F813)),IF(AND(SUMIFS(F$5:F813,B$5:B813,"brand",C$5:C813,C813,E$5:E813,"paid")&gt;=Inputs!$C$44,SUMIFS(F$5:F813,B$5:B813,"brand",C$5:C813,C813,E$5:E813,"paid")-F813&lt;Inputs!$C$44),1,0),0)</f>
        <v>0</v>
      </c>
    </row>
    <row r="814" customFormat="false" ht="15" hidden="false" customHeight="false" outlineLevel="0" collapsed="false">
      <c r="A814" s="102"/>
      <c r="B814" s="103"/>
      <c r="C814" s="103"/>
      <c r="D814" s="103"/>
      <c r="E814" s="103"/>
      <c r="F814" s="103"/>
      <c r="G814" s="103"/>
      <c r="H814" s="103"/>
      <c r="I814" s="103"/>
      <c r="T814" s="30" t="str">
        <f aca="false">IF(C814="","",IF(COUNTIFS(C$5:C814,C814,E$5:E814,E814)=1,1,0))</f>
        <v/>
      </c>
      <c r="U814" s="30" t="n">
        <f aca="false">IF(C814="",0,IF(AND(B814="brand",E814="budget_probe",N(F814)&gt;=Inputs!$C$124,H814="Y"),1,0))</f>
        <v>0</v>
      </c>
      <c r="V814" s="30" t="n">
        <f aca="false">IF(U814=1,IF(COUNTIFS(C$5:C814,C814,U$5:U814,1)=1,1,0),0)</f>
        <v>0</v>
      </c>
      <c r="W814" s="30" t="n">
        <f aca="false">IF(C814="",0,IF(AND(B814="office",E814="budget_probe",N(F814)&gt;=Inputs!$C$139),1,0))</f>
        <v>0</v>
      </c>
      <c r="X814" s="30" t="n">
        <f aca="false">IF(W814=1,IF(COUNTIFS(C$5:C814,C814,W$5:W814,1)=1,1,0),0)</f>
        <v>0</v>
      </c>
      <c r="Y814" s="30" t="n">
        <f aca="false">IF(C814="",0,IF(AND(B814="brand",E814="renewal_answer",TRIM(G814)="yes",N(F814)&gt;=Inputs!$C$135),1,0))</f>
        <v>0</v>
      </c>
      <c r="Z814" s="30" t="n">
        <f aca="false">IF(Y814=1,IF(COUNTIFS(C$5:C814,C814,Y$5:Y814,1)=1,1,0),0)</f>
        <v>0</v>
      </c>
      <c r="AA814" s="30" t="n">
        <f aca="false">IF(AND(E814="budget_probe",ISNUMBER(F814),I814&lt;&gt;Lists!$X$4),1,0)</f>
        <v>0</v>
      </c>
      <c r="AB814" s="30" t="str">
        <f aca="false">IF(AND(B814="office",AA814=1,COUNTIFS(C$5:C814,C814,AA$5:AA814,1)=1),F814,"")</f>
        <v/>
      </c>
      <c r="AC814" s="30" t="str">
        <f aca="false">IF(AND(B814="brand",AA814=1,COUNTIFS(C$5:C814,C814,AA$5:AA814,1)=1),F814,"")</f>
        <v/>
      </c>
      <c r="AD814" s="30" t="str">
        <f aca="false">IF(AND(B814="brand",E814="budget_probe",ISNUMBER(F814),I814=Lists!$X$4),IF(COUNTIFS(C$5:C814,C814,E$5:E814,"budget_probe",I$5:I814,Lists!$X$4)=1,F814,""),"")</f>
        <v/>
      </c>
      <c r="AE814" s="30" t="n">
        <f aca="false">IF(AND(B814="brand",E814="paid",ISNUMBER(F814)),IF(AND(SUMIFS(F$5:F814,B$5:B814,"brand",C$5:C814,C814,E$5:E814,"paid")&gt;=Inputs!$C$44,SUMIFS(F$5:F814,B$5:B814,"brand",C$5:C814,C814,E$5:E814,"paid")-F814&lt;Inputs!$C$44),1,0),0)</f>
        <v>0</v>
      </c>
    </row>
    <row r="815" customFormat="false" ht="15" hidden="false" customHeight="false" outlineLevel="0" collapsed="false">
      <c r="A815" s="102"/>
      <c r="B815" s="103"/>
      <c r="C815" s="103"/>
      <c r="D815" s="103"/>
      <c r="E815" s="103"/>
      <c r="F815" s="103"/>
      <c r="G815" s="103"/>
      <c r="H815" s="103"/>
      <c r="I815" s="103"/>
      <c r="T815" s="30" t="str">
        <f aca="false">IF(C815="","",IF(COUNTIFS(C$5:C815,C815,E$5:E815,E815)=1,1,0))</f>
        <v/>
      </c>
      <c r="U815" s="30" t="n">
        <f aca="false">IF(C815="",0,IF(AND(B815="brand",E815="budget_probe",N(F815)&gt;=Inputs!$C$124,H815="Y"),1,0))</f>
        <v>0</v>
      </c>
      <c r="V815" s="30" t="n">
        <f aca="false">IF(U815=1,IF(COUNTIFS(C$5:C815,C815,U$5:U815,1)=1,1,0),0)</f>
        <v>0</v>
      </c>
      <c r="W815" s="30" t="n">
        <f aca="false">IF(C815="",0,IF(AND(B815="office",E815="budget_probe",N(F815)&gt;=Inputs!$C$139),1,0))</f>
        <v>0</v>
      </c>
      <c r="X815" s="30" t="n">
        <f aca="false">IF(W815=1,IF(COUNTIFS(C$5:C815,C815,W$5:W815,1)=1,1,0),0)</f>
        <v>0</v>
      </c>
      <c r="Y815" s="30" t="n">
        <f aca="false">IF(C815="",0,IF(AND(B815="brand",E815="renewal_answer",TRIM(G815)="yes",N(F815)&gt;=Inputs!$C$135),1,0))</f>
        <v>0</v>
      </c>
      <c r="Z815" s="30" t="n">
        <f aca="false">IF(Y815=1,IF(COUNTIFS(C$5:C815,C815,Y$5:Y815,1)=1,1,0),0)</f>
        <v>0</v>
      </c>
      <c r="AA815" s="30" t="n">
        <f aca="false">IF(AND(E815="budget_probe",ISNUMBER(F815),I815&lt;&gt;Lists!$X$4),1,0)</f>
        <v>0</v>
      </c>
      <c r="AB815" s="30" t="str">
        <f aca="false">IF(AND(B815="office",AA815=1,COUNTIFS(C$5:C815,C815,AA$5:AA815,1)=1),F815,"")</f>
        <v/>
      </c>
      <c r="AC815" s="30" t="str">
        <f aca="false">IF(AND(B815="brand",AA815=1,COUNTIFS(C$5:C815,C815,AA$5:AA815,1)=1),F815,"")</f>
        <v/>
      </c>
      <c r="AD815" s="30" t="str">
        <f aca="false">IF(AND(B815="brand",E815="budget_probe",ISNUMBER(F815),I815=Lists!$X$4),IF(COUNTIFS(C$5:C815,C815,E$5:E815,"budget_probe",I$5:I815,Lists!$X$4)=1,F815,""),"")</f>
        <v/>
      </c>
      <c r="AE815" s="30" t="n">
        <f aca="false">IF(AND(B815="brand",E815="paid",ISNUMBER(F815)),IF(AND(SUMIFS(F$5:F815,B$5:B815,"brand",C$5:C815,C815,E$5:E815,"paid")&gt;=Inputs!$C$44,SUMIFS(F$5:F815,B$5:B815,"brand",C$5:C815,C815,E$5:E815,"paid")-F815&lt;Inputs!$C$44),1,0),0)</f>
        <v>0</v>
      </c>
    </row>
    <row r="816" customFormat="false" ht="15" hidden="false" customHeight="false" outlineLevel="0" collapsed="false">
      <c r="A816" s="102"/>
      <c r="B816" s="103"/>
      <c r="C816" s="103"/>
      <c r="D816" s="103"/>
      <c r="E816" s="103"/>
      <c r="F816" s="103"/>
      <c r="G816" s="103"/>
      <c r="H816" s="103"/>
      <c r="I816" s="103"/>
      <c r="T816" s="30" t="str">
        <f aca="false">IF(C816="","",IF(COUNTIFS(C$5:C816,C816,E$5:E816,E816)=1,1,0))</f>
        <v/>
      </c>
      <c r="U816" s="30" t="n">
        <f aca="false">IF(C816="",0,IF(AND(B816="brand",E816="budget_probe",N(F816)&gt;=Inputs!$C$124,H816="Y"),1,0))</f>
        <v>0</v>
      </c>
      <c r="V816" s="30" t="n">
        <f aca="false">IF(U816=1,IF(COUNTIFS(C$5:C816,C816,U$5:U816,1)=1,1,0),0)</f>
        <v>0</v>
      </c>
      <c r="W816" s="30" t="n">
        <f aca="false">IF(C816="",0,IF(AND(B816="office",E816="budget_probe",N(F816)&gt;=Inputs!$C$139),1,0))</f>
        <v>0</v>
      </c>
      <c r="X816" s="30" t="n">
        <f aca="false">IF(W816=1,IF(COUNTIFS(C$5:C816,C816,W$5:W816,1)=1,1,0),0)</f>
        <v>0</v>
      </c>
      <c r="Y816" s="30" t="n">
        <f aca="false">IF(C816="",0,IF(AND(B816="brand",E816="renewal_answer",TRIM(G816)="yes",N(F816)&gt;=Inputs!$C$135),1,0))</f>
        <v>0</v>
      </c>
      <c r="Z816" s="30" t="n">
        <f aca="false">IF(Y816=1,IF(COUNTIFS(C$5:C816,C816,Y$5:Y816,1)=1,1,0),0)</f>
        <v>0</v>
      </c>
      <c r="AA816" s="30" t="n">
        <f aca="false">IF(AND(E816="budget_probe",ISNUMBER(F816),I816&lt;&gt;Lists!$X$4),1,0)</f>
        <v>0</v>
      </c>
      <c r="AB816" s="30" t="str">
        <f aca="false">IF(AND(B816="office",AA816=1,COUNTIFS(C$5:C816,C816,AA$5:AA816,1)=1),F816,"")</f>
        <v/>
      </c>
      <c r="AC816" s="30" t="str">
        <f aca="false">IF(AND(B816="brand",AA816=1,COUNTIFS(C$5:C816,C816,AA$5:AA816,1)=1),F816,"")</f>
        <v/>
      </c>
      <c r="AD816" s="30" t="str">
        <f aca="false">IF(AND(B816="brand",E816="budget_probe",ISNUMBER(F816),I816=Lists!$X$4),IF(COUNTIFS(C$5:C816,C816,E$5:E816,"budget_probe",I$5:I816,Lists!$X$4)=1,F816,""),"")</f>
        <v/>
      </c>
      <c r="AE816" s="30" t="n">
        <f aca="false">IF(AND(B816="brand",E816="paid",ISNUMBER(F816)),IF(AND(SUMIFS(F$5:F816,B$5:B816,"brand",C$5:C816,C816,E$5:E816,"paid")&gt;=Inputs!$C$44,SUMIFS(F$5:F816,B$5:B816,"brand",C$5:C816,C816,E$5:E816,"paid")-F816&lt;Inputs!$C$44),1,0),0)</f>
        <v>0</v>
      </c>
    </row>
    <row r="817" customFormat="false" ht="15" hidden="false" customHeight="false" outlineLevel="0" collapsed="false">
      <c r="A817" s="102"/>
      <c r="B817" s="103"/>
      <c r="C817" s="103"/>
      <c r="D817" s="103"/>
      <c r="E817" s="103"/>
      <c r="F817" s="103"/>
      <c r="G817" s="103"/>
      <c r="H817" s="103"/>
      <c r="I817" s="103"/>
      <c r="T817" s="30" t="str">
        <f aca="false">IF(C817="","",IF(COUNTIFS(C$5:C817,C817,E$5:E817,E817)=1,1,0))</f>
        <v/>
      </c>
      <c r="U817" s="30" t="n">
        <f aca="false">IF(C817="",0,IF(AND(B817="brand",E817="budget_probe",N(F817)&gt;=Inputs!$C$124,H817="Y"),1,0))</f>
        <v>0</v>
      </c>
      <c r="V817" s="30" t="n">
        <f aca="false">IF(U817=1,IF(COUNTIFS(C$5:C817,C817,U$5:U817,1)=1,1,0),0)</f>
        <v>0</v>
      </c>
      <c r="W817" s="30" t="n">
        <f aca="false">IF(C817="",0,IF(AND(B817="office",E817="budget_probe",N(F817)&gt;=Inputs!$C$139),1,0))</f>
        <v>0</v>
      </c>
      <c r="X817" s="30" t="n">
        <f aca="false">IF(W817=1,IF(COUNTIFS(C$5:C817,C817,W$5:W817,1)=1,1,0),0)</f>
        <v>0</v>
      </c>
      <c r="Y817" s="30" t="n">
        <f aca="false">IF(C817="",0,IF(AND(B817="brand",E817="renewal_answer",TRIM(G817)="yes",N(F817)&gt;=Inputs!$C$135),1,0))</f>
        <v>0</v>
      </c>
      <c r="Z817" s="30" t="n">
        <f aca="false">IF(Y817=1,IF(COUNTIFS(C$5:C817,C817,Y$5:Y817,1)=1,1,0),0)</f>
        <v>0</v>
      </c>
      <c r="AA817" s="30" t="n">
        <f aca="false">IF(AND(E817="budget_probe",ISNUMBER(F817),I817&lt;&gt;Lists!$X$4),1,0)</f>
        <v>0</v>
      </c>
      <c r="AB817" s="30" t="str">
        <f aca="false">IF(AND(B817="office",AA817=1,COUNTIFS(C$5:C817,C817,AA$5:AA817,1)=1),F817,"")</f>
        <v/>
      </c>
      <c r="AC817" s="30" t="str">
        <f aca="false">IF(AND(B817="brand",AA817=1,COUNTIFS(C$5:C817,C817,AA$5:AA817,1)=1),F817,"")</f>
        <v/>
      </c>
      <c r="AD817" s="30" t="str">
        <f aca="false">IF(AND(B817="brand",E817="budget_probe",ISNUMBER(F817),I817=Lists!$X$4),IF(COUNTIFS(C$5:C817,C817,E$5:E817,"budget_probe",I$5:I817,Lists!$X$4)=1,F817,""),"")</f>
        <v/>
      </c>
      <c r="AE817" s="30" t="n">
        <f aca="false">IF(AND(B817="brand",E817="paid",ISNUMBER(F817)),IF(AND(SUMIFS(F$5:F817,B$5:B817,"brand",C$5:C817,C817,E$5:E817,"paid")&gt;=Inputs!$C$44,SUMIFS(F$5:F817,B$5:B817,"brand",C$5:C817,C817,E$5:E817,"paid")-F817&lt;Inputs!$C$44),1,0),0)</f>
        <v>0</v>
      </c>
    </row>
    <row r="818" customFormat="false" ht="15" hidden="false" customHeight="false" outlineLevel="0" collapsed="false">
      <c r="A818" s="102"/>
      <c r="B818" s="103"/>
      <c r="C818" s="103"/>
      <c r="D818" s="103"/>
      <c r="E818" s="103"/>
      <c r="F818" s="103"/>
      <c r="G818" s="103"/>
      <c r="H818" s="103"/>
      <c r="I818" s="103"/>
      <c r="T818" s="30" t="str">
        <f aca="false">IF(C818="","",IF(COUNTIFS(C$5:C818,C818,E$5:E818,E818)=1,1,0))</f>
        <v/>
      </c>
      <c r="U818" s="30" t="n">
        <f aca="false">IF(C818="",0,IF(AND(B818="brand",E818="budget_probe",N(F818)&gt;=Inputs!$C$124,H818="Y"),1,0))</f>
        <v>0</v>
      </c>
      <c r="V818" s="30" t="n">
        <f aca="false">IF(U818=1,IF(COUNTIFS(C$5:C818,C818,U$5:U818,1)=1,1,0),0)</f>
        <v>0</v>
      </c>
      <c r="W818" s="30" t="n">
        <f aca="false">IF(C818="",0,IF(AND(B818="office",E818="budget_probe",N(F818)&gt;=Inputs!$C$139),1,0))</f>
        <v>0</v>
      </c>
      <c r="X818" s="30" t="n">
        <f aca="false">IF(W818=1,IF(COUNTIFS(C$5:C818,C818,W$5:W818,1)=1,1,0),0)</f>
        <v>0</v>
      </c>
      <c r="Y818" s="30" t="n">
        <f aca="false">IF(C818="",0,IF(AND(B818="brand",E818="renewal_answer",TRIM(G818)="yes",N(F818)&gt;=Inputs!$C$135),1,0))</f>
        <v>0</v>
      </c>
      <c r="Z818" s="30" t="n">
        <f aca="false">IF(Y818=1,IF(COUNTIFS(C$5:C818,C818,Y$5:Y818,1)=1,1,0),0)</f>
        <v>0</v>
      </c>
      <c r="AA818" s="30" t="n">
        <f aca="false">IF(AND(E818="budget_probe",ISNUMBER(F818),I818&lt;&gt;Lists!$X$4),1,0)</f>
        <v>0</v>
      </c>
      <c r="AB818" s="30" t="str">
        <f aca="false">IF(AND(B818="office",AA818=1,COUNTIFS(C$5:C818,C818,AA$5:AA818,1)=1),F818,"")</f>
        <v/>
      </c>
      <c r="AC818" s="30" t="str">
        <f aca="false">IF(AND(B818="brand",AA818=1,COUNTIFS(C$5:C818,C818,AA$5:AA818,1)=1),F818,"")</f>
        <v/>
      </c>
      <c r="AD818" s="30" t="str">
        <f aca="false">IF(AND(B818="brand",E818="budget_probe",ISNUMBER(F818),I818=Lists!$X$4),IF(COUNTIFS(C$5:C818,C818,E$5:E818,"budget_probe",I$5:I818,Lists!$X$4)=1,F818,""),"")</f>
        <v/>
      </c>
      <c r="AE818" s="30" t="n">
        <f aca="false">IF(AND(B818="brand",E818="paid",ISNUMBER(F818)),IF(AND(SUMIFS(F$5:F818,B$5:B818,"brand",C$5:C818,C818,E$5:E818,"paid")&gt;=Inputs!$C$44,SUMIFS(F$5:F818,B$5:B818,"brand",C$5:C818,C818,E$5:E818,"paid")-F818&lt;Inputs!$C$44),1,0),0)</f>
        <v>0</v>
      </c>
    </row>
    <row r="819" customFormat="false" ht="15" hidden="false" customHeight="false" outlineLevel="0" collapsed="false">
      <c r="A819" s="102"/>
      <c r="B819" s="103"/>
      <c r="C819" s="103"/>
      <c r="D819" s="103"/>
      <c r="E819" s="103"/>
      <c r="F819" s="103"/>
      <c r="G819" s="103"/>
      <c r="H819" s="103"/>
      <c r="I819" s="103"/>
      <c r="T819" s="30" t="str">
        <f aca="false">IF(C819="","",IF(COUNTIFS(C$5:C819,C819,E$5:E819,E819)=1,1,0))</f>
        <v/>
      </c>
      <c r="U819" s="30" t="n">
        <f aca="false">IF(C819="",0,IF(AND(B819="brand",E819="budget_probe",N(F819)&gt;=Inputs!$C$124,H819="Y"),1,0))</f>
        <v>0</v>
      </c>
      <c r="V819" s="30" t="n">
        <f aca="false">IF(U819=1,IF(COUNTIFS(C$5:C819,C819,U$5:U819,1)=1,1,0),0)</f>
        <v>0</v>
      </c>
      <c r="W819" s="30" t="n">
        <f aca="false">IF(C819="",0,IF(AND(B819="office",E819="budget_probe",N(F819)&gt;=Inputs!$C$139),1,0))</f>
        <v>0</v>
      </c>
      <c r="X819" s="30" t="n">
        <f aca="false">IF(W819=1,IF(COUNTIFS(C$5:C819,C819,W$5:W819,1)=1,1,0),0)</f>
        <v>0</v>
      </c>
      <c r="Y819" s="30" t="n">
        <f aca="false">IF(C819="",0,IF(AND(B819="brand",E819="renewal_answer",TRIM(G819)="yes",N(F819)&gt;=Inputs!$C$135),1,0))</f>
        <v>0</v>
      </c>
      <c r="Z819" s="30" t="n">
        <f aca="false">IF(Y819=1,IF(COUNTIFS(C$5:C819,C819,Y$5:Y819,1)=1,1,0),0)</f>
        <v>0</v>
      </c>
      <c r="AA819" s="30" t="n">
        <f aca="false">IF(AND(E819="budget_probe",ISNUMBER(F819),I819&lt;&gt;Lists!$X$4),1,0)</f>
        <v>0</v>
      </c>
      <c r="AB819" s="30" t="str">
        <f aca="false">IF(AND(B819="office",AA819=1,COUNTIFS(C$5:C819,C819,AA$5:AA819,1)=1),F819,"")</f>
        <v/>
      </c>
      <c r="AC819" s="30" t="str">
        <f aca="false">IF(AND(B819="brand",AA819=1,COUNTIFS(C$5:C819,C819,AA$5:AA819,1)=1),F819,"")</f>
        <v/>
      </c>
      <c r="AD819" s="30" t="str">
        <f aca="false">IF(AND(B819="brand",E819="budget_probe",ISNUMBER(F819),I819=Lists!$X$4),IF(COUNTIFS(C$5:C819,C819,E$5:E819,"budget_probe",I$5:I819,Lists!$X$4)=1,F819,""),"")</f>
        <v/>
      </c>
      <c r="AE819" s="30" t="n">
        <f aca="false">IF(AND(B819="brand",E819="paid",ISNUMBER(F819)),IF(AND(SUMIFS(F$5:F819,B$5:B819,"brand",C$5:C819,C819,E$5:E819,"paid")&gt;=Inputs!$C$44,SUMIFS(F$5:F819,B$5:B819,"brand",C$5:C819,C819,E$5:E819,"paid")-F819&lt;Inputs!$C$44),1,0),0)</f>
        <v>0</v>
      </c>
    </row>
    <row r="820" customFormat="false" ht="15" hidden="false" customHeight="false" outlineLevel="0" collapsed="false">
      <c r="A820" s="102"/>
      <c r="B820" s="103"/>
      <c r="C820" s="103"/>
      <c r="D820" s="103"/>
      <c r="E820" s="103"/>
      <c r="F820" s="103"/>
      <c r="G820" s="103"/>
      <c r="H820" s="103"/>
      <c r="I820" s="103"/>
      <c r="T820" s="30" t="str">
        <f aca="false">IF(C820="","",IF(COUNTIFS(C$5:C820,C820,E$5:E820,E820)=1,1,0))</f>
        <v/>
      </c>
      <c r="U820" s="30" t="n">
        <f aca="false">IF(C820="",0,IF(AND(B820="brand",E820="budget_probe",N(F820)&gt;=Inputs!$C$124,H820="Y"),1,0))</f>
        <v>0</v>
      </c>
      <c r="V820" s="30" t="n">
        <f aca="false">IF(U820=1,IF(COUNTIFS(C$5:C820,C820,U$5:U820,1)=1,1,0),0)</f>
        <v>0</v>
      </c>
      <c r="W820" s="30" t="n">
        <f aca="false">IF(C820="",0,IF(AND(B820="office",E820="budget_probe",N(F820)&gt;=Inputs!$C$139),1,0))</f>
        <v>0</v>
      </c>
      <c r="X820" s="30" t="n">
        <f aca="false">IF(W820=1,IF(COUNTIFS(C$5:C820,C820,W$5:W820,1)=1,1,0),0)</f>
        <v>0</v>
      </c>
      <c r="Y820" s="30" t="n">
        <f aca="false">IF(C820="",0,IF(AND(B820="brand",E820="renewal_answer",TRIM(G820)="yes",N(F820)&gt;=Inputs!$C$135),1,0))</f>
        <v>0</v>
      </c>
      <c r="Z820" s="30" t="n">
        <f aca="false">IF(Y820=1,IF(COUNTIFS(C$5:C820,C820,Y$5:Y820,1)=1,1,0),0)</f>
        <v>0</v>
      </c>
      <c r="AA820" s="30" t="n">
        <f aca="false">IF(AND(E820="budget_probe",ISNUMBER(F820),I820&lt;&gt;Lists!$X$4),1,0)</f>
        <v>0</v>
      </c>
      <c r="AB820" s="30" t="str">
        <f aca="false">IF(AND(B820="office",AA820=1,COUNTIFS(C$5:C820,C820,AA$5:AA820,1)=1),F820,"")</f>
        <v/>
      </c>
      <c r="AC820" s="30" t="str">
        <f aca="false">IF(AND(B820="brand",AA820=1,COUNTIFS(C$5:C820,C820,AA$5:AA820,1)=1),F820,"")</f>
        <v/>
      </c>
      <c r="AD820" s="30" t="str">
        <f aca="false">IF(AND(B820="brand",E820="budget_probe",ISNUMBER(F820),I820=Lists!$X$4),IF(COUNTIFS(C$5:C820,C820,E$5:E820,"budget_probe",I$5:I820,Lists!$X$4)=1,F820,""),"")</f>
        <v/>
      </c>
      <c r="AE820" s="30" t="n">
        <f aca="false">IF(AND(B820="brand",E820="paid",ISNUMBER(F820)),IF(AND(SUMIFS(F$5:F820,B$5:B820,"brand",C$5:C820,C820,E$5:E820,"paid")&gt;=Inputs!$C$44,SUMIFS(F$5:F820,B$5:B820,"brand",C$5:C820,C820,E$5:E820,"paid")-F820&lt;Inputs!$C$44),1,0),0)</f>
        <v>0</v>
      </c>
    </row>
    <row r="821" customFormat="false" ht="15" hidden="false" customHeight="false" outlineLevel="0" collapsed="false">
      <c r="A821" s="102"/>
      <c r="B821" s="103"/>
      <c r="C821" s="103"/>
      <c r="D821" s="103"/>
      <c r="E821" s="103"/>
      <c r="F821" s="103"/>
      <c r="G821" s="103"/>
      <c r="H821" s="103"/>
      <c r="I821" s="103"/>
      <c r="T821" s="30" t="str">
        <f aca="false">IF(C821="","",IF(COUNTIFS(C$5:C821,C821,E$5:E821,E821)=1,1,0))</f>
        <v/>
      </c>
      <c r="U821" s="30" t="n">
        <f aca="false">IF(C821="",0,IF(AND(B821="brand",E821="budget_probe",N(F821)&gt;=Inputs!$C$124,H821="Y"),1,0))</f>
        <v>0</v>
      </c>
      <c r="V821" s="30" t="n">
        <f aca="false">IF(U821=1,IF(COUNTIFS(C$5:C821,C821,U$5:U821,1)=1,1,0),0)</f>
        <v>0</v>
      </c>
      <c r="W821" s="30" t="n">
        <f aca="false">IF(C821="",0,IF(AND(B821="office",E821="budget_probe",N(F821)&gt;=Inputs!$C$139),1,0))</f>
        <v>0</v>
      </c>
      <c r="X821" s="30" t="n">
        <f aca="false">IF(W821=1,IF(COUNTIFS(C$5:C821,C821,W$5:W821,1)=1,1,0),0)</f>
        <v>0</v>
      </c>
      <c r="Y821" s="30" t="n">
        <f aca="false">IF(C821="",0,IF(AND(B821="brand",E821="renewal_answer",TRIM(G821)="yes",N(F821)&gt;=Inputs!$C$135),1,0))</f>
        <v>0</v>
      </c>
      <c r="Z821" s="30" t="n">
        <f aca="false">IF(Y821=1,IF(COUNTIFS(C$5:C821,C821,Y$5:Y821,1)=1,1,0),0)</f>
        <v>0</v>
      </c>
      <c r="AA821" s="30" t="n">
        <f aca="false">IF(AND(E821="budget_probe",ISNUMBER(F821),I821&lt;&gt;Lists!$X$4),1,0)</f>
        <v>0</v>
      </c>
      <c r="AB821" s="30" t="str">
        <f aca="false">IF(AND(B821="office",AA821=1,COUNTIFS(C$5:C821,C821,AA$5:AA821,1)=1),F821,"")</f>
        <v/>
      </c>
      <c r="AC821" s="30" t="str">
        <f aca="false">IF(AND(B821="brand",AA821=1,COUNTIFS(C$5:C821,C821,AA$5:AA821,1)=1),F821,"")</f>
        <v/>
      </c>
      <c r="AD821" s="30" t="str">
        <f aca="false">IF(AND(B821="brand",E821="budget_probe",ISNUMBER(F821),I821=Lists!$X$4),IF(COUNTIFS(C$5:C821,C821,E$5:E821,"budget_probe",I$5:I821,Lists!$X$4)=1,F821,""),"")</f>
        <v/>
      </c>
      <c r="AE821" s="30" t="n">
        <f aca="false">IF(AND(B821="brand",E821="paid",ISNUMBER(F821)),IF(AND(SUMIFS(F$5:F821,B$5:B821,"brand",C$5:C821,C821,E$5:E821,"paid")&gt;=Inputs!$C$44,SUMIFS(F$5:F821,B$5:B821,"brand",C$5:C821,C821,E$5:E821,"paid")-F821&lt;Inputs!$C$44),1,0),0)</f>
        <v>0</v>
      </c>
    </row>
    <row r="822" customFormat="false" ht="15" hidden="false" customHeight="false" outlineLevel="0" collapsed="false">
      <c r="A822" s="102"/>
      <c r="B822" s="103"/>
      <c r="C822" s="103"/>
      <c r="D822" s="103"/>
      <c r="E822" s="103"/>
      <c r="F822" s="103"/>
      <c r="G822" s="103"/>
      <c r="H822" s="103"/>
      <c r="I822" s="103"/>
      <c r="T822" s="30" t="str">
        <f aca="false">IF(C822="","",IF(COUNTIFS(C$5:C822,C822,E$5:E822,E822)=1,1,0))</f>
        <v/>
      </c>
      <c r="U822" s="30" t="n">
        <f aca="false">IF(C822="",0,IF(AND(B822="brand",E822="budget_probe",N(F822)&gt;=Inputs!$C$124,H822="Y"),1,0))</f>
        <v>0</v>
      </c>
      <c r="V822" s="30" t="n">
        <f aca="false">IF(U822=1,IF(COUNTIFS(C$5:C822,C822,U$5:U822,1)=1,1,0),0)</f>
        <v>0</v>
      </c>
      <c r="W822" s="30" t="n">
        <f aca="false">IF(C822="",0,IF(AND(B822="office",E822="budget_probe",N(F822)&gt;=Inputs!$C$139),1,0))</f>
        <v>0</v>
      </c>
      <c r="X822" s="30" t="n">
        <f aca="false">IF(W822=1,IF(COUNTIFS(C$5:C822,C822,W$5:W822,1)=1,1,0),0)</f>
        <v>0</v>
      </c>
      <c r="Y822" s="30" t="n">
        <f aca="false">IF(C822="",0,IF(AND(B822="brand",E822="renewal_answer",TRIM(G822)="yes",N(F822)&gt;=Inputs!$C$135),1,0))</f>
        <v>0</v>
      </c>
      <c r="Z822" s="30" t="n">
        <f aca="false">IF(Y822=1,IF(COUNTIFS(C$5:C822,C822,Y$5:Y822,1)=1,1,0),0)</f>
        <v>0</v>
      </c>
      <c r="AA822" s="30" t="n">
        <f aca="false">IF(AND(E822="budget_probe",ISNUMBER(F822),I822&lt;&gt;Lists!$X$4),1,0)</f>
        <v>0</v>
      </c>
      <c r="AB822" s="30" t="str">
        <f aca="false">IF(AND(B822="office",AA822=1,COUNTIFS(C$5:C822,C822,AA$5:AA822,1)=1),F822,"")</f>
        <v/>
      </c>
      <c r="AC822" s="30" t="str">
        <f aca="false">IF(AND(B822="brand",AA822=1,COUNTIFS(C$5:C822,C822,AA$5:AA822,1)=1),F822,"")</f>
        <v/>
      </c>
      <c r="AD822" s="30" t="str">
        <f aca="false">IF(AND(B822="brand",E822="budget_probe",ISNUMBER(F822),I822=Lists!$X$4),IF(COUNTIFS(C$5:C822,C822,E$5:E822,"budget_probe",I$5:I822,Lists!$X$4)=1,F822,""),"")</f>
        <v/>
      </c>
      <c r="AE822" s="30" t="n">
        <f aca="false">IF(AND(B822="brand",E822="paid",ISNUMBER(F822)),IF(AND(SUMIFS(F$5:F822,B$5:B822,"brand",C$5:C822,C822,E$5:E822,"paid")&gt;=Inputs!$C$44,SUMIFS(F$5:F822,B$5:B822,"brand",C$5:C822,C822,E$5:E822,"paid")-F822&lt;Inputs!$C$44),1,0),0)</f>
        <v>0</v>
      </c>
    </row>
    <row r="823" customFormat="false" ht="15" hidden="false" customHeight="false" outlineLevel="0" collapsed="false">
      <c r="A823" s="102"/>
      <c r="B823" s="103"/>
      <c r="C823" s="103"/>
      <c r="D823" s="103"/>
      <c r="E823" s="103"/>
      <c r="F823" s="103"/>
      <c r="G823" s="103"/>
      <c r="H823" s="103"/>
      <c r="I823" s="103"/>
      <c r="T823" s="30" t="str">
        <f aca="false">IF(C823="","",IF(COUNTIFS(C$5:C823,C823,E$5:E823,E823)=1,1,0))</f>
        <v/>
      </c>
      <c r="U823" s="30" t="n">
        <f aca="false">IF(C823="",0,IF(AND(B823="brand",E823="budget_probe",N(F823)&gt;=Inputs!$C$124,H823="Y"),1,0))</f>
        <v>0</v>
      </c>
      <c r="V823" s="30" t="n">
        <f aca="false">IF(U823=1,IF(COUNTIFS(C$5:C823,C823,U$5:U823,1)=1,1,0),0)</f>
        <v>0</v>
      </c>
      <c r="W823" s="30" t="n">
        <f aca="false">IF(C823="",0,IF(AND(B823="office",E823="budget_probe",N(F823)&gt;=Inputs!$C$139),1,0))</f>
        <v>0</v>
      </c>
      <c r="X823" s="30" t="n">
        <f aca="false">IF(W823=1,IF(COUNTIFS(C$5:C823,C823,W$5:W823,1)=1,1,0),0)</f>
        <v>0</v>
      </c>
      <c r="Y823" s="30" t="n">
        <f aca="false">IF(C823="",0,IF(AND(B823="brand",E823="renewal_answer",TRIM(G823)="yes",N(F823)&gt;=Inputs!$C$135),1,0))</f>
        <v>0</v>
      </c>
      <c r="Z823" s="30" t="n">
        <f aca="false">IF(Y823=1,IF(COUNTIFS(C$5:C823,C823,Y$5:Y823,1)=1,1,0),0)</f>
        <v>0</v>
      </c>
      <c r="AA823" s="30" t="n">
        <f aca="false">IF(AND(E823="budget_probe",ISNUMBER(F823),I823&lt;&gt;Lists!$X$4),1,0)</f>
        <v>0</v>
      </c>
      <c r="AB823" s="30" t="str">
        <f aca="false">IF(AND(B823="office",AA823=1,COUNTIFS(C$5:C823,C823,AA$5:AA823,1)=1),F823,"")</f>
        <v/>
      </c>
      <c r="AC823" s="30" t="str">
        <f aca="false">IF(AND(B823="brand",AA823=1,COUNTIFS(C$5:C823,C823,AA$5:AA823,1)=1),F823,"")</f>
        <v/>
      </c>
      <c r="AD823" s="30" t="str">
        <f aca="false">IF(AND(B823="brand",E823="budget_probe",ISNUMBER(F823),I823=Lists!$X$4),IF(COUNTIFS(C$5:C823,C823,E$5:E823,"budget_probe",I$5:I823,Lists!$X$4)=1,F823,""),"")</f>
        <v/>
      </c>
      <c r="AE823" s="30" t="n">
        <f aca="false">IF(AND(B823="brand",E823="paid",ISNUMBER(F823)),IF(AND(SUMIFS(F$5:F823,B$5:B823,"brand",C$5:C823,C823,E$5:E823,"paid")&gt;=Inputs!$C$44,SUMIFS(F$5:F823,B$5:B823,"brand",C$5:C823,C823,E$5:E823,"paid")-F823&lt;Inputs!$C$44),1,0),0)</f>
        <v>0</v>
      </c>
    </row>
    <row r="824" customFormat="false" ht="15" hidden="false" customHeight="false" outlineLevel="0" collapsed="false">
      <c r="A824" s="102"/>
      <c r="B824" s="103"/>
      <c r="C824" s="103"/>
      <c r="D824" s="103"/>
      <c r="E824" s="103"/>
      <c r="F824" s="103"/>
      <c r="G824" s="103"/>
      <c r="H824" s="103"/>
      <c r="I824" s="103"/>
      <c r="T824" s="30" t="str">
        <f aca="false">IF(C824="","",IF(COUNTIFS(C$5:C824,C824,E$5:E824,E824)=1,1,0))</f>
        <v/>
      </c>
      <c r="U824" s="30" t="n">
        <f aca="false">IF(C824="",0,IF(AND(B824="brand",E824="budget_probe",N(F824)&gt;=Inputs!$C$124,H824="Y"),1,0))</f>
        <v>0</v>
      </c>
      <c r="V824" s="30" t="n">
        <f aca="false">IF(U824=1,IF(COUNTIFS(C$5:C824,C824,U$5:U824,1)=1,1,0),0)</f>
        <v>0</v>
      </c>
      <c r="W824" s="30" t="n">
        <f aca="false">IF(C824="",0,IF(AND(B824="office",E824="budget_probe",N(F824)&gt;=Inputs!$C$139),1,0))</f>
        <v>0</v>
      </c>
      <c r="X824" s="30" t="n">
        <f aca="false">IF(W824=1,IF(COUNTIFS(C$5:C824,C824,W$5:W824,1)=1,1,0),0)</f>
        <v>0</v>
      </c>
      <c r="Y824" s="30" t="n">
        <f aca="false">IF(C824="",0,IF(AND(B824="brand",E824="renewal_answer",TRIM(G824)="yes",N(F824)&gt;=Inputs!$C$135),1,0))</f>
        <v>0</v>
      </c>
      <c r="Z824" s="30" t="n">
        <f aca="false">IF(Y824=1,IF(COUNTIFS(C$5:C824,C824,Y$5:Y824,1)=1,1,0),0)</f>
        <v>0</v>
      </c>
      <c r="AA824" s="30" t="n">
        <f aca="false">IF(AND(E824="budget_probe",ISNUMBER(F824),I824&lt;&gt;Lists!$X$4),1,0)</f>
        <v>0</v>
      </c>
      <c r="AB824" s="30" t="str">
        <f aca="false">IF(AND(B824="office",AA824=1,COUNTIFS(C$5:C824,C824,AA$5:AA824,1)=1),F824,"")</f>
        <v/>
      </c>
      <c r="AC824" s="30" t="str">
        <f aca="false">IF(AND(B824="brand",AA824=1,COUNTIFS(C$5:C824,C824,AA$5:AA824,1)=1),F824,"")</f>
        <v/>
      </c>
      <c r="AD824" s="30" t="str">
        <f aca="false">IF(AND(B824="brand",E824="budget_probe",ISNUMBER(F824),I824=Lists!$X$4),IF(COUNTIFS(C$5:C824,C824,E$5:E824,"budget_probe",I$5:I824,Lists!$X$4)=1,F824,""),"")</f>
        <v/>
      </c>
      <c r="AE824" s="30" t="n">
        <f aca="false">IF(AND(B824="brand",E824="paid",ISNUMBER(F824)),IF(AND(SUMIFS(F$5:F824,B$5:B824,"brand",C$5:C824,C824,E$5:E824,"paid")&gt;=Inputs!$C$44,SUMIFS(F$5:F824,B$5:B824,"brand",C$5:C824,C824,E$5:E824,"paid")-F824&lt;Inputs!$C$44),1,0),0)</f>
        <v>0</v>
      </c>
    </row>
    <row r="825" customFormat="false" ht="15" hidden="false" customHeight="false" outlineLevel="0" collapsed="false">
      <c r="A825" s="102"/>
      <c r="B825" s="103"/>
      <c r="C825" s="103"/>
      <c r="D825" s="103"/>
      <c r="E825" s="103"/>
      <c r="F825" s="103"/>
      <c r="G825" s="103"/>
      <c r="H825" s="103"/>
      <c r="I825" s="103"/>
      <c r="T825" s="30" t="str">
        <f aca="false">IF(C825="","",IF(COUNTIFS(C$5:C825,C825,E$5:E825,E825)=1,1,0))</f>
        <v/>
      </c>
      <c r="U825" s="30" t="n">
        <f aca="false">IF(C825="",0,IF(AND(B825="brand",E825="budget_probe",N(F825)&gt;=Inputs!$C$124,H825="Y"),1,0))</f>
        <v>0</v>
      </c>
      <c r="V825" s="30" t="n">
        <f aca="false">IF(U825=1,IF(COUNTIFS(C$5:C825,C825,U$5:U825,1)=1,1,0),0)</f>
        <v>0</v>
      </c>
      <c r="W825" s="30" t="n">
        <f aca="false">IF(C825="",0,IF(AND(B825="office",E825="budget_probe",N(F825)&gt;=Inputs!$C$139),1,0))</f>
        <v>0</v>
      </c>
      <c r="X825" s="30" t="n">
        <f aca="false">IF(W825=1,IF(COUNTIFS(C$5:C825,C825,W$5:W825,1)=1,1,0),0)</f>
        <v>0</v>
      </c>
      <c r="Y825" s="30" t="n">
        <f aca="false">IF(C825="",0,IF(AND(B825="brand",E825="renewal_answer",TRIM(G825)="yes",N(F825)&gt;=Inputs!$C$135),1,0))</f>
        <v>0</v>
      </c>
      <c r="Z825" s="30" t="n">
        <f aca="false">IF(Y825=1,IF(COUNTIFS(C$5:C825,C825,Y$5:Y825,1)=1,1,0),0)</f>
        <v>0</v>
      </c>
      <c r="AA825" s="30" t="n">
        <f aca="false">IF(AND(E825="budget_probe",ISNUMBER(F825),I825&lt;&gt;Lists!$X$4),1,0)</f>
        <v>0</v>
      </c>
      <c r="AB825" s="30" t="str">
        <f aca="false">IF(AND(B825="office",AA825=1,COUNTIFS(C$5:C825,C825,AA$5:AA825,1)=1),F825,"")</f>
        <v/>
      </c>
      <c r="AC825" s="30" t="str">
        <f aca="false">IF(AND(B825="brand",AA825=1,COUNTIFS(C$5:C825,C825,AA$5:AA825,1)=1),F825,"")</f>
        <v/>
      </c>
      <c r="AD825" s="30" t="str">
        <f aca="false">IF(AND(B825="brand",E825="budget_probe",ISNUMBER(F825),I825=Lists!$X$4),IF(COUNTIFS(C$5:C825,C825,E$5:E825,"budget_probe",I$5:I825,Lists!$X$4)=1,F825,""),"")</f>
        <v/>
      </c>
      <c r="AE825" s="30" t="n">
        <f aca="false">IF(AND(B825="brand",E825="paid",ISNUMBER(F825)),IF(AND(SUMIFS(F$5:F825,B$5:B825,"brand",C$5:C825,C825,E$5:E825,"paid")&gt;=Inputs!$C$44,SUMIFS(F$5:F825,B$5:B825,"brand",C$5:C825,C825,E$5:E825,"paid")-F825&lt;Inputs!$C$44),1,0),0)</f>
        <v>0</v>
      </c>
    </row>
    <row r="826" customFormat="false" ht="15" hidden="false" customHeight="false" outlineLevel="0" collapsed="false">
      <c r="A826" s="102"/>
      <c r="B826" s="103"/>
      <c r="C826" s="103"/>
      <c r="D826" s="103"/>
      <c r="E826" s="103"/>
      <c r="F826" s="103"/>
      <c r="G826" s="103"/>
      <c r="H826" s="103"/>
      <c r="I826" s="103"/>
      <c r="T826" s="30" t="str">
        <f aca="false">IF(C826="","",IF(COUNTIFS(C$5:C826,C826,E$5:E826,E826)=1,1,0))</f>
        <v/>
      </c>
      <c r="U826" s="30" t="n">
        <f aca="false">IF(C826="",0,IF(AND(B826="brand",E826="budget_probe",N(F826)&gt;=Inputs!$C$124,H826="Y"),1,0))</f>
        <v>0</v>
      </c>
      <c r="V826" s="30" t="n">
        <f aca="false">IF(U826=1,IF(COUNTIFS(C$5:C826,C826,U$5:U826,1)=1,1,0),0)</f>
        <v>0</v>
      </c>
      <c r="W826" s="30" t="n">
        <f aca="false">IF(C826="",0,IF(AND(B826="office",E826="budget_probe",N(F826)&gt;=Inputs!$C$139),1,0))</f>
        <v>0</v>
      </c>
      <c r="X826" s="30" t="n">
        <f aca="false">IF(W826=1,IF(COUNTIFS(C$5:C826,C826,W$5:W826,1)=1,1,0),0)</f>
        <v>0</v>
      </c>
      <c r="Y826" s="30" t="n">
        <f aca="false">IF(C826="",0,IF(AND(B826="brand",E826="renewal_answer",TRIM(G826)="yes",N(F826)&gt;=Inputs!$C$135),1,0))</f>
        <v>0</v>
      </c>
      <c r="Z826" s="30" t="n">
        <f aca="false">IF(Y826=1,IF(COUNTIFS(C$5:C826,C826,Y$5:Y826,1)=1,1,0),0)</f>
        <v>0</v>
      </c>
      <c r="AA826" s="30" t="n">
        <f aca="false">IF(AND(E826="budget_probe",ISNUMBER(F826),I826&lt;&gt;Lists!$X$4),1,0)</f>
        <v>0</v>
      </c>
      <c r="AB826" s="30" t="str">
        <f aca="false">IF(AND(B826="office",AA826=1,COUNTIFS(C$5:C826,C826,AA$5:AA826,1)=1),F826,"")</f>
        <v/>
      </c>
      <c r="AC826" s="30" t="str">
        <f aca="false">IF(AND(B826="brand",AA826=1,COUNTIFS(C$5:C826,C826,AA$5:AA826,1)=1),F826,"")</f>
        <v/>
      </c>
      <c r="AD826" s="30" t="str">
        <f aca="false">IF(AND(B826="brand",E826="budget_probe",ISNUMBER(F826),I826=Lists!$X$4),IF(COUNTIFS(C$5:C826,C826,E$5:E826,"budget_probe",I$5:I826,Lists!$X$4)=1,F826,""),"")</f>
        <v/>
      </c>
      <c r="AE826" s="30" t="n">
        <f aca="false">IF(AND(B826="brand",E826="paid",ISNUMBER(F826)),IF(AND(SUMIFS(F$5:F826,B$5:B826,"brand",C$5:C826,C826,E$5:E826,"paid")&gt;=Inputs!$C$44,SUMIFS(F$5:F826,B$5:B826,"brand",C$5:C826,C826,E$5:E826,"paid")-F826&lt;Inputs!$C$44),1,0),0)</f>
        <v>0</v>
      </c>
    </row>
    <row r="827" customFormat="false" ht="15" hidden="false" customHeight="false" outlineLevel="0" collapsed="false">
      <c r="A827" s="102"/>
      <c r="B827" s="103"/>
      <c r="C827" s="103"/>
      <c r="D827" s="103"/>
      <c r="E827" s="103"/>
      <c r="F827" s="103"/>
      <c r="G827" s="103"/>
      <c r="H827" s="103"/>
      <c r="I827" s="103"/>
      <c r="T827" s="30" t="str">
        <f aca="false">IF(C827="","",IF(COUNTIFS(C$5:C827,C827,E$5:E827,E827)=1,1,0))</f>
        <v/>
      </c>
      <c r="U827" s="30" t="n">
        <f aca="false">IF(C827="",0,IF(AND(B827="brand",E827="budget_probe",N(F827)&gt;=Inputs!$C$124,H827="Y"),1,0))</f>
        <v>0</v>
      </c>
      <c r="V827" s="30" t="n">
        <f aca="false">IF(U827=1,IF(COUNTIFS(C$5:C827,C827,U$5:U827,1)=1,1,0),0)</f>
        <v>0</v>
      </c>
      <c r="W827" s="30" t="n">
        <f aca="false">IF(C827="",0,IF(AND(B827="office",E827="budget_probe",N(F827)&gt;=Inputs!$C$139),1,0))</f>
        <v>0</v>
      </c>
      <c r="X827" s="30" t="n">
        <f aca="false">IF(W827=1,IF(COUNTIFS(C$5:C827,C827,W$5:W827,1)=1,1,0),0)</f>
        <v>0</v>
      </c>
      <c r="Y827" s="30" t="n">
        <f aca="false">IF(C827="",0,IF(AND(B827="brand",E827="renewal_answer",TRIM(G827)="yes",N(F827)&gt;=Inputs!$C$135),1,0))</f>
        <v>0</v>
      </c>
      <c r="Z827" s="30" t="n">
        <f aca="false">IF(Y827=1,IF(COUNTIFS(C$5:C827,C827,Y$5:Y827,1)=1,1,0),0)</f>
        <v>0</v>
      </c>
      <c r="AA827" s="30" t="n">
        <f aca="false">IF(AND(E827="budget_probe",ISNUMBER(F827),I827&lt;&gt;Lists!$X$4),1,0)</f>
        <v>0</v>
      </c>
      <c r="AB827" s="30" t="str">
        <f aca="false">IF(AND(B827="office",AA827=1,COUNTIFS(C$5:C827,C827,AA$5:AA827,1)=1),F827,"")</f>
        <v/>
      </c>
      <c r="AC827" s="30" t="str">
        <f aca="false">IF(AND(B827="brand",AA827=1,COUNTIFS(C$5:C827,C827,AA$5:AA827,1)=1),F827,"")</f>
        <v/>
      </c>
      <c r="AD827" s="30" t="str">
        <f aca="false">IF(AND(B827="brand",E827="budget_probe",ISNUMBER(F827),I827=Lists!$X$4),IF(COUNTIFS(C$5:C827,C827,E$5:E827,"budget_probe",I$5:I827,Lists!$X$4)=1,F827,""),"")</f>
        <v/>
      </c>
      <c r="AE827" s="30" t="n">
        <f aca="false">IF(AND(B827="brand",E827="paid",ISNUMBER(F827)),IF(AND(SUMIFS(F$5:F827,B$5:B827,"brand",C$5:C827,C827,E$5:E827,"paid")&gt;=Inputs!$C$44,SUMIFS(F$5:F827,B$5:B827,"brand",C$5:C827,C827,E$5:E827,"paid")-F827&lt;Inputs!$C$44),1,0),0)</f>
        <v>0</v>
      </c>
    </row>
    <row r="828" customFormat="false" ht="15" hidden="false" customHeight="false" outlineLevel="0" collapsed="false">
      <c r="A828" s="102"/>
      <c r="B828" s="103"/>
      <c r="C828" s="103"/>
      <c r="D828" s="103"/>
      <c r="E828" s="103"/>
      <c r="F828" s="103"/>
      <c r="G828" s="103"/>
      <c r="H828" s="103"/>
      <c r="I828" s="103"/>
      <c r="T828" s="30" t="str">
        <f aca="false">IF(C828="","",IF(COUNTIFS(C$5:C828,C828,E$5:E828,E828)=1,1,0))</f>
        <v/>
      </c>
      <c r="U828" s="30" t="n">
        <f aca="false">IF(C828="",0,IF(AND(B828="brand",E828="budget_probe",N(F828)&gt;=Inputs!$C$124,H828="Y"),1,0))</f>
        <v>0</v>
      </c>
      <c r="V828" s="30" t="n">
        <f aca="false">IF(U828=1,IF(COUNTIFS(C$5:C828,C828,U$5:U828,1)=1,1,0),0)</f>
        <v>0</v>
      </c>
      <c r="W828" s="30" t="n">
        <f aca="false">IF(C828="",0,IF(AND(B828="office",E828="budget_probe",N(F828)&gt;=Inputs!$C$139),1,0))</f>
        <v>0</v>
      </c>
      <c r="X828" s="30" t="n">
        <f aca="false">IF(W828=1,IF(COUNTIFS(C$5:C828,C828,W$5:W828,1)=1,1,0),0)</f>
        <v>0</v>
      </c>
      <c r="Y828" s="30" t="n">
        <f aca="false">IF(C828="",0,IF(AND(B828="brand",E828="renewal_answer",TRIM(G828)="yes",N(F828)&gt;=Inputs!$C$135),1,0))</f>
        <v>0</v>
      </c>
      <c r="Z828" s="30" t="n">
        <f aca="false">IF(Y828=1,IF(COUNTIFS(C$5:C828,C828,Y$5:Y828,1)=1,1,0),0)</f>
        <v>0</v>
      </c>
      <c r="AA828" s="30" t="n">
        <f aca="false">IF(AND(E828="budget_probe",ISNUMBER(F828),I828&lt;&gt;Lists!$X$4),1,0)</f>
        <v>0</v>
      </c>
      <c r="AB828" s="30" t="str">
        <f aca="false">IF(AND(B828="office",AA828=1,COUNTIFS(C$5:C828,C828,AA$5:AA828,1)=1),F828,"")</f>
        <v/>
      </c>
      <c r="AC828" s="30" t="str">
        <f aca="false">IF(AND(B828="brand",AA828=1,COUNTIFS(C$5:C828,C828,AA$5:AA828,1)=1),F828,"")</f>
        <v/>
      </c>
      <c r="AD828" s="30" t="str">
        <f aca="false">IF(AND(B828="brand",E828="budget_probe",ISNUMBER(F828),I828=Lists!$X$4),IF(COUNTIFS(C$5:C828,C828,E$5:E828,"budget_probe",I$5:I828,Lists!$X$4)=1,F828,""),"")</f>
        <v/>
      </c>
      <c r="AE828" s="30" t="n">
        <f aca="false">IF(AND(B828="brand",E828="paid",ISNUMBER(F828)),IF(AND(SUMIFS(F$5:F828,B$5:B828,"brand",C$5:C828,C828,E$5:E828,"paid")&gt;=Inputs!$C$44,SUMIFS(F$5:F828,B$5:B828,"brand",C$5:C828,C828,E$5:E828,"paid")-F828&lt;Inputs!$C$44),1,0),0)</f>
        <v>0</v>
      </c>
    </row>
    <row r="829" customFormat="false" ht="15" hidden="false" customHeight="false" outlineLevel="0" collapsed="false">
      <c r="A829" s="102"/>
      <c r="B829" s="103"/>
      <c r="C829" s="103"/>
      <c r="D829" s="103"/>
      <c r="E829" s="103"/>
      <c r="F829" s="103"/>
      <c r="G829" s="103"/>
      <c r="H829" s="103"/>
      <c r="I829" s="103"/>
      <c r="T829" s="30" t="str">
        <f aca="false">IF(C829="","",IF(COUNTIFS(C$5:C829,C829,E$5:E829,E829)=1,1,0))</f>
        <v/>
      </c>
      <c r="U829" s="30" t="n">
        <f aca="false">IF(C829="",0,IF(AND(B829="brand",E829="budget_probe",N(F829)&gt;=Inputs!$C$124,H829="Y"),1,0))</f>
        <v>0</v>
      </c>
      <c r="V829" s="30" t="n">
        <f aca="false">IF(U829=1,IF(COUNTIFS(C$5:C829,C829,U$5:U829,1)=1,1,0),0)</f>
        <v>0</v>
      </c>
      <c r="W829" s="30" t="n">
        <f aca="false">IF(C829="",0,IF(AND(B829="office",E829="budget_probe",N(F829)&gt;=Inputs!$C$139),1,0))</f>
        <v>0</v>
      </c>
      <c r="X829" s="30" t="n">
        <f aca="false">IF(W829=1,IF(COUNTIFS(C$5:C829,C829,W$5:W829,1)=1,1,0),0)</f>
        <v>0</v>
      </c>
      <c r="Y829" s="30" t="n">
        <f aca="false">IF(C829="",0,IF(AND(B829="brand",E829="renewal_answer",TRIM(G829)="yes",N(F829)&gt;=Inputs!$C$135),1,0))</f>
        <v>0</v>
      </c>
      <c r="Z829" s="30" t="n">
        <f aca="false">IF(Y829=1,IF(COUNTIFS(C$5:C829,C829,Y$5:Y829,1)=1,1,0),0)</f>
        <v>0</v>
      </c>
      <c r="AA829" s="30" t="n">
        <f aca="false">IF(AND(E829="budget_probe",ISNUMBER(F829),I829&lt;&gt;Lists!$X$4),1,0)</f>
        <v>0</v>
      </c>
      <c r="AB829" s="30" t="str">
        <f aca="false">IF(AND(B829="office",AA829=1,COUNTIFS(C$5:C829,C829,AA$5:AA829,1)=1),F829,"")</f>
        <v/>
      </c>
      <c r="AC829" s="30" t="str">
        <f aca="false">IF(AND(B829="brand",AA829=1,COUNTIFS(C$5:C829,C829,AA$5:AA829,1)=1),F829,"")</f>
        <v/>
      </c>
      <c r="AD829" s="30" t="str">
        <f aca="false">IF(AND(B829="brand",E829="budget_probe",ISNUMBER(F829),I829=Lists!$X$4),IF(COUNTIFS(C$5:C829,C829,E$5:E829,"budget_probe",I$5:I829,Lists!$X$4)=1,F829,""),"")</f>
        <v/>
      </c>
      <c r="AE829" s="30" t="n">
        <f aca="false">IF(AND(B829="brand",E829="paid",ISNUMBER(F829)),IF(AND(SUMIFS(F$5:F829,B$5:B829,"brand",C$5:C829,C829,E$5:E829,"paid")&gt;=Inputs!$C$44,SUMIFS(F$5:F829,B$5:B829,"brand",C$5:C829,C829,E$5:E829,"paid")-F829&lt;Inputs!$C$44),1,0),0)</f>
        <v>0</v>
      </c>
    </row>
    <row r="830" customFormat="false" ht="15" hidden="false" customHeight="false" outlineLevel="0" collapsed="false">
      <c r="A830" s="102"/>
      <c r="B830" s="103"/>
      <c r="C830" s="103"/>
      <c r="D830" s="103"/>
      <c r="E830" s="103"/>
      <c r="F830" s="103"/>
      <c r="G830" s="103"/>
      <c r="H830" s="103"/>
      <c r="I830" s="103"/>
      <c r="T830" s="30" t="str">
        <f aca="false">IF(C830="","",IF(COUNTIFS(C$5:C830,C830,E$5:E830,E830)=1,1,0))</f>
        <v/>
      </c>
      <c r="U830" s="30" t="n">
        <f aca="false">IF(C830="",0,IF(AND(B830="brand",E830="budget_probe",N(F830)&gt;=Inputs!$C$124,H830="Y"),1,0))</f>
        <v>0</v>
      </c>
      <c r="V830" s="30" t="n">
        <f aca="false">IF(U830=1,IF(COUNTIFS(C$5:C830,C830,U$5:U830,1)=1,1,0),0)</f>
        <v>0</v>
      </c>
      <c r="W830" s="30" t="n">
        <f aca="false">IF(C830="",0,IF(AND(B830="office",E830="budget_probe",N(F830)&gt;=Inputs!$C$139),1,0))</f>
        <v>0</v>
      </c>
      <c r="X830" s="30" t="n">
        <f aca="false">IF(W830=1,IF(COUNTIFS(C$5:C830,C830,W$5:W830,1)=1,1,0),0)</f>
        <v>0</v>
      </c>
      <c r="Y830" s="30" t="n">
        <f aca="false">IF(C830="",0,IF(AND(B830="brand",E830="renewal_answer",TRIM(G830)="yes",N(F830)&gt;=Inputs!$C$135),1,0))</f>
        <v>0</v>
      </c>
      <c r="Z830" s="30" t="n">
        <f aca="false">IF(Y830=1,IF(COUNTIFS(C$5:C830,C830,Y$5:Y830,1)=1,1,0),0)</f>
        <v>0</v>
      </c>
      <c r="AA830" s="30" t="n">
        <f aca="false">IF(AND(E830="budget_probe",ISNUMBER(F830),I830&lt;&gt;Lists!$X$4),1,0)</f>
        <v>0</v>
      </c>
      <c r="AB830" s="30" t="str">
        <f aca="false">IF(AND(B830="office",AA830=1,COUNTIFS(C$5:C830,C830,AA$5:AA830,1)=1),F830,"")</f>
        <v/>
      </c>
      <c r="AC830" s="30" t="str">
        <f aca="false">IF(AND(B830="brand",AA830=1,COUNTIFS(C$5:C830,C830,AA$5:AA830,1)=1),F830,"")</f>
        <v/>
      </c>
      <c r="AD830" s="30" t="str">
        <f aca="false">IF(AND(B830="brand",E830="budget_probe",ISNUMBER(F830),I830=Lists!$X$4),IF(COUNTIFS(C$5:C830,C830,E$5:E830,"budget_probe",I$5:I830,Lists!$X$4)=1,F830,""),"")</f>
        <v/>
      </c>
      <c r="AE830" s="30" t="n">
        <f aca="false">IF(AND(B830="brand",E830="paid",ISNUMBER(F830)),IF(AND(SUMIFS(F$5:F830,B$5:B830,"brand",C$5:C830,C830,E$5:E830,"paid")&gt;=Inputs!$C$44,SUMIFS(F$5:F830,B$5:B830,"brand",C$5:C830,C830,E$5:E830,"paid")-F830&lt;Inputs!$C$44),1,0),0)</f>
        <v>0</v>
      </c>
    </row>
    <row r="831" customFormat="false" ht="15" hidden="false" customHeight="false" outlineLevel="0" collapsed="false">
      <c r="A831" s="102"/>
      <c r="B831" s="103"/>
      <c r="C831" s="103"/>
      <c r="D831" s="103"/>
      <c r="E831" s="103"/>
      <c r="F831" s="103"/>
      <c r="G831" s="103"/>
      <c r="H831" s="103"/>
      <c r="I831" s="103"/>
      <c r="T831" s="30" t="str">
        <f aca="false">IF(C831="","",IF(COUNTIFS(C$5:C831,C831,E$5:E831,E831)=1,1,0))</f>
        <v/>
      </c>
      <c r="U831" s="30" t="n">
        <f aca="false">IF(C831="",0,IF(AND(B831="brand",E831="budget_probe",N(F831)&gt;=Inputs!$C$124,H831="Y"),1,0))</f>
        <v>0</v>
      </c>
      <c r="V831" s="30" t="n">
        <f aca="false">IF(U831=1,IF(COUNTIFS(C$5:C831,C831,U$5:U831,1)=1,1,0),0)</f>
        <v>0</v>
      </c>
      <c r="W831" s="30" t="n">
        <f aca="false">IF(C831="",0,IF(AND(B831="office",E831="budget_probe",N(F831)&gt;=Inputs!$C$139),1,0))</f>
        <v>0</v>
      </c>
      <c r="X831" s="30" t="n">
        <f aca="false">IF(W831=1,IF(COUNTIFS(C$5:C831,C831,W$5:W831,1)=1,1,0),0)</f>
        <v>0</v>
      </c>
      <c r="Y831" s="30" t="n">
        <f aca="false">IF(C831="",0,IF(AND(B831="brand",E831="renewal_answer",TRIM(G831)="yes",N(F831)&gt;=Inputs!$C$135),1,0))</f>
        <v>0</v>
      </c>
      <c r="Z831" s="30" t="n">
        <f aca="false">IF(Y831=1,IF(COUNTIFS(C$5:C831,C831,Y$5:Y831,1)=1,1,0),0)</f>
        <v>0</v>
      </c>
      <c r="AA831" s="30" t="n">
        <f aca="false">IF(AND(E831="budget_probe",ISNUMBER(F831),I831&lt;&gt;Lists!$X$4),1,0)</f>
        <v>0</v>
      </c>
      <c r="AB831" s="30" t="str">
        <f aca="false">IF(AND(B831="office",AA831=1,COUNTIFS(C$5:C831,C831,AA$5:AA831,1)=1),F831,"")</f>
        <v/>
      </c>
      <c r="AC831" s="30" t="str">
        <f aca="false">IF(AND(B831="brand",AA831=1,COUNTIFS(C$5:C831,C831,AA$5:AA831,1)=1),F831,"")</f>
        <v/>
      </c>
      <c r="AD831" s="30" t="str">
        <f aca="false">IF(AND(B831="brand",E831="budget_probe",ISNUMBER(F831),I831=Lists!$X$4),IF(COUNTIFS(C$5:C831,C831,E$5:E831,"budget_probe",I$5:I831,Lists!$X$4)=1,F831,""),"")</f>
        <v/>
      </c>
      <c r="AE831" s="30" t="n">
        <f aca="false">IF(AND(B831="brand",E831="paid",ISNUMBER(F831)),IF(AND(SUMIFS(F$5:F831,B$5:B831,"brand",C$5:C831,C831,E$5:E831,"paid")&gt;=Inputs!$C$44,SUMIFS(F$5:F831,B$5:B831,"brand",C$5:C831,C831,E$5:E831,"paid")-F831&lt;Inputs!$C$44),1,0),0)</f>
        <v>0</v>
      </c>
    </row>
    <row r="832" customFormat="false" ht="15" hidden="false" customHeight="false" outlineLevel="0" collapsed="false">
      <c r="A832" s="102"/>
      <c r="B832" s="103"/>
      <c r="C832" s="103"/>
      <c r="D832" s="103"/>
      <c r="E832" s="103"/>
      <c r="F832" s="103"/>
      <c r="G832" s="103"/>
      <c r="H832" s="103"/>
      <c r="I832" s="103"/>
      <c r="T832" s="30" t="str">
        <f aca="false">IF(C832="","",IF(COUNTIFS(C$5:C832,C832,E$5:E832,E832)=1,1,0))</f>
        <v/>
      </c>
      <c r="U832" s="30" t="n">
        <f aca="false">IF(C832="",0,IF(AND(B832="brand",E832="budget_probe",N(F832)&gt;=Inputs!$C$124,H832="Y"),1,0))</f>
        <v>0</v>
      </c>
      <c r="V832" s="30" t="n">
        <f aca="false">IF(U832=1,IF(COUNTIFS(C$5:C832,C832,U$5:U832,1)=1,1,0),0)</f>
        <v>0</v>
      </c>
      <c r="W832" s="30" t="n">
        <f aca="false">IF(C832="",0,IF(AND(B832="office",E832="budget_probe",N(F832)&gt;=Inputs!$C$139),1,0))</f>
        <v>0</v>
      </c>
      <c r="X832" s="30" t="n">
        <f aca="false">IF(W832=1,IF(COUNTIFS(C$5:C832,C832,W$5:W832,1)=1,1,0),0)</f>
        <v>0</v>
      </c>
      <c r="Y832" s="30" t="n">
        <f aca="false">IF(C832="",0,IF(AND(B832="brand",E832="renewal_answer",TRIM(G832)="yes",N(F832)&gt;=Inputs!$C$135),1,0))</f>
        <v>0</v>
      </c>
      <c r="Z832" s="30" t="n">
        <f aca="false">IF(Y832=1,IF(COUNTIFS(C$5:C832,C832,Y$5:Y832,1)=1,1,0),0)</f>
        <v>0</v>
      </c>
      <c r="AA832" s="30" t="n">
        <f aca="false">IF(AND(E832="budget_probe",ISNUMBER(F832),I832&lt;&gt;Lists!$X$4),1,0)</f>
        <v>0</v>
      </c>
      <c r="AB832" s="30" t="str">
        <f aca="false">IF(AND(B832="office",AA832=1,COUNTIFS(C$5:C832,C832,AA$5:AA832,1)=1),F832,"")</f>
        <v/>
      </c>
      <c r="AC832" s="30" t="str">
        <f aca="false">IF(AND(B832="brand",AA832=1,COUNTIFS(C$5:C832,C832,AA$5:AA832,1)=1),F832,"")</f>
        <v/>
      </c>
      <c r="AD832" s="30" t="str">
        <f aca="false">IF(AND(B832="brand",E832="budget_probe",ISNUMBER(F832),I832=Lists!$X$4),IF(COUNTIFS(C$5:C832,C832,E$5:E832,"budget_probe",I$5:I832,Lists!$X$4)=1,F832,""),"")</f>
        <v/>
      </c>
      <c r="AE832" s="30" t="n">
        <f aca="false">IF(AND(B832="brand",E832="paid",ISNUMBER(F832)),IF(AND(SUMIFS(F$5:F832,B$5:B832,"brand",C$5:C832,C832,E$5:E832,"paid")&gt;=Inputs!$C$44,SUMIFS(F$5:F832,B$5:B832,"brand",C$5:C832,C832,E$5:E832,"paid")-F832&lt;Inputs!$C$44),1,0),0)</f>
        <v>0</v>
      </c>
    </row>
    <row r="833" customFormat="false" ht="15" hidden="false" customHeight="false" outlineLevel="0" collapsed="false">
      <c r="A833" s="102"/>
      <c r="B833" s="103"/>
      <c r="C833" s="103"/>
      <c r="D833" s="103"/>
      <c r="E833" s="103"/>
      <c r="F833" s="103"/>
      <c r="G833" s="103"/>
      <c r="H833" s="103"/>
      <c r="I833" s="103"/>
      <c r="T833" s="30" t="str">
        <f aca="false">IF(C833="","",IF(COUNTIFS(C$5:C833,C833,E$5:E833,E833)=1,1,0))</f>
        <v/>
      </c>
      <c r="U833" s="30" t="n">
        <f aca="false">IF(C833="",0,IF(AND(B833="brand",E833="budget_probe",N(F833)&gt;=Inputs!$C$124,H833="Y"),1,0))</f>
        <v>0</v>
      </c>
      <c r="V833" s="30" t="n">
        <f aca="false">IF(U833=1,IF(COUNTIFS(C$5:C833,C833,U$5:U833,1)=1,1,0),0)</f>
        <v>0</v>
      </c>
      <c r="W833" s="30" t="n">
        <f aca="false">IF(C833="",0,IF(AND(B833="office",E833="budget_probe",N(F833)&gt;=Inputs!$C$139),1,0))</f>
        <v>0</v>
      </c>
      <c r="X833" s="30" t="n">
        <f aca="false">IF(W833=1,IF(COUNTIFS(C$5:C833,C833,W$5:W833,1)=1,1,0),0)</f>
        <v>0</v>
      </c>
      <c r="Y833" s="30" t="n">
        <f aca="false">IF(C833="",0,IF(AND(B833="brand",E833="renewal_answer",TRIM(G833)="yes",N(F833)&gt;=Inputs!$C$135),1,0))</f>
        <v>0</v>
      </c>
      <c r="Z833" s="30" t="n">
        <f aca="false">IF(Y833=1,IF(COUNTIFS(C$5:C833,C833,Y$5:Y833,1)=1,1,0),0)</f>
        <v>0</v>
      </c>
      <c r="AA833" s="30" t="n">
        <f aca="false">IF(AND(E833="budget_probe",ISNUMBER(F833),I833&lt;&gt;Lists!$X$4),1,0)</f>
        <v>0</v>
      </c>
      <c r="AB833" s="30" t="str">
        <f aca="false">IF(AND(B833="office",AA833=1,COUNTIFS(C$5:C833,C833,AA$5:AA833,1)=1),F833,"")</f>
        <v/>
      </c>
      <c r="AC833" s="30" t="str">
        <f aca="false">IF(AND(B833="brand",AA833=1,COUNTIFS(C$5:C833,C833,AA$5:AA833,1)=1),F833,"")</f>
        <v/>
      </c>
      <c r="AD833" s="30" t="str">
        <f aca="false">IF(AND(B833="brand",E833="budget_probe",ISNUMBER(F833),I833=Lists!$X$4),IF(COUNTIFS(C$5:C833,C833,E$5:E833,"budget_probe",I$5:I833,Lists!$X$4)=1,F833,""),"")</f>
        <v/>
      </c>
      <c r="AE833" s="30" t="n">
        <f aca="false">IF(AND(B833="brand",E833="paid",ISNUMBER(F833)),IF(AND(SUMIFS(F$5:F833,B$5:B833,"brand",C$5:C833,C833,E$5:E833,"paid")&gt;=Inputs!$C$44,SUMIFS(F$5:F833,B$5:B833,"brand",C$5:C833,C833,E$5:E833,"paid")-F833&lt;Inputs!$C$44),1,0),0)</f>
        <v>0</v>
      </c>
    </row>
    <row r="834" customFormat="false" ht="15" hidden="false" customHeight="false" outlineLevel="0" collapsed="false">
      <c r="A834" s="102"/>
      <c r="B834" s="103"/>
      <c r="C834" s="103"/>
      <c r="D834" s="103"/>
      <c r="E834" s="103"/>
      <c r="F834" s="103"/>
      <c r="G834" s="103"/>
      <c r="H834" s="103"/>
      <c r="I834" s="103"/>
      <c r="T834" s="30" t="str">
        <f aca="false">IF(C834="","",IF(COUNTIFS(C$5:C834,C834,E$5:E834,E834)=1,1,0))</f>
        <v/>
      </c>
      <c r="U834" s="30" t="n">
        <f aca="false">IF(C834="",0,IF(AND(B834="brand",E834="budget_probe",N(F834)&gt;=Inputs!$C$124,H834="Y"),1,0))</f>
        <v>0</v>
      </c>
      <c r="V834" s="30" t="n">
        <f aca="false">IF(U834=1,IF(COUNTIFS(C$5:C834,C834,U$5:U834,1)=1,1,0),0)</f>
        <v>0</v>
      </c>
      <c r="W834" s="30" t="n">
        <f aca="false">IF(C834="",0,IF(AND(B834="office",E834="budget_probe",N(F834)&gt;=Inputs!$C$139),1,0))</f>
        <v>0</v>
      </c>
      <c r="X834" s="30" t="n">
        <f aca="false">IF(W834=1,IF(COUNTIFS(C$5:C834,C834,W$5:W834,1)=1,1,0),0)</f>
        <v>0</v>
      </c>
      <c r="Y834" s="30" t="n">
        <f aca="false">IF(C834="",0,IF(AND(B834="brand",E834="renewal_answer",TRIM(G834)="yes",N(F834)&gt;=Inputs!$C$135),1,0))</f>
        <v>0</v>
      </c>
      <c r="Z834" s="30" t="n">
        <f aca="false">IF(Y834=1,IF(COUNTIFS(C$5:C834,C834,Y$5:Y834,1)=1,1,0),0)</f>
        <v>0</v>
      </c>
      <c r="AA834" s="30" t="n">
        <f aca="false">IF(AND(E834="budget_probe",ISNUMBER(F834),I834&lt;&gt;Lists!$X$4),1,0)</f>
        <v>0</v>
      </c>
      <c r="AB834" s="30" t="str">
        <f aca="false">IF(AND(B834="office",AA834=1,COUNTIFS(C$5:C834,C834,AA$5:AA834,1)=1),F834,"")</f>
        <v/>
      </c>
      <c r="AC834" s="30" t="str">
        <f aca="false">IF(AND(B834="brand",AA834=1,COUNTIFS(C$5:C834,C834,AA$5:AA834,1)=1),F834,"")</f>
        <v/>
      </c>
      <c r="AD834" s="30" t="str">
        <f aca="false">IF(AND(B834="brand",E834="budget_probe",ISNUMBER(F834),I834=Lists!$X$4),IF(COUNTIFS(C$5:C834,C834,E$5:E834,"budget_probe",I$5:I834,Lists!$X$4)=1,F834,""),"")</f>
        <v/>
      </c>
      <c r="AE834" s="30" t="n">
        <f aca="false">IF(AND(B834="brand",E834="paid",ISNUMBER(F834)),IF(AND(SUMIFS(F$5:F834,B$5:B834,"brand",C$5:C834,C834,E$5:E834,"paid")&gt;=Inputs!$C$44,SUMIFS(F$5:F834,B$5:B834,"brand",C$5:C834,C834,E$5:E834,"paid")-F834&lt;Inputs!$C$44),1,0),0)</f>
        <v>0</v>
      </c>
    </row>
    <row r="835" customFormat="false" ht="15" hidden="false" customHeight="false" outlineLevel="0" collapsed="false">
      <c r="A835" s="102"/>
      <c r="B835" s="103"/>
      <c r="C835" s="103"/>
      <c r="D835" s="103"/>
      <c r="E835" s="103"/>
      <c r="F835" s="103"/>
      <c r="G835" s="103"/>
      <c r="H835" s="103"/>
      <c r="I835" s="103"/>
      <c r="T835" s="30" t="str">
        <f aca="false">IF(C835="","",IF(COUNTIFS(C$5:C835,C835,E$5:E835,E835)=1,1,0))</f>
        <v/>
      </c>
      <c r="U835" s="30" t="n">
        <f aca="false">IF(C835="",0,IF(AND(B835="brand",E835="budget_probe",N(F835)&gt;=Inputs!$C$124,H835="Y"),1,0))</f>
        <v>0</v>
      </c>
      <c r="V835" s="30" t="n">
        <f aca="false">IF(U835=1,IF(COUNTIFS(C$5:C835,C835,U$5:U835,1)=1,1,0),0)</f>
        <v>0</v>
      </c>
      <c r="W835" s="30" t="n">
        <f aca="false">IF(C835="",0,IF(AND(B835="office",E835="budget_probe",N(F835)&gt;=Inputs!$C$139),1,0))</f>
        <v>0</v>
      </c>
      <c r="X835" s="30" t="n">
        <f aca="false">IF(W835=1,IF(COUNTIFS(C$5:C835,C835,W$5:W835,1)=1,1,0),0)</f>
        <v>0</v>
      </c>
      <c r="Y835" s="30" t="n">
        <f aca="false">IF(C835="",0,IF(AND(B835="brand",E835="renewal_answer",TRIM(G835)="yes",N(F835)&gt;=Inputs!$C$135),1,0))</f>
        <v>0</v>
      </c>
      <c r="Z835" s="30" t="n">
        <f aca="false">IF(Y835=1,IF(COUNTIFS(C$5:C835,C835,Y$5:Y835,1)=1,1,0),0)</f>
        <v>0</v>
      </c>
      <c r="AA835" s="30" t="n">
        <f aca="false">IF(AND(E835="budget_probe",ISNUMBER(F835),I835&lt;&gt;Lists!$X$4),1,0)</f>
        <v>0</v>
      </c>
      <c r="AB835" s="30" t="str">
        <f aca="false">IF(AND(B835="office",AA835=1,COUNTIFS(C$5:C835,C835,AA$5:AA835,1)=1),F835,"")</f>
        <v/>
      </c>
      <c r="AC835" s="30" t="str">
        <f aca="false">IF(AND(B835="brand",AA835=1,COUNTIFS(C$5:C835,C835,AA$5:AA835,1)=1),F835,"")</f>
        <v/>
      </c>
      <c r="AD835" s="30" t="str">
        <f aca="false">IF(AND(B835="brand",E835="budget_probe",ISNUMBER(F835),I835=Lists!$X$4),IF(COUNTIFS(C$5:C835,C835,E$5:E835,"budget_probe",I$5:I835,Lists!$X$4)=1,F835,""),"")</f>
        <v/>
      </c>
      <c r="AE835" s="30" t="n">
        <f aca="false">IF(AND(B835="brand",E835="paid",ISNUMBER(F835)),IF(AND(SUMIFS(F$5:F835,B$5:B835,"brand",C$5:C835,C835,E$5:E835,"paid")&gt;=Inputs!$C$44,SUMIFS(F$5:F835,B$5:B835,"brand",C$5:C835,C835,E$5:E835,"paid")-F835&lt;Inputs!$C$44),1,0),0)</f>
        <v>0</v>
      </c>
    </row>
    <row r="836" customFormat="false" ht="15" hidden="false" customHeight="false" outlineLevel="0" collapsed="false">
      <c r="A836" s="102"/>
      <c r="B836" s="103"/>
      <c r="C836" s="103"/>
      <c r="D836" s="103"/>
      <c r="E836" s="103"/>
      <c r="F836" s="103"/>
      <c r="G836" s="103"/>
      <c r="H836" s="103"/>
      <c r="I836" s="103"/>
      <c r="T836" s="30" t="str">
        <f aca="false">IF(C836="","",IF(COUNTIFS(C$5:C836,C836,E$5:E836,E836)=1,1,0))</f>
        <v/>
      </c>
      <c r="U836" s="30" t="n">
        <f aca="false">IF(C836="",0,IF(AND(B836="brand",E836="budget_probe",N(F836)&gt;=Inputs!$C$124,H836="Y"),1,0))</f>
        <v>0</v>
      </c>
      <c r="V836" s="30" t="n">
        <f aca="false">IF(U836=1,IF(COUNTIFS(C$5:C836,C836,U$5:U836,1)=1,1,0),0)</f>
        <v>0</v>
      </c>
      <c r="W836" s="30" t="n">
        <f aca="false">IF(C836="",0,IF(AND(B836="office",E836="budget_probe",N(F836)&gt;=Inputs!$C$139),1,0))</f>
        <v>0</v>
      </c>
      <c r="X836" s="30" t="n">
        <f aca="false">IF(W836=1,IF(COUNTIFS(C$5:C836,C836,W$5:W836,1)=1,1,0),0)</f>
        <v>0</v>
      </c>
      <c r="Y836" s="30" t="n">
        <f aca="false">IF(C836="",0,IF(AND(B836="brand",E836="renewal_answer",TRIM(G836)="yes",N(F836)&gt;=Inputs!$C$135),1,0))</f>
        <v>0</v>
      </c>
      <c r="Z836" s="30" t="n">
        <f aca="false">IF(Y836=1,IF(COUNTIFS(C$5:C836,C836,Y$5:Y836,1)=1,1,0),0)</f>
        <v>0</v>
      </c>
      <c r="AA836" s="30" t="n">
        <f aca="false">IF(AND(E836="budget_probe",ISNUMBER(F836),I836&lt;&gt;Lists!$X$4),1,0)</f>
        <v>0</v>
      </c>
      <c r="AB836" s="30" t="str">
        <f aca="false">IF(AND(B836="office",AA836=1,COUNTIFS(C$5:C836,C836,AA$5:AA836,1)=1),F836,"")</f>
        <v/>
      </c>
      <c r="AC836" s="30" t="str">
        <f aca="false">IF(AND(B836="brand",AA836=1,COUNTIFS(C$5:C836,C836,AA$5:AA836,1)=1),F836,"")</f>
        <v/>
      </c>
      <c r="AD836" s="30" t="str">
        <f aca="false">IF(AND(B836="brand",E836="budget_probe",ISNUMBER(F836),I836=Lists!$X$4),IF(COUNTIFS(C$5:C836,C836,E$5:E836,"budget_probe",I$5:I836,Lists!$X$4)=1,F836,""),"")</f>
        <v/>
      </c>
      <c r="AE836" s="30" t="n">
        <f aca="false">IF(AND(B836="brand",E836="paid",ISNUMBER(F836)),IF(AND(SUMIFS(F$5:F836,B$5:B836,"brand",C$5:C836,C836,E$5:E836,"paid")&gt;=Inputs!$C$44,SUMIFS(F$5:F836,B$5:B836,"brand",C$5:C836,C836,E$5:E836,"paid")-F836&lt;Inputs!$C$44),1,0),0)</f>
        <v>0</v>
      </c>
    </row>
    <row r="837" customFormat="false" ht="15" hidden="false" customHeight="false" outlineLevel="0" collapsed="false">
      <c r="A837" s="102"/>
      <c r="B837" s="103"/>
      <c r="C837" s="103"/>
      <c r="D837" s="103"/>
      <c r="E837" s="103"/>
      <c r="F837" s="103"/>
      <c r="G837" s="103"/>
      <c r="H837" s="103"/>
      <c r="I837" s="103"/>
      <c r="T837" s="30" t="str">
        <f aca="false">IF(C837="","",IF(COUNTIFS(C$5:C837,C837,E$5:E837,E837)=1,1,0))</f>
        <v/>
      </c>
      <c r="U837" s="30" t="n">
        <f aca="false">IF(C837="",0,IF(AND(B837="brand",E837="budget_probe",N(F837)&gt;=Inputs!$C$124,H837="Y"),1,0))</f>
        <v>0</v>
      </c>
      <c r="V837" s="30" t="n">
        <f aca="false">IF(U837=1,IF(COUNTIFS(C$5:C837,C837,U$5:U837,1)=1,1,0),0)</f>
        <v>0</v>
      </c>
      <c r="W837" s="30" t="n">
        <f aca="false">IF(C837="",0,IF(AND(B837="office",E837="budget_probe",N(F837)&gt;=Inputs!$C$139),1,0))</f>
        <v>0</v>
      </c>
      <c r="X837" s="30" t="n">
        <f aca="false">IF(W837=1,IF(COUNTIFS(C$5:C837,C837,W$5:W837,1)=1,1,0),0)</f>
        <v>0</v>
      </c>
      <c r="Y837" s="30" t="n">
        <f aca="false">IF(C837="",0,IF(AND(B837="brand",E837="renewal_answer",TRIM(G837)="yes",N(F837)&gt;=Inputs!$C$135),1,0))</f>
        <v>0</v>
      </c>
      <c r="Z837" s="30" t="n">
        <f aca="false">IF(Y837=1,IF(COUNTIFS(C$5:C837,C837,Y$5:Y837,1)=1,1,0),0)</f>
        <v>0</v>
      </c>
      <c r="AA837" s="30" t="n">
        <f aca="false">IF(AND(E837="budget_probe",ISNUMBER(F837),I837&lt;&gt;Lists!$X$4),1,0)</f>
        <v>0</v>
      </c>
      <c r="AB837" s="30" t="str">
        <f aca="false">IF(AND(B837="office",AA837=1,COUNTIFS(C$5:C837,C837,AA$5:AA837,1)=1),F837,"")</f>
        <v/>
      </c>
      <c r="AC837" s="30" t="str">
        <f aca="false">IF(AND(B837="brand",AA837=1,COUNTIFS(C$5:C837,C837,AA$5:AA837,1)=1),F837,"")</f>
        <v/>
      </c>
      <c r="AD837" s="30" t="str">
        <f aca="false">IF(AND(B837="brand",E837="budget_probe",ISNUMBER(F837),I837=Lists!$X$4),IF(COUNTIFS(C$5:C837,C837,E$5:E837,"budget_probe",I$5:I837,Lists!$X$4)=1,F837,""),"")</f>
        <v/>
      </c>
      <c r="AE837" s="30" t="n">
        <f aca="false">IF(AND(B837="brand",E837="paid",ISNUMBER(F837)),IF(AND(SUMIFS(F$5:F837,B$5:B837,"brand",C$5:C837,C837,E$5:E837,"paid")&gt;=Inputs!$C$44,SUMIFS(F$5:F837,B$5:B837,"brand",C$5:C837,C837,E$5:E837,"paid")-F837&lt;Inputs!$C$44),1,0),0)</f>
        <v>0</v>
      </c>
    </row>
    <row r="838" customFormat="false" ht="15" hidden="false" customHeight="false" outlineLevel="0" collapsed="false">
      <c r="A838" s="102"/>
      <c r="B838" s="103"/>
      <c r="C838" s="103"/>
      <c r="D838" s="103"/>
      <c r="E838" s="103"/>
      <c r="F838" s="103"/>
      <c r="G838" s="103"/>
      <c r="H838" s="103"/>
      <c r="I838" s="103"/>
      <c r="T838" s="30" t="str">
        <f aca="false">IF(C838="","",IF(COUNTIFS(C$5:C838,C838,E$5:E838,E838)=1,1,0))</f>
        <v/>
      </c>
      <c r="U838" s="30" t="n">
        <f aca="false">IF(C838="",0,IF(AND(B838="brand",E838="budget_probe",N(F838)&gt;=Inputs!$C$124,H838="Y"),1,0))</f>
        <v>0</v>
      </c>
      <c r="V838" s="30" t="n">
        <f aca="false">IF(U838=1,IF(COUNTIFS(C$5:C838,C838,U$5:U838,1)=1,1,0),0)</f>
        <v>0</v>
      </c>
      <c r="W838" s="30" t="n">
        <f aca="false">IF(C838="",0,IF(AND(B838="office",E838="budget_probe",N(F838)&gt;=Inputs!$C$139),1,0))</f>
        <v>0</v>
      </c>
      <c r="X838" s="30" t="n">
        <f aca="false">IF(W838=1,IF(COUNTIFS(C$5:C838,C838,W$5:W838,1)=1,1,0),0)</f>
        <v>0</v>
      </c>
      <c r="Y838" s="30" t="n">
        <f aca="false">IF(C838="",0,IF(AND(B838="brand",E838="renewal_answer",TRIM(G838)="yes",N(F838)&gt;=Inputs!$C$135),1,0))</f>
        <v>0</v>
      </c>
      <c r="Z838" s="30" t="n">
        <f aca="false">IF(Y838=1,IF(COUNTIFS(C$5:C838,C838,Y$5:Y838,1)=1,1,0),0)</f>
        <v>0</v>
      </c>
      <c r="AA838" s="30" t="n">
        <f aca="false">IF(AND(E838="budget_probe",ISNUMBER(F838),I838&lt;&gt;Lists!$X$4),1,0)</f>
        <v>0</v>
      </c>
      <c r="AB838" s="30" t="str">
        <f aca="false">IF(AND(B838="office",AA838=1,COUNTIFS(C$5:C838,C838,AA$5:AA838,1)=1),F838,"")</f>
        <v/>
      </c>
      <c r="AC838" s="30" t="str">
        <f aca="false">IF(AND(B838="brand",AA838=1,COUNTIFS(C$5:C838,C838,AA$5:AA838,1)=1),F838,"")</f>
        <v/>
      </c>
      <c r="AD838" s="30" t="str">
        <f aca="false">IF(AND(B838="brand",E838="budget_probe",ISNUMBER(F838),I838=Lists!$X$4),IF(COUNTIFS(C$5:C838,C838,E$5:E838,"budget_probe",I$5:I838,Lists!$X$4)=1,F838,""),"")</f>
        <v/>
      </c>
      <c r="AE838" s="30" t="n">
        <f aca="false">IF(AND(B838="brand",E838="paid",ISNUMBER(F838)),IF(AND(SUMIFS(F$5:F838,B$5:B838,"brand",C$5:C838,C838,E$5:E838,"paid")&gt;=Inputs!$C$44,SUMIFS(F$5:F838,B$5:B838,"brand",C$5:C838,C838,E$5:E838,"paid")-F838&lt;Inputs!$C$44),1,0),0)</f>
        <v>0</v>
      </c>
    </row>
    <row r="839" customFormat="false" ht="15" hidden="false" customHeight="false" outlineLevel="0" collapsed="false">
      <c r="A839" s="102"/>
      <c r="B839" s="103"/>
      <c r="C839" s="103"/>
      <c r="D839" s="103"/>
      <c r="E839" s="103"/>
      <c r="F839" s="103"/>
      <c r="G839" s="103"/>
      <c r="H839" s="103"/>
      <c r="I839" s="103"/>
      <c r="T839" s="30" t="str">
        <f aca="false">IF(C839="","",IF(COUNTIFS(C$5:C839,C839,E$5:E839,E839)=1,1,0))</f>
        <v/>
      </c>
      <c r="U839" s="30" t="n">
        <f aca="false">IF(C839="",0,IF(AND(B839="brand",E839="budget_probe",N(F839)&gt;=Inputs!$C$124,H839="Y"),1,0))</f>
        <v>0</v>
      </c>
      <c r="V839" s="30" t="n">
        <f aca="false">IF(U839=1,IF(COUNTIFS(C$5:C839,C839,U$5:U839,1)=1,1,0),0)</f>
        <v>0</v>
      </c>
      <c r="W839" s="30" t="n">
        <f aca="false">IF(C839="",0,IF(AND(B839="office",E839="budget_probe",N(F839)&gt;=Inputs!$C$139),1,0))</f>
        <v>0</v>
      </c>
      <c r="X839" s="30" t="n">
        <f aca="false">IF(W839=1,IF(COUNTIFS(C$5:C839,C839,W$5:W839,1)=1,1,0),0)</f>
        <v>0</v>
      </c>
      <c r="Y839" s="30" t="n">
        <f aca="false">IF(C839="",0,IF(AND(B839="brand",E839="renewal_answer",TRIM(G839)="yes",N(F839)&gt;=Inputs!$C$135),1,0))</f>
        <v>0</v>
      </c>
      <c r="Z839" s="30" t="n">
        <f aca="false">IF(Y839=1,IF(COUNTIFS(C$5:C839,C839,Y$5:Y839,1)=1,1,0),0)</f>
        <v>0</v>
      </c>
      <c r="AA839" s="30" t="n">
        <f aca="false">IF(AND(E839="budget_probe",ISNUMBER(F839),I839&lt;&gt;Lists!$X$4),1,0)</f>
        <v>0</v>
      </c>
      <c r="AB839" s="30" t="str">
        <f aca="false">IF(AND(B839="office",AA839=1,COUNTIFS(C$5:C839,C839,AA$5:AA839,1)=1),F839,"")</f>
        <v/>
      </c>
      <c r="AC839" s="30" t="str">
        <f aca="false">IF(AND(B839="brand",AA839=1,COUNTIFS(C$5:C839,C839,AA$5:AA839,1)=1),F839,"")</f>
        <v/>
      </c>
      <c r="AD839" s="30" t="str">
        <f aca="false">IF(AND(B839="brand",E839="budget_probe",ISNUMBER(F839),I839=Lists!$X$4),IF(COUNTIFS(C$5:C839,C839,E$5:E839,"budget_probe",I$5:I839,Lists!$X$4)=1,F839,""),"")</f>
        <v/>
      </c>
      <c r="AE839" s="30" t="n">
        <f aca="false">IF(AND(B839="brand",E839="paid",ISNUMBER(F839)),IF(AND(SUMIFS(F$5:F839,B$5:B839,"brand",C$5:C839,C839,E$5:E839,"paid")&gt;=Inputs!$C$44,SUMIFS(F$5:F839,B$5:B839,"brand",C$5:C839,C839,E$5:E839,"paid")-F839&lt;Inputs!$C$44),1,0),0)</f>
        <v>0</v>
      </c>
    </row>
    <row r="840" customFormat="false" ht="15" hidden="false" customHeight="false" outlineLevel="0" collapsed="false">
      <c r="A840" s="102"/>
      <c r="B840" s="103"/>
      <c r="C840" s="103"/>
      <c r="D840" s="103"/>
      <c r="E840" s="103"/>
      <c r="F840" s="103"/>
      <c r="G840" s="103"/>
      <c r="H840" s="103"/>
      <c r="I840" s="103"/>
      <c r="T840" s="30" t="str">
        <f aca="false">IF(C840="","",IF(COUNTIFS(C$5:C840,C840,E$5:E840,E840)=1,1,0))</f>
        <v/>
      </c>
      <c r="U840" s="30" t="n">
        <f aca="false">IF(C840="",0,IF(AND(B840="brand",E840="budget_probe",N(F840)&gt;=Inputs!$C$124,H840="Y"),1,0))</f>
        <v>0</v>
      </c>
      <c r="V840" s="30" t="n">
        <f aca="false">IF(U840=1,IF(COUNTIFS(C$5:C840,C840,U$5:U840,1)=1,1,0),0)</f>
        <v>0</v>
      </c>
      <c r="W840" s="30" t="n">
        <f aca="false">IF(C840="",0,IF(AND(B840="office",E840="budget_probe",N(F840)&gt;=Inputs!$C$139),1,0))</f>
        <v>0</v>
      </c>
      <c r="X840" s="30" t="n">
        <f aca="false">IF(W840=1,IF(COUNTIFS(C$5:C840,C840,W$5:W840,1)=1,1,0),0)</f>
        <v>0</v>
      </c>
      <c r="Y840" s="30" t="n">
        <f aca="false">IF(C840="",0,IF(AND(B840="brand",E840="renewal_answer",TRIM(G840)="yes",N(F840)&gt;=Inputs!$C$135),1,0))</f>
        <v>0</v>
      </c>
      <c r="Z840" s="30" t="n">
        <f aca="false">IF(Y840=1,IF(COUNTIFS(C$5:C840,C840,Y$5:Y840,1)=1,1,0),0)</f>
        <v>0</v>
      </c>
      <c r="AA840" s="30" t="n">
        <f aca="false">IF(AND(E840="budget_probe",ISNUMBER(F840),I840&lt;&gt;Lists!$X$4),1,0)</f>
        <v>0</v>
      </c>
      <c r="AB840" s="30" t="str">
        <f aca="false">IF(AND(B840="office",AA840=1,COUNTIFS(C$5:C840,C840,AA$5:AA840,1)=1),F840,"")</f>
        <v/>
      </c>
      <c r="AC840" s="30" t="str">
        <f aca="false">IF(AND(B840="brand",AA840=1,COUNTIFS(C$5:C840,C840,AA$5:AA840,1)=1),F840,"")</f>
        <v/>
      </c>
      <c r="AD840" s="30" t="str">
        <f aca="false">IF(AND(B840="brand",E840="budget_probe",ISNUMBER(F840),I840=Lists!$X$4),IF(COUNTIFS(C$5:C840,C840,E$5:E840,"budget_probe",I$5:I840,Lists!$X$4)=1,F840,""),"")</f>
        <v/>
      </c>
      <c r="AE840" s="30" t="n">
        <f aca="false">IF(AND(B840="brand",E840="paid",ISNUMBER(F840)),IF(AND(SUMIFS(F$5:F840,B$5:B840,"brand",C$5:C840,C840,E$5:E840,"paid")&gt;=Inputs!$C$44,SUMIFS(F$5:F840,B$5:B840,"brand",C$5:C840,C840,E$5:E840,"paid")-F840&lt;Inputs!$C$44),1,0),0)</f>
        <v>0</v>
      </c>
    </row>
    <row r="841" customFormat="false" ht="15" hidden="false" customHeight="false" outlineLevel="0" collapsed="false">
      <c r="A841" s="102"/>
      <c r="B841" s="103"/>
      <c r="C841" s="103"/>
      <c r="D841" s="103"/>
      <c r="E841" s="103"/>
      <c r="F841" s="103"/>
      <c r="G841" s="103"/>
      <c r="H841" s="103"/>
      <c r="I841" s="103"/>
      <c r="T841" s="30" t="str">
        <f aca="false">IF(C841="","",IF(COUNTIFS(C$5:C841,C841,E$5:E841,E841)=1,1,0))</f>
        <v/>
      </c>
      <c r="U841" s="30" t="n">
        <f aca="false">IF(C841="",0,IF(AND(B841="brand",E841="budget_probe",N(F841)&gt;=Inputs!$C$124,H841="Y"),1,0))</f>
        <v>0</v>
      </c>
      <c r="V841" s="30" t="n">
        <f aca="false">IF(U841=1,IF(COUNTIFS(C$5:C841,C841,U$5:U841,1)=1,1,0),0)</f>
        <v>0</v>
      </c>
      <c r="W841" s="30" t="n">
        <f aca="false">IF(C841="",0,IF(AND(B841="office",E841="budget_probe",N(F841)&gt;=Inputs!$C$139),1,0))</f>
        <v>0</v>
      </c>
      <c r="X841" s="30" t="n">
        <f aca="false">IF(W841=1,IF(COUNTIFS(C$5:C841,C841,W$5:W841,1)=1,1,0),0)</f>
        <v>0</v>
      </c>
      <c r="Y841" s="30" t="n">
        <f aca="false">IF(C841="",0,IF(AND(B841="brand",E841="renewal_answer",TRIM(G841)="yes",N(F841)&gt;=Inputs!$C$135),1,0))</f>
        <v>0</v>
      </c>
      <c r="Z841" s="30" t="n">
        <f aca="false">IF(Y841=1,IF(COUNTIFS(C$5:C841,C841,Y$5:Y841,1)=1,1,0),0)</f>
        <v>0</v>
      </c>
      <c r="AA841" s="30" t="n">
        <f aca="false">IF(AND(E841="budget_probe",ISNUMBER(F841),I841&lt;&gt;Lists!$X$4),1,0)</f>
        <v>0</v>
      </c>
      <c r="AB841" s="30" t="str">
        <f aca="false">IF(AND(B841="office",AA841=1,COUNTIFS(C$5:C841,C841,AA$5:AA841,1)=1),F841,"")</f>
        <v/>
      </c>
      <c r="AC841" s="30" t="str">
        <f aca="false">IF(AND(B841="brand",AA841=1,COUNTIFS(C$5:C841,C841,AA$5:AA841,1)=1),F841,"")</f>
        <v/>
      </c>
      <c r="AD841" s="30" t="str">
        <f aca="false">IF(AND(B841="brand",E841="budget_probe",ISNUMBER(F841),I841=Lists!$X$4),IF(COUNTIFS(C$5:C841,C841,E$5:E841,"budget_probe",I$5:I841,Lists!$X$4)=1,F841,""),"")</f>
        <v/>
      </c>
      <c r="AE841" s="30" t="n">
        <f aca="false">IF(AND(B841="brand",E841="paid",ISNUMBER(F841)),IF(AND(SUMIFS(F$5:F841,B$5:B841,"brand",C$5:C841,C841,E$5:E841,"paid")&gt;=Inputs!$C$44,SUMIFS(F$5:F841,B$5:B841,"brand",C$5:C841,C841,E$5:E841,"paid")-F841&lt;Inputs!$C$44),1,0),0)</f>
        <v>0</v>
      </c>
    </row>
    <row r="842" customFormat="false" ht="15" hidden="false" customHeight="false" outlineLevel="0" collapsed="false">
      <c r="A842" s="102"/>
      <c r="B842" s="103"/>
      <c r="C842" s="103"/>
      <c r="D842" s="103"/>
      <c r="E842" s="103"/>
      <c r="F842" s="103"/>
      <c r="G842" s="103"/>
      <c r="H842" s="103"/>
      <c r="I842" s="103"/>
      <c r="T842" s="30" t="str">
        <f aca="false">IF(C842="","",IF(COUNTIFS(C$5:C842,C842,E$5:E842,E842)=1,1,0))</f>
        <v/>
      </c>
      <c r="U842" s="30" t="n">
        <f aca="false">IF(C842="",0,IF(AND(B842="brand",E842="budget_probe",N(F842)&gt;=Inputs!$C$124,H842="Y"),1,0))</f>
        <v>0</v>
      </c>
      <c r="V842" s="30" t="n">
        <f aca="false">IF(U842=1,IF(COUNTIFS(C$5:C842,C842,U$5:U842,1)=1,1,0),0)</f>
        <v>0</v>
      </c>
      <c r="W842" s="30" t="n">
        <f aca="false">IF(C842="",0,IF(AND(B842="office",E842="budget_probe",N(F842)&gt;=Inputs!$C$139),1,0))</f>
        <v>0</v>
      </c>
      <c r="X842" s="30" t="n">
        <f aca="false">IF(W842=1,IF(COUNTIFS(C$5:C842,C842,W$5:W842,1)=1,1,0),0)</f>
        <v>0</v>
      </c>
      <c r="Y842" s="30" t="n">
        <f aca="false">IF(C842="",0,IF(AND(B842="brand",E842="renewal_answer",TRIM(G842)="yes",N(F842)&gt;=Inputs!$C$135),1,0))</f>
        <v>0</v>
      </c>
      <c r="Z842" s="30" t="n">
        <f aca="false">IF(Y842=1,IF(COUNTIFS(C$5:C842,C842,Y$5:Y842,1)=1,1,0),0)</f>
        <v>0</v>
      </c>
      <c r="AA842" s="30" t="n">
        <f aca="false">IF(AND(E842="budget_probe",ISNUMBER(F842),I842&lt;&gt;Lists!$X$4),1,0)</f>
        <v>0</v>
      </c>
      <c r="AB842" s="30" t="str">
        <f aca="false">IF(AND(B842="office",AA842=1,COUNTIFS(C$5:C842,C842,AA$5:AA842,1)=1),F842,"")</f>
        <v/>
      </c>
      <c r="AC842" s="30" t="str">
        <f aca="false">IF(AND(B842="brand",AA842=1,COUNTIFS(C$5:C842,C842,AA$5:AA842,1)=1),F842,"")</f>
        <v/>
      </c>
      <c r="AD842" s="30" t="str">
        <f aca="false">IF(AND(B842="brand",E842="budget_probe",ISNUMBER(F842),I842=Lists!$X$4),IF(COUNTIFS(C$5:C842,C842,E$5:E842,"budget_probe",I$5:I842,Lists!$X$4)=1,F842,""),"")</f>
        <v/>
      </c>
      <c r="AE842" s="30" t="n">
        <f aca="false">IF(AND(B842="brand",E842="paid",ISNUMBER(F842)),IF(AND(SUMIFS(F$5:F842,B$5:B842,"brand",C$5:C842,C842,E$5:E842,"paid")&gt;=Inputs!$C$44,SUMIFS(F$5:F842,B$5:B842,"brand",C$5:C842,C842,E$5:E842,"paid")-F842&lt;Inputs!$C$44),1,0),0)</f>
        <v>0</v>
      </c>
    </row>
    <row r="843" customFormat="false" ht="15" hidden="false" customHeight="false" outlineLevel="0" collapsed="false">
      <c r="A843" s="102"/>
      <c r="B843" s="103"/>
      <c r="C843" s="103"/>
      <c r="D843" s="103"/>
      <c r="E843" s="103"/>
      <c r="F843" s="103"/>
      <c r="G843" s="103"/>
      <c r="H843" s="103"/>
      <c r="I843" s="103"/>
      <c r="T843" s="30" t="str">
        <f aca="false">IF(C843="","",IF(COUNTIFS(C$5:C843,C843,E$5:E843,E843)=1,1,0))</f>
        <v/>
      </c>
      <c r="U843" s="30" t="n">
        <f aca="false">IF(C843="",0,IF(AND(B843="brand",E843="budget_probe",N(F843)&gt;=Inputs!$C$124,H843="Y"),1,0))</f>
        <v>0</v>
      </c>
      <c r="V843" s="30" t="n">
        <f aca="false">IF(U843=1,IF(COUNTIFS(C$5:C843,C843,U$5:U843,1)=1,1,0),0)</f>
        <v>0</v>
      </c>
      <c r="W843" s="30" t="n">
        <f aca="false">IF(C843="",0,IF(AND(B843="office",E843="budget_probe",N(F843)&gt;=Inputs!$C$139),1,0))</f>
        <v>0</v>
      </c>
      <c r="X843" s="30" t="n">
        <f aca="false">IF(W843=1,IF(COUNTIFS(C$5:C843,C843,W$5:W843,1)=1,1,0),0)</f>
        <v>0</v>
      </c>
      <c r="Y843" s="30" t="n">
        <f aca="false">IF(C843="",0,IF(AND(B843="brand",E843="renewal_answer",TRIM(G843)="yes",N(F843)&gt;=Inputs!$C$135),1,0))</f>
        <v>0</v>
      </c>
      <c r="Z843" s="30" t="n">
        <f aca="false">IF(Y843=1,IF(COUNTIFS(C$5:C843,C843,Y$5:Y843,1)=1,1,0),0)</f>
        <v>0</v>
      </c>
      <c r="AA843" s="30" t="n">
        <f aca="false">IF(AND(E843="budget_probe",ISNUMBER(F843),I843&lt;&gt;Lists!$X$4),1,0)</f>
        <v>0</v>
      </c>
      <c r="AB843" s="30" t="str">
        <f aca="false">IF(AND(B843="office",AA843=1,COUNTIFS(C$5:C843,C843,AA$5:AA843,1)=1),F843,"")</f>
        <v/>
      </c>
      <c r="AC843" s="30" t="str">
        <f aca="false">IF(AND(B843="brand",AA843=1,COUNTIFS(C$5:C843,C843,AA$5:AA843,1)=1),F843,"")</f>
        <v/>
      </c>
      <c r="AD843" s="30" t="str">
        <f aca="false">IF(AND(B843="brand",E843="budget_probe",ISNUMBER(F843),I843=Lists!$X$4),IF(COUNTIFS(C$5:C843,C843,E$5:E843,"budget_probe",I$5:I843,Lists!$X$4)=1,F843,""),"")</f>
        <v/>
      </c>
      <c r="AE843" s="30" t="n">
        <f aca="false">IF(AND(B843="brand",E843="paid",ISNUMBER(F843)),IF(AND(SUMIFS(F$5:F843,B$5:B843,"brand",C$5:C843,C843,E$5:E843,"paid")&gt;=Inputs!$C$44,SUMIFS(F$5:F843,B$5:B843,"brand",C$5:C843,C843,E$5:E843,"paid")-F843&lt;Inputs!$C$44),1,0),0)</f>
        <v>0</v>
      </c>
    </row>
    <row r="844" customFormat="false" ht="15" hidden="false" customHeight="false" outlineLevel="0" collapsed="false">
      <c r="A844" s="102"/>
      <c r="B844" s="103"/>
      <c r="C844" s="103"/>
      <c r="D844" s="103"/>
      <c r="E844" s="103"/>
      <c r="F844" s="103"/>
      <c r="G844" s="103"/>
      <c r="H844" s="103"/>
      <c r="I844" s="103"/>
      <c r="T844" s="30" t="str">
        <f aca="false">IF(C844="","",IF(COUNTIFS(C$5:C844,C844,E$5:E844,E844)=1,1,0))</f>
        <v/>
      </c>
      <c r="U844" s="30" t="n">
        <f aca="false">IF(C844="",0,IF(AND(B844="brand",E844="budget_probe",N(F844)&gt;=Inputs!$C$124,H844="Y"),1,0))</f>
        <v>0</v>
      </c>
      <c r="V844" s="30" t="n">
        <f aca="false">IF(U844=1,IF(COUNTIFS(C$5:C844,C844,U$5:U844,1)=1,1,0),0)</f>
        <v>0</v>
      </c>
      <c r="W844" s="30" t="n">
        <f aca="false">IF(C844="",0,IF(AND(B844="office",E844="budget_probe",N(F844)&gt;=Inputs!$C$139),1,0))</f>
        <v>0</v>
      </c>
      <c r="X844" s="30" t="n">
        <f aca="false">IF(W844=1,IF(COUNTIFS(C$5:C844,C844,W$5:W844,1)=1,1,0),0)</f>
        <v>0</v>
      </c>
      <c r="Y844" s="30" t="n">
        <f aca="false">IF(C844="",0,IF(AND(B844="brand",E844="renewal_answer",TRIM(G844)="yes",N(F844)&gt;=Inputs!$C$135),1,0))</f>
        <v>0</v>
      </c>
      <c r="Z844" s="30" t="n">
        <f aca="false">IF(Y844=1,IF(COUNTIFS(C$5:C844,C844,Y$5:Y844,1)=1,1,0),0)</f>
        <v>0</v>
      </c>
      <c r="AA844" s="30" t="n">
        <f aca="false">IF(AND(E844="budget_probe",ISNUMBER(F844),I844&lt;&gt;Lists!$X$4),1,0)</f>
        <v>0</v>
      </c>
      <c r="AB844" s="30" t="str">
        <f aca="false">IF(AND(B844="office",AA844=1,COUNTIFS(C$5:C844,C844,AA$5:AA844,1)=1),F844,"")</f>
        <v/>
      </c>
      <c r="AC844" s="30" t="str">
        <f aca="false">IF(AND(B844="brand",AA844=1,COUNTIFS(C$5:C844,C844,AA$5:AA844,1)=1),F844,"")</f>
        <v/>
      </c>
      <c r="AD844" s="30" t="str">
        <f aca="false">IF(AND(B844="brand",E844="budget_probe",ISNUMBER(F844),I844=Lists!$X$4),IF(COUNTIFS(C$5:C844,C844,E$5:E844,"budget_probe",I$5:I844,Lists!$X$4)=1,F844,""),"")</f>
        <v/>
      </c>
      <c r="AE844" s="30" t="n">
        <f aca="false">IF(AND(B844="brand",E844="paid",ISNUMBER(F844)),IF(AND(SUMIFS(F$5:F844,B$5:B844,"brand",C$5:C844,C844,E$5:E844,"paid")&gt;=Inputs!$C$44,SUMIFS(F$5:F844,B$5:B844,"brand",C$5:C844,C844,E$5:E844,"paid")-F844&lt;Inputs!$C$44),1,0),0)</f>
        <v>0</v>
      </c>
    </row>
    <row r="845" customFormat="false" ht="15" hidden="false" customHeight="false" outlineLevel="0" collapsed="false">
      <c r="A845" s="102"/>
      <c r="B845" s="103"/>
      <c r="C845" s="103"/>
      <c r="D845" s="103"/>
      <c r="E845" s="103"/>
      <c r="F845" s="103"/>
      <c r="G845" s="103"/>
      <c r="H845" s="103"/>
      <c r="I845" s="103"/>
      <c r="T845" s="30" t="str">
        <f aca="false">IF(C845="","",IF(COUNTIFS(C$5:C845,C845,E$5:E845,E845)=1,1,0))</f>
        <v/>
      </c>
      <c r="U845" s="30" t="n">
        <f aca="false">IF(C845="",0,IF(AND(B845="brand",E845="budget_probe",N(F845)&gt;=Inputs!$C$124,H845="Y"),1,0))</f>
        <v>0</v>
      </c>
      <c r="V845" s="30" t="n">
        <f aca="false">IF(U845=1,IF(COUNTIFS(C$5:C845,C845,U$5:U845,1)=1,1,0),0)</f>
        <v>0</v>
      </c>
      <c r="W845" s="30" t="n">
        <f aca="false">IF(C845="",0,IF(AND(B845="office",E845="budget_probe",N(F845)&gt;=Inputs!$C$139),1,0))</f>
        <v>0</v>
      </c>
      <c r="X845" s="30" t="n">
        <f aca="false">IF(W845=1,IF(COUNTIFS(C$5:C845,C845,W$5:W845,1)=1,1,0),0)</f>
        <v>0</v>
      </c>
      <c r="Y845" s="30" t="n">
        <f aca="false">IF(C845="",0,IF(AND(B845="brand",E845="renewal_answer",TRIM(G845)="yes",N(F845)&gt;=Inputs!$C$135),1,0))</f>
        <v>0</v>
      </c>
      <c r="Z845" s="30" t="n">
        <f aca="false">IF(Y845=1,IF(COUNTIFS(C$5:C845,C845,Y$5:Y845,1)=1,1,0),0)</f>
        <v>0</v>
      </c>
      <c r="AA845" s="30" t="n">
        <f aca="false">IF(AND(E845="budget_probe",ISNUMBER(F845),I845&lt;&gt;Lists!$X$4),1,0)</f>
        <v>0</v>
      </c>
      <c r="AB845" s="30" t="str">
        <f aca="false">IF(AND(B845="office",AA845=1,COUNTIFS(C$5:C845,C845,AA$5:AA845,1)=1),F845,"")</f>
        <v/>
      </c>
      <c r="AC845" s="30" t="str">
        <f aca="false">IF(AND(B845="brand",AA845=1,COUNTIFS(C$5:C845,C845,AA$5:AA845,1)=1),F845,"")</f>
        <v/>
      </c>
      <c r="AD845" s="30" t="str">
        <f aca="false">IF(AND(B845="brand",E845="budget_probe",ISNUMBER(F845),I845=Lists!$X$4),IF(COUNTIFS(C$5:C845,C845,E$5:E845,"budget_probe",I$5:I845,Lists!$X$4)=1,F845,""),"")</f>
        <v/>
      </c>
      <c r="AE845" s="30" t="n">
        <f aca="false">IF(AND(B845="brand",E845="paid",ISNUMBER(F845)),IF(AND(SUMIFS(F$5:F845,B$5:B845,"brand",C$5:C845,C845,E$5:E845,"paid")&gt;=Inputs!$C$44,SUMIFS(F$5:F845,B$5:B845,"brand",C$5:C845,C845,E$5:E845,"paid")-F845&lt;Inputs!$C$44),1,0),0)</f>
        <v>0</v>
      </c>
    </row>
    <row r="846" customFormat="false" ht="15" hidden="false" customHeight="false" outlineLevel="0" collapsed="false">
      <c r="A846" s="102"/>
      <c r="B846" s="103"/>
      <c r="C846" s="103"/>
      <c r="D846" s="103"/>
      <c r="E846" s="103"/>
      <c r="F846" s="103"/>
      <c r="G846" s="103"/>
      <c r="H846" s="103"/>
      <c r="I846" s="103"/>
      <c r="T846" s="30" t="str">
        <f aca="false">IF(C846="","",IF(COUNTIFS(C$5:C846,C846,E$5:E846,E846)=1,1,0))</f>
        <v/>
      </c>
      <c r="U846" s="30" t="n">
        <f aca="false">IF(C846="",0,IF(AND(B846="brand",E846="budget_probe",N(F846)&gt;=Inputs!$C$124,H846="Y"),1,0))</f>
        <v>0</v>
      </c>
      <c r="V846" s="30" t="n">
        <f aca="false">IF(U846=1,IF(COUNTIFS(C$5:C846,C846,U$5:U846,1)=1,1,0),0)</f>
        <v>0</v>
      </c>
      <c r="W846" s="30" t="n">
        <f aca="false">IF(C846="",0,IF(AND(B846="office",E846="budget_probe",N(F846)&gt;=Inputs!$C$139),1,0))</f>
        <v>0</v>
      </c>
      <c r="X846" s="30" t="n">
        <f aca="false">IF(W846=1,IF(COUNTIFS(C$5:C846,C846,W$5:W846,1)=1,1,0),0)</f>
        <v>0</v>
      </c>
      <c r="Y846" s="30" t="n">
        <f aca="false">IF(C846="",0,IF(AND(B846="brand",E846="renewal_answer",TRIM(G846)="yes",N(F846)&gt;=Inputs!$C$135),1,0))</f>
        <v>0</v>
      </c>
      <c r="Z846" s="30" t="n">
        <f aca="false">IF(Y846=1,IF(COUNTIFS(C$5:C846,C846,Y$5:Y846,1)=1,1,0),0)</f>
        <v>0</v>
      </c>
      <c r="AA846" s="30" t="n">
        <f aca="false">IF(AND(E846="budget_probe",ISNUMBER(F846),I846&lt;&gt;Lists!$X$4),1,0)</f>
        <v>0</v>
      </c>
      <c r="AB846" s="30" t="str">
        <f aca="false">IF(AND(B846="office",AA846=1,COUNTIFS(C$5:C846,C846,AA$5:AA846,1)=1),F846,"")</f>
        <v/>
      </c>
      <c r="AC846" s="30" t="str">
        <f aca="false">IF(AND(B846="brand",AA846=1,COUNTIFS(C$5:C846,C846,AA$5:AA846,1)=1),F846,"")</f>
        <v/>
      </c>
      <c r="AD846" s="30" t="str">
        <f aca="false">IF(AND(B846="brand",E846="budget_probe",ISNUMBER(F846),I846=Lists!$X$4),IF(COUNTIFS(C$5:C846,C846,E$5:E846,"budget_probe",I$5:I846,Lists!$X$4)=1,F846,""),"")</f>
        <v/>
      </c>
      <c r="AE846" s="30" t="n">
        <f aca="false">IF(AND(B846="brand",E846="paid",ISNUMBER(F846)),IF(AND(SUMIFS(F$5:F846,B$5:B846,"brand",C$5:C846,C846,E$5:E846,"paid")&gt;=Inputs!$C$44,SUMIFS(F$5:F846,B$5:B846,"brand",C$5:C846,C846,E$5:E846,"paid")-F846&lt;Inputs!$C$44),1,0),0)</f>
        <v>0</v>
      </c>
    </row>
    <row r="847" customFormat="false" ht="15" hidden="false" customHeight="false" outlineLevel="0" collapsed="false">
      <c r="A847" s="102"/>
      <c r="B847" s="103"/>
      <c r="C847" s="103"/>
      <c r="D847" s="103"/>
      <c r="E847" s="103"/>
      <c r="F847" s="103"/>
      <c r="G847" s="103"/>
      <c r="H847" s="103"/>
      <c r="I847" s="103"/>
      <c r="T847" s="30" t="str">
        <f aca="false">IF(C847="","",IF(COUNTIFS(C$5:C847,C847,E$5:E847,E847)=1,1,0))</f>
        <v/>
      </c>
      <c r="U847" s="30" t="n">
        <f aca="false">IF(C847="",0,IF(AND(B847="brand",E847="budget_probe",N(F847)&gt;=Inputs!$C$124,H847="Y"),1,0))</f>
        <v>0</v>
      </c>
      <c r="V847" s="30" t="n">
        <f aca="false">IF(U847=1,IF(COUNTIFS(C$5:C847,C847,U$5:U847,1)=1,1,0),0)</f>
        <v>0</v>
      </c>
      <c r="W847" s="30" t="n">
        <f aca="false">IF(C847="",0,IF(AND(B847="office",E847="budget_probe",N(F847)&gt;=Inputs!$C$139),1,0))</f>
        <v>0</v>
      </c>
      <c r="X847" s="30" t="n">
        <f aca="false">IF(W847=1,IF(COUNTIFS(C$5:C847,C847,W$5:W847,1)=1,1,0),0)</f>
        <v>0</v>
      </c>
      <c r="Y847" s="30" t="n">
        <f aca="false">IF(C847="",0,IF(AND(B847="brand",E847="renewal_answer",TRIM(G847)="yes",N(F847)&gt;=Inputs!$C$135),1,0))</f>
        <v>0</v>
      </c>
      <c r="Z847" s="30" t="n">
        <f aca="false">IF(Y847=1,IF(COUNTIFS(C$5:C847,C847,Y$5:Y847,1)=1,1,0),0)</f>
        <v>0</v>
      </c>
      <c r="AA847" s="30" t="n">
        <f aca="false">IF(AND(E847="budget_probe",ISNUMBER(F847),I847&lt;&gt;Lists!$X$4),1,0)</f>
        <v>0</v>
      </c>
      <c r="AB847" s="30" t="str">
        <f aca="false">IF(AND(B847="office",AA847=1,COUNTIFS(C$5:C847,C847,AA$5:AA847,1)=1),F847,"")</f>
        <v/>
      </c>
      <c r="AC847" s="30" t="str">
        <f aca="false">IF(AND(B847="brand",AA847=1,COUNTIFS(C$5:C847,C847,AA$5:AA847,1)=1),F847,"")</f>
        <v/>
      </c>
      <c r="AD847" s="30" t="str">
        <f aca="false">IF(AND(B847="brand",E847="budget_probe",ISNUMBER(F847),I847=Lists!$X$4),IF(COUNTIFS(C$5:C847,C847,E$5:E847,"budget_probe",I$5:I847,Lists!$X$4)=1,F847,""),"")</f>
        <v/>
      </c>
      <c r="AE847" s="30" t="n">
        <f aca="false">IF(AND(B847="brand",E847="paid",ISNUMBER(F847)),IF(AND(SUMIFS(F$5:F847,B$5:B847,"brand",C$5:C847,C847,E$5:E847,"paid")&gt;=Inputs!$C$44,SUMIFS(F$5:F847,B$5:B847,"brand",C$5:C847,C847,E$5:E847,"paid")-F847&lt;Inputs!$C$44),1,0),0)</f>
        <v>0</v>
      </c>
    </row>
    <row r="848" customFormat="false" ht="15" hidden="false" customHeight="false" outlineLevel="0" collapsed="false">
      <c r="A848" s="102"/>
      <c r="B848" s="103"/>
      <c r="C848" s="103"/>
      <c r="D848" s="103"/>
      <c r="E848" s="103"/>
      <c r="F848" s="103"/>
      <c r="G848" s="103"/>
      <c r="H848" s="103"/>
      <c r="I848" s="103"/>
      <c r="T848" s="30" t="str">
        <f aca="false">IF(C848="","",IF(COUNTIFS(C$5:C848,C848,E$5:E848,E848)=1,1,0))</f>
        <v/>
      </c>
      <c r="U848" s="30" t="n">
        <f aca="false">IF(C848="",0,IF(AND(B848="brand",E848="budget_probe",N(F848)&gt;=Inputs!$C$124,H848="Y"),1,0))</f>
        <v>0</v>
      </c>
      <c r="V848" s="30" t="n">
        <f aca="false">IF(U848=1,IF(COUNTIFS(C$5:C848,C848,U$5:U848,1)=1,1,0),0)</f>
        <v>0</v>
      </c>
      <c r="W848" s="30" t="n">
        <f aca="false">IF(C848="",0,IF(AND(B848="office",E848="budget_probe",N(F848)&gt;=Inputs!$C$139),1,0))</f>
        <v>0</v>
      </c>
      <c r="X848" s="30" t="n">
        <f aca="false">IF(W848=1,IF(COUNTIFS(C$5:C848,C848,W$5:W848,1)=1,1,0),0)</f>
        <v>0</v>
      </c>
      <c r="Y848" s="30" t="n">
        <f aca="false">IF(C848="",0,IF(AND(B848="brand",E848="renewal_answer",TRIM(G848)="yes",N(F848)&gt;=Inputs!$C$135),1,0))</f>
        <v>0</v>
      </c>
      <c r="Z848" s="30" t="n">
        <f aca="false">IF(Y848=1,IF(COUNTIFS(C$5:C848,C848,Y$5:Y848,1)=1,1,0),0)</f>
        <v>0</v>
      </c>
      <c r="AA848" s="30" t="n">
        <f aca="false">IF(AND(E848="budget_probe",ISNUMBER(F848),I848&lt;&gt;Lists!$X$4),1,0)</f>
        <v>0</v>
      </c>
      <c r="AB848" s="30" t="str">
        <f aca="false">IF(AND(B848="office",AA848=1,COUNTIFS(C$5:C848,C848,AA$5:AA848,1)=1),F848,"")</f>
        <v/>
      </c>
      <c r="AC848" s="30" t="str">
        <f aca="false">IF(AND(B848="brand",AA848=1,COUNTIFS(C$5:C848,C848,AA$5:AA848,1)=1),F848,"")</f>
        <v/>
      </c>
      <c r="AD848" s="30" t="str">
        <f aca="false">IF(AND(B848="brand",E848="budget_probe",ISNUMBER(F848),I848=Lists!$X$4),IF(COUNTIFS(C$5:C848,C848,E$5:E848,"budget_probe",I$5:I848,Lists!$X$4)=1,F848,""),"")</f>
        <v/>
      </c>
      <c r="AE848" s="30" t="n">
        <f aca="false">IF(AND(B848="brand",E848="paid",ISNUMBER(F848)),IF(AND(SUMIFS(F$5:F848,B$5:B848,"brand",C$5:C848,C848,E$5:E848,"paid")&gt;=Inputs!$C$44,SUMIFS(F$5:F848,B$5:B848,"brand",C$5:C848,C848,E$5:E848,"paid")-F848&lt;Inputs!$C$44),1,0),0)</f>
        <v>0</v>
      </c>
    </row>
    <row r="849" customFormat="false" ht="15" hidden="false" customHeight="false" outlineLevel="0" collapsed="false">
      <c r="A849" s="102"/>
      <c r="B849" s="103"/>
      <c r="C849" s="103"/>
      <c r="D849" s="103"/>
      <c r="E849" s="103"/>
      <c r="F849" s="103"/>
      <c r="G849" s="103"/>
      <c r="H849" s="103"/>
      <c r="I849" s="103"/>
      <c r="T849" s="30" t="str">
        <f aca="false">IF(C849="","",IF(COUNTIFS(C$5:C849,C849,E$5:E849,E849)=1,1,0))</f>
        <v/>
      </c>
      <c r="U849" s="30" t="n">
        <f aca="false">IF(C849="",0,IF(AND(B849="brand",E849="budget_probe",N(F849)&gt;=Inputs!$C$124,H849="Y"),1,0))</f>
        <v>0</v>
      </c>
      <c r="V849" s="30" t="n">
        <f aca="false">IF(U849=1,IF(COUNTIFS(C$5:C849,C849,U$5:U849,1)=1,1,0),0)</f>
        <v>0</v>
      </c>
      <c r="W849" s="30" t="n">
        <f aca="false">IF(C849="",0,IF(AND(B849="office",E849="budget_probe",N(F849)&gt;=Inputs!$C$139),1,0))</f>
        <v>0</v>
      </c>
      <c r="X849" s="30" t="n">
        <f aca="false">IF(W849=1,IF(COUNTIFS(C$5:C849,C849,W$5:W849,1)=1,1,0),0)</f>
        <v>0</v>
      </c>
      <c r="Y849" s="30" t="n">
        <f aca="false">IF(C849="",0,IF(AND(B849="brand",E849="renewal_answer",TRIM(G849)="yes",N(F849)&gt;=Inputs!$C$135),1,0))</f>
        <v>0</v>
      </c>
      <c r="Z849" s="30" t="n">
        <f aca="false">IF(Y849=1,IF(COUNTIFS(C$5:C849,C849,Y$5:Y849,1)=1,1,0),0)</f>
        <v>0</v>
      </c>
      <c r="AA849" s="30" t="n">
        <f aca="false">IF(AND(E849="budget_probe",ISNUMBER(F849),I849&lt;&gt;Lists!$X$4),1,0)</f>
        <v>0</v>
      </c>
      <c r="AB849" s="30" t="str">
        <f aca="false">IF(AND(B849="office",AA849=1,COUNTIFS(C$5:C849,C849,AA$5:AA849,1)=1),F849,"")</f>
        <v/>
      </c>
      <c r="AC849" s="30" t="str">
        <f aca="false">IF(AND(B849="brand",AA849=1,COUNTIFS(C$5:C849,C849,AA$5:AA849,1)=1),F849,"")</f>
        <v/>
      </c>
      <c r="AD849" s="30" t="str">
        <f aca="false">IF(AND(B849="brand",E849="budget_probe",ISNUMBER(F849),I849=Lists!$X$4),IF(COUNTIFS(C$5:C849,C849,E$5:E849,"budget_probe",I$5:I849,Lists!$X$4)=1,F849,""),"")</f>
        <v/>
      </c>
      <c r="AE849" s="30" t="n">
        <f aca="false">IF(AND(B849="brand",E849="paid",ISNUMBER(F849)),IF(AND(SUMIFS(F$5:F849,B$5:B849,"brand",C$5:C849,C849,E$5:E849,"paid")&gt;=Inputs!$C$44,SUMIFS(F$5:F849,B$5:B849,"brand",C$5:C849,C849,E$5:E849,"paid")-F849&lt;Inputs!$C$44),1,0),0)</f>
        <v>0</v>
      </c>
    </row>
    <row r="850" customFormat="false" ht="15" hidden="false" customHeight="false" outlineLevel="0" collapsed="false">
      <c r="A850" s="102"/>
      <c r="B850" s="103"/>
      <c r="C850" s="103"/>
      <c r="D850" s="103"/>
      <c r="E850" s="103"/>
      <c r="F850" s="103"/>
      <c r="G850" s="103"/>
      <c r="H850" s="103"/>
      <c r="I850" s="103"/>
      <c r="T850" s="30" t="str">
        <f aca="false">IF(C850="","",IF(COUNTIFS(C$5:C850,C850,E$5:E850,E850)=1,1,0))</f>
        <v/>
      </c>
      <c r="U850" s="30" t="n">
        <f aca="false">IF(C850="",0,IF(AND(B850="brand",E850="budget_probe",N(F850)&gt;=Inputs!$C$124,H850="Y"),1,0))</f>
        <v>0</v>
      </c>
      <c r="V850" s="30" t="n">
        <f aca="false">IF(U850=1,IF(COUNTIFS(C$5:C850,C850,U$5:U850,1)=1,1,0),0)</f>
        <v>0</v>
      </c>
      <c r="W850" s="30" t="n">
        <f aca="false">IF(C850="",0,IF(AND(B850="office",E850="budget_probe",N(F850)&gt;=Inputs!$C$139),1,0))</f>
        <v>0</v>
      </c>
      <c r="X850" s="30" t="n">
        <f aca="false">IF(W850=1,IF(COUNTIFS(C$5:C850,C850,W$5:W850,1)=1,1,0),0)</f>
        <v>0</v>
      </c>
      <c r="Y850" s="30" t="n">
        <f aca="false">IF(C850="",0,IF(AND(B850="brand",E850="renewal_answer",TRIM(G850)="yes",N(F850)&gt;=Inputs!$C$135),1,0))</f>
        <v>0</v>
      </c>
      <c r="Z850" s="30" t="n">
        <f aca="false">IF(Y850=1,IF(COUNTIFS(C$5:C850,C850,Y$5:Y850,1)=1,1,0),0)</f>
        <v>0</v>
      </c>
      <c r="AA850" s="30" t="n">
        <f aca="false">IF(AND(E850="budget_probe",ISNUMBER(F850),I850&lt;&gt;Lists!$X$4),1,0)</f>
        <v>0</v>
      </c>
      <c r="AB850" s="30" t="str">
        <f aca="false">IF(AND(B850="office",AA850=1,COUNTIFS(C$5:C850,C850,AA$5:AA850,1)=1),F850,"")</f>
        <v/>
      </c>
      <c r="AC850" s="30" t="str">
        <f aca="false">IF(AND(B850="brand",AA850=1,COUNTIFS(C$5:C850,C850,AA$5:AA850,1)=1),F850,"")</f>
        <v/>
      </c>
      <c r="AD850" s="30" t="str">
        <f aca="false">IF(AND(B850="brand",E850="budget_probe",ISNUMBER(F850),I850=Lists!$X$4),IF(COUNTIFS(C$5:C850,C850,E$5:E850,"budget_probe",I$5:I850,Lists!$X$4)=1,F850,""),"")</f>
        <v/>
      </c>
      <c r="AE850" s="30" t="n">
        <f aca="false">IF(AND(B850="brand",E850="paid",ISNUMBER(F850)),IF(AND(SUMIFS(F$5:F850,B$5:B850,"brand",C$5:C850,C850,E$5:E850,"paid")&gt;=Inputs!$C$44,SUMIFS(F$5:F850,B$5:B850,"brand",C$5:C850,C850,E$5:E850,"paid")-F850&lt;Inputs!$C$44),1,0),0)</f>
        <v>0</v>
      </c>
    </row>
    <row r="851" customFormat="false" ht="15" hidden="false" customHeight="false" outlineLevel="0" collapsed="false">
      <c r="A851" s="102"/>
      <c r="B851" s="103"/>
      <c r="C851" s="103"/>
      <c r="D851" s="103"/>
      <c r="E851" s="103"/>
      <c r="F851" s="103"/>
      <c r="G851" s="103"/>
      <c r="H851" s="103"/>
      <c r="I851" s="103"/>
      <c r="T851" s="30" t="str">
        <f aca="false">IF(C851="","",IF(COUNTIFS(C$5:C851,C851,E$5:E851,E851)=1,1,0))</f>
        <v/>
      </c>
      <c r="U851" s="30" t="n">
        <f aca="false">IF(C851="",0,IF(AND(B851="brand",E851="budget_probe",N(F851)&gt;=Inputs!$C$124,H851="Y"),1,0))</f>
        <v>0</v>
      </c>
      <c r="V851" s="30" t="n">
        <f aca="false">IF(U851=1,IF(COUNTIFS(C$5:C851,C851,U$5:U851,1)=1,1,0),0)</f>
        <v>0</v>
      </c>
      <c r="W851" s="30" t="n">
        <f aca="false">IF(C851="",0,IF(AND(B851="office",E851="budget_probe",N(F851)&gt;=Inputs!$C$139),1,0))</f>
        <v>0</v>
      </c>
      <c r="X851" s="30" t="n">
        <f aca="false">IF(W851=1,IF(COUNTIFS(C$5:C851,C851,W$5:W851,1)=1,1,0),0)</f>
        <v>0</v>
      </c>
      <c r="Y851" s="30" t="n">
        <f aca="false">IF(C851="",0,IF(AND(B851="brand",E851="renewal_answer",TRIM(G851)="yes",N(F851)&gt;=Inputs!$C$135),1,0))</f>
        <v>0</v>
      </c>
      <c r="Z851" s="30" t="n">
        <f aca="false">IF(Y851=1,IF(COUNTIFS(C$5:C851,C851,Y$5:Y851,1)=1,1,0),0)</f>
        <v>0</v>
      </c>
      <c r="AA851" s="30" t="n">
        <f aca="false">IF(AND(E851="budget_probe",ISNUMBER(F851),I851&lt;&gt;Lists!$X$4),1,0)</f>
        <v>0</v>
      </c>
      <c r="AB851" s="30" t="str">
        <f aca="false">IF(AND(B851="office",AA851=1,COUNTIFS(C$5:C851,C851,AA$5:AA851,1)=1),F851,"")</f>
        <v/>
      </c>
      <c r="AC851" s="30" t="str">
        <f aca="false">IF(AND(B851="brand",AA851=1,COUNTIFS(C$5:C851,C851,AA$5:AA851,1)=1),F851,"")</f>
        <v/>
      </c>
      <c r="AD851" s="30" t="str">
        <f aca="false">IF(AND(B851="brand",E851="budget_probe",ISNUMBER(F851),I851=Lists!$X$4),IF(COUNTIFS(C$5:C851,C851,E$5:E851,"budget_probe",I$5:I851,Lists!$X$4)=1,F851,""),"")</f>
        <v/>
      </c>
      <c r="AE851" s="30" t="n">
        <f aca="false">IF(AND(B851="brand",E851="paid",ISNUMBER(F851)),IF(AND(SUMIFS(F$5:F851,B$5:B851,"brand",C$5:C851,C851,E$5:E851,"paid")&gt;=Inputs!$C$44,SUMIFS(F$5:F851,B$5:B851,"brand",C$5:C851,C851,E$5:E851,"paid")-F851&lt;Inputs!$C$44),1,0),0)</f>
        <v>0</v>
      </c>
    </row>
    <row r="852" customFormat="false" ht="15" hidden="false" customHeight="false" outlineLevel="0" collapsed="false">
      <c r="A852" s="102"/>
      <c r="B852" s="103"/>
      <c r="C852" s="103"/>
      <c r="D852" s="103"/>
      <c r="E852" s="103"/>
      <c r="F852" s="103"/>
      <c r="G852" s="103"/>
      <c r="H852" s="103"/>
      <c r="I852" s="103"/>
      <c r="T852" s="30" t="str">
        <f aca="false">IF(C852="","",IF(COUNTIFS(C$5:C852,C852,E$5:E852,E852)=1,1,0))</f>
        <v/>
      </c>
      <c r="U852" s="30" t="n">
        <f aca="false">IF(C852="",0,IF(AND(B852="brand",E852="budget_probe",N(F852)&gt;=Inputs!$C$124,H852="Y"),1,0))</f>
        <v>0</v>
      </c>
      <c r="V852" s="30" t="n">
        <f aca="false">IF(U852=1,IF(COUNTIFS(C$5:C852,C852,U$5:U852,1)=1,1,0),0)</f>
        <v>0</v>
      </c>
      <c r="W852" s="30" t="n">
        <f aca="false">IF(C852="",0,IF(AND(B852="office",E852="budget_probe",N(F852)&gt;=Inputs!$C$139),1,0))</f>
        <v>0</v>
      </c>
      <c r="X852" s="30" t="n">
        <f aca="false">IF(W852=1,IF(COUNTIFS(C$5:C852,C852,W$5:W852,1)=1,1,0),0)</f>
        <v>0</v>
      </c>
      <c r="Y852" s="30" t="n">
        <f aca="false">IF(C852="",0,IF(AND(B852="brand",E852="renewal_answer",TRIM(G852)="yes",N(F852)&gt;=Inputs!$C$135),1,0))</f>
        <v>0</v>
      </c>
      <c r="Z852" s="30" t="n">
        <f aca="false">IF(Y852=1,IF(COUNTIFS(C$5:C852,C852,Y$5:Y852,1)=1,1,0),0)</f>
        <v>0</v>
      </c>
      <c r="AA852" s="30" t="n">
        <f aca="false">IF(AND(E852="budget_probe",ISNUMBER(F852),I852&lt;&gt;Lists!$X$4),1,0)</f>
        <v>0</v>
      </c>
      <c r="AB852" s="30" t="str">
        <f aca="false">IF(AND(B852="office",AA852=1,COUNTIFS(C$5:C852,C852,AA$5:AA852,1)=1),F852,"")</f>
        <v/>
      </c>
      <c r="AC852" s="30" t="str">
        <f aca="false">IF(AND(B852="brand",AA852=1,COUNTIFS(C$5:C852,C852,AA$5:AA852,1)=1),F852,"")</f>
        <v/>
      </c>
      <c r="AD852" s="30" t="str">
        <f aca="false">IF(AND(B852="brand",E852="budget_probe",ISNUMBER(F852),I852=Lists!$X$4),IF(COUNTIFS(C$5:C852,C852,E$5:E852,"budget_probe",I$5:I852,Lists!$X$4)=1,F852,""),"")</f>
        <v/>
      </c>
      <c r="AE852" s="30" t="n">
        <f aca="false">IF(AND(B852="brand",E852="paid",ISNUMBER(F852)),IF(AND(SUMIFS(F$5:F852,B$5:B852,"brand",C$5:C852,C852,E$5:E852,"paid")&gt;=Inputs!$C$44,SUMIFS(F$5:F852,B$5:B852,"brand",C$5:C852,C852,E$5:E852,"paid")-F852&lt;Inputs!$C$44),1,0),0)</f>
        <v>0</v>
      </c>
    </row>
    <row r="853" customFormat="false" ht="15" hidden="false" customHeight="false" outlineLevel="0" collapsed="false">
      <c r="A853" s="102"/>
      <c r="B853" s="103"/>
      <c r="C853" s="103"/>
      <c r="D853" s="103"/>
      <c r="E853" s="103"/>
      <c r="F853" s="103"/>
      <c r="G853" s="103"/>
      <c r="H853" s="103"/>
      <c r="I853" s="103"/>
      <c r="T853" s="30" t="str">
        <f aca="false">IF(C853="","",IF(COUNTIFS(C$5:C853,C853,E$5:E853,E853)=1,1,0))</f>
        <v/>
      </c>
      <c r="U853" s="30" t="n">
        <f aca="false">IF(C853="",0,IF(AND(B853="brand",E853="budget_probe",N(F853)&gt;=Inputs!$C$124,H853="Y"),1,0))</f>
        <v>0</v>
      </c>
      <c r="V853" s="30" t="n">
        <f aca="false">IF(U853=1,IF(COUNTIFS(C$5:C853,C853,U$5:U853,1)=1,1,0),0)</f>
        <v>0</v>
      </c>
      <c r="W853" s="30" t="n">
        <f aca="false">IF(C853="",0,IF(AND(B853="office",E853="budget_probe",N(F853)&gt;=Inputs!$C$139),1,0))</f>
        <v>0</v>
      </c>
      <c r="X853" s="30" t="n">
        <f aca="false">IF(W853=1,IF(COUNTIFS(C$5:C853,C853,W$5:W853,1)=1,1,0),0)</f>
        <v>0</v>
      </c>
      <c r="Y853" s="30" t="n">
        <f aca="false">IF(C853="",0,IF(AND(B853="brand",E853="renewal_answer",TRIM(G853)="yes",N(F853)&gt;=Inputs!$C$135),1,0))</f>
        <v>0</v>
      </c>
      <c r="Z853" s="30" t="n">
        <f aca="false">IF(Y853=1,IF(COUNTIFS(C$5:C853,C853,Y$5:Y853,1)=1,1,0),0)</f>
        <v>0</v>
      </c>
      <c r="AA853" s="30" t="n">
        <f aca="false">IF(AND(E853="budget_probe",ISNUMBER(F853),I853&lt;&gt;Lists!$X$4),1,0)</f>
        <v>0</v>
      </c>
      <c r="AB853" s="30" t="str">
        <f aca="false">IF(AND(B853="office",AA853=1,COUNTIFS(C$5:C853,C853,AA$5:AA853,1)=1),F853,"")</f>
        <v/>
      </c>
      <c r="AC853" s="30" t="str">
        <f aca="false">IF(AND(B853="brand",AA853=1,COUNTIFS(C$5:C853,C853,AA$5:AA853,1)=1),F853,"")</f>
        <v/>
      </c>
      <c r="AD853" s="30" t="str">
        <f aca="false">IF(AND(B853="brand",E853="budget_probe",ISNUMBER(F853),I853=Lists!$X$4),IF(COUNTIFS(C$5:C853,C853,E$5:E853,"budget_probe",I$5:I853,Lists!$X$4)=1,F853,""),"")</f>
        <v/>
      </c>
      <c r="AE853" s="30" t="n">
        <f aca="false">IF(AND(B853="brand",E853="paid",ISNUMBER(F853)),IF(AND(SUMIFS(F$5:F853,B$5:B853,"brand",C$5:C853,C853,E$5:E853,"paid")&gt;=Inputs!$C$44,SUMIFS(F$5:F853,B$5:B853,"brand",C$5:C853,C853,E$5:E853,"paid")-F853&lt;Inputs!$C$44),1,0),0)</f>
        <v>0</v>
      </c>
    </row>
    <row r="854" customFormat="false" ht="15" hidden="false" customHeight="false" outlineLevel="0" collapsed="false">
      <c r="A854" s="102"/>
      <c r="B854" s="103"/>
      <c r="C854" s="103"/>
      <c r="D854" s="103"/>
      <c r="E854" s="103"/>
      <c r="F854" s="103"/>
      <c r="G854" s="103"/>
      <c r="H854" s="103"/>
      <c r="I854" s="103"/>
      <c r="T854" s="30" t="str">
        <f aca="false">IF(C854="","",IF(COUNTIFS(C$5:C854,C854,E$5:E854,E854)=1,1,0))</f>
        <v/>
      </c>
      <c r="U854" s="30" t="n">
        <f aca="false">IF(C854="",0,IF(AND(B854="brand",E854="budget_probe",N(F854)&gt;=Inputs!$C$124,H854="Y"),1,0))</f>
        <v>0</v>
      </c>
      <c r="V854" s="30" t="n">
        <f aca="false">IF(U854=1,IF(COUNTIFS(C$5:C854,C854,U$5:U854,1)=1,1,0),0)</f>
        <v>0</v>
      </c>
      <c r="W854" s="30" t="n">
        <f aca="false">IF(C854="",0,IF(AND(B854="office",E854="budget_probe",N(F854)&gt;=Inputs!$C$139),1,0))</f>
        <v>0</v>
      </c>
      <c r="X854" s="30" t="n">
        <f aca="false">IF(W854=1,IF(COUNTIFS(C$5:C854,C854,W$5:W854,1)=1,1,0),0)</f>
        <v>0</v>
      </c>
      <c r="Y854" s="30" t="n">
        <f aca="false">IF(C854="",0,IF(AND(B854="brand",E854="renewal_answer",TRIM(G854)="yes",N(F854)&gt;=Inputs!$C$135),1,0))</f>
        <v>0</v>
      </c>
      <c r="Z854" s="30" t="n">
        <f aca="false">IF(Y854=1,IF(COUNTIFS(C$5:C854,C854,Y$5:Y854,1)=1,1,0),0)</f>
        <v>0</v>
      </c>
      <c r="AA854" s="30" t="n">
        <f aca="false">IF(AND(E854="budget_probe",ISNUMBER(F854),I854&lt;&gt;Lists!$X$4),1,0)</f>
        <v>0</v>
      </c>
      <c r="AB854" s="30" t="str">
        <f aca="false">IF(AND(B854="office",AA854=1,COUNTIFS(C$5:C854,C854,AA$5:AA854,1)=1),F854,"")</f>
        <v/>
      </c>
      <c r="AC854" s="30" t="str">
        <f aca="false">IF(AND(B854="brand",AA854=1,COUNTIFS(C$5:C854,C854,AA$5:AA854,1)=1),F854,"")</f>
        <v/>
      </c>
      <c r="AD854" s="30" t="str">
        <f aca="false">IF(AND(B854="brand",E854="budget_probe",ISNUMBER(F854),I854=Lists!$X$4),IF(COUNTIFS(C$5:C854,C854,E$5:E854,"budget_probe",I$5:I854,Lists!$X$4)=1,F854,""),"")</f>
        <v/>
      </c>
      <c r="AE854" s="30" t="n">
        <f aca="false">IF(AND(B854="brand",E854="paid",ISNUMBER(F854)),IF(AND(SUMIFS(F$5:F854,B$5:B854,"brand",C$5:C854,C854,E$5:E854,"paid")&gt;=Inputs!$C$44,SUMIFS(F$5:F854,B$5:B854,"brand",C$5:C854,C854,E$5:E854,"paid")-F854&lt;Inputs!$C$44),1,0),0)</f>
        <v>0</v>
      </c>
    </row>
    <row r="855" customFormat="false" ht="15" hidden="false" customHeight="false" outlineLevel="0" collapsed="false">
      <c r="A855" s="102"/>
      <c r="B855" s="103"/>
      <c r="C855" s="103"/>
      <c r="D855" s="103"/>
      <c r="E855" s="103"/>
      <c r="F855" s="103"/>
      <c r="G855" s="103"/>
      <c r="H855" s="103"/>
      <c r="I855" s="103"/>
      <c r="T855" s="30" t="str">
        <f aca="false">IF(C855="","",IF(COUNTIFS(C$5:C855,C855,E$5:E855,E855)=1,1,0))</f>
        <v/>
      </c>
      <c r="U855" s="30" t="n">
        <f aca="false">IF(C855="",0,IF(AND(B855="brand",E855="budget_probe",N(F855)&gt;=Inputs!$C$124,H855="Y"),1,0))</f>
        <v>0</v>
      </c>
      <c r="V855" s="30" t="n">
        <f aca="false">IF(U855=1,IF(COUNTIFS(C$5:C855,C855,U$5:U855,1)=1,1,0),0)</f>
        <v>0</v>
      </c>
      <c r="W855" s="30" t="n">
        <f aca="false">IF(C855="",0,IF(AND(B855="office",E855="budget_probe",N(F855)&gt;=Inputs!$C$139),1,0))</f>
        <v>0</v>
      </c>
      <c r="X855" s="30" t="n">
        <f aca="false">IF(W855=1,IF(COUNTIFS(C$5:C855,C855,W$5:W855,1)=1,1,0),0)</f>
        <v>0</v>
      </c>
      <c r="Y855" s="30" t="n">
        <f aca="false">IF(C855="",0,IF(AND(B855="brand",E855="renewal_answer",TRIM(G855)="yes",N(F855)&gt;=Inputs!$C$135),1,0))</f>
        <v>0</v>
      </c>
      <c r="Z855" s="30" t="n">
        <f aca="false">IF(Y855=1,IF(COUNTIFS(C$5:C855,C855,Y$5:Y855,1)=1,1,0),0)</f>
        <v>0</v>
      </c>
      <c r="AA855" s="30" t="n">
        <f aca="false">IF(AND(E855="budget_probe",ISNUMBER(F855),I855&lt;&gt;Lists!$X$4),1,0)</f>
        <v>0</v>
      </c>
      <c r="AB855" s="30" t="str">
        <f aca="false">IF(AND(B855="office",AA855=1,COUNTIFS(C$5:C855,C855,AA$5:AA855,1)=1),F855,"")</f>
        <v/>
      </c>
      <c r="AC855" s="30" t="str">
        <f aca="false">IF(AND(B855="brand",AA855=1,COUNTIFS(C$5:C855,C855,AA$5:AA855,1)=1),F855,"")</f>
        <v/>
      </c>
      <c r="AD855" s="30" t="str">
        <f aca="false">IF(AND(B855="brand",E855="budget_probe",ISNUMBER(F855),I855=Lists!$X$4),IF(COUNTIFS(C$5:C855,C855,E$5:E855,"budget_probe",I$5:I855,Lists!$X$4)=1,F855,""),"")</f>
        <v/>
      </c>
      <c r="AE855" s="30" t="n">
        <f aca="false">IF(AND(B855="brand",E855="paid",ISNUMBER(F855)),IF(AND(SUMIFS(F$5:F855,B$5:B855,"brand",C$5:C855,C855,E$5:E855,"paid")&gt;=Inputs!$C$44,SUMIFS(F$5:F855,B$5:B855,"brand",C$5:C855,C855,E$5:E855,"paid")-F855&lt;Inputs!$C$44),1,0),0)</f>
        <v>0</v>
      </c>
    </row>
    <row r="856" customFormat="false" ht="15" hidden="false" customHeight="false" outlineLevel="0" collapsed="false">
      <c r="A856" s="102"/>
      <c r="B856" s="103"/>
      <c r="C856" s="103"/>
      <c r="D856" s="103"/>
      <c r="E856" s="103"/>
      <c r="F856" s="103"/>
      <c r="G856" s="103"/>
      <c r="H856" s="103"/>
      <c r="I856" s="103"/>
      <c r="T856" s="30" t="str">
        <f aca="false">IF(C856="","",IF(COUNTIFS(C$5:C856,C856,E$5:E856,E856)=1,1,0))</f>
        <v/>
      </c>
      <c r="U856" s="30" t="n">
        <f aca="false">IF(C856="",0,IF(AND(B856="brand",E856="budget_probe",N(F856)&gt;=Inputs!$C$124,H856="Y"),1,0))</f>
        <v>0</v>
      </c>
      <c r="V856" s="30" t="n">
        <f aca="false">IF(U856=1,IF(COUNTIFS(C$5:C856,C856,U$5:U856,1)=1,1,0),0)</f>
        <v>0</v>
      </c>
      <c r="W856" s="30" t="n">
        <f aca="false">IF(C856="",0,IF(AND(B856="office",E856="budget_probe",N(F856)&gt;=Inputs!$C$139),1,0))</f>
        <v>0</v>
      </c>
      <c r="X856" s="30" t="n">
        <f aca="false">IF(W856=1,IF(COUNTIFS(C$5:C856,C856,W$5:W856,1)=1,1,0),0)</f>
        <v>0</v>
      </c>
      <c r="Y856" s="30" t="n">
        <f aca="false">IF(C856="",0,IF(AND(B856="brand",E856="renewal_answer",TRIM(G856)="yes",N(F856)&gt;=Inputs!$C$135),1,0))</f>
        <v>0</v>
      </c>
      <c r="Z856" s="30" t="n">
        <f aca="false">IF(Y856=1,IF(COUNTIFS(C$5:C856,C856,Y$5:Y856,1)=1,1,0),0)</f>
        <v>0</v>
      </c>
      <c r="AA856" s="30" t="n">
        <f aca="false">IF(AND(E856="budget_probe",ISNUMBER(F856),I856&lt;&gt;Lists!$X$4),1,0)</f>
        <v>0</v>
      </c>
      <c r="AB856" s="30" t="str">
        <f aca="false">IF(AND(B856="office",AA856=1,COUNTIFS(C$5:C856,C856,AA$5:AA856,1)=1),F856,"")</f>
        <v/>
      </c>
      <c r="AC856" s="30" t="str">
        <f aca="false">IF(AND(B856="brand",AA856=1,COUNTIFS(C$5:C856,C856,AA$5:AA856,1)=1),F856,"")</f>
        <v/>
      </c>
      <c r="AD856" s="30" t="str">
        <f aca="false">IF(AND(B856="brand",E856="budget_probe",ISNUMBER(F856),I856=Lists!$X$4),IF(COUNTIFS(C$5:C856,C856,E$5:E856,"budget_probe",I$5:I856,Lists!$X$4)=1,F856,""),"")</f>
        <v/>
      </c>
      <c r="AE856" s="30" t="n">
        <f aca="false">IF(AND(B856="brand",E856="paid",ISNUMBER(F856)),IF(AND(SUMIFS(F$5:F856,B$5:B856,"brand",C$5:C856,C856,E$5:E856,"paid")&gt;=Inputs!$C$44,SUMIFS(F$5:F856,B$5:B856,"brand",C$5:C856,C856,E$5:E856,"paid")-F856&lt;Inputs!$C$44),1,0),0)</f>
        <v>0</v>
      </c>
    </row>
    <row r="857" customFormat="false" ht="15" hidden="false" customHeight="false" outlineLevel="0" collapsed="false">
      <c r="A857" s="102"/>
      <c r="B857" s="103"/>
      <c r="C857" s="103"/>
      <c r="D857" s="103"/>
      <c r="E857" s="103"/>
      <c r="F857" s="103"/>
      <c r="G857" s="103"/>
      <c r="H857" s="103"/>
      <c r="I857" s="103"/>
      <c r="T857" s="30" t="str">
        <f aca="false">IF(C857="","",IF(COUNTIFS(C$5:C857,C857,E$5:E857,E857)=1,1,0))</f>
        <v/>
      </c>
      <c r="U857" s="30" t="n">
        <f aca="false">IF(C857="",0,IF(AND(B857="brand",E857="budget_probe",N(F857)&gt;=Inputs!$C$124,H857="Y"),1,0))</f>
        <v>0</v>
      </c>
      <c r="V857" s="30" t="n">
        <f aca="false">IF(U857=1,IF(COUNTIFS(C$5:C857,C857,U$5:U857,1)=1,1,0),0)</f>
        <v>0</v>
      </c>
      <c r="W857" s="30" t="n">
        <f aca="false">IF(C857="",0,IF(AND(B857="office",E857="budget_probe",N(F857)&gt;=Inputs!$C$139),1,0))</f>
        <v>0</v>
      </c>
      <c r="X857" s="30" t="n">
        <f aca="false">IF(W857=1,IF(COUNTIFS(C$5:C857,C857,W$5:W857,1)=1,1,0),0)</f>
        <v>0</v>
      </c>
      <c r="Y857" s="30" t="n">
        <f aca="false">IF(C857="",0,IF(AND(B857="brand",E857="renewal_answer",TRIM(G857)="yes",N(F857)&gt;=Inputs!$C$135),1,0))</f>
        <v>0</v>
      </c>
      <c r="Z857" s="30" t="n">
        <f aca="false">IF(Y857=1,IF(COUNTIFS(C$5:C857,C857,Y$5:Y857,1)=1,1,0),0)</f>
        <v>0</v>
      </c>
      <c r="AA857" s="30" t="n">
        <f aca="false">IF(AND(E857="budget_probe",ISNUMBER(F857),I857&lt;&gt;Lists!$X$4),1,0)</f>
        <v>0</v>
      </c>
      <c r="AB857" s="30" t="str">
        <f aca="false">IF(AND(B857="office",AA857=1,COUNTIFS(C$5:C857,C857,AA$5:AA857,1)=1),F857,"")</f>
        <v/>
      </c>
      <c r="AC857" s="30" t="str">
        <f aca="false">IF(AND(B857="brand",AA857=1,COUNTIFS(C$5:C857,C857,AA$5:AA857,1)=1),F857,"")</f>
        <v/>
      </c>
      <c r="AD857" s="30" t="str">
        <f aca="false">IF(AND(B857="brand",E857="budget_probe",ISNUMBER(F857),I857=Lists!$X$4),IF(COUNTIFS(C$5:C857,C857,E$5:E857,"budget_probe",I$5:I857,Lists!$X$4)=1,F857,""),"")</f>
        <v/>
      </c>
      <c r="AE857" s="30" t="n">
        <f aca="false">IF(AND(B857="brand",E857="paid",ISNUMBER(F857)),IF(AND(SUMIFS(F$5:F857,B$5:B857,"brand",C$5:C857,C857,E$5:E857,"paid")&gt;=Inputs!$C$44,SUMIFS(F$5:F857,B$5:B857,"brand",C$5:C857,C857,E$5:E857,"paid")-F857&lt;Inputs!$C$44),1,0),0)</f>
        <v>0</v>
      </c>
    </row>
    <row r="858" customFormat="false" ht="15" hidden="false" customHeight="false" outlineLevel="0" collapsed="false">
      <c r="A858" s="102"/>
      <c r="B858" s="103"/>
      <c r="C858" s="103"/>
      <c r="D858" s="103"/>
      <c r="E858" s="103"/>
      <c r="F858" s="103"/>
      <c r="G858" s="103"/>
      <c r="H858" s="103"/>
      <c r="I858" s="103"/>
      <c r="T858" s="30" t="str">
        <f aca="false">IF(C858="","",IF(COUNTIFS(C$5:C858,C858,E$5:E858,E858)=1,1,0))</f>
        <v/>
      </c>
      <c r="U858" s="30" t="n">
        <f aca="false">IF(C858="",0,IF(AND(B858="brand",E858="budget_probe",N(F858)&gt;=Inputs!$C$124,H858="Y"),1,0))</f>
        <v>0</v>
      </c>
      <c r="V858" s="30" t="n">
        <f aca="false">IF(U858=1,IF(COUNTIFS(C$5:C858,C858,U$5:U858,1)=1,1,0),0)</f>
        <v>0</v>
      </c>
      <c r="W858" s="30" t="n">
        <f aca="false">IF(C858="",0,IF(AND(B858="office",E858="budget_probe",N(F858)&gt;=Inputs!$C$139),1,0))</f>
        <v>0</v>
      </c>
      <c r="X858" s="30" t="n">
        <f aca="false">IF(W858=1,IF(COUNTIFS(C$5:C858,C858,W$5:W858,1)=1,1,0),0)</f>
        <v>0</v>
      </c>
      <c r="Y858" s="30" t="n">
        <f aca="false">IF(C858="",0,IF(AND(B858="brand",E858="renewal_answer",TRIM(G858)="yes",N(F858)&gt;=Inputs!$C$135),1,0))</f>
        <v>0</v>
      </c>
      <c r="Z858" s="30" t="n">
        <f aca="false">IF(Y858=1,IF(COUNTIFS(C$5:C858,C858,Y$5:Y858,1)=1,1,0),0)</f>
        <v>0</v>
      </c>
      <c r="AA858" s="30" t="n">
        <f aca="false">IF(AND(E858="budget_probe",ISNUMBER(F858),I858&lt;&gt;Lists!$X$4),1,0)</f>
        <v>0</v>
      </c>
      <c r="AB858" s="30" t="str">
        <f aca="false">IF(AND(B858="office",AA858=1,COUNTIFS(C$5:C858,C858,AA$5:AA858,1)=1),F858,"")</f>
        <v/>
      </c>
      <c r="AC858" s="30" t="str">
        <f aca="false">IF(AND(B858="brand",AA858=1,COUNTIFS(C$5:C858,C858,AA$5:AA858,1)=1),F858,"")</f>
        <v/>
      </c>
      <c r="AD858" s="30" t="str">
        <f aca="false">IF(AND(B858="brand",E858="budget_probe",ISNUMBER(F858),I858=Lists!$X$4),IF(COUNTIFS(C$5:C858,C858,E$5:E858,"budget_probe",I$5:I858,Lists!$X$4)=1,F858,""),"")</f>
        <v/>
      </c>
      <c r="AE858" s="30" t="n">
        <f aca="false">IF(AND(B858="brand",E858="paid",ISNUMBER(F858)),IF(AND(SUMIFS(F$5:F858,B$5:B858,"brand",C$5:C858,C858,E$5:E858,"paid")&gt;=Inputs!$C$44,SUMIFS(F$5:F858,B$5:B858,"brand",C$5:C858,C858,E$5:E858,"paid")-F858&lt;Inputs!$C$44),1,0),0)</f>
        <v>0</v>
      </c>
    </row>
    <row r="859" customFormat="false" ht="15" hidden="false" customHeight="false" outlineLevel="0" collapsed="false">
      <c r="A859" s="102"/>
      <c r="B859" s="103"/>
      <c r="C859" s="103"/>
      <c r="D859" s="103"/>
      <c r="E859" s="103"/>
      <c r="F859" s="103"/>
      <c r="G859" s="103"/>
      <c r="H859" s="103"/>
      <c r="I859" s="103"/>
      <c r="T859" s="30" t="str">
        <f aca="false">IF(C859="","",IF(COUNTIFS(C$5:C859,C859,E$5:E859,E859)=1,1,0))</f>
        <v/>
      </c>
      <c r="U859" s="30" t="n">
        <f aca="false">IF(C859="",0,IF(AND(B859="brand",E859="budget_probe",N(F859)&gt;=Inputs!$C$124,H859="Y"),1,0))</f>
        <v>0</v>
      </c>
      <c r="V859" s="30" t="n">
        <f aca="false">IF(U859=1,IF(COUNTIFS(C$5:C859,C859,U$5:U859,1)=1,1,0),0)</f>
        <v>0</v>
      </c>
      <c r="W859" s="30" t="n">
        <f aca="false">IF(C859="",0,IF(AND(B859="office",E859="budget_probe",N(F859)&gt;=Inputs!$C$139),1,0))</f>
        <v>0</v>
      </c>
      <c r="X859" s="30" t="n">
        <f aca="false">IF(W859=1,IF(COUNTIFS(C$5:C859,C859,W$5:W859,1)=1,1,0),0)</f>
        <v>0</v>
      </c>
      <c r="Y859" s="30" t="n">
        <f aca="false">IF(C859="",0,IF(AND(B859="brand",E859="renewal_answer",TRIM(G859)="yes",N(F859)&gt;=Inputs!$C$135),1,0))</f>
        <v>0</v>
      </c>
      <c r="Z859" s="30" t="n">
        <f aca="false">IF(Y859=1,IF(COUNTIFS(C$5:C859,C859,Y$5:Y859,1)=1,1,0),0)</f>
        <v>0</v>
      </c>
      <c r="AA859" s="30" t="n">
        <f aca="false">IF(AND(E859="budget_probe",ISNUMBER(F859),I859&lt;&gt;Lists!$X$4),1,0)</f>
        <v>0</v>
      </c>
      <c r="AB859" s="30" t="str">
        <f aca="false">IF(AND(B859="office",AA859=1,COUNTIFS(C$5:C859,C859,AA$5:AA859,1)=1),F859,"")</f>
        <v/>
      </c>
      <c r="AC859" s="30" t="str">
        <f aca="false">IF(AND(B859="brand",AA859=1,COUNTIFS(C$5:C859,C859,AA$5:AA859,1)=1),F859,"")</f>
        <v/>
      </c>
      <c r="AD859" s="30" t="str">
        <f aca="false">IF(AND(B859="brand",E859="budget_probe",ISNUMBER(F859),I859=Lists!$X$4),IF(COUNTIFS(C$5:C859,C859,E$5:E859,"budget_probe",I$5:I859,Lists!$X$4)=1,F859,""),"")</f>
        <v/>
      </c>
      <c r="AE859" s="30" t="n">
        <f aca="false">IF(AND(B859="brand",E859="paid",ISNUMBER(F859)),IF(AND(SUMIFS(F$5:F859,B$5:B859,"brand",C$5:C859,C859,E$5:E859,"paid")&gt;=Inputs!$C$44,SUMIFS(F$5:F859,B$5:B859,"brand",C$5:C859,C859,E$5:E859,"paid")-F859&lt;Inputs!$C$44),1,0),0)</f>
        <v>0</v>
      </c>
    </row>
    <row r="860" customFormat="false" ht="15" hidden="false" customHeight="false" outlineLevel="0" collapsed="false">
      <c r="A860" s="102"/>
      <c r="B860" s="103"/>
      <c r="C860" s="103"/>
      <c r="D860" s="103"/>
      <c r="E860" s="103"/>
      <c r="F860" s="103"/>
      <c r="G860" s="103"/>
      <c r="H860" s="103"/>
      <c r="I860" s="103"/>
      <c r="T860" s="30" t="str">
        <f aca="false">IF(C860="","",IF(COUNTIFS(C$5:C860,C860,E$5:E860,E860)=1,1,0))</f>
        <v/>
      </c>
      <c r="U860" s="30" t="n">
        <f aca="false">IF(C860="",0,IF(AND(B860="brand",E860="budget_probe",N(F860)&gt;=Inputs!$C$124,H860="Y"),1,0))</f>
        <v>0</v>
      </c>
      <c r="V860" s="30" t="n">
        <f aca="false">IF(U860=1,IF(COUNTIFS(C$5:C860,C860,U$5:U860,1)=1,1,0),0)</f>
        <v>0</v>
      </c>
      <c r="W860" s="30" t="n">
        <f aca="false">IF(C860="",0,IF(AND(B860="office",E860="budget_probe",N(F860)&gt;=Inputs!$C$139),1,0))</f>
        <v>0</v>
      </c>
      <c r="X860" s="30" t="n">
        <f aca="false">IF(W860=1,IF(COUNTIFS(C$5:C860,C860,W$5:W860,1)=1,1,0),0)</f>
        <v>0</v>
      </c>
      <c r="Y860" s="30" t="n">
        <f aca="false">IF(C860="",0,IF(AND(B860="brand",E860="renewal_answer",TRIM(G860)="yes",N(F860)&gt;=Inputs!$C$135),1,0))</f>
        <v>0</v>
      </c>
      <c r="Z860" s="30" t="n">
        <f aca="false">IF(Y860=1,IF(COUNTIFS(C$5:C860,C860,Y$5:Y860,1)=1,1,0),0)</f>
        <v>0</v>
      </c>
      <c r="AA860" s="30" t="n">
        <f aca="false">IF(AND(E860="budget_probe",ISNUMBER(F860),I860&lt;&gt;Lists!$X$4),1,0)</f>
        <v>0</v>
      </c>
      <c r="AB860" s="30" t="str">
        <f aca="false">IF(AND(B860="office",AA860=1,COUNTIFS(C$5:C860,C860,AA$5:AA860,1)=1),F860,"")</f>
        <v/>
      </c>
      <c r="AC860" s="30" t="str">
        <f aca="false">IF(AND(B860="brand",AA860=1,COUNTIFS(C$5:C860,C860,AA$5:AA860,1)=1),F860,"")</f>
        <v/>
      </c>
      <c r="AD860" s="30" t="str">
        <f aca="false">IF(AND(B860="brand",E860="budget_probe",ISNUMBER(F860),I860=Lists!$X$4),IF(COUNTIFS(C$5:C860,C860,E$5:E860,"budget_probe",I$5:I860,Lists!$X$4)=1,F860,""),"")</f>
        <v/>
      </c>
      <c r="AE860" s="30" t="n">
        <f aca="false">IF(AND(B860="brand",E860="paid",ISNUMBER(F860)),IF(AND(SUMIFS(F$5:F860,B$5:B860,"brand",C$5:C860,C860,E$5:E860,"paid")&gt;=Inputs!$C$44,SUMIFS(F$5:F860,B$5:B860,"brand",C$5:C860,C860,E$5:E860,"paid")-F860&lt;Inputs!$C$44),1,0),0)</f>
        <v>0</v>
      </c>
    </row>
    <row r="861" customFormat="false" ht="15" hidden="false" customHeight="false" outlineLevel="0" collapsed="false">
      <c r="A861" s="102"/>
      <c r="B861" s="103"/>
      <c r="C861" s="103"/>
      <c r="D861" s="103"/>
      <c r="E861" s="103"/>
      <c r="F861" s="103"/>
      <c r="G861" s="103"/>
      <c r="H861" s="103"/>
      <c r="I861" s="103"/>
      <c r="T861" s="30" t="str">
        <f aca="false">IF(C861="","",IF(COUNTIFS(C$5:C861,C861,E$5:E861,E861)=1,1,0))</f>
        <v/>
      </c>
      <c r="U861" s="30" t="n">
        <f aca="false">IF(C861="",0,IF(AND(B861="brand",E861="budget_probe",N(F861)&gt;=Inputs!$C$124,H861="Y"),1,0))</f>
        <v>0</v>
      </c>
      <c r="V861" s="30" t="n">
        <f aca="false">IF(U861=1,IF(COUNTIFS(C$5:C861,C861,U$5:U861,1)=1,1,0),0)</f>
        <v>0</v>
      </c>
      <c r="W861" s="30" t="n">
        <f aca="false">IF(C861="",0,IF(AND(B861="office",E861="budget_probe",N(F861)&gt;=Inputs!$C$139),1,0))</f>
        <v>0</v>
      </c>
      <c r="X861" s="30" t="n">
        <f aca="false">IF(W861=1,IF(COUNTIFS(C$5:C861,C861,W$5:W861,1)=1,1,0),0)</f>
        <v>0</v>
      </c>
      <c r="Y861" s="30" t="n">
        <f aca="false">IF(C861="",0,IF(AND(B861="brand",E861="renewal_answer",TRIM(G861)="yes",N(F861)&gt;=Inputs!$C$135),1,0))</f>
        <v>0</v>
      </c>
      <c r="Z861" s="30" t="n">
        <f aca="false">IF(Y861=1,IF(COUNTIFS(C$5:C861,C861,Y$5:Y861,1)=1,1,0),0)</f>
        <v>0</v>
      </c>
      <c r="AA861" s="30" t="n">
        <f aca="false">IF(AND(E861="budget_probe",ISNUMBER(F861),I861&lt;&gt;Lists!$X$4),1,0)</f>
        <v>0</v>
      </c>
      <c r="AB861" s="30" t="str">
        <f aca="false">IF(AND(B861="office",AA861=1,COUNTIFS(C$5:C861,C861,AA$5:AA861,1)=1),F861,"")</f>
        <v/>
      </c>
      <c r="AC861" s="30" t="str">
        <f aca="false">IF(AND(B861="brand",AA861=1,COUNTIFS(C$5:C861,C861,AA$5:AA861,1)=1),F861,"")</f>
        <v/>
      </c>
      <c r="AD861" s="30" t="str">
        <f aca="false">IF(AND(B861="brand",E861="budget_probe",ISNUMBER(F861),I861=Lists!$X$4),IF(COUNTIFS(C$5:C861,C861,E$5:E861,"budget_probe",I$5:I861,Lists!$X$4)=1,F861,""),"")</f>
        <v/>
      </c>
      <c r="AE861" s="30" t="n">
        <f aca="false">IF(AND(B861="brand",E861="paid",ISNUMBER(F861)),IF(AND(SUMIFS(F$5:F861,B$5:B861,"brand",C$5:C861,C861,E$5:E861,"paid")&gt;=Inputs!$C$44,SUMIFS(F$5:F861,B$5:B861,"brand",C$5:C861,C861,E$5:E861,"paid")-F861&lt;Inputs!$C$44),1,0),0)</f>
        <v>0</v>
      </c>
    </row>
    <row r="862" customFormat="false" ht="15" hidden="false" customHeight="false" outlineLevel="0" collapsed="false">
      <c r="A862" s="102"/>
      <c r="B862" s="103"/>
      <c r="C862" s="103"/>
      <c r="D862" s="103"/>
      <c r="E862" s="103"/>
      <c r="F862" s="103"/>
      <c r="G862" s="103"/>
      <c r="H862" s="103"/>
      <c r="I862" s="103"/>
      <c r="T862" s="30" t="str">
        <f aca="false">IF(C862="","",IF(COUNTIFS(C$5:C862,C862,E$5:E862,E862)=1,1,0))</f>
        <v/>
      </c>
      <c r="U862" s="30" t="n">
        <f aca="false">IF(C862="",0,IF(AND(B862="brand",E862="budget_probe",N(F862)&gt;=Inputs!$C$124,H862="Y"),1,0))</f>
        <v>0</v>
      </c>
      <c r="V862" s="30" t="n">
        <f aca="false">IF(U862=1,IF(COUNTIFS(C$5:C862,C862,U$5:U862,1)=1,1,0),0)</f>
        <v>0</v>
      </c>
      <c r="W862" s="30" t="n">
        <f aca="false">IF(C862="",0,IF(AND(B862="office",E862="budget_probe",N(F862)&gt;=Inputs!$C$139),1,0))</f>
        <v>0</v>
      </c>
      <c r="X862" s="30" t="n">
        <f aca="false">IF(W862=1,IF(COUNTIFS(C$5:C862,C862,W$5:W862,1)=1,1,0),0)</f>
        <v>0</v>
      </c>
      <c r="Y862" s="30" t="n">
        <f aca="false">IF(C862="",0,IF(AND(B862="brand",E862="renewal_answer",TRIM(G862)="yes",N(F862)&gt;=Inputs!$C$135),1,0))</f>
        <v>0</v>
      </c>
      <c r="Z862" s="30" t="n">
        <f aca="false">IF(Y862=1,IF(COUNTIFS(C$5:C862,C862,Y$5:Y862,1)=1,1,0),0)</f>
        <v>0</v>
      </c>
      <c r="AA862" s="30" t="n">
        <f aca="false">IF(AND(E862="budget_probe",ISNUMBER(F862),I862&lt;&gt;Lists!$X$4),1,0)</f>
        <v>0</v>
      </c>
      <c r="AB862" s="30" t="str">
        <f aca="false">IF(AND(B862="office",AA862=1,COUNTIFS(C$5:C862,C862,AA$5:AA862,1)=1),F862,"")</f>
        <v/>
      </c>
      <c r="AC862" s="30" t="str">
        <f aca="false">IF(AND(B862="brand",AA862=1,COUNTIFS(C$5:C862,C862,AA$5:AA862,1)=1),F862,"")</f>
        <v/>
      </c>
      <c r="AD862" s="30" t="str">
        <f aca="false">IF(AND(B862="brand",E862="budget_probe",ISNUMBER(F862),I862=Lists!$X$4),IF(COUNTIFS(C$5:C862,C862,E$5:E862,"budget_probe",I$5:I862,Lists!$X$4)=1,F862,""),"")</f>
        <v/>
      </c>
      <c r="AE862" s="30" t="n">
        <f aca="false">IF(AND(B862="brand",E862="paid",ISNUMBER(F862)),IF(AND(SUMIFS(F$5:F862,B$5:B862,"brand",C$5:C862,C862,E$5:E862,"paid")&gt;=Inputs!$C$44,SUMIFS(F$5:F862,B$5:B862,"brand",C$5:C862,C862,E$5:E862,"paid")-F862&lt;Inputs!$C$44),1,0),0)</f>
        <v>0</v>
      </c>
    </row>
    <row r="863" customFormat="false" ht="15" hidden="false" customHeight="false" outlineLevel="0" collapsed="false">
      <c r="A863" s="102"/>
      <c r="B863" s="103"/>
      <c r="C863" s="103"/>
      <c r="D863" s="103"/>
      <c r="E863" s="103"/>
      <c r="F863" s="103"/>
      <c r="G863" s="103"/>
      <c r="H863" s="103"/>
      <c r="I863" s="103"/>
      <c r="T863" s="30" t="str">
        <f aca="false">IF(C863="","",IF(COUNTIFS(C$5:C863,C863,E$5:E863,E863)=1,1,0))</f>
        <v/>
      </c>
      <c r="U863" s="30" t="n">
        <f aca="false">IF(C863="",0,IF(AND(B863="brand",E863="budget_probe",N(F863)&gt;=Inputs!$C$124,H863="Y"),1,0))</f>
        <v>0</v>
      </c>
      <c r="V863" s="30" t="n">
        <f aca="false">IF(U863=1,IF(COUNTIFS(C$5:C863,C863,U$5:U863,1)=1,1,0),0)</f>
        <v>0</v>
      </c>
      <c r="W863" s="30" t="n">
        <f aca="false">IF(C863="",0,IF(AND(B863="office",E863="budget_probe",N(F863)&gt;=Inputs!$C$139),1,0))</f>
        <v>0</v>
      </c>
      <c r="X863" s="30" t="n">
        <f aca="false">IF(W863=1,IF(COUNTIFS(C$5:C863,C863,W$5:W863,1)=1,1,0),0)</f>
        <v>0</v>
      </c>
      <c r="Y863" s="30" t="n">
        <f aca="false">IF(C863="",0,IF(AND(B863="brand",E863="renewal_answer",TRIM(G863)="yes",N(F863)&gt;=Inputs!$C$135),1,0))</f>
        <v>0</v>
      </c>
      <c r="Z863" s="30" t="n">
        <f aca="false">IF(Y863=1,IF(COUNTIFS(C$5:C863,C863,Y$5:Y863,1)=1,1,0),0)</f>
        <v>0</v>
      </c>
      <c r="AA863" s="30" t="n">
        <f aca="false">IF(AND(E863="budget_probe",ISNUMBER(F863),I863&lt;&gt;Lists!$X$4),1,0)</f>
        <v>0</v>
      </c>
      <c r="AB863" s="30" t="str">
        <f aca="false">IF(AND(B863="office",AA863=1,COUNTIFS(C$5:C863,C863,AA$5:AA863,1)=1),F863,"")</f>
        <v/>
      </c>
      <c r="AC863" s="30" t="str">
        <f aca="false">IF(AND(B863="brand",AA863=1,COUNTIFS(C$5:C863,C863,AA$5:AA863,1)=1),F863,"")</f>
        <v/>
      </c>
      <c r="AD863" s="30" t="str">
        <f aca="false">IF(AND(B863="brand",E863="budget_probe",ISNUMBER(F863),I863=Lists!$X$4),IF(COUNTIFS(C$5:C863,C863,E$5:E863,"budget_probe",I$5:I863,Lists!$X$4)=1,F863,""),"")</f>
        <v/>
      </c>
      <c r="AE863" s="30" t="n">
        <f aca="false">IF(AND(B863="brand",E863="paid",ISNUMBER(F863)),IF(AND(SUMIFS(F$5:F863,B$5:B863,"brand",C$5:C863,C863,E$5:E863,"paid")&gt;=Inputs!$C$44,SUMIFS(F$5:F863,B$5:B863,"brand",C$5:C863,C863,E$5:E863,"paid")-F863&lt;Inputs!$C$44),1,0),0)</f>
        <v>0</v>
      </c>
    </row>
    <row r="864" customFormat="false" ht="15" hidden="false" customHeight="false" outlineLevel="0" collapsed="false">
      <c r="A864" s="102"/>
      <c r="B864" s="103"/>
      <c r="C864" s="103"/>
      <c r="D864" s="103"/>
      <c r="E864" s="103"/>
      <c r="F864" s="103"/>
      <c r="G864" s="103"/>
      <c r="H864" s="103"/>
      <c r="I864" s="103"/>
      <c r="T864" s="30" t="str">
        <f aca="false">IF(C864="","",IF(COUNTIFS(C$5:C864,C864,E$5:E864,E864)=1,1,0))</f>
        <v/>
      </c>
      <c r="U864" s="30" t="n">
        <f aca="false">IF(C864="",0,IF(AND(B864="brand",E864="budget_probe",N(F864)&gt;=Inputs!$C$124,H864="Y"),1,0))</f>
        <v>0</v>
      </c>
      <c r="V864" s="30" t="n">
        <f aca="false">IF(U864=1,IF(COUNTIFS(C$5:C864,C864,U$5:U864,1)=1,1,0),0)</f>
        <v>0</v>
      </c>
      <c r="W864" s="30" t="n">
        <f aca="false">IF(C864="",0,IF(AND(B864="office",E864="budget_probe",N(F864)&gt;=Inputs!$C$139),1,0))</f>
        <v>0</v>
      </c>
      <c r="X864" s="30" t="n">
        <f aca="false">IF(W864=1,IF(COUNTIFS(C$5:C864,C864,W$5:W864,1)=1,1,0),0)</f>
        <v>0</v>
      </c>
      <c r="Y864" s="30" t="n">
        <f aca="false">IF(C864="",0,IF(AND(B864="brand",E864="renewal_answer",TRIM(G864)="yes",N(F864)&gt;=Inputs!$C$135),1,0))</f>
        <v>0</v>
      </c>
      <c r="Z864" s="30" t="n">
        <f aca="false">IF(Y864=1,IF(COUNTIFS(C$5:C864,C864,Y$5:Y864,1)=1,1,0),0)</f>
        <v>0</v>
      </c>
      <c r="AA864" s="30" t="n">
        <f aca="false">IF(AND(E864="budget_probe",ISNUMBER(F864),I864&lt;&gt;Lists!$X$4),1,0)</f>
        <v>0</v>
      </c>
      <c r="AB864" s="30" t="str">
        <f aca="false">IF(AND(B864="office",AA864=1,COUNTIFS(C$5:C864,C864,AA$5:AA864,1)=1),F864,"")</f>
        <v/>
      </c>
      <c r="AC864" s="30" t="str">
        <f aca="false">IF(AND(B864="brand",AA864=1,COUNTIFS(C$5:C864,C864,AA$5:AA864,1)=1),F864,"")</f>
        <v/>
      </c>
      <c r="AD864" s="30" t="str">
        <f aca="false">IF(AND(B864="brand",E864="budget_probe",ISNUMBER(F864),I864=Lists!$X$4),IF(COUNTIFS(C$5:C864,C864,E$5:E864,"budget_probe",I$5:I864,Lists!$X$4)=1,F864,""),"")</f>
        <v/>
      </c>
      <c r="AE864" s="30" t="n">
        <f aca="false">IF(AND(B864="brand",E864="paid",ISNUMBER(F864)),IF(AND(SUMIFS(F$5:F864,B$5:B864,"brand",C$5:C864,C864,E$5:E864,"paid")&gt;=Inputs!$C$44,SUMIFS(F$5:F864,B$5:B864,"brand",C$5:C864,C864,E$5:E864,"paid")-F864&lt;Inputs!$C$44),1,0),0)</f>
        <v>0</v>
      </c>
    </row>
    <row r="865" customFormat="false" ht="15" hidden="false" customHeight="false" outlineLevel="0" collapsed="false">
      <c r="A865" s="102"/>
      <c r="B865" s="103"/>
      <c r="C865" s="103"/>
      <c r="D865" s="103"/>
      <c r="E865" s="103"/>
      <c r="F865" s="103"/>
      <c r="G865" s="103"/>
      <c r="H865" s="103"/>
      <c r="I865" s="103"/>
      <c r="T865" s="30" t="str">
        <f aca="false">IF(C865="","",IF(COUNTIFS(C$5:C865,C865,E$5:E865,E865)=1,1,0))</f>
        <v/>
      </c>
      <c r="U865" s="30" t="n">
        <f aca="false">IF(C865="",0,IF(AND(B865="brand",E865="budget_probe",N(F865)&gt;=Inputs!$C$124,H865="Y"),1,0))</f>
        <v>0</v>
      </c>
      <c r="V865" s="30" t="n">
        <f aca="false">IF(U865=1,IF(COUNTIFS(C$5:C865,C865,U$5:U865,1)=1,1,0),0)</f>
        <v>0</v>
      </c>
      <c r="W865" s="30" t="n">
        <f aca="false">IF(C865="",0,IF(AND(B865="office",E865="budget_probe",N(F865)&gt;=Inputs!$C$139),1,0))</f>
        <v>0</v>
      </c>
      <c r="X865" s="30" t="n">
        <f aca="false">IF(W865=1,IF(COUNTIFS(C$5:C865,C865,W$5:W865,1)=1,1,0),0)</f>
        <v>0</v>
      </c>
      <c r="Y865" s="30" t="n">
        <f aca="false">IF(C865="",0,IF(AND(B865="brand",E865="renewal_answer",TRIM(G865)="yes",N(F865)&gt;=Inputs!$C$135),1,0))</f>
        <v>0</v>
      </c>
      <c r="Z865" s="30" t="n">
        <f aca="false">IF(Y865=1,IF(COUNTIFS(C$5:C865,C865,Y$5:Y865,1)=1,1,0),0)</f>
        <v>0</v>
      </c>
      <c r="AA865" s="30" t="n">
        <f aca="false">IF(AND(E865="budget_probe",ISNUMBER(F865),I865&lt;&gt;Lists!$X$4),1,0)</f>
        <v>0</v>
      </c>
      <c r="AB865" s="30" t="str">
        <f aca="false">IF(AND(B865="office",AA865=1,COUNTIFS(C$5:C865,C865,AA$5:AA865,1)=1),F865,"")</f>
        <v/>
      </c>
      <c r="AC865" s="30" t="str">
        <f aca="false">IF(AND(B865="brand",AA865=1,COUNTIFS(C$5:C865,C865,AA$5:AA865,1)=1),F865,"")</f>
        <v/>
      </c>
      <c r="AD865" s="30" t="str">
        <f aca="false">IF(AND(B865="brand",E865="budget_probe",ISNUMBER(F865),I865=Lists!$X$4),IF(COUNTIFS(C$5:C865,C865,E$5:E865,"budget_probe",I$5:I865,Lists!$X$4)=1,F865,""),"")</f>
        <v/>
      </c>
      <c r="AE865" s="30" t="n">
        <f aca="false">IF(AND(B865="brand",E865="paid",ISNUMBER(F865)),IF(AND(SUMIFS(F$5:F865,B$5:B865,"brand",C$5:C865,C865,E$5:E865,"paid")&gt;=Inputs!$C$44,SUMIFS(F$5:F865,B$5:B865,"brand",C$5:C865,C865,E$5:E865,"paid")-F865&lt;Inputs!$C$44),1,0),0)</f>
        <v>0</v>
      </c>
    </row>
    <row r="866" customFormat="false" ht="15" hidden="false" customHeight="false" outlineLevel="0" collapsed="false">
      <c r="A866" s="102"/>
      <c r="B866" s="103"/>
      <c r="C866" s="103"/>
      <c r="D866" s="103"/>
      <c r="E866" s="103"/>
      <c r="F866" s="103"/>
      <c r="G866" s="103"/>
      <c r="H866" s="103"/>
      <c r="I866" s="103"/>
      <c r="T866" s="30" t="str">
        <f aca="false">IF(C866="","",IF(COUNTIFS(C$5:C866,C866,E$5:E866,E866)=1,1,0))</f>
        <v/>
      </c>
      <c r="U866" s="30" t="n">
        <f aca="false">IF(C866="",0,IF(AND(B866="brand",E866="budget_probe",N(F866)&gt;=Inputs!$C$124,H866="Y"),1,0))</f>
        <v>0</v>
      </c>
      <c r="V866" s="30" t="n">
        <f aca="false">IF(U866=1,IF(COUNTIFS(C$5:C866,C866,U$5:U866,1)=1,1,0),0)</f>
        <v>0</v>
      </c>
      <c r="W866" s="30" t="n">
        <f aca="false">IF(C866="",0,IF(AND(B866="office",E866="budget_probe",N(F866)&gt;=Inputs!$C$139),1,0))</f>
        <v>0</v>
      </c>
      <c r="X866" s="30" t="n">
        <f aca="false">IF(W866=1,IF(COUNTIFS(C$5:C866,C866,W$5:W866,1)=1,1,0),0)</f>
        <v>0</v>
      </c>
      <c r="Y866" s="30" t="n">
        <f aca="false">IF(C866="",0,IF(AND(B866="brand",E866="renewal_answer",TRIM(G866)="yes",N(F866)&gt;=Inputs!$C$135),1,0))</f>
        <v>0</v>
      </c>
      <c r="Z866" s="30" t="n">
        <f aca="false">IF(Y866=1,IF(COUNTIFS(C$5:C866,C866,Y$5:Y866,1)=1,1,0),0)</f>
        <v>0</v>
      </c>
      <c r="AA866" s="30" t="n">
        <f aca="false">IF(AND(E866="budget_probe",ISNUMBER(F866),I866&lt;&gt;Lists!$X$4),1,0)</f>
        <v>0</v>
      </c>
      <c r="AB866" s="30" t="str">
        <f aca="false">IF(AND(B866="office",AA866=1,COUNTIFS(C$5:C866,C866,AA$5:AA866,1)=1),F866,"")</f>
        <v/>
      </c>
      <c r="AC866" s="30" t="str">
        <f aca="false">IF(AND(B866="brand",AA866=1,COUNTIFS(C$5:C866,C866,AA$5:AA866,1)=1),F866,"")</f>
        <v/>
      </c>
      <c r="AD866" s="30" t="str">
        <f aca="false">IF(AND(B866="brand",E866="budget_probe",ISNUMBER(F866),I866=Lists!$X$4),IF(COUNTIFS(C$5:C866,C866,E$5:E866,"budget_probe",I$5:I866,Lists!$X$4)=1,F866,""),"")</f>
        <v/>
      </c>
      <c r="AE866" s="30" t="n">
        <f aca="false">IF(AND(B866="brand",E866="paid",ISNUMBER(F866)),IF(AND(SUMIFS(F$5:F866,B$5:B866,"brand",C$5:C866,C866,E$5:E866,"paid")&gt;=Inputs!$C$44,SUMIFS(F$5:F866,B$5:B866,"brand",C$5:C866,C866,E$5:E866,"paid")-F866&lt;Inputs!$C$44),1,0),0)</f>
        <v>0</v>
      </c>
    </row>
    <row r="867" customFormat="false" ht="15" hidden="false" customHeight="false" outlineLevel="0" collapsed="false">
      <c r="A867" s="102"/>
      <c r="B867" s="103"/>
      <c r="C867" s="103"/>
      <c r="D867" s="103"/>
      <c r="E867" s="103"/>
      <c r="F867" s="103"/>
      <c r="G867" s="103"/>
      <c r="H867" s="103"/>
      <c r="I867" s="103"/>
      <c r="T867" s="30" t="str">
        <f aca="false">IF(C867="","",IF(COUNTIFS(C$5:C867,C867,E$5:E867,E867)=1,1,0))</f>
        <v/>
      </c>
      <c r="U867" s="30" t="n">
        <f aca="false">IF(C867="",0,IF(AND(B867="brand",E867="budget_probe",N(F867)&gt;=Inputs!$C$124,H867="Y"),1,0))</f>
        <v>0</v>
      </c>
      <c r="V867" s="30" t="n">
        <f aca="false">IF(U867=1,IF(COUNTIFS(C$5:C867,C867,U$5:U867,1)=1,1,0),0)</f>
        <v>0</v>
      </c>
      <c r="W867" s="30" t="n">
        <f aca="false">IF(C867="",0,IF(AND(B867="office",E867="budget_probe",N(F867)&gt;=Inputs!$C$139),1,0))</f>
        <v>0</v>
      </c>
      <c r="X867" s="30" t="n">
        <f aca="false">IF(W867=1,IF(COUNTIFS(C$5:C867,C867,W$5:W867,1)=1,1,0),0)</f>
        <v>0</v>
      </c>
      <c r="Y867" s="30" t="n">
        <f aca="false">IF(C867="",0,IF(AND(B867="brand",E867="renewal_answer",TRIM(G867)="yes",N(F867)&gt;=Inputs!$C$135),1,0))</f>
        <v>0</v>
      </c>
      <c r="Z867" s="30" t="n">
        <f aca="false">IF(Y867=1,IF(COUNTIFS(C$5:C867,C867,Y$5:Y867,1)=1,1,0),0)</f>
        <v>0</v>
      </c>
      <c r="AA867" s="30" t="n">
        <f aca="false">IF(AND(E867="budget_probe",ISNUMBER(F867),I867&lt;&gt;Lists!$X$4),1,0)</f>
        <v>0</v>
      </c>
      <c r="AB867" s="30" t="str">
        <f aca="false">IF(AND(B867="office",AA867=1,COUNTIFS(C$5:C867,C867,AA$5:AA867,1)=1),F867,"")</f>
        <v/>
      </c>
      <c r="AC867" s="30" t="str">
        <f aca="false">IF(AND(B867="brand",AA867=1,COUNTIFS(C$5:C867,C867,AA$5:AA867,1)=1),F867,"")</f>
        <v/>
      </c>
      <c r="AD867" s="30" t="str">
        <f aca="false">IF(AND(B867="brand",E867="budget_probe",ISNUMBER(F867),I867=Lists!$X$4),IF(COUNTIFS(C$5:C867,C867,E$5:E867,"budget_probe",I$5:I867,Lists!$X$4)=1,F867,""),"")</f>
        <v/>
      </c>
      <c r="AE867" s="30" t="n">
        <f aca="false">IF(AND(B867="brand",E867="paid",ISNUMBER(F867)),IF(AND(SUMIFS(F$5:F867,B$5:B867,"brand",C$5:C867,C867,E$5:E867,"paid")&gt;=Inputs!$C$44,SUMIFS(F$5:F867,B$5:B867,"brand",C$5:C867,C867,E$5:E867,"paid")-F867&lt;Inputs!$C$44),1,0),0)</f>
        <v>0</v>
      </c>
    </row>
    <row r="868" customFormat="false" ht="15" hidden="false" customHeight="false" outlineLevel="0" collapsed="false">
      <c r="A868" s="102"/>
      <c r="B868" s="103"/>
      <c r="C868" s="103"/>
      <c r="D868" s="103"/>
      <c r="E868" s="103"/>
      <c r="F868" s="103"/>
      <c r="G868" s="103"/>
      <c r="H868" s="103"/>
      <c r="I868" s="103"/>
      <c r="T868" s="30" t="str">
        <f aca="false">IF(C868="","",IF(COUNTIFS(C$5:C868,C868,E$5:E868,E868)=1,1,0))</f>
        <v/>
      </c>
      <c r="U868" s="30" t="n">
        <f aca="false">IF(C868="",0,IF(AND(B868="brand",E868="budget_probe",N(F868)&gt;=Inputs!$C$124,H868="Y"),1,0))</f>
        <v>0</v>
      </c>
      <c r="V868" s="30" t="n">
        <f aca="false">IF(U868=1,IF(COUNTIFS(C$5:C868,C868,U$5:U868,1)=1,1,0),0)</f>
        <v>0</v>
      </c>
      <c r="W868" s="30" t="n">
        <f aca="false">IF(C868="",0,IF(AND(B868="office",E868="budget_probe",N(F868)&gt;=Inputs!$C$139),1,0))</f>
        <v>0</v>
      </c>
      <c r="X868" s="30" t="n">
        <f aca="false">IF(W868=1,IF(COUNTIFS(C$5:C868,C868,W$5:W868,1)=1,1,0),0)</f>
        <v>0</v>
      </c>
      <c r="Y868" s="30" t="n">
        <f aca="false">IF(C868="",0,IF(AND(B868="brand",E868="renewal_answer",TRIM(G868)="yes",N(F868)&gt;=Inputs!$C$135),1,0))</f>
        <v>0</v>
      </c>
      <c r="Z868" s="30" t="n">
        <f aca="false">IF(Y868=1,IF(COUNTIFS(C$5:C868,C868,Y$5:Y868,1)=1,1,0),0)</f>
        <v>0</v>
      </c>
      <c r="AA868" s="30" t="n">
        <f aca="false">IF(AND(E868="budget_probe",ISNUMBER(F868),I868&lt;&gt;Lists!$X$4),1,0)</f>
        <v>0</v>
      </c>
      <c r="AB868" s="30" t="str">
        <f aca="false">IF(AND(B868="office",AA868=1,COUNTIFS(C$5:C868,C868,AA$5:AA868,1)=1),F868,"")</f>
        <v/>
      </c>
      <c r="AC868" s="30" t="str">
        <f aca="false">IF(AND(B868="brand",AA868=1,COUNTIFS(C$5:C868,C868,AA$5:AA868,1)=1),F868,"")</f>
        <v/>
      </c>
      <c r="AD868" s="30" t="str">
        <f aca="false">IF(AND(B868="brand",E868="budget_probe",ISNUMBER(F868),I868=Lists!$X$4),IF(COUNTIFS(C$5:C868,C868,E$5:E868,"budget_probe",I$5:I868,Lists!$X$4)=1,F868,""),"")</f>
        <v/>
      </c>
      <c r="AE868" s="30" t="n">
        <f aca="false">IF(AND(B868="brand",E868="paid",ISNUMBER(F868)),IF(AND(SUMIFS(F$5:F868,B$5:B868,"brand",C$5:C868,C868,E$5:E868,"paid")&gt;=Inputs!$C$44,SUMIFS(F$5:F868,B$5:B868,"brand",C$5:C868,C868,E$5:E868,"paid")-F868&lt;Inputs!$C$44),1,0),0)</f>
        <v>0</v>
      </c>
    </row>
    <row r="869" customFormat="false" ht="15" hidden="false" customHeight="false" outlineLevel="0" collapsed="false">
      <c r="A869" s="102"/>
      <c r="B869" s="103"/>
      <c r="C869" s="103"/>
      <c r="D869" s="103"/>
      <c r="E869" s="103"/>
      <c r="F869" s="103"/>
      <c r="G869" s="103"/>
      <c r="H869" s="103"/>
      <c r="I869" s="103"/>
      <c r="T869" s="30" t="str">
        <f aca="false">IF(C869="","",IF(COUNTIFS(C$5:C869,C869,E$5:E869,E869)=1,1,0))</f>
        <v/>
      </c>
      <c r="U869" s="30" t="n">
        <f aca="false">IF(C869="",0,IF(AND(B869="brand",E869="budget_probe",N(F869)&gt;=Inputs!$C$124,H869="Y"),1,0))</f>
        <v>0</v>
      </c>
      <c r="V869" s="30" t="n">
        <f aca="false">IF(U869=1,IF(COUNTIFS(C$5:C869,C869,U$5:U869,1)=1,1,0),0)</f>
        <v>0</v>
      </c>
      <c r="W869" s="30" t="n">
        <f aca="false">IF(C869="",0,IF(AND(B869="office",E869="budget_probe",N(F869)&gt;=Inputs!$C$139),1,0))</f>
        <v>0</v>
      </c>
      <c r="X869" s="30" t="n">
        <f aca="false">IF(W869=1,IF(COUNTIFS(C$5:C869,C869,W$5:W869,1)=1,1,0),0)</f>
        <v>0</v>
      </c>
      <c r="Y869" s="30" t="n">
        <f aca="false">IF(C869="",0,IF(AND(B869="brand",E869="renewal_answer",TRIM(G869)="yes",N(F869)&gt;=Inputs!$C$135),1,0))</f>
        <v>0</v>
      </c>
      <c r="Z869" s="30" t="n">
        <f aca="false">IF(Y869=1,IF(COUNTIFS(C$5:C869,C869,Y$5:Y869,1)=1,1,0),0)</f>
        <v>0</v>
      </c>
      <c r="AA869" s="30" t="n">
        <f aca="false">IF(AND(E869="budget_probe",ISNUMBER(F869),I869&lt;&gt;Lists!$X$4),1,0)</f>
        <v>0</v>
      </c>
      <c r="AB869" s="30" t="str">
        <f aca="false">IF(AND(B869="office",AA869=1,COUNTIFS(C$5:C869,C869,AA$5:AA869,1)=1),F869,"")</f>
        <v/>
      </c>
      <c r="AC869" s="30" t="str">
        <f aca="false">IF(AND(B869="brand",AA869=1,COUNTIFS(C$5:C869,C869,AA$5:AA869,1)=1),F869,"")</f>
        <v/>
      </c>
      <c r="AD869" s="30" t="str">
        <f aca="false">IF(AND(B869="brand",E869="budget_probe",ISNUMBER(F869),I869=Lists!$X$4),IF(COUNTIFS(C$5:C869,C869,E$5:E869,"budget_probe",I$5:I869,Lists!$X$4)=1,F869,""),"")</f>
        <v/>
      </c>
      <c r="AE869" s="30" t="n">
        <f aca="false">IF(AND(B869="brand",E869="paid",ISNUMBER(F869)),IF(AND(SUMIFS(F$5:F869,B$5:B869,"brand",C$5:C869,C869,E$5:E869,"paid")&gt;=Inputs!$C$44,SUMIFS(F$5:F869,B$5:B869,"brand",C$5:C869,C869,E$5:E869,"paid")-F869&lt;Inputs!$C$44),1,0),0)</f>
        <v>0</v>
      </c>
    </row>
    <row r="870" customFormat="false" ht="15" hidden="false" customHeight="false" outlineLevel="0" collapsed="false">
      <c r="A870" s="102"/>
      <c r="B870" s="103"/>
      <c r="C870" s="103"/>
      <c r="D870" s="103"/>
      <c r="E870" s="103"/>
      <c r="F870" s="103"/>
      <c r="G870" s="103"/>
      <c r="H870" s="103"/>
      <c r="I870" s="103"/>
      <c r="T870" s="30" t="str">
        <f aca="false">IF(C870="","",IF(COUNTIFS(C$5:C870,C870,E$5:E870,E870)=1,1,0))</f>
        <v/>
      </c>
      <c r="U870" s="30" t="n">
        <f aca="false">IF(C870="",0,IF(AND(B870="brand",E870="budget_probe",N(F870)&gt;=Inputs!$C$124,H870="Y"),1,0))</f>
        <v>0</v>
      </c>
      <c r="V870" s="30" t="n">
        <f aca="false">IF(U870=1,IF(COUNTIFS(C$5:C870,C870,U$5:U870,1)=1,1,0),0)</f>
        <v>0</v>
      </c>
      <c r="W870" s="30" t="n">
        <f aca="false">IF(C870="",0,IF(AND(B870="office",E870="budget_probe",N(F870)&gt;=Inputs!$C$139),1,0))</f>
        <v>0</v>
      </c>
      <c r="X870" s="30" t="n">
        <f aca="false">IF(W870=1,IF(COUNTIFS(C$5:C870,C870,W$5:W870,1)=1,1,0),0)</f>
        <v>0</v>
      </c>
      <c r="Y870" s="30" t="n">
        <f aca="false">IF(C870="",0,IF(AND(B870="brand",E870="renewal_answer",TRIM(G870)="yes",N(F870)&gt;=Inputs!$C$135),1,0))</f>
        <v>0</v>
      </c>
      <c r="Z870" s="30" t="n">
        <f aca="false">IF(Y870=1,IF(COUNTIFS(C$5:C870,C870,Y$5:Y870,1)=1,1,0),0)</f>
        <v>0</v>
      </c>
      <c r="AA870" s="30" t="n">
        <f aca="false">IF(AND(E870="budget_probe",ISNUMBER(F870),I870&lt;&gt;Lists!$X$4),1,0)</f>
        <v>0</v>
      </c>
      <c r="AB870" s="30" t="str">
        <f aca="false">IF(AND(B870="office",AA870=1,COUNTIFS(C$5:C870,C870,AA$5:AA870,1)=1),F870,"")</f>
        <v/>
      </c>
      <c r="AC870" s="30" t="str">
        <f aca="false">IF(AND(B870="brand",AA870=1,COUNTIFS(C$5:C870,C870,AA$5:AA870,1)=1),F870,"")</f>
        <v/>
      </c>
      <c r="AD870" s="30" t="str">
        <f aca="false">IF(AND(B870="brand",E870="budget_probe",ISNUMBER(F870),I870=Lists!$X$4),IF(COUNTIFS(C$5:C870,C870,E$5:E870,"budget_probe",I$5:I870,Lists!$X$4)=1,F870,""),"")</f>
        <v/>
      </c>
      <c r="AE870" s="30" t="n">
        <f aca="false">IF(AND(B870="brand",E870="paid",ISNUMBER(F870)),IF(AND(SUMIFS(F$5:F870,B$5:B870,"brand",C$5:C870,C870,E$5:E870,"paid")&gt;=Inputs!$C$44,SUMIFS(F$5:F870,B$5:B870,"brand",C$5:C870,C870,E$5:E870,"paid")-F870&lt;Inputs!$C$44),1,0),0)</f>
        <v>0</v>
      </c>
    </row>
    <row r="871" customFormat="false" ht="15" hidden="false" customHeight="false" outlineLevel="0" collapsed="false">
      <c r="A871" s="102"/>
      <c r="B871" s="103"/>
      <c r="C871" s="103"/>
      <c r="D871" s="103"/>
      <c r="E871" s="103"/>
      <c r="F871" s="103"/>
      <c r="G871" s="103"/>
      <c r="H871" s="103"/>
      <c r="I871" s="103"/>
      <c r="T871" s="30" t="str">
        <f aca="false">IF(C871="","",IF(COUNTIFS(C$5:C871,C871,E$5:E871,E871)=1,1,0))</f>
        <v/>
      </c>
      <c r="U871" s="30" t="n">
        <f aca="false">IF(C871="",0,IF(AND(B871="brand",E871="budget_probe",N(F871)&gt;=Inputs!$C$124,H871="Y"),1,0))</f>
        <v>0</v>
      </c>
      <c r="V871" s="30" t="n">
        <f aca="false">IF(U871=1,IF(COUNTIFS(C$5:C871,C871,U$5:U871,1)=1,1,0),0)</f>
        <v>0</v>
      </c>
      <c r="W871" s="30" t="n">
        <f aca="false">IF(C871="",0,IF(AND(B871="office",E871="budget_probe",N(F871)&gt;=Inputs!$C$139),1,0))</f>
        <v>0</v>
      </c>
      <c r="X871" s="30" t="n">
        <f aca="false">IF(W871=1,IF(COUNTIFS(C$5:C871,C871,W$5:W871,1)=1,1,0),0)</f>
        <v>0</v>
      </c>
      <c r="Y871" s="30" t="n">
        <f aca="false">IF(C871="",0,IF(AND(B871="brand",E871="renewal_answer",TRIM(G871)="yes",N(F871)&gt;=Inputs!$C$135),1,0))</f>
        <v>0</v>
      </c>
      <c r="Z871" s="30" t="n">
        <f aca="false">IF(Y871=1,IF(COUNTIFS(C$5:C871,C871,Y$5:Y871,1)=1,1,0),0)</f>
        <v>0</v>
      </c>
      <c r="AA871" s="30" t="n">
        <f aca="false">IF(AND(E871="budget_probe",ISNUMBER(F871),I871&lt;&gt;Lists!$X$4),1,0)</f>
        <v>0</v>
      </c>
      <c r="AB871" s="30" t="str">
        <f aca="false">IF(AND(B871="office",AA871=1,COUNTIFS(C$5:C871,C871,AA$5:AA871,1)=1),F871,"")</f>
        <v/>
      </c>
      <c r="AC871" s="30" t="str">
        <f aca="false">IF(AND(B871="brand",AA871=1,COUNTIFS(C$5:C871,C871,AA$5:AA871,1)=1),F871,"")</f>
        <v/>
      </c>
      <c r="AD871" s="30" t="str">
        <f aca="false">IF(AND(B871="brand",E871="budget_probe",ISNUMBER(F871),I871=Lists!$X$4),IF(COUNTIFS(C$5:C871,C871,E$5:E871,"budget_probe",I$5:I871,Lists!$X$4)=1,F871,""),"")</f>
        <v/>
      </c>
      <c r="AE871" s="30" t="n">
        <f aca="false">IF(AND(B871="brand",E871="paid",ISNUMBER(F871)),IF(AND(SUMIFS(F$5:F871,B$5:B871,"brand",C$5:C871,C871,E$5:E871,"paid")&gt;=Inputs!$C$44,SUMIFS(F$5:F871,B$5:B871,"brand",C$5:C871,C871,E$5:E871,"paid")-F871&lt;Inputs!$C$44),1,0),0)</f>
        <v>0</v>
      </c>
    </row>
    <row r="872" customFormat="false" ht="15" hidden="false" customHeight="false" outlineLevel="0" collapsed="false">
      <c r="A872" s="102"/>
      <c r="B872" s="103"/>
      <c r="C872" s="103"/>
      <c r="D872" s="103"/>
      <c r="E872" s="103"/>
      <c r="F872" s="103"/>
      <c r="G872" s="103"/>
      <c r="H872" s="103"/>
      <c r="I872" s="103"/>
      <c r="T872" s="30" t="str">
        <f aca="false">IF(C872="","",IF(COUNTIFS(C$5:C872,C872,E$5:E872,E872)=1,1,0))</f>
        <v/>
      </c>
      <c r="U872" s="30" t="n">
        <f aca="false">IF(C872="",0,IF(AND(B872="brand",E872="budget_probe",N(F872)&gt;=Inputs!$C$124,H872="Y"),1,0))</f>
        <v>0</v>
      </c>
      <c r="V872" s="30" t="n">
        <f aca="false">IF(U872=1,IF(COUNTIFS(C$5:C872,C872,U$5:U872,1)=1,1,0),0)</f>
        <v>0</v>
      </c>
      <c r="W872" s="30" t="n">
        <f aca="false">IF(C872="",0,IF(AND(B872="office",E872="budget_probe",N(F872)&gt;=Inputs!$C$139),1,0))</f>
        <v>0</v>
      </c>
      <c r="X872" s="30" t="n">
        <f aca="false">IF(W872=1,IF(COUNTIFS(C$5:C872,C872,W$5:W872,1)=1,1,0),0)</f>
        <v>0</v>
      </c>
      <c r="Y872" s="30" t="n">
        <f aca="false">IF(C872="",0,IF(AND(B872="brand",E872="renewal_answer",TRIM(G872)="yes",N(F872)&gt;=Inputs!$C$135),1,0))</f>
        <v>0</v>
      </c>
      <c r="Z872" s="30" t="n">
        <f aca="false">IF(Y872=1,IF(COUNTIFS(C$5:C872,C872,Y$5:Y872,1)=1,1,0),0)</f>
        <v>0</v>
      </c>
      <c r="AA872" s="30" t="n">
        <f aca="false">IF(AND(E872="budget_probe",ISNUMBER(F872),I872&lt;&gt;Lists!$X$4),1,0)</f>
        <v>0</v>
      </c>
      <c r="AB872" s="30" t="str">
        <f aca="false">IF(AND(B872="office",AA872=1,COUNTIFS(C$5:C872,C872,AA$5:AA872,1)=1),F872,"")</f>
        <v/>
      </c>
      <c r="AC872" s="30" t="str">
        <f aca="false">IF(AND(B872="brand",AA872=1,COUNTIFS(C$5:C872,C872,AA$5:AA872,1)=1),F872,"")</f>
        <v/>
      </c>
      <c r="AD872" s="30" t="str">
        <f aca="false">IF(AND(B872="brand",E872="budget_probe",ISNUMBER(F872),I872=Lists!$X$4),IF(COUNTIFS(C$5:C872,C872,E$5:E872,"budget_probe",I$5:I872,Lists!$X$4)=1,F872,""),"")</f>
        <v/>
      </c>
      <c r="AE872" s="30" t="n">
        <f aca="false">IF(AND(B872="brand",E872="paid",ISNUMBER(F872)),IF(AND(SUMIFS(F$5:F872,B$5:B872,"brand",C$5:C872,C872,E$5:E872,"paid")&gt;=Inputs!$C$44,SUMIFS(F$5:F872,B$5:B872,"brand",C$5:C872,C872,E$5:E872,"paid")-F872&lt;Inputs!$C$44),1,0),0)</f>
        <v>0</v>
      </c>
    </row>
    <row r="873" customFormat="false" ht="15" hidden="false" customHeight="false" outlineLevel="0" collapsed="false">
      <c r="A873" s="102"/>
      <c r="B873" s="103"/>
      <c r="C873" s="103"/>
      <c r="D873" s="103"/>
      <c r="E873" s="103"/>
      <c r="F873" s="103"/>
      <c r="G873" s="103"/>
      <c r="H873" s="103"/>
      <c r="I873" s="103"/>
      <c r="T873" s="30" t="str">
        <f aca="false">IF(C873="","",IF(COUNTIFS(C$5:C873,C873,E$5:E873,E873)=1,1,0))</f>
        <v/>
      </c>
      <c r="U873" s="30" t="n">
        <f aca="false">IF(C873="",0,IF(AND(B873="brand",E873="budget_probe",N(F873)&gt;=Inputs!$C$124,H873="Y"),1,0))</f>
        <v>0</v>
      </c>
      <c r="V873" s="30" t="n">
        <f aca="false">IF(U873=1,IF(COUNTIFS(C$5:C873,C873,U$5:U873,1)=1,1,0),0)</f>
        <v>0</v>
      </c>
      <c r="W873" s="30" t="n">
        <f aca="false">IF(C873="",0,IF(AND(B873="office",E873="budget_probe",N(F873)&gt;=Inputs!$C$139),1,0))</f>
        <v>0</v>
      </c>
      <c r="X873" s="30" t="n">
        <f aca="false">IF(W873=1,IF(COUNTIFS(C$5:C873,C873,W$5:W873,1)=1,1,0),0)</f>
        <v>0</v>
      </c>
      <c r="Y873" s="30" t="n">
        <f aca="false">IF(C873="",0,IF(AND(B873="brand",E873="renewal_answer",TRIM(G873)="yes",N(F873)&gt;=Inputs!$C$135),1,0))</f>
        <v>0</v>
      </c>
      <c r="Z873" s="30" t="n">
        <f aca="false">IF(Y873=1,IF(COUNTIFS(C$5:C873,C873,Y$5:Y873,1)=1,1,0),0)</f>
        <v>0</v>
      </c>
      <c r="AA873" s="30" t="n">
        <f aca="false">IF(AND(E873="budget_probe",ISNUMBER(F873),I873&lt;&gt;Lists!$X$4),1,0)</f>
        <v>0</v>
      </c>
      <c r="AB873" s="30" t="str">
        <f aca="false">IF(AND(B873="office",AA873=1,COUNTIFS(C$5:C873,C873,AA$5:AA873,1)=1),F873,"")</f>
        <v/>
      </c>
      <c r="AC873" s="30" t="str">
        <f aca="false">IF(AND(B873="brand",AA873=1,COUNTIFS(C$5:C873,C873,AA$5:AA873,1)=1),F873,"")</f>
        <v/>
      </c>
      <c r="AD873" s="30" t="str">
        <f aca="false">IF(AND(B873="brand",E873="budget_probe",ISNUMBER(F873),I873=Lists!$X$4),IF(COUNTIFS(C$5:C873,C873,E$5:E873,"budget_probe",I$5:I873,Lists!$X$4)=1,F873,""),"")</f>
        <v/>
      </c>
      <c r="AE873" s="30" t="n">
        <f aca="false">IF(AND(B873="brand",E873="paid",ISNUMBER(F873)),IF(AND(SUMIFS(F$5:F873,B$5:B873,"brand",C$5:C873,C873,E$5:E873,"paid")&gt;=Inputs!$C$44,SUMIFS(F$5:F873,B$5:B873,"brand",C$5:C873,C873,E$5:E873,"paid")-F873&lt;Inputs!$C$44),1,0),0)</f>
        <v>0</v>
      </c>
    </row>
    <row r="874" customFormat="false" ht="15" hidden="false" customHeight="false" outlineLevel="0" collapsed="false">
      <c r="A874" s="102"/>
      <c r="B874" s="103"/>
      <c r="C874" s="103"/>
      <c r="D874" s="103"/>
      <c r="E874" s="103"/>
      <c r="F874" s="103"/>
      <c r="G874" s="103"/>
      <c r="H874" s="103"/>
      <c r="I874" s="103"/>
      <c r="T874" s="30" t="str">
        <f aca="false">IF(C874="","",IF(COUNTIFS(C$5:C874,C874,E$5:E874,E874)=1,1,0))</f>
        <v/>
      </c>
      <c r="U874" s="30" t="n">
        <f aca="false">IF(C874="",0,IF(AND(B874="brand",E874="budget_probe",N(F874)&gt;=Inputs!$C$124,H874="Y"),1,0))</f>
        <v>0</v>
      </c>
      <c r="V874" s="30" t="n">
        <f aca="false">IF(U874=1,IF(COUNTIFS(C$5:C874,C874,U$5:U874,1)=1,1,0),0)</f>
        <v>0</v>
      </c>
      <c r="W874" s="30" t="n">
        <f aca="false">IF(C874="",0,IF(AND(B874="office",E874="budget_probe",N(F874)&gt;=Inputs!$C$139),1,0))</f>
        <v>0</v>
      </c>
      <c r="X874" s="30" t="n">
        <f aca="false">IF(W874=1,IF(COUNTIFS(C$5:C874,C874,W$5:W874,1)=1,1,0),0)</f>
        <v>0</v>
      </c>
      <c r="Y874" s="30" t="n">
        <f aca="false">IF(C874="",0,IF(AND(B874="brand",E874="renewal_answer",TRIM(G874)="yes",N(F874)&gt;=Inputs!$C$135),1,0))</f>
        <v>0</v>
      </c>
      <c r="Z874" s="30" t="n">
        <f aca="false">IF(Y874=1,IF(COUNTIFS(C$5:C874,C874,Y$5:Y874,1)=1,1,0),0)</f>
        <v>0</v>
      </c>
      <c r="AA874" s="30" t="n">
        <f aca="false">IF(AND(E874="budget_probe",ISNUMBER(F874),I874&lt;&gt;Lists!$X$4),1,0)</f>
        <v>0</v>
      </c>
      <c r="AB874" s="30" t="str">
        <f aca="false">IF(AND(B874="office",AA874=1,COUNTIFS(C$5:C874,C874,AA$5:AA874,1)=1),F874,"")</f>
        <v/>
      </c>
      <c r="AC874" s="30" t="str">
        <f aca="false">IF(AND(B874="brand",AA874=1,COUNTIFS(C$5:C874,C874,AA$5:AA874,1)=1),F874,"")</f>
        <v/>
      </c>
      <c r="AD874" s="30" t="str">
        <f aca="false">IF(AND(B874="brand",E874="budget_probe",ISNUMBER(F874),I874=Lists!$X$4),IF(COUNTIFS(C$5:C874,C874,E$5:E874,"budget_probe",I$5:I874,Lists!$X$4)=1,F874,""),"")</f>
        <v/>
      </c>
      <c r="AE874" s="30" t="n">
        <f aca="false">IF(AND(B874="brand",E874="paid",ISNUMBER(F874)),IF(AND(SUMIFS(F$5:F874,B$5:B874,"brand",C$5:C874,C874,E$5:E874,"paid")&gt;=Inputs!$C$44,SUMIFS(F$5:F874,B$5:B874,"brand",C$5:C874,C874,E$5:E874,"paid")-F874&lt;Inputs!$C$44),1,0),0)</f>
        <v>0</v>
      </c>
    </row>
    <row r="875" customFormat="false" ht="15" hidden="false" customHeight="false" outlineLevel="0" collapsed="false">
      <c r="A875" s="102"/>
      <c r="B875" s="103"/>
      <c r="C875" s="103"/>
      <c r="D875" s="103"/>
      <c r="E875" s="103"/>
      <c r="F875" s="103"/>
      <c r="G875" s="103"/>
      <c r="H875" s="103"/>
      <c r="I875" s="103"/>
      <c r="T875" s="30" t="str">
        <f aca="false">IF(C875="","",IF(COUNTIFS(C$5:C875,C875,E$5:E875,E875)=1,1,0))</f>
        <v/>
      </c>
      <c r="U875" s="30" t="n">
        <f aca="false">IF(C875="",0,IF(AND(B875="brand",E875="budget_probe",N(F875)&gt;=Inputs!$C$124,H875="Y"),1,0))</f>
        <v>0</v>
      </c>
      <c r="V875" s="30" t="n">
        <f aca="false">IF(U875=1,IF(COUNTIFS(C$5:C875,C875,U$5:U875,1)=1,1,0),0)</f>
        <v>0</v>
      </c>
      <c r="W875" s="30" t="n">
        <f aca="false">IF(C875="",0,IF(AND(B875="office",E875="budget_probe",N(F875)&gt;=Inputs!$C$139),1,0))</f>
        <v>0</v>
      </c>
      <c r="X875" s="30" t="n">
        <f aca="false">IF(W875=1,IF(COUNTIFS(C$5:C875,C875,W$5:W875,1)=1,1,0),0)</f>
        <v>0</v>
      </c>
      <c r="Y875" s="30" t="n">
        <f aca="false">IF(C875="",0,IF(AND(B875="brand",E875="renewal_answer",TRIM(G875)="yes",N(F875)&gt;=Inputs!$C$135),1,0))</f>
        <v>0</v>
      </c>
      <c r="Z875" s="30" t="n">
        <f aca="false">IF(Y875=1,IF(COUNTIFS(C$5:C875,C875,Y$5:Y875,1)=1,1,0),0)</f>
        <v>0</v>
      </c>
      <c r="AA875" s="30" t="n">
        <f aca="false">IF(AND(E875="budget_probe",ISNUMBER(F875),I875&lt;&gt;Lists!$X$4),1,0)</f>
        <v>0</v>
      </c>
      <c r="AB875" s="30" t="str">
        <f aca="false">IF(AND(B875="office",AA875=1,COUNTIFS(C$5:C875,C875,AA$5:AA875,1)=1),F875,"")</f>
        <v/>
      </c>
      <c r="AC875" s="30" t="str">
        <f aca="false">IF(AND(B875="brand",AA875=1,COUNTIFS(C$5:C875,C875,AA$5:AA875,1)=1),F875,"")</f>
        <v/>
      </c>
      <c r="AD875" s="30" t="str">
        <f aca="false">IF(AND(B875="brand",E875="budget_probe",ISNUMBER(F875),I875=Lists!$X$4),IF(COUNTIFS(C$5:C875,C875,E$5:E875,"budget_probe",I$5:I875,Lists!$X$4)=1,F875,""),"")</f>
        <v/>
      </c>
      <c r="AE875" s="30" t="n">
        <f aca="false">IF(AND(B875="brand",E875="paid",ISNUMBER(F875)),IF(AND(SUMIFS(F$5:F875,B$5:B875,"brand",C$5:C875,C875,E$5:E875,"paid")&gt;=Inputs!$C$44,SUMIFS(F$5:F875,B$5:B875,"brand",C$5:C875,C875,E$5:E875,"paid")-F875&lt;Inputs!$C$44),1,0),0)</f>
        <v>0</v>
      </c>
    </row>
    <row r="876" customFormat="false" ht="15" hidden="false" customHeight="false" outlineLevel="0" collapsed="false">
      <c r="A876" s="102"/>
      <c r="B876" s="103"/>
      <c r="C876" s="103"/>
      <c r="D876" s="103"/>
      <c r="E876" s="103"/>
      <c r="F876" s="103"/>
      <c r="G876" s="103"/>
      <c r="H876" s="103"/>
      <c r="I876" s="103"/>
      <c r="T876" s="30" t="str">
        <f aca="false">IF(C876="","",IF(COUNTIFS(C$5:C876,C876,E$5:E876,E876)=1,1,0))</f>
        <v/>
      </c>
      <c r="U876" s="30" t="n">
        <f aca="false">IF(C876="",0,IF(AND(B876="brand",E876="budget_probe",N(F876)&gt;=Inputs!$C$124,H876="Y"),1,0))</f>
        <v>0</v>
      </c>
      <c r="V876" s="30" t="n">
        <f aca="false">IF(U876=1,IF(COUNTIFS(C$5:C876,C876,U$5:U876,1)=1,1,0),0)</f>
        <v>0</v>
      </c>
      <c r="W876" s="30" t="n">
        <f aca="false">IF(C876="",0,IF(AND(B876="office",E876="budget_probe",N(F876)&gt;=Inputs!$C$139),1,0))</f>
        <v>0</v>
      </c>
      <c r="X876" s="30" t="n">
        <f aca="false">IF(W876=1,IF(COUNTIFS(C$5:C876,C876,W$5:W876,1)=1,1,0),0)</f>
        <v>0</v>
      </c>
      <c r="Y876" s="30" t="n">
        <f aca="false">IF(C876="",0,IF(AND(B876="brand",E876="renewal_answer",TRIM(G876)="yes",N(F876)&gt;=Inputs!$C$135),1,0))</f>
        <v>0</v>
      </c>
      <c r="Z876" s="30" t="n">
        <f aca="false">IF(Y876=1,IF(COUNTIFS(C$5:C876,C876,Y$5:Y876,1)=1,1,0),0)</f>
        <v>0</v>
      </c>
      <c r="AA876" s="30" t="n">
        <f aca="false">IF(AND(E876="budget_probe",ISNUMBER(F876),I876&lt;&gt;Lists!$X$4),1,0)</f>
        <v>0</v>
      </c>
      <c r="AB876" s="30" t="str">
        <f aca="false">IF(AND(B876="office",AA876=1,COUNTIFS(C$5:C876,C876,AA$5:AA876,1)=1),F876,"")</f>
        <v/>
      </c>
      <c r="AC876" s="30" t="str">
        <f aca="false">IF(AND(B876="brand",AA876=1,COUNTIFS(C$5:C876,C876,AA$5:AA876,1)=1),F876,"")</f>
        <v/>
      </c>
      <c r="AD876" s="30" t="str">
        <f aca="false">IF(AND(B876="brand",E876="budget_probe",ISNUMBER(F876),I876=Lists!$X$4),IF(COUNTIFS(C$5:C876,C876,E$5:E876,"budget_probe",I$5:I876,Lists!$X$4)=1,F876,""),"")</f>
        <v/>
      </c>
      <c r="AE876" s="30" t="n">
        <f aca="false">IF(AND(B876="brand",E876="paid",ISNUMBER(F876)),IF(AND(SUMIFS(F$5:F876,B$5:B876,"brand",C$5:C876,C876,E$5:E876,"paid")&gt;=Inputs!$C$44,SUMIFS(F$5:F876,B$5:B876,"brand",C$5:C876,C876,E$5:E876,"paid")-F876&lt;Inputs!$C$44),1,0),0)</f>
        <v>0</v>
      </c>
    </row>
    <row r="877" customFormat="false" ht="15" hidden="false" customHeight="false" outlineLevel="0" collapsed="false">
      <c r="A877" s="102"/>
      <c r="B877" s="103"/>
      <c r="C877" s="103"/>
      <c r="D877" s="103"/>
      <c r="E877" s="103"/>
      <c r="F877" s="103"/>
      <c r="G877" s="103"/>
      <c r="H877" s="103"/>
      <c r="I877" s="103"/>
      <c r="T877" s="30" t="str">
        <f aca="false">IF(C877="","",IF(COUNTIFS(C$5:C877,C877,E$5:E877,E877)=1,1,0))</f>
        <v/>
      </c>
      <c r="U877" s="30" t="n">
        <f aca="false">IF(C877="",0,IF(AND(B877="brand",E877="budget_probe",N(F877)&gt;=Inputs!$C$124,H877="Y"),1,0))</f>
        <v>0</v>
      </c>
      <c r="V877" s="30" t="n">
        <f aca="false">IF(U877=1,IF(COUNTIFS(C$5:C877,C877,U$5:U877,1)=1,1,0),0)</f>
        <v>0</v>
      </c>
      <c r="W877" s="30" t="n">
        <f aca="false">IF(C877="",0,IF(AND(B877="office",E877="budget_probe",N(F877)&gt;=Inputs!$C$139),1,0))</f>
        <v>0</v>
      </c>
      <c r="X877" s="30" t="n">
        <f aca="false">IF(W877=1,IF(COUNTIFS(C$5:C877,C877,W$5:W877,1)=1,1,0),0)</f>
        <v>0</v>
      </c>
      <c r="Y877" s="30" t="n">
        <f aca="false">IF(C877="",0,IF(AND(B877="brand",E877="renewal_answer",TRIM(G877)="yes",N(F877)&gt;=Inputs!$C$135),1,0))</f>
        <v>0</v>
      </c>
      <c r="Z877" s="30" t="n">
        <f aca="false">IF(Y877=1,IF(COUNTIFS(C$5:C877,C877,Y$5:Y877,1)=1,1,0),0)</f>
        <v>0</v>
      </c>
      <c r="AA877" s="30" t="n">
        <f aca="false">IF(AND(E877="budget_probe",ISNUMBER(F877),I877&lt;&gt;Lists!$X$4),1,0)</f>
        <v>0</v>
      </c>
      <c r="AB877" s="30" t="str">
        <f aca="false">IF(AND(B877="office",AA877=1,COUNTIFS(C$5:C877,C877,AA$5:AA877,1)=1),F877,"")</f>
        <v/>
      </c>
      <c r="AC877" s="30" t="str">
        <f aca="false">IF(AND(B877="brand",AA877=1,COUNTIFS(C$5:C877,C877,AA$5:AA877,1)=1),F877,"")</f>
        <v/>
      </c>
      <c r="AD877" s="30" t="str">
        <f aca="false">IF(AND(B877="brand",E877="budget_probe",ISNUMBER(F877),I877=Lists!$X$4),IF(COUNTIFS(C$5:C877,C877,E$5:E877,"budget_probe",I$5:I877,Lists!$X$4)=1,F877,""),"")</f>
        <v/>
      </c>
      <c r="AE877" s="30" t="n">
        <f aca="false">IF(AND(B877="brand",E877="paid",ISNUMBER(F877)),IF(AND(SUMIFS(F$5:F877,B$5:B877,"brand",C$5:C877,C877,E$5:E877,"paid")&gt;=Inputs!$C$44,SUMIFS(F$5:F877,B$5:B877,"brand",C$5:C877,C877,E$5:E877,"paid")-F877&lt;Inputs!$C$44),1,0),0)</f>
        <v>0</v>
      </c>
    </row>
    <row r="878" customFormat="false" ht="15" hidden="false" customHeight="false" outlineLevel="0" collapsed="false">
      <c r="A878" s="102"/>
      <c r="B878" s="103"/>
      <c r="C878" s="103"/>
      <c r="D878" s="103"/>
      <c r="E878" s="103"/>
      <c r="F878" s="103"/>
      <c r="G878" s="103"/>
      <c r="H878" s="103"/>
      <c r="I878" s="103"/>
      <c r="T878" s="30" t="str">
        <f aca="false">IF(C878="","",IF(COUNTIFS(C$5:C878,C878,E$5:E878,E878)=1,1,0))</f>
        <v/>
      </c>
      <c r="U878" s="30" t="n">
        <f aca="false">IF(C878="",0,IF(AND(B878="brand",E878="budget_probe",N(F878)&gt;=Inputs!$C$124,H878="Y"),1,0))</f>
        <v>0</v>
      </c>
      <c r="V878" s="30" t="n">
        <f aca="false">IF(U878=1,IF(COUNTIFS(C$5:C878,C878,U$5:U878,1)=1,1,0),0)</f>
        <v>0</v>
      </c>
      <c r="W878" s="30" t="n">
        <f aca="false">IF(C878="",0,IF(AND(B878="office",E878="budget_probe",N(F878)&gt;=Inputs!$C$139),1,0))</f>
        <v>0</v>
      </c>
      <c r="X878" s="30" t="n">
        <f aca="false">IF(W878=1,IF(COUNTIFS(C$5:C878,C878,W$5:W878,1)=1,1,0),0)</f>
        <v>0</v>
      </c>
      <c r="Y878" s="30" t="n">
        <f aca="false">IF(C878="",0,IF(AND(B878="brand",E878="renewal_answer",TRIM(G878)="yes",N(F878)&gt;=Inputs!$C$135),1,0))</f>
        <v>0</v>
      </c>
      <c r="Z878" s="30" t="n">
        <f aca="false">IF(Y878=1,IF(COUNTIFS(C$5:C878,C878,Y$5:Y878,1)=1,1,0),0)</f>
        <v>0</v>
      </c>
      <c r="AA878" s="30" t="n">
        <f aca="false">IF(AND(E878="budget_probe",ISNUMBER(F878),I878&lt;&gt;Lists!$X$4),1,0)</f>
        <v>0</v>
      </c>
      <c r="AB878" s="30" t="str">
        <f aca="false">IF(AND(B878="office",AA878=1,COUNTIFS(C$5:C878,C878,AA$5:AA878,1)=1),F878,"")</f>
        <v/>
      </c>
      <c r="AC878" s="30" t="str">
        <f aca="false">IF(AND(B878="brand",AA878=1,COUNTIFS(C$5:C878,C878,AA$5:AA878,1)=1),F878,"")</f>
        <v/>
      </c>
      <c r="AD878" s="30" t="str">
        <f aca="false">IF(AND(B878="brand",E878="budget_probe",ISNUMBER(F878),I878=Lists!$X$4),IF(COUNTIFS(C$5:C878,C878,E$5:E878,"budget_probe",I$5:I878,Lists!$X$4)=1,F878,""),"")</f>
        <v/>
      </c>
      <c r="AE878" s="30" t="n">
        <f aca="false">IF(AND(B878="brand",E878="paid",ISNUMBER(F878)),IF(AND(SUMIFS(F$5:F878,B$5:B878,"brand",C$5:C878,C878,E$5:E878,"paid")&gt;=Inputs!$C$44,SUMIFS(F$5:F878,B$5:B878,"brand",C$5:C878,C878,E$5:E878,"paid")-F878&lt;Inputs!$C$44),1,0),0)</f>
        <v>0</v>
      </c>
    </row>
    <row r="879" customFormat="false" ht="15" hidden="false" customHeight="false" outlineLevel="0" collapsed="false">
      <c r="A879" s="102"/>
      <c r="B879" s="103"/>
      <c r="C879" s="103"/>
      <c r="D879" s="103"/>
      <c r="E879" s="103"/>
      <c r="F879" s="103"/>
      <c r="G879" s="103"/>
      <c r="H879" s="103"/>
      <c r="I879" s="103"/>
      <c r="T879" s="30" t="str">
        <f aca="false">IF(C879="","",IF(COUNTIFS(C$5:C879,C879,E$5:E879,E879)=1,1,0))</f>
        <v/>
      </c>
      <c r="U879" s="30" t="n">
        <f aca="false">IF(C879="",0,IF(AND(B879="brand",E879="budget_probe",N(F879)&gt;=Inputs!$C$124,H879="Y"),1,0))</f>
        <v>0</v>
      </c>
      <c r="V879" s="30" t="n">
        <f aca="false">IF(U879=1,IF(COUNTIFS(C$5:C879,C879,U$5:U879,1)=1,1,0),0)</f>
        <v>0</v>
      </c>
      <c r="W879" s="30" t="n">
        <f aca="false">IF(C879="",0,IF(AND(B879="office",E879="budget_probe",N(F879)&gt;=Inputs!$C$139),1,0))</f>
        <v>0</v>
      </c>
      <c r="X879" s="30" t="n">
        <f aca="false">IF(W879=1,IF(COUNTIFS(C$5:C879,C879,W$5:W879,1)=1,1,0),0)</f>
        <v>0</v>
      </c>
      <c r="Y879" s="30" t="n">
        <f aca="false">IF(C879="",0,IF(AND(B879="brand",E879="renewal_answer",TRIM(G879)="yes",N(F879)&gt;=Inputs!$C$135),1,0))</f>
        <v>0</v>
      </c>
      <c r="Z879" s="30" t="n">
        <f aca="false">IF(Y879=1,IF(COUNTIFS(C$5:C879,C879,Y$5:Y879,1)=1,1,0),0)</f>
        <v>0</v>
      </c>
      <c r="AA879" s="30" t="n">
        <f aca="false">IF(AND(E879="budget_probe",ISNUMBER(F879),I879&lt;&gt;Lists!$X$4),1,0)</f>
        <v>0</v>
      </c>
      <c r="AB879" s="30" t="str">
        <f aca="false">IF(AND(B879="office",AA879=1,COUNTIFS(C$5:C879,C879,AA$5:AA879,1)=1),F879,"")</f>
        <v/>
      </c>
      <c r="AC879" s="30" t="str">
        <f aca="false">IF(AND(B879="brand",AA879=1,COUNTIFS(C$5:C879,C879,AA$5:AA879,1)=1),F879,"")</f>
        <v/>
      </c>
      <c r="AD879" s="30" t="str">
        <f aca="false">IF(AND(B879="brand",E879="budget_probe",ISNUMBER(F879),I879=Lists!$X$4),IF(COUNTIFS(C$5:C879,C879,E$5:E879,"budget_probe",I$5:I879,Lists!$X$4)=1,F879,""),"")</f>
        <v/>
      </c>
      <c r="AE879" s="30" t="n">
        <f aca="false">IF(AND(B879="brand",E879="paid",ISNUMBER(F879)),IF(AND(SUMIFS(F$5:F879,B$5:B879,"brand",C$5:C879,C879,E$5:E879,"paid")&gt;=Inputs!$C$44,SUMIFS(F$5:F879,B$5:B879,"brand",C$5:C879,C879,E$5:E879,"paid")-F879&lt;Inputs!$C$44),1,0),0)</f>
        <v>0</v>
      </c>
    </row>
    <row r="880" customFormat="false" ht="15" hidden="false" customHeight="false" outlineLevel="0" collapsed="false">
      <c r="A880" s="102"/>
      <c r="B880" s="103"/>
      <c r="C880" s="103"/>
      <c r="D880" s="103"/>
      <c r="E880" s="103"/>
      <c r="F880" s="103"/>
      <c r="G880" s="103"/>
      <c r="H880" s="103"/>
      <c r="I880" s="103"/>
      <c r="T880" s="30" t="str">
        <f aca="false">IF(C880="","",IF(COUNTIFS(C$5:C880,C880,E$5:E880,E880)=1,1,0))</f>
        <v/>
      </c>
      <c r="U880" s="30" t="n">
        <f aca="false">IF(C880="",0,IF(AND(B880="brand",E880="budget_probe",N(F880)&gt;=Inputs!$C$124,H880="Y"),1,0))</f>
        <v>0</v>
      </c>
      <c r="V880" s="30" t="n">
        <f aca="false">IF(U880=1,IF(COUNTIFS(C$5:C880,C880,U$5:U880,1)=1,1,0),0)</f>
        <v>0</v>
      </c>
      <c r="W880" s="30" t="n">
        <f aca="false">IF(C880="",0,IF(AND(B880="office",E880="budget_probe",N(F880)&gt;=Inputs!$C$139),1,0))</f>
        <v>0</v>
      </c>
      <c r="X880" s="30" t="n">
        <f aca="false">IF(W880=1,IF(COUNTIFS(C$5:C880,C880,W$5:W880,1)=1,1,0),0)</f>
        <v>0</v>
      </c>
      <c r="Y880" s="30" t="n">
        <f aca="false">IF(C880="",0,IF(AND(B880="brand",E880="renewal_answer",TRIM(G880)="yes",N(F880)&gt;=Inputs!$C$135),1,0))</f>
        <v>0</v>
      </c>
      <c r="Z880" s="30" t="n">
        <f aca="false">IF(Y880=1,IF(COUNTIFS(C$5:C880,C880,Y$5:Y880,1)=1,1,0),0)</f>
        <v>0</v>
      </c>
      <c r="AA880" s="30" t="n">
        <f aca="false">IF(AND(E880="budget_probe",ISNUMBER(F880),I880&lt;&gt;Lists!$X$4),1,0)</f>
        <v>0</v>
      </c>
      <c r="AB880" s="30" t="str">
        <f aca="false">IF(AND(B880="office",AA880=1,COUNTIFS(C$5:C880,C880,AA$5:AA880,1)=1),F880,"")</f>
        <v/>
      </c>
      <c r="AC880" s="30" t="str">
        <f aca="false">IF(AND(B880="brand",AA880=1,COUNTIFS(C$5:C880,C880,AA$5:AA880,1)=1),F880,"")</f>
        <v/>
      </c>
      <c r="AD880" s="30" t="str">
        <f aca="false">IF(AND(B880="brand",E880="budget_probe",ISNUMBER(F880),I880=Lists!$X$4),IF(COUNTIFS(C$5:C880,C880,E$5:E880,"budget_probe",I$5:I880,Lists!$X$4)=1,F880,""),"")</f>
        <v/>
      </c>
      <c r="AE880" s="30" t="n">
        <f aca="false">IF(AND(B880="brand",E880="paid",ISNUMBER(F880)),IF(AND(SUMIFS(F$5:F880,B$5:B880,"brand",C$5:C880,C880,E$5:E880,"paid")&gt;=Inputs!$C$44,SUMIFS(F$5:F880,B$5:B880,"brand",C$5:C880,C880,E$5:E880,"paid")-F880&lt;Inputs!$C$44),1,0),0)</f>
        <v>0</v>
      </c>
    </row>
    <row r="881" customFormat="false" ht="15" hidden="false" customHeight="false" outlineLevel="0" collapsed="false">
      <c r="A881" s="102"/>
      <c r="B881" s="103"/>
      <c r="C881" s="103"/>
      <c r="D881" s="103"/>
      <c r="E881" s="103"/>
      <c r="F881" s="103"/>
      <c r="G881" s="103"/>
      <c r="H881" s="103"/>
      <c r="I881" s="103"/>
      <c r="T881" s="30" t="str">
        <f aca="false">IF(C881="","",IF(COUNTIFS(C$5:C881,C881,E$5:E881,E881)=1,1,0))</f>
        <v/>
      </c>
      <c r="U881" s="30" t="n">
        <f aca="false">IF(C881="",0,IF(AND(B881="brand",E881="budget_probe",N(F881)&gt;=Inputs!$C$124,H881="Y"),1,0))</f>
        <v>0</v>
      </c>
      <c r="V881" s="30" t="n">
        <f aca="false">IF(U881=1,IF(COUNTIFS(C$5:C881,C881,U$5:U881,1)=1,1,0),0)</f>
        <v>0</v>
      </c>
      <c r="W881" s="30" t="n">
        <f aca="false">IF(C881="",0,IF(AND(B881="office",E881="budget_probe",N(F881)&gt;=Inputs!$C$139),1,0))</f>
        <v>0</v>
      </c>
      <c r="X881" s="30" t="n">
        <f aca="false">IF(W881=1,IF(COUNTIFS(C$5:C881,C881,W$5:W881,1)=1,1,0),0)</f>
        <v>0</v>
      </c>
      <c r="Y881" s="30" t="n">
        <f aca="false">IF(C881="",0,IF(AND(B881="brand",E881="renewal_answer",TRIM(G881)="yes",N(F881)&gt;=Inputs!$C$135),1,0))</f>
        <v>0</v>
      </c>
      <c r="Z881" s="30" t="n">
        <f aca="false">IF(Y881=1,IF(COUNTIFS(C$5:C881,C881,Y$5:Y881,1)=1,1,0),0)</f>
        <v>0</v>
      </c>
      <c r="AA881" s="30" t="n">
        <f aca="false">IF(AND(E881="budget_probe",ISNUMBER(F881),I881&lt;&gt;Lists!$X$4),1,0)</f>
        <v>0</v>
      </c>
      <c r="AB881" s="30" t="str">
        <f aca="false">IF(AND(B881="office",AA881=1,COUNTIFS(C$5:C881,C881,AA$5:AA881,1)=1),F881,"")</f>
        <v/>
      </c>
      <c r="AC881" s="30" t="str">
        <f aca="false">IF(AND(B881="brand",AA881=1,COUNTIFS(C$5:C881,C881,AA$5:AA881,1)=1),F881,"")</f>
        <v/>
      </c>
      <c r="AD881" s="30" t="str">
        <f aca="false">IF(AND(B881="brand",E881="budget_probe",ISNUMBER(F881),I881=Lists!$X$4),IF(COUNTIFS(C$5:C881,C881,E$5:E881,"budget_probe",I$5:I881,Lists!$X$4)=1,F881,""),"")</f>
        <v/>
      </c>
      <c r="AE881" s="30" t="n">
        <f aca="false">IF(AND(B881="brand",E881="paid",ISNUMBER(F881)),IF(AND(SUMIFS(F$5:F881,B$5:B881,"brand",C$5:C881,C881,E$5:E881,"paid")&gt;=Inputs!$C$44,SUMIFS(F$5:F881,B$5:B881,"brand",C$5:C881,C881,E$5:E881,"paid")-F881&lt;Inputs!$C$44),1,0),0)</f>
        <v>0</v>
      </c>
    </row>
    <row r="882" customFormat="false" ht="15" hidden="false" customHeight="false" outlineLevel="0" collapsed="false">
      <c r="A882" s="102"/>
      <c r="B882" s="103"/>
      <c r="C882" s="103"/>
      <c r="D882" s="103"/>
      <c r="E882" s="103"/>
      <c r="F882" s="103"/>
      <c r="G882" s="103"/>
      <c r="H882" s="103"/>
      <c r="I882" s="103"/>
      <c r="T882" s="30" t="str">
        <f aca="false">IF(C882="","",IF(COUNTIFS(C$5:C882,C882,E$5:E882,E882)=1,1,0))</f>
        <v/>
      </c>
      <c r="U882" s="30" t="n">
        <f aca="false">IF(C882="",0,IF(AND(B882="brand",E882="budget_probe",N(F882)&gt;=Inputs!$C$124,H882="Y"),1,0))</f>
        <v>0</v>
      </c>
      <c r="V882" s="30" t="n">
        <f aca="false">IF(U882=1,IF(COUNTIFS(C$5:C882,C882,U$5:U882,1)=1,1,0),0)</f>
        <v>0</v>
      </c>
      <c r="W882" s="30" t="n">
        <f aca="false">IF(C882="",0,IF(AND(B882="office",E882="budget_probe",N(F882)&gt;=Inputs!$C$139),1,0))</f>
        <v>0</v>
      </c>
      <c r="X882" s="30" t="n">
        <f aca="false">IF(W882=1,IF(COUNTIFS(C$5:C882,C882,W$5:W882,1)=1,1,0),0)</f>
        <v>0</v>
      </c>
      <c r="Y882" s="30" t="n">
        <f aca="false">IF(C882="",0,IF(AND(B882="brand",E882="renewal_answer",TRIM(G882)="yes",N(F882)&gt;=Inputs!$C$135),1,0))</f>
        <v>0</v>
      </c>
      <c r="Z882" s="30" t="n">
        <f aca="false">IF(Y882=1,IF(COUNTIFS(C$5:C882,C882,Y$5:Y882,1)=1,1,0),0)</f>
        <v>0</v>
      </c>
      <c r="AA882" s="30" t="n">
        <f aca="false">IF(AND(E882="budget_probe",ISNUMBER(F882),I882&lt;&gt;Lists!$X$4),1,0)</f>
        <v>0</v>
      </c>
      <c r="AB882" s="30" t="str">
        <f aca="false">IF(AND(B882="office",AA882=1,COUNTIFS(C$5:C882,C882,AA$5:AA882,1)=1),F882,"")</f>
        <v/>
      </c>
      <c r="AC882" s="30" t="str">
        <f aca="false">IF(AND(B882="brand",AA882=1,COUNTIFS(C$5:C882,C882,AA$5:AA882,1)=1),F882,"")</f>
        <v/>
      </c>
      <c r="AD882" s="30" t="str">
        <f aca="false">IF(AND(B882="brand",E882="budget_probe",ISNUMBER(F882),I882=Lists!$X$4),IF(COUNTIFS(C$5:C882,C882,E$5:E882,"budget_probe",I$5:I882,Lists!$X$4)=1,F882,""),"")</f>
        <v/>
      </c>
      <c r="AE882" s="30" t="n">
        <f aca="false">IF(AND(B882="brand",E882="paid",ISNUMBER(F882)),IF(AND(SUMIFS(F$5:F882,B$5:B882,"brand",C$5:C882,C882,E$5:E882,"paid")&gt;=Inputs!$C$44,SUMIFS(F$5:F882,B$5:B882,"brand",C$5:C882,C882,E$5:E882,"paid")-F882&lt;Inputs!$C$44),1,0),0)</f>
        <v>0</v>
      </c>
    </row>
    <row r="883" customFormat="false" ht="15" hidden="false" customHeight="false" outlineLevel="0" collapsed="false">
      <c r="A883" s="102"/>
      <c r="B883" s="103"/>
      <c r="C883" s="103"/>
      <c r="D883" s="103"/>
      <c r="E883" s="103"/>
      <c r="F883" s="103"/>
      <c r="G883" s="103"/>
      <c r="H883" s="103"/>
      <c r="I883" s="103"/>
      <c r="T883" s="30" t="str">
        <f aca="false">IF(C883="","",IF(COUNTIFS(C$5:C883,C883,E$5:E883,E883)=1,1,0))</f>
        <v/>
      </c>
      <c r="U883" s="30" t="n">
        <f aca="false">IF(C883="",0,IF(AND(B883="brand",E883="budget_probe",N(F883)&gt;=Inputs!$C$124,H883="Y"),1,0))</f>
        <v>0</v>
      </c>
      <c r="V883" s="30" t="n">
        <f aca="false">IF(U883=1,IF(COUNTIFS(C$5:C883,C883,U$5:U883,1)=1,1,0),0)</f>
        <v>0</v>
      </c>
      <c r="W883" s="30" t="n">
        <f aca="false">IF(C883="",0,IF(AND(B883="office",E883="budget_probe",N(F883)&gt;=Inputs!$C$139),1,0))</f>
        <v>0</v>
      </c>
      <c r="X883" s="30" t="n">
        <f aca="false">IF(W883=1,IF(COUNTIFS(C$5:C883,C883,W$5:W883,1)=1,1,0),0)</f>
        <v>0</v>
      </c>
      <c r="Y883" s="30" t="n">
        <f aca="false">IF(C883="",0,IF(AND(B883="brand",E883="renewal_answer",TRIM(G883)="yes",N(F883)&gt;=Inputs!$C$135),1,0))</f>
        <v>0</v>
      </c>
      <c r="Z883" s="30" t="n">
        <f aca="false">IF(Y883=1,IF(COUNTIFS(C$5:C883,C883,Y$5:Y883,1)=1,1,0),0)</f>
        <v>0</v>
      </c>
      <c r="AA883" s="30" t="n">
        <f aca="false">IF(AND(E883="budget_probe",ISNUMBER(F883),I883&lt;&gt;Lists!$X$4),1,0)</f>
        <v>0</v>
      </c>
      <c r="AB883" s="30" t="str">
        <f aca="false">IF(AND(B883="office",AA883=1,COUNTIFS(C$5:C883,C883,AA$5:AA883,1)=1),F883,"")</f>
        <v/>
      </c>
      <c r="AC883" s="30" t="str">
        <f aca="false">IF(AND(B883="brand",AA883=1,COUNTIFS(C$5:C883,C883,AA$5:AA883,1)=1),F883,"")</f>
        <v/>
      </c>
      <c r="AD883" s="30" t="str">
        <f aca="false">IF(AND(B883="brand",E883="budget_probe",ISNUMBER(F883),I883=Lists!$X$4),IF(COUNTIFS(C$5:C883,C883,E$5:E883,"budget_probe",I$5:I883,Lists!$X$4)=1,F883,""),"")</f>
        <v/>
      </c>
      <c r="AE883" s="30" t="n">
        <f aca="false">IF(AND(B883="brand",E883="paid",ISNUMBER(F883)),IF(AND(SUMIFS(F$5:F883,B$5:B883,"brand",C$5:C883,C883,E$5:E883,"paid")&gt;=Inputs!$C$44,SUMIFS(F$5:F883,B$5:B883,"brand",C$5:C883,C883,E$5:E883,"paid")-F883&lt;Inputs!$C$44),1,0),0)</f>
        <v>0</v>
      </c>
    </row>
    <row r="884" customFormat="false" ht="15" hidden="false" customHeight="false" outlineLevel="0" collapsed="false">
      <c r="A884" s="102"/>
      <c r="B884" s="103"/>
      <c r="C884" s="103"/>
      <c r="D884" s="103"/>
      <c r="E884" s="103"/>
      <c r="F884" s="103"/>
      <c r="G884" s="103"/>
      <c r="H884" s="103"/>
      <c r="I884" s="103"/>
      <c r="T884" s="30" t="str">
        <f aca="false">IF(C884="","",IF(COUNTIFS(C$5:C884,C884,E$5:E884,E884)=1,1,0))</f>
        <v/>
      </c>
      <c r="U884" s="30" t="n">
        <f aca="false">IF(C884="",0,IF(AND(B884="brand",E884="budget_probe",N(F884)&gt;=Inputs!$C$124,H884="Y"),1,0))</f>
        <v>0</v>
      </c>
      <c r="V884" s="30" t="n">
        <f aca="false">IF(U884=1,IF(COUNTIFS(C$5:C884,C884,U$5:U884,1)=1,1,0),0)</f>
        <v>0</v>
      </c>
      <c r="W884" s="30" t="n">
        <f aca="false">IF(C884="",0,IF(AND(B884="office",E884="budget_probe",N(F884)&gt;=Inputs!$C$139),1,0))</f>
        <v>0</v>
      </c>
      <c r="X884" s="30" t="n">
        <f aca="false">IF(W884=1,IF(COUNTIFS(C$5:C884,C884,W$5:W884,1)=1,1,0),0)</f>
        <v>0</v>
      </c>
      <c r="Y884" s="30" t="n">
        <f aca="false">IF(C884="",0,IF(AND(B884="brand",E884="renewal_answer",TRIM(G884)="yes",N(F884)&gt;=Inputs!$C$135),1,0))</f>
        <v>0</v>
      </c>
      <c r="Z884" s="30" t="n">
        <f aca="false">IF(Y884=1,IF(COUNTIFS(C$5:C884,C884,Y$5:Y884,1)=1,1,0),0)</f>
        <v>0</v>
      </c>
      <c r="AA884" s="30" t="n">
        <f aca="false">IF(AND(E884="budget_probe",ISNUMBER(F884),I884&lt;&gt;Lists!$X$4),1,0)</f>
        <v>0</v>
      </c>
      <c r="AB884" s="30" t="str">
        <f aca="false">IF(AND(B884="office",AA884=1,COUNTIFS(C$5:C884,C884,AA$5:AA884,1)=1),F884,"")</f>
        <v/>
      </c>
      <c r="AC884" s="30" t="str">
        <f aca="false">IF(AND(B884="brand",AA884=1,COUNTIFS(C$5:C884,C884,AA$5:AA884,1)=1),F884,"")</f>
        <v/>
      </c>
      <c r="AD884" s="30" t="str">
        <f aca="false">IF(AND(B884="brand",E884="budget_probe",ISNUMBER(F884),I884=Lists!$X$4),IF(COUNTIFS(C$5:C884,C884,E$5:E884,"budget_probe",I$5:I884,Lists!$X$4)=1,F884,""),"")</f>
        <v/>
      </c>
      <c r="AE884" s="30" t="n">
        <f aca="false">IF(AND(B884="brand",E884="paid",ISNUMBER(F884)),IF(AND(SUMIFS(F$5:F884,B$5:B884,"brand",C$5:C884,C884,E$5:E884,"paid")&gt;=Inputs!$C$44,SUMIFS(F$5:F884,B$5:B884,"brand",C$5:C884,C884,E$5:E884,"paid")-F884&lt;Inputs!$C$44),1,0),0)</f>
        <v>0</v>
      </c>
    </row>
    <row r="885" customFormat="false" ht="15" hidden="false" customHeight="false" outlineLevel="0" collapsed="false">
      <c r="A885" s="102"/>
      <c r="B885" s="103"/>
      <c r="C885" s="103"/>
      <c r="D885" s="103"/>
      <c r="E885" s="103"/>
      <c r="F885" s="103"/>
      <c r="G885" s="103"/>
      <c r="H885" s="103"/>
      <c r="I885" s="103"/>
      <c r="T885" s="30" t="str">
        <f aca="false">IF(C885="","",IF(COUNTIFS(C$5:C885,C885,E$5:E885,E885)=1,1,0))</f>
        <v/>
      </c>
      <c r="U885" s="30" t="n">
        <f aca="false">IF(C885="",0,IF(AND(B885="brand",E885="budget_probe",N(F885)&gt;=Inputs!$C$124,H885="Y"),1,0))</f>
        <v>0</v>
      </c>
      <c r="V885" s="30" t="n">
        <f aca="false">IF(U885=1,IF(COUNTIFS(C$5:C885,C885,U$5:U885,1)=1,1,0),0)</f>
        <v>0</v>
      </c>
      <c r="W885" s="30" t="n">
        <f aca="false">IF(C885="",0,IF(AND(B885="office",E885="budget_probe",N(F885)&gt;=Inputs!$C$139),1,0))</f>
        <v>0</v>
      </c>
      <c r="X885" s="30" t="n">
        <f aca="false">IF(W885=1,IF(COUNTIFS(C$5:C885,C885,W$5:W885,1)=1,1,0),0)</f>
        <v>0</v>
      </c>
      <c r="Y885" s="30" t="n">
        <f aca="false">IF(C885="",0,IF(AND(B885="brand",E885="renewal_answer",TRIM(G885)="yes",N(F885)&gt;=Inputs!$C$135),1,0))</f>
        <v>0</v>
      </c>
      <c r="Z885" s="30" t="n">
        <f aca="false">IF(Y885=1,IF(COUNTIFS(C$5:C885,C885,Y$5:Y885,1)=1,1,0),0)</f>
        <v>0</v>
      </c>
      <c r="AA885" s="30" t="n">
        <f aca="false">IF(AND(E885="budget_probe",ISNUMBER(F885),I885&lt;&gt;Lists!$X$4),1,0)</f>
        <v>0</v>
      </c>
      <c r="AB885" s="30" t="str">
        <f aca="false">IF(AND(B885="office",AA885=1,COUNTIFS(C$5:C885,C885,AA$5:AA885,1)=1),F885,"")</f>
        <v/>
      </c>
      <c r="AC885" s="30" t="str">
        <f aca="false">IF(AND(B885="brand",AA885=1,COUNTIFS(C$5:C885,C885,AA$5:AA885,1)=1),F885,"")</f>
        <v/>
      </c>
      <c r="AD885" s="30" t="str">
        <f aca="false">IF(AND(B885="brand",E885="budget_probe",ISNUMBER(F885),I885=Lists!$X$4),IF(COUNTIFS(C$5:C885,C885,E$5:E885,"budget_probe",I$5:I885,Lists!$X$4)=1,F885,""),"")</f>
        <v/>
      </c>
      <c r="AE885" s="30" t="n">
        <f aca="false">IF(AND(B885="brand",E885="paid",ISNUMBER(F885)),IF(AND(SUMIFS(F$5:F885,B$5:B885,"brand",C$5:C885,C885,E$5:E885,"paid")&gt;=Inputs!$C$44,SUMIFS(F$5:F885,B$5:B885,"brand",C$5:C885,C885,E$5:E885,"paid")-F885&lt;Inputs!$C$44),1,0),0)</f>
        <v>0</v>
      </c>
    </row>
    <row r="886" customFormat="false" ht="15" hidden="false" customHeight="false" outlineLevel="0" collapsed="false">
      <c r="A886" s="102"/>
      <c r="B886" s="103"/>
      <c r="C886" s="103"/>
      <c r="D886" s="103"/>
      <c r="E886" s="103"/>
      <c r="F886" s="103"/>
      <c r="G886" s="103"/>
      <c r="H886" s="103"/>
      <c r="I886" s="103"/>
      <c r="T886" s="30" t="str">
        <f aca="false">IF(C886="","",IF(COUNTIFS(C$5:C886,C886,E$5:E886,E886)=1,1,0))</f>
        <v/>
      </c>
      <c r="U886" s="30" t="n">
        <f aca="false">IF(C886="",0,IF(AND(B886="brand",E886="budget_probe",N(F886)&gt;=Inputs!$C$124,H886="Y"),1,0))</f>
        <v>0</v>
      </c>
      <c r="V886" s="30" t="n">
        <f aca="false">IF(U886=1,IF(COUNTIFS(C$5:C886,C886,U$5:U886,1)=1,1,0),0)</f>
        <v>0</v>
      </c>
      <c r="W886" s="30" t="n">
        <f aca="false">IF(C886="",0,IF(AND(B886="office",E886="budget_probe",N(F886)&gt;=Inputs!$C$139),1,0))</f>
        <v>0</v>
      </c>
      <c r="X886" s="30" t="n">
        <f aca="false">IF(W886=1,IF(COUNTIFS(C$5:C886,C886,W$5:W886,1)=1,1,0),0)</f>
        <v>0</v>
      </c>
      <c r="Y886" s="30" t="n">
        <f aca="false">IF(C886="",0,IF(AND(B886="brand",E886="renewal_answer",TRIM(G886)="yes",N(F886)&gt;=Inputs!$C$135),1,0))</f>
        <v>0</v>
      </c>
      <c r="Z886" s="30" t="n">
        <f aca="false">IF(Y886=1,IF(COUNTIFS(C$5:C886,C886,Y$5:Y886,1)=1,1,0),0)</f>
        <v>0</v>
      </c>
      <c r="AA886" s="30" t="n">
        <f aca="false">IF(AND(E886="budget_probe",ISNUMBER(F886),I886&lt;&gt;Lists!$X$4),1,0)</f>
        <v>0</v>
      </c>
      <c r="AB886" s="30" t="str">
        <f aca="false">IF(AND(B886="office",AA886=1,COUNTIFS(C$5:C886,C886,AA$5:AA886,1)=1),F886,"")</f>
        <v/>
      </c>
      <c r="AC886" s="30" t="str">
        <f aca="false">IF(AND(B886="brand",AA886=1,COUNTIFS(C$5:C886,C886,AA$5:AA886,1)=1),F886,"")</f>
        <v/>
      </c>
      <c r="AD886" s="30" t="str">
        <f aca="false">IF(AND(B886="brand",E886="budget_probe",ISNUMBER(F886),I886=Lists!$X$4),IF(COUNTIFS(C$5:C886,C886,E$5:E886,"budget_probe",I$5:I886,Lists!$X$4)=1,F886,""),"")</f>
        <v/>
      </c>
      <c r="AE886" s="30" t="n">
        <f aca="false">IF(AND(B886="brand",E886="paid",ISNUMBER(F886)),IF(AND(SUMIFS(F$5:F886,B$5:B886,"brand",C$5:C886,C886,E$5:E886,"paid")&gt;=Inputs!$C$44,SUMIFS(F$5:F886,B$5:B886,"brand",C$5:C886,C886,E$5:E886,"paid")-F886&lt;Inputs!$C$44),1,0),0)</f>
        <v>0</v>
      </c>
    </row>
    <row r="887" customFormat="false" ht="15" hidden="false" customHeight="false" outlineLevel="0" collapsed="false">
      <c r="A887" s="102"/>
      <c r="B887" s="103"/>
      <c r="C887" s="103"/>
      <c r="D887" s="103"/>
      <c r="E887" s="103"/>
      <c r="F887" s="103"/>
      <c r="G887" s="103"/>
      <c r="H887" s="103"/>
      <c r="I887" s="103"/>
      <c r="T887" s="30" t="str">
        <f aca="false">IF(C887="","",IF(COUNTIFS(C$5:C887,C887,E$5:E887,E887)=1,1,0))</f>
        <v/>
      </c>
      <c r="U887" s="30" t="n">
        <f aca="false">IF(C887="",0,IF(AND(B887="brand",E887="budget_probe",N(F887)&gt;=Inputs!$C$124,H887="Y"),1,0))</f>
        <v>0</v>
      </c>
      <c r="V887" s="30" t="n">
        <f aca="false">IF(U887=1,IF(COUNTIFS(C$5:C887,C887,U$5:U887,1)=1,1,0),0)</f>
        <v>0</v>
      </c>
      <c r="W887" s="30" t="n">
        <f aca="false">IF(C887="",0,IF(AND(B887="office",E887="budget_probe",N(F887)&gt;=Inputs!$C$139),1,0))</f>
        <v>0</v>
      </c>
      <c r="X887" s="30" t="n">
        <f aca="false">IF(W887=1,IF(COUNTIFS(C$5:C887,C887,W$5:W887,1)=1,1,0),0)</f>
        <v>0</v>
      </c>
      <c r="Y887" s="30" t="n">
        <f aca="false">IF(C887="",0,IF(AND(B887="brand",E887="renewal_answer",TRIM(G887)="yes",N(F887)&gt;=Inputs!$C$135),1,0))</f>
        <v>0</v>
      </c>
      <c r="Z887" s="30" t="n">
        <f aca="false">IF(Y887=1,IF(COUNTIFS(C$5:C887,C887,Y$5:Y887,1)=1,1,0),0)</f>
        <v>0</v>
      </c>
      <c r="AA887" s="30" t="n">
        <f aca="false">IF(AND(E887="budget_probe",ISNUMBER(F887),I887&lt;&gt;Lists!$X$4),1,0)</f>
        <v>0</v>
      </c>
      <c r="AB887" s="30" t="str">
        <f aca="false">IF(AND(B887="office",AA887=1,COUNTIFS(C$5:C887,C887,AA$5:AA887,1)=1),F887,"")</f>
        <v/>
      </c>
      <c r="AC887" s="30" t="str">
        <f aca="false">IF(AND(B887="brand",AA887=1,COUNTIFS(C$5:C887,C887,AA$5:AA887,1)=1),F887,"")</f>
        <v/>
      </c>
      <c r="AD887" s="30" t="str">
        <f aca="false">IF(AND(B887="brand",E887="budget_probe",ISNUMBER(F887),I887=Lists!$X$4),IF(COUNTIFS(C$5:C887,C887,E$5:E887,"budget_probe",I$5:I887,Lists!$X$4)=1,F887,""),"")</f>
        <v/>
      </c>
      <c r="AE887" s="30" t="n">
        <f aca="false">IF(AND(B887="brand",E887="paid",ISNUMBER(F887)),IF(AND(SUMIFS(F$5:F887,B$5:B887,"brand",C$5:C887,C887,E$5:E887,"paid")&gt;=Inputs!$C$44,SUMIFS(F$5:F887,B$5:B887,"brand",C$5:C887,C887,E$5:E887,"paid")-F887&lt;Inputs!$C$44),1,0),0)</f>
        <v>0</v>
      </c>
    </row>
    <row r="888" customFormat="false" ht="15" hidden="false" customHeight="false" outlineLevel="0" collapsed="false">
      <c r="A888" s="102"/>
      <c r="B888" s="103"/>
      <c r="C888" s="103"/>
      <c r="D888" s="103"/>
      <c r="E888" s="103"/>
      <c r="F888" s="103"/>
      <c r="G888" s="103"/>
      <c r="H888" s="103"/>
      <c r="I888" s="103"/>
      <c r="T888" s="30" t="str">
        <f aca="false">IF(C888="","",IF(COUNTIFS(C$5:C888,C888,E$5:E888,E888)=1,1,0))</f>
        <v/>
      </c>
      <c r="U888" s="30" t="n">
        <f aca="false">IF(C888="",0,IF(AND(B888="brand",E888="budget_probe",N(F888)&gt;=Inputs!$C$124,H888="Y"),1,0))</f>
        <v>0</v>
      </c>
      <c r="V888" s="30" t="n">
        <f aca="false">IF(U888=1,IF(COUNTIFS(C$5:C888,C888,U$5:U888,1)=1,1,0),0)</f>
        <v>0</v>
      </c>
      <c r="W888" s="30" t="n">
        <f aca="false">IF(C888="",0,IF(AND(B888="office",E888="budget_probe",N(F888)&gt;=Inputs!$C$139),1,0))</f>
        <v>0</v>
      </c>
      <c r="X888" s="30" t="n">
        <f aca="false">IF(W888=1,IF(COUNTIFS(C$5:C888,C888,W$5:W888,1)=1,1,0),0)</f>
        <v>0</v>
      </c>
      <c r="Y888" s="30" t="n">
        <f aca="false">IF(C888="",0,IF(AND(B888="brand",E888="renewal_answer",TRIM(G888)="yes",N(F888)&gt;=Inputs!$C$135),1,0))</f>
        <v>0</v>
      </c>
      <c r="Z888" s="30" t="n">
        <f aca="false">IF(Y888=1,IF(COUNTIFS(C$5:C888,C888,Y$5:Y888,1)=1,1,0),0)</f>
        <v>0</v>
      </c>
      <c r="AA888" s="30" t="n">
        <f aca="false">IF(AND(E888="budget_probe",ISNUMBER(F888),I888&lt;&gt;Lists!$X$4),1,0)</f>
        <v>0</v>
      </c>
      <c r="AB888" s="30" t="str">
        <f aca="false">IF(AND(B888="office",AA888=1,COUNTIFS(C$5:C888,C888,AA$5:AA888,1)=1),F888,"")</f>
        <v/>
      </c>
      <c r="AC888" s="30" t="str">
        <f aca="false">IF(AND(B888="brand",AA888=1,COUNTIFS(C$5:C888,C888,AA$5:AA888,1)=1),F888,"")</f>
        <v/>
      </c>
      <c r="AD888" s="30" t="str">
        <f aca="false">IF(AND(B888="brand",E888="budget_probe",ISNUMBER(F888),I888=Lists!$X$4),IF(COUNTIFS(C$5:C888,C888,E$5:E888,"budget_probe",I$5:I888,Lists!$X$4)=1,F888,""),"")</f>
        <v/>
      </c>
      <c r="AE888" s="30" t="n">
        <f aca="false">IF(AND(B888="brand",E888="paid",ISNUMBER(F888)),IF(AND(SUMIFS(F$5:F888,B$5:B888,"brand",C$5:C888,C888,E$5:E888,"paid")&gt;=Inputs!$C$44,SUMIFS(F$5:F888,B$5:B888,"brand",C$5:C888,C888,E$5:E888,"paid")-F888&lt;Inputs!$C$44),1,0),0)</f>
        <v>0</v>
      </c>
    </row>
    <row r="889" customFormat="false" ht="15" hidden="false" customHeight="false" outlineLevel="0" collapsed="false">
      <c r="A889" s="102"/>
      <c r="B889" s="103"/>
      <c r="C889" s="103"/>
      <c r="D889" s="103"/>
      <c r="E889" s="103"/>
      <c r="F889" s="103"/>
      <c r="G889" s="103"/>
      <c r="H889" s="103"/>
      <c r="I889" s="103"/>
      <c r="T889" s="30" t="str">
        <f aca="false">IF(C889="","",IF(COUNTIFS(C$5:C889,C889,E$5:E889,E889)=1,1,0))</f>
        <v/>
      </c>
      <c r="U889" s="30" t="n">
        <f aca="false">IF(C889="",0,IF(AND(B889="brand",E889="budget_probe",N(F889)&gt;=Inputs!$C$124,H889="Y"),1,0))</f>
        <v>0</v>
      </c>
      <c r="V889" s="30" t="n">
        <f aca="false">IF(U889=1,IF(COUNTIFS(C$5:C889,C889,U$5:U889,1)=1,1,0),0)</f>
        <v>0</v>
      </c>
      <c r="W889" s="30" t="n">
        <f aca="false">IF(C889="",0,IF(AND(B889="office",E889="budget_probe",N(F889)&gt;=Inputs!$C$139),1,0))</f>
        <v>0</v>
      </c>
      <c r="X889" s="30" t="n">
        <f aca="false">IF(W889=1,IF(COUNTIFS(C$5:C889,C889,W$5:W889,1)=1,1,0),0)</f>
        <v>0</v>
      </c>
      <c r="Y889" s="30" t="n">
        <f aca="false">IF(C889="",0,IF(AND(B889="brand",E889="renewal_answer",TRIM(G889)="yes",N(F889)&gt;=Inputs!$C$135),1,0))</f>
        <v>0</v>
      </c>
      <c r="Z889" s="30" t="n">
        <f aca="false">IF(Y889=1,IF(COUNTIFS(C$5:C889,C889,Y$5:Y889,1)=1,1,0),0)</f>
        <v>0</v>
      </c>
      <c r="AA889" s="30" t="n">
        <f aca="false">IF(AND(E889="budget_probe",ISNUMBER(F889),I889&lt;&gt;Lists!$X$4),1,0)</f>
        <v>0</v>
      </c>
      <c r="AB889" s="30" t="str">
        <f aca="false">IF(AND(B889="office",AA889=1,COUNTIFS(C$5:C889,C889,AA$5:AA889,1)=1),F889,"")</f>
        <v/>
      </c>
      <c r="AC889" s="30" t="str">
        <f aca="false">IF(AND(B889="brand",AA889=1,COUNTIFS(C$5:C889,C889,AA$5:AA889,1)=1),F889,"")</f>
        <v/>
      </c>
      <c r="AD889" s="30" t="str">
        <f aca="false">IF(AND(B889="brand",E889="budget_probe",ISNUMBER(F889),I889=Lists!$X$4),IF(COUNTIFS(C$5:C889,C889,E$5:E889,"budget_probe",I$5:I889,Lists!$X$4)=1,F889,""),"")</f>
        <v/>
      </c>
      <c r="AE889" s="30" t="n">
        <f aca="false">IF(AND(B889="brand",E889="paid",ISNUMBER(F889)),IF(AND(SUMIFS(F$5:F889,B$5:B889,"brand",C$5:C889,C889,E$5:E889,"paid")&gt;=Inputs!$C$44,SUMIFS(F$5:F889,B$5:B889,"brand",C$5:C889,C889,E$5:E889,"paid")-F889&lt;Inputs!$C$44),1,0),0)</f>
        <v>0</v>
      </c>
    </row>
    <row r="890" customFormat="false" ht="15" hidden="false" customHeight="false" outlineLevel="0" collapsed="false">
      <c r="A890" s="102"/>
      <c r="B890" s="103"/>
      <c r="C890" s="103"/>
      <c r="D890" s="103"/>
      <c r="E890" s="103"/>
      <c r="F890" s="103"/>
      <c r="G890" s="103"/>
      <c r="H890" s="103"/>
      <c r="I890" s="103"/>
      <c r="T890" s="30" t="str">
        <f aca="false">IF(C890="","",IF(COUNTIFS(C$5:C890,C890,E$5:E890,E890)=1,1,0))</f>
        <v/>
      </c>
      <c r="U890" s="30" t="n">
        <f aca="false">IF(C890="",0,IF(AND(B890="brand",E890="budget_probe",N(F890)&gt;=Inputs!$C$124,H890="Y"),1,0))</f>
        <v>0</v>
      </c>
      <c r="V890" s="30" t="n">
        <f aca="false">IF(U890=1,IF(COUNTIFS(C$5:C890,C890,U$5:U890,1)=1,1,0),0)</f>
        <v>0</v>
      </c>
      <c r="W890" s="30" t="n">
        <f aca="false">IF(C890="",0,IF(AND(B890="office",E890="budget_probe",N(F890)&gt;=Inputs!$C$139),1,0))</f>
        <v>0</v>
      </c>
      <c r="X890" s="30" t="n">
        <f aca="false">IF(W890=1,IF(COUNTIFS(C$5:C890,C890,W$5:W890,1)=1,1,0),0)</f>
        <v>0</v>
      </c>
      <c r="Y890" s="30" t="n">
        <f aca="false">IF(C890="",0,IF(AND(B890="brand",E890="renewal_answer",TRIM(G890)="yes",N(F890)&gt;=Inputs!$C$135),1,0))</f>
        <v>0</v>
      </c>
      <c r="Z890" s="30" t="n">
        <f aca="false">IF(Y890=1,IF(COUNTIFS(C$5:C890,C890,Y$5:Y890,1)=1,1,0),0)</f>
        <v>0</v>
      </c>
      <c r="AA890" s="30" t="n">
        <f aca="false">IF(AND(E890="budget_probe",ISNUMBER(F890),I890&lt;&gt;Lists!$X$4),1,0)</f>
        <v>0</v>
      </c>
      <c r="AB890" s="30" t="str">
        <f aca="false">IF(AND(B890="office",AA890=1,COUNTIFS(C$5:C890,C890,AA$5:AA890,1)=1),F890,"")</f>
        <v/>
      </c>
      <c r="AC890" s="30" t="str">
        <f aca="false">IF(AND(B890="brand",AA890=1,COUNTIFS(C$5:C890,C890,AA$5:AA890,1)=1),F890,"")</f>
        <v/>
      </c>
      <c r="AD890" s="30" t="str">
        <f aca="false">IF(AND(B890="brand",E890="budget_probe",ISNUMBER(F890),I890=Lists!$X$4),IF(COUNTIFS(C$5:C890,C890,E$5:E890,"budget_probe",I$5:I890,Lists!$X$4)=1,F890,""),"")</f>
        <v/>
      </c>
      <c r="AE890" s="30" t="n">
        <f aca="false">IF(AND(B890="brand",E890="paid",ISNUMBER(F890)),IF(AND(SUMIFS(F$5:F890,B$5:B890,"brand",C$5:C890,C890,E$5:E890,"paid")&gt;=Inputs!$C$44,SUMIFS(F$5:F890,B$5:B890,"brand",C$5:C890,C890,E$5:E890,"paid")-F890&lt;Inputs!$C$44),1,0),0)</f>
        <v>0</v>
      </c>
    </row>
    <row r="891" customFormat="false" ht="15" hidden="false" customHeight="false" outlineLevel="0" collapsed="false">
      <c r="A891" s="102"/>
      <c r="B891" s="103"/>
      <c r="C891" s="103"/>
      <c r="D891" s="103"/>
      <c r="E891" s="103"/>
      <c r="F891" s="103"/>
      <c r="G891" s="103"/>
      <c r="H891" s="103"/>
      <c r="I891" s="103"/>
      <c r="T891" s="30" t="str">
        <f aca="false">IF(C891="","",IF(COUNTIFS(C$5:C891,C891,E$5:E891,E891)=1,1,0))</f>
        <v/>
      </c>
      <c r="U891" s="30" t="n">
        <f aca="false">IF(C891="",0,IF(AND(B891="brand",E891="budget_probe",N(F891)&gt;=Inputs!$C$124,H891="Y"),1,0))</f>
        <v>0</v>
      </c>
      <c r="V891" s="30" t="n">
        <f aca="false">IF(U891=1,IF(COUNTIFS(C$5:C891,C891,U$5:U891,1)=1,1,0),0)</f>
        <v>0</v>
      </c>
      <c r="W891" s="30" t="n">
        <f aca="false">IF(C891="",0,IF(AND(B891="office",E891="budget_probe",N(F891)&gt;=Inputs!$C$139),1,0))</f>
        <v>0</v>
      </c>
      <c r="X891" s="30" t="n">
        <f aca="false">IF(W891=1,IF(COUNTIFS(C$5:C891,C891,W$5:W891,1)=1,1,0),0)</f>
        <v>0</v>
      </c>
      <c r="Y891" s="30" t="n">
        <f aca="false">IF(C891="",0,IF(AND(B891="brand",E891="renewal_answer",TRIM(G891)="yes",N(F891)&gt;=Inputs!$C$135),1,0))</f>
        <v>0</v>
      </c>
      <c r="Z891" s="30" t="n">
        <f aca="false">IF(Y891=1,IF(COUNTIFS(C$5:C891,C891,Y$5:Y891,1)=1,1,0),0)</f>
        <v>0</v>
      </c>
      <c r="AA891" s="30" t="n">
        <f aca="false">IF(AND(E891="budget_probe",ISNUMBER(F891),I891&lt;&gt;Lists!$X$4),1,0)</f>
        <v>0</v>
      </c>
      <c r="AB891" s="30" t="str">
        <f aca="false">IF(AND(B891="office",AA891=1,COUNTIFS(C$5:C891,C891,AA$5:AA891,1)=1),F891,"")</f>
        <v/>
      </c>
      <c r="AC891" s="30" t="str">
        <f aca="false">IF(AND(B891="brand",AA891=1,COUNTIFS(C$5:C891,C891,AA$5:AA891,1)=1),F891,"")</f>
        <v/>
      </c>
      <c r="AD891" s="30" t="str">
        <f aca="false">IF(AND(B891="brand",E891="budget_probe",ISNUMBER(F891),I891=Lists!$X$4),IF(COUNTIFS(C$5:C891,C891,E$5:E891,"budget_probe",I$5:I891,Lists!$X$4)=1,F891,""),"")</f>
        <v/>
      </c>
      <c r="AE891" s="30" t="n">
        <f aca="false">IF(AND(B891="brand",E891="paid",ISNUMBER(F891)),IF(AND(SUMIFS(F$5:F891,B$5:B891,"brand",C$5:C891,C891,E$5:E891,"paid")&gt;=Inputs!$C$44,SUMIFS(F$5:F891,B$5:B891,"brand",C$5:C891,C891,E$5:E891,"paid")-F891&lt;Inputs!$C$44),1,0),0)</f>
        <v>0</v>
      </c>
    </row>
    <row r="892" customFormat="false" ht="15" hidden="false" customHeight="false" outlineLevel="0" collapsed="false">
      <c r="A892" s="102"/>
      <c r="B892" s="103"/>
      <c r="C892" s="103"/>
      <c r="D892" s="103"/>
      <c r="E892" s="103"/>
      <c r="F892" s="103"/>
      <c r="G892" s="103"/>
      <c r="H892" s="103"/>
      <c r="I892" s="103"/>
      <c r="T892" s="30" t="str">
        <f aca="false">IF(C892="","",IF(COUNTIFS(C$5:C892,C892,E$5:E892,E892)=1,1,0))</f>
        <v/>
      </c>
      <c r="U892" s="30" t="n">
        <f aca="false">IF(C892="",0,IF(AND(B892="brand",E892="budget_probe",N(F892)&gt;=Inputs!$C$124,H892="Y"),1,0))</f>
        <v>0</v>
      </c>
      <c r="V892" s="30" t="n">
        <f aca="false">IF(U892=1,IF(COUNTIFS(C$5:C892,C892,U$5:U892,1)=1,1,0),0)</f>
        <v>0</v>
      </c>
      <c r="W892" s="30" t="n">
        <f aca="false">IF(C892="",0,IF(AND(B892="office",E892="budget_probe",N(F892)&gt;=Inputs!$C$139),1,0))</f>
        <v>0</v>
      </c>
      <c r="X892" s="30" t="n">
        <f aca="false">IF(W892=1,IF(COUNTIFS(C$5:C892,C892,W$5:W892,1)=1,1,0),0)</f>
        <v>0</v>
      </c>
      <c r="Y892" s="30" t="n">
        <f aca="false">IF(C892="",0,IF(AND(B892="brand",E892="renewal_answer",TRIM(G892)="yes",N(F892)&gt;=Inputs!$C$135),1,0))</f>
        <v>0</v>
      </c>
      <c r="Z892" s="30" t="n">
        <f aca="false">IF(Y892=1,IF(COUNTIFS(C$5:C892,C892,Y$5:Y892,1)=1,1,0),0)</f>
        <v>0</v>
      </c>
      <c r="AA892" s="30" t="n">
        <f aca="false">IF(AND(E892="budget_probe",ISNUMBER(F892),I892&lt;&gt;Lists!$X$4),1,0)</f>
        <v>0</v>
      </c>
      <c r="AB892" s="30" t="str">
        <f aca="false">IF(AND(B892="office",AA892=1,COUNTIFS(C$5:C892,C892,AA$5:AA892,1)=1),F892,"")</f>
        <v/>
      </c>
      <c r="AC892" s="30" t="str">
        <f aca="false">IF(AND(B892="brand",AA892=1,COUNTIFS(C$5:C892,C892,AA$5:AA892,1)=1),F892,"")</f>
        <v/>
      </c>
      <c r="AD892" s="30" t="str">
        <f aca="false">IF(AND(B892="brand",E892="budget_probe",ISNUMBER(F892),I892=Lists!$X$4),IF(COUNTIFS(C$5:C892,C892,E$5:E892,"budget_probe",I$5:I892,Lists!$X$4)=1,F892,""),"")</f>
        <v/>
      </c>
      <c r="AE892" s="30" t="n">
        <f aca="false">IF(AND(B892="brand",E892="paid",ISNUMBER(F892)),IF(AND(SUMIFS(F$5:F892,B$5:B892,"brand",C$5:C892,C892,E$5:E892,"paid")&gt;=Inputs!$C$44,SUMIFS(F$5:F892,B$5:B892,"brand",C$5:C892,C892,E$5:E892,"paid")-F892&lt;Inputs!$C$44),1,0),0)</f>
        <v>0</v>
      </c>
    </row>
    <row r="893" customFormat="false" ht="15" hidden="false" customHeight="false" outlineLevel="0" collapsed="false">
      <c r="A893" s="102"/>
      <c r="B893" s="103"/>
      <c r="C893" s="103"/>
      <c r="D893" s="103"/>
      <c r="E893" s="103"/>
      <c r="F893" s="103"/>
      <c r="G893" s="103"/>
      <c r="H893" s="103"/>
      <c r="I893" s="103"/>
      <c r="T893" s="30" t="str">
        <f aca="false">IF(C893="","",IF(COUNTIFS(C$5:C893,C893,E$5:E893,E893)=1,1,0))</f>
        <v/>
      </c>
      <c r="U893" s="30" t="n">
        <f aca="false">IF(C893="",0,IF(AND(B893="brand",E893="budget_probe",N(F893)&gt;=Inputs!$C$124,H893="Y"),1,0))</f>
        <v>0</v>
      </c>
      <c r="V893" s="30" t="n">
        <f aca="false">IF(U893=1,IF(COUNTIFS(C$5:C893,C893,U$5:U893,1)=1,1,0),0)</f>
        <v>0</v>
      </c>
      <c r="W893" s="30" t="n">
        <f aca="false">IF(C893="",0,IF(AND(B893="office",E893="budget_probe",N(F893)&gt;=Inputs!$C$139),1,0))</f>
        <v>0</v>
      </c>
      <c r="X893" s="30" t="n">
        <f aca="false">IF(W893=1,IF(COUNTIFS(C$5:C893,C893,W$5:W893,1)=1,1,0),0)</f>
        <v>0</v>
      </c>
      <c r="Y893" s="30" t="n">
        <f aca="false">IF(C893="",0,IF(AND(B893="brand",E893="renewal_answer",TRIM(G893)="yes",N(F893)&gt;=Inputs!$C$135),1,0))</f>
        <v>0</v>
      </c>
      <c r="Z893" s="30" t="n">
        <f aca="false">IF(Y893=1,IF(COUNTIFS(C$5:C893,C893,Y$5:Y893,1)=1,1,0),0)</f>
        <v>0</v>
      </c>
      <c r="AA893" s="30" t="n">
        <f aca="false">IF(AND(E893="budget_probe",ISNUMBER(F893),I893&lt;&gt;Lists!$X$4),1,0)</f>
        <v>0</v>
      </c>
      <c r="AB893" s="30" t="str">
        <f aca="false">IF(AND(B893="office",AA893=1,COUNTIFS(C$5:C893,C893,AA$5:AA893,1)=1),F893,"")</f>
        <v/>
      </c>
      <c r="AC893" s="30" t="str">
        <f aca="false">IF(AND(B893="brand",AA893=1,COUNTIFS(C$5:C893,C893,AA$5:AA893,1)=1),F893,"")</f>
        <v/>
      </c>
      <c r="AD893" s="30" t="str">
        <f aca="false">IF(AND(B893="brand",E893="budget_probe",ISNUMBER(F893),I893=Lists!$X$4),IF(COUNTIFS(C$5:C893,C893,E$5:E893,"budget_probe",I$5:I893,Lists!$X$4)=1,F893,""),"")</f>
        <v/>
      </c>
      <c r="AE893" s="30" t="n">
        <f aca="false">IF(AND(B893="brand",E893="paid",ISNUMBER(F893)),IF(AND(SUMIFS(F$5:F893,B$5:B893,"brand",C$5:C893,C893,E$5:E893,"paid")&gt;=Inputs!$C$44,SUMIFS(F$5:F893,B$5:B893,"brand",C$5:C893,C893,E$5:E893,"paid")-F893&lt;Inputs!$C$44),1,0),0)</f>
        <v>0</v>
      </c>
    </row>
    <row r="894" customFormat="false" ht="15" hidden="false" customHeight="false" outlineLevel="0" collapsed="false">
      <c r="A894" s="102"/>
      <c r="B894" s="103"/>
      <c r="C894" s="103"/>
      <c r="D894" s="103"/>
      <c r="E894" s="103"/>
      <c r="F894" s="103"/>
      <c r="G894" s="103"/>
      <c r="H894" s="103"/>
      <c r="I894" s="103"/>
      <c r="T894" s="30" t="str">
        <f aca="false">IF(C894="","",IF(COUNTIFS(C$5:C894,C894,E$5:E894,E894)=1,1,0))</f>
        <v/>
      </c>
      <c r="U894" s="30" t="n">
        <f aca="false">IF(C894="",0,IF(AND(B894="brand",E894="budget_probe",N(F894)&gt;=Inputs!$C$124,H894="Y"),1,0))</f>
        <v>0</v>
      </c>
      <c r="V894" s="30" t="n">
        <f aca="false">IF(U894=1,IF(COUNTIFS(C$5:C894,C894,U$5:U894,1)=1,1,0),0)</f>
        <v>0</v>
      </c>
      <c r="W894" s="30" t="n">
        <f aca="false">IF(C894="",0,IF(AND(B894="office",E894="budget_probe",N(F894)&gt;=Inputs!$C$139),1,0))</f>
        <v>0</v>
      </c>
      <c r="X894" s="30" t="n">
        <f aca="false">IF(W894=1,IF(COUNTIFS(C$5:C894,C894,W$5:W894,1)=1,1,0),0)</f>
        <v>0</v>
      </c>
      <c r="Y894" s="30" t="n">
        <f aca="false">IF(C894="",0,IF(AND(B894="brand",E894="renewal_answer",TRIM(G894)="yes",N(F894)&gt;=Inputs!$C$135),1,0))</f>
        <v>0</v>
      </c>
      <c r="Z894" s="30" t="n">
        <f aca="false">IF(Y894=1,IF(COUNTIFS(C$5:C894,C894,Y$5:Y894,1)=1,1,0),0)</f>
        <v>0</v>
      </c>
      <c r="AA894" s="30" t="n">
        <f aca="false">IF(AND(E894="budget_probe",ISNUMBER(F894),I894&lt;&gt;Lists!$X$4),1,0)</f>
        <v>0</v>
      </c>
      <c r="AB894" s="30" t="str">
        <f aca="false">IF(AND(B894="office",AA894=1,COUNTIFS(C$5:C894,C894,AA$5:AA894,1)=1),F894,"")</f>
        <v/>
      </c>
      <c r="AC894" s="30" t="str">
        <f aca="false">IF(AND(B894="brand",AA894=1,COUNTIFS(C$5:C894,C894,AA$5:AA894,1)=1),F894,"")</f>
        <v/>
      </c>
      <c r="AD894" s="30" t="str">
        <f aca="false">IF(AND(B894="brand",E894="budget_probe",ISNUMBER(F894),I894=Lists!$X$4),IF(COUNTIFS(C$5:C894,C894,E$5:E894,"budget_probe",I$5:I894,Lists!$X$4)=1,F894,""),"")</f>
        <v/>
      </c>
      <c r="AE894" s="30" t="n">
        <f aca="false">IF(AND(B894="brand",E894="paid",ISNUMBER(F894)),IF(AND(SUMIFS(F$5:F894,B$5:B894,"brand",C$5:C894,C894,E$5:E894,"paid")&gt;=Inputs!$C$44,SUMIFS(F$5:F894,B$5:B894,"brand",C$5:C894,C894,E$5:E894,"paid")-F894&lt;Inputs!$C$44),1,0),0)</f>
        <v>0</v>
      </c>
    </row>
    <row r="895" customFormat="false" ht="15" hidden="false" customHeight="false" outlineLevel="0" collapsed="false">
      <c r="A895" s="102"/>
      <c r="B895" s="103"/>
      <c r="C895" s="103"/>
      <c r="D895" s="103"/>
      <c r="E895" s="103"/>
      <c r="F895" s="103"/>
      <c r="G895" s="103"/>
      <c r="H895" s="103"/>
      <c r="I895" s="103"/>
      <c r="T895" s="30" t="str">
        <f aca="false">IF(C895="","",IF(COUNTIFS(C$5:C895,C895,E$5:E895,E895)=1,1,0))</f>
        <v/>
      </c>
      <c r="U895" s="30" t="n">
        <f aca="false">IF(C895="",0,IF(AND(B895="brand",E895="budget_probe",N(F895)&gt;=Inputs!$C$124,H895="Y"),1,0))</f>
        <v>0</v>
      </c>
      <c r="V895" s="30" t="n">
        <f aca="false">IF(U895=1,IF(COUNTIFS(C$5:C895,C895,U$5:U895,1)=1,1,0),0)</f>
        <v>0</v>
      </c>
      <c r="W895" s="30" t="n">
        <f aca="false">IF(C895="",0,IF(AND(B895="office",E895="budget_probe",N(F895)&gt;=Inputs!$C$139),1,0))</f>
        <v>0</v>
      </c>
      <c r="X895" s="30" t="n">
        <f aca="false">IF(W895=1,IF(COUNTIFS(C$5:C895,C895,W$5:W895,1)=1,1,0),0)</f>
        <v>0</v>
      </c>
      <c r="Y895" s="30" t="n">
        <f aca="false">IF(C895="",0,IF(AND(B895="brand",E895="renewal_answer",TRIM(G895)="yes",N(F895)&gt;=Inputs!$C$135),1,0))</f>
        <v>0</v>
      </c>
      <c r="Z895" s="30" t="n">
        <f aca="false">IF(Y895=1,IF(COUNTIFS(C$5:C895,C895,Y$5:Y895,1)=1,1,0),0)</f>
        <v>0</v>
      </c>
      <c r="AA895" s="30" t="n">
        <f aca="false">IF(AND(E895="budget_probe",ISNUMBER(F895),I895&lt;&gt;Lists!$X$4),1,0)</f>
        <v>0</v>
      </c>
      <c r="AB895" s="30" t="str">
        <f aca="false">IF(AND(B895="office",AA895=1,COUNTIFS(C$5:C895,C895,AA$5:AA895,1)=1),F895,"")</f>
        <v/>
      </c>
      <c r="AC895" s="30" t="str">
        <f aca="false">IF(AND(B895="brand",AA895=1,COUNTIFS(C$5:C895,C895,AA$5:AA895,1)=1),F895,"")</f>
        <v/>
      </c>
      <c r="AD895" s="30" t="str">
        <f aca="false">IF(AND(B895="brand",E895="budget_probe",ISNUMBER(F895),I895=Lists!$X$4),IF(COUNTIFS(C$5:C895,C895,E$5:E895,"budget_probe",I$5:I895,Lists!$X$4)=1,F895,""),"")</f>
        <v/>
      </c>
      <c r="AE895" s="30" t="n">
        <f aca="false">IF(AND(B895="brand",E895="paid",ISNUMBER(F895)),IF(AND(SUMIFS(F$5:F895,B$5:B895,"brand",C$5:C895,C895,E$5:E895,"paid")&gt;=Inputs!$C$44,SUMIFS(F$5:F895,B$5:B895,"brand",C$5:C895,C895,E$5:E895,"paid")-F895&lt;Inputs!$C$44),1,0),0)</f>
        <v>0</v>
      </c>
    </row>
    <row r="896" customFormat="false" ht="15" hidden="false" customHeight="false" outlineLevel="0" collapsed="false">
      <c r="A896" s="102"/>
      <c r="B896" s="103"/>
      <c r="C896" s="103"/>
      <c r="D896" s="103"/>
      <c r="E896" s="103"/>
      <c r="F896" s="103"/>
      <c r="G896" s="103"/>
      <c r="H896" s="103"/>
      <c r="I896" s="103"/>
      <c r="T896" s="30" t="str">
        <f aca="false">IF(C896="","",IF(COUNTIFS(C$5:C896,C896,E$5:E896,E896)=1,1,0))</f>
        <v/>
      </c>
      <c r="U896" s="30" t="n">
        <f aca="false">IF(C896="",0,IF(AND(B896="brand",E896="budget_probe",N(F896)&gt;=Inputs!$C$124,H896="Y"),1,0))</f>
        <v>0</v>
      </c>
      <c r="V896" s="30" t="n">
        <f aca="false">IF(U896=1,IF(COUNTIFS(C$5:C896,C896,U$5:U896,1)=1,1,0),0)</f>
        <v>0</v>
      </c>
      <c r="W896" s="30" t="n">
        <f aca="false">IF(C896="",0,IF(AND(B896="office",E896="budget_probe",N(F896)&gt;=Inputs!$C$139),1,0))</f>
        <v>0</v>
      </c>
      <c r="X896" s="30" t="n">
        <f aca="false">IF(W896=1,IF(COUNTIFS(C$5:C896,C896,W$5:W896,1)=1,1,0),0)</f>
        <v>0</v>
      </c>
      <c r="Y896" s="30" t="n">
        <f aca="false">IF(C896="",0,IF(AND(B896="brand",E896="renewal_answer",TRIM(G896)="yes",N(F896)&gt;=Inputs!$C$135),1,0))</f>
        <v>0</v>
      </c>
      <c r="Z896" s="30" t="n">
        <f aca="false">IF(Y896=1,IF(COUNTIFS(C$5:C896,C896,Y$5:Y896,1)=1,1,0),0)</f>
        <v>0</v>
      </c>
      <c r="AA896" s="30" t="n">
        <f aca="false">IF(AND(E896="budget_probe",ISNUMBER(F896),I896&lt;&gt;Lists!$X$4),1,0)</f>
        <v>0</v>
      </c>
      <c r="AB896" s="30" t="str">
        <f aca="false">IF(AND(B896="office",AA896=1,COUNTIFS(C$5:C896,C896,AA$5:AA896,1)=1),F896,"")</f>
        <v/>
      </c>
      <c r="AC896" s="30" t="str">
        <f aca="false">IF(AND(B896="brand",AA896=1,COUNTIFS(C$5:C896,C896,AA$5:AA896,1)=1),F896,"")</f>
        <v/>
      </c>
      <c r="AD896" s="30" t="str">
        <f aca="false">IF(AND(B896="brand",E896="budget_probe",ISNUMBER(F896),I896=Lists!$X$4),IF(COUNTIFS(C$5:C896,C896,E$5:E896,"budget_probe",I$5:I896,Lists!$X$4)=1,F896,""),"")</f>
        <v/>
      </c>
      <c r="AE896" s="30" t="n">
        <f aca="false">IF(AND(B896="brand",E896="paid",ISNUMBER(F896)),IF(AND(SUMIFS(F$5:F896,B$5:B896,"brand",C$5:C896,C896,E$5:E896,"paid")&gt;=Inputs!$C$44,SUMIFS(F$5:F896,B$5:B896,"brand",C$5:C896,C896,E$5:E896,"paid")-F896&lt;Inputs!$C$44),1,0),0)</f>
        <v>0</v>
      </c>
    </row>
    <row r="897" customFormat="false" ht="15" hidden="false" customHeight="false" outlineLevel="0" collapsed="false">
      <c r="A897" s="102"/>
      <c r="B897" s="103"/>
      <c r="C897" s="103"/>
      <c r="D897" s="103"/>
      <c r="E897" s="103"/>
      <c r="F897" s="103"/>
      <c r="G897" s="103"/>
      <c r="H897" s="103"/>
      <c r="I897" s="103"/>
      <c r="T897" s="30" t="str">
        <f aca="false">IF(C897="","",IF(COUNTIFS(C$5:C897,C897,E$5:E897,E897)=1,1,0))</f>
        <v/>
      </c>
      <c r="U897" s="30" t="n">
        <f aca="false">IF(C897="",0,IF(AND(B897="brand",E897="budget_probe",N(F897)&gt;=Inputs!$C$124,H897="Y"),1,0))</f>
        <v>0</v>
      </c>
      <c r="V897" s="30" t="n">
        <f aca="false">IF(U897=1,IF(COUNTIFS(C$5:C897,C897,U$5:U897,1)=1,1,0),0)</f>
        <v>0</v>
      </c>
      <c r="W897" s="30" t="n">
        <f aca="false">IF(C897="",0,IF(AND(B897="office",E897="budget_probe",N(F897)&gt;=Inputs!$C$139),1,0))</f>
        <v>0</v>
      </c>
      <c r="X897" s="30" t="n">
        <f aca="false">IF(W897=1,IF(COUNTIFS(C$5:C897,C897,W$5:W897,1)=1,1,0),0)</f>
        <v>0</v>
      </c>
      <c r="Y897" s="30" t="n">
        <f aca="false">IF(C897="",0,IF(AND(B897="brand",E897="renewal_answer",TRIM(G897)="yes",N(F897)&gt;=Inputs!$C$135),1,0))</f>
        <v>0</v>
      </c>
      <c r="Z897" s="30" t="n">
        <f aca="false">IF(Y897=1,IF(COUNTIFS(C$5:C897,C897,Y$5:Y897,1)=1,1,0),0)</f>
        <v>0</v>
      </c>
      <c r="AA897" s="30" t="n">
        <f aca="false">IF(AND(E897="budget_probe",ISNUMBER(F897),I897&lt;&gt;Lists!$X$4),1,0)</f>
        <v>0</v>
      </c>
      <c r="AB897" s="30" t="str">
        <f aca="false">IF(AND(B897="office",AA897=1,COUNTIFS(C$5:C897,C897,AA$5:AA897,1)=1),F897,"")</f>
        <v/>
      </c>
      <c r="AC897" s="30" t="str">
        <f aca="false">IF(AND(B897="brand",AA897=1,COUNTIFS(C$5:C897,C897,AA$5:AA897,1)=1),F897,"")</f>
        <v/>
      </c>
      <c r="AD897" s="30" t="str">
        <f aca="false">IF(AND(B897="brand",E897="budget_probe",ISNUMBER(F897),I897=Lists!$X$4),IF(COUNTIFS(C$5:C897,C897,E$5:E897,"budget_probe",I$5:I897,Lists!$X$4)=1,F897,""),"")</f>
        <v/>
      </c>
      <c r="AE897" s="30" t="n">
        <f aca="false">IF(AND(B897="brand",E897="paid",ISNUMBER(F897)),IF(AND(SUMIFS(F$5:F897,B$5:B897,"brand",C$5:C897,C897,E$5:E897,"paid")&gt;=Inputs!$C$44,SUMIFS(F$5:F897,B$5:B897,"brand",C$5:C897,C897,E$5:E897,"paid")-F897&lt;Inputs!$C$44),1,0),0)</f>
        <v>0</v>
      </c>
    </row>
    <row r="898" customFormat="false" ht="15" hidden="false" customHeight="false" outlineLevel="0" collapsed="false">
      <c r="A898" s="102"/>
      <c r="B898" s="103"/>
      <c r="C898" s="103"/>
      <c r="D898" s="103"/>
      <c r="E898" s="103"/>
      <c r="F898" s="103"/>
      <c r="G898" s="103"/>
      <c r="H898" s="103"/>
      <c r="I898" s="103"/>
      <c r="T898" s="30" t="str">
        <f aca="false">IF(C898="","",IF(COUNTIFS(C$5:C898,C898,E$5:E898,E898)=1,1,0))</f>
        <v/>
      </c>
      <c r="U898" s="30" t="n">
        <f aca="false">IF(C898="",0,IF(AND(B898="brand",E898="budget_probe",N(F898)&gt;=Inputs!$C$124,H898="Y"),1,0))</f>
        <v>0</v>
      </c>
      <c r="V898" s="30" t="n">
        <f aca="false">IF(U898=1,IF(COUNTIFS(C$5:C898,C898,U$5:U898,1)=1,1,0),0)</f>
        <v>0</v>
      </c>
      <c r="W898" s="30" t="n">
        <f aca="false">IF(C898="",0,IF(AND(B898="office",E898="budget_probe",N(F898)&gt;=Inputs!$C$139),1,0))</f>
        <v>0</v>
      </c>
      <c r="X898" s="30" t="n">
        <f aca="false">IF(W898=1,IF(COUNTIFS(C$5:C898,C898,W$5:W898,1)=1,1,0),0)</f>
        <v>0</v>
      </c>
      <c r="Y898" s="30" t="n">
        <f aca="false">IF(C898="",0,IF(AND(B898="brand",E898="renewal_answer",TRIM(G898)="yes",N(F898)&gt;=Inputs!$C$135),1,0))</f>
        <v>0</v>
      </c>
      <c r="Z898" s="30" t="n">
        <f aca="false">IF(Y898=1,IF(COUNTIFS(C$5:C898,C898,Y$5:Y898,1)=1,1,0),0)</f>
        <v>0</v>
      </c>
      <c r="AA898" s="30" t="n">
        <f aca="false">IF(AND(E898="budget_probe",ISNUMBER(F898),I898&lt;&gt;Lists!$X$4),1,0)</f>
        <v>0</v>
      </c>
      <c r="AB898" s="30" t="str">
        <f aca="false">IF(AND(B898="office",AA898=1,COUNTIFS(C$5:C898,C898,AA$5:AA898,1)=1),F898,"")</f>
        <v/>
      </c>
      <c r="AC898" s="30" t="str">
        <f aca="false">IF(AND(B898="brand",AA898=1,COUNTIFS(C$5:C898,C898,AA$5:AA898,1)=1),F898,"")</f>
        <v/>
      </c>
      <c r="AD898" s="30" t="str">
        <f aca="false">IF(AND(B898="brand",E898="budget_probe",ISNUMBER(F898),I898=Lists!$X$4),IF(COUNTIFS(C$5:C898,C898,E$5:E898,"budget_probe",I$5:I898,Lists!$X$4)=1,F898,""),"")</f>
        <v/>
      </c>
      <c r="AE898" s="30" t="n">
        <f aca="false">IF(AND(B898="brand",E898="paid",ISNUMBER(F898)),IF(AND(SUMIFS(F$5:F898,B$5:B898,"brand",C$5:C898,C898,E$5:E898,"paid")&gt;=Inputs!$C$44,SUMIFS(F$5:F898,B$5:B898,"brand",C$5:C898,C898,E$5:E898,"paid")-F898&lt;Inputs!$C$44),1,0),0)</f>
        <v>0</v>
      </c>
    </row>
    <row r="899" customFormat="false" ht="15" hidden="false" customHeight="false" outlineLevel="0" collapsed="false">
      <c r="A899" s="102"/>
      <c r="B899" s="103"/>
      <c r="C899" s="103"/>
      <c r="D899" s="103"/>
      <c r="E899" s="103"/>
      <c r="F899" s="103"/>
      <c r="G899" s="103"/>
      <c r="H899" s="103"/>
      <c r="I899" s="103"/>
      <c r="T899" s="30" t="str">
        <f aca="false">IF(C899="","",IF(COUNTIFS(C$5:C899,C899,E$5:E899,E899)=1,1,0))</f>
        <v/>
      </c>
      <c r="U899" s="30" t="n">
        <f aca="false">IF(C899="",0,IF(AND(B899="brand",E899="budget_probe",N(F899)&gt;=Inputs!$C$124,H899="Y"),1,0))</f>
        <v>0</v>
      </c>
      <c r="V899" s="30" t="n">
        <f aca="false">IF(U899=1,IF(COUNTIFS(C$5:C899,C899,U$5:U899,1)=1,1,0),0)</f>
        <v>0</v>
      </c>
      <c r="W899" s="30" t="n">
        <f aca="false">IF(C899="",0,IF(AND(B899="office",E899="budget_probe",N(F899)&gt;=Inputs!$C$139),1,0))</f>
        <v>0</v>
      </c>
      <c r="X899" s="30" t="n">
        <f aca="false">IF(W899=1,IF(COUNTIFS(C$5:C899,C899,W$5:W899,1)=1,1,0),0)</f>
        <v>0</v>
      </c>
      <c r="Y899" s="30" t="n">
        <f aca="false">IF(C899="",0,IF(AND(B899="brand",E899="renewal_answer",TRIM(G899)="yes",N(F899)&gt;=Inputs!$C$135),1,0))</f>
        <v>0</v>
      </c>
      <c r="Z899" s="30" t="n">
        <f aca="false">IF(Y899=1,IF(COUNTIFS(C$5:C899,C899,Y$5:Y899,1)=1,1,0),0)</f>
        <v>0</v>
      </c>
      <c r="AA899" s="30" t="n">
        <f aca="false">IF(AND(E899="budget_probe",ISNUMBER(F899),I899&lt;&gt;Lists!$X$4),1,0)</f>
        <v>0</v>
      </c>
      <c r="AB899" s="30" t="str">
        <f aca="false">IF(AND(B899="office",AA899=1,COUNTIFS(C$5:C899,C899,AA$5:AA899,1)=1),F899,"")</f>
        <v/>
      </c>
      <c r="AC899" s="30" t="str">
        <f aca="false">IF(AND(B899="brand",AA899=1,COUNTIFS(C$5:C899,C899,AA$5:AA899,1)=1),F899,"")</f>
        <v/>
      </c>
      <c r="AD899" s="30" t="str">
        <f aca="false">IF(AND(B899="brand",E899="budget_probe",ISNUMBER(F899),I899=Lists!$X$4),IF(COUNTIFS(C$5:C899,C899,E$5:E899,"budget_probe",I$5:I899,Lists!$X$4)=1,F899,""),"")</f>
        <v/>
      </c>
      <c r="AE899" s="30" t="n">
        <f aca="false">IF(AND(B899="brand",E899="paid",ISNUMBER(F899)),IF(AND(SUMIFS(F$5:F899,B$5:B899,"brand",C$5:C899,C899,E$5:E899,"paid")&gt;=Inputs!$C$44,SUMIFS(F$5:F899,B$5:B899,"brand",C$5:C899,C899,E$5:E899,"paid")-F899&lt;Inputs!$C$44),1,0),0)</f>
        <v>0</v>
      </c>
    </row>
    <row r="900" customFormat="false" ht="15" hidden="false" customHeight="false" outlineLevel="0" collapsed="false">
      <c r="A900" s="102"/>
      <c r="B900" s="103"/>
      <c r="C900" s="103"/>
      <c r="D900" s="103"/>
      <c r="E900" s="103"/>
      <c r="F900" s="103"/>
      <c r="G900" s="103"/>
      <c r="H900" s="103"/>
      <c r="I900" s="103"/>
      <c r="T900" s="30" t="str">
        <f aca="false">IF(C900="","",IF(COUNTIFS(C$5:C900,C900,E$5:E900,E900)=1,1,0))</f>
        <v/>
      </c>
      <c r="U900" s="30" t="n">
        <f aca="false">IF(C900="",0,IF(AND(B900="brand",E900="budget_probe",N(F900)&gt;=Inputs!$C$124,H900="Y"),1,0))</f>
        <v>0</v>
      </c>
      <c r="V900" s="30" t="n">
        <f aca="false">IF(U900=1,IF(COUNTIFS(C$5:C900,C900,U$5:U900,1)=1,1,0),0)</f>
        <v>0</v>
      </c>
      <c r="W900" s="30" t="n">
        <f aca="false">IF(C900="",0,IF(AND(B900="office",E900="budget_probe",N(F900)&gt;=Inputs!$C$139),1,0))</f>
        <v>0</v>
      </c>
      <c r="X900" s="30" t="n">
        <f aca="false">IF(W900=1,IF(COUNTIFS(C$5:C900,C900,W$5:W900,1)=1,1,0),0)</f>
        <v>0</v>
      </c>
      <c r="Y900" s="30" t="n">
        <f aca="false">IF(C900="",0,IF(AND(B900="brand",E900="renewal_answer",TRIM(G900)="yes",N(F900)&gt;=Inputs!$C$135),1,0))</f>
        <v>0</v>
      </c>
      <c r="Z900" s="30" t="n">
        <f aca="false">IF(Y900=1,IF(COUNTIFS(C$5:C900,C900,Y$5:Y900,1)=1,1,0),0)</f>
        <v>0</v>
      </c>
      <c r="AA900" s="30" t="n">
        <f aca="false">IF(AND(E900="budget_probe",ISNUMBER(F900),I900&lt;&gt;Lists!$X$4),1,0)</f>
        <v>0</v>
      </c>
      <c r="AB900" s="30" t="str">
        <f aca="false">IF(AND(B900="office",AA900=1,COUNTIFS(C$5:C900,C900,AA$5:AA900,1)=1),F900,"")</f>
        <v/>
      </c>
      <c r="AC900" s="30" t="str">
        <f aca="false">IF(AND(B900="brand",AA900=1,COUNTIFS(C$5:C900,C900,AA$5:AA900,1)=1),F900,"")</f>
        <v/>
      </c>
      <c r="AD900" s="30" t="str">
        <f aca="false">IF(AND(B900="brand",E900="budget_probe",ISNUMBER(F900),I900=Lists!$X$4),IF(COUNTIFS(C$5:C900,C900,E$5:E900,"budget_probe",I$5:I900,Lists!$X$4)=1,F900,""),"")</f>
        <v/>
      </c>
      <c r="AE900" s="30" t="n">
        <f aca="false">IF(AND(B900="brand",E900="paid",ISNUMBER(F900)),IF(AND(SUMIFS(F$5:F900,B$5:B900,"brand",C$5:C900,C900,E$5:E900,"paid")&gt;=Inputs!$C$44,SUMIFS(F$5:F900,B$5:B900,"brand",C$5:C900,C900,E$5:E900,"paid")-F900&lt;Inputs!$C$44),1,0),0)</f>
        <v>0</v>
      </c>
    </row>
    <row r="901" customFormat="false" ht="15" hidden="false" customHeight="false" outlineLevel="0" collapsed="false">
      <c r="A901" s="102"/>
      <c r="B901" s="103"/>
      <c r="C901" s="103"/>
      <c r="D901" s="103"/>
      <c r="E901" s="103"/>
      <c r="F901" s="103"/>
      <c r="G901" s="103"/>
      <c r="H901" s="103"/>
      <c r="I901" s="103"/>
      <c r="T901" s="30" t="str">
        <f aca="false">IF(C901="","",IF(COUNTIFS(C$5:C901,C901,E$5:E901,E901)=1,1,0))</f>
        <v/>
      </c>
      <c r="U901" s="30" t="n">
        <f aca="false">IF(C901="",0,IF(AND(B901="brand",E901="budget_probe",N(F901)&gt;=Inputs!$C$124,H901="Y"),1,0))</f>
        <v>0</v>
      </c>
      <c r="V901" s="30" t="n">
        <f aca="false">IF(U901=1,IF(COUNTIFS(C$5:C901,C901,U$5:U901,1)=1,1,0),0)</f>
        <v>0</v>
      </c>
      <c r="W901" s="30" t="n">
        <f aca="false">IF(C901="",0,IF(AND(B901="office",E901="budget_probe",N(F901)&gt;=Inputs!$C$139),1,0))</f>
        <v>0</v>
      </c>
      <c r="X901" s="30" t="n">
        <f aca="false">IF(W901=1,IF(COUNTIFS(C$5:C901,C901,W$5:W901,1)=1,1,0),0)</f>
        <v>0</v>
      </c>
      <c r="Y901" s="30" t="n">
        <f aca="false">IF(C901="",0,IF(AND(B901="brand",E901="renewal_answer",TRIM(G901)="yes",N(F901)&gt;=Inputs!$C$135),1,0))</f>
        <v>0</v>
      </c>
      <c r="Z901" s="30" t="n">
        <f aca="false">IF(Y901=1,IF(COUNTIFS(C$5:C901,C901,Y$5:Y901,1)=1,1,0),0)</f>
        <v>0</v>
      </c>
      <c r="AA901" s="30" t="n">
        <f aca="false">IF(AND(E901="budget_probe",ISNUMBER(F901),I901&lt;&gt;Lists!$X$4),1,0)</f>
        <v>0</v>
      </c>
      <c r="AB901" s="30" t="str">
        <f aca="false">IF(AND(B901="office",AA901=1,COUNTIFS(C$5:C901,C901,AA$5:AA901,1)=1),F901,"")</f>
        <v/>
      </c>
      <c r="AC901" s="30" t="str">
        <f aca="false">IF(AND(B901="brand",AA901=1,COUNTIFS(C$5:C901,C901,AA$5:AA901,1)=1),F901,"")</f>
        <v/>
      </c>
      <c r="AD901" s="30" t="str">
        <f aca="false">IF(AND(B901="brand",E901="budget_probe",ISNUMBER(F901),I901=Lists!$X$4),IF(COUNTIFS(C$5:C901,C901,E$5:E901,"budget_probe",I$5:I901,Lists!$X$4)=1,F901,""),"")</f>
        <v/>
      </c>
      <c r="AE901" s="30" t="n">
        <f aca="false">IF(AND(B901="brand",E901="paid",ISNUMBER(F901)),IF(AND(SUMIFS(F$5:F901,B$5:B901,"brand",C$5:C901,C901,E$5:E901,"paid")&gt;=Inputs!$C$44,SUMIFS(F$5:F901,B$5:B901,"brand",C$5:C901,C901,E$5:E901,"paid")-F901&lt;Inputs!$C$44),1,0),0)</f>
        <v>0</v>
      </c>
    </row>
    <row r="902" customFormat="false" ht="15" hidden="false" customHeight="false" outlineLevel="0" collapsed="false">
      <c r="A902" s="102"/>
      <c r="B902" s="103"/>
      <c r="C902" s="103"/>
      <c r="D902" s="103"/>
      <c r="E902" s="103"/>
      <c r="F902" s="103"/>
      <c r="G902" s="103"/>
      <c r="H902" s="103"/>
      <c r="I902" s="103"/>
      <c r="T902" s="30" t="str">
        <f aca="false">IF(C902="","",IF(COUNTIFS(C$5:C902,C902,E$5:E902,E902)=1,1,0))</f>
        <v/>
      </c>
      <c r="U902" s="30" t="n">
        <f aca="false">IF(C902="",0,IF(AND(B902="brand",E902="budget_probe",N(F902)&gt;=Inputs!$C$124,H902="Y"),1,0))</f>
        <v>0</v>
      </c>
      <c r="V902" s="30" t="n">
        <f aca="false">IF(U902=1,IF(COUNTIFS(C$5:C902,C902,U$5:U902,1)=1,1,0),0)</f>
        <v>0</v>
      </c>
      <c r="W902" s="30" t="n">
        <f aca="false">IF(C902="",0,IF(AND(B902="office",E902="budget_probe",N(F902)&gt;=Inputs!$C$139),1,0))</f>
        <v>0</v>
      </c>
      <c r="X902" s="30" t="n">
        <f aca="false">IF(W902=1,IF(COUNTIFS(C$5:C902,C902,W$5:W902,1)=1,1,0),0)</f>
        <v>0</v>
      </c>
      <c r="Y902" s="30" t="n">
        <f aca="false">IF(C902="",0,IF(AND(B902="brand",E902="renewal_answer",TRIM(G902)="yes",N(F902)&gt;=Inputs!$C$135),1,0))</f>
        <v>0</v>
      </c>
      <c r="Z902" s="30" t="n">
        <f aca="false">IF(Y902=1,IF(COUNTIFS(C$5:C902,C902,Y$5:Y902,1)=1,1,0),0)</f>
        <v>0</v>
      </c>
      <c r="AA902" s="30" t="n">
        <f aca="false">IF(AND(E902="budget_probe",ISNUMBER(F902),I902&lt;&gt;Lists!$X$4),1,0)</f>
        <v>0</v>
      </c>
      <c r="AB902" s="30" t="str">
        <f aca="false">IF(AND(B902="office",AA902=1,COUNTIFS(C$5:C902,C902,AA$5:AA902,1)=1),F902,"")</f>
        <v/>
      </c>
      <c r="AC902" s="30" t="str">
        <f aca="false">IF(AND(B902="brand",AA902=1,COUNTIFS(C$5:C902,C902,AA$5:AA902,1)=1),F902,"")</f>
        <v/>
      </c>
      <c r="AD902" s="30" t="str">
        <f aca="false">IF(AND(B902="brand",E902="budget_probe",ISNUMBER(F902),I902=Lists!$X$4),IF(COUNTIFS(C$5:C902,C902,E$5:E902,"budget_probe",I$5:I902,Lists!$X$4)=1,F902,""),"")</f>
        <v/>
      </c>
      <c r="AE902" s="30" t="n">
        <f aca="false">IF(AND(B902="brand",E902="paid",ISNUMBER(F902)),IF(AND(SUMIFS(F$5:F902,B$5:B902,"brand",C$5:C902,C902,E$5:E902,"paid")&gt;=Inputs!$C$44,SUMIFS(F$5:F902,B$5:B902,"brand",C$5:C902,C902,E$5:E902,"paid")-F902&lt;Inputs!$C$44),1,0),0)</f>
        <v>0</v>
      </c>
    </row>
    <row r="903" customFormat="false" ht="15" hidden="false" customHeight="false" outlineLevel="0" collapsed="false">
      <c r="A903" s="102"/>
      <c r="B903" s="103"/>
      <c r="C903" s="103"/>
      <c r="D903" s="103"/>
      <c r="E903" s="103"/>
      <c r="F903" s="103"/>
      <c r="G903" s="103"/>
      <c r="H903" s="103"/>
      <c r="I903" s="103"/>
      <c r="T903" s="30" t="str">
        <f aca="false">IF(C903="","",IF(COUNTIFS(C$5:C903,C903,E$5:E903,E903)=1,1,0))</f>
        <v/>
      </c>
      <c r="U903" s="30" t="n">
        <f aca="false">IF(C903="",0,IF(AND(B903="brand",E903="budget_probe",N(F903)&gt;=Inputs!$C$124,H903="Y"),1,0))</f>
        <v>0</v>
      </c>
      <c r="V903" s="30" t="n">
        <f aca="false">IF(U903=1,IF(COUNTIFS(C$5:C903,C903,U$5:U903,1)=1,1,0),0)</f>
        <v>0</v>
      </c>
      <c r="W903" s="30" t="n">
        <f aca="false">IF(C903="",0,IF(AND(B903="office",E903="budget_probe",N(F903)&gt;=Inputs!$C$139),1,0))</f>
        <v>0</v>
      </c>
      <c r="X903" s="30" t="n">
        <f aca="false">IF(W903=1,IF(COUNTIFS(C$5:C903,C903,W$5:W903,1)=1,1,0),0)</f>
        <v>0</v>
      </c>
      <c r="Y903" s="30" t="n">
        <f aca="false">IF(C903="",0,IF(AND(B903="brand",E903="renewal_answer",TRIM(G903)="yes",N(F903)&gt;=Inputs!$C$135),1,0))</f>
        <v>0</v>
      </c>
      <c r="Z903" s="30" t="n">
        <f aca="false">IF(Y903=1,IF(COUNTIFS(C$5:C903,C903,Y$5:Y903,1)=1,1,0),0)</f>
        <v>0</v>
      </c>
      <c r="AA903" s="30" t="n">
        <f aca="false">IF(AND(E903="budget_probe",ISNUMBER(F903),I903&lt;&gt;Lists!$X$4),1,0)</f>
        <v>0</v>
      </c>
      <c r="AB903" s="30" t="str">
        <f aca="false">IF(AND(B903="office",AA903=1,COUNTIFS(C$5:C903,C903,AA$5:AA903,1)=1),F903,"")</f>
        <v/>
      </c>
      <c r="AC903" s="30" t="str">
        <f aca="false">IF(AND(B903="brand",AA903=1,COUNTIFS(C$5:C903,C903,AA$5:AA903,1)=1),F903,"")</f>
        <v/>
      </c>
      <c r="AD903" s="30" t="str">
        <f aca="false">IF(AND(B903="brand",E903="budget_probe",ISNUMBER(F903),I903=Lists!$X$4),IF(COUNTIFS(C$5:C903,C903,E$5:E903,"budget_probe",I$5:I903,Lists!$X$4)=1,F903,""),"")</f>
        <v/>
      </c>
      <c r="AE903" s="30" t="n">
        <f aca="false">IF(AND(B903="brand",E903="paid",ISNUMBER(F903)),IF(AND(SUMIFS(F$5:F903,B$5:B903,"brand",C$5:C903,C903,E$5:E903,"paid")&gt;=Inputs!$C$44,SUMIFS(F$5:F903,B$5:B903,"brand",C$5:C903,C903,E$5:E903,"paid")-F903&lt;Inputs!$C$44),1,0),0)</f>
        <v>0</v>
      </c>
    </row>
    <row r="904" customFormat="false" ht="15" hidden="false" customHeight="false" outlineLevel="0" collapsed="false">
      <c r="A904" s="102"/>
      <c r="B904" s="103"/>
      <c r="C904" s="103"/>
      <c r="D904" s="103"/>
      <c r="E904" s="103"/>
      <c r="F904" s="103"/>
      <c r="G904" s="103"/>
      <c r="H904" s="103"/>
      <c r="I904" s="103"/>
      <c r="T904" s="30" t="str">
        <f aca="false">IF(C904="","",IF(COUNTIFS(C$5:C904,C904,E$5:E904,E904)=1,1,0))</f>
        <v/>
      </c>
      <c r="U904" s="30" t="n">
        <f aca="false">IF(C904="",0,IF(AND(B904="brand",E904="budget_probe",N(F904)&gt;=Inputs!$C$124,H904="Y"),1,0))</f>
        <v>0</v>
      </c>
      <c r="V904" s="30" t="n">
        <f aca="false">IF(U904=1,IF(COUNTIFS(C$5:C904,C904,U$5:U904,1)=1,1,0),0)</f>
        <v>0</v>
      </c>
      <c r="W904" s="30" t="n">
        <f aca="false">IF(C904="",0,IF(AND(B904="office",E904="budget_probe",N(F904)&gt;=Inputs!$C$139),1,0))</f>
        <v>0</v>
      </c>
      <c r="X904" s="30" t="n">
        <f aca="false">IF(W904=1,IF(COUNTIFS(C$5:C904,C904,W$5:W904,1)=1,1,0),0)</f>
        <v>0</v>
      </c>
      <c r="Y904" s="30" t="n">
        <f aca="false">IF(C904="",0,IF(AND(B904="brand",E904="renewal_answer",TRIM(G904)="yes",N(F904)&gt;=Inputs!$C$135),1,0))</f>
        <v>0</v>
      </c>
      <c r="Z904" s="30" t="n">
        <f aca="false">IF(Y904=1,IF(COUNTIFS(C$5:C904,C904,Y$5:Y904,1)=1,1,0),0)</f>
        <v>0</v>
      </c>
      <c r="AA904" s="30" t="n">
        <f aca="false">IF(AND(E904="budget_probe",ISNUMBER(F904),I904&lt;&gt;Lists!$X$4),1,0)</f>
        <v>0</v>
      </c>
      <c r="AB904" s="30" t="str">
        <f aca="false">IF(AND(B904="office",AA904=1,COUNTIFS(C$5:C904,C904,AA$5:AA904,1)=1),F904,"")</f>
        <v/>
      </c>
      <c r="AC904" s="30" t="str">
        <f aca="false">IF(AND(B904="brand",AA904=1,COUNTIFS(C$5:C904,C904,AA$5:AA904,1)=1),F904,"")</f>
        <v/>
      </c>
      <c r="AD904" s="30" t="str">
        <f aca="false">IF(AND(B904="brand",E904="budget_probe",ISNUMBER(F904),I904=Lists!$X$4),IF(COUNTIFS(C$5:C904,C904,E$5:E904,"budget_probe",I$5:I904,Lists!$X$4)=1,F904,""),"")</f>
        <v/>
      </c>
      <c r="AE904" s="30" t="n">
        <f aca="false">IF(AND(B904="brand",E904="paid",ISNUMBER(F904)),IF(AND(SUMIFS(F$5:F904,B$5:B904,"brand",C$5:C904,C904,E$5:E904,"paid")&gt;=Inputs!$C$44,SUMIFS(F$5:F904,B$5:B904,"brand",C$5:C904,C904,E$5:E904,"paid")-F904&lt;Inputs!$C$44),1,0),0)</f>
        <v>0</v>
      </c>
    </row>
    <row r="905" customFormat="false" ht="15" hidden="false" customHeight="false" outlineLevel="0" collapsed="false">
      <c r="A905" s="102"/>
      <c r="B905" s="103"/>
      <c r="C905" s="103"/>
      <c r="D905" s="103"/>
      <c r="E905" s="103"/>
      <c r="F905" s="103"/>
      <c r="G905" s="103"/>
      <c r="H905" s="103"/>
      <c r="I905" s="103"/>
      <c r="T905" s="30" t="str">
        <f aca="false">IF(C905="","",IF(COUNTIFS(C$5:C905,C905,E$5:E905,E905)=1,1,0))</f>
        <v/>
      </c>
      <c r="U905" s="30" t="n">
        <f aca="false">IF(C905="",0,IF(AND(B905="brand",E905="budget_probe",N(F905)&gt;=Inputs!$C$124,H905="Y"),1,0))</f>
        <v>0</v>
      </c>
      <c r="V905" s="30" t="n">
        <f aca="false">IF(U905=1,IF(COUNTIFS(C$5:C905,C905,U$5:U905,1)=1,1,0),0)</f>
        <v>0</v>
      </c>
      <c r="W905" s="30" t="n">
        <f aca="false">IF(C905="",0,IF(AND(B905="office",E905="budget_probe",N(F905)&gt;=Inputs!$C$139),1,0))</f>
        <v>0</v>
      </c>
      <c r="X905" s="30" t="n">
        <f aca="false">IF(W905=1,IF(COUNTIFS(C$5:C905,C905,W$5:W905,1)=1,1,0),0)</f>
        <v>0</v>
      </c>
      <c r="Y905" s="30" t="n">
        <f aca="false">IF(C905="",0,IF(AND(B905="brand",E905="renewal_answer",TRIM(G905)="yes",N(F905)&gt;=Inputs!$C$135),1,0))</f>
        <v>0</v>
      </c>
      <c r="Z905" s="30" t="n">
        <f aca="false">IF(Y905=1,IF(COUNTIFS(C$5:C905,C905,Y$5:Y905,1)=1,1,0),0)</f>
        <v>0</v>
      </c>
      <c r="AA905" s="30" t="n">
        <f aca="false">IF(AND(E905="budget_probe",ISNUMBER(F905),I905&lt;&gt;Lists!$X$4),1,0)</f>
        <v>0</v>
      </c>
      <c r="AB905" s="30" t="str">
        <f aca="false">IF(AND(B905="office",AA905=1,COUNTIFS(C$5:C905,C905,AA$5:AA905,1)=1),F905,"")</f>
        <v/>
      </c>
      <c r="AC905" s="30" t="str">
        <f aca="false">IF(AND(B905="brand",AA905=1,COUNTIFS(C$5:C905,C905,AA$5:AA905,1)=1),F905,"")</f>
        <v/>
      </c>
      <c r="AD905" s="30" t="str">
        <f aca="false">IF(AND(B905="brand",E905="budget_probe",ISNUMBER(F905),I905=Lists!$X$4),IF(COUNTIFS(C$5:C905,C905,E$5:E905,"budget_probe",I$5:I905,Lists!$X$4)=1,F905,""),"")</f>
        <v/>
      </c>
      <c r="AE905" s="30" t="n">
        <f aca="false">IF(AND(B905="brand",E905="paid",ISNUMBER(F905)),IF(AND(SUMIFS(F$5:F905,B$5:B905,"brand",C$5:C905,C905,E$5:E905,"paid")&gt;=Inputs!$C$44,SUMIFS(F$5:F905,B$5:B905,"brand",C$5:C905,C905,E$5:E905,"paid")-F905&lt;Inputs!$C$44),1,0),0)</f>
        <v>0</v>
      </c>
    </row>
    <row r="906" customFormat="false" ht="15" hidden="false" customHeight="false" outlineLevel="0" collapsed="false">
      <c r="A906" s="102"/>
      <c r="B906" s="103"/>
      <c r="C906" s="103"/>
      <c r="D906" s="103"/>
      <c r="E906" s="103"/>
      <c r="F906" s="103"/>
      <c r="G906" s="103"/>
      <c r="H906" s="103"/>
      <c r="I906" s="103"/>
      <c r="T906" s="30" t="str">
        <f aca="false">IF(C906="","",IF(COUNTIFS(C$5:C906,C906,E$5:E906,E906)=1,1,0))</f>
        <v/>
      </c>
      <c r="U906" s="30" t="n">
        <f aca="false">IF(C906="",0,IF(AND(B906="brand",E906="budget_probe",N(F906)&gt;=Inputs!$C$124,H906="Y"),1,0))</f>
        <v>0</v>
      </c>
      <c r="V906" s="30" t="n">
        <f aca="false">IF(U906=1,IF(COUNTIFS(C$5:C906,C906,U$5:U906,1)=1,1,0),0)</f>
        <v>0</v>
      </c>
      <c r="W906" s="30" t="n">
        <f aca="false">IF(C906="",0,IF(AND(B906="office",E906="budget_probe",N(F906)&gt;=Inputs!$C$139),1,0))</f>
        <v>0</v>
      </c>
      <c r="X906" s="30" t="n">
        <f aca="false">IF(W906=1,IF(COUNTIFS(C$5:C906,C906,W$5:W906,1)=1,1,0),0)</f>
        <v>0</v>
      </c>
      <c r="Y906" s="30" t="n">
        <f aca="false">IF(C906="",0,IF(AND(B906="brand",E906="renewal_answer",TRIM(G906)="yes",N(F906)&gt;=Inputs!$C$135),1,0))</f>
        <v>0</v>
      </c>
      <c r="Z906" s="30" t="n">
        <f aca="false">IF(Y906=1,IF(COUNTIFS(C$5:C906,C906,Y$5:Y906,1)=1,1,0),0)</f>
        <v>0</v>
      </c>
      <c r="AA906" s="30" t="n">
        <f aca="false">IF(AND(E906="budget_probe",ISNUMBER(F906),I906&lt;&gt;Lists!$X$4),1,0)</f>
        <v>0</v>
      </c>
      <c r="AB906" s="30" t="str">
        <f aca="false">IF(AND(B906="office",AA906=1,COUNTIFS(C$5:C906,C906,AA$5:AA906,1)=1),F906,"")</f>
        <v/>
      </c>
      <c r="AC906" s="30" t="str">
        <f aca="false">IF(AND(B906="brand",AA906=1,COUNTIFS(C$5:C906,C906,AA$5:AA906,1)=1),F906,"")</f>
        <v/>
      </c>
      <c r="AD906" s="30" t="str">
        <f aca="false">IF(AND(B906="brand",E906="budget_probe",ISNUMBER(F906),I906=Lists!$X$4),IF(COUNTIFS(C$5:C906,C906,E$5:E906,"budget_probe",I$5:I906,Lists!$X$4)=1,F906,""),"")</f>
        <v/>
      </c>
      <c r="AE906" s="30" t="n">
        <f aca="false">IF(AND(B906="brand",E906="paid",ISNUMBER(F906)),IF(AND(SUMIFS(F$5:F906,B$5:B906,"brand",C$5:C906,C906,E$5:E906,"paid")&gt;=Inputs!$C$44,SUMIFS(F$5:F906,B$5:B906,"brand",C$5:C906,C906,E$5:E906,"paid")-F906&lt;Inputs!$C$44),1,0),0)</f>
        <v>0</v>
      </c>
    </row>
    <row r="907" customFormat="false" ht="15" hidden="false" customHeight="false" outlineLevel="0" collapsed="false">
      <c r="A907" s="102"/>
      <c r="B907" s="103"/>
      <c r="C907" s="103"/>
      <c r="D907" s="103"/>
      <c r="E907" s="103"/>
      <c r="F907" s="103"/>
      <c r="G907" s="103"/>
      <c r="H907" s="103"/>
      <c r="I907" s="103"/>
      <c r="T907" s="30" t="str">
        <f aca="false">IF(C907="","",IF(COUNTIFS(C$5:C907,C907,E$5:E907,E907)=1,1,0))</f>
        <v/>
      </c>
      <c r="U907" s="30" t="n">
        <f aca="false">IF(C907="",0,IF(AND(B907="brand",E907="budget_probe",N(F907)&gt;=Inputs!$C$124,H907="Y"),1,0))</f>
        <v>0</v>
      </c>
      <c r="V907" s="30" t="n">
        <f aca="false">IF(U907=1,IF(COUNTIFS(C$5:C907,C907,U$5:U907,1)=1,1,0),0)</f>
        <v>0</v>
      </c>
      <c r="W907" s="30" t="n">
        <f aca="false">IF(C907="",0,IF(AND(B907="office",E907="budget_probe",N(F907)&gt;=Inputs!$C$139),1,0))</f>
        <v>0</v>
      </c>
      <c r="X907" s="30" t="n">
        <f aca="false">IF(W907=1,IF(COUNTIFS(C$5:C907,C907,W$5:W907,1)=1,1,0),0)</f>
        <v>0</v>
      </c>
      <c r="Y907" s="30" t="n">
        <f aca="false">IF(C907="",0,IF(AND(B907="brand",E907="renewal_answer",TRIM(G907)="yes",N(F907)&gt;=Inputs!$C$135),1,0))</f>
        <v>0</v>
      </c>
      <c r="Z907" s="30" t="n">
        <f aca="false">IF(Y907=1,IF(COUNTIFS(C$5:C907,C907,Y$5:Y907,1)=1,1,0),0)</f>
        <v>0</v>
      </c>
      <c r="AA907" s="30" t="n">
        <f aca="false">IF(AND(E907="budget_probe",ISNUMBER(F907),I907&lt;&gt;Lists!$X$4),1,0)</f>
        <v>0</v>
      </c>
      <c r="AB907" s="30" t="str">
        <f aca="false">IF(AND(B907="office",AA907=1,COUNTIFS(C$5:C907,C907,AA$5:AA907,1)=1),F907,"")</f>
        <v/>
      </c>
      <c r="AC907" s="30" t="str">
        <f aca="false">IF(AND(B907="brand",AA907=1,COUNTIFS(C$5:C907,C907,AA$5:AA907,1)=1),F907,"")</f>
        <v/>
      </c>
      <c r="AD907" s="30" t="str">
        <f aca="false">IF(AND(B907="brand",E907="budget_probe",ISNUMBER(F907),I907=Lists!$X$4),IF(COUNTIFS(C$5:C907,C907,E$5:E907,"budget_probe",I$5:I907,Lists!$X$4)=1,F907,""),"")</f>
        <v/>
      </c>
      <c r="AE907" s="30" t="n">
        <f aca="false">IF(AND(B907="brand",E907="paid",ISNUMBER(F907)),IF(AND(SUMIFS(F$5:F907,B$5:B907,"brand",C$5:C907,C907,E$5:E907,"paid")&gt;=Inputs!$C$44,SUMIFS(F$5:F907,B$5:B907,"brand",C$5:C907,C907,E$5:E907,"paid")-F907&lt;Inputs!$C$44),1,0),0)</f>
        <v>0</v>
      </c>
    </row>
    <row r="908" customFormat="false" ht="15" hidden="false" customHeight="false" outlineLevel="0" collapsed="false">
      <c r="A908" s="102"/>
      <c r="B908" s="103"/>
      <c r="C908" s="103"/>
      <c r="D908" s="103"/>
      <c r="E908" s="103"/>
      <c r="F908" s="103"/>
      <c r="G908" s="103"/>
      <c r="H908" s="103"/>
      <c r="I908" s="103"/>
      <c r="T908" s="30" t="str">
        <f aca="false">IF(C908="","",IF(COUNTIFS(C$5:C908,C908,E$5:E908,E908)=1,1,0))</f>
        <v/>
      </c>
      <c r="U908" s="30" t="n">
        <f aca="false">IF(C908="",0,IF(AND(B908="brand",E908="budget_probe",N(F908)&gt;=Inputs!$C$124,H908="Y"),1,0))</f>
        <v>0</v>
      </c>
      <c r="V908" s="30" t="n">
        <f aca="false">IF(U908=1,IF(COUNTIFS(C$5:C908,C908,U$5:U908,1)=1,1,0),0)</f>
        <v>0</v>
      </c>
      <c r="W908" s="30" t="n">
        <f aca="false">IF(C908="",0,IF(AND(B908="office",E908="budget_probe",N(F908)&gt;=Inputs!$C$139),1,0))</f>
        <v>0</v>
      </c>
      <c r="X908" s="30" t="n">
        <f aca="false">IF(W908=1,IF(COUNTIFS(C$5:C908,C908,W$5:W908,1)=1,1,0),0)</f>
        <v>0</v>
      </c>
      <c r="Y908" s="30" t="n">
        <f aca="false">IF(C908="",0,IF(AND(B908="brand",E908="renewal_answer",TRIM(G908)="yes",N(F908)&gt;=Inputs!$C$135),1,0))</f>
        <v>0</v>
      </c>
      <c r="Z908" s="30" t="n">
        <f aca="false">IF(Y908=1,IF(COUNTIFS(C$5:C908,C908,Y$5:Y908,1)=1,1,0),0)</f>
        <v>0</v>
      </c>
      <c r="AA908" s="30" t="n">
        <f aca="false">IF(AND(E908="budget_probe",ISNUMBER(F908),I908&lt;&gt;Lists!$X$4),1,0)</f>
        <v>0</v>
      </c>
      <c r="AB908" s="30" t="str">
        <f aca="false">IF(AND(B908="office",AA908=1,COUNTIFS(C$5:C908,C908,AA$5:AA908,1)=1),F908,"")</f>
        <v/>
      </c>
      <c r="AC908" s="30" t="str">
        <f aca="false">IF(AND(B908="brand",AA908=1,COUNTIFS(C$5:C908,C908,AA$5:AA908,1)=1),F908,"")</f>
        <v/>
      </c>
      <c r="AD908" s="30" t="str">
        <f aca="false">IF(AND(B908="brand",E908="budget_probe",ISNUMBER(F908),I908=Lists!$X$4),IF(COUNTIFS(C$5:C908,C908,E$5:E908,"budget_probe",I$5:I908,Lists!$X$4)=1,F908,""),"")</f>
        <v/>
      </c>
      <c r="AE908" s="30" t="n">
        <f aca="false">IF(AND(B908="brand",E908="paid",ISNUMBER(F908)),IF(AND(SUMIFS(F$5:F908,B$5:B908,"brand",C$5:C908,C908,E$5:E908,"paid")&gt;=Inputs!$C$44,SUMIFS(F$5:F908,B$5:B908,"brand",C$5:C908,C908,E$5:E908,"paid")-F908&lt;Inputs!$C$44),1,0),0)</f>
        <v>0</v>
      </c>
    </row>
    <row r="909" customFormat="false" ht="15" hidden="false" customHeight="false" outlineLevel="0" collapsed="false">
      <c r="A909" s="102"/>
      <c r="B909" s="103"/>
      <c r="C909" s="103"/>
      <c r="D909" s="103"/>
      <c r="E909" s="103"/>
      <c r="F909" s="103"/>
      <c r="G909" s="103"/>
      <c r="H909" s="103"/>
      <c r="I909" s="103"/>
      <c r="T909" s="30" t="str">
        <f aca="false">IF(C909="","",IF(COUNTIFS(C$5:C909,C909,E$5:E909,E909)=1,1,0))</f>
        <v/>
      </c>
      <c r="U909" s="30" t="n">
        <f aca="false">IF(C909="",0,IF(AND(B909="brand",E909="budget_probe",N(F909)&gt;=Inputs!$C$124,H909="Y"),1,0))</f>
        <v>0</v>
      </c>
      <c r="V909" s="30" t="n">
        <f aca="false">IF(U909=1,IF(COUNTIFS(C$5:C909,C909,U$5:U909,1)=1,1,0),0)</f>
        <v>0</v>
      </c>
      <c r="W909" s="30" t="n">
        <f aca="false">IF(C909="",0,IF(AND(B909="office",E909="budget_probe",N(F909)&gt;=Inputs!$C$139),1,0))</f>
        <v>0</v>
      </c>
      <c r="X909" s="30" t="n">
        <f aca="false">IF(W909=1,IF(COUNTIFS(C$5:C909,C909,W$5:W909,1)=1,1,0),0)</f>
        <v>0</v>
      </c>
      <c r="Y909" s="30" t="n">
        <f aca="false">IF(C909="",0,IF(AND(B909="brand",E909="renewal_answer",TRIM(G909)="yes",N(F909)&gt;=Inputs!$C$135),1,0))</f>
        <v>0</v>
      </c>
      <c r="Z909" s="30" t="n">
        <f aca="false">IF(Y909=1,IF(COUNTIFS(C$5:C909,C909,Y$5:Y909,1)=1,1,0),0)</f>
        <v>0</v>
      </c>
      <c r="AA909" s="30" t="n">
        <f aca="false">IF(AND(E909="budget_probe",ISNUMBER(F909),I909&lt;&gt;Lists!$X$4),1,0)</f>
        <v>0</v>
      </c>
      <c r="AB909" s="30" t="str">
        <f aca="false">IF(AND(B909="office",AA909=1,COUNTIFS(C$5:C909,C909,AA$5:AA909,1)=1),F909,"")</f>
        <v/>
      </c>
      <c r="AC909" s="30" t="str">
        <f aca="false">IF(AND(B909="brand",AA909=1,COUNTIFS(C$5:C909,C909,AA$5:AA909,1)=1),F909,"")</f>
        <v/>
      </c>
      <c r="AD909" s="30" t="str">
        <f aca="false">IF(AND(B909="brand",E909="budget_probe",ISNUMBER(F909),I909=Lists!$X$4),IF(COUNTIFS(C$5:C909,C909,E$5:E909,"budget_probe",I$5:I909,Lists!$X$4)=1,F909,""),"")</f>
        <v/>
      </c>
      <c r="AE909" s="30" t="n">
        <f aca="false">IF(AND(B909="brand",E909="paid",ISNUMBER(F909)),IF(AND(SUMIFS(F$5:F909,B$5:B909,"brand",C$5:C909,C909,E$5:E909,"paid")&gt;=Inputs!$C$44,SUMIFS(F$5:F909,B$5:B909,"brand",C$5:C909,C909,E$5:E909,"paid")-F909&lt;Inputs!$C$44),1,0),0)</f>
        <v>0</v>
      </c>
    </row>
    <row r="910" customFormat="false" ht="15" hidden="false" customHeight="false" outlineLevel="0" collapsed="false">
      <c r="A910" s="102"/>
      <c r="B910" s="103"/>
      <c r="C910" s="103"/>
      <c r="D910" s="103"/>
      <c r="E910" s="103"/>
      <c r="F910" s="103"/>
      <c r="G910" s="103"/>
      <c r="H910" s="103"/>
      <c r="I910" s="103"/>
      <c r="T910" s="30" t="str">
        <f aca="false">IF(C910="","",IF(COUNTIFS(C$5:C910,C910,E$5:E910,E910)=1,1,0))</f>
        <v/>
      </c>
      <c r="U910" s="30" t="n">
        <f aca="false">IF(C910="",0,IF(AND(B910="brand",E910="budget_probe",N(F910)&gt;=Inputs!$C$124,H910="Y"),1,0))</f>
        <v>0</v>
      </c>
      <c r="V910" s="30" t="n">
        <f aca="false">IF(U910=1,IF(COUNTIFS(C$5:C910,C910,U$5:U910,1)=1,1,0),0)</f>
        <v>0</v>
      </c>
      <c r="W910" s="30" t="n">
        <f aca="false">IF(C910="",0,IF(AND(B910="office",E910="budget_probe",N(F910)&gt;=Inputs!$C$139),1,0))</f>
        <v>0</v>
      </c>
      <c r="X910" s="30" t="n">
        <f aca="false">IF(W910=1,IF(COUNTIFS(C$5:C910,C910,W$5:W910,1)=1,1,0),0)</f>
        <v>0</v>
      </c>
      <c r="Y910" s="30" t="n">
        <f aca="false">IF(C910="",0,IF(AND(B910="brand",E910="renewal_answer",TRIM(G910)="yes",N(F910)&gt;=Inputs!$C$135),1,0))</f>
        <v>0</v>
      </c>
      <c r="Z910" s="30" t="n">
        <f aca="false">IF(Y910=1,IF(COUNTIFS(C$5:C910,C910,Y$5:Y910,1)=1,1,0),0)</f>
        <v>0</v>
      </c>
      <c r="AA910" s="30" t="n">
        <f aca="false">IF(AND(E910="budget_probe",ISNUMBER(F910),I910&lt;&gt;Lists!$X$4),1,0)</f>
        <v>0</v>
      </c>
      <c r="AB910" s="30" t="str">
        <f aca="false">IF(AND(B910="office",AA910=1,COUNTIFS(C$5:C910,C910,AA$5:AA910,1)=1),F910,"")</f>
        <v/>
      </c>
      <c r="AC910" s="30" t="str">
        <f aca="false">IF(AND(B910="brand",AA910=1,COUNTIFS(C$5:C910,C910,AA$5:AA910,1)=1),F910,"")</f>
        <v/>
      </c>
      <c r="AD910" s="30" t="str">
        <f aca="false">IF(AND(B910="brand",E910="budget_probe",ISNUMBER(F910),I910=Lists!$X$4),IF(COUNTIFS(C$5:C910,C910,E$5:E910,"budget_probe",I$5:I910,Lists!$X$4)=1,F910,""),"")</f>
        <v/>
      </c>
      <c r="AE910" s="30" t="n">
        <f aca="false">IF(AND(B910="brand",E910="paid",ISNUMBER(F910)),IF(AND(SUMIFS(F$5:F910,B$5:B910,"brand",C$5:C910,C910,E$5:E910,"paid")&gt;=Inputs!$C$44,SUMIFS(F$5:F910,B$5:B910,"brand",C$5:C910,C910,E$5:E910,"paid")-F910&lt;Inputs!$C$44),1,0),0)</f>
        <v>0</v>
      </c>
    </row>
    <row r="911" customFormat="false" ht="15" hidden="false" customHeight="false" outlineLevel="0" collapsed="false">
      <c r="A911" s="102"/>
      <c r="B911" s="103"/>
      <c r="C911" s="103"/>
      <c r="D911" s="103"/>
      <c r="E911" s="103"/>
      <c r="F911" s="103"/>
      <c r="G911" s="103"/>
      <c r="H911" s="103"/>
      <c r="I911" s="103"/>
      <c r="T911" s="30" t="str">
        <f aca="false">IF(C911="","",IF(COUNTIFS(C$5:C911,C911,E$5:E911,E911)=1,1,0))</f>
        <v/>
      </c>
      <c r="U911" s="30" t="n">
        <f aca="false">IF(C911="",0,IF(AND(B911="brand",E911="budget_probe",N(F911)&gt;=Inputs!$C$124,H911="Y"),1,0))</f>
        <v>0</v>
      </c>
      <c r="V911" s="30" t="n">
        <f aca="false">IF(U911=1,IF(COUNTIFS(C$5:C911,C911,U$5:U911,1)=1,1,0),0)</f>
        <v>0</v>
      </c>
      <c r="W911" s="30" t="n">
        <f aca="false">IF(C911="",0,IF(AND(B911="office",E911="budget_probe",N(F911)&gt;=Inputs!$C$139),1,0))</f>
        <v>0</v>
      </c>
      <c r="X911" s="30" t="n">
        <f aca="false">IF(W911=1,IF(COUNTIFS(C$5:C911,C911,W$5:W911,1)=1,1,0),0)</f>
        <v>0</v>
      </c>
      <c r="Y911" s="30" t="n">
        <f aca="false">IF(C911="",0,IF(AND(B911="brand",E911="renewal_answer",TRIM(G911)="yes",N(F911)&gt;=Inputs!$C$135),1,0))</f>
        <v>0</v>
      </c>
      <c r="Z911" s="30" t="n">
        <f aca="false">IF(Y911=1,IF(COUNTIFS(C$5:C911,C911,Y$5:Y911,1)=1,1,0),0)</f>
        <v>0</v>
      </c>
      <c r="AA911" s="30" t="n">
        <f aca="false">IF(AND(E911="budget_probe",ISNUMBER(F911),I911&lt;&gt;Lists!$X$4),1,0)</f>
        <v>0</v>
      </c>
      <c r="AB911" s="30" t="str">
        <f aca="false">IF(AND(B911="office",AA911=1,COUNTIFS(C$5:C911,C911,AA$5:AA911,1)=1),F911,"")</f>
        <v/>
      </c>
      <c r="AC911" s="30" t="str">
        <f aca="false">IF(AND(B911="brand",AA911=1,COUNTIFS(C$5:C911,C911,AA$5:AA911,1)=1),F911,"")</f>
        <v/>
      </c>
      <c r="AD911" s="30" t="str">
        <f aca="false">IF(AND(B911="brand",E911="budget_probe",ISNUMBER(F911),I911=Lists!$X$4),IF(COUNTIFS(C$5:C911,C911,E$5:E911,"budget_probe",I$5:I911,Lists!$X$4)=1,F911,""),"")</f>
        <v/>
      </c>
      <c r="AE911" s="30" t="n">
        <f aca="false">IF(AND(B911="brand",E911="paid",ISNUMBER(F911)),IF(AND(SUMIFS(F$5:F911,B$5:B911,"brand",C$5:C911,C911,E$5:E911,"paid")&gt;=Inputs!$C$44,SUMIFS(F$5:F911,B$5:B911,"brand",C$5:C911,C911,E$5:E911,"paid")-F911&lt;Inputs!$C$44),1,0),0)</f>
        <v>0</v>
      </c>
    </row>
    <row r="912" customFormat="false" ht="15" hidden="false" customHeight="false" outlineLevel="0" collapsed="false">
      <c r="A912" s="102"/>
      <c r="B912" s="103"/>
      <c r="C912" s="103"/>
      <c r="D912" s="103"/>
      <c r="E912" s="103"/>
      <c r="F912" s="103"/>
      <c r="G912" s="103"/>
      <c r="H912" s="103"/>
      <c r="I912" s="103"/>
      <c r="T912" s="30" t="str">
        <f aca="false">IF(C912="","",IF(COUNTIFS(C$5:C912,C912,E$5:E912,E912)=1,1,0))</f>
        <v/>
      </c>
      <c r="U912" s="30" t="n">
        <f aca="false">IF(C912="",0,IF(AND(B912="brand",E912="budget_probe",N(F912)&gt;=Inputs!$C$124,H912="Y"),1,0))</f>
        <v>0</v>
      </c>
      <c r="V912" s="30" t="n">
        <f aca="false">IF(U912=1,IF(COUNTIFS(C$5:C912,C912,U$5:U912,1)=1,1,0),0)</f>
        <v>0</v>
      </c>
      <c r="W912" s="30" t="n">
        <f aca="false">IF(C912="",0,IF(AND(B912="office",E912="budget_probe",N(F912)&gt;=Inputs!$C$139),1,0))</f>
        <v>0</v>
      </c>
      <c r="X912" s="30" t="n">
        <f aca="false">IF(W912=1,IF(COUNTIFS(C$5:C912,C912,W$5:W912,1)=1,1,0),0)</f>
        <v>0</v>
      </c>
      <c r="Y912" s="30" t="n">
        <f aca="false">IF(C912="",0,IF(AND(B912="brand",E912="renewal_answer",TRIM(G912)="yes",N(F912)&gt;=Inputs!$C$135),1,0))</f>
        <v>0</v>
      </c>
      <c r="Z912" s="30" t="n">
        <f aca="false">IF(Y912=1,IF(COUNTIFS(C$5:C912,C912,Y$5:Y912,1)=1,1,0),0)</f>
        <v>0</v>
      </c>
      <c r="AA912" s="30" t="n">
        <f aca="false">IF(AND(E912="budget_probe",ISNUMBER(F912),I912&lt;&gt;Lists!$X$4),1,0)</f>
        <v>0</v>
      </c>
      <c r="AB912" s="30" t="str">
        <f aca="false">IF(AND(B912="office",AA912=1,COUNTIFS(C$5:C912,C912,AA$5:AA912,1)=1),F912,"")</f>
        <v/>
      </c>
      <c r="AC912" s="30" t="str">
        <f aca="false">IF(AND(B912="brand",AA912=1,COUNTIFS(C$5:C912,C912,AA$5:AA912,1)=1),F912,"")</f>
        <v/>
      </c>
      <c r="AD912" s="30" t="str">
        <f aca="false">IF(AND(B912="brand",E912="budget_probe",ISNUMBER(F912),I912=Lists!$X$4),IF(COUNTIFS(C$5:C912,C912,E$5:E912,"budget_probe",I$5:I912,Lists!$X$4)=1,F912,""),"")</f>
        <v/>
      </c>
      <c r="AE912" s="30" t="n">
        <f aca="false">IF(AND(B912="brand",E912="paid",ISNUMBER(F912)),IF(AND(SUMIFS(F$5:F912,B$5:B912,"brand",C$5:C912,C912,E$5:E912,"paid")&gt;=Inputs!$C$44,SUMIFS(F$5:F912,B$5:B912,"brand",C$5:C912,C912,E$5:E912,"paid")-F912&lt;Inputs!$C$44),1,0),0)</f>
        <v>0</v>
      </c>
    </row>
    <row r="913" customFormat="false" ht="15" hidden="false" customHeight="false" outlineLevel="0" collapsed="false">
      <c r="A913" s="102"/>
      <c r="B913" s="103"/>
      <c r="C913" s="103"/>
      <c r="D913" s="103"/>
      <c r="E913" s="103"/>
      <c r="F913" s="103"/>
      <c r="G913" s="103"/>
      <c r="H913" s="103"/>
      <c r="I913" s="103"/>
      <c r="T913" s="30" t="str">
        <f aca="false">IF(C913="","",IF(COUNTIFS(C$5:C913,C913,E$5:E913,E913)=1,1,0))</f>
        <v/>
      </c>
      <c r="U913" s="30" t="n">
        <f aca="false">IF(C913="",0,IF(AND(B913="brand",E913="budget_probe",N(F913)&gt;=Inputs!$C$124,H913="Y"),1,0))</f>
        <v>0</v>
      </c>
      <c r="V913" s="30" t="n">
        <f aca="false">IF(U913=1,IF(COUNTIFS(C$5:C913,C913,U$5:U913,1)=1,1,0),0)</f>
        <v>0</v>
      </c>
      <c r="W913" s="30" t="n">
        <f aca="false">IF(C913="",0,IF(AND(B913="office",E913="budget_probe",N(F913)&gt;=Inputs!$C$139),1,0))</f>
        <v>0</v>
      </c>
      <c r="X913" s="30" t="n">
        <f aca="false">IF(W913=1,IF(COUNTIFS(C$5:C913,C913,W$5:W913,1)=1,1,0),0)</f>
        <v>0</v>
      </c>
      <c r="Y913" s="30" t="n">
        <f aca="false">IF(C913="",0,IF(AND(B913="brand",E913="renewal_answer",TRIM(G913)="yes",N(F913)&gt;=Inputs!$C$135),1,0))</f>
        <v>0</v>
      </c>
      <c r="Z913" s="30" t="n">
        <f aca="false">IF(Y913=1,IF(COUNTIFS(C$5:C913,C913,Y$5:Y913,1)=1,1,0),0)</f>
        <v>0</v>
      </c>
      <c r="AA913" s="30" t="n">
        <f aca="false">IF(AND(E913="budget_probe",ISNUMBER(F913),I913&lt;&gt;Lists!$X$4),1,0)</f>
        <v>0</v>
      </c>
      <c r="AB913" s="30" t="str">
        <f aca="false">IF(AND(B913="office",AA913=1,COUNTIFS(C$5:C913,C913,AA$5:AA913,1)=1),F913,"")</f>
        <v/>
      </c>
      <c r="AC913" s="30" t="str">
        <f aca="false">IF(AND(B913="brand",AA913=1,COUNTIFS(C$5:C913,C913,AA$5:AA913,1)=1),F913,"")</f>
        <v/>
      </c>
      <c r="AD913" s="30" t="str">
        <f aca="false">IF(AND(B913="brand",E913="budget_probe",ISNUMBER(F913),I913=Lists!$X$4),IF(COUNTIFS(C$5:C913,C913,E$5:E913,"budget_probe",I$5:I913,Lists!$X$4)=1,F913,""),"")</f>
        <v/>
      </c>
      <c r="AE913" s="30" t="n">
        <f aca="false">IF(AND(B913="brand",E913="paid",ISNUMBER(F913)),IF(AND(SUMIFS(F$5:F913,B$5:B913,"brand",C$5:C913,C913,E$5:E913,"paid")&gt;=Inputs!$C$44,SUMIFS(F$5:F913,B$5:B913,"brand",C$5:C913,C913,E$5:E913,"paid")-F913&lt;Inputs!$C$44),1,0),0)</f>
        <v>0</v>
      </c>
    </row>
    <row r="914" customFormat="false" ht="15" hidden="false" customHeight="false" outlineLevel="0" collapsed="false">
      <c r="A914" s="102"/>
      <c r="B914" s="103"/>
      <c r="C914" s="103"/>
      <c r="D914" s="103"/>
      <c r="E914" s="103"/>
      <c r="F914" s="103"/>
      <c r="G914" s="103"/>
      <c r="H914" s="103"/>
      <c r="I914" s="103"/>
      <c r="T914" s="30" t="str">
        <f aca="false">IF(C914="","",IF(COUNTIFS(C$5:C914,C914,E$5:E914,E914)=1,1,0))</f>
        <v/>
      </c>
      <c r="U914" s="30" t="n">
        <f aca="false">IF(C914="",0,IF(AND(B914="brand",E914="budget_probe",N(F914)&gt;=Inputs!$C$124,H914="Y"),1,0))</f>
        <v>0</v>
      </c>
      <c r="V914" s="30" t="n">
        <f aca="false">IF(U914=1,IF(COUNTIFS(C$5:C914,C914,U$5:U914,1)=1,1,0),0)</f>
        <v>0</v>
      </c>
      <c r="W914" s="30" t="n">
        <f aca="false">IF(C914="",0,IF(AND(B914="office",E914="budget_probe",N(F914)&gt;=Inputs!$C$139),1,0))</f>
        <v>0</v>
      </c>
      <c r="X914" s="30" t="n">
        <f aca="false">IF(W914=1,IF(COUNTIFS(C$5:C914,C914,W$5:W914,1)=1,1,0),0)</f>
        <v>0</v>
      </c>
      <c r="Y914" s="30" t="n">
        <f aca="false">IF(C914="",0,IF(AND(B914="brand",E914="renewal_answer",TRIM(G914)="yes",N(F914)&gt;=Inputs!$C$135),1,0))</f>
        <v>0</v>
      </c>
      <c r="Z914" s="30" t="n">
        <f aca="false">IF(Y914=1,IF(COUNTIFS(C$5:C914,C914,Y$5:Y914,1)=1,1,0),0)</f>
        <v>0</v>
      </c>
      <c r="AA914" s="30" t="n">
        <f aca="false">IF(AND(E914="budget_probe",ISNUMBER(F914),I914&lt;&gt;Lists!$X$4),1,0)</f>
        <v>0</v>
      </c>
      <c r="AB914" s="30" t="str">
        <f aca="false">IF(AND(B914="office",AA914=1,COUNTIFS(C$5:C914,C914,AA$5:AA914,1)=1),F914,"")</f>
        <v/>
      </c>
      <c r="AC914" s="30" t="str">
        <f aca="false">IF(AND(B914="brand",AA914=1,COUNTIFS(C$5:C914,C914,AA$5:AA914,1)=1),F914,"")</f>
        <v/>
      </c>
      <c r="AD914" s="30" t="str">
        <f aca="false">IF(AND(B914="brand",E914="budget_probe",ISNUMBER(F914),I914=Lists!$X$4),IF(COUNTIFS(C$5:C914,C914,E$5:E914,"budget_probe",I$5:I914,Lists!$X$4)=1,F914,""),"")</f>
        <v/>
      </c>
      <c r="AE914" s="30" t="n">
        <f aca="false">IF(AND(B914="brand",E914="paid",ISNUMBER(F914)),IF(AND(SUMIFS(F$5:F914,B$5:B914,"brand",C$5:C914,C914,E$5:E914,"paid")&gt;=Inputs!$C$44,SUMIFS(F$5:F914,B$5:B914,"brand",C$5:C914,C914,E$5:E914,"paid")-F914&lt;Inputs!$C$44),1,0),0)</f>
        <v>0</v>
      </c>
    </row>
    <row r="915" customFormat="false" ht="15" hidden="false" customHeight="false" outlineLevel="0" collapsed="false">
      <c r="A915" s="102"/>
      <c r="B915" s="103"/>
      <c r="C915" s="103"/>
      <c r="D915" s="103"/>
      <c r="E915" s="103"/>
      <c r="F915" s="103"/>
      <c r="G915" s="103"/>
      <c r="H915" s="103"/>
      <c r="I915" s="103"/>
      <c r="T915" s="30" t="str">
        <f aca="false">IF(C915="","",IF(COUNTIFS(C$5:C915,C915,E$5:E915,E915)=1,1,0))</f>
        <v/>
      </c>
      <c r="U915" s="30" t="n">
        <f aca="false">IF(C915="",0,IF(AND(B915="brand",E915="budget_probe",N(F915)&gt;=Inputs!$C$124,H915="Y"),1,0))</f>
        <v>0</v>
      </c>
      <c r="V915" s="30" t="n">
        <f aca="false">IF(U915=1,IF(COUNTIFS(C$5:C915,C915,U$5:U915,1)=1,1,0),0)</f>
        <v>0</v>
      </c>
      <c r="W915" s="30" t="n">
        <f aca="false">IF(C915="",0,IF(AND(B915="office",E915="budget_probe",N(F915)&gt;=Inputs!$C$139),1,0))</f>
        <v>0</v>
      </c>
      <c r="X915" s="30" t="n">
        <f aca="false">IF(W915=1,IF(COUNTIFS(C$5:C915,C915,W$5:W915,1)=1,1,0),0)</f>
        <v>0</v>
      </c>
      <c r="Y915" s="30" t="n">
        <f aca="false">IF(C915="",0,IF(AND(B915="brand",E915="renewal_answer",TRIM(G915)="yes",N(F915)&gt;=Inputs!$C$135),1,0))</f>
        <v>0</v>
      </c>
      <c r="Z915" s="30" t="n">
        <f aca="false">IF(Y915=1,IF(COUNTIFS(C$5:C915,C915,Y$5:Y915,1)=1,1,0),0)</f>
        <v>0</v>
      </c>
      <c r="AA915" s="30" t="n">
        <f aca="false">IF(AND(E915="budget_probe",ISNUMBER(F915),I915&lt;&gt;Lists!$X$4),1,0)</f>
        <v>0</v>
      </c>
      <c r="AB915" s="30" t="str">
        <f aca="false">IF(AND(B915="office",AA915=1,COUNTIFS(C$5:C915,C915,AA$5:AA915,1)=1),F915,"")</f>
        <v/>
      </c>
      <c r="AC915" s="30" t="str">
        <f aca="false">IF(AND(B915="brand",AA915=1,COUNTIFS(C$5:C915,C915,AA$5:AA915,1)=1),F915,"")</f>
        <v/>
      </c>
      <c r="AD915" s="30" t="str">
        <f aca="false">IF(AND(B915="brand",E915="budget_probe",ISNUMBER(F915),I915=Lists!$X$4),IF(COUNTIFS(C$5:C915,C915,E$5:E915,"budget_probe",I$5:I915,Lists!$X$4)=1,F915,""),"")</f>
        <v/>
      </c>
      <c r="AE915" s="30" t="n">
        <f aca="false">IF(AND(B915="brand",E915="paid",ISNUMBER(F915)),IF(AND(SUMIFS(F$5:F915,B$5:B915,"brand",C$5:C915,C915,E$5:E915,"paid")&gt;=Inputs!$C$44,SUMIFS(F$5:F915,B$5:B915,"brand",C$5:C915,C915,E$5:E915,"paid")-F915&lt;Inputs!$C$44),1,0),0)</f>
        <v>0</v>
      </c>
    </row>
    <row r="916" customFormat="false" ht="15" hidden="false" customHeight="false" outlineLevel="0" collapsed="false">
      <c r="A916" s="102"/>
      <c r="B916" s="103"/>
      <c r="C916" s="103"/>
      <c r="D916" s="103"/>
      <c r="E916" s="103"/>
      <c r="F916" s="103"/>
      <c r="G916" s="103"/>
      <c r="H916" s="103"/>
      <c r="I916" s="103"/>
      <c r="T916" s="30" t="str">
        <f aca="false">IF(C916="","",IF(COUNTIFS(C$5:C916,C916,E$5:E916,E916)=1,1,0))</f>
        <v/>
      </c>
      <c r="U916" s="30" t="n">
        <f aca="false">IF(C916="",0,IF(AND(B916="brand",E916="budget_probe",N(F916)&gt;=Inputs!$C$124,H916="Y"),1,0))</f>
        <v>0</v>
      </c>
      <c r="V916" s="30" t="n">
        <f aca="false">IF(U916=1,IF(COUNTIFS(C$5:C916,C916,U$5:U916,1)=1,1,0),0)</f>
        <v>0</v>
      </c>
      <c r="W916" s="30" t="n">
        <f aca="false">IF(C916="",0,IF(AND(B916="office",E916="budget_probe",N(F916)&gt;=Inputs!$C$139),1,0))</f>
        <v>0</v>
      </c>
      <c r="X916" s="30" t="n">
        <f aca="false">IF(W916=1,IF(COUNTIFS(C$5:C916,C916,W$5:W916,1)=1,1,0),0)</f>
        <v>0</v>
      </c>
      <c r="Y916" s="30" t="n">
        <f aca="false">IF(C916="",0,IF(AND(B916="brand",E916="renewal_answer",TRIM(G916)="yes",N(F916)&gt;=Inputs!$C$135),1,0))</f>
        <v>0</v>
      </c>
      <c r="Z916" s="30" t="n">
        <f aca="false">IF(Y916=1,IF(COUNTIFS(C$5:C916,C916,Y$5:Y916,1)=1,1,0),0)</f>
        <v>0</v>
      </c>
      <c r="AA916" s="30" t="n">
        <f aca="false">IF(AND(E916="budget_probe",ISNUMBER(F916),I916&lt;&gt;Lists!$X$4),1,0)</f>
        <v>0</v>
      </c>
      <c r="AB916" s="30" t="str">
        <f aca="false">IF(AND(B916="office",AA916=1,COUNTIFS(C$5:C916,C916,AA$5:AA916,1)=1),F916,"")</f>
        <v/>
      </c>
      <c r="AC916" s="30" t="str">
        <f aca="false">IF(AND(B916="brand",AA916=1,COUNTIFS(C$5:C916,C916,AA$5:AA916,1)=1),F916,"")</f>
        <v/>
      </c>
      <c r="AD916" s="30" t="str">
        <f aca="false">IF(AND(B916="brand",E916="budget_probe",ISNUMBER(F916),I916=Lists!$X$4),IF(COUNTIFS(C$5:C916,C916,E$5:E916,"budget_probe",I$5:I916,Lists!$X$4)=1,F916,""),"")</f>
        <v/>
      </c>
      <c r="AE916" s="30" t="n">
        <f aca="false">IF(AND(B916="brand",E916="paid",ISNUMBER(F916)),IF(AND(SUMIFS(F$5:F916,B$5:B916,"brand",C$5:C916,C916,E$5:E916,"paid")&gt;=Inputs!$C$44,SUMIFS(F$5:F916,B$5:B916,"brand",C$5:C916,C916,E$5:E916,"paid")-F916&lt;Inputs!$C$44),1,0),0)</f>
        <v>0</v>
      </c>
    </row>
    <row r="917" customFormat="false" ht="15" hidden="false" customHeight="false" outlineLevel="0" collapsed="false">
      <c r="A917" s="102"/>
      <c r="B917" s="103"/>
      <c r="C917" s="103"/>
      <c r="D917" s="103"/>
      <c r="E917" s="103"/>
      <c r="F917" s="103"/>
      <c r="G917" s="103"/>
      <c r="H917" s="103"/>
      <c r="I917" s="103"/>
      <c r="T917" s="30" t="str">
        <f aca="false">IF(C917="","",IF(COUNTIFS(C$5:C917,C917,E$5:E917,E917)=1,1,0))</f>
        <v/>
      </c>
      <c r="U917" s="30" t="n">
        <f aca="false">IF(C917="",0,IF(AND(B917="brand",E917="budget_probe",N(F917)&gt;=Inputs!$C$124,H917="Y"),1,0))</f>
        <v>0</v>
      </c>
      <c r="V917" s="30" t="n">
        <f aca="false">IF(U917=1,IF(COUNTIFS(C$5:C917,C917,U$5:U917,1)=1,1,0),0)</f>
        <v>0</v>
      </c>
      <c r="W917" s="30" t="n">
        <f aca="false">IF(C917="",0,IF(AND(B917="office",E917="budget_probe",N(F917)&gt;=Inputs!$C$139),1,0))</f>
        <v>0</v>
      </c>
      <c r="X917" s="30" t="n">
        <f aca="false">IF(W917=1,IF(COUNTIFS(C$5:C917,C917,W$5:W917,1)=1,1,0),0)</f>
        <v>0</v>
      </c>
      <c r="Y917" s="30" t="n">
        <f aca="false">IF(C917="",0,IF(AND(B917="brand",E917="renewal_answer",TRIM(G917)="yes",N(F917)&gt;=Inputs!$C$135),1,0))</f>
        <v>0</v>
      </c>
      <c r="Z917" s="30" t="n">
        <f aca="false">IF(Y917=1,IF(COUNTIFS(C$5:C917,C917,Y$5:Y917,1)=1,1,0),0)</f>
        <v>0</v>
      </c>
      <c r="AA917" s="30" t="n">
        <f aca="false">IF(AND(E917="budget_probe",ISNUMBER(F917),I917&lt;&gt;Lists!$X$4),1,0)</f>
        <v>0</v>
      </c>
      <c r="AB917" s="30" t="str">
        <f aca="false">IF(AND(B917="office",AA917=1,COUNTIFS(C$5:C917,C917,AA$5:AA917,1)=1),F917,"")</f>
        <v/>
      </c>
      <c r="AC917" s="30" t="str">
        <f aca="false">IF(AND(B917="brand",AA917=1,COUNTIFS(C$5:C917,C917,AA$5:AA917,1)=1),F917,"")</f>
        <v/>
      </c>
      <c r="AD917" s="30" t="str">
        <f aca="false">IF(AND(B917="brand",E917="budget_probe",ISNUMBER(F917),I917=Lists!$X$4),IF(COUNTIFS(C$5:C917,C917,E$5:E917,"budget_probe",I$5:I917,Lists!$X$4)=1,F917,""),"")</f>
        <v/>
      </c>
      <c r="AE917" s="30" t="n">
        <f aca="false">IF(AND(B917="brand",E917="paid",ISNUMBER(F917)),IF(AND(SUMIFS(F$5:F917,B$5:B917,"brand",C$5:C917,C917,E$5:E917,"paid")&gt;=Inputs!$C$44,SUMIFS(F$5:F917,B$5:B917,"brand",C$5:C917,C917,E$5:E917,"paid")-F917&lt;Inputs!$C$44),1,0),0)</f>
        <v>0</v>
      </c>
    </row>
    <row r="918" customFormat="false" ht="15" hidden="false" customHeight="false" outlineLevel="0" collapsed="false">
      <c r="A918" s="102"/>
      <c r="B918" s="103"/>
      <c r="C918" s="103"/>
      <c r="D918" s="103"/>
      <c r="E918" s="103"/>
      <c r="F918" s="103"/>
      <c r="G918" s="103"/>
      <c r="H918" s="103"/>
      <c r="I918" s="103"/>
      <c r="T918" s="30" t="str">
        <f aca="false">IF(C918="","",IF(COUNTIFS(C$5:C918,C918,E$5:E918,E918)=1,1,0))</f>
        <v/>
      </c>
      <c r="U918" s="30" t="n">
        <f aca="false">IF(C918="",0,IF(AND(B918="brand",E918="budget_probe",N(F918)&gt;=Inputs!$C$124,H918="Y"),1,0))</f>
        <v>0</v>
      </c>
      <c r="V918" s="30" t="n">
        <f aca="false">IF(U918=1,IF(COUNTIFS(C$5:C918,C918,U$5:U918,1)=1,1,0),0)</f>
        <v>0</v>
      </c>
      <c r="W918" s="30" t="n">
        <f aca="false">IF(C918="",0,IF(AND(B918="office",E918="budget_probe",N(F918)&gt;=Inputs!$C$139),1,0))</f>
        <v>0</v>
      </c>
      <c r="X918" s="30" t="n">
        <f aca="false">IF(W918=1,IF(COUNTIFS(C$5:C918,C918,W$5:W918,1)=1,1,0),0)</f>
        <v>0</v>
      </c>
      <c r="Y918" s="30" t="n">
        <f aca="false">IF(C918="",0,IF(AND(B918="brand",E918="renewal_answer",TRIM(G918)="yes",N(F918)&gt;=Inputs!$C$135),1,0))</f>
        <v>0</v>
      </c>
      <c r="Z918" s="30" t="n">
        <f aca="false">IF(Y918=1,IF(COUNTIFS(C$5:C918,C918,Y$5:Y918,1)=1,1,0),0)</f>
        <v>0</v>
      </c>
      <c r="AA918" s="30" t="n">
        <f aca="false">IF(AND(E918="budget_probe",ISNUMBER(F918),I918&lt;&gt;Lists!$X$4),1,0)</f>
        <v>0</v>
      </c>
      <c r="AB918" s="30" t="str">
        <f aca="false">IF(AND(B918="office",AA918=1,COUNTIFS(C$5:C918,C918,AA$5:AA918,1)=1),F918,"")</f>
        <v/>
      </c>
      <c r="AC918" s="30" t="str">
        <f aca="false">IF(AND(B918="brand",AA918=1,COUNTIFS(C$5:C918,C918,AA$5:AA918,1)=1),F918,"")</f>
        <v/>
      </c>
      <c r="AD918" s="30" t="str">
        <f aca="false">IF(AND(B918="brand",E918="budget_probe",ISNUMBER(F918),I918=Lists!$X$4),IF(COUNTIFS(C$5:C918,C918,E$5:E918,"budget_probe",I$5:I918,Lists!$X$4)=1,F918,""),"")</f>
        <v/>
      </c>
      <c r="AE918" s="30" t="n">
        <f aca="false">IF(AND(B918="brand",E918="paid",ISNUMBER(F918)),IF(AND(SUMIFS(F$5:F918,B$5:B918,"brand",C$5:C918,C918,E$5:E918,"paid")&gt;=Inputs!$C$44,SUMIFS(F$5:F918,B$5:B918,"brand",C$5:C918,C918,E$5:E918,"paid")-F918&lt;Inputs!$C$44),1,0),0)</f>
        <v>0</v>
      </c>
    </row>
    <row r="919" customFormat="false" ht="15" hidden="false" customHeight="false" outlineLevel="0" collapsed="false">
      <c r="A919" s="102"/>
      <c r="B919" s="103"/>
      <c r="C919" s="103"/>
      <c r="D919" s="103"/>
      <c r="E919" s="103"/>
      <c r="F919" s="103"/>
      <c r="G919" s="103"/>
      <c r="H919" s="103"/>
      <c r="I919" s="103"/>
      <c r="T919" s="30" t="str">
        <f aca="false">IF(C919="","",IF(COUNTIFS(C$5:C919,C919,E$5:E919,E919)=1,1,0))</f>
        <v/>
      </c>
      <c r="U919" s="30" t="n">
        <f aca="false">IF(C919="",0,IF(AND(B919="brand",E919="budget_probe",N(F919)&gt;=Inputs!$C$124,H919="Y"),1,0))</f>
        <v>0</v>
      </c>
      <c r="V919" s="30" t="n">
        <f aca="false">IF(U919=1,IF(COUNTIFS(C$5:C919,C919,U$5:U919,1)=1,1,0),0)</f>
        <v>0</v>
      </c>
      <c r="W919" s="30" t="n">
        <f aca="false">IF(C919="",0,IF(AND(B919="office",E919="budget_probe",N(F919)&gt;=Inputs!$C$139),1,0))</f>
        <v>0</v>
      </c>
      <c r="X919" s="30" t="n">
        <f aca="false">IF(W919=1,IF(COUNTIFS(C$5:C919,C919,W$5:W919,1)=1,1,0),0)</f>
        <v>0</v>
      </c>
      <c r="Y919" s="30" t="n">
        <f aca="false">IF(C919="",0,IF(AND(B919="brand",E919="renewal_answer",TRIM(G919)="yes",N(F919)&gt;=Inputs!$C$135),1,0))</f>
        <v>0</v>
      </c>
      <c r="Z919" s="30" t="n">
        <f aca="false">IF(Y919=1,IF(COUNTIFS(C$5:C919,C919,Y$5:Y919,1)=1,1,0),0)</f>
        <v>0</v>
      </c>
      <c r="AA919" s="30" t="n">
        <f aca="false">IF(AND(E919="budget_probe",ISNUMBER(F919),I919&lt;&gt;Lists!$X$4),1,0)</f>
        <v>0</v>
      </c>
      <c r="AB919" s="30" t="str">
        <f aca="false">IF(AND(B919="office",AA919=1,COUNTIFS(C$5:C919,C919,AA$5:AA919,1)=1),F919,"")</f>
        <v/>
      </c>
      <c r="AC919" s="30" t="str">
        <f aca="false">IF(AND(B919="brand",AA919=1,COUNTIFS(C$5:C919,C919,AA$5:AA919,1)=1),F919,"")</f>
        <v/>
      </c>
      <c r="AD919" s="30" t="str">
        <f aca="false">IF(AND(B919="brand",E919="budget_probe",ISNUMBER(F919),I919=Lists!$X$4),IF(COUNTIFS(C$5:C919,C919,E$5:E919,"budget_probe",I$5:I919,Lists!$X$4)=1,F919,""),"")</f>
        <v/>
      </c>
      <c r="AE919" s="30" t="n">
        <f aca="false">IF(AND(B919="brand",E919="paid",ISNUMBER(F919)),IF(AND(SUMIFS(F$5:F919,B$5:B919,"brand",C$5:C919,C919,E$5:E919,"paid")&gt;=Inputs!$C$44,SUMIFS(F$5:F919,B$5:B919,"brand",C$5:C919,C919,E$5:E919,"paid")-F919&lt;Inputs!$C$44),1,0),0)</f>
        <v>0</v>
      </c>
    </row>
    <row r="920" customFormat="false" ht="15" hidden="false" customHeight="false" outlineLevel="0" collapsed="false">
      <c r="A920" s="102"/>
      <c r="B920" s="103"/>
      <c r="C920" s="103"/>
      <c r="D920" s="103"/>
      <c r="E920" s="103"/>
      <c r="F920" s="103"/>
      <c r="G920" s="103"/>
      <c r="H920" s="103"/>
      <c r="I920" s="103"/>
      <c r="T920" s="30" t="str">
        <f aca="false">IF(C920="","",IF(COUNTIFS(C$5:C920,C920,E$5:E920,E920)=1,1,0))</f>
        <v/>
      </c>
      <c r="U920" s="30" t="n">
        <f aca="false">IF(C920="",0,IF(AND(B920="brand",E920="budget_probe",N(F920)&gt;=Inputs!$C$124,H920="Y"),1,0))</f>
        <v>0</v>
      </c>
      <c r="V920" s="30" t="n">
        <f aca="false">IF(U920=1,IF(COUNTIFS(C$5:C920,C920,U$5:U920,1)=1,1,0),0)</f>
        <v>0</v>
      </c>
      <c r="W920" s="30" t="n">
        <f aca="false">IF(C920="",0,IF(AND(B920="office",E920="budget_probe",N(F920)&gt;=Inputs!$C$139),1,0))</f>
        <v>0</v>
      </c>
      <c r="X920" s="30" t="n">
        <f aca="false">IF(W920=1,IF(COUNTIFS(C$5:C920,C920,W$5:W920,1)=1,1,0),0)</f>
        <v>0</v>
      </c>
      <c r="Y920" s="30" t="n">
        <f aca="false">IF(C920="",0,IF(AND(B920="brand",E920="renewal_answer",TRIM(G920)="yes",N(F920)&gt;=Inputs!$C$135),1,0))</f>
        <v>0</v>
      </c>
      <c r="Z920" s="30" t="n">
        <f aca="false">IF(Y920=1,IF(COUNTIFS(C$5:C920,C920,Y$5:Y920,1)=1,1,0),0)</f>
        <v>0</v>
      </c>
      <c r="AA920" s="30" t="n">
        <f aca="false">IF(AND(E920="budget_probe",ISNUMBER(F920),I920&lt;&gt;Lists!$X$4),1,0)</f>
        <v>0</v>
      </c>
      <c r="AB920" s="30" t="str">
        <f aca="false">IF(AND(B920="office",AA920=1,COUNTIFS(C$5:C920,C920,AA$5:AA920,1)=1),F920,"")</f>
        <v/>
      </c>
      <c r="AC920" s="30" t="str">
        <f aca="false">IF(AND(B920="brand",AA920=1,COUNTIFS(C$5:C920,C920,AA$5:AA920,1)=1),F920,"")</f>
        <v/>
      </c>
      <c r="AD920" s="30" t="str">
        <f aca="false">IF(AND(B920="brand",E920="budget_probe",ISNUMBER(F920),I920=Lists!$X$4),IF(COUNTIFS(C$5:C920,C920,E$5:E920,"budget_probe",I$5:I920,Lists!$X$4)=1,F920,""),"")</f>
        <v/>
      </c>
      <c r="AE920" s="30" t="n">
        <f aca="false">IF(AND(B920="brand",E920="paid",ISNUMBER(F920)),IF(AND(SUMIFS(F$5:F920,B$5:B920,"brand",C$5:C920,C920,E$5:E920,"paid")&gt;=Inputs!$C$44,SUMIFS(F$5:F920,B$5:B920,"brand",C$5:C920,C920,E$5:E920,"paid")-F920&lt;Inputs!$C$44),1,0),0)</f>
        <v>0</v>
      </c>
    </row>
    <row r="921" customFormat="false" ht="15" hidden="false" customHeight="false" outlineLevel="0" collapsed="false">
      <c r="A921" s="102"/>
      <c r="B921" s="103"/>
      <c r="C921" s="103"/>
      <c r="D921" s="103"/>
      <c r="E921" s="103"/>
      <c r="F921" s="103"/>
      <c r="G921" s="103"/>
      <c r="H921" s="103"/>
      <c r="I921" s="103"/>
      <c r="T921" s="30" t="str">
        <f aca="false">IF(C921="","",IF(COUNTIFS(C$5:C921,C921,E$5:E921,E921)=1,1,0))</f>
        <v/>
      </c>
      <c r="U921" s="30" t="n">
        <f aca="false">IF(C921="",0,IF(AND(B921="brand",E921="budget_probe",N(F921)&gt;=Inputs!$C$124,H921="Y"),1,0))</f>
        <v>0</v>
      </c>
      <c r="V921" s="30" t="n">
        <f aca="false">IF(U921=1,IF(COUNTIFS(C$5:C921,C921,U$5:U921,1)=1,1,0),0)</f>
        <v>0</v>
      </c>
      <c r="W921" s="30" t="n">
        <f aca="false">IF(C921="",0,IF(AND(B921="office",E921="budget_probe",N(F921)&gt;=Inputs!$C$139),1,0))</f>
        <v>0</v>
      </c>
      <c r="X921" s="30" t="n">
        <f aca="false">IF(W921=1,IF(COUNTIFS(C$5:C921,C921,W$5:W921,1)=1,1,0),0)</f>
        <v>0</v>
      </c>
      <c r="Y921" s="30" t="n">
        <f aca="false">IF(C921="",0,IF(AND(B921="brand",E921="renewal_answer",TRIM(G921)="yes",N(F921)&gt;=Inputs!$C$135),1,0))</f>
        <v>0</v>
      </c>
      <c r="Z921" s="30" t="n">
        <f aca="false">IF(Y921=1,IF(COUNTIFS(C$5:C921,C921,Y$5:Y921,1)=1,1,0),0)</f>
        <v>0</v>
      </c>
      <c r="AA921" s="30" t="n">
        <f aca="false">IF(AND(E921="budget_probe",ISNUMBER(F921),I921&lt;&gt;Lists!$X$4),1,0)</f>
        <v>0</v>
      </c>
      <c r="AB921" s="30" t="str">
        <f aca="false">IF(AND(B921="office",AA921=1,COUNTIFS(C$5:C921,C921,AA$5:AA921,1)=1),F921,"")</f>
        <v/>
      </c>
      <c r="AC921" s="30" t="str">
        <f aca="false">IF(AND(B921="brand",AA921=1,COUNTIFS(C$5:C921,C921,AA$5:AA921,1)=1),F921,"")</f>
        <v/>
      </c>
      <c r="AD921" s="30" t="str">
        <f aca="false">IF(AND(B921="brand",E921="budget_probe",ISNUMBER(F921),I921=Lists!$X$4),IF(COUNTIFS(C$5:C921,C921,E$5:E921,"budget_probe",I$5:I921,Lists!$X$4)=1,F921,""),"")</f>
        <v/>
      </c>
      <c r="AE921" s="30" t="n">
        <f aca="false">IF(AND(B921="brand",E921="paid",ISNUMBER(F921)),IF(AND(SUMIFS(F$5:F921,B$5:B921,"brand",C$5:C921,C921,E$5:E921,"paid")&gt;=Inputs!$C$44,SUMIFS(F$5:F921,B$5:B921,"brand",C$5:C921,C921,E$5:E921,"paid")-F921&lt;Inputs!$C$44),1,0),0)</f>
        <v>0</v>
      </c>
    </row>
    <row r="922" customFormat="false" ht="15" hidden="false" customHeight="false" outlineLevel="0" collapsed="false">
      <c r="A922" s="102"/>
      <c r="B922" s="103"/>
      <c r="C922" s="103"/>
      <c r="D922" s="103"/>
      <c r="E922" s="103"/>
      <c r="F922" s="103"/>
      <c r="G922" s="103"/>
      <c r="H922" s="103"/>
      <c r="I922" s="103"/>
      <c r="T922" s="30" t="str">
        <f aca="false">IF(C922="","",IF(COUNTIFS(C$5:C922,C922,E$5:E922,E922)=1,1,0))</f>
        <v/>
      </c>
      <c r="U922" s="30" t="n">
        <f aca="false">IF(C922="",0,IF(AND(B922="brand",E922="budget_probe",N(F922)&gt;=Inputs!$C$124,H922="Y"),1,0))</f>
        <v>0</v>
      </c>
      <c r="V922" s="30" t="n">
        <f aca="false">IF(U922=1,IF(COUNTIFS(C$5:C922,C922,U$5:U922,1)=1,1,0),0)</f>
        <v>0</v>
      </c>
      <c r="W922" s="30" t="n">
        <f aca="false">IF(C922="",0,IF(AND(B922="office",E922="budget_probe",N(F922)&gt;=Inputs!$C$139),1,0))</f>
        <v>0</v>
      </c>
      <c r="X922" s="30" t="n">
        <f aca="false">IF(W922=1,IF(COUNTIFS(C$5:C922,C922,W$5:W922,1)=1,1,0),0)</f>
        <v>0</v>
      </c>
      <c r="Y922" s="30" t="n">
        <f aca="false">IF(C922="",0,IF(AND(B922="brand",E922="renewal_answer",TRIM(G922)="yes",N(F922)&gt;=Inputs!$C$135),1,0))</f>
        <v>0</v>
      </c>
      <c r="Z922" s="30" t="n">
        <f aca="false">IF(Y922=1,IF(COUNTIFS(C$5:C922,C922,Y$5:Y922,1)=1,1,0),0)</f>
        <v>0</v>
      </c>
      <c r="AA922" s="30" t="n">
        <f aca="false">IF(AND(E922="budget_probe",ISNUMBER(F922),I922&lt;&gt;Lists!$X$4),1,0)</f>
        <v>0</v>
      </c>
      <c r="AB922" s="30" t="str">
        <f aca="false">IF(AND(B922="office",AA922=1,COUNTIFS(C$5:C922,C922,AA$5:AA922,1)=1),F922,"")</f>
        <v/>
      </c>
      <c r="AC922" s="30" t="str">
        <f aca="false">IF(AND(B922="brand",AA922=1,COUNTIFS(C$5:C922,C922,AA$5:AA922,1)=1),F922,"")</f>
        <v/>
      </c>
      <c r="AD922" s="30" t="str">
        <f aca="false">IF(AND(B922="brand",E922="budget_probe",ISNUMBER(F922),I922=Lists!$X$4),IF(COUNTIFS(C$5:C922,C922,E$5:E922,"budget_probe",I$5:I922,Lists!$X$4)=1,F922,""),"")</f>
        <v/>
      </c>
      <c r="AE922" s="30" t="n">
        <f aca="false">IF(AND(B922="brand",E922="paid",ISNUMBER(F922)),IF(AND(SUMIFS(F$5:F922,B$5:B922,"brand",C$5:C922,C922,E$5:E922,"paid")&gt;=Inputs!$C$44,SUMIFS(F$5:F922,B$5:B922,"brand",C$5:C922,C922,E$5:E922,"paid")-F922&lt;Inputs!$C$44),1,0),0)</f>
        <v>0</v>
      </c>
    </row>
    <row r="923" customFormat="false" ht="15" hidden="false" customHeight="false" outlineLevel="0" collapsed="false">
      <c r="A923" s="102"/>
      <c r="B923" s="103"/>
      <c r="C923" s="103"/>
      <c r="D923" s="103"/>
      <c r="E923" s="103"/>
      <c r="F923" s="103"/>
      <c r="G923" s="103"/>
      <c r="H923" s="103"/>
      <c r="I923" s="103"/>
      <c r="T923" s="30" t="str">
        <f aca="false">IF(C923="","",IF(COUNTIFS(C$5:C923,C923,E$5:E923,E923)=1,1,0))</f>
        <v/>
      </c>
      <c r="U923" s="30" t="n">
        <f aca="false">IF(C923="",0,IF(AND(B923="brand",E923="budget_probe",N(F923)&gt;=Inputs!$C$124,H923="Y"),1,0))</f>
        <v>0</v>
      </c>
      <c r="V923" s="30" t="n">
        <f aca="false">IF(U923=1,IF(COUNTIFS(C$5:C923,C923,U$5:U923,1)=1,1,0),0)</f>
        <v>0</v>
      </c>
      <c r="W923" s="30" t="n">
        <f aca="false">IF(C923="",0,IF(AND(B923="office",E923="budget_probe",N(F923)&gt;=Inputs!$C$139),1,0))</f>
        <v>0</v>
      </c>
      <c r="X923" s="30" t="n">
        <f aca="false">IF(W923=1,IF(COUNTIFS(C$5:C923,C923,W$5:W923,1)=1,1,0),0)</f>
        <v>0</v>
      </c>
      <c r="Y923" s="30" t="n">
        <f aca="false">IF(C923="",0,IF(AND(B923="brand",E923="renewal_answer",TRIM(G923)="yes",N(F923)&gt;=Inputs!$C$135),1,0))</f>
        <v>0</v>
      </c>
      <c r="Z923" s="30" t="n">
        <f aca="false">IF(Y923=1,IF(COUNTIFS(C$5:C923,C923,Y$5:Y923,1)=1,1,0),0)</f>
        <v>0</v>
      </c>
      <c r="AA923" s="30" t="n">
        <f aca="false">IF(AND(E923="budget_probe",ISNUMBER(F923),I923&lt;&gt;Lists!$X$4),1,0)</f>
        <v>0</v>
      </c>
      <c r="AB923" s="30" t="str">
        <f aca="false">IF(AND(B923="office",AA923=1,COUNTIFS(C$5:C923,C923,AA$5:AA923,1)=1),F923,"")</f>
        <v/>
      </c>
      <c r="AC923" s="30" t="str">
        <f aca="false">IF(AND(B923="brand",AA923=1,COUNTIFS(C$5:C923,C923,AA$5:AA923,1)=1),F923,"")</f>
        <v/>
      </c>
      <c r="AD923" s="30" t="str">
        <f aca="false">IF(AND(B923="brand",E923="budget_probe",ISNUMBER(F923),I923=Lists!$X$4),IF(COUNTIFS(C$5:C923,C923,E$5:E923,"budget_probe",I$5:I923,Lists!$X$4)=1,F923,""),"")</f>
        <v/>
      </c>
      <c r="AE923" s="30" t="n">
        <f aca="false">IF(AND(B923="brand",E923="paid",ISNUMBER(F923)),IF(AND(SUMIFS(F$5:F923,B$5:B923,"brand",C$5:C923,C923,E$5:E923,"paid")&gt;=Inputs!$C$44,SUMIFS(F$5:F923,B$5:B923,"brand",C$5:C923,C923,E$5:E923,"paid")-F923&lt;Inputs!$C$44),1,0),0)</f>
        <v>0</v>
      </c>
    </row>
    <row r="924" customFormat="false" ht="15" hidden="false" customHeight="false" outlineLevel="0" collapsed="false">
      <c r="A924" s="102"/>
      <c r="B924" s="103"/>
      <c r="C924" s="103"/>
      <c r="D924" s="103"/>
      <c r="E924" s="103"/>
      <c r="F924" s="103"/>
      <c r="G924" s="103"/>
      <c r="H924" s="103"/>
      <c r="I924" s="103"/>
      <c r="T924" s="30" t="str">
        <f aca="false">IF(C924="","",IF(COUNTIFS(C$5:C924,C924,E$5:E924,E924)=1,1,0))</f>
        <v/>
      </c>
      <c r="U924" s="30" t="n">
        <f aca="false">IF(C924="",0,IF(AND(B924="brand",E924="budget_probe",N(F924)&gt;=Inputs!$C$124,H924="Y"),1,0))</f>
        <v>0</v>
      </c>
      <c r="V924" s="30" t="n">
        <f aca="false">IF(U924=1,IF(COUNTIFS(C$5:C924,C924,U$5:U924,1)=1,1,0),0)</f>
        <v>0</v>
      </c>
      <c r="W924" s="30" t="n">
        <f aca="false">IF(C924="",0,IF(AND(B924="office",E924="budget_probe",N(F924)&gt;=Inputs!$C$139),1,0))</f>
        <v>0</v>
      </c>
      <c r="X924" s="30" t="n">
        <f aca="false">IF(W924=1,IF(COUNTIFS(C$5:C924,C924,W$5:W924,1)=1,1,0),0)</f>
        <v>0</v>
      </c>
      <c r="Y924" s="30" t="n">
        <f aca="false">IF(C924="",0,IF(AND(B924="brand",E924="renewal_answer",TRIM(G924)="yes",N(F924)&gt;=Inputs!$C$135),1,0))</f>
        <v>0</v>
      </c>
      <c r="Z924" s="30" t="n">
        <f aca="false">IF(Y924=1,IF(COUNTIFS(C$5:C924,C924,Y$5:Y924,1)=1,1,0),0)</f>
        <v>0</v>
      </c>
      <c r="AA924" s="30" t="n">
        <f aca="false">IF(AND(E924="budget_probe",ISNUMBER(F924),I924&lt;&gt;Lists!$X$4),1,0)</f>
        <v>0</v>
      </c>
      <c r="AB924" s="30" t="str">
        <f aca="false">IF(AND(B924="office",AA924=1,COUNTIFS(C$5:C924,C924,AA$5:AA924,1)=1),F924,"")</f>
        <v/>
      </c>
      <c r="AC924" s="30" t="str">
        <f aca="false">IF(AND(B924="brand",AA924=1,COUNTIFS(C$5:C924,C924,AA$5:AA924,1)=1),F924,"")</f>
        <v/>
      </c>
      <c r="AD924" s="30" t="str">
        <f aca="false">IF(AND(B924="brand",E924="budget_probe",ISNUMBER(F924),I924=Lists!$X$4),IF(COUNTIFS(C$5:C924,C924,E$5:E924,"budget_probe",I$5:I924,Lists!$X$4)=1,F924,""),"")</f>
        <v/>
      </c>
      <c r="AE924" s="30" t="n">
        <f aca="false">IF(AND(B924="brand",E924="paid",ISNUMBER(F924)),IF(AND(SUMIFS(F$5:F924,B$5:B924,"brand",C$5:C924,C924,E$5:E924,"paid")&gt;=Inputs!$C$44,SUMIFS(F$5:F924,B$5:B924,"brand",C$5:C924,C924,E$5:E924,"paid")-F924&lt;Inputs!$C$44),1,0),0)</f>
        <v>0</v>
      </c>
    </row>
    <row r="925" customFormat="false" ht="15" hidden="false" customHeight="false" outlineLevel="0" collapsed="false">
      <c r="A925" s="102"/>
      <c r="B925" s="103"/>
      <c r="C925" s="103"/>
      <c r="D925" s="103"/>
      <c r="E925" s="103"/>
      <c r="F925" s="103"/>
      <c r="G925" s="103"/>
      <c r="H925" s="103"/>
      <c r="I925" s="103"/>
      <c r="T925" s="30" t="str">
        <f aca="false">IF(C925="","",IF(COUNTIFS(C$5:C925,C925,E$5:E925,E925)=1,1,0))</f>
        <v/>
      </c>
      <c r="U925" s="30" t="n">
        <f aca="false">IF(C925="",0,IF(AND(B925="brand",E925="budget_probe",N(F925)&gt;=Inputs!$C$124,H925="Y"),1,0))</f>
        <v>0</v>
      </c>
      <c r="V925" s="30" t="n">
        <f aca="false">IF(U925=1,IF(COUNTIFS(C$5:C925,C925,U$5:U925,1)=1,1,0),0)</f>
        <v>0</v>
      </c>
      <c r="W925" s="30" t="n">
        <f aca="false">IF(C925="",0,IF(AND(B925="office",E925="budget_probe",N(F925)&gt;=Inputs!$C$139),1,0))</f>
        <v>0</v>
      </c>
      <c r="X925" s="30" t="n">
        <f aca="false">IF(W925=1,IF(COUNTIFS(C$5:C925,C925,W$5:W925,1)=1,1,0),0)</f>
        <v>0</v>
      </c>
      <c r="Y925" s="30" t="n">
        <f aca="false">IF(C925="",0,IF(AND(B925="brand",E925="renewal_answer",TRIM(G925)="yes",N(F925)&gt;=Inputs!$C$135),1,0))</f>
        <v>0</v>
      </c>
      <c r="Z925" s="30" t="n">
        <f aca="false">IF(Y925=1,IF(COUNTIFS(C$5:C925,C925,Y$5:Y925,1)=1,1,0),0)</f>
        <v>0</v>
      </c>
      <c r="AA925" s="30" t="n">
        <f aca="false">IF(AND(E925="budget_probe",ISNUMBER(F925),I925&lt;&gt;Lists!$X$4),1,0)</f>
        <v>0</v>
      </c>
      <c r="AB925" s="30" t="str">
        <f aca="false">IF(AND(B925="office",AA925=1,COUNTIFS(C$5:C925,C925,AA$5:AA925,1)=1),F925,"")</f>
        <v/>
      </c>
      <c r="AC925" s="30" t="str">
        <f aca="false">IF(AND(B925="brand",AA925=1,COUNTIFS(C$5:C925,C925,AA$5:AA925,1)=1),F925,"")</f>
        <v/>
      </c>
      <c r="AD925" s="30" t="str">
        <f aca="false">IF(AND(B925="brand",E925="budget_probe",ISNUMBER(F925),I925=Lists!$X$4),IF(COUNTIFS(C$5:C925,C925,E$5:E925,"budget_probe",I$5:I925,Lists!$X$4)=1,F925,""),"")</f>
        <v/>
      </c>
      <c r="AE925" s="30" t="n">
        <f aca="false">IF(AND(B925="brand",E925="paid",ISNUMBER(F925)),IF(AND(SUMIFS(F$5:F925,B$5:B925,"brand",C$5:C925,C925,E$5:E925,"paid")&gt;=Inputs!$C$44,SUMIFS(F$5:F925,B$5:B925,"brand",C$5:C925,C925,E$5:E925,"paid")-F925&lt;Inputs!$C$44),1,0),0)</f>
        <v>0</v>
      </c>
    </row>
    <row r="926" customFormat="false" ht="15" hidden="false" customHeight="false" outlineLevel="0" collapsed="false">
      <c r="A926" s="102"/>
      <c r="B926" s="103"/>
      <c r="C926" s="103"/>
      <c r="D926" s="103"/>
      <c r="E926" s="103"/>
      <c r="F926" s="103"/>
      <c r="G926" s="103"/>
      <c r="H926" s="103"/>
      <c r="I926" s="103"/>
      <c r="T926" s="30" t="str">
        <f aca="false">IF(C926="","",IF(COUNTIFS(C$5:C926,C926,E$5:E926,E926)=1,1,0))</f>
        <v/>
      </c>
      <c r="U926" s="30" t="n">
        <f aca="false">IF(C926="",0,IF(AND(B926="brand",E926="budget_probe",N(F926)&gt;=Inputs!$C$124,H926="Y"),1,0))</f>
        <v>0</v>
      </c>
      <c r="V926" s="30" t="n">
        <f aca="false">IF(U926=1,IF(COUNTIFS(C$5:C926,C926,U$5:U926,1)=1,1,0),0)</f>
        <v>0</v>
      </c>
      <c r="W926" s="30" t="n">
        <f aca="false">IF(C926="",0,IF(AND(B926="office",E926="budget_probe",N(F926)&gt;=Inputs!$C$139),1,0))</f>
        <v>0</v>
      </c>
      <c r="X926" s="30" t="n">
        <f aca="false">IF(W926=1,IF(COUNTIFS(C$5:C926,C926,W$5:W926,1)=1,1,0),0)</f>
        <v>0</v>
      </c>
      <c r="Y926" s="30" t="n">
        <f aca="false">IF(C926="",0,IF(AND(B926="brand",E926="renewal_answer",TRIM(G926)="yes",N(F926)&gt;=Inputs!$C$135),1,0))</f>
        <v>0</v>
      </c>
      <c r="Z926" s="30" t="n">
        <f aca="false">IF(Y926=1,IF(COUNTIFS(C$5:C926,C926,Y$5:Y926,1)=1,1,0),0)</f>
        <v>0</v>
      </c>
      <c r="AA926" s="30" t="n">
        <f aca="false">IF(AND(E926="budget_probe",ISNUMBER(F926),I926&lt;&gt;Lists!$X$4),1,0)</f>
        <v>0</v>
      </c>
      <c r="AB926" s="30" t="str">
        <f aca="false">IF(AND(B926="office",AA926=1,COUNTIFS(C$5:C926,C926,AA$5:AA926,1)=1),F926,"")</f>
        <v/>
      </c>
      <c r="AC926" s="30" t="str">
        <f aca="false">IF(AND(B926="brand",AA926=1,COUNTIFS(C$5:C926,C926,AA$5:AA926,1)=1),F926,"")</f>
        <v/>
      </c>
      <c r="AD926" s="30" t="str">
        <f aca="false">IF(AND(B926="brand",E926="budget_probe",ISNUMBER(F926),I926=Lists!$X$4),IF(COUNTIFS(C$5:C926,C926,E$5:E926,"budget_probe",I$5:I926,Lists!$X$4)=1,F926,""),"")</f>
        <v/>
      </c>
      <c r="AE926" s="30" t="n">
        <f aca="false">IF(AND(B926="brand",E926="paid",ISNUMBER(F926)),IF(AND(SUMIFS(F$5:F926,B$5:B926,"brand",C$5:C926,C926,E$5:E926,"paid")&gt;=Inputs!$C$44,SUMIFS(F$5:F926,B$5:B926,"brand",C$5:C926,C926,E$5:E926,"paid")-F926&lt;Inputs!$C$44),1,0),0)</f>
        <v>0</v>
      </c>
    </row>
    <row r="927" customFormat="false" ht="15" hidden="false" customHeight="false" outlineLevel="0" collapsed="false">
      <c r="A927" s="102"/>
      <c r="B927" s="103"/>
      <c r="C927" s="103"/>
      <c r="D927" s="103"/>
      <c r="E927" s="103"/>
      <c r="F927" s="103"/>
      <c r="G927" s="103"/>
      <c r="H927" s="103"/>
      <c r="I927" s="103"/>
      <c r="T927" s="30" t="str">
        <f aca="false">IF(C927="","",IF(COUNTIFS(C$5:C927,C927,E$5:E927,E927)=1,1,0))</f>
        <v/>
      </c>
      <c r="U927" s="30" t="n">
        <f aca="false">IF(C927="",0,IF(AND(B927="brand",E927="budget_probe",N(F927)&gt;=Inputs!$C$124,H927="Y"),1,0))</f>
        <v>0</v>
      </c>
      <c r="V927" s="30" t="n">
        <f aca="false">IF(U927=1,IF(COUNTIFS(C$5:C927,C927,U$5:U927,1)=1,1,0),0)</f>
        <v>0</v>
      </c>
      <c r="W927" s="30" t="n">
        <f aca="false">IF(C927="",0,IF(AND(B927="office",E927="budget_probe",N(F927)&gt;=Inputs!$C$139),1,0))</f>
        <v>0</v>
      </c>
      <c r="X927" s="30" t="n">
        <f aca="false">IF(W927=1,IF(COUNTIFS(C$5:C927,C927,W$5:W927,1)=1,1,0),0)</f>
        <v>0</v>
      </c>
      <c r="Y927" s="30" t="n">
        <f aca="false">IF(C927="",0,IF(AND(B927="brand",E927="renewal_answer",TRIM(G927)="yes",N(F927)&gt;=Inputs!$C$135),1,0))</f>
        <v>0</v>
      </c>
      <c r="Z927" s="30" t="n">
        <f aca="false">IF(Y927=1,IF(COUNTIFS(C$5:C927,C927,Y$5:Y927,1)=1,1,0),0)</f>
        <v>0</v>
      </c>
      <c r="AA927" s="30" t="n">
        <f aca="false">IF(AND(E927="budget_probe",ISNUMBER(F927),I927&lt;&gt;Lists!$X$4),1,0)</f>
        <v>0</v>
      </c>
      <c r="AB927" s="30" t="str">
        <f aca="false">IF(AND(B927="office",AA927=1,COUNTIFS(C$5:C927,C927,AA$5:AA927,1)=1),F927,"")</f>
        <v/>
      </c>
      <c r="AC927" s="30" t="str">
        <f aca="false">IF(AND(B927="brand",AA927=1,COUNTIFS(C$5:C927,C927,AA$5:AA927,1)=1),F927,"")</f>
        <v/>
      </c>
      <c r="AD927" s="30" t="str">
        <f aca="false">IF(AND(B927="brand",E927="budget_probe",ISNUMBER(F927),I927=Lists!$X$4),IF(COUNTIFS(C$5:C927,C927,E$5:E927,"budget_probe",I$5:I927,Lists!$X$4)=1,F927,""),"")</f>
        <v/>
      </c>
      <c r="AE927" s="30" t="n">
        <f aca="false">IF(AND(B927="brand",E927="paid",ISNUMBER(F927)),IF(AND(SUMIFS(F$5:F927,B$5:B927,"brand",C$5:C927,C927,E$5:E927,"paid")&gt;=Inputs!$C$44,SUMIFS(F$5:F927,B$5:B927,"brand",C$5:C927,C927,E$5:E927,"paid")-F927&lt;Inputs!$C$44),1,0),0)</f>
        <v>0</v>
      </c>
    </row>
    <row r="928" customFormat="false" ht="15" hidden="false" customHeight="false" outlineLevel="0" collapsed="false">
      <c r="A928" s="102"/>
      <c r="B928" s="103"/>
      <c r="C928" s="103"/>
      <c r="D928" s="103"/>
      <c r="E928" s="103"/>
      <c r="F928" s="103"/>
      <c r="G928" s="103"/>
      <c r="H928" s="103"/>
      <c r="I928" s="103"/>
      <c r="T928" s="30" t="str">
        <f aca="false">IF(C928="","",IF(COUNTIFS(C$5:C928,C928,E$5:E928,E928)=1,1,0))</f>
        <v/>
      </c>
      <c r="U928" s="30" t="n">
        <f aca="false">IF(C928="",0,IF(AND(B928="brand",E928="budget_probe",N(F928)&gt;=Inputs!$C$124,H928="Y"),1,0))</f>
        <v>0</v>
      </c>
      <c r="V928" s="30" t="n">
        <f aca="false">IF(U928=1,IF(COUNTIFS(C$5:C928,C928,U$5:U928,1)=1,1,0),0)</f>
        <v>0</v>
      </c>
      <c r="W928" s="30" t="n">
        <f aca="false">IF(C928="",0,IF(AND(B928="office",E928="budget_probe",N(F928)&gt;=Inputs!$C$139),1,0))</f>
        <v>0</v>
      </c>
      <c r="X928" s="30" t="n">
        <f aca="false">IF(W928=1,IF(COUNTIFS(C$5:C928,C928,W$5:W928,1)=1,1,0),0)</f>
        <v>0</v>
      </c>
      <c r="Y928" s="30" t="n">
        <f aca="false">IF(C928="",0,IF(AND(B928="brand",E928="renewal_answer",TRIM(G928)="yes",N(F928)&gt;=Inputs!$C$135),1,0))</f>
        <v>0</v>
      </c>
      <c r="Z928" s="30" t="n">
        <f aca="false">IF(Y928=1,IF(COUNTIFS(C$5:C928,C928,Y$5:Y928,1)=1,1,0),0)</f>
        <v>0</v>
      </c>
      <c r="AA928" s="30" t="n">
        <f aca="false">IF(AND(E928="budget_probe",ISNUMBER(F928),I928&lt;&gt;Lists!$X$4),1,0)</f>
        <v>0</v>
      </c>
      <c r="AB928" s="30" t="str">
        <f aca="false">IF(AND(B928="office",AA928=1,COUNTIFS(C$5:C928,C928,AA$5:AA928,1)=1),F928,"")</f>
        <v/>
      </c>
      <c r="AC928" s="30" t="str">
        <f aca="false">IF(AND(B928="brand",AA928=1,COUNTIFS(C$5:C928,C928,AA$5:AA928,1)=1),F928,"")</f>
        <v/>
      </c>
      <c r="AD928" s="30" t="str">
        <f aca="false">IF(AND(B928="brand",E928="budget_probe",ISNUMBER(F928),I928=Lists!$X$4),IF(COUNTIFS(C$5:C928,C928,E$5:E928,"budget_probe",I$5:I928,Lists!$X$4)=1,F928,""),"")</f>
        <v/>
      </c>
      <c r="AE928" s="30" t="n">
        <f aca="false">IF(AND(B928="brand",E928="paid",ISNUMBER(F928)),IF(AND(SUMIFS(F$5:F928,B$5:B928,"brand",C$5:C928,C928,E$5:E928,"paid")&gt;=Inputs!$C$44,SUMIFS(F$5:F928,B$5:B928,"brand",C$5:C928,C928,E$5:E928,"paid")-F928&lt;Inputs!$C$44),1,0),0)</f>
        <v>0</v>
      </c>
    </row>
    <row r="929" customFormat="false" ht="15" hidden="false" customHeight="false" outlineLevel="0" collapsed="false">
      <c r="A929" s="102"/>
      <c r="B929" s="103"/>
      <c r="C929" s="103"/>
      <c r="D929" s="103"/>
      <c r="E929" s="103"/>
      <c r="F929" s="103"/>
      <c r="G929" s="103"/>
      <c r="H929" s="103"/>
      <c r="I929" s="103"/>
      <c r="T929" s="30" t="str">
        <f aca="false">IF(C929="","",IF(COUNTIFS(C$5:C929,C929,E$5:E929,E929)=1,1,0))</f>
        <v/>
      </c>
      <c r="U929" s="30" t="n">
        <f aca="false">IF(C929="",0,IF(AND(B929="brand",E929="budget_probe",N(F929)&gt;=Inputs!$C$124,H929="Y"),1,0))</f>
        <v>0</v>
      </c>
      <c r="V929" s="30" t="n">
        <f aca="false">IF(U929=1,IF(COUNTIFS(C$5:C929,C929,U$5:U929,1)=1,1,0),0)</f>
        <v>0</v>
      </c>
      <c r="W929" s="30" t="n">
        <f aca="false">IF(C929="",0,IF(AND(B929="office",E929="budget_probe",N(F929)&gt;=Inputs!$C$139),1,0))</f>
        <v>0</v>
      </c>
      <c r="X929" s="30" t="n">
        <f aca="false">IF(W929=1,IF(COUNTIFS(C$5:C929,C929,W$5:W929,1)=1,1,0),0)</f>
        <v>0</v>
      </c>
      <c r="Y929" s="30" t="n">
        <f aca="false">IF(C929="",0,IF(AND(B929="brand",E929="renewal_answer",TRIM(G929)="yes",N(F929)&gt;=Inputs!$C$135),1,0))</f>
        <v>0</v>
      </c>
      <c r="Z929" s="30" t="n">
        <f aca="false">IF(Y929=1,IF(COUNTIFS(C$5:C929,C929,Y$5:Y929,1)=1,1,0),0)</f>
        <v>0</v>
      </c>
      <c r="AA929" s="30" t="n">
        <f aca="false">IF(AND(E929="budget_probe",ISNUMBER(F929),I929&lt;&gt;Lists!$X$4),1,0)</f>
        <v>0</v>
      </c>
      <c r="AB929" s="30" t="str">
        <f aca="false">IF(AND(B929="office",AA929=1,COUNTIFS(C$5:C929,C929,AA$5:AA929,1)=1),F929,"")</f>
        <v/>
      </c>
      <c r="AC929" s="30" t="str">
        <f aca="false">IF(AND(B929="brand",AA929=1,COUNTIFS(C$5:C929,C929,AA$5:AA929,1)=1),F929,"")</f>
        <v/>
      </c>
      <c r="AD929" s="30" t="str">
        <f aca="false">IF(AND(B929="brand",E929="budget_probe",ISNUMBER(F929),I929=Lists!$X$4),IF(COUNTIFS(C$5:C929,C929,E$5:E929,"budget_probe",I$5:I929,Lists!$X$4)=1,F929,""),"")</f>
        <v/>
      </c>
      <c r="AE929" s="30" t="n">
        <f aca="false">IF(AND(B929="brand",E929="paid",ISNUMBER(F929)),IF(AND(SUMIFS(F$5:F929,B$5:B929,"brand",C$5:C929,C929,E$5:E929,"paid")&gt;=Inputs!$C$44,SUMIFS(F$5:F929,B$5:B929,"brand",C$5:C929,C929,E$5:E929,"paid")-F929&lt;Inputs!$C$44),1,0),0)</f>
        <v>0</v>
      </c>
    </row>
    <row r="930" customFormat="false" ht="15" hidden="false" customHeight="false" outlineLevel="0" collapsed="false">
      <c r="A930" s="102"/>
      <c r="B930" s="103"/>
      <c r="C930" s="103"/>
      <c r="D930" s="103"/>
      <c r="E930" s="103"/>
      <c r="F930" s="103"/>
      <c r="G930" s="103"/>
      <c r="H930" s="103"/>
      <c r="I930" s="103"/>
      <c r="T930" s="30" t="str">
        <f aca="false">IF(C930="","",IF(COUNTIFS(C$5:C930,C930,E$5:E930,E930)=1,1,0))</f>
        <v/>
      </c>
      <c r="U930" s="30" t="n">
        <f aca="false">IF(C930="",0,IF(AND(B930="brand",E930="budget_probe",N(F930)&gt;=Inputs!$C$124,H930="Y"),1,0))</f>
        <v>0</v>
      </c>
      <c r="V930" s="30" t="n">
        <f aca="false">IF(U930=1,IF(COUNTIFS(C$5:C930,C930,U$5:U930,1)=1,1,0),0)</f>
        <v>0</v>
      </c>
      <c r="W930" s="30" t="n">
        <f aca="false">IF(C930="",0,IF(AND(B930="office",E930="budget_probe",N(F930)&gt;=Inputs!$C$139),1,0))</f>
        <v>0</v>
      </c>
      <c r="X930" s="30" t="n">
        <f aca="false">IF(W930=1,IF(COUNTIFS(C$5:C930,C930,W$5:W930,1)=1,1,0),0)</f>
        <v>0</v>
      </c>
      <c r="Y930" s="30" t="n">
        <f aca="false">IF(C930="",0,IF(AND(B930="brand",E930="renewal_answer",TRIM(G930)="yes",N(F930)&gt;=Inputs!$C$135),1,0))</f>
        <v>0</v>
      </c>
      <c r="Z930" s="30" t="n">
        <f aca="false">IF(Y930=1,IF(COUNTIFS(C$5:C930,C930,Y$5:Y930,1)=1,1,0),0)</f>
        <v>0</v>
      </c>
      <c r="AA930" s="30" t="n">
        <f aca="false">IF(AND(E930="budget_probe",ISNUMBER(F930),I930&lt;&gt;Lists!$X$4),1,0)</f>
        <v>0</v>
      </c>
      <c r="AB930" s="30" t="str">
        <f aca="false">IF(AND(B930="office",AA930=1,COUNTIFS(C$5:C930,C930,AA$5:AA930,1)=1),F930,"")</f>
        <v/>
      </c>
      <c r="AC930" s="30" t="str">
        <f aca="false">IF(AND(B930="brand",AA930=1,COUNTIFS(C$5:C930,C930,AA$5:AA930,1)=1),F930,"")</f>
        <v/>
      </c>
      <c r="AD930" s="30" t="str">
        <f aca="false">IF(AND(B930="brand",E930="budget_probe",ISNUMBER(F930),I930=Lists!$X$4),IF(COUNTIFS(C$5:C930,C930,E$5:E930,"budget_probe",I$5:I930,Lists!$X$4)=1,F930,""),"")</f>
        <v/>
      </c>
      <c r="AE930" s="30" t="n">
        <f aca="false">IF(AND(B930="brand",E930="paid",ISNUMBER(F930)),IF(AND(SUMIFS(F$5:F930,B$5:B930,"brand",C$5:C930,C930,E$5:E930,"paid")&gt;=Inputs!$C$44,SUMIFS(F$5:F930,B$5:B930,"brand",C$5:C930,C930,E$5:E930,"paid")-F930&lt;Inputs!$C$44),1,0),0)</f>
        <v>0</v>
      </c>
    </row>
    <row r="931" customFormat="false" ht="15" hidden="false" customHeight="false" outlineLevel="0" collapsed="false">
      <c r="A931" s="102"/>
      <c r="B931" s="103"/>
      <c r="C931" s="103"/>
      <c r="D931" s="103"/>
      <c r="E931" s="103"/>
      <c r="F931" s="103"/>
      <c r="G931" s="103"/>
      <c r="H931" s="103"/>
      <c r="I931" s="103"/>
      <c r="T931" s="30" t="str">
        <f aca="false">IF(C931="","",IF(COUNTIFS(C$5:C931,C931,E$5:E931,E931)=1,1,0))</f>
        <v/>
      </c>
      <c r="U931" s="30" t="n">
        <f aca="false">IF(C931="",0,IF(AND(B931="brand",E931="budget_probe",N(F931)&gt;=Inputs!$C$124,H931="Y"),1,0))</f>
        <v>0</v>
      </c>
      <c r="V931" s="30" t="n">
        <f aca="false">IF(U931=1,IF(COUNTIFS(C$5:C931,C931,U$5:U931,1)=1,1,0),0)</f>
        <v>0</v>
      </c>
      <c r="W931" s="30" t="n">
        <f aca="false">IF(C931="",0,IF(AND(B931="office",E931="budget_probe",N(F931)&gt;=Inputs!$C$139),1,0))</f>
        <v>0</v>
      </c>
      <c r="X931" s="30" t="n">
        <f aca="false">IF(W931=1,IF(COUNTIFS(C$5:C931,C931,W$5:W931,1)=1,1,0),0)</f>
        <v>0</v>
      </c>
      <c r="Y931" s="30" t="n">
        <f aca="false">IF(C931="",0,IF(AND(B931="brand",E931="renewal_answer",TRIM(G931)="yes",N(F931)&gt;=Inputs!$C$135),1,0))</f>
        <v>0</v>
      </c>
      <c r="Z931" s="30" t="n">
        <f aca="false">IF(Y931=1,IF(COUNTIFS(C$5:C931,C931,Y$5:Y931,1)=1,1,0),0)</f>
        <v>0</v>
      </c>
      <c r="AA931" s="30" t="n">
        <f aca="false">IF(AND(E931="budget_probe",ISNUMBER(F931),I931&lt;&gt;Lists!$X$4),1,0)</f>
        <v>0</v>
      </c>
      <c r="AB931" s="30" t="str">
        <f aca="false">IF(AND(B931="office",AA931=1,COUNTIFS(C$5:C931,C931,AA$5:AA931,1)=1),F931,"")</f>
        <v/>
      </c>
      <c r="AC931" s="30" t="str">
        <f aca="false">IF(AND(B931="brand",AA931=1,COUNTIFS(C$5:C931,C931,AA$5:AA931,1)=1),F931,"")</f>
        <v/>
      </c>
      <c r="AD931" s="30" t="str">
        <f aca="false">IF(AND(B931="brand",E931="budget_probe",ISNUMBER(F931),I931=Lists!$X$4),IF(COUNTIFS(C$5:C931,C931,E$5:E931,"budget_probe",I$5:I931,Lists!$X$4)=1,F931,""),"")</f>
        <v/>
      </c>
      <c r="AE931" s="30" t="n">
        <f aca="false">IF(AND(B931="brand",E931="paid",ISNUMBER(F931)),IF(AND(SUMIFS(F$5:F931,B$5:B931,"brand",C$5:C931,C931,E$5:E931,"paid")&gt;=Inputs!$C$44,SUMIFS(F$5:F931,B$5:B931,"brand",C$5:C931,C931,E$5:E931,"paid")-F931&lt;Inputs!$C$44),1,0),0)</f>
        <v>0</v>
      </c>
    </row>
    <row r="932" customFormat="false" ht="15" hidden="false" customHeight="false" outlineLevel="0" collapsed="false">
      <c r="A932" s="102"/>
      <c r="B932" s="103"/>
      <c r="C932" s="103"/>
      <c r="D932" s="103"/>
      <c r="E932" s="103"/>
      <c r="F932" s="103"/>
      <c r="G932" s="103"/>
      <c r="H932" s="103"/>
      <c r="I932" s="103"/>
      <c r="T932" s="30" t="str">
        <f aca="false">IF(C932="","",IF(COUNTIFS(C$5:C932,C932,E$5:E932,E932)=1,1,0))</f>
        <v/>
      </c>
      <c r="U932" s="30" t="n">
        <f aca="false">IF(C932="",0,IF(AND(B932="brand",E932="budget_probe",N(F932)&gt;=Inputs!$C$124,H932="Y"),1,0))</f>
        <v>0</v>
      </c>
      <c r="V932" s="30" t="n">
        <f aca="false">IF(U932=1,IF(COUNTIFS(C$5:C932,C932,U$5:U932,1)=1,1,0),0)</f>
        <v>0</v>
      </c>
      <c r="W932" s="30" t="n">
        <f aca="false">IF(C932="",0,IF(AND(B932="office",E932="budget_probe",N(F932)&gt;=Inputs!$C$139),1,0))</f>
        <v>0</v>
      </c>
      <c r="X932" s="30" t="n">
        <f aca="false">IF(W932=1,IF(COUNTIFS(C$5:C932,C932,W$5:W932,1)=1,1,0),0)</f>
        <v>0</v>
      </c>
      <c r="Y932" s="30" t="n">
        <f aca="false">IF(C932="",0,IF(AND(B932="brand",E932="renewal_answer",TRIM(G932)="yes",N(F932)&gt;=Inputs!$C$135),1,0))</f>
        <v>0</v>
      </c>
      <c r="Z932" s="30" t="n">
        <f aca="false">IF(Y932=1,IF(COUNTIFS(C$5:C932,C932,Y$5:Y932,1)=1,1,0),0)</f>
        <v>0</v>
      </c>
      <c r="AA932" s="30" t="n">
        <f aca="false">IF(AND(E932="budget_probe",ISNUMBER(F932),I932&lt;&gt;Lists!$X$4),1,0)</f>
        <v>0</v>
      </c>
      <c r="AB932" s="30" t="str">
        <f aca="false">IF(AND(B932="office",AA932=1,COUNTIFS(C$5:C932,C932,AA$5:AA932,1)=1),F932,"")</f>
        <v/>
      </c>
      <c r="AC932" s="30" t="str">
        <f aca="false">IF(AND(B932="brand",AA932=1,COUNTIFS(C$5:C932,C932,AA$5:AA932,1)=1),F932,"")</f>
        <v/>
      </c>
      <c r="AD932" s="30" t="str">
        <f aca="false">IF(AND(B932="brand",E932="budget_probe",ISNUMBER(F932),I932=Lists!$X$4),IF(COUNTIFS(C$5:C932,C932,E$5:E932,"budget_probe",I$5:I932,Lists!$X$4)=1,F932,""),"")</f>
        <v/>
      </c>
      <c r="AE932" s="30" t="n">
        <f aca="false">IF(AND(B932="brand",E932="paid",ISNUMBER(F932)),IF(AND(SUMIFS(F$5:F932,B$5:B932,"brand",C$5:C932,C932,E$5:E932,"paid")&gt;=Inputs!$C$44,SUMIFS(F$5:F932,B$5:B932,"brand",C$5:C932,C932,E$5:E932,"paid")-F932&lt;Inputs!$C$44),1,0),0)</f>
        <v>0</v>
      </c>
    </row>
    <row r="933" customFormat="false" ht="15" hidden="false" customHeight="false" outlineLevel="0" collapsed="false">
      <c r="A933" s="102"/>
      <c r="B933" s="103"/>
      <c r="C933" s="103"/>
      <c r="D933" s="103"/>
      <c r="E933" s="103"/>
      <c r="F933" s="103"/>
      <c r="G933" s="103"/>
      <c r="H933" s="103"/>
      <c r="I933" s="103"/>
      <c r="T933" s="30" t="str">
        <f aca="false">IF(C933="","",IF(COUNTIFS(C$5:C933,C933,E$5:E933,E933)=1,1,0))</f>
        <v/>
      </c>
      <c r="U933" s="30" t="n">
        <f aca="false">IF(C933="",0,IF(AND(B933="brand",E933="budget_probe",N(F933)&gt;=Inputs!$C$124,H933="Y"),1,0))</f>
        <v>0</v>
      </c>
      <c r="V933" s="30" t="n">
        <f aca="false">IF(U933=1,IF(COUNTIFS(C$5:C933,C933,U$5:U933,1)=1,1,0),0)</f>
        <v>0</v>
      </c>
      <c r="W933" s="30" t="n">
        <f aca="false">IF(C933="",0,IF(AND(B933="office",E933="budget_probe",N(F933)&gt;=Inputs!$C$139),1,0))</f>
        <v>0</v>
      </c>
      <c r="X933" s="30" t="n">
        <f aca="false">IF(W933=1,IF(COUNTIFS(C$5:C933,C933,W$5:W933,1)=1,1,0),0)</f>
        <v>0</v>
      </c>
      <c r="Y933" s="30" t="n">
        <f aca="false">IF(C933="",0,IF(AND(B933="brand",E933="renewal_answer",TRIM(G933)="yes",N(F933)&gt;=Inputs!$C$135),1,0))</f>
        <v>0</v>
      </c>
      <c r="Z933" s="30" t="n">
        <f aca="false">IF(Y933=1,IF(COUNTIFS(C$5:C933,C933,Y$5:Y933,1)=1,1,0),0)</f>
        <v>0</v>
      </c>
      <c r="AA933" s="30" t="n">
        <f aca="false">IF(AND(E933="budget_probe",ISNUMBER(F933),I933&lt;&gt;Lists!$X$4),1,0)</f>
        <v>0</v>
      </c>
      <c r="AB933" s="30" t="str">
        <f aca="false">IF(AND(B933="office",AA933=1,COUNTIFS(C$5:C933,C933,AA$5:AA933,1)=1),F933,"")</f>
        <v/>
      </c>
      <c r="AC933" s="30" t="str">
        <f aca="false">IF(AND(B933="brand",AA933=1,COUNTIFS(C$5:C933,C933,AA$5:AA933,1)=1),F933,"")</f>
        <v/>
      </c>
      <c r="AD933" s="30" t="str">
        <f aca="false">IF(AND(B933="brand",E933="budget_probe",ISNUMBER(F933),I933=Lists!$X$4),IF(COUNTIFS(C$5:C933,C933,E$5:E933,"budget_probe",I$5:I933,Lists!$X$4)=1,F933,""),"")</f>
        <v/>
      </c>
      <c r="AE933" s="30" t="n">
        <f aca="false">IF(AND(B933="brand",E933="paid",ISNUMBER(F933)),IF(AND(SUMIFS(F$5:F933,B$5:B933,"brand",C$5:C933,C933,E$5:E933,"paid")&gt;=Inputs!$C$44,SUMIFS(F$5:F933,B$5:B933,"brand",C$5:C933,C933,E$5:E933,"paid")-F933&lt;Inputs!$C$44),1,0),0)</f>
        <v>0</v>
      </c>
    </row>
    <row r="934" customFormat="false" ht="15" hidden="false" customHeight="false" outlineLevel="0" collapsed="false">
      <c r="A934" s="102"/>
      <c r="B934" s="103"/>
      <c r="C934" s="103"/>
      <c r="D934" s="103"/>
      <c r="E934" s="103"/>
      <c r="F934" s="103"/>
      <c r="G934" s="103"/>
      <c r="H934" s="103"/>
      <c r="I934" s="103"/>
      <c r="T934" s="30" t="str">
        <f aca="false">IF(C934="","",IF(COUNTIFS(C$5:C934,C934,E$5:E934,E934)=1,1,0))</f>
        <v/>
      </c>
      <c r="U934" s="30" t="n">
        <f aca="false">IF(C934="",0,IF(AND(B934="brand",E934="budget_probe",N(F934)&gt;=Inputs!$C$124,H934="Y"),1,0))</f>
        <v>0</v>
      </c>
      <c r="V934" s="30" t="n">
        <f aca="false">IF(U934=1,IF(COUNTIFS(C$5:C934,C934,U$5:U934,1)=1,1,0),0)</f>
        <v>0</v>
      </c>
      <c r="W934" s="30" t="n">
        <f aca="false">IF(C934="",0,IF(AND(B934="office",E934="budget_probe",N(F934)&gt;=Inputs!$C$139),1,0))</f>
        <v>0</v>
      </c>
      <c r="X934" s="30" t="n">
        <f aca="false">IF(W934=1,IF(COUNTIFS(C$5:C934,C934,W$5:W934,1)=1,1,0),0)</f>
        <v>0</v>
      </c>
      <c r="Y934" s="30" t="n">
        <f aca="false">IF(C934="",0,IF(AND(B934="brand",E934="renewal_answer",TRIM(G934)="yes",N(F934)&gt;=Inputs!$C$135),1,0))</f>
        <v>0</v>
      </c>
      <c r="Z934" s="30" t="n">
        <f aca="false">IF(Y934=1,IF(COUNTIFS(C$5:C934,C934,Y$5:Y934,1)=1,1,0),0)</f>
        <v>0</v>
      </c>
      <c r="AA934" s="30" t="n">
        <f aca="false">IF(AND(E934="budget_probe",ISNUMBER(F934),I934&lt;&gt;Lists!$X$4),1,0)</f>
        <v>0</v>
      </c>
      <c r="AB934" s="30" t="str">
        <f aca="false">IF(AND(B934="office",AA934=1,COUNTIFS(C$5:C934,C934,AA$5:AA934,1)=1),F934,"")</f>
        <v/>
      </c>
      <c r="AC934" s="30" t="str">
        <f aca="false">IF(AND(B934="brand",AA934=1,COUNTIFS(C$5:C934,C934,AA$5:AA934,1)=1),F934,"")</f>
        <v/>
      </c>
      <c r="AD934" s="30" t="str">
        <f aca="false">IF(AND(B934="brand",E934="budget_probe",ISNUMBER(F934),I934=Lists!$X$4),IF(COUNTIFS(C$5:C934,C934,E$5:E934,"budget_probe",I$5:I934,Lists!$X$4)=1,F934,""),"")</f>
        <v/>
      </c>
      <c r="AE934" s="30" t="n">
        <f aca="false">IF(AND(B934="brand",E934="paid",ISNUMBER(F934)),IF(AND(SUMIFS(F$5:F934,B$5:B934,"brand",C$5:C934,C934,E$5:E934,"paid")&gt;=Inputs!$C$44,SUMIFS(F$5:F934,B$5:B934,"brand",C$5:C934,C934,E$5:E934,"paid")-F934&lt;Inputs!$C$44),1,0),0)</f>
        <v>0</v>
      </c>
    </row>
    <row r="935" customFormat="false" ht="15" hidden="false" customHeight="false" outlineLevel="0" collapsed="false">
      <c r="A935" s="102"/>
      <c r="B935" s="103"/>
      <c r="C935" s="103"/>
      <c r="D935" s="103"/>
      <c r="E935" s="103"/>
      <c r="F935" s="103"/>
      <c r="G935" s="103"/>
      <c r="H935" s="103"/>
      <c r="I935" s="103"/>
      <c r="T935" s="30" t="str">
        <f aca="false">IF(C935="","",IF(COUNTIFS(C$5:C935,C935,E$5:E935,E935)=1,1,0))</f>
        <v/>
      </c>
      <c r="U935" s="30" t="n">
        <f aca="false">IF(C935="",0,IF(AND(B935="brand",E935="budget_probe",N(F935)&gt;=Inputs!$C$124,H935="Y"),1,0))</f>
        <v>0</v>
      </c>
      <c r="V935" s="30" t="n">
        <f aca="false">IF(U935=1,IF(COUNTIFS(C$5:C935,C935,U$5:U935,1)=1,1,0),0)</f>
        <v>0</v>
      </c>
      <c r="W935" s="30" t="n">
        <f aca="false">IF(C935="",0,IF(AND(B935="office",E935="budget_probe",N(F935)&gt;=Inputs!$C$139),1,0))</f>
        <v>0</v>
      </c>
      <c r="X935" s="30" t="n">
        <f aca="false">IF(W935=1,IF(COUNTIFS(C$5:C935,C935,W$5:W935,1)=1,1,0),0)</f>
        <v>0</v>
      </c>
      <c r="Y935" s="30" t="n">
        <f aca="false">IF(C935="",0,IF(AND(B935="brand",E935="renewal_answer",TRIM(G935)="yes",N(F935)&gt;=Inputs!$C$135),1,0))</f>
        <v>0</v>
      </c>
      <c r="Z935" s="30" t="n">
        <f aca="false">IF(Y935=1,IF(COUNTIFS(C$5:C935,C935,Y$5:Y935,1)=1,1,0),0)</f>
        <v>0</v>
      </c>
      <c r="AA935" s="30" t="n">
        <f aca="false">IF(AND(E935="budget_probe",ISNUMBER(F935),I935&lt;&gt;Lists!$X$4),1,0)</f>
        <v>0</v>
      </c>
      <c r="AB935" s="30" t="str">
        <f aca="false">IF(AND(B935="office",AA935=1,COUNTIFS(C$5:C935,C935,AA$5:AA935,1)=1),F935,"")</f>
        <v/>
      </c>
      <c r="AC935" s="30" t="str">
        <f aca="false">IF(AND(B935="brand",AA935=1,COUNTIFS(C$5:C935,C935,AA$5:AA935,1)=1),F935,"")</f>
        <v/>
      </c>
      <c r="AD935" s="30" t="str">
        <f aca="false">IF(AND(B935="brand",E935="budget_probe",ISNUMBER(F935),I935=Lists!$X$4),IF(COUNTIFS(C$5:C935,C935,E$5:E935,"budget_probe",I$5:I935,Lists!$X$4)=1,F935,""),"")</f>
        <v/>
      </c>
      <c r="AE935" s="30" t="n">
        <f aca="false">IF(AND(B935="brand",E935="paid",ISNUMBER(F935)),IF(AND(SUMIFS(F$5:F935,B$5:B935,"brand",C$5:C935,C935,E$5:E935,"paid")&gt;=Inputs!$C$44,SUMIFS(F$5:F935,B$5:B935,"brand",C$5:C935,C935,E$5:E935,"paid")-F935&lt;Inputs!$C$44),1,0),0)</f>
        <v>0</v>
      </c>
    </row>
    <row r="936" customFormat="false" ht="15" hidden="false" customHeight="false" outlineLevel="0" collapsed="false">
      <c r="A936" s="102"/>
      <c r="B936" s="103"/>
      <c r="C936" s="103"/>
      <c r="D936" s="103"/>
      <c r="E936" s="103"/>
      <c r="F936" s="103"/>
      <c r="G936" s="103"/>
      <c r="H936" s="103"/>
      <c r="I936" s="103"/>
      <c r="T936" s="30" t="str">
        <f aca="false">IF(C936="","",IF(COUNTIFS(C$5:C936,C936,E$5:E936,E936)=1,1,0))</f>
        <v/>
      </c>
      <c r="U936" s="30" t="n">
        <f aca="false">IF(C936="",0,IF(AND(B936="brand",E936="budget_probe",N(F936)&gt;=Inputs!$C$124,H936="Y"),1,0))</f>
        <v>0</v>
      </c>
      <c r="V936" s="30" t="n">
        <f aca="false">IF(U936=1,IF(COUNTIFS(C$5:C936,C936,U$5:U936,1)=1,1,0),0)</f>
        <v>0</v>
      </c>
      <c r="W936" s="30" t="n">
        <f aca="false">IF(C936="",0,IF(AND(B936="office",E936="budget_probe",N(F936)&gt;=Inputs!$C$139),1,0))</f>
        <v>0</v>
      </c>
      <c r="X936" s="30" t="n">
        <f aca="false">IF(W936=1,IF(COUNTIFS(C$5:C936,C936,W$5:W936,1)=1,1,0),0)</f>
        <v>0</v>
      </c>
      <c r="Y936" s="30" t="n">
        <f aca="false">IF(C936="",0,IF(AND(B936="brand",E936="renewal_answer",TRIM(G936)="yes",N(F936)&gt;=Inputs!$C$135),1,0))</f>
        <v>0</v>
      </c>
      <c r="Z936" s="30" t="n">
        <f aca="false">IF(Y936=1,IF(COUNTIFS(C$5:C936,C936,Y$5:Y936,1)=1,1,0),0)</f>
        <v>0</v>
      </c>
      <c r="AA936" s="30" t="n">
        <f aca="false">IF(AND(E936="budget_probe",ISNUMBER(F936),I936&lt;&gt;Lists!$X$4),1,0)</f>
        <v>0</v>
      </c>
      <c r="AB936" s="30" t="str">
        <f aca="false">IF(AND(B936="office",AA936=1,COUNTIFS(C$5:C936,C936,AA$5:AA936,1)=1),F936,"")</f>
        <v/>
      </c>
      <c r="AC936" s="30" t="str">
        <f aca="false">IF(AND(B936="brand",AA936=1,COUNTIFS(C$5:C936,C936,AA$5:AA936,1)=1),F936,"")</f>
        <v/>
      </c>
      <c r="AD936" s="30" t="str">
        <f aca="false">IF(AND(B936="brand",E936="budget_probe",ISNUMBER(F936),I936=Lists!$X$4),IF(COUNTIFS(C$5:C936,C936,E$5:E936,"budget_probe",I$5:I936,Lists!$X$4)=1,F936,""),"")</f>
        <v/>
      </c>
      <c r="AE936" s="30" t="n">
        <f aca="false">IF(AND(B936="brand",E936="paid",ISNUMBER(F936)),IF(AND(SUMIFS(F$5:F936,B$5:B936,"brand",C$5:C936,C936,E$5:E936,"paid")&gt;=Inputs!$C$44,SUMIFS(F$5:F936,B$5:B936,"brand",C$5:C936,C936,E$5:E936,"paid")-F936&lt;Inputs!$C$44),1,0),0)</f>
        <v>0</v>
      </c>
    </row>
    <row r="937" customFormat="false" ht="15" hidden="false" customHeight="false" outlineLevel="0" collapsed="false">
      <c r="A937" s="102"/>
      <c r="B937" s="103"/>
      <c r="C937" s="103"/>
      <c r="D937" s="103"/>
      <c r="E937" s="103"/>
      <c r="F937" s="103"/>
      <c r="G937" s="103"/>
      <c r="H937" s="103"/>
      <c r="I937" s="103"/>
      <c r="T937" s="30" t="str">
        <f aca="false">IF(C937="","",IF(COUNTIFS(C$5:C937,C937,E$5:E937,E937)=1,1,0))</f>
        <v/>
      </c>
      <c r="U937" s="30" t="n">
        <f aca="false">IF(C937="",0,IF(AND(B937="brand",E937="budget_probe",N(F937)&gt;=Inputs!$C$124,H937="Y"),1,0))</f>
        <v>0</v>
      </c>
      <c r="V937" s="30" t="n">
        <f aca="false">IF(U937=1,IF(COUNTIFS(C$5:C937,C937,U$5:U937,1)=1,1,0),0)</f>
        <v>0</v>
      </c>
      <c r="W937" s="30" t="n">
        <f aca="false">IF(C937="",0,IF(AND(B937="office",E937="budget_probe",N(F937)&gt;=Inputs!$C$139),1,0))</f>
        <v>0</v>
      </c>
      <c r="X937" s="30" t="n">
        <f aca="false">IF(W937=1,IF(COUNTIFS(C$5:C937,C937,W$5:W937,1)=1,1,0),0)</f>
        <v>0</v>
      </c>
      <c r="Y937" s="30" t="n">
        <f aca="false">IF(C937="",0,IF(AND(B937="brand",E937="renewal_answer",TRIM(G937)="yes",N(F937)&gt;=Inputs!$C$135),1,0))</f>
        <v>0</v>
      </c>
      <c r="Z937" s="30" t="n">
        <f aca="false">IF(Y937=1,IF(COUNTIFS(C$5:C937,C937,Y$5:Y937,1)=1,1,0),0)</f>
        <v>0</v>
      </c>
      <c r="AA937" s="30" t="n">
        <f aca="false">IF(AND(E937="budget_probe",ISNUMBER(F937),I937&lt;&gt;Lists!$X$4),1,0)</f>
        <v>0</v>
      </c>
      <c r="AB937" s="30" t="str">
        <f aca="false">IF(AND(B937="office",AA937=1,COUNTIFS(C$5:C937,C937,AA$5:AA937,1)=1),F937,"")</f>
        <v/>
      </c>
      <c r="AC937" s="30" t="str">
        <f aca="false">IF(AND(B937="brand",AA937=1,COUNTIFS(C$5:C937,C937,AA$5:AA937,1)=1),F937,"")</f>
        <v/>
      </c>
      <c r="AD937" s="30" t="str">
        <f aca="false">IF(AND(B937="brand",E937="budget_probe",ISNUMBER(F937),I937=Lists!$X$4),IF(COUNTIFS(C$5:C937,C937,E$5:E937,"budget_probe",I$5:I937,Lists!$X$4)=1,F937,""),"")</f>
        <v/>
      </c>
      <c r="AE937" s="30" t="n">
        <f aca="false">IF(AND(B937="brand",E937="paid",ISNUMBER(F937)),IF(AND(SUMIFS(F$5:F937,B$5:B937,"brand",C$5:C937,C937,E$5:E937,"paid")&gt;=Inputs!$C$44,SUMIFS(F$5:F937,B$5:B937,"brand",C$5:C937,C937,E$5:E937,"paid")-F937&lt;Inputs!$C$44),1,0),0)</f>
        <v>0</v>
      </c>
    </row>
    <row r="938" customFormat="false" ht="15" hidden="false" customHeight="false" outlineLevel="0" collapsed="false">
      <c r="A938" s="102"/>
      <c r="B938" s="103"/>
      <c r="C938" s="103"/>
      <c r="D938" s="103"/>
      <c r="E938" s="103"/>
      <c r="F938" s="103"/>
      <c r="G938" s="103"/>
      <c r="H938" s="103"/>
      <c r="I938" s="103"/>
      <c r="T938" s="30" t="str">
        <f aca="false">IF(C938="","",IF(COUNTIFS(C$5:C938,C938,E$5:E938,E938)=1,1,0))</f>
        <v/>
      </c>
      <c r="U938" s="30" t="n">
        <f aca="false">IF(C938="",0,IF(AND(B938="brand",E938="budget_probe",N(F938)&gt;=Inputs!$C$124,H938="Y"),1,0))</f>
        <v>0</v>
      </c>
      <c r="V938" s="30" t="n">
        <f aca="false">IF(U938=1,IF(COUNTIFS(C$5:C938,C938,U$5:U938,1)=1,1,0),0)</f>
        <v>0</v>
      </c>
      <c r="W938" s="30" t="n">
        <f aca="false">IF(C938="",0,IF(AND(B938="office",E938="budget_probe",N(F938)&gt;=Inputs!$C$139),1,0))</f>
        <v>0</v>
      </c>
      <c r="X938" s="30" t="n">
        <f aca="false">IF(W938=1,IF(COUNTIFS(C$5:C938,C938,W$5:W938,1)=1,1,0),0)</f>
        <v>0</v>
      </c>
      <c r="Y938" s="30" t="n">
        <f aca="false">IF(C938="",0,IF(AND(B938="brand",E938="renewal_answer",TRIM(G938)="yes",N(F938)&gt;=Inputs!$C$135),1,0))</f>
        <v>0</v>
      </c>
      <c r="Z938" s="30" t="n">
        <f aca="false">IF(Y938=1,IF(COUNTIFS(C$5:C938,C938,Y$5:Y938,1)=1,1,0),0)</f>
        <v>0</v>
      </c>
      <c r="AA938" s="30" t="n">
        <f aca="false">IF(AND(E938="budget_probe",ISNUMBER(F938),I938&lt;&gt;Lists!$X$4),1,0)</f>
        <v>0</v>
      </c>
      <c r="AB938" s="30" t="str">
        <f aca="false">IF(AND(B938="office",AA938=1,COUNTIFS(C$5:C938,C938,AA$5:AA938,1)=1),F938,"")</f>
        <v/>
      </c>
      <c r="AC938" s="30" t="str">
        <f aca="false">IF(AND(B938="brand",AA938=1,COUNTIFS(C$5:C938,C938,AA$5:AA938,1)=1),F938,"")</f>
        <v/>
      </c>
      <c r="AD938" s="30" t="str">
        <f aca="false">IF(AND(B938="brand",E938="budget_probe",ISNUMBER(F938),I938=Lists!$X$4),IF(COUNTIFS(C$5:C938,C938,E$5:E938,"budget_probe",I$5:I938,Lists!$X$4)=1,F938,""),"")</f>
        <v/>
      </c>
      <c r="AE938" s="30" t="n">
        <f aca="false">IF(AND(B938="brand",E938="paid",ISNUMBER(F938)),IF(AND(SUMIFS(F$5:F938,B$5:B938,"brand",C$5:C938,C938,E$5:E938,"paid")&gt;=Inputs!$C$44,SUMIFS(F$5:F938,B$5:B938,"brand",C$5:C938,C938,E$5:E938,"paid")-F938&lt;Inputs!$C$44),1,0),0)</f>
        <v>0</v>
      </c>
    </row>
    <row r="939" customFormat="false" ht="15" hidden="false" customHeight="false" outlineLevel="0" collapsed="false">
      <c r="A939" s="102"/>
      <c r="B939" s="103"/>
      <c r="C939" s="103"/>
      <c r="D939" s="103"/>
      <c r="E939" s="103"/>
      <c r="F939" s="103"/>
      <c r="G939" s="103"/>
      <c r="H939" s="103"/>
      <c r="I939" s="103"/>
      <c r="T939" s="30" t="str">
        <f aca="false">IF(C939="","",IF(COUNTIFS(C$5:C939,C939,E$5:E939,E939)=1,1,0))</f>
        <v/>
      </c>
      <c r="U939" s="30" t="n">
        <f aca="false">IF(C939="",0,IF(AND(B939="brand",E939="budget_probe",N(F939)&gt;=Inputs!$C$124,H939="Y"),1,0))</f>
        <v>0</v>
      </c>
      <c r="V939" s="30" t="n">
        <f aca="false">IF(U939=1,IF(COUNTIFS(C$5:C939,C939,U$5:U939,1)=1,1,0),0)</f>
        <v>0</v>
      </c>
      <c r="W939" s="30" t="n">
        <f aca="false">IF(C939="",0,IF(AND(B939="office",E939="budget_probe",N(F939)&gt;=Inputs!$C$139),1,0))</f>
        <v>0</v>
      </c>
      <c r="X939" s="30" t="n">
        <f aca="false">IF(W939=1,IF(COUNTIFS(C$5:C939,C939,W$5:W939,1)=1,1,0),0)</f>
        <v>0</v>
      </c>
      <c r="Y939" s="30" t="n">
        <f aca="false">IF(C939="",0,IF(AND(B939="brand",E939="renewal_answer",TRIM(G939)="yes",N(F939)&gt;=Inputs!$C$135),1,0))</f>
        <v>0</v>
      </c>
      <c r="Z939" s="30" t="n">
        <f aca="false">IF(Y939=1,IF(COUNTIFS(C$5:C939,C939,Y$5:Y939,1)=1,1,0),0)</f>
        <v>0</v>
      </c>
      <c r="AA939" s="30" t="n">
        <f aca="false">IF(AND(E939="budget_probe",ISNUMBER(F939),I939&lt;&gt;Lists!$X$4),1,0)</f>
        <v>0</v>
      </c>
      <c r="AB939" s="30" t="str">
        <f aca="false">IF(AND(B939="office",AA939=1,COUNTIFS(C$5:C939,C939,AA$5:AA939,1)=1),F939,"")</f>
        <v/>
      </c>
      <c r="AC939" s="30" t="str">
        <f aca="false">IF(AND(B939="brand",AA939=1,COUNTIFS(C$5:C939,C939,AA$5:AA939,1)=1),F939,"")</f>
        <v/>
      </c>
      <c r="AD939" s="30" t="str">
        <f aca="false">IF(AND(B939="brand",E939="budget_probe",ISNUMBER(F939),I939=Lists!$X$4),IF(COUNTIFS(C$5:C939,C939,E$5:E939,"budget_probe",I$5:I939,Lists!$X$4)=1,F939,""),"")</f>
        <v/>
      </c>
      <c r="AE939" s="30" t="n">
        <f aca="false">IF(AND(B939="brand",E939="paid",ISNUMBER(F939)),IF(AND(SUMIFS(F$5:F939,B$5:B939,"brand",C$5:C939,C939,E$5:E939,"paid")&gt;=Inputs!$C$44,SUMIFS(F$5:F939,B$5:B939,"brand",C$5:C939,C939,E$5:E939,"paid")-F939&lt;Inputs!$C$44),1,0),0)</f>
        <v>0</v>
      </c>
    </row>
    <row r="940" customFormat="false" ht="15" hidden="false" customHeight="false" outlineLevel="0" collapsed="false">
      <c r="A940" s="102"/>
      <c r="B940" s="103"/>
      <c r="C940" s="103"/>
      <c r="D940" s="103"/>
      <c r="E940" s="103"/>
      <c r="F940" s="103"/>
      <c r="G940" s="103"/>
      <c r="H940" s="103"/>
      <c r="I940" s="103"/>
      <c r="T940" s="30" t="str">
        <f aca="false">IF(C940="","",IF(COUNTIFS(C$5:C940,C940,E$5:E940,E940)=1,1,0))</f>
        <v/>
      </c>
      <c r="U940" s="30" t="n">
        <f aca="false">IF(C940="",0,IF(AND(B940="brand",E940="budget_probe",N(F940)&gt;=Inputs!$C$124,H940="Y"),1,0))</f>
        <v>0</v>
      </c>
      <c r="V940" s="30" t="n">
        <f aca="false">IF(U940=1,IF(COUNTIFS(C$5:C940,C940,U$5:U940,1)=1,1,0),0)</f>
        <v>0</v>
      </c>
      <c r="W940" s="30" t="n">
        <f aca="false">IF(C940="",0,IF(AND(B940="office",E940="budget_probe",N(F940)&gt;=Inputs!$C$139),1,0))</f>
        <v>0</v>
      </c>
      <c r="X940" s="30" t="n">
        <f aca="false">IF(W940=1,IF(COUNTIFS(C$5:C940,C940,W$5:W940,1)=1,1,0),0)</f>
        <v>0</v>
      </c>
      <c r="Y940" s="30" t="n">
        <f aca="false">IF(C940="",0,IF(AND(B940="brand",E940="renewal_answer",TRIM(G940)="yes",N(F940)&gt;=Inputs!$C$135),1,0))</f>
        <v>0</v>
      </c>
      <c r="Z940" s="30" t="n">
        <f aca="false">IF(Y940=1,IF(COUNTIFS(C$5:C940,C940,Y$5:Y940,1)=1,1,0),0)</f>
        <v>0</v>
      </c>
      <c r="AA940" s="30" t="n">
        <f aca="false">IF(AND(E940="budget_probe",ISNUMBER(F940),I940&lt;&gt;Lists!$X$4),1,0)</f>
        <v>0</v>
      </c>
      <c r="AB940" s="30" t="str">
        <f aca="false">IF(AND(B940="office",AA940=1,COUNTIFS(C$5:C940,C940,AA$5:AA940,1)=1),F940,"")</f>
        <v/>
      </c>
      <c r="AC940" s="30" t="str">
        <f aca="false">IF(AND(B940="brand",AA940=1,COUNTIFS(C$5:C940,C940,AA$5:AA940,1)=1),F940,"")</f>
        <v/>
      </c>
      <c r="AD940" s="30" t="str">
        <f aca="false">IF(AND(B940="brand",E940="budget_probe",ISNUMBER(F940),I940=Lists!$X$4),IF(COUNTIFS(C$5:C940,C940,E$5:E940,"budget_probe",I$5:I940,Lists!$X$4)=1,F940,""),"")</f>
        <v/>
      </c>
      <c r="AE940" s="30" t="n">
        <f aca="false">IF(AND(B940="brand",E940="paid",ISNUMBER(F940)),IF(AND(SUMIFS(F$5:F940,B$5:B940,"brand",C$5:C940,C940,E$5:E940,"paid")&gt;=Inputs!$C$44,SUMIFS(F$5:F940,B$5:B940,"brand",C$5:C940,C940,E$5:E940,"paid")-F940&lt;Inputs!$C$44),1,0),0)</f>
        <v>0</v>
      </c>
    </row>
    <row r="941" customFormat="false" ht="15" hidden="false" customHeight="false" outlineLevel="0" collapsed="false">
      <c r="A941" s="102"/>
      <c r="B941" s="103"/>
      <c r="C941" s="103"/>
      <c r="D941" s="103"/>
      <c r="E941" s="103"/>
      <c r="F941" s="103"/>
      <c r="G941" s="103"/>
      <c r="H941" s="103"/>
      <c r="I941" s="103"/>
      <c r="T941" s="30" t="str">
        <f aca="false">IF(C941="","",IF(COUNTIFS(C$5:C941,C941,E$5:E941,E941)=1,1,0))</f>
        <v/>
      </c>
      <c r="U941" s="30" t="n">
        <f aca="false">IF(C941="",0,IF(AND(B941="brand",E941="budget_probe",N(F941)&gt;=Inputs!$C$124,H941="Y"),1,0))</f>
        <v>0</v>
      </c>
      <c r="V941" s="30" t="n">
        <f aca="false">IF(U941=1,IF(COUNTIFS(C$5:C941,C941,U$5:U941,1)=1,1,0),0)</f>
        <v>0</v>
      </c>
      <c r="W941" s="30" t="n">
        <f aca="false">IF(C941="",0,IF(AND(B941="office",E941="budget_probe",N(F941)&gt;=Inputs!$C$139),1,0))</f>
        <v>0</v>
      </c>
      <c r="X941" s="30" t="n">
        <f aca="false">IF(W941=1,IF(COUNTIFS(C$5:C941,C941,W$5:W941,1)=1,1,0),0)</f>
        <v>0</v>
      </c>
      <c r="Y941" s="30" t="n">
        <f aca="false">IF(C941="",0,IF(AND(B941="brand",E941="renewal_answer",TRIM(G941)="yes",N(F941)&gt;=Inputs!$C$135),1,0))</f>
        <v>0</v>
      </c>
      <c r="Z941" s="30" t="n">
        <f aca="false">IF(Y941=1,IF(COUNTIFS(C$5:C941,C941,Y$5:Y941,1)=1,1,0),0)</f>
        <v>0</v>
      </c>
      <c r="AA941" s="30" t="n">
        <f aca="false">IF(AND(E941="budget_probe",ISNUMBER(F941),I941&lt;&gt;Lists!$X$4),1,0)</f>
        <v>0</v>
      </c>
      <c r="AB941" s="30" t="str">
        <f aca="false">IF(AND(B941="office",AA941=1,COUNTIFS(C$5:C941,C941,AA$5:AA941,1)=1),F941,"")</f>
        <v/>
      </c>
      <c r="AC941" s="30" t="str">
        <f aca="false">IF(AND(B941="brand",AA941=1,COUNTIFS(C$5:C941,C941,AA$5:AA941,1)=1),F941,"")</f>
        <v/>
      </c>
      <c r="AD941" s="30" t="str">
        <f aca="false">IF(AND(B941="brand",E941="budget_probe",ISNUMBER(F941),I941=Lists!$X$4),IF(COUNTIFS(C$5:C941,C941,E$5:E941,"budget_probe",I$5:I941,Lists!$X$4)=1,F941,""),"")</f>
        <v/>
      </c>
      <c r="AE941" s="30" t="n">
        <f aca="false">IF(AND(B941="brand",E941="paid",ISNUMBER(F941)),IF(AND(SUMIFS(F$5:F941,B$5:B941,"brand",C$5:C941,C941,E$5:E941,"paid")&gt;=Inputs!$C$44,SUMIFS(F$5:F941,B$5:B941,"brand",C$5:C941,C941,E$5:E941,"paid")-F941&lt;Inputs!$C$44),1,0),0)</f>
        <v>0</v>
      </c>
    </row>
    <row r="942" customFormat="false" ht="15" hidden="false" customHeight="false" outlineLevel="0" collapsed="false">
      <c r="A942" s="102"/>
      <c r="B942" s="103"/>
      <c r="C942" s="103"/>
      <c r="D942" s="103"/>
      <c r="E942" s="103"/>
      <c r="F942" s="103"/>
      <c r="G942" s="103"/>
      <c r="H942" s="103"/>
      <c r="I942" s="103"/>
      <c r="T942" s="30" t="str">
        <f aca="false">IF(C942="","",IF(COUNTIFS(C$5:C942,C942,E$5:E942,E942)=1,1,0))</f>
        <v/>
      </c>
      <c r="U942" s="30" t="n">
        <f aca="false">IF(C942="",0,IF(AND(B942="brand",E942="budget_probe",N(F942)&gt;=Inputs!$C$124,H942="Y"),1,0))</f>
        <v>0</v>
      </c>
      <c r="V942" s="30" t="n">
        <f aca="false">IF(U942=1,IF(COUNTIFS(C$5:C942,C942,U$5:U942,1)=1,1,0),0)</f>
        <v>0</v>
      </c>
      <c r="W942" s="30" t="n">
        <f aca="false">IF(C942="",0,IF(AND(B942="office",E942="budget_probe",N(F942)&gt;=Inputs!$C$139),1,0))</f>
        <v>0</v>
      </c>
      <c r="X942" s="30" t="n">
        <f aca="false">IF(W942=1,IF(COUNTIFS(C$5:C942,C942,W$5:W942,1)=1,1,0),0)</f>
        <v>0</v>
      </c>
      <c r="Y942" s="30" t="n">
        <f aca="false">IF(C942="",0,IF(AND(B942="brand",E942="renewal_answer",TRIM(G942)="yes",N(F942)&gt;=Inputs!$C$135),1,0))</f>
        <v>0</v>
      </c>
      <c r="Z942" s="30" t="n">
        <f aca="false">IF(Y942=1,IF(COUNTIFS(C$5:C942,C942,Y$5:Y942,1)=1,1,0),0)</f>
        <v>0</v>
      </c>
      <c r="AA942" s="30" t="n">
        <f aca="false">IF(AND(E942="budget_probe",ISNUMBER(F942),I942&lt;&gt;Lists!$X$4),1,0)</f>
        <v>0</v>
      </c>
      <c r="AB942" s="30" t="str">
        <f aca="false">IF(AND(B942="office",AA942=1,COUNTIFS(C$5:C942,C942,AA$5:AA942,1)=1),F942,"")</f>
        <v/>
      </c>
      <c r="AC942" s="30" t="str">
        <f aca="false">IF(AND(B942="brand",AA942=1,COUNTIFS(C$5:C942,C942,AA$5:AA942,1)=1),F942,"")</f>
        <v/>
      </c>
      <c r="AD942" s="30" t="str">
        <f aca="false">IF(AND(B942="brand",E942="budget_probe",ISNUMBER(F942),I942=Lists!$X$4),IF(COUNTIFS(C$5:C942,C942,E$5:E942,"budget_probe",I$5:I942,Lists!$X$4)=1,F942,""),"")</f>
        <v/>
      </c>
      <c r="AE942" s="30" t="n">
        <f aca="false">IF(AND(B942="brand",E942="paid",ISNUMBER(F942)),IF(AND(SUMIFS(F$5:F942,B$5:B942,"brand",C$5:C942,C942,E$5:E942,"paid")&gt;=Inputs!$C$44,SUMIFS(F$5:F942,B$5:B942,"brand",C$5:C942,C942,E$5:E942,"paid")-F942&lt;Inputs!$C$44),1,0),0)</f>
        <v>0</v>
      </c>
    </row>
    <row r="943" customFormat="false" ht="15" hidden="false" customHeight="false" outlineLevel="0" collapsed="false">
      <c r="A943" s="102"/>
      <c r="B943" s="103"/>
      <c r="C943" s="103"/>
      <c r="D943" s="103"/>
      <c r="E943" s="103"/>
      <c r="F943" s="103"/>
      <c r="G943" s="103"/>
      <c r="H943" s="103"/>
      <c r="I943" s="103"/>
      <c r="T943" s="30" t="str">
        <f aca="false">IF(C943="","",IF(COUNTIFS(C$5:C943,C943,E$5:E943,E943)=1,1,0))</f>
        <v/>
      </c>
      <c r="U943" s="30" t="n">
        <f aca="false">IF(C943="",0,IF(AND(B943="brand",E943="budget_probe",N(F943)&gt;=Inputs!$C$124,H943="Y"),1,0))</f>
        <v>0</v>
      </c>
      <c r="V943" s="30" t="n">
        <f aca="false">IF(U943=1,IF(COUNTIFS(C$5:C943,C943,U$5:U943,1)=1,1,0),0)</f>
        <v>0</v>
      </c>
      <c r="W943" s="30" t="n">
        <f aca="false">IF(C943="",0,IF(AND(B943="office",E943="budget_probe",N(F943)&gt;=Inputs!$C$139),1,0))</f>
        <v>0</v>
      </c>
      <c r="X943" s="30" t="n">
        <f aca="false">IF(W943=1,IF(COUNTIFS(C$5:C943,C943,W$5:W943,1)=1,1,0),0)</f>
        <v>0</v>
      </c>
      <c r="Y943" s="30" t="n">
        <f aca="false">IF(C943="",0,IF(AND(B943="brand",E943="renewal_answer",TRIM(G943)="yes",N(F943)&gt;=Inputs!$C$135),1,0))</f>
        <v>0</v>
      </c>
      <c r="Z943" s="30" t="n">
        <f aca="false">IF(Y943=1,IF(COUNTIFS(C$5:C943,C943,Y$5:Y943,1)=1,1,0),0)</f>
        <v>0</v>
      </c>
      <c r="AA943" s="30" t="n">
        <f aca="false">IF(AND(E943="budget_probe",ISNUMBER(F943),I943&lt;&gt;Lists!$X$4),1,0)</f>
        <v>0</v>
      </c>
      <c r="AB943" s="30" t="str">
        <f aca="false">IF(AND(B943="office",AA943=1,COUNTIFS(C$5:C943,C943,AA$5:AA943,1)=1),F943,"")</f>
        <v/>
      </c>
      <c r="AC943" s="30" t="str">
        <f aca="false">IF(AND(B943="brand",AA943=1,COUNTIFS(C$5:C943,C943,AA$5:AA943,1)=1),F943,"")</f>
        <v/>
      </c>
      <c r="AD943" s="30" t="str">
        <f aca="false">IF(AND(B943="brand",E943="budget_probe",ISNUMBER(F943),I943=Lists!$X$4),IF(COUNTIFS(C$5:C943,C943,E$5:E943,"budget_probe",I$5:I943,Lists!$X$4)=1,F943,""),"")</f>
        <v/>
      </c>
      <c r="AE943" s="30" t="n">
        <f aca="false">IF(AND(B943="brand",E943="paid",ISNUMBER(F943)),IF(AND(SUMIFS(F$5:F943,B$5:B943,"brand",C$5:C943,C943,E$5:E943,"paid")&gt;=Inputs!$C$44,SUMIFS(F$5:F943,B$5:B943,"brand",C$5:C943,C943,E$5:E943,"paid")-F943&lt;Inputs!$C$44),1,0),0)</f>
        <v>0</v>
      </c>
    </row>
    <row r="944" customFormat="false" ht="15" hidden="false" customHeight="false" outlineLevel="0" collapsed="false">
      <c r="A944" s="102"/>
      <c r="B944" s="103"/>
      <c r="C944" s="103"/>
      <c r="D944" s="103"/>
      <c r="E944" s="103"/>
      <c r="F944" s="103"/>
      <c r="G944" s="103"/>
      <c r="H944" s="103"/>
      <c r="I944" s="103"/>
      <c r="T944" s="30" t="str">
        <f aca="false">IF(C944="","",IF(COUNTIFS(C$5:C944,C944,E$5:E944,E944)=1,1,0))</f>
        <v/>
      </c>
      <c r="U944" s="30" t="n">
        <f aca="false">IF(C944="",0,IF(AND(B944="brand",E944="budget_probe",N(F944)&gt;=Inputs!$C$124,H944="Y"),1,0))</f>
        <v>0</v>
      </c>
      <c r="V944" s="30" t="n">
        <f aca="false">IF(U944=1,IF(COUNTIFS(C$5:C944,C944,U$5:U944,1)=1,1,0),0)</f>
        <v>0</v>
      </c>
      <c r="W944" s="30" t="n">
        <f aca="false">IF(C944="",0,IF(AND(B944="office",E944="budget_probe",N(F944)&gt;=Inputs!$C$139),1,0))</f>
        <v>0</v>
      </c>
      <c r="X944" s="30" t="n">
        <f aca="false">IF(W944=1,IF(COUNTIFS(C$5:C944,C944,W$5:W944,1)=1,1,0),0)</f>
        <v>0</v>
      </c>
      <c r="Y944" s="30" t="n">
        <f aca="false">IF(C944="",0,IF(AND(B944="brand",E944="renewal_answer",TRIM(G944)="yes",N(F944)&gt;=Inputs!$C$135),1,0))</f>
        <v>0</v>
      </c>
      <c r="Z944" s="30" t="n">
        <f aca="false">IF(Y944=1,IF(COUNTIFS(C$5:C944,C944,Y$5:Y944,1)=1,1,0),0)</f>
        <v>0</v>
      </c>
      <c r="AA944" s="30" t="n">
        <f aca="false">IF(AND(E944="budget_probe",ISNUMBER(F944),I944&lt;&gt;Lists!$X$4),1,0)</f>
        <v>0</v>
      </c>
      <c r="AB944" s="30" t="str">
        <f aca="false">IF(AND(B944="office",AA944=1,COUNTIFS(C$5:C944,C944,AA$5:AA944,1)=1),F944,"")</f>
        <v/>
      </c>
      <c r="AC944" s="30" t="str">
        <f aca="false">IF(AND(B944="brand",AA944=1,COUNTIFS(C$5:C944,C944,AA$5:AA944,1)=1),F944,"")</f>
        <v/>
      </c>
      <c r="AD944" s="30" t="str">
        <f aca="false">IF(AND(B944="brand",E944="budget_probe",ISNUMBER(F944),I944=Lists!$X$4),IF(COUNTIFS(C$5:C944,C944,E$5:E944,"budget_probe",I$5:I944,Lists!$X$4)=1,F944,""),"")</f>
        <v/>
      </c>
      <c r="AE944" s="30" t="n">
        <f aca="false">IF(AND(B944="brand",E944="paid",ISNUMBER(F944)),IF(AND(SUMIFS(F$5:F944,B$5:B944,"brand",C$5:C944,C944,E$5:E944,"paid")&gt;=Inputs!$C$44,SUMIFS(F$5:F944,B$5:B944,"brand",C$5:C944,C944,E$5:E944,"paid")-F944&lt;Inputs!$C$44),1,0),0)</f>
        <v>0</v>
      </c>
    </row>
    <row r="945" customFormat="false" ht="15" hidden="false" customHeight="false" outlineLevel="0" collapsed="false">
      <c r="A945" s="102"/>
      <c r="B945" s="103"/>
      <c r="C945" s="103"/>
      <c r="D945" s="103"/>
      <c r="E945" s="103"/>
      <c r="F945" s="103"/>
      <c r="G945" s="103"/>
      <c r="H945" s="103"/>
      <c r="I945" s="103"/>
      <c r="T945" s="30" t="str">
        <f aca="false">IF(C945="","",IF(COUNTIFS(C$5:C945,C945,E$5:E945,E945)=1,1,0))</f>
        <v/>
      </c>
      <c r="U945" s="30" t="n">
        <f aca="false">IF(C945="",0,IF(AND(B945="brand",E945="budget_probe",N(F945)&gt;=Inputs!$C$124,H945="Y"),1,0))</f>
        <v>0</v>
      </c>
      <c r="V945" s="30" t="n">
        <f aca="false">IF(U945=1,IF(COUNTIFS(C$5:C945,C945,U$5:U945,1)=1,1,0),0)</f>
        <v>0</v>
      </c>
      <c r="W945" s="30" t="n">
        <f aca="false">IF(C945="",0,IF(AND(B945="office",E945="budget_probe",N(F945)&gt;=Inputs!$C$139),1,0))</f>
        <v>0</v>
      </c>
      <c r="X945" s="30" t="n">
        <f aca="false">IF(W945=1,IF(COUNTIFS(C$5:C945,C945,W$5:W945,1)=1,1,0),0)</f>
        <v>0</v>
      </c>
      <c r="Y945" s="30" t="n">
        <f aca="false">IF(C945="",0,IF(AND(B945="brand",E945="renewal_answer",TRIM(G945)="yes",N(F945)&gt;=Inputs!$C$135),1,0))</f>
        <v>0</v>
      </c>
      <c r="Z945" s="30" t="n">
        <f aca="false">IF(Y945=1,IF(COUNTIFS(C$5:C945,C945,Y$5:Y945,1)=1,1,0),0)</f>
        <v>0</v>
      </c>
      <c r="AA945" s="30" t="n">
        <f aca="false">IF(AND(E945="budget_probe",ISNUMBER(F945),I945&lt;&gt;Lists!$X$4),1,0)</f>
        <v>0</v>
      </c>
      <c r="AB945" s="30" t="str">
        <f aca="false">IF(AND(B945="office",AA945=1,COUNTIFS(C$5:C945,C945,AA$5:AA945,1)=1),F945,"")</f>
        <v/>
      </c>
      <c r="AC945" s="30" t="str">
        <f aca="false">IF(AND(B945="brand",AA945=1,COUNTIFS(C$5:C945,C945,AA$5:AA945,1)=1),F945,"")</f>
        <v/>
      </c>
      <c r="AD945" s="30" t="str">
        <f aca="false">IF(AND(B945="brand",E945="budget_probe",ISNUMBER(F945),I945=Lists!$X$4),IF(COUNTIFS(C$5:C945,C945,E$5:E945,"budget_probe",I$5:I945,Lists!$X$4)=1,F945,""),"")</f>
        <v/>
      </c>
      <c r="AE945" s="30" t="n">
        <f aca="false">IF(AND(B945="brand",E945="paid",ISNUMBER(F945)),IF(AND(SUMIFS(F$5:F945,B$5:B945,"brand",C$5:C945,C945,E$5:E945,"paid")&gt;=Inputs!$C$44,SUMIFS(F$5:F945,B$5:B945,"brand",C$5:C945,C945,E$5:E945,"paid")-F945&lt;Inputs!$C$44),1,0),0)</f>
        <v>0</v>
      </c>
    </row>
    <row r="946" customFormat="false" ht="15" hidden="false" customHeight="false" outlineLevel="0" collapsed="false">
      <c r="A946" s="102"/>
      <c r="B946" s="103"/>
      <c r="C946" s="103"/>
      <c r="D946" s="103"/>
      <c r="E946" s="103"/>
      <c r="F946" s="103"/>
      <c r="G946" s="103"/>
      <c r="H946" s="103"/>
      <c r="I946" s="103"/>
      <c r="T946" s="30" t="str">
        <f aca="false">IF(C946="","",IF(COUNTIFS(C$5:C946,C946,E$5:E946,E946)=1,1,0))</f>
        <v/>
      </c>
      <c r="U946" s="30" t="n">
        <f aca="false">IF(C946="",0,IF(AND(B946="brand",E946="budget_probe",N(F946)&gt;=Inputs!$C$124,H946="Y"),1,0))</f>
        <v>0</v>
      </c>
      <c r="V946" s="30" t="n">
        <f aca="false">IF(U946=1,IF(COUNTIFS(C$5:C946,C946,U$5:U946,1)=1,1,0),0)</f>
        <v>0</v>
      </c>
      <c r="W946" s="30" t="n">
        <f aca="false">IF(C946="",0,IF(AND(B946="office",E946="budget_probe",N(F946)&gt;=Inputs!$C$139),1,0))</f>
        <v>0</v>
      </c>
      <c r="X946" s="30" t="n">
        <f aca="false">IF(W946=1,IF(COUNTIFS(C$5:C946,C946,W$5:W946,1)=1,1,0),0)</f>
        <v>0</v>
      </c>
      <c r="Y946" s="30" t="n">
        <f aca="false">IF(C946="",0,IF(AND(B946="brand",E946="renewal_answer",TRIM(G946)="yes",N(F946)&gt;=Inputs!$C$135),1,0))</f>
        <v>0</v>
      </c>
      <c r="Z946" s="30" t="n">
        <f aca="false">IF(Y946=1,IF(COUNTIFS(C$5:C946,C946,Y$5:Y946,1)=1,1,0),0)</f>
        <v>0</v>
      </c>
      <c r="AA946" s="30" t="n">
        <f aca="false">IF(AND(E946="budget_probe",ISNUMBER(F946),I946&lt;&gt;Lists!$X$4),1,0)</f>
        <v>0</v>
      </c>
      <c r="AB946" s="30" t="str">
        <f aca="false">IF(AND(B946="office",AA946=1,COUNTIFS(C$5:C946,C946,AA$5:AA946,1)=1),F946,"")</f>
        <v/>
      </c>
      <c r="AC946" s="30" t="str">
        <f aca="false">IF(AND(B946="brand",AA946=1,COUNTIFS(C$5:C946,C946,AA$5:AA946,1)=1),F946,"")</f>
        <v/>
      </c>
      <c r="AD946" s="30" t="str">
        <f aca="false">IF(AND(B946="brand",E946="budget_probe",ISNUMBER(F946),I946=Lists!$X$4),IF(COUNTIFS(C$5:C946,C946,E$5:E946,"budget_probe",I$5:I946,Lists!$X$4)=1,F946,""),"")</f>
        <v/>
      </c>
      <c r="AE946" s="30" t="n">
        <f aca="false">IF(AND(B946="brand",E946="paid",ISNUMBER(F946)),IF(AND(SUMIFS(F$5:F946,B$5:B946,"brand",C$5:C946,C946,E$5:E946,"paid")&gt;=Inputs!$C$44,SUMIFS(F$5:F946,B$5:B946,"brand",C$5:C946,C946,E$5:E946,"paid")-F946&lt;Inputs!$C$44),1,0),0)</f>
        <v>0</v>
      </c>
    </row>
    <row r="947" customFormat="false" ht="15" hidden="false" customHeight="false" outlineLevel="0" collapsed="false">
      <c r="A947" s="102"/>
      <c r="B947" s="103"/>
      <c r="C947" s="103"/>
      <c r="D947" s="103"/>
      <c r="E947" s="103"/>
      <c r="F947" s="103"/>
      <c r="G947" s="103"/>
      <c r="H947" s="103"/>
      <c r="I947" s="103"/>
      <c r="T947" s="30" t="str">
        <f aca="false">IF(C947="","",IF(COUNTIFS(C$5:C947,C947,E$5:E947,E947)=1,1,0))</f>
        <v/>
      </c>
      <c r="U947" s="30" t="n">
        <f aca="false">IF(C947="",0,IF(AND(B947="brand",E947="budget_probe",N(F947)&gt;=Inputs!$C$124,H947="Y"),1,0))</f>
        <v>0</v>
      </c>
      <c r="V947" s="30" t="n">
        <f aca="false">IF(U947=1,IF(COUNTIFS(C$5:C947,C947,U$5:U947,1)=1,1,0),0)</f>
        <v>0</v>
      </c>
      <c r="W947" s="30" t="n">
        <f aca="false">IF(C947="",0,IF(AND(B947="office",E947="budget_probe",N(F947)&gt;=Inputs!$C$139),1,0))</f>
        <v>0</v>
      </c>
      <c r="X947" s="30" t="n">
        <f aca="false">IF(W947=1,IF(COUNTIFS(C$5:C947,C947,W$5:W947,1)=1,1,0),0)</f>
        <v>0</v>
      </c>
      <c r="Y947" s="30" t="n">
        <f aca="false">IF(C947="",0,IF(AND(B947="brand",E947="renewal_answer",TRIM(G947)="yes",N(F947)&gt;=Inputs!$C$135),1,0))</f>
        <v>0</v>
      </c>
      <c r="Z947" s="30" t="n">
        <f aca="false">IF(Y947=1,IF(COUNTIFS(C$5:C947,C947,Y$5:Y947,1)=1,1,0),0)</f>
        <v>0</v>
      </c>
      <c r="AA947" s="30" t="n">
        <f aca="false">IF(AND(E947="budget_probe",ISNUMBER(F947),I947&lt;&gt;Lists!$X$4),1,0)</f>
        <v>0</v>
      </c>
      <c r="AB947" s="30" t="str">
        <f aca="false">IF(AND(B947="office",AA947=1,COUNTIFS(C$5:C947,C947,AA$5:AA947,1)=1),F947,"")</f>
        <v/>
      </c>
      <c r="AC947" s="30" t="str">
        <f aca="false">IF(AND(B947="brand",AA947=1,COUNTIFS(C$5:C947,C947,AA$5:AA947,1)=1),F947,"")</f>
        <v/>
      </c>
      <c r="AD947" s="30" t="str">
        <f aca="false">IF(AND(B947="brand",E947="budget_probe",ISNUMBER(F947),I947=Lists!$X$4),IF(COUNTIFS(C$5:C947,C947,E$5:E947,"budget_probe",I$5:I947,Lists!$X$4)=1,F947,""),"")</f>
        <v/>
      </c>
      <c r="AE947" s="30" t="n">
        <f aca="false">IF(AND(B947="brand",E947="paid",ISNUMBER(F947)),IF(AND(SUMIFS(F$5:F947,B$5:B947,"brand",C$5:C947,C947,E$5:E947,"paid")&gt;=Inputs!$C$44,SUMIFS(F$5:F947,B$5:B947,"brand",C$5:C947,C947,E$5:E947,"paid")-F947&lt;Inputs!$C$44),1,0),0)</f>
        <v>0</v>
      </c>
    </row>
    <row r="948" customFormat="false" ht="15" hidden="false" customHeight="false" outlineLevel="0" collapsed="false">
      <c r="A948" s="102"/>
      <c r="B948" s="103"/>
      <c r="C948" s="103"/>
      <c r="D948" s="103"/>
      <c r="E948" s="103"/>
      <c r="F948" s="103"/>
      <c r="G948" s="103"/>
      <c r="H948" s="103"/>
      <c r="I948" s="103"/>
      <c r="T948" s="30" t="str">
        <f aca="false">IF(C948="","",IF(COUNTIFS(C$5:C948,C948,E$5:E948,E948)=1,1,0))</f>
        <v/>
      </c>
      <c r="U948" s="30" t="n">
        <f aca="false">IF(C948="",0,IF(AND(B948="brand",E948="budget_probe",N(F948)&gt;=Inputs!$C$124,H948="Y"),1,0))</f>
        <v>0</v>
      </c>
      <c r="V948" s="30" t="n">
        <f aca="false">IF(U948=1,IF(COUNTIFS(C$5:C948,C948,U$5:U948,1)=1,1,0),0)</f>
        <v>0</v>
      </c>
      <c r="W948" s="30" t="n">
        <f aca="false">IF(C948="",0,IF(AND(B948="office",E948="budget_probe",N(F948)&gt;=Inputs!$C$139),1,0))</f>
        <v>0</v>
      </c>
      <c r="X948" s="30" t="n">
        <f aca="false">IF(W948=1,IF(COUNTIFS(C$5:C948,C948,W$5:W948,1)=1,1,0),0)</f>
        <v>0</v>
      </c>
      <c r="Y948" s="30" t="n">
        <f aca="false">IF(C948="",0,IF(AND(B948="brand",E948="renewal_answer",TRIM(G948)="yes",N(F948)&gt;=Inputs!$C$135),1,0))</f>
        <v>0</v>
      </c>
      <c r="Z948" s="30" t="n">
        <f aca="false">IF(Y948=1,IF(COUNTIFS(C$5:C948,C948,Y$5:Y948,1)=1,1,0),0)</f>
        <v>0</v>
      </c>
      <c r="AA948" s="30" t="n">
        <f aca="false">IF(AND(E948="budget_probe",ISNUMBER(F948),I948&lt;&gt;Lists!$X$4),1,0)</f>
        <v>0</v>
      </c>
      <c r="AB948" s="30" t="str">
        <f aca="false">IF(AND(B948="office",AA948=1,COUNTIFS(C$5:C948,C948,AA$5:AA948,1)=1),F948,"")</f>
        <v/>
      </c>
      <c r="AC948" s="30" t="str">
        <f aca="false">IF(AND(B948="brand",AA948=1,COUNTIFS(C$5:C948,C948,AA$5:AA948,1)=1),F948,"")</f>
        <v/>
      </c>
      <c r="AD948" s="30" t="str">
        <f aca="false">IF(AND(B948="brand",E948="budget_probe",ISNUMBER(F948),I948=Lists!$X$4),IF(COUNTIFS(C$5:C948,C948,E$5:E948,"budget_probe",I$5:I948,Lists!$X$4)=1,F948,""),"")</f>
        <v/>
      </c>
      <c r="AE948" s="30" t="n">
        <f aca="false">IF(AND(B948="brand",E948="paid",ISNUMBER(F948)),IF(AND(SUMIFS(F$5:F948,B$5:B948,"brand",C$5:C948,C948,E$5:E948,"paid")&gt;=Inputs!$C$44,SUMIFS(F$5:F948,B$5:B948,"brand",C$5:C948,C948,E$5:E948,"paid")-F948&lt;Inputs!$C$44),1,0),0)</f>
        <v>0</v>
      </c>
    </row>
    <row r="949" customFormat="false" ht="15" hidden="false" customHeight="false" outlineLevel="0" collapsed="false">
      <c r="A949" s="102"/>
      <c r="B949" s="103"/>
      <c r="C949" s="103"/>
      <c r="D949" s="103"/>
      <c r="E949" s="103"/>
      <c r="F949" s="103"/>
      <c r="G949" s="103"/>
      <c r="H949" s="103"/>
      <c r="I949" s="103"/>
      <c r="T949" s="30" t="str">
        <f aca="false">IF(C949="","",IF(COUNTIFS(C$5:C949,C949,E$5:E949,E949)=1,1,0))</f>
        <v/>
      </c>
      <c r="U949" s="30" t="n">
        <f aca="false">IF(C949="",0,IF(AND(B949="brand",E949="budget_probe",N(F949)&gt;=Inputs!$C$124,H949="Y"),1,0))</f>
        <v>0</v>
      </c>
      <c r="V949" s="30" t="n">
        <f aca="false">IF(U949=1,IF(COUNTIFS(C$5:C949,C949,U$5:U949,1)=1,1,0),0)</f>
        <v>0</v>
      </c>
      <c r="W949" s="30" t="n">
        <f aca="false">IF(C949="",0,IF(AND(B949="office",E949="budget_probe",N(F949)&gt;=Inputs!$C$139),1,0))</f>
        <v>0</v>
      </c>
      <c r="X949" s="30" t="n">
        <f aca="false">IF(W949=1,IF(COUNTIFS(C$5:C949,C949,W$5:W949,1)=1,1,0),0)</f>
        <v>0</v>
      </c>
      <c r="Y949" s="30" t="n">
        <f aca="false">IF(C949="",0,IF(AND(B949="brand",E949="renewal_answer",TRIM(G949)="yes",N(F949)&gt;=Inputs!$C$135),1,0))</f>
        <v>0</v>
      </c>
      <c r="Z949" s="30" t="n">
        <f aca="false">IF(Y949=1,IF(COUNTIFS(C$5:C949,C949,Y$5:Y949,1)=1,1,0),0)</f>
        <v>0</v>
      </c>
      <c r="AA949" s="30" t="n">
        <f aca="false">IF(AND(E949="budget_probe",ISNUMBER(F949),I949&lt;&gt;Lists!$X$4),1,0)</f>
        <v>0</v>
      </c>
      <c r="AB949" s="30" t="str">
        <f aca="false">IF(AND(B949="office",AA949=1,COUNTIFS(C$5:C949,C949,AA$5:AA949,1)=1),F949,"")</f>
        <v/>
      </c>
      <c r="AC949" s="30" t="str">
        <f aca="false">IF(AND(B949="brand",AA949=1,COUNTIFS(C$5:C949,C949,AA$5:AA949,1)=1),F949,"")</f>
        <v/>
      </c>
      <c r="AD949" s="30" t="str">
        <f aca="false">IF(AND(B949="brand",E949="budget_probe",ISNUMBER(F949),I949=Lists!$X$4),IF(COUNTIFS(C$5:C949,C949,E$5:E949,"budget_probe",I$5:I949,Lists!$X$4)=1,F949,""),"")</f>
        <v/>
      </c>
      <c r="AE949" s="30" t="n">
        <f aca="false">IF(AND(B949="brand",E949="paid",ISNUMBER(F949)),IF(AND(SUMIFS(F$5:F949,B$5:B949,"brand",C$5:C949,C949,E$5:E949,"paid")&gt;=Inputs!$C$44,SUMIFS(F$5:F949,B$5:B949,"brand",C$5:C949,C949,E$5:E949,"paid")-F949&lt;Inputs!$C$44),1,0),0)</f>
        <v>0</v>
      </c>
    </row>
    <row r="950" customFormat="false" ht="15" hidden="false" customHeight="false" outlineLevel="0" collapsed="false">
      <c r="A950" s="102"/>
      <c r="B950" s="103"/>
      <c r="C950" s="103"/>
      <c r="D950" s="103"/>
      <c r="E950" s="103"/>
      <c r="F950" s="103"/>
      <c r="G950" s="103"/>
      <c r="H950" s="103"/>
      <c r="I950" s="103"/>
      <c r="T950" s="30" t="str">
        <f aca="false">IF(C950="","",IF(COUNTIFS(C$5:C950,C950,E$5:E950,E950)=1,1,0))</f>
        <v/>
      </c>
      <c r="U950" s="30" t="n">
        <f aca="false">IF(C950="",0,IF(AND(B950="brand",E950="budget_probe",N(F950)&gt;=Inputs!$C$124,H950="Y"),1,0))</f>
        <v>0</v>
      </c>
      <c r="V950" s="30" t="n">
        <f aca="false">IF(U950=1,IF(COUNTIFS(C$5:C950,C950,U$5:U950,1)=1,1,0),0)</f>
        <v>0</v>
      </c>
      <c r="W950" s="30" t="n">
        <f aca="false">IF(C950="",0,IF(AND(B950="office",E950="budget_probe",N(F950)&gt;=Inputs!$C$139),1,0))</f>
        <v>0</v>
      </c>
      <c r="X950" s="30" t="n">
        <f aca="false">IF(W950=1,IF(COUNTIFS(C$5:C950,C950,W$5:W950,1)=1,1,0),0)</f>
        <v>0</v>
      </c>
      <c r="Y950" s="30" t="n">
        <f aca="false">IF(C950="",0,IF(AND(B950="brand",E950="renewal_answer",TRIM(G950)="yes",N(F950)&gt;=Inputs!$C$135),1,0))</f>
        <v>0</v>
      </c>
      <c r="Z950" s="30" t="n">
        <f aca="false">IF(Y950=1,IF(COUNTIFS(C$5:C950,C950,Y$5:Y950,1)=1,1,0),0)</f>
        <v>0</v>
      </c>
      <c r="AA950" s="30" t="n">
        <f aca="false">IF(AND(E950="budget_probe",ISNUMBER(F950),I950&lt;&gt;Lists!$X$4),1,0)</f>
        <v>0</v>
      </c>
      <c r="AB950" s="30" t="str">
        <f aca="false">IF(AND(B950="office",AA950=1,COUNTIFS(C$5:C950,C950,AA$5:AA950,1)=1),F950,"")</f>
        <v/>
      </c>
      <c r="AC950" s="30" t="str">
        <f aca="false">IF(AND(B950="brand",AA950=1,COUNTIFS(C$5:C950,C950,AA$5:AA950,1)=1),F950,"")</f>
        <v/>
      </c>
      <c r="AD950" s="30" t="str">
        <f aca="false">IF(AND(B950="brand",E950="budget_probe",ISNUMBER(F950),I950=Lists!$X$4),IF(COUNTIFS(C$5:C950,C950,E$5:E950,"budget_probe",I$5:I950,Lists!$X$4)=1,F950,""),"")</f>
        <v/>
      </c>
      <c r="AE950" s="30" t="n">
        <f aca="false">IF(AND(B950="brand",E950="paid",ISNUMBER(F950)),IF(AND(SUMIFS(F$5:F950,B$5:B950,"brand",C$5:C950,C950,E$5:E950,"paid")&gt;=Inputs!$C$44,SUMIFS(F$5:F950,B$5:B950,"brand",C$5:C950,C950,E$5:E950,"paid")-F950&lt;Inputs!$C$44),1,0),0)</f>
        <v>0</v>
      </c>
    </row>
    <row r="951" customFormat="false" ht="15" hidden="false" customHeight="false" outlineLevel="0" collapsed="false">
      <c r="A951" s="102"/>
      <c r="B951" s="103"/>
      <c r="C951" s="103"/>
      <c r="D951" s="103"/>
      <c r="E951" s="103"/>
      <c r="F951" s="103"/>
      <c r="G951" s="103"/>
      <c r="H951" s="103"/>
      <c r="I951" s="103"/>
      <c r="T951" s="30" t="str">
        <f aca="false">IF(C951="","",IF(COUNTIFS(C$5:C951,C951,E$5:E951,E951)=1,1,0))</f>
        <v/>
      </c>
      <c r="U951" s="30" t="n">
        <f aca="false">IF(C951="",0,IF(AND(B951="brand",E951="budget_probe",N(F951)&gt;=Inputs!$C$124,H951="Y"),1,0))</f>
        <v>0</v>
      </c>
      <c r="V951" s="30" t="n">
        <f aca="false">IF(U951=1,IF(COUNTIFS(C$5:C951,C951,U$5:U951,1)=1,1,0),0)</f>
        <v>0</v>
      </c>
      <c r="W951" s="30" t="n">
        <f aca="false">IF(C951="",0,IF(AND(B951="office",E951="budget_probe",N(F951)&gt;=Inputs!$C$139),1,0))</f>
        <v>0</v>
      </c>
      <c r="X951" s="30" t="n">
        <f aca="false">IF(W951=1,IF(COUNTIFS(C$5:C951,C951,W$5:W951,1)=1,1,0),0)</f>
        <v>0</v>
      </c>
      <c r="Y951" s="30" t="n">
        <f aca="false">IF(C951="",0,IF(AND(B951="brand",E951="renewal_answer",TRIM(G951)="yes",N(F951)&gt;=Inputs!$C$135),1,0))</f>
        <v>0</v>
      </c>
      <c r="Z951" s="30" t="n">
        <f aca="false">IF(Y951=1,IF(COUNTIFS(C$5:C951,C951,Y$5:Y951,1)=1,1,0),0)</f>
        <v>0</v>
      </c>
      <c r="AA951" s="30" t="n">
        <f aca="false">IF(AND(E951="budget_probe",ISNUMBER(F951),I951&lt;&gt;Lists!$X$4),1,0)</f>
        <v>0</v>
      </c>
      <c r="AB951" s="30" t="str">
        <f aca="false">IF(AND(B951="office",AA951=1,COUNTIFS(C$5:C951,C951,AA$5:AA951,1)=1),F951,"")</f>
        <v/>
      </c>
      <c r="AC951" s="30" t="str">
        <f aca="false">IF(AND(B951="brand",AA951=1,COUNTIFS(C$5:C951,C951,AA$5:AA951,1)=1),F951,"")</f>
        <v/>
      </c>
      <c r="AD951" s="30" t="str">
        <f aca="false">IF(AND(B951="brand",E951="budget_probe",ISNUMBER(F951),I951=Lists!$X$4),IF(COUNTIFS(C$5:C951,C951,E$5:E951,"budget_probe",I$5:I951,Lists!$X$4)=1,F951,""),"")</f>
        <v/>
      </c>
      <c r="AE951" s="30" t="n">
        <f aca="false">IF(AND(B951="brand",E951="paid",ISNUMBER(F951)),IF(AND(SUMIFS(F$5:F951,B$5:B951,"brand",C$5:C951,C951,E$5:E951,"paid")&gt;=Inputs!$C$44,SUMIFS(F$5:F951,B$5:B951,"brand",C$5:C951,C951,E$5:E951,"paid")-F951&lt;Inputs!$C$44),1,0),0)</f>
        <v>0</v>
      </c>
    </row>
    <row r="952" customFormat="false" ht="15" hidden="false" customHeight="false" outlineLevel="0" collapsed="false">
      <c r="A952" s="102"/>
      <c r="B952" s="103"/>
      <c r="C952" s="103"/>
      <c r="D952" s="103"/>
      <c r="E952" s="103"/>
      <c r="F952" s="103"/>
      <c r="G952" s="103"/>
      <c r="H952" s="103"/>
      <c r="I952" s="103"/>
      <c r="T952" s="30" t="str">
        <f aca="false">IF(C952="","",IF(COUNTIFS(C$5:C952,C952,E$5:E952,E952)=1,1,0))</f>
        <v/>
      </c>
      <c r="U952" s="30" t="n">
        <f aca="false">IF(C952="",0,IF(AND(B952="brand",E952="budget_probe",N(F952)&gt;=Inputs!$C$124,H952="Y"),1,0))</f>
        <v>0</v>
      </c>
      <c r="V952" s="30" t="n">
        <f aca="false">IF(U952=1,IF(COUNTIFS(C$5:C952,C952,U$5:U952,1)=1,1,0),0)</f>
        <v>0</v>
      </c>
      <c r="W952" s="30" t="n">
        <f aca="false">IF(C952="",0,IF(AND(B952="office",E952="budget_probe",N(F952)&gt;=Inputs!$C$139),1,0))</f>
        <v>0</v>
      </c>
      <c r="X952" s="30" t="n">
        <f aca="false">IF(W952=1,IF(COUNTIFS(C$5:C952,C952,W$5:W952,1)=1,1,0),0)</f>
        <v>0</v>
      </c>
      <c r="Y952" s="30" t="n">
        <f aca="false">IF(C952="",0,IF(AND(B952="brand",E952="renewal_answer",TRIM(G952)="yes",N(F952)&gt;=Inputs!$C$135),1,0))</f>
        <v>0</v>
      </c>
      <c r="Z952" s="30" t="n">
        <f aca="false">IF(Y952=1,IF(COUNTIFS(C$5:C952,C952,Y$5:Y952,1)=1,1,0),0)</f>
        <v>0</v>
      </c>
      <c r="AA952" s="30" t="n">
        <f aca="false">IF(AND(E952="budget_probe",ISNUMBER(F952),I952&lt;&gt;Lists!$X$4),1,0)</f>
        <v>0</v>
      </c>
      <c r="AB952" s="30" t="str">
        <f aca="false">IF(AND(B952="office",AA952=1,COUNTIFS(C$5:C952,C952,AA$5:AA952,1)=1),F952,"")</f>
        <v/>
      </c>
      <c r="AC952" s="30" t="str">
        <f aca="false">IF(AND(B952="brand",AA952=1,COUNTIFS(C$5:C952,C952,AA$5:AA952,1)=1),F952,"")</f>
        <v/>
      </c>
      <c r="AD952" s="30" t="str">
        <f aca="false">IF(AND(B952="brand",E952="budget_probe",ISNUMBER(F952),I952=Lists!$X$4),IF(COUNTIFS(C$5:C952,C952,E$5:E952,"budget_probe",I$5:I952,Lists!$X$4)=1,F952,""),"")</f>
        <v/>
      </c>
      <c r="AE952" s="30" t="n">
        <f aca="false">IF(AND(B952="brand",E952="paid",ISNUMBER(F952)),IF(AND(SUMIFS(F$5:F952,B$5:B952,"brand",C$5:C952,C952,E$5:E952,"paid")&gt;=Inputs!$C$44,SUMIFS(F$5:F952,B$5:B952,"brand",C$5:C952,C952,E$5:E952,"paid")-F952&lt;Inputs!$C$44),1,0),0)</f>
        <v>0</v>
      </c>
    </row>
    <row r="953" customFormat="false" ht="15" hidden="false" customHeight="false" outlineLevel="0" collapsed="false">
      <c r="A953" s="102"/>
      <c r="B953" s="103"/>
      <c r="C953" s="103"/>
      <c r="D953" s="103"/>
      <c r="E953" s="103"/>
      <c r="F953" s="103"/>
      <c r="G953" s="103"/>
      <c r="H953" s="103"/>
      <c r="I953" s="103"/>
      <c r="T953" s="30" t="str">
        <f aca="false">IF(C953="","",IF(COUNTIFS(C$5:C953,C953,E$5:E953,E953)=1,1,0))</f>
        <v/>
      </c>
      <c r="U953" s="30" t="n">
        <f aca="false">IF(C953="",0,IF(AND(B953="brand",E953="budget_probe",N(F953)&gt;=Inputs!$C$124,H953="Y"),1,0))</f>
        <v>0</v>
      </c>
      <c r="V953" s="30" t="n">
        <f aca="false">IF(U953=1,IF(COUNTIFS(C$5:C953,C953,U$5:U953,1)=1,1,0),0)</f>
        <v>0</v>
      </c>
      <c r="W953" s="30" t="n">
        <f aca="false">IF(C953="",0,IF(AND(B953="office",E953="budget_probe",N(F953)&gt;=Inputs!$C$139),1,0))</f>
        <v>0</v>
      </c>
      <c r="X953" s="30" t="n">
        <f aca="false">IF(W953=1,IF(COUNTIFS(C$5:C953,C953,W$5:W953,1)=1,1,0),0)</f>
        <v>0</v>
      </c>
      <c r="Y953" s="30" t="n">
        <f aca="false">IF(C953="",0,IF(AND(B953="brand",E953="renewal_answer",TRIM(G953)="yes",N(F953)&gt;=Inputs!$C$135),1,0))</f>
        <v>0</v>
      </c>
      <c r="Z953" s="30" t="n">
        <f aca="false">IF(Y953=1,IF(COUNTIFS(C$5:C953,C953,Y$5:Y953,1)=1,1,0),0)</f>
        <v>0</v>
      </c>
      <c r="AA953" s="30" t="n">
        <f aca="false">IF(AND(E953="budget_probe",ISNUMBER(F953),I953&lt;&gt;Lists!$X$4),1,0)</f>
        <v>0</v>
      </c>
      <c r="AB953" s="30" t="str">
        <f aca="false">IF(AND(B953="office",AA953=1,COUNTIFS(C$5:C953,C953,AA$5:AA953,1)=1),F953,"")</f>
        <v/>
      </c>
      <c r="AC953" s="30" t="str">
        <f aca="false">IF(AND(B953="brand",AA953=1,COUNTIFS(C$5:C953,C953,AA$5:AA953,1)=1),F953,"")</f>
        <v/>
      </c>
      <c r="AD953" s="30" t="str">
        <f aca="false">IF(AND(B953="brand",E953="budget_probe",ISNUMBER(F953),I953=Lists!$X$4),IF(COUNTIFS(C$5:C953,C953,E$5:E953,"budget_probe",I$5:I953,Lists!$X$4)=1,F953,""),"")</f>
        <v/>
      </c>
      <c r="AE953" s="30" t="n">
        <f aca="false">IF(AND(B953="brand",E953="paid",ISNUMBER(F953)),IF(AND(SUMIFS(F$5:F953,B$5:B953,"brand",C$5:C953,C953,E$5:E953,"paid")&gt;=Inputs!$C$44,SUMIFS(F$5:F953,B$5:B953,"brand",C$5:C953,C953,E$5:E953,"paid")-F953&lt;Inputs!$C$44),1,0),0)</f>
        <v>0</v>
      </c>
    </row>
    <row r="954" customFormat="false" ht="15" hidden="false" customHeight="false" outlineLevel="0" collapsed="false">
      <c r="A954" s="102"/>
      <c r="B954" s="103"/>
      <c r="C954" s="103"/>
      <c r="D954" s="103"/>
      <c r="E954" s="103"/>
      <c r="F954" s="103"/>
      <c r="G954" s="103"/>
      <c r="H954" s="103"/>
      <c r="I954" s="103"/>
      <c r="T954" s="30" t="str">
        <f aca="false">IF(C954="","",IF(COUNTIFS(C$5:C954,C954,E$5:E954,E954)=1,1,0))</f>
        <v/>
      </c>
      <c r="U954" s="30" t="n">
        <f aca="false">IF(C954="",0,IF(AND(B954="brand",E954="budget_probe",N(F954)&gt;=Inputs!$C$124,H954="Y"),1,0))</f>
        <v>0</v>
      </c>
      <c r="V954" s="30" t="n">
        <f aca="false">IF(U954=1,IF(COUNTIFS(C$5:C954,C954,U$5:U954,1)=1,1,0),0)</f>
        <v>0</v>
      </c>
      <c r="W954" s="30" t="n">
        <f aca="false">IF(C954="",0,IF(AND(B954="office",E954="budget_probe",N(F954)&gt;=Inputs!$C$139),1,0))</f>
        <v>0</v>
      </c>
      <c r="X954" s="30" t="n">
        <f aca="false">IF(W954=1,IF(COUNTIFS(C$5:C954,C954,W$5:W954,1)=1,1,0),0)</f>
        <v>0</v>
      </c>
      <c r="Y954" s="30" t="n">
        <f aca="false">IF(C954="",0,IF(AND(B954="brand",E954="renewal_answer",TRIM(G954)="yes",N(F954)&gt;=Inputs!$C$135),1,0))</f>
        <v>0</v>
      </c>
      <c r="Z954" s="30" t="n">
        <f aca="false">IF(Y954=1,IF(COUNTIFS(C$5:C954,C954,Y$5:Y954,1)=1,1,0),0)</f>
        <v>0</v>
      </c>
      <c r="AA954" s="30" t="n">
        <f aca="false">IF(AND(E954="budget_probe",ISNUMBER(F954),I954&lt;&gt;Lists!$X$4),1,0)</f>
        <v>0</v>
      </c>
      <c r="AB954" s="30" t="str">
        <f aca="false">IF(AND(B954="office",AA954=1,COUNTIFS(C$5:C954,C954,AA$5:AA954,1)=1),F954,"")</f>
        <v/>
      </c>
      <c r="AC954" s="30" t="str">
        <f aca="false">IF(AND(B954="brand",AA954=1,COUNTIFS(C$5:C954,C954,AA$5:AA954,1)=1),F954,"")</f>
        <v/>
      </c>
      <c r="AD954" s="30" t="str">
        <f aca="false">IF(AND(B954="brand",E954="budget_probe",ISNUMBER(F954),I954=Lists!$X$4),IF(COUNTIFS(C$5:C954,C954,E$5:E954,"budget_probe",I$5:I954,Lists!$X$4)=1,F954,""),"")</f>
        <v/>
      </c>
      <c r="AE954" s="30" t="n">
        <f aca="false">IF(AND(B954="brand",E954="paid",ISNUMBER(F954)),IF(AND(SUMIFS(F$5:F954,B$5:B954,"brand",C$5:C954,C954,E$5:E954,"paid")&gt;=Inputs!$C$44,SUMIFS(F$5:F954,B$5:B954,"brand",C$5:C954,C954,E$5:E954,"paid")-F954&lt;Inputs!$C$44),1,0),0)</f>
        <v>0</v>
      </c>
    </row>
    <row r="955" customFormat="false" ht="15" hidden="false" customHeight="false" outlineLevel="0" collapsed="false">
      <c r="A955" s="102"/>
      <c r="B955" s="103"/>
      <c r="C955" s="103"/>
      <c r="D955" s="103"/>
      <c r="E955" s="103"/>
      <c r="F955" s="103"/>
      <c r="G955" s="103"/>
      <c r="H955" s="103"/>
      <c r="I955" s="103"/>
      <c r="T955" s="30" t="str">
        <f aca="false">IF(C955="","",IF(COUNTIFS(C$5:C955,C955,E$5:E955,E955)=1,1,0))</f>
        <v/>
      </c>
      <c r="U955" s="30" t="n">
        <f aca="false">IF(C955="",0,IF(AND(B955="brand",E955="budget_probe",N(F955)&gt;=Inputs!$C$124,H955="Y"),1,0))</f>
        <v>0</v>
      </c>
      <c r="V955" s="30" t="n">
        <f aca="false">IF(U955=1,IF(COUNTIFS(C$5:C955,C955,U$5:U955,1)=1,1,0),0)</f>
        <v>0</v>
      </c>
      <c r="W955" s="30" t="n">
        <f aca="false">IF(C955="",0,IF(AND(B955="office",E955="budget_probe",N(F955)&gt;=Inputs!$C$139),1,0))</f>
        <v>0</v>
      </c>
      <c r="X955" s="30" t="n">
        <f aca="false">IF(W955=1,IF(COUNTIFS(C$5:C955,C955,W$5:W955,1)=1,1,0),0)</f>
        <v>0</v>
      </c>
      <c r="Y955" s="30" t="n">
        <f aca="false">IF(C955="",0,IF(AND(B955="brand",E955="renewal_answer",TRIM(G955)="yes",N(F955)&gt;=Inputs!$C$135),1,0))</f>
        <v>0</v>
      </c>
      <c r="Z955" s="30" t="n">
        <f aca="false">IF(Y955=1,IF(COUNTIFS(C$5:C955,C955,Y$5:Y955,1)=1,1,0),0)</f>
        <v>0</v>
      </c>
      <c r="AA955" s="30" t="n">
        <f aca="false">IF(AND(E955="budget_probe",ISNUMBER(F955),I955&lt;&gt;Lists!$X$4),1,0)</f>
        <v>0</v>
      </c>
      <c r="AB955" s="30" t="str">
        <f aca="false">IF(AND(B955="office",AA955=1,COUNTIFS(C$5:C955,C955,AA$5:AA955,1)=1),F955,"")</f>
        <v/>
      </c>
      <c r="AC955" s="30" t="str">
        <f aca="false">IF(AND(B955="brand",AA955=1,COUNTIFS(C$5:C955,C955,AA$5:AA955,1)=1),F955,"")</f>
        <v/>
      </c>
      <c r="AD955" s="30" t="str">
        <f aca="false">IF(AND(B955="brand",E955="budget_probe",ISNUMBER(F955),I955=Lists!$X$4),IF(COUNTIFS(C$5:C955,C955,E$5:E955,"budget_probe",I$5:I955,Lists!$X$4)=1,F955,""),"")</f>
        <v/>
      </c>
      <c r="AE955" s="30" t="n">
        <f aca="false">IF(AND(B955="brand",E955="paid",ISNUMBER(F955)),IF(AND(SUMIFS(F$5:F955,B$5:B955,"brand",C$5:C955,C955,E$5:E955,"paid")&gt;=Inputs!$C$44,SUMIFS(F$5:F955,B$5:B955,"brand",C$5:C955,C955,E$5:E955,"paid")-F955&lt;Inputs!$C$44),1,0),0)</f>
        <v>0</v>
      </c>
    </row>
    <row r="956" customFormat="false" ht="15" hidden="false" customHeight="false" outlineLevel="0" collapsed="false">
      <c r="A956" s="102"/>
      <c r="B956" s="103"/>
      <c r="C956" s="103"/>
      <c r="D956" s="103"/>
      <c r="E956" s="103"/>
      <c r="F956" s="103"/>
      <c r="G956" s="103"/>
      <c r="H956" s="103"/>
      <c r="I956" s="103"/>
      <c r="T956" s="30" t="str">
        <f aca="false">IF(C956="","",IF(COUNTIFS(C$5:C956,C956,E$5:E956,E956)=1,1,0))</f>
        <v/>
      </c>
      <c r="U956" s="30" t="n">
        <f aca="false">IF(C956="",0,IF(AND(B956="brand",E956="budget_probe",N(F956)&gt;=Inputs!$C$124,H956="Y"),1,0))</f>
        <v>0</v>
      </c>
      <c r="V956" s="30" t="n">
        <f aca="false">IF(U956=1,IF(COUNTIFS(C$5:C956,C956,U$5:U956,1)=1,1,0),0)</f>
        <v>0</v>
      </c>
      <c r="W956" s="30" t="n">
        <f aca="false">IF(C956="",0,IF(AND(B956="office",E956="budget_probe",N(F956)&gt;=Inputs!$C$139),1,0))</f>
        <v>0</v>
      </c>
      <c r="X956" s="30" t="n">
        <f aca="false">IF(W956=1,IF(COUNTIFS(C$5:C956,C956,W$5:W956,1)=1,1,0),0)</f>
        <v>0</v>
      </c>
      <c r="Y956" s="30" t="n">
        <f aca="false">IF(C956="",0,IF(AND(B956="brand",E956="renewal_answer",TRIM(G956)="yes",N(F956)&gt;=Inputs!$C$135),1,0))</f>
        <v>0</v>
      </c>
      <c r="Z956" s="30" t="n">
        <f aca="false">IF(Y956=1,IF(COUNTIFS(C$5:C956,C956,Y$5:Y956,1)=1,1,0),0)</f>
        <v>0</v>
      </c>
      <c r="AA956" s="30" t="n">
        <f aca="false">IF(AND(E956="budget_probe",ISNUMBER(F956),I956&lt;&gt;Lists!$X$4),1,0)</f>
        <v>0</v>
      </c>
      <c r="AB956" s="30" t="str">
        <f aca="false">IF(AND(B956="office",AA956=1,COUNTIFS(C$5:C956,C956,AA$5:AA956,1)=1),F956,"")</f>
        <v/>
      </c>
      <c r="AC956" s="30" t="str">
        <f aca="false">IF(AND(B956="brand",AA956=1,COUNTIFS(C$5:C956,C956,AA$5:AA956,1)=1),F956,"")</f>
        <v/>
      </c>
      <c r="AD956" s="30" t="str">
        <f aca="false">IF(AND(B956="brand",E956="budget_probe",ISNUMBER(F956),I956=Lists!$X$4),IF(COUNTIFS(C$5:C956,C956,E$5:E956,"budget_probe",I$5:I956,Lists!$X$4)=1,F956,""),"")</f>
        <v/>
      </c>
      <c r="AE956" s="30" t="n">
        <f aca="false">IF(AND(B956="brand",E956="paid",ISNUMBER(F956)),IF(AND(SUMIFS(F$5:F956,B$5:B956,"brand",C$5:C956,C956,E$5:E956,"paid")&gt;=Inputs!$C$44,SUMIFS(F$5:F956,B$5:B956,"brand",C$5:C956,C956,E$5:E956,"paid")-F956&lt;Inputs!$C$44),1,0),0)</f>
        <v>0</v>
      </c>
    </row>
    <row r="957" customFormat="false" ht="15" hidden="false" customHeight="false" outlineLevel="0" collapsed="false">
      <c r="A957" s="102"/>
      <c r="B957" s="103"/>
      <c r="C957" s="103"/>
      <c r="D957" s="103"/>
      <c r="E957" s="103"/>
      <c r="F957" s="103"/>
      <c r="G957" s="103"/>
      <c r="H957" s="103"/>
      <c r="I957" s="103"/>
      <c r="T957" s="30" t="str">
        <f aca="false">IF(C957="","",IF(COUNTIFS(C$5:C957,C957,E$5:E957,E957)=1,1,0))</f>
        <v/>
      </c>
      <c r="U957" s="30" t="n">
        <f aca="false">IF(C957="",0,IF(AND(B957="brand",E957="budget_probe",N(F957)&gt;=Inputs!$C$124,H957="Y"),1,0))</f>
        <v>0</v>
      </c>
      <c r="V957" s="30" t="n">
        <f aca="false">IF(U957=1,IF(COUNTIFS(C$5:C957,C957,U$5:U957,1)=1,1,0),0)</f>
        <v>0</v>
      </c>
      <c r="W957" s="30" t="n">
        <f aca="false">IF(C957="",0,IF(AND(B957="office",E957="budget_probe",N(F957)&gt;=Inputs!$C$139),1,0))</f>
        <v>0</v>
      </c>
      <c r="X957" s="30" t="n">
        <f aca="false">IF(W957=1,IF(COUNTIFS(C$5:C957,C957,W$5:W957,1)=1,1,0),0)</f>
        <v>0</v>
      </c>
      <c r="Y957" s="30" t="n">
        <f aca="false">IF(C957="",0,IF(AND(B957="brand",E957="renewal_answer",TRIM(G957)="yes",N(F957)&gt;=Inputs!$C$135),1,0))</f>
        <v>0</v>
      </c>
      <c r="Z957" s="30" t="n">
        <f aca="false">IF(Y957=1,IF(COUNTIFS(C$5:C957,C957,Y$5:Y957,1)=1,1,0),0)</f>
        <v>0</v>
      </c>
      <c r="AA957" s="30" t="n">
        <f aca="false">IF(AND(E957="budget_probe",ISNUMBER(F957),I957&lt;&gt;Lists!$X$4),1,0)</f>
        <v>0</v>
      </c>
      <c r="AB957" s="30" t="str">
        <f aca="false">IF(AND(B957="office",AA957=1,COUNTIFS(C$5:C957,C957,AA$5:AA957,1)=1),F957,"")</f>
        <v/>
      </c>
      <c r="AC957" s="30" t="str">
        <f aca="false">IF(AND(B957="brand",AA957=1,COUNTIFS(C$5:C957,C957,AA$5:AA957,1)=1),F957,"")</f>
        <v/>
      </c>
      <c r="AD957" s="30" t="str">
        <f aca="false">IF(AND(B957="brand",E957="budget_probe",ISNUMBER(F957),I957=Lists!$X$4),IF(COUNTIFS(C$5:C957,C957,E$5:E957,"budget_probe",I$5:I957,Lists!$X$4)=1,F957,""),"")</f>
        <v/>
      </c>
      <c r="AE957" s="30" t="n">
        <f aca="false">IF(AND(B957="brand",E957="paid",ISNUMBER(F957)),IF(AND(SUMIFS(F$5:F957,B$5:B957,"brand",C$5:C957,C957,E$5:E957,"paid")&gt;=Inputs!$C$44,SUMIFS(F$5:F957,B$5:B957,"brand",C$5:C957,C957,E$5:E957,"paid")-F957&lt;Inputs!$C$44),1,0),0)</f>
        <v>0</v>
      </c>
    </row>
    <row r="958" customFormat="false" ht="15" hidden="false" customHeight="false" outlineLevel="0" collapsed="false">
      <c r="A958" s="102"/>
      <c r="B958" s="103"/>
      <c r="C958" s="103"/>
      <c r="D958" s="103"/>
      <c r="E958" s="103"/>
      <c r="F958" s="103"/>
      <c r="G958" s="103"/>
      <c r="H958" s="103"/>
      <c r="I958" s="103"/>
      <c r="T958" s="30" t="str">
        <f aca="false">IF(C958="","",IF(COUNTIFS(C$5:C958,C958,E$5:E958,E958)=1,1,0))</f>
        <v/>
      </c>
      <c r="U958" s="30" t="n">
        <f aca="false">IF(C958="",0,IF(AND(B958="brand",E958="budget_probe",N(F958)&gt;=Inputs!$C$124,H958="Y"),1,0))</f>
        <v>0</v>
      </c>
      <c r="V958" s="30" t="n">
        <f aca="false">IF(U958=1,IF(COUNTIFS(C$5:C958,C958,U$5:U958,1)=1,1,0),0)</f>
        <v>0</v>
      </c>
      <c r="W958" s="30" t="n">
        <f aca="false">IF(C958="",0,IF(AND(B958="office",E958="budget_probe",N(F958)&gt;=Inputs!$C$139),1,0))</f>
        <v>0</v>
      </c>
      <c r="X958" s="30" t="n">
        <f aca="false">IF(W958=1,IF(COUNTIFS(C$5:C958,C958,W$5:W958,1)=1,1,0),0)</f>
        <v>0</v>
      </c>
      <c r="Y958" s="30" t="n">
        <f aca="false">IF(C958="",0,IF(AND(B958="brand",E958="renewal_answer",TRIM(G958)="yes",N(F958)&gt;=Inputs!$C$135),1,0))</f>
        <v>0</v>
      </c>
      <c r="Z958" s="30" t="n">
        <f aca="false">IF(Y958=1,IF(COUNTIFS(C$5:C958,C958,Y$5:Y958,1)=1,1,0),0)</f>
        <v>0</v>
      </c>
      <c r="AA958" s="30" t="n">
        <f aca="false">IF(AND(E958="budget_probe",ISNUMBER(F958),I958&lt;&gt;Lists!$X$4),1,0)</f>
        <v>0</v>
      </c>
      <c r="AB958" s="30" t="str">
        <f aca="false">IF(AND(B958="office",AA958=1,COUNTIFS(C$5:C958,C958,AA$5:AA958,1)=1),F958,"")</f>
        <v/>
      </c>
      <c r="AC958" s="30" t="str">
        <f aca="false">IF(AND(B958="brand",AA958=1,COUNTIFS(C$5:C958,C958,AA$5:AA958,1)=1),F958,"")</f>
        <v/>
      </c>
      <c r="AD958" s="30" t="str">
        <f aca="false">IF(AND(B958="brand",E958="budget_probe",ISNUMBER(F958),I958=Lists!$X$4),IF(COUNTIFS(C$5:C958,C958,E$5:E958,"budget_probe",I$5:I958,Lists!$X$4)=1,F958,""),"")</f>
        <v/>
      </c>
      <c r="AE958" s="30" t="n">
        <f aca="false">IF(AND(B958="brand",E958="paid",ISNUMBER(F958)),IF(AND(SUMIFS(F$5:F958,B$5:B958,"brand",C$5:C958,C958,E$5:E958,"paid")&gt;=Inputs!$C$44,SUMIFS(F$5:F958,B$5:B958,"brand",C$5:C958,C958,E$5:E958,"paid")-F958&lt;Inputs!$C$44),1,0),0)</f>
        <v>0</v>
      </c>
    </row>
    <row r="959" customFormat="false" ht="15" hidden="false" customHeight="false" outlineLevel="0" collapsed="false">
      <c r="A959" s="102"/>
      <c r="B959" s="103"/>
      <c r="C959" s="103"/>
      <c r="D959" s="103"/>
      <c r="E959" s="103"/>
      <c r="F959" s="103"/>
      <c r="G959" s="103"/>
      <c r="H959" s="103"/>
      <c r="I959" s="103"/>
      <c r="T959" s="30" t="str">
        <f aca="false">IF(C959="","",IF(COUNTIFS(C$5:C959,C959,E$5:E959,E959)=1,1,0))</f>
        <v/>
      </c>
      <c r="U959" s="30" t="n">
        <f aca="false">IF(C959="",0,IF(AND(B959="brand",E959="budget_probe",N(F959)&gt;=Inputs!$C$124,H959="Y"),1,0))</f>
        <v>0</v>
      </c>
      <c r="V959" s="30" t="n">
        <f aca="false">IF(U959=1,IF(COUNTIFS(C$5:C959,C959,U$5:U959,1)=1,1,0),0)</f>
        <v>0</v>
      </c>
      <c r="W959" s="30" t="n">
        <f aca="false">IF(C959="",0,IF(AND(B959="office",E959="budget_probe",N(F959)&gt;=Inputs!$C$139),1,0))</f>
        <v>0</v>
      </c>
      <c r="X959" s="30" t="n">
        <f aca="false">IF(W959=1,IF(COUNTIFS(C$5:C959,C959,W$5:W959,1)=1,1,0),0)</f>
        <v>0</v>
      </c>
      <c r="Y959" s="30" t="n">
        <f aca="false">IF(C959="",0,IF(AND(B959="brand",E959="renewal_answer",TRIM(G959)="yes",N(F959)&gt;=Inputs!$C$135),1,0))</f>
        <v>0</v>
      </c>
      <c r="Z959" s="30" t="n">
        <f aca="false">IF(Y959=1,IF(COUNTIFS(C$5:C959,C959,Y$5:Y959,1)=1,1,0),0)</f>
        <v>0</v>
      </c>
      <c r="AA959" s="30" t="n">
        <f aca="false">IF(AND(E959="budget_probe",ISNUMBER(F959),I959&lt;&gt;Lists!$X$4),1,0)</f>
        <v>0</v>
      </c>
      <c r="AB959" s="30" t="str">
        <f aca="false">IF(AND(B959="office",AA959=1,COUNTIFS(C$5:C959,C959,AA$5:AA959,1)=1),F959,"")</f>
        <v/>
      </c>
      <c r="AC959" s="30" t="str">
        <f aca="false">IF(AND(B959="brand",AA959=1,COUNTIFS(C$5:C959,C959,AA$5:AA959,1)=1),F959,"")</f>
        <v/>
      </c>
      <c r="AD959" s="30" t="str">
        <f aca="false">IF(AND(B959="brand",E959="budget_probe",ISNUMBER(F959),I959=Lists!$X$4),IF(COUNTIFS(C$5:C959,C959,E$5:E959,"budget_probe",I$5:I959,Lists!$X$4)=1,F959,""),"")</f>
        <v/>
      </c>
      <c r="AE959" s="30" t="n">
        <f aca="false">IF(AND(B959="brand",E959="paid",ISNUMBER(F959)),IF(AND(SUMIFS(F$5:F959,B$5:B959,"brand",C$5:C959,C959,E$5:E959,"paid")&gt;=Inputs!$C$44,SUMIFS(F$5:F959,B$5:B959,"brand",C$5:C959,C959,E$5:E959,"paid")-F959&lt;Inputs!$C$44),1,0),0)</f>
        <v>0</v>
      </c>
    </row>
    <row r="960" customFormat="false" ht="15" hidden="false" customHeight="false" outlineLevel="0" collapsed="false">
      <c r="A960" s="102"/>
      <c r="B960" s="103"/>
      <c r="C960" s="103"/>
      <c r="D960" s="103"/>
      <c r="E960" s="103"/>
      <c r="F960" s="103"/>
      <c r="G960" s="103"/>
      <c r="H960" s="103"/>
      <c r="I960" s="103"/>
      <c r="T960" s="30" t="str">
        <f aca="false">IF(C960="","",IF(COUNTIFS(C$5:C960,C960,E$5:E960,E960)=1,1,0))</f>
        <v/>
      </c>
      <c r="U960" s="30" t="n">
        <f aca="false">IF(C960="",0,IF(AND(B960="brand",E960="budget_probe",N(F960)&gt;=Inputs!$C$124,H960="Y"),1,0))</f>
        <v>0</v>
      </c>
      <c r="V960" s="30" t="n">
        <f aca="false">IF(U960=1,IF(COUNTIFS(C$5:C960,C960,U$5:U960,1)=1,1,0),0)</f>
        <v>0</v>
      </c>
      <c r="W960" s="30" t="n">
        <f aca="false">IF(C960="",0,IF(AND(B960="office",E960="budget_probe",N(F960)&gt;=Inputs!$C$139),1,0))</f>
        <v>0</v>
      </c>
      <c r="X960" s="30" t="n">
        <f aca="false">IF(W960=1,IF(COUNTIFS(C$5:C960,C960,W$5:W960,1)=1,1,0),0)</f>
        <v>0</v>
      </c>
      <c r="Y960" s="30" t="n">
        <f aca="false">IF(C960="",0,IF(AND(B960="brand",E960="renewal_answer",TRIM(G960)="yes",N(F960)&gt;=Inputs!$C$135),1,0))</f>
        <v>0</v>
      </c>
      <c r="Z960" s="30" t="n">
        <f aca="false">IF(Y960=1,IF(COUNTIFS(C$5:C960,C960,Y$5:Y960,1)=1,1,0),0)</f>
        <v>0</v>
      </c>
      <c r="AA960" s="30" t="n">
        <f aca="false">IF(AND(E960="budget_probe",ISNUMBER(F960),I960&lt;&gt;Lists!$X$4),1,0)</f>
        <v>0</v>
      </c>
      <c r="AB960" s="30" t="str">
        <f aca="false">IF(AND(B960="office",AA960=1,COUNTIFS(C$5:C960,C960,AA$5:AA960,1)=1),F960,"")</f>
        <v/>
      </c>
      <c r="AC960" s="30" t="str">
        <f aca="false">IF(AND(B960="brand",AA960=1,COUNTIFS(C$5:C960,C960,AA$5:AA960,1)=1),F960,"")</f>
        <v/>
      </c>
      <c r="AD960" s="30" t="str">
        <f aca="false">IF(AND(B960="brand",E960="budget_probe",ISNUMBER(F960),I960=Lists!$X$4),IF(COUNTIFS(C$5:C960,C960,E$5:E960,"budget_probe",I$5:I960,Lists!$X$4)=1,F960,""),"")</f>
        <v/>
      </c>
      <c r="AE960" s="30" t="n">
        <f aca="false">IF(AND(B960="brand",E960="paid",ISNUMBER(F960)),IF(AND(SUMIFS(F$5:F960,B$5:B960,"brand",C$5:C960,C960,E$5:E960,"paid")&gt;=Inputs!$C$44,SUMIFS(F$5:F960,B$5:B960,"brand",C$5:C960,C960,E$5:E960,"paid")-F960&lt;Inputs!$C$44),1,0),0)</f>
        <v>0</v>
      </c>
    </row>
    <row r="961" customFormat="false" ht="15" hidden="false" customHeight="false" outlineLevel="0" collapsed="false">
      <c r="A961" s="102"/>
      <c r="B961" s="103"/>
      <c r="C961" s="103"/>
      <c r="D961" s="103"/>
      <c r="E961" s="103"/>
      <c r="F961" s="103"/>
      <c r="G961" s="103"/>
      <c r="H961" s="103"/>
      <c r="I961" s="103"/>
      <c r="T961" s="30" t="str">
        <f aca="false">IF(C961="","",IF(COUNTIFS(C$5:C961,C961,E$5:E961,E961)=1,1,0))</f>
        <v/>
      </c>
      <c r="U961" s="30" t="n">
        <f aca="false">IF(C961="",0,IF(AND(B961="brand",E961="budget_probe",N(F961)&gt;=Inputs!$C$124,H961="Y"),1,0))</f>
        <v>0</v>
      </c>
      <c r="V961" s="30" t="n">
        <f aca="false">IF(U961=1,IF(COUNTIFS(C$5:C961,C961,U$5:U961,1)=1,1,0),0)</f>
        <v>0</v>
      </c>
      <c r="W961" s="30" t="n">
        <f aca="false">IF(C961="",0,IF(AND(B961="office",E961="budget_probe",N(F961)&gt;=Inputs!$C$139),1,0))</f>
        <v>0</v>
      </c>
      <c r="X961" s="30" t="n">
        <f aca="false">IF(W961=1,IF(COUNTIFS(C$5:C961,C961,W$5:W961,1)=1,1,0),0)</f>
        <v>0</v>
      </c>
      <c r="Y961" s="30" t="n">
        <f aca="false">IF(C961="",0,IF(AND(B961="brand",E961="renewal_answer",TRIM(G961)="yes",N(F961)&gt;=Inputs!$C$135),1,0))</f>
        <v>0</v>
      </c>
      <c r="Z961" s="30" t="n">
        <f aca="false">IF(Y961=1,IF(COUNTIFS(C$5:C961,C961,Y$5:Y961,1)=1,1,0),0)</f>
        <v>0</v>
      </c>
      <c r="AA961" s="30" t="n">
        <f aca="false">IF(AND(E961="budget_probe",ISNUMBER(F961),I961&lt;&gt;Lists!$X$4),1,0)</f>
        <v>0</v>
      </c>
      <c r="AB961" s="30" t="str">
        <f aca="false">IF(AND(B961="office",AA961=1,COUNTIFS(C$5:C961,C961,AA$5:AA961,1)=1),F961,"")</f>
        <v/>
      </c>
      <c r="AC961" s="30" t="str">
        <f aca="false">IF(AND(B961="brand",AA961=1,COUNTIFS(C$5:C961,C961,AA$5:AA961,1)=1),F961,"")</f>
        <v/>
      </c>
      <c r="AD961" s="30" t="str">
        <f aca="false">IF(AND(B961="brand",E961="budget_probe",ISNUMBER(F961),I961=Lists!$X$4),IF(COUNTIFS(C$5:C961,C961,E$5:E961,"budget_probe",I$5:I961,Lists!$X$4)=1,F961,""),"")</f>
        <v/>
      </c>
      <c r="AE961" s="30" t="n">
        <f aca="false">IF(AND(B961="brand",E961="paid",ISNUMBER(F961)),IF(AND(SUMIFS(F$5:F961,B$5:B961,"brand",C$5:C961,C961,E$5:E961,"paid")&gt;=Inputs!$C$44,SUMIFS(F$5:F961,B$5:B961,"brand",C$5:C961,C961,E$5:E961,"paid")-F961&lt;Inputs!$C$44),1,0),0)</f>
        <v>0</v>
      </c>
    </row>
    <row r="962" customFormat="false" ht="15" hidden="false" customHeight="false" outlineLevel="0" collapsed="false">
      <c r="A962" s="102"/>
      <c r="B962" s="103"/>
      <c r="C962" s="103"/>
      <c r="D962" s="103"/>
      <c r="E962" s="103"/>
      <c r="F962" s="103"/>
      <c r="G962" s="103"/>
      <c r="H962" s="103"/>
      <c r="I962" s="103"/>
      <c r="T962" s="30" t="str">
        <f aca="false">IF(C962="","",IF(COUNTIFS(C$5:C962,C962,E$5:E962,E962)=1,1,0))</f>
        <v/>
      </c>
      <c r="U962" s="30" t="n">
        <f aca="false">IF(C962="",0,IF(AND(B962="brand",E962="budget_probe",N(F962)&gt;=Inputs!$C$124,H962="Y"),1,0))</f>
        <v>0</v>
      </c>
      <c r="V962" s="30" t="n">
        <f aca="false">IF(U962=1,IF(COUNTIFS(C$5:C962,C962,U$5:U962,1)=1,1,0),0)</f>
        <v>0</v>
      </c>
      <c r="W962" s="30" t="n">
        <f aca="false">IF(C962="",0,IF(AND(B962="office",E962="budget_probe",N(F962)&gt;=Inputs!$C$139),1,0))</f>
        <v>0</v>
      </c>
      <c r="X962" s="30" t="n">
        <f aca="false">IF(W962=1,IF(COUNTIFS(C$5:C962,C962,W$5:W962,1)=1,1,0),0)</f>
        <v>0</v>
      </c>
      <c r="Y962" s="30" t="n">
        <f aca="false">IF(C962="",0,IF(AND(B962="brand",E962="renewal_answer",TRIM(G962)="yes",N(F962)&gt;=Inputs!$C$135),1,0))</f>
        <v>0</v>
      </c>
      <c r="Z962" s="30" t="n">
        <f aca="false">IF(Y962=1,IF(COUNTIFS(C$5:C962,C962,Y$5:Y962,1)=1,1,0),0)</f>
        <v>0</v>
      </c>
      <c r="AA962" s="30" t="n">
        <f aca="false">IF(AND(E962="budget_probe",ISNUMBER(F962),I962&lt;&gt;Lists!$X$4),1,0)</f>
        <v>0</v>
      </c>
      <c r="AB962" s="30" t="str">
        <f aca="false">IF(AND(B962="office",AA962=1,COUNTIFS(C$5:C962,C962,AA$5:AA962,1)=1),F962,"")</f>
        <v/>
      </c>
      <c r="AC962" s="30" t="str">
        <f aca="false">IF(AND(B962="brand",AA962=1,COUNTIFS(C$5:C962,C962,AA$5:AA962,1)=1),F962,"")</f>
        <v/>
      </c>
      <c r="AD962" s="30" t="str">
        <f aca="false">IF(AND(B962="brand",E962="budget_probe",ISNUMBER(F962),I962=Lists!$X$4),IF(COUNTIFS(C$5:C962,C962,E$5:E962,"budget_probe",I$5:I962,Lists!$X$4)=1,F962,""),"")</f>
        <v/>
      </c>
      <c r="AE962" s="30" t="n">
        <f aca="false">IF(AND(B962="brand",E962="paid",ISNUMBER(F962)),IF(AND(SUMIFS(F$5:F962,B$5:B962,"brand",C$5:C962,C962,E$5:E962,"paid")&gt;=Inputs!$C$44,SUMIFS(F$5:F962,B$5:B962,"brand",C$5:C962,C962,E$5:E962,"paid")-F962&lt;Inputs!$C$44),1,0),0)</f>
        <v>0</v>
      </c>
    </row>
    <row r="963" customFormat="false" ht="15" hidden="false" customHeight="false" outlineLevel="0" collapsed="false">
      <c r="A963" s="102"/>
      <c r="B963" s="103"/>
      <c r="C963" s="103"/>
      <c r="D963" s="103"/>
      <c r="E963" s="103"/>
      <c r="F963" s="103"/>
      <c r="G963" s="103"/>
      <c r="H963" s="103"/>
      <c r="I963" s="103"/>
      <c r="T963" s="30" t="str">
        <f aca="false">IF(C963="","",IF(COUNTIFS(C$5:C963,C963,E$5:E963,E963)=1,1,0))</f>
        <v/>
      </c>
      <c r="U963" s="30" t="n">
        <f aca="false">IF(C963="",0,IF(AND(B963="brand",E963="budget_probe",N(F963)&gt;=Inputs!$C$124,H963="Y"),1,0))</f>
        <v>0</v>
      </c>
      <c r="V963" s="30" t="n">
        <f aca="false">IF(U963=1,IF(COUNTIFS(C$5:C963,C963,U$5:U963,1)=1,1,0),0)</f>
        <v>0</v>
      </c>
      <c r="W963" s="30" t="n">
        <f aca="false">IF(C963="",0,IF(AND(B963="office",E963="budget_probe",N(F963)&gt;=Inputs!$C$139),1,0))</f>
        <v>0</v>
      </c>
      <c r="X963" s="30" t="n">
        <f aca="false">IF(W963=1,IF(COUNTIFS(C$5:C963,C963,W$5:W963,1)=1,1,0),0)</f>
        <v>0</v>
      </c>
      <c r="Y963" s="30" t="n">
        <f aca="false">IF(C963="",0,IF(AND(B963="brand",E963="renewal_answer",TRIM(G963)="yes",N(F963)&gt;=Inputs!$C$135),1,0))</f>
        <v>0</v>
      </c>
      <c r="Z963" s="30" t="n">
        <f aca="false">IF(Y963=1,IF(COUNTIFS(C$5:C963,C963,Y$5:Y963,1)=1,1,0),0)</f>
        <v>0</v>
      </c>
      <c r="AA963" s="30" t="n">
        <f aca="false">IF(AND(E963="budget_probe",ISNUMBER(F963),I963&lt;&gt;Lists!$X$4),1,0)</f>
        <v>0</v>
      </c>
      <c r="AB963" s="30" t="str">
        <f aca="false">IF(AND(B963="office",AA963=1,COUNTIFS(C$5:C963,C963,AA$5:AA963,1)=1),F963,"")</f>
        <v/>
      </c>
      <c r="AC963" s="30" t="str">
        <f aca="false">IF(AND(B963="brand",AA963=1,COUNTIFS(C$5:C963,C963,AA$5:AA963,1)=1),F963,"")</f>
        <v/>
      </c>
      <c r="AD963" s="30" t="str">
        <f aca="false">IF(AND(B963="brand",E963="budget_probe",ISNUMBER(F963),I963=Lists!$X$4),IF(COUNTIFS(C$5:C963,C963,E$5:E963,"budget_probe",I$5:I963,Lists!$X$4)=1,F963,""),"")</f>
        <v/>
      </c>
      <c r="AE963" s="30" t="n">
        <f aca="false">IF(AND(B963="brand",E963="paid",ISNUMBER(F963)),IF(AND(SUMIFS(F$5:F963,B$5:B963,"brand",C$5:C963,C963,E$5:E963,"paid")&gt;=Inputs!$C$44,SUMIFS(F$5:F963,B$5:B963,"brand",C$5:C963,C963,E$5:E963,"paid")-F963&lt;Inputs!$C$44),1,0),0)</f>
        <v>0</v>
      </c>
    </row>
    <row r="964" customFormat="false" ht="15" hidden="false" customHeight="false" outlineLevel="0" collapsed="false">
      <c r="A964" s="102"/>
      <c r="B964" s="103"/>
      <c r="C964" s="103"/>
      <c r="D964" s="103"/>
      <c r="E964" s="103"/>
      <c r="F964" s="103"/>
      <c r="G964" s="103"/>
      <c r="H964" s="103"/>
      <c r="I964" s="103"/>
      <c r="T964" s="30" t="str">
        <f aca="false">IF(C964="","",IF(COUNTIFS(C$5:C964,C964,E$5:E964,E964)=1,1,0))</f>
        <v/>
      </c>
      <c r="U964" s="30" t="n">
        <f aca="false">IF(C964="",0,IF(AND(B964="brand",E964="budget_probe",N(F964)&gt;=Inputs!$C$124,H964="Y"),1,0))</f>
        <v>0</v>
      </c>
      <c r="V964" s="30" t="n">
        <f aca="false">IF(U964=1,IF(COUNTIFS(C$5:C964,C964,U$5:U964,1)=1,1,0),0)</f>
        <v>0</v>
      </c>
      <c r="W964" s="30" t="n">
        <f aca="false">IF(C964="",0,IF(AND(B964="office",E964="budget_probe",N(F964)&gt;=Inputs!$C$139),1,0))</f>
        <v>0</v>
      </c>
      <c r="X964" s="30" t="n">
        <f aca="false">IF(W964=1,IF(COUNTIFS(C$5:C964,C964,W$5:W964,1)=1,1,0),0)</f>
        <v>0</v>
      </c>
      <c r="Y964" s="30" t="n">
        <f aca="false">IF(C964="",0,IF(AND(B964="brand",E964="renewal_answer",TRIM(G964)="yes",N(F964)&gt;=Inputs!$C$135),1,0))</f>
        <v>0</v>
      </c>
      <c r="Z964" s="30" t="n">
        <f aca="false">IF(Y964=1,IF(COUNTIFS(C$5:C964,C964,Y$5:Y964,1)=1,1,0),0)</f>
        <v>0</v>
      </c>
      <c r="AA964" s="30" t="n">
        <f aca="false">IF(AND(E964="budget_probe",ISNUMBER(F964),I964&lt;&gt;Lists!$X$4),1,0)</f>
        <v>0</v>
      </c>
      <c r="AB964" s="30" t="str">
        <f aca="false">IF(AND(B964="office",AA964=1,COUNTIFS(C$5:C964,C964,AA$5:AA964,1)=1),F964,"")</f>
        <v/>
      </c>
      <c r="AC964" s="30" t="str">
        <f aca="false">IF(AND(B964="brand",AA964=1,COUNTIFS(C$5:C964,C964,AA$5:AA964,1)=1),F964,"")</f>
        <v/>
      </c>
      <c r="AD964" s="30" t="str">
        <f aca="false">IF(AND(B964="brand",E964="budget_probe",ISNUMBER(F964),I964=Lists!$X$4),IF(COUNTIFS(C$5:C964,C964,E$5:E964,"budget_probe",I$5:I964,Lists!$X$4)=1,F964,""),"")</f>
        <v/>
      </c>
      <c r="AE964" s="30" t="n">
        <f aca="false">IF(AND(B964="brand",E964="paid",ISNUMBER(F964)),IF(AND(SUMIFS(F$5:F964,B$5:B964,"brand",C$5:C964,C964,E$5:E964,"paid")&gt;=Inputs!$C$44,SUMIFS(F$5:F964,B$5:B964,"brand",C$5:C964,C964,E$5:E964,"paid")-F964&lt;Inputs!$C$44),1,0),0)</f>
        <v>0</v>
      </c>
    </row>
    <row r="965" customFormat="false" ht="15" hidden="false" customHeight="false" outlineLevel="0" collapsed="false">
      <c r="A965" s="102"/>
      <c r="B965" s="103"/>
      <c r="C965" s="103"/>
      <c r="D965" s="103"/>
      <c r="E965" s="103"/>
      <c r="F965" s="103"/>
      <c r="G965" s="103"/>
      <c r="H965" s="103"/>
      <c r="I965" s="103"/>
      <c r="T965" s="30" t="str">
        <f aca="false">IF(C965="","",IF(COUNTIFS(C$5:C965,C965,E$5:E965,E965)=1,1,0))</f>
        <v/>
      </c>
      <c r="U965" s="30" t="n">
        <f aca="false">IF(C965="",0,IF(AND(B965="brand",E965="budget_probe",N(F965)&gt;=Inputs!$C$124,H965="Y"),1,0))</f>
        <v>0</v>
      </c>
      <c r="V965" s="30" t="n">
        <f aca="false">IF(U965=1,IF(COUNTIFS(C$5:C965,C965,U$5:U965,1)=1,1,0),0)</f>
        <v>0</v>
      </c>
      <c r="W965" s="30" t="n">
        <f aca="false">IF(C965="",0,IF(AND(B965="office",E965="budget_probe",N(F965)&gt;=Inputs!$C$139),1,0))</f>
        <v>0</v>
      </c>
      <c r="X965" s="30" t="n">
        <f aca="false">IF(W965=1,IF(COUNTIFS(C$5:C965,C965,W$5:W965,1)=1,1,0),0)</f>
        <v>0</v>
      </c>
      <c r="Y965" s="30" t="n">
        <f aca="false">IF(C965="",0,IF(AND(B965="brand",E965="renewal_answer",TRIM(G965)="yes",N(F965)&gt;=Inputs!$C$135),1,0))</f>
        <v>0</v>
      </c>
      <c r="Z965" s="30" t="n">
        <f aca="false">IF(Y965=1,IF(COUNTIFS(C$5:C965,C965,Y$5:Y965,1)=1,1,0),0)</f>
        <v>0</v>
      </c>
      <c r="AA965" s="30" t="n">
        <f aca="false">IF(AND(E965="budget_probe",ISNUMBER(F965),I965&lt;&gt;Lists!$X$4),1,0)</f>
        <v>0</v>
      </c>
      <c r="AB965" s="30" t="str">
        <f aca="false">IF(AND(B965="office",AA965=1,COUNTIFS(C$5:C965,C965,AA$5:AA965,1)=1),F965,"")</f>
        <v/>
      </c>
      <c r="AC965" s="30" t="str">
        <f aca="false">IF(AND(B965="brand",AA965=1,COUNTIFS(C$5:C965,C965,AA$5:AA965,1)=1),F965,"")</f>
        <v/>
      </c>
      <c r="AD965" s="30" t="str">
        <f aca="false">IF(AND(B965="brand",E965="budget_probe",ISNUMBER(F965),I965=Lists!$X$4),IF(COUNTIFS(C$5:C965,C965,E$5:E965,"budget_probe",I$5:I965,Lists!$X$4)=1,F965,""),"")</f>
        <v/>
      </c>
      <c r="AE965" s="30" t="n">
        <f aca="false">IF(AND(B965="brand",E965="paid",ISNUMBER(F965)),IF(AND(SUMIFS(F$5:F965,B$5:B965,"brand",C$5:C965,C965,E$5:E965,"paid")&gt;=Inputs!$C$44,SUMIFS(F$5:F965,B$5:B965,"brand",C$5:C965,C965,E$5:E965,"paid")-F965&lt;Inputs!$C$44),1,0),0)</f>
        <v>0</v>
      </c>
    </row>
    <row r="966" customFormat="false" ht="15" hidden="false" customHeight="false" outlineLevel="0" collapsed="false">
      <c r="A966" s="102"/>
      <c r="B966" s="103"/>
      <c r="C966" s="103"/>
      <c r="D966" s="103"/>
      <c r="E966" s="103"/>
      <c r="F966" s="103"/>
      <c r="G966" s="103"/>
      <c r="H966" s="103"/>
      <c r="I966" s="103"/>
      <c r="T966" s="30" t="str">
        <f aca="false">IF(C966="","",IF(COUNTIFS(C$5:C966,C966,E$5:E966,E966)=1,1,0))</f>
        <v/>
      </c>
      <c r="U966" s="30" t="n">
        <f aca="false">IF(C966="",0,IF(AND(B966="brand",E966="budget_probe",N(F966)&gt;=Inputs!$C$124,H966="Y"),1,0))</f>
        <v>0</v>
      </c>
      <c r="V966" s="30" t="n">
        <f aca="false">IF(U966=1,IF(COUNTIFS(C$5:C966,C966,U$5:U966,1)=1,1,0),0)</f>
        <v>0</v>
      </c>
      <c r="W966" s="30" t="n">
        <f aca="false">IF(C966="",0,IF(AND(B966="office",E966="budget_probe",N(F966)&gt;=Inputs!$C$139),1,0))</f>
        <v>0</v>
      </c>
      <c r="X966" s="30" t="n">
        <f aca="false">IF(W966=1,IF(COUNTIFS(C$5:C966,C966,W$5:W966,1)=1,1,0),0)</f>
        <v>0</v>
      </c>
      <c r="Y966" s="30" t="n">
        <f aca="false">IF(C966="",0,IF(AND(B966="brand",E966="renewal_answer",TRIM(G966)="yes",N(F966)&gt;=Inputs!$C$135),1,0))</f>
        <v>0</v>
      </c>
      <c r="Z966" s="30" t="n">
        <f aca="false">IF(Y966=1,IF(COUNTIFS(C$5:C966,C966,Y$5:Y966,1)=1,1,0),0)</f>
        <v>0</v>
      </c>
      <c r="AA966" s="30" t="n">
        <f aca="false">IF(AND(E966="budget_probe",ISNUMBER(F966),I966&lt;&gt;Lists!$X$4),1,0)</f>
        <v>0</v>
      </c>
      <c r="AB966" s="30" t="str">
        <f aca="false">IF(AND(B966="office",AA966=1,COUNTIFS(C$5:C966,C966,AA$5:AA966,1)=1),F966,"")</f>
        <v/>
      </c>
      <c r="AC966" s="30" t="str">
        <f aca="false">IF(AND(B966="brand",AA966=1,COUNTIFS(C$5:C966,C966,AA$5:AA966,1)=1),F966,"")</f>
        <v/>
      </c>
      <c r="AD966" s="30" t="str">
        <f aca="false">IF(AND(B966="brand",E966="budget_probe",ISNUMBER(F966),I966=Lists!$X$4),IF(COUNTIFS(C$5:C966,C966,E$5:E966,"budget_probe",I$5:I966,Lists!$X$4)=1,F966,""),"")</f>
        <v/>
      </c>
      <c r="AE966" s="30" t="n">
        <f aca="false">IF(AND(B966="brand",E966="paid",ISNUMBER(F966)),IF(AND(SUMIFS(F$5:F966,B$5:B966,"brand",C$5:C966,C966,E$5:E966,"paid")&gt;=Inputs!$C$44,SUMIFS(F$5:F966,B$5:B966,"brand",C$5:C966,C966,E$5:E966,"paid")-F966&lt;Inputs!$C$44),1,0),0)</f>
        <v>0</v>
      </c>
    </row>
    <row r="967" customFormat="false" ht="15" hidden="false" customHeight="false" outlineLevel="0" collapsed="false">
      <c r="A967" s="102"/>
      <c r="B967" s="103"/>
      <c r="C967" s="103"/>
      <c r="D967" s="103"/>
      <c r="E967" s="103"/>
      <c r="F967" s="103"/>
      <c r="G967" s="103"/>
      <c r="H967" s="103"/>
      <c r="I967" s="103"/>
      <c r="T967" s="30" t="str">
        <f aca="false">IF(C967="","",IF(COUNTIFS(C$5:C967,C967,E$5:E967,E967)=1,1,0))</f>
        <v/>
      </c>
      <c r="U967" s="30" t="n">
        <f aca="false">IF(C967="",0,IF(AND(B967="brand",E967="budget_probe",N(F967)&gt;=Inputs!$C$124,H967="Y"),1,0))</f>
        <v>0</v>
      </c>
      <c r="V967" s="30" t="n">
        <f aca="false">IF(U967=1,IF(COUNTIFS(C$5:C967,C967,U$5:U967,1)=1,1,0),0)</f>
        <v>0</v>
      </c>
      <c r="W967" s="30" t="n">
        <f aca="false">IF(C967="",0,IF(AND(B967="office",E967="budget_probe",N(F967)&gt;=Inputs!$C$139),1,0))</f>
        <v>0</v>
      </c>
      <c r="X967" s="30" t="n">
        <f aca="false">IF(W967=1,IF(COUNTIFS(C$5:C967,C967,W$5:W967,1)=1,1,0),0)</f>
        <v>0</v>
      </c>
      <c r="Y967" s="30" t="n">
        <f aca="false">IF(C967="",0,IF(AND(B967="brand",E967="renewal_answer",TRIM(G967)="yes",N(F967)&gt;=Inputs!$C$135),1,0))</f>
        <v>0</v>
      </c>
      <c r="Z967" s="30" t="n">
        <f aca="false">IF(Y967=1,IF(COUNTIFS(C$5:C967,C967,Y$5:Y967,1)=1,1,0),0)</f>
        <v>0</v>
      </c>
      <c r="AA967" s="30" t="n">
        <f aca="false">IF(AND(E967="budget_probe",ISNUMBER(F967),I967&lt;&gt;Lists!$X$4),1,0)</f>
        <v>0</v>
      </c>
      <c r="AB967" s="30" t="str">
        <f aca="false">IF(AND(B967="office",AA967=1,COUNTIFS(C$5:C967,C967,AA$5:AA967,1)=1),F967,"")</f>
        <v/>
      </c>
      <c r="AC967" s="30" t="str">
        <f aca="false">IF(AND(B967="brand",AA967=1,COUNTIFS(C$5:C967,C967,AA$5:AA967,1)=1),F967,"")</f>
        <v/>
      </c>
      <c r="AD967" s="30" t="str">
        <f aca="false">IF(AND(B967="brand",E967="budget_probe",ISNUMBER(F967),I967=Lists!$X$4),IF(COUNTIFS(C$5:C967,C967,E$5:E967,"budget_probe",I$5:I967,Lists!$X$4)=1,F967,""),"")</f>
        <v/>
      </c>
      <c r="AE967" s="30" t="n">
        <f aca="false">IF(AND(B967="brand",E967="paid",ISNUMBER(F967)),IF(AND(SUMIFS(F$5:F967,B$5:B967,"brand",C$5:C967,C967,E$5:E967,"paid")&gt;=Inputs!$C$44,SUMIFS(F$5:F967,B$5:B967,"brand",C$5:C967,C967,E$5:E967,"paid")-F967&lt;Inputs!$C$44),1,0),0)</f>
        <v>0</v>
      </c>
    </row>
    <row r="968" customFormat="false" ht="15" hidden="false" customHeight="false" outlineLevel="0" collapsed="false">
      <c r="A968" s="102"/>
      <c r="B968" s="103"/>
      <c r="C968" s="103"/>
      <c r="D968" s="103"/>
      <c r="E968" s="103"/>
      <c r="F968" s="103"/>
      <c r="G968" s="103"/>
      <c r="H968" s="103"/>
      <c r="I968" s="103"/>
      <c r="T968" s="30" t="str">
        <f aca="false">IF(C968="","",IF(COUNTIFS(C$5:C968,C968,E$5:E968,E968)=1,1,0))</f>
        <v/>
      </c>
      <c r="U968" s="30" t="n">
        <f aca="false">IF(C968="",0,IF(AND(B968="brand",E968="budget_probe",N(F968)&gt;=Inputs!$C$124,H968="Y"),1,0))</f>
        <v>0</v>
      </c>
      <c r="V968" s="30" t="n">
        <f aca="false">IF(U968=1,IF(COUNTIFS(C$5:C968,C968,U$5:U968,1)=1,1,0),0)</f>
        <v>0</v>
      </c>
      <c r="W968" s="30" t="n">
        <f aca="false">IF(C968="",0,IF(AND(B968="office",E968="budget_probe",N(F968)&gt;=Inputs!$C$139),1,0))</f>
        <v>0</v>
      </c>
      <c r="X968" s="30" t="n">
        <f aca="false">IF(W968=1,IF(COUNTIFS(C$5:C968,C968,W$5:W968,1)=1,1,0),0)</f>
        <v>0</v>
      </c>
      <c r="Y968" s="30" t="n">
        <f aca="false">IF(C968="",0,IF(AND(B968="brand",E968="renewal_answer",TRIM(G968)="yes",N(F968)&gt;=Inputs!$C$135),1,0))</f>
        <v>0</v>
      </c>
      <c r="Z968" s="30" t="n">
        <f aca="false">IF(Y968=1,IF(COUNTIFS(C$5:C968,C968,Y$5:Y968,1)=1,1,0),0)</f>
        <v>0</v>
      </c>
      <c r="AA968" s="30" t="n">
        <f aca="false">IF(AND(E968="budget_probe",ISNUMBER(F968),I968&lt;&gt;Lists!$X$4),1,0)</f>
        <v>0</v>
      </c>
      <c r="AB968" s="30" t="str">
        <f aca="false">IF(AND(B968="office",AA968=1,COUNTIFS(C$5:C968,C968,AA$5:AA968,1)=1),F968,"")</f>
        <v/>
      </c>
      <c r="AC968" s="30" t="str">
        <f aca="false">IF(AND(B968="brand",AA968=1,COUNTIFS(C$5:C968,C968,AA$5:AA968,1)=1),F968,"")</f>
        <v/>
      </c>
      <c r="AD968" s="30" t="str">
        <f aca="false">IF(AND(B968="brand",E968="budget_probe",ISNUMBER(F968),I968=Lists!$X$4),IF(COUNTIFS(C$5:C968,C968,E$5:E968,"budget_probe",I$5:I968,Lists!$X$4)=1,F968,""),"")</f>
        <v/>
      </c>
      <c r="AE968" s="30" t="n">
        <f aca="false">IF(AND(B968="brand",E968="paid",ISNUMBER(F968)),IF(AND(SUMIFS(F$5:F968,B$5:B968,"brand",C$5:C968,C968,E$5:E968,"paid")&gt;=Inputs!$C$44,SUMIFS(F$5:F968,B$5:B968,"brand",C$5:C968,C968,E$5:E968,"paid")-F968&lt;Inputs!$C$44),1,0),0)</f>
        <v>0</v>
      </c>
    </row>
    <row r="969" customFormat="false" ht="15" hidden="false" customHeight="false" outlineLevel="0" collapsed="false">
      <c r="A969" s="102"/>
      <c r="B969" s="103"/>
      <c r="C969" s="103"/>
      <c r="D969" s="103"/>
      <c r="E969" s="103"/>
      <c r="F969" s="103"/>
      <c r="G969" s="103"/>
      <c r="H969" s="103"/>
      <c r="I969" s="103"/>
      <c r="T969" s="30" t="str">
        <f aca="false">IF(C969="","",IF(COUNTIFS(C$5:C969,C969,E$5:E969,E969)=1,1,0))</f>
        <v/>
      </c>
      <c r="U969" s="30" t="n">
        <f aca="false">IF(C969="",0,IF(AND(B969="brand",E969="budget_probe",N(F969)&gt;=Inputs!$C$124,H969="Y"),1,0))</f>
        <v>0</v>
      </c>
      <c r="V969" s="30" t="n">
        <f aca="false">IF(U969=1,IF(COUNTIFS(C$5:C969,C969,U$5:U969,1)=1,1,0),0)</f>
        <v>0</v>
      </c>
      <c r="W969" s="30" t="n">
        <f aca="false">IF(C969="",0,IF(AND(B969="office",E969="budget_probe",N(F969)&gt;=Inputs!$C$139),1,0))</f>
        <v>0</v>
      </c>
      <c r="X969" s="30" t="n">
        <f aca="false">IF(W969=1,IF(COUNTIFS(C$5:C969,C969,W$5:W969,1)=1,1,0),0)</f>
        <v>0</v>
      </c>
      <c r="Y969" s="30" t="n">
        <f aca="false">IF(C969="",0,IF(AND(B969="brand",E969="renewal_answer",TRIM(G969)="yes",N(F969)&gt;=Inputs!$C$135),1,0))</f>
        <v>0</v>
      </c>
      <c r="Z969" s="30" t="n">
        <f aca="false">IF(Y969=1,IF(COUNTIFS(C$5:C969,C969,Y$5:Y969,1)=1,1,0),0)</f>
        <v>0</v>
      </c>
      <c r="AA969" s="30" t="n">
        <f aca="false">IF(AND(E969="budget_probe",ISNUMBER(F969),I969&lt;&gt;Lists!$X$4),1,0)</f>
        <v>0</v>
      </c>
      <c r="AB969" s="30" t="str">
        <f aca="false">IF(AND(B969="office",AA969=1,COUNTIFS(C$5:C969,C969,AA$5:AA969,1)=1),F969,"")</f>
        <v/>
      </c>
      <c r="AC969" s="30" t="str">
        <f aca="false">IF(AND(B969="brand",AA969=1,COUNTIFS(C$5:C969,C969,AA$5:AA969,1)=1),F969,"")</f>
        <v/>
      </c>
      <c r="AD969" s="30" t="str">
        <f aca="false">IF(AND(B969="brand",E969="budget_probe",ISNUMBER(F969),I969=Lists!$X$4),IF(COUNTIFS(C$5:C969,C969,E$5:E969,"budget_probe",I$5:I969,Lists!$X$4)=1,F969,""),"")</f>
        <v/>
      </c>
      <c r="AE969" s="30" t="n">
        <f aca="false">IF(AND(B969="brand",E969="paid",ISNUMBER(F969)),IF(AND(SUMIFS(F$5:F969,B$5:B969,"brand",C$5:C969,C969,E$5:E969,"paid")&gt;=Inputs!$C$44,SUMIFS(F$5:F969,B$5:B969,"brand",C$5:C969,C969,E$5:E969,"paid")-F969&lt;Inputs!$C$44),1,0),0)</f>
        <v>0</v>
      </c>
    </row>
    <row r="970" customFormat="false" ht="15" hidden="false" customHeight="false" outlineLevel="0" collapsed="false">
      <c r="A970" s="102"/>
      <c r="B970" s="103"/>
      <c r="C970" s="103"/>
      <c r="D970" s="103"/>
      <c r="E970" s="103"/>
      <c r="F970" s="103"/>
      <c r="G970" s="103"/>
      <c r="H970" s="103"/>
      <c r="I970" s="103"/>
      <c r="T970" s="30" t="str">
        <f aca="false">IF(C970="","",IF(COUNTIFS(C$5:C970,C970,E$5:E970,E970)=1,1,0))</f>
        <v/>
      </c>
      <c r="U970" s="30" t="n">
        <f aca="false">IF(C970="",0,IF(AND(B970="brand",E970="budget_probe",N(F970)&gt;=Inputs!$C$124,H970="Y"),1,0))</f>
        <v>0</v>
      </c>
      <c r="V970" s="30" t="n">
        <f aca="false">IF(U970=1,IF(COUNTIFS(C$5:C970,C970,U$5:U970,1)=1,1,0),0)</f>
        <v>0</v>
      </c>
      <c r="W970" s="30" t="n">
        <f aca="false">IF(C970="",0,IF(AND(B970="office",E970="budget_probe",N(F970)&gt;=Inputs!$C$139),1,0))</f>
        <v>0</v>
      </c>
      <c r="X970" s="30" t="n">
        <f aca="false">IF(W970=1,IF(COUNTIFS(C$5:C970,C970,W$5:W970,1)=1,1,0),0)</f>
        <v>0</v>
      </c>
      <c r="Y970" s="30" t="n">
        <f aca="false">IF(C970="",0,IF(AND(B970="brand",E970="renewal_answer",TRIM(G970)="yes",N(F970)&gt;=Inputs!$C$135),1,0))</f>
        <v>0</v>
      </c>
      <c r="Z970" s="30" t="n">
        <f aca="false">IF(Y970=1,IF(COUNTIFS(C$5:C970,C970,Y$5:Y970,1)=1,1,0),0)</f>
        <v>0</v>
      </c>
      <c r="AA970" s="30" t="n">
        <f aca="false">IF(AND(E970="budget_probe",ISNUMBER(F970),I970&lt;&gt;Lists!$X$4),1,0)</f>
        <v>0</v>
      </c>
      <c r="AB970" s="30" t="str">
        <f aca="false">IF(AND(B970="office",AA970=1,COUNTIFS(C$5:C970,C970,AA$5:AA970,1)=1),F970,"")</f>
        <v/>
      </c>
      <c r="AC970" s="30" t="str">
        <f aca="false">IF(AND(B970="brand",AA970=1,COUNTIFS(C$5:C970,C970,AA$5:AA970,1)=1),F970,"")</f>
        <v/>
      </c>
      <c r="AD970" s="30" t="str">
        <f aca="false">IF(AND(B970="brand",E970="budget_probe",ISNUMBER(F970),I970=Lists!$X$4),IF(COUNTIFS(C$5:C970,C970,E$5:E970,"budget_probe",I$5:I970,Lists!$X$4)=1,F970,""),"")</f>
        <v/>
      </c>
      <c r="AE970" s="30" t="n">
        <f aca="false">IF(AND(B970="brand",E970="paid",ISNUMBER(F970)),IF(AND(SUMIFS(F$5:F970,B$5:B970,"brand",C$5:C970,C970,E$5:E970,"paid")&gt;=Inputs!$C$44,SUMIFS(F$5:F970,B$5:B970,"brand",C$5:C970,C970,E$5:E970,"paid")-F970&lt;Inputs!$C$44),1,0),0)</f>
        <v>0</v>
      </c>
    </row>
    <row r="971" customFormat="false" ht="15" hidden="false" customHeight="false" outlineLevel="0" collapsed="false">
      <c r="A971" s="102"/>
      <c r="B971" s="103"/>
      <c r="C971" s="103"/>
      <c r="D971" s="103"/>
      <c r="E971" s="103"/>
      <c r="F971" s="103"/>
      <c r="G971" s="103"/>
      <c r="H971" s="103"/>
      <c r="I971" s="103"/>
      <c r="T971" s="30" t="str">
        <f aca="false">IF(C971="","",IF(COUNTIFS(C$5:C971,C971,E$5:E971,E971)=1,1,0))</f>
        <v/>
      </c>
      <c r="U971" s="30" t="n">
        <f aca="false">IF(C971="",0,IF(AND(B971="brand",E971="budget_probe",N(F971)&gt;=Inputs!$C$124,H971="Y"),1,0))</f>
        <v>0</v>
      </c>
      <c r="V971" s="30" t="n">
        <f aca="false">IF(U971=1,IF(COUNTIFS(C$5:C971,C971,U$5:U971,1)=1,1,0),0)</f>
        <v>0</v>
      </c>
      <c r="W971" s="30" t="n">
        <f aca="false">IF(C971="",0,IF(AND(B971="office",E971="budget_probe",N(F971)&gt;=Inputs!$C$139),1,0))</f>
        <v>0</v>
      </c>
      <c r="X971" s="30" t="n">
        <f aca="false">IF(W971=1,IF(COUNTIFS(C$5:C971,C971,W$5:W971,1)=1,1,0),0)</f>
        <v>0</v>
      </c>
      <c r="Y971" s="30" t="n">
        <f aca="false">IF(C971="",0,IF(AND(B971="brand",E971="renewal_answer",TRIM(G971)="yes",N(F971)&gt;=Inputs!$C$135),1,0))</f>
        <v>0</v>
      </c>
      <c r="Z971" s="30" t="n">
        <f aca="false">IF(Y971=1,IF(COUNTIFS(C$5:C971,C971,Y$5:Y971,1)=1,1,0),0)</f>
        <v>0</v>
      </c>
      <c r="AA971" s="30" t="n">
        <f aca="false">IF(AND(E971="budget_probe",ISNUMBER(F971),I971&lt;&gt;Lists!$X$4),1,0)</f>
        <v>0</v>
      </c>
      <c r="AB971" s="30" t="str">
        <f aca="false">IF(AND(B971="office",AA971=1,COUNTIFS(C$5:C971,C971,AA$5:AA971,1)=1),F971,"")</f>
        <v/>
      </c>
      <c r="AC971" s="30" t="str">
        <f aca="false">IF(AND(B971="brand",AA971=1,COUNTIFS(C$5:C971,C971,AA$5:AA971,1)=1),F971,"")</f>
        <v/>
      </c>
      <c r="AD971" s="30" t="str">
        <f aca="false">IF(AND(B971="brand",E971="budget_probe",ISNUMBER(F971),I971=Lists!$X$4),IF(COUNTIFS(C$5:C971,C971,E$5:E971,"budget_probe",I$5:I971,Lists!$X$4)=1,F971,""),"")</f>
        <v/>
      </c>
      <c r="AE971" s="30" t="n">
        <f aca="false">IF(AND(B971="brand",E971="paid",ISNUMBER(F971)),IF(AND(SUMIFS(F$5:F971,B$5:B971,"brand",C$5:C971,C971,E$5:E971,"paid")&gt;=Inputs!$C$44,SUMIFS(F$5:F971,B$5:B971,"brand",C$5:C971,C971,E$5:E971,"paid")-F971&lt;Inputs!$C$44),1,0),0)</f>
        <v>0</v>
      </c>
    </row>
    <row r="972" customFormat="false" ht="15" hidden="false" customHeight="false" outlineLevel="0" collapsed="false">
      <c r="A972" s="102"/>
      <c r="B972" s="103"/>
      <c r="C972" s="103"/>
      <c r="D972" s="103"/>
      <c r="E972" s="103"/>
      <c r="F972" s="103"/>
      <c r="G972" s="103"/>
      <c r="H972" s="103"/>
      <c r="I972" s="103"/>
      <c r="T972" s="30" t="str">
        <f aca="false">IF(C972="","",IF(COUNTIFS(C$5:C972,C972,E$5:E972,E972)=1,1,0))</f>
        <v/>
      </c>
      <c r="U972" s="30" t="n">
        <f aca="false">IF(C972="",0,IF(AND(B972="brand",E972="budget_probe",N(F972)&gt;=Inputs!$C$124,H972="Y"),1,0))</f>
        <v>0</v>
      </c>
      <c r="V972" s="30" t="n">
        <f aca="false">IF(U972=1,IF(COUNTIFS(C$5:C972,C972,U$5:U972,1)=1,1,0),0)</f>
        <v>0</v>
      </c>
      <c r="W972" s="30" t="n">
        <f aca="false">IF(C972="",0,IF(AND(B972="office",E972="budget_probe",N(F972)&gt;=Inputs!$C$139),1,0))</f>
        <v>0</v>
      </c>
      <c r="X972" s="30" t="n">
        <f aca="false">IF(W972=1,IF(COUNTIFS(C$5:C972,C972,W$5:W972,1)=1,1,0),0)</f>
        <v>0</v>
      </c>
      <c r="Y972" s="30" t="n">
        <f aca="false">IF(C972="",0,IF(AND(B972="brand",E972="renewal_answer",TRIM(G972)="yes",N(F972)&gt;=Inputs!$C$135),1,0))</f>
        <v>0</v>
      </c>
      <c r="Z972" s="30" t="n">
        <f aca="false">IF(Y972=1,IF(COUNTIFS(C$5:C972,C972,Y$5:Y972,1)=1,1,0),0)</f>
        <v>0</v>
      </c>
      <c r="AA972" s="30" t="n">
        <f aca="false">IF(AND(E972="budget_probe",ISNUMBER(F972),I972&lt;&gt;Lists!$X$4),1,0)</f>
        <v>0</v>
      </c>
      <c r="AB972" s="30" t="str">
        <f aca="false">IF(AND(B972="office",AA972=1,COUNTIFS(C$5:C972,C972,AA$5:AA972,1)=1),F972,"")</f>
        <v/>
      </c>
      <c r="AC972" s="30" t="str">
        <f aca="false">IF(AND(B972="brand",AA972=1,COUNTIFS(C$5:C972,C972,AA$5:AA972,1)=1),F972,"")</f>
        <v/>
      </c>
      <c r="AD972" s="30" t="str">
        <f aca="false">IF(AND(B972="brand",E972="budget_probe",ISNUMBER(F972),I972=Lists!$X$4),IF(COUNTIFS(C$5:C972,C972,E$5:E972,"budget_probe",I$5:I972,Lists!$X$4)=1,F972,""),"")</f>
        <v/>
      </c>
      <c r="AE972" s="30" t="n">
        <f aca="false">IF(AND(B972="brand",E972="paid",ISNUMBER(F972)),IF(AND(SUMIFS(F$5:F972,B$5:B972,"brand",C$5:C972,C972,E$5:E972,"paid")&gt;=Inputs!$C$44,SUMIFS(F$5:F972,B$5:B972,"brand",C$5:C972,C972,E$5:E972,"paid")-F972&lt;Inputs!$C$44),1,0),0)</f>
        <v>0</v>
      </c>
    </row>
    <row r="973" customFormat="false" ht="15" hidden="false" customHeight="false" outlineLevel="0" collapsed="false">
      <c r="A973" s="102"/>
      <c r="B973" s="103"/>
      <c r="C973" s="103"/>
      <c r="D973" s="103"/>
      <c r="E973" s="103"/>
      <c r="F973" s="103"/>
      <c r="G973" s="103"/>
      <c r="H973" s="103"/>
      <c r="I973" s="103"/>
      <c r="T973" s="30" t="str">
        <f aca="false">IF(C973="","",IF(COUNTIFS(C$5:C973,C973,E$5:E973,E973)=1,1,0))</f>
        <v/>
      </c>
      <c r="U973" s="30" t="n">
        <f aca="false">IF(C973="",0,IF(AND(B973="brand",E973="budget_probe",N(F973)&gt;=Inputs!$C$124,H973="Y"),1,0))</f>
        <v>0</v>
      </c>
      <c r="V973" s="30" t="n">
        <f aca="false">IF(U973=1,IF(COUNTIFS(C$5:C973,C973,U$5:U973,1)=1,1,0),0)</f>
        <v>0</v>
      </c>
      <c r="W973" s="30" t="n">
        <f aca="false">IF(C973="",0,IF(AND(B973="office",E973="budget_probe",N(F973)&gt;=Inputs!$C$139),1,0))</f>
        <v>0</v>
      </c>
      <c r="X973" s="30" t="n">
        <f aca="false">IF(W973=1,IF(COUNTIFS(C$5:C973,C973,W$5:W973,1)=1,1,0),0)</f>
        <v>0</v>
      </c>
      <c r="Y973" s="30" t="n">
        <f aca="false">IF(C973="",0,IF(AND(B973="brand",E973="renewal_answer",TRIM(G973)="yes",N(F973)&gt;=Inputs!$C$135),1,0))</f>
        <v>0</v>
      </c>
      <c r="Z973" s="30" t="n">
        <f aca="false">IF(Y973=1,IF(COUNTIFS(C$5:C973,C973,Y$5:Y973,1)=1,1,0),0)</f>
        <v>0</v>
      </c>
      <c r="AA973" s="30" t="n">
        <f aca="false">IF(AND(E973="budget_probe",ISNUMBER(F973),I973&lt;&gt;Lists!$X$4),1,0)</f>
        <v>0</v>
      </c>
      <c r="AB973" s="30" t="str">
        <f aca="false">IF(AND(B973="office",AA973=1,COUNTIFS(C$5:C973,C973,AA$5:AA973,1)=1),F973,"")</f>
        <v/>
      </c>
      <c r="AC973" s="30" t="str">
        <f aca="false">IF(AND(B973="brand",AA973=1,COUNTIFS(C$5:C973,C973,AA$5:AA973,1)=1),F973,"")</f>
        <v/>
      </c>
      <c r="AD973" s="30" t="str">
        <f aca="false">IF(AND(B973="brand",E973="budget_probe",ISNUMBER(F973),I973=Lists!$X$4),IF(COUNTIFS(C$5:C973,C973,E$5:E973,"budget_probe",I$5:I973,Lists!$X$4)=1,F973,""),"")</f>
        <v/>
      </c>
      <c r="AE973" s="30" t="n">
        <f aca="false">IF(AND(B973="brand",E973="paid",ISNUMBER(F973)),IF(AND(SUMIFS(F$5:F973,B$5:B973,"brand",C$5:C973,C973,E$5:E973,"paid")&gt;=Inputs!$C$44,SUMIFS(F$5:F973,B$5:B973,"brand",C$5:C973,C973,E$5:E973,"paid")-F973&lt;Inputs!$C$44),1,0),0)</f>
        <v>0</v>
      </c>
    </row>
    <row r="974" customFormat="false" ht="15" hidden="false" customHeight="false" outlineLevel="0" collapsed="false">
      <c r="A974" s="102"/>
      <c r="B974" s="103"/>
      <c r="C974" s="103"/>
      <c r="D974" s="103"/>
      <c r="E974" s="103"/>
      <c r="F974" s="103"/>
      <c r="G974" s="103"/>
      <c r="H974" s="103"/>
      <c r="I974" s="103"/>
      <c r="T974" s="30" t="str">
        <f aca="false">IF(C974="","",IF(COUNTIFS(C$5:C974,C974,E$5:E974,E974)=1,1,0))</f>
        <v/>
      </c>
      <c r="U974" s="30" t="n">
        <f aca="false">IF(C974="",0,IF(AND(B974="brand",E974="budget_probe",N(F974)&gt;=Inputs!$C$124,H974="Y"),1,0))</f>
        <v>0</v>
      </c>
      <c r="V974" s="30" t="n">
        <f aca="false">IF(U974=1,IF(COUNTIFS(C$5:C974,C974,U$5:U974,1)=1,1,0),0)</f>
        <v>0</v>
      </c>
      <c r="W974" s="30" t="n">
        <f aca="false">IF(C974="",0,IF(AND(B974="office",E974="budget_probe",N(F974)&gt;=Inputs!$C$139),1,0))</f>
        <v>0</v>
      </c>
      <c r="X974" s="30" t="n">
        <f aca="false">IF(W974=1,IF(COUNTIFS(C$5:C974,C974,W$5:W974,1)=1,1,0),0)</f>
        <v>0</v>
      </c>
      <c r="Y974" s="30" t="n">
        <f aca="false">IF(C974="",0,IF(AND(B974="brand",E974="renewal_answer",TRIM(G974)="yes",N(F974)&gt;=Inputs!$C$135),1,0))</f>
        <v>0</v>
      </c>
      <c r="Z974" s="30" t="n">
        <f aca="false">IF(Y974=1,IF(COUNTIFS(C$5:C974,C974,Y$5:Y974,1)=1,1,0),0)</f>
        <v>0</v>
      </c>
      <c r="AA974" s="30" t="n">
        <f aca="false">IF(AND(E974="budget_probe",ISNUMBER(F974),I974&lt;&gt;Lists!$X$4),1,0)</f>
        <v>0</v>
      </c>
      <c r="AB974" s="30" t="str">
        <f aca="false">IF(AND(B974="office",AA974=1,COUNTIFS(C$5:C974,C974,AA$5:AA974,1)=1),F974,"")</f>
        <v/>
      </c>
      <c r="AC974" s="30" t="str">
        <f aca="false">IF(AND(B974="brand",AA974=1,COUNTIFS(C$5:C974,C974,AA$5:AA974,1)=1),F974,"")</f>
        <v/>
      </c>
      <c r="AD974" s="30" t="str">
        <f aca="false">IF(AND(B974="brand",E974="budget_probe",ISNUMBER(F974),I974=Lists!$X$4),IF(COUNTIFS(C$5:C974,C974,E$5:E974,"budget_probe",I$5:I974,Lists!$X$4)=1,F974,""),"")</f>
        <v/>
      </c>
      <c r="AE974" s="30" t="n">
        <f aca="false">IF(AND(B974="brand",E974="paid",ISNUMBER(F974)),IF(AND(SUMIFS(F$5:F974,B$5:B974,"brand",C$5:C974,C974,E$5:E974,"paid")&gt;=Inputs!$C$44,SUMIFS(F$5:F974,B$5:B974,"brand",C$5:C974,C974,E$5:E974,"paid")-F974&lt;Inputs!$C$44),1,0),0)</f>
        <v>0</v>
      </c>
    </row>
    <row r="975" customFormat="false" ht="15" hidden="false" customHeight="false" outlineLevel="0" collapsed="false">
      <c r="A975" s="102"/>
      <c r="B975" s="103"/>
      <c r="C975" s="103"/>
      <c r="D975" s="103"/>
      <c r="E975" s="103"/>
      <c r="F975" s="103"/>
      <c r="G975" s="103"/>
      <c r="H975" s="103"/>
      <c r="I975" s="103"/>
      <c r="T975" s="30" t="str">
        <f aca="false">IF(C975="","",IF(COUNTIFS(C$5:C975,C975,E$5:E975,E975)=1,1,0))</f>
        <v/>
      </c>
      <c r="U975" s="30" t="n">
        <f aca="false">IF(C975="",0,IF(AND(B975="brand",E975="budget_probe",N(F975)&gt;=Inputs!$C$124,H975="Y"),1,0))</f>
        <v>0</v>
      </c>
      <c r="V975" s="30" t="n">
        <f aca="false">IF(U975=1,IF(COUNTIFS(C$5:C975,C975,U$5:U975,1)=1,1,0),0)</f>
        <v>0</v>
      </c>
      <c r="W975" s="30" t="n">
        <f aca="false">IF(C975="",0,IF(AND(B975="office",E975="budget_probe",N(F975)&gt;=Inputs!$C$139),1,0))</f>
        <v>0</v>
      </c>
      <c r="X975" s="30" t="n">
        <f aca="false">IF(W975=1,IF(COUNTIFS(C$5:C975,C975,W$5:W975,1)=1,1,0),0)</f>
        <v>0</v>
      </c>
      <c r="Y975" s="30" t="n">
        <f aca="false">IF(C975="",0,IF(AND(B975="brand",E975="renewal_answer",TRIM(G975)="yes",N(F975)&gt;=Inputs!$C$135),1,0))</f>
        <v>0</v>
      </c>
      <c r="Z975" s="30" t="n">
        <f aca="false">IF(Y975=1,IF(COUNTIFS(C$5:C975,C975,Y$5:Y975,1)=1,1,0),0)</f>
        <v>0</v>
      </c>
      <c r="AA975" s="30" t="n">
        <f aca="false">IF(AND(E975="budget_probe",ISNUMBER(F975),I975&lt;&gt;Lists!$X$4),1,0)</f>
        <v>0</v>
      </c>
      <c r="AB975" s="30" t="str">
        <f aca="false">IF(AND(B975="office",AA975=1,COUNTIFS(C$5:C975,C975,AA$5:AA975,1)=1),F975,"")</f>
        <v/>
      </c>
      <c r="AC975" s="30" t="str">
        <f aca="false">IF(AND(B975="brand",AA975=1,COUNTIFS(C$5:C975,C975,AA$5:AA975,1)=1),F975,"")</f>
        <v/>
      </c>
      <c r="AD975" s="30" t="str">
        <f aca="false">IF(AND(B975="brand",E975="budget_probe",ISNUMBER(F975),I975=Lists!$X$4),IF(COUNTIFS(C$5:C975,C975,E$5:E975,"budget_probe",I$5:I975,Lists!$X$4)=1,F975,""),"")</f>
        <v/>
      </c>
      <c r="AE975" s="30" t="n">
        <f aca="false">IF(AND(B975="brand",E975="paid",ISNUMBER(F975)),IF(AND(SUMIFS(F$5:F975,B$5:B975,"brand",C$5:C975,C975,E$5:E975,"paid")&gt;=Inputs!$C$44,SUMIFS(F$5:F975,B$5:B975,"brand",C$5:C975,C975,E$5:E975,"paid")-F975&lt;Inputs!$C$44),1,0),0)</f>
        <v>0</v>
      </c>
    </row>
    <row r="976" customFormat="false" ht="15" hidden="false" customHeight="false" outlineLevel="0" collapsed="false">
      <c r="A976" s="102"/>
      <c r="B976" s="103"/>
      <c r="C976" s="103"/>
      <c r="D976" s="103"/>
      <c r="E976" s="103"/>
      <c r="F976" s="103"/>
      <c r="G976" s="103"/>
      <c r="H976" s="103"/>
      <c r="I976" s="103"/>
      <c r="T976" s="30" t="str">
        <f aca="false">IF(C976="","",IF(COUNTIFS(C$5:C976,C976,E$5:E976,E976)=1,1,0))</f>
        <v/>
      </c>
      <c r="U976" s="30" t="n">
        <f aca="false">IF(C976="",0,IF(AND(B976="brand",E976="budget_probe",N(F976)&gt;=Inputs!$C$124,H976="Y"),1,0))</f>
        <v>0</v>
      </c>
      <c r="V976" s="30" t="n">
        <f aca="false">IF(U976=1,IF(COUNTIFS(C$5:C976,C976,U$5:U976,1)=1,1,0),0)</f>
        <v>0</v>
      </c>
      <c r="W976" s="30" t="n">
        <f aca="false">IF(C976="",0,IF(AND(B976="office",E976="budget_probe",N(F976)&gt;=Inputs!$C$139),1,0))</f>
        <v>0</v>
      </c>
      <c r="X976" s="30" t="n">
        <f aca="false">IF(W976=1,IF(COUNTIFS(C$5:C976,C976,W$5:W976,1)=1,1,0),0)</f>
        <v>0</v>
      </c>
      <c r="Y976" s="30" t="n">
        <f aca="false">IF(C976="",0,IF(AND(B976="brand",E976="renewal_answer",TRIM(G976)="yes",N(F976)&gt;=Inputs!$C$135),1,0))</f>
        <v>0</v>
      </c>
      <c r="Z976" s="30" t="n">
        <f aca="false">IF(Y976=1,IF(COUNTIFS(C$5:C976,C976,Y$5:Y976,1)=1,1,0),0)</f>
        <v>0</v>
      </c>
      <c r="AA976" s="30" t="n">
        <f aca="false">IF(AND(E976="budget_probe",ISNUMBER(F976),I976&lt;&gt;Lists!$X$4),1,0)</f>
        <v>0</v>
      </c>
      <c r="AB976" s="30" t="str">
        <f aca="false">IF(AND(B976="office",AA976=1,COUNTIFS(C$5:C976,C976,AA$5:AA976,1)=1),F976,"")</f>
        <v/>
      </c>
      <c r="AC976" s="30" t="str">
        <f aca="false">IF(AND(B976="brand",AA976=1,COUNTIFS(C$5:C976,C976,AA$5:AA976,1)=1),F976,"")</f>
        <v/>
      </c>
      <c r="AD976" s="30" t="str">
        <f aca="false">IF(AND(B976="brand",E976="budget_probe",ISNUMBER(F976),I976=Lists!$X$4),IF(COUNTIFS(C$5:C976,C976,E$5:E976,"budget_probe",I$5:I976,Lists!$X$4)=1,F976,""),"")</f>
        <v/>
      </c>
      <c r="AE976" s="30" t="n">
        <f aca="false">IF(AND(B976="brand",E976="paid",ISNUMBER(F976)),IF(AND(SUMIFS(F$5:F976,B$5:B976,"brand",C$5:C976,C976,E$5:E976,"paid")&gt;=Inputs!$C$44,SUMIFS(F$5:F976,B$5:B976,"brand",C$5:C976,C976,E$5:E976,"paid")-F976&lt;Inputs!$C$44),1,0),0)</f>
        <v>0</v>
      </c>
    </row>
    <row r="977" customFormat="false" ht="15" hidden="false" customHeight="false" outlineLevel="0" collapsed="false">
      <c r="A977" s="102"/>
      <c r="B977" s="103"/>
      <c r="C977" s="103"/>
      <c r="D977" s="103"/>
      <c r="E977" s="103"/>
      <c r="F977" s="103"/>
      <c r="G977" s="103"/>
      <c r="H977" s="103"/>
      <c r="I977" s="103"/>
      <c r="T977" s="30" t="str">
        <f aca="false">IF(C977="","",IF(COUNTIFS(C$5:C977,C977,E$5:E977,E977)=1,1,0))</f>
        <v/>
      </c>
      <c r="U977" s="30" t="n">
        <f aca="false">IF(C977="",0,IF(AND(B977="brand",E977="budget_probe",N(F977)&gt;=Inputs!$C$124,H977="Y"),1,0))</f>
        <v>0</v>
      </c>
      <c r="V977" s="30" t="n">
        <f aca="false">IF(U977=1,IF(COUNTIFS(C$5:C977,C977,U$5:U977,1)=1,1,0),0)</f>
        <v>0</v>
      </c>
      <c r="W977" s="30" t="n">
        <f aca="false">IF(C977="",0,IF(AND(B977="office",E977="budget_probe",N(F977)&gt;=Inputs!$C$139),1,0))</f>
        <v>0</v>
      </c>
      <c r="X977" s="30" t="n">
        <f aca="false">IF(W977=1,IF(COUNTIFS(C$5:C977,C977,W$5:W977,1)=1,1,0),0)</f>
        <v>0</v>
      </c>
      <c r="Y977" s="30" t="n">
        <f aca="false">IF(C977="",0,IF(AND(B977="brand",E977="renewal_answer",TRIM(G977)="yes",N(F977)&gt;=Inputs!$C$135),1,0))</f>
        <v>0</v>
      </c>
      <c r="Z977" s="30" t="n">
        <f aca="false">IF(Y977=1,IF(COUNTIFS(C$5:C977,C977,Y$5:Y977,1)=1,1,0),0)</f>
        <v>0</v>
      </c>
      <c r="AA977" s="30" t="n">
        <f aca="false">IF(AND(E977="budget_probe",ISNUMBER(F977),I977&lt;&gt;Lists!$X$4),1,0)</f>
        <v>0</v>
      </c>
      <c r="AB977" s="30" t="str">
        <f aca="false">IF(AND(B977="office",AA977=1,COUNTIFS(C$5:C977,C977,AA$5:AA977,1)=1),F977,"")</f>
        <v/>
      </c>
      <c r="AC977" s="30" t="str">
        <f aca="false">IF(AND(B977="brand",AA977=1,COUNTIFS(C$5:C977,C977,AA$5:AA977,1)=1),F977,"")</f>
        <v/>
      </c>
      <c r="AD977" s="30" t="str">
        <f aca="false">IF(AND(B977="brand",E977="budget_probe",ISNUMBER(F977),I977=Lists!$X$4),IF(COUNTIFS(C$5:C977,C977,E$5:E977,"budget_probe",I$5:I977,Lists!$X$4)=1,F977,""),"")</f>
        <v/>
      </c>
      <c r="AE977" s="30" t="n">
        <f aca="false">IF(AND(B977="brand",E977="paid",ISNUMBER(F977)),IF(AND(SUMIFS(F$5:F977,B$5:B977,"brand",C$5:C977,C977,E$5:E977,"paid")&gt;=Inputs!$C$44,SUMIFS(F$5:F977,B$5:B977,"brand",C$5:C977,C977,E$5:E977,"paid")-F977&lt;Inputs!$C$44),1,0),0)</f>
        <v>0</v>
      </c>
    </row>
    <row r="978" customFormat="false" ht="15" hidden="false" customHeight="false" outlineLevel="0" collapsed="false">
      <c r="A978" s="102"/>
      <c r="B978" s="103"/>
      <c r="C978" s="103"/>
      <c r="D978" s="103"/>
      <c r="E978" s="103"/>
      <c r="F978" s="103"/>
      <c r="G978" s="103"/>
      <c r="H978" s="103"/>
      <c r="I978" s="103"/>
      <c r="T978" s="30" t="str">
        <f aca="false">IF(C978="","",IF(COUNTIFS(C$5:C978,C978,E$5:E978,E978)=1,1,0))</f>
        <v/>
      </c>
      <c r="U978" s="30" t="n">
        <f aca="false">IF(C978="",0,IF(AND(B978="brand",E978="budget_probe",N(F978)&gt;=Inputs!$C$124,H978="Y"),1,0))</f>
        <v>0</v>
      </c>
      <c r="V978" s="30" t="n">
        <f aca="false">IF(U978=1,IF(COUNTIFS(C$5:C978,C978,U$5:U978,1)=1,1,0),0)</f>
        <v>0</v>
      </c>
      <c r="W978" s="30" t="n">
        <f aca="false">IF(C978="",0,IF(AND(B978="office",E978="budget_probe",N(F978)&gt;=Inputs!$C$139),1,0))</f>
        <v>0</v>
      </c>
      <c r="X978" s="30" t="n">
        <f aca="false">IF(W978=1,IF(COUNTIFS(C$5:C978,C978,W$5:W978,1)=1,1,0),0)</f>
        <v>0</v>
      </c>
      <c r="Y978" s="30" t="n">
        <f aca="false">IF(C978="",0,IF(AND(B978="brand",E978="renewal_answer",TRIM(G978)="yes",N(F978)&gt;=Inputs!$C$135),1,0))</f>
        <v>0</v>
      </c>
      <c r="Z978" s="30" t="n">
        <f aca="false">IF(Y978=1,IF(COUNTIFS(C$5:C978,C978,Y$5:Y978,1)=1,1,0),0)</f>
        <v>0</v>
      </c>
      <c r="AA978" s="30" t="n">
        <f aca="false">IF(AND(E978="budget_probe",ISNUMBER(F978),I978&lt;&gt;Lists!$X$4),1,0)</f>
        <v>0</v>
      </c>
      <c r="AB978" s="30" t="str">
        <f aca="false">IF(AND(B978="office",AA978=1,COUNTIFS(C$5:C978,C978,AA$5:AA978,1)=1),F978,"")</f>
        <v/>
      </c>
      <c r="AC978" s="30" t="str">
        <f aca="false">IF(AND(B978="brand",AA978=1,COUNTIFS(C$5:C978,C978,AA$5:AA978,1)=1),F978,"")</f>
        <v/>
      </c>
      <c r="AD978" s="30" t="str">
        <f aca="false">IF(AND(B978="brand",E978="budget_probe",ISNUMBER(F978),I978=Lists!$X$4),IF(COUNTIFS(C$5:C978,C978,E$5:E978,"budget_probe",I$5:I978,Lists!$X$4)=1,F978,""),"")</f>
        <v/>
      </c>
      <c r="AE978" s="30" t="n">
        <f aca="false">IF(AND(B978="brand",E978="paid",ISNUMBER(F978)),IF(AND(SUMIFS(F$5:F978,B$5:B978,"brand",C$5:C978,C978,E$5:E978,"paid")&gt;=Inputs!$C$44,SUMIFS(F$5:F978,B$5:B978,"brand",C$5:C978,C978,E$5:E978,"paid")-F978&lt;Inputs!$C$44),1,0),0)</f>
        <v>0</v>
      </c>
    </row>
    <row r="979" customFormat="false" ht="15" hidden="false" customHeight="false" outlineLevel="0" collapsed="false">
      <c r="A979" s="102"/>
      <c r="B979" s="103"/>
      <c r="C979" s="103"/>
      <c r="D979" s="103"/>
      <c r="E979" s="103"/>
      <c r="F979" s="103"/>
      <c r="G979" s="103"/>
      <c r="H979" s="103"/>
      <c r="I979" s="103"/>
      <c r="T979" s="30" t="str">
        <f aca="false">IF(C979="","",IF(COUNTIFS(C$5:C979,C979,E$5:E979,E979)=1,1,0))</f>
        <v/>
      </c>
      <c r="U979" s="30" t="n">
        <f aca="false">IF(C979="",0,IF(AND(B979="brand",E979="budget_probe",N(F979)&gt;=Inputs!$C$124,H979="Y"),1,0))</f>
        <v>0</v>
      </c>
      <c r="V979" s="30" t="n">
        <f aca="false">IF(U979=1,IF(COUNTIFS(C$5:C979,C979,U$5:U979,1)=1,1,0),0)</f>
        <v>0</v>
      </c>
      <c r="W979" s="30" t="n">
        <f aca="false">IF(C979="",0,IF(AND(B979="office",E979="budget_probe",N(F979)&gt;=Inputs!$C$139),1,0))</f>
        <v>0</v>
      </c>
      <c r="X979" s="30" t="n">
        <f aca="false">IF(W979=1,IF(COUNTIFS(C$5:C979,C979,W$5:W979,1)=1,1,0),0)</f>
        <v>0</v>
      </c>
      <c r="Y979" s="30" t="n">
        <f aca="false">IF(C979="",0,IF(AND(B979="brand",E979="renewal_answer",TRIM(G979)="yes",N(F979)&gt;=Inputs!$C$135),1,0))</f>
        <v>0</v>
      </c>
      <c r="Z979" s="30" t="n">
        <f aca="false">IF(Y979=1,IF(COUNTIFS(C$5:C979,C979,Y$5:Y979,1)=1,1,0),0)</f>
        <v>0</v>
      </c>
      <c r="AA979" s="30" t="n">
        <f aca="false">IF(AND(E979="budget_probe",ISNUMBER(F979),I979&lt;&gt;Lists!$X$4),1,0)</f>
        <v>0</v>
      </c>
      <c r="AB979" s="30" t="str">
        <f aca="false">IF(AND(B979="office",AA979=1,COUNTIFS(C$5:C979,C979,AA$5:AA979,1)=1),F979,"")</f>
        <v/>
      </c>
      <c r="AC979" s="30" t="str">
        <f aca="false">IF(AND(B979="brand",AA979=1,COUNTIFS(C$5:C979,C979,AA$5:AA979,1)=1),F979,"")</f>
        <v/>
      </c>
      <c r="AD979" s="30" t="str">
        <f aca="false">IF(AND(B979="brand",E979="budget_probe",ISNUMBER(F979),I979=Lists!$X$4),IF(COUNTIFS(C$5:C979,C979,E$5:E979,"budget_probe",I$5:I979,Lists!$X$4)=1,F979,""),"")</f>
        <v/>
      </c>
      <c r="AE979" s="30" t="n">
        <f aca="false">IF(AND(B979="brand",E979="paid",ISNUMBER(F979)),IF(AND(SUMIFS(F$5:F979,B$5:B979,"brand",C$5:C979,C979,E$5:E979,"paid")&gt;=Inputs!$C$44,SUMIFS(F$5:F979,B$5:B979,"brand",C$5:C979,C979,E$5:E979,"paid")-F979&lt;Inputs!$C$44),1,0),0)</f>
        <v>0</v>
      </c>
    </row>
    <row r="980" customFormat="false" ht="15" hidden="false" customHeight="false" outlineLevel="0" collapsed="false">
      <c r="A980" s="102"/>
      <c r="B980" s="103"/>
      <c r="C980" s="103"/>
      <c r="D980" s="103"/>
      <c r="E980" s="103"/>
      <c r="F980" s="103"/>
      <c r="G980" s="103"/>
      <c r="H980" s="103"/>
      <c r="I980" s="103"/>
      <c r="T980" s="30" t="str">
        <f aca="false">IF(C980="","",IF(COUNTIFS(C$5:C980,C980,E$5:E980,E980)=1,1,0))</f>
        <v/>
      </c>
      <c r="U980" s="30" t="n">
        <f aca="false">IF(C980="",0,IF(AND(B980="brand",E980="budget_probe",N(F980)&gt;=Inputs!$C$124,H980="Y"),1,0))</f>
        <v>0</v>
      </c>
      <c r="V980" s="30" t="n">
        <f aca="false">IF(U980=1,IF(COUNTIFS(C$5:C980,C980,U$5:U980,1)=1,1,0),0)</f>
        <v>0</v>
      </c>
      <c r="W980" s="30" t="n">
        <f aca="false">IF(C980="",0,IF(AND(B980="office",E980="budget_probe",N(F980)&gt;=Inputs!$C$139),1,0))</f>
        <v>0</v>
      </c>
      <c r="X980" s="30" t="n">
        <f aca="false">IF(W980=1,IF(COUNTIFS(C$5:C980,C980,W$5:W980,1)=1,1,0),0)</f>
        <v>0</v>
      </c>
      <c r="Y980" s="30" t="n">
        <f aca="false">IF(C980="",0,IF(AND(B980="brand",E980="renewal_answer",TRIM(G980)="yes",N(F980)&gt;=Inputs!$C$135),1,0))</f>
        <v>0</v>
      </c>
      <c r="Z980" s="30" t="n">
        <f aca="false">IF(Y980=1,IF(COUNTIFS(C$5:C980,C980,Y$5:Y980,1)=1,1,0),0)</f>
        <v>0</v>
      </c>
      <c r="AA980" s="30" t="n">
        <f aca="false">IF(AND(E980="budget_probe",ISNUMBER(F980),I980&lt;&gt;Lists!$X$4),1,0)</f>
        <v>0</v>
      </c>
      <c r="AB980" s="30" t="str">
        <f aca="false">IF(AND(B980="office",AA980=1,COUNTIFS(C$5:C980,C980,AA$5:AA980,1)=1),F980,"")</f>
        <v/>
      </c>
      <c r="AC980" s="30" t="str">
        <f aca="false">IF(AND(B980="brand",AA980=1,COUNTIFS(C$5:C980,C980,AA$5:AA980,1)=1),F980,"")</f>
        <v/>
      </c>
      <c r="AD980" s="30" t="str">
        <f aca="false">IF(AND(B980="brand",E980="budget_probe",ISNUMBER(F980),I980=Lists!$X$4),IF(COUNTIFS(C$5:C980,C980,E$5:E980,"budget_probe",I$5:I980,Lists!$X$4)=1,F980,""),"")</f>
        <v/>
      </c>
      <c r="AE980" s="30" t="n">
        <f aca="false">IF(AND(B980="brand",E980="paid",ISNUMBER(F980)),IF(AND(SUMIFS(F$5:F980,B$5:B980,"brand",C$5:C980,C980,E$5:E980,"paid")&gt;=Inputs!$C$44,SUMIFS(F$5:F980,B$5:B980,"brand",C$5:C980,C980,E$5:E980,"paid")-F980&lt;Inputs!$C$44),1,0),0)</f>
        <v>0</v>
      </c>
    </row>
    <row r="981" customFormat="false" ht="15" hidden="false" customHeight="false" outlineLevel="0" collapsed="false">
      <c r="A981" s="102"/>
      <c r="B981" s="103"/>
      <c r="C981" s="103"/>
      <c r="D981" s="103"/>
      <c r="E981" s="103"/>
      <c r="F981" s="103"/>
      <c r="G981" s="103"/>
      <c r="H981" s="103"/>
      <c r="I981" s="103"/>
      <c r="T981" s="30" t="str">
        <f aca="false">IF(C981="","",IF(COUNTIFS(C$5:C981,C981,E$5:E981,E981)=1,1,0))</f>
        <v/>
      </c>
      <c r="U981" s="30" t="n">
        <f aca="false">IF(C981="",0,IF(AND(B981="brand",E981="budget_probe",N(F981)&gt;=Inputs!$C$124,H981="Y"),1,0))</f>
        <v>0</v>
      </c>
      <c r="V981" s="30" t="n">
        <f aca="false">IF(U981=1,IF(COUNTIFS(C$5:C981,C981,U$5:U981,1)=1,1,0),0)</f>
        <v>0</v>
      </c>
      <c r="W981" s="30" t="n">
        <f aca="false">IF(C981="",0,IF(AND(B981="office",E981="budget_probe",N(F981)&gt;=Inputs!$C$139),1,0))</f>
        <v>0</v>
      </c>
      <c r="X981" s="30" t="n">
        <f aca="false">IF(W981=1,IF(COUNTIFS(C$5:C981,C981,W$5:W981,1)=1,1,0),0)</f>
        <v>0</v>
      </c>
      <c r="Y981" s="30" t="n">
        <f aca="false">IF(C981="",0,IF(AND(B981="brand",E981="renewal_answer",TRIM(G981)="yes",N(F981)&gt;=Inputs!$C$135),1,0))</f>
        <v>0</v>
      </c>
      <c r="Z981" s="30" t="n">
        <f aca="false">IF(Y981=1,IF(COUNTIFS(C$5:C981,C981,Y$5:Y981,1)=1,1,0),0)</f>
        <v>0</v>
      </c>
      <c r="AA981" s="30" t="n">
        <f aca="false">IF(AND(E981="budget_probe",ISNUMBER(F981),I981&lt;&gt;Lists!$X$4),1,0)</f>
        <v>0</v>
      </c>
      <c r="AB981" s="30" t="str">
        <f aca="false">IF(AND(B981="office",AA981=1,COUNTIFS(C$5:C981,C981,AA$5:AA981,1)=1),F981,"")</f>
        <v/>
      </c>
      <c r="AC981" s="30" t="str">
        <f aca="false">IF(AND(B981="brand",AA981=1,COUNTIFS(C$5:C981,C981,AA$5:AA981,1)=1),F981,"")</f>
        <v/>
      </c>
      <c r="AD981" s="30" t="str">
        <f aca="false">IF(AND(B981="brand",E981="budget_probe",ISNUMBER(F981),I981=Lists!$X$4),IF(COUNTIFS(C$5:C981,C981,E$5:E981,"budget_probe",I$5:I981,Lists!$X$4)=1,F981,""),"")</f>
        <v/>
      </c>
      <c r="AE981" s="30" t="n">
        <f aca="false">IF(AND(B981="brand",E981="paid",ISNUMBER(F981)),IF(AND(SUMIFS(F$5:F981,B$5:B981,"brand",C$5:C981,C981,E$5:E981,"paid")&gt;=Inputs!$C$44,SUMIFS(F$5:F981,B$5:B981,"brand",C$5:C981,C981,E$5:E981,"paid")-F981&lt;Inputs!$C$44),1,0),0)</f>
        <v>0</v>
      </c>
    </row>
    <row r="982" customFormat="false" ht="15" hidden="false" customHeight="false" outlineLevel="0" collapsed="false">
      <c r="A982" s="102"/>
      <c r="B982" s="103"/>
      <c r="C982" s="103"/>
      <c r="D982" s="103"/>
      <c r="E982" s="103"/>
      <c r="F982" s="103"/>
      <c r="G982" s="103"/>
      <c r="H982" s="103"/>
      <c r="I982" s="103"/>
      <c r="T982" s="30" t="str">
        <f aca="false">IF(C982="","",IF(COUNTIFS(C$5:C982,C982,E$5:E982,E982)=1,1,0))</f>
        <v/>
      </c>
      <c r="U982" s="30" t="n">
        <f aca="false">IF(C982="",0,IF(AND(B982="brand",E982="budget_probe",N(F982)&gt;=Inputs!$C$124,H982="Y"),1,0))</f>
        <v>0</v>
      </c>
      <c r="V982" s="30" t="n">
        <f aca="false">IF(U982=1,IF(COUNTIFS(C$5:C982,C982,U$5:U982,1)=1,1,0),0)</f>
        <v>0</v>
      </c>
      <c r="W982" s="30" t="n">
        <f aca="false">IF(C982="",0,IF(AND(B982="office",E982="budget_probe",N(F982)&gt;=Inputs!$C$139),1,0))</f>
        <v>0</v>
      </c>
      <c r="X982" s="30" t="n">
        <f aca="false">IF(W982=1,IF(COUNTIFS(C$5:C982,C982,W$5:W982,1)=1,1,0),0)</f>
        <v>0</v>
      </c>
      <c r="Y982" s="30" t="n">
        <f aca="false">IF(C982="",0,IF(AND(B982="brand",E982="renewal_answer",TRIM(G982)="yes",N(F982)&gt;=Inputs!$C$135),1,0))</f>
        <v>0</v>
      </c>
      <c r="Z982" s="30" t="n">
        <f aca="false">IF(Y982=1,IF(COUNTIFS(C$5:C982,C982,Y$5:Y982,1)=1,1,0),0)</f>
        <v>0</v>
      </c>
      <c r="AA982" s="30" t="n">
        <f aca="false">IF(AND(E982="budget_probe",ISNUMBER(F982),I982&lt;&gt;Lists!$X$4),1,0)</f>
        <v>0</v>
      </c>
      <c r="AB982" s="30" t="str">
        <f aca="false">IF(AND(B982="office",AA982=1,COUNTIFS(C$5:C982,C982,AA$5:AA982,1)=1),F982,"")</f>
        <v/>
      </c>
      <c r="AC982" s="30" t="str">
        <f aca="false">IF(AND(B982="brand",AA982=1,COUNTIFS(C$5:C982,C982,AA$5:AA982,1)=1),F982,"")</f>
        <v/>
      </c>
      <c r="AD982" s="30" t="str">
        <f aca="false">IF(AND(B982="brand",E982="budget_probe",ISNUMBER(F982),I982=Lists!$X$4),IF(COUNTIFS(C$5:C982,C982,E$5:E982,"budget_probe",I$5:I982,Lists!$X$4)=1,F982,""),"")</f>
        <v/>
      </c>
      <c r="AE982" s="30" t="n">
        <f aca="false">IF(AND(B982="brand",E982="paid",ISNUMBER(F982)),IF(AND(SUMIFS(F$5:F982,B$5:B982,"brand",C$5:C982,C982,E$5:E982,"paid")&gt;=Inputs!$C$44,SUMIFS(F$5:F982,B$5:B982,"brand",C$5:C982,C982,E$5:E982,"paid")-F982&lt;Inputs!$C$44),1,0),0)</f>
        <v>0</v>
      </c>
    </row>
    <row r="983" customFormat="false" ht="15" hidden="false" customHeight="false" outlineLevel="0" collapsed="false">
      <c r="A983" s="102"/>
      <c r="B983" s="103"/>
      <c r="C983" s="103"/>
      <c r="D983" s="103"/>
      <c r="E983" s="103"/>
      <c r="F983" s="103"/>
      <c r="G983" s="103"/>
      <c r="H983" s="103"/>
      <c r="I983" s="103"/>
      <c r="T983" s="30" t="str">
        <f aca="false">IF(C983="","",IF(COUNTIFS(C$5:C983,C983,E$5:E983,E983)=1,1,0))</f>
        <v/>
      </c>
      <c r="U983" s="30" t="n">
        <f aca="false">IF(C983="",0,IF(AND(B983="brand",E983="budget_probe",N(F983)&gt;=Inputs!$C$124,H983="Y"),1,0))</f>
        <v>0</v>
      </c>
      <c r="V983" s="30" t="n">
        <f aca="false">IF(U983=1,IF(COUNTIFS(C$5:C983,C983,U$5:U983,1)=1,1,0),0)</f>
        <v>0</v>
      </c>
      <c r="W983" s="30" t="n">
        <f aca="false">IF(C983="",0,IF(AND(B983="office",E983="budget_probe",N(F983)&gt;=Inputs!$C$139),1,0))</f>
        <v>0</v>
      </c>
      <c r="X983" s="30" t="n">
        <f aca="false">IF(W983=1,IF(COUNTIFS(C$5:C983,C983,W$5:W983,1)=1,1,0),0)</f>
        <v>0</v>
      </c>
      <c r="Y983" s="30" t="n">
        <f aca="false">IF(C983="",0,IF(AND(B983="brand",E983="renewal_answer",TRIM(G983)="yes",N(F983)&gt;=Inputs!$C$135),1,0))</f>
        <v>0</v>
      </c>
      <c r="Z983" s="30" t="n">
        <f aca="false">IF(Y983=1,IF(COUNTIFS(C$5:C983,C983,Y$5:Y983,1)=1,1,0),0)</f>
        <v>0</v>
      </c>
      <c r="AA983" s="30" t="n">
        <f aca="false">IF(AND(E983="budget_probe",ISNUMBER(F983),I983&lt;&gt;Lists!$X$4),1,0)</f>
        <v>0</v>
      </c>
      <c r="AB983" s="30" t="str">
        <f aca="false">IF(AND(B983="office",AA983=1,COUNTIFS(C$5:C983,C983,AA$5:AA983,1)=1),F983,"")</f>
        <v/>
      </c>
      <c r="AC983" s="30" t="str">
        <f aca="false">IF(AND(B983="brand",AA983=1,COUNTIFS(C$5:C983,C983,AA$5:AA983,1)=1),F983,"")</f>
        <v/>
      </c>
      <c r="AD983" s="30" t="str">
        <f aca="false">IF(AND(B983="brand",E983="budget_probe",ISNUMBER(F983),I983=Lists!$X$4),IF(COUNTIFS(C$5:C983,C983,E$5:E983,"budget_probe",I$5:I983,Lists!$X$4)=1,F983,""),"")</f>
        <v/>
      </c>
      <c r="AE983" s="30" t="n">
        <f aca="false">IF(AND(B983="brand",E983="paid",ISNUMBER(F983)),IF(AND(SUMIFS(F$5:F983,B$5:B983,"brand",C$5:C983,C983,E$5:E983,"paid")&gt;=Inputs!$C$44,SUMIFS(F$5:F983,B$5:B983,"brand",C$5:C983,C983,E$5:E983,"paid")-F983&lt;Inputs!$C$44),1,0),0)</f>
        <v>0</v>
      </c>
    </row>
    <row r="984" customFormat="false" ht="15" hidden="false" customHeight="false" outlineLevel="0" collapsed="false">
      <c r="A984" s="102"/>
      <c r="B984" s="103"/>
      <c r="C984" s="103"/>
      <c r="D984" s="103"/>
      <c r="E984" s="103"/>
      <c r="F984" s="103"/>
      <c r="G984" s="103"/>
      <c r="H984" s="103"/>
      <c r="I984" s="103"/>
      <c r="T984" s="30" t="str">
        <f aca="false">IF(C984="","",IF(COUNTIFS(C$5:C984,C984,E$5:E984,E984)=1,1,0))</f>
        <v/>
      </c>
      <c r="U984" s="30" t="n">
        <f aca="false">IF(C984="",0,IF(AND(B984="brand",E984="budget_probe",N(F984)&gt;=Inputs!$C$124,H984="Y"),1,0))</f>
        <v>0</v>
      </c>
      <c r="V984" s="30" t="n">
        <f aca="false">IF(U984=1,IF(COUNTIFS(C$5:C984,C984,U$5:U984,1)=1,1,0),0)</f>
        <v>0</v>
      </c>
      <c r="W984" s="30" t="n">
        <f aca="false">IF(C984="",0,IF(AND(B984="office",E984="budget_probe",N(F984)&gt;=Inputs!$C$139),1,0))</f>
        <v>0</v>
      </c>
      <c r="X984" s="30" t="n">
        <f aca="false">IF(W984=1,IF(COUNTIFS(C$5:C984,C984,W$5:W984,1)=1,1,0),0)</f>
        <v>0</v>
      </c>
      <c r="Y984" s="30" t="n">
        <f aca="false">IF(C984="",0,IF(AND(B984="brand",E984="renewal_answer",TRIM(G984)="yes",N(F984)&gt;=Inputs!$C$135),1,0))</f>
        <v>0</v>
      </c>
      <c r="Z984" s="30" t="n">
        <f aca="false">IF(Y984=1,IF(COUNTIFS(C$5:C984,C984,Y$5:Y984,1)=1,1,0),0)</f>
        <v>0</v>
      </c>
      <c r="AA984" s="30" t="n">
        <f aca="false">IF(AND(E984="budget_probe",ISNUMBER(F984),I984&lt;&gt;Lists!$X$4),1,0)</f>
        <v>0</v>
      </c>
      <c r="AB984" s="30" t="str">
        <f aca="false">IF(AND(B984="office",AA984=1,COUNTIFS(C$5:C984,C984,AA$5:AA984,1)=1),F984,"")</f>
        <v/>
      </c>
      <c r="AC984" s="30" t="str">
        <f aca="false">IF(AND(B984="brand",AA984=1,COUNTIFS(C$5:C984,C984,AA$5:AA984,1)=1),F984,"")</f>
        <v/>
      </c>
      <c r="AD984" s="30" t="str">
        <f aca="false">IF(AND(B984="brand",E984="budget_probe",ISNUMBER(F984),I984=Lists!$X$4),IF(COUNTIFS(C$5:C984,C984,E$5:E984,"budget_probe",I$5:I984,Lists!$X$4)=1,F984,""),"")</f>
        <v/>
      </c>
      <c r="AE984" s="30" t="n">
        <f aca="false">IF(AND(B984="brand",E984="paid",ISNUMBER(F984)),IF(AND(SUMIFS(F$5:F984,B$5:B984,"brand",C$5:C984,C984,E$5:E984,"paid")&gt;=Inputs!$C$44,SUMIFS(F$5:F984,B$5:B984,"brand",C$5:C984,C984,E$5:E984,"paid")-F984&lt;Inputs!$C$44),1,0),0)</f>
        <v>0</v>
      </c>
    </row>
    <row r="985" customFormat="false" ht="15" hidden="false" customHeight="false" outlineLevel="0" collapsed="false">
      <c r="A985" s="102"/>
      <c r="B985" s="103"/>
      <c r="C985" s="103"/>
      <c r="D985" s="103"/>
      <c r="E985" s="103"/>
      <c r="F985" s="103"/>
      <c r="G985" s="103"/>
      <c r="H985" s="103"/>
      <c r="I985" s="103"/>
      <c r="T985" s="30" t="str">
        <f aca="false">IF(C985="","",IF(COUNTIFS(C$5:C985,C985,E$5:E985,E985)=1,1,0))</f>
        <v/>
      </c>
      <c r="U985" s="30" t="n">
        <f aca="false">IF(C985="",0,IF(AND(B985="brand",E985="budget_probe",N(F985)&gt;=Inputs!$C$124,H985="Y"),1,0))</f>
        <v>0</v>
      </c>
      <c r="V985" s="30" t="n">
        <f aca="false">IF(U985=1,IF(COUNTIFS(C$5:C985,C985,U$5:U985,1)=1,1,0),0)</f>
        <v>0</v>
      </c>
      <c r="W985" s="30" t="n">
        <f aca="false">IF(C985="",0,IF(AND(B985="office",E985="budget_probe",N(F985)&gt;=Inputs!$C$139),1,0))</f>
        <v>0</v>
      </c>
      <c r="X985" s="30" t="n">
        <f aca="false">IF(W985=1,IF(COUNTIFS(C$5:C985,C985,W$5:W985,1)=1,1,0),0)</f>
        <v>0</v>
      </c>
      <c r="Y985" s="30" t="n">
        <f aca="false">IF(C985="",0,IF(AND(B985="brand",E985="renewal_answer",TRIM(G985)="yes",N(F985)&gt;=Inputs!$C$135),1,0))</f>
        <v>0</v>
      </c>
      <c r="Z985" s="30" t="n">
        <f aca="false">IF(Y985=1,IF(COUNTIFS(C$5:C985,C985,Y$5:Y985,1)=1,1,0),0)</f>
        <v>0</v>
      </c>
      <c r="AA985" s="30" t="n">
        <f aca="false">IF(AND(E985="budget_probe",ISNUMBER(F985),I985&lt;&gt;Lists!$X$4),1,0)</f>
        <v>0</v>
      </c>
      <c r="AB985" s="30" t="str">
        <f aca="false">IF(AND(B985="office",AA985=1,COUNTIFS(C$5:C985,C985,AA$5:AA985,1)=1),F985,"")</f>
        <v/>
      </c>
      <c r="AC985" s="30" t="str">
        <f aca="false">IF(AND(B985="brand",AA985=1,COUNTIFS(C$5:C985,C985,AA$5:AA985,1)=1),F985,"")</f>
        <v/>
      </c>
      <c r="AD985" s="30" t="str">
        <f aca="false">IF(AND(B985="brand",E985="budget_probe",ISNUMBER(F985),I985=Lists!$X$4),IF(COUNTIFS(C$5:C985,C985,E$5:E985,"budget_probe",I$5:I985,Lists!$X$4)=1,F985,""),"")</f>
        <v/>
      </c>
      <c r="AE985" s="30" t="n">
        <f aca="false">IF(AND(B985="brand",E985="paid",ISNUMBER(F985)),IF(AND(SUMIFS(F$5:F985,B$5:B985,"brand",C$5:C985,C985,E$5:E985,"paid")&gt;=Inputs!$C$44,SUMIFS(F$5:F985,B$5:B985,"brand",C$5:C985,C985,E$5:E985,"paid")-F985&lt;Inputs!$C$44),1,0),0)</f>
        <v>0</v>
      </c>
    </row>
    <row r="986" customFormat="false" ht="15" hidden="false" customHeight="false" outlineLevel="0" collapsed="false">
      <c r="A986" s="102"/>
      <c r="B986" s="103"/>
      <c r="C986" s="103"/>
      <c r="D986" s="103"/>
      <c r="E986" s="103"/>
      <c r="F986" s="103"/>
      <c r="G986" s="103"/>
      <c r="H986" s="103"/>
      <c r="I986" s="103"/>
      <c r="T986" s="30" t="str">
        <f aca="false">IF(C986="","",IF(COUNTIFS(C$5:C986,C986,E$5:E986,E986)=1,1,0))</f>
        <v/>
      </c>
      <c r="U986" s="30" t="n">
        <f aca="false">IF(C986="",0,IF(AND(B986="brand",E986="budget_probe",N(F986)&gt;=Inputs!$C$124,H986="Y"),1,0))</f>
        <v>0</v>
      </c>
      <c r="V986" s="30" t="n">
        <f aca="false">IF(U986=1,IF(COUNTIFS(C$5:C986,C986,U$5:U986,1)=1,1,0),0)</f>
        <v>0</v>
      </c>
      <c r="W986" s="30" t="n">
        <f aca="false">IF(C986="",0,IF(AND(B986="office",E986="budget_probe",N(F986)&gt;=Inputs!$C$139),1,0))</f>
        <v>0</v>
      </c>
      <c r="X986" s="30" t="n">
        <f aca="false">IF(W986=1,IF(COUNTIFS(C$5:C986,C986,W$5:W986,1)=1,1,0),0)</f>
        <v>0</v>
      </c>
      <c r="Y986" s="30" t="n">
        <f aca="false">IF(C986="",0,IF(AND(B986="brand",E986="renewal_answer",TRIM(G986)="yes",N(F986)&gt;=Inputs!$C$135),1,0))</f>
        <v>0</v>
      </c>
      <c r="Z986" s="30" t="n">
        <f aca="false">IF(Y986=1,IF(COUNTIFS(C$5:C986,C986,Y$5:Y986,1)=1,1,0),0)</f>
        <v>0</v>
      </c>
      <c r="AA986" s="30" t="n">
        <f aca="false">IF(AND(E986="budget_probe",ISNUMBER(F986),I986&lt;&gt;Lists!$X$4),1,0)</f>
        <v>0</v>
      </c>
      <c r="AB986" s="30" t="str">
        <f aca="false">IF(AND(B986="office",AA986=1,COUNTIFS(C$5:C986,C986,AA$5:AA986,1)=1),F986,"")</f>
        <v/>
      </c>
      <c r="AC986" s="30" t="str">
        <f aca="false">IF(AND(B986="brand",AA986=1,COUNTIFS(C$5:C986,C986,AA$5:AA986,1)=1),F986,"")</f>
        <v/>
      </c>
      <c r="AD986" s="30" t="str">
        <f aca="false">IF(AND(B986="brand",E986="budget_probe",ISNUMBER(F986),I986=Lists!$X$4),IF(COUNTIFS(C$5:C986,C986,E$5:E986,"budget_probe",I$5:I986,Lists!$X$4)=1,F986,""),"")</f>
        <v/>
      </c>
      <c r="AE986" s="30" t="n">
        <f aca="false">IF(AND(B986="brand",E986="paid",ISNUMBER(F986)),IF(AND(SUMIFS(F$5:F986,B$5:B986,"brand",C$5:C986,C986,E$5:E986,"paid")&gt;=Inputs!$C$44,SUMIFS(F$5:F986,B$5:B986,"brand",C$5:C986,C986,E$5:E986,"paid")-F986&lt;Inputs!$C$44),1,0),0)</f>
        <v>0</v>
      </c>
    </row>
    <row r="987" customFormat="false" ht="15" hidden="false" customHeight="false" outlineLevel="0" collapsed="false">
      <c r="A987" s="102"/>
      <c r="B987" s="103"/>
      <c r="C987" s="103"/>
      <c r="D987" s="103"/>
      <c r="E987" s="103"/>
      <c r="F987" s="103"/>
      <c r="G987" s="103"/>
      <c r="H987" s="103"/>
      <c r="I987" s="103"/>
      <c r="T987" s="30" t="str">
        <f aca="false">IF(C987="","",IF(COUNTIFS(C$5:C987,C987,E$5:E987,E987)=1,1,0))</f>
        <v/>
      </c>
      <c r="U987" s="30" t="n">
        <f aca="false">IF(C987="",0,IF(AND(B987="brand",E987="budget_probe",N(F987)&gt;=Inputs!$C$124,H987="Y"),1,0))</f>
        <v>0</v>
      </c>
      <c r="V987" s="30" t="n">
        <f aca="false">IF(U987=1,IF(COUNTIFS(C$5:C987,C987,U$5:U987,1)=1,1,0),0)</f>
        <v>0</v>
      </c>
      <c r="W987" s="30" t="n">
        <f aca="false">IF(C987="",0,IF(AND(B987="office",E987="budget_probe",N(F987)&gt;=Inputs!$C$139),1,0))</f>
        <v>0</v>
      </c>
      <c r="X987" s="30" t="n">
        <f aca="false">IF(W987=1,IF(COUNTIFS(C$5:C987,C987,W$5:W987,1)=1,1,0),0)</f>
        <v>0</v>
      </c>
      <c r="Y987" s="30" t="n">
        <f aca="false">IF(C987="",0,IF(AND(B987="brand",E987="renewal_answer",TRIM(G987)="yes",N(F987)&gt;=Inputs!$C$135),1,0))</f>
        <v>0</v>
      </c>
      <c r="Z987" s="30" t="n">
        <f aca="false">IF(Y987=1,IF(COUNTIFS(C$5:C987,C987,Y$5:Y987,1)=1,1,0),0)</f>
        <v>0</v>
      </c>
      <c r="AA987" s="30" t="n">
        <f aca="false">IF(AND(E987="budget_probe",ISNUMBER(F987),I987&lt;&gt;Lists!$X$4),1,0)</f>
        <v>0</v>
      </c>
      <c r="AB987" s="30" t="str">
        <f aca="false">IF(AND(B987="office",AA987=1,COUNTIFS(C$5:C987,C987,AA$5:AA987,1)=1),F987,"")</f>
        <v/>
      </c>
      <c r="AC987" s="30" t="str">
        <f aca="false">IF(AND(B987="brand",AA987=1,COUNTIFS(C$5:C987,C987,AA$5:AA987,1)=1),F987,"")</f>
        <v/>
      </c>
      <c r="AD987" s="30" t="str">
        <f aca="false">IF(AND(B987="brand",E987="budget_probe",ISNUMBER(F987),I987=Lists!$X$4),IF(COUNTIFS(C$5:C987,C987,E$5:E987,"budget_probe",I$5:I987,Lists!$X$4)=1,F987,""),"")</f>
        <v/>
      </c>
      <c r="AE987" s="30" t="n">
        <f aca="false">IF(AND(B987="brand",E987="paid",ISNUMBER(F987)),IF(AND(SUMIFS(F$5:F987,B$5:B987,"brand",C$5:C987,C987,E$5:E987,"paid")&gt;=Inputs!$C$44,SUMIFS(F$5:F987,B$5:B987,"brand",C$5:C987,C987,E$5:E987,"paid")-F987&lt;Inputs!$C$44),1,0),0)</f>
        <v>0</v>
      </c>
    </row>
    <row r="988" customFormat="false" ht="15" hidden="false" customHeight="false" outlineLevel="0" collapsed="false">
      <c r="A988" s="102"/>
      <c r="B988" s="103"/>
      <c r="C988" s="103"/>
      <c r="D988" s="103"/>
      <c r="E988" s="103"/>
      <c r="F988" s="103"/>
      <c r="G988" s="103"/>
      <c r="H988" s="103"/>
      <c r="I988" s="103"/>
      <c r="T988" s="30" t="str">
        <f aca="false">IF(C988="","",IF(COUNTIFS(C$5:C988,C988,E$5:E988,E988)=1,1,0))</f>
        <v/>
      </c>
      <c r="U988" s="30" t="n">
        <f aca="false">IF(C988="",0,IF(AND(B988="brand",E988="budget_probe",N(F988)&gt;=Inputs!$C$124,H988="Y"),1,0))</f>
        <v>0</v>
      </c>
      <c r="V988" s="30" t="n">
        <f aca="false">IF(U988=1,IF(COUNTIFS(C$5:C988,C988,U$5:U988,1)=1,1,0),0)</f>
        <v>0</v>
      </c>
      <c r="W988" s="30" t="n">
        <f aca="false">IF(C988="",0,IF(AND(B988="office",E988="budget_probe",N(F988)&gt;=Inputs!$C$139),1,0))</f>
        <v>0</v>
      </c>
      <c r="X988" s="30" t="n">
        <f aca="false">IF(W988=1,IF(COUNTIFS(C$5:C988,C988,W$5:W988,1)=1,1,0),0)</f>
        <v>0</v>
      </c>
      <c r="Y988" s="30" t="n">
        <f aca="false">IF(C988="",0,IF(AND(B988="brand",E988="renewal_answer",TRIM(G988)="yes",N(F988)&gt;=Inputs!$C$135),1,0))</f>
        <v>0</v>
      </c>
      <c r="Z988" s="30" t="n">
        <f aca="false">IF(Y988=1,IF(COUNTIFS(C$5:C988,C988,Y$5:Y988,1)=1,1,0),0)</f>
        <v>0</v>
      </c>
      <c r="AA988" s="30" t="n">
        <f aca="false">IF(AND(E988="budget_probe",ISNUMBER(F988),I988&lt;&gt;Lists!$X$4),1,0)</f>
        <v>0</v>
      </c>
      <c r="AB988" s="30" t="str">
        <f aca="false">IF(AND(B988="office",AA988=1,COUNTIFS(C$5:C988,C988,AA$5:AA988,1)=1),F988,"")</f>
        <v/>
      </c>
      <c r="AC988" s="30" t="str">
        <f aca="false">IF(AND(B988="brand",AA988=1,COUNTIFS(C$5:C988,C988,AA$5:AA988,1)=1),F988,"")</f>
        <v/>
      </c>
      <c r="AD988" s="30" t="str">
        <f aca="false">IF(AND(B988="brand",E988="budget_probe",ISNUMBER(F988),I988=Lists!$X$4),IF(COUNTIFS(C$5:C988,C988,E$5:E988,"budget_probe",I$5:I988,Lists!$X$4)=1,F988,""),"")</f>
        <v/>
      </c>
      <c r="AE988" s="30" t="n">
        <f aca="false">IF(AND(B988="brand",E988="paid",ISNUMBER(F988)),IF(AND(SUMIFS(F$5:F988,B$5:B988,"brand",C$5:C988,C988,E$5:E988,"paid")&gt;=Inputs!$C$44,SUMIFS(F$5:F988,B$5:B988,"brand",C$5:C988,C988,E$5:E988,"paid")-F988&lt;Inputs!$C$44),1,0),0)</f>
        <v>0</v>
      </c>
    </row>
    <row r="989" customFormat="false" ht="15" hidden="false" customHeight="false" outlineLevel="0" collapsed="false">
      <c r="A989" s="102"/>
      <c r="B989" s="103"/>
      <c r="C989" s="103"/>
      <c r="D989" s="103"/>
      <c r="E989" s="103"/>
      <c r="F989" s="103"/>
      <c r="G989" s="103"/>
      <c r="H989" s="103"/>
      <c r="I989" s="103"/>
      <c r="T989" s="30" t="str">
        <f aca="false">IF(C989="","",IF(COUNTIFS(C$5:C989,C989,E$5:E989,E989)=1,1,0))</f>
        <v/>
      </c>
      <c r="U989" s="30" t="n">
        <f aca="false">IF(C989="",0,IF(AND(B989="brand",E989="budget_probe",N(F989)&gt;=Inputs!$C$124,H989="Y"),1,0))</f>
        <v>0</v>
      </c>
      <c r="V989" s="30" t="n">
        <f aca="false">IF(U989=1,IF(COUNTIFS(C$5:C989,C989,U$5:U989,1)=1,1,0),0)</f>
        <v>0</v>
      </c>
      <c r="W989" s="30" t="n">
        <f aca="false">IF(C989="",0,IF(AND(B989="office",E989="budget_probe",N(F989)&gt;=Inputs!$C$139),1,0))</f>
        <v>0</v>
      </c>
      <c r="X989" s="30" t="n">
        <f aca="false">IF(W989=1,IF(COUNTIFS(C$5:C989,C989,W$5:W989,1)=1,1,0),0)</f>
        <v>0</v>
      </c>
      <c r="Y989" s="30" t="n">
        <f aca="false">IF(C989="",0,IF(AND(B989="brand",E989="renewal_answer",TRIM(G989)="yes",N(F989)&gt;=Inputs!$C$135),1,0))</f>
        <v>0</v>
      </c>
      <c r="Z989" s="30" t="n">
        <f aca="false">IF(Y989=1,IF(COUNTIFS(C$5:C989,C989,Y$5:Y989,1)=1,1,0),0)</f>
        <v>0</v>
      </c>
      <c r="AA989" s="30" t="n">
        <f aca="false">IF(AND(E989="budget_probe",ISNUMBER(F989),I989&lt;&gt;Lists!$X$4),1,0)</f>
        <v>0</v>
      </c>
      <c r="AB989" s="30" t="str">
        <f aca="false">IF(AND(B989="office",AA989=1,COUNTIFS(C$5:C989,C989,AA$5:AA989,1)=1),F989,"")</f>
        <v/>
      </c>
      <c r="AC989" s="30" t="str">
        <f aca="false">IF(AND(B989="brand",AA989=1,COUNTIFS(C$5:C989,C989,AA$5:AA989,1)=1),F989,"")</f>
        <v/>
      </c>
      <c r="AD989" s="30" t="str">
        <f aca="false">IF(AND(B989="brand",E989="budget_probe",ISNUMBER(F989),I989=Lists!$X$4),IF(COUNTIFS(C$5:C989,C989,E$5:E989,"budget_probe",I$5:I989,Lists!$X$4)=1,F989,""),"")</f>
        <v/>
      </c>
      <c r="AE989" s="30" t="n">
        <f aca="false">IF(AND(B989="brand",E989="paid",ISNUMBER(F989)),IF(AND(SUMIFS(F$5:F989,B$5:B989,"brand",C$5:C989,C989,E$5:E989,"paid")&gt;=Inputs!$C$44,SUMIFS(F$5:F989,B$5:B989,"brand",C$5:C989,C989,E$5:E989,"paid")-F989&lt;Inputs!$C$44),1,0),0)</f>
        <v>0</v>
      </c>
    </row>
    <row r="990" customFormat="false" ht="15" hidden="false" customHeight="false" outlineLevel="0" collapsed="false">
      <c r="A990" s="102"/>
      <c r="B990" s="103"/>
      <c r="C990" s="103"/>
      <c r="D990" s="103"/>
      <c r="E990" s="103"/>
      <c r="F990" s="103"/>
      <c r="G990" s="103"/>
      <c r="H990" s="103"/>
      <c r="I990" s="103"/>
      <c r="T990" s="30" t="str">
        <f aca="false">IF(C990="","",IF(COUNTIFS(C$5:C990,C990,E$5:E990,E990)=1,1,0))</f>
        <v/>
      </c>
      <c r="U990" s="30" t="n">
        <f aca="false">IF(C990="",0,IF(AND(B990="brand",E990="budget_probe",N(F990)&gt;=Inputs!$C$124,H990="Y"),1,0))</f>
        <v>0</v>
      </c>
      <c r="V990" s="30" t="n">
        <f aca="false">IF(U990=1,IF(COUNTIFS(C$5:C990,C990,U$5:U990,1)=1,1,0),0)</f>
        <v>0</v>
      </c>
      <c r="W990" s="30" t="n">
        <f aca="false">IF(C990="",0,IF(AND(B990="office",E990="budget_probe",N(F990)&gt;=Inputs!$C$139),1,0))</f>
        <v>0</v>
      </c>
      <c r="X990" s="30" t="n">
        <f aca="false">IF(W990=1,IF(COUNTIFS(C$5:C990,C990,W$5:W990,1)=1,1,0),0)</f>
        <v>0</v>
      </c>
      <c r="Y990" s="30" t="n">
        <f aca="false">IF(C990="",0,IF(AND(B990="brand",E990="renewal_answer",TRIM(G990)="yes",N(F990)&gt;=Inputs!$C$135),1,0))</f>
        <v>0</v>
      </c>
      <c r="Z990" s="30" t="n">
        <f aca="false">IF(Y990=1,IF(COUNTIFS(C$5:C990,C990,Y$5:Y990,1)=1,1,0),0)</f>
        <v>0</v>
      </c>
      <c r="AA990" s="30" t="n">
        <f aca="false">IF(AND(E990="budget_probe",ISNUMBER(F990),I990&lt;&gt;Lists!$X$4),1,0)</f>
        <v>0</v>
      </c>
      <c r="AB990" s="30" t="str">
        <f aca="false">IF(AND(B990="office",AA990=1,COUNTIFS(C$5:C990,C990,AA$5:AA990,1)=1),F990,"")</f>
        <v/>
      </c>
      <c r="AC990" s="30" t="str">
        <f aca="false">IF(AND(B990="brand",AA990=1,COUNTIFS(C$5:C990,C990,AA$5:AA990,1)=1),F990,"")</f>
        <v/>
      </c>
      <c r="AD990" s="30" t="str">
        <f aca="false">IF(AND(B990="brand",E990="budget_probe",ISNUMBER(F990),I990=Lists!$X$4),IF(COUNTIFS(C$5:C990,C990,E$5:E990,"budget_probe",I$5:I990,Lists!$X$4)=1,F990,""),"")</f>
        <v/>
      </c>
      <c r="AE990" s="30" t="n">
        <f aca="false">IF(AND(B990="brand",E990="paid",ISNUMBER(F990)),IF(AND(SUMIFS(F$5:F990,B$5:B990,"brand",C$5:C990,C990,E$5:E990,"paid")&gt;=Inputs!$C$44,SUMIFS(F$5:F990,B$5:B990,"brand",C$5:C990,C990,E$5:E990,"paid")-F990&lt;Inputs!$C$44),1,0),0)</f>
        <v>0</v>
      </c>
    </row>
    <row r="991" customFormat="false" ht="15" hidden="false" customHeight="false" outlineLevel="0" collapsed="false">
      <c r="A991" s="102"/>
      <c r="B991" s="103"/>
      <c r="C991" s="103"/>
      <c r="D991" s="103"/>
      <c r="E991" s="103"/>
      <c r="F991" s="103"/>
      <c r="G991" s="103"/>
      <c r="H991" s="103"/>
      <c r="I991" s="103"/>
      <c r="T991" s="30" t="str">
        <f aca="false">IF(C991="","",IF(COUNTIFS(C$5:C991,C991,E$5:E991,E991)=1,1,0))</f>
        <v/>
      </c>
      <c r="U991" s="30" t="n">
        <f aca="false">IF(C991="",0,IF(AND(B991="brand",E991="budget_probe",N(F991)&gt;=Inputs!$C$124,H991="Y"),1,0))</f>
        <v>0</v>
      </c>
      <c r="V991" s="30" t="n">
        <f aca="false">IF(U991=1,IF(COUNTIFS(C$5:C991,C991,U$5:U991,1)=1,1,0),0)</f>
        <v>0</v>
      </c>
      <c r="W991" s="30" t="n">
        <f aca="false">IF(C991="",0,IF(AND(B991="office",E991="budget_probe",N(F991)&gt;=Inputs!$C$139),1,0))</f>
        <v>0</v>
      </c>
      <c r="X991" s="30" t="n">
        <f aca="false">IF(W991=1,IF(COUNTIFS(C$5:C991,C991,W$5:W991,1)=1,1,0),0)</f>
        <v>0</v>
      </c>
      <c r="Y991" s="30" t="n">
        <f aca="false">IF(C991="",0,IF(AND(B991="brand",E991="renewal_answer",TRIM(G991)="yes",N(F991)&gt;=Inputs!$C$135),1,0))</f>
        <v>0</v>
      </c>
      <c r="Z991" s="30" t="n">
        <f aca="false">IF(Y991=1,IF(COUNTIFS(C$5:C991,C991,Y$5:Y991,1)=1,1,0),0)</f>
        <v>0</v>
      </c>
      <c r="AA991" s="30" t="n">
        <f aca="false">IF(AND(E991="budget_probe",ISNUMBER(F991),I991&lt;&gt;Lists!$X$4),1,0)</f>
        <v>0</v>
      </c>
      <c r="AB991" s="30" t="str">
        <f aca="false">IF(AND(B991="office",AA991=1,COUNTIFS(C$5:C991,C991,AA$5:AA991,1)=1),F991,"")</f>
        <v/>
      </c>
      <c r="AC991" s="30" t="str">
        <f aca="false">IF(AND(B991="brand",AA991=1,COUNTIFS(C$5:C991,C991,AA$5:AA991,1)=1),F991,"")</f>
        <v/>
      </c>
      <c r="AD991" s="30" t="str">
        <f aca="false">IF(AND(B991="brand",E991="budget_probe",ISNUMBER(F991),I991=Lists!$X$4),IF(COUNTIFS(C$5:C991,C991,E$5:E991,"budget_probe",I$5:I991,Lists!$X$4)=1,F991,""),"")</f>
        <v/>
      </c>
      <c r="AE991" s="30" t="n">
        <f aca="false">IF(AND(B991="brand",E991="paid",ISNUMBER(F991)),IF(AND(SUMIFS(F$5:F991,B$5:B991,"brand",C$5:C991,C991,E$5:E991,"paid")&gt;=Inputs!$C$44,SUMIFS(F$5:F991,B$5:B991,"brand",C$5:C991,C991,E$5:E991,"paid")-F991&lt;Inputs!$C$44),1,0),0)</f>
        <v>0</v>
      </c>
    </row>
    <row r="992" customFormat="false" ht="15" hidden="false" customHeight="false" outlineLevel="0" collapsed="false">
      <c r="A992" s="102"/>
      <c r="B992" s="103"/>
      <c r="C992" s="103"/>
      <c r="D992" s="103"/>
      <c r="E992" s="103"/>
      <c r="F992" s="103"/>
      <c r="G992" s="103"/>
      <c r="H992" s="103"/>
      <c r="I992" s="103"/>
      <c r="T992" s="30" t="str">
        <f aca="false">IF(C992="","",IF(COUNTIFS(C$5:C992,C992,E$5:E992,E992)=1,1,0))</f>
        <v/>
      </c>
      <c r="U992" s="30" t="n">
        <f aca="false">IF(C992="",0,IF(AND(B992="brand",E992="budget_probe",N(F992)&gt;=Inputs!$C$124,H992="Y"),1,0))</f>
        <v>0</v>
      </c>
      <c r="V992" s="30" t="n">
        <f aca="false">IF(U992=1,IF(COUNTIFS(C$5:C992,C992,U$5:U992,1)=1,1,0),0)</f>
        <v>0</v>
      </c>
      <c r="W992" s="30" t="n">
        <f aca="false">IF(C992="",0,IF(AND(B992="office",E992="budget_probe",N(F992)&gt;=Inputs!$C$139),1,0))</f>
        <v>0</v>
      </c>
      <c r="X992" s="30" t="n">
        <f aca="false">IF(W992=1,IF(COUNTIFS(C$5:C992,C992,W$5:W992,1)=1,1,0),0)</f>
        <v>0</v>
      </c>
      <c r="Y992" s="30" t="n">
        <f aca="false">IF(C992="",0,IF(AND(B992="brand",E992="renewal_answer",TRIM(G992)="yes",N(F992)&gt;=Inputs!$C$135),1,0))</f>
        <v>0</v>
      </c>
      <c r="Z992" s="30" t="n">
        <f aca="false">IF(Y992=1,IF(COUNTIFS(C$5:C992,C992,Y$5:Y992,1)=1,1,0),0)</f>
        <v>0</v>
      </c>
      <c r="AA992" s="30" t="n">
        <f aca="false">IF(AND(E992="budget_probe",ISNUMBER(F992),I992&lt;&gt;Lists!$X$4),1,0)</f>
        <v>0</v>
      </c>
      <c r="AB992" s="30" t="str">
        <f aca="false">IF(AND(B992="office",AA992=1,COUNTIFS(C$5:C992,C992,AA$5:AA992,1)=1),F992,"")</f>
        <v/>
      </c>
      <c r="AC992" s="30" t="str">
        <f aca="false">IF(AND(B992="brand",AA992=1,COUNTIFS(C$5:C992,C992,AA$5:AA992,1)=1),F992,"")</f>
        <v/>
      </c>
      <c r="AD992" s="30" t="str">
        <f aca="false">IF(AND(B992="brand",E992="budget_probe",ISNUMBER(F992),I992=Lists!$X$4),IF(COUNTIFS(C$5:C992,C992,E$5:E992,"budget_probe",I$5:I992,Lists!$X$4)=1,F992,""),"")</f>
        <v/>
      </c>
      <c r="AE992" s="30" t="n">
        <f aca="false">IF(AND(B992="brand",E992="paid",ISNUMBER(F992)),IF(AND(SUMIFS(F$5:F992,B$5:B992,"brand",C$5:C992,C992,E$5:E992,"paid")&gt;=Inputs!$C$44,SUMIFS(F$5:F992,B$5:B992,"brand",C$5:C992,C992,E$5:E992,"paid")-F992&lt;Inputs!$C$44),1,0),0)</f>
        <v>0</v>
      </c>
    </row>
    <row r="993" customFormat="false" ht="15" hidden="false" customHeight="false" outlineLevel="0" collapsed="false">
      <c r="A993" s="102"/>
      <c r="B993" s="103"/>
      <c r="C993" s="103"/>
      <c r="D993" s="103"/>
      <c r="E993" s="103"/>
      <c r="F993" s="103"/>
      <c r="G993" s="103"/>
      <c r="H993" s="103"/>
      <c r="I993" s="103"/>
      <c r="T993" s="30" t="str">
        <f aca="false">IF(C993="","",IF(COUNTIFS(C$5:C993,C993,E$5:E993,E993)=1,1,0))</f>
        <v/>
      </c>
      <c r="U993" s="30" t="n">
        <f aca="false">IF(C993="",0,IF(AND(B993="brand",E993="budget_probe",N(F993)&gt;=Inputs!$C$124,H993="Y"),1,0))</f>
        <v>0</v>
      </c>
      <c r="V993" s="30" t="n">
        <f aca="false">IF(U993=1,IF(COUNTIFS(C$5:C993,C993,U$5:U993,1)=1,1,0),0)</f>
        <v>0</v>
      </c>
      <c r="W993" s="30" t="n">
        <f aca="false">IF(C993="",0,IF(AND(B993="office",E993="budget_probe",N(F993)&gt;=Inputs!$C$139),1,0))</f>
        <v>0</v>
      </c>
      <c r="X993" s="30" t="n">
        <f aca="false">IF(W993=1,IF(COUNTIFS(C$5:C993,C993,W$5:W993,1)=1,1,0),0)</f>
        <v>0</v>
      </c>
      <c r="Y993" s="30" t="n">
        <f aca="false">IF(C993="",0,IF(AND(B993="brand",E993="renewal_answer",TRIM(G993)="yes",N(F993)&gt;=Inputs!$C$135),1,0))</f>
        <v>0</v>
      </c>
      <c r="Z993" s="30" t="n">
        <f aca="false">IF(Y993=1,IF(COUNTIFS(C$5:C993,C993,Y$5:Y993,1)=1,1,0),0)</f>
        <v>0</v>
      </c>
      <c r="AA993" s="30" t="n">
        <f aca="false">IF(AND(E993="budget_probe",ISNUMBER(F993),I993&lt;&gt;Lists!$X$4),1,0)</f>
        <v>0</v>
      </c>
      <c r="AB993" s="30" t="str">
        <f aca="false">IF(AND(B993="office",AA993=1,COUNTIFS(C$5:C993,C993,AA$5:AA993,1)=1),F993,"")</f>
        <v/>
      </c>
      <c r="AC993" s="30" t="str">
        <f aca="false">IF(AND(B993="brand",AA993=1,COUNTIFS(C$5:C993,C993,AA$5:AA993,1)=1),F993,"")</f>
        <v/>
      </c>
      <c r="AD993" s="30" t="str">
        <f aca="false">IF(AND(B993="brand",E993="budget_probe",ISNUMBER(F993),I993=Lists!$X$4),IF(COUNTIFS(C$5:C993,C993,E$5:E993,"budget_probe",I$5:I993,Lists!$X$4)=1,F993,""),"")</f>
        <v/>
      </c>
      <c r="AE993" s="30" t="n">
        <f aca="false">IF(AND(B993="brand",E993="paid",ISNUMBER(F993)),IF(AND(SUMIFS(F$5:F993,B$5:B993,"brand",C$5:C993,C993,E$5:E993,"paid")&gt;=Inputs!$C$44,SUMIFS(F$5:F993,B$5:B993,"brand",C$5:C993,C993,E$5:E993,"paid")-F993&lt;Inputs!$C$44),1,0),0)</f>
        <v>0</v>
      </c>
    </row>
    <row r="994" customFormat="false" ht="15" hidden="false" customHeight="false" outlineLevel="0" collapsed="false">
      <c r="A994" s="102"/>
      <c r="B994" s="103"/>
      <c r="C994" s="103"/>
      <c r="D994" s="103"/>
      <c r="E994" s="103"/>
      <c r="F994" s="103"/>
      <c r="G994" s="103"/>
      <c r="H994" s="103"/>
      <c r="I994" s="103"/>
      <c r="T994" s="30" t="str">
        <f aca="false">IF(C994="","",IF(COUNTIFS(C$5:C994,C994,E$5:E994,E994)=1,1,0))</f>
        <v/>
      </c>
      <c r="U994" s="30" t="n">
        <f aca="false">IF(C994="",0,IF(AND(B994="brand",E994="budget_probe",N(F994)&gt;=Inputs!$C$124,H994="Y"),1,0))</f>
        <v>0</v>
      </c>
      <c r="V994" s="30" t="n">
        <f aca="false">IF(U994=1,IF(COUNTIFS(C$5:C994,C994,U$5:U994,1)=1,1,0),0)</f>
        <v>0</v>
      </c>
      <c r="W994" s="30" t="n">
        <f aca="false">IF(C994="",0,IF(AND(B994="office",E994="budget_probe",N(F994)&gt;=Inputs!$C$139),1,0))</f>
        <v>0</v>
      </c>
      <c r="X994" s="30" t="n">
        <f aca="false">IF(W994=1,IF(COUNTIFS(C$5:C994,C994,W$5:W994,1)=1,1,0),0)</f>
        <v>0</v>
      </c>
      <c r="Y994" s="30" t="n">
        <f aca="false">IF(C994="",0,IF(AND(B994="brand",E994="renewal_answer",TRIM(G994)="yes",N(F994)&gt;=Inputs!$C$135),1,0))</f>
        <v>0</v>
      </c>
      <c r="Z994" s="30" t="n">
        <f aca="false">IF(Y994=1,IF(COUNTIFS(C$5:C994,C994,Y$5:Y994,1)=1,1,0),0)</f>
        <v>0</v>
      </c>
      <c r="AA994" s="30" t="n">
        <f aca="false">IF(AND(E994="budget_probe",ISNUMBER(F994),I994&lt;&gt;Lists!$X$4),1,0)</f>
        <v>0</v>
      </c>
      <c r="AB994" s="30" t="str">
        <f aca="false">IF(AND(B994="office",AA994=1,COUNTIFS(C$5:C994,C994,AA$5:AA994,1)=1),F994,"")</f>
        <v/>
      </c>
      <c r="AC994" s="30" t="str">
        <f aca="false">IF(AND(B994="brand",AA994=1,COUNTIFS(C$5:C994,C994,AA$5:AA994,1)=1),F994,"")</f>
        <v/>
      </c>
      <c r="AD994" s="30" t="str">
        <f aca="false">IF(AND(B994="brand",E994="budget_probe",ISNUMBER(F994),I994=Lists!$X$4),IF(COUNTIFS(C$5:C994,C994,E$5:E994,"budget_probe",I$5:I994,Lists!$X$4)=1,F994,""),"")</f>
        <v/>
      </c>
      <c r="AE994" s="30" t="n">
        <f aca="false">IF(AND(B994="brand",E994="paid",ISNUMBER(F994)),IF(AND(SUMIFS(F$5:F994,B$5:B994,"brand",C$5:C994,C994,E$5:E994,"paid")&gt;=Inputs!$C$44,SUMIFS(F$5:F994,B$5:B994,"brand",C$5:C994,C994,E$5:E994,"paid")-F994&lt;Inputs!$C$44),1,0),0)</f>
        <v>0</v>
      </c>
    </row>
    <row r="995" customFormat="false" ht="15" hidden="false" customHeight="false" outlineLevel="0" collapsed="false">
      <c r="A995" s="102"/>
      <c r="B995" s="103"/>
      <c r="C995" s="103"/>
      <c r="D995" s="103"/>
      <c r="E995" s="103"/>
      <c r="F995" s="103"/>
      <c r="G995" s="103"/>
      <c r="H995" s="103"/>
      <c r="I995" s="103"/>
      <c r="T995" s="30" t="str">
        <f aca="false">IF(C995="","",IF(COUNTIFS(C$5:C995,C995,E$5:E995,E995)=1,1,0))</f>
        <v/>
      </c>
      <c r="U995" s="30" t="n">
        <f aca="false">IF(C995="",0,IF(AND(B995="brand",E995="budget_probe",N(F995)&gt;=Inputs!$C$124,H995="Y"),1,0))</f>
        <v>0</v>
      </c>
      <c r="V995" s="30" t="n">
        <f aca="false">IF(U995=1,IF(COUNTIFS(C$5:C995,C995,U$5:U995,1)=1,1,0),0)</f>
        <v>0</v>
      </c>
      <c r="W995" s="30" t="n">
        <f aca="false">IF(C995="",0,IF(AND(B995="office",E995="budget_probe",N(F995)&gt;=Inputs!$C$139),1,0))</f>
        <v>0</v>
      </c>
      <c r="X995" s="30" t="n">
        <f aca="false">IF(W995=1,IF(COUNTIFS(C$5:C995,C995,W$5:W995,1)=1,1,0),0)</f>
        <v>0</v>
      </c>
      <c r="Y995" s="30" t="n">
        <f aca="false">IF(C995="",0,IF(AND(B995="brand",E995="renewal_answer",TRIM(G995)="yes",N(F995)&gt;=Inputs!$C$135),1,0))</f>
        <v>0</v>
      </c>
      <c r="Z995" s="30" t="n">
        <f aca="false">IF(Y995=1,IF(COUNTIFS(C$5:C995,C995,Y$5:Y995,1)=1,1,0),0)</f>
        <v>0</v>
      </c>
      <c r="AA995" s="30" t="n">
        <f aca="false">IF(AND(E995="budget_probe",ISNUMBER(F995),I995&lt;&gt;Lists!$X$4),1,0)</f>
        <v>0</v>
      </c>
      <c r="AB995" s="30" t="str">
        <f aca="false">IF(AND(B995="office",AA995=1,COUNTIFS(C$5:C995,C995,AA$5:AA995,1)=1),F995,"")</f>
        <v/>
      </c>
      <c r="AC995" s="30" t="str">
        <f aca="false">IF(AND(B995="brand",AA995=1,COUNTIFS(C$5:C995,C995,AA$5:AA995,1)=1),F995,"")</f>
        <v/>
      </c>
      <c r="AD995" s="30" t="str">
        <f aca="false">IF(AND(B995="brand",E995="budget_probe",ISNUMBER(F995),I995=Lists!$X$4),IF(COUNTIFS(C$5:C995,C995,E$5:E995,"budget_probe",I$5:I995,Lists!$X$4)=1,F995,""),"")</f>
        <v/>
      </c>
      <c r="AE995" s="30" t="n">
        <f aca="false">IF(AND(B995="brand",E995="paid",ISNUMBER(F995)),IF(AND(SUMIFS(F$5:F995,B$5:B995,"brand",C$5:C995,C995,E$5:E995,"paid")&gt;=Inputs!$C$44,SUMIFS(F$5:F995,B$5:B995,"brand",C$5:C995,C995,E$5:E995,"paid")-F995&lt;Inputs!$C$44),1,0),0)</f>
        <v>0</v>
      </c>
    </row>
    <row r="996" customFormat="false" ht="15" hidden="false" customHeight="false" outlineLevel="0" collapsed="false">
      <c r="A996" s="102"/>
      <c r="B996" s="103"/>
      <c r="C996" s="103"/>
      <c r="D996" s="103"/>
      <c r="E996" s="103"/>
      <c r="F996" s="103"/>
      <c r="G996" s="103"/>
      <c r="H996" s="103"/>
      <c r="I996" s="103"/>
      <c r="T996" s="30" t="str">
        <f aca="false">IF(C996="","",IF(COUNTIFS(C$5:C996,C996,E$5:E996,E996)=1,1,0))</f>
        <v/>
      </c>
      <c r="U996" s="30" t="n">
        <f aca="false">IF(C996="",0,IF(AND(B996="brand",E996="budget_probe",N(F996)&gt;=Inputs!$C$124,H996="Y"),1,0))</f>
        <v>0</v>
      </c>
      <c r="V996" s="30" t="n">
        <f aca="false">IF(U996=1,IF(COUNTIFS(C$5:C996,C996,U$5:U996,1)=1,1,0),0)</f>
        <v>0</v>
      </c>
      <c r="W996" s="30" t="n">
        <f aca="false">IF(C996="",0,IF(AND(B996="office",E996="budget_probe",N(F996)&gt;=Inputs!$C$139),1,0))</f>
        <v>0</v>
      </c>
      <c r="X996" s="30" t="n">
        <f aca="false">IF(W996=1,IF(COUNTIFS(C$5:C996,C996,W$5:W996,1)=1,1,0),0)</f>
        <v>0</v>
      </c>
      <c r="Y996" s="30" t="n">
        <f aca="false">IF(C996="",0,IF(AND(B996="brand",E996="renewal_answer",TRIM(G996)="yes",N(F996)&gt;=Inputs!$C$135),1,0))</f>
        <v>0</v>
      </c>
      <c r="Z996" s="30" t="n">
        <f aca="false">IF(Y996=1,IF(COUNTIFS(C$5:C996,C996,Y$5:Y996,1)=1,1,0),0)</f>
        <v>0</v>
      </c>
      <c r="AA996" s="30" t="n">
        <f aca="false">IF(AND(E996="budget_probe",ISNUMBER(F996),I996&lt;&gt;Lists!$X$4),1,0)</f>
        <v>0</v>
      </c>
      <c r="AB996" s="30" t="str">
        <f aca="false">IF(AND(B996="office",AA996=1,COUNTIFS(C$5:C996,C996,AA$5:AA996,1)=1),F996,"")</f>
        <v/>
      </c>
      <c r="AC996" s="30" t="str">
        <f aca="false">IF(AND(B996="brand",AA996=1,COUNTIFS(C$5:C996,C996,AA$5:AA996,1)=1),F996,"")</f>
        <v/>
      </c>
      <c r="AD996" s="30" t="str">
        <f aca="false">IF(AND(B996="brand",E996="budget_probe",ISNUMBER(F996),I996=Lists!$X$4),IF(COUNTIFS(C$5:C996,C996,E$5:E996,"budget_probe",I$5:I996,Lists!$X$4)=1,F996,""),"")</f>
        <v/>
      </c>
      <c r="AE996" s="30" t="n">
        <f aca="false">IF(AND(B996="brand",E996="paid",ISNUMBER(F996)),IF(AND(SUMIFS(F$5:F996,B$5:B996,"brand",C$5:C996,C996,E$5:E996,"paid")&gt;=Inputs!$C$44,SUMIFS(F$5:F996,B$5:B996,"brand",C$5:C996,C996,E$5:E996,"paid")-F996&lt;Inputs!$C$44),1,0),0)</f>
        <v>0</v>
      </c>
    </row>
    <row r="997" customFormat="false" ht="15" hidden="false" customHeight="false" outlineLevel="0" collapsed="false">
      <c r="A997" s="102"/>
      <c r="B997" s="103"/>
      <c r="C997" s="103"/>
      <c r="D997" s="103"/>
      <c r="E997" s="103"/>
      <c r="F997" s="103"/>
      <c r="G997" s="103"/>
      <c r="H997" s="103"/>
      <c r="I997" s="103"/>
      <c r="T997" s="30" t="str">
        <f aca="false">IF(C997="","",IF(COUNTIFS(C$5:C997,C997,E$5:E997,E997)=1,1,0))</f>
        <v/>
      </c>
      <c r="U997" s="30" t="n">
        <f aca="false">IF(C997="",0,IF(AND(B997="brand",E997="budget_probe",N(F997)&gt;=Inputs!$C$124,H997="Y"),1,0))</f>
        <v>0</v>
      </c>
      <c r="V997" s="30" t="n">
        <f aca="false">IF(U997=1,IF(COUNTIFS(C$5:C997,C997,U$5:U997,1)=1,1,0),0)</f>
        <v>0</v>
      </c>
      <c r="W997" s="30" t="n">
        <f aca="false">IF(C997="",0,IF(AND(B997="office",E997="budget_probe",N(F997)&gt;=Inputs!$C$139),1,0))</f>
        <v>0</v>
      </c>
      <c r="X997" s="30" t="n">
        <f aca="false">IF(W997=1,IF(COUNTIFS(C$5:C997,C997,W$5:W997,1)=1,1,0),0)</f>
        <v>0</v>
      </c>
      <c r="Y997" s="30" t="n">
        <f aca="false">IF(C997="",0,IF(AND(B997="brand",E997="renewal_answer",TRIM(G997)="yes",N(F997)&gt;=Inputs!$C$135),1,0))</f>
        <v>0</v>
      </c>
      <c r="Z997" s="30" t="n">
        <f aca="false">IF(Y997=1,IF(COUNTIFS(C$5:C997,C997,Y$5:Y997,1)=1,1,0),0)</f>
        <v>0</v>
      </c>
      <c r="AA997" s="30" t="n">
        <f aca="false">IF(AND(E997="budget_probe",ISNUMBER(F997),I997&lt;&gt;Lists!$X$4),1,0)</f>
        <v>0</v>
      </c>
      <c r="AB997" s="30" t="str">
        <f aca="false">IF(AND(B997="office",AA997=1,COUNTIFS(C$5:C997,C997,AA$5:AA997,1)=1),F997,"")</f>
        <v/>
      </c>
      <c r="AC997" s="30" t="str">
        <f aca="false">IF(AND(B997="brand",AA997=1,COUNTIFS(C$5:C997,C997,AA$5:AA997,1)=1),F997,"")</f>
        <v/>
      </c>
      <c r="AD997" s="30" t="str">
        <f aca="false">IF(AND(B997="brand",E997="budget_probe",ISNUMBER(F997),I997=Lists!$X$4),IF(COUNTIFS(C$5:C997,C997,E$5:E997,"budget_probe",I$5:I997,Lists!$X$4)=1,F997,""),"")</f>
        <v/>
      </c>
      <c r="AE997" s="30" t="n">
        <f aca="false">IF(AND(B997="brand",E997="paid",ISNUMBER(F997)),IF(AND(SUMIFS(F$5:F997,B$5:B997,"brand",C$5:C997,C997,E$5:E997,"paid")&gt;=Inputs!$C$44,SUMIFS(F$5:F997,B$5:B997,"brand",C$5:C997,C997,E$5:E997,"paid")-F997&lt;Inputs!$C$44),1,0),0)</f>
        <v>0</v>
      </c>
    </row>
    <row r="998" customFormat="false" ht="15" hidden="false" customHeight="false" outlineLevel="0" collapsed="false">
      <c r="A998" s="102"/>
      <c r="B998" s="103"/>
      <c r="C998" s="103"/>
      <c r="D998" s="103"/>
      <c r="E998" s="103"/>
      <c r="F998" s="103"/>
      <c r="G998" s="103"/>
      <c r="H998" s="103"/>
      <c r="I998" s="103"/>
      <c r="T998" s="30" t="str">
        <f aca="false">IF(C998="","",IF(COUNTIFS(C$5:C998,C998,E$5:E998,E998)=1,1,0))</f>
        <v/>
      </c>
      <c r="U998" s="30" t="n">
        <f aca="false">IF(C998="",0,IF(AND(B998="brand",E998="budget_probe",N(F998)&gt;=Inputs!$C$124,H998="Y"),1,0))</f>
        <v>0</v>
      </c>
      <c r="V998" s="30" t="n">
        <f aca="false">IF(U998=1,IF(COUNTIFS(C$5:C998,C998,U$5:U998,1)=1,1,0),0)</f>
        <v>0</v>
      </c>
      <c r="W998" s="30" t="n">
        <f aca="false">IF(C998="",0,IF(AND(B998="office",E998="budget_probe",N(F998)&gt;=Inputs!$C$139),1,0))</f>
        <v>0</v>
      </c>
      <c r="X998" s="30" t="n">
        <f aca="false">IF(W998=1,IF(COUNTIFS(C$5:C998,C998,W$5:W998,1)=1,1,0),0)</f>
        <v>0</v>
      </c>
      <c r="Y998" s="30" t="n">
        <f aca="false">IF(C998="",0,IF(AND(B998="brand",E998="renewal_answer",TRIM(G998)="yes",N(F998)&gt;=Inputs!$C$135),1,0))</f>
        <v>0</v>
      </c>
      <c r="Z998" s="30" t="n">
        <f aca="false">IF(Y998=1,IF(COUNTIFS(C$5:C998,C998,Y$5:Y998,1)=1,1,0),0)</f>
        <v>0</v>
      </c>
      <c r="AA998" s="30" t="n">
        <f aca="false">IF(AND(E998="budget_probe",ISNUMBER(F998),I998&lt;&gt;Lists!$X$4),1,0)</f>
        <v>0</v>
      </c>
      <c r="AB998" s="30" t="str">
        <f aca="false">IF(AND(B998="office",AA998=1,COUNTIFS(C$5:C998,C998,AA$5:AA998,1)=1),F998,"")</f>
        <v/>
      </c>
      <c r="AC998" s="30" t="str">
        <f aca="false">IF(AND(B998="brand",AA998=1,COUNTIFS(C$5:C998,C998,AA$5:AA998,1)=1),F998,"")</f>
        <v/>
      </c>
      <c r="AD998" s="30" t="str">
        <f aca="false">IF(AND(B998="brand",E998="budget_probe",ISNUMBER(F998),I998=Lists!$X$4),IF(COUNTIFS(C$5:C998,C998,E$5:E998,"budget_probe",I$5:I998,Lists!$X$4)=1,F998,""),"")</f>
        <v/>
      </c>
      <c r="AE998" s="30" t="n">
        <f aca="false">IF(AND(B998="brand",E998="paid",ISNUMBER(F998)),IF(AND(SUMIFS(F$5:F998,B$5:B998,"brand",C$5:C998,C998,E$5:E998,"paid")&gt;=Inputs!$C$44,SUMIFS(F$5:F998,B$5:B998,"brand",C$5:C998,C998,E$5:E998,"paid")-F998&lt;Inputs!$C$44),1,0),0)</f>
        <v>0</v>
      </c>
    </row>
    <row r="999" customFormat="false" ht="15" hidden="false" customHeight="false" outlineLevel="0" collapsed="false">
      <c r="A999" s="102"/>
      <c r="B999" s="103"/>
      <c r="C999" s="103"/>
      <c r="D999" s="103"/>
      <c r="E999" s="103"/>
      <c r="F999" s="103"/>
      <c r="G999" s="103"/>
      <c r="H999" s="103"/>
      <c r="I999" s="103"/>
      <c r="T999" s="30" t="str">
        <f aca="false">IF(C999="","",IF(COUNTIFS(C$5:C999,C999,E$5:E999,E999)=1,1,0))</f>
        <v/>
      </c>
      <c r="U999" s="30" t="n">
        <f aca="false">IF(C999="",0,IF(AND(B999="brand",E999="budget_probe",N(F999)&gt;=Inputs!$C$124,H999="Y"),1,0))</f>
        <v>0</v>
      </c>
      <c r="V999" s="30" t="n">
        <f aca="false">IF(U999=1,IF(COUNTIFS(C$5:C999,C999,U$5:U999,1)=1,1,0),0)</f>
        <v>0</v>
      </c>
      <c r="W999" s="30" t="n">
        <f aca="false">IF(C999="",0,IF(AND(B999="office",E999="budget_probe",N(F999)&gt;=Inputs!$C$139),1,0))</f>
        <v>0</v>
      </c>
      <c r="X999" s="30" t="n">
        <f aca="false">IF(W999=1,IF(COUNTIFS(C$5:C999,C999,W$5:W999,1)=1,1,0),0)</f>
        <v>0</v>
      </c>
      <c r="Y999" s="30" t="n">
        <f aca="false">IF(C999="",0,IF(AND(B999="brand",E999="renewal_answer",TRIM(G999)="yes",N(F999)&gt;=Inputs!$C$135),1,0))</f>
        <v>0</v>
      </c>
      <c r="Z999" s="30" t="n">
        <f aca="false">IF(Y999=1,IF(COUNTIFS(C$5:C999,C999,Y$5:Y999,1)=1,1,0),0)</f>
        <v>0</v>
      </c>
      <c r="AA999" s="30" t="n">
        <f aca="false">IF(AND(E999="budget_probe",ISNUMBER(F999),I999&lt;&gt;Lists!$X$4),1,0)</f>
        <v>0</v>
      </c>
      <c r="AB999" s="30" t="str">
        <f aca="false">IF(AND(B999="office",AA999=1,COUNTIFS(C$5:C999,C999,AA$5:AA999,1)=1),F999,"")</f>
        <v/>
      </c>
      <c r="AC999" s="30" t="str">
        <f aca="false">IF(AND(B999="brand",AA999=1,COUNTIFS(C$5:C999,C999,AA$5:AA999,1)=1),F999,"")</f>
        <v/>
      </c>
      <c r="AD999" s="30" t="str">
        <f aca="false">IF(AND(B999="brand",E999="budget_probe",ISNUMBER(F999),I999=Lists!$X$4),IF(COUNTIFS(C$5:C999,C999,E$5:E999,"budget_probe",I$5:I999,Lists!$X$4)=1,F999,""),"")</f>
        <v/>
      </c>
      <c r="AE999" s="30" t="n">
        <f aca="false">IF(AND(B999="brand",E999="paid",ISNUMBER(F999)),IF(AND(SUMIFS(F$5:F999,B$5:B999,"brand",C$5:C999,C999,E$5:E999,"paid")&gt;=Inputs!$C$44,SUMIFS(F$5:F999,B$5:B999,"brand",C$5:C999,C999,E$5:E999,"paid")-F999&lt;Inputs!$C$44),1,0),0)</f>
        <v>0</v>
      </c>
    </row>
    <row r="1000" customFormat="false" ht="15" hidden="false" customHeight="false" outlineLevel="0" collapsed="false">
      <c r="A1000" s="102"/>
      <c r="B1000" s="103"/>
      <c r="C1000" s="103"/>
      <c r="D1000" s="103"/>
      <c r="E1000" s="103"/>
      <c r="F1000" s="103"/>
      <c r="G1000" s="103"/>
      <c r="H1000" s="103"/>
      <c r="I1000" s="103"/>
      <c r="T1000" s="30" t="str">
        <f aca="false">IF(C1000="","",IF(COUNTIFS(C$5:C1000,C1000,E$5:E1000,E1000)=1,1,0))</f>
        <v/>
      </c>
      <c r="U1000" s="30" t="n">
        <f aca="false">IF(C1000="",0,IF(AND(B1000="brand",E1000="budget_probe",N(F1000)&gt;=Inputs!$C$124,H1000="Y"),1,0))</f>
        <v>0</v>
      </c>
      <c r="V1000" s="30" t="n">
        <f aca="false">IF(U1000=1,IF(COUNTIFS(C$5:C1000,C1000,U$5:U1000,1)=1,1,0),0)</f>
        <v>0</v>
      </c>
      <c r="W1000" s="30" t="n">
        <f aca="false">IF(C1000="",0,IF(AND(B1000="office",E1000="budget_probe",N(F1000)&gt;=Inputs!$C$139),1,0))</f>
        <v>0</v>
      </c>
      <c r="X1000" s="30" t="n">
        <f aca="false">IF(W1000=1,IF(COUNTIFS(C$5:C1000,C1000,W$5:W1000,1)=1,1,0),0)</f>
        <v>0</v>
      </c>
      <c r="Y1000" s="30" t="n">
        <f aca="false">IF(C1000="",0,IF(AND(B1000="brand",E1000="renewal_answer",TRIM(G1000)="yes",N(F1000)&gt;=Inputs!$C$135),1,0))</f>
        <v>0</v>
      </c>
      <c r="Z1000" s="30" t="n">
        <f aca="false">IF(Y1000=1,IF(COUNTIFS(C$5:C1000,C1000,Y$5:Y1000,1)=1,1,0),0)</f>
        <v>0</v>
      </c>
      <c r="AA1000" s="30" t="n">
        <f aca="false">IF(AND(E1000="budget_probe",ISNUMBER(F1000),I1000&lt;&gt;Lists!$X$4),1,0)</f>
        <v>0</v>
      </c>
      <c r="AB1000" s="30" t="str">
        <f aca="false">IF(AND(B1000="office",AA1000=1,COUNTIFS(C$5:C1000,C1000,AA$5:AA1000,1)=1),F1000,"")</f>
        <v/>
      </c>
      <c r="AC1000" s="30" t="str">
        <f aca="false">IF(AND(B1000="brand",AA1000=1,COUNTIFS(C$5:C1000,C1000,AA$5:AA1000,1)=1),F1000,"")</f>
        <v/>
      </c>
      <c r="AD1000" s="30" t="str">
        <f aca="false">IF(AND(B1000="brand",E1000="budget_probe",ISNUMBER(F1000),I1000=Lists!$X$4),IF(COUNTIFS(C$5:C1000,C1000,E$5:E1000,"budget_probe",I$5:I1000,Lists!$X$4)=1,F1000,""),"")</f>
        <v/>
      </c>
      <c r="AE1000" s="30" t="n">
        <f aca="false">IF(AND(B1000="brand",E1000="paid",ISNUMBER(F1000)),IF(AND(SUMIFS(F$5:F1000,B$5:B1000,"brand",C$5:C1000,C1000,E$5:E1000,"paid")&gt;=Inputs!$C$44,SUMIFS(F$5:F1000,B$5:B1000,"brand",C$5:C1000,C1000,E$5:E1000,"paid")-F1000&lt;Inputs!$C$44),1,0),0)</f>
        <v>0</v>
      </c>
    </row>
    <row r="1001" customFormat="false" ht="15" hidden="false" customHeight="false" outlineLevel="0" collapsed="false">
      <c r="A1001" s="102"/>
      <c r="B1001" s="103"/>
      <c r="C1001" s="103"/>
      <c r="D1001" s="103"/>
      <c r="E1001" s="103"/>
      <c r="F1001" s="103"/>
      <c r="G1001" s="103"/>
      <c r="H1001" s="103"/>
      <c r="I1001" s="103"/>
      <c r="T1001" s="30" t="str">
        <f aca="false">IF(C1001="","",IF(COUNTIFS(C$5:C1001,C1001,E$5:E1001,E1001)=1,1,0))</f>
        <v/>
      </c>
      <c r="U1001" s="30" t="n">
        <f aca="false">IF(C1001="",0,IF(AND(B1001="brand",E1001="budget_probe",N(F1001)&gt;=Inputs!$C$124,H1001="Y"),1,0))</f>
        <v>0</v>
      </c>
      <c r="V1001" s="30" t="n">
        <f aca="false">IF(U1001=1,IF(COUNTIFS(C$5:C1001,C1001,U$5:U1001,1)=1,1,0),0)</f>
        <v>0</v>
      </c>
      <c r="W1001" s="30" t="n">
        <f aca="false">IF(C1001="",0,IF(AND(B1001="office",E1001="budget_probe",N(F1001)&gt;=Inputs!$C$139),1,0))</f>
        <v>0</v>
      </c>
      <c r="X1001" s="30" t="n">
        <f aca="false">IF(W1001=1,IF(COUNTIFS(C$5:C1001,C1001,W$5:W1001,1)=1,1,0),0)</f>
        <v>0</v>
      </c>
      <c r="Y1001" s="30" t="n">
        <f aca="false">IF(C1001="",0,IF(AND(B1001="brand",E1001="renewal_answer",TRIM(G1001)="yes",N(F1001)&gt;=Inputs!$C$135),1,0))</f>
        <v>0</v>
      </c>
      <c r="Z1001" s="30" t="n">
        <f aca="false">IF(Y1001=1,IF(COUNTIFS(C$5:C1001,C1001,Y$5:Y1001,1)=1,1,0),0)</f>
        <v>0</v>
      </c>
      <c r="AA1001" s="30" t="n">
        <f aca="false">IF(AND(E1001="budget_probe",ISNUMBER(F1001),I1001&lt;&gt;Lists!$X$4),1,0)</f>
        <v>0</v>
      </c>
      <c r="AB1001" s="30" t="str">
        <f aca="false">IF(AND(B1001="office",AA1001=1,COUNTIFS(C$5:C1001,C1001,AA$5:AA1001,1)=1),F1001,"")</f>
        <v/>
      </c>
      <c r="AC1001" s="30" t="str">
        <f aca="false">IF(AND(B1001="brand",AA1001=1,COUNTIFS(C$5:C1001,C1001,AA$5:AA1001,1)=1),F1001,"")</f>
        <v/>
      </c>
      <c r="AD1001" s="30" t="str">
        <f aca="false">IF(AND(B1001="brand",E1001="budget_probe",ISNUMBER(F1001),I1001=Lists!$X$4),IF(COUNTIFS(C$5:C1001,C1001,E$5:E1001,"budget_probe",I$5:I1001,Lists!$X$4)=1,F1001,""),"")</f>
        <v/>
      </c>
      <c r="AE1001" s="30" t="n">
        <f aca="false">IF(AND(B1001="brand",E1001="paid",ISNUMBER(F1001)),IF(AND(SUMIFS(F$5:F1001,B$5:B1001,"brand",C$5:C1001,C1001,E$5:E1001,"paid")&gt;=Inputs!$C$44,SUMIFS(F$5:F1001,B$5:B1001,"brand",C$5:C1001,C1001,E$5:E1001,"paid")-F1001&lt;Inputs!$C$44),1,0),0)</f>
        <v>0</v>
      </c>
    </row>
    <row r="1002" customFormat="false" ht="15" hidden="false" customHeight="false" outlineLevel="0" collapsed="false">
      <c r="A1002" s="102"/>
      <c r="B1002" s="103"/>
      <c r="C1002" s="103"/>
      <c r="D1002" s="103"/>
      <c r="E1002" s="103"/>
      <c r="F1002" s="103"/>
      <c r="G1002" s="103"/>
      <c r="H1002" s="103"/>
      <c r="I1002" s="103"/>
      <c r="T1002" s="30" t="str">
        <f aca="false">IF(C1002="","",IF(COUNTIFS(C$5:C1002,C1002,E$5:E1002,E1002)=1,1,0))</f>
        <v/>
      </c>
      <c r="U1002" s="30" t="n">
        <f aca="false">IF(C1002="",0,IF(AND(B1002="brand",E1002="budget_probe",N(F1002)&gt;=Inputs!$C$124,H1002="Y"),1,0))</f>
        <v>0</v>
      </c>
      <c r="V1002" s="30" t="n">
        <f aca="false">IF(U1002=1,IF(COUNTIFS(C$5:C1002,C1002,U$5:U1002,1)=1,1,0),0)</f>
        <v>0</v>
      </c>
      <c r="W1002" s="30" t="n">
        <f aca="false">IF(C1002="",0,IF(AND(B1002="office",E1002="budget_probe",N(F1002)&gt;=Inputs!$C$139),1,0))</f>
        <v>0</v>
      </c>
      <c r="X1002" s="30" t="n">
        <f aca="false">IF(W1002=1,IF(COUNTIFS(C$5:C1002,C1002,W$5:W1002,1)=1,1,0),0)</f>
        <v>0</v>
      </c>
      <c r="Y1002" s="30" t="n">
        <f aca="false">IF(C1002="",0,IF(AND(B1002="brand",E1002="renewal_answer",TRIM(G1002)="yes",N(F1002)&gt;=Inputs!$C$135),1,0))</f>
        <v>0</v>
      </c>
      <c r="Z1002" s="30" t="n">
        <f aca="false">IF(Y1002=1,IF(COUNTIFS(C$5:C1002,C1002,Y$5:Y1002,1)=1,1,0),0)</f>
        <v>0</v>
      </c>
      <c r="AA1002" s="30" t="n">
        <f aca="false">IF(AND(E1002="budget_probe",ISNUMBER(F1002),I1002&lt;&gt;Lists!$X$4),1,0)</f>
        <v>0</v>
      </c>
      <c r="AB1002" s="30" t="str">
        <f aca="false">IF(AND(B1002="office",AA1002=1,COUNTIFS(C$5:C1002,C1002,AA$5:AA1002,1)=1),F1002,"")</f>
        <v/>
      </c>
      <c r="AC1002" s="30" t="str">
        <f aca="false">IF(AND(B1002="brand",AA1002=1,COUNTIFS(C$5:C1002,C1002,AA$5:AA1002,1)=1),F1002,"")</f>
        <v/>
      </c>
      <c r="AD1002" s="30" t="str">
        <f aca="false">IF(AND(B1002="brand",E1002="budget_probe",ISNUMBER(F1002),I1002=Lists!$X$4),IF(COUNTIFS(C$5:C1002,C1002,E$5:E1002,"budget_probe",I$5:I1002,Lists!$X$4)=1,F1002,""),"")</f>
        <v/>
      </c>
      <c r="AE1002" s="30" t="n">
        <f aca="false">IF(AND(B1002="brand",E1002="paid",ISNUMBER(F1002)),IF(AND(SUMIFS(F$5:F1002,B$5:B1002,"brand",C$5:C1002,C1002,E$5:E1002,"paid")&gt;=Inputs!$C$44,SUMIFS(F$5:F1002,B$5:B1002,"brand",C$5:C1002,C1002,E$5:E1002,"paid")-F1002&lt;Inputs!$C$44),1,0),0)</f>
        <v>0</v>
      </c>
    </row>
    <row r="1003" customFormat="false" ht="15" hidden="false" customHeight="false" outlineLevel="0" collapsed="false">
      <c r="A1003" s="102"/>
      <c r="B1003" s="103"/>
      <c r="C1003" s="103"/>
      <c r="D1003" s="103"/>
      <c r="E1003" s="103"/>
      <c r="F1003" s="103"/>
      <c r="G1003" s="103"/>
      <c r="H1003" s="103"/>
      <c r="I1003" s="103"/>
      <c r="T1003" s="30" t="str">
        <f aca="false">IF(C1003="","",IF(COUNTIFS(C$5:C1003,C1003,E$5:E1003,E1003)=1,1,0))</f>
        <v/>
      </c>
      <c r="U1003" s="30" t="n">
        <f aca="false">IF(C1003="",0,IF(AND(B1003="brand",E1003="budget_probe",N(F1003)&gt;=Inputs!$C$124,H1003="Y"),1,0))</f>
        <v>0</v>
      </c>
      <c r="V1003" s="30" t="n">
        <f aca="false">IF(U1003=1,IF(COUNTIFS(C$5:C1003,C1003,U$5:U1003,1)=1,1,0),0)</f>
        <v>0</v>
      </c>
      <c r="W1003" s="30" t="n">
        <f aca="false">IF(C1003="",0,IF(AND(B1003="office",E1003="budget_probe",N(F1003)&gt;=Inputs!$C$139),1,0))</f>
        <v>0</v>
      </c>
      <c r="X1003" s="30" t="n">
        <f aca="false">IF(W1003=1,IF(COUNTIFS(C$5:C1003,C1003,W$5:W1003,1)=1,1,0),0)</f>
        <v>0</v>
      </c>
      <c r="Y1003" s="30" t="n">
        <f aca="false">IF(C1003="",0,IF(AND(B1003="brand",E1003="renewal_answer",TRIM(G1003)="yes",N(F1003)&gt;=Inputs!$C$135),1,0))</f>
        <v>0</v>
      </c>
      <c r="Z1003" s="30" t="n">
        <f aca="false">IF(Y1003=1,IF(COUNTIFS(C$5:C1003,C1003,Y$5:Y1003,1)=1,1,0),0)</f>
        <v>0</v>
      </c>
      <c r="AA1003" s="30" t="n">
        <f aca="false">IF(AND(E1003="budget_probe",ISNUMBER(F1003),I1003&lt;&gt;Lists!$X$4),1,0)</f>
        <v>0</v>
      </c>
      <c r="AB1003" s="30" t="str">
        <f aca="false">IF(AND(B1003="office",AA1003=1,COUNTIFS(C$5:C1003,C1003,AA$5:AA1003,1)=1),F1003,"")</f>
        <v/>
      </c>
      <c r="AC1003" s="30" t="str">
        <f aca="false">IF(AND(B1003="brand",AA1003=1,COUNTIFS(C$5:C1003,C1003,AA$5:AA1003,1)=1),F1003,"")</f>
        <v/>
      </c>
      <c r="AD1003" s="30" t="str">
        <f aca="false">IF(AND(B1003="brand",E1003="budget_probe",ISNUMBER(F1003),I1003=Lists!$X$4),IF(COUNTIFS(C$5:C1003,C1003,E$5:E1003,"budget_probe",I$5:I1003,Lists!$X$4)=1,F1003,""),"")</f>
        <v/>
      </c>
      <c r="AE1003" s="30" t="n">
        <f aca="false">IF(AND(B1003="brand",E1003="paid",ISNUMBER(F1003)),IF(AND(SUMIFS(F$5:F1003,B$5:B1003,"brand",C$5:C1003,C1003,E$5:E1003,"paid")&gt;=Inputs!$C$44,SUMIFS(F$5:F1003,B$5:B1003,"brand",C$5:C1003,C1003,E$5:E1003,"paid")-F1003&lt;Inputs!$C$44),1,0),0)</f>
        <v>0</v>
      </c>
    </row>
    <row r="1004" customFormat="false" ht="15" hidden="false" customHeight="false" outlineLevel="0" collapsed="false">
      <c r="A1004" s="102"/>
      <c r="B1004" s="103"/>
      <c r="C1004" s="103"/>
      <c r="D1004" s="103"/>
      <c r="E1004" s="103"/>
      <c r="F1004" s="103"/>
      <c r="G1004" s="103"/>
      <c r="H1004" s="103"/>
      <c r="I1004" s="103"/>
      <c r="T1004" s="30" t="str">
        <f aca="false">IF(C1004="","",IF(COUNTIFS(C$5:C1004,C1004,E$5:E1004,E1004)=1,1,0))</f>
        <v/>
      </c>
      <c r="U1004" s="30" t="n">
        <f aca="false">IF(C1004="",0,IF(AND(B1004="brand",E1004="budget_probe",N(F1004)&gt;=Inputs!$C$124,H1004="Y"),1,0))</f>
        <v>0</v>
      </c>
      <c r="V1004" s="30" t="n">
        <f aca="false">IF(U1004=1,IF(COUNTIFS(C$5:C1004,C1004,U$5:U1004,1)=1,1,0),0)</f>
        <v>0</v>
      </c>
      <c r="W1004" s="30" t="n">
        <f aca="false">IF(C1004="",0,IF(AND(B1004="office",E1004="budget_probe",N(F1004)&gt;=Inputs!$C$139),1,0))</f>
        <v>0</v>
      </c>
      <c r="X1004" s="30" t="n">
        <f aca="false">IF(W1004=1,IF(COUNTIFS(C$5:C1004,C1004,W$5:W1004,1)=1,1,0),0)</f>
        <v>0</v>
      </c>
      <c r="Y1004" s="30" t="n">
        <f aca="false">IF(C1004="",0,IF(AND(B1004="brand",E1004="renewal_answer",TRIM(G1004)="yes",N(F1004)&gt;=Inputs!$C$135),1,0))</f>
        <v>0</v>
      </c>
      <c r="Z1004" s="30" t="n">
        <f aca="false">IF(Y1004=1,IF(COUNTIFS(C$5:C1004,C1004,Y$5:Y1004,1)=1,1,0),0)</f>
        <v>0</v>
      </c>
      <c r="AA1004" s="30" t="n">
        <f aca="false">IF(AND(E1004="budget_probe",ISNUMBER(F1004),I1004&lt;&gt;Lists!$X$4),1,0)</f>
        <v>0</v>
      </c>
      <c r="AB1004" s="30" t="str">
        <f aca="false">IF(AND(B1004="office",AA1004=1,COUNTIFS(C$5:C1004,C1004,AA$5:AA1004,1)=1),F1004,"")</f>
        <v/>
      </c>
      <c r="AC1004" s="30" t="str">
        <f aca="false">IF(AND(B1004="brand",AA1004=1,COUNTIFS(C$5:C1004,C1004,AA$5:AA1004,1)=1),F1004,"")</f>
        <v/>
      </c>
      <c r="AD1004" s="30" t="str">
        <f aca="false">IF(AND(B1004="brand",E1004="budget_probe",ISNUMBER(F1004),I1004=Lists!$X$4),IF(COUNTIFS(C$5:C1004,C1004,E$5:E1004,"budget_probe",I$5:I1004,Lists!$X$4)=1,F1004,""),"")</f>
        <v/>
      </c>
      <c r="AE1004" s="30" t="n">
        <f aca="false">IF(AND(B1004="brand",E1004="paid",ISNUMBER(F1004)),IF(AND(SUMIFS(F$5:F1004,B$5:B1004,"brand",C$5:C1004,C1004,E$5:E1004,"paid")&gt;=Inputs!$C$44,SUMIFS(F$5:F1004,B$5:B1004,"brand",C$5:C1004,C1004,E$5:E1004,"paid")-F1004&lt;Inputs!$C$44),1,0),0)</f>
        <v>0</v>
      </c>
    </row>
  </sheetData>
  <mergeCells count="1">
    <mergeCell ref="A3:I3"/>
  </mergeCells>
  <dataValidations count="3">
    <dataValidation allowBlank="true" error="Pick a value from the list." errorStyle="stop" errorTitle="Not in the list" operator="between" showDropDown="false" showErrorMessage="false" showInputMessage="false" sqref="B5:B1004" type="list">
      <formula1>Lists!$G$4:$G$5</formula1>
      <formula2>0</formula2>
    </dataValidation>
    <dataValidation allowBlank="true" error="Pick a value from the list." errorStyle="stop" errorTitle="Not in the list" operator="between" showDropDown="false" showErrorMessage="false" showInputMessage="false" sqref="E5:E1004" type="list">
      <formula1>Lists!$H$4:$H$11</formula1>
      <formula2>0</formula2>
    </dataValidation>
    <dataValidation allowBlank="true" error="Pick a value from the list." errorStyle="stop" errorTitle="Not in the list" operator="between" showDropDown="false" showErrorMessage="false" showInputMessage="false" sqref="H5:H1004" type="list">
      <formula1>Lists!$E$4:$E$5</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FB98B"/>
    <pageSetUpPr fitToPage="false"/>
  </sheetPr>
  <dimension ref="A1:AR204"/>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26" min="1" style="0" width="13"/>
    <col collapsed="false" customWidth="true" hidden="false" outlineLevel="0" max="37" min="27" style="0" width="3"/>
    <col collapsed="false" customWidth="true" hidden="false" outlineLevel="0" max="39" min="38" style="0" width="14"/>
    <col collapsed="false" customWidth="true" hidden="false" outlineLevel="0" max="41" min="40" style="0" width="12"/>
    <col collapsed="false" customWidth="true" hidden="false" outlineLevel="0" max="42" min="42" style="0" width="10"/>
    <col collapsed="false" customWidth="true" hidden="false" outlineLevel="0" max="44" min="43" style="0" width="13"/>
  </cols>
  <sheetData>
    <row r="1" customFormat="false" ht="18.55" hidden="false" customHeight="false" outlineLevel="0" collapsed="false">
      <c r="A1" s="1" t="s">
        <v>1525</v>
      </c>
    </row>
    <row r="2" customFormat="false" ht="15" hidden="false" customHeight="false" outlineLevel="0" collapsed="false">
      <c r="A2" s="2" t="s">
        <v>1526</v>
      </c>
    </row>
    <row r="3" customFormat="false" ht="30" hidden="false" customHeight="true" outlineLevel="0" collapsed="false">
      <c r="A3" s="8" t="s">
        <v>1527</v>
      </c>
      <c r="B3" s="8"/>
      <c r="C3" s="8"/>
      <c r="D3" s="8"/>
      <c r="E3" s="8"/>
      <c r="F3" s="8"/>
      <c r="G3" s="8"/>
      <c r="H3" s="8"/>
      <c r="I3" s="8"/>
      <c r="J3" s="8"/>
      <c r="K3" s="8"/>
      <c r="L3" s="8"/>
      <c r="M3" s="8"/>
      <c r="N3" s="8"/>
      <c r="O3" s="8"/>
      <c r="P3" s="8"/>
      <c r="Q3" s="8"/>
      <c r="R3" s="8"/>
      <c r="S3" s="8"/>
      <c r="T3" s="8"/>
      <c r="U3" s="8"/>
      <c r="V3" s="8"/>
      <c r="W3" s="8"/>
      <c r="X3" s="8"/>
      <c r="Y3" s="8"/>
      <c r="Z3" s="8"/>
    </row>
    <row r="4" customFormat="false" ht="45" hidden="false" customHeight="true" outlineLevel="0" collapsed="false">
      <c r="A4" s="12" t="s">
        <v>1451</v>
      </c>
      <c r="B4" s="12" t="s">
        <v>324</v>
      </c>
      <c r="C4" s="12" t="s">
        <v>1528</v>
      </c>
      <c r="D4" s="12" t="s">
        <v>1529</v>
      </c>
      <c r="E4" s="12" t="s">
        <v>1530</v>
      </c>
      <c r="F4" s="12" t="s">
        <v>1531</v>
      </c>
      <c r="G4" s="12" t="s">
        <v>463</v>
      </c>
      <c r="H4" s="12" t="s">
        <v>1532</v>
      </c>
      <c r="I4" s="12" t="s">
        <v>1533</v>
      </c>
      <c r="J4" s="12" t="s">
        <v>1534</v>
      </c>
      <c r="K4" s="12" t="s">
        <v>1535</v>
      </c>
      <c r="L4" s="12" t="s">
        <v>1536</v>
      </c>
      <c r="M4" s="12" t="s">
        <v>1537</v>
      </c>
      <c r="N4" s="12" t="s">
        <v>1538</v>
      </c>
      <c r="O4" s="12" t="s">
        <v>1539</v>
      </c>
      <c r="P4" s="12" t="s">
        <v>1540</v>
      </c>
      <c r="Q4" s="12" t="s">
        <v>1541</v>
      </c>
      <c r="R4" s="12" t="s">
        <v>1542</v>
      </c>
      <c r="S4" s="12" t="s">
        <v>1543</v>
      </c>
      <c r="T4" s="12" t="s">
        <v>1544</v>
      </c>
      <c r="U4" s="12" t="s">
        <v>1545</v>
      </c>
      <c r="V4" s="12" t="s">
        <v>1546</v>
      </c>
      <c r="W4" s="12" t="s">
        <v>1547</v>
      </c>
      <c r="X4" s="12" t="s">
        <v>1548</v>
      </c>
      <c r="Y4" s="12" t="s">
        <v>1549</v>
      </c>
      <c r="Z4" s="12" t="s">
        <v>1550</v>
      </c>
      <c r="AL4" s="12" t="s">
        <v>1551</v>
      </c>
      <c r="AM4" s="12" t="s">
        <v>1552</v>
      </c>
      <c r="AN4" s="12" t="s">
        <v>1553</v>
      </c>
      <c r="AO4" s="12" t="s">
        <v>1554</v>
      </c>
      <c r="AP4" s="12" t="s">
        <v>1555</v>
      </c>
      <c r="AQ4" s="12" t="s">
        <v>1556</v>
      </c>
      <c r="AR4" s="12" t="s">
        <v>1557</v>
      </c>
    </row>
    <row r="5" customFormat="false" ht="15" hidden="false" customHeight="false" outlineLevel="0" collapsed="false">
      <c r="A5" s="103"/>
      <c r="B5" s="103"/>
      <c r="C5" s="102"/>
      <c r="D5" s="103"/>
      <c r="E5" s="103"/>
      <c r="F5" s="103"/>
      <c r="G5" s="103"/>
      <c r="H5" s="103"/>
      <c r="I5" s="103"/>
      <c r="J5" s="103"/>
      <c r="K5" s="103"/>
      <c r="L5" s="103"/>
      <c r="M5" s="103"/>
      <c r="N5" s="103"/>
      <c r="O5" s="103"/>
      <c r="P5" s="103"/>
      <c r="Q5" s="103"/>
      <c r="R5" s="105"/>
      <c r="S5" s="102"/>
      <c r="T5" s="105"/>
      <c r="U5" s="102"/>
      <c r="V5" s="103"/>
      <c r="W5" s="103"/>
      <c r="X5" s="105"/>
      <c r="Y5" s="102"/>
      <c r="Z5" s="103"/>
      <c r="AL5" s="30" t="str">
        <f aca="false">IF(B5="","",IFERROR(INDEX(Schedule!$N$7:$N$18,MATCH(B5,Schedule!$A$7:$A$18,0)),"not in schedule"))</f>
        <v/>
      </c>
      <c r="AM5" s="19" t="str">
        <f aca="false">IF(B5="","",N(R5)-N(X5))</f>
        <v/>
      </c>
      <c r="AN5" s="95" t="str">
        <f aca="false">IF(B5="","",IF(Z5&lt;&gt;"",Z5,IF(N(G5)&gt;0,N(N5)/G5,"")))</f>
        <v/>
      </c>
      <c r="AO5" s="18" t="str">
        <f aca="false">IF(OR(B5="",C5=""),"",WORKDAY(C5,Inputs!$C$132,Lists!$N$4:$N$30))</f>
        <v/>
      </c>
      <c r="AP5" s="30" t="str">
        <f aca="false">IF(B5="","",IF(U5="","missing",IF(U5&gt;AO5,"Y","N")))</f>
        <v/>
      </c>
      <c r="AQ5" s="30" t="n">
        <f aca="false">IF(OR(W5="Y",W5="N"),IF(F5="",1,IF(COUNTIFS(F$5:F5,F5,W$5:W5,"Y")+COUNTIFS(F$5:F5,F5,W$5:W5,"N")=1,1,0)),0)</f>
        <v>0</v>
      </c>
      <c r="AR5" s="30" t="n">
        <f aca="false">IF(W5="Y",IF(F5="",1,IF(COUNTIFS(F$5:F5,F5,W$5:W5,"Y")=1,1,0)),0)</f>
        <v>0</v>
      </c>
    </row>
    <row r="6" customFormat="false" ht="15" hidden="false" customHeight="false" outlineLevel="0" collapsed="false">
      <c r="A6" s="103"/>
      <c r="B6" s="103"/>
      <c r="C6" s="102"/>
      <c r="D6" s="103"/>
      <c r="E6" s="103"/>
      <c r="F6" s="103"/>
      <c r="G6" s="103"/>
      <c r="H6" s="103"/>
      <c r="I6" s="103"/>
      <c r="J6" s="103"/>
      <c r="K6" s="103"/>
      <c r="L6" s="103"/>
      <c r="M6" s="103"/>
      <c r="N6" s="103"/>
      <c r="O6" s="103"/>
      <c r="P6" s="103"/>
      <c r="Q6" s="103"/>
      <c r="R6" s="105"/>
      <c r="S6" s="102"/>
      <c r="T6" s="105"/>
      <c r="U6" s="102"/>
      <c r="V6" s="103"/>
      <c r="W6" s="103"/>
      <c r="X6" s="105"/>
      <c r="Y6" s="102"/>
      <c r="Z6" s="103"/>
      <c r="AL6" s="30" t="str">
        <f aca="false">IF(B6="","",IFERROR(INDEX(Schedule!$N$7:$N$18,MATCH(B6,Schedule!$A$7:$A$18,0)),"not in schedule"))</f>
        <v/>
      </c>
      <c r="AM6" s="19" t="str">
        <f aca="false">IF(B6="","",N(R6)-N(X6))</f>
        <v/>
      </c>
      <c r="AN6" s="95" t="str">
        <f aca="false">IF(B6="","",IF(Z6&lt;&gt;"",Z6,IF(N(G6)&gt;0,N(N6)/G6,"")))</f>
        <v/>
      </c>
      <c r="AO6" s="18" t="str">
        <f aca="false">IF(OR(B6="",C6=""),"",WORKDAY(C6,Inputs!$C$132,Lists!$N$4:$N$30))</f>
        <v/>
      </c>
      <c r="AP6" s="30" t="str">
        <f aca="false">IF(B6="","",IF(U6="","missing",IF(U6&gt;AO6,"Y","N")))</f>
        <v/>
      </c>
      <c r="AQ6" s="30" t="n">
        <f aca="false">IF(OR(W6="Y",W6="N"),IF(F6="",1,IF(COUNTIFS(F$5:F6,F6,W$5:W6,"Y")+COUNTIFS(F$5:F6,F6,W$5:W6,"N")=1,1,0)),0)</f>
        <v>0</v>
      </c>
      <c r="AR6" s="30" t="n">
        <f aca="false">IF(W6="Y",IF(F6="",1,IF(COUNTIFS(F$5:F6,F6,W$5:W6,"Y")=1,1,0)),0)</f>
        <v>0</v>
      </c>
    </row>
    <row r="7" customFormat="false" ht="15" hidden="false" customHeight="false" outlineLevel="0" collapsed="false">
      <c r="A7" s="103"/>
      <c r="B7" s="103"/>
      <c r="C7" s="102"/>
      <c r="D7" s="103"/>
      <c r="E7" s="103"/>
      <c r="F7" s="103"/>
      <c r="G7" s="103"/>
      <c r="H7" s="103"/>
      <c r="I7" s="103"/>
      <c r="J7" s="103"/>
      <c r="K7" s="103"/>
      <c r="L7" s="103"/>
      <c r="M7" s="103"/>
      <c r="N7" s="103"/>
      <c r="O7" s="103"/>
      <c r="P7" s="103"/>
      <c r="Q7" s="103"/>
      <c r="R7" s="105"/>
      <c r="S7" s="102"/>
      <c r="T7" s="105"/>
      <c r="U7" s="102"/>
      <c r="V7" s="103"/>
      <c r="W7" s="103"/>
      <c r="X7" s="105"/>
      <c r="Y7" s="102"/>
      <c r="Z7" s="103"/>
      <c r="AL7" s="30" t="str">
        <f aca="false">IF(B7="","",IFERROR(INDEX(Schedule!$N$7:$N$18,MATCH(B7,Schedule!$A$7:$A$18,0)),"not in schedule"))</f>
        <v/>
      </c>
      <c r="AM7" s="19" t="str">
        <f aca="false">IF(B7="","",N(R7)-N(X7))</f>
        <v/>
      </c>
      <c r="AN7" s="95" t="str">
        <f aca="false">IF(B7="","",IF(Z7&lt;&gt;"",Z7,IF(N(G7)&gt;0,N(N7)/G7,"")))</f>
        <v/>
      </c>
      <c r="AO7" s="18" t="str">
        <f aca="false">IF(OR(B7="",C7=""),"",WORKDAY(C7,Inputs!$C$132,Lists!$N$4:$N$30))</f>
        <v/>
      </c>
      <c r="AP7" s="30" t="str">
        <f aca="false">IF(B7="","",IF(U7="","missing",IF(U7&gt;AO7,"Y","N")))</f>
        <v/>
      </c>
      <c r="AQ7" s="30" t="n">
        <f aca="false">IF(OR(W7="Y",W7="N"),IF(F7="",1,IF(COUNTIFS(F$5:F7,F7,W$5:W7,"Y")+COUNTIFS(F$5:F7,F7,W$5:W7,"N")=1,1,0)),0)</f>
        <v>0</v>
      </c>
      <c r="AR7" s="30" t="n">
        <f aca="false">IF(W7="Y",IF(F7="",1,IF(COUNTIFS(F$5:F7,F7,W$5:W7,"Y")=1,1,0)),0)</f>
        <v>0</v>
      </c>
    </row>
    <row r="8" customFormat="false" ht="15" hidden="false" customHeight="false" outlineLevel="0" collapsed="false">
      <c r="A8" s="103"/>
      <c r="B8" s="103"/>
      <c r="C8" s="102"/>
      <c r="D8" s="103"/>
      <c r="E8" s="103"/>
      <c r="F8" s="103"/>
      <c r="G8" s="103"/>
      <c r="H8" s="103"/>
      <c r="I8" s="103"/>
      <c r="J8" s="103"/>
      <c r="K8" s="103"/>
      <c r="L8" s="103"/>
      <c r="M8" s="103"/>
      <c r="N8" s="103"/>
      <c r="O8" s="103"/>
      <c r="P8" s="103"/>
      <c r="Q8" s="103"/>
      <c r="R8" s="105"/>
      <c r="S8" s="102"/>
      <c r="T8" s="105"/>
      <c r="U8" s="102"/>
      <c r="V8" s="103"/>
      <c r="W8" s="103"/>
      <c r="X8" s="105"/>
      <c r="Y8" s="102"/>
      <c r="Z8" s="103"/>
      <c r="AL8" s="30" t="str">
        <f aca="false">IF(B8="","",IFERROR(INDEX(Schedule!$N$7:$N$18,MATCH(B8,Schedule!$A$7:$A$18,0)),"not in schedule"))</f>
        <v/>
      </c>
      <c r="AM8" s="19" t="str">
        <f aca="false">IF(B8="","",N(R8)-N(X8))</f>
        <v/>
      </c>
      <c r="AN8" s="95" t="str">
        <f aca="false">IF(B8="","",IF(Z8&lt;&gt;"",Z8,IF(N(G8)&gt;0,N(N8)/G8,"")))</f>
        <v/>
      </c>
      <c r="AO8" s="18" t="str">
        <f aca="false">IF(OR(B8="",C8=""),"",WORKDAY(C8,Inputs!$C$132,Lists!$N$4:$N$30))</f>
        <v/>
      </c>
      <c r="AP8" s="30" t="str">
        <f aca="false">IF(B8="","",IF(U8="","missing",IF(U8&gt;AO8,"Y","N")))</f>
        <v/>
      </c>
      <c r="AQ8" s="30" t="n">
        <f aca="false">IF(OR(W8="Y",W8="N"),IF(F8="",1,IF(COUNTIFS(F$5:F8,F8,W$5:W8,"Y")+COUNTIFS(F$5:F8,F8,W$5:W8,"N")=1,1,0)),0)</f>
        <v>0</v>
      </c>
      <c r="AR8" s="30" t="n">
        <f aca="false">IF(W8="Y",IF(F8="",1,IF(COUNTIFS(F$5:F8,F8,W$5:W8,"Y")=1,1,0)),0)</f>
        <v>0</v>
      </c>
    </row>
    <row r="9" customFormat="false" ht="15" hidden="false" customHeight="false" outlineLevel="0" collapsed="false">
      <c r="A9" s="103"/>
      <c r="B9" s="103"/>
      <c r="C9" s="102"/>
      <c r="D9" s="103"/>
      <c r="E9" s="103"/>
      <c r="F9" s="103"/>
      <c r="G9" s="103"/>
      <c r="H9" s="103"/>
      <c r="I9" s="103"/>
      <c r="J9" s="103"/>
      <c r="K9" s="103"/>
      <c r="L9" s="103"/>
      <c r="M9" s="103"/>
      <c r="N9" s="103"/>
      <c r="O9" s="103"/>
      <c r="P9" s="103"/>
      <c r="Q9" s="103"/>
      <c r="R9" s="105"/>
      <c r="S9" s="102"/>
      <c r="T9" s="105"/>
      <c r="U9" s="102"/>
      <c r="V9" s="103"/>
      <c r="W9" s="103"/>
      <c r="X9" s="105"/>
      <c r="Y9" s="102"/>
      <c r="Z9" s="103"/>
      <c r="AL9" s="30" t="str">
        <f aca="false">IF(B9="","",IFERROR(INDEX(Schedule!$N$7:$N$18,MATCH(B9,Schedule!$A$7:$A$18,0)),"not in schedule"))</f>
        <v/>
      </c>
      <c r="AM9" s="19" t="str">
        <f aca="false">IF(B9="","",N(R9)-N(X9))</f>
        <v/>
      </c>
      <c r="AN9" s="95" t="str">
        <f aca="false">IF(B9="","",IF(Z9&lt;&gt;"",Z9,IF(N(G9)&gt;0,N(N9)/G9,"")))</f>
        <v/>
      </c>
      <c r="AO9" s="18" t="str">
        <f aca="false">IF(OR(B9="",C9=""),"",WORKDAY(C9,Inputs!$C$132,Lists!$N$4:$N$30))</f>
        <v/>
      </c>
      <c r="AP9" s="30" t="str">
        <f aca="false">IF(B9="","",IF(U9="","missing",IF(U9&gt;AO9,"Y","N")))</f>
        <v/>
      </c>
      <c r="AQ9" s="30" t="n">
        <f aca="false">IF(OR(W9="Y",W9="N"),IF(F9="",1,IF(COUNTIFS(F$5:F9,F9,W$5:W9,"Y")+COUNTIFS(F$5:F9,F9,W$5:W9,"N")=1,1,0)),0)</f>
        <v>0</v>
      </c>
      <c r="AR9" s="30" t="n">
        <f aca="false">IF(W9="Y",IF(F9="",1,IF(COUNTIFS(F$5:F9,F9,W$5:W9,"Y")=1,1,0)),0)</f>
        <v>0</v>
      </c>
    </row>
    <row r="10" customFormat="false" ht="15" hidden="false" customHeight="false" outlineLevel="0" collapsed="false">
      <c r="A10" s="103"/>
      <c r="B10" s="103"/>
      <c r="C10" s="102"/>
      <c r="D10" s="103"/>
      <c r="E10" s="103"/>
      <c r="F10" s="103"/>
      <c r="G10" s="103"/>
      <c r="H10" s="103"/>
      <c r="I10" s="103"/>
      <c r="J10" s="103"/>
      <c r="K10" s="103"/>
      <c r="L10" s="103"/>
      <c r="M10" s="103"/>
      <c r="N10" s="103"/>
      <c r="O10" s="103"/>
      <c r="P10" s="103"/>
      <c r="Q10" s="103"/>
      <c r="R10" s="105"/>
      <c r="S10" s="102"/>
      <c r="T10" s="105"/>
      <c r="U10" s="102"/>
      <c r="V10" s="103"/>
      <c r="W10" s="103"/>
      <c r="X10" s="105"/>
      <c r="Y10" s="102"/>
      <c r="Z10" s="103"/>
      <c r="AL10" s="30" t="str">
        <f aca="false">IF(B10="","",IFERROR(INDEX(Schedule!$N$7:$N$18,MATCH(B10,Schedule!$A$7:$A$18,0)),"not in schedule"))</f>
        <v/>
      </c>
      <c r="AM10" s="19" t="str">
        <f aca="false">IF(B10="","",N(R10)-N(X10))</f>
        <v/>
      </c>
      <c r="AN10" s="95" t="str">
        <f aca="false">IF(B10="","",IF(Z10&lt;&gt;"",Z10,IF(N(G10)&gt;0,N(N10)/G10,"")))</f>
        <v/>
      </c>
      <c r="AO10" s="18" t="str">
        <f aca="false">IF(OR(B10="",C10=""),"",WORKDAY(C10,Inputs!$C$132,Lists!$N$4:$N$30))</f>
        <v/>
      </c>
      <c r="AP10" s="30" t="str">
        <f aca="false">IF(B10="","",IF(U10="","missing",IF(U10&gt;AO10,"Y","N")))</f>
        <v/>
      </c>
      <c r="AQ10" s="30" t="n">
        <f aca="false">IF(OR(W10="Y",W10="N"),IF(F10="",1,IF(COUNTIFS(F$5:F10,F10,W$5:W10,"Y")+COUNTIFS(F$5:F10,F10,W$5:W10,"N")=1,1,0)),0)</f>
        <v>0</v>
      </c>
      <c r="AR10" s="30" t="n">
        <f aca="false">IF(W10="Y",IF(F10="",1,IF(COUNTIFS(F$5:F10,F10,W$5:W10,"Y")=1,1,0)),0)</f>
        <v>0</v>
      </c>
    </row>
    <row r="11" customFormat="false" ht="15" hidden="false" customHeight="false" outlineLevel="0" collapsed="false">
      <c r="A11" s="103"/>
      <c r="B11" s="103"/>
      <c r="C11" s="102"/>
      <c r="D11" s="103"/>
      <c r="E11" s="103"/>
      <c r="F11" s="103"/>
      <c r="G11" s="103"/>
      <c r="H11" s="103"/>
      <c r="I11" s="103"/>
      <c r="J11" s="103"/>
      <c r="K11" s="103"/>
      <c r="L11" s="103"/>
      <c r="M11" s="103"/>
      <c r="N11" s="103"/>
      <c r="O11" s="103"/>
      <c r="P11" s="103"/>
      <c r="Q11" s="103"/>
      <c r="R11" s="105"/>
      <c r="S11" s="102"/>
      <c r="T11" s="105"/>
      <c r="U11" s="102"/>
      <c r="V11" s="103"/>
      <c r="W11" s="103"/>
      <c r="X11" s="105"/>
      <c r="Y11" s="102"/>
      <c r="Z11" s="103"/>
      <c r="AL11" s="30" t="str">
        <f aca="false">IF(B11="","",IFERROR(INDEX(Schedule!$N$7:$N$18,MATCH(B11,Schedule!$A$7:$A$18,0)),"not in schedule"))</f>
        <v/>
      </c>
      <c r="AM11" s="19" t="str">
        <f aca="false">IF(B11="","",N(R11)-N(X11))</f>
        <v/>
      </c>
      <c r="AN11" s="95" t="str">
        <f aca="false">IF(B11="","",IF(Z11&lt;&gt;"",Z11,IF(N(G11)&gt;0,N(N11)/G11,"")))</f>
        <v/>
      </c>
      <c r="AO11" s="18" t="str">
        <f aca="false">IF(OR(B11="",C11=""),"",WORKDAY(C11,Inputs!$C$132,Lists!$N$4:$N$30))</f>
        <v/>
      </c>
      <c r="AP11" s="30" t="str">
        <f aca="false">IF(B11="","",IF(U11="","missing",IF(U11&gt;AO11,"Y","N")))</f>
        <v/>
      </c>
      <c r="AQ11" s="30" t="n">
        <f aca="false">IF(OR(W11="Y",W11="N"),IF(F11="",1,IF(COUNTIFS(F$5:F11,F11,W$5:W11,"Y")+COUNTIFS(F$5:F11,F11,W$5:W11,"N")=1,1,0)),0)</f>
        <v>0</v>
      </c>
      <c r="AR11" s="30" t="n">
        <f aca="false">IF(W11="Y",IF(F11="",1,IF(COUNTIFS(F$5:F11,F11,W$5:W11,"Y")=1,1,0)),0)</f>
        <v>0</v>
      </c>
    </row>
    <row r="12" customFormat="false" ht="15" hidden="false" customHeight="false" outlineLevel="0" collapsed="false">
      <c r="A12" s="103"/>
      <c r="B12" s="103"/>
      <c r="C12" s="102"/>
      <c r="D12" s="103"/>
      <c r="E12" s="103"/>
      <c r="F12" s="103"/>
      <c r="G12" s="103"/>
      <c r="H12" s="103"/>
      <c r="I12" s="103"/>
      <c r="J12" s="103"/>
      <c r="K12" s="103"/>
      <c r="L12" s="103"/>
      <c r="M12" s="103"/>
      <c r="N12" s="103"/>
      <c r="O12" s="103"/>
      <c r="P12" s="103"/>
      <c r="Q12" s="103"/>
      <c r="R12" s="105"/>
      <c r="S12" s="102"/>
      <c r="T12" s="105"/>
      <c r="U12" s="102"/>
      <c r="V12" s="103"/>
      <c r="W12" s="103"/>
      <c r="X12" s="105"/>
      <c r="Y12" s="102"/>
      <c r="Z12" s="103"/>
      <c r="AL12" s="30" t="str">
        <f aca="false">IF(B12="","",IFERROR(INDEX(Schedule!$N$7:$N$18,MATCH(B12,Schedule!$A$7:$A$18,0)),"not in schedule"))</f>
        <v/>
      </c>
      <c r="AM12" s="19" t="str">
        <f aca="false">IF(B12="","",N(R12)-N(X12))</f>
        <v/>
      </c>
      <c r="AN12" s="95" t="str">
        <f aca="false">IF(B12="","",IF(Z12&lt;&gt;"",Z12,IF(N(G12)&gt;0,N(N12)/G12,"")))</f>
        <v/>
      </c>
      <c r="AO12" s="18" t="str">
        <f aca="false">IF(OR(B12="",C12=""),"",WORKDAY(C12,Inputs!$C$132,Lists!$N$4:$N$30))</f>
        <v/>
      </c>
      <c r="AP12" s="30" t="str">
        <f aca="false">IF(B12="","",IF(U12="","missing",IF(U12&gt;AO12,"Y","N")))</f>
        <v/>
      </c>
      <c r="AQ12" s="30" t="n">
        <f aca="false">IF(OR(W12="Y",W12="N"),IF(F12="",1,IF(COUNTIFS(F$5:F12,F12,W$5:W12,"Y")+COUNTIFS(F$5:F12,F12,W$5:W12,"N")=1,1,0)),0)</f>
        <v>0</v>
      </c>
      <c r="AR12" s="30" t="n">
        <f aca="false">IF(W12="Y",IF(F12="",1,IF(COUNTIFS(F$5:F12,F12,W$5:W12,"Y")=1,1,0)),0)</f>
        <v>0</v>
      </c>
    </row>
    <row r="13" customFormat="false" ht="15" hidden="false" customHeight="false" outlineLevel="0" collapsed="false">
      <c r="A13" s="103"/>
      <c r="B13" s="103"/>
      <c r="C13" s="102"/>
      <c r="D13" s="103"/>
      <c r="E13" s="103"/>
      <c r="F13" s="103"/>
      <c r="G13" s="103"/>
      <c r="H13" s="103"/>
      <c r="I13" s="103"/>
      <c r="J13" s="103"/>
      <c r="K13" s="103"/>
      <c r="L13" s="103"/>
      <c r="M13" s="103"/>
      <c r="N13" s="103"/>
      <c r="O13" s="103"/>
      <c r="P13" s="103"/>
      <c r="Q13" s="103"/>
      <c r="R13" s="105"/>
      <c r="S13" s="102"/>
      <c r="T13" s="105"/>
      <c r="U13" s="102"/>
      <c r="V13" s="103"/>
      <c r="W13" s="103"/>
      <c r="X13" s="105"/>
      <c r="Y13" s="102"/>
      <c r="Z13" s="103"/>
      <c r="AL13" s="30" t="str">
        <f aca="false">IF(B13="","",IFERROR(INDEX(Schedule!$N$7:$N$18,MATCH(B13,Schedule!$A$7:$A$18,0)),"not in schedule"))</f>
        <v/>
      </c>
      <c r="AM13" s="19" t="str">
        <f aca="false">IF(B13="","",N(R13)-N(X13))</f>
        <v/>
      </c>
      <c r="AN13" s="95" t="str">
        <f aca="false">IF(B13="","",IF(Z13&lt;&gt;"",Z13,IF(N(G13)&gt;0,N(N13)/G13,"")))</f>
        <v/>
      </c>
      <c r="AO13" s="18" t="str">
        <f aca="false">IF(OR(B13="",C13=""),"",WORKDAY(C13,Inputs!$C$132,Lists!$N$4:$N$30))</f>
        <v/>
      </c>
      <c r="AP13" s="30" t="str">
        <f aca="false">IF(B13="","",IF(U13="","missing",IF(U13&gt;AO13,"Y","N")))</f>
        <v/>
      </c>
      <c r="AQ13" s="30" t="n">
        <f aca="false">IF(OR(W13="Y",W13="N"),IF(F13="",1,IF(COUNTIFS(F$5:F13,F13,W$5:W13,"Y")+COUNTIFS(F$5:F13,F13,W$5:W13,"N")=1,1,0)),0)</f>
        <v>0</v>
      </c>
      <c r="AR13" s="30" t="n">
        <f aca="false">IF(W13="Y",IF(F13="",1,IF(COUNTIFS(F$5:F13,F13,W$5:W13,"Y")=1,1,0)),0)</f>
        <v>0</v>
      </c>
    </row>
    <row r="14" customFormat="false" ht="15" hidden="false" customHeight="false" outlineLevel="0" collapsed="false">
      <c r="A14" s="103"/>
      <c r="B14" s="103"/>
      <c r="C14" s="102"/>
      <c r="D14" s="103"/>
      <c r="E14" s="103"/>
      <c r="F14" s="103"/>
      <c r="G14" s="103"/>
      <c r="H14" s="103"/>
      <c r="I14" s="103"/>
      <c r="J14" s="103"/>
      <c r="K14" s="103"/>
      <c r="L14" s="103"/>
      <c r="M14" s="103"/>
      <c r="N14" s="103"/>
      <c r="O14" s="103"/>
      <c r="P14" s="103"/>
      <c r="Q14" s="103"/>
      <c r="R14" s="105"/>
      <c r="S14" s="102"/>
      <c r="T14" s="105"/>
      <c r="U14" s="102"/>
      <c r="V14" s="103"/>
      <c r="W14" s="103"/>
      <c r="X14" s="105"/>
      <c r="Y14" s="102"/>
      <c r="Z14" s="103"/>
      <c r="AL14" s="30" t="str">
        <f aca="false">IF(B14="","",IFERROR(INDEX(Schedule!$N$7:$N$18,MATCH(B14,Schedule!$A$7:$A$18,0)),"not in schedule"))</f>
        <v/>
      </c>
      <c r="AM14" s="19" t="str">
        <f aca="false">IF(B14="","",N(R14)-N(X14))</f>
        <v/>
      </c>
      <c r="AN14" s="95" t="str">
        <f aca="false">IF(B14="","",IF(Z14&lt;&gt;"",Z14,IF(N(G14)&gt;0,N(N14)/G14,"")))</f>
        <v/>
      </c>
      <c r="AO14" s="18" t="str">
        <f aca="false">IF(OR(B14="",C14=""),"",WORKDAY(C14,Inputs!$C$132,Lists!$N$4:$N$30))</f>
        <v/>
      </c>
      <c r="AP14" s="30" t="str">
        <f aca="false">IF(B14="","",IF(U14="","missing",IF(U14&gt;AO14,"Y","N")))</f>
        <v/>
      </c>
      <c r="AQ14" s="30" t="n">
        <f aca="false">IF(OR(W14="Y",W14="N"),IF(F14="",1,IF(COUNTIFS(F$5:F14,F14,W$5:W14,"Y")+COUNTIFS(F$5:F14,F14,W$5:W14,"N")=1,1,0)),0)</f>
        <v>0</v>
      </c>
      <c r="AR14" s="30" t="n">
        <f aca="false">IF(W14="Y",IF(F14="",1,IF(COUNTIFS(F$5:F14,F14,W$5:W14,"Y")=1,1,0)),0)</f>
        <v>0</v>
      </c>
    </row>
    <row r="15" customFormat="false" ht="15" hidden="false" customHeight="false" outlineLevel="0" collapsed="false">
      <c r="A15" s="103"/>
      <c r="B15" s="103"/>
      <c r="C15" s="102"/>
      <c r="D15" s="103"/>
      <c r="E15" s="103"/>
      <c r="F15" s="103"/>
      <c r="G15" s="103"/>
      <c r="H15" s="103"/>
      <c r="I15" s="103"/>
      <c r="J15" s="103"/>
      <c r="K15" s="103"/>
      <c r="L15" s="103"/>
      <c r="M15" s="103"/>
      <c r="N15" s="103"/>
      <c r="O15" s="103"/>
      <c r="P15" s="103"/>
      <c r="Q15" s="103"/>
      <c r="R15" s="105"/>
      <c r="S15" s="102"/>
      <c r="T15" s="105"/>
      <c r="U15" s="102"/>
      <c r="V15" s="103"/>
      <c r="W15" s="103"/>
      <c r="X15" s="105"/>
      <c r="Y15" s="102"/>
      <c r="Z15" s="103"/>
      <c r="AL15" s="30" t="str">
        <f aca="false">IF(B15="","",IFERROR(INDEX(Schedule!$N$7:$N$18,MATCH(B15,Schedule!$A$7:$A$18,0)),"not in schedule"))</f>
        <v/>
      </c>
      <c r="AM15" s="19" t="str">
        <f aca="false">IF(B15="","",N(R15)-N(X15))</f>
        <v/>
      </c>
      <c r="AN15" s="95" t="str">
        <f aca="false">IF(B15="","",IF(Z15&lt;&gt;"",Z15,IF(N(G15)&gt;0,N(N15)/G15,"")))</f>
        <v/>
      </c>
      <c r="AO15" s="18" t="str">
        <f aca="false">IF(OR(B15="",C15=""),"",WORKDAY(C15,Inputs!$C$132,Lists!$N$4:$N$30))</f>
        <v/>
      </c>
      <c r="AP15" s="30" t="str">
        <f aca="false">IF(B15="","",IF(U15="","missing",IF(U15&gt;AO15,"Y","N")))</f>
        <v/>
      </c>
      <c r="AQ15" s="30" t="n">
        <f aca="false">IF(OR(W15="Y",W15="N"),IF(F15="",1,IF(COUNTIFS(F$5:F15,F15,W$5:W15,"Y")+COUNTIFS(F$5:F15,F15,W$5:W15,"N")=1,1,0)),0)</f>
        <v>0</v>
      </c>
      <c r="AR15" s="30" t="n">
        <f aca="false">IF(W15="Y",IF(F15="",1,IF(COUNTIFS(F$5:F15,F15,W$5:W15,"Y")=1,1,0)),0)</f>
        <v>0</v>
      </c>
    </row>
    <row r="16" customFormat="false" ht="15" hidden="false" customHeight="false" outlineLevel="0" collapsed="false">
      <c r="A16" s="103"/>
      <c r="B16" s="103"/>
      <c r="C16" s="102"/>
      <c r="D16" s="103"/>
      <c r="E16" s="103"/>
      <c r="F16" s="103"/>
      <c r="G16" s="103"/>
      <c r="H16" s="103"/>
      <c r="I16" s="103"/>
      <c r="J16" s="103"/>
      <c r="K16" s="103"/>
      <c r="L16" s="103"/>
      <c r="M16" s="103"/>
      <c r="N16" s="103"/>
      <c r="O16" s="103"/>
      <c r="P16" s="103"/>
      <c r="Q16" s="103"/>
      <c r="R16" s="105"/>
      <c r="S16" s="102"/>
      <c r="T16" s="105"/>
      <c r="U16" s="102"/>
      <c r="V16" s="103"/>
      <c r="W16" s="103"/>
      <c r="X16" s="105"/>
      <c r="Y16" s="102"/>
      <c r="Z16" s="103"/>
      <c r="AL16" s="30" t="str">
        <f aca="false">IF(B16="","",IFERROR(INDEX(Schedule!$N$7:$N$18,MATCH(B16,Schedule!$A$7:$A$18,0)),"not in schedule"))</f>
        <v/>
      </c>
      <c r="AM16" s="19" t="str">
        <f aca="false">IF(B16="","",N(R16)-N(X16))</f>
        <v/>
      </c>
      <c r="AN16" s="95" t="str">
        <f aca="false">IF(B16="","",IF(Z16&lt;&gt;"",Z16,IF(N(G16)&gt;0,N(N16)/G16,"")))</f>
        <v/>
      </c>
      <c r="AO16" s="18" t="str">
        <f aca="false">IF(OR(B16="",C16=""),"",WORKDAY(C16,Inputs!$C$132,Lists!$N$4:$N$30))</f>
        <v/>
      </c>
      <c r="AP16" s="30" t="str">
        <f aca="false">IF(B16="","",IF(U16="","missing",IF(U16&gt;AO16,"Y","N")))</f>
        <v/>
      </c>
      <c r="AQ16" s="30" t="n">
        <f aca="false">IF(OR(W16="Y",W16="N"),IF(F16="",1,IF(COUNTIFS(F$5:F16,F16,W$5:W16,"Y")+COUNTIFS(F$5:F16,F16,W$5:W16,"N")=1,1,0)),0)</f>
        <v>0</v>
      </c>
      <c r="AR16" s="30" t="n">
        <f aca="false">IF(W16="Y",IF(F16="",1,IF(COUNTIFS(F$5:F16,F16,W$5:W16,"Y")=1,1,0)),0)</f>
        <v>0</v>
      </c>
    </row>
    <row r="17" customFormat="false" ht="15" hidden="false" customHeight="false" outlineLevel="0" collapsed="false">
      <c r="A17" s="103"/>
      <c r="B17" s="103"/>
      <c r="C17" s="102"/>
      <c r="D17" s="103"/>
      <c r="E17" s="103"/>
      <c r="F17" s="103"/>
      <c r="G17" s="103"/>
      <c r="H17" s="103"/>
      <c r="I17" s="103"/>
      <c r="J17" s="103"/>
      <c r="K17" s="103"/>
      <c r="L17" s="103"/>
      <c r="M17" s="103"/>
      <c r="N17" s="103"/>
      <c r="O17" s="103"/>
      <c r="P17" s="103"/>
      <c r="Q17" s="103"/>
      <c r="R17" s="105"/>
      <c r="S17" s="102"/>
      <c r="T17" s="105"/>
      <c r="U17" s="102"/>
      <c r="V17" s="103"/>
      <c r="W17" s="103"/>
      <c r="X17" s="105"/>
      <c r="Y17" s="102"/>
      <c r="Z17" s="103"/>
      <c r="AL17" s="30" t="str">
        <f aca="false">IF(B17="","",IFERROR(INDEX(Schedule!$N$7:$N$18,MATCH(B17,Schedule!$A$7:$A$18,0)),"not in schedule"))</f>
        <v/>
      </c>
      <c r="AM17" s="19" t="str">
        <f aca="false">IF(B17="","",N(R17)-N(X17))</f>
        <v/>
      </c>
      <c r="AN17" s="95" t="str">
        <f aca="false">IF(B17="","",IF(Z17&lt;&gt;"",Z17,IF(N(G17)&gt;0,N(N17)/G17,"")))</f>
        <v/>
      </c>
      <c r="AO17" s="18" t="str">
        <f aca="false">IF(OR(B17="",C17=""),"",WORKDAY(C17,Inputs!$C$132,Lists!$N$4:$N$30))</f>
        <v/>
      </c>
      <c r="AP17" s="30" t="str">
        <f aca="false">IF(B17="","",IF(U17="","missing",IF(U17&gt;AO17,"Y","N")))</f>
        <v/>
      </c>
      <c r="AQ17" s="30" t="n">
        <f aca="false">IF(OR(W17="Y",W17="N"),IF(F17="",1,IF(COUNTIFS(F$5:F17,F17,W$5:W17,"Y")+COUNTIFS(F$5:F17,F17,W$5:W17,"N")=1,1,0)),0)</f>
        <v>0</v>
      </c>
      <c r="AR17" s="30" t="n">
        <f aca="false">IF(W17="Y",IF(F17="",1,IF(COUNTIFS(F$5:F17,F17,W$5:W17,"Y")=1,1,0)),0)</f>
        <v>0</v>
      </c>
    </row>
    <row r="18" customFormat="false" ht="15" hidden="false" customHeight="false" outlineLevel="0" collapsed="false">
      <c r="A18" s="103"/>
      <c r="B18" s="103"/>
      <c r="C18" s="102"/>
      <c r="D18" s="103"/>
      <c r="E18" s="103"/>
      <c r="F18" s="103"/>
      <c r="G18" s="103"/>
      <c r="H18" s="103"/>
      <c r="I18" s="103"/>
      <c r="J18" s="103"/>
      <c r="K18" s="103"/>
      <c r="L18" s="103"/>
      <c r="M18" s="103"/>
      <c r="N18" s="103"/>
      <c r="O18" s="103"/>
      <c r="P18" s="103"/>
      <c r="Q18" s="103"/>
      <c r="R18" s="105"/>
      <c r="S18" s="102"/>
      <c r="T18" s="105"/>
      <c r="U18" s="102"/>
      <c r="V18" s="103"/>
      <c r="W18" s="103"/>
      <c r="X18" s="105"/>
      <c r="Y18" s="102"/>
      <c r="Z18" s="103"/>
      <c r="AL18" s="30" t="str">
        <f aca="false">IF(B18="","",IFERROR(INDEX(Schedule!$N$7:$N$18,MATCH(B18,Schedule!$A$7:$A$18,0)),"not in schedule"))</f>
        <v/>
      </c>
      <c r="AM18" s="19" t="str">
        <f aca="false">IF(B18="","",N(R18)-N(X18))</f>
        <v/>
      </c>
      <c r="AN18" s="95" t="str">
        <f aca="false">IF(B18="","",IF(Z18&lt;&gt;"",Z18,IF(N(G18)&gt;0,N(N18)/G18,"")))</f>
        <v/>
      </c>
      <c r="AO18" s="18" t="str">
        <f aca="false">IF(OR(B18="",C18=""),"",WORKDAY(C18,Inputs!$C$132,Lists!$N$4:$N$30))</f>
        <v/>
      </c>
      <c r="AP18" s="30" t="str">
        <f aca="false">IF(B18="","",IF(U18="","missing",IF(U18&gt;AO18,"Y","N")))</f>
        <v/>
      </c>
      <c r="AQ18" s="30" t="n">
        <f aca="false">IF(OR(W18="Y",W18="N"),IF(F18="",1,IF(COUNTIFS(F$5:F18,F18,W$5:W18,"Y")+COUNTIFS(F$5:F18,F18,W$5:W18,"N")=1,1,0)),0)</f>
        <v>0</v>
      </c>
      <c r="AR18" s="30" t="n">
        <f aca="false">IF(W18="Y",IF(F18="",1,IF(COUNTIFS(F$5:F18,F18,W$5:W18,"Y")=1,1,0)),0)</f>
        <v>0</v>
      </c>
    </row>
    <row r="19" customFormat="false" ht="15" hidden="false" customHeight="false" outlineLevel="0" collapsed="false">
      <c r="A19" s="103"/>
      <c r="B19" s="103"/>
      <c r="C19" s="102"/>
      <c r="D19" s="103"/>
      <c r="E19" s="103"/>
      <c r="F19" s="103"/>
      <c r="G19" s="103"/>
      <c r="H19" s="103"/>
      <c r="I19" s="103"/>
      <c r="J19" s="103"/>
      <c r="K19" s="103"/>
      <c r="L19" s="103"/>
      <c r="M19" s="103"/>
      <c r="N19" s="103"/>
      <c r="O19" s="103"/>
      <c r="P19" s="103"/>
      <c r="Q19" s="103"/>
      <c r="R19" s="105"/>
      <c r="S19" s="102"/>
      <c r="T19" s="105"/>
      <c r="U19" s="102"/>
      <c r="V19" s="103"/>
      <c r="W19" s="103"/>
      <c r="X19" s="105"/>
      <c r="Y19" s="102"/>
      <c r="Z19" s="103"/>
      <c r="AL19" s="30" t="str">
        <f aca="false">IF(B19="","",IFERROR(INDEX(Schedule!$N$7:$N$18,MATCH(B19,Schedule!$A$7:$A$18,0)),"not in schedule"))</f>
        <v/>
      </c>
      <c r="AM19" s="19" t="str">
        <f aca="false">IF(B19="","",N(R19)-N(X19))</f>
        <v/>
      </c>
      <c r="AN19" s="95" t="str">
        <f aca="false">IF(B19="","",IF(Z19&lt;&gt;"",Z19,IF(N(G19)&gt;0,N(N19)/G19,"")))</f>
        <v/>
      </c>
      <c r="AO19" s="18" t="str">
        <f aca="false">IF(OR(B19="",C19=""),"",WORKDAY(C19,Inputs!$C$132,Lists!$N$4:$N$30))</f>
        <v/>
      </c>
      <c r="AP19" s="30" t="str">
        <f aca="false">IF(B19="","",IF(U19="","missing",IF(U19&gt;AO19,"Y","N")))</f>
        <v/>
      </c>
      <c r="AQ19" s="30" t="n">
        <f aca="false">IF(OR(W19="Y",W19="N"),IF(F19="",1,IF(COUNTIFS(F$5:F19,F19,W$5:W19,"Y")+COUNTIFS(F$5:F19,F19,W$5:W19,"N")=1,1,0)),0)</f>
        <v>0</v>
      </c>
      <c r="AR19" s="30" t="n">
        <f aca="false">IF(W19="Y",IF(F19="",1,IF(COUNTIFS(F$5:F19,F19,W$5:W19,"Y")=1,1,0)),0)</f>
        <v>0</v>
      </c>
    </row>
    <row r="20" customFormat="false" ht="15" hidden="false" customHeight="false" outlineLevel="0" collapsed="false">
      <c r="A20" s="103"/>
      <c r="B20" s="103"/>
      <c r="C20" s="102"/>
      <c r="D20" s="103"/>
      <c r="E20" s="103"/>
      <c r="F20" s="103"/>
      <c r="G20" s="103"/>
      <c r="H20" s="103"/>
      <c r="I20" s="103"/>
      <c r="J20" s="103"/>
      <c r="K20" s="103"/>
      <c r="L20" s="103"/>
      <c r="M20" s="103"/>
      <c r="N20" s="103"/>
      <c r="O20" s="103"/>
      <c r="P20" s="103"/>
      <c r="Q20" s="103"/>
      <c r="R20" s="105"/>
      <c r="S20" s="102"/>
      <c r="T20" s="105"/>
      <c r="U20" s="102"/>
      <c r="V20" s="103"/>
      <c r="W20" s="103"/>
      <c r="X20" s="105"/>
      <c r="Y20" s="102"/>
      <c r="Z20" s="103"/>
      <c r="AL20" s="30" t="str">
        <f aca="false">IF(B20="","",IFERROR(INDEX(Schedule!$N$7:$N$18,MATCH(B20,Schedule!$A$7:$A$18,0)),"not in schedule"))</f>
        <v/>
      </c>
      <c r="AM20" s="19" t="str">
        <f aca="false">IF(B20="","",N(R20)-N(X20))</f>
        <v/>
      </c>
      <c r="AN20" s="95" t="str">
        <f aca="false">IF(B20="","",IF(Z20&lt;&gt;"",Z20,IF(N(G20)&gt;0,N(N20)/G20,"")))</f>
        <v/>
      </c>
      <c r="AO20" s="18" t="str">
        <f aca="false">IF(OR(B20="",C20=""),"",WORKDAY(C20,Inputs!$C$132,Lists!$N$4:$N$30))</f>
        <v/>
      </c>
      <c r="AP20" s="30" t="str">
        <f aca="false">IF(B20="","",IF(U20="","missing",IF(U20&gt;AO20,"Y","N")))</f>
        <v/>
      </c>
      <c r="AQ20" s="30" t="n">
        <f aca="false">IF(OR(W20="Y",W20="N"),IF(F20="",1,IF(COUNTIFS(F$5:F20,F20,W$5:W20,"Y")+COUNTIFS(F$5:F20,F20,W$5:W20,"N")=1,1,0)),0)</f>
        <v>0</v>
      </c>
      <c r="AR20" s="30" t="n">
        <f aca="false">IF(W20="Y",IF(F20="",1,IF(COUNTIFS(F$5:F20,F20,W$5:W20,"Y")=1,1,0)),0)</f>
        <v>0</v>
      </c>
    </row>
    <row r="21" customFormat="false" ht="15" hidden="false" customHeight="false" outlineLevel="0" collapsed="false">
      <c r="A21" s="103"/>
      <c r="B21" s="103"/>
      <c r="C21" s="102"/>
      <c r="D21" s="103"/>
      <c r="E21" s="103"/>
      <c r="F21" s="103"/>
      <c r="G21" s="103"/>
      <c r="H21" s="103"/>
      <c r="I21" s="103"/>
      <c r="J21" s="103"/>
      <c r="K21" s="103"/>
      <c r="L21" s="103"/>
      <c r="M21" s="103"/>
      <c r="N21" s="103"/>
      <c r="O21" s="103"/>
      <c r="P21" s="103"/>
      <c r="Q21" s="103"/>
      <c r="R21" s="105"/>
      <c r="S21" s="102"/>
      <c r="T21" s="105"/>
      <c r="U21" s="102"/>
      <c r="V21" s="103"/>
      <c r="W21" s="103"/>
      <c r="X21" s="105"/>
      <c r="Y21" s="102"/>
      <c r="Z21" s="103"/>
      <c r="AL21" s="30" t="str">
        <f aca="false">IF(B21="","",IFERROR(INDEX(Schedule!$N$7:$N$18,MATCH(B21,Schedule!$A$7:$A$18,0)),"not in schedule"))</f>
        <v/>
      </c>
      <c r="AM21" s="19" t="str">
        <f aca="false">IF(B21="","",N(R21)-N(X21))</f>
        <v/>
      </c>
      <c r="AN21" s="95" t="str">
        <f aca="false">IF(B21="","",IF(Z21&lt;&gt;"",Z21,IF(N(G21)&gt;0,N(N21)/G21,"")))</f>
        <v/>
      </c>
      <c r="AO21" s="18" t="str">
        <f aca="false">IF(OR(B21="",C21=""),"",WORKDAY(C21,Inputs!$C$132,Lists!$N$4:$N$30))</f>
        <v/>
      </c>
      <c r="AP21" s="30" t="str">
        <f aca="false">IF(B21="","",IF(U21="","missing",IF(U21&gt;AO21,"Y","N")))</f>
        <v/>
      </c>
      <c r="AQ21" s="30" t="n">
        <f aca="false">IF(OR(W21="Y",W21="N"),IF(F21="",1,IF(COUNTIFS(F$5:F21,F21,W$5:W21,"Y")+COUNTIFS(F$5:F21,F21,W$5:W21,"N")=1,1,0)),0)</f>
        <v>0</v>
      </c>
      <c r="AR21" s="30" t="n">
        <f aca="false">IF(W21="Y",IF(F21="",1,IF(COUNTIFS(F$5:F21,F21,W$5:W21,"Y")=1,1,0)),0)</f>
        <v>0</v>
      </c>
    </row>
    <row r="22" customFormat="false" ht="15" hidden="false" customHeight="false" outlineLevel="0" collapsed="false">
      <c r="A22" s="103"/>
      <c r="B22" s="103"/>
      <c r="C22" s="102"/>
      <c r="D22" s="103"/>
      <c r="E22" s="103"/>
      <c r="F22" s="103"/>
      <c r="G22" s="103"/>
      <c r="H22" s="103"/>
      <c r="I22" s="103"/>
      <c r="J22" s="103"/>
      <c r="K22" s="103"/>
      <c r="L22" s="103"/>
      <c r="M22" s="103"/>
      <c r="N22" s="103"/>
      <c r="O22" s="103"/>
      <c r="P22" s="103"/>
      <c r="Q22" s="103"/>
      <c r="R22" s="105"/>
      <c r="S22" s="102"/>
      <c r="T22" s="105"/>
      <c r="U22" s="102"/>
      <c r="V22" s="103"/>
      <c r="W22" s="103"/>
      <c r="X22" s="105"/>
      <c r="Y22" s="102"/>
      <c r="Z22" s="103"/>
      <c r="AL22" s="30" t="str">
        <f aca="false">IF(B22="","",IFERROR(INDEX(Schedule!$N$7:$N$18,MATCH(B22,Schedule!$A$7:$A$18,0)),"not in schedule"))</f>
        <v/>
      </c>
      <c r="AM22" s="19" t="str">
        <f aca="false">IF(B22="","",N(R22)-N(X22))</f>
        <v/>
      </c>
      <c r="AN22" s="95" t="str">
        <f aca="false">IF(B22="","",IF(Z22&lt;&gt;"",Z22,IF(N(G22)&gt;0,N(N22)/G22,"")))</f>
        <v/>
      </c>
      <c r="AO22" s="18" t="str">
        <f aca="false">IF(OR(B22="",C22=""),"",WORKDAY(C22,Inputs!$C$132,Lists!$N$4:$N$30))</f>
        <v/>
      </c>
      <c r="AP22" s="30" t="str">
        <f aca="false">IF(B22="","",IF(U22="","missing",IF(U22&gt;AO22,"Y","N")))</f>
        <v/>
      </c>
      <c r="AQ22" s="30" t="n">
        <f aca="false">IF(OR(W22="Y",W22="N"),IF(F22="",1,IF(COUNTIFS(F$5:F22,F22,W$5:W22,"Y")+COUNTIFS(F$5:F22,F22,W$5:W22,"N")=1,1,0)),0)</f>
        <v>0</v>
      </c>
      <c r="AR22" s="30" t="n">
        <f aca="false">IF(W22="Y",IF(F22="",1,IF(COUNTIFS(F$5:F22,F22,W$5:W22,"Y")=1,1,0)),0)</f>
        <v>0</v>
      </c>
    </row>
    <row r="23" customFormat="false" ht="15" hidden="false" customHeight="false" outlineLevel="0" collapsed="false">
      <c r="A23" s="103"/>
      <c r="B23" s="103"/>
      <c r="C23" s="102"/>
      <c r="D23" s="103"/>
      <c r="E23" s="103"/>
      <c r="F23" s="103"/>
      <c r="G23" s="103"/>
      <c r="H23" s="103"/>
      <c r="I23" s="103"/>
      <c r="J23" s="103"/>
      <c r="K23" s="103"/>
      <c r="L23" s="103"/>
      <c r="M23" s="103"/>
      <c r="N23" s="103"/>
      <c r="O23" s="103"/>
      <c r="P23" s="103"/>
      <c r="Q23" s="103"/>
      <c r="R23" s="105"/>
      <c r="S23" s="102"/>
      <c r="T23" s="105"/>
      <c r="U23" s="102"/>
      <c r="V23" s="103"/>
      <c r="W23" s="103"/>
      <c r="X23" s="105"/>
      <c r="Y23" s="102"/>
      <c r="Z23" s="103"/>
      <c r="AL23" s="30" t="str">
        <f aca="false">IF(B23="","",IFERROR(INDEX(Schedule!$N$7:$N$18,MATCH(B23,Schedule!$A$7:$A$18,0)),"not in schedule"))</f>
        <v/>
      </c>
      <c r="AM23" s="19" t="str">
        <f aca="false">IF(B23="","",N(R23)-N(X23))</f>
        <v/>
      </c>
      <c r="AN23" s="95" t="str">
        <f aca="false">IF(B23="","",IF(Z23&lt;&gt;"",Z23,IF(N(G23)&gt;0,N(N23)/G23,"")))</f>
        <v/>
      </c>
      <c r="AO23" s="18" t="str">
        <f aca="false">IF(OR(B23="",C23=""),"",WORKDAY(C23,Inputs!$C$132,Lists!$N$4:$N$30))</f>
        <v/>
      </c>
      <c r="AP23" s="30" t="str">
        <f aca="false">IF(B23="","",IF(U23="","missing",IF(U23&gt;AO23,"Y","N")))</f>
        <v/>
      </c>
      <c r="AQ23" s="30" t="n">
        <f aca="false">IF(OR(W23="Y",W23="N"),IF(F23="",1,IF(COUNTIFS(F$5:F23,F23,W$5:W23,"Y")+COUNTIFS(F$5:F23,F23,W$5:W23,"N")=1,1,0)),0)</f>
        <v>0</v>
      </c>
      <c r="AR23" s="30" t="n">
        <f aca="false">IF(W23="Y",IF(F23="",1,IF(COUNTIFS(F$5:F23,F23,W$5:W23,"Y")=1,1,0)),0)</f>
        <v>0</v>
      </c>
    </row>
    <row r="24" customFormat="false" ht="15" hidden="false" customHeight="false" outlineLevel="0" collapsed="false">
      <c r="A24" s="103"/>
      <c r="B24" s="103"/>
      <c r="C24" s="102"/>
      <c r="D24" s="103"/>
      <c r="E24" s="103"/>
      <c r="F24" s="103"/>
      <c r="G24" s="103"/>
      <c r="H24" s="103"/>
      <c r="I24" s="103"/>
      <c r="J24" s="103"/>
      <c r="K24" s="103"/>
      <c r="L24" s="103"/>
      <c r="M24" s="103"/>
      <c r="N24" s="103"/>
      <c r="O24" s="103"/>
      <c r="P24" s="103"/>
      <c r="Q24" s="103"/>
      <c r="R24" s="105"/>
      <c r="S24" s="102"/>
      <c r="T24" s="105"/>
      <c r="U24" s="102"/>
      <c r="V24" s="103"/>
      <c r="W24" s="103"/>
      <c r="X24" s="105"/>
      <c r="Y24" s="102"/>
      <c r="Z24" s="103"/>
      <c r="AL24" s="30" t="str">
        <f aca="false">IF(B24="","",IFERROR(INDEX(Schedule!$N$7:$N$18,MATCH(B24,Schedule!$A$7:$A$18,0)),"not in schedule"))</f>
        <v/>
      </c>
      <c r="AM24" s="19" t="str">
        <f aca="false">IF(B24="","",N(R24)-N(X24))</f>
        <v/>
      </c>
      <c r="AN24" s="95" t="str">
        <f aca="false">IF(B24="","",IF(Z24&lt;&gt;"",Z24,IF(N(G24)&gt;0,N(N24)/G24,"")))</f>
        <v/>
      </c>
      <c r="AO24" s="18" t="str">
        <f aca="false">IF(OR(B24="",C24=""),"",WORKDAY(C24,Inputs!$C$132,Lists!$N$4:$N$30))</f>
        <v/>
      </c>
      <c r="AP24" s="30" t="str">
        <f aca="false">IF(B24="","",IF(U24="","missing",IF(U24&gt;AO24,"Y","N")))</f>
        <v/>
      </c>
      <c r="AQ24" s="30" t="n">
        <f aca="false">IF(OR(W24="Y",W24="N"),IF(F24="",1,IF(COUNTIFS(F$5:F24,F24,W$5:W24,"Y")+COUNTIFS(F$5:F24,F24,W$5:W24,"N")=1,1,0)),0)</f>
        <v>0</v>
      </c>
      <c r="AR24" s="30" t="n">
        <f aca="false">IF(W24="Y",IF(F24="",1,IF(COUNTIFS(F$5:F24,F24,W$5:W24,"Y")=1,1,0)),0)</f>
        <v>0</v>
      </c>
    </row>
    <row r="25" customFormat="false" ht="15" hidden="false" customHeight="false" outlineLevel="0" collapsed="false">
      <c r="A25" s="103"/>
      <c r="B25" s="103"/>
      <c r="C25" s="102"/>
      <c r="D25" s="103"/>
      <c r="E25" s="103"/>
      <c r="F25" s="103"/>
      <c r="G25" s="103"/>
      <c r="H25" s="103"/>
      <c r="I25" s="103"/>
      <c r="J25" s="103"/>
      <c r="K25" s="103"/>
      <c r="L25" s="103"/>
      <c r="M25" s="103"/>
      <c r="N25" s="103"/>
      <c r="O25" s="103"/>
      <c r="P25" s="103"/>
      <c r="Q25" s="103"/>
      <c r="R25" s="105"/>
      <c r="S25" s="102"/>
      <c r="T25" s="105"/>
      <c r="U25" s="102"/>
      <c r="V25" s="103"/>
      <c r="W25" s="103"/>
      <c r="X25" s="105"/>
      <c r="Y25" s="102"/>
      <c r="Z25" s="103"/>
      <c r="AL25" s="30" t="str">
        <f aca="false">IF(B25="","",IFERROR(INDEX(Schedule!$N$7:$N$18,MATCH(B25,Schedule!$A$7:$A$18,0)),"not in schedule"))</f>
        <v/>
      </c>
      <c r="AM25" s="19" t="str">
        <f aca="false">IF(B25="","",N(R25)-N(X25))</f>
        <v/>
      </c>
      <c r="AN25" s="95" t="str">
        <f aca="false">IF(B25="","",IF(Z25&lt;&gt;"",Z25,IF(N(G25)&gt;0,N(N25)/G25,"")))</f>
        <v/>
      </c>
      <c r="AO25" s="18" t="str">
        <f aca="false">IF(OR(B25="",C25=""),"",WORKDAY(C25,Inputs!$C$132,Lists!$N$4:$N$30))</f>
        <v/>
      </c>
      <c r="AP25" s="30" t="str">
        <f aca="false">IF(B25="","",IF(U25="","missing",IF(U25&gt;AO25,"Y","N")))</f>
        <v/>
      </c>
      <c r="AQ25" s="30" t="n">
        <f aca="false">IF(OR(W25="Y",W25="N"),IF(F25="",1,IF(COUNTIFS(F$5:F25,F25,W$5:W25,"Y")+COUNTIFS(F$5:F25,F25,W$5:W25,"N")=1,1,0)),0)</f>
        <v>0</v>
      </c>
      <c r="AR25" s="30" t="n">
        <f aca="false">IF(W25="Y",IF(F25="",1,IF(COUNTIFS(F$5:F25,F25,W$5:W25,"Y")=1,1,0)),0)</f>
        <v>0</v>
      </c>
    </row>
    <row r="26" customFormat="false" ht="15" hidden="false" customHeight="false" outlineLevel="0" collapsed="false">
      <c r="A26" s="103"/>
      <c r="B26" s="103"/>
      <c r="C26" s="102"/>
      <c r="D26" s="103"/>
      <c r="E26" s="103"/>
      <c r="F26" s="103"/>
      <c r="G26" s="103"/>
      <c r="H26" s="103"/>
      <c r="I26" s="103"/>
      <c r="J26" s="103"/>
      <c r="K26" s="103"/>
      <c r="L26" s="103"/>
      <c r="M26" s="103"/>
      <c r="N26" s="103"/>
      <c r="O26" s="103"/>
      <c r="P26" s="103"/>
      <c r="Q26" s="103"/>
      <c r="R26" s="105"/>
      <c r="S26" s="102"/>
      <c r="T26" s="105"/>
      <c r="U26" s="102"/>
      <c r="V26" s="103"/>
      <c r="W26" s="103"/>
      <c r="X26" s="105"/>
      <c r="Y26" s="102"/>
      <c r="Z26" s="103"/>
      <c r="AL26" s="30" t="str">
        <f aca="false">IF(B26="","",IFERROR(INDEX(Schedule!$N$7:$N$18,MATCH(B26,Schedule!$A$7:$A$18,0)),"not in schedule"))</f>
        <v/>
      </c>
      <c r="AM26" s="19" t="str">
        <f aca="false">IF(B26="","",N(R26)-N(X26))</f>
        <v/>
      </c>
      <c r="AN26" s="95" t="str">
        <f aca="false">IF(B26="","",IF(Z26&lt;&gt;"",Z26,IF(N(G26)&gt;0,N(N26)/G26,"")))</f>
        <v/>
      </c>
      <c r="AO26" s="18" t="str">
        <f aca="false">IF(OR(B26="",C26=""),"",WORKDAY(C26,Inputs!$C$132,Lists!$N$4:$N$30))</f>
        <v/>
      </c>
      <c r="AP26" s="30" t="str">
        <f aca="false">IF(B26="","",IF(U26="","missing",IF(U26&gt;AO26,"Y","N")))</f>
        <v/>
      </c>
      <c r="AQ26" s="30" t="n">
        <f aca="false">IF(OR(W26="Y",W26="N"),IF(F26="",1,IF(COUNTIFS(F$5:F26,F26,W$5:W26,"Y")+COUNTIFS(F$5:F26,F26,W$5:W26,"N")=1,1,0)),0)</f>
        <v>0</v>
      </c>
      <c r="AR26" s="30" t="n">
        <f aca="false">IF(W26="Y",IF(F26="",1,IF(COUNTIFS(F$5:F26,F26,W$5:W26,"Y")=1,1,0)),0)</f>
        <v>0</v>
      </c>
    </row>
    <row r="27" customFormat="false" ht="15" hidden="false" customHeight="false" outlineLevel="0" collapsed="false">
      <c r="A27" s="103"/>
      <c r="B27" s="103"/>
      <c r="C27" s="102"/>
      <c r="D27" s="103"/>
      <c r="E27" s="103"/>
      <c r="F27" s="103"/>
      <c r="G27" s="103"/>
      <c r="H27" s="103"/>
      <c r="I27" s="103"/>
      <c r="J27" s="103"/>
      <c r="K27" s="103"/>
      <c r="L27" s="103"/>
      <c r="M27" s="103"/>
      <c r="N27" s="103"/>
      <c r="O27" s="103"/>
      <c r="P27" s="103"/>
      <c r="Q27" s="103"/>
      <c r="R27" s="105"/>
      <c r="S27" s="102"/>
      <c r="T27" s="105"/>
      <c r="U27" s="102"/>
      <c r="V27" s="103"/>
      <c r="W27" s="103"/>
      <c r="X27" s="105"/>
      <c r="Y27" s="102"/>
      <c r="Z27" s="103"/>
      <c r="AL27" s="30" t="str">
        <f aca="false">IF(B27="","",IFERROR(INDEX(Schedule!$N$7:$N$18,MATCH(B27,Schedule!$A$7:$A$18,0)),"not in schedule"))</f>
        <v/>
      </c>
      <c r="AM27" s="19" t="str">
        <f aca="false">IF(B27="","",N(R27)-N(X27))</f>
        <v/>
      </c>
      <c r="AN27" s="95" t="str">
        <f aca="false">IF(B27="","",IF(Z27&lt;&gt;"",Z27,IF(N(G27)&gt;0,N(N27)/G27,"")))</f>
        <v/>
      </c>
      <c r="AO27" s="18" t="str">
        <f aca="false">IF(OR(B27="",C27=""),"",WORKDAY(C27,Inputs!$C$132,Lists!$N$4:$N$30))</f>
        <v/>
      </c>
      <c r="AP27" s="30" t="str">
        <f aca="false">IF(B27="","",IF(U27="","missing",IF(U27&gt;AO27,"Y","N")))</f>
        <v/>
      </c>
      <c r="AQ27" s="30" t="n">
        <f aca="false">IF(OR(W27="Y",W27="N"),IF(F27="",1,IF(COUNTIFS(F$5:F27,F27,W$5:W27,"Y")+COUNTIFS(F$5:F27,F27,W$5:W27,"N")=1,1,0)),0)</f>
        <v>0</v>
      </c>
      <c r="AR27" s="30" t="n">
        <f aca="false">IF(W27="Y",IF(F27="",1,IF(COUNTIFS(F$5:F27,F27,W$5:W27,"Y")=1,1,0)),0)</f>
        <v>0</v>
      </c>
    </row>
    <row r="28" customFormat="false" ht="15" hidden="false" customHeight="false" outlineLevel="0" collapsed="false">
      <c r="A28" s="103"/>
      <c r="B28" s="103"/>
      <c r="C28" s="102"/>
      <c r="D28" s="103"/>
      <c r="E28" s="103"/>
      <c r="F28" s="103"/>
      <c r="G28" s="103"/>
      <c r="H28" s="103"/>
      <c r="I28" s="103"/>
      <c r="J28" s="103"/>
      <c r="K28" s="103"/>
      <c r="L28" s="103"/>
      <c r="M28" s="103"/>
      <c r="N28" s="103"/>
      <c r="O28" s="103"/>
      <c r="P28" s="103"/>
      <c r="Q28" s="103"/>
      <c r="R28" s="105"/>
      <c r="S28" s="102"/>
      <c r="T28" s="105"/>
      <c r="U28" s="102"/>
      <c r="V28" s="103"/>
      <c r="W28" s="103"/>
      <c r="X28" s="105"/>
      <c r="Y28" s="102"/>
      <c r="Z28" s="103"/>
      <c r="AL28" s="30" t="str">
        <f aca="false">IF(B28="","",IFERROR(INDEX(Schedule!$N$7:$N$18,MATCH(B28,Schedule!$A$7:$A$18,0)),"not in schedule"))</f>
        <v/>
      </c>
      <c r="AM28" s="19" t="str">
        <f aca="false">IF(B28="","",N(R28)-N(X28))</f>
        <v/>
      </c>
      <c r="AN28" s="95" t="str">
        <f aca="false">IF(B28="","",IF(Z28&lt;&gt;"",Z28,IF(N(G28)&gt;0,N(N28)/G28,"")))</f>
        <v/>
      </c>
      <c r="AO28" s="18" t="str">
        <f aca="false">IF(OR(B28="",C28=""),"",WORKDAY(C28,Inputs!$C$132,Lists!$N$4:$N$30))</f>
        <v/>
      </c>
      <c r="AP28" s="30" t="str">
        <f aca="false">IF(B28="","",IF(U28="","missing",IF(U28&gt;AO28,"Y","N")))</f>
        <v/>
      </c>
      <c r="AQ28" s="30" t="n">
        <f aca="false">IF(OR(W28="Y",W28="N"),IF(F28="",1,IF(COUNTIFS(F$5:F28,F28,W$5:W28,"Y")+COUNTIFS(F$5:F28,F28,W$5:W28,"N")=1,1,0)),0)</f>
        <v>0</v>
      </c>
      <c r="AR28" s="30" t="n">
        <f aca="false">IF(W28="Y",IF(F28="",1,IF(COUNTIFS(F$5:F28,F28,W$5:W28,"Y")=1,1,0)),0)</f>
        <v>0</v>
      </c>
    </row>
    <row r="29" customFormat="false" ht="15" hidden="false" customHeight="false" outlineLevel="0" collapsed="false">
      <c r="A29" s="103"/>
      <c r="B29" s="103"/>
      <c r="C29" s="102"/>
      <c r="D29" s="103"/>
      <c r="E29" s="103"/>
      <c r="F29" s="103"/>
      <c r="G29" s="103"/>
      <c r="H29" s="103"/>
      <c r="I29" s="103"/>
      <c r="J29" s="103"/>
      <c r="K29" s="103"/>
      <c r="L29" s="103"/>
      <c r="M29" s="103"/>
      <c r="N29" s="103"/>
      <c r="O29" s="103"/>
      <c r="P29" s="103"/>
      <c r="Q29" s="103"/>
      <c r="R29" s="105"/>
      <c r="S29" s="102"/>
      <c r="T29" s="105"/>
      <c r="U29" s="102"/>
      <c r="V29" s="103"/>
      <c r="W29" s="103"/>
      <c r="X29" s="105"/>
      <c r="Y29" s="102"/>
      <c r="Z29" s="103"/>
      <c r="AL29" s="30" t="str">
        <f aca="false">IF(B29="","",IFERROR(INDEX(Schedule!$N$7:$N$18,MATCH(B29,Schedule!$A$7:$A$18,0)),"not in schedule"))</f>
        <v/>
      </c>
      <c r="AM29" s="19" t="str">
        <f aca="false">IF(B29="","",N(R29)-N(X29))</f>
        <v/>
      </c>
      <c r="AN29" s="95" t="str">
        <f aca="false">IF(B29="","",IF(Z29&lt;&gt;"",Z29,IF(N(G29)&gt;0,N(N29)/G29,"")))</f>
        <v/>
      </c>
      <c r="AO29" s="18" t="str">
        <f aca="false">IF(OR(B29="",C29=""),"",WORKDAY(C29,Inputs!$C$132,Lists!$N$4:$N$30))</f>
        <v/>
      </c>
      <c r="AP29" s="30" t="str">
        <f aca="false">IF(B29="","",IF(U29="","missing",IF(U29&gt;AO29,"Y","N")))</f>
        <v/>
      </c>
      <c r="AQ29" s="30" t="n">
        <f aca="false">IF(OR(W29="Y",W29="N"),IF(F29="",1,IF(COUNTIFS(F$5:F29,F29,W$5:W29,"Y")+COUNTIFS(F$5:F29,F29,W$5:W29,"N")=1,1,0)),0)</f>
        <v>0</v>
      </c>
      <c r="AR29" s="30" t="n">
        <f aca="false">IF(W29="Y",IF(F29="",1,IF(COUNTIFS(F$5:F29,F29,W$5:W29,"Y")=1,1,0)),0)</f>
        <v>0</v>
      </c>
    </row>
    <row r="30" customFormat="false" ht="15" hidden="false" customHeight="false" outlineLevel="0" collapsed="false">
      <c r="A30" s="103"/>
      <c r="B30" s="103"/>
      <c r="C30" s="102"/>
      <c r="D30" s="103"/>
      <c r="E30" s="103"/>
      <c r="F30" s="103"/>
      <c r="G30" s="103"/>
      <c r="H30" s="103"/>
      <c r="I30" s="103"/>
      <c r="J30" s="103"/>
      <c r="K30" s="103"/>
      <c r="L30" s="103"/>
      <c r="M30" s="103"/>
      <c r="N30" s="103"/>
      <c r="O30" s="103"/>
      <c r="P30" s="103"/>
      <c r="Q30" s="103"/>
      <c r="R30" s="105"/>
      <c r="S30" s="102"/>
      <c r="T30" s="105"/>
      <c r="U30" s="102"/>
      <c r="V30" s="103"/>
      <c r="W30" s="103"/>
      <c r="X30" s="105"/>
      <c r="Y30" s="102"/>
      <c r="Z30" s="103"/>
      <c r="AL30" s="30" t="str">
        <f aca="false">IF(B30="","",IFERROR(INDEX(Schedule!$N$7:$N$18,MATCH(B30,Schedule!$A$7:$A$18,0)),"not in schedule"))</f>
        <v/>
      </c>
      <c r="AM30" s="19" t="str">
        <f aca="false">IF(B30="","",N(R30)-N(X30))</f>
        <v/>
      </c>
      <c r="AN30" s="95" t="str">
        <f aca="false">IF(B30="","",IF(Z30&lt;&gt;"",Z30,IF(N(G30)&gt;0,N(N30)/G30,"")))</f>
        <v/>
      </c>
      <c r="AO30" s="18" t="str">
        <f aca="false">IF(OR(B30="",C30=""),"",WORKDAY(C30,Inputs!$C$132,Lists!$N$4:$N$30))</f>
        <v/>
      </c>
      <c r="AP30" s="30" t="str">
        <f aca="false">IF(B30="","",IF(U30="","missing",IF(U30&gt;AO30,"Y","N")))</f>
        <v/>
      </c>
      <c r="AQ30" s="30" t="n">
        <f aca="false">IF(OR(W30="Y",W30="N"),IF(F30="",1,IF(COUNTIFS(F$5:F30,F30,W$5:W30,"Y")+COUNTIFS(F$5:F30,F30,W$5:W30,"N")=1,1,0)),0)</f>
        <v>0</v>
      </c>
      <c r="AR30" s="30" t="n">
        <f aca="false">IF(W30="Y",IF(F30="",1,IF(COUNTIFS(F$5:F30,F30,W$5:W30,"Y")=1,1,0)),0)</f>
        <v>0</v>
      </c>
    </row>
    <row r="31" customFormat="false" ht="15" hidden="false" customHeight="false" outlineLevel="0" collapsed="false">
      <c r="A31" s="103"/>
      <c r="B31" s="103"/>
      <c r="C31" s="102"/>
      <c r="D31" s="103"/>
      <c r="E31" s="103"/>
      <c r="F31" s="103"/>
      <c r="G31" s="103"/>
      <c r="H31" s="103"/>
      <c r="I31" s="103"/>
      <c r="J31" s="103"/>
      <c r="K31" s="103"/>
      <c r="L31" s="103"/>
      <c r="M31" s="103"/>
      <c r="N31" s="103"/>
      <c r="O31" s="103"/>
      <c r="P31" s="103"/>
      <c r="Q31" s="103"/>
      <c r="R31" s="105"/>
      <c r="S31" s="102"/>
      <c r="T31" s="105"/>
      <c r="U31" s="102"/>
      <c r="V31" s="103"/>
      <c r="W31" s="103"/>
      <c r="X31" s="105"/>
      <c r="Y31" s="102"/>
      <c r="Z31" s="103"/>
      <c r="AL31" s="30" t="str">
        <f aca="false">IF(B31="","",IFERROR(INDEX(Schedule!$N$7:$N$18,MATCH(B31,Schedule!$A$7:$A$18,0)),"not in schedule"))</f>
        <v/>
      </c>
      <c r="AM31" s="19" t="str">
        <f aca="false">IF(B31="","",N(R31)-N(X31))</f>
        <v/>
      </c>
      <c r="AN31" s="95" t="str">
        <f aca="false">IF(B31="","",IF(Z31&lt;&gt;"",Z31,IF(N(G31)&gt;0,N(N31)/G31,"")))</f>
        <v/>
      </c>
      <c r="AO31" s="18" t="str">
        <f aca="false">IF(OR(B31="",C31=""),"",WORKDAY(C31,Inputs!$C$132,Lists!$N$4:$N$30))</f>
        <v/>
      </c>
      <c r="AP31" s="30" t="str">
        <f aca="false">IF(B31="","",IF(U31="","missing",IF(U31&gt;AO31,"Y","N")))</f>
        <v/>
      </c>
      <c r="AQ31" s="30" t="n">
        <f aca="false">IF(OR(W31="Y",W31="N"),IF(F31="",1,IF(COUNTIFS(F$5:F31,F31,W$5:W31,"Y")+COUNTIFS(F$5:F31,F31,W$5:W31,"N")=1,1,0)),0)</f>
        <v>0</v>
      </c>
      <c r="AR31" s="30" t="n">
        <f aca="false">IF(W31="Y",IF(F31="",1,IF(COUNTIFS(F$5:F31,F31,W$5:W31,"Y")=1,1,0)),0)</f>
        <v>0</v>
      </c>
    </row>
    <row r="32" customFormat="false" ht="15" hidden="false" customHeight="false" outlineLevel="0" collapsed="false">
      <c r="A32" s="103"/>
      <c r="B32" s="103"/>
      <c r="C32" s="102"/>
      <c r="D32" s="103"/>
      <c r="E32" s="103"/>
      <c r="F32" s="103"/>
      <c r="G32" s="103"/>
      <c r="H32" s="103"/>
      <c r="I32" s="103"/>
      <c r="J32" s="103"/>
      <c r="K32" s="103"/>
      <c r="L32" s="103"/>
      <c r="M32" s="103"/>
      <c r="N32" s="103"/>
      <c r="O32" s="103"/>
      <c r="P32" s="103"/>
      <c r="Q32" s="103"/>
      <c r="R32" s="105"/>
      <c r="S32" s="102"/>
      <c r="T32" s="105"/>
      <c r="U32" s="102"/>
      <c r="V32" s="103"/>
      <c r="W32" s="103"/>
      <c r="X32" s="105"/>
      <c r="Y32" s="102"/>
      <c r="Z32" s="103"/>
      <c r="AL32" s="30" t="str">
        <f aca="false">IF(B32="","",IFERROR(INDEX(Schedule!$N$7:$N$18,MATCH(B32,Schedule!$A$7:$A$18,0)),"not in schedule"))</f>
        <v/>
      </c>
      <c r="AM32" s="19" t="str">
        <f aca="false">IF(B32="","",N(R32)-N(X32))</f>
        <v/>
      </c>
      <c r="AN32" s="95" t="str">
        <f aca="false">IF(B32="","",IF(Z32&lt;&gt;"",Z32,IF(N(G32)&gt;0,N(N32)/G32,"")))</f>
        <v/>
      </c>
      <c r="AO32" s="18" t="str">
        <f aca="false">IF(OR(B32="",C32=""),"",WORKDAY(C32,Inputs!$C$132,Lists!$N$4:$N$30))</f>
        <v/>
      </c>
      <c r="AP32" s="30" t="str">
        <f aca="false">IF(B32="","",IF(U32="","missing",IF(U32&gt;AO32,"Y","N")))</f>
        <v/>
      </c>
      <c r="AQ32" s="30" t="n">
        <f aca="false">IF(OR(W32="Y",W32="N"),IF(F32="",1,IF(COUNTIFS(F$5:F32,F32,W$5:W32,"Y")+COUNTIFS(F$5:F32,F32,W$5:W32,"N")=1,1,0)),0)</f>
        <v>0</v>
      </c>
      <c r="AR32" s="30" t="n">
        <f aca="false">IF(W32="Y",IF(F32="",1,IF(COUNTIFS(F$5:F32,F32,W$5:W32,"Y")=1,1,0)),0)</f>
        <v>0</v>
      </c>
    </row>
    <row r="33" customFormat="false" ht="15" hidden="false" customHeight="false" outlineLevel="0" collapsed="false">
      <c r="A33" s="103"/>
      <c r="B33" s="103"/>
      <c r="C33" s="102"/>
      <c r="D33" s="103"/>
      <c r="E33" s="103"/>
      <c r="F33" s="103"/>
      <c r="G33" s="103"/>
      <c r="H33" s="103"/>
      <c r="I33" s="103"/>
      <c r="J33" s="103"/>
      <c r="K33" s="103"/>
      <c r="L33" s="103"/>
      <c r="M33" s="103"/>
      <c r="N33" s="103"/>
      <c r="O33" s="103"/>
      <c r="P33" s="103"/>
      <c r="Q33" s="103"/>
      <c r="R33" s="105"/>
      <c r="S33" s="102"/>
      <c r="T33" s="105"/>
      <c r="U33" s="102"/>
      <c r="V33" s="103"/>
      <c r="W33" s="103"/>
      <c r="X33" s="105"/>
      <c r="Y33" s="102"/>
      <c r="Z33" s="103"/>
      <c r="AL33" s="30" t="str">
        <f aca="false">IF(B33="","",IFERROR(INDEX(Schedule!$N$7:$N$18,MATCH(B33,Schedule!$A$7:$A$18,0)),"not in schedule"))</f>
        <v/>
      </c>
      <c r="AM33" s="19" t="str">
        <f aca="false">IF(B33="","",N(R33)-N(X33))</f>
        <v/>
      </c>
      <c r="AN33" s="95" t="str">
        <f aca="false">IF(B33="","",IF(Z33&lt;&gt;"",Z33,IF(N(G33)&gt;0,N(N33)/G33,"")))</f>
        <v/>
      </c>
      <c r="AO33" s="18" t="str">
        <f aca="false">IF(OR(B33="",C33=""),"",WORKDAY(C33,Inputs!$C$132,Lists!$N$4:$N$30))</f>
        <v/>
      </c>
      <c r="AP33" s="30" t="str">
        <f aca="false">IF(B33="","",IF(U33="","missing",IF(U33&gt;AO33,"Y","N")))</f>
        <v/>
      </c>
      <c r="AQ33" s="30" t="n">
        <f aca="false">IF(OR(W33="Y",W33="N"),IF(F33="",1,IF(COUNTIFS(F$5:F33,F33,W$5:W33,"Y")+COUNTIFS(F$5:F33,F33,W$5:W33,"N")=1,1,0)),0)</f>
        <v>0</v>
      </c>
      <c r="AR33" s="30" t="n">
        <f aca="false">IF(W33="Y",IF(F33="",1,IF(COUNTIFS(F$5:F33,F33,W$5:W33,"Y")=1,1,0)),0)</f>
        <v>0</v>
      </c>
    </row>
    <row r="34" customFormat="false" ht="15" hidden="false" customHeight="false" outlineLevel="0" collapsed="false">
      <c r="A34" s="103"/>
      <c r="B34" s="103"/>
      <c r="C34" s="102"/>
      <c r="D34" s="103"/>
      <c r="E34" s="103"/>
      <c r="F34" s="103"/>
      <c r="G34" s="103"/>
      <c r="H34" s="103"/>
      <c r="I34" s="103"/>
      <c r="J34" s="103"/>
      <c r="K34" s="103"/>
      <c r="L34" s="103"/>
      <c r="M34" s="103"/>
      <c r="N34" s="103"/>
      <c r="O34" s="103"/>
      <c r="P34" s="103"/>
      <c r="Q34" s="103"/>
      <c r="R34" s="105"/>
      <c r="S34" s="102"/>
      <c r="T34" s="105"/>
      <c r="U34" s="102"/>
      <c r="V34" s="103"/>
      <c r="W34" s="103"/>
      <c r="X34" s="105"/>
      <c r="Y34" s="102"/>
      <c r="Z34" s="103"/>
      <c r="AL34" s="30" t="str">
        <f aca="false">IF(B34="","",IFERROR(INDEX(Schedule!$N$7:$N$18,MATCH(B34,Schedule!$A$7:$A$18,0)),"not in schedule"))</f>
        <v/>
      </c>
      <c r="AM34" s="19" t="str">
        <f aca="false">IF(B34="","",N(R34)-N(X34))</f>
        <v/>
      </c>
      <c r="AN34" s="95" t="str">
        <f aca="false">IF(B34="","",IF(Z34&lt;&gt;"",Z34,IF(N(G34)&gt;0,N(N34)/G34,"")))</f>
        <v/>
      </c>
      <c r="AO34" s="18" t="str">
        <f aca="false">IF(OR(B34="",C34=""),"",WORKDAY(C34,Inputs!$C$132,Lists!$N$4:$N$30))</f>
        <v/>
      </c>
      <c r="AP34" s="30" t="str">
        <f aca="false">IF(B34="","",IF(U34="","missing",IF(U34&gt;AO34,"Y","N")))</f>
        <v/>
      </c>
      <c r="AQ34" s="30" t="n">
        <f aca="false">IF(OR(W34="Y",W34="N"),IF(F34="",1,IF(COUNTIFS(F$5:F34,F34,W$5:W34,"Y")+COUNTIFS(F$5:F34,F34,W$5:W34,"N")=1,1,0)),0)</f>
        <v>0</v>
      </c>
      <c r="AR34" s="30" t="n">
        <f aca="false">IF(W34="Y",IF(F34="",1,IF(COUNTIFS(F$5:F34,F34,W$5:W34,"Y")=1,1,0)),0)</f>
        <v>0</v>
      </c>
    </row>
    <row r="35" customFormat="false" ht="15" hidden="false" customHeight="false" outlineLevel="0" collapsed="false">
      <c r="A35" s="103"/>
      <c r="B35" s="103"/>
      <c r="C35" s="102"/>
      <c r="D35" s="103"/>
      <c r="E35" s="103"/>
      <c r="F35" s="103"/>
      <c r="G35" s="103"/>
      <c r="H35" s="103"/>
      <c r="I35" s="103"/>
      <c r="J35" s="103"/>
      <c r="K35" s="103"/>
      <c r="L35" s="103"/>
      <c r="M35" s="103"/>
      <c r="N35" s="103"/>
      <c r="O35" s="103"/>
      <c r="P35" s="103"/>
      <c r="Q35" s="103"/>
      <c r="R35" s="105"/>
      <c r="S35" s="102"/>
      <c r="T35" s="105"/>
      <c r="U35" s="102"/>
      <c r="V35" s="103"/>
      <c r="W35" s="103"/>
      <c r="X35" s="105"/>
      <c r="Y35" s="102"/>
      <c r="Z35" s="103"/>
      <c r="AL35" s="30" t="str">
        <f aca="false">IF(B35="","",IFERROR(INDEX(Schedule!$N$7:$N$18,MATCH(B35,Schedule!$A$7:$A$18,0)),"not in schedule"))</f>
        <v/>
      </c>
      <c r="AM35" s="19" t="str">
        <f aca="false">IF(B35="","",N(R35)-N(X35))</f>
        <v/>
      </c>
      <c r="AN35" s="95" t="str">
        <f aca="false">IF(B35="","",IF(Z35&lt;&gt;"",Z35,IF(N(G35)&gt;0,N(N35)/G35,"")))</f>
        <v/>
      </c>
      <c r="AO35" s="18" t="str">
        <f aca="false">IF(OR(B35="",C35=""),"",WORKDAY(C35,Inputs!$C$132,Lists!$N$4:$N$30))</f>
        <v/>
      </c>
      <c r="AP35" s="30" t="str">
        <f aca="false">IF(B35="","",IF(U35="","missing",IF(U35&gt;AO35,"Y","N")))</f>
        <v/>
      </c>
      <c r="AQ35" s="30" t="n">
        <f aca="false">IF(OR(W35="Y",W35="N"),IF(F35="",1,IF(COUNTIFS(F$5:F35,F35,W$5:W35,"Y")+COUNTIFS(F$5:F35,F35,W$5:W35,"N")=1,1,0)),0)</f>
        <v>0</v>
      </c>
      <c r="AR35" s="30" t="n">
        <f aca="false">IF(W35="Y",IF(F35="",1,IF(COUNTIFS(F$5:F35,F35,W$5:W35,"Y")=1,1,0)),0)</f>
        <v>0</v>
      </c>
    </row>
    <row r="36" customFormat="false" ht="15" hidden="false" customHeight="false" outlineLevel="0" collapsed="false">
      <c r="A36" s="103"/>
      <c r="B36" s="103"/>
      <c r="C36" s="102"/>
      <c r="D36" s="103"/>
      <c r="E36" s="103"/>
      <c r="F36" s="103"/>
      <c r="G36" s="103"/>
      <c r="H36" s="103"/>
      <c r="I36" s="103"/>
      <c r="J36" s="103"/>
      <c r="K36" s="103"/>
      <c r="L36" s="103"/>
      <c r="M36" s="103"/>
      <c r="N36" s="103"/>
      <c r="O36" s="103"/>
      <c r="P36" s="103"/>
      <c r="Q36" s="103"/>
      <c r="R36" s="105"/>
      <c r="S36" s="102"/>
      <c r="T36" s="105"/>
      <c r="U36" s="102"/>
      <c r="V36" s="103"/>
      <c r="W36" s="103"/>
      <c r="X36" s="105"/>
      <c r="Y36" s="102"/>
      <c r="Z36" s="103"/>
      <c r="AL36" s="30" t="str">
        <f aca="false">IF(B36="","",IFERROR(INDEX(Schedule!$N$7:$N$18,MATCH(B36,Schedule!$A$7:$A$18,0)),"not in schedule"))</f>
        <v/>
      </c>
      <c r="AM36" s="19" t="str">
        <f aca="false">IF(B36="","",N(R36)-N(X36))</f>
        <v/>
      </c>
      <c r="AN36" s="95" t="str">
        <f aca="false">IF(B36="","",IF(Z36&lt;&gt;"",Z36,IF(N(G36)&gt;0,N(N36)/G36,"")))</f>
        <v/>
      </c>
      <c r="AO36" s="18" t="str">
        <f aca="false">IF(OR(B36="",C36=""),"",WORKDAY(C36,Inputs!$C$132,Lists!$N$4:$N$30))</f>
        <v/>
      </c>
      <c r="AP36" s="30" t="str">
        <f aca="false">IF(B36="","",IF(U36="","missing",IF(U36&gt;AO36,"Y","N")))</f>
        <v/>
      </c>
      <c r="AQ36" s="30" t="n">
        <f aca="false">IF(OR(W36="Y",W36="N"),IF(F36="",1,IF(COUNTIFS(F$5:F36,F36,W$5:W36,"Y")+COUNTIFS(F$5:F36,F36,W$5:W36,"N")=1,1,0)),0)</f>
        <v>0</v>
      </c>
      <c r="AR36" s="30" t="n">
        <f aca="false">IF(W36="Y",IF(F36="",1,IF(COUNTIFS(F$5:F36,F36,W$5:W36,"Y")=1,1,0)),0)</f>
        <v>0</v>
      </c>
    </row>
    <row r="37" customFormat="false" ht="15" hidden="false" customHeight="false" outlineLevel="0" collapsed="false">
      <c r="A37" s="103"/>
      <c r="B37" s="103"/>
      <c r="C37" s="102"/>
      <c r="D37" s="103"/>
      <c r="E37" s="103"/>
      <c r="F37" s="103"/>
      <c r="G37" s="103"/>
      <c r="H37" s="103"/>
      <c r="I37" s="103"/>
      <c r="J37" s="103"/>
      <c r="K37" s="103"/>
      <c r="L37" s="103"/>
      <c r="M37" s="103"/>
      <c r="N37" s="103"/>
      <c r="O37" s="103"/>
      <c r="P37" s="103"/>
      <c r="Q37" s="103"/>
      <c r="R37" s="105"/>
      <c r="S37" s="102"/>
      <c r="T37" s="105"/>
      <c r="U37" s="102"/>
      <c r="V37" s="103"/>
      <c r="W37" s="103"/>
      <c r="X37" s="105"/>
      <c r="Y37" s="102"/>
      <c r="Z37" s="103"/>
      <c r="AL37" s="30" t="str">
        <f aca="false">IF(B37="","",IFERROR(INDEX(Schedule!$N$7:$N$18,MATCH(B37,Schedule!$A$7:$A$18,0)),"not in schedule"))</f>
        <v/>
      </c>
      <c r="AM37" s="19" t="str">
        <f aca="false">IF(B37="","",N(R37)-N(X37))</f>
        <v/>
      </c>
      <c r="AN37" s="95" t="str">
        <f aca="false">IF(B37="","",IF(Z37&lt;&gt;"",Z37,IF(N(G37)&gt;0,N(N37)/G37,"")))</f>
        <v/>
      </c>
      <c r="AO37" s="18" t="str">
        <f aca="false">IF(OR(B37="",C37=""),"",WORKDAY(C37,Inputs!$C$132,Lists!$N$4:$N$30))</f>
        <v/>
      </c>
      <c r="AP37" s="30" t="str">
        <f aca="false">IF(B37="","",IF(U37="","missing",IF(U37&gt;AO37,"Y","N")))</f>
        <v/>
      </c>
      <c r="AQ37" s="30" t="n">
        <f aca="false">IF(OR(W37="Y",W37="N"),IF(F37="",1,IF(COUNTIFS(F$5:F37,F37,W$5:W37,"Y")+COUNTIFS(F$5:F37,F37,W$5:W37,"N")=1,1,0)),0)</f>
        <v>0</v>
      </c>
      <c r="AR37" s="30" t="n">
        <f aca="false">IF(W37="Y",IF(F37="",1,IF(COUNTIFS(F$5:F37,F37,W$5:W37,"Y")=1,1,0)),0)</f>
        <v>0</v>
      </c>
    </row>
    <row r="38" customFormat="false" ht="15" hidden="false" customHeight="false" outlineLevel="0" collapsed="false">
      <c r="A38" s="103"/>
      <c r="B38" s="103"/>
      <c r="C38" s="102"/>
      <c r="D38" s="103"/>
      <c r="E38" s="103"/>
      <c r="F38" s="103"/>
      <c r="G38" s="103"/>
      <c r="H38" s="103"/>
      <c r="I38" s="103"/>
      <c r="J38" s="103"/>
      <c r="K38" s="103"/>
      <c r="L38" s="103"/>
      <c r="M38" s="103"/>
      <c r="N38" s="103"/>
      <c r="O38" s="103"/>
      <c r="P38" s="103"/>
      <c r="Q38" s="103"/>
      <c r="R38" s="105"/>
      <c r="S38" s="102"/>
      <c r="T38" s="105"/>
      <c r="U38" s="102"/>
      <c r="V38" s="103"/>
      <c r="W38" s="103"/>
      <c r="X38" s="105"/>
      <c r="Y38" s="102"/>
      <c r="Z38" s="103"/>
      <c r="AL38" s="30" t="str">
        <f aca="false">IF(B38="","",IFERROR(INDEX(Schedule!$N$7:$N$18,MATCH(B38,Schedule!$A$7:$A$18,0)),"not in schedule"))</f>
        <v/>
      </c>
      <c r="AM38" s="19" t="str">
        <f aca="false">IF(B38="","",N(R38)-N(X38))</f>
        <v/>
      </c>
      <c r="AN38" s="95" t="str">
        <f aca="false">IF(B38="","",IF(Z38&lt;&gt;"",Z38,IF(N(G38)&gt;0,N(N38)/G38,"")))</f>
        <v/>
      </c>
      <c r="AO38" s="18" t="str">
        <f aca="false">IF(OR(B38="",C38=""),"",WORKDAY(C38,Inputs!$C$132,Lists!$N$4:$N$30))</f>
        <v/>
      </c>
      <c r="AP38" s="30" t="str">
        <f aca="false">IF(B38="","",IF(U38="","missing",IF(U38&gt;AO38,"Y","N")))</f>
        <v/>
      </c>
      <c r="AQ38" s="30" t="n">
        <f aca="false">IF(OR(W38="Y",W38="N"),IF(F38="",1,IF(COUNTIFS(F$5:F38,F38,W$5:W38,"Y")+COUNTIFS(F$5:F38,F38,W$5:W38,"N")=1,1,0)),0)</f>
        <v>0</v>
      </c>
      <c r="AR38" s="30" t="n">
        <f aca="false">IF(W38="Y",IF(F38="",1,IF(COUNTIFS(F$5:F38,F38,W$5:W38,"Y")=1,1,0)),0)</f>
        <v>0</v>
      </c>
    </row>
    <row r="39" customFormat="false" ht="15" hidden="false" customHeight="false" outlineLevel="0" collapsed="false">
      <c r="A39" s="103"/>
      <c r="B39" s="103"/>
      <c r="C39" s="102"/>
      <c r="D39" s="103"/>
      <c r="E39" s="103"/>
      <c r="F39" s="103"/>
      <c r="G39" s="103"/>
      <c r="H39" s="103"/>
      <c r="I39" s="103"/>
      <c r="J39" s="103"/>
      <c r="K39" s="103"/>
      <c r="L39" s="103"/>
      <c r="M39" s="103"/>
      <c r="N39" s="103"/>
      <c r="O39" s="103"/>
      <c r="P39" s="103"/>
      <c r="Q39" s="103"/>
      <c r="R39" s="105"/>
      <c r="S39" s="102"/>
      <c r="T39" s="105"/>
      <c r="U39" s="102"/>
      <c r="V39" s="103"/>
      <c r="W39" s="103"/>
      <c r="X39" s="105"/>
      <c r="Y39" s="102"/>
      <c r="Z39" s="103"/>
      <c r="AL39" s="30" t="str">
        <f aca="false">IF(B39="","",IFERROR(INDEX(Schedule!$N$7:$N$18,MATCH(B39,Schedule!$A$7:$A$18,0)),"not in schedule"))</f>
        <v/>
      </c>
      <c r="AM39" s="19" t="str">
        <f aca="false">IF(B39="","",N(R39)-N(X39))</f>
        <v/>
      </c>
      <c r="AN39" s="95" t="str">
        <f aca="false">IF(B39="","",IF(Z39&lt;&gt;"",Z39,IF(N(G39)&gt;0,N(N39)/G39,"")))</f>
        <v/>
      </c>
      <c r="AO39" s="18" t="str">
        <f aca="false">IF(OR(B39="",C39=""),"",WORKDAY(C39,Inputs!$C$132,Lists!$N$4:$N$30))</f>
        <v/>
      </c>
      <c r="AP39" s="30" t="str">
        <f aca="false">IF(B39="","",IF(U39="","missing",IF(U39&gt;AO39,"Y","N")))</f>
        <v/>
      </c>
      <c r="AQ39" s="30" t="n">
        <f aca="false">IF(OR(W39="Y",W39="N"),IF(F39="",1,IF(COUNTIFS(F$5:F39,F39,W$5:W39,"Y")+COUNTIFS(F$5:F39,F39,W$5:W39,"N")=1,1,0)),0)</f>
        <v>0</v>
      </c>
      <c r="AR39" s="30" t="n">
        <f aca="false">IF(W39="Y",IF(F39="",1,IF(COUNTIFS(F$5:F39,F39,W$5:W39,"Y")=1,1,0)),0)</f>
        <v>0</v>
      </c>
    </row>
    <row r="40" customFormat="false" ht="15" hidden="false" customHeight="false" outlineLevel="0" collapsed="false">
      <c r="A40" s="103"/>
      <c r="B40" s="103"/>
      <c r="C40" s="102"/>
      <c r="D40" s="103"/>
      <c r="E40" s="103"/>
      <c r="F40" s="103"/>
      <c r="G40" s="103"/>
      <c r="H40" s="103"/>
      <c r="I40" s="103"/>
      <c r="J40" s="103"/>
      <c r="K40" s="103"/>
      <c r="L40" s="103"/>
      <c r="M40" s="103"/>
      <c r="N40" s="103"/>
      <c r="O40" s="103"/>
      <c r="P40" s="103"/>
      <c r="Q40" s="103"/>
      <c r="R40" s="105"/>
      <c r="S40" s="102"/>
      <c r="T40" s="105"/>
      <c r="U40" s="102"/>
      <c r="V40" s="103"/>
      <c r="W40" s="103"/>
      <c r="X40" s="105"/>
      <c r="Y40" s="102"/>
      <c r="Z40" s="103"/>
      <c r="AL40" s="30" t="str">
        <f aca="false">IF(B40="","",IFERROR(INDEX(Schedule!$N$7:$N$18,MATCH(B40,Schedule!$A$7:$A$18,0)),"not in schedule"))</f>
        <v/>
      </c>
      <c r="AM40" s="19" t="str">
        <f aca="false">IF(B40="","",N(R40)-N(X40))</f>
        <v/>
      </c>
      <c r="AN40" s="95" t="str">
        <f aca="false">IF(B40="","",IF(Z40&lt;&gt;"",Z40,IF(N(G40)&gt;0,N(N40)/G40,"")))</f>
        <v/>
      </c>
      <c r="AO40" s="18" t="str">
        <f aca="false">IF(OR(B40="",C40=""),"",WORKDAY(C40,Inputs!$C$132,Lists!$N$4:$N$30))</f>
        <v/>
      </c>
      <c r="AP40" s="30" t="str">
        <f aca="false">IF(B40="","",IF(U40="","missing",IF(U40&gt;AO40,"Y","N")))</f>
        <v/>
      </c>
      <c r="AQ40" s="30" t="n">
        <f aca="false">IF(OR(W40="Y",W40="N"),IF(F40="",1,IF(COUNTIFS(F$5:F40,F40,W$5:W40,"Y")+COUNTIFS(F$5:F40,F40,W$5:W40,"N")=1,1,0)),0)</f>
        <v>0</v>
      </c>
      <c r="AR40" s="30" t="n">
        <f aca="false">IF(W40="Y",IF(F40="",1,IF(COUNTIFS(F$5:F40,F40,W$5:W40,"Y")=1,1,0)),0)</f>
        <v>0</v>
      </c>
    </row>
    <row r="41" customFormat="false" ht="15" hidden="false" customHeight="false" outlineLevel="0" collapsed="false">
      <c r="A41" s="103"/>
      <c r="B41" s="103"/>
      <c r="C41" s="102"/>
      <c r="D41" s="103"/>
      <c r="E41" s="103"/>
      <c r="F41" s="103"/>
      <c r="G41" s="103"/>
      <c r="H41" s="103"/>
      <c r="I41" s="103"/>
      <c r="J41" s="103"/>
      <c r="K41" s="103"/>
      <c r="L41" s="103"/>
      <c r="M41" s="103"/>
      <c r="N41" s="103"/>
      <c r="O41" s="103"/>
      <c r="P41" s="103"/>
      <c r="Q41" s="103"/>
      <c r="R41" s="105"/>
      <c r="S41" s="102"/>
      <c r="T41" s="105"/>
      <c r="U41" s="102"/>
      <c r="V41" s="103"/>
      <c r="W41" s="103"/>
      <c r="X41" s="105"/>
      <c r="Y41" s="102"/>
      <c r="Z41" s="103"/>
      <c r="AL41" s="30" t="str">
        <f aca="false">IF(B41="","",IFERROR(INDEX(Schedule!$N$7:$N$18,MATCH(B41,Schedule!$A$7:$A$18,0)),"not in schedule"))</f>
        <v/>
      </c>
      <c r="AM41" s="19" t="str">
        <f aca="false">IF(B41="","",N(R41)-N(X41))</f>
        <v/>
      </c>
      <c r="AN41" s="95" t="str">
        <f aca="false">IF(B41="","",IF(Z41&lt;&gt;"",Z41,IF(N(G41)&gt;0,N(N41)/G41,"")))</f>
        <v/>
      </c>
      <c r="AO41" s="18" t="str">
        <f aca="false">IF(OR(B41="",C41=""),"",WORKDAY(C41,Inputs!$C$132,Lists!$N$4:$N$30))</f>
        <v/>
      </c>
      <c r="AP41" s="30" t="str">
        <f aca="false">IF(B41="","",IF(U41="","missing",IF(U41&gt;AO41,"Y","N")))</f>
        <v/>
      </c>
      <c r="AQ41" s="30" t="n">
        <f aca="false">IF(OR(W41="Y",W41="N"),IF(F41="",1,IF(COUNTIFS(F$5:F41,F41,W$5:W41,"Y")+COUNTIFS(F$5:F41,F41,W$5:W41,"N")=1,1,0)),0)</f>
        <v>0</v>
      </c>
      <c r="AR41" s="30" t="n">
        <f aca="false">IF(W41="Y",IF(F41="",1,IF(COUNTIFS(F$5:F41,F41,W$5:W41,"Y")=1,1,0)),0)</f>
        <v>0</v>
      </c>
    </row>
    <row r="42" customFormat="false" ht="15" hidden="false" customHeight="false" outlineLevel="0" collapsed="false">
      <c r="A42" s="103"/>
      <c r="B42" s="103"/>
      <c r="C42" s="102"/>
      <c r="D42" s="103"/>
      <c r="E42" s="103"/>
      <c r="F42" s="103"/>
      <c r="G42" s="103"/>
      <c r="H42" s="103"/>
      <c r="I42" s="103"/>
      <c r="J42" s="103"/>
      <c r="K42" s="103"/>
      <c r="L42" s="103"/>
      <c r="M42" s="103"/>
      <c r="N42" s="103"/>
      <c r="O42" s="103"/>
      <c r="P42" s="103"/>
      <c r="Q42" s="103"/>
      <c r="R42" s="105"/>
      <c r="S42" s="102"/>
      <c r="T42" s="105"/>
      <c r="U42" s="102"/>
      <c r="V42" s="103"/>
      <c r="W42" s="103"/>
      <c r="X42" s="105"/>
      <c r="Y42" s="102"/>
      <c r="Z42" s="103"/>
      <c r="AL42" s="30" t="str">
        <f aca="false">IF(B42="","",IFERROR(INDEX(Schedule!$N$7:$N$18,MATCH(B42,Schedule!$A$7:$A$18,0)),"not in schedule"))</f>
        <v/>
      </c>
      <c r="AM42" s="19" t="str">
        <f aca="false">IF(B42="","",N(R42)-N(X42))</f>
        <v/>
      </c>
      <c r="AN42" s="95" t="str">
        <f aca="false">IF(B42="","",IF(Z42&lt;&gt;"",Z42,IF(N(G42)&gt;0,N(N42)/G42,"")))</f>
        <v/>
      </c>
      <c r="AO42" s="18" t="str">
        <f aca="false">IF(OR(B42="",C42=""),"",WORKDAY(C42,Inputs!$C$132,Lists!$N$4:$N$30))</f>
        <v/>
      </c>
      <c r="AP42" s="30" t="str">
        <f aca="false">IF(B42="","",IF(U42="","missing",IF(U42&gt;AO42,"Y","N")))</f>
        <v/>
      </c>
      <c r="AQ42" s="30" t="n">
        <f aca="false">IF(OR(W42="Y",W42="N"),IF(F42="",1,IF(COUNTIFS(F$5:F42,F42,W$5:W42,"Y")+COUNTIFS(F$5:F42,F42,W$5:W42,"N")=1,1,0)),0)</f>
        <v>0</v>
      </c>
      <c r="AR42" s="30" t="n">
        <f aca="false">IF(W42="Y",IF(F42="",1,IF(COUNTIFS(F$5:F42,F42,W$5:W42,"Y")=1,1,0)),0)</f>
        <v>0</v>
      </c>
    </row>
    <row r="43" customFormat="false" ht="15" hidden="false" customHeight="false" outlineLevel="0" collapsed="false">
      <c r="A43" s="103"/>
      <c r="B43" s="103"/>
      <c r="C43" s="102"/>
      <c r="D43" s="103"/>
      <c r="E43" s="103"/>
      <c r="F43" s="103"/>
      <c r="G43" s="103"/>
      <c r="H43" s="103"/>
      <c r="I43" s="103"/>
      <c r="J43" s="103"/>
      <c r="K43" s="103"/>
      <c r="L43" s="103"/>
      <c r="M43" s="103"/>
      <c r="N43" s="103"/>
      <c r="O43" s="103"/>
      <c r="P43" s="103"/>
      <c r="Q43" s="103"/>
      <c r="R43" s="105"/>
      <c r="S43" s="102"/>
      <c r="T43" s="105"/>
      <c r="U43" s="102"/>
      <c r="V43" s="103"/>
      <c r="W43" s="103"/>
      <c r="X43" s="105"/>
      <c r="Y43" s="102"/>
      <c r="Z43" s="103"/>
      <c r="AL43" s="30" t="str">
        <f aca="false">IF(B43="","",IFERROR(INDEX(Schedule!$N$7:$N$18,MATCH(B43,Schedule!$A$7:$A$18,0)),"not in schedule"))</f>
        <v/>
      </c>
      <c r="AM43" s="19" t="str">
        <f aca="false">IF(B43="","",N(R43)-N(X43))</f>
        <v/>
      </c>
      <c r="AN43" s="95" t="str">
        <f aca="false">IF(B43="","",IF(Z43&lt;&gt;"",Z43,IF(N(G43)&gt;0,N(N43)/G43,"")))</f>
        <v/>
      </c>
      <c r="AO43" s="18" t="str">
        <f aca="false">IF(OR(B43="",C43=""),"",WORKDAY(C43,Inputs!$C$132,Lists!$N$4:$N$30))</f>
        <v/>
      </c>
      <c r="AP43" s="30" t="str">
        <f aca="false">IF(B43="","",IF(U43="","missing",IF(U43&gt;AO43,"Y","N")))</f>
        <v/>
      </c>
      <c r="AQ43" s="30" t="n">
        <f aca="false">IF(OR(W43="Y",W43="N"),IF(F43="",1,IF(COUNTIFS(F$5:F43,F43,W$5:W43,"Y")+COUNTIFS(F$5:F43,F43,W$5:W43,"N")=1,1,0)),0)</f>
        <v>0</v>
      </c>
      <c r="AR43" s="30" t="n">
        <f aca="false">IF(W43="Y",IF(F43="",1,IF(COUNTIFS(F$5:F43,F43,W$5:W43,"Y")=1,1,0)),0)</f>
        <v>0</v>
      </c>
    </row>
    <row r="44" customFormat="false" ht="15" hidden="false" customHeight="false" outlineLevel="0" collapsed="false">
      <c r="A44" s="103"/>
      <c r="B44" s="103"/>
      <c r="C44" s="102"/>
      <c r="D44" s="103"/>
      <c r="E44" s="103"/>
      <c r="F44" s="103"/>
      <c r="G44" s="103"/>
      <c r="H44" s="103"/>
      <c r="I44" s="103"/>
      <c r="J44" s="103"/>
      <c r="K44" s="103"/>
      <c r="L44" s="103"/>
      <c r="M44" s="103"/>
      <c r="N44" s="103"/>
      <c r="O44" s="103"/>
      <c r="P44" s="103"/>
      <c r="Q44" s="103"/>
      <c r="R44" s="105"/>
      <c r="S44" s="102"/>
      <c r="T44" s="105"/>
      <c r="U44" s="102"/>
      <c r="V44" s="103"/>
      <c r="W44" s="103"/>
      <c r="X44" s="105"/>
      <c r="Y44" s="102"/>
      <c r="Z44" s="103"/>
      <c r="AL44" s="30" t="str">
        <f aca="false">IF(B44="","",IFERROR(INDEX(Schedule!$N$7:$N$18,MATCH(B44,Schedule!$A$7:$A$18,0)),"not in schedule"))</f>
        <v/>
      </c>
      <c r="AM44" s="19" t="str">
        <f aca="false">IF(B44="","",N(R44)-N(X44))</f>
        <v/>
      </c>
      <c r="AN44" s="95" t="str">
        <f aca="false">IF(B44="","",IF(Z44&lt;&gt;"",Z44,IF(N(G44)&gt;0,N(N44)/G44,"")))</f>
        <v/>
      </c>
      <c r="AO44" s="18" t="str">
        <f aca="false">IF(OR(B44="",C44=""),"",WORKDAY(C44,Inputs!$C$132,Lists!$N$4:$N$30))</f>
        <v/>
      </c>
      <c r="AP44" s="30" t="str">
        <f aca="false">IF(B44="","",IF(U44="","missing",IF(U44&gt;AO44,"Y","N")))</f>
        <v/>
      </c>
      <c r="AQ44" s="30" t="n">
        <f aca="false">IF(OR(W44="Y",W44="N"),IF(F44="",1,IF(COUNTIFS(F$5:F44,F44,W$5:W44,"Y")+COUNTIFS(F$5:F44,F44,W$5:W44,"N")=1,1,0)),0)</f>
        <v>0</v>
      </c>
      <c r="AR44" s="30" t="n">
        <f aca="false">IF(W44="Y",IF(F44="",1,IF(COUNTIFS(F$5:F44,F44,W$5:W44,"Y")=1,1,0)),0)</f>
        <v>0</v>
      </c>
    </row>
    <row r="45" customFormat="false" ht="15" hidden="false" customHeight="false" outlineLevel="0" collapsed="false">
      <c r="A45" s="103"/>
      <c r="B45" s="103"/>
      <c r="C45" s="102"/>
      <c r="D45" s="103"/>
      <c r="E45" s="103"/>
      <c r="F45" s="103"/>
      <c r="G45" s="103"/>
      <c r="H45" s="103"/>
      <c r="I45" s="103"/>
      <c r="J45" s="103"/>
      <c r="K45" s="103"/>
      <c r="L45" s="103"/>
      <c r="M45" s="103"/>
      <c r="N45" s="103"/>
      <c r="O45" s="103"/>
      <c r="P45" s="103"/>
      <c r="Q45" s="103"/>
      <c r="R45" s="105"/>
      <c r="S45" s="102"/>
      <c r="T45" s="105"/>
      <c r="U45" s="102"/>
      <c r="V45" s="103"/>
      <c r="W45" s="103"/>
      <c r="X45" s="105"/>
      <c r="Y45" s="102"/>
      <c r="Z45" s="103"/>
      <c r="AL45" s="30" t="str">
        <f aca="false">IF(B45="","",IFERROR(INDEX(Schedule!$N$7:$N$18,MATCH(B45,Schedule!$A$7:$A$18,0)),"not in schedule"))</f>
        <v/>
      </c>
      <c r="AM45" s="19" t="str">
        <f aca="false">IF(B45="","",N(R45)-N(X45))</f>
        <v/>
      </c>
      <c r="AN45" s="95" t="str">
        <f aca="false">IF(B45="","",IF(Z45&lt;&gt;"",Z45,IF(N(G45)&gt;0,N(N45)/G45,"")))</f>
        <v/>
      </c>
      <c r="AO45" s="18" t="str">
        <f aca="false">IF(OR(B45="",C45=""),"",WORKDAY(C45,Inputs!$C$132,Lists!$N$4:$N$30))</f>
        <v/>
      </c>
      <c r="AP45" s="30" t="str">
        <f aca="false">IF(B45="","",IF(U45="","missing",IF(U45&gt;AO45,"Y","N")))</f>
        <v/>
      </c>
      <c r="AQ45" s="30" t="n">
        <f aca="false">IF(OR(W45="Y",W45="N"),IF(F45="",1,IF(COUNTIFS(F$5:F45,F45,W$5:W45,"Y")+COUNTIFS(F$5:F45,F45,W$5:W45,"N")=1,1,0)),0)</f>
        <v>0</v>
      </c>
      <c r="AR45" s="30" t="n">
        <f aca="false">IF(W45="Y",IF(F45="",1,IF(COUNTIFS(F$5:F45,F45,W$5:W45,"Y")=1,1,0)),0)</f>
        <v>0</v>
      </c>
    </row>
    <row r="46" customFormat="false" ht="15" hidden="false" customHeight="false" outlineLevel="0" collapsed="false">
      <c r="A46" s="103"/>
      <c r="B46" s="103"/>
      <c r="C46" s="102"/>
      <c r="D46" s="103"/>
      <c r="E46" s="103"/>
      <c r="F46" s="103"/>
      <c r="G46" s="103"/>
      <c r="H46" s="103"/>
      <c r="I46" s="103"/>
      <c r="J46" s="103"/>
      <c r="K46" s="103"/>
      <c r="L46" s="103"/>
      <c r="M46" s="103"/>
      <c r="N46" s="103"/>
      <c r="O46" s="103"/>
      <c r="P46" s="103"/>
      <c r="Q46" s="103"/>
      <c r="R46" s="105"/>
      <c r="S46" s="102"/>
      <c r="T46" s="105"/>
      <c r="U46" s="102"/>
      <c r="V46" s="103"/>
      <c r="W46" s="103"/>
      <c r="X46" s="105"/>
      <c r="Y46" s="102"/>
      <c r="Z46" s="103"/>
      <c r="AL46" s="30" t="str">
        <f aca="false">IF(B46="","",IFERROR(INDEX(Schedule!$N$7:$N$18,MATCH(B46,Schedule!$A$7:$A$18,0)),"not in schedule"))</f>
        <v/>
      </c>
      <c r="AM46" s="19" t="str">
        <f aca="false">IF(B46="","",N(R46)-N(X46))</f>
        <v/>
      </c>
      <c r="AN46" s="95" t="str">
        <f aca="false">IF(B46="","",IF(Z46&lt;&gt;"",Z46,IF(N(G46)&gt;0,N(N46)/G46,"")))</f>
        <v/>
      </c>
      <c r="AO46" s="18" t="str">
        <f aca="false">IF(OR(B46="",C46=""),"",WORKDAY(C46,Inputs!$C$132,Lists!$N$4:$N$30))</f>
        <v/>
      </c>
      <c r="AP46" s="30" t="str">
        <f aca="false">IF(B46="","",IF(U46="","missing",IF(U46&gt;AO46,"Y","N")))</f>
        <v/>
      </c>
      <c r="AQ46" s="30" t="n">
        <f aca="false">IF(OR(W46="Y",W46="N"),IF(F46="",1,IF(COUNTIFS(F$5:F46,F46,W$5:W46,"Y")+COUNTIFS(F$5:F46,F46,W$5:W46,"N")=1,1,0)),0)</f>
        <v>0</v>
      </c>
      <c r="AR46" s="30" t="n">
        <f aca="false">IF(W46="Y",IF(F46="",1,IF(COUNTIFS(F$5:F46,F46,W$5:W46,"Y")=1,1,0)),0)</f>
        <v>0</v>
      </c>
    </row>
    <row r="47" customFormat="false" ht="15" hidden="false" customHeight="false" outlineLevel="0" collapsed="false">
      <c r="A47" s="103"/>
      <c r="B47" s="103"/>
      <c r="C47" s="102"/>
      <c r="D47" s="103"/>
      <c r="E47" s="103"/>
      <c r="F47" s="103"/>
      <c r="G47" s="103"/>
      <c r="H47" s="103"/>
      <c r="I47" s="103"/>
      <c r="J47" s="103"/>
      <c r="K47" s="103"/>
      <c r="L47" s="103"/>
      <c r="M47" s="103"/>
      <c r="N47" s="103"/>
      <c r="O47" s="103"/>
      <c r="P47" s="103"/>
      <c r="Q47" s="103"/>
      <c r="R47" s="105"/>
      <c r="S47" s="102"/>
      <c r="T47" s="105"/>
      <c r="U47" s="102"/>
      <c r="V47" s="103"/>
      <c r="W47" s="103"/>
      <c r="X47" s="105"/>
      <c r="Y47" s="102"/>
      <c r="Z47" s="103"/>
      <c r="AL47" s="30" t="str">
        <f aca="false">IF(B47="","",IFERROR(INDEX(Schedule!$N$7:$N$18,MATCH(B47,Schedule!$A$7:$A$18,0)),"not in schedule"))</f>
        <v/>
      </c>
      <c r="AM47" s="19" t="str">
        <f aca="false">IF(B47="","",N(R47)-N(X47))</f>
        <v/>
      </c>
      <c r="AN47" s="95" t="str">
        <f aca="false">IF(B47="","",IF(Z47&lt;&gt;"",Z47,IF(N(G47)&gt;0,N(N47)/G47,"")))</f>
        <v/>
      </c>
      <c r="AO47" s="18" t="str">
        <f aca="false">IF(OR(B47="",C47=""),"",WORKDAY(C47,Inputs!$C$132,Lists!$N$4:$N$30))</f>
        <v/>
      </c>
      <c r="AP47" s="30" t="str">
        <f aca="false">IF(B47="","",IF(U47="","missing",IF(U47&gt;AO47,"Y","N")))</f>
        <v/>
      </c>
      <c r="AQ47" s="30" t="n">
        <f aca="false">IF(OR(W47="Y",W47="N"),IF(F47="",1,IF(COUNTIFS(F$5:F47,F47,W$5:W47,"Y")+COUNTIFS(F$5:F47,F47,W$5:W47,"N")=1,1,0)),0)</f>
        <v>0</v>
      </c>
      <c r="AR47" s="30" t="n">
        <f aca="false">IF(W47="Y",IF(F47="",1,IF(COUNTIFS(F$5:F47,F47,W$5:W47,"Y")=1,1,0)),0)</f>
        <v>0</v>
      </c>
    </row>
    <row r="48" customFormat="false" ht="15" hidden="false" customHeight="false" outlineLevel="0" collapsed="false">
      <c r="A48" s="103"/>
      <c r="B48" s="103"/>
      <c r="C48" s="102"/>
      <c r="D48" s="103"/>
      <c r="E48" s="103"/>
      <c r="F48" s="103"/>
      <c r="G48" s="103"/>
      <c r="H48" s="103"/>
      <c r="I48" s="103"/>
      <c r="J48" s="103"/>
      <c r="K48" s="103"/>
      <c r="L48" s="103"/>
      <c r="M48" s="103"/>
      <c r="N48" s="103"/>
      <c r="O48" s="103"/>
      <c r="P48" s="103"/>
      <c r="Q48" s="103"/>
      <c r="R48" s="105"/>
      <c r="S48" s="102"/>
      <c r="T48" s="105"/>
      <c r="U48" s="102"/>
      <c r="V48" s="103"/>
      <c r="W48" s="103"/>
      <c r="X48" s="105"/>
      <c r="Y48" s="102"/>
      <c r="Z48" s="103"/>
      <c r="AL48" s="30" t="str">
        <f aca="false">IF(B48="","",IFERROR(INDEX(Schedule!$N$7:$N$18,MATCH(B48,Schedule!$A$7:$A$18,0)),"not in schedule"))</f>
        <v/>
      </c>
      <c r="AM48" s="19" t="str">
        <f aca="false">IF(B48="","",N(R48)-N(X48))</f>
        <v/>
      </c>
      <c r="AN48" s="95" t="str">
        <f aca="false">IF(B48="","",IF(Z48&lt;&gt;"",Z48,IF(N(G48)&gt;0,N(N48)/G48,"")))</f>
        <v/>
      </c>
      <c r="AO48" s="18" t="str">
        <f aca="false">IF(OR(B48="",C48=""),"",WORKDAY(C48,Inputs!$C$132,Lists!$N$4:$N$30))</f>
        <v/>
      </c>
      <c r="AP48" s="30" t="str">
        <f aca="false">IF(B48="","",IF(U48="","missing",IF(U48&gt;AO48,"Y","N")))</f>
        <v/>
      </c>
      <c r="AQ48" s="30" t="n">
        <f aca="false">IF(OR(W48="Y",W48="N"),IF(F48="",1,IF(COUNTIFS(F$5:F48,F48,W$5:W48,"Y")+COUNTIFS(F$5:F48,F48,W$5:W48,"N")=1,1,0)),0)</f>
        <v>0</v>
      </c>
      <c r="AR48" s="30" t="n">
        <f aca="false">IF(W48="Y",IF(F48="",1,IF(COUNTIFS(F$5:F48,F48,W$5:W48,"Y")=1,1,0)),0)</f>
        <v>0</v>
      </c>
    </row>
    <row r="49" customFormat="false" ht="15" hidden="false" customHeight="false" outlineLevel="0" collapsed="false">
      <c r="A49" s="103"/>
      <c r="B49" s="103"/>
      <c r="C49" s="102"/>
      <c r="D49" s="103"/>
      <c r="E49" s="103"/>
      <c r="F49" s="103"/>
      <c r="G49" s="103"/>
      <c r="H49" s="103"/>
      <c r="I49" s="103"/>
      <c r="J49" s="103"/>
      <c r="K49" s="103"/>
      <c r="L49" s="103"/>
      <c r="M49" s="103"/>
      <c r="N49" s="103"/>
      <c r="O49" s="103"/>
      <c r="P49" s="103"/>
      <c r="Q49" s="103"/>
      <c r="R49" s="105"/>
      <c r="S49" s="102"/>
      <c r="T49" s="105"/>
      <c r="U49" s="102"/>
      <c r="V49" s="103"/>
      <c r="W49" s="103"/>
      <c r="X49" s="105"/>
      <c r="Y49" s="102"/>
      <c r="Z49" s="103"/>
      <c r="AL49" s="30" t="str">
        <f aca="false">IF(B49="","",IFERROR(INDEX(Schedule!$N$7:$N$18,MATCH(B49,Schedule!$A$7:$A$18,0)),"not in schedule"))</f>
        <v/>
      </c>
      <c r="AM49" s="19" t="str">
        <f aca="false">IF(B49="","",N(R49)-N(X49))</f>
        <v/>
      </c>
      <c r="AN49" s="95" t="str">
        <f aca="false">IF(B49="","",IF(Z49&lt;&gt;"",Z49,IF(N(G49)&gt;0,N(N49)/G49,"")))</f>
        <v/>
      </c>
      <c r="AO49" s="18" t="str">
        <f aca="false">IF(OR(B49="",C49=""),"",WORKDAY(C49,Inputs!$C$132,Lists!$N$4:$N$30))</f>
        <v/>
      </c>
      <c r="AP49" s="30" t="str">
        <f aca="false">IF(B49="","",IF(U49="","missing",IF(U49&gt;AO49,"Y","N")))</f>
        <v/>
      </c>
      <c r="AQ49" s="30" t="n">
        <f aca="false">IF(OR(W49="Y",W49="N"),IF(F49="",1,IF(COUNTIFS(F$5:F49,F49,W$5:W49,"Y")+COUNTIFS(F$5:F49,F49,W$5:W49,"N")=1,1,0)),0)</f>
        <v>0</v>
      </c>
      <c r="AR49" s="30" t="n">
        <f aca="false">IF(W49="Y",IF(F49="",1,IF(COUNTIFS(F$5:F49,F49,W$5:W49,"Y")=1,1,0)),0)</f>
        <v>0</v>
      </c>
    </row>
    <row r="50" customFormat="false" ht="15" hidden="false" customHeight="false" outlineLevel="0" collapsed="false">
      <c r="A50" s="103"/>
      <c r="B50" s="103"/>
      <c r="C50" s="102"/>
      <c r="D50" s="103"/>
      <c r="E50" s="103"/>
      <c r="F50" s="103"/>
      <c r="G50" s="103"/>
      <c r="H50" s="103"/>
      <c r="I50" s="103"/>
      <c r="J50" s="103"/>
      <c r="K50" s="103"/>
      <c r="L50" s="103"/>
      <c r="M50" s="103"/>
      <c r="N50" s="103"/>
      <c r="O50" s="103"/>
      <c r="P50" s="103"/>
      <c r="Q50" s="103"/>
      <c r="R50" s="105"/>
      <c r="S50" s="102"/>
      <c r="T50" s="105"/>
      <c r="U50" s="102"/>
      <c r="V50" s="103"/>
      <c r="W50" s="103"/>
      <c r="X50" s="105"/>
      <c r="Y50" s="102"/>
      <c r="Z50" s="103"/>
      <c r="AL50" s="30" t="str">
        <f aca="false">IF(B50="","",IFERROR(INDEX(Schedule!$N$7:$N$18,MATCH(B50,Schedule!$A$7:$A$18,0)),"not in schedule"))</f>
        <v/>
      </c>
      <c r="AM50" s="19" t="str">
        <f aca="false">IF(B50="","",N(R50)-N(X50))</f>
        <v/>
      </c>
      <c r="AN50" s="95" t="str">
        <f aca="false">IF(B50="","",IF(Z50&lt;&gt;"",Z50,IF(N(G50)&gt;0,N(N50)/G50,"")))</f>
        <v/>
      </c>
      <c r="AO50" s="18" t="str">
        <f aca="false">IF(OR(B50="",C50=""),"",WORKDAY(C50,Inputs!$C$132,Lists!$N$4:$N$30))</f>
        <v/>
      </c>
      <c r="AP50" s="30" t="str">
        <f aca="false">IF(B50="","",IF(U50="","missing",IF(U50&gt;AO50,"Y","N")))</f>
        <v/>
      </c>
      <c r="AQ50" s="30" t="n">
        <f aca="false">IF(OR(W50="Y",W50="N"),IF(F50="",1,IF(COUNTIFS(F$5:F50,F50,W$5:W50,"Y")+COUNTIFS(F$5:F50,F50,W$5:W50,"N")=1,1,0)),0)</f>
        <v>0</v>
      </c>
      <c r="AR50" s="30" t="n">
        <f aca="false">IF(W50="Y",IF(F50="",1,IF(COUNTIFS(F$5:F50,F50,W$5:W50,"Y")=1,1,0)),0)</f>
        <v>0</v>
      </c>
    </row>
    <row r="51" customFormat="false" ht="15" hidden="false" customHeight="false" outlineLevel="0" collapsed="false">
      <c r="A51" s="103"/>
      <c r="B51" s="103"/>
      <c r="C51" s="102"/>
      <c r="D51" s="103"/>
      <c r="E51" s="103"/>
      <c r="F51" s="103"/>
      <c r="G51" s="103"/>
      <c r="H51" s="103"/>
      <c r="I51" s="103"/>
      <c r="J51" s="103"/>
      <c r="K51" s="103"/>
      <c r="L51" s="103"/>
      <c r="M51" s="103"/>
      <c r="N51" s="103"/>
      <c r="O51" s="103"/>
      <c r="P51" s="103"/>
      <c r="Q51" s="103"/>
      <c r="R51" s="105"/>
      <c r="S51" s="102"/>
      <c r="T51" s="105"/>
      <c r="U51" s="102"/>
      <c r="V51" s="103"/>
      <c r="W51" s="103"/>
      <c r="X51" s="105"/>
      <c r="Y51" s="102"/>
      <c r="Z51" s="103"/>
      <c r="AL51" s="30" t="str">
        <f aca="false">IF(B51="","",IFERROR(INDEX(Schedule!$N$7:$N$18,MATCH(B51,Schedule!$A$7:$A$18,0)),"not in schedule"))</f>
        <v/>
      </c>
      <c r="AM51" s="19" t="str">
        <f aca="false">IF(B51="","",N(R51)-N(X51))</f>
        <v/>
      </c>
      <c r="AN51" s="95" t="str">
        <f aca="false">IF(B51="","",IF(Z51&lt;&gt;"",Z51,IF(N(G51)&gt;0,N(N51)/G51,"")))</f>
        <v/>
      </c>
      <c r="AO51" s="18" t="str">
        <f aca="false">IF(OR(B51="",C51=""),"",WORKDAY(C51,Inputs!$C$132,Lists!$N$4:$N$30))</f>
        <v/>
      </c>
      <c r="AP51" s="30" t="str">
        <f aca="false">IF(B51="","",IF(U51="","missing",IF(U51&gt;AO51,"Y","N")))</f>
        <v/>
      </c>
      <c r="AQ51" s="30" t="n">
        <f aca="false">IF(OR(W51="Y",W51="N"),IF(F51="",1,IF(COUNTIFS(F$5:F51,F51,W$5:W51,"Y")+COUNTIFS(F$5:F51,F51,W$5:W51,"N")=1,1,0)),0)</f>
        <v>0</v>
      </c>
      <c r="AR51" s="30" t="n">
        <f aca="false">IF(W51="Y",IF(F51="",1,IF(COUNTIFS(F$5:F51,F51,W$5:W51,"Y")=1,1,0)),0)</f>
        <v>0</v>
      </c>
    </row>
    <row r="52" customFormat="false" ht="15" hidden="false" customHeight="false" outlineLevel="0" collapsed="false">
      <c r="A52" s="103"/>
      <c r="B52" s="103"/>
      <c r="C52" s="102"/>
      <c r="D52" s="103"/>
      <c r="E52" s="103"/>
      <c r="F52" s="103"/>
      <c r="G52" s="103"/>
      <c r="H52" s="103"/>
      <c r="I52" s="103"/>
      <c r="J52" s="103"/>
      <c r="K52" s="103"/>
      <c r="L52" s="103"/>
      <c r="M52" s="103"/>
      <c r="N52" s="103"/>
      <c r="O52" s="103"/>
      <c r="P52" s="103"/>
      <c r="Q52" s="103"/>
      <c r="R52" s="105"/>
      <c r="S52" s="102"/>
      <c r="T52" s="105"/>
      <c r="U52" s="102"/>
      <c r="V52" s="103"/>
      <c r="W52" s="103"/>
      <c r="X52" s="105"/>
      <c r="Y52" s="102"/>
      <c r="Z52" s="103"/>
      <c r="AL52" s="30" t="str">
        <f aca="false">IF(B52="","",IFERROR(INDEX(Schedule!$N$7:$N$18,MATCH(B52,Schedule!$A$7:$A$18,0)),"not in schedule"))</f>
        <v/>
      </c>
      <c r="AM52" s="19" t="str">
        <f aca="false">IF(B52="","",N(R52)-N(X52))</f>
        <v/>
      </c>
      <c r="AN52" s="95" t="str">
        <f aca="false">IF(B52="","",IF(Z52&lt;&gt;"",Z52,IF(N(G52)&gt;0,N(N52)/G52,"")))</f>
        <v/>
      </c>
      <c r="AO52" s="18" t="str">
        <f aca="false">IF(OR(B52="",C52=""),"",WORKDAY(C52,Inputs!$C$132,Lists!$N$4:$N$30))</f>
        <v/>
      </c>
      <c r="AP52" s="30" t="str">
        <f aca="false">IF(B52="","",IF(U52="","missing",IF(U52&gt;AO52,"Y","N")))</f>
        <v/>
      </c>
      <c r="AQ52" s="30" t="n">
        <f aca="false">IF(OR(W52="Y",W52="N"),IF(F52="",1,IF(COUNTIFS(F$5:F52,F52,W$5:W52,"Y")+COUNTIFS(F$5:F52,F52,W$5:W52,"N")=1,1,0)),0)</f>
        <v>0</v>
      </c>
      <c r="AR52" s="30" t="n">
        <f aca="false">IF(W52="Y",IF(F52="",1,IF(COUNTIFS(F$5:F52,F52,W$5:W52,"Y")=1,1,0)),0)</f>
        <v>0</v>
      </c>
    </row>
    <row r="53" customFormat="false" ht="15" hidden="false" customHeight="false" outlineLevel="0" collapsed="false">
      <c r="A53" s="103"/>
      <c r="B53" s="103"/>
      <c r="C53" s="102"/>
      <c r="D53" s="103"/>
      <c r="E53" s="103"/>
      <c r="F53" s="103"/>
      <c r="G53" s="103"/>
      <c r="H53" s="103"/>
      <c r="I53" s="103"/>
      <c r="J53" s="103"/>
      <c r="K53" s="103"/>
      <c r="L53" s="103"/>
      <c r="M53" s="103"/>
      <c r="N53" s="103"/>
      <c r="O53" s="103"/>
      <c r="P53" s="103"/>
      <c r="Q53" s="103"/>
      <c r="R53" s="105"/>
      <c r="S53" s="102"/>
      <c r="T53" s="105"/>
      <c r="U53" s="102"/>
      <c r="V53" s="103"/>
      <c r="W53" s="103"/>
      <c r="X53" s="105"/>
      <c r="Y53" s="102"/>
      <c r="Z53" s="103"/>
      <c r="AL53" s="30" t="str">
        <f aca="false">IF(B53="","",IFERROR(INDEX(Schedule!$N$7:$N$18,MATCH(B53,Schedule!$A$7:$A$18,0)),"not in schedule"))</f>
        <v/>
      </c>
      <c r="AM53" s="19" t="str">
        <f aca="false">IF(B53="","",N(R53)-N(X53))</f>
        <v/>
      </c>
      <c r="AN53" s="95" t="str">
        <f aca="false">IF(B53="","",IF(Z53&lt;&gt;"",Z53,IF(N(G53)&gt;0,N(N53)/G53,"")))</f>
        <v/>
      </c>
      <c r="AO53" s="18" t="str">
        <f aca="false">IF(OR(B53="",C53=""),"",WORKDAY(C53,Inputs!$C$132,Lists!$N$4:$N$30))</f>
        <v/>
      </c>
      <c r="AP53" s="30" t="str">
        <f aca="false">IF(B53="","",IF(U53="","missing",IF(U53&gt;AO53,"Y","N")))</f>
        <v/>
      </c>
      <c r="AQ53" s="30" t="n">
        <f aca="false">IF(OR(W53="Y",W53="N"),IF(F53="",1,IF(COUNTIFS(F$5:F53,F53,W$5:W53,"Y")+COUNTIFS(F$5:F53,F53,W$5:W53,"N")=1,1,0)),0)</f>
        <v>0</v>
      </c>
      <c r="AR53" s="30" t="n">
        <f aca="false">IF(W53="Y",IF(F53="",1,IF(COUNTIFS(F$5:F53,F53,W$5:W53,"Y")=1,1,0)),0)</f>
        <v>0</v>
      </c>
    </row>
    <row r="54" customFormat="false" ht="15" hidden="false" customHeight="false" outlineLevel="0" collapsed="false">
      <c r="A54" s="103"/>
      <c r="B54" s="103"/>
      <c r="C54" s="102"/>
      <c r="D54" s="103"/>
      <c r="E54" s="103"/>
      <c r="F54" s="103"/>
      <c r="G54" s="103"/>
      <c r="H54" s="103"/>
      <c r="I54" s="103"/>
      <c r="J54" s="103"/>
      <c r="K54" s="103"/>
      <c r="L54" s="103"/>
      <c r="M54" s="103"/>
      <c r="N54" s="103"/>
      <c r="O54" s="103"/>
      <c r="P54" s="103"/>
      <c r="Q54" s="103"/>
      <c r="R54" s="105"/>
      <c r="S54" s="102"/>
      <c r="T54" s="105"/>
      <c r="U54" s="102"/>
      <c r="V54" s="103"/>
      <c r="W54" s="103"/>
      <c r="X54" s="105"/>
      <c r="Y54" s="102"/>
      <c r="Z54" s="103"/>
      <c r="AL54" s="30" t="str">
        <f aca="false">IF(B54="","",IFERROR(INDEX(Schedule!$N$7:$N$18,MATCH(B54,Schedule!$A$7:$A$18,0)),"not in schedule"))</f>
        <v/>
      </c>
      <c r="AM54" s="19" t="str">
        <f aca="false">IF(B54="","",N(R54)-N(X54))</f>
        <v/>
      </c>
      <c r="AN54" s="95" t="str">
        <f aca="false">IF(B54="","",IF(Z54&lt;&gt;"",Z54,IF(N(G54)&gt;0,N(N54)/G54,"")))</f>
        <v/>
      </c>
      <c r="AO54" s="18" t="str">
        <f aca="false">IF(OR(B54="",C54=""),"",WORKDAY(C54,Inputs!$C$132,Lists!$N$4:$N$30))</f>
        <v/>
      </c>
      <c r="AP54" s="30" t="str">
        <f aca="false">IF(B54="","",IF(U54="","missing",IF(U54&gt;AO54,"Y","N")))</f>
        <v/>
      </c>
      <c r="AQ54" s="30" t="n">
        <f aca="false">IF(OR(W54="Y",W54="N"),IF(F54="",1,IF(COUNTIFS(F$5:F54,F54,W$5:W54,"Y")+COUNTIFS(F$5:F54,F54,W$5:W54,"N")=1,1,0)),0)</f>
        <v>0</v>
      </c>
      <c r="AR54" s="30" t="n">
        <f aca="false">IF(W54="Y",IF(F54="",1,IF(COUNTIFS(F$5:F54,F54,W$5:W54,"Y")=1,1,0)),0)</f>
        <v>0</v>
      </c>
    </row>
    <row r="55" customFormat="false" ht="15" hidden="false" customHeight="false" outlineLevel="0" collapsed="false">
      <c r="A55" s="103"/>
      <c r="B55" s="103"/>
      <c r="C55" s="102"/>
      <c r="D55" s="103"/>
      <c r="E55" s="103"/>
      <c r="F55" s="103"/>
      <c r="G55" s="103"/>
      <c r="H55" s="103"/>
      <c r="I55" s="103"/>
      <c r="J55" s="103"/>
      <c r="K55" s="103"/>
      <c r="L55" s="103"/>
      <c r="M55" s="103"/>
      <c r="N55" s="103"/>
      <c r="O55" s="103"/>
      <c r="P55" s="103"/>
      <c r="Q55" s="103"/>
      <c r="R55" s="105"/>
      <c r="S55" s="102"/>
      <c r="T55" s="105"/>
      <c r="U55" s="102"/>
      <c r="V55" s="103"/>
      <c r="W55" s="103"/>
      <c r="X55" s="105"/>
      <c r="Y55" s="102"/>
      <c r="Z55" s="103"/>
      <c r="AL55" s="30" t="str">
        <f aca="false">IF(B55="","",IFERROR(INDEX(Schedule!$N$7:$N$18,MATCH(B55,Schedule!$A$7:$A$18,0)),"not in schedule"))</f>
        <v/>
      </c>
      <c r="AM55" s="19" t="str">
        <f aca="false">IF(B55="","",N(R55)-N(X55))</f>
        <v/>
      </c>
      <c r="AN55" s="95" t="str">
        <f aca="false">IF(B55="","",IF(Z55&lt;&gt;"",Z55,IF(N(G55)&gt;0,N(N55)/G55,"")))</f>
        <v/>
      </c>
      <c r="AO55" s="18" t="str">
        <f aca="false">IF(OR(B55="",C55=""),"",WORKDAY(C55,Inputs!$C$132,Lists!$N$4:$N$30))</f>
        <v/>
      </c>
      <c r="AP55" s="30" t="str">
        <f aca="false">IF(B55="","",IF(U55="","missing",IF(U55&gt;AO55,"Y","N")))</f>
        <v/>
      </c>
      <c r="AQ55" s="30" t="n">
        <f aca="false">IF(OR(W55="Y",W55="N"),IF(F55="",1,IF(COUNTIFS(F$5:F55,F55,W$5:W55,"Y")+COUNTIFS(F$5:F55,F55,W$5:W55,"N")=1,1,0)),0)</f>
        <v>0</v>
      </c>
      <c r="AR55" s="30" t="n">
        <f aca="false">IF(W55="Y",IF(F55="",1,IF(COUNTIFS(F$5:F55,F55,W$5:W55,"Y")=1,1,0)),0)</f>
        <v>0</v>
      </c>
    </row>
    <row r="56" customFormat="false" ht="15" hidden="false" customHeight="false" outlineLevel="0" collapsed="false">
      <c r="A56" s="103"/>
      <c r="B56" s="103"/>
      <c r="C56" s="102"/>
      <c r="D56" s="103"/>
      <c r="E56" s="103"/>
      <c r="F56" s="103"/>
      <c r="G56" s="103"/>
      <c r="H56" s="103"/>
      <c r="I56" s="103"/>
      <c r="J56" s="103"/>
      <c r="K56" s="103"/>
      <c r="L56" s="103"/>
      <c r="M56" s="103"/>
      <c r="N56" s="103"/>
      <c r="O56" s="103"/>
      <c r="P56" s="103"/>
      <c r="Q56" s="103"/>
      <c r="R56" s="105"/>
      <c r="S56" s="102"/>
      <c r="T56" s="105"/>
      <c r="U56" s="102"/>
      <c r="V56" s="103"/>
      <c r="W56" s="103"/>
      <c r="X56" s="105"/>
      <c r="Y56" s="102"/>
      <c r="Z56" s="103"/>
      <c r="AL56" s="30" t="str">
        <f aca="false">IF(B56="","",IFERROR(INDEX(Schedule!$N$7:$N$18,MATCH(B56,Schedule!$A$7:$A$18,0)),"not in schedule"))</f>
        <v/>
      </c>
      <c r="AM56" s="19" t="str">
        <f aca="false">IF(B56="","",N(R56)-N(X56))</f>
        <v/>
      </c>
      <c r="AN56" s="95" t="str">
        <f aca="false">IF(B56="","",IF(Z56&lt;&gt;"",Z56,IF(N(G56)&gt;0,N(N56)/G56,"")))</f>
        <v/>
      </c>
      <c r="AO56" s="18" t="str">
        <f aca="false">IF(OR(B56="",C56=""),"",WORKDAY(C56,Inputs!$C$132,Lists!$N$4:$N$30))</f>
        <v/>
      </c>
      <c r="AP56" s="30" t="str">
        <f aca="false">IF(B56="","",IF(U56="","missing",IF(U56&gt;AO56,"Y","N")))</f>
        <v/>
      </c>
      <c r="AQ56" s="30" t="n">
        <f aca="false">IF(OR(W56="Y",W56="N"),IF(F56="",1,IF(COUNTIFS(F$5:F56,F56,W$5:W56,"Y")+COUNTIFS(F$5:F56,F56,W$5:W56,"N")=1,1,0)),0)</f>
        <v>0</v>
      </c>
      <c r="AR56" s="30" t="n">
        <f aca="false">IF(W56="Y",IF(F56="",1,IF(COUNTIFS(F$5:F56,F56,W$5:W56,"Y")=1,1,0)),0)</f>
        <v>0</v>
      </c>
    </row>
    <row r="57" customFormat="false" ht="15" hidden="false" customHeight="false" outlineLevel="0" collapsed="false">
      <c r="A57" s="103"/>
      <c r="B57" s="103"/>
      <c r="C57" s="102"/>
      <c r="D57" s="103"/>
      <c r="E57" s="103"/>
      <c r="F57" s="103"/>
      <c r="G57" s="103"/>
      <c r="H57" s="103"/>
      <c r="I57" s="103"/>
      <c r="J57" s="103"/>
      <c r="K57" s="103"/>
      <c r="L57" s="103"/>
      <c r="M57" s="103"/>
      <c r="N57" s="103"/>
      <c r="O57" s="103"/>
      <c r="P57" s="103"/>
      <c r="Q57" s="103"/>
      <c r="R57" s="105"/>
      <c r="S57" s="102"/>
      <c r="T57" s="105"/>
      <c r="U57" s="102"/>
      <c r="V57" s="103"/>
      <c r="W57" s="103"/>
      <c r="X57" s="105"/>
      <c r="Y57" s="102"/>
      <c r="Z57" s="103"/>
      <c r="AL57" s="30" t="str">
        <f aca="false">IF(B57="","",IFERROR(INDEX(Schedule!$N$7:$N$18,MATCH(B57,Schedule!$A$7:$A$18,0)),"not in schedule"))</f>
        <v/>
      </c>
      <c r="AM57" s="19" t="str">
        <f aca="false">IF(B57="","",N(R57)-N(X57))</f>
        <v/>
      </c>
      <c r="AN57" s="95" t="str">
        <f aca="false">IF(B57="","",IF(Z57&lt;&gt;"",Z57,IF(N(G57)&gt;0,N(N57)/G57,"")))</f>
        <v/>
      </c>
      <c r="AO57" s="18" t="str">
        <f aca="false">IF(OR(B57="",C57=""),"",WORKDAY(C57,Inputs!$C$132,Lists!$N$4:$N$30))</f>
        <v/>
      </c>
      <c r="AP57" s="30" t="str">
        <f aca="false">IF(B57="","",IF(U57="","missing",IF(U57&gt;AO57,"Y","N")))</f>
        <v/>
      </c>
      <c r="AQ57" s="30" t="n">
        <f aca="false">IF(OR(W57="Y",W57="N"),IF(F57="",1,IF(COUNTIFS(F$5:F57,F57,W$5:W57,"Y")+COUNTIFS(F$5:F57,F57,W$5:W57,"N")=1,1,0)),0)</f>
        <v>0</v>
      </c>
      <c r="AR57" s="30" t="n">
        <f aca="false">IF(W57="Y",IF(F57="",1,IF(COUNTIFS(F$5:F57,F57,W$5:W57,"Y")=1,1,0)),0)</f>
        <v>0</v>
      </c>
    </row>
    <row r="58" customFormat="false" ht="15" hidden="false" customHeight="false" outlineLevel="0" collapsed="false">
      <c r="A58" s="103"/>
      <c r="B58" s="103"/>
      <c r="C58" s="102"/>
      <c r="D58" s="103"/>
      <c r="E58" s="103"/>
      <c r="F58" s="103"/>
      <c r="G58" s="103"/>
      <c r="H58" s="103"/>
      <c r="I58" s="103"/>
      <c r="J58" s="103"/>
      <c r="K58" s="103"/>
      <c r="L58" s="103"/>
      <c r="M58" s="103"/>
      <c r="N58" s="103"/>
      <c r="O58" s="103"/>
      <c r="P58" s="103"/>
      <c r="Q58" s="103"/>
      <c r="R58" s="105"/>
      <c r="S58" s="102"/>
      <c r="T58" s="105"/>
      <c r="U58" s="102"/>
      <c r="V58" s="103"/>
      <c r="W58" s="103"/>
      <c r="X58" s="105"/>
      <c r="Y58" s="102"/>
      <c r="Z58" s="103"/>
      <c r="AL58" s="30" t="str">
        <f aca="false">IF(B58="","",IFERROR(INDEX(Schedule!$N$7:$N$18,MATCH(B58,Schedule!$A$7:$A$18,0)),"not in schedule"))</f>
        <v/>
      </c>
      <c r="AM58" s="19" t="str">
        <f aca="false">IF(B58="","",N(R58)-N(X58))</f>
        <v/>
      </c>
      <c r="AN58" s="95" t="str">
        <f aca="false">IF(B58="","",IF(Z58&lt;&gt;"",Z58,IF(N(G58)&gt;0,N(N58)/G58,"")))</f>
        <v/>
      </c>
      <c r="AO58" s="18" t="str">
        <f aca="false">IF(OR(B58="",C58=""),"",WORKDAY(C58,Inputs!$C$132,Lists!$N$4:$N$30))</f>
        <v/>
      </c>
      <c r="AP58" s="30" t="str">
        <f aca="false">IF(B58="","",IF(U58="","missing",IF(U58&gt;AO58,"Y","N")))</f>
        <v/>
      </c>
      <c r="AQ58" s="30" t="n">
        <f aca="false">IF(OR(W58="Y",W58="N"),IF(F58="",1,IF(COUNTIFS(F$5:F58,F58,W$5:W58,"Y")+COUNTIFS(F$5:F58,F58,W$5:W58,"N")=1,1,0)),0)</f>
        <v>0</v>
      </c>
      <c r="AR58" s="30" t="n">
        <f aca="false">IF(W58="Y",IF(F58="",1,IF(COUNTIFS(F$5:F58,F58,W$5:W58,"Y")=1,1,0)),0)</f>
        <v>0</v>
      </c>
    </row>
    <row r="59" customFormat="false" ht="15" hidden="false" customHeight="false" outlineLevel="0" collapsed="false">
      <c r="A59" s="103"/>
      <c r="B59" s="103"/>
      <c r="C59" s="102"/>
      <c r="D59" s="103"/>
      <c r="E59" s="103"/>
      <c r="F59" s="103"/>
      <c r="G59" s="103"/>
      <c r="H59" s="103"/>
      <c r="I59" s="103"/>
      <c r="J59" s="103"/>
      <c r="K59" s="103"/>
      <c r="L59" s="103"/>
      <c r="M59" s="103"/>
      <c r="N59" s="103"/>
      <c r="O59" s="103"/>
      <c r="P59" s="103"/>
      <c r="Q59" s="103"/>
      <c r="R59" s="105"/>
      <c r="S59" s="102"/>
      <c r="T59" s="105"/>
      <c r="U59" s="102"/>
      <c r="V59" s="103"/>
      <c r="W59" s="103"/>
      <c r="X59" s="105"/>
      <c r="Y59" s="102"/>
      <c r="Z59" s="103"/>
      <c r="AL59" s="30" t="str">
        <f aca="false">IF(B59="","",IFERROR(INDEX(Schedule!$N$7:$N$18,MATCH(B59,Schedule!$A$7:$A$18,0)),"not in schedule"))</f>
        <v/>
      </c>
      <c r="AM59" s="19" t="str">
        <f aca="false">IF(B59="","",N(R59)-N(X59))</f>
        <v/>
      </c>
      <c r="AN59" s="95" t="str">
        <f aca="false">IF(B59="","",IF(Z59&lt;&gt;"",Z59,IF(N(G59)&gt;0,N(N59)/G59,"")))</f>
        <v/>
      </c>
      <c r="AO59" s="18" t="str">
        <f aca="false">IF(OR(B59="",C59=""),"",WORKDAY(C59,Inputs!$C$132,Lists!$N$4:$N$30))</f>
        <v/>
      </c>
      <c r="AP59" s="30" t="str">
        <f aca="false">IF(B59="","",IF(U59="","missing",IF(U59&gt;AO59,"Y","N")))</f>
        <v/>
      </c>
      <c r="AQ59" s="30" t="n">
        <f aca="false">IF(OR(W59="Y",W59="N"),IF(F59="",1,IF(COUNTIFS(F$5:F59,F59,W$5:W59,"Y")+COUNTIFS(F$5:F59,F59,W$5:W59,"N")=1,1,0)),0)</f>
        <v>0</v>
      </c>
      <c r="AR59" s="30" t="n">
        <f aca="false">IF(W59="Y",IF(F59="",1,IF(COUNTIFS(F$5:F59,F59,W$5:W59,"Y")=1,1,0)),0)</f>
        <v>0</v>
      </c>
    </row>
    <row r="60" customFormat="false" ht="15" hidden="false" customHeight="false" outlineLevel="0" collapsed="false">
      <c r="A60" s="103"/>
      <c r="B60" s="103"/>
      <c r="C60" s="102"/>
      <c r="D60" s="103"/>
      <c r="E60" s="103"/>
      <c r="F60" s="103"/>
      <c r="G60" s="103"/>
      <c r="H60" s="103"/>
      <c r="I60" s="103"/>
      <c r="J60" s="103"/>
      <c r="K60" s="103"/>
      <c r="L60" s="103"/>
      <c r="M60" s="103"/>
      <c r="N60" s="103"/>
      <c r="O60" s="103"/>
      <c r="P60" s="103"/>
      <c r="Q60" s="103"/>
      <c r="R60" s="105"/>
      <c r="S60" s="102"/>
      <c r="T60" s="105"/>
      <c r="U60" s="102"/>
      <c r="V60" s="103"/>
      <c r="W60" s="103"/>
      <c r="X60" s="105"/>
      <c r="Y60" s="102"/>
      <c r="Z60" s="103"/>
      <c r="AL60" s="30" t="str">
        <f aca="false">IF(B60="","",IFERROR(INDEX(Schedule!$N$7:$N$18,MATCH(B60,Schedule!$A$7:$A$18,0)),"not in schedule"))</f>
        <v/>
      </c>
      <c r="AM60" s="19" t="str">
        <f aca="false">IF(B60="","",N(R60)-N(X60))</f>
        <v/>
      </c>
      <c r="AN60" s="95" t="str">
        <f aca="false">IF(B60="","",IF(Z60&lt;&gt;"",Z60,IF(N(G60)&gt;0,N(N60)/G60,"")))</f>
        <v/>
      </c>
      <c r="AO60" s="18" t="str">
        <f aca="false">IF(OR(B60="",C60=""),"",WORKDAY(C60,Inputs!$C$132,Lists!$N$4:$N$30))</f>
        <v/>
      </c>
      <c r="AP60" s="30" t="str">
        <f aca="false">IF(B60="","",IF(U60="","missing",IF(U60&gt;AO60,"Y","N")))</f>
        <v/>
      </c>
      <c r="AQ60" s="30" t="n">
        <f aca="false">IF(OR(W60="Y",W60="N"),IF(F60="",1,IF(COUNTIFS(F$5:F60,F60,W$5:W60,"Y")+COUNTIFS(F$5:F60,F60,W$5:W60,"N")=1,1,0)),0)</f>
        <v>0</v>
      </c>
      <c r="AR60" s="30" t="n">
        <f aca="false">IF(W60="Y",IF(F60="",1,IF(COUNTIFS(F$5:F60,F60,W$5:W60,"Y")=1,1,0)),0)</f>
        <v>0</v>
      </c>
    </row>
    <row r="61" customFormat="false" ht="15" hidden="false" customHeight="false" outlineLevel="0" collapsed="false">
      <c r="A61" s="103"/>
      <c r="B61" s="103"/>
      <c r="C61" s="102"/>
      <c r="D61" s="103"/>
      <c r="E61" s="103"/>
      <c r="F61" s="103"/>
      <c r="G61" s="103"/>
      <c r="H61" s="103"/>
      <c r="I61" s="103"/>
      <c r="J61" s="103"/>
      <c r="K61" s="103"/>
      <c r="L61" s="103"/>
      <c r="M61" s="103"/>
      <c r="N61" s="103"/>
      <c r="O61" s="103"/>
      <c r="P61" s="103"/>
      <c r="Q61" s="103"/>
      <c r="R61" s="105"/>
      <c r="S61" s="102"/>
      <c r="T61" s="105"/>
      <c r="U61" s="102"/>
      <c r="V61" s="103"/>
      <c r="W61" s="103"/>
      <c r="X61" s="105"/>
      <c r="Y61" s="102"/>
      <c r="Z61" s="103"/>
      <c r="AL61" s="30" t="str">
        <f aca="false">IF(B61="","",IFERROR(INDEX(Schedule!$N$7:$N$18,MATCH(B61,Schedule!$A$7:$A$18,0)),"not in schedule"))</f>
        <v/>
      </c>
      <c r="AM61" s="19" t="str">
        <f aca="false">IF(B61="","",N(R61)-N(X61))</f>
        <v/>
      </c>
      <c r="AN61" s="95" t="str">
        <f aca="false">IF(B61="","",IF(Z61&lt;&gt;"",Z61,IF(N(G61)&gt;0,N(N61)/G61,"")))</f>
        <v/>
      </c>
      <c r="AO61" s="18" t="str">
        <f aca="false">IF(OR(B61="",C61=""),"",WORKDAY(C61,Inputs!$C$132,Lists!$N$4:$N$30))</f>
        <v/>
      </c>
      <c r="AP61" s="30" t="str">
        <f aca="false">IF(B61="","",IF(U61="","missing",IF(U61&gt;AO61,"Y","N")))</f>
        <v/>
      </c>
      <c r="AQ61" s="30" t="n">
        <f aca="false">IF(OR(W61="Y",W61="N"),IF(F61="",1,IF(COUNTIFS(F$5:F61,F61,W$5:W61,"Y")+COUNTIFS(F$5:F61,F61,W$5:W61,"N")=1,1,0)),0)</f>
        <v>0</v>
      </c>
      <c r="AR61" s="30" t="n">
        <f aca="false">IF(W61="Y",IF(F61="",1,IF(COUNTIFS(F$5:F61,F61,W$5:W61,"Y")=1,1,0)),0)</f>
        <v>0</v>
      </c>
    </row>
    <row r="62" customFormat="false" ht="15" hidden="false" customHeight="false" outlineLevel="0" collapsed="false">
      <c r="A62" s="103"/>
      <c r="B62" s="103"/>
      <c r="C62" s="102"/>
      <c r="D62" s="103"/>
      <c r="E62" s="103"/>
      <c r="F62" s="103"/>
      <c r="G62" s="103"/>
      <c r="H62" s="103"/>
      <c r="I62" s="103"/>
      <c r="J62" s="103"/>
      <c r="K62" s="103"/>
      <c r="L62" s="103"/>
      <c r="M62" s="103"/>
      <c r="N62" s="103"/>
      <c r="O62" s="103"/>
      <c r="P62" s="103"/>
      <c r="Q62" s="103"/>
      <c r="R62" s="105"/>
      <c r="S62" s="102"/>
      <c r="T62" s="105"/>
      <c r="U62" s="102"/>
      <c r="V62" s="103"/>
      <c r="W62" s="103"/>
      <c r="X62" s="105"/>
      <c r="Y62" s="102"/>
      <c r="Z62" s="103"/>
      <c r="AL62" s="30" t="str">
        <f aca="false">IF(B62="","",IFERROR(INDEX(Schedule!$N$7:$N$18,MATCH(B62,Schedule!$A$7:$A$18,0)),"not in schedule"))</f>
        <v/>
      </c>
      <c r="AM62" s="19" t="str">
        <f aca="false">IF(B62="","",N(R62)-N(X62))</f>
        <v/>
      </c>
      <c r="AN62" s="95" t="str">
        <f aca="false">IF(B62="","",IF(Z62&lt;&gt;"",Z62,IF(N(G62)&gt;0,N(N62)/G62,"")))</f>
        <v/>
      </c>
      <c r="AO62" s="18" t="str">
        <f aca="false">IF(OR(B62="",C62=""),"",WORKDAY(C62,Inputs!$C$132,Lists!$N$4:$N$30))</f>
        <v/>
      </c>
      <c r="AP62" s="30" t="str">
        <f aca="false">IF(B62="","",IF(U62="","missing",IF(U62&gt;AO62,"Y","N")))</f>
        <v/>
      </c>
      <c r="AQ62" s="30" t="n">
        <f aca="false">IF(OR(W62="Y",W62="N"),IF(F62="",1,IF(COUNTIFS(F$5:F62,F62,W$5:W62,"Y")+COUNTIFS(F$5:F62,F62,W$5:W62,"N")=1,1,0)),0)</f>
        <v>0</v>
      </c>
      <c r="AR62" s="30" t="n">
        <f aca="false">IF(W62="Y",IF(F62="",1,IF(COUNTIFS(F$5:F62,F62,W$5:W62,"Y")=1,1,0)),0)</f>
        <v>0</v>
      </c>
    </row>
    <row r="63" customFormat="false" ht="15" hidden="false" customHeight="false" outlineLevel="0" collapsed="false">
      <c r="A63" s="103"/>
      <c r="B63" s="103"/>
      <c r="C63" s="102"/>
      <c r="D63" s="103"/>
      <c r="E63" s="103"/>
      <c r="F63" s="103"/>
      <c r="G63" s="103"/>
      <c r="H63" s="103"/>
      <c r="I63" s="103"/>
      <c r="J63" s="103"/>
      <c r="K63" s="103"/>
      <c r="L63" s="103"/>
      <c r="M63" s="103"/>
      <c r="N63" s="103"/>
      <c r="O63" s="103"/>
      <c r="P63" s="103"/>
      <c r="Q63" s="103"/>
      <c r="R63" s="105"/>
      <c r="S63" s="102"/>
      <c r="T63" s="105"/>
      <c r="U63" s="102"/>
      <c r="V63" s="103"/>
      <c r="W63" s="103"/>
      <c r="X63" s="105"/>
      <c r="Y63" s="102"/>
      <c r="Z63" s="103"/>
      <c r="AL63" s="30" t="str">
        <f aca="false">IF(B63="","",IFERROR(INDEX(Schedule!$N$7:$N$18,MATCH(B63,Schedule!$A$7:$A$18,0)),"not in schedule"))</f>
        <v/>
      </c>
      <c r="AM63" s="19" t="str">
        <f aca="false">IF(B63="","",N(R63)-N(X63))</f>
        <v/>
      </c>
      <c r="AN63" s="95" t="str">
        <f aca="false">IF(B63="","",IF(Z63&lt;&gt;"",Z63,IF(N(G63)&gt;0,N(N63)/G63,"")))</f>
        <v/>
      </c>
      <c r="AO63" s="18" t="str">
        <f aca="false">IF(OR(B63="",C63=""),"",WORKDAY(C63,Inputs!$C$132,Lists!$N$4:$N$30))</f>
        <v/>
      </c>
      <c r="AP63" s="30" t="str">
        <f aca="false">IF(B63="","",IF(U63="","missing",IF(U63&gt;AO63,"Y","N")))</f>
        <v/>
      </c>
      <c r="AQ63" s="30" t="n">
        <f aca="false">IF(OR(W63="Y",W63="N"),IF(F63="",1,IF(COUNTIFS(F$5:F63,F63,W$5:W63,"Y")+COUNTIFS(F$5:F63,F63,W$5:W63,"N")=1,1,0)),0)</f>
        <v>0</v>
      </c>
      <c r="AR63" s="30" t="n">
        <f aca="false">IF(W63="Y",IF(F63="",1,IF(COUNTIFS(F$5:F63,F63,W$5:W63,"Y")=1,1,0)),0)</f>
        <v>0</v>
      </c>
    </row>
    <row r="64" customFormat="false" ht="15" hidden="false" customHeight="false" outlineLevel="0" collapsed="false">
      <c r="A64" s="103"/>
      <c r="B64" s="103"/>
      <c r="C64" s="102"/>
      <c r="D64" s="103"/>
      <c r="E64" s="103"/>
      <c r="F64" s="103"/>
      <c r="G64" s="103"/>
      <c r="H64" s="103"/>
      <c r="I64" s="103"/>
      <c r="J64" s="103"/>
      <c r="K64" s="103"/>
      <c r="L64" s="103"/>
      <c r="M64" s="103"/>
      <c r="N64" s="103"/>
      <c r="O64" s="103"/>
      <c r="P64" s="103"/>
      <c r="Q64" s="103"/>
      <c r="R64" s="105"/>
      <c r="S64" s="102"/>
      <c r="T64" s="105"/>
      <c r="U64" s="102"/>
      <c r="V64" s="103"/>
      <c r="W64" s="103"/>
      <c r="X64" s="105"/>
      <c r="Y64" s="102"/>
      <c r="Z64" s="103"/>
      <c r="AL64" s="30" t="str">
        <f aca="false">IF(B64="","",IFERROR(INDEX(Schedule!$N$7:$N$18,MATCH(B64,Schedule!$A$7:$A$18,0)),"not in schedule"))</f>
        <v/>
      </c>
      <c r="AM64" s="19" t="str">
        <f aca="false">IF(B64="","",N(R64)-N(X64))</f>
        <v/>
      </c>
      <c r="AN64" s="95" t="str">
        <f aca="false">IF(B64="","",IF(Z64&lt;&gt;"",Z64,IF(N(G64)&gt;0,N(N64)/G64,"")))</f>
        <v/>
      </c>
      <c r="AO64" s="18" t="str">
        <f aca="false">IF(OR(B64="",C64=""),"",WORKDAY(C64,Inputs!$C$132,Lists!$N$4:$N$30))</f>
        <v/>
      </c>
      <c r="AP64" s="30" t="str">
        <f aca="false">IF(B64="","",IF(U64="","missing",IF(U64&gt;AO64,"Y","N")))</f>
        <v/>
      </c>
      <c r="AQ64" s="30" t="n">
        <f aca="false">IF(OR(W64="Y",W64="N"),IF(F64="",1,IF(COUNTIFS(F$5:F64,F64,W$5:W64,"Y")+COUNTIFS(F$5:F64,F64,W$5:W64,"N")=1,1,0)),0)</f>
        <v>0</v>
      </c>
      <c r="AR64" s="30" t="n">
        <f aca="false">IF(W64="Y",IF(F64="",1,IF(COUNTIFS(F$5:F64,F64,W$5:W64,"Y")=1,1,0)),0)</f>
        <v>0</v>
      </c>
    </row>
    <row r="65" customFormat="false" ht="15" hidden="false" customHeight="false" outlineLevel="0" collapsed="false">
      <c r="A65" s="103"/>
      <c r="B65" s="103"/>
      <c r="C65" s="102"/>
      <c r="D65" s="103"/>
      <c r="E65" s="103"/>
      <c r="F65" s="103"/>
      <c r="G65" s="103"/>
      <c r="H65" s="103"/>
      <c r="I65" s="103"/>
      <c r="J65" s="103"/>
      <c r="K65" s="103"/>
      <c r="L65" s="103"/>
      <c r="M65" s="103"/>
      <c r="N65" s="103"/>
      <c r="O65" s="103"/>
      <c r="P65" s="103"/>
      <c r="Q65" s="103"/>
      <c r="R65" s="105"/>
      <c r="S65" s="102"/>
      <c r="T65" s="105"/>
      <c r="U65" s="102"/>
      <c r="V65" s="103"/>
      <c r="W65" s="103"/>
      <c r="X65" s="105"/>
      <c r="Y65" s="102"/>
      <c r="Z65" s="103"/>
      <c r="AL65" s="30" t="str">
        <f aca="false">IF(B65="","",IFERROR(INDEX(Schedule!$N$7:$N$18,MATCH(B65,Schedule!$A$7:$A$18,0)),"not in schedule"))</f>
        <v/>
      </c>
      <c r="AM65" s="19" t="str">
        <f aca="false">IF(B65="","",N(R65)-N(X65))</f>
        <v/>
      </c>
      <c r="AN65" s="95" t="str">
        <f aca="false">IF(B65="","",IF(Z65&lt;&gt;"",Z65,IF(N(G65)&gt;0,N(N65)/G65,"")))</f>
        <v/>
      </c>
      <c r="AO65" s="18" t="str">
        <f aca="false">IF(OR(B65="",C65=""),"",WORKDAY(C65,Inputs!$C$132,Lists!$N$4:$N$30))</f>
        <v/>
      </c>
      <c r="AP65" s="30" t="str">
        <f aca="false">IF(B65="","",IF(U65="","missing",IF(U65&gt;AO65,"Y","N")))</f>
        <v/>
      </c>
      <c r="AQ65" s="30" t="n">
        <f aca="false">IF(OR(W65="Y",W65="N"),IF(F65="",1,IF(COUNTIFS(F$5:F65,F65,W$5:W65,"Y")+COUNTIFS(F$5:F65,F65,W$5:W65,"N")=1,1,0)),0)</f>
        <v>0</v>
      </c>
      <c r="AR65" s="30" t="n">
        <f aca="false">IF(W65="Y",IF(F65="",1,IF(COUNTIFS(F$5:F65,F65,W$5:W65,"Y")=1,1,0)),0)</f>
        <v>0</v>
      </c>
    </row>
    <row r="66" customFormat="false" ht="15" hidden="false" customHeight="false" outlineLevel="0" collapsed="false">
      <c r="A66" s="103"/>
      <c r="B66" s="103"/>
      <c r="C66" s="102"/>
      <c r="D66" s="103"/>
      <c r="E66" s="103"/>
      <c r="F66" s="103"/>
      <c r="G66" s="103"/>
      <c r="H66" s="103"/>
      <c r="I66" s="103"/>
      <c r="J66" s="103"/>
      <c r="K66" s="103"/>
      <c r="L66" s="103"/>
      <c r="M66" s="103"/>
      <c r="N66" s="103"/>
      <c r="O66" s="103"/>
      <c r="P66" s="103"/>
      <c r="Q66" s="103"/>
      <c r="R66" s="105"/>
      <c r="S66" s="102"/>
      <c r="T66" s="105"/>
      <c r="U66" s="102"/>
      <c r="V66" s="103"/>
      <c r="W66" s="103"/>
      <c r="X66" s="105"/>
      <c r="Y66" s="102"/>
      <c r="Z66" s="103"/>
      <c r="AL66" s="30" t="str">
        <f aca="false">IF(B66="","",IFERROR(INDEX(Schedule!$N$7:$N$18,MATCH(B66,Schedule!$A$7:$A$18,0)),"not in schedule"))</f>
        <v/>
      </c>
      <c r="AM66" s="19" t="str">
        <f aca="false">IF(B66="","",N(R66)-N(X66))</f>
        <v/>
      </c>
      <c r="AN66" s="95" t="str">
        <f aca="false">IF(B66="","",IF(Z66&lt;&gt;"",Z66,IF(N(G66)&gt;0,N(N66)/G66,"")))</f>
        <v/>
      </c>
      <c r="AO66" s="18" t="str">
        <f aca="false">IF(OR(B66="",C66=""),"",WORKDAY(C66,Inputs!$C$132,Lists!$N$4:$N$30))</f>
        <v/>
      </c>
      <c r="AP66" s="30" t="str">
        <f aca="false">IF(B66="","",IF(U66="","missing",IF(U66&gt;AO66,"Y","N")))</f>
        <v/>
      </c>
      <c r="AQ66" s="30" t="n">
        <f aca="false">IF(OR(W66="Y",W66="N"),IF(F66="",1,IF(COUNTIFS(F$5:F66,F66,W$5:W66,"Y")+COUNTIFS(F$5:F66,F66,W$5:W66,"N")=1,1,0)),0)</f>
        <v>0</v>
      </c>
      <c r="AR66" s="30" t="n">
        <f aca="false">IF(W66="Y",IF(F66="",1,IF(COUNTIFS(F$5:F66,F66,W$5:W66,"Y")=1,1,0)),0)</f>
        <v>0</v>
      </c>
    </row>
    <row r="67" customFormat="false" ht="15" hidden="false" customHeight="false" outlineLevel="0" collapsed="false">
      <c r="A67" s="103"/>
      <c r="B67" s="103"/>
      <c r="C67" s="102"/>
      <c r="D67" s="103"/>
      <c r="E67" s="103"/>
      <c r="F67" s="103"/>
      <c r="G67" s="103"/>
      <c r="H67" s="103"/>
      <c r="I67" s="103"/>
      <c r="J67" s="103"/>
      <c r="K67" s="103"/>
      <c r="L67" s="103"/>
      <c r="M67" s="103"/>
      <c r="N67" s="103"/>
      <c r="O67" s="103"/>
      <c r="P67" s="103"/>
      <c r="Q67" s="103"/>
      <c r="R67" s="105"/>
      <c r="S67" s="102"/>
      <c r="T67" s="105"/>
      <c r="U67" s="102"/>
      <c r="V67" s="103"/>
      <c r="W67" s="103"/>
      <c r="X67" s="105"/>
      <c r="Y67" s="102"/>
      <c r="Z67" s="103"/>
      <c r="AL67" s="30" t="str">
        <f aca="false">IF(B67="","",IFERROR(INDEX(Schedule!$N$7:$N$18,MATCH(B67,Schedule!$A$7:$A$18,0)),"not in schedule"))</f>
        <v/>
      </c>
      <c r="AM67" s="19" t="str">
        <f aca="false">IF(B67="","",N(R67)-N(X67))</f>
        <v/>
      </c>
      <c r="AN67" s="95" t="str">
        <f aca="false">IF(B67="","",IF(Z67&lt;&gt;"",Z67,IF(N(G67)&gt;0,N(N67)/G67,"")))</f>
        <v/>
      </c>
      <c r="AO67" s="18" t="str">
        <f aca="false">IF(OR(B67="",C67=""),"",WORKDAY(C67,Inputs!$C$132,Lists!$N$4:$N$30))</f>
        <v/>
      </c>
      <c r="AP67" s="30" t="str">
        <f aca="false">IF(B67="","",IF(U67="","missing",IF(U67&gt;AO67,"Y","N")))</f>
        <v/>
      </c>
      <c r="AQ67" s="30" t="n">
        <f aca="false">IF(OR(W67="Y",W67="N"),IF(F67="",1,IF(COUNTIFS(F$5:F67,F67,W$5:W67,"Y")+COUNTIFS(F$5:F67,F67,W$5:W67,"N")=1,1,0)),0)</f>
        <v>0</v>
      </c>
      <c r="AR67" s="30" t="n">
        <f aca="false">IF(W67="Y",IF(F67="",1,IF(COUNTIFS(F$5:F67,F67,W$5:W67,"Y")=1,1,0)),0)</f>
        <v>0</v>
      </c>
    </row>
    <row r="68" customFormat="false" ht="15" hidden="false" customHeight="false" outlineLevel="0" collapsed="false">
      <c r="A68" s="103"/>
      <c r="B68" s="103"/>
      <c r="C68" s="102"/>
      <c r="D68" s="103"/>
      <c r="E68" s="103"/>
      <c r="F68" s="103"/>
      <c r="G68" s="103"/>
      <c r="H68" s="103"/>
      <c r="I68" s="103"/>
      <c r="J68" s="103"/>
      <c r="K68" s="103"/>
      <c r="L68" s="103"/>
      <c r="M68" s="103"/>
      <c r="N68" s="103"/>
      <c r="O68" s="103"/>
      <c r="P68" s="103"/>
      <c r="Q68" s="103"/>
      <c r="R68" s="105"/>
      <c r="S68" s="102"/>
      <c r="T68" s="105"/>
      <c r="U68" s="102"/>
      <c r="V68" s="103"/>
      <c r="W68" s="103"/>
      <c r="X68" s="105"/>
      <c r="Y68" s="102"/>
      <c r="Z68" s="103"/>
      <c r="AL68" s="30" t="str">
        <f aca="false">IF(B68="","",IFERROR(INDEX(Schedule!$N$7:$N$18,MATCH(B68,Schedule!$A$7:$A$18,0)),"not in schedule"))</f>
        <v/>
      </c>
      <c r="AM68" s="19" t="str">
        <f aca="false">IF(B68="","",N(R68)-N(X68))</f>
        <v/>
      </c>
      <c r="AN68" s="95" t="str">
        <f aca="false">IF(B68="","",IF(Z68&lt;&gt;"",Z68,IF(N(G68)&gt;0,N(N68)/G68,"")))</f>
        <v/>
      </c>
      <c r="AO68" s="18" t="str">
        <f aca="false">IF(OR(B68="",C68=""),"",WORKDAY(C68,Inputs!$C$132,Lists!$N$4:$N$30))</f>
        <v/>
      </c>
      <c r="AP68" s="30" t="str">
        <f aca="false">IF(B68="","",IF(U68="","missing",IF(U68&gt;AO68,"Y","N")))</f>
        <v/>
      </c>
      <c r="AQ68" s="30" t="n">
        <f aca="false">IF(OR(W68="Y",W68="N"),IF(F68="",1,IF(COUNTIFS(F$5:F68,F68,W$5:W68,"Y")+COUNTIFS(F$5:F68,F68,W$5:W68,"N")=1,1,0)),0)</f>
        <v>0</v>
      </c>
      <c r="AR68" s="30" t="n">
        <f aca="false">IF(W68="Y",IF(F68="",1,IF(COUNTIFS(F$5:F68,F68,W$5:W68,"Y")=1,1,0)),0)</f>
        <v>0</v>
      </c>
    </row>
    <row r="69" customFormat="false" ht="15" hidden="false" customHeight="false" outlineLevel="0" collapsed="false">
      <c r="A69" s="103"/>
      <c r="B69" s="103"/>
      <c r="C69" s="102"/>
      <c r="D69" s="103"/>
      <c r="E69" s="103"/>
      <c r="F69" s="103"/>
      <c r="G69" s="103"/>
      <c r="H69" s="103"/>
      <c r="I69" s="103"/>
      <c r="J69" s="103"/>
      <c r="K69" s="103"/>
      <c r="L69" s="103"/>
      <c r="M69" s="103"/>
      <c r="N69" s="103"/>
      <c r="O69" s="103"/>
      <c r="P69" s="103"/>
      <c r="Q69" s="103"/>
      <c r="R69" s="105"/>
      <c r="S69" s="102"/>
      <c r="T69" s="105"/>
      <c r="U69" s="102"/>
      <c r="V69" s="103"/>
      <c r="W69" s="103"/>
      <c r="X69" s="105"/>
      <c r="Y69" s="102"/>
      <c r="Z69" s="103"/>
      <c r="AL69" s="30" t="str">
        <f aca="false">IF(B69="","",IFERROR(INDEX(Schedule!$N$7:$N$18,MATCH(B69,Schedule!$A$7:$A$18,0)),"not in schedule"))</f>
        <v/>
      </c>
      <c r="AM69" s="19" t="str">
        <f aca="false">IF(B69="","",N(R69)-N(X69))</f>
        <v/>
      </c>
      <c r="AN69" s="95" t="str">
        <f aca="false">IF(B69="","",IF(Z69&lt;&gt;"",Z69,IF(N(G69)&gt;0,N(N69)/G69,"")))</f>
        <v/>
      </c>
      <c r="AO69" s="18" t="str">
        <f aca="false">IF(OR(B69="",C69=""),"",WORKDAY(C69,Inputs!$C$132,Lists!$N$4:$N$30))</f>
        <v/>
      </c>
      <c r="AP69" s="30" t="str">
        <f aca="false">IF(B69="","",IF(U69="","missing",IF(U69&gt;AO69,"Y","N")))</f>
        <v/>
      </c>
      <c r="AQ69" s="30" t="n">
        <f aca="false">IF(OR(W69="Y",W69="N"),IF(F69="",1,IF(COUNTIFS(F$5:F69,F69,W$5:W69,"Y")+COUNTIFS(F$5:F69,F69,W$5:W69,"N")=1,1,0)),0)</f>
        <v>0</v>
      </c>
      <c r="AR69" s="30" t="n">
        <f aca="false">IF(W69="Y",IF(F69="",1,IF(COUNTIFS(F$5:F69,F69,W$5:W69,"Y")=1,1,0)),0)</f>
        <v>0</v>
      </c>
    </row>
    <row r="70" customFormat="false" ht="15" hidden="false" customHeight="false" outlineLevel="0" collapsed="false">
      <c r="A70" s="103"/>
      <c r="B70" s="103"/>
      <c r="C70" s="102"/>
      <c r="D70" s="103"/>
      <c r="E70" s="103"/>
      <c r="F70" s="103"/>
      <c r="G70" s="103"/>
      <c r="H70" s="103"/>
      <c r="I70" s="103"/>
      <c r="J70" s="103"/>
      <c r="K70" s="103"/>
      <c r="L70" s="103"/>
      <c r="M70" s="103"/>
      <c r="N70" s="103"/>
      <c r="O70" s="103"/>
      <c r="P70" s="103"/>
      <c r="Q70" s="103"/>
      <c r="R70" s="105"/>
      <c r="S70" s="102"/>
      <c r="T70" s="105"/>
      <c r="U70" s="102"/>
      <c r="V70" s="103"/>
      <c r="W70" s="103"/>
      <c r="X70" s="105"/>
      <c r="Y70" s="102"/>
      <c r="Z70" s="103"/>
      <c r="AL70" s="30" t="str">
        <f aca="false">IF(B70="","",IFERROR(INDEX(Schedule!$N$7:$N$18,MATCH(B70,Schedule!$A$7:$A$18,0)),"not in schedule"))</f>
        <v/>
      </c>
      <c r="AM70" s="19" t="str">
        <f aca="false">IF(B70="","",N(R70)-N(X70))</f>
        <v/>
      </c>
      <c r="AN70" s="95" t="str">
        <f aca="false">IF(B70="","",IF(Z70&lt;&gt;"",Z70,IF(N(G70)&gt;0,N(N70)/G70,"")))</f>
        <v/>
      </c>
      <c r="AO70" s="18" t="str">
        <f aca="false">IF(OR(B70="",C70=""),"",WORKDAY(C70,Inputs!$C$132,Lists!$N$4:$N$30))</f>
        <v/>
      </c>
      <c r="AP70" s="30" t="str">
        <f aca="false">IF(B70="","",IF(U70="","missing",IF(U70&gt;AO70,"Y","N")))</f>
        <v/>
      </c>
      <c r="AQ70" s="30" t="n">
        <f aca="false">IF(OR(W70="Y",W70="N"),IF(F70="",1,IF(COUNTIFS(F$5:F70,F70,W$5:W70,"Y")+COUNTIFS(F$5:F70,F70,W$5:W70,"N")=1,1,0)),0)</f>
        <v>0</v>
      </c>
      <c r="AR70" s="30" t="n">
        <f aca="false">IF(W70="Y",IF(F70="",1,IF(COUNTIFS(F$5:F70,F70,W$5:W70,"Y")=1,1,0)),0)</f>
        <v>0</v>
      </c>
    </row>
    <row r="71" customFormat="false" ht="15" hidden="false" customHeight="false" outlineLevel="0" collapsed="false">
      <c r="A71" s="103"/>
      <c r="B71" s="103"/>
      <c r="C71" s="102"/>
      <c r="D71" s="103"/>
      <c r="E71" s="103"/>
      <c r="F71" s="103"/>
      <c r="G71" s="103"/>
      <c r="H71" s="103"/>
      <c r="I71" s="103"/>
      <c r="J71" s="103"/>
      <c r="K71" s="103"/>
      <c r="L71" s="103"/>
      <c r="M71" s="103"/>
      <c r="N71" s="103"/>
      <c r="O71" s="103"/>
      <c r="P71" s="103"/>
      <c r="Q71" s="103"/>
      <c r="R71" s="105"/>
      <c r="S71" s="102"/>
      <c r="T71" s="105"/>
      <c r="U71" s="102"/>
      <c r="V71" s="103"/>
      <c r="W71" s="103"/>
      <c r="X71" s="105"/>
      <c r="Y71" s="102"/>
      <c r="Z71" s="103"/>
      <c r="AL71" s="30" t="str">
        <f aca="false">IF(B71="","",IFERROR(INDEX(Schedule!$N$7:$N$18,MATCH(B71,Schedule!$A$7:$A$18,0)),"not in schedule"))</f>
        <v/>
      </c>
      <c r="AM71" s="19" t="str">
        <f aca="false">IF(B71="","",N(R71)-N(X71))</f>
        <v/>
      </c>
      <c r="AN71" s="95" t="str">
        <f aca="false">IF(B71="","",IF(Z71&lt;&gt;"",Z71,IF(N(G71)&gt;0,N(N71)/G71,"")))</f>
        <v/>
      </c>
      <c r="AO71" s="18" t="str">
        <f aca="false">IF(OR(B71="",C71=""),"",WORKDAY(C71,Inputs!$C$132,Lists!$N$4:$N$30))</f>
        <v/>
      </c>
      <c r="AP71" s="30" t="str">
        <f aca="false">IF(B71="","",IF(U71="","missing",IF(U71&gt;AO71,"Y","N")))</f>
        <v/>
      </c>
      <c r="AQ71" s="30" t="n">
        <f aca="false">IF(OR(W71="Y",W71="N"),IF(F71="",1,IF(COUNTIFS(F$5:F71,F71,W$5:W71,"Y")+COUNTIFS(F$5:F71,F71,W$5:W71,"N")=1,1,0)),0)</f>
        <v>0</v>
      </c>
      <c r="AR71" s="30" t="n">
        <f aca="false">IF(W71="Y",IF(F71="",1,IF(COUNTIFS(F$5:F71,F71,W$5:W71,"Y")=1,1,0)),0)</f>
        <v>0</v>
      </c>
    </row>
    <row r="72" customFormat="false" ht="15" hidden="false" customHeight="false" outlineLevel="0" collapsed="false">
      <c r="A72" s="103"/>
      <c r="B72" s="103"/>
      <c r="C72" s="102"/>
      <c r="D72" s="103"/>
      <c r="E72" s="103"/>
      <c r="F72" s="103"/>
      <c r="G72" s="103"/>
      <c r="H72" s="103"/>
      <c r="I72" s="103"/>
      <c r="J72" s="103"/>
      <c r="K72" s="103"/>
      <c r="L72" s="103"/>
      <c r="M72" s="103"/>
      <c r="N72" s="103"/>
      <c r="O72" s="103"/>
      <c r="P72" s="103"/>
      <c r="Q72" s="103"/>
      <c r="R72" s="105"/>
      <c r="S72" s="102"/>
      <c r="T72" s="105"/>
      <c r="U72" s="102"/>
      <c r="V72" s="103"/>
      <c r="W72" s="103"/>
      <c r="X72" s="105"/>
      <c r="Y72" s="102"/>
      <c r="Z72" s="103"/>
      <c r="AL72" s="30" t="str">
        <f aca="false">IF(B72="","",IFERROR(INDEX(Schedule!$N$7:$N$18,MATCH(B72,Schedule!$A$7:$A$18,0)),"not in schedule"))</f>
        <v/>
      </c>
      <c r="AM72" s="19" t="str">
        <f aca="false">IF(B72="","",N(R72)-N(X72))</f>
        <v/>
      </c>
      <c r="AN72" s="95" t="str">
        <f aca="false">IF(B72="","",IF(Z72&lt;&gt;"",Z72,IF(N(G72)&gt;0,N(N72)/G72,"")))</f>
        <v/>
      </c>
      <c r="AO72" s="18" t="str">
        <f aca="false">IF(OR(B72="",C72=""),"",WORKDAY(C72,Inputs!$C$132,Lists!$N$4:$N$30))</f>
        <v/>
      </c>
      <c r="AP72" s="30" t="str">
        <f aca="false">IF(B72="","",IF(U72="","missing",IF(U72&gt;AO72,"Y","N")))</f>
        <v/>
      </c>
      <c r="AQ72" s="30" t="n">
        <f aca="false">IF(OR(W72="Y",W72="N"),IF(F72="",1,IF(COUNTIFS(F$5:F72,F72,W$5:W72,"Y")+COUNTIFS(F$5:F72,F72,W$5:W72,"N")=1,1,0)),0)</f>
        <v>0</v>
      </c>
      <c r="AR72" s="30" t="n">
        <f aca="false">IF(W72="Y",IF(F72="",1,IF(COUNTIFS(F$5:F72,F72,W$5:W72,"Y")=1,1,0)),0)</f>
        <v>0</v>
      </c>
    </row>
    <row r="73" customFormat="false" ht="15" hidden="false" customHeight="false" outlineLevel="0" collapsed="false">
      <c r="A73" s="103"/>
      <c r="B73" s="103"/>
      <c r="C73" s="102"/>
      <c r="D73" s="103"/>
      <c r="E73" s="103"/>
      <c r="F73" s="103"/>
      <c r="G73" s="103"/>
      <c r="H73" s="103"/>
      <c r="I73" s="103"/>
      <c r="J73" s="103"/>
      <c r="K73" s="103"/>
      <c r="L73" s="103"/>
      <c r="M73" s="103"/>
      <c r="N73" s="103"/>
      <c r="O73" s="103"/>
      <c r="P73" s="103"/>
      <c r="Q73" s="103"/>
      <c r="R73" s="105"/>
      <c r="S73" s="102"/>
      <c r="T73" s="105"/>
      <c r="U73" s="102"/>
      <c r="V73" s="103"/>
      <c r="W73" s="103"/>
      <c r="X73" s="105"/>
      <c r="Y73" s="102"/>
      <c r="Z73" s="103"/>
      <c r="AL73" s="30" t="str">
        <f aca="false">IF(B73="","",IFERROR(INDEX(Schedule!$N$7:$N$18,MATCH(B73,Schedule!$A$7:$A$18,0)),"not in schedule"))</f>
        <v/>
      </c>
      <c r="AM73" s="19" t="str">
        <f aca="false">IF(B73="","",N(R73)-N(X73))</f>
        <v/>
      </c>
      <c r="AN73" s="95" t="str">
        <f aca="false">IF(B73="","",IF(Z73&lt;&gt;"",Z73,IF(N(G73)&gt;0,N(N73)/G73,"")))</f>
        <v/>
      </c>
      <c r="AO73" s="18" t="str">
        <f aca="false">IF(OR(B73="",C73=""),"",WORKDAY(C73,Inputs!$C$132,Lists!$N$4:$N$30))</f>
        <v/>
      </c>
      <c r="AP73" s="30" t="str">
        <f aca="false">IF(B73="","",IF(U73="","missing",IF(U73&gt;AO73,"Y","N")))</f>
        <v/>
      </c>
      <c r="AQ73" s="30" t="n">
        <f aca="false">IF(OR(W73="Y",W73="N"),IF(F73="",1,IF(COUNTIFS(F$5:F73,F73,W$5:W73,"Y")+COUNTIFS(F$5:F73,F73,W$5:W73,"N")=1,1,0)),0)</f>
        <v>0</v>
      </c>
      <c r="AR73" s="30" t="n">
        <f aca="false">IF(W73="Y",IF(F73="",1,IF(COUNTIFS(F$5:F73,F73,W$5:W73,"Y")=1,1,0)),0)</f>
        <v>0</v>
      </c>
    </row>
    <row r="74" customFormat="false" ht="15" hidden="false" customHeight="false" outlineLevel="0" collapsed="false">
      <c r="A74" s="103"/>
      <c r="B74" s="103"/>
      <c r="C74" s="102"/>
      <c r="D74" s="103"/>
      <c r="E74" s="103"/>
      <c r="F74" s="103"/>
      <c r="G74" s="103"/>
      <c r="H74" s="103"/>
      <c r="I74" s="103"/>
      <c r="J74" s="103"/>
      <c r="K74" s="103"/>
      <c r="L74" s="103"/>
      <c r="M74" s="103"/>
      <c r="N74" s="103"/>
      <c r="O74" s="103"/>
      <c r="P74" s="103"/>
      <c r="Q74" s="103"/>
      <c r="R74" s="105"/>
      <c r="S74" s="102"/>
      <c r="T74" s="105"/>
      <c r="U74" s="102"/>
      <c r="V74" s="103"/>
      <c r="W74" s="103"/>
      <c r="X74" s="105"/>
      <c r="Y74" s="102"/>
      <c r="Z74" s="103"/>
      <c r="AL74" s="30" t="str">
        <f aca="false">IF(B74="","",IFERROR(INDEX(Schedule!$N$7:$N$18,MATCH(B74,Schedule!$A$7:$A$18,0)),"not in schedule"))</f>
        <v/>
      </c>
      <c r="AM74" s="19" t="str">
        <f aca="false">IF(B74="","",N(R74)-N(X74))</f>
        <v/>
      </c>
      <c r="AN74" s="95" t="str">
        <f aca="false">IF(B74="","",IF(Z74&lt;&gt;"",Z74,IF(N(G74)&gt;0,N(N74)/G74,"")))</f>
        <v/>
      </c>
      <c r="AO74" s="18" t="str">
        <f aca="false">IF(OR(B74="",C74=""),"",WORKDAY(C74,Inputs!$C$132,Lists!$N$4:$N$30))</f>
        <v/>
      </c>
      <c r="AP74" s="30" t="str">
        <f aca="false">IF(B74="","",IF(U74="","missing",IF(U74&gt;AO74,"Y","N")))</f>
        <v/>
      </c>
      <c r="AQ74" s="30" t="n">
        <f aca="false">IF(OR(W74="Y",W74="N"),IF(F74="",1,IF(COUNTIFS(F$5:F74,F74,W$5:W74,"Y")+COUNTIFS(F$5:F74,F74,W$5:W74,"N")=1,1,0)),0)</f>
        <v>0</v>
      </c>
      <c r="AR74" s="30" t="n">
        <f aca="false">IF(W74="Y",IF(F74="",1,IF(COUNTIFS(F$5:F74,F74,W$5:W74,"Y")=1,1,0)),0)</f>
        <v>0</v>
      </c>
    </row>
    <row r="75" customFormat="false" ht="15" hidden="false" customHeight="false" outlineLevel="0" collapsed="false">
      <c r="A75" s="103"/>
      <c r="B75" s="103"/>
      <c r="C75" s="102"/>
      <c r="D75" s="103"/>
      <c r="E75" s="103"/>
      <c r="F75" s="103"/>
      <c r="G75" s="103"/>
      <c r="H75" s="103"/>
      <c r="I75" s="103"/>
      <c r="J75" s="103"/>
      <c r="K75" s="103"/>
      <c r="L75" s="103"/>
      <c r="M75" s="103"/>
      <c r="N75" s="103"/>
      <c r="O75" s="103"/>
      <c r="P75" s="103"/>
      <c r="Q75" s="103"/>
      <c r="R75" s="105"/>
      <c r="S75" s="102"/>
      <c r="T75" s="105"/>
      <c r="U75" s="102"/>
      <c r="V75" s="103"/>
      <c r="W75" s="103"/>
      <c r="X75" s="105"/>
      <c r="Y75" s="102"/>
      <c r="Z75" s="103"/>
      <c r="AL75" s="30" t="str">
        <f aca="false">IF(B75="","",IFERROR(INDEX(Schedule!$N$7:$N$18,MATCH(B75,Schedule!$A$7:$A$18,0)),"not in schedule"))</f>
        <v/>
      </c>
      <c r="AM75" s="19" t="str">
        <f aca="false">IF(B75="","",N(R75)-N(X75))</f>
        <v/>
      </c>
      <c r="AN75" s="95" t="str">
        <f aca="false">IF(B75="","",IF(Z75&lt;&gt;"",Z75,IF(N(G75)&gt;0,N(N75)/G75,"")))</f>
        <v/>
      </c>
      <c r="AO75" s="18" t="str">
        <f aca="false">IF(OR(B75="",C75=""),"",WORKDAY(C75,Inputs!$C$132,Lists!$N$4:$N$30))</f>
        <v/>
      </c>
      <c r="AP75" s="30" t="str">
        <f aca="false">IF(B75="","",IF(U75="","missing",IF(U75&gt;AO75,"Y","N")))</f>
        <v/>
      </c>
      <c r="AQ75" s="30" t="n">
        <f aca="false">IF(OR(W75="Y",W75="N"),IF(F75="",1,IF(COUNTIFS(F$5:F75,F75,W$5:W75,"Y")+COUNTIFS(F$5:F75,F75,W$5:W75,"N")=1,1,0)),0)</f>
        <v>0</v>
      </c>
      <c r="AR75" s="30" t="n">
        <f aca="false">IF(W75="Y",IF(F75="",1,IF(COUNTIFS(F$5:F75,F75,W$5:W75,"Y")=1,1,0)),0)</f>
        <v>0</v>
      </c>
    </row>
    <row r="76" customFormat="false" ht="15" hidden="false" customHeight="false" outlineLevel="0" collapsed="false">
      <c r="A76" s="103"/>
      <c r="B76" s="103"/>
      <c r="C76" s="102"/>
      <c r="D76" s="103"/>
      <c r="E76" s="103"/>
      <c r="F76" s="103"/>
      <c r="G76" s="103"/>
      <c r="H76" s="103"/>
      <c r="I76" s="103"/>
      <c r="J76" s="103"/>
      <c r="K76" s="103"/>
      <c r="L76" s="103"/>
      <c r="M76" s="103"/>
      <c r="N76" s="103"/>
      <c r="O76" s="103"/>
      <c r="P76" s="103"/>
      <c r="Q76" s="103"/>
      <c r="R76" s="105"/>
      <c r="S76" s="102"/>
      <c r="T76" s="105"/>
      <c r="U76" s="102"/>
      <c r="V76" s="103"/>
      <c r="W76" s="103"/>
      <c r="X76" s="105"/>
      <c r="Y76" s="102"/>
      <c r="Z76" s="103"/>
      <c r="AL76" s="30" t="str">
        <f aca="false">IF(B76="","",IFERROR(INDEX(Schedule!$N$7:$N$18,MATCH(B76,Schedule!$A$7:$A$18,0)),"not in schedule"))</f>
        <v/>
      </c>
      <c r="AM76" s="19" t="str">
        <f aca="false">IF(B76="","",N(R76)-N(X76))</f>
        <v/>
      </c>
      <c r="AN76" s="95" t="str">
        <f aca="false">IF(B76="","",IF(Z76&lt;&gt;"",Z76,IF(N(G76)&gt;0,N(N76)/G76,"")))</f>
        <v/>
      </c>
      <c r="AO76" s="18" t="str">
        <f aca="false">IF(OR(B76="",C76=""),"",WORKDAY(C76,Inputs!$C$132,Lists!$N$4:$N$30))</f>
        <v/>
      </c>
      <c r="AP76" s="30" t="str">
        <f aca="false">IF(B76="","",IF(U76="","missing",IF(U76&gt;AO76,"Y","N")))</f>
        <v/>
      </c>
      <c r="AQ76" s="30" t="n">
        <f aca="false">IF(OR(W76="Y",W76="N"),IF(F76="",1,IF(COUNTIFS(F$5:F76,F76,W$5:W76,"Y")+COUNTIFS(F$5:F76,F76,W$5:W76,"N")=1,1,0)),0)</f>
        <v>0</v>
      </c>
      <c r="AR76" s="30" t="n">
        <f aca="false">IF(W76="Y",IF(F76="",1,IF(COUNTIFS(F$5:F76,F76,W$5:W76,"Y")=1,1,0)),0)</f>
        <v>0</v>
      </c>
    </row>
    <row r="77" customFormat="false" ht="15" hidden="false" customHeight="false" outlineLevel="0" collapsed="false">
      <c r="A77" s="103"/>
      <c r="B77" s="103"/>
      <c r="C77" s="102"/>
      <c r="D77" s="103"/>
      <c r="E77" s="103"/>
      <c r="F77" s="103"/>
      <c r="G77" s="103"/>
      <c r="H77" s="103"/>
      <c r="I77" s="103"/>
      <c r="J77" s="103"/>
      <c r="K77" s="103"/>
      <c r="L77" s="103"/>
      <c r="M77" s="103"/>
      <c r="N77" s="103"/>
      <c r="O77" s="103"/>
      <c r="P77" s="103"/>
      <c r="Q77" s="103"/>
      <c r="R77" s="105"/>
      <c r="S77" s="102"/>
      <c r="T77" s="105"/>
      <c r="U77" s="102"/>
      <c r="V77" s="103"/>
      <c r="W77" s="103"/>
      <c r="X77" s="105"/>
      <c r="Y77" s="102"/>
      <c r="Z77" s="103"/>
      <c r="AL77" s="30" t="str">
        <f aca="false">IF(B77="","",IFERROR(INDEX(Schedule!$N$7:$N$18,MATCH(B77,Schedule!$A$7:$A$18,0)),"not in schedule"))</f>
        <v/>
      </c>
      <c r="AM77" s="19" t="str">
        <f aca="false">IF(B77="","",N(R77)-N(X77))</f>
        <v/>
      </c>
      <c r="AN77" s="95" t="str">
        <f aca="false">IF(B77="","",IF(Z77&lt;&gt;"",Z77,IF(N(G77)&gt;0,N(N77)/G77,"")))</f>
        <v/>
      </c>
      <c r="AO77" s="18" t="str">
        <f aca="false">IF(OR(B77="",C77=""),"",WORKDAY(C77,Inputs!$C$132,Lists!$N$4:$N$30))</f>
        <v/>
      </c>
      <c r="AP77" s="30" t="str">
        <f aca="false">IF(B77="","",IF(U77="","missing",IF(U77&gt;AO77,"Y","N")))</f>
        <v/>
      </c>
      <c r="AQ77" s="30" t="n">
        <f aca="false">IF(OR(W77="Y",W77="N"),IF(F77="",1,IF(COUNTIFS(F$5:F77,F77,W$5:W77,"Y")+COUNTIFS(F$5:F77,F77,W$5:W77,"N")=1,1,0)),0)</f>
        <v>0</v>
      </c>
      <c r="AR77" s="30" t="n">
        <f aca="false">IF(W77="Y",IF(F77="",1,IF(COUNTIFS(F$5:F77,F77,W$5:W77,"Y")=1,1,0)),0)</f>
        <v>0</v>
      </c>
    </row>
    <row r="78" customFormat="false" ht="15" hidden="false" customHeight="false" outlineLevel="0" collapsed="false">
      <c r="A78" s="103"/>
      <c r="B78" s="103"/>
      <c r="C78" s="102"/>
      <c r="D78" s="103"/>
      <c r="E78" s="103"/>
      <c r="F78" s="103"/>
      <c r="G78" s="103"/>
      <c r="H78" s="103"/>
      <c r="I78" s="103"/>
      <c r="J78" s="103"/>
      <c r="K78" s="103"/>
      <c r="L78" s="103"/>
      <c r="M78" s="103"/>
      <c r="N78" s="103"/>
      <c r="O78" s="103"/>
      <c r="P78" s="103"/>
      <c r="Q78" s="103"/>
      <c r="R78" s="105"/>
      <c r="S78" s="102"/>
      <c r="T78" s="105"/>
      <c r="U78" s="102"/>
      <c r="V78" s="103"/>
      <c r="W78" s="103"/>
      <c r="X78" s="105"/>
      <c r="Y78" s="102"/>
      <c r="Z78" s="103"/>
      <c r="AL78" s="30" t="str">
        <f aca="false">IF(B78="","",IFERROR(INDEX(Schedule!$N$7:$N$18,MATCH(B78,Schedule!$A$7:$A$18,0)),"not in schedule"))</f>
        <v/>
      </c>
      <c r="AM78" s="19" t="str">
        <f aca="false">IF(B78="","",N(R78)-N(X78))</f>
        <v/>
      </c>
      <c r="AN78" s="95" t="str">
        <f aca="false">IF(B78="","",IF(Z78&lt;&gt;"",Z78,IF(N(G78)&gt;0,N(N78)/G78,"")))</f>
        <v/>
      </c>
      <c r="AO78" s="18" t="str">
        <f aca="false">IF(OR(B78="",C78=""),"",WORKDAY(C78,Inputs!$C$132,Lists!$N$4:$N$30))</f>
        <v/>
      </c>
      <c r="AP78" s="30" t="str">
        <f aca="false">IF(B78="","",IF(U78="","missing",IF(U78&gt;AO78,"Y","N")))</f>
        <v/>
      </c>
      <c r="AQ78" s="30" t="n">
        <f aca="false">IF(OR(W78="Y",W78="N"),IF(F78="",1,IF(COUNTIFS(F$5:F78,F78,W$5:W78,"Y")+COUNTIFS(F$5:F78,F78,W$5:W78,"N")=1,1,0)),0)</f>
        <v>0</v>
      </c>
      <c r="AR78" s="30" t="n">
        <f aca="false">IF(W78="Y",IF(F78="",1,IF(COUNTIFS(F$5:F78,F78,W$5:W78,"Y")=1,1,0)),0)</f>
        <v>0</v>
      </c>
    </row>
    <row r="79" customFormat="false" ht="15" hidden="false" customHeight="false" outlineLevel="0" collapsed="false">
      <c r="A79" s="103"/>
      <c r="B79" s="103"/>
      <c r="C79" s="102"/>
      <c r="D79" s="103"/>
      <c r="E79" s="103"/>
      <c r="F79" s="103"/>
      <c r="G79" s="103"/>
      <c r="H79" s="103"/>
      <c r="I79" s="103"/>
      <c r="J79" s="103"/>
      <c r="K79" s="103"/>
      <c r="L79" s="103"/>
      <c r="M79" s="103"/>
      <c r="N79" s="103"/>
      <c r="O79" s="103"/>
      <c r="P79" s="103"/>
      <c r="Q79" s="103"/>
      <c r="R79" s="105"/>
      <c r="S79" s="102"/>
      <c r="T79" s="105"/>
      <c r="U79" s="102"/>
      <c r="V79" s="103"/>
      <c r="W79" s="103"/>
      <c r="X79" s="105"/>
      <c r="Y79" s="102"/>
      <c r="Z79" s="103"/>
      <c r="AL79" s="30" t="str">
        <f aca="false">IF(B79="","",IFERROR(INDEX(Schedule!$N$7:$N$18,MATCH(B79,Schedule!$A$7:$A$18,0)),"not in schedule"))</f>
        <v/>
      </c>
      <c r="AM79" s="19" t="str">
        <f aca="false">IF(B79="","",N(R79)-N(X79))</f>
        <v/>
      </c>
      <c r="AN79" s="95" t="str">
        <f aca="false">IF(B79="","",IF(Z79&lt;&gt;"",Z79,IF(N(G79)&gt;0,N(N79)/G79,"")))</f>
        <v/>
      </c>
      <c r="AO79" s="18" t="str">
        <f aca="false">IF(OR(B79="",C79=""),"",WORKDAY(C79,Inputs!$C$132,Lists!$N$4:$N$30))</f>
        <v/>
      </c>
      <c r="AP79" s="30" t="str">
        <f aca="false">IF(B79="","",IF(U79="","missing",IF(U79&gt;AO79,"Y","N")))</f>
        <v/>
      </c>
      <c r="AQ79" s="30" t="n">
        <f aca="false">IF(OR(W79="Y",W79="N"),IF(F79="",1,IF(COUNTIFS(F$5:F79,F79,W$5:W79,"Y")+COUNTIFS(F$5:F79,F79,W$5:W79,"N")=1,1,0)),0)</f>
        <v>0</v>
      </c>
      <c r="AR79" s="30" t="n">
        <f aca="false">IF(W79="Y",IF(F79="",1,IF(COUNTIFS(F$5:F79,F79,W$5:W79,"Y")=1,1,0)),0)</f>
        <v>0</v>
      </c>
    </row>
    <row r="80" customFormat="false" ht="15" hidden="false" customHeight="false" outlineLevel="0" collapsed="false">
      <c r="A80" s="103"/>
      <c r="B80" s="103"/>
      <c r="C80" s="102"/>
      <c r="D80" s="103"/>
      <c r="E80" s="103"/>
      <c r="F80" s="103"/>
      <c r="G80" s="103"/>
      <c r="H80" s="103"/>
      <c r="I80" s="103"/>
      <c r="J80" s="103"/>
      <c r="K80" s="103"/>
      <c r="L80" s="103"/>
      <c r="M80" s="103"/>
      <c r="N80" s="103"/>
      <c r="O80" s="103"/>
      <c r="P80" s="103"/>
      <c r="Q80" s="103"/>
      <c r="R80" s="105"/>
      <c r="S80" s="102"/>
      <c r="T80" s="105"/>
      <c r="U80" s="102"/>
      <c r="V80" s="103"/>
      <c r="W80" s="103"/>
      <c r="X80" s="105"/>
      <c r="Y80" s="102"/>
      <c r="Z80" s="103"/>
      <c r="AL80" s="30" t="str">
        <f aca="false">IF(B80="","",IFERROR(INDEX(Schedule!$N$7:$N$18,MATCH(B80,Schedule!$A$7:$A$18,0)),"not in schedule"))</f>
        <v/>
      </c>
      <c r="AM80" s="19" t="str">
        <f aca="false">IF(B80="","",N(R80)-N(X80))</f>
        <v/>
      </c>
      <c r="AN80" s="95" t="str">
        <f aca="false">IF(B80="","",IF(Z80&lt;&gt;"",Z80,IF(N(G80)&gt;0,N(N80)/G80,"")))</f>
        <v/>
      </c>
      <c r="AO80" s="18" t="str">
        <f aca="false">IF(OR(B80="",C80=""),"",WORKDAY(C80,Inputs!$C$132,Lists!$N$4:$N$30))</f>
        <v/>
      </c>
      <c r="AP80" s="30" t="str">
        <f aca="false">IF(B80="","",IF(U80="","missing",IF(U80&gt;AO80,"Y","N")))</f>
        <v/>
      </c>
      <c r="AQ80" s="30" t="n">
        <f aca="false">IF(OR(W80="Y",W80="N"),IF(F80="",1,IF(COUNTIFS(F$5:F80,F80,W$5:W80,"Y")+COUNTIFS(F$5:F80,F80,W$5:W80,"N")=1,1,0)),0)</f>
        <v>0</v>
      </c>
      <c r="AR80" s="30" t="n">
        <f aca="false">IF(W80="Y",IF(F80="",1,IF(COUNTIFS(F$5:F80,F80,W$5:W80,"Y")=1,1,0)),0)</f>
        <v>0</v>
      </c>
    </row>
    <row r="81" customFormat="false" ht="15" hidden="false" customHeight="false" outlineLevel="0" collapsed="false">
      <c r="A81" s="103"/>
      <c r="B81" s="103"/>
      <c r="C81" s="102"/>
      <c r="D81" s="103"/>
      <c r="E81" s="103"/>
      <c r="F81" s="103"/>
      <c r="G81" s="103"/>
      <c r="H81" s="103"/>
      <c r="I81" s="103"/>
      <c r="J81" s="103"/>
      <c r="K81" s="103"/>
      <c r="L81" s="103"/>
      <c r="M81" s="103"/>
      <c r="N81" s="103"/>
      <c r="O81" s="103"/>
      <c r="P81" s="103"/>
      <c r="Q81" s="103"/>
      <c r="R81" s="105"/>
      <c r="S81" s="102"/>
      <c r="T81" s="105"/>
      <c r="U81" s="102"/>
      <c r="V81" s="103"/>
      <c r="W81" s="103"/>
      <c r="X81" s="105"/>
      <c r="Y81" s="102"/>
      <c r="Z81" s="103"/>
      <c r="AL81" s="30" t="str">
        <f aca="false">IF(B81="","",IFERROR(INDEX(Schedule!$N$7:$N$18,MATCH(B81,Schedule!$A$7:$A$18,0)),"not in schedule"))</f>
        <v/>
      </c>
      <c r="AM81" s="19" t="str">
        <f aca="false">IF(B81="","",N(R81)-N(X81))</f>
        <v/>
      </c>
      <c r="AN81" s="95" t="str">
        <f aca="false">IF(B81="","",IF(Z81&lt;&gt;"",Z81,IF(N(G81)&gt;0,N(N81)/G81,"")))</f>
        <v/>
      </c>
      <c r="AO81" s="18" t="str">
        <f aca="false">IF(OR(B81="",C81=""),"",WORKDAY(C81,Inputs!$C$132,Lists!$N$4:$N$30))</f>
        <v/>
      </c>
      <c r="AP81" s="30" t="str">
        <f aca="false">IF(B81="","",IF(U81="","missing",IF(U81&gt;AO81,"Y","N")))</f>
        <v/>
      </c>
      <c r="AQ81" s="30" t="n">
        <f aca="false">IF(OR(W81="Y",W81="N"),IF(F81="",1,IF(COUNTIFS(F$5:F81,F81,W$5:W81,"Y")+COUNTIFS(F$5:F81,F81,W$5:W81,"N")=1,1,0)),0)</f>
        <v>0</v>
      </c>
      <c r="AR81" s="30" t="n">
        <f aca="false">IF(W81="Y",IF(F81="",1,IF(COUNTIFS(F$5:F81,F81,W$5:W81,"Y")=1,1,0)),0)</f>
        <v>0</v>
      </c>
    </row>
    <row r="82" customFormat="false" ht="15" hidden="false" customHeight="false" outlineLevel="0" collapsed="false">
      <c r="A82" s="103"/>
      <c r="B82" s="103"/>
      <c r="C82" s="102"/>
      <c r="D82" s="103"/>
      <c r="E82" s="103"/>
      <c r="F82" s="103"/>
      <c r="G82" s="103"/>
      <c r="H82" s="103"/>
      <c r="I82" s="103"/>
      <c r="J82" s="103"/>
      <c r="K82" s="103"/>
      <c r="L82" s="103"/>
      <c r="M82" s="103"/>
      <c r="N82" s="103"/>
      <c r="O82" s="103"/>
      <c r="P82" s="103"/>
      <c r="Q82" s="103"/>
      <c r="R82" s="105"/>
      <c r="S82" s="102"/>
      <c r="T82" s="105"/>
      <c r="U82" s="102"/>
      <c r="V82" s="103"/>
      <c r="W82" s="103"/>
      <c r="X82" s="105"/>
      <c r="Y82" s="102"/>
      <c r="Z82" s="103"/>
      <c r="AL82" s="30" t="str">
        <f aca="false">IF(B82="","",IFERROR(INDEX(Schedule!$N$7:$N$18,MATCH(B82,Schedule!$A$7:$A$18,0)),"not in schedule"))</f>
        <v/>
      </c>
      <c r="AM82" s="19" t="str">
        <f aca="false">IF(B82="","",N(R82)-N(X82))</f>
        <v/>
      </c>
      <c r="AN82" s="95" t="str">
        <f aca="false">IF(B82="","",IF(Z82&lt;&gt;"",Z82,IF(N(G82)&gt;0,N(N82)/G82,"")))</f>
        <v/>
      </c>
      <c r="AO82" s="18" t="str">
        <f aca="false">IF(OR(B82="",C82=""),"",WORKDAY(C82,Inputs!$C$132,Lists!$N$4:$N$30))</f>
        <v/>
      </c>
      <c r="AP82" s="30" t="str">
        <f aca="false">IF(B82="","",IF(U82="","missing",IF(U82&gt;AO82,"Y","N")))</f>
        <v/>
      </c>
      <c r="AQ82" s="30" t="n">
        <f aca="false">IF(OR(W82="Y",W82="N"),IF(F82="",1,IF(COUNTIFS(F$5:F82,F82,W$5:W82,"Y")+COUNTIFS(F$5:F82,F82,W$5:W82,"N")=1,1,0)),0)</f>
        <v>0</v>
      </c>
      <c r="AR82" s="30" t="n">
        <f aca="false">IF(W82="Y",IF(F82="",1,IF(COUNTIFS(F$5:F82,F82,W$5:W82,"Y")=1,1,0)),0)</f>
        <v>0</v>
      </c>
    </row>
    <row r="83" customFormat="false" ht="15" hidden="false" customHeight="false" outlineLevel="0" collapsed="false">
      <c r="A83" s="103"/>
      <c r="B83" s="103"/>
      <c r="C83" s="102"/>
      <c r="D83" s="103"/>
      <c r="E83" s="103"/>
      <c r="F83" s="103"/>
      <c r="G83" s="103"/>
      <c r="H83" s="103"/>
      <c r="I83" s="103"/>
      <c r="J83" s="103"/>
      <c r="K83" s="103"/>
      <c r="L83" s="103"/>
      <c r="M83" s="103"/>
      <c r="N83" s="103"/>
      <c r="O83" s="103"/>
      <c r="P83" s="103"/>
      <c r="Q83" s="103"/>
      <c r="R83" s="105"/>
      <c r="S83" s="102"/>
      <c r="T83" s="105"/>
      <c r="U83" s="102"/>
      <c r="V83" s="103"/>
      <c r="W83" s="103"/>
      <c r="X83" s="105"/>
      <c r="Y83" s="102"/>
      <c r="Z83" s="103"/>
      <c r="AL83" s="30" t="str">
        <f aca="false">IF(B83="","",IFERROR(INDEX(Schedule!$N$7:$N$18,MATCH(B83,Schedule!$A$7:$A$18,0)),"not in schedule"))</f>
        <v/>
      </c>
      <c r="AM83" s="19" t="str">
        <f aca="false">IF(B83="","",N(R83)-N(X83))</f>
        <v/>
      </c>
      <c r="AN83" s="95" t="str">
        <f aca="false">IF(B83="","",IF(Z83&lt;&gt;"",Z83,IF(N(G83)&gt;0,N(N83)/G83,"")))</f>
        <v/>
      </c>
      <c r="AO83" s="18" t="str">
        <f aca="false">IF(OR(B83="",C83=""),"",WORKDAY(C83,Inputs!$C$132,Lists!$N$4:$N$30))</f>
        <v/>
      </c>
      <c r="AP83" s="30" t="str">
        <f aca="false">IF(B83="","",IF(U83="","missing",IF(U83&gt;AO83,"Y","N")))</f>
        <v/>
      </c>
      <c r="AQ83" s="30" t="n">
        <f aca="false">IF(OR(W83="Y",W83="N"),IF(F83="",1,IF(COUNTIFS(F$5:F83,F83,W$5:W83,"Y")+COUNTIFS(F$5:F83,F83,W$5:W83,"N")=1,1,0)),0)</f>
        <v>0</v>
      </c>
      <c r="AR83" s="30" t="n">
        <f aca="false">IF(W83="Y",IF(F83="",1,IF(COUNTIFS(F$5:F83,F83,W$5:W83,"Y")=1,1,0)),0)</f>
        <v>0</v>
      </c>
    </row>
    <row r="84" customFormat="false" ht="15" hidden="false" customHeight="false" outlineLevel="0" collapsed="false">
      <c r="A84" s="103"/>
      <c r="B84" s="103"/>
      <c r="C84" s="102"/>
      <c r="D84" s="103"/>
      <c r="E84" s="103"/>
      <c r="F84" s="103"/>
      <c r="G84" s="103"/>
      <c r="H84" s="103"/>
      <c r="I84" s="103"/>
      <c r="J84" s="103"/>
      <c r="K84" s="103"/>
      <c r="L84" s="103"/>
      <c r="M84" s="103"/>
      <c r="N84" s="103"/>
      <c r="O84" s="103"/>
      <c r="P84" s="103"/>
      <c r="Q84" s="103"/>
      <c r="R84" s="105"/>
      <c r="S84" s="102"/>
      <c r="T84" s="105"/>
      <c r="U84" s="102"/>
      <c r="V84" s="103"/>
      <c r="W84" s="103"/>
      <c r="X84" s="105"/>
      <c r="Y84" s="102"/>
      <c r="Z84" s="103"/>
      <c r="AL84" s="30" t="str">
        <f aca="false">IF(B84="","",IFERROR(INDEX(Schedule!$N$7:$N$18,MATCH(B84,Schedule!$A$7:$A$18,0)),"not in schedule"))</f>
        <v/>
      </c>
      <c r="AM84" s="19" t="str">
        <f aca="false">IF(B84="","",N(R84)-N(X84))</f>
        <v/>
      </c>
      <c r="AN84" s="95" t="str">
        <f aca="false">IF(B84="","",IF(Z84&lt;&gt;"",Z84,IF(N(G84)&gt;0,N(N84)/G84,"")))</f>
        <v/>
      </c>
      <c r="AO84" s="18" t="str">
        <f aca="false">IF(OR(B84="",C84=""),"",WORKDAY(C84,Inputs!$C$132,Lists!$N$4:$N$30))</f>
        <v/>
      </c>
      <c r="AP84" s="30" t="str">
        <f aca="false">IF(B84="","",IF(U84="","missing",IF(U84&gt;AO84,"Y","N")))</f>
        <v/>
      </c>
      <c r="AQ84" s="30" t="n">
        <f aca="false">IF(OR(W84="Y",W84="N"),IF(F84="",1,IF(COUNTIFS(F$5:F84,F84,W$5:W84,"Y")+COUNTIFS(F$5:F84,F84,W$5:W84,"N")=1,1,0)),0)</f>
        <v>0</v>
      </c>
      <c r="AR84" s="30" t="n">
        <f aca="false">IF(W84="Y",IF(F84="",1,IF(COUNTIFS(F$5:F84,F84,W$5:W84,"Y")=1,1,0)),0)</f>
        <v>0</v>
      </c>
    </row>
    <row r="85" customFormat="false" ht="15" hidden="false" customHeight="false" outlineLevel="0" collapsed="false">
      <c r="A85" s="103"/>
      <c r="B85" s="103"/>
      <c r="C85" s="102"/>
      <c r="D85" s="103"/>
      <c r="E85" s="103"/>
      <c r="F85" s="103"/>
      <c r="G85" s="103"/>
      <c r="H85" s="103"/>
      <c r="I85" s="103"/>
      <c r="J85" s="103"/>
      <c r="K85" s="103"/>
      <c r="L85" s="103"/>
      <c r="M85" s="103"/>
      <c r="N85" s="103"/>
      <c r="O85" s="103"/>
      <c r="P85" s="103"/>
      <c r="Q85" s="103"/>
      <c r="R85" s="105"/>
      <c r="S85" s="102"/>
      <c r="T85" s="105"/>
      <c r="U85" s="102"/>
      <c r="V85" s="103"/>
      <c r="W85" s="103"/>
      <c r="X85" s="105"/>
      <c r="Y85" s="102"/>
      <c r="Z85" s="103"/>
      <c r="AL85" s="30" t="str">
        <f aca="false">IF(B85="","",IFERROR(INDEX(Schedule!$N$7:$N$18,MATCH(B85,Schedule!$A$7:$A$18,0)),"not in schedule"))</f>
        <v/>
      </c>
      <c r="AM85" s="19" t="str">
        <f aca="false">IF(B85="","",N(R85)-N(X85))</f>
        <v/>
      </c>
      <c r="AN85" s="95" t="str">
        <f aca="false">IF(B85="","",IF(Z85&lt;&gt;"",Z85,IF(N(G85)&gt;0,N(N85)/G85,"")))</f>
        <v/>
      </c>
      <c r="AO85" s="18" t="str">
        <f aca="false">IF(OR(B85="",C85=""),"",WORKDAY(C85,Inputs!$C$132,Lists!$N$4:$N$30))</f>
        <v/>
      </c>
      <c r="AP85" s="30" t="str">
        <f aca="false">IF(B85="","",IF(U85="","missing",IF(U85&gt;AO85,"Y","N")))</f>
        <v/>
      </c>
      <c r="AQ85" s="30" t="n">
        <f aca="false">IF(OR(W85="Y",W85="N"),IF(F85="",1,IF(COUNTIFS(F$5:F85,F85,W$5:W85,"Y")+COUNTIFS(F$5:F85,F85,W$5:W85,"N")=1,1,0)),0)</f>
        <v>0</v>
      </c>
      <c r="AR85" s="30" t="n">
        <f aca="false">IF(W85="Y",IF(F85="",1,IF(COUNTIFS(F$5:F85,F85,W$5:W85,"Y")=1,1,0)),0)</f>
        <v>0</v>
      </c>
    </row>
    <row r="86" customFormat="false" ht="15" hidden="false" customHeight="false" outlineLevel="0" collapsed="false">
      <c r="A86" s="103"/>
      <c r="B86" s="103"/>
      <c r="C86" s="102"/>
      <c r="D86" s="103"/>
      <c r="E86" s="103"/>
      <c r="F86" s="103"/>
      <c r="G86" s="103"/>
      <c r="H86" s="103"/>
      <c r="I86" s="103"/>
      <c r="J86" s="103"/>
      <c r="K86" s="103"/>
      <c r="L86" s="103"/>
      <c r="M86" s="103"/>
      <c r="N86" s="103"/>
      <c r="O86" s="103"/>
      <c r="P86" s="103"/>
      <c r="Q86" s="103"/>
      <c r="R86" s="105"/>
      <c r="S86" s="102"/>
      <c r="T86" s="105"/>
      <c r="U86" s="102"/>
      <c r="V86" s="103"/>
      <c r="W86" s="103"/>
      <c r="X86" s="105"/>
      <c r="Y86" s="102"/>
      <c r="Z86" s="103"/>
      <c r="AL86" s="30" t="str">
        <f aca="false">IF(B86="","",IFERROR(INDEX(Schedule!$N$7:$N$18,MATCH(B86,Schedule!$A$7:$A$18,0)),"not in schedule"))</f>
        <v/>
      </c>
      <c r="AM86" s="19" t="str">
        <f aca="false">IF(B86="","",N(R86)-N(X86))</f>
        <v/>
      </c>
      <c r="AN86" s="95" t="str">
        <f aca="false">IF(B86="","",IF(Z86&lt;&gt;"",Z86,IF(N(G86)&gt;0,N(N86)/G86,"")))</f>
        <v/>
      </c>
      <c r="AO86" s="18" t="str">
        <f aca="false">IF(OR(B86="",C86=""),"",WORKDAY(C86,Inputs!$C$132,Lists!$N$4:$N$30))</f>
        <v/>
      </c>
      <c r="AP86" s="30" t="str">
        <f aca="false">IF(B86="","",IF(U86="","missing",IF(U86&gt;AO86,"Y","N")))</f>
        <v/>
      </c>
      <c r="AQ86" s="30" t="n">
        <f aca="false">IF(OR(W86="Y",W86="N"),IF(F86="",1,IF(COUNTIFS(F$5:F86,F86,W$5:W86,"Y")+COUNTIFS(F$5:F86,F86,W$5:W86,"N")=1,1,0)),0)</f>
        <v>0</v>
      </c>
      <c r="AR86" s="30" t="n">
        <f aca="false">IF(W86="Y",IF(F86="",1,IF(COUNTIFS(F$5:F86,F86,W$5:W86,"Y")=1,1,0)),0)</f>
        <v>0</v>
      </c>
    </row>
    <row r="87" customFormat="false" ht="15" hidden="false" customHeight="false" outlineLevel="0" collapsed="false">
      <c r="A87" s="103"/>
      <c r="B87" s="103"/>
      <c r="C87" s="102"/>
      <c r="D87" s="103"/>
      <c r="E87" s="103"/>
      <c r="F87" s="103"/>
      <c r="G87" s="103"/>
      <c r="H87" s="103"/>
      <c r="I87" s="103"/>
      <c r="J87" s="103"/>
      <c r="K87" s="103"/>
      <c r="L87" s="103"/>
      <c r="M87" s="103"/>
      <c r="N87" s="103"/>
      <c r="O87" s="103"/>
      <c r="P87" s="103"/>
      <c r="Q87" s="103"/>
      <c r="R87" s="105"/>
      <c r="S87" s="102"/>
      <c r="T87" s="105"/>
      <c r="U87" s="102"/>
      <c r="V87" s="103"/>
      <c r="W87" s="103"/>
      <c r="X87" s="105"/>
      <c r="Y87" s="102"/>
      <c r="Z87" s="103"/>
      <c r="AL87" s="30" t="str">
        <f aca="false">IF(B87="","",IFERROR(INDEX(Schedule!$N$7:$N$18,MATCH(B87,Schedule!$A$7:$A$18,0)),"not in schedule"))</f>
        <v/>
      </c>
      <c r="AM87" s="19" t="str">
        <f aca="false">IF(B87="","",N(R87)-N(X87))</f>
        <v/>
      </c>
      <c r="AN87" s="95" t="str">
        <f aca="false">IF(B87="","",IF(Z87&lt;&gt;"",Z87,IF(N(G87)&gt;0,N(N87)/G87,"")))</f>
        <v/>
      </c>
      <c r="AO87" s="18" t="str">
        <f aca="false">IF(OR(B87="",C87=""),"",WORKDAY(C87,Inputs!$C$132,Lists!$N$4:$N$30))</f>
        <v/>
      </c>
      <c r="AP87" s="30" t="str">
        <f aca="false">IF(B87="","",IF(U87="","missing",IF(U87&gt;AO87,"Y","N")))</f>
        <v/>
      </c>
      <c r="AQ87" s="30" t="n">
        <f aca="false">IF(OR(W87="Y",W87="N"),IF(F87="",1,IF(COUNTIFS(F$5:F87,F87,W$5:W87,"Y")+COUNTIFS(F$5:F87,F87,W$5:W87,"N")=1,1,0)),0)</f>
        <v>0</v>
      </c>
      <c r="AR87" s="30" t="n">
        <f aca="false">IF(W87="Y",IF(F87="",1,IF(COUNTIFS(F$5:F87,F87,W$5:W87,"Y")=1,1,0)),0)</f>
        <v>0</v>
      </c>
    </row>
    <row r="88" customFormat="false" ht="15" hidden="false" customHeight="false" outlineLevel="0" collapsed="false">
      <c r="A88" s="103"/>
      <c r="B88" s="103"/>
      <c r="C88" s="102"/>
      <c r="D88" s="103"/>
      <c r="E88" s="103"/>
      <c r="F88" s="103"/>
      <c r="G88" s="103"/>
      <c r="H88" s="103"/>
      <c r="I88" s="103"/>
      <c r="J88" s="103"/>
      <c r="K88" s="103"/>
      <c r="L88" s="103"/>
      <c r="M88" s="103"/>
      <c r="N88" s="103"/>
      <c r="O88" s="103"/>
      <c r="P88" s="103"/>
      <c r="Q88" s="103"/>
      <c r="R88" s="105"/>
      <c r="S88" s="102"/>
      <c r="T88" s="105"/>
      <c r="U88" s="102"/>
      <c r="V88" s="103"/>
      <c r="W88" s="103"/>
      <c r="X88" s="105"/>
      <c r="Y88" s="102"/>
      <c r="Z88" s="103"/>
      <c r="AL88" s="30" t="str">
        <f aca="false">IF(B88="","",IFERROR(INDEX(Schedule!$N$7:$N$18,MATCH(B88,Schedule!$A$7:$A$18,0)),"not in schedule"))</f>
        <v/>
      </c>
      <c r="AM88" s="19" t="str">
        <f aca="false">IF(B88="","",N(R88)-N(X88))</f>
        <v/>
      </c>
      <c r="AN88" s="95" t="str">
        <f aca="false">IF(B88="","",IF(Z88&lt;&gt;"",Z88,IF(N(G88)&gt;0,N(N88)/G88,"")))</f>
        <v/>
      </c>
      <c r="AO88" s="18" t="str">
        <f aca="false">IF(OR(B88="",C88=""),"",WORKDAY(C88,Inputs!$C$132,Lists!$N$4:$N$30))</f>
        <v/>
      </c>
      <c r="AP88" s="30" t="str">
        <f aca="false">IF(B88="","",IF(U88="","missing",IF(U88&gt;AO88,"Y","N")))</f>
        <v/>
      </c>
      <c r="AQ88" s="30" t="n">
        <f aca="false">IF(OR(W88="Y",W88="N"),IF(F88="",1,IF(COUNTIFS(F$5:F88,F88,W$5:W88,"Y")+COUNTIFS(F$5:F88,F88,W$5:W88,"N")=1,1,0)),0)</f>
        <v>0</v>
      </c>
      <c r="AR88" s="30" t="n">
        <f aca="false">IF(W88="Y",IF(F88="",1,IF(COUNTIFS(F$5:F88,F88,W$5:W88,"Y")=1,1,0)),0)</f>
        <v>0</v>
      </c>
    </row>
    <row r="89" customFormat="false" ht="15" hidden="false" customHeight="false" outlineLevel="0" collapsed="false">
      <c r="A89" s="103"/>
      <c r="B89" s="103"/>
      <c r="C89" s="102"/>
      <c r="D89" s="103"/>
      <c r="E89" s="103"/>
      <c r="F89" s="103"/>
      <c r="G89" s="103"/>
      <c r="H89" s="103"/>
      <c r="I89" s="103"/>
      <c r="J89" s="103"/>
      <c r="K89" s="103"/>
      <c r="L89" s="103"/>
      <c r="M89" s="103"/>
      <c r="N89" s="103"/>
      <c r="O89" s="103"/>
      <c r="P89" s="103"/>
      <c r="Q89" s="103"/>
      <c r="R89" s="105"/>
      <c r="S89" s="102"/>
      <c r="T89" s="105"/>
      <c r="U89" s="102"/>
      <c r="V89" s="103"/>
      <c r="W89" s="103"/>
      <c r="X89" s="105"/>
      <c r="Y89" s="102"/>
      <c r="Z89" s="103"/>
      <c r="AL89" s="30" t="str">
        <f aca="false">IF(B89="","",IFERROR(INDEX(Schedule!$N$7:$N$18,MATCH(B89,Schedule!$A$7:$A$18,0)),"not in schedule"))</f>
        <v/>
      </c>
      <c r="AM89" s="19" t="str">
        <f aca="false">IF(B89="","",N(R89)-N(X89))</f>
        <v/>
      </c>
      <c r="AN89" s="95" t="str">
        <f aca="false">IF(B89="","",IF(Z89&lt;&gt;"",Z89,IF(N(G89)&gt;0,N(N89)/G89,"")))</f>
        <v/>
      </c>
      <c r="AO89" s="18" t="str">
        <f aca="false">IF(OR(B89="",C89=""),"",WORKDAY(C89,Inputs!$C$132,Lists!$N$4:$N$30))</f>
        <v/>
      </c>
      <c r="AP89" s="30" t="str">
        <f aca="false">IF(B89="","",IF(U89="","missing",IF(U89&gt;AO89,"Y","N")))</f>
        <v/>
      </c>
      <c r="AQ89" s="30" t="n">
        <f aca="false">IF(OR(W89="Y",W89="N"),IF(F89="",1,IF(COUNTIFS(F$5:F89,F89,W$5:W89,"Y")+COUNTIFS(F$5:F89,F89,W$5:W89,"N")=1,1,0)),0)</f>
        <v>0</v>
      </c>
      <c r="AR89" s="30" t="n">
        <f aca="false">IF(W89="Y",IF(F89="",1,IF(COUNTIFS(F$5:F89,F89,W$5:W89,"Y")=1,1,0)),0)</f>
        <v>0</v>
      </c>
    </row>
    <row r="90" customFormat="false" ht="15" hidden="false" customHeight="false" outlineLevel="0" collapsed="false">
      <c r="A90" s="103"/>
      <c r="B90" s="103"/>
      <c r="C90" s="102"/>
      <c r="D90" s="103"/>
      <c r="E90" s="103"/>
      <c r="F90" s="103"/>
      <c r="G90" s="103"/>
      <c r="H90" s="103"/>
      <c r="I90" s="103"/>
      <c r="J90" s="103"/>
      <c r="K90" s="103"/>
      <c r="L90" s="103"/>
      <c r="M90" s="103"/>
      <c r="N90" s="103"/>
      <c r="O90" s="103"/>
      <c r="P90" s="103"/>
      <c r="Q90" s="103"/>
      <c r="R90" s="105"/>
      <c r="S90" s="102"/>
      <c r="T90" s="105"/>
      <c r="U90" s="102"/>
      <c r="V90" s="103"/>
      <c r="W90" s="103"/>
      <c r="X90" s="105"/>
      <c r="Y90" s="102"/>
      <c r="Z90" s="103"/>
      <c r="AL90" s="30" t="str">
        <f aca="false">IF(B90="","",IFERROR(INDEX(Schedule!$N$7:$N$18,MATCH(B90,Schedule!$A$7:$A$18,0)),"not in schedule"))</f>
        <v/>
      </c>
      <c r="AM90" s="19" t="str">
        <f aca="false">IF(B90="","",N(R90)-N(X90))</f>
        <v/>
      </c>
      <c r="AN90" s="95" t="str">
        <f aca="false">IF(B90="","",IF(Z90&lt;&gt;"",Z90,IF(N(G90)&gt;0,N(N90)/G90,"")))</f>
        <v/>
      </c>
      <c r="AO90" s="18" t="str">
        <f aca="false">IF(OR(B90="",C90=""),"",WORKDAY(C90,Inputs!$C$132,Lists!$N$4:$N$30))</f>
        <v/>
      </c>
      <c r="AP90" s="30" t="str">
        <f aca="false">IF(B90="","",IF(U90="","missing",IF(U90&gt;AO90,"Y","N")))</f>
        <v/>
      </c>
      <c r="AQ90" s="30" t="n">
        <f aca="false">IF(OR(W90="Y",W90="N"),IF(F90="",1,IF(COUNTIFS(F$5:F90,F90,W$5:W90,"Y")+COUNTIFS(F$5:F90,F90,W$5:W90,"N")=1,1,0)),0)</f>
        <v>0</v>
      </c>
      <c r="AR90" s="30" t="n">
        <f aca="false">IF(W90="Y",IF(F90="",1,IF(COUNTIFS(F$5:F90,F90,W$5:W90,"Y")=1,1,0)),0)</f>
        <v>0</v>
      </c>
    </row>
    <row r="91" customFormat="false" ht="15" hidden="false" customHeight="false" outlineLevel="0" collapsed="false">
      <c r="A91" s="103"/>
      <c r="B91" s="103"/>
      <c r="C91" s="102"/>
      <c r="D91" s="103"/>
      <c r="E91" s="103"/>
      <c r="F91" s="103"/>
      <c r="G91" s="103"/>
      <c r="H91" s="103"/>
      <c r="I91" s="103"/>
      <c r="J91" s="103"/>
      <c r="K91" s="103"/>
      <c r="L91" s="103"/>
      <c r="M91" s="103"/>
      <c r="N91" s="103"/>
      <c r="O91" s="103"/>
      <c r="P91" s="103"/>
      <c r="Q91" s="103"/>
      <c r="R91" s="105"/>
      <c r="S91" s="102"/>
      <c r="T91" s="105"/>
      <c r="U91" s="102"/>
      <c r="V91" s="103"/>
      <c r="W91" s="103"/>
      <c r="X91" s="105"/>
      <c r="Y91" s="102"/>
      <c r="Z91" s="103"/>
      <c r="AL91" s="30" t="str">
        <f aca="false">IF(B91="","",IFERROR(INDEX(Schedule!$N$7:$N$18,MATCH(B91,Schedule!$A$7:$A$18,0)),"not in schedule"))</f>
        <v/>
      </c>
      <c r="AM91" s="19" t="str">
        <f aca="false">IF(B91="","",N(R91)-N(X91))</f>
        <v/>
      </c>
      <c r="AN91" s="95" t="str">
        <f aca="false">IF(B91="","",IF(Z91&lt;&gt;"",Z91,IF(N(G91)&gt;0,N(N91)/G91,"")))</f>
        <v/>
      </c>
      <c r="AO91" s="18" t="str">
        <f aca="false">IF(OR(B91="",C91=""),"",WORKDAY(C91,Inputs!$C$132,Lists!$N$4:$N$30))</f>
        <v/>
      </c>
      <c r="AP91" s="30" t="str">
        <f aca="false">IF(B91="","",IF(U91="","missing",IF(U91&gt;AO91,"Y","N")))</f>
        <v/>
      </c>
      <c r="AQ91" s="30" t="n">
        <f aca="false">IF(OR(W91="Y",W91="N"),IF(F91="",1,IF(COUNTIFS(F$5:F91,F91,W$5:W91,"Y")+COUNTIFS(F$5:F91,F91,W$5:W91,"N")=1,1,0)),0)</f>
        <v>0</v>
      </c>
      <c r="AR91" s="30" t="n">
        <f aca="false">IF(W91="Y",IF(F91="",1,IF(COUNTIFS(F$5:F91,F91,W$5:W91,"Y")=1,1,0)),0)</f>
        <v>0</v>
      </c>
    </row>
    <row r="92" customFormat="false" ht="15" hidden="false" customHeight="false" outlineLevel="0" collapsed="false">
      <c r="A92" s="103"/>
      <c r="B92" s="103"/>
      <c r="C92" s="102"/>
      <c r="D92" s="103"/>
      <c r="E92" s="103"/>
      <c r="F92" s="103"/>
      <c r="G92" s="103"/>
      <c r="H92" s="103"/>
      <c r="I92" s="103"/>
      <c r="J92" s="103"/>
      <c r="K92" s="103"/>
      <c r="L92" s="103"/>
      <c r="M92" s="103"/>
      <c r="N92" s="103"/>
      <c r="O92" s="103"/>
      <c r="P92" s="103"/>
      <c r="Q92" s="103"/>
      <c r="R92" s="105"/>
      <c r="S92" s="102"/>
      <c r="T92" s="105"/>
      <c r="U92" s="102"/>
      <c r="V92" s="103"/>
      <c r="W92" s="103"/>
      <c r="X92" s="105"/>
      <c r="Y92" s="102"/>
      <c r="Z92" s="103"/>
      <c r="AL92" s="30" t="str">
        <f aca="false">IF(B92="","",IFERROR(INDEX(Schedule!$N$7:$N$18,MATCH(B92,Schedule!$A$7:$A$18,0)),"not in schedule"))</f>
        <v/>
      </c>
      <c r="AM92" s="19" t="str">
        <f aca="false">IF(B92="","",N(R92)-N(X92))</f>
        <v/>
      </c>
      <c r="AN92" s="95" t="str">
        <f aca="false">IF(B92="","",IF(Z92&lt;&gt;"",Z92,IF(N(G92)&gt;0,N(N92)/G92,"")))</f>
        <v/>
      </c>
      <c r="AO92" s="18" t="str">
        <f aca="false">IF(OR(B92="",C92=""),"",WORKDAY(C92,Inputs!$C$132,Lists!$N$4:$N$30))</f>
        <v/>
      </c>
      <c r="AP92" s="30" t="str">
        <f aca="false">IF(B92="","",IF(U92="","missing",IF(U92&gt;AO92,"Y","N")))</f>
        <v/>
      </c>
      <c r="AQ92" s="30" t="n">
        <f aca="false">IF(OR(W92="Y",W92="N"),IF(F92="",1,IF(COUNTIFS(F$5:F92,F92,W$5:W92,"Y")+COUNTIFS(F$5:F92,F92,W$5:W92,"N")=1,1,0)),0)</f>
        <v>0</v>
      </c>
      <c r="AR92" s="30" t="n">
        <f aca="false">IF(W92="Y",IF(F92="",1,IF(COUNTIFS(F$5:F92,F92,W$5:W92,"Y")=1,1,0)),0)</f>
        <v>0</v>
      </c>
    </row>
    <row r="93" customFormat="false" ht="15" hidden="false" customHeight="false" outlineLevel="0" collapsed="false">
      <c r="A93" s="103"/>
      <c r="B93" s="103"/>
      <c r="C93" s="102"/>
      <c r="D93" s="103"/>
      <c r="E93" s="103"/>
      <c r="F93" s="103"/>
      <c r="G93" s="103"/>
      <c r="H93" s="103"/>
      <c r="I93" s="103"/>
      <c r="J93" s="103"/>
      <c r="K93" s="103"/>
      <c r="L93" s="103"/>
      <c r="M93" s="103"/>
      <c r="N93" s="103"/>
      <c r="O93" s="103"/>
      <c r="P93" s="103"/>
      <c r="Q93" s="103"/>
      <c r="R93" s="105"/>
      <c r="S93" s="102"/>
      <c r="T93" s="105"/>
      <c r="U93" s="102"/>
      <c r="V93" s="103"/>
      <c r="W93" s="103"/>
      <c r="X93" s="105"/>
      <c r="Y93" s="102"/>
      <c r="Z93" s="103"/>
      <c r="AL93" s="30" t="str">
        <f aca="false">IF(B93="","",IFERROR(INDEX(Schedule!$N$7:$N$18,MATCH(B93,Schedule!$A$7:$A$18,0)),"not in schedule"))</f>
        <v/>
      </c>
      <c r="AM93" s="19" t="str">
        <f aca="false">IF(B93="","",N(R93)-N(X93))</f>
        <v/>
      </c>
      <c r="AN93" s="95" t="str">
        <f aca="false">IF(B93="","",IF(Z93&lt;&gt;"",Z93,IF(N(G93)&gt;0,N(N93)/G93,"")))</f>
        <v/>
      </c>
      <c r="AO93" s="18" t="str">
        <f aca="false">IF(OR(B93="",C93=""),"",WORKDAY(C93,Inputs!$C$132,Lists!$N$4:$N$30))</f>
        <v/>
      </c>
      <c r="AP93" s="30" t="str">
        <f aca="false">IF(B93="","",IF(U93="","missing",IF(U93&gt;AO93,"Y","N")))</f>
        <v/>
      </c>
      <c r="AQ93" s="30" t="n">
        <f aca="false">IF(OR(W93="Y",W93="N"),IF(F93="",1,IF(COUNTIFS(F$5:F93,F93,W$5:W93,"Y")+COUNTIFS(F$5:F93,F93,W$5:W93,"N")=1,1,0)),0)</f>
        <v>0</v>
      </c>
      <c r="AR93" s="30" t="n">
        <f aca="false">IF(W93="Y",IF(F93="",1,IF(COUNTIFS(F$5:F93,F93,W$5:W93,"Y")=1,1,0)),0)</f>
        <v>0</v>
      </c>
    </row>
    <row r="94" customFormat="false" ht="15" hidden="false" customHeight="false" outlineLevel="0" collapsed="false">
      <c r="A94" s="103"/>
      <c r="B94" s="103"/>
      <c r="C94" s="102"/>
      <c r="D94" s="103"/>
      <c r="E94" s="103"/>
      <c r="F94" s="103"/>
      <c r="G94" s="103"/>
      <c r="H94" s="103"/>
      <c r="I94" s="103"/>
      <c r="J94" s="103"/>
      <c r="K94" s="103"/>
      <c r="L94" s="103"/>
      <c r="M94" s="103"/>
      <c r="N94" s="103"/>
      <c r="O94" s="103"/>
      <c r="P94" s="103"/>
      <c r="Q94" s="103"/>
      <c r="R94" s="105"/>
      <c r="S94" s="102"/>
      <c r="T94" s="105"/>
      <c r="U94" s="102"/>
      <c r="V94" s="103"/>
      <c r="W94" s="103"/>
      <c r="X94" s="105"/>
      <c r="Y94" s="102"/>
      <c r="Z94" s="103"/>
      <c r="AL94" s="30" t="str">
        <f aca="false">IF(B94="","",IFERROR(INDEX(Schedule!$N$7:$N$18,MATCH(B94,Schedule!$A$7:$A$18,0)),"not in schedule"))</f>
        <v/>
      </c>
      <c r="AM94" s="19" t="str">
        <f aca="false">IF(B94="","",N(R94)-N(X94))</f>
        <v/>
      </c>
      <c r="AN94" s="95" t="str">
        <f aca="false">IF(B94="","",IF(Z94&lt;&gt;"",Z94,IF(N(G94)&gt;0,N(N94)/G94,"")))</f>
        <v/>
      </c>
      <c r="AO94" s="18" t="str">
        <f aca="false">IF(OR(B94="",C94=""),"",WORKDAY(C94,Inputs!$C$132,Lists!$N$4:$N$30))</f>
        <v/>
      </c>
      <c r="AP94" s="30" t="str">
        <f aca="false">IF(B94="","",IF(U94="","missing",IF(U94&gt;AO94,"Y","N")))</f>
        <v/>
      </c>
      <c r="AQ94" s="30" t="n">
        <f aca="false">IF(OR(W94="Y",W94="N"),IF(F94="",1,IF(COUNTIFS(F$5:F94,F94,W$5:W94,"Y")+COUNTIFS(F$5:F94,F94,W$5:W94,"N")=1,1,0)),0)</f>
        <v>0</v>
      </c>
      <c r="AR94" s="30" t="n">
        <f aca="false">IF(W94="Y",IF(F94="",1,IF(COUNTIFS(F$5:F94,F94,W$5:W94,"Y")=1,1,0)),0)</f>
        <v>0</v>
      </c>
    </row>
    <row r="95" customFormat="false" ht="15" hidden="false" customHeight="false" outlineLevel="0" collapsed="false">
      <c r="A95" s="103"/>
      <c r="B95" s="103"/>
      <c r="C95" s="102"/>
      <c r="D95" s="103"/>
      <c r="E95" s="103"/>
      <c r="F95" s="103"/>
      <c r="G95" s="103"/>
      <c r="H95" s="103"/>
      <c r="I95" s="103"/>
      <c r="J95" s="103"/>
      <c r="K95" s="103"/>
      <c r="L95" s="103"/>
      <c r="M95" s="103"/>
      <c r="N95" s="103"/>
      <c r="O95" s="103"/>
      <c r="P95" s="103"/>
      <c r="Q95" s="103"/>
      <c r="R95" s="105"/>
      <c r="S95" s="102"/>
      <c r="T95" s="105"/>
      <c r="U95" s="102"/>
      <c r="V95" s="103"/>
      <c r="W95" s="103"/>
      <c r="X95" s="105"/>
      <c r="Y95" s="102"/>
      <c r="Z95" s="103"/>
      <c r="AL95" s="30" t="str">
        <f aca="false">IF(B95="","",IFERROR(INDEX(Schedule!$N$7:$N$18,MATCH(B95,Schedule!$A$7:$A$18,0)),"not in schedule"))</f>
        <v/>
      </c>
      <c r="AM95" s="19" t="str">
        <f aca="false">IF(B95="","",N(R95)-N(X95))</f>
        <v/>
      </c>
      <c r="AN95" s="95" t="str">
        <f aca="false">IF(B95="","",IF(Z95&lt;&gt;"",Z95,IF(N(G95)&gt;0,N(N95)/G95,"")))</f>
        <v/>
      </c>
      <c r="AO95" s="18" t="str">
        <f aca="false">IF(OR(B95="",C95=""),"",WORKDAY(C95,Inputs!$C$132,Lists!$N$4:$N$30))</f>
        <v/>
      </c>
      <c r="AP95" s="30" t="str">
        <f aca="false">IF(B95="","",IF(U95="","missing",IF(U95&gt;AO95,"Y","N")))</f>
        <v/>
      </c>
      <c r="AQ95" s="30" t="n">
        <f aca="false">IF(OR(W95="Y",W95="N"),IF(F95="",1,IF(COUNTIFS(F$5:F95,F95,W$5:W95,"Y")+COUNTIFS(F$5:F95,F95,W$5:W95,"N")=1,1,0)),0)</f>
        <v>0</v>
      </c>
      <c r="AR95" s="30" t="n">
        <f aca="false">IF(W95="Y",IF(F95="",1,IF(COUNTIFS(F$5:F95,F95,W$5:W95,"Y")=1,1,0)),0)</f>
        <v>0</v>
      </c>
    </row>
    <row r="96" customFormat="false" ht="15" hidden="false" customHeight="false" outlineLevel="0" collapsed="false">
      <c r="A96" s="103"/>
      <c r="B96" s="103"/>
      <c r="C96" s="102"/>
      <c r="D96" s="103"/>
      <c r="E96" s="103"/>
      <c r="F96" s="103"/>
      <c r="G96" s="103"/>
      <c r="H96" s="103"/>
      <c r="I96" s="103"/>
      <c r="J96" s="103"/>
      <c r="K96" s="103"/>
      <c r="L96" s="103"/>
      <c r="M96" s="103"/>
      <c r="N96" s="103"/>
      <c r="O96" s="103"/>
      <c r="P96" s="103"/>
      <c r="Q96" s="103"/>
      <c r="R96" s="105"/>
      <c r="S96" s="102"/>
      <c r="T96" s="105"/>
      <c r="U96" s="102"/>
      <c r="V96" s="103"/>
      <c r="W96" s="103"/>
      <c r="X96" s="105"/>
      <c r="Y96" s="102"/>
      <c r="Z96" s="103"/>
      <c r="AL96" s="30" t="str">
        <f aca="false">IF(B96="","",IFERROR(INDEX(Schedule!$N$7:$N$18,MATCH(B96,Schedule!$A$7:$A$18,0)),"not in schedule"))</f>
        <v/>
      </c>
      <c r="AM96" s="19" t="str">
        <f aca="false">IF(B96="","",N(R96)-N(X96))</f>
        <v/>
      </c>
      <c r="AN96" s="95" t="str">
        <f aca="false">IF(B96="","",IF(Z96&lt;&gt;"",Z96,IF(N(G96)&gt;0,N(N96)/G96,"")))</f>
        <v/>
      </c>
      <c r="AO96" s="18" t="str">
        <f aca="false">IF(OR(B96="",C96=""),"",WORKDAY(C96,Inputs!$C$132,Lists!$N$4:$N$30))</f>
        <v/>
      </c>
      <c r="AP96" s="30" t="str">
        <f aca="false">IF(B96="","",IF(U96="","missing",IF(U96&gt;AO96,"Y","N")))</f>
        <v/>
      </c>
      <c r="AQ96" s="30" t="n">
        <f aca="false">IF(OR(W96="Y",W96="N"),IF(F96="",1,IF(COUNTIFS(F$5:F96,F96,W$5:W96,"Y")+COUNTIFS(F$5:F96,F96,W$5:W96,"N")=1,1,0)),0)</f>
        <v>0</v>
      </c>
      <c r="AR96" s="30" t="n">
        <f aca="false">IF(W96="Y",IF(F96="",1,IF(COUNTIFS(F$5:F96,F96,W$5:W96,"Y")=1,1,0)),0)</f>
        <v>0</v>
      </c>
    </row>
    <row r="97" customFormat="false" ht="15" hidden="false" customHeight="false" outlineLevel="0" collapsed="false">
      <c r="A97" s="103"/>
      <c r="B97" s="103"/>
      <c r="C97" s="102"/>
      <c r="D97" s="103"/>
      <c r="E97" s="103"/>
      <c r="F97" s="103"/>
      <c r="G97" s="103"/>
      <c r="H97" s="103"/>
      <c r="I97" s="103"/>
      <c r="J97" s="103"/>
      <c r="K97" s="103"/>
      <c r="L97" s="103"/>
      <c r="M97" s="103"/>
      <c r="N97" s="103"/>
      <c r="O97" s="103"/>
      <c r="P97" s="103"/>
      <c r="Q97" s="103"/>
      <c r="R97" s="105"/>
      <c r="S97" s="102"/>
      <c r="T97" s="105"/>
      <c r="U97" s="102"/>
      <c r="V97" s="103"/>
      <c r="W97" s="103"/>
      <c r="X97" s="105"/>
      <c r="Y97" s="102"/>
      <c r="Z97" s="103"/>
      <c r="AL97" s="30" t="str">
        <f aca="false">IF(B97="","",IFERROR(INDEX(Schedule!$N$7:$N$18,MATCH(B97,Schedule!$A$7:$A$18,0)),"not in schedule"))</f>
        <v/>
      </c>
      <c r="AM97" s="19" t="str">
        <f aca="false">IF(B97="","",N(R97)-N(X97))</f>
        <v/>
      </c>
      <c r="AN97" s="95" t="str">
        <f aca="false">IF(B97="","",IF(Z97&lt;&gt;"",Z97,IF(N(G97)&gt;0,N(N97)/G97,"")))</f>
        <v/>
      </c>
      <c r="AO97" s="18" t="str">
        <f aca="false">IF(OR(B97="",C97=""),"",WORKDAY(C97,Inputs!$C$132,Lists!$N$4:$N$30))</f>
        <v/>
      </c>
      <c r="AP97" s="30" t="str">
        <f aca="false">IF(B97="","",IF(U97="","missing",IF(U97&gt;AO97,"Y","N")))</f>
        <v/>
      </c>
      <c r="AQ97" s="30" t="n">
        <f aca="false">IF(OR(W97="Y",W97="N"),IF(F97="",1,IF(COUNTIFS(F$5:F97,F97,W$5:W97,"Y")+COUNTIFS(F$5:F97,F97,W$5:W97,"N")=1,1,0)),0)</f>
        <v>0</v>
      </c>
      <c r="AR97" s="30" t="n">
        <f aca="false">IF(W97="Y",IF(F97="",1,IF(COUNTIFS(F$5:F97,F97,W$5:W97,"Y")=1,1,0)),0)</f>
        <v>0</v>
      </c>
    </row>
    <row r="98" customFormat="false" ht="15" hidden="false" customHeight="false" outlineLevel="0" collapsed="false">
      <c r="A98" s="103"/>
      <c r="B98" s="103"/>
      <c r="C98" s="102"/>
      <c r="D98" s="103"/>
      <c r="E98" s="103"/>
      <c r="F98" s="103"/>
      <c r="G98" s="103"/>
      <c r="H98" s="103"/>
      <c r="I98" s="103"/>
      <c r="J98" s="103"/>
      <c r="K98" s="103"/>
      <c r="L98" s="103"/>
      <c r="M98" s="103"/>
      <c r="N98" s="103"/>
      <c r="O98" s="103"/>
      <c r="P98" s="103"/>
      <c r="Q98" s="103"/>
      <c r="R98" s="105"/>
      <c r="S98" s="102"/>
      <c r="T98" s="105"/>
      <c r="U98" s="102"/>
      <c r="V98" s="103"/>
      <c r="W98" s="103"/>
      <c r="X98" s="105"/>
      <c r="Y98" s="102"/>
      <c r="Z98" s="103"/>
      <c r="AL98" s="30" t="str">
        <f aca="false">IF(B98="","",IFERROR(INDEX(Schedule!$N$7:$N$18,MATCH(B98,Schedule!$A$7:$A$18,0)),"not in schedule"))</f>
        <v/>
      </c>
      <c r="AM98" s="19" t="str">
        <f aca="false">IF(B98="","",N(R98)-N(X98))</f>
        <v/>
      </c>
      <c r="AN98" s="95" t="str">
        <f aca="false">IF(B98="","",IF(Z98&lt;&gt;"",Z98,IF(N(G98)&gt;0,N(N98)/G98,"")))</f>
        <v/>
      </c>
      <c r="AO98" s="18" t="str">
        <f aca="false">IF(OR(B98="",C98=""),"",WORKDAY(C98,Inputs!$C$132,Lists!$N$4:$N$30))</f>
        <v/>
      </c>
      <c r="AP98" s="30" t="str">
        <f aca="false">IF(B98="","",IF(U98="","missing",IF(U98&gt;AO98,"Y","N")))</f>
        <v/>
      </c>
      <c r="AQ98" s="30" t="n">
        <f aca="false">IF(OR(W98="Y",W98="N"),IF(F98="",1,IF(COUNTIFS(F$5:F98,F98,W$5:W98,"Y")+COUNTIFS(F$5:F98,F98,W$5:W98,"N")=1,1,0)),0)</f>
        <v>0</v>
      </c>
      <c r="AR98" s="30" t="n">
        <f aca="false">IF(W98="Y",IF(F98="",1,IF(COUNTIFS(F$5:F98,F98,W$5:W98,"Y")=1,1,0)),0)</f>
        <v>0</v>
      </c>
    </row>
    <row r="99" customFormat="false" ht="15" hidden="false" customHeight="false" outlineLevel="0" collapsed="false">
      <c r="A99" s="103"/>
      <c r="B99" s="103"/>
      <c r="C99" s="102"/>
      <c r="D99" s="103"/>
      <c r="E99" s="103"/>
      <c r="F99" s="103"/>
      <c r="G99" s="103"/>
      <c r="H99" s="103"/>
      <c r="I99" s="103"/>
      <c r="J99" s="103"/>
      <c r="K99" s="103"/>
      <c r="L99" s="103"/>
      <c r="M99" s="103"/>
      <c r="N99" s="103"/>
      <c r="O99" s="103"/>
      <c r="P99" s="103"/>
      <c r="Q99" s="103"/>
      <c r="R99" s="105"/>
      <c r="S99" s="102"/>
      <c r="T99" s="105"/>
      <c r="U99" s="102"/>
      <c r="V99" s="103"/>
      <c r="W99" s="103"/>
      <c r="X99" s="105"/>
      <c r="Y99" s="102"/>
      <c r="Z99" s="103"/>
      <c r="AL99" s="30" t="str">
        <f aca="false">IF(B99="","",IFERROR(INDEX(Schedule!$N$7:$N$18,MATCH(B99,Schedule!$A$7:$A$18,0)),"not in schedule"))</f>
        <v/>
      </c>
      <c r="AM99" s="19" t="str">
        <f aca="false">IF(B99="","",N(R99)-N(X99))</f>
        <v/>
      </c>
      <c r="AN99" s="95" t="str">
        <f aca="false">IF(B99="","",IF(Z99&lt;&gt;"",Z99,IF(N(G99)&gt;0,N(N99)/G99,"")))</f>
        <v/>
      </c>
      <c r="AO99" s="18" t="str">
        <f aca="false">IF(OR(B99="",C99=""),"",WORKDAY(C99,Inputs!$C$132,Lists!$N$4:$N$30))</f>
        <v/>
      </c>
      <c r="AP99" s="30" t="str">
        <f aca="false">IF(B99="","",IF(U99="","missing",IF(U99&gt;AO99,"Y","N")))</f>
        <v/>
      </c>
      <c r="AQ99" s="30" t="n">
        <f aca="false">IF(OR(W99="Y",W99="N"),IF(F99="",1,IF(COUNTIFS(F$5:F99,F99,W$5:W99,"Y")+COUNTIFS(F$5:F99,F99,W$5:W99,"N")=1,1,0)),0)</f>
        <v>0</v>
      </c>
      <c r="AR99" s="30" t="n">
        <f aca="false">IF(W99="Y",IF(F99="",1,IF(COUNTIFS(F$5:F99,F99,W$5:W99,"Y")=1,1,0)),0)</f>
        <v>0</v>
      </c>
    </row>
    <row r="100" customFormat="false" ht="15" hidden="false" customHeight="false" outlineLevel="0" collapsed="false">
      <c r="A100" s="103"/>
      <c r="B100" s="103"/>
      <c r="C100" s="102"/>
      <c r="D100" s="103"/>
      <c r="E100" s="103"/>
      <c r="F100" s="103"/>
      <c r="G100" s="103"/>
      <c r="H100" s="103"/>
      <c r="I100" s="103"/>
      <c r="J100" s="103"/>
      <c r="K100" s="103"/>
      <c r="L100" s="103"/>
      <c r="M100" s="103"/>
      <c r="N100" s="103"/>
      <c r="O100" s="103"/>
      <c r="P100" s="103"/>
      <c r="Q100" s="103"/>
      <c r="R100" s="105"/>
      <c r="S100" s="102"/>
      <c r="T100" s="105"/>
      <c r="U100" s="102"/>
      <c r="V100" s="103"/>
      <c r="W100" s="103"/>
      <c r="X100" s="105"/>
      <c r="Y100" s="102"/>
      <c r="Z100" s="103"/>
      <c r="AL100" s="30" t="str">
        <f aca="false">IF(B100="","",IFERROR(INDEX(Schedule!$N$7:$N$18,MATCH(B100,Schedule!$A$7:$A$18,0)),"not in schedule"))</f>
        <v/>
      </c>
      <c r="AM100" s="19" t="str">
        <f aca="false">IF(B100="","",N(R100)-N(X100))</f>
        <v/>
      </c>
      <c r="AN100" s="95" t="str">
        <f aca="false">IF(B100="","",IF(Z100&lt;&gt;"",Z100,IF(N(G100)&gt;0,N(N100)/G100,"")))</f>
        <v/>
      </c>
      <c r="AO100" s="18" t="str">
        <f aca="false">IF(OR(B100="",C100=""),"",WORKDAY(C100,Inputs!$C$132,Lists!$N$4:$N$30))</f>
        <v/>
      </c>
      <c r="AP100" s="30" t="str">
        <f aca="false">IF(B100="","",IF(U100="","missing",IF(U100&gt;AO100,"Y","N")))</f>
        <v/>
      </c>
      <c r="AQ100" s="30" t="n">
        <f aca="false">IF(OR(W100="Y",W100="N"),IF(F100="",1,IF(COUNTIFS(F$5:F100,F100,W$5:W100,"Y")+COUNTIFS(F$5:F100,F100,W$5:W100,"N")=1,1,0)),0)</f>
        <v>0</v>
      </c>
      <c r="AR100" s="30" t="n">
        <f aca="false">IF(W100="Y",IF(F100="",1,IF(COUNTIFS(F$5:F100,F100,W$5:W100,"Y")=1,1,0)),0)</f>
        <v>0</v>
      </c>
    </row>
    <row r="101" customFormat="false" ht="15" hidden="false" customHeight="false" outlineLevel="0" collapsed="false">
      <c r="A101" s="103"/>
      <c r="B101" s="103"/>
      <c r="C101" s="102"/>
      <c r="D101" s="103"/>
      <c r="E101" s="103"/>
      <c r="F101" s="103"/>
      <c r="G101" s="103"/>
      <c r="H101" s="103"/>
      <c r="I101" s="103"/>
      <c r="J101" s="103"/>
      <c r="K101" s="103"/>
      <c r="L101" s="103"/>
      <c r="M101" s="103"/>
      <c r="N101" s="103"/>
      <c r="O101" s="103"/>
      <c r="P101" s="103"/>
      <c r="Q101" s="103"/>
      <c r="R101" s="105"/>
      <c r="S101" s="102"/>
      <c r="T101" s="105"/>
      <c r="U101" s="102"/>
      <c r="V101" s="103"/>
      <c r="W101" s="103"/>
      <c r="X101" s="105"/>
      <c r="Y101" s="102"/>
      <c r="Z101" s="103"/>
      <c r="AL101" s="30" t="str">
        <f aca="false">IF(B101="","",IFERROR(INDEX(Schedule!$N$7:$N$18,MATCH(B101,Schedule!$A$7:$A$18,0)),"not in schedule"))</f>
        <v/>
      </c>
      <c r="AM101" s="19" t="str">
        <f aca="false">IF(B101="","",N(R101)-N(X101))</f>
        <v/>
      </c>
      <c r="AN101" s="95" t="str">
        <f aca="false">IF(B101="","",IF(Z101&lt;&gt;"",Z101,IF(N(G101)&gt;0,N(N101)/G101,"")))</f>
        <v/>
      </c>
      <c r="AO101" s="18" t="str">
        <f aca="false">IF(OR(B101="",C101=""),"",WORKDAY(C101,Inputs!$C$132,Lists!$N$4:$N$30))</f>
        <v/>
      </c>
      <c r="AP101" s="30" t="str">
        <f aca="false">IF(B101="","",IF(U101="","missing",IF(U101&gt;AO101,"Y","N")))</f>
        <v/>
      </c>
      <c r="AQ101" s="30" t="n">
        <f aca="false">IF(OR(W101="Y",W101="N"),IF(F101="",1,IF(COUNTIFS(F$5:F101,F101,W$5:W101,"Y")+COUNTIFS(F$5:F101,F101,W$5:W101,"N")=1,1,0)),0)</f>
        <v>0</v>
      </c>
      <c r="AR101" s="30" t="n">
        <f aca="false">IF(W101="Y",IF(F101="",1,IF(COUNTIFS(F$5:F101,F101,W$5:W101,"Y")=1,1,0)),0)</f>
        <v>0</v>
      </c>
    </row>
    <row r="102" customFormat="false" ht="15" hidden="false" customHeight="false" outlineLevel="0" collapsed="false">
      <c r="A102" s="103"/>
      <c r="B102" s="103"/>
      <c r="C102" s="102"/>
      <c r="D102" s="103"/>
      <c r="E102" s="103"/>
      <c r="F102" s="103"/>
      <c r="G102" s="103"/>
      <c r="H102" s="103"/>
      <c r="I102" s="103"/>
      <c r="J102" s="103"/>
      <c r="K102" s="103"/>
      <c r="L102" s="103"/>
      <c r="M102" s="103"/>
      <c r="N102" s="103"/>
      <c r="O102" s="103"/>
      <c r="P102" s="103"/>
      <c r="Q102" s="103"/>
      <c r="R102" s="105"/>
      <c r="S102" s="102"/>
      <c r="T102" s="105"/>
      <c r="U102" s="102"/>
      <c r="V102" s="103"/>
      <c r="W102" s="103"/>
      <c r="X102" s="105"/>
      <c r="Y102" s="102"/>
      <c r="Z102" s="103"/>
      <c r="AL102" s="30" t="str">
        <f aca="false">IF(B102="","",IFERROR(INDEX(Schedule!$N$7:$N$18,MATCH(B102,Schedule!$A$7:$A$18,0)),"not in schedule"))</f>
        <v/>
      </c>
      <c r="AM102" s="19" t="str">
        <f aca="false">IF(B102="","",N(R102)-N(X102))</f>
        <v/>
      </c>
      <c r="AN102" s="95" t="str">
        <f aca="false">IF(B102="","",IF(Z102&lt;&gt;"",Z102,IF(N(G102)&gt;0,N(N102)/G102,"")))</f>
        <v/>
      </c>
      <c r="AO102" s="18" t="str">
        <f aca="false">IF(OR(B102="",C102=""),"",WORKDAY(C102,Inputs!$C$132,Lists!$N$4:$N$30))</f>
        <v/>
      </c>
      <c r="AP102" s="30" t="str">
        <f aca="false">IF(B102="","",IF(U102="","missing",IF(U102&gt;AO102,"Y","N")))</f>
        <v/>
      </c>
      <c r="AQ102" s="30" t="n">
        <f aca="false">IF(OR(W102="Y",W102="N"),IF(F102="",1,IF(COUNTIFS(F$5:F102,F102,W$5:W102,"Y")+COUNTIFS(F$5:F102,F102,W$5:W102,"N")=1,1,0)),0)</f>
        <v>0</v>
      </c>
      <c r="AR102" s="30" t="n">
        <f aca="false">IF(W102="Y",IF(F102="",1,IF(COUNTIFS(F$5:F102,F102,W$5:W102,"Y")=1,1,0)),0)</f>
        <v>0</v>
      </c>
    </row>
    <row r="103" customFormat="false" ht="15" hidden="false" customHeight="false" outlineLevel="0" collapsed="false">
      <c r="A103" s="103"/>
      <c r="B103" s="103"/>
      <c r="C103" s="102"/>
      <c r="D103" s="103"/>
      <c r="E103" s="103"/>
      <c r="F103" s="103"/>
      <c r="G103" s="103"/>
      <c r="H103" s="103"/>
      <c r="I103" s="103"/>
      <c r="J103" s="103"/>
      <c r="K103" s="103"/>
      <c r="L103" s="103"/>
      <c r="M103" s="103"/>
      <c r="N103" s="103"/>
      <c r="O103" s="103"/>
      <c r="P103" s="103"/>
      <c r="Q103" s="103"/>
      <c r="R103" s="105"/>
      <c r="S103" s="102"/>
      <c r="T103" s="105"/>
      <c r="U103" s="102"/>
      <c r="V103" s="103"/>
      <c r="W103" s="103"/>
      <c r="X103" s="105"/>
      <c r="Y103" s="102"/>
      <c r="Z103" s="103"/>
      <c r="AL103" s="30" t="str">
        <f aca="false">IF(B103="","",IFERROR(INDEX(Schedule!$N$7:$N$18,MATCH(B103,Schedule!$A$7:$A$18,0)),"not in schedule"))</f>
        <v/>
      </c>
      <c r="AM103" s="19" t="str">
        <f aca="false">IF(B103="","",N(R103)-N(X103))</f>
        <v/>
      </c>
      <c r="AN103" s="95" t="str">
        <f aca="false">IF(B103="","",IF(Z103&lt;&gt;"",Z103,IF(N(G103)&gt;0,N(N103)/G103,"")))</f>
        <v/>
      </c>
      <c r="AO103" s="18" t="str">
        <f aca="false">IF(OR(B103="",C103=""),"",WORKDAY(C103,Inputs!$C$132,Lists!$N$4:$N$30))</f>
        <v/>
      </c>
      <c r="AP103" s="30" t="str">
        <f aca="false">IF(B103="","",IF(U103="","missing",IF(U103&gt;AO103,"Y","N")))</f>
        <v/>
      </c>
      <c r="AQ103" s="30" t="n">
        <f aca="false">IF(OR(W103="Y",W103="N"),IF(F103="",1,IF(COUNTIFS(F$5:F103,F103,W$5:W103,"Y")+COUNTIFS(F$5:F103,F103,W$5:W103,"N")=1,1,0)),0)</f>
        <v>0</v>
      </c>
      <c r="AR103" s="30" t="n">
        <f aca="false">IF(W103="Y",IF(F103="",1,IF(COUNTIFS(F$5:F103,F103,W$5:W103,"Y")=1,1,0)),0)</f>
        <v>0</v>
      </c>
    </row>
    <row r="104" customFormat="false" ht="15" hidden="false" customHeight="false" outlineLevel="0" collapsed="false">
      <c r="A104" s="103"/>
      <c r="B104" s="103"/>
      <c r="C104" s="102"/>
      <c r="D104" s="103"/>
      <c r="E104" s="103"/>
      <c r="F104" s="103"/>
      <c r="G104" s="103"/>
      <c r="H104" s="103"/>
      <c r="I104" s="103"/>
      <c r="J104" s="103"/>
      <c r="K104" s="103"/>
      <c r="L104" s="103"/>
      <c r="M104" s="103"/>
      <c r="N104" s="103"/>
      <c r="O104" s="103"/>
      <c r="P104" s="103"/>
      <c r="Q104" s="103"/>
      <c r="R104" s="105"/>
      <c r="S104" s="102"/>
      <c r="T104" s="105"/>
      <c r="U104" s="102"/>
      <c r="V104" s="103"/>
      <c r="W104" s="103"/>
      <c r="X104" s="105"/>
      <c r="Y104" s="102"/>
      <c r="Z104" s="103"/>
      <c r="AL104" s="30" t="str">
        <f aca="false">IF(B104="","",IFERROR(INDEX(Schedule!$N$7:$N$18,MATCH(B104,Schedule!$A$7:$A$18,0)),"not in schedule"))</f>
        <v/>
      </c>
      <c r="AM104" s="19" t="str">
        <f aca="false">IF(B104="","",N(R104)-N(X104))</f>
        <v/>
      </c>
      <c r="AN104" s="95" t="str">
        <f aca="false">IF(B104="","",IF(Z104&lt;&gt;"",Z104,IF(N(G104)&gt;0,N(N104)/G104,"")))</f>
        <v/>
      </c>
      <c r="AO104" s="18" t="str">
        <f aca="false">IF(OR(B104="",C104=""),"",WORKDAY(C104,Inputs!$C$132,Lists!$N$4:$N$30))</f>
        <v/>
      </c>
      <c r="AP104" s="30" t="str">
        <f aca="false">IF(B104="","",IF(U104="","missing",IF(U104&gt;AO104,"Y","N")))</f>
        <v/>
      </c>
      <c r="AQ104" s="30" t="n">
        <f aca="false">IF(OR(W104="Y",W104="N"),IF(F104="",1,IF(COUNTIFS(F$5:F104,F104,W$5:W104,"Y")+COUNTIFS(F$5:F104,F104,W$5:W104,"N")=1,1,0)),0)</f>
        <v>0</v>
      </c>
      <c r="AR104" s="30" t="n">
        <f aca="false">IF(W104="Y",IF(F104="",1,IF(COUNTIFS(F$5:F104,F104,W$5:W104,"Y")=1,1,0)),0)</f>
        <v>0</v>
      </c>
    </row>
    <row r="105" customFormat="false" ht="15" hidden="false" customHeight="false" outlineLevel="0" collapsed="false">
      <c r="A105" s="103"/>
      <c r="B105" s="103"/>
      <c r="C105" s="102"/>
      <c r="D105" s="103"/>
      <c r="E105" s="103"/>
      <c r="F105" s="103"/>
      <c r="G105" s="103"/>
      <c r="H105" s="103"/>
      <c r="I105" s="103"/>
      <c r="J105" s="103"/>
      <c r="K105" s="103"/>
      <c r="L105" s="103"/>
      <c r="M105" s="103"/>
      <c r="N105" s="103"/>
      <c r="O105" s="103"/>
      <c r="P105" s="103"/>
      <c r="Q105" s="103"/>
      <c r="R105" s="105"/>
      <c r="S105" s="102"/>
      <c r="T105" s="105"/>
      <c r="U105" s="102"/>
      <c r="V105" s="103"/>
      <c r="W105" s="103"/>
      <c r="X105" s="105"/>
      <c r="Y105" s="102"/>
      <c r="Z105" s="103"/>
      <c r="AL105" s="30" t="str">
        <f aca="false">IF(B105="","",IFERROR(INDEX(Schedule!$N$7:$N$18,MATCH(B105,Schedule!$A$7:$A$18,0)),"not in schedule"))</f>
        <v/>
      </c>
      <c r="AM105" s="19" t="str">
        <f aca="false">IF(B105="","",N(R105)-N(X105))</f>
        <v/>
      </c>
      <c r="AN105" s="95" t="str">
        <f aca="false">IF(B105="","",IF(Z105&lt;&gt;"",Z105,IF(N(G105)&gt;0,N(N105)/G105,"")))</f>
        <v/>
      </c>
      <c r="AO105" s="18" t="str">
        <f aca="false">IF(OR(B105="",C105=""),"",WORKDAY(C105,Inputs!$C$132,Lists!$N$4:$N$30))</f>
        <v/>
      </c>
      <c r="AP105" s="30" t="str">
        <f aca="false">IF(B105="","",IF(U105="","missing",IF(U105&gt;AO105,"Y","N")))</f>
        <v/>
      </c>
      <c r="AQ105" s="30" t="n">
        <f aca="false">IF(OR(W105="Y",W105="N"),IF(F105="",1,IF(COUNTIFS(F$5:F105,F105,W$5:W105,"Y")+COUNTIFS(F$5:F105,F105,W$5:W105,"N")=1,1,0)),0)</f>
        <v>0</v>
      </c>
      <c r="AR105" s="30" t="n">
        <f aca="false">IF(W105="Y",IF(F105="",1,IF(COUNTIFS(F$5:F105,F105,W$5:W105,"Y")=1,1,0)),0)</f>
        <v>0</v>
      </c>
    </row>
    <row r="106" customFormat="false" ht="15" hidden="false" customHeight="false" outlineLevel="0" collapsed="false">
      <c r="A106" s="103"/>
      <c r="B106" s="103"/>
      <c r="C106" s="102"/>
      <c r="D106" s="103"/>
      <c r="E106" s="103"/>
      <c r="F106" s="103"/>
      <c r="G106" s="103"/>
      <c r="H106" s="103"/>
      <c r="I106" s="103"/>
      <c r="J106" s="103"/>
      <c r="K106" s="103"/>
      <c r="L106" s="103"/>
      <c r="M106" s="103"/>
      <c r="N106" s="103"/>
      <c r="O106" s="103"/>
      <c r="P106" s="103"/>
      <c r="Q106" s="103"/>
      <c r="R106" s="105"/>
      <c r="S106" s="102"/>
      <c r="T106" s="105"/>
      <c r="U106" s="102"/>
      <c r="V106" s="103"/>
      <c r="W106" s="103"/>
      <c r="X106" s="105"/>
      <c r="Y106" s="102"/>
      <c r="Z106" s="103"/>
      <c r="AL106" s="30" t="str">
        <f aca="false">IF(B106="","",IFERROR(INDEX(Schedule!$N$7:$N$18,MATCH(B106,Schedule!$A$7:$A$18,0)),"not in schedule"))</f>
        <v/>
      </c>
      <c r="AM106" s="19" t="str">
        <f aca="false">IF(B106="","",N(R106)-N(X106))</f>
        <v/>
      </c>
      <c r="AN106" s="95" t="str">
        <f aca="false">IF(B106="","",IF(Z106&lt;&gt;"",Z106,IF(N(G106)&gt;0,N(N106)/G106,"")))</f>
        <v/>
      </c>
      <c r="AO106" s="18" t="str">
        <f aca="false">IF(OR(B106="",C106=""),"",WORKDAY(C106,Inputs!$C$132,Lists!$N$4:$N$30))</f>
        <v/>
      </c>
      <c r="AP106" s="30" t="str">
        <f aca="false">IF(B106="","",IF(U106="","missing",IF(U106&gt;AO106,"Y","N")))</f>
        <v/>
      </c>
      <c r="AQ106" s="30" t="n">
        <f aca="false">IF(OR(W106="Y",W106="N"),IF(F106="",1,IF(COUNTIFS(F$5:F106,F106,W$5:W106,"Y")+COUNTIFS(F$5:F106,F106,W$5:W106,"N")=1,1,0)),0)</f>
        <v>0</v>
      </c>
      <c r="AR106" s="30" t="n">
        <f aca="false">IF(W106="Y",IF(F106="",1,IF(COUNTIFS(F$5:F106,F106,W$5:W106,"Y")=1,1,0)),0)</f>
        <v>0</v>
      </c>
    </row>
    <row r="107" customFormat="false" ht="15" hidden="false" customHeight="false" outlineLevel="0" collapsed="false">
      <c r="A107" s="103"/>
      <c r="B107" s="103"/>
      <c r="C107" s="102"/>
      <c r="D107" s="103"/>
      <c r="E107" s="103"/>
      <c r="F107" s="103"/>
      <c r="G107" s="103"/>
      <c r="H107" s="103"/>
      <c r="I107" s="103"/>
      <c r="J107" s="103"/>
      <c r="K107" s="103"/>
      <c r="L107" s="103"/>
      <c r="M107" s="103"/>
      <c r="N107" s="103"/>
      <c r="O107" s="103"/>
      <c r="P107" s="103"/>
      <c r="Q107" s="103"/>
      <c r="R107" s="105"/>
      <c r="S107" s="102"/>
      <c r="T107" s="105"/>
      <c r="U107" s="102"/>
      <c r="V107" s="103"/>
      <c r="W107" s="103"/>
      <c r="X107" s="105"/>
      <c r="Y107" s="102"/>
      <c r="Z107" s="103"/>
      <c r="AL107" s="30" t="str">
        <f aca="false">IF(B107="","",IFERROR(INDEX(Schedule!$N$7:$N$18,MATCH(B107,Schedule!$A$7:$A$18,0)),"not in schedule"))</f>
        <v/>
      </c>
      <c r="AM107" s="19" t="str">
        <f aca="false">IF(B107="","",N(R107)-N(X107))</f>
        <v/>
      </c>
      <c r="AN107" s="95" t="str">
        <f aca="false">IF(B107="","",IF(Z107&lt;&gt;"",Z107,IF(N(G107)&gt;0,N(N107)/G107,"")))</f>
        <v/>
      </c>
      <c r="AO107" s="18" t="str">
        <f aca="false">IF(OR(B107="",C107=""),"",WORKDAY(C107,Inputs!$C$132,Lists!$N$4:$N$30))</f>
        <v/>
      </c>
      <c r="AP107" s="30" t="str">
        <f aca="false">IF(B107="","",IF(U107="","missing",IF(U107&gt;AO107,"Y","N")))</f>
        <v/>
      </c>
      <c r="AQ107" s="30" t="n">
        <f aca="false">IF(OR(W107="Y",W107="N"),IF(F107="",1,IF(COUNTIFS(F$5:F107,F107,W$5:W107,"Y")+COUNTIFS(F$5:F107,F107,W$5:W107,"N")=1,1,0)),0)</f>
        <v>0</v>
      </c>
      <c r="AR107" s="30" t="n">
        <f aca="false">IF(W107="Y",IF(F107="",1,IF(COUNTIFS(F$5:F107,F107,W$5:W107,"Y")=1,1,0)),0)</f>
        <v>0</v>
      </c>
    </row>
    <row r="108" customFormat="false" ht="15" hidden="false" customHeight="false" outlineLevel="0" collapsed="false">
      <c r="A108" s="103"/>
      <c r="B108" s="103"/>
      <c r="C108" s="102"/>
      <c r="D108" s="103"/>
      <c r="E108" s="103"/>
      <c r="F108" s="103"/>
      <c r="G108" s="103"/>
      <c r="H108" s="103"/>
      <c r="I108" s="103"/>
      <c r="J108" s="103"/>
      <c r="K108" s="103"/>
      <c r="L108" s="103"/>
      <c r="M108" s="103"/>
      <c r="N108" s="103"/>
      <c r="O108" s="103"/>
      <c r="P108" s="103"/>
      <c r="Q108" s="103"/>
      <c r="R108" s="105"/>
      <c r="S108" s="102"/>
      <c r="T108" s="105"/>
      <c r="U108" s="102"/>
      <c r="V108" s="103"/>
      <c r="W108" s="103"/>
      <c r="X108" s="105"/>
      <c r="Y108" s="102"/>
      <c r="Z108" s="103"/>
      <c r="AL108" s="30" t="str">
        <f aca="false">IF(B108="","",IFERROR(INDEX(Schedule!$N$7:$N$18,MATCH(B108,Schedule!$A$7:$A$18,0)),"not in schedule"))</f>
        <v/>
      </c>
      <c r="AM108" s="19" t="str">
        <f aca="false">IF(B108="","",N(R108)-N(X108))</f>
        <v/>
      </c>
      <c r="AN108" s="95" t="str">
        <f aca="false">IF(B108="","",IF(Z108&lt;&gt;"",Z108,IF(N(G108)&gt;0,N(N108)/G108,"")))</f>
        <v/>
      </c>
      <c r="AO108" s="18" t="str">
        <f aca="false">IF(OR(B108="",C108=""),"",WORKDAY(C108,Inputs!$C$132,Lists!$N$4:$N$30))</f>
        <v/>
      </c>
      <c r="AP108" s="30" t="str">
        <f aca="false">IF(B108="","",IF(U108="","missing",IF(U108&gt;AO108,"Y","N")))</f>
        <v/>
      </c>
      <c r="AQ108" s="30" t="n">
        <f aca="false">IF(OR(W108="Y",W108="N"),IF(F108="",1,IF(COUNTIFS(F$5:F108,F108,W$5:W108,"Y")+COUNTIFS(F$5:F108,F108,W$5:W108,"N")=1,1,0)),0)</f>
        <v>0</v>
      </c>
      <c r="AR108" s="30" t="n">
        <f aca="false">IF(W108="Y",IF(F108="",1,IF(COUNTIFS(F$5:F108,F108,W$5:W108,"Y")=1,1,0)),0)</f>
        <v>0</v>
      </c>
    </row>
    <row r="109" customFormat="false" ht="15" hidden="false" customHeight="false" outlineLevel="0" collapsed="false">
      <c r="A109" s="103"/>
      <c r="B109" s="103"/>
      <c r="C109" s="102"/>
      <c r="D109" s="103"/>
      <c r="E109" s="103"/>
      <c r="F109" s="103"/>
      <c r="G109" s="103"/>
      <c r="H109" s="103"/>
      <c r="I109" s="103"/>
      <c r="J109" s="103"/>
      <c r="K109" s="103"/>
      <c r="L109" s="103"/>
      <c r="M109" s="103"/>
      <c r="N109" s="103"/>
      <c r="O109" s="103"/>
      <c r="P109" s="103"/>
      <c r="Q109" s="103"/>
      <c r="R109" s="105"/>
      <c r="S109" s="102"/>
      <c r="T109" s="105"/>
      <c r="U109" s="102"/>
      <c r="V109" s="103"/>
      <c r="W109" s="103"/>
      <c r="X109" s="105"/>
      <c r="Y109" s="102"/>
      <c r="Z109" s="103"/>
      <c r="AL109" s="30" t="str">
        <f aca="false">IF(B109="","",IFERROR(INDEX(Schedule!$N$7:$N$18,MATCH(B109,Schedule!$A$7:$A$18,0)),"not in schedule"))</f>
        <v/>
      </c>
      <c r="AM109" s="19" t="str">
        <f aca="false">IF(B109="","",N(R109)-N(X109))</f>
        <v/>
      </c>
      <c r="AN109" s="95" t="str">
        <f aca="false">IF(B109="","",IF(Z109&lt;&gt;"",Z109,IF(N(G109)&gt;0,N(N109)/G109,"")))</f>
        <v/>
      </c>
      <c r="AO109" s="18" t="str">
        <f aca="false">IF(OR(B109="",C109=""),"",WORKDAY(C109,Inputs!$C$132,Lists!$N$4:$N$30))</f>
        <v/>
      </c>
      <c r="AP109" s="30" t="str">
        <f aca="false">IF(B109="","",IF(U109="","missing",IF(U109&gt;AO109,"Y","N")))</f>
        <v/>
      </c>
      <c r="AQ109" s="30" t="n">
        <f aca="false">IF(OR(W109="Y",W109="N"),IF(F109="",1,IF(COUNTIFS(F$5:F109,F109,W$5:W109,"Y")+COUNTIFS(F$5:F109,F109,W$5:W109,"N")=1,1,0)),0)</f>
        <v>0</v>
      </c>
      <c r="AR109" s="30" t="n">
        <f aca="false">IF(W109="Y",IF(F109="",1,IF(COUNTIFS(F$5:F109,F109,W$5:W109,"Y")=1,1,0)),0)</f>
        <v>0</v>
      </c>
    </row>
    <row r="110" customFormat="false" ht="15" hidden="false" customHeight="false" outlineLevel="0" collapsed="false">
      <c r="A110" s="103"/>
      <c r="B110" s="103"/>
      <c r="C110" s="102"/>
      <c r="D110" s="103"/>
      <c r="E110" s="103"/>
      <c r="F110" s="103"/>
      <c r="G110" s="103"/>
      <c r="H110" s="103"/>
      <c r="I110" s="103"/>
      <c r="J110" s="103"/>
      <c r="K110" s="103"/>
      <c r="L110" s="103"/>
      <c r="M110" s="103"/>
      <c r="N110" s="103"/>
      <c r="O110" s="103"/>
      <c r="P110" s="103"/>
      <c r="Q110" s="103"/>
      <c r="R110" s="105"/>
      <c r="S110" s="102"/>
      <c r="T110" s="105"/>
      <c r="U110" s="102"/>
      <c r="V110" s="103"/>
      <c r="W110" s="103"/>
      <c r="X110" s="105"/>
      <c r="Y110" s="102"/>
      <c r="Z110" s="103"/>
      <c r="AL110" s="30" t="str">
        <f aca="false">IF(B110="","",IFERROR(INDEX(Schedule!$N$7:$N$18,MATCH(B110,Schedule!$A$7:$A$18,0)),"not in schedule"))</f>
        <v/>
      </c>
      <c r="AM110" s="19" t="str">
        <f aca="false">IF(B110="","",N(R110)-N(X110))</f>
        <v/>
      </c>
      <c r="AN110" s="95" t="str">
        <f aca="false">IF(B110="","",IF(Z110&lt;&gt;"",Z110,IF(N(G110)&gt;0,N(N110)/G110,"")))</f>
        <v/>
      </c>
      <c r="AO110" s="18" t="str">
        <f aca="false">IF(OR(B110="",C110=""),"",WORKDAY(C110,Inputs!$C$132,Lists!$N$4:$N$30))</f>
        <v/>
      </c>
      <c r="AP110" s="30" t="str">
        <f aca="false">IF(B110="","",IF(U110="","missing",IF(U110&gt;AO110,"Y","N")))</f>
        <v/>
      </c>
      <c r="AQ110" s="30" t="n">
        <f aca="false">IF(OR(W110="Y",W110="N"),IF(F110="",1,IF(COUNTIFS(F$5:F110,F110,W$5:W110,"Y")+COUNTIFS(F$5:F110,F110,W$5:W110,"N")=1,1,0)),0)</f>
        <v>0</v>
      </c>
      <c r="AR110" s="30" t="n">
        <f aca="false">IF(W110="Y",IF(F110="",1,IF(COUNTIFS(F$5:F110,F110,W$5:W110,"Y")=1,1,0)),0)</f>
        <v>0</v>
      </c>
    </row>
    <row r="111" customFormat="false" ht="15" hidden="false" customHeight="false" outlineLevel="0" collapsed="false">
      <c r="A111" s="103"/>
      <c r="B111" s="103"/>
      <c r="C111" s="102"/>
      <c r="D111" s="103"/>
      <c r="E111" s="103"/>
      <c r="F111" s="103"/>
      <c r="G111" s="103"/>
      <c r="H111" s="103"/>
      <c r="I111" s="103"/>
      <c r="J111" s="103"/>
      <c r="K111" s="103"/>
      <c r="L111" s="103"/>
      <c r="M111" s="103"/>
      <c r="N111" s="103"/>
      <c r="O111" s="103"/>
      <c r="P111" s="103"/>
      <c r="Q111" s="103"/>
      <c r="R111" s="105"/>
      <c r="S111" s="102"/>
      <c r="T111" s="105"/>
      <c r="U111" s="102"/>
      <c r="V111" s="103"/>
      <c r="W111" s="103"/>
      <c r="X111" s="105"/>
      <c r="Y111" s="102"/>
      <c r="Z111" s="103"/>
      <c r="AL111" s="30" t="str">
        <f aca="false">IF(B111="","",IFERROR(INDEX(Schedule!$N$7:$N$18,MATCH(B111,Schedule!$A$7:$A$18,0)),"not in schedule"))</f>
        <v/>
      </c>
      <c r="AM111" s="19" t="str">
        <f aca="false">IF(B111="","",N(R111)-N(X111))</f>
        <v/>
      </c>
      <c r="AN111" s="95" t="str">
        <f aca="false">IF(B111="","",IF(Z111&lt;&gt;"",Z111,IF(N(G111)&gt;0,N(N111)/G111,"")))</f>
        <v/>
      </c>
      <c r="AO111" s="18" t="str">
        <f aca="false">IF(OR(B111="",C111=""),"",WORKDAY(C111,Inputs!$C$132,Lists!$N$4:$N$30))</f>
        <v/>
      </c>
      <c r="AP111" s="30" t="str">
        <f aca="false">IF(B111="","",IF(U111="","missing",IF(U111&gt;AO111,"Y","N")))</f>
        <v/>
      </c>
      <c r="AQ111" s="30" t="n">
        <f aca="false">IF(OR(W111="Y",W111="N"),IF(F111="",1,IF(COUNTIFS(F$5:F111,F111,W$5:W111,"Y")+COUNTIFS(F$5:F111,F111,W$5:W111,"N")=1,1,0)),0)</f>
        <v>0</v>
      </c>
      <c r="AR111" s="30" t="n">
        <f aca="false">IF(W111="Y",IF(F111="",1,IF(COUNTIFS(F$5:F111,F111,W$5:W111,"Y")=1,1,0)),0)</f>
        <v>0</v>
      </c>
    </row>
    <row r="112" customFormat="false" ht="15" hidden="false" customHeight="false" outlineLevel="0" collapsed="false">
      <c r="A112" s="103"/>
      <c r="B112" s="103"/>
      <c r="C112" s="102"/>
      <c r="D112" s="103"/>
      <c r="E112" s="103"/>
      <c r="F112" s="103"/>
      <c r="G112" s="103"/>
      <c r="H112" s="103"/>
      <c r="I112" s="103"/>
      <c r="J112" s="103"/>
      <c r="K112" s="103"/>
      <c r="L112" s="103"/>
      <c r="M112" s="103"/>
      <c r="N112" s="103"/>
      <c r="O112" s="103"/>
      <c r="P112" s="103"/>
      <c r="Q112" s="103"/>
      <c r="R112" s="105"/>
      <c r="S112" s="102"/>
      <c r="T112" s="105"/>
      <c r="U112" s="102"/>
      <c r="V112" s="103"/>
      <c r="W112" s="103"/>
      <c r="X112" s="105"/>
      <c r="Y112" s="102"/>
      <c r="Z112" s="103"/>
      <c r="AL112" s="30" t="str">
        <f aca="false">IF(B112="","",IFERROR(INDEX(Schedule!$N$7:$N$18,MATCH(B112,Schedule!$A$7:$A$18,0)),"not in schedule"))</f>
        <v/>
      </c>
      <c r="AM112" s="19" t="str">
        <f aca="false">IF(B112="","",N(R112)-N(X112))</f>
        <v/>
      </c>
      <c r="AN112" s="95" t="str">
        <f aca="false">IF(B112="","",IF(Z112&lt;&gt;"",Z112,IF(N(G112)&gt;0,N(N112)/G112,"")))</f>
        <v/>
      </c>
      <c r="AO112" s="18" t="str">
        <f aca="false">IF(OR(B112="",C112=""),"",WORKDAY(C112,Inputs!$C$132,Lists!$N$4:$N$30))</f>
        <v/>
      </c>
      <c r="AP112" s="30" t="str">
        <f aca="false">IF(B112="","",IF(U112="","missing",IF(U112&gt;AO112,"Y","N")))</f>
        <v/>
      </c>
      <c r="AQ112" s="30" t="n">
        <f aca="false">IF(OR(W112="Y",W112="N"),IF(F112="",1,IF(COUNTIFS(F$5:F112,F112,W$5:W112,"Y")+COUNTIFS(F$5:F112,F112,W$5:W112,"N")=1,1,0)),0)</f>
        <v>0</v>
      </c>
      <c r="AR112" s="30" t="n">
        <f aca="false">IF(W112="Y",IF(F112="",1,IF(COUNTIFS(F$5:F112,F112,W$5:W112,"Y")=1,1,0)),0)</f>
        <v>0</v>
      </c>
    </row>
    <row r="113" customFormat="false" ht="15" hidden="false" customHeight="false" outlineLevel="0" collapsed="false">
      <c r="A113" s="103"/>
      <c r="B113" s="103"/>
      <c r="C113" s="102"/>
      <c r="D113" s="103"/>
      <c r="E113" s="103"/>
      <c r="F113" s="103"/>
      <c r="G113" s="103"/>
      <c r="H113" s="103"/>
      <c r="I113" s="103"/>
      <c r="J113" s="103"/>
      <c r="K113" s="103"/>
      <c r="L113" s="103"/>
      <c r="M113" s="103"/>
      <c r="N113" s="103"/>
      <c r="O113" s="103"/>
      <c r="P113" s="103"/>
      <c r="Q113" s="103"/>
      <c r="R113" s="105"/>
      <c r="S113" s="102"/>
      <c r="T113" s="105"/>
      <c r="U113" s="102"/>
      <c r="V113" s="103"/>
      <c r="W113" s="103"/>
      <c r="X113" s="105"/>
      <c r="Y113" s="102"/>
      <c r="Z113" s="103"/>
      <c r="AL113" s="30" t="str">
        <f aca="false">IF(B113="","",IFERROR(INDEX(Schedule!$N$7:$N$18,MATCH(B113,Schedule!$A$7:$A$18,0)),"not in schedule"))</f>
        <v/>
      </c>
      <c r="AM113" s="19" t="str">
        <f aca="false">IF(B113="","",N(R113)-N(X113))</f>
        <v/>
      </c>
      <c r="AN113" s="95" t="str">
        <f aca="false">IF(B113="","",IF(Z113&lt;&gt;"",Z113,IF(N(G113)&gt;0,N(N113)/G113,"")))</f>
        <v/>
      </c>
      <c r="AO113" s="18" t="str">
        <f aca="false">IF(OR(B113="",C113=""),"",WORKDAY(C113,Inputs!$C$132,Lists!$N$4:$N$30))</f>
        <v/>
      </c>
      <c r="AP113" s="30" t="str">
        <f aca="false">IF(B113="","",IF(U113="","missing",IF(U113&gt;AO113,"Y","N")))</f>
        <v/>
      </c>
      <c r="AQ113" s="30" t="n">
        <f aca="false">IF(OR(W113="Y",W113="N"),IF(F113="",1,IF(COUNTIFS(F$5:F113,F113,W$5:W113,"Y")+COUNTIFS(F$5:F113,F113,W$5:W113,"N")=1,1,0)),0)</f>
        <v>0</v>
      </c>
      <c r="AR113" s="30" t="n">
        <f aca="false">IF(W113="Y",IF(F113="",1,IF(COUNTIFS(F$5:F113,F113,W$5:W113,"Y")=1,1,0)),0)</f>
        <v>0</v>
      </c>
    </row>
    <row r="114" customFormat="false" ht="15" hidden="false" customHeight="false" outlineLevel="0" collapsed="false">
      <c r="A114" s="103"/>
      <c r="B114" s="103"/>
      <c r="C114" s="102"/>
      <c r="D114" s="103"/>
      <c r="E114" s="103"/>
      <c r="F114" s="103"/>
      <c r="G114" s="103"/>
      <c r="H114" s="103"/>
      <c r="I114" s="103"/>
      <c r="J114" s="103"/>
      <c r="K114" s="103"/>
      <c r="L114" s="103"/>
      <c r="M114" s="103"/>
      <c r="N114" s="103"/>
      <c r="O114" s="103"/>
      <c r="P114" s="103"/>
      <c r="Q114" s="103"/>
      <c r="R114" s="105"/>
      <c r="S114" s="102"/>
      <c r="T114" s="105"/>
      <c r="U114" s="102"/>
      <c r="V114" s="103"/>
      <c r="W114" s="103"/>
      <c r="X114" s="105"/>
      <c r="Y114" s="102"/>
      <c r="Z114" s="103"/>
      <c r="AL114" s="30" t="str">
        <f aca="false">IF(B114="","",IFERROR(INDEX(Schedule!$N$7:$N$18,MATCH(B114,Schedule!$A$7:$A$18,0)),"not in schedule"))</f>
        <v/>
      </c>
      <c r="AM114" s="19" t="str">
        <f aca="false">IF(B114="","",N(R114)-N(X114))</f>
        <v/>
      </c>
      <c r="AN114" s="95" t="str">
        <f aca="false">IF(B114="","",IF(Z114&lt;&gt;"",Z114,IF(N(G114)&gt;0,N(N114)/G114,"")))</f>
        <v/>
      </c>
      <c r="AO114" s="18" t="str">
        <f aca="false">IF(OR(B114="",C114=""),"",WORKDAY(C114,Inputs!$C$132,Lists!$N$4:$N$30))</f>
        <v/>
      </c>
      <c r="AP114" s="30" t="str">
        <f aca="false">IF(B114="","",IF(U114="","missing",IF(U114&gt;AO114,"Y","N")))</f>
        <v/>
      </c>
      <c r="AQ114" s="30" t="n">
        <f aca="false">IF(OR(W114="Y",W114="N"),IF(F114="",1,IF(COUNTIFS(F$5:F114,F114,W$5:W114,"Y")+COUNTIFS(F$5:F114,F114,W$5:W114,"N")=1,1,0)),0)</f>
        <v>0</v>
      </c>
      <c r="AR114" s="30" t="n">
        <f aca="false">IF(W114="Y",IF(F114="",1,IF(COUNTIFS(F$5:F114,F114,W$5:W114,"Y")=1,1,0)),0)</f>
        <v>0</v>
      </c>
    </row>
    <row r="115" customFormat="false" ht="15" hidden="false" customHeight="false" outlineLevel="0" collapsed="false">
      <c r="A115" s="103"/>
      <c r="B115" s="103"/>
      <c r="C115" s="102"/>
      <c r="D115" s="103"/>
      <c r="E115" s="103"/>
      <c r="F115" s="103"/>
      <c r="G115" s="103"/>
      <c r="H115" s="103"/>
      <c r="I115" s="103"/>
      <c r="J115" s="103"/>
      <c r="K115" s="103"/>
      <c r="L115" s="103"/>
      <c r="M115" s="103"/>
      <c r="N115" s="103"/>
      <c r="O115" s="103"/>
      <c r="P115" s="103"/>
      <c r="Q115" s="103"/>
      <c r="R115" s="105"/>
      <c r="S115" s="102"/>
      <c r="T115" s="105"/>
      <c r="U115" s="102"/>
      <c r="V115" s="103"/>
      <c r="W115" s="103"/>
      <c r="X115" s="105"/>
      <c r="Y115" s="102"/>
      <c r="Z115" s="103"/>
      <c r="AL115" s="30" t="str">
        <f aca="false">IF(B115="","",IFERROR(INDEX(Schedule!$N$7:$N$18,MATCH(B115,Schedule!$A$7:$A$18,0)),"not in schedule"))</f>
        <v/>
      </c>
      <c r="AM115" s="19" t="str">
        <f aca="false">IF(B115="","",N(R115)-N(X115))</f>
        <v/>
      </c>
      <c r="AN115" s="95" t="str">
        <f aca="false">IF(B115="","",IF(Z115&lt;&gt;"",Z115,IF(N(G115)&gt;0,N(N115)/G115,"")))</f>
        <v/>
      </c>
      <c r="AO115" s="18" t="str">
        <f aca="false">IF(OR(B115="",C115=""),"",WORKDAY(C115,Inputs!$C$132,Lists!$N$4:$N$30))</f>
        <v/>
      </c>
      <c r="AP115" s="30" t="str">
        <f aca="false">IF(B115="","",IF(U115="","missing",IF(U115&gt;AO115,"Y","N")))</f>
        <v/>
      </c>
      <c r="AQ115" s="30" t="n">
        <f aca="false">IF(OR(W115="Y",W115="N"),IF(F115="",1,IF(COUNTIFS(F$5:F115,F115,W$5:W115,"Y")+COUNTIFS(F$5:F115,F115,W$5:W115,"N")=1,1,0)),0)</f>
        <v>0</v>
      </c>
      <c r="AR115" s="30" t="n">
        <f aca="false">IF(W115="Y",IF(F115="",1,IF(COUNTIFS(F$5:F115,F115,W$5:W115,"Y")=1,1,0)),0)</f>
        <v>0</v>
      </c>
    </row>
    <row r="116" customFormat="false" ht="15" hidden="false" customHeight="false" outlineLevel="0" collapsed="false">
      <c r="A116" s="103"/>
      <c r="B116" s="103"/>
      <c r="C116" s="102"/>
      <c r="D116" s="103"/>
      <c r="E116" s="103"/>
      <c r="F116" s="103"/>
      <c r="G116" s="103"/>
      <c r="H116" s="103"/>
      <c r="I116" s="103"/>
      <c r="J116" s="103"/>
      <c r="K116" s="103"/>
      <c r="L116" s="103"/>
      <c r="M116" s="103"/>
      <c r="N116" s="103"/>
      <c r="O116" s="103"/>
      <c r="P116" s="103"/>
      <c r="Q116" s="103"/>
      <c r="R116" s="105"/>
      <c r="S116" s="102"/>
      <c r="T116" s="105"/>
      <c r="U116" s="102"/>
      <c r="V116" s="103"/>
      <c r="W116" s="103"/>
      <c r="X116" s="105"/>
      <c r="Y116" s="102"/>
      <c r="Z116" s="103"/>
      <c r="AL116" s="30" t="str">
        <f aca="false">IF(B116="","",IFERROR(INDEX(Schedule!$N$7:$N$18,MATCH(B116,Schedule!$A$7:$A$18,0)),"not in schedule"))</f>
        <v/>
      </c>
      <c r="AM116" s="19" t="str">
        <f aca="false">IF(B116="","",N(R116)-N(X116))</f>
        <v/>
      </c>
      <c r="AN116" s="95" t="str">
        <f aca="false">IF(B116="","",IF(Z116&lt;&gt;"",Z116,IF(N(G116)&gt;0,N(N116)/G116,"")))</f>
        <v/>
      </c>
      <c r="AO116" s="18" t="str">
        <f aca="false">IF(OR(B116="",C116=""),"",WORKDAY(C116,Inputs!$C$132,Lists!$N$4:$N$30))</f>
        <v/>
      </c>
      <c r="AP116" s="30" t="str">
        <f aca="false">IF(B116="","",IF(U116="","missing",IF(U116&gt;AO116,"Y","N")))</f>
        <v/>
      </c>
      <c r="AQ116" s="30" t="n">
        <f aca="false">IF(OR(W116="Y",W116="N"),IF(F116="",1,IF(COUNTIFS(F$5:F116,F116,W$5:W116,"Y")+COUNTIFS(F$5:F116,F116,W$5:W116,"N")=1,1,0)),0)</f>
        <v>0</v>
      </c>
      <c r="AR116" s="30" t="n">
        <f aca="false">IF(W116="Y",IF(F116="",1,IF(COUNTIFS(F$5:F116,F116,W$5:W116,"Y")=1,1,0)),0)</f>
        <v>0</v>
      </c>
    </row>
    <row r="117" customFormat="false" ht="15" hidden="false" customHeight="false" outlineLevel="0" collapsed="false">
      <c r="A117" s="103"/>
      <c r="B117" s="103"/>
      <c r="C117" s="102"/>
      <c r="D117" s="103"/>
      <c r="E117" s="103"/>
      <c r="F117" s="103"/>
      <c r="G117" s="103"/>
      <c r="H117" s="103"/>
      <c r="I117" s="103"/>
      <c r="J117" s="103"/>
      <c r="K117" s="103"/>
      <c r="L117" s="103"/>
      <c r="M117" s="103"/>
      <c r="N117" s="103"/>
      <c r="O117" s="103"/>
      <c r="P117" s="103"/>
      <c r="Q117" s="103"/>
      <c r="R117" s="105"/>
      <c r="S117" s="102"/>
      <c r="T117" s="105"/>
      <c r="U117" s="102"/>
      <c r="V117" s="103"/>
      <c r="W117" s="103"/>
      <c r="X117" s="105"/>
      <c r="Y117" s="102"/>
      <c r="Z117" s="103"/>
      <c r="AL117" s="30" t="str">
        <f aca="false">IF(B117="","",IFERROR(INDEX(Schedule!$N$7:$N$18,MATCH(B117,Schedule!$A$7:$A$18,0)),"not in schedule"))</f>
        <v/>
      </c>
      <c r="AM117" s="19" t="str">
        <f aca="false">IF(B117="","",N(R117)-N(X117))</f>
        <v/>
      </c>
      <c r="AN117" s="95" t="str">
        <f aca="false">IF(B117="","",IF(Z117&lt;&gt;"",Z117,IF(N(G117)&gt;0,N(N117)/G117,"")))</f>
        <v/>
      </c>
      <c r="AO117" s="18" t="str">
        <f aca="false">IF(OR(B117="",C117=""),"",WORKDAY(C117,Inputs!$C$132,Lists!$N$4:$N$30))</f>
        <v/>
      </c>
      <c r="AP117" s="30" t="str">
        <f aca="false">IF(B117="","",IF(U117="","missing",IF(U117&gt;AO117,"Y","N")))</f>
        <v/>
      </c>
      <c r="AQ117" s="30" t="n">
        <f aca="false">IF(OR(W117="Y",W117="N"),IF(F117="",1,IF(COUNTIFS(F$5:F117,F117,W$5:W117,"Y")+COUNTIFS(F$5:F117,F117,W$5:W117,"N")=1,1,0)),0)</f>
        <v>0</v>
      </c>
      <c r="AR117" s="30" t="n">
        <f aca="false">IF(W117="Y",IF(F117="",1,IF(COUNTIFS(F$5:F117,F117,W$5:W117,"Y")=1,1,0)),0)</f>
        <v>0</v>
      </c>
    </row>
    <row r="118" customFormat="false" ht="15" hidden="false" customHeight="false" outlineLevel="0" collapsed="false">
      <c r="A118" s="103"/>
      <c r="B118" s="103"/>
      <c r="C118" s="102"/>
      <c r="D118" s="103"/>
      <c r="E118" s="103"/>
      <c r="F118" s="103"/>
      <c r="G118" s="103"/>
      <c r="H118" s="103"/>
      <c r="I118" s="103"/>
      <c r="J118" s="103"/>
      <c r="K118" s="103"/>
      <c r="L118" s="103"/>
      <c r="M118" s="103"/>
      <c r="N118" s="103"/>
      <c r="O118" s="103"/>
      <c r="P118" s="103"/>
      <c r="Q118" s="103"/>
      <c r="R118" s="105"/>
      <c r="S118" s="102"/>
      <c r="T118" s="105"/>
      <c r="U118" s="102"/>
      <c r="V118" s="103"/>
      <c r="W118" s="103"/>
      <c r="X118" s="105"/>
      <c r="Y118" s="102"/>
      <c r="Z118" s="103"/>
      <c r="AL118" s="30" t="str">
        <f aca="false">IF(B118="","",IFERROR(INDEX(Schedule!$N$7:$N$18,MATCH(B118,Schedule!$A$7:$A$18,0)),"not in schedule"))</f>
        <v/>
      </c>
      <c r="AM118" s="19" t="str">
        <f aca="false">IF(B118="","",N(R118)-N(X118))</f>
        <v/>
      </c>
      <c r="AN118" s="95" t="str">
        <f aca="false">IF(B118="","",IF(Z118&lt;&gt;"",Z118,IF(N(G118)&gt;0,N(N118)/G118,"")))</f>
        <v/>
      </c>
      <c r="AO118" s="18" t="str">
        <f aca="false">IF(OR(B118="",C118=""),"",WORKDAY(C118,Inputs!$C$132,Lists!$N$4:$N$30))</f>
        <v/>
      </c>
      <c r="AP118" s="30" t="str">
        <f aca="false">IF(B118="","",IF(U118="","missing",IF(U118&gt;AO118,"Y","N")))</f>
        <v/>
      </c>
      <c r="AQ118" s="30" t="n">
        <f aca="false">IF(OR(W118="Y",W118="N"),IF(F118="",1,IF(COUNTIFS(F$5:F118,F118,W$5:W118,"Y")+COUNTIFS(F$5:F118,F118,W$5:W118,"N")=1,1,0)),0)</f>
        <v>0</v>
      </c>
      <c r="AR118" s="30" t="n">
        <f aca="false">IF(W118="Y",IF(F118="",1,IF(COUNTIFS(F$5:F118,F118,W$5:W118,"Y")=1,1,0)),0)</f>
        <v>0</v>
      </c>
    </row>
    <row r="119" customFormat="false" ht="15" hidden="false" customHeight="false" outlineLevel="0" collapsed="false">
      <c r="A119" s="103"/>
      <c r="B119" s="103"/>
      <c r="C119" s="102"/>
      <c r="D119" s="103"/>
      <c r="E119" s="103"/>
      <c r="F119" s="103"/>
      <c r="G119" s="103"/>
      <c r="H119" s="103"/>
      <c r="I119" s="103"/>
      <c r="J119" s="103"/>
      <c r="K119" s="103"/>
      <c r="L119" s="103"/>
      <c r="M119" s="103"/>
      <c r="N119" s="103"/>
      <c r="O119" s="103"/>
      <c r="P119" s="103"/>
      <c r="Q119" s="103"/>
      <c r="R119" s="105"/>
      <c r="S119" s="102"/>
      <c r="T119" s="105"/>
      <c r="U119" s="102"/>
      <c r="V119" s="103"/>
      <c r="W119" s="103"/>
      <c r="X119" s="105"/>
      <c r="Y119" s="102"/>
      <c r="Z119" s="103"/>
      <c r="AL119" s="30" t="str">
        <f aca="false">IF(B119="","",IFERROR(INDEX(Schedule!$N$7:$N$18,MATCH(B119,Schedule!$A$7:$A$18,0)),"not in schedule"))</f>
        <v/>
      </c>
      <c r="AM119" s="19" t="str">
        <f aca="false">IF(B119="","",N(R119)-N(X119))</f>
        <v/>
      </c>
      <c r="AN119" s="95" t="str">
        <f aca="false">IF(B119="","",IF(Z119&lt;&gt;"",Z119,IF(N(G119)&gt;0,N(N119)/G119,"")))</f>
        <v/>
      </c>
      <c r="AO119" s="18" t="str">
        <f aca="false">IF(OR(B119="",C119=""),"",WORKDAY(C119,Inputs!$C$132,Lists!$N$4:$N$30))</f>
        <v/>
      </c>
      <c r="AP119" s="30" t="str">
        <f aca="false">IF(B119="","",IF(U119="","missing",IF(U119&gt;AO119,"Y","N")))</f>
        <v/>
      </c>
      <c r="AQ119" s="30" t="n">
        <f aca="false">IF(OR(W119="Y",W119="N"),IF(F119="",1,IF(COUNTIFS(F$5:F119,F119,W$5:W119,"Y")+COUNTIFS(F$5:F119,F119,W$5:W119,"N")=1,1,0)),0)</f>
        <v>0</v>
      </c>
      <c r="AR119" s="30" t="n">
        <f aca="false">IF(W119="Y",IF(F119="",1,IF(COUNTIFS(F$5:F119,F119,W$5:W119,"Y")=1,1,0)),0)</f>
        <v>0</v>
      </c>
    </row>
    <row r="120" customFormat="false" ht="15" hidden="false" customHeight="false" outlineLevel="0" collapsed="false">
      <c r="A120" s="103"/>
      <c r="B120" s="103"/>
      <c r="C120" s="102"/>
      <c r="D120" s="103"/>
      <c r="E120" s="103"/>
      <c r="F120" s="103"/>
      <c r="G120" s="103"/>
      <c r="H120" s="103"/>
      <c r="I120" s="103"/>
      <c r="J120" s="103"/>
      <c r="K120" s="103"/>
      <c r="L120" s="103"/>
      <c r="M120" s="103"/>
      <c r="N120" s="103"/>
      <c r="O120" s="103"/>
      <c r="P120" s="103"/>
      <c r="Q120" s="103"/>
      <c r="R120" s="105"/>
      <c r="S120" s="102"/>
      <c r="T120" s="105"/>
      <c r="U120" s="102"/>
      <c r="V120" s="103"/>
      <c r="W120" s="103"/>
      <c r="X120" s="105"/>
      <c r="Y120" s="102"/>
      <c r="Z120" s="103"/>
      <c r="AL120" s="30" t="str">
        <f aca="false">IF(B120="","",IFERROR(INDEX(Schedule!$N$7:$N$18,MATCH(B120,Schedule!$A$7:$A$18,0)),"not in schedule"))</f>
        <v/>
      </c>
      <c r="AM120" s="19" t="str">
        <f aca="false">IF(B120="","",N(R120)-N(X120))</f>
        <v/>
      </c>
      <c r="AN120" s="95" t="str">
        <f aca="false">IF(B120="","",IF(Z120&lt;&gt;"",Z120,IF(N(G120)&gt;0,N(N120)/G120,"")))</f>
        <v/>
      </c>
      <c r="AO120" s="18" t="str">
        <f aca="false">IF(OR(B120="",C120=""),"",WORKDAY(C120,Inputs!$C$132,Lists!$N$4:$N$30))</f>
        <v/>
      </c>
      <c r="AP120" s="30" t="str">
        <f aca="false">IF(B120="","",IF(U120="","missing",IF(U120&gt;AO120,"Y","N")))</f>
        <v/>
      </c>
      <c r="AQ120" s="30" t="n">
        <f aca="false">IF(OR(W120="Y",W120="N"),IF(F120="",1,IF(COUNTIFS(F$5:F120,F120,W$5:W120,"Y")+COUNTIFS(F$5:F120,F120,W$5:W120,"N")=1,1,0)),0)</f>
        <v>0</v>
      </c>
      <c r="AR120" s="30" t="n">
        <f aca="false">IF(W120="Y",IF(F120="",1,IF(COUNTIFS(F$5:F120,F120,W$5:W120,"Y")=1,1,0)),0)</f>
        <v>0</v>
      </c>
    </row>
    <row r="121" customFormat="false" ht="15" hidden="false" customHeight="false" outlineLevel="0" collapsed="false">
      <c r="A121" s="103"/>
      <c r="B121" s="103"/>
      <c r="C121" s="102"/>
      <c r="D121" s="103"/>
      <c r="E121" s="103"/>
      <c r="F121" s="103"/>
      <c r="G121" s="103"/>
      <c r="H121" s="103"/>
      <c r="I121" s="103"/>
      <c r="J121" s="103"/>
      <c r="K121" s="103"/>
      <c r="L121" s="103"/>
      <c r="M121" s="103"/>
      <c r="N121" s="103"/>
      <c r="O121" s="103"/>
      <c r="P121" s="103"/>
      <c r="Q121" s="103"/>
      <c r="R121" s="105"/>
      <c r="S121" s="102"/>
      <c r="T121" s="105"/>
      <c r="U121" s="102"/>
      <c r="V121" s="103"/>
      <c r="W121" s="103"/>
      <c r="X121" s="105"/>
      <c r="Y121" s="102"/>
      <c r="Z121" s="103"/>
      <c r="AL121" s="30" t="str">
        <f aca="false">IF(B121="","",IFERROR(INDEX(Schedule!$N$7:$N$18,MATCH(B121,Schedule!$A$7:$A$18,0)),"not in schedule"))</f>
        <v/>
      </c>
      <c r="AM121" s="19" t="str">
        <f aca="false">IF(B121="","",N(R121)-N(X121))</f>
        <v/>
      </c>
      <c r="AN121" s="95" t="str">
        <f aca="false">IF(B121="","",IF(Z121&lt;&gt;"",Z121,IF(N(G121)&gt;0,N(N121)/G121,"")))</f>
        <v/>
      </c>
      <c r="AO121" s="18" t="str">
        <f aca="false">IF(OR(B121="",C121=""),"",WORKDAY(C121,Inputs!$C$132,Lists!$N$4:$N$30))</f>
        <v/>
      </c>
      <c r="AP121" s="30" t="str">
        <f aca="false">IF(B121="","",IF(U121="","missing",IF(U121&gt;AO121,"Y","N")))</f>
        <v/>
      </c>
      <c r="AQ121" s="30" t="n">
        <f aca="false">IF(OR(W121="Y",W121="N"),IF(F121="",1,IF(COUNTIFS(F$5:F121,F121,W$5:W121,"Y")+COUNTIFS(F$5:F121,F121,W$5:W121,"N")=1,1,0)),0)</f>
        <v>0</v>
      </c>
      <c r="AR121" s="30" t="n">
        <f aca="false">IF(W121="Y",IF(F121="",1,IF(COUNTIFS(F$5:F121,F121,W$5:W121,"Y")=1,1,0)),0)</f>
        <v>0</v>
      </c>
    </row>
    <row r="122" customFormat="false" ht="15" hidden="false" customHeight="false" outlineLevel="0" collapsed="false">
      <c r="A122" s="103"/>
      <c r="B122" s="103"/>
      <c r="C122" s="102"/>
      <c r="D122" s="103"/>
      <c r="E122" s="103"/>
      <c r="F122" s="103"/>
      <c r="G122" s="103"/>
      <c r="H122" s="103"/>
      <c r="I122" s="103"/>
      <c r="J122" s="103"/>
      <c r="K122" s="103"/>
      <c r="L122" s="103"/>
      <c r="M122" s="103"/>
      <c r="N122" s="103"/>
      <c r="O122" s="103"/>
      <c r="P122" s="103"/>
      <c r="Q122" s="103"/>
      <c r="R122" s="105"/>
      <c r="S122" s="102"/>
      <c r="T122" s="105"/>
      <c r="U122" s="102"/>
      <c r="V122" s="103"/>
      <c r="W122" s="103"/>
      <c r="X122" s="105"/>
      <c r="Y122" s="102"/>
      <c r="Z122" s="103"/>
      <c r="AL122" s="30" t="str">
        <f aca="false">IF(B122="","",IFERROR(INDEX(Schedule!$N$7:$N$18,MATCH(B122,Schedule!$A$7:$A$18,0)),"not in schedule"))</f>
        <v/>
      </c>
      <c r="AM122" s="19" t="str">
        <f aca="false">IF(B122="","",N(R122)-N(X122))</f>
        <v/>
      </c>
      <c r="AN122" s="95" t="str">
        <f aca="false">IF(B122="","",IF(Z122&lt;&gt;"",Z122,IF(N(G122)&gt;0,N(N122)/G122,"")))</f>
        <v/>
      </c>
      <c r="AO122" s="18" t="str">
        <f aca="false">IF(OR(B122="",C122=""),"",WORKDAY(C122,Inputs!$C$132,Lists!$N$4:$N$30))</f>
        <v/>
      </c>
      <c r="AP122" s="30" t="str">
        <f aca="false">IF(B122="","",IF(U122="","missing",IF(U122&gt;AO122,"Y","N")))</f>
        <v/>
      </c>
      <c r="AQ122" s="30" t="n">
        <f aca="false">IF(OR(W122="Y",W122="N"),IF(F122="",1,IF(COUNTIFS(F$5:F122,F122,W$5:W122,"Y")+COUNTIFS(F$5:F122,F122,W$5:W122,"N")=1,1,0)),0)</f>
        <v>0</v>
      </c>
      <c r="AR122" s="30" t="n">
        <f aca="false">IF(W122="Y",IF(F122="",1,IF(COUNTIFS(F$5:F122,F122,W$5:W122,"Y")=1,1,0)),0)</f>
        <v>0</v>
      </c>
    </row>
    <row r="123" customFormat="false" ht="15" hidden="false" customHeight="false" outlineLevel="0" collapsed="false">
      <c r="A123" s="103"/>
      <c r="B123" s="103"/>
      <c r="C123" s="102"/>
      <c r="D123" s="103"/>
      <c r="E123" s="103"/>
      <c r="F123" s="103"/>
      <c r="G123" s="103"/>
      <c r="H123" s="103"/>
      <c r="I123" s="103"/>
      <c r="J123" s="103"/>
      <c r="K123" s="103"/>
      <c r="L123" s="103"/>
      <c r="M123" s="103"/>
      <c r="N123" s="103"/>
      <c r="O123" s="103"/>
      <c r="P123" s="103"/>
      <c r="Q123" s="103"/>
      <c r="R123" s="105"/>
      <c r="S123" s="102"/>
      <c r="T123" s="105"/>
      <c r="U123" s="102"/>
      <c r="V123" s="103"/>
      <c r="W123" s="103"/>
      <c r="X123" s="105"/>
      <c r="Y123" s="102"/>
      <c r="Z123" s="103"/>
      <c r="AL123" s="30" t="str">
        <f aca="false">IF(B123="","",IFERROR(INDEX(Schedule!$N$7:$N$18,MATCH(B123,Schedule!$A$7:$A$18,0)),"not in schedule"))</f>
        <v/>
      </c>
      <c r="AM123" s="19" t="str">
        <f aca="false">IF(B123="","",N(R123)-N(X123))</f>
        <v/>
      </c>
      <c r="AN123" s="95" t="str">
        <f aca="false">IF(B123="","",IF(Z123&lt;&gt;"",Z123,IF(N(G123)&gt;0,N(N123)/G123,"")))</f>
        <v/>
      </c>
      <c r="AO123" s="18" t="str">
        <f aca="false">IF(OR(B123="",C123=""),"",WORKDAY(C123,Inputs!$C$132,Lists!$N$4:$N$30))</f>
        <v/>
      </c>
      <c r="AP123" s="30" t="str">
        <f aca="false">IF(B123="","",IF(U123="","missing",IF(U123&gt;AO123,"Y","N")))</f>
        <v/>
      </c>
      <c r="AQ123" s="30" t="n">
        <f aca="false">IF(OR(W123="Y",W123="N"),IF(F123="",1,IF(COUNTIFS(F$5:F123,F123,W$5:W123,"Y")+COUNTIFS(F$5:F123,F123,W$5:W123,"N")=1,1,0)),0)</f>
        <v>0</v>
      </c>
      <c r="AR123" s="30" t="n">
        <f aca="false">IF(W123="Y",IF(F123="",1,IF(COUNTIFS(F$5:F123,F123,W$5:W123,"Y")=1,1,0)),0)</f>
        <v>0</v>
      </c>
    </row>
    <row r="124" customFormat="false" ht="15" hidden="false" customHeight="false" outlineLevel="0" collapsed="false">
      <c r="A124" s="103"/>
      <c r="B124" s="103"/>
      <c r="C124" s="102"/>
      <c r="D124" s="103"/>
      <c r="E124" s="103"/>
      <c r="F124" s="103"/>
      <c r="G124" s="103"/>
      <c r="H124" s="103"/>
      <c r="I124" s="103"/>
      <c r="J124" s="103"/>
      <c r="K124" s="103"/>
      <c r="L124" s="103"/>
      <c r="M124" s="103"/>
      <c r="N124" s="103"/>
      <c r="O124" s="103"/>
      <c r="P124" s="103"/>
      <c r="Q124" s="103"/>
      <c r="R124" s="105"/>
      <c r="S124" s="102"/>
      <c r="T124" s="105"/>
      <c r="U124" s="102"/>
      <c r="V124" s="103"/>
      <c r="W124" s="103"/>
      <c r="X124" s="105"/>
      <c r="Y124" s="102"/>
      <c r="Z124" s="103"/>
      <c r="AL124" s="30" t="str">
        <f aca="false">IF(B124="","",IFERROR(INDEX(Schedule!$N$7:$N$18,MATCH(B124,Schedule!$A$7:$A$18,0)),"not in schedule"))</f>
        <v/>
      </c>
      <c r="AM124" s="19" t="str">
        <f aca="false">IF(B124="","",N(R124)-N(X124))</f>
        <v/>
      </c>
      <c r="AN124" s="95" t="str">
        <f aca="false">IF(B124="","",IF(Z124&lt;&gt;"",Z124,IF(N(G124)&gt;0,N(N124)/G124,"")))</f>
        <v/>
      </c>
      <c r="AO124" s="18" t="str">
        <f aca="false">IF(OR(B124="",C124=""),"",WORKDAY(C124,Inputs!$C$132,Lists!$N$4:$N$30))</f>
        <v/>
      </c>
      <c r="AP124" s="30" t="str">
        <f aca="false">IF(B124="","",IF(U124="","missing",IF(U124&gt;AO124,"Y","N")))</f>
        <v/>
      </c>
      <c r="AQ124" s="30" t="n">
        <f aca="false">IF(OR(W124="Y",W124="N"),IF(F124="",1,IF(COUNTIFS(F$5:F124,F124,W$5:W124,"Y")+COUNTIFS(F$5:F124,F124,W$5:W124,"N")=1,1,0)),0)</f>
        <v>0</v>
      </c>
      <c r="AR124" s="30" t="n">
        <f aca="false">IF(W124="Y",IF(F124="",1,IF(COUNTIFS(F$5:F124,F124,W$5:W124,"Y")=1,1,0)),0)</f>
        <v>0</v>
      </c>
    </row>
    <row r="125" customFormat="false" ht="15" hidden="false" customHeight="false" outlineLevel="0" collapsed="false">
      <c r="A125" s="103"/>
      <c r="B125" s="103"/>
      <c r="C125" s="102"/>
      <c r="D125" s="103"/>
      <c r="E125" s="103"/>
      <c r="F125" s="103"/>
      <c r="G125" s="103"/>
      <c r="H125" s="103"/>
      <c r="I125" s="103"/>
      <c r="J125" s="103"/>
      <c r="K125" s="103"/>
      <c r="L125" s="103"/>
      <c r="M125" s="103"/>
      <c r="N125" s="103"/>
      <c r="O125" s="103"/>
      <c r="P125" s="103"/>
      <c r="Q125" s="103"/>
      <c r="R125" s="105"/>
      <c r="S125" s="102"/>
      <c r="T125" s="105"/>
      <c r="U125" s="102"/>
      <c r="V125" s="103"/>
      <c r="W125" s="103"/>
      <c r="X125" s="105"/>
      <c r="Y125" s="102"/>
      <c r="Z125" s="103"/>
      <c r="AL125" s="30" t="str">
        <f aca="false">IF(B125="","",IFERROR(INDEX(Schedule!$N$7:$N$18,MATCH(B125,Schedule!$A$7:$A$18,0)),"not in schedule"))</f>
        <v/>
      </c>
      <c r="AM125" s="19" t="str">
        <f aca="false">IF(B125="","",N(R125)-N(X125))</f>
        <v/>
      </c>
      <c r="AN125" s="95" t="str">
        <f aca="false">IF(B125="","",IF(Z125&lt;&gt;"",Z125,IF(N(G125)&gt;0,N(N125)/G125,"")))</f>
        <v/>
      </c>
      <c r="AO125" s="18" t="str">
        <f aca="false">IF(OR(B125="",C125=""),"",WORKDAY(C125,Inputs!$C$132,Lists!$N$4:$N$30))</f>
        <v/>
      </c>
      <c r="AP125" s="30" t="str">
        <f aca="false">IF(B125="","",IF(U125="","missing",IF(U125&gt;AO125,"Y","N")))</f>
        <v/>
      </c>
      <c r="AQ125" s="30" t="n">
        <f aca="false">IF(OR(W125="Y",W125="N"),IF(F125="",1,IF(COUNTIFS(F$5:F125,F125,W$5:W125,"Y")+COUNTIFS(F$5:F125,F125,W$5:W125,"N")=1,1,0)),0)</f>
        <v>0</v>
      </c>
      <c r="AR125" s="30" t="n">
        <f aca="false">IF(W125="Y",IF(F125="",1,IF(COUNTIFS(F$5:F125,F125,W$5:W125,"Y")=1,1,0)),0)</f>
        <v>0</v>
      </c>
    </row>
    <row r="126" customFormat="false" ht="15" hidden="false" customHeight="false" outlineLevel="0" collapsed="false">
      <c r="A126" s="103"/>
      <c r="B126" s="103"/>
      <c r="C126" s="102"/>
      <c r="D126" s="103"/>
      <c r="E126" s="103"/>
      <c r="F126" s="103"/>
      <c r="G126" s="103"/>
      <c r="H126" s="103"/>
      <c r="I126" s="103"/>
      <c r="J126" s="103"/>
      <c r="K126" s="103"/>
      <c r="L126" s="103"/>
      <c r="M126" s="103"/>
      <c r="N126" s="103"/>
      <c r="O126" s="103"/>
      <c r="P126" s="103"/>
      <c r="Q126" s="103"/>
      <c r="R126" s="105"/>
      <c r="S126" s="102"/>
      <c r="T126" s="105"/>
      <c r="U126" s="102"/>
      <c r="V126" s="103"/>
      <c r="W126" s="103"/>
      <c r="X126" s="105"/>
      <c r="Y126" s="102"/>
      <c r="Z126" s="103"/>
      <c r="AL126" s="30" t="str">
        <f aca="false">IF(B126="","",IFERROR(INDEX(Schedule!$N$7:$N$18,MATCH(B126,Schedule!$A$7:$A$18,0)),"not in schedule"))</f>
        <v/>
      </c>
      <c r="AM126" s="19" t="str">
        <f aca="false">IF(B126="","",N(R126)-N(X126))</f>
        <v/>
      </c>
      <c r="AN126" s="95" t="str">
        <f aca="false">IF(B126="","",IF(Z126&lt;&gt;"",Z126,IF(N(G126)&gt;0,N(N126)/G126,"")))</f>
        <v/>
      </c>
      <c r="AO126" s="18" t="str">
        <f aca="false">IF(OR(B126="",C126=""),"",WORKDAY(C126,Inputs!$C$132,Lists!$N$4:$N$30))</f>
        <v/>
      </c>
      <c r="AP126" s="30" t="str">
        <f aca="false">IF(B126="","",IF(U126="","missing",IF(U126&gt;AO126,"Y","N")))</f>
        <v/>
      </c>
      <c r="AQ126" s="30" t="n">
        <f aca="false">IF(OR(W126="Y",W126="N"),IF(F126="",1,IF(COUNTIFS(F$5:F126,F126,W$5:W126,"Y")+COUNTIFS(F$5:F126,F126,W$5:W126,"N")=1,1,0)),0)</f>
        <v>0</v>
      </c>
      <c r="AR126" s="30" t="n">
        <f aca="false">IF(W126="Y",IF(F126="",1,IF(COUNTIFS(F$5:F126,F126,W$5:W126,"Y")=1,1,0)),0)</f>
        <v>0</v>
      </c>
    </row>
    <row r="127" customFormat="false" ht="15" hidden="false" customHeight="false" outlineLevel="0" collapsed="false">
      <c r="A127" s="103"/>
      <c r="B127" s="103"/>
      <c r="C127" s="102"/>
      <c r="D127" s="103"/>
      <c r="E127" s="103"/>
      <c r="F127" s="103"/>
      <c r="G127" s="103"/>
      <c r="H127" s="103"/>
      <c r="I127" s="103"/>
      <c r="J127" s="103"/>
      <c r="K127" s="103"/>
      <c r="L127" s="103"/>
      <c r="M127" s="103"/>
      <c r="N127" s="103"/>
      <c r="O127" s="103"/>
      <c r="P127" s="103"/>
      <c r="Q127" s="103"/>
      <c r="R127" s="105"/>
      <c r="S127" s="102"/>
      <c r="T127" s="105"/>
      <c r="U127" s="102"/>
      <c r="V127" s="103"/>
      <c r="W127" s="103"/>
      <c r="X127" s="105"/>
      <c r="Y127" s="102"/>
      <c r="Z127" s="103"/>
      <c r="AL127" s="30" t="str">
        <f aca="false">IF(B127="","",IFERROR(INDEX(Schedule!$N$7:$N$18,MATCH(B127,Schedule!$A$7:$A$18,0)),"not in schedule"))</f>
        <v/>
      </c>
      <c r="AM127" s="19" t="str">
        <f aca="false">IF(B127="","",N(R127)-N(X127))</f>
        <v/>
      </c>
      <c r="AN127" s="95" t="str">
        <f aca="false">IF(B127="","",IF(Z127&lt;&gt;"",Z127,IF(N(G127)&gt;0,N(N127)/G127,"")))</f>
        <v/>
      </c>
      <c r="AO127" s="18" t="str">
        <f aca="false">IF(OR(B127="",C127=""),"",WORKDAY(C127,Inputs!$C$132,Lists!$N$4:$N$30))</f>
        <v/>
      </c>
      <c r="AP127" s="30" t="str">
        <f aca="false">IF(B127="","",IF(U127="","missing",IF(U127&gt;AO127,"Y","N")))</f>
        <v/>
      </c>
      <c r="AQ127" s="30" t="n">
        <f aca="false">IF(OR(W127="Y",W127="N"),IF(F127="",1,IF(COUNTIFS(F$5:F127,F127,W$5:W127,"Y")+COUNTIFS(F$5:F127,F127,W$5:W127,"N")=1,1,0)),0)</f>
        <v>0</v>
      </c>
      <c r="AR127" s="30" t="n">
        <f aca="false">IF(W127="Y",IF(F127="",1,IF(COUNTIFS(F$5:F127,F127,W$5:W127,"Y")=1,1,0)),0)</f>
        <v>0</v>
      </c>
    </row>
    <row r="128" customFormat="false" ht="15" hidden="false" customHeight="false" outlineLevel="0" collapsed="false">
      <c r="A128" s="103"/>
      <c r="B128" s="103"/>
      <c r="C128" s="102"/>
      <c r="D128" s="103"/>
      <c r="E128" s="103"/>
      <c r="F128" s="103"/>
      <c r="G128" s="103"/>
      <c r="H128" s="103"/>
      <c r="I128" s="103"/>
      <c r="J128" s="103"/>
      <c r="K128" s="103"/>
      <c r="L128" s="103"/>
      <c r="M128" s="103"/>
      <c r="N128" s="103"/>
      <c r="O128" s="103"/>
      <c r="P128" s="103"/>
      <c r="Q128" s="103"/>
      <c r="R128" s="105"/>
      <c r="S128" s="102"/>
      <c r="T128" s="105"/>
      <c r="U128" s="102"/>
      <c r="V128" s="103"/>
      <c r="W128" s="103"/>
      <c r="X128" s="105"/>
      <c r="Y128" s="102"/>
      <c r="Z128" s="103"/>
      <c r="AL128" s="30" t="str">
        <f aca="false">IF(B128="","",IFERROR(INDEX(Schedule!$N$7:$N$18,MATCH(B128,Schedule!$A$7:$A$18,0)),"not in schedule"))</f>
        <v/>
      </c>
      <c r="AM128" s="19" t="str">
        <f aca="false">IF(B128="","",N(R128)-N(X128))</f>
        <v/>
      </c>
      <c r="AN128" s="95" t="str">
        <f aca="false">IF(B128="","",IF(Z128&lt;&gt;"",Z128,IF(N(G128)&gt;0,N(N128)/G128,"")))</f>
        <v/>
      </c>
      <c r="AO128" s="18" t="str">
        <f aca="false">IF(OR(B128="",C128=""),"",WORKDAY(C128,Inputs!$C$132,Lists!$N$4:$N$30))</f>
        <v/>
      </c>
      <c r="AP128" s="30" t="str">
        <f aca="false">IF(B128="","",IF(U128="","missing",IF(U128&gt;AO128,"Y","N")))</f>
        <v/>
      </c>
      <c r="AQ128" s="30" t="n">
        <f aca="false">IF(OR(W128="Y",W128="N"),IF(F128="",1,IF(COUNTIFS(F$5:F128,F128,W$5:W128,"Y")+COUNTIFS(F$5:F128,F128,W$5:W128,"N")=1,1,0)),0)</f>
        <v>0</v>
      </c>
      <c r="AR128" s="30" t="n">
        <f aca="false">IF(W128="Y",IF(F128="",1,IF(COUNTIFS(F$5:F128,F128,W$5:W128,"Y")=1,1,0)),0)</f>
        <v>0</v>
      </c>
    </row>
    <row r="129" customFormat="false" ht="15" hidden="false" customHeight="false" outlineLevel="0" collapsed="false">
      <c r="A129" s="103"/>
      <c r="B129" s="103"/>
      <c r="C129" s="102"/>
      <c r="D129" s="103"/>
      <c r="E129" s="103"/>
      <c r="F129" s="103"/>
      <c r="G129" s="103"/>
      <c r="H129" s="103"/>
      <c r="I129" s="103"/>
      <c r="J129" s="103"/>
      <c r="K129" s="103"/>
      <c r="L129" s="103"/>
      <c r="M129" s="103"/>
      <c r="N129" s="103"/>
      <c r="O129" s="103"/>
      <c r="P129" s="103"/>
      <c r="Q129" s="103"/>
      <c r="R129" s="105"/>
      <c r="S129" s="102"/>
      <c r="T129" s="105"/>
      <c r="U129" s="102"/>
      <c r="V129" s="103"/>
      <c r="W129" s="103"/>
      <c r="X129" s="105"/>
      <c r="Y129" s="102"/>
      <c r="Z129" s="103"/>
      <c r="AL129" s="30" t="str">
        <f aca="false">IF(B129="","",IFERROR(INDEX(Schedule!$N$7:$N$18,MATCH(B129,Schedule!$A$7:$A$18,0)),"not in schedule"))</f>
        <v/>
      </c>
      <c r="AM129" s="19" t="str">
        <f aca="false">IF(B129="","",N(R129)-N(X129))</f>
        <v/>
      </c>
      <c r="AN129" s="95" t="str">
        <f aca="false">IF(B129="","",IF(Z129&lt;&gt;"",Z129,IF(N(G129)&gt;0,N(N129)/G129,"")))</f>
        <v/>
      </c>
      <c r="AO129" s="18" t="str">
        <f aca="false">IF(OR(B129="",C129=""),"",WORKDAY(C129,Inputs!$C$132,Lists!$N$4:$N$30))</f>
        <v/>
      </c>
      <c r="AP129" s="30" t="str">
        <f aca="false">IF(B129="","",IF(U129="","missing",IF(U129&gt;AO129,"Y","N")))</f>
        <v/>
      </c>
      <c r="AQ129" s="30" t="n">
        <f aca="false">IF(OR(W129="Y",W129="N"),IF(F129="",1,IF(COUNTIFS(F$5:F129,F129,W$5:W129,"Y")+COUNTIFS(F$5:F129,F129,W$5:W129,"N")=1,1,0)),0)</f>
        <v>0</v>
      </c>
      <c r="AR129" s="30" t="n">
        <f aca="false">IF(W129="Y",IF(F129="",1,IF(COUNTIFS(F$5:F129,F129,W$5:W129,"Y")=1,1,0)),0)</f>
        <v>0</v>
      </c>
    </row>
    <row r="130" customFormat="false" ht="15" hidden="false" customHeight="false" outlineLevel="0" collapsed="false">
      <c r="A130" s="103"/>
      <c r="B130" s="103"/>
      <c r="C130" s="102"/>
      <c r="D130" s="103"/>
      <c r="E130" s="103"/>
      <c r="F130" s="103"/>
      <c r="G130" s="103"/>
      <c r="H130" s="103"/>
      <c r="I130" s="103"/>
      <c r="J130" s="103"/>
      <c r="K130" s="103"/>
      <c r="L130" s="103"/>
      <c r="M130" s="103"/>
      <c r="N130" s="103"/>
      <c r="O130" s="103"/>
      <c r="P130" s="103"/>
      <c r="Q130" s="103"/>
      <c r="R130" s="105"/>
      <c r="S130" s="102"/>
      <c r="T130" s="105"/>
      <c r="U130" s="102"/>
      <c r="V130" s="103"/>
      <c r="W130" s="103"/>
      <c r="X130" s="105"/>
      <c r="Y130" s="102"/>
      <c r="Z130" s="103"/>
      <c r="AL130" s="30" t="str">
        <f aca="false">IF(B130="","",IFERROR(INDEX(Schedule!$N$7:$N$18,MATCH(B130,Schedule!$A$7:$A$18,0)),"not in schedule"))</f>
        <v/>
      </c>
      <c r="AM130" s="19" t="str">
        <f aca="false">IF(B130="","",N(R130)-N(X130))</f>
        <v/>
      </c>
      <c r="AN130" s="95" t="str">
        <f aca="false">IF(B130="","",IF(Z130&lt;&gt;"",Z130,IF(N(G130)&gt;0,N(N130)/G130,"")))</f>
        <v/>
      </c>
      <c r="AO130" s="18" t="str">
        <f aca="false">IF(OR(B130="",C130=""),"",WORKDAY(C130,Inputs!$C$132,Lists!$N$4:$N$30))</f>
        <v/>
      </c>
      <c r="AP130" s="30" t="str">
        <f aca="false">IF(B130="","",IF(U130="","missing",IF(U130&gt;AO130,"Y","N")))</f>
        <v/>
      </c>
      <c r="AQ130" s="30" t="n">
        <f aca="false">IF(OR(W130="Y",W130="N"),IF(F130="",1,IF(COUNTIFS(F$5:F130,F130,W$5:W130,"Y")+COUNTIFS(F$5:F130,F130,W$5:W130,"N")=1,1,0)),0)</f>
        <v>0</v>
      </c>
      <c r="AR130" s="30" t="n">
        <f aca="false">IF(W130="Y",IF(F130="",1,IF(COUNTIFS(F$5:F130,F130,W$5:W130,"Y")=1,1,0)),0)</f>
        <v>0</v>
      </c>
    </row>
    <row r="131" customFormat="false" ht="15" hidden="false" customHeight="false" outlineLevel="0" collapsed="false">
      <c r="A131" s="103"/>
      <c r="B131" s="103"/>
      <c r="C131" s="102"/>
      <c r="D131" s="103"/>
      <c r="E131" s="103"/>
      <c r="F131" s="103"/>
      <c r="G131" s="103"/>
      <c r="H131" s="103"/>
      <c r="I131" s="103"/>
      <c r="J131" s="103"/>
      <c r="K131" s="103"/>
      <c r="L131" s="103"/>
      <c r="M131" s="103"/>
      <c r="N131" s="103"/>
      <c r="O131" s="103"/>
      <c r="P131" s="103"/>
      <c r="Q131" s="103"/>
      <c r="R131" s="105"/>
      <c r="S131" s="102"/>
      <c r="T131" s="105"/>
      <c r="U131" s="102"/>
      <c r="V131" s="103"/>
      <c r="W131" s="103"/>
      <c r="X131" s="105"/>
      <c r="Y131" s="102"/>
      <c r="Z131" s="103"/>
      <c r="AL131" s="30" t="str">
        <f aca="false">IF(B131="","",IFERROR(INDEX(Schedule!$N$7:$N$18,MATCH(B131,Schedule!$A$7:$A$18,0)),"not in schedule"))</f>
        <v/>
      </c>
      <c r="AM131" s="19" t="str">
        <f aca="false">IF(B131="","",N(R131)-N(X131))</f>
        <v/>
      </c>
      <c r="AN131" s="95" t="str">
        <f aca="false">IF(B131="","",IF(Z131&lt;&gt;"",Z131,IF(N(G131)&gt;0,N(N131)/G131,"")))</f>
        <v/>
      </c>
      <c r="AO131" s="18" t="str">
        <f aca="false">IF(OR(B131="",C131=""),"",WORKDAY(C131,Inputs!$C$132,Lists!$N$4:$N$30))</f>
        <v/>
      </c>
      <c r="AP131" s="30" t="str">
        <f aca="false">IF(B131="","",IF(U131="","missing",IF(U131&gt;AO131,"Y","N")))</f>
        <v/>
      </c>
      <c r="AQ131" s="30" t="n">
        <f aca="false">IF(OR(W131="Y",W131="N"),IF(F131="",1,IF(COUNTIFS(F$5:F131,F131,W$5:W131,"Y")+COUNTIFS(F$5:F131,F131,W$5:W131,"N")=1,1,0)),0)</f>
        <v>0</v>
      </c>
      <c r="AR131" s="30" t="n">
        <f aca="false">IF(W131="Y",IF(F131="",1,IF(COUNTIFS(F$5:F131,F131,W$5:W131,"Y")=1,1,0)),0)</f>
        <v>0</v>
      </c>
    </row>
    <row r="132" customFormat="false" ht="15" hidden="false" customHeight="false" outlineLevel="0" collapsed="false">
      <c r="A132" s="103"/>
      <c r="B132" s="103"/>
      <c r="C132" s="102"/>
      <c r="D132" s="103"/>
      <c r="E132" s="103"/>
      <c r="F132" s="103"/>
      <c r="G132" s="103"/>
      <c r="H132" s="103"/>
      <c r="I132" s="103"/>
      <c r="J132" s="103"/>
      <c r="K132" s="103"/>
      <c r="L132" s="103"/>
      <c r="M132" s="103"/>
      <c r="N132" s="103"/>
      <c r="O132" s="103"/>
      <c r="P132" s="103"/>
      <c r="Q132" s="103"/>
      <c r="R132" s="105"/>
      <c r="S132" s="102"/>
      <c r="T132" s="105"/>
      <c r="U132" s="102"/>
      <c r="V132" s="103"/>
      <c r="W132" s="103"/>
      <c r="X132" s="105"/>
      <c r="Y132" s="102"/>
      <c r="Z132" s="103"/>
      <c r="AL132" s="30" t="str">
        <f aca="false">IF(B132="","",IFERROR(INDEX(Schedule!$N$7:$N$18,MATCH(B132,Schedule!$A$7:$A$18,0)),"not in schedule"))</f>
        <v/>
      </c>
      <c r="AM132" s="19" t="str">
        <f aca="false">IF(B132="","",N(R132)-N(X132))</f>
        <v/>
      </c>
      <c r="AN132" s="95" t="str">
        <f aca="false">IF(B132="","",IF(Z132&lt;&gt;"",Z132,IF(N(G132)&gt;0,N(N132)/G132,"")))</f>
        <v/>
      </c>
      <c r="AO132" s="18" t="str">
        <f aca="false">IF(OR(B132="",C132=""),"",WORKDAY(C132,Inputs!$C$132,Lists!$N$4:$N$30))</f>
        <v/>
      </c>
      <c r="AP132" s="30" t="str">
        <f aca="false">IF(B132="","",IF(U132="","missing",IF(U132&gt;AO132,"Y","N")))</f>
        <v/>
      </c>
      <c r="AQ132" s="30" t="n">
        <f aca="false">IF(OR(W132="Y",W132="N"),IF(F132="",1,IF(COUNTIFS(F$5:F132,F132,W$5:W132,"Y")+COUNTIFS(F$5:F132,F132,W$5:W132,"N")=1,1,0)),0)</f>
        <v>0</v>
      </c>
      <c r="AR132" s="30" t="n">
        <f aca="false">IF(W132="Y",IF(F132="",1,IF(COUNTIFS(F$5:F132,F132,W$5:W132,"Y")=1,1,0)),0)</f>
        <v>0</v>
      </c>
    </row>
    <row r="133" customFormat="false" ht="15" hidden="false" customHeight="false" outlineLevel="0" collapsed="false">
      <c r="A133" s="103"/>
      <c r="B133" s="103"/>
      <c r="C133" s="102"/>
      <c r="D133" s="103"/>
      <c r="E133" s="103"/>
      <c r="F133" s="103"/>
      <c r="G133" s="103"/>
      <c r="H133" s="103"/>
      <c r="I133" s="103"/>
      <c r="J133" s="103"/>
      <c r="K133" s="103"/>
      <c r="L133" s="103"/>
      <c r="M133" s="103"/>
      <c r="N133" s="103"/>
      <c r="O133" s="103"/>
      <c r="P133" s="103"/>
      <c r="Q133" s="103"/>
      <c r="R133" s="105"/>
      <c r="S133" s="102"/>
      <c r="T133" s="105"/>
      <c r="U133" s="102"/>
      <c r="V133" s="103"/>
      <c r="W133" s="103"/>
      <c r="X133" s="105"/>
      <c r="Y133" s="102"/>
      <c r="Z133" s="103"/>
      <c r="AL133" s="30" t="str">
        <f aca="false">IF(B133="","",IFERROR(INDEX(Schedule!$N$7:$N$18,MATCH(B133,Schedule!$A$7:$A$18,0)),"not in schedule"))</f>
        <v/>
      </c>
      <c r="AM133" s="19" t="str">
        <f aca="false">IF(B133="","",N(R133)-N(X133))</f>
        <v/>
      </c>
      <c r="AN133" s="95" t="str">
        <f aca="false">IF(B133="","",IF(Z133&lt;&gt;"",Z133,IF(N(G133)&gt;0,N(N133)/G133,"")))</f>
        <v/>
      </c>
      <c r="AO133" s="18" t="str">
        <f aca="false">IF(OR(B133="",C133=""),"",WORKDAY(C133,Inputs!$C$132,Lists!$N$4:$N$30))</f>
        <v/>
      </c>
      <c r="AP133" s="30" t="str">
        <f aca="false">IF(B133="","",IF(U133="","missing",IF(U133&gt;AO133,"Y","N")))</f>
        <v/>
      </c>
      <c r="AQ133" s="30" t="n">
        <f aca="false">IF(OR(W133="Y",W133="N"),IF(F133="",1,IF(COUNTIFS(F$5:F133,F133,W$5:W133,"Y")+COUNTIFS(F$5:F133,F133,W$5:W133,"N")=1,1,0)),0)</f>
        <v>0</v>
      </c>
      <c r="AR133" s="30" t="n">
        <f aca="false">IF(W133="Y",IF(F133="",1,IF(COUNTIFS(F$5:F133,F133,W$5:W133,"Y")=1,1,0)),0)</f>
        <v>0</v>
      </c>
    </row>
    <row r="134" customFormat="false" ht="15" hidden="false" customHeight="false" outlineLevel="0" collapsed="false">
      <c r="A134" s="103"/>
      <c r="B134" s="103"/>
      <c r="C134" s="102"/>
      <c r="D134" s="103"/>
      <c r="E134" s="103"/>
      <c r="F134" s="103"/>
      <c r="G134" s="103"/>
      <c r="H134" s="103"/>
      <c r="I134" s="103"/>
      <c r="J134" s="103"/>
      <c r="K134" s="103"/>
      <c r="L134" s="103"/>
      <c r="M134" s="103"/>
      <c r="N134" s="103"/>
      <c r="O134" s="103"/>
      <c r="P134" s="103"/>
      <c r="Q134" s="103"/>
      <c r="R134" s="105"/>
      <c r="S134" s="102"/>
      <c r="T134" s="105"/>
      <c r="U134" s="102"/>
      <c r="V134" s="103"/>
      <c r="W134" s="103"/>
      <c r="X134" s="105"/>
      <c r="Y134" s="102"/>
      <c r="Z134" s="103"/>
      <c r="AL134" s="30" t="str">
        <f aca="false">IF(B134="","",IFERROR(INDEX(Schedule!$N$7:$N$18,MATCH(B134,Schedule!$A$7:$A$18,0)),"not in schedule"))</f>
        <v/>
      </c>
      <c r="AM134" s="19" t="str">
        <f aca="false">IF(B134="","",N(R134)-N(X134))</f>
        <v/>
      </c>
      <c r="AN134" s="95" t="str">
        <f aca="false">IF(B134="","",IF(Z134&lt;&gt;"",Z134,IF(N(G134)&gt;0,N(N134)/G134,"")))</f>
        <v/>
      </c>
      <c r="AO134" s="18" t="str">
        <f aca="false">IF(OR(B134="",C134=""),"",WORKDAY(C134,Inputs!$C$132,Lists!$N$4:$N$30))</f>
        <v/>
      </c>
      <c r="AP134" s="30" t="str">
        <f aca="false">IF(B134="","",IF(U134="","missing",IF(U134&gt;AO134,"Y","N")))</f>
        <v/>
      </c>
      <c r="AQ134" s="30" t="n">
        <f aca="false">IF(OR(W134="Y",W134="N"),IF(F134="",1,IF(COUNTIFS(F$5:F134,F134,W$5:W134,"Y")+COUNTIFS(F$5:F134,F134,W$5:W134,"N")=1,1,0)),0)</f>
        <v>0</v>
      </c>
      <c r="AR134" s="30" t="n">
        <f aca="false">IF(W134="Y",IF(F134="",1,IF(COUNTIFS(F$5:F134,F134,W$5:W134,"Y")=1,1,0)),0)</f>
        <v>0</v>
      </c>
    </row>
    <row r="135" customFormat="false" ht="15" hidden="false" customHeight="false" outlineLevel="0" collapsed="false">
      <c r="A135" s="103"/>
      <c r="B135" s="103"/>
      <c r="C135" s="102"/>
      <c r="D135" s="103"/>
      <c r="E135" s="103"/>
      <c r="F135" s="103"/>
      <c r="G135" s="103"/>
      <c r="H135" s="103"/>
      <c r="I135" s="103"/>
      <c r="J135" s="103"/>
      <c r="K135" s="103"/>
      <c r="L135" s="103"/>
      <c r="M135" s="103"/>
      <c r="N135" s="103"/>
      <c r="O135" s="103"/>
      <c r="P135" s="103"/>
      <c r="Q135" s="103"/>
      <c r="R135" s="105"/>
      <c r="S135" s="102"/>
      <c r="T135" s="105"/>
      <c r="U135" s="102"/>
      <c r="V135" s="103"/>
      <c r="W135" s="103"/>
      <c r="X135" s="105"/>
      <c r="Y135" s="102"/>
      <c r="Z135" s="103"/>
      <c r="AL135" s="30" t="str">
        <f aca="false">IF(B135="","",IFERROR(INDEX(Schedule!$N$7:$N$18,MATCH(B135,Schedule!$A$7:$A$18,0)),"not in schedule"))</f>
        <v/>
      </c>
      <c r="AM135" s="19" t="str">
        <f aca="false">IF(B135="","",N(R135)-N(X135))</f>
        <v/>
      </c>
      <c r="AN135" s="95" t="str">
        <f aca="false">IF(B135="","",IF(Z135&lt;&gt;"",Z135,IF(N(G135)&gt;0,N(N135)/G135,"")))</f>
        <v/>
      </c>
      <c r="AO135" s="18" t="str">
        <f aca="false">IF(OR(B135="",C135=""),"",WORKDAY(C135,Inputs!$C$132,Lists!$N$4:$N$30))</f>
        <v/>
      </c>
      <c r="AP135" s="30" t="str">
        <f aca="false">IF(B135="","",IF(U135="","missing",IF(U135&gt;AO135,"Y","N")))</f>
        <v/>
      </c>
      <c r="AQ135" s="30" t="n">
        <f aca="false">IF(OR(W135="Y",W135="N"),IF(F135="",1,IF(COUNTIFS(F$5:F135,F135,W$5:W135,"Y")+COUNTIFS(F$5:F135,F135,W$5:W135,"N")=1,1,0)),0)</f>
        <v>0</v>
      </c>
      <c r="AR135" s="30" t="n">
        <f aca="false">IF(W135="Y",IF(F135="",1,IF(COUNTIFS(F$5:F135,F135,W$5:W135,"Y")=1,1,0)),0)</f>
        <v>0</v>
      </c>
    </row>
    <row r="136" customFormat="false" ht="15" hidden="false" customHeight="false" outlineLevel="0" collapsed="false">
      <c r="A136" s="103"/>
      <c r="B136" s="103"/>
      <c r="C136" s="102"/>
      <c r="D136" s="103"/>
      <c r="E136" s="103"/>
      <c r="F136" s="103"/>
      <c r="G136" s="103"/>
      <c r="H136" s="103"/>
      <c r="I136" s="103"/>
      <c r="J136" s="103"/>
      <c r="K136" s="103"/>
      <c r="L136" s="103"/>
      <c r="M136" s="103"/>
      <c r="N136" s="103"/>
      <c r="O136" s="103"/>
      <c r="P136" s="103"/>
      <c r="Q136" s="103"/>
      <c r="R136" s="105"/>
      <c r="S136" s="102"/>
      <c r="T136" s="105"/>
      <c r="U136" s="102"/>
      <c r="V136" s="103"/>
      <c r="W136" s="103"/>
      <c r="X136" s="105"/>
      <c r="Y136" s="102"/>
      <c r="Z136" s="103"/>
      <c r="AL136" s="30" t="str">
        <f aca="false">IF(B136="","",IFERROR(INDEX(Schedule!$N$7:$N$18,MATCH(B136,Schedule!$A$7:$A$18,0)),"not in schedule"))</f>
        <v/>
      </c>
      <c r="AM136" s="19" t="str">
        <f aca="false">IF(B136="","",N(R136)-N(X136))</f>
        <v/>
      </c>
      <c r="AN136" s="95" t="str">
        <f aca="false">IF(B136="","",IF(Z136&lt;&gt;"",Z136,IF(N(G136)&gt;0,N(N136)/G136,"")))</f>
        <v/>
      </c>
      <c r="AO136" s="18" t="str">
        <f aca="false">IF(OR(B136="",C136=""),"",WORKDAY(C136,Inputs!$C$132,Lists!$N$4:$N$30))</f>
        <v/>
      </c>
      <c r="AP136" s="30" t="str">
        <f aca="false">IF(B136="","",IF(U136="","missing",IF(U136&gt;AO136,"Y","N")))</f>
        <v/>
      </c>
      <c r="AQ136" s="30" t="n">
        <f aca="false">IF(OR(W136="Y",W136="N"),IF(F136="",1,IF(COUNTIFS(F$5:F136,F136,W$5:W136,"Y")+COUNTIFS(F$5:F136,F136,W$5:W136,"N")=1,1,0)),0)</f>
        <v>0</v>
      </c>
      <c r="AR136" s="30" t="n">
        <f aca="false">IF(W136="Y",IF(F136="",1,IF(COUNTIFS(F$5:F136,F136,W$5:W136,"Y")=1,1,0)),0)</f>
        <v>0</v>
      </c>
    </row>
    <row r="137" customFormat="false" ht="15" hidden="false" customHeight="false" outlineLevel="0" collapsed="false">
      <c r="A137" s="103"/>
      <c r="B137" s="103"/>
      <c r="C137" s="102"/>
      <c r="D137" s="103"/>
      <c r="E137" s="103"/>
      <c r="F137" s="103"/>
      <c r="G137" s="103"/>
      <c r="H137" s="103"/>
      <c r="I137" s="103"/>
      <c r="J137" s="103"/>
      <c r="K137" s="103"/>
      <c r="L137" s="103"/>
      <c r="M137" s="103"/>
      <c r="N137" s="103"/>
      <c r="O137" s="103"/>
      <c r="P137" s="103"/>
      <c r="Q137" s="103"/>
      <c r="R137" s="105"/>
      <c r="S137" s="102"/>
      <c r="T137" s="105"/>
      <c r="U137" s="102"/>
      <c r="V137" s="103"/>
      <c r="W137" s="103"/>
      <c r="X137" s="105"/>
      <c r="Y137" s="102"/>
      <c r="Z137" s="103"/>
      <c r="AL137" s="30" t="str">
        <f aca="false">IF(B137="","",IFERROR(INDEX(Schedule!$N$7:$N$18,MATCH(B137,Schedule!$A$7:$A$18,0)),"not in schedule"))</f>
        <v/>
      </c>
      <c r="AM137" s="19" t="str">
        <f aca="false">IF(B137="","",N(R137)-N(X137))</f>
        <v/>
      </c>
      <c r="AN137" s="95" t="str">
        <f aca="false">IF(B137="","",IF(Z137&lt;&gt;"",Z137,IF(N(G137)&gt;0,N(N137)/G137,"")))</f>
        <v/>
      </c>
      <c r="AO137" s="18" t="str">
        <f aca="false">IF(OR(B137="",C137=""),"",WORKDAY(C137,Inputs!$C$132,Lists!$N$4:$N$30))</f>
        <v/>
      </c>
      <c r="AP137" s="30" t="str">
        <f aca="false">IF(B137="","",IF(U137="","missing",IF(U137&gt;AO137,"Y","N")))</f>
        <v/>
      </c>
      <c r="AQ137" s="30" t="n">
        <f aca="false">IF(OR(W137="Y",W137="N"),IF(F137="",1,IF(COUNTIFS(F$5:F137,F137,W$5:W137,"Y")+COUNTIFS(F$5:F137,F137,W$5:W137,"N")=1,1,0)),0)</f>
        <v>0</v>
      </c>
      <c r="AR137" s="30" t="n">
        <f aca="false">IF(W137="Y",IF(F137="",1,IF(COUNTIFS(F$5:F137,F137,W$5:W137,"Y")=1,1,0)),0)</f>
        <v>0</v>
      </c>
    </row>
    <row r="138" customFormat="false" ht="15" hidden="false" customHeight="false" outlineLevel="0" collapsed="false">
      <c r="A138" s="103"/>
      <c r="B138" s="103"/>
      <c r="C138" s="102"/>
      <c r="D138" s="103"/>
      <c r="E138" s="103"/>
      <c r="F138" s="103"/>
      <c r="G138" s="103"/>
      <c r="H138" s="103"/>
      <c r="I138" s="103"/>
      <c r="J138" s="103"/>
      <c r="K138" s="103"/>
      <c r="L138" s="103"/>
      <c r="M138" s="103"/>
      <c r="N138" s="103"/>
      <c r="O138" s="103"/>
      <c r="P138" s="103"/>
      <c r="Q138" s="103"/>
      <c r="R138" s="105"/>
      <c r="S138" s="102"/>
      <c r="T138" s="105"/>
      <c r="U138" s="102"/>
      <c r="V138" s="103"/>
      <c r="W138" s="103"/>
      <c r="X138" s="105"/>
      <c r="Y138" s="102"/>
      <c r="Z138" s="103"/>
      <c r="AL138" s="30" t="str">
        <f aca="false">IF(B138="","",IFERROR(INDEX(Schedule!$N$7:$N$18,MATCH(B138,Schedule!$A$7:$A$18,0)),"not in schedule"))</f>
        <v/>
      </c>
      <c r="AM138" s="19" t="str">
        <f aca="false">IF(B138="","",N(R138)-N(X138))</f>
        <v/>
      </c>
      <c r="AN138" s="95" t="str">
        <f aca="false">IF(B138="","",IF(Z138&lt;&gt;"",Z138,IF(N(G138)&gt;0,N(N138)/G138,"")))</f>
        <v/>
      </c>
      <c r="AO138" s="18" t="str">
        <f aca="false">IF(OR(B138="",C138=""),"",WORKDAY(C138,Inputs!$C$132,Lists!$N$4:$N$30))</f>
        <v/>
      </c>
      <c r="AP138" s="30" t="str">
        <f aca="false">IF(B138="","",IF(U138="","missing",IF(U138&gt;AO138,"Y","N")))</f>
        <v/>
      </c>
      <c r="AQ138" s="30" t="n">
        <f aca="false">IF(OR(W138="Y",W138="N"),IF(F138="",1,IF(COUNTIFS(F$5:F138,F138,W$5:W138,"Y")+COUNTIFS(F$5:F138,F138,W$5:W138,"N")=1,1,0)),0)</f>
        <v>0</v>
      </c>
      <c r="AR138" s="30" t="n">
        <f aca="false">IF(W138="Y",IF(F138="",1,IF(COUNTIFS(F$5:F138,F138,W$5:W138,"Y")=1,1,0)),0)</f>
        <v>0</v>
      </c>
    </row>
    <row r="139" customFormat="false" ht="15" hidden="false" customHeight="false" outlineLevel="0" collapsed="false">
      <c r="A139" s="103"/>
      <c r="B139" s="103"/>
      <c r="C139" s="102"/>
      <c r="D139" s="103"/>
      <c r="E139" s="103"/>
      <c r="F139" s="103"/>
      <c r="G139" s="103"/>
      <c r="H139" s="103"/>
      <c r="I139" s="103"/>
      <c r="J139" s="103"/>
      <c r="K139" s="103"/>
      <c r="L139" s="103"/>
      <c r="M139" s="103"/>
      <c r="N139" s="103"/>
      <c r="O139" s="103"/>
      <c r="P139" s="103"/>
      <c r="Q139" s="103"/>
      <c r="R139" s="105"/>
      <c r="S139" s="102"/>
      <c r="T139" s="105"/>
      <c r="U139" s="102"/>
      <c r="V139" s="103"/>
      <c r="W139" s="103"/>
      <c r="X139" s="105"/>
      <c r="Y139" s="102"/>
      <c r="Z139" s="103"/>
      <c r="AL139" s="30" t="str">
        <f aca="false">IF(B139="","",IFERROR(INDEX(Schedule!$N$7:$N$18,MATCH(B139,Schedule!$A$7:$A$18,0)),"not in schedule"))</f>
        <v/>
      </c>
      <c r="AM139" s="19" t="str">
        <f aca="false">IF(B139="","",N(R139)-N(X139))</f>
        <v/>
      </c>
      <c r="AN139" s="95" t="str">
        <f aca="false">IF(B139="","",IF(Z139&lt;&gt;"",Z139,IF(N(G139)&gt;0,N(N139)/G139,"")))</f>
        <v/>
      </c>
      <c r="AO139" s="18" t="str">
        <f aca="false">IF(OR(B139="",C139=""),"",WORKDAY(C139,Inputs!$C$132,Lists!$N$4:$N$30))</f>
        <v/>
      </c>
      <c r="AP139" s="30" t="str">
        <f aca="false">IF(B139="","",IF(U139="","missing",IF(U139&gt;AO139,"Y","N")))</f>
        <v/>
      </c>
      <c r="AQ139" s="30" t="n">
        <f aca="false">IF(OR(W139="Y",W139="N"),IF(F139="",1,IF(COUNTIFS(F$5:F139,F139,W$5:W139,"Y")+COUNTIFS(F$5:F139,F139,W$5:W139,"N")=1,1,0)),0)</f>
        <v>0</v>
      </c>
      <c r="AR139" s="30" t="n">
        <f aca="false">IF(W139="Y",IF(F139="",1,IF(COUNTIFS(F$5:F139,F139,W$5:W139,"Y")=1,1,0)),0)</f>
        <v>0</v>
      </c>
    </row>
    <row r="140" customFormat="false" ht="15" hidden="false" customHeight="false" outlineLevel="0" collapsed="false">
      <c r="A140" s="103"/>
      <c r="B140" s="103"/>
      <c r="C140" s="102"/>
      <c r="D140" s="103"/>
      <c r="E140" s="103"/>
      <c r="F140" s="103"/>
      <c r="G140" s="103"/>
      <c r="H140" s="103"/>
      <c r="I140" s="103"/>
      <c r="J140" s="103"/>
      <c r="K140" s="103"/>
      <c r="L140" s="103"/>
      <c r="M140" s="103"/>
      <c r="N140" s="103"/>
      <c r="O140" s="103"/>
      <c r="P140" s="103"/>
      <c r="Q140" s="103"/>
      <c r="R140" s="105"/>
      <c r="S140" s="102"/>
      <c r="T140" s="105"/>
      <c r="U140" s="102"/>
      <c r="V140" s="103"/>
      <c r="W140" s="103"/>
      <c r="X140" s="105"/>
      <c r="Y140" s="102"/>
      <c r="Z140" s="103"/>
      <c r="AL140" s="30" t="str">
        <f aca="false">IF(B140="","",IFERROR(INDEX(Schedule!$N$7:$N$18,MATCH(B140,Schedule!$A$7:$A$18,0)),"not in schedule"))</f>
        <v/>
      </c>
      <c r="AM140" s="19" t="str">
        <f aca="false">IF(B140="","",N(R140)-N(X140))</f>
        <v/>
      </c>
      <c r="AN140" s="95" t="str">
        <f aca="false">IF(B140="","",IF(Z140&lt;&gt;"",Z140,IF(N(G140)&gt;0,N(N140)/G140,"")))</f>
        <v/>
      </c>
      <c r="AO140" s="18" t="str">
        <f aca="false">IF(OR(B140="",C140=""),"",WORKDAY(C140,Inputs!$C$132,Lists!$N$4:$N$30))</f>
        <v/>
      </c>
      <c r="AP140" s="30" t="str">
        <f aca="false">IF(B140="","",IF(U140="","missing",IF(U140&gt;AO140,"Y","N")))</f>
        <v/>
      </c>
      <c r="AQ140" s="30" t="n">
        <f aca="false">IF(OR(W140="Y",W140="N"),IF(F140="",1,IF(COUNTIFS(F$5:F140,F140,W$5:W140,"Y")+COUNTIFS(F$5:F140,F140,W$5:W140,"N")=1,1,0)),0)</f>
        <v>0</v>
      </c>
      <c r="AR140" s="30" t="n">
        <f aca="false">IF(W140="Y",IF(F140="",1,IF(COUNTIFS(F$5:F140,F140,W$5:W140,"Y")=1,1,0)),0)</f>
        <v>0</v>
      </c>
    </row>
    <row r="141" customFormat="false" ht="15" hidden="false" customHeight="false" outlineLevel="0" collapsed="false">
      <c r="A141" s="103"/>
      <c r="B141" s="103"/>
      <c r="C141" s="102"/>
      <c r="D141" s="103"/>
      <c r="E141" s="103"/>
      <c r="F141" s="103"/>
      <c r="G141" s="103"/>
      <c r="H141" s="103"/>
      <c r="I141" s="103"/>
      <c r="J141" s="103"/>
      <c r="K141" s="103"/>
      <c r="L141" s="103"/>
      <c r="M141" s="103"/>
      <c r="N141" s="103"/>
      <c r="O141" s="103"/>
      <c r="P141" s="103"/>
      <c r="Q141" s="103"/>
      <c r="R141" s="105"/>
      <c r="S141" s="102"/>
      <c r="T141" s="105"/>
      <c r="U141" s="102"/>
      <c r="V141" s="103"/>
      <c r="W141" s="103"/>
      <c r="X141" s="105"/>
      <c r="Y141" s="102"/>
      <c r="Z141" s="103"/>
      <c r="AL141" s="30" t="str">
        <f aca="false">IF(B141="","",IFERROR(INDEX(Schedule!$N$7:$N$18,MATCH(B141,Schedule!$A$7:$A$18,0)),"not in schedule"))</f>
        <v/>
      </c>
      <c r="AM141" s="19" t="str">
        <f aca="false">IF(B141="","",N(R141)-N(X141))</f>
        <v/>
      </c>
      <c r="AN141" s="95" t="str">
        <f aca="false">IF(B141="","",IF(Z141&lt;&gt;"",Z141,IF(N(G141)&gt;0,N(N141)/G141,"")))</f>
        <v/>
      </c>
      <c r="AO141" s="18" t="str">
        <f aca="false">IF(OR(B141="",C141=""),"",WORKDAY(C141,Inputs!$C$132,Lists!$N$4:$N$30))</f>
        <v/>
      </c>
      <c r="AP141" s="30" t="str">
        <f aca="false">IF(B141="","",IF(U141="","missing",IF(U141&gt;AO141,"Y","N")))</f>
        <v/>
      </c>
      <c r="AQ141" s="30" t="n">
        <f aca="false">IF(OR(W141="Y",W141="N"),IF(F141="",1,IF(COUNTIFS(F$5:F141,F141,W$5:W141,"Y")+COUNTIFS(F$5:F141,F141,W$5:W141,"N")=1,1,0)),0)</f>
        <v>0</v>
      </c>
      <c r="AR141" s="30" t="n">
        <f aca="false">IF(W141="Y",IF(F141="",1,IF(COUNTIFS(F$5:F141,F141,W$5:W141,"Y")=1,1,0)),0)</f>
        <v>0</v>
      </c>
    </row>
    <row r="142" customFormat="false" ht="15" hidden="false" customHeight="false" outlineLevel="0" collapsed="false">
      <c r="A142" s="103"/>
      <c r="B142" s="103"/>
      <c r="C142" s="102"/>
      <c r="D142" s="103"/>
      <c r="E142" s="103"/>
      <c r="F142" s="103"/>
      <c r="G142" s="103"/>
      <c r="H142" s="103"/>
      <c r="I142" s="103"/>
      <c r="J142" s="103"/>
      <c r="K142" s="103"/>
      <c r="L142" s="103"/>
      <c r="M142" s="103"/>
      <c r="N142" s="103"/>
      <c r="O142" s="103"/>
      <c r="P142" s="103"/>
      <c r="Q142" s="103"/>
      <c r="R142" s="105"/>
      <c r="S142" s="102"/>
      <c r="T142" s="105"/>
      <c r="U142" s="102"/>
      <c r="V142" s="103"/>
      <c r="W142" s="103"/>
      <c r="X142" s="105"/>
      <c r="Y142" s="102"/>
      <c r="Z142" s="103"/>
      <c r="AL142" s="30" t="str">
        <f aca="false">IF(B142="","",IFERROR(INDEX(Schedule!$N$7:$N$18,MATCH(B142,Schedule!$A$7:$A$18,0)),"not in schedule"))</f>
        <v/>
      </c>
      <c r="AM142" s="19" t="str">
        <f aca="false">IF(B142="","",N(R142)-N(X142))</f>
        <v/>
      </c>
      <c r="AN142" s="95" t="str">
        <f aca="false">IF(B142="","",IF(Z142&lt;&gt;"",Z142,IF(N(G142)&gt;0,N(N142)/G142,"")))</f>
        <v/>
      </c>
      <c r="AO142" s="18" t="str">
        <f aca="false">IF(OR(B142="",C142=""),"",WORKDAY(C142,Inputs!$C$132,Lists!$N$4:$N$30))</f>
        <v/>
      </c>
      <c r="AP142" s="30" t="str">
        <f aca="false">IF(B142="","",IF(U142="","missing",IF(U142&gt;AO142,"Y","N")))</f>
        <v/>
      </c>
      <c r="AQ142" s="30" t="n">
        <f aca="false">IF(OR(W142="Y",W142="N"),IF(F142="",1,IF(COUNTIFS(F$5:F142,F142,W$5:W142,"Y")+COUNTIFS(F$5:F142,F142,W$5:W142,"N")=1,1,0)),0)</f>
        <v>0</v>
      </c>
      <c r="AR142" s="30" t="n">
        <f aca="false">IF(W142="Y",IF(F142="",1,IF(COUNTIFS(F$5:F142,F142,W$5:W142,"Y")=1,1,0)),0)</f>
        <v>0</v>
      </c>
    </row>
    <row r="143" customFormat="false" ht="15" hidden="false" customHeight="false" outlineLevel="0" collapsed="false">
      <c r="A143" s="103"/>
      <c r="B143" s="103"/>
      <c r="C143" s="102"/>
      <c r="D143" s="103"/>
      <c r="E143" s="103"/>
      <c r="F143" s="103"/>
      <c r="G143" s="103"/>
      <c r="H143" s="103"/>
      <c r="I143" s="103"/>
      <c r="J143" s="103"/>
      <c r="K143" s="103"/>
      <c r="L143" s="103"/>
      <c r="M143" s="103"/>
      <c r="N143" s="103"/>
      <c r="O143" s="103"/>
      <c r="P143" s="103"/>
      <c r="Q143" s="103"/>
      <c r="R143" s="105"/>
      <c r="S143" s="102"/>
      <c r="T143" s="105"/>
      <c r="U143" s="102"/>
      <c r="V143" s="103"/>
      <c r="W143" s="103"/>
      <c r="X143" s="105"/>
      <c r="Y143" s="102"/>
      <c r="Z143" s="103"/>
      <c r="AL143" s="30" t="str">
        <f aca="false">IF(B143="","",IFERROR(INDEX(Schedule!$N$7:$N$18,MATCH(B143,Schedule!$A$7:$A$18,0)),"not in schedule"))</f>
        <v/>
      </c>
      <c r="AM143" s="19" t="str">
        <f aca="false">IF(B143="","",N(R143)-N(X143))</f>
        <v/>
      </c>
      <c r="AN143" s="95" t="str">
        <f aca="false">IF(B143="","",IF(Z143&lt;&gt;"",Z143,IF(N(G143)&gt;0,N(N143)/G143,"")))</f>
        <v/>
      </c>
      <c r="AO143" s="18" t="str">
        <f aca="false">IF(OR(B143="",C143=""),"",WORKDAY(C143,Inputs!$C$132,Lists!$N$4:$N$30))</f>
        <v/>
      </c>
      <c r="AP143" s="30" t="str">
        <f aca="false">IF(B143="","",IF(U143="","missing",IF(U143&gt;AO143,"Y","N")))</f>
        <v/>
      </c>
      <c r="AQ143" s="30" t="n">
        <f aca="false">IF(OR(W143="Y",W143="N"),IF(F143="",1,IF(COUNTIFS(F$5:F143,F143,W$5:W143,"Y")+COUNTIFS(F$5:F143,F143,W$5:W143,"N")=1,1,0)),0)</f>
        <v>0</v>
      </c>
      <c r="AR143" s="30" t="n">
        <f aca="false">IF(W143="Y",IF(F143="",1,IF(COUNTIFS(F$5:F143,F143,W$5:W143,"Y")=1,1,0)),0)</f>
        <v>0</v>
      </c>
    </row>
    <row r="144" customFormat="false" ht="15" hidden="false" customHeight="false" outlineLevel="0" collapsed="false">
      <c r="A144" s="103"/>
      <c r="B144" s="103"/>
      <c r="C144" s="102"/>
      <c r="D144" s="103"/>
      <c r="E144" s="103"/>
      <c r="F144" s="103"/>
      <c r="G144" s="103"/>
      <c r="H144" s="103"/>
      <c r="I144" s="103"/>
      <c r="J144" s="103"/>
      <c r="K144" s="103"/>
      <c r="L144" s="103"/>
      <c r="M144" s="103"/>
      <c r="N144" s="103"/>
      <c r="O144" s="103"/>
      <c r="P144" s="103"/>
      <c r="Q144" s="103"/>
      <c r="R144" s="105"/>
      <c r="S144" s="102"/>
      <c r="T144" s="105"/>
      <c r="U144" s="102"/>
      <c r="V144" s="103"/>
      <c r="W144" s="103"/>
      <c r="X144" s="105"/>
      <c r="Y144" s="102"/>
      <c r="Z144" s="103"/>
      <c r="AL144" s="30" t="str">
        <f aca="false">IF(B144="","",IFERROR(INDEX(Schedule!$N$7:$N$18,MATCH(B144,Schedule!$A$7:$A$18,0)),"not in schedule"))</f>
        <v/>
      </c>
      <c r="AM144" s="19" t="str">
        <f aca="false">IF(B144="","",N(R144)-N(X144))</f>
        <v/>
      </c>
      <c r="AN144" s="95" t="str">
        <f aca="false">IF(B144="","",IF(Z144&lt;&gt;"",Z144,IF(N(G144)&gt;0,N(N144)/G144,"")))</f>
        <v/>
      </c>
      <c r="AO144" s="18" t="str">
        <f aca="false">IF(OR(B144="",C144=""),"",WORKDAY(C144,Inputs!$C$132,Lists!$N$4:$N$30))</f>
        <v/>
      </c>
      <c r="AP144" s="30" t="str">
        <f aca="false">IF(B144="","",IF(U144="","missing",IF(U144&gt;AO144,"Y","N")))</f>
        <v/>
      </c>
      <c r="AQ144" s="30" t="n">
        <f aca="false">IF(OR(W144="Y",W144="N"),IF(F144="",1,IF(COUNTIFS(F$5:F144,F144,W$5:W144,"Y")+COUNTIFS(F$5:F144,F144,W$5:W144,"N")=1,1,0)),0)</f>
        <v>0</v>
      </c>
      <c r="AR144" s="30" t="n">
        <f aca="false">IF(W144="Y",IF(F144="",1,IF(COUNTIFS(F$5:F144,F144,W$5:W144,"Y")=1,1,0)),0)</f>
        <v>0</v>
      </c>
    </row>
    <row r="145" customFormat="false" ht="15" hidden="false" customHeight="false" outlineLevel="0" collapsed="false">
      <c r="A145" s="103"/>
      <c r="B145" s="103"/>
      <c r="C145" s="102"/>
      <c r="D145" s="103"/>
      <c r="E145" s="103"/>
      <c r="F145" s="103"/>
      <c r="G145" s="103"/>
      <c r="H145" s="103"/>
      <c r="I145" s="103"/>
      <c r="J145" s="103"/>
      <c r="K145" s="103"/>
      <c r="L145" s="103"/>
      <c r="M145" s="103"/>
      <c r="N145" s="103"/>
      <c r="O145" s="103"/>
      <c r="P145" s="103"/>
      <c r="Q145" s="103"/>
      <c r="R145" s="105"/>
      <c r="S145" s="102"/>
      <c r="T145" s="105"/>
      <c r="U145" s="102"/>
      <c r="V145" s="103"/>
      <c r="W145" s="103"/>
      <c r="X145" s="105"/>
      <c r="Y145" s="102"/>
      <c r="Z145" s="103"/>
      <c r="AL145" s="30" t="str">
        <f aca="false">IF(B145="","",IFERROR(INDEX(Schedule!$N$7:$N$18,MATCH(B145,Schedule!$A$7:$A$18,0)),"not in schedule"))</f>
        <v/>
      </c>
      <c r="AM145" s="19" t="str">
        <f aca="false">IF(B145="","",N(R145)-N(X145))</f>
        <v/>
      </c>
      <c r="AN145" s="95" t="str">
        <f aca="false">IF(B145="","",IF(Z145&lt;&gt;"",Z145,IF(N(G145)&gt;0,N(N145)/G145,"")))</f>
        <v/>
      </c>
      <c r="AO145" s="18" t="str">
        <f aca="false">IF(OR(B145="",C145=""),"",WORKDAY(C145,Inputs!$C$132,Lists!$N$4:$N$30))</f>
        <v/>
      </c>
      <c r="AP145" s="30" t="str">
        <f aca="false">IF(B145="","",IF(U145="","missing",IF(U145&gt;AO145,"Y","N")))</f>
        <v/>
      </c>
      <c r="AQ145" s="30" t="n">
        <f aca="false">IF(OR(W145="Y",W145="N"),IF(F145="",1,IF(COUNTIFS(F$5:F145,F145,W$5:W145,"Y")+COUNTIFS(F$5:F145,F145,W$5:W145,"N")=1,1,0)),0)</f>
        <v>0</v>
      </c>
      <c r="AR145" s="30" t="n">
        <f aca="false">IF(W145="Y",IF(F145="",1,IF(COUNTIFS(F$5:F145,F145,W$5:W145,"Y")=1,1,0)),0)</f>
        <v>0</v>
      </c>
    </row>
    <row r="146" customFormat="false" ht="15" hidden="false" customHeight="false" outlineLevel="0" collapsed="false">
      <c r="A146" s="103"/>
      <c r="B146" s="103"/>
      <c r="C146" s="102"/>
      <c r="D146" s="103"/>
      <c r="E146" s="103"/>
      <c r="F146" s="103"/>
      <c r="G146" s="103"/>
      <c r="H146" s="103"/>
      <c r="I146" s="103"/>
      <c r="J146" s="103"/>
      <c r="K146" s="103"/>
      <c r="L146" s="103"/>
      <c r="M146" s="103"/>
      <c r="N146" s="103"/>
      <c r="O146" s="103"/>
      <c r="P146" s="103"/>
      <c r="Q146" s="103"/>
      <c r="R146" s="105"/>
      <c r="S146" s="102"/>
      <c r="T146" s="105"/>
      <c r="U146" s="102"/>
      <c r="V146" s="103"/>
      <c r="W146" s="103"/>
      <c r="X146" s="105"/>
      <c r="Y146" s="102"/>
      <c r="Z146" s="103"/>
      <c r="AL146" s="30" t="str">
        <f aca="false">IF(B146="","",IFERROR(INDEX(Schedule!$N$7:$N$18,MATCH(B146,Schedule!$A$7:$A$18,0)),"not in schedule"))</f>
        <v/>
      </c>
      <c r="AM146" s="19" t="str">
        <f aca="false">IF(B146="","",N(R146)-N(X146))</f>
        <v/>
      </c>
      <c r="AN146" s="95" t="str">
        <f aca="false">IF(B146="","",IF(Z146&lt;&gt;"",Z146,IF(N(G146)&gt;0,N(N146)/G146,"")))</f>
        <v/>
      </c>
      <c r="AO146" s="18" t="str">
        <f aca="false">IF(OR(B146="",C146=""),"",WORKDAY(C146,Inputs!$C$132,Lists!$N$4:$N$30))</f>
        <v/>
      </c>
      <c r="AP146" s="30" t="str">
        <f aca="false">IF(B146="","",IF(U146="","missing",IF(U146&gt;AO146,"Y","N")))</f>
        <v/>
      </c>
      <c r="AQ146" s="30" t="n">
        <f aca="false">IF(OR(W146="Y",W146="N"),IF(F146="",1,IF(COUNTIFS(F$5:F146,F146,W$5:W146,"Y")+COUNTIFS(F$5:F146,F146,W$5:W146,"N")=1,1,0)),0)</f>
        <v>0</v>
      </c>
      <c r="AR146" s="30" t="n">
        <f aca="false">IF(W146="Y",IF(F146="",1,IF(COUNTIFS(F$5:F146,F146,W$5:W146,"Y")=1,1,0)),0)</f>
        <v>0</v>
      </c>
    </row>
    <row r="147" customFormat="false" ht="15" hidden="false" customHeight="false" outlineLevel="0" collapsed="false">
      <c r="A147" s="103"/>
      <c r="B147" s="103"/>
      <c r="C147" s="102"/>
      <c r="D147" s="103"/>
      <c r="E147" s="103"/>
      <c r="F147" s="103"/>
      <c r="G147" s="103"/>
      <c r="H147" s="103"/>
      <c r="I147" s="103"/>
      <c r="J147" s="103"/>
      <c r="K147" s="103"/>
      <c r="L147" s="103"/>
      <c r="M147" s="103"/>
      <c r="N147" s="103"/>
      <c r="O147" s="103"/>
      <c r="P147" s="103"/>
      <c r="Q147" s="103"/>
      <c r="R147" s="105"/>
      <c r="S147" s="102"/>
      <c r="T147" s="105"/>
      <c r="U147" s="102"/>
      <c r="V147" s="103"/>
      <c r="W147" s="103"/>
      <c r="X147" s="105"/>
      <c r="Y147" s="102"/>
      <c r="Z147" s="103"/>
      <c r="AL147" s="30" t="str">
        <f aca="false">IF(B147="","",IFERROR(INDEX(Schedule!$N$7:$N$18,MATCH(B147,Schedule!$A$7:$A$18,0)),"not in schedule"))</f>
        <v/>
      </c>
      <c r="AM147" s="19" t="str">
        <f aca="false">IF(B147="","",N(R147)-N(X147))</f>
        <v/>
      </c>
      <c r="AN147" s="95" t="str">
        <f aca="false">IF(B147="","",IF(Z147&lt;&gt;"",Z147,IF(N(G147)&gt;0,N(N147)/G147,"")))</f>
        <v/>
      </c>
      <c r="AO147" s="18" t="str">
        <f aca="false">IF(OR(B147="",C147=""),"",WORKDAY(C147,Inputs!$C$132,Lists!$N$4:$N$30))</f>
        <v/>
      </c>
      <c r="AP147" s="30" t="str">
        <f aca="false">IF(B147="","",IF(U147="","missing",IF(U147&gt;AO147,"Y","N")))</f>
        <v/>
      </c>
      <c r="AQ147" s="30" t="n">
        <f aca="false">IF(OR(W147="Y",W147="N"),IF(F147="",1,IF(COUNTIFS(F$5:F147,F147,W$5:W147,"Y")+COUNTIFS(F$5:F147,F147,W$5:W147,"N")=1,1,0)),0)</f>
        <v>0</v>
      </c>
      <c r="AR147" s="30" t="n">
        <f aca="false">IF(W147="Y",IF(F147="",1,IF(COUNTIFS(F$5:F147,F147,W$5:W147,"Y")=1,1,0)),0)</f>
        <v>0</v>
      </c>
    </row>
    <row r="148" customFormat="false" ht="15" hidden="false" customHeight="false" outlineLevel="0" collapsed="false">
      <c r="A148" s="103"/>
      <c r="B148" s="103"/>
      <c r="C148" s="102"/>
      <c r="D148" s="103"/>
      <c r="E148" s="103"/>
      <c r="F148" s="103"/>
      <c r="G148" s="103"/>
      <c r="H148" s="103"/>
      <c r="I148" s="103"/>
      <c r="J148" s="103"/>
      <c r="K148" s="103"/>
      <c r="L148" s="103"/>
      <c r="M148" s="103"/>
      <c r="N148" s="103"/>
      <c r="O148" s="103"/>
      <c r="P148" s="103"/>
      <c r="Q148" s="103"/>
      <c r="R148" s="105"/>
      <c r="S148" s="102"/>
      <c r="T148" s="105"/>
      <c r="U148" s="102"/>
      <c r="V148" s="103"/>
      <c r="W148" s="103"/>
      <c r="X148" s="105"/>
      <c r="Y148" s="102"/>
      <c r="Z148" s="103"/>
      <c r="AL148" s="30" t="str">
        <f aca="false">IF(B148="","",IFERROR(INDEX(Schedule!$N$7:$N$18,MATCH(B148,Schedule!$A$7:$A$18,0)),"not in schedule"))</f>
        <v/>
      </c>
      <c r="AM148" s="19" t="str">
        <f aca="false">IF(B148="","",N(R148)-N(X148))</f>
        <v/>
      </c>
      <c r="AN148" s="95" t="str">
        <f aca="false">IF(B148="","",IF(Z148&lt;&gt;"",Z148,IF(N(G148)&gt;0,N(N148)/G148,"")))</f>
        <v/>
      </c>
      <c r="AO148" s="18" t="str">
        <f aca="false">IF(OR(B148="",C148=""),"",WORKDAY(C148,Inputs!$C$132,Lists!$N$4:$N$30))</f>
        <v/>
      </c>
      <c r="AP148" s="30" t="str">
        <f aca="false">IF(B148="","",IF(U148="","missing",IF(U148&gt;AO148,"Y","N")))</f>
        <v/>
      </c>
      <c r="AQ148" s="30" t="n">
        <f aca="false">IF(OR(W148="Y",W148="N"),IF(F148="",1,IF(COUNTIFS(F$5:F148,F148,W$5:W148,"Y")+COUNTIFS(F$5:F148,F148,W$5:W148,"N")=1,1,0)),0)</f>
        <v>0</v>
      </c>
      <c r="AR148" s="30" t="n">
        <f aca="false">IF(W148="Y",IF(F148="",1,IF(COUNTIFS(F$5:F148,F148,W$5:W148,"Y")=1,1,0)),0)</f>
        <v>0</v>
      </c>
    </row>
    <row r="149" customFormat="false" ht="15" hidden="false" customHeight="false" outlineLevel="0" collapsed="false">
      <c r="A149" s="103"/>
      <c r="B149" s="103"/>
      <c r="C149" s="102"/>
      <c r="D149" s="103"/>
      <c r="E149" s="103"/>
      <c r="F149" s="103"/>
      <c r="G149" s="103"/>
      <c r="H149" s="103"/>
      <c r="I149" s="103"/>
      <c r="J149" s="103"/>
      <c r="K149" s="103"/>
      <c r="L149" s="103"/>
      <c r="M149" s="103"/>
      <c r="N149" s="103"/>
      <c r="O149" s="103"/>
      <c r="P149" s="103"/>
      <c r="Q149" s="103"/>
      <c r="R149" s="105"/>
      <c r="S149" s="102"/>
      <c r="T149" s="105"/>
      <c r="U149" s="102"/>
      <c r="V149" s="103"/>
      <c r="W149" s="103"/>
      <c r="X149" s="105"/>
      <c r="Y149" s="102"/>
      <c r="Z149" s="103"/>
      <c r="AL149" s="30" t="str">
        <f aca="false">IF(B149="","",IFERROR(INDEX(Schedule!$N$7:$N$18,MATCH(B149,Schedule!$A$7:$A$18,0)),"not in schedule"))</f>
        <v/>
      </c>
      <c r="AM149" s="19" t="str">
        <f aca="false">IF(B149="","",N(R149)-N(X149))</f>
        <v/>
      </c>
      <c r="AN149" s="95" t="str">
        <f aca="false">IF(B149="","",IF(Z149&lt;&gt;"",Z149,IF(N(G149)&gt;0,N(N149)/G149,"")))</f>
        <v/>
      </c>
      <c r="AO149" s="18" t="str">
        <f aca="false">IF(OR(B149="",C149=""),"",WORKDAY(C149,Inputs!$C$132,Lists!$N$4:$N$30))</f>
        <v/>
      </c>
      <c r="AP149" s="30" t="str">
        <f aca="false">IF(B149="","",IF(U149="","missing",IF(U149&gt;AO149,"Y","N")))</f>
        <v/>
      </c>
      <c r="AQ149" s="30" t="n">
        <f aca="false">IF(OR(W149="Y",W149="N"),IF(F149="",1,IF(COUNTIFS(F$5:F149,F149,W$5:W149,"Y")+COUNTIFS(F$5:F149,F149,W$5:W149,"N")=1,1,0)),0)</f>
        <v>0</v>
      </c>
      <c r="AR149" s="30" t="n">
        <f aca="false">IF(W149="Y",IF(F149="",1,IF(COUNTIFS(F$5:F149,F149,W$5:W149,"Y")=1,1,0)),0)</f>
        <v>0</v>
      </c>
    </row>
    <row r="150" customFormat="false" ht="15" hidden="false" customHeight="false" outlineLevel="0" collapsed="false">
      <c r="A150" s="103"/>
      <c r="B150" s="103"/>
      <c r="C150" s="102"/>
      <c r="D150" s="103"/>
      <c r="E150" s="103"/>
      <c r="F150" s="103"/>
      <c r="G150" s="103"/>
      <c r="H150" s="103"/>
      <c r="I150" s="103"/>
      <c r="J150" s="103"/>
      <c r="K150" s="103"/>
      <c r="L150" s="103"/>
      <c r="M150" s="103"/>
      <c r="N150" s="103"/>
      <c r="O150" s="103"/>
      <c r="P150" s="103"/>
      <c r="Q150" s="103"/>
      <c r="R150" s="105"/>
      <c r="S150" s="102"/>
      <c r="T150" s="105"/>
      <c r="U150" s="102"/>
      <c r="V150" s="103"/>
      <c r="W150" s="103"/>
      <c r="X150" s="105"/>
      <c r="Y150" s="102"/>
      <c r="Z150" s="103"/>
      <c r="AL150" s="30" t="str">
        <f aca="false">IF(B150="","",IFERROR(INDEX(Schedule!$N$7:$N$18,MATCH(B150,Schedule!$A$7:$A$18,0)),"not in schedule"))</f>
        <v/>
      </c>
      <c r="AM150" s="19" t="str">
        <f aca="false">IF(B150="","",N(R150)-N(X150))</f>
        <v/>
      </c>
      <c r="AN150" s="95" t="str">
        <f aca="false">IF(B150="","",IF(Z150&lt;&gt;"",Z150,IF(N(G150)&gt;0,N(N150)/G150,"")))</f>
        <v/>
      </c>
      <c r="AO150" s="18" t="str">
        <f aca="false">IF(OR(B150="",C150=""),"",WORKDAY(C150,Inputs!$C$132,Lists!$N$4:$N$30))</f>
        <v/>
      </c>
      <c r="AP150" s="30" t="str">
        <f aca="false">IF(B150="","",IF(U150="","missing",IF(U150&gt;AO150,"Y","N")))</f>
        <v/>
      </c>
      <c r="AQ150" s="30" t="n">
        <f aca="false">IF(OR(W150="Y",W150="N"),IF(F150="",1,IF(COUNTIFS(F$5:F150,F150,W$5:W150,"Y")+COUNTIFS(F$5:F150,F150,W$5:W150,"N")=1,1,0)),0)</f>
        <v>0</v>
      </c>
      <c r="AR150" s="30" t="n">
        <f aca="false">IF(W150="Y",IF(F150="",1,IF(COUNTIFS(F$5:F150,F150,W$5:W150,"Y")=1,1,0)),0)</f>
        <v>0</v>
      </c>
    </row>
    <row r="151" customFormat="false" ht="15" hidden="false" customHeight="false" outlineLevel="0" collapsed="false">
      <c r="A151" s="103"/>
      <c r="B151" s="103"/>
      <c r="C151" s="102"/>
      <c r="D151" s="103"/>
      <c r="E151" s="103"/>
      <c r="F151" s="103"/>
      <c r="G151" s="103"/>
      <c r="H151" s="103"/>
      <c r="I151" s="103"/>
      <c r="J151" s="103"/>
      <c r="K151" s="103"/>
      <c r="L151" s="103"/>
      <c r="M151" s="103"/>
      <c r="N151" s="103"/>
      <c r="O151" s="103"/>
      <c r="P151" s="103"/>
      <c r="Q151" s="103"/>
      <c r="R151" s="105"/>
      <c r="S151" s="102"/>
      <c r="T151" s="105"/>
      <c r="U151" s="102"/>
      <c r="V151" s="103"/>
      <c r="W151" s="103"/>
      <c r="X151" s="105"/>
      <c r="Y151" s="102"/>
      <c r="Z151" s="103"/>
      <c r="AL151" s="30" t="str">
        <f aca="false">IF(B151="","",IFERROR(INDEX(Schedule!$N$7:$N$18,MATCH(B151,Schedule!$A$7:$A$18,0)),"not in schedule"))</f>
        <v/>
      </c>
      <c r="AM151" s="19" t="str">
        <f aca="false">IF(B151="","",N(R151)-N(X151))</f>
        <v/>
      </c>
      <c r="AN151" s="95" t="str">
        <f aca="false">IF(B151="","",IF(Z151&lt;&gt;"",Z151,IF(N(G151)&gt;0,N(N151)/G151,"")))</f>
        <v/>
      </c>
      <c r="AO151" s="18" t="str">
        <f aca="false">IF(OR(B151="",C151=""),"",WORKDAY(C151,Inputs!$C$132,Lists!$N$4:$N$30))</f>
        <v/>
      </c>
      <c r="AP151" s="30" t="str">
        <f aca="false">IF(B151="","",IF(U151="","missing",IF(U151&gt;AO151,"Y","N")))</f>
        <v/>
      </c>
      <c r="AQ151" s="30" t="n">
        <f aca="false">IF(OR(W151="Y",W151="N"),IF(F151="",1,IF(COUNTIFS(F$5:F151,F151,W$5:W151,"Y")+COUNTIFS(F$5:F151,F151,W$5:W151,"N")=1,1,0)),0)</f>
        <v>0</v>
      </c>
      <c r="AR151" s="30" t="n">
        <f aca="false">IF(W151="Y",IF(F151="",1,IF(COUNTIFS(F$5:F151,F151,W$5:W151,"Y")=1,1,0)),0)</f>
        <v>0</v>
      </c>
    </row>
    <row r="152" customFormat="false" ht="15" hidden="false" customHeight="false" outlineLevel="0" collapsed="false">
      <c r="A152" s="103"/>
      <c r="B152" s="103"/>
      <c r="C152" s="102"/>
      <c r="D152" s="103"/>
      <c r="E152" s="103"/>
      <c r="F152" s="103"/>
      <c r="G152" s="103"/>
      <c r="H152" s="103"/>
      <c r="I152" s="103"/>
      <c r="J152" s="103"/>
      <c r="K152" s="103"/>
      <c r="L152" s="103"/>
      <c r="M152" s="103"/>
      <c r="N152" s="103"/>
      <c r="O152" s="103"/>
      <c r="P152" s="103"/>
      <c r="Q152" s="103"/>
      <c r="R152" s="105"/>
      <c r="S152" s="102"/>
      <c r="T152" s="105"/>
      <c r="U152" s="102"/>
      <c r="V152" s="103"/>
      <c r="W152" s="103"/>
      <c r="X152" s="105"/>
      <c r="Y152" s="102"/>
      <c r="Z152" s="103"/>
      <c r="AL152" s="30" t="str">
        <f aca="false">IF(B152="","",IFERROR(INDEX(Schedule!$N$7:$N$18,MATCH(B152,Schedule!$A$7:$A$18,0)),"not in schedule"))</f>
        <v/>
      </c>
      <c r="AM152" s="19" t="str">
        <f aca="false">IF(B152="","",N(R152)-N(X152))</f>
        <v/>
      </c>
      <c r="AN152" s="95" t="str">
        <f aca="false">IF(B152="","",IF(Z152&lt;&gt;"",Z152,IF(N(G152)&gt;0,N(N152)/G152,"")))</f>
        <v/>
      </c>
      <c r="AO152" s="18" t="str">
        <f aca="false">IF(OR(B152="",C152=""),"",WORKDAY(C152,Inputs!$C$132,Lists!$N$4:$N$30))</f>
        <v/>
      </c>
      <c r="AP152" s="30" t="str">
        <f aca="false">IF(B152="","",IF(U152="","missing",IF(U152&gt;AO152,"Y","N")))</f>
        <v/>
      </c>
      <c r="AQ152" s="30" t="n">
        <f aca="false">IF(OR(W152="Y",W152="N"),IF(F152="",1,IF(COUNTIFS(F$5:F152,F152,W$5:W152,"Y")+COUNTIFS(F$5:F152,F152,W$5:W152,"N")=1,1,0)),0)</f>
        <v>0</v>
      </c>
      <c r="AR152" s="30" t="n">
        <f aca="false">IF(W152="Y",IF(F152="",1,IF(COUNTIFS(F$5:F152,F152,W$5:W152,"Y")=1,1,0)),0)</f>
        <v>0</v>
      </c>
    </row>
    <row r="153" customFormat="false" ht="15" hidden="false" customHeight="false" outlineLevel="0" collapsed="false">
      <c r="A153" s="103"/>
      <c r="B153" s="103"/>
      <c r="C153" s="102"/>
      <c r="D153" s="103"/>
      <c r="E153" s="103"/>
      <c r="F153" s="103"/>
      <c r="G153" s="103"/>
      <c r="H153" s="103"/>
      <c r="I153" s="103"/>
      <c r="J153" s="103"/>
      <c r="K153" s="103"/>
      <c r="L153" s="103"/>
      <c r="M153" s="103"/>
      <c r="N153" s="103"/>
      <c r="O153" s="103"/>
      <c r="P153" s="103"/>
      <c r="Q153" s="103"/>
      <c r="R153" s="105"/>
      <c r="S153" s="102"/>
      <c r="T153" s="105"/>
      <c r="U153" s="102"/>
      <c r="V153" s="103"/>
      <c r="W153" s="103"/>
      <c r="X153" s="105"/>
      <c r="Y153" s="102"/>
      <c r="Z153" s="103"/>
      <c r="AL153" s="30" t="str">
        <f aca="false">IF(B153="","",IFERROR(INDEX(Schedule!$N$7:$N$18,MATCH(B153,Schedule!$A$7:$A$18,0)),"not in schedule"))</f>
        <v/>
      </c>
      <c r="AM153" s="19" t="str">
        <f aca="false">IF(B153="","",N(R153)-N(X153))</f>
        <v/>
      </c>
      <c r="AN153" s="95" t="str">
        <f aca="false">IF(B153="","",IF(Z153&lt;&gt;"",Z153,IF(N(G153)&gt;0,N(N153)/G153,"")))</f>
        <v/>
      </c>
      <c r="AO153" s="18" t="str">
        <f aca="false">IF(OR(B153="",C153=""),"",WORKDAY(C153,Inputs!$C$132,Lists!$N$4:$N$30))</f>
        <v/>
      </c>
      <c r="AP153" s="30" t="str">
        <f aca="false">IF(B153="","",IF(U153="","missing",IF(U153&gt;AO153,"Y","N")))</f>
        <v/>
      </c>
      <c r="AQ153" s="30" t="n">
        <f aca="false">IF(OR(W153="Y",W153="N"),IF(F153="",1,IF(COUNTIFS(F$5:F153,F153,W$5:W153,"Y")+COUNTIFS(F$5:F153,F153,W$5:W153,"N")=1,1,0)),0)</f>
        <v>0</v>
      </c>
      <c r="AR153" s="30" t="n">
        <f aca="false">IF(W153="Y",IF(F153="",1,IF(COUNTIFS(F$5:F153,F153,W$5:W153,"Y")=1,1,0)),0)</f>
        <v>0</v>
      </c>
    </row>
    <row r="154" customFormat="false" ht="15" hidden="false" customHeight="false" outlineLevel="0" collapsed="false">
      <c r="A154" s="103"/>
      <c r="B154" s="103"/>
      <c r="C154" s="102"/>
      <c r="D154" s="103"/>
      <c r="E154" s="103"/>
      <c r="F154" s="103"/>
      <c r="G154" s="103"/>
      <c r="H154" s="103"/>
      <c r="I154" s="103"/>
      <c r="J154" s="103"/>
      <c r="K154" s="103"/>
      <c r="L154" s="103"/>
      <c r="M154" s="103"/>
      <c r="N154" s="103"/>
      <c r="O154" s="103"/>
      <c r="P154" s="103"/>
      <c r="Q154" s="103"/>
      <c r="R154" s="105"/>
      <c r="S154" s="102"/>
      <c r="T154" s="105"/>
      <c r="U154" s="102"/>
      <c r="V154" s="103"/>
      <c r="W154" s="103"/>
      <c r="X154" s="105"/>
      <c r="Y154" s="102"/>
      <c r="Z154" s="103"/>
      <c r="AL154" s="30" t="str">
        <f aca="false">IF(B154="","",IFERROR(INDEX(Schedule!$N$7:$N$18,MATCH(B154,Schedule!$A$7:$A$18,0)),"not in schedule"))</f>
        <v/>
      </c>
      <c r="AM154" s="19" t="str">
        <f aca="false">IF(B154="","",N(R154)-N(X154))</f>
        <v/>
      </c>
      <c r="AN154" s="95" t="str">
        <f aca="false">IF(B154="","",IF(Z154&lt;&gt;"",Z154,IF(N(G154)&gt;0,N(N154)/G154,"")))</f>
        <v/>
      </c>
      <c r="AO154" s="18" t="str">
        <f aca="false">IF(OR(B154="",C154=""),"",WORKDAY(C154,Inputs!$C$132,Lists!$N$4:$N$30))</f>
        <v/>
      </c>
      <c r="AP154" s="30" t="str">
        <f aca="false">IF(B154="","",IF(U154="","missing",IF(U154&gt;AO154,"Y","N")))</f>
        <v/>
      </c>
      <c r="AQ154" s="30" t="n">
        <f aca="false">IF(OR(W154="Y",W154="N"),IF(F154="",1,IF(COUNTIFS(F$5:F154,F154,W$5:W154,"Y")+COUNTIFS(F$5:F154,F154,W$5:W154,"N")=1,1,0)),0)</f>
        <v>0</v>
      </c>
      <c r="AR154" s="30" t="n">
        <f aca="false">IF(W154="Y",IF(F154="",1,IF(COUNTIFS(F$5:F154,F154,W$5:W154,"Y")=1,1,0)),0)</f>
        <v>0</v>
      </c>
    </row>
    <row r="155" customFormat="false" ht="15" hidden="false" customHeight="false" outlineLevel="0" collapsed="false">
      <c r="A155" s="103"/>
      <c r="B155" s="103"/>
      <c r="C155" s="102"/>
      <c r="D155" s="103"/>
      <c r="E155" s="103"/>
      <c r="F155" s="103"/>
      <c r="G155" s="103"/>
      <c r="H155" s="103"/>
      <c r="I155" s="103"/>
      <c r="J155" s="103"/>
      <c r="K155" s="103"/>
      <c r="L155" s="103"/>
      <c r="M155" s="103"/>
      <c r="N155" s="103"/>
      <c r="O155" s="103"/>
      <c r="P155" s="103"/>
      <c r="Q155" s="103"/>
      <c r="R155" s="105"/>
      <c r="S155" s="102"/>
      <c r="T155" s="105"/>
      <c r="U155" s="102"/>
      <c r="V155" s="103"/>
      <c r="W155" s="103"/>
      <c r="X155" s="105"/>
      <c r="Y155" s="102"/>
      <c r="Z155" s="103"/>
      <c r="AL155" s="30" t="str">
        <f aca="false">IF(B155="","",IFERROR(INDEX(Schedule!$N$7:$N$18,MATCH(B155,Schedule!$A$7:$A$18,0)),"not in schedule"))</f>
        <v/>
      </c>
      <c r="AM155" s="19" t="str">
        <f aca="false">IF(B155="","",N(R155)-N(X155))</f>
        <v/>
      </c>
      <c r="AN155" s="95" t="str">
        <f aca="false">IF(B155="","",IF(Z155&lt;&gt;"",Z155,IF(N(G155)&gt;0,N(N155)/G155,"")))</f>
        <v/>
      </c>
      <c r="AO155" s="18" t="str">
        <f aca="false">IF(OR(B155="",C155=""),"",WORKDAY(C155,Inputs!$C$132,Lists!$N$4:$N$30))</f>
        <v/>
      </c>
      <c r="AP155" s="30" t="str">
        <f aca="false">IF(B155="","",IF(U155="","missing",IF(U155&gt;AO155,"Y","N")))</f>
        <v/>
      </c>
      <c r="AQ155" s="30" t="n">
        <f aca="false">IF(OR(W155="Y",W155="N"),IF(F155="",1,IF(COUNTIFS(F$5:F155,F155,W$5:W155,"Y")+COUNTIFS(F$5:F155,F155,W$5:W155,"N")=1,1,0)),0)</f>
        <v>0</v>
      </c>
      <c r="AR155" s="30" t="n">
        <f aca="false">IF(W155="Y",IF(F155="",1,IF(COUNTIFS(F$5:F155,F155,W$5:W155,"Y")=1,1,0)),0)</f>
        <v>0</v>
      </c>
    </row>
    <row r="156" customFormat="false" ht="15" hidden="false" customHeight="false" outlineLevel="0" collapsed="false">
      <c r="A156" s="103"/>
      <c r="B156" s="103"/>
      <c r="C156" s="102"/>
      <c r="D156" s="103"/>
      <c r="E156" s="103"/>
      <c r="F156" s="103"/>
      <c r="G156" s="103"/>
      <c r="H156" s="103"/>
      <c r="I156" s="103"/>
      <c r="J156" s="103"/>
      <c r="K156" s="103"/>
      <c r="L156" s="103"/>
      <c r="M156" s="103"/>
      <c r="N156" s="103"/>
      <c r="O156" s="103"/>
      <c r="P156" s="103"/>
      <c r="Q156" s="103"/>
      <c r="R156" s="105"/>
      <c r="S156" s="102"/>
      <c r="T156" s="105"/>
      <c r="U156" s="102"/>
      <c r="V156" s="103"/>
      <c r="W156" s="103"/>
      <c r="X156" s="105"/>
      <c r="Y156" s="102"/>
      <c r="Z156" s="103"/>
      <c r="AL156" s="30" t="str">
        <f aca="false">IF(B156="","",IFERROR(INDEX(Schedule!$N$7:$N$18,MATCH(B156,Schedule!$A$7:$A$18,0)),"not in schedule"))</f>
        <v/>
      </c>
      <c r="AM156" s="19" t="str">
        <f aca="false">IF(B156="","",N(R156)-N(X156))</f>
        <v/>
      </c>
      <c r="AN156" s="95" t="str">
        <f aca="false">IF(B156="","",IF(Z156&lt;&gt;"",Z156,IF(N(G156)&gt;0,N(N156)/G156,"")))</f>
        <v/>
      </c>
      <c r="AO156" s="18" t="str">
        <f aca="false">IF(OR(B156="",C156=""),"",WORKDAY(C156,Inputs!$C$132,Lists!$N$4:$N$30))</f>
        <v/>
      </c>
      <c r="AP156" s="30" t="str">
        <f aca="false">IF(B156="","",IF(U156="","missing",IF(U156&gt;AO156,"Y","N")))</f>
        <v/>
      </c>
      <c r="AQ156" s="30" t="n">
        <f aca="false">IF(OR(W156="Y",W156="N"),IF(F156="",1,IF(COUNTIFS(F$5:F156,F156,W$5:W156,"Y")+COUNTIFS(F$5:F156,F156,W$5:W156,"N")=1,1,0)),0)</f>
        <v>0</v>
      </c>
      <c r="AR156" s="30" t="n">
        <f aca="false">IF(W156="Y",IF(F156="",1,IF(COUNTIFS(F$5:F156,F156,W$5:W156,"Y")=1,1,0)),0)</f>
        <v>0</v>
      </c>
    </row>
    <row r="157" customFormat="false" ht="15" hidden="false" customHeight="false" outlineLevel="0" collapsed="false">
      <c r="A157" s="103"/>
      <c r="B157" s="103"/>
      <c r="C157" s="102"/>
      <c r="D157" s="103"/>
      <c r="E157" s="103"/>
      <c r="F157" s="103"/>
      <c r="G157" s="103"/>
      <c r="H157" s="103"/>
      <c r="I157" s="103"/>
      <c r="J157" s="103"/>
      <c r="K157" s="103"/>
      <c r="L157" s="103"/>
      <c r="M157" s="103"/>
      <c r="N157" s="103"/>
      <c r="O157" s="103"/>
      <c r="P157" s="103"/>
      <c r="Q157" s="103"/>
      <c r="R157" s="105"/>
      <c r="S157" s="102"/>
      <c r="T157" s="105"/>
      <c r="U157" s="102"/>
      <c r="V157" s="103"/>
      <c r="W157" s="103"/>
      <c r="X157" s="105"/>
      <c r="Y157" s="102"/>
      <c r="Z157" s="103"/>
      <c r="AL157" s="30" t="str">
        <f aca="false">IF(B157="","",IFERROR(INDEX(Schedule!$N$7:$N$18,MATCH(B157,Schedule!$A$7:$A$18,0)),"not in schedule"))</f>
        <v/>
      </c>
      <c r="AM157" s="19" t="str">
        <f aca="false">IF(B157="","",N(R157)-N(X157))</f>
        <v/>
      </c>
      <c r="AN157" s="95" t="str">
        <f aca="false">IF(B157="","",IF(Z157&lt;&gt;"",Z157,IF(N(G157)&gt;0,N(N157)/G157,"")))</f>
        <v/>
      </c>
      <c r="AO157" s="18" t="str">
        <f aca="false">IF(OR(B157="",C157=""),"",WORKDAY(C157,Inputs!$C$132,Lists!$N$4:$N$30))</f>
        <v/>
      </c>
      <c r="AP157" s="30" t="str">
        <f aca="false">IF(B157="","",IF(U157="","missing",IF(U157&gt;AO157,"Y","N")))</f>
        <v/>
      </c>
      <c r="AQ157" s="30" t="n">
        <f aca="false">IF(OR(W157="Y",W157="N"),IF(F157="",1,IF(COUNTIFS(F$5:F157,F157,W$5:W157,"Y")+COUNTIFS(F$5:F157,F157,W$5:W157,"N")=1,1,0)),0)</f>
        <v>0</v>
      </c>
      <c r="AR157" s="30" t="n">
        <f aca="false">IF(W157="Y",IF(F157="",1,IF(COUNTIFS(F$5:F157,F157,W$5:W157,"Y")=1,1,0)),0)</f>
        <v>0</v>
      </c>
    </row>
    <row r="158" customFormat="false" ht="15" hidden="false" customHeight="false" outlineLevel="0" collapsed="false">
      <c r="A158" s="103"/>
      <c r="B158" s="103"/>
      <c r="C158" s="102"/>
      <c r="D158" s="103"/>
      <c r="E158" s="103"/>
      <c r="F158" s="103"/>
      <c r="G158" s="103"/>
      <c r="H158" s="103"/>
      <c r="I158" s="103"/>
      <c r="J158" s="103"/>
      <c r="K158" s="103"/>
      <c r="L158" s="103"/>
      <c r="M158" s="103"/>
      <c r="N158" s="103"/>
      <c r="O158" s="103"/>
      <c r="P158" s="103"/>
      <c r="Q158" s="103"/>
      <c r="R158" s="105"/>
      <c r="S158" s="102"/>
      <c r="T158" s="105"/>
      <c r="U158" s="102"/>
      <c r="V158" s="103"/>
      <c r="W158" s="103"/>
      <c r="X158" s="105"/>
      <c r="Y158" s="102"/>
      <c r="Z158" s="103"/>
      <c r="AL158" s="30" t="str">
        <f aca="false">IF(B158="","",IFERROR(INDEX(Schedule!$N$7:$N$18,MATCH(B158,Schedule!$A$7:$A$18,0)),"not in schedule"))</f>
        <v/>
      </c>
      <c r="AM158" s="19" t="str">
        <f aca="false">IF(B158="","",N(R158)-N(X158))</f>
        <v/>
      </c>
      <c r="AN158" s="95" t="str">
        <f aca="false">IF(B158="","",IF(Z158&lt;&gt;"",Z158,IF(N(G158)&gt;0,N(N158)/G158,"")))</f>
        <v/>
      </c>
      <c r="AO158" s="18" t="str">
        <f aca="false">IF(OR(B158="",C158=""),"",WORKDAY(C158,Inputs!$C$132,Lists!$N$4:$N$30))</f>
        <v/>
      </c>
      <c r="AP158" s="30" t="str">
        <f aca="false">IF(B158="","",IF(U158="","missing",IF(U158&gt;AO158,"Y","N")))</f>
        <v/>
      </c>
      <c r="AQ158" s="30" t="n">
        <f aca="false">IF(OR(W158="Y",W158="N"),IF(F158="",1,IF(COUNTIFS(F$5:F158,F158,W$5:W158,"Y")+COUNTIFS(F$5:F158,F158,W$5:W158,"N")=1,1,0)),0)</f>
        <v>0</v>
      </c>
      <c r="AR158" s="30" t="n">
        <f aca="false">IF(W158="Y",IF(F158="",1,IF(COUNTIFS(F$5:F158,F158,W$5:W158,"Y")=1,1,0)),0)</f>
        <v>0</v>
      </c>
    </row>
    <row r="159" customFormat="false" ht="15" hidden="false" customHeight="false" outlineLevel="0" collapsed="false">
      <c r="A159" s="103"/>
      <c r="B159" s="103"/>
      <c r="C159" s="102"/>
      <c r="D159" s="103"/>
      <c r="E159" s="103"/>
      <c r="F159" s="103"/>
      <c r="G159" s="103"/>
      <c r="H159" s="103"/>
      <c r="I159" s="103"/>
      <c r="J159" s="103"/>
      <c r="K159" s="103"/>
      <c r="L159" s="103"/>
      <c r="M159" s="103"/>
      <c r="N159" s="103"/>
      <c r="O159" s="103"/>
      <c r="P159" s="103"/>
      <c r="Q159" s="103"/>
      <c r="R159" s="105"/>
      <c r="S159" s="102"/>
      <c r="T159" s="105"/>
      <c r="U159" s="102"/>
      <c r="V159" s="103"/>
      <c r="W159" s="103"/>
      <c r="X159" s="105"/>
      <c r="Y159" s="102"/>
      <c r="Z159" s="103"/>
      <c r="AL159" s="30" t="str">
        <f aca="false">IF(B159="","",IFERROR(INDEX(Schedule!$N$7:$N$18,MATCH(B159,Schedule!$A$7:$A$18,0)),"not in schedule"))</f>
        <v/>
      </c>
      <c r="AM159" s="19" t="str">
        <f aca="false">IF(B159="","",N(R159)-N(X159))</f>
        <v/>
      </c>
      <c r="AN159" s="95" t="str">
        <f aca="false">IF(B159="","",IF(Z159&lt;&gt;"",Z159,IF(N(G159)&gt;0,N(N159)/G159,"")))</f>
        <v/>
      </c>
      <c r="AO159" s="18" t="str">
        <f aca="false">IF(OR(B159="",C159=""),"",WORKDAY(C159,Inputs!$C$132,Lists!$N$4:$N$30))</f>
        <v/>
      </c>
      <c r="AP159" s="30" t="str">
        <f aca="false">IF(B159="","",IF(U159="","missing",IF(U159&gt;AO159,"Y","N")))</f>
        <v/>
      </c>
      <c r="AQ159" s="30" t="n">
        <f aca="false">IF(OR(W159="Y",W159="N"),IF(F159="",1,IF(COUNTIFS(F$5:F159,F159,W$5:W159,"Y")+COUNTIFS(F$5:F159,F159,W$5:W159,"N")=1,1,0)),0)</f>
        <v>0</v>
      </c>
      <c r="AR159" s="30" t="n">
        <f aca="false">IF(W159="Y",IF(F159="",1,IF(COUNTIFS(F$5:F159,F159,W$5:W159,"Y")=1,1,0)),0)</f>
        <v>0</v>
      </c>
    </row>
    <row r="160" customFormat="false" ht="15" hidden="false" customHeight="false" outlineLevel="0" collapsed="false">
      <c r="A160" s="103"/>
      <c r="B160" s="103"/>
      <c r="C160" s="102"/>
      <c r="D160" s="103"/>
      <c r="E160" s="103"/>
      <c r="F160" s="103"/>
      <c r="G160" s="103"/>
      <c r="H160" s="103"/>
      <c r="I160" s="103"/>
      <c r="J160" s="103"/>
      <c r="K160" s="103"/>
      <c r="L160" s="103"/>
      <c r="M160" s="103"/>
      <c r="N160" s="103"/>
      <c r="O160" s="103"/>
      <c r="P160" s="103"/>
      <c r="Q160" s="103"/>
      <c r="R160" s="105"/>
      <c r="S160" s="102"/>
      <c r="T160" s="105"/>
      <c r="U160" s="102"/>
      <c r="V160" s="103"/>
      <c r="W160" s="103"/>
      <c r="X160" s="105"/>
      <c r="Y160" s="102"/>
      <c r="Z160" s="103"/>
      <c r="AL160" s="30" t="str">
        <f aca="false">IF(B160="","",IFERROR(INDEX(Schedule!$N$7:$N$18,MATCH(B160,Schedule!$A$7:$A$18,0)),"not in schedule"))</f>
        <v/>
      </c>
      <c r="AM160" s="19" t="str">
        <f aca="false">IF(B160="","",N(R160)-N(X160))</f>
        <v/>
      </c>
      <c r="AN160" s="95" t="str">
        <f aca="false">IF(B160="","",IF(Z160&lt;&gt;"",Z160,IF(N(G160)&gt;0,N(N160)/G160,"")))</f>
        <v/>
      </c>
      <c r="AO160" s="18" t="str">
        <f aca="false">IF(OR(B160="",C160=""),"",WORKDAY(C160,Inputs!$C$132,Lists!$N$4:$N$30))</f>
        <v/>
      </c>
      <c r="AP160" s="30" t="str">
        <f aca="false">IF(B160="","",IF(U160="","missing",IF(U160&gt;AO160,"Y","N")))</f>
        <v/>
      </c>
      <c r="AQ160" s="30" t="n">
        <f aca="false">IF(OR(W160="Y",W160="N"),IF(F160="",1,IF(COUNTIFS(F$5:F160,F160,W$5:W160,"Y")+COUNTIFS(F$5:F160,F160,W$5:W160,"N")=1,1,0)),0)</f>
        <v>0</v>
      </c>
      <c r="AR160" s="30" t="n">
        <f aca="false">IF(W160="Y",IF(F160="",1,IF(COUNTIFS(F$5:F160,F160,W$5:W160,"Y")=1,1,0)),0)</f>
        <v>0</v>
      </c>
    </row>
    <row r="161" customFormat="false" ht="15" hidden="false" customHeight="false" outlineLevel="0" collapsed="false">
      <c r="A161" s="103"/>
      <c r="B161" s="103"/>
      <c r="C161" s="102"/>
      <c r="D161" s="103"/>
      <c r="E161" s="103"/>
      <c r="F161" s="103"/>
      <c r="G161" s="103"/>
      <c r="H161" s="103"/>
      <c r="I161" s="103"/>
      <c r="J161" s="103"/>
      <c r="K161" s="103"/>
      <c r="L161" s="103"/>
      <c r="M161" s="103"/>
      <c r="N161" s="103"/>
      <c r="O161" s="103"/>
      <c r="P161" s="103"/>
      <c r="Q161" s="103"/>
      <c r="R161" s="105"/>
      <c r="S161" s="102"/>
      <c r="T161" s="105"/>
      <c r="U161" s="102"/>
      <c r="V161" s="103"/>
      <c r="W161" s="103"/>
      <c r="X161" s="105"/>
      <c r="Y161" s="102"/>
      <c r="Z161" s="103"/>
      <c r="AL161" s="30" t="str">
        <f aca="false">IF(B161="","",IFERROR(INDEX(Schedule!$N$7:$N$18,MATCH(B161,Schedule!$A$7:$A$18,0)),"not in schedule"))</f>
        <v/>
      </c>
      <c r="AM161" s="19" t="str">
        <f aca="false">IF(B161="","",N(R161)-N(X161))</f>
        <v/>
      </c>
      <c r="AN161" s="95" t="str">
        <f aca="false">IF(B161="","",IF(Z161&lt;&gt;"",Z161,IF(N(G161)&gt;0,N(N161)/G161,"")))</f>
        <v/>
      </c>
      <c r="AO161" s="18" t="str">
        <f aca="false">IF(OR(B161="",C161=""),"",WORKDAY(C161,Inputs!$C$132,Lists!$N$4:$N$30))</f>
        <v/>
      </c>
      <c r="AP161" s="30" t="str">
        <f aca="false">IF(B161="","",IF(U161="","missing",IF(U161&gt;AO161,"Y","N")))</f>
        <v/>
      </c>
      <c r="AQ161" s="30" t="n">
        <f aca="false">IF(OR(W161="Y",W161="N"),IF(F161="",1,IF(COUNTIFS(F$5:F161,F161,W$5:W161,"Y")+COUNTIFS(F$5:F161,F161,W$5:W161,"N")=1,1,0)),0)</f>
        <v>0</v>
      </c>
      <c r="AR161" s="30" t="n">
        <f aca="false">IF(W161="Y",IF(F161="",1,IF(COUNTIFS(F$5:F161,F161,W$5:W161,"Y")=1,1,0)),0)</f>
        <v>0</v>
      </c>
    </row>
    <row r="162" customFormat="false" ht="15" hidden="false" customHeight="false" outlineLevel="0" collapsed="false">
      <c r="A162" s="103"/>
      <c r="B162" s="103"/>
      <c r="C162" s="102"/>
      <c r="D162" s="103"/>
      <c r="E162" s="103"/>
      <c r="F162" s="103"/>
      <c r="G162" s="103"/>
      <c r="H162" s="103"/>
      <c r="I162" s="103"/>
      <c r="J162" s="103"/>
      <c r="K162" s="103"/>
      <c r="L162" s="103"/>
      <c r="M162" s="103"/>
      <c r="N162" s="103"/>
      <c r="O162" s="103"/>
      <c r="P162" s="103"/>
      <c r="Q162" s="103"/>
      <c r="R162" s="105"/>
      <c r="S162" s="102"/>
      <c r="T162" s="105"/>
      <c r="U162" s="102"/>
      <c r="V162" s="103"/>
      <c r="W162" s="103"/>
      <c r="X162" s="105"/>
      <c r="Y162" s="102"/>
      <c r="Z162" s="103"/>
      <c r="AL162" s="30" t="str">
        <f aca="false">IF(B162="","",IFERROR(INDEX(Schedule!$N$7:$N$18,MATCH(B162,Schedule!$A$7:$A$18,0)),"not in schedule"))</f>
        <v/>
      </c>
      <c r="AM162" s="19" t="str">
        <f aca="false">IF(B162="","",N(R162)-N(X162))</f>
        <v/>
      </c>
      <c r="AN162" s="95" t="str">
        <f aca="false">IF(B162="","",IF(Z162&lt;&gt;"",Z162,IF(N(G162)&gt;0,N(N162)/G162,"")))</f>
        <v/>
      </c>
      <c r="AO162" s="18" t="str">
        <f aca="false">IF(OR(B162="",C162=""),"",WORKDAY(C162,Inputs!$C$132,Lists!$N$4:$N$30))</f>
        <v/>
      </c>
      <c r="AP162" s="30" t="str">
        <f aca="false">IF(B162="","",IF(U162="","missing",IF(U162&gt;AO162,"Y","N")))</f>
        <v/>
      </c>
      <c r="AQ162" s="30" t="n">
        <f aca="false">IF(OR(W162="Y",W162="N"),IF(F162="",1,IF(COUNTIFS(F$5:F162,F162,W$5:W162,"Y")+COUNTIFS(F$5:F162,F162,W$5:W162,"N")=1,1,0)),0)</f>
        <v>0</v>
      </c>
      <c r="AR162" s="30" t="n">
        <f aca="false">IF(W162="Y",IF(F162="",1,IF(COUNTIFS(F$5:F162,F162,W$5:W162,"Y")=1,1,0)),0)</f>
        <v>0</v>
      </c>
    </row>
    <row r="163" customFormat="false" ht="15" hidden="false" customHeight="false" outlineLevel="0" collapsed="false">
      <c r="A163" s="103"/>
      <c r="B163" s="103"/>
      <c r="C163" s="102"/>
      <c r="D163" s="103"/>
      <c r="E163" s="103"/>
      <c r="F163" s="103"/>
      <c r="G163" s="103"/>
      <c r="H163" s="103"/>
      <c r="I163" s="103"/>
      <c r="J163" s="103"/>
      <c r="K163" s="103"/>
      <c r="L163" s="103"/>
      <c r="M163" s="103"/>
      <c r="N163" s="103"/>
      <c r="O163" s="103"/>
      <c r="P163" s="103"/>
      <c r="Q163" s="103"/>
      <c r="R163" s="105"/>
      <c r="S163" s="102"/>
      <c r="T163" s="105"/>
      <c r="U163" s="102"/>
      <c r="V163" s="103"/>
      <c r="W163" s="103"/>
      <c r="X163" s="105"/>
      <c r="Y163" s="102"/>
      <c r="Z163" s="103"/>
      <c r="AL163" s="30" t="str">
        <f aca="false">IF(B163="","",IFERROR(INDEX(Schedule!$N$7:$N$18,MATCH(B163,Schedule!$A$7:$A$18,0)),"not in schedule"))</f>
        <v/>
      </c>
      <c r="AM163" s="19" t="str">
        <f aca="false">IF(B163="","",N(R163)-N(X163))</f>
        <v/>
      </c>
      <c r="AN163" s="95" t="str">
        <f aca="false">IF(B163="","",IF(Z163&lt;&gt;"",Z163,IF(N(G163)&gt;0,N(N163)/G163,"")))</f>
        <v/>
      </c>
      <c r="AO163" s="18" t="str">
        <f aca="false">IF(OR(B163="",C163=""),"",WORKDAY(C163,Inputs!$C$132,Lists!$N$4:$N$30))</f>
        <v/>
      </c>
      <c r="AP163" s="30" t="str">
        <f aca="false">IF(B163="","",IF(U163="","missing",IF(U163&gt;AO163,"Y","N")))</f>
        <v/>
      </c>
      <c r="AQ163" s="30" t="n">
        <f aca="false">IF(OR(W163="Y",W163="N"),IF(F163="",1,IF(COUNTIFS(F$5:F163,F163,W$5:W163,"Y")+COUNTIFS(F$5:F163,F163,W$5:W163,"N")=1,1,0)),0)</f>
        <v>0</v>
      </c>
      <c r="AR163" s="30" t="n">
        <f aca="false">IF(W163="Y",IF(F163="",1,IF(COUNTIFS(F$5:F163,F163,W$5:W163,"Y")=1,1,0)),0)</f>
        <v>0</v>
      </c>
    </row>
    <row r="164" customFormat="false" ht="15" hidden="false" customHeight="false" outlineLevel="0" collapsed="false">
      <c r="A164" s="103"/>
      <c r="B164" s="103"/>
      <c r="C164" s="102"/>
      <c r="D164" s="103"/>
      <c r="E164" s="103"/>
      <c r="F164" s="103"/>
      <c r="G164" s="103"/>
      <c r="H164" s="103"/>
      <c r="I164" s="103"/>
      <c r="J164" s="103"/>
      <c r="K164" s="103"/>
      <c r="L164" s="103"/>
      <c r="M164" s="103"/>
      <c r="N164" s="103"/>
      <c r="O164" s="103"/>
      <c r="P164" s="103"/>
      <c r="Q164" s="103"/>
      <c r="R164" s="105"/>
      <c r="S164" s="102"/>
      <c r="T164" s="105"/>
      <c r="U164" s="102"/>
      <c r="V164" s="103"/>
      <c r="W164" s="103"/>
      <c r="X164" s="105"/>
      <c r="Y164" s="102"/>
      <c r="Z164" s="103"/>
      <c r="AL164" s="30" t="str">
        <f aca="false">IF(B164="","",IFERROR(INDEX(Schedule!$N$7:$N$18,MATCH(B164,Schedule!$A$7:$A$18,0)),"not in schedule"))</f>
        <v/>
      </c>
      <c r="AM164" s="19" t="str">
        <f aca="false">IF(B164="","",N(R164)-N(X164))</f>
        <v/>
      </c>
      <c r="AN164" s="95" t="str">
        <f aca="false">IF(B164="","",IF(Z164&lt;&gt;"",Z164,IF(N(G164)&gt;0,N(N164)/G164,"")))</f>
        <v/>
      </c>
      <c r="AO164" s="18" t="str">
        <f aca="false">IF(OR(B164="",C164=""),"",WORKDAY(C164,Inputs!$C$132,Lists!$N$4:$N$30))</f>
        <v/>
      </c>
      <c r="AP164" s="30" t="str">
        <f aca="false">IF(B164="","",IF(U164="","missing",IF(U164&gt;AO164,"Y","N")))</f>
        <v/>
      </c>
      <c r="AQ164" s="30" t="n">
        <f aca="false">IF(OR(W164="Y",W164="N"),IF(F164="",1,IF(COUNTIFS(F$5:F164,F164,W$5:W164,"Y")+COUNTIFS(F$5:F164,F164,W$5:W164,"N")=1,1,0)),0)</f>
        <v>0</v>
      </c>
      <c r="AR164" s="30" t="n">
        <f aca="false">IF(W164="Y",IF(F164="",1,IF(COUNTIFS(F$5:F164,F164,W$5:W164,"Y")=1,1,0)),0)</f>
        <v>0</v>
      </c>
    </row>
    <row r="165" customFormat="false" ht="15" hidden="false" customHeight="false" outlineLevel="0" collapsed="false">
      <c r="A165" s="103"/>
      <c r="B165" s="103"/>
      <c r="C165" s="102"/>
      <c r="D165" s="103"/>
      <c r="E165" s="103"/>
      <c r="F165" s="103"/>
      <c r="G165" s="103"/>
      <c r="H165" s="103"/>
      <c r="I165" s="103"/>
      <c r="J165" s="103"/>
      <c r="K165" s="103"/>
      <c r="L165" s="103"/>
      <c r="M165" s="103"/>
      <c r="N165" s="103"/>
      <c r="O165" s="103"/>
      <c r="P165" s="103"/>
      <c r="Q165" s="103"/>
      <c r="R165" s="105"/>
      <c r="S165" s="102"/>
      <c r="T165" s="105"/>
      <c r="U165" s="102"/>
      <c r="V165" s="103"/>
      <c r="W165" s="103"/>
      <c r="X165" s="105"/>
      <c r="Y165" s="102"/>
      <c r="Z165" s="103"/>
      <c r="AL165" s="30" t="str">
        <f aca="false">IF(B165="","",IFERROR(INDEX(Schedule!$N$7:$N$18,MATCH(B165,Schedule!$A$7:$A$18,0)),"not in schedule"))</f>
        <v/>
      </c>
      <c r="AM165" s="19" t="str">
        <f aca="false">IF(B165="","",N(R165)-N(X165))</f>
        <v/>
      </c>
      <c r="AN165" s="95" t="str">
        <f aca="false">IF(B165="","",IF(Z165&lt;&gt;"",Z165,IF(N(G165)&gt;0,N(N165)/G165,"")))</f>
        <v/>
      </c>
      <c r="AO165" s="18" t="str">
        <f aca="false">IF(OR(B165="",C165=""),"",WORKDAY(C165,Inputs!$C$132,Lists!$N$4:$N$30))</f>
        <v/>
      </c>
      <c r="AP165" s="30" t="str">
        <f aca="false">IF(B165="","",IF(U165="","missing",IF(U165&gt;AO165,"Y","N")))</f>
        <v/>
      </c>
      <c r="AQ165" s="30" t="n">
        <f aca="false">IF(OR(W165="Y",W165="N"),IF(F165="",1,IF(COUNTIFS(F$5:F165,F165,W$5:W165,"Y")+COUNTIFS(F$5:F165,F165,W$5:W165,"N")=1,1,0)),0)</f>
        <v>0</v>
      </c>
      <c r="AR165" s="30" t="n">
        <f aca="false">IF(W165="Y",IF(F165="",1,IF(COUNTIFS(F$5:F165,F165,W$5:W165,"Y")=1,1,0)),0)</f>
        <v>0</v>
      </c>
    </row>
    <row r="166" customFormat="false" ht="15" hidden="false" customHeight="false" outlineLevel="0" collapsed="false">
      <c r="A166" s="103"/>
      <c r="B166" s="103"/>
      <c r="C166" s="102"/>
      <c r="D166" s="103"/>
      <c r="E166" s="103"/>
      <c r="F166" s="103"/>
      <c r="G166" s="103"/>
      <c r="H166" s="103"/>
      <c r="I166" s="103"/>
      <c r="J166" s="103"/>
      <c r="K166" s="103"/>
      <c r="L166" s="103"/>
      <c r="M166" s="103"/>
      <c r="N166" s="103"/>
      <c r="O166" s="103"/>
      <c r="P166" s="103"/>
      <c r="Q166" s="103"/>
      <c r="R166" s="105"/>
      <c r="S166" s="102"/>
      <c r="T166" s="105"/>
      <c r="U166" s="102"/>
      <c r="V166" s="103"/>
      <c r="W166" s="103"/>
      <c r="X166" s="105"/>
      <c r="Y166" s="102"/>
      <c r="Z166" s="103"/>
      <c r="AL166" s="30" t="str">
        <f aca="false">IF(B166="","",IFERROR(INDEX(Schedule!$N$7:$N$18,MATCH(B166,Schedule!$A$7:$A$18,0)),"not in schedule"))</f>
        <v/>
      </c>
      <c r="AM166" s="19" t="str">
        <f aca="false">IF(B166="","",N(R166)-N(X166))</f>
        <v/>
      </c>
      <c r="AN166" s="95" t="str">
        <f aca="false">IF(B166="","",IF(Z166&lt;&gt;"",Z166,IF(N(G166)&gt;0,N(N166)/G166,"")))</f>
        <v/>
      </c>
      <c r="AO166" s="18" t="str">
        <f aca="false">IF(OR(B166="",C166=""),"",WORKDAY(C166,Inputs!$C$132,Lists!$N$4:$N$30))</f>
        <v/>
      </c>
      <c r="AP166" s="30" t="str">
        <f aca="false">IF(B166="","",IF(U166="","missing",IF(U166&gt;AO166,"Y","N")))</f>
        <v/>
      </c>
      <c r="AQ166" s="30" t="n">
        <f aca="false">IF(OR(W166="Y",W166="N"),IF(F166="",1,IF(COUNTIFS(F$5:F166,F166,W$5:W166,"Y")+COUNTIFS(F$5:F166,F166,W$5:W166,"N")=1,1,0)),0)</f>
        <v>0</v>
      </c>
      <c r="AR166" s="30" t="n">
        <f aca="false">IF(W166="Y",IF(F166="",1,IF(COUNTIFS(F$5:F166,F166,W$5:W166,"Y")=1,1,0)),0)</f>
        <v>0</v>
      </c>
    </row>
    <row r="167" customFormat="false" ht="15" hidden="false" customHeight="false" outlineLevel="0" collapsed="false">
      <c r="A167" s="103"/>
      <c r="B167" s="103"/>
      <c r="C167" s="102"/>
      <c r="D167" s="103"/>
      <c r="E167" s="103"/>
      <c r="F167" s="103"/>
      <c r="G167" s="103"/>
      <c r="H167" s="103"/>
      <c r="I167" s="103"/>
      <c r="J167" s="103"/>
      <c r="K167" s="103"/>
      <c r="L167" s="103"/>
      <c r="M167" s="103"/>
      <c r="N167" s="103"/>
      <c r="O167" s="103"/>
      <c r="P167" s="103"/>
      <c r="Q167" s="103"/>
      <c r="R167" s="105"/>
      <c r="S167" s="102"/>
      <c r="T167" s="105"/>
      <c r="U167" s="102"/>
      <c r="V167" s="103"/>
      <c r="W167" s="103"/>
      <c r="X167" s="105"/>
      <c r="Y167" s="102"/>
      <c r="Z167" s="103"/>
      <c r="AL167" s="30" t="str">
        <f aca="false">IF(B167="","",IFERROR(INDEX(Schedule!$N$7:$N$18,MATCH(B167,Schedule!$A$7:$A$18,0)),"not in schedule"))</f>
        <v/>
      </c>
      <c r="AM167" s="19" t="str">
        <f aca="false">IF(B167="","",N(R167)-N(X167))</f>
        <v/>
      </c>
      <c r="AN167" s="95" t="str">
        <f aca="false">IF(B167="","",IF(Z167&lt;&gt;"",Z167,IF(N(G167)&gt;0,N(N167)/G167,"")))</f>
        <v/>
      </c>
      <c r="AO167" s="18" t="str">
        <f aca="false">IF(OR(B167="",C167=""),"",WORKDAY(C167,Inputs!$C$132,Lists!$N$4:$N$30))</f>
        <v/>
      </c>
      <c r="AP167" s="30" t="str">
        <f aca="false">IF(B167="","",IF(U167="","missing",IF(U167&gt;AO167,"Y","N")))</f>
        <v/>
      </c>
      <c r="AQ167" s="30" t="n">
        <f aca="false">IF(OR(W167="Y",W167="N"),IF(F167="",1,IF(COUNTIFS(F$5:F167,F167,W$5:W167,"Y")+COUNTIFS(F$5:F167,F167,W$5:W167,"N")=1,1,0)),0)</f>
        <v>0</v>
      </c>
      <c r="AR167" s="30" t="n">
        <f aca="false">IF(W167="Y",IF(F167="",1,IF(COUNTIFS(F$5:F167,F167,W$5:W167,"Y")=1,1,0)),0)</f>
        <v>0</v>
      </c>
    </row>
    <row r="168" customFormat="false" ht="15" hidden="false" customHeight="false" outlineLevel="0" collapsed="false">
      <c r="A168" s="103"/>
      <c r="B168" s="103"/>
      <c r="C168" s="102"/>
      <c r="D168" s="103"/>
      <c r="E168" s="103"/>
      <c r="F168" s="103"/>
      <c r="G168" s="103"/>
      <c r="H168" s="103"/>
      <c r="I168" s="103"/>
      <c r="J168" s="103"/>
      <c r="K168" s="103"/>
      <c r="L168" s="103"/>
      <c r="M168" s="103"/>
      <c r="N168" s="103"/>
      <c r="O168" s="103"/>
      <c r="P168" s="103"/>
      <c r="Q168" s="103"/>
      <c r="R168" s="105"/>
      <c r="S168" s="102"/>
      <c r="T168" s="105"/>
      <c r="U168" s="102"/>
      <c r="V168" s="103"/>
      <c r="W168" s="103"/>
      <c r="X168" s="105"/>
      <c r="Y168" s="102"/>
      <c r="Z168" s="103"/>
      <c r="AL168" s="30" t="str">
        <f aca="false">IF(B168="","",IFERROR(INDEX(Schedule!$N$7:$N$18,MATCH(B168,Schedule!$A$7:$A$18,0)),"not in schedule"))</f>
        <v/>
      </c>
      <c r="AM168" s="19" t="str">
        <f aca="false">IF(B168="","",N(R168)-N(X168))</f>
        <v/>
      </c>
      <c r="AN168" s="95" t="str">
        <f aca="false">IF(B168="","",IF(Z168&lt;&gt;"",Z168,IF(N(G168)&gt;0,N(N168)/G168,"")))</f>
        <v/>
      </c>
      <c r="AO168" s="18" t="str">
        <f aca="false">IF(OR(B168="",C168=""),"",WORKDAY(C168,Inputs!$C$132,Lists!$N$4:$N$30))</f>
        <v/>
      </c>
      <c r="AP168" s="30" t="str">
        <f aca="false">IF(B168="","",IF(U168="","missing",IF(U168&gt;AO168,"Y","N")))</f>
        <v/>
      </c>
      <c r="AQ168" s="30" t="n">
        <f aca="false">IF(OR(W168="Y",W168="N"),IF(F168="",1,IF(COUNTIFS(F$5:F168,F168,W$5:W168,"Y")+COUNTIFS(F$5:F168,F168,W$5:W168,"N")=1,1,0)),0)</f>
        <v>0</v>
      </c>
      <c r="AR168" s="30" t="n">
        <f aca="false">IF(W168="Y",IF(F168="",1,IF(COUNTIFS(F$5:F168,F168,W$5:W168,"Y")=1,1,0)),0)</f>
        <v>0</v>
      </c>
    </row>
    <row r="169" customFormat="false" ht="15" hidden="false" customHeight="false" outlineLevel="0" collapsed="false">
      <c r="A169" s="103"/>
      <c r="B169" s="103"/>
      <c r="C169" s="102"/>
      <c r="D169" s="103"/>
      <c r="E169" s="103"/>
      <c r="F169" s="103"/>
      <c r="G169" s="103"/>
      <c r="H169" s="103"/>
      <c r="I169" s="103"/>
      <c r="J169" s="103"/>
      <c r="K169" s="103"/>
      <c r="L169" s="103"/>
      <c r="M169" s="103"/>
      <c r="N169" s="103"/>
      <c r="O169" s="103"/>
      <c r="P169" s="103"/>
      <c r="Q169" s="103"/>
      <c r="R169" s="105"/>
      <c r="S169" s="102"/>
      <c r="T169" s="105"/>
      <c r="U169" s="102"/>
      <c r="V169" s="103"/>
      <c r="W169" s="103"/>
      <c r="X169" s="105"/>
      <c r="Y169" s="102"/>
      <c r="Z169" s="103"/>
      <c r="AL169" s="30" t="str">
        <f aca="false">IF(B169="","",IFERROR(INDEX(Schedule!$N$7:$N$18,MATCH(B169,Schedule!$A$7:$A$18,0)),"not in schedule"))</f>
        <v/>
      </c>
      <c r="AM169" s="19" t="str">
        <f aca="false">IF(B169="","",N(R169)-N(X169))</f>
        <v/>
      </c>
      <c r="AN169" s="95" t="str">
        <f aca="false">IF(B169="","",IF(Z169&lt;&gt;"",Z169,IF(N(G169)&gt;0,N(N169)/G169,"")))</f>
        <v/>
      </c>
      <c r="AO169" s="18" t="str">
        <f aca="false">IF(OR(B169="",C169=""),"",WORKDAY(C169,Inputs!$C$132,Lists!$N$4:$N$30))</f>
        <v/>
      </c>
      <c r="AP169" s="30" t="str">
        <f aca="false">IF(B169="","",IF(U169="","missing",IF(U169&gt;AO169,"Y","N")))</f>
        <v/>
      </c>
      <c r="AQ169" s="30" t="n">
        <f aca="false">IF(OR(W169="Y",W169="N"),IF(F169="",1,IF(COUNTIFS(F$5:F169,F169,W$5:W169,"Y")+COUNTIFS(F$5:F169,F169,W$5:W169,"N")=1,1,0)),0)</f>
        <v>0</v>
      </c>
      <c r="AR169" s="30" t="n">
        <f aca="false">IF(W169="Y",IF(F169="",1,IF(COUNTIFS(F$5:F169,F169,W$5:W169,"Y")=1,1,0)),0)</f>
        <v>0</v>
      </c>
    </row>
    <row r="170" customFormat="false" ht="15" hidden="false" customHeight="false" outlineLevel="0" collapsed="false">
      <c r="A170" s="103"/>
      <c r="B170" s="103"/>
      <c r="C170" s="102"/>
      <c r="D170" s="103"/>
      <c r="E170" s="103"/>
      <c r="F170" s="103"/>
      <c r="G170" s="103"/>
      <c r="H170" s="103"/>
      <c r="I170" s="103"/>
      <c r="J170" s="103"/>
      <c r="K170" s="103"/>
      <c r="L170" s="103"/>
      <c r="M170" s="103"/>
      <c r="N170" s="103"/>
      <c r="O170" s="103"/>
      <c r="P170" s="103"/>
      <c r="Q170" s="103"/>
      <c r="R170" s="105"/>
      <c r="S170" s="102"/>
      <c r="T170" s="105"/>
      <c r="U170" s="102"/>
      <c r="V170" s="103"/>
      <c r="W170" s="103"/>
      <c r="X170" s="105"/>
      <c r="Y170" s="102"/>
      <c r="Z170" s="103"/>
      <c r="AL170" s="30" t="str">
        <f aca="false">IF(B170="","",IFERROR(INDEX(Schedule!$N$7:$N$18,MATCH(B170,Schedule!$A$7:$A$18,0)),"not in schedule"))</f>
        <v/>
      </c>
      <c r="AM170" s="19" t="str">
        <f aca="false">IF(B170="","",N(R170)-N(X170))</f>
        <v/>
      </c>
      <c r="AN170" s="95" t="str">
        <f aca="false">IF(B170="","",IF(Z170&lt;&gt;"",Z170,IF(N(G170)&gt;0,N(N170)/G170,"")))</f>
        <v/>
      </c>
      <c r="AO170" s="18" t="str">
        <f aca="false">IF(OR(B170="",C170=""),"",WORKDAY(C170,Inputs!$C$132,Lists!$N$4:$N$30))</f>
        <v/>
      </c>
      <c r="AP170" s="30" t="str">
        <f aca="false">IF(B170="","",IF(U170="","missing",IF(U170&gt;AO170,"Y","N")))</f>
        <v/>
      </c>
      <c r="AQ170" s="30" t="n">
        <f aca="false">IF(OR(W170="Y",W170="N"),IF(F170="",1,IF(COUNTIFS(F$5:F170,F170,W$5:W170,"Y")+COUNTIFS(F$5:F170,F170,W$5:W170,"N")=1,1,0)),0)</f>
        <v>0</v>
      </c>
      <c r="AR170" s="30" t="n">
        <f aca="false">IF(W170="Y",IF(F170="",1,IF(COUNTIFS(F$5:F170,F170,W$5:W170,"Y")=1,1,0)),0)</f>
        <v>0</v>
      </c>
    </row>
    <row r="171" customFormat="false" ht="15" hidden="false" customHeight="false" outlineLevel="0" collapsed="false">
      <c r="A171" s="103"/>
      <c r="B171" s="103"/>
      <c r="C171" s="102"/>
      <c r="D171" s="103"/>
      <c r="E171" s="103"/>
      <c r="F171" s="103"/>
      <c r="G171" s="103"/>
      <c r="H171" s="103"/>
      <c r="I171" s="103"/>
      <c r="J171" s="103"/>
      <c r="K171" s="103"/>
      <c r="L171" s="103"/>
      <c r="M171" s="103"/>
      <c r="N171" s="103"/>
      <c r="O171" s="103"/>
      <c r="P171" s="103"/>
      <c r="Q171" s="103"/>
      <c r="R171" s="105"/>
      <c r="S171" s="102"/>
      <c r="T171" s="105"/>
      <c r="U171" s="102"/>
      <c r="V171" s="103"/>
      <c r="W171" s="103"/>
      <c r="X171" s="105"/>
      <c r="Y171" s="102"/>
      <c r="Z171" s="103"/>
      <c r="AL171" s="30" t="str">
        <f aca="false">IF(B171="","",IFERROR(INDEX(Schedule!$N$7:$N$18,MATCH(B171,Schedule!$A$7:$A$18,0)),"not in schedule"))</f>
        <v/>
      </c>
      <c r="AM171" s="19" t="str">
        <f aca="false">IF(B171="","",N(R171)-N(X171))</f>
        <v/>
      </c>
      <c r="AN171" s="95" t="str">
        <f aca="false">IF(B171="","",IF(Z171&lt;&gt;"",Z171,IF(N(G171)&gt;0,N(N171)/G171,"")))</f>
        <v/>
      </c>
      <c r="AO171" s="18" t="str">
        <f aca="false">IF(OR(B171="",C171=""),"",WORKDAY(C171,Inputs!$C$132,Lists!$N$4:$N$30))</f>
        <v/>
      </c>
      <c r="AP171" s="30" t="str">
        <f aca="false">IF(B171="","",IF(U171="","missing",IF(U171&gt;AO171,"Y","N")))</f>
        <v/>
      </c>
      <c r="AQ171" s="30" t="n">
        <f aca="false">IF(OR(W171="Y",W171="N"),IF(F171="",1,IF(COUNTIFS(F$5:F171,F171,W$5:W171,"Y")+COUNTIFS(F$5:F171,F171,W$5:W171,"N")=1,1,0)),0)</f>
        <v>0</v>
      </c>
      <c r="AR171" s="30" t="n">
        <f aca="false">IF(W171="Y",IF(F171="",1,IF(COUNTIFS(F$5:F171,F171,W$5:W171,"Y")=1,1,0)),0)</f>
        <v>0</v>
      </c>
    </row>
    <row r="172" customFormat="false" ht="15" hidden="false" customHeight="false" outlineLevel="0" collapsed="false">
      <c r="A172" s="103"/>
      <c r="B172" s="103"/>
      <c r="C172" s="102"/>
      <c r="D172" s="103"/>
      <c r="E172" s="103"/>
      <c r="F172" s="103"/>
      <c r="G172" s="103"/>
      <c r="H172" s="103"/>
      <c r="I172" s="103"/>
      <c r="J172" s="103"/>
      <c r="K172" s="103"/>
      <c r="L172" s="103"/>
      <c r="M172" s="103"/>
      <c r="N172" s="103"/>
      <c r="O172" s="103"/>
      <c r="P172" s="103"/>
      <c r="Q172" s="103"/>
      <c r="R172" s="105"/>
      <c r="S172" s="102"/>
      <c r="T172" s="105"/>
      <c r="U172" s="102"/>
      <c r="V172" s="103"/>
      <c r="W172" s="103"/>
      <c r="X172" s="105"/>
      <c r="Y172" s="102"/>
      <c r="Z172" s="103"/>
      <c r="AL172" s="30" t="str">
        <f aca="false">IF(B172="","",IFERROR(INDEX(Schedule!$N$7:$N$18,MATCH(B172,Schedule!$A$7:$A$18,0)),"not in schedule"))</f>
        <v/>
      </c>
      <c r="AM172" s="19" t="str">
        <f aca="false">IF(B172="","",N(R172)-N(X172))</f>
        <v/>
      </c>
      <c r="AN172" s="95" t="str">
        <f aca="false">IF(B172="","",IF(Z172&lt;&gt;"",Z172,IF(N(G172)&gt;0,N(N172)/G172,"")))</f>
        <v/>
      </c>
      <c r="AO172" s="18" t="str">
        <f aca="false">IF(OR(B172="",C172=""),"",WORKDAY(C172,Inputs!$C$132,Lists!$N$4:$N$30))</f>
        <v/>
      </c>
      <c r="AP172" s="30" t="str">
        <f aca="false">IF(B172="","",IF(U172="","missing",IF(U172&gt;AO172,"Y","N")))</f>
        <v/>
      </c>
      <c r="AQ172" s="30" t="n">
        <f aca="false">IF(OR(W172="Y",W172="N"),IF(F172="",1,IF(COUNTIFS(F$5:F172,F172,W$5:W172,"Y")+COUNTIFS(F$5:F172,F172,W$5:W172,"N")=1,1,0)),0)</f>
        <v>0</v>
      </c>
      <c r="AR172" s="30" t="n">
        <f aca="false">IF(W172="Y",IF(F172="",1,IF(COUNTIFS(F$5:F172,F172,W$5:W172,"Y")=1,1,0)),0)</f>
        <v>0</v>
      </c>
    </row>
    <row r="173" customFormat="false" ht="15" hidden="false" customHeight="false" outlineLevel="0" collapsed="false">
      <c r="A173" s="103"/>
      <c r="B173" s="103"/>
      <c r="C173" s="102"/>
      <c r="D173" s="103"/>
      <c r="E173" s="103"/>
      <c r="F173" s="103"/>
      <c r="G173" s="103"/>
      <c r="H173" s="103"/>
      <c r="I173" s="103"/>
      <c r="J173" s="103"/>
      <c r="K173" s="103"/>
      <c r="L173" s="103"/>
      <c r="M173" s="103"/>
      <c r="N173" s="103"/>
      <c r="O173" s="103"/>
      <c r="P173" s="103"/>
      <c r="Q173" s="103"/>
      <c r="R173" s="105"/>
      <c r="S173" s="102"/>
      <c r="T173" s="105"/>
      <c r="U173" s="102"/>
      <c r="V173" s="103"/>
      <c r="W173" s="103"/>
      <c r="X173" s="105"/>
      <c r="Y173" s="102"/>
      <c r="Z173" s="103"/>
      <c r="AL173" s="30" t="str">
        <f aca="false">IF(B173="","",IFERROR(INDEX(Schedule!$N$7:$N$18,MATCH(B173,Schedule!$A$7:$A$18,0)),"not in schedule"))</f>
        <v/>
      </c>
      <c r="AM173" s="19" t="str">
        <f aca="false">IF(B173="","",N(R173)-N(X173))</f>
        <v/>
      </c>
      <c r="AN173" s="95" t="str">
        <f aca="false">IF(B173="","",IF(Z173&lt;&gt;"",Z173,IF(N(G173)&gt;0,N(N173)/G173,"")))</f>
        <v/>
      </c>
      <c r="AO173" s="18" t="str">
        <f aca="false">IF(OR(B173="",C173=""),"",WORKDAY(C173,Inputs!$C$132,Lists!$N$4:$N$30))</f>
        <v/>
      </c>
      <c r="AP173" s="30" t="str">
        <f aca="false">IF(B173="","",IF(U173="","missing",IF(U173&gt;AO173,"Y","N")))</f>
        <v/>
      </c>
      <c r="AQ173" s="30" t="n">
        <f aca="false">IF(OR(W173="Y",W173="N"),IF(F173="",1,IF(COUNTIFS(F$5:F173,F173,W$5:W173,"Y")+COUNTIFS(F$5:F173,F173,W$5:W173,"N")=1,1,0)),0)</f>
        <v>0</v>
      </c>
      <c r="AR173" s="30" t="n">
        <f aca="false">IF(W173="Y",IF(F173="",1,IF(COUNTIFS(F$5:F173,F173,W$5:W173,"Y")=1,1,0)),0)</f>
        <v>0</v>
      </c>
    </row>
    <row r="174" customFormat="false" ht="15" hidden="false" customHeight="false" outlineLevel="0" collapsed="false">
      <c r="A174" s="103"/>
      <c r="B174" s="103"/>
      <c r="C174" s="102"/>
      <c r="D174" s="103"/>
      <c r="E174" s="103"/>
      <c r="F174" s="103"/>
      <c r="G174" s="103"/>
      <c r="H174" s="103"/>
      <c r="I174" s="103"/>
      <c r="J174" s="103"/>
      <c r="K174" s="103"/>
      <c r="L174" s="103"/>
      <c r="M174" s="103"/>
      <c r="N174" s="103"/>
      <c r="O174" s="103"/>
      <c r="P174" s="103"/>
      <c r="Q174" s="103"/>
      <c r="R174" s="105"/>
      <c r="S174" s="102"/>
      <c r="T174" s="105"/>
      <c r="U174" s="102"/>
      <c r="V174" s="103"/>
      <c r="W174" s="103"/>
      <c r="X174" s="105"/>
      <c r="Y174" s="102"/>
      <c r="Z174" s="103"/>
      <c r="AL174" s="30" t="str">
        <f aca="false">IF(B174="","",IFERROR(INDEX(Schedule!$N$7:$N$18,MATCH(B174,Schedule!$A$7:$A$18,0)),"not in schedule"))</f>
        <v/>
      </c>
      <c r="AM174" s="19" t="str">
        <f aca="false">IF(B174="","",N(R174)-N(X174))</f>
        <v/>
      </c>
      <c r="AN174" s="95" t="str">
        <f aca="false">IF(B174="","",IF(Z174&lt;&gt;"",Z174,IF(N(G174)&gt;0,N(N174)/G174,"")))</f>
        <v/>
      </c>
      <c r="AO174" s="18" t="str">
        <f aca="false">IF(OR(B174="",C174=""),"",WORKDAY(C174,Inputs!$C$132,Lists!$N$4:$N$30))</f>
        <v/>
      </c>
      <c r="AP174" s="30" t="str">
        <f aca="false">IF(B174="","",IF(U174="","missing",IF(U174&gt;AO174,"Y","N")))</f>
        <v/>
      </c>
      <c r="AQ174" s="30" t="n">
        <f aca="false">IF(OR(W174="Y",W174="N"),IF(F174="",1,IF(COUNTIFS(F$5:F174,F174,W$5:W174,"Y")+COUNTIFS(F$5:F174,F174,W$5:W174,"N")=1,1,0)),0)</f>
        <v>0</v>
      </c>
      <c r="AR174" s="30" t="n">
        <f aca="false">IF(W174="Y",IF(F174="",1,IF(COUNTIFS(F$5:F174,F174,W$5:W174,"Y")=1,1,0)),0)</f>
        <v>0</v>
      </c>
    </row>
    <row r="175" customFormat="false" ht="15" hidden="false" customHeight="false" outlineLevel="0" collapsed="false">
      <c r="A175" s="103"/>
      <c r="B175" s="103"/>
      <c r="C175" s="102"/>
      <c r="D175" s="103"/>
      <c r="E175" s="103"/>
      <c r="F175" s="103"/>
      <c r="G175" s="103"/>
      <c r="H175" s="103"/>
      <c r="I175" s="103"/>
      <c r="J175" s="103"/>
      <c r="K175" s="103"/>
      <c r="L175" s="103"/>
      <c r="M175" s="103"/>
      <c r="N175" s="103"/>
      <c r="O175" s="103"/>
      <c r="P175" s="103"/>
      <c r="Q175" s="103"/>
      <c r="R175" s="105"/>
      <c r="S175" s="102"/>
      <c r="T175" s="105"/>
      <c r="U175" s="102"/>
      <c r="V175" s="103"/>
      <c r="W175" s="103"/>
      <c r="X175" s="105"/>
      <c r="Y175" s="102"/>
      <c r="Z175" s="103"/>
      <c r="AL175" s="30" t="str">
        <f aca="false">IF(B175="","",IFERROR(INDEX(Schedule!$N$7:$N$18,MATCH(B175,Schedule!$A$7:$A$18,0)),"not in schedule"))</f>
        <v/>
      </c>
      <c r="AM175" s="19" t="str">
        <f aca="false">IF(B175="","",N(R175)-N(X175))</f>
        <v/>
      </c>
      <c r="AN175" s="95" t="str">
        <f aca="false">IF(B175="","",IF(Z175&lt;&gt;"",Z175,IF(N(G175)&gt;0,N(N175)/G175,"")))</f>
        <v/>
      </c>
      <c r="AO175" s="18" t="str">
        <f aca="false">IF(OR(B175="",C175=""),"",WORKDAY(C175,Inputs!$C$132,Lists!$N$4:$N$30))</f>
        <v/>
      </c>
      <c r="AP175" s="30" t="str">
        <f aca="false">IF(B175="","",IF(U175="","missing",IF(U175&gt;AO175,"Y","N")))</f>
        <v/>
      </c>
      <c r="AQ175" s="30" t="n">
        <f aca="false">IF(OR(W175="Y",W175="N"),IF(F175="",1,IF(COUNTIFS(F$5:F175,F175,W$5:W175,"Y")+COUNTIFS(F$5:F175,F175,W$5:W175,"N")=1,1,0)),0)</f>
        <v>0</v>
      </c>
      <c r="AR175" s="30" t="n">
        <f aca="false">IF(W175="Y",IF(F175="",1,IF(COUNTIFS(F$5:F175,F175,W$5:W175,"Y")=1,1,0)),0)</f>
        <v>0</v>
      </c>
    </row>
    <row r="176" customFormat="false" ht="15" hidden="false" customHeight="false" outlineLevel="0" collapsed="false">
      <c r="A176" s="103"/>
      <c r="B176" s="103"/>
      <c r="C176" s="102"/>
      <c r="D176" s="103"/>
      <c r="E176" s="103"/>
      <c r="F176" s="103"/>
      <c r="G176" s="103"/>
      <c r="H176" s="103"/>
      <c r="I176" s="103"/>
      <c r="J176" s="103"/>
      <c r="K176" s="103"/>
      <c r="L176" s="103"/>
      <c r="M176" s="103"/>
      <c r="N176" s="103"/>
      <c r="O176" s="103"/>
      <c r="P176" s="103"/>
      <c r="Q176" s="103"/>
      <c r="R176" s="105"/>
      <c r="S176" s="102"/>
      <c r="T176" s="105"/>
      <c r="U176" s="102"/>
      <c r="V176" s="103"/>
      <c r="W176" s="103"/>
      <c r="X176" s="105"/>
      <c r="Y176" s="102"/>
      <c r="Z176" s="103"/>
      <c r="AL176" s="30" t="str">
        <f aca="false">IF(B176="","",IFERROR(INDEX(Schedule!$N$7:$N$18,MATCH(B176,Schedule!$A$7:$A$18,0)),"not in schedule"))</f>
        <v/>
      </c>
      <c r="AM176" s="19" t="str">
        <f aca="false">IF(B176="","",N(R176)-N(X176))</f>
        <v/>
      </c>
      <c r="AN176" s="95" t="str">
        <f aca="false">IF(B176="","",IF(Z176&lt;&gt;"",Z176,IF(N(G176)&gt;0,N(N176)/G176,"")))</f>
        <v/>
      </c>
      <c r="AO176" s="18" t="str">
        <f aca="false">IF(OR(B176="",C176=""),"",WORKDAY(C176,Inputs!$C$132,Lists!$N$4:$N$30))</f>
        <v/>
      </c>
      <c r="AP176" s="30" t="str">
        <f aca="false">IF(B176="","",IF(U176="","missing",IF(U176&gt;AO176,"Y","N")))</f>
        <v/>
      </c>
      <c r="AQ176" s="30" t="n">
        <f aca="false">IF(OR(W176="Y",W176="N"),IF(F176="",1,IF(COUNTIFS(F$5:F176,F176,W$5:W176,"Y")+COUNTIFS(F$5:F176,F176,W$5:W176,"N")=1,1,0)),0)</f>
        <v>0</v>
      </c>
      <c r="AR176" s="30" t="n">
        <f aca="false">IF(W176="Y",IF(F176="",1,IF(COUNTIFS(F$5:F176,F176,W$5:W176,"Y")=1,1,0)),0)</f>
        <v>0</v>
      </c>
    </row>
    <row r="177" customFormat="false" ht="15" hidden="false" customHeight="false" outlineLevel="0" collapsed="false">
      <c r="A177" s="103"/>
      <c r="B177" s="103"/>
      <c r="C177" s="102"/>
      <c r="D177" s="103"/>
      <c r="E177" s="103"/>
      <c r="F177" s="103"/>
      <c r="G177" s="103"/>
      <c r="H177" s="103"/>
      <c r="I177" s="103"/>
      <c r="J177" s="103"/>
      <c r="K177" s="103"/>
      <c r="L177" s="103"/>
      <c r="M177" s="103"/>
      <c r="N177" s="103"/>
      <c r="O177" s="103"/>
      <c r="P177" s="103"/>
      <c r="Q177" s="103"/>
      <c r="R177" s="105"/>
      <c r="S177" s="102"/>
      <c r="T177" s="105"/>
      <c r="U177" s="102"/>
      <c r="V177" s="103"/>
      <c r="W177" s="103"/>
      <c r="X177" s="105"/>
      <c r="Y177" s="102"/>
      <c r="Z177" s="103"/>
      <c r="AL177" s="30" t="str">
        <f aca="false">IF(B177="","",IFERROR(INDEX(Schedule!$N$7:$N$18,MATCH(B177,Schedule!$A$7:$A$18,0)),"not in schedule"))</f>
        <v/>
      </c>
      <c r="AM177" s="19" t="str">
        <f aca="false">IF(B177="","",N(R177)-N(X177))</f>
        <v/>
      </c>
      <c r="AN177" s="95" t="str">
        <f aca="false">IF(B177="","",IF(Z177&lt;&gt;"",Z177,IF(N(G177)&gt;0,N(N177)/G177,"")))</f>
        <v/>
      </c>
      <c r="AO177" s="18" t="str">
        <f aca="false">IF(OR(B177="",C177=""),"",WORKDAY(C177,Inputs!$C$132,Lists!$N$4:$N$30))</f>
        <v/>
      </c>
      <c r="AP177" s="30" t="str">
        <f aca="false">IF(B177="","",IF(U177="","missing",IF(U177&gt;AO177,"Y","N")))</f>
        <v/>
      </c>
      <c r="AQ177" s="30" t="n">
        <f aca="false">IF(OR(W177="Y",W177="N"),IF(F177="",1,IF(COUNTIFS(F$5:F177,F177,W$5:W177,"Y")+COUNTIFS(F$5:F177,F177,W$5:W177,"N")=1,1,0)),0)</f>
        <v>0</v>
      </c>
      <c r="AR177" s="30" t="n">
        <f aca="false">IF(W177="Y",IF(F177="",1,IF(COUNTIFS(F$5:F177,F177,W$5:W177,"Y")=1,1,0)),0)</f>
        <v>0</v>
      </c>
    </row>
    <row r="178" customFormat="false" ht="15" hidden="false" customHeight="false" outlineLevel="0" collapsed="false">
      <c r="A178" s="103"/>
      <c r="B178" s="103"/>
      <c r="C178" s="102"/>
      <c r="D178" s="103"/>
      <c r="E178" s="103"/>
      <c r="F178" s="103"/>
      <c r="G178" s="103"/>
      <c r="H178" s="103"/>
      <c r="I178" s="103"/>
      <c r="J178" s="103"/>
      <c r="K178" s="103"/>
      <c r="L178" s="103"/>
      <c r="M178" s="103"/>
      <c r="N178" s="103"/>
      <c r="O178" s="103"/>
      <c r="P178" s="103"/>
      <c r="Q178" s="103"/>
      <c r="R178" s="105"/>
      <c r="S178" s="102"/>
      <c r="T178" s="105"/>
      <c r="U178" s="102"/>
      <c r="V178" s="103"/>
      <c r="W178" s="103"/>
      <c r="X178" s="105"/>
      <c r="Y178" s="102"/>
      <c r="Z178" s="103"/>
      <c r="AL178" s="30" t="str">
        <f aca="false">IF(B178="","",IFERROR(INDEX(Schedule!$N$7:$N$18,MATCH(B178,Schedule!$A$7:$A$18,0)),"not in schedule"))</f>
        <v/>
      </c>
      <c r="AM178" s="19" t="str">
        <f aca="false">IF(B178="","",N(R178)-N(X178))</f>
        <v/>
      </c>
      <c r="AN178" s="95" t="str">
        <f aca="false">IF(B178="","",IF(Z178&lt;&gt;"",Z178,IF(N(G178)&gt;0,N(N178)/G178,"")))</f>
        <v/>
      </c>
      <c r="AO178" s="18" t="str">
        <f aca="false">IF(OR(B178="",C178=""),"",WORKDAY(C178,Inputs!$C$132,Lists!$N$4:$N$30))</f>
        <v/>
      </c>
      <c r="AP178" s="30" t="str">
        <f aca="false">IF(B178="","",IF(U178="","missing",IF(U178&gt;AO178,"Y","N")))</f>
        <v/>
      </c>
      <c r="AQ178" s="30" t="n">
        <f aca="false">IF(OR(W178="Y",W178="N"),IF(F178="",1,IF(COUNTIFS(F$5:F178,F178,W$5:W178,"Y")+COUNTIFS(F$5:F178,F178,W$5:W178,"N")=1,1,0)),0)</f>
        <v>0</v>
      </c>
      <c r="AR178" s="30" t="n">
        <f aca="false">IF(W178="Y",IF(F178="",1,IF(COUNTIFS(F$5:F178,F178,W$5:W178,"Y")=1,1,0)),0)</f>
        <v>0</v>
      </c>
    </row>
    <row r="179" customFormat="false" ht="15" hidden="false" customHeight="false" outlineLevel="0" collapsed="false">
      <c r="A179" s="103"/>
      <c r="B179" s="103"/>
      <c r="C179" s="102"/>
      <c r="D179" s="103"/>
      <c r="E179" s="103"/>
      <c r="F179" s="103"/>
      <c r="G179" s="103"/>
      <c r="H179" s="103"/>
      <c r="I179" s="103"/>
      <c r="J179" s="103"/>
      <c r="K179" s="103"/>
      <c r="L179" s="103"/>
      <c r="M179" s="103"/>
      <c r="N179" s="103"/>
      <c r="O179" s="103"/>
      <c r="P179" s="103"/>
      <c r="Q179" s="103"/>
      <c r="R179" s="105"/>
      <c r="S179" s="102"/>
      <c r="T179" s="105"/>
      <c r="U179" s="102"/>
      <c r="V179" s="103"/>
      <c r="W179" s="103"/>
      <c r="X179" s="105"/>
      <c r="Y179" s="102"/>
      <c r="Z179" s="103"/>
      <c r="AL179" s="30" t="str">
        <f aca="false">IF(B179="","",IFERROR(INDEX(Schedule!$N$7:$N$18,MATCH(B179,Schedule!$A$7:$A$18,0)),"not in schedule"))</f>
        <v/>
      </c>
      <c r="AM179" s="19" t="str">
        <f aca="false">IF(B179="","",N(R179)-N(X179))</f>
        <v/>
      </c>
      <c r="AN179" s="95" t="str">
        <f aca="false">IF(B179="","",IF(Z179&lt;&gt;"",Z179,IF(N(G179)&gt;0,N(N179)/G179,"")))</f>
        <v/>
      </c>
      <c r="AO179" s="18" t="str">
        <f aca="false">IF(OR(B179="",C179=""),"",WORKDAY(C179,Inputs!$C$132,Lists!$N$4:$N$30))</f>
        <v/>
      </c>
      <c r="AP179" s="30" t="str">
        <f aca="false">IF(B179="","",IF(U179="","missing",IF(U179&gt;AO179,"Y","N")))</f>
        <v/>
      </c>
      <c r="AQ179" s="30" t="n">
        <f aca="false">IF(OR(W179="Y",W179="N"),IF(F179="",1,IF(COUNTIFS(F$5:F179,F179,W$5:W179,"Y")+COUNTIFS(F$5:F179,F179,W$5:W179,"N")=1,1,0)),0)</f>
        <v>0</v>
      </c>
      <c r="AR179" s="30" t="n">
        <f aca="false">IF(W179="Y",IF(F179="",1,IF(COUNTIFS(F$5:F179,F179,W$5:W179,"Y")=1,1,0)),0)</f>
        <v>0</v>
      </c>
    </row>
    <row r="180" customFormat="false" ht="15" hidden="false" customHeight="false" outlineLevel="0" collapsed="false">
      <c r="A180" s="103"/>
      <c r="B180" s="103"/>
      <c r="C180" s="102"/>
      <c r="D180" s="103"/>
      <c r="E180" s="103"/>
      <c r="F180" s="103"/>
      <c r="G180" s="103"/>
      <c r="H180" s="103"/>
      <c r="I180" s="103"/>
      <c r="J180" s="103"/>
      <c r="K180" s="103"/>
      <c r="L180" s="103"/>
      <c r="M180" s="103"/>
      <c r="N180" s="103"/>
      <c r="O180" s="103"/>
      <c r="P180" s="103"/>
      <c r="Q180" s="103"/>
      <c r="R180" s="105"/>
      <c r="S180" s="102"/>
      <c r="T180" s="105"/>
      <c r="U180" s="102"/>
      <c r="V180" s="103"/>
      <c r="W180" s="103"/>
      <c r="X180" s="105"/>
      <c r="Y180" s="102"/>
      <c r="Z180" s="103"/>
      <c r="AL180" s="30" t="str">
        <f aca="false">IF(B180="","",IFERROR(INDEX(Schedule!$N$7:$N$18,MATCH(B180,Schedule!$A$7:$A$18,0)),"not in schedule"))</f>
        <v/>
      </c>
      <c r="AM180" s="19" t="str">
        <f aca="false">IF(B180="","",N(R180)-N(X180))</f>
        <v/>
      </c>
      <c r="AN180" s="95" t="str">
        <f aca="false">IF(B180="","",IF(Z180&lt;&gt;"",Z180,IF(N(G180)&gt;0,N(N180)/G180,"")))</f>
        <v/>
      </c>
      <c r="AO180" s="18" t="str">
        <f aca="false">IF(OR(B180="",C180=""),"",WORKDAY(C180,Inputs!$C$132,Lists!$N$4:$N$30))</f>
        <v/>
      </c>
      <c r="AP180" s="30" t="str">
        <f aca="false">IF(B180="","",IF(U180="","missing",IF(U180&gt;AO180,"Y","N")))</f>
        <v/>
      </c>
      <c r="AQ180" s="30" t="n">
        <f aca="false">IF(OR(W180="Y",W180="N"),IF(F180="",1,IF(COUNTIFS(F$5:F180,F180,W$5:W180,"Y")+COUNTIFS(F$5:F180,F180,W$5:W180,"N")=1,1,0)),0)</f>
        <v>0</v>
      </c>
      <c r="AR180" s="30" t="n">
        <f aca="false">IF(W180="Y",IF(F180="",1,IF(COUNTIFS(F$5:F180,F180,W$5:W180,"Y")=1,1,0)),0)</f>
        <v>0</v>
      </c>
    </row>
    <row r="181" customFormat="false" ht="15" hidden="false" customHeight="false" outlineLevel="0" collapsed="false">
      <c r="A181" s="103"/>
      <c r="B181" s="103"/>
      <c r="C181" s="102"/>
      <c r="D181" s="103"/>
      <c r="E181" s="103"/>
      <c r="F181" s="103"/>
      <c r="G181" s="103"/>
      <c r="H181" s="103"/>
      <c r="I181" s="103"/>
      <c r="J181" s="103"/>
      <c r="K181" s="103"/>
      <c r="L181" s="103"/>
      <c r="M181" s="103"/>
      <c r="N181" s="103"/>
      <c r="O181" s="103"/>
      <c r="P181" s="103"/>
      <c r="Q181" s="103"/>
      <c r="R181" s="105"/>
      <c r="S181" s="102"/>
      <c r="T181" s="105"/>
      <c r="U181" s="102"/>
      <c r="V181" s="103"/>
      <c r="W181" s="103"/>
      <c r="X181" s="105"/>
      <c r="Y181" s="102"/>
      <c r="Z181" s="103"/>
      <c r="AL181" s="30" t="str">
        <f aca="false">IF(B181="","",IFERROR(INDEX(Schedule!$N$7:$N$18,MATCH(B181,Schedule!$A$7:$A$18,0)),"not in schedule"))</f>
        <v/>
      </c>
      <c r="AM181" s="19" t="str">
        <f aca="false">IF(B181="","",N(R181)-N(X181))</f>
        <v/>
      </c>
      <c r="AN181" s="95" t="str">
        <f aca="false">IF(B181="","",IF(Z181&lt;&gt;"",Z181,IF(N(G181)&gt;0,N(N181)/G181,"")))</f>
        <v/>
      </c>
      <c r="AO181" s="18" t="str">
        <f aca="false">IF(OR(B181="",C181=""),"",WORKDAY(C181,Inputs!$C$132,Lists!$N$4:$N$30))</f>
        <v/>
      </c>
      <c r="AP181" s="30" t="str">
        <f aca="false">IF(B181="","",IF(U181="","missing",IF(U181&gt;AO181,"Y","N")))</f>
        <v/>
      </c>
      <c r="AQ181" s="30" t="n">
        <f aca="false">IF(OR(W181="Y",W181="N"),IF(F181="",1,IF(COUNTIFS(F$5:F181,F181,W$5:W181,"Y")+COUNTIFS(F$5:F181,F181,W$5:W181,"N")=1,1,0)),0)</f>
        <v>0</v>
      </c>
      <c r="AR181" s="30" t="n">
        <f aca="false">IF(W181="Y",IF(F181="",1,IF(COUNTIFS(F$5:F181,F181,W$5:W181,"Y")=1,1,0)),0)</f>
        <v>0</v>
      </c>
    </row>
    <row r="182" customFormat="false" ht="15" hidden="false" customHeight="false" outlineLevel="0" collapsed="false">
      <c r="A182" s="103"/>
      <c r="B182" s="103"/>
      <c r="C182" s="102"/>
      <c r="D182" s="103"/>
      <c r="E182" s="103"/>
      <c r="F182" s="103"/>
      <c r="G182" s="103"/>
      <c r="H182" s="103"/>
      <c r="I182" s="103"/>
      <c r="J182" s="103"/>
      <c r="K182" s="103"/>
      <c r="L182" s="103"/>
      <c r="M182" s="103"/>
      <c r="N182" s="103"/>
      <c r="O182" s="103"/>
      <c r="P182" s="103"/>
      <c r="Q182" s="103"/>
      <c r="R182" s="105"/>
      <c r="S182" s="102"/>
      <c r="T182" s="105"/>
      <c r="U182" s="102"/>
      <c r="V182" s="103"/>
      <c r="W182" s="103"/>
      <c r="X182" s="105"/>
      <c r="Y182" s="102"/>
      <c r="Z182" s="103"/>
      <c r="AL182" s="30" t="str">
        <f aca="false">IF(B182="","",IFERROR(INDEX(Schedule!$N$7:$N$18,MATCH(B182,Schedule!$A$7:$A$18,0)),"not in schedule"))</f>
        <v/>
      </c>
      <c r="AM182" s="19" t="str">
        <f aca="false">IF(B182="","",N(R182)-N(X182))</f>
        <v/>
      </c>
      <c r="AN182" s="95" t="str">
        <f aca="false">IF(B182="","",IF(Z182&lt;&gt;"",Z182,IF(N(G182)&gt;0,N(N182)/G182,"")))</f>
        <v/>
      </c>
      <c r="AO182" s="18" t="str">
        <f aca="false">IF(OR(B182="",C182=""),"",WORKDAY(C182,Inputs!$C$132,Lists!$N$4:$N$30))</f>
        <v/>
      </c>
      <c r="AP182" s="30" t="str">
        <f aca="false">IF(B182="","",IF(U182="","missing",IF(U182&gt;AO182,"Y","N")))</f>
        <v/>
      </c>
      <c r="AQ182" s="30" t="n">
        <f aca="false">IF(OR(W182="Y",W182="N"),IF(F182="",1,IF(COUNTIFS(F$5:F182,F182,W$5:W182,"Y")+COUNTIFS(F$5:F182,F182,W$5:W182,"N")=1,1,0)),0)</f>
        <v>0</v>
      </c>
      <c r="AR182" s="30" t="n">
        <f aca="false">IF(W182="Y",IF(F182="",1,IF(COUNTIFS(F$5:F182,F182,W$5:W182,"Y")=1,1,0)),0)</f>
        <v>0</v>
      </c>
    </row>
    <row r="183" customFormat="false" ht="15" hidden="false" customHeight="false" outlineLevel="0" collapsed="false">
      <c r="A183" s="103"/>
      <c r="B183" s="103"/>
      <c r="C183" s="102"/>
      <c r="D183" s="103"/>
      <c r="E183" s="103"/>
      <c r="F183" s="103"/>
      <c r="G183" s="103"/>
      <c r="H183" s="103"/>
      <c r="I183" s="103"/>
      <c r="J183" s="103"/>
      <c r="K183" s="103"/>
      <c r="L183" s="103"/>
      <c r="M183" s="103"/>
      <c r="N183" s="103"/>
      <c r="O183" s="103"/>
      <c r="P183" s="103"/>
      <c r="Q183" s="103"/>
      <c r="R183" s="105"/>
      <c r="S183" s="102"/>
      <c r="T183" s="105"/>
      <c r="U183" s="102"/>
      <c r="V183" s="103"/>
      <c r="W183" s="103"/>
      <c r="X183" s="105"/>
      <c r="Y183" s="102"/>
      <c r="Z183" s="103"/>
      <c r="AL183" s="30" t="str">
        <f aca="false">IF(B183="","",IFERROR(INDEX(Schedule!$N$7:$N$18,MATCH(B183,Schedule!$A$7:$A$18,0)),"not in schedule"))</f>
        <v/>
      </c>
      <c r="AM183" s="19" t="str">
        <f aca="false">IF(B183="","",N(R183)-N(X183))</f>
        <v/>
      </c>
      <c r="AN183" s="95" t="str">
        <f aca="false">IF(B183="","",IF(Z183&lt;&gt;"",Z183,IF(N(G183)&gt;0,N(N183)/G183,"")))</f>
        <v/>
      </c>
      <c r="AO183" s="18" t="str">
        <f aca="false">IF(OR(B183="",C183=""),"",WORKDAY(C183,Inputs!$C$132,Lists!$N$4:$N$30))</f>
        <v/>
      </c>
      <c r="AP183" s="30" t="str">
        <f aca="false">IF(B183="","",IF(U183="","missing",IF(U183&gt;AO183,"Y","N")))</f>
        <v/>
      </c>
      <c r="AQ183" s="30" t="n">
        <f aca="false">IF(OR(W183="Y",W183="N"),IF(F183="",1,IF(COUNTIFS(F$5:F183,F183,W$5:W183,"Y")+COUNTIFS(F$5:F183,F183,W$5:W183,"N")=1,1,0)),0)</f>
        <v>0</v>
      </c>
      <c r="AR183" s="30" t="n">
        <f aca="false">IF(W183="Y",IF(F183="",1,IF(COUNTIFS(F$5:F183,F183,W$5:W183,"Y")=1,1,0)),0)</f>
        <v>0</v>
      </c>
    </row>
    <row r="184" customFormat="false" ht="15" hidden="false" customHeight="false" outlineLevel="0" collapsed="false">
      <c r="A184" s="103"/>
      <c r="B184" s="103"/>
      <c r="C184" s="102"/>
      <c r="D184" s="103"/>
      <c r="E184" s="103"/>
      <c r="F184" s="103"/>
      <c r="G184" s="103"/>
      <c r="H184" s="103"/>
      <c r="I184" s="103"/>
      <c r="J184" s="103"/>
      <c r="K184" s="103"/>
      <c r="L184" s="103"/>
      <c r="M184" s="103"/>
      <c r="N184" s="103"/>
      <c r="O184" s="103"/>
      <c r="P184" s="103"/>
      <c r="Q184" s="103"/>
      <c r="R184" s="105"/>
      <c r="S184" s="102"/>
      <c r="T184" s="105"/>
      <c r="U184" s="102"/>
      <c r="V184" s="103"/>
      <c r="W184" s="103"/>
      <c r="X184" s="105"/>
      <c r="Y184" s="102"/>
      <c r="Z184" s="103"/>
      <c r="AL184" s="30" t="str">
        <f aca="false">IF(B184="","",IFERROR(INDEX(Schedule!$N$7:$N$18,MATCH(B184,Schedule!$A$7:$A$18,0)),"not in schedule"))</f>
        <v/>
      </c>
      <c r="AM184" s="19" t="str">
        <f aca="false">IF(B184="","",N(R184)-N(X184))</f>
        <v/>
      </c>
      <c r="AN184" s="95" t="str">
        <f aca="false">IF(B184="","",IF(Z184&lt;&gt;"",Z184,IF(N(G184)&gt;0,N(N184)/G184,"")))</f>
        <v/>
      </c>
      <c r="AO184" s="18" t="str">
        <f aca="false">IF(OR(B184="",C184=""),"",WORKDAY(C184,Inputs!$C$132,Lists!$N$4:$N$30))</f>
        <v/>
      </c>
      <c r="AP184" s="30" t="str">
        <f aca="false">IF(B184="","",IF(U184="","missing",IF(U184&gt;AO184,"Y","N")))</f>
        <v/>
      </c>
      <c r="AQ184" s="30" t="n">
        <f aca="false">IF(OR(W184="Y",W184="N"),IF(F184="",1,IF(COUNTIFS(F$5:F184,F184,W$5:W184,"Y")+COUNTIFS(F$5:F184,F184,W$5:W184,"N")=1,1,0)),0)</f>
        <v>0</v>
      </c>
      <c r="AR184" s="30" t="n">
        <f aca="false">IF(W184="Y",IF(F184="",1,IF(COUNTIFS(F$5:F184,F184,W$5:W184,"Y")=1,1,0)),0)</f>
        <v>0</v>
      </c>
    </row>
    <row r="185" customFormat="false" ht="15" hidden="false" customHeight="false" outlineLevel="0" collapsed="false">
      <c r="A185" s="103"/>
      <c r="B185" s="103"/>
      <c r="C185" s="102"/>
      <c r="D185" s="103"/>
      <c r="E185" s="103"/>
      <c r="F185" s="103"/>
      <c r="G185" s="103"/>
      <c r="H185" s="103"/>
      <c r="I185" s="103"/>
      <c r="J185" s="103"/>
      <c r="K185" s="103"/>
      <c r="L185" s="103"/>
      <c r="M185" s="103"/>
      <c r="N185" s="103"/>
      <c r="O185" s="103"/>
      <c r="P185" s="103"/>
      <c r="Q185" s="103"/>
      <c r="R185" s="105"/>
      <c r="S185" s="102"/>
      <c r="T185" s="105"/>
      <c r="U185" s="102"/>
      <c r="V185" s="103"/>
      <c r="W185" s="103"/>
      <c r="X185" s="105"/>
      <c r="Y185" s="102"/>
      <c r="Z185" s="103"/>
      <c r="AL185" s="30" t="str">
        <f aca="false">IF(B185="","",IFERROR(INDEX(Schedule!$N$7:$N$18,MATCH(B185,Schedule!$A$7:$A$18,0)),"not in schedule"))</f>
        <v/>
      </c>
      <c r="AM185" s="19" t="str">
        <f aca="false">IF(B185="","",N(R185)-N(X185))</f>
        <v/>
      </c>
      <c r="AN185" s="95" t="str">
        <f aca="false">IF(B185="","",IF(Z185&lt;&gt;"",Z185,IF(N(G185)&gt;0,N(N185)/G185,"")))</f>
        <v/>
      </c>
      <c r="AO185" s="18" t="str">
        <f aca="false">IF(OR(B185="",C185=""),"",WORKDAY(C185,Inputs!$C$132,Lists!$N$4:$N$30))</f>
        <v/>
      </c>
      <c r="AP185" s="30" t="str">
        <f aca="false">IF(B185="","",IF(U185="","missing",IF(U185&gt;AO185,"Y","N")))</f>
        <v/>
      </c>
      <c r="AQ185" s="30" t="n">
        <f aca="false">IF(OR(W185="Y",W185="N"),IF(F185="",1,IF(COUNTIFS(F$5:F185,F185,W$5:W185,"Y")+COUNTIFS(F$5:F185,F185,W$5:W185,"N")=1,1,0)),0)</f>
        <v>0</v>
      </c>
      <c r="AR185" s="30" t="n">
        <f aca="false">IF(W185="Y",IF(F185="",1,IF(COUNTIFS(F$5:F185,F185,W$5:W185,"Y")=1,1,0)),0)</f>
        <v>0</v>
      </c>
    </row>
    <row r="186" customFormat="false" ht="15" hidden="false" customHeight="false" outlineLevel="0" collapsed="false">
      <c r="A186" s="103"/>
      <c r="B186" s="103"/>
      <c r="C186" s="102"/>
      <c r="D186" s="103"/>
      <c r="E186" s="103"/>
      <c r="F186" s="103"/>
      <c r="G186" s="103"/>
      <c r="H186" s="103"/>
      <c r="I186" s="103"/>
      <c r="J186" s="103"/>
      <c r="K186" s="103"/>
      <c r="L186" s="103"/>
      <c r="M186" s="103"/>
      <c r="N186" s="103"/>
      <c r="O186" s="103"/>
      <c r="P186" s="103"/>
      <c r="Q186" s="103"/>
      <c r="R186" s="105"/>
      <c r="S186" s="102"/>
      <c r="T186" s="105"/>
      <c r="U186" s="102"/>
      <c r="V186" s="103"/>
      <c r="W186" s="103"/>
      <c r="X186" s="105"/>
      <c r="Y186" s="102"/>
      <c r="Z186" s="103"/>
      <c r="AL186" s="30" t="str">
        <f aca="false">IF(B186="","",IFERROR(INDEX(Schedule!$N$7:$N$18,MATCH(B186,Schedule!$A$7:$A$18,0)),"not in schedule"))</f>
        <v/>
      </c>
      <c r="AM186" s="19" t="str">
        <f aca="false">IF(B186="","",N(R186)-N(X186))</f>
        <v/>
      </c>
      <c r="AN186" s="95" t="str">
        <f aca="false">IF(B186="","",IF(Z186&lt;&gt;"",Z186,IF(N(G186)&gt;0,N(N186)/G186,"")))</f>
        <v/>
      </c>
      <c r="AO186" s="18" t="str">
        <f aca="false">IF(OR(B186="",C186=""),"",WORKDAY(C186,Inputs!$C$132,Lists!$N$4:$N$30))</f>
        <v/>
      </c>
      <c r="AP186" s="30" t="str">
        <f aca="false">IF(B186="","",IF(U186="","missing",IF(U186&gt;AO186,"Y","N")))</f>
        <v/>
      </c>
      <c r="AQ186" s="30" t="n">
        <f aca="false">IF(OR(W186="Y",W186="N"),IF(F186="",1,IF(COUNTIFS(F$5:F186,F186,W$5:W186,"Y")+COUNTIFS(F$5:F186,F186,W$5:W186,"N")=1,1,0)),0)</f>
        <v>0</v>
      </c>
      <c r="AR186" s="30" t="n">
        <f aca="false">IF(W186="Y",IF(F186="",1,IF(COUNTIFS(F$5:F186,F186,W$5:W186,"Y")=1,1,0)),0)</f>
        <v>0</v>
      </c>
    </row>
    <row r="187" customFormat="false" ht="15" hidden="false" customHeight="false" outlineLevel="0" collapsed="false">
      <c r="A187" s="103"/>
      <c r="B187" s="103"/>
      <c r="C187" s="102"/>
      <c r="D187" s="103"/>
      <c r="E187" s="103"/>
      <c r="F187" s="103"/>
      <c r="G187" s="103"/>
      <c r="H187" s="103"/>
      <c r="I187" s="103"/>
      <c r="J187" s="103"/>
      <c r="K187" s="103"/>
      <c r="L187" s="103"/>
      <c r="M187" s="103"/>
      <c r="N187" s="103"/>
      <c r="O187" s="103"/>
      <c r="P187" s="103"/>
      <c r="Q187" s="103"/>
      <c r="R187" s="105"/>
      <c r="S187" s="102"/>
      <c r="T187" s="105"/>
      <c r="U187" s="102"/>
      <c r="V187" s="103"/>
      <c r="W187" s="103"/>
      <c r="X187" s="105"/>
      <c r="Y187" s="102"/>
      <c r="Z187" s="103"/>
      <c r="AL187" s="30" t="str">
        <f aca="false">IF(B187="","",IFERROR(INDEX(Schedule!$N$7:$N$18,MATCH(B187,Schedule!$A$7:$A$18,0)),"not in schedule"))</f>
        <v/>
      </c>
      <c r="AM187" s="19" t="str">
        <f aca="false">IF(B187="","",N(R187)-N(X187))</f>
        <v/>
      </c>
      <c r="AN187" s="95" t="str">
        <f aca="false">IF(B187="","",IF(Z187&lt;&gt;"",Z187,IF(N(G187)&gt;0,N(N187)/G187,"")))</f>
        <v/>
      </c>
      <c r="AO187" s="18" t="str">
        <f aca="false">IF(OR(B187="",C187=""),"",WORKDAY(C187,Inputs!$C$132,Lists!$N$4:$N$30))</f>
        <v/>
      </c>
      <c r="AP187" s="30" t="str">
        <f aca="false">IF(B187="","",IF(U187="","missing",IF(U187&gt;AO187,"Y","N")))</f>
        <v/>
      </c>
      <c r="AQ187" s="30" t="n">
        <f aca="false">IF(OR(W187="Y",W187="N"),IF(F187="",1,IF(COUNTIFS(F$5:F187,F187,W$5:W187,"Y")+COUNTIFS(F$5:F187,F187,W$5:W187,"N")=1,1,0)),0)</f>
        <v>0</v>
      </c>
      <c r="AR187" s="30" t="n">
        <f aca="false">IF(W187="Y",IF(F187="",1,IF(COUNTIFS(F$5:F187,F187,W$5:W187,"Y")=1,1,0)),0)</f>
        <v>0</v>
      </c>
    </row>
    <row r="188" customFormat="false" ht="15" hidden="false" customHeight="false" outlineLevel="0" collapsed="false">
      <c r="A188" s="103"/>
      <c r="B188" s="103"/>
      <c r="C188" s="102"/>
      <c r="D188" s="103"/>
      <c r="E188" s="103"/>
      <c r="F188" s="103"/>
      <c r="G188" s="103"/>
      <c r="H188" s="103"/>
      <c r="I188" s="103"/>
      <c r="J188" s="103"/>
      <c r="K188" s="103"/>
      <c r="L188" s="103"/>
      <c r="M188" s="103"/>
      <c r="N188" s="103"/>
      <c r="O188" s="103"/>
      <c r="P188" s="103"/>
      <c r="Q188" s="103"/>
      <c r="R188" s="105"/>
      <c r="S188" s="102"/>
      <c r="T188" s="105"/>
      <c r="U188" s="102"/>
      <c r="V188" s="103"/>
      <c r="W188" s="103"/>
      <c r="X188" s="105"/>
      <c r="Y188" s="102"/>
      <c r="Z188" s="103"/>
      <c r="AL188" s="30" t="str">
        <f aca="false">IF(B188="","",IFERROR(INDEX(Schedule!$N$7:$N$18,MATCH(B188,Schedule!$A$7:$A$18,0)),"not in schedule"))</f>
        <v/>
      </c>
      <c r="AM188" s="19" t="str">
        <f aca="false">IF(B188="","",N(R188)-N(X188))</f>
        <v/>
      </c>
      <c r="AN188" s="95" t="str">
        <f aca="false">IF(B188="","",IF(Z188&lt;&gt;"",Z188,IF(N(G188)&gt;0,N(N188)/G188,"")))</f>
        <v/>
      </c>
      <c r="AO188" s="18" t="str">
        <f aca="false">IF(OR(B188="",C188=""),"",WORKDAY(C188,Inputs!$C$132,Lists!$N$4:$N$30))</f>
        <v/>
      </c>
      <c r="AP188" s="30" t="str">
        <f aca="false">IF(B188="","",IF(U188="","missing",IF(U188&gt;AO188,"Y","N")))</f>
        <v/>
      </c>
      <c r="AQ188" s="30" t="n">
        <f aca="false">IF(OR(W188="Y",W188="N"),IF(F188="",1,IF(COUNTIFS(F$5:F188,F188,W$5:W188,"Y")+COUNTIFS(F$5:F188,F188,W$5:W188,"N")=1,1,0)),0)</f>
        <v>0</v>
      </c>
      <c r="AR188" s="30" t="n">
        <f aca="false">IF(W188="Y",IF(F188="",1,IF(COUNTIFS(F$5:F188,F188,W$5:W188,"Y")=1,1,0)),0)</f>
        <v>0</v>
      </c>
    </row>
    <row r="189" customFormat="false" ht="15" hidden="false" customHeight="false" outlineLevel="0" collapsed="false">
      <c r="A189" s="103"/>
      <c r="B189" s="103"/>
      <c r="C189" s="102"/>
      <c r="D189" s="103"/>
      <c r="E189" s="103"/>
      <c r="F189" s="103"/>
      <c r="G189" s="103"/>
      <c r="H189" s="103"/>
      <c r="I189" s="103"/>
      <c r="J189" s="103"/>
      <c r="K189" s="103"/>
      <c r="L189" s="103"/>
      <c r="M189" s="103"/>
      <c r="N189" s="103"/>
      <c r="O189" s="103"/>
      <c r="P189" s="103"/>
      <c r="Q189" s="103"/>
      <c r="R189" s="105"/>
      <c r="S189" s="102"/>
      <c r="T189" s="105"/>
      <c r="U189" s="102"/>
      <c r="V189" s="103"/>
      <c r="W189" s="103"/>
      <c r="X189" s="105"/>
      <c r="Y189" s="102"/>
      <c r="Z189" s="103"/>
      <c r="AL189" s="30" t="str">
        <f aca="false">IF(B189="","",IFERROR(INDEX(Schedule!$N$7:$N$18,MATCH(B189,Schedule!$A$7:$A$18,0)),"not in schedule"))</f>
        <v/>
      </c>
      <c r="AM189" s="19" t="str">
        <f aca="false">IF(B189="","",N(R189)-N(X189))</f>
        <v/>
      </c>
      <c r="AN189" s="95" t="str">
        <f aca="false">IF(B189="","",IF(Z189&lt;&gt;"",Z189,IF(N(G189)&gt;0,N(N189)/G189,"")))</f>
        <v/>
      </c>
      <c r="AO189" s="18" t="str">
        <f aca="false">IF(OR(B189="",C189=""),"",WORKDAY(C189,Inputs!$C$132,Lists!$N$4:$N$30))</f>
        <v/>
      </c>
      <c r="AP189" s="30" t="str">
        <f aca="false">IF(B189="","",IF(U189="","missing",IF(U189&gt;AO189,"Y","N")))</f>
        <v/>
      </c>
      <c r="AQ189" s="30" t="n">
        <f aca="false">IF(OR(W189="Y",W189="N"),IF(F189="",1,IF(COUNTIFS(F$5:F189,F189,W$5:W189,"Y")+COUNTIFS(F$5:F189,F189,W$5:W189,"N")=1,1,0)),0)</f>
        <v>0</v>
      </c>
      <c r="AR189" s="30" t="n">
        <f aca="false">IF(W189="Y",IF(F189="",1,IF(COUNTIFS(F$5:F189,F189,W$5:W189,"Y")=1,1,0)),0)</f>
        <v>0</v>
      </c>
    </row>
    <row r="190" customFormat="false" ht="15" hidden="false" customHeight="false" outlineLevel="0" collapsed="false">
      <c r="A190" s="103"/>
      <c r="B190" s="103"/>
      <c r="C190" s="102"/>
      <c r="D190" s="103"/>
      <c r="E190" s="103"/>
      <c r="F190" s="103"/>
      <c r="G190" s="103"/>
      <c r="H190" s="103"/>
      <c r="I190" s="103"/>
      <c r="J190" s="103"/>
      <c r="K190" s="103"/>
      <c r="L190" s="103"/>
      <c r="M190" s="103"/>
      <c r="N190" s="103"/>
      <c r="O190" s="103"/>
      <c r="P190" s="103"/>
      <c r="Q190" s="103"/>
      <c r="R190" s="105"/>
      <c r="S190" s="102"/>
      <c r="T190" s="105"/>
      <c r="U190" s="102"/>
      <c r="V190" s="103"/>
      <c r="W190" s="103"/>
      <c r="X190" s="105"/>
      <c r="Y190" s="102"/>
      <c r="Z190" s="103"/>
      <c r="AL190" s="30" t="str">
        <f aca="false">IF(B190="","",IFERROR(INDEX(Schedule!$N$7:$N$18,MATCH(B190,Schedule!$A$7:$A$18,0)),"not in schedule"))</f>
        <v/>
      </c>
      <c r="AM190" s="19" t="str">
        <f aca="false">IF(B190="","",N(R190)-N(X190))</f>
        <v/>
      </c>
      <c r="AN190" s="95" t="str">
        <f aca="false">IF(B190="","",IF(Z190&lt;&gt;"",Z190,IF(N(G190)&gt;0,N(N190)/G190,"")))</f>
        <v/>
      </c>
      <c r="AO190" s="18" t="str">
        <f aca="false">IF(OR(B190="",C190=""),"",WORKDAY(C190,Inputs!$C$132,Lists!$N$4:$N$30))</f>
        <v/>
      </c>
      <c r="AP190" s="30" t="str">
        <f aca="false">IF(B190="","",IF(U190="","missing",IF(U190&gt;AO190,"Y","N")))</f>
        <v/>
      </c>
      <c r="AQ190" s="30" t="n">
        <f aca="false">IF(OR(W190="Y",W190="N"),IF(F190="",1,IF(COUNTIFS(F$5:F190,F190,W$5:W190,"Y")+COUNTIFS(F$5:F190,F190,W$5:W190,"N")=1,1,0)),0)</f>
        <v>0</v>
      </c>
      <c r="AR190" s="30" t="n">
        <f aca="false">IF(W190="Y",IF(F190="",1,IF(COUNTIFS(F$5:F190,F190,W$5:W190,"Y")=1,1,0)),0)</f>
        <v>0</v>
      </c>
    </row>
    <row r="191" customFormat="false" ht="15" hidden="false" customHeight="false" outlineLevel="0" collapsed="false">
      <c r="A191" s="103"/>
      <c r="B191" s="103"/>
      <c r="C191" s="102"/>
      <c r="D191" s="103"/>
      <c r="E191" s="103"/>
      <c r="F191" s="103"/>
      <c r="G191" s="103"/>
      <c r="H191" s="103"/>
      <c r="I191" s="103"/>
      <c r="J191" s="103"/>
      <c r="K191" s="103"/>
      <c r="L191" s="103"/>
      <c r="M191" s="103"/>
      <c r="N191" s="103"/>
      <c r="O191" s="103"/>
      <c r="P191" s="103"/>
      <c r="Q191" s="103"/>
      <c r="R191" s="105"/>
      <c r="S191" s="102"/>
      <c r="T191" s="105"/>
      <c r="U191" s="102"/>
      <c r="V191" s="103"/>
      <c r="W191" s="103"/>
      <c r="X191" s="105"/>
      <c r="Y191" s="102"/>
      <c r="Z191" s="103"/>
      <c r="AL191" s="30" t="str">
        <f aca="false">IF(B191="","",IFERROR(INDEX(Schedule!$N$7:$N$18,MATCH(B191,Schedule!$A$7:$A$18,0)),"not in schedule"))</f>
        <v/>
      </c>
      <c r="AM191" s="19" t="str">
        <f aca="false">IF(B191="","",N(R191)-N(X191))</f>
        <v/>
      </c>
      <c r="AN191" s="95" t="str">
        <f aca="false">IF(B191="","",IF(Z191&lt;&gt;"",Z191,IF(N(G191)&gt;0,N(N191)/G191,"")))</f>
        <v/>
      </c>
      <c r="AO191" s="18" t="str">
        <f aca="false">IF(OR(B191="",C191=""),"",WORKDAY(C191,Inputs!$C$132,Lists!$N$4:$N$30))</f>
        <v/>
      </c>
      <c r="AP191" s="30" t="str">
        <f aca="false">IF(B191="","",IF(U191="","missing",IF(U191&gt;AO191,"Y","N")))</f>
        <v/>
      </c>
      <c r="AQ191" s="30" t="n">
        <f aca="false">IF(OR(W191="Y",W191="N"),IF(F191="",1,IF(COUNTIFS(F$5:F191,F191,W$5:W191,"Y")+COUNTIFS(F$5:F191,F191,W$5:W191,"N")=1,1,0)),0)</f>
        <v>0</v>
      </c>
      <c r="AR191" s="30" t="n">
        <f aca="false">IF(W191="Y",IF(F191="",1,IF(COUNTIFS(F$5:F191,F191,W$5:W191,"Y")=1,1,0)),0)</f>
        <v>0</v>
      </c>
    </row>
    <row r="192" customFormat="false" ht="15" hidden="false" customHeight="false" outlineLevel="0" collapsed="false">
      <c r="A192" s="103"/>
      <c r="B192" s="103"/>
      <c r="C192" s="102"/>
      <c r="D192" s="103"/>
      <c r="E192" s="103"/>
      <c r="F192" s="103"/>
      <c r="G192" s="103"/>
      <c r="H192" s="103"/>
      <c r="I192" s="103"/>
      <c r="J192" s="103"/>
      <c r="K192" s="103"/>
      <c r="L192" s="103"/>
      <c r="M192" s="103"/>
      <c r="N192" s="103"/>
      <c r="O192" s="103"/>
      <c r="P192" s="103"/>
      <c r="Q192" s="103"/>
      <c r="R192" s="105"/>
      <c r="S192" s="102"/>
      <c r="T192" s="105"/>
      <c r="U192" s="102"/>
      <c r="V192" s="103"/>
      <c r="W192" s="103"/>
      <c r="X192" s="105"/>
      <c r="Y192" s="102"/>
      <c r="Z192" s="103"/>
      <c r="AL192" s="30" t="str">
        <f aca="false">IF(B192="","",IFERROR(INDEX(Schedule!$N$7:$N$18,MATCH(B192,Schedule!$A$7:$A$18,0)),"not in schedule"))</f>
        <v/>
      </c>
      <c r="AM192" s="19" t="str">
        <f aca="false">IF(B192="","",N(R192)-N(X192))</f>
        <v/>
      </c>
      <c r="AN192" s="95" t="str">
        <f aca="false">IF(B192="","",IF(Z192&lt;&gt;"",Z192,IF(N(G192)&gt;0,N(N192)/G192,"")))</f>
        <v/>
      </c>
      <c r="AO192" s="18" t="str">
        <f aca="false">IF(OR(B192="",C192=""),"",WORKDAY(C192,Inputs!$C$132,Lists!$N$4:$N$30))</f>
        <v/>
      </c>
      <c r="AP192" s="30" t="str">
        <f aca="false">IF(B192="","",IF(U192="","missing",IF(U192&gt;AO192,"Y","N")))</f>
        <v/>
      </c>
      <c r="AQ192" s="30" t="n">
        <f aca="false">IF(OR(W192="Y",W192="N"),IF(F192="",1,IF(COUNTIFS(F$5:F192,F192,W$5:W192,"Y")+COUNTIFS(F$5:F192,F192,W$5:W192,"N")=1,1,0)),0)</f>
        <v>0</v>
      </c>
      <c r="AR192" s="30" t="n">
        <f aca="false">IF(W192="Y",IF(F192="",1,IF(COUNTIFS(F$5:F192,F192,W$5:W192,"Y")=1,1,0)),0)</f>
        <v>0</v>
      </c>
    </row>
    <row r="193" customFormat="false" ht="15" hidden="false" customHeight="false" outlineLevel="0" collapsed="false">
      <c r="A193" s="103"/>
      <c r="B193" s="103"/>
      <c r="C193" s="102"/>
      <c r="D193" s="103"/>
      <c r="E193" s="103"/>
      <c r="F193" s="103"/>
      <c r="G193" s="103"/>
      <c r="H193" s="103"/>
      <c r="I193" s="103"/>
      <c r="J193" s="103"/>
      <c r="K193" s="103"/>
      <c r="L193" s="103"/>
      <c r="M193" s="103"/>
      <c r="N193" s="103"/>
      <c r="O193" s="103"/>
      <c r="P193" s="103"/>
      <c r="Q193" s="103"/>
      <c r="R193" s="105"/>
      <c r="S193" s="102"/>
      <c r="T193" s="105"/>
      <c r="U193" s="102"/>
      <c r="V193" s="103"/>
      <c r="W193" s="103"/>
      <c r="X193" s="105"/>
      <c r="Y193" s="102"/>
      <c r="Z193" s="103"/>
      <c r="AL193" s="30" t="str">
        <f aca="false">IF(B193="","",IFERROR(INDEX(Schedule!$N$7:$N$18,MATCH(B193,Schedule!$A$7:$A$18,0)),"not in schedule"))</f>
        <v/>
      </c>
      <c r="AM193" s="19" t="str">
        <f aca="false">IF(B193="","",N(R193)-N(X193))</f>
        <v/>
      </c>
      <c r="AN193" s="95" t="str">
        <f aca="false">IF(B193="","",IF(Z193&lt;&gt;"",Z193,IF(N(G193)&gt;0,N(N193)/G193,"")))</f>
        <v/>
      </c>
      <c r="AO193" s="18" t="str">
        <f aca="false">IF(OR(B193="",C193=""),"",WORKDAY(C193,Inputs!$C$132,Lists!$N$4:$N$30))</f>
        <v/>
      </c>
      <c r="AP193" s="30" t="str">
        <f aca="false">IF(B193="","",IF(U193="","missing",IF(U193&gt;AO193,"Y","N")))</f>
        <v/>
      </c>
      <c r="AQ193" s="30" t="n">
        <f aca="false">IF(OR(W193="Y",W193="N"),IF(F193="",1,IF(COUNTIFS(F$5:F193,F193,W$5:W193,"Y")+COUNTIFS(F$5:F193,F193,W$5:W193,"N")=1,1,0)),0)</f>
        <v>0</v>
      </c>
      <c r="AR193" s="30" t="n">
        <f aca="false">IF(W193="Y",IF(F193="",1,IF(COUNTIFS(F$5:F193,F193,W$5:W193,"Y")=1,1,0)),0)</f>
        <v>0</v>
      </c>
    </row>
    <row r="194" customFormat="false" ht="15" hidden="false" customHeight="false" outlineLevel="0" collapsed="false">
      <c r="A194" s="103"/>
      <c r="B194" s="103"/>
      <c r="C194" s="102"/>
      <c r="D194" s="103"/>
      <c r="E194" s="103"/>
      <c r="F194" s="103"/>
      <c r="G194" s="103"/>
      <c r="H194" s="103"/>
      <c r="I194" s="103"/>
      <c r="J194" s="103"/>
      <c r="K194" s="103"/>
      <c r="L194" s="103"/>
      <c r="M194" s="103"/>
      <c r="N194" s="103"/>
      <c r="O194" s="103"/>
      <c r="P194" s="103"/>
      <c r="Q194" s="103"/>
      <c r="R194" s="105"/>
      <c r="S194" s="102"/>
      <c r="T194" s="105"/>
      <c r="U194" s="102"/>
      <c r="V194" s="103"/>
      <c r="W194" s="103"/>
      <c r="X194" s="105"/>
      <c r="Y194" s="102"/>
      <c r="Z194" s="103"/>
      <c r="AL194" s="30" t="str">
        <f aca="false">IF(B194="","",IFERROR(INDEX(Schedule!$N$7:$N$18,MATCH(B194,Schedule!$A$7:$A$18,0)),"not in schedule"))</f>
        <v/>
      </c>
      <c r="AM194" s="19" t="str">
        <f aca="false">IF(B194="","",N(R194)-N(X194))</f>
        <v/>
      </c>
      <c r="AN194" s="95" t="str">
        <f aca="false">IF(B194="","",IF(Z194&lt;&gt;"",Z194,IF(N(G194)&gt;0,N(N194)/G194,"")))</f>
        <v/>
      </c>
      <c r="AO194" s="18" t="str">
        <f aca="false">IF(OR(B194="",C194=""),"",WORKDAY(C194,Inputs!$C$132,Lists!$N$4:$N$30))</f>
        <v/>
      </c>
      <c r="AP194" s="30" t="str">
        <f aca="false">IF(B194="","",IF(U194="","missing",IF(U194&gt;AO194,"Y","N")))</f>
        <v/>
      </c>
      <c r="AQ194" s="30" t="n">
        <f aca="false">IF(OR(W194="Y",W194="N"),IF(F194="",1,IF(COUNTIFS(F$5:F194,F194,W$5:W194,"Y")+COUNTIFS(F$5:F194,F194,W$5:W194,"N")=1,1,0)),0)</f>
        <v>0</v>
      </c>
      <c r="AR194" s="30" t="n">
        <f aca="false">IF(W194="Y",IF(F194="",1,IF(COUNTIFS(F$5:F194,F194,W$5:W194,"Y")=1,1,0)),0)</f>
        <v>0</v>
      </c>
    </row>
    <row r="195" customFormat="false" ht="15" hidden="false" customHeight="false" outlineLevel="0" collapsed="false">
      <c r="A195" s="103"/>
      <c r="B195" s="103"/>
      <c r="C195" s="102"/>
      <c r="D195" s="103"/>
      <c r="E195" s="103"/>
      <c r="F195" s="103"/>
      <c r="G195" s="103"/>
      <c r="H195" s="103"/>
      <c r="I195" s="103"/>
      <c r="J195" s="103"/>
      <c r="K195" s="103"/>
      <c r="L195" s="103"/>
      <c r="M195" s="103"/>
      <c r="N195" s="103"/>
      <c r="O195" s="103"/>
      <c r="P195" s="103"/>
      <c r="Q195" s="103"/>
      <c r="R195" s="105"/>
      <c r="S195" s="102"/>
      <c r="T195" s="105"/>
      <c r="U195" s="102"/>
      <c r="V195" s="103"/>
      <c r="W195" s="103"/>
      <c r="X195" s="105"/>
      <c r="Y195" s="102"/>
      <c r="Z195" s="103"/>
      <c r="AL195" s="30" t="str">
        <f aca="false">IF(B195="","",IFERROR(INDEX(Schedule!$N$7:$N$18,MATCH(B195,Schedule!$A$7:$A$18,0)),"not in schedule"))</f>
        <v/>
      </c>
      <c r="AM195" s="19" t="str">
        <f aca="false">IF(B195="","",N(R195)-N(X195))</f>
        <v/>
      </c>
      <c r="AN195" s="95" t="str">
        <f aca="false">IF(B195="","",IF(Z195&lt;&gt;"",Z195,IF(N(G195)&gt;0,N(N195)/G195,"")))</f>
        <v/>
      </c>
      <c r="AO195" s="18" t="str">
        <f aca="false">IF(OR(B195="",C195=""),"",WORKDAY(C195,Inputs!$C$132,Lists!$N$4:$N$30))</f>
        <v/>
      </c>
      <c r="AP195" s="30" t="str">
        <f aca="false">IF(B195="","",IF(U195="","missing",IF(U195&gt;AO195,"Y","N")))</f>
        <v/>
      </c>
      <c r="AQ195" s="30" t="n">
        <f aca="false">IF(OR(W195="Y",W195="N"),IF(F195="",1,IF(COUNTIFS(F$5:F195,F195,W$5:W195,"Y")+COUNTIFS(F$5:F195,F195,W$5:W195,"N")=1,1,0)),0)</f>
        <v>0</v>
      </c>
      <c r="AR195" s="30" t="n">
        <f aca="false">IF(W195="Y",IF(F195="",1,IF(COUNTIFS(F$5:F195,F195,W$5:W195,"Y")=1,1,0)),0)</f>
        <v>0</v>
      </c>
    </row>
    <row r="196" customFormat="false" ht="15" hidden="false" customHeight="false" outlineLevel="0" collapsed="false">
      <c r="A196" s="103"/>
      <c r="B196" s="103"/>
      <c r="C196" s="102"/>
      <c r="D196" s="103"/>
      <c r="E196" s="103"/>
      <c r="F196" s="103"/>
      <c r="G196" s="103"/>
      <c r="H196" s="103"/>
      <c r="I196" s="103"/>
      <c r="J196" s="103"/>
      <c r="K196" s="103"/>
      <c r="L196" s="103"/>
      <c r="M196" s="103"/>
      <c r="N196" s="103"/>
      <c r="O196" s="103"/>
      <c r="P196" s="103"/>
      <c r="Q196" s="103"/>
      <c r="R196" s="105"/>
      <c r="S196" s="102"/>
      <c r="T196" s="105"/>
      <c r="U196" s="102"/>
      <c r="V196" s="103"/>
      <c r="W196" s="103"/>
      <c r="X196" s="105"/>
      <c r="Y196" s="102"/>
      <c r="Z196" s="103"/>
      <c r="AL196" s="30" t="str">
        <f aca="false">IF(B196="","",IFERROR(INDEX(Schedule!$N$7:$N$18,MATCH(B196,Schedule!$A$7:$A$18,0)),"not in schedule"))</f>
        <v/>
      </c>
      <c r="AM196" s="19" t="str">
        <f aca="false">IF(B196="","",N(R196)-N(X196))</f>
        <v/>
      </c>
      <c r="AN196" s="95" t="str">
        <f aca="false">IF(B196="","",IF(Z196&lt;&gt;"",Z196,IF(N(G196)&gt;0,N(N196)/G196,"")))</f>
        <v/>
      </c>
      <c r="AO196" s="18" t="str">
        <f aca="false">IF(OR(B196="",C196=""),"",WORKDAY(C196,Inputs!$C$132,Lists!$N$4:$N$30))</f>
        <v/>
      </c>
      <c r="AP196" s="30" t="str">
        <f aca="false">IF(B196="","",IF(U196="","missing",IF(U196&gt;AO196,"Y","N")))</f>
        <v/>
      </c>
      <c r="AQ196" s="30" t="n">
        <f aca="false">IF(OR(W196="Y",W196="N"),IF(F196="",1,IF(COUNTIFS(F$5:F196,F196,W$5:W196,"Y")+COUNTIFS(F$5:F196,F196,W$5:W196,"N")=1,1,0)),0)</f>
        <v>0</v>
      </c>
      <c r="AR196" s="30" t="n">
        <f aca="false">IF(W196="Y",IF(F196="",1,IF(COUNTIFS(F$5:F196,F196,W$5:W196,"Y")=1,1,0)),0)</f>
        <v>0</v>
      </c>
    </row>
    <row r="197" customFormat="false" ht="15" hidden="false" customHeight="false" outlineLevel="0" collapsed="false">
      <c r="A197" s="103"/>
      <c r="B197" s="103"/>
      <c r="C197" s="102"/>
      <c r="D197" s="103"/>
      <c r="E197" s="103"/>
      <c r="F197" s="103"/>
      <c r="G197" s="103"/>
      <c r="H197" s="103"/>
      <c r="I197" s="103"/>
      <c r="J197" s="103"/>
      <c r="K197" s="103"/>
      <c r="L197" s="103"/>
      <c r="M197" s="103"/>
      <c r="N197" s="103"/>
      <c r="O197" s="103"/>
      <c r="P197" s="103"/>
      <c r="Q197" s="103"/>
      <c r="R197" s="105"/>
      <c r="S197" s="102"/>
      <c r="T197" s="105"/>
      <c r="U197" s="102"/>
      <c r="V197" s="103"/>
      <c r="W197" s="103"/>
      <c r="X197" s="105"/>
      <c r="Y197" s="102"/>
      <c r="Z197" s="103"/>
      <c r="AL197" s="30" t="str">
        <f aca="false">IF(B197="","",IFERROR(INDEX(Schedule!$N$7:$N$18,MATCH(B197,Schedule!$A$7:$A$18,0)),"not in schedule"))</f>
        <v/>
      </c>
      <c r="AM197" s="19" t="str">
        <f aca="false">IF(B197="","",N(R197)-N(X197))</f>
        <v/>
      </c>
      <c r="AN197" s="95" t="str">
        <f aca="false">IF(B197="","",IF(Z197&lt;&gt;"",Z197,IF(N(G197)&gt;0,N(N197)/G197,"")))</f>
        <v/>
      </c>
      <c r="AO197" s="18" t="str">
        <f aca="false">IF(OR(B197="",C197=""),"",WORKDAY(C197,Inputs!$C$132,Lists!$N$4:$N$30))</f>
        <v/>
      </c>
      <c r="AP197" s="30" t="str">
        <f aca="false">IF(B197="","",IF(U197="","missing",IF(U197&gt;AO197,"Y","N")))</f>
        <v/>
      </c>
      <c r="AQ197" s="30" t="n">
        <f aca="false">IF(OR(W197="Y",W197="N"),IF(F197="",1,IF(COUNTIFS(F$5:F197,F197,W$5:W197,"Y")+COUNTIFS(F$5:F197,F197,W$5:W197,"N")=1,1,0)),0)</f>
        <v>0</v>
      </c>
      <c r="AR197" s="30" t="n">
        <f aca="false">IF(W197="Y",IF(F197="",1,IF(COUNTIFS(F$5:F197,F197,W$5:W197,"Y")=1,1,0)),0)</f>
        <v>0</v>
      </c>
    </row>
    <row r="198" customFormat="false" ht="15" hidden="false" customHeight="false" outlineLevel="0" collapsed="false">
      <c r="A198" s="103"/>
      <c r="B198" s="103"/>
      <c r="C198" s="102"/>
      <c r="D198" s="103"/>
      <c r="E198" s="103"/>
      <c r="F198" s="103"/>
      <c r="G198" s="103"/>
      <c r="H198" s="103"/>
      <c r="I198" s="103"/>
      <c r="J198" s="103"/>
      <c r="K198" s="103"/>
      <c r="L198" s="103"/>
      <c r="M198" s="103"/>
      <c r="N198" s="103"/>
      <c r="O198" s="103"/>
      <c r="P198" s="103"/>
      <c r="Q198" s="103"/>
      <c r="R198" s="105"/>
      <c r="S198" s="102"/>
      <c r="T198" s="105"/>
      <c r="U198" s="102"/>
      <c r="V198" s="103"/>
      <c r="W198" s="103"/>
      <c r="X198" s="105"/>
      <c r="Y198" s="102"/>
      <c r="Z198" s="103"/>
      <c r="AL198" s="30" t="str">
        <f aca="false">IF(B198="","",IFERROR(INDEX(Schedule!$N$7:$N$18,MATCH(B198,Schedule!$A$7:$A$18,0)),"not in schedule"))</f>
        <v/>
      </c>
      <c r="AM198" s="19" t="str">
        <f aca="false">IF(B198="","",N(R198)-N(X198))</f>
        <v/>
      </c>
      <c r="AN198" s="95" t="str">
        <f aca="false">IF(B198="","",IF(Z198&lt;&gt;"",Z198,IF(N(G198)&gt;0,N(N198)/G198,"")))</f>
        <v/>
      </c>
      <c r="AO198" s="18" t="str">
        <f aca="false">IF(OR(B198="",C198=""),"",WORKDAY(C198,Inputs!$C$132,Lists!$N$4:$N$30))</f>
        <v/>
      </c>
      <c r="AP198" s="30" t="str">
        <f aca="false">IF(B198="","",IF(U198="","missing",IF(U198&gt;AO198,"Y","N")))</f>
        <v/>
      </c>
      <c r="AQ198" s="30" t="n">
        <f aca="false">IF(OR(W198="Y",W198="N"),IF(F198="",1,IF(COUNTIFS(F$5:F198,F198,W$5:W198,"Y")+COUNTIFS(F$5:F198,F198,W$5:W198,"N")=1,1,0)),0)</f>
        <v>0</v>
      </c>
      <c r="AR198" s="30" t="n">
        <f aca="false">IF(W198="Y",IF(F198="",1,IF(COUNTIFS(F$5:F198,F198,W$5:W198,"Y")=1,1,0)),0)</f>
        <v>0</v>
      </c>
    </row>
    <row r="199" customFormat="false" ht="15" hidden="false" customHeight="false" outlineLevel="0" collapsed="false">
      <c r="A199" s="103"/>
      <c r="B199" s="103"/>
      <c r="C199" s="102"/>
      <c r="D199" s="103"/>
      <c r="E199" s="103"/>
      <c r="F199" s="103"/>
      <c r="G199" s="103"/>
      <c r="H199" s="103"/>
      <c r="I199" s="103"/>
      <c r="J199" s="103"/>
      <c r="K199" s="103"/>
      <c r="L199" s="103"/>
      <c r="M199" s="103"/>
      <c r="N199" s="103"/>
      <c r="O199" s="103"/>
      <c r="P199" s="103"/>
      <c r="Q199" s="103"/>
      <c r="R199" s="105"/>
      <c r="S199" s="102"/>
      <c r="T199" s="105"/>
      <c r="U199" s="102"/>
      <c r="V199" s="103"/>
      <c r="W199" s="103"/>
      <c r="X199" s="105"/>
      <c r="Y199" s="102"/>
      <c r="Z199" s="103"/>
      <c r="AL199" s="30" t="str">
        <f aca="false">IF(B199="","",IFERROR(INDEX(Schedule!$N$7:$N$18,MATCH(B199,Schedule!$A$7:$A$18,0)),"not in schedule"))</f>
        <v/>
      </c>
      <c r="AM199" s="19" t="str">
        <f aca="false">IF(B199="","",N(R199)-N(X199))</f>
        <v/>
      </c>
      <c r="AN199" s="95" t="str">
        <f aca="false">IF(B199="","",IF(Z199&lt;&gt;"",Z199,IF(N(G199)&gt;0,N(N199)/G199,"")))</f>
        <v/>
      </c>
      <c r="AO199" s="18" t="str">
        <f aca="false">IF(OR(B199="",C199=""),"",WORKDAY(C199,Inputs!$C$132,Lists!$N$4:$N$30))</f>
        <v/>
      </c>
      <c r="AP199" s="30" t="str">
        <f aca="false">IF(B199="","",IF(U199="","missing",IF(U199&gt;AO199,"Y","N")))</f>
        <v/>
      </c>
      <c r="AQ199" s="30" t="n">
        <f aca="false">IF(OR(W199="Y",W199="N"),IF(F199="",1,IF(COUNTIFS(F$5:F199,F199,W$5:W199,"Y")+COUNTIFS(F$5:F199,F199,W$5:W199,"N")=1,1,0)),0)</f>
        <v>0</v>
      </c>
      <c r="AR199" s="30" t="n">
        <f aca="false">IF(W199="Y",IF(F199="",1,IF(COUNTIFS(F$5:F199,F199,W$5:W199,"Y")=1,1,0)),0)</f>
        <v>0</v>
      </c>
    </row>
    <row r="200" customFormat="false" ht="15" hidden="false" customHeight="false" outlineLevel="0" collapsed="false">
      <c r="A200" s="103"/>
      <c r="B200" s="103"/>
      <c r="C200" s="102"/>
      <c r="D200" s="103"/>
      <c r="E200" s="103"/>
      <c r="F200" s="103"/>
      <c r="G200" s="103"/>
      <c r="H200" s="103"/>
      <c r="I200" s="103"/>
      <c r="J200" s="103"/>
      <c r="K200" s="103"/>
      <c r="L200" s="103"/>
      <c r="M200" s="103"/>
      <c r="N200" s="103"/>
      <c r="O200" s="103"/>
      <c r="P200" s="103"/>
      <c r="Q200" s="103"/>
      <c r="R200" s="105"/>
      <c r="S200" s="102"/>
      <c r="T200" s="105"/>
      <c r="U200" s="102"/>
      <c r="V200" s="103"/>
      <c r="W200" s="103"/>
      <c r="X200" s="105"/>
      <c r="Y200" s="102"/>
      <c r="Z200" s="103"/>
      <c r="AL200" s="30" t="str">
        <f aca="false">IF(B200="","",IFERROR(INDEX(Schedule!$N$7:$N$18,MATCH(B200,Schedule!$A$7:$A$18,0)),"not in schedule"))</f>
        <v/>
      </c>
      <c r="AM200" s="19" t="str">
        <f aca="false">IF(B200="","",N(R200)-N(X200))</f>
        <v/>
      </c>
      <c r="AN200" s="95" t="str">
        <f aca="false">IF(B200="","",IF(Z200&lt;&gt;"",Z200,IF(N(G200)&gt;0,N(N200)/G200,"")))</f>
        <v/>
      </c>
      <c r="AO200" s="18" t="str">
        <f aca="false">IF(OR(B200="",C200=""),"",WORKDAY(C200,Inputs!$C$132,Lists!$N$4:$N$30))</f>
        <v/>
      </c>
      <c r="AP200" s="30" t="str">
        <f aca="false">IF(B200="","",IF(U200="","missing",IF(U200&gt;AO200,"Y","N")))</f>
        <v/>
      </c>
      <c r="AQ200" s="30" t="n">
        <f aca="false">IF(OR(W200="Y",W200="N"),IF(F200="",1,IF(COUNTIFS(F$5:F200,F200,W$5:W200,"Y")+COUNTIFS(F$5:F200,F200,W$5:W200,"N")=1,1,0)),0)</f>
        <v>0</v>
      </c>
      <c r="AR200" s="30" t="n">
        <f aca="false">IF(W200="Y",IF(F200="",1,IF(COUNTIFS(F$5:F200,F200,W$5:W200,"Y")=1,1,0)),0)</f>
        <v>0</v>
      </c>
    </row>
    <row r="201" customFormat="false" ht="15" hidden="false" customHeight="false" outlineLevel="0" collapsed="false">
      <c r="A201" s="103"/>
      <c r="B201" s="103"/>
      <c r="C201" s="102"/>
      <c r="D201" s="103"/>
      <c r="E201" s="103"/>
      <c r="F201" s="103"/>
      <c r="G201" s="103"/>
      <c r="H201" s="103"/>
      <c r="I201" s="103"/>
      <c r="J201" s="103"/>
      <c r="K201" s="103"/>
      <c r="L201" s="103"/>
      <c r="M201" s="103"/>
      <c r="N201" s="103"/>
      <c r="O201" s="103"/>
      <c r="P201" s="103"/>
      <c r="Q201" s="103"/>
      <c r="R201" s="105"/>
      <c r="S201" s="102"/>
      <c r="T201" s="105"/>
      <c r="U201" s="102"/>
      <c r="V201" s="103"/>
      <c r="W201" s="103"/>
      <c r="X201" s="105"/>
      <c r="Y201" s="102"/>
      <c r="Z201" s="103"/>
      <c r="AL201" s="30" t="str">
        <f aca="false">IF(B201="","",IFERROR(INDEX(Schedule!$N$7:$N$18,MATCH(B201,Schedule!$A$7:$A$18,0)),"not in schedule"))</f>
        <v/>
      </c>
      <c r="AM201" s="19" t="str">
        <f aca="false">IF(B201="","",N(R201)-N(X201))</f>
        <v/>
      </c>
      <c r="AN201" s="95" t="str">
        <f aca="false">IF(B201="","",IF(Z201&lt;&gt;"",Z201,IF(N(G201)&gt;0,N(N201)/G201,"")))</f>
        <v/>
      </c>
      <c r="AO201" s="18" t="str">
        <f aca="false">IF(OR(B201="",C201=""),"",WORKDAY(C201,Inputs!$C$132,Lists!$N$4:$N$30))</f>
        <v/>
      </c>
      <c r="AP201" s="30" t="str">
        <f aca="false">IF(B201="","",IF(U201="","missing",IF(U201&gt;AO201,"Y","N")))</f>
        <v/>
      </c>
      <c r="AQ201" s="30" t="n">
        <f aca="false">IF(OR(W201="Y",W201="N"),IF(F201="",1,IF(COUNTIFS(F$5:F201,F201,W$5:W201,"Y")+COUNTIFS(F$5:F201,F201,W$5:W201,"N")=1,1,0)),0)</f>
        <v>0</v>
      </c>
      <c r="AR201" s="30" t="n">
        <f aca="false">IF(W201="Y",IF(F201="",1,IF(COUNTIFS(F$5:F201,F201,W$5:W201,"Y")=1,1,0)),0)</f>
        <v>0</v>
      </c>
    </row>
    <row r="202" customFormat="false" ht="15" hidden="false" customHeight="false" outlineLevel="0" collapsed="false">
      <c r="A202" s="103"/>
      <c r="B202" s="103"/>
      <c r="C202" s="102"/>
      <c r="D202" s="103"/>
      <c r="E202" s="103"/>
      <c r="F202" s="103"/>
      <c r="G202" s="103"/>
      <c r="H202" s="103"/>
      <c r="I202" s="103"/>
      <c r="J202" s="103"/>
      <c r="K202" s="103"/>
      <c r="L202" s="103"/>
      <c r="M202" s="103"/>
      <c r="N202" s="103"/>
      <c r="O202" s="103"/>
      <c r="P202" s="103"/>
      <c r="Q202" s="103"/>
      <c r="R202" s="105"/>
      <c r="S202" s="102"/>
      <c r="T202" s="105"/>
      <c r="U202" s="102"/>
      <c r="V202" s="103"/>
      <c r="W202" s="103"/>
      <c r="X202" s="105"/>
      <c r="Y202" s="102"/>
      <c r="Z202" s="103"/>
      <c r="AL202" s="30" t="str">
        <f aca="false">IF(B202="","",IFERROR(INDEX(Schedule!$N$7:$N$18,MATCH(B202,Schedule!$A$7:$A$18,0)),"not in schedule"))</f>
        <v/>
      </c>
      <c r="AM202" s="19" t="str">
        <f aca="false">IF(B202="","",N(R202)-N(X202))</f>
        <v/>
      </c>
      <c r="AN202" s="95" t="str">
        <f aca="false">IF(B202="","",IF(Z202&lt;&gt;"",Z202,IF(N(G202)&gt;0,N(N202)/G202,"")))</f>
        <v/>
      </c>
      <c r="AO202" s="18" t="str">
        <f aca="false">IF(OR(B202="",C202=""),"",WORKDAY(C202,Inputs!$C$132,Lists!$N$4:$N$30))</f>
        <v/>
      </c>
      <c r="AP202" s="30" t="str">
        <f aca="false">IF(B202="","",IF(U202="","missing",IF(U202&gt;AO202,"Y","N")))</f>
        <v/>
      </c>
      <c r="AQ202" s="30" t="n">
        <f aca="false">IF(OR(W202="Y",W202="N"),IF(F202="",1,IF(COUNTIFS(F$5:F202,F202,W$5:W202,"Y")+COUNTIFS(F$5:F202,F202,W$5:W202,"N")=1,1,0)),0)</f>
        <v>0</v>
      </c>
      <c r="AR202" s="30" t="n">
        <f aca="false">IF(W202="Y",IF(F202="",1,IF(COUNTIFS(F$5:F202,F202,W$5:W202,"Y")=1,1,0)),0)</f>
        <v>0</v>
      </c>
    </row>
    <row r="203" customFormat="false" ht="15" hidden="false" customHeight="false" outlineLevel="0" collapsed="false">
      <c r="A203" s="103"/>
      <c r="B203" s="103"/>
      <c r="C203" s="102"/>
      <c r="D203" s="103"/>
      <c r="E203" s="103"/>
      <c r="F203" s="103"/>
      <c r="G203" s="103"/>
      <c r="H203" s="103"/>
      <c r="I203" s="103"/>
      <c r="J203" s="103"/>
      <c r="K203" s="103"/>
      <c r="L203" s="103"/>
      <c r="M203" s="103"/>
      <c r="N203" s="103"/>
      <c r="O203" s="103"/>
      <c r="P203" s="103"/>
      <c r="Q203" s="103"/>
      <c r="R203" s="105"/>
      <c r="S203" s="102"/>
      <c r="T203" s="105"/>
      <c r="U203" s="102"/>
      <c r="V203" s="103"/>
      <c r="W203" s="103"/>
      <c r="X203" s="105"/>
      <c r="Y203" s="102"/>
      <c r="Z203" s="103"/>
      <c r="AL203" s="30" t="str">
        <f aca="false">IF(B203="","",IFERROR(INDEX(Schedule!$N$7:$N$18,MATCH(B203,Schedule!$A$7:$A$18,0)),"not in schedule"))</f>
        <v/>
      </c>
      <c r="AM203" s="19" t="str">
        <f aca="false">IF(B203="","",N(R203)-N(X203))</f>
        <v/>
      </c>
      <c r="AN203" s="95" t="str">
        <f aca="false">IF(B203="","",IF(Z203&lt;&gt;"",Z203,IF(N(G203)&gt;0,N(N203)/G203,"")))</f>
        <v/>
      </c>
      <c r="AO203" s="18" t="str">
        <f aca="false">IF(OR(B203="",C203=""),"",WORKDAY(C203,Inputs!$C$132,Lists!$N$4:$N$30))</f>
        <v/>
      </c>
      <c r="AP203" s="30" t="str">
        <f aca="false">IF(B203="","",IF(U203="","missing",IF(U203&gt;AO203,"Y","N")))</f>
        <v/>
      </c>
      <c r="AQ203" s="30" t="n">
        <f aca="false">IF(OR(W203="Y",W203="N"),IF(F203="",1,IF(COUNTIFS(F$5:F203,F203,W$5:W203,"Y")+COUNTIFS(F$5:F203,F203,W$5:W203,"N")=1,1,0)),0)</f>
        <v>0</v>
      </c>
      <c r="AR203" s="30" t="n">
        <f aca="false">IF(W203="Y",IF(F203="",1,IF(COUNTIFS(F$5:F203,F203,W$5:W203,"Y")=1,1,0)),0)</f>
        <v>0</v>
      </c>
    </row>
    <row r="204" customFormat="false" ht="15" hidden="false" customHeight="false" outlineLevel="0" collapsed="false">
      <c r="A204" s="103"/>
      <c r="B204" s="103"/>
      <c r="C204" s="102"/>
      <c r="D204" s="103"/>
      <c r="E204" s="103"/>
      <c r="F204" s="103"/>
      <c r="G204" s="103"/>
      <c r="H204" s="103"/>
      <c r="I204" s="103"/>
      <c r="J204" s="103"/>
      <c r="K204" s="103"/>
      <c r="L204" s="103"/>
      <c r="M204" s="103"/>
      <c r="N204" s="103"/>
      <c r="O204" s="103"/>
      <c r="P204" s="103"/>
      <c r="Q204" s="103"/>
      <c r="R204" s="105"/>
      <c r="S204" s="102"/>
      <c r="T204" s="105"/>
      <c r="U204" s="102"/>
      <c r="V204" s="103"/>
      <c r="W204" s="103"/>
      <c r="X204" s="105"/>
      <c r="Y204" s="102"/>
      <c r="Z204" s="103"/>
      <c r="AL204" s="30" t="str">
        <f aca="false">IF(B204="","",IFERROR(INDEX(Schedule!$N$7:$N$18,MATCH(B204,Schedule!$A$7:$A$18,0)),"not in schedule"))</f>
        <v/>
      </c>
      <c r="AM204" s="19" t="str">
        <f aca="false">IF(B204="","",N(R204)-N(X204))</f>
        <v/>
      </c>
      <c r="AN204" s="95" t="str">
        <f aca="false">IF(B204="","",IF(Z204&lt;&gt;"",Z204,IF(N(G204)&gt;0,N(N204)/G204,"")))</f>
        <v/>
      </c>
      <c r="AO204" s="18" t="str">
        <f aca="false">IF(OR(B204="",C204=""),"",WORKDAY(C204,Inputs!$C$132,Lists!$N$4:$N$30))</f>
        <v/>
      </c>
      <c r="AP204" s="30" t="str">
        <f aca="false">IF(B204="","",IF(U204="","missing",IF(U204&gt;AO204,"Y","N")))</f>
        <v/>
      </c>
      <c r="AQ204" s="30" t="n">
        <f aca="false">IF(OR(W204="Y",W204="N"),IF(F204="",1,IF(COUNTIFS(F$5:F204,F204,W$5:W204,"Y")+COUNTIFS(F$5:F204,F204,W$5:W204,"N")=1,1,0)),0)</f>
        <v>0</v>
      </c>
      <c r="AR204" s="30" t="n">
        <f aca="false">IF(W204="Y",IF(F204="",1,IF(COUNTIFS(F$5:F204,F204,W$5:W204,"Y")=1,1,0)),0)</f>
        <v>0</v>
      </c>
    </row>
  </sheetData>
  <mergeCells count="1">
    <mergeCell ref="A3:Z3"/>
  </mergeCells>
  <dataValidations count="4">
    <dataValidation allowBlank="true" error="Pick a value from the list." errorStyle="stop" errorTitle="Not in the list" operator="between" showDropDown="false" showErrorMessage="false" showInputMessage="false" sqref="D5:D204" type="list">
      <formula1>Lists!$A$4:$A$6</formula1>
      <formula2>0</formula2>
    </dataValidation>
    <dataValidation allowBlank="true" error="Pick a value from the list." errorStyle="stop" errorTitle="Not in the list" operator="between" showDropDown="false" showErrorMessage="false" showInputMessage="false" sqref="E5:E204" type="list">
      <formula1>Lists!$B$4:$B$5</formula1>
      <formula2>0</formula2>
    </dataValidation>
    <dataValidation allowBlank="true" error="Pick a value from the list." errorStyle="stop" errorTitle="Not in the list" operator="between" showDropDown="false" showErrorMessage="false" showInputMessage="false" sqref="V5:V204" type="list">
      <formula1>Lists!$I$4:$I$6</formula1>
      <formula2>0</formula2>
    </dataValidation>
    <dataValidation allowBlank="true" error="Pick a value from the list." errorStyle="stop" errorTitle="Not in the list" operator="between" showDropDown="false" showErrorMessage="false" showInputMessage="false" sqref="W5:W204" type="list">
      <formula1>Lists!$J$4:$J$6</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FB98B"/>
    <pageSetUpPr fitToPage="false"/>
  </sheetPr>
  <dimension ref="A1:U104"/>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8" min="1" style="0" width="14"/>
    <col collapsed="false" customWidth="true" hidden="false" outlineLevel="0" max="9" min="9" style="0" width="40"/>
    <col collapsed="false" customWidth="true" hidden="false" outlineLevel="0" max="20" min="10" style="0" width="3"/>
    <col collapsed="false" customWidth="true" hidden="false" outlineLevel="0" max="21" min="21" style="0" width="16"/>
  </cols>
  <sheetData>
    <row r="1" customFormat="false" ht="18.55" hidden="false" customHeight="false" outlineLevel="0" collapsed="false">
      <c r="A1" s="1" t="s">
        <v>1558</v>
      </c>
    </row>
    <row r="2" customFormat="false" ht="15" hidden="false" customHeight="false" outlineLevel="0" collapsed="false">
      <c r="A2" s="2" t="s">
        <v>1559</v>
      </c>
    </row>
    <row r="4" customFormat="false" ht="31.5" hidden="false" customHeight="true" outlineLevel="0" collapsed="false">
      <c r="A4" s="12" t="s">
        <v>324</v>
      </c>
      <c r="B4" s="12" t="s">
        <v>1528</v>
      </c>
      <c r="C4" s="12" t="s">
        <v>1529</v>
      </c>
      <c r="D4" s="12" t="s">
        <v>463</v>
      </c>
      <c r="E4" s="12" t="s">
        <v>480</v>
      </c>
      <c r="F4" s="12" t="s">
        <v>1560</v>
      </c>
      <c r="G4" s="12" t="s">
        <v>1561</v>
      </c>
      <c r="H4" s="12" t="s">
        <v>1562</v>
      </c>
      <c r="I4" s="12" t="s">
        <v>1490</v>
      </c>
      <c r="U4" s="12" t="s">
        <v>1551</v>
      </c>
    </row>
    <row r="5" customFormat="false" ht="15" hidden="false" customHeight="false" outlineLevel="0" collapsed="false">
      <c r="A5" s="103"/>
      <c r="B5" s="102"/>
      <c r="C5" s="103"/>
      <c r="D5" s="103"/>
      <c r="E5" s="103"/>
      <c r="F5" s="105"/>
      <c r="G5" s="105"/>
      <c r="H5" s="105"/>
      <c r="I5" s="103"/>
      <c r="U5" s="30" t="str">
        <f aca="false">IF(A5="","",IFERROR(INDEX(Schedule!$N$7:$N$18,MATCH(A5,Schedule!$A$7:$A$18,0)),"not in schedule"))</f>
        <v/>
      </c>
    </row>
    <row r="6" customFormat="false" ht="15" hidden="false" customHeight="false" outlineLevel="0" collapsed="false">
      <c r="A6" s="103"/>
      <c r="B6" s="102"/>
      <c r="C6" s="103"/>
      <c r="D6" s="103"/>
      <c r="E6" s="103"/>
      <c r="F6" s="105"/>
      <c r="G6" s="105"/>
      <c r="H6" s="105"/>
      <c r="I6" s="103"/>
      <c r="U6" s="30" t="str">
        <f aca="false">IF(A6="","",IFERROR(INDEX(Schedule!$N$7:$N$18,MATCH(A6,Schedule!$A$7:$A$18,0)),"not in schedule"))</f>
        <v/>
      </c>
    </row>
    <row r="7" customFormat="false" ht="15" hidden="false" customHeight="false" outlineLevel="0" collapsed="false">
      <c r="A7" s="103"/>
      <c r="B7" s="102"/>
      <c r="C7" s="103"/>
      <c r="D7" s="103"/>
      <c r="E7" s="103"/>
      <c r="F7" s="105"/>
      <c r="G7" s="105"/>
      <c r="H7" s="105"/>
      <c r="I7" s="103"/>
      <c r="U7" s="30" t="str">
        <f aca="false">IF(A7="","",IFERROR(INDEX(Schedule!$N$7:$N$18,MATCH(A7,Schedule!$A$7:$A$18,0)),"not in schedule"))</f>
        <v/>
      </c>
    </row>
    <row r="8" customFormat="false" ht="15" hidden="false" customHeight="false" outlineLevel="0" collapsed="false">
      <c r="A8" s="103"/>
      <c r="B8" s="102"/>
      <c r="C8" s="103"/>
      <c r="D8" s="103"/>
      <c r="E8" s="103"/>
      <c r="F8" s="105"/>
      <c r="G8" s="105"/>
      <c r="H8" s="105"/>
      <c r="I8" s="103"/>
      <c r="U8" s="30" t="str">
        <f aca="false">IF(A8="","",IFERROR(INDEX(Schedule!$N$7:$N$18,MATCH(A8,Schedule!$A$7:$A$18,0)),"not in schedule"))</f>
        <v/>
      </c>
    </row>
    <row r="9" customFormat="false" ht="15" hidden="false" customHeight="false" outlineLevel="0" collapsed="false">
      <c r="A9" s="103"/>
      <c r="B9" s="102"/>
      <c r="C9" s="103"/>
      <c r="D9" s="103"/>
      <c r="E9" s="103"/>
      <c r="F9" s="105"/>
      <c r="G9" s="105"/>
      <c r="H9" s="105"/>
      <c r="I9" s="103"/>
      <c r="U9" s="30" t="str">
        <f aca="false">IF(A9="","",IFERROR(INDEX(Schedule!$N$7:$N$18,MATCH(A9,Schedule!$A$7:$A$18,0)),"not in schedule"))</f>
        <v/>
      </c>
    </row>
    <row r="10" customFormat="false" ht="15" hidden="false" customHeight="false" outlineLevel="0" collapsed="false">
      <c r="A10" s="103"/>
      <c r="B10" s="102"/>
      <c r="C10" s="103"/>
      <c r="D10" s="103"/>
      <c r="E10" s="103"/>
      <c r="F10" s="105"/>
      <c r="G10" s="105"/>
      <c r="H10" s="105"/>
      <c r="I10" s="103"/>
      <c r="U10" s="30" t="str">
        <f aca="false">IF(A10="","",IFERROR(INDEX(Schedule!$N$7:$N$18,MATCH(A10,Schedule!$A$7:$A$18,0)),"not in schedule"))</f>
        <v/>
      </c>
    </row>
    <row r="11" customFormat="false" ht="15" hidden="false" customHeight="false" outlineLevel="0" collapsed="false">
      <c r="A11" s="103"/>
      <c r="B11" s="102"/>
      <c r="C11" s="103"/>
      <c r="D11" s="103"/>
      <c r="E11" s="103"/>
      <c r="F11" s="105"/>
      <c r="G11" s="105"/>
      <c r="H11" s="105"/>
      <c r="I11" s="103"/>
      <c r="U11" s="30" t="str">
        <f aca="false">IF(A11="","",IFERROR(INDEX(Schedule!$N$7:$N$18,MATCH(A11,Schedule!$A$7:$A$18,0)),"not in schedule"))</f>
        <v/>
      </c>
    </row>
    <row r="12" customFormat="false" ht="15" hidden="false" customHeight="false" outlineLevel="0" collapsed="false">
      <c r="A12" s="103"/>
      <c r="B12" s="102"/>
      <c r="C12" s="103"/>
      <c r="D12" s="103"/>
      <c r="E12" s="103"/>
      <c r="F12" s="105"/>
      <c r="G12" s="105"/>
      <c r="H12" s="105"/>
      <c r="I12" s="103"/>
      <c r="U12" s="30" t="str">
        <f aca="false">IF(A12="","",IFERROR(INDEX(Schedule!$N$7:$N$18,MATCH(A12,Schedule!$A$7:$A$18,0)),"not in schedule"))</f>
        <v/>
      </c>
    </row>
    <row r="13" customFormat="false" ht="15" hidden="false" customHeight="false" outlineLevel="0" collapsed="false">
      <c r="A13" s="103"/>
      <c r="B13" s="102"/>
      <c r="C13" s="103"/>
      <c r="D13" s="103"/>
      <c r="E13" s="103"/>
      <c r="F13" s="105"/>
      <c r="G13" s="105"/>
      <c r="H13" s="105"/>
      <c r="I13" s="103"/>
      <c r="U13" s="30" t="str">
        <f aca="false">IF(A13="","",IFERROR(INDEX(Schedule!$N$7:$N$18,MATCH(A13,Schedule!$A$7:$A$18,0)),"not in schedule"))</f>
        <v/>
      </c>
    </row>
    <row r="14" customFormat="false" ht="15" hidden="false" customHeight="false" outlineLevel="0" collapsed="false">
      <c r="A14" s="103"/>
      <c r="B14" s="102"/>
      <c r="C14" s="103"/>
      <c r="D14" s="103"/>
      <c r="E14" s="103"/>
      <c r="F14" s="105"/>
      <c r="G14" s="105"/>
      <c r="H14" s="105"/>
      <c r="I14" s="103"/>
      <c r="U14" s="30" t="str">
        <f aca="false">IF(A14="","",IFERROR(INDEX(Schedule!$N$7:$N$18,MATCH(A14,Schedule!$A$7:$A$18,0)),"not in schedule"))</f>
        <v/>
      </c>
    </row>
    <row r="15" customFormat="false" ht="15" hidden="false" customHeight="false" outlineLevel="0" collapsed="false">
      <c r="A15" s="103"/>
      <c r="B15" s="102"/>
      <c r="C15" s="103"/>
      <c r="D15" s="103"/>
      <c r="E15" s="103"/>
      <c r="F15" s="105"/>
      <c r="G15" s="105"/>
      <c r="H15" s="105"/>
      <c r="I15" s="103"/>
      <c r="U15" s="30" t="str">
        <f aca="false">IF(A15="","",IFERROR(INDEX(Schedule!$N$7:$N$18,MATCH(A15,Schedule!$A$7:$A$18,0)),"not in schedule"))</f>
        <v/>
      </c>
    </row>
    <row r="16" customFormat="false" ht="15" hidden="false" customHeight="false" outlineLevel="0" collapsed="false">
      <c r="A16" s="103"/>
      <c r="B16" s="102"/>
      <c r="C16" s="103"/>
      <c r="D16" s="103"/>
      <c r="E16" s="103"/>
      <c r="F16" s="105"/>
      <c r="G16" s="105"/>
      <c r="H16" s="105"/>
      <c r="I16" s="103"/>
      <c r="U16" s="30" t="str">
        <f aca="false">IF(A16="","",IFERROR(INDEX(Schedule!$N$7:$N$18,MATCH(A16,Schedule!$A$7:$A$18,0)),"not in schedule"))</f>
        <v/>
      </c>
    </row>
    <row r="17" customFormat="false" ht="15" hidden="false" customHeight="false" outlineLevel="0" collapsed="false">
      <c r="A17" s="103"/>
      <c r="B17" s="102"/>
      <c r="C17" s="103"/>
      <c r="D17" s="103"/>
      <c r="E17" s="103"/>
      <c r="F17" s="105"/>
      <c r="G17" s="105"/>
      <c r="H17" s="105"/>
      <c r="I17" s="103"/>
      <c r="U17" s="30" t="str">
        <f aca="false">IF(A17="","",IFERROR(INDEX(Schedule!$N$7:$N$18,MATCH(A17,Schedule!$A$7:$A$18,0)),"not in schedule"))</f>
        <v/>
      </c>
    </row>
    <row r="18" customFormat="false" ht="15" hidden="false" customHeight="false" outlineLevel="0" collapsed="false">
      <c r="A18" s="103"/>
      <c r="B18" s="102"/>
      <c r="C18" s="103"/>
      <c r="D18" s="103"/>
      <c r="E18" s="103"/>
      <c r="F18" s="105"/>
      <c r="G18" s="105"/>
      <c r="H18" s="105"/>
      <c r="I18" s="103"/>
      <c r="U18" s="30" t="str">
        <f aca="false">IF(A18="","",IFERROR(INDEX(Schedule!$N$7:$N$18,MATCH(A18,Schedule!$A$7:$A$18,0)),"not in schedule"))</f>
        <v/>
      </c>
    </row>
    <row r="19" customFormat="false" ht="15" hidden="false" customHeight="false" outlineLevel="0" collapsed="false">
      <c r="A19" s="103"/>
      <c r="B19" s="102"/>
      <c r="C19" s="103"/>
      <c r="D19" s="103"/>
      <c r="E19" s="103"/>
      <c r="F19" s="105"/>
      <c r="G19" s="105"/>
      <c r="H19" s="105"/>
      <c r="I19" s="103"/>
      <c r="U19" s="30" t="str">
        <f aca="false">IF(A19="","",IFERROR(INDEX(Schedule!$N$7:$N$18,MATCH(A19,Schedule!$A$7:$A$18,0)),"not in schedule"))</f>
        <v/>
      </c>
    </row>
    <row r="20" customFormat="false" ht="15" hidden="false" customHeight="false" outlineLevel="0" collapsed="false">
      <c r="A20" s="103"/>
      <c r="B20" s="102"/>
      <c r="C20" s="103"/>
      <c r="D20" s="103"/>
      <c r="E20" s="103"/>
      <c r="F20" s="105"/>
      <c r="G20" s="105"/>
      <c r="H20" s="105"/>
      <c r="I20" s="103"/>
      <c r="U20" s="30" t="str">
        <f aca="false">IF(A20="","",IFERROR(INDEX(Schedule!$N$7:$N$18,MATCH(A20,Schedule!$A$7:$A$18,0)),"not in schedule"))</f>
        <v/>
      </c>
    </row>
    <row r="21" customFormat="false" ht="15" hidden="false" customHeight="false" outlineLevel="0" collapsed="false">
      <c r="A21" s="103"/>
      <c r="B21" s="102"/>
      <c r="C21" s="103"/>
      <c r="D21" s="103"/>
      <c r="E21" s="103"/>
      <c r="F21" s="105"/>
      <c r="G21" s="105"/>
      <c r="H21" s="105"/>
      <c r="I21" s="103"/>
      <c r="U21" s="30" t="str">
        <f aca="false">IF(A21="","",IFERROR(INDEX(Schedule!$N$7:$N$18,MATCH(A21,Schedule!$A$7:$A$18,0)),"not in schedule"))</f>
        <v/>
      </c>
    </row>
    <row r="22" customFormat="false" ht="15" hidden="false" customHeight="false" outlineLevel="0" collapsed="false">
      <c r="A22" s="103"/>
      <c r="B22" s="102"/>
      <c r="C22" s="103"/>
      <c r="D22" s="103"/>
      <c r="E22" s="103"/>
      <c r="F22" s="105"/>
      <c r="G22" s="105"/>
      <c r="H22" s="105"/>
      <c r="I22" s="103"/>
      <c r="U22" s="30" t="str">
        <f aca="false">IF(A22="","",IFERROR(INDEX(Schedule!$N$7:$N$18,MATCH(A22,Schedule!$A$7:$A$18,0)),"not in schedule"))</f>
        <v/>
      </c>
    </row>
    <row r="23" customFormat="false" ht="15" hidden="false" customHeight="false" outlineLevel="0" collapsed="false">
      <c r="A23" s="103"/>
      <c r="B23" s="102"/>
      <c r="C23" s="103"/>
      <c r="D23" s="103"/>
      <c r="E23" s="103"/>
      <c r="F23" s="105"/>
      <c r="G23" s="105"/>
      <c r="H23" s="105"/>
      <c r="I23" s="103"/>
      <c r="U23" s="30" t="str">
        <f aca="false">IF(A23="","",IFERROR(INDEX(Schedule!$N$7:$N$18,MATCH(A23,Schedule!$A$7:$A$18,0)),"not in schedule"))</f>
        <v/>
      </c>
    </row>
    <row r="24" customFormat="false" ht="15" hidden="false" customHeight="false" outlineLevel="0" collapsed="false">
      <c r="A24" s="103"/>
      <c r="B24" s="102"/>
      <c r="C24" s="103"/>
      <c r="D24" s="103"/>
      <c r="E24" s="103"/>
      <c r="F24" s="105"/>
      <c r="G24" s="105"/>
      <c r="H24" s="105"/>
      <c r="I24" s="103"/>
      <c r="U24" s="30" t="str">
        <f aca="false">IF(A24="","",IFERROR(INDEX(Schedule!$N$7:$N$18,MATCH(A24,Schedule!$A$7:$A$18,0)),"not in schedule"))</f>
        <v/>
      </c>
    </row>
    <row r="25" customFormat="false" ht="15" hidden="false" customHeight="false" outlineLevel="0" collapsed="false">
      <c r="A25" s="103"/>
      <c r="B25" s="102"/>
      <c r="C25" s="103"/>
      <c r="D25" s="103"/>
      <c r="E25" s="103"/>
      <c r="F25" s="105"/>
      <c r="G25" s="105"/>
      <c r="H25" s="105"/>
      <c r="I25" s="103"/>
      <c r="U25" s="30" t="str">
        <f aca="false">IF(A25="","",IFERROR(INDEX(Schedule!$N$7:$N$18,MATCH(A25,Schedule!$A$7:$A$18,0)),"not in schedule"))</f>
        <v/>
      </c>
    </row>
    <row r="26" customFormat="false" ht="15" hidden="false" customHeight="false" outlineLevel="0" collapsed="false">
      <c r="A26" s="103"/>
      <c r="B26" s="102"/>
      <c r="C26" s="103"/>
      <c r="D26" s="103"/>
      <c r="E26" s="103"/>
      <c r="F26" s="105"/>
      <c r="G26" s="105"/>
      <c r="H26" s="105"/>
      <c r="I26" s="103"/>
      <c r="U26" s="30" t="str">
        <f aca="false">IF(A26="","",IFERROR(INDEX(Schedule!$N$7:$N$18,MATCH(A26,Schedule!$A$7:$A$18,0)),"not in schedule"))</f>
        <v/>
      </c>
    </row>
    <row r="27" customFormat="false" ht="15" hidden="false" customHeight="false" outlineLevel="0" collapsed="false">
      <c r="A27" s="103"/>
      <c r="B27" s="102"/>
      <c r="C27" s="103"/>
      <c r="D27" s="103"/>
      <c r="E27" s="103"/>
      <c r="F27" s="105"/>
      <c r="G27" s="105"/>
      <c r="H27" s="105"/>
      <c r="I27" s="103"/>
      <c r="U27" s="30" t="str">
        <f aca="false">IF(A27="","",IFERROR(INDEX(Schedule!$N$7:$N$18,MATCH(A27,Schedule!$A$7:$A$18,0)),"not in schedule"))</f>
        <v/>
      </c>
    </row>
    <row r="28" customFormat="false" ht="15" hidden="false" customHeight="false" outlineLevel="0" collapsed="false">
      <c r="A28" s="103"/>
      <c r="B28" s="102"/>
      <c r="C28" s="103"/>
      <c r="D28" s="103"/>
      <c r="E28" s="103"/>
      <c r="F28" s="105"/>
      <c r="G28" s="105"/>
      <c r="H28" s="105"/>
      <c r="I28" s="103"/>
      <c r="U28" s="30" t="str">
        <f aca="false">IF(A28="","",IFERROR(INDEX(Schedule!$N$7:$N$18,MATCH(A28,Schedule!$A$7:$A$18,0)),"not in schedule"))</f>
        <v/>
      </c>
    </row>
    <row r="29" customFormat="false" ht="15" hidden="false" customHeight="false" outlineLevel="0" collapsed="false">
      <c r="A29" s="103"/>
      <c r="B29" s="102"/>
      <c r="C29" s="103"/>
      <c r="D29" s="103"/>
      <c r="E29" s="103"/>
      <c r="F29" s="105"/>
      <c r="G29" s="105"/>
      <c r="H29" s="105"/>
      <c r="I29" s="103"/>
      <c r="U29" s="30" t="str">
        <f aca="false">IF(A29="","",IFERROR(INDEX(Schedule!$N$7:$N$18,MATCH(A29,Schedule!$A$7:$A$18,0)),"not in schedule"))</f>
        <v/>
      </c>
    </row>
    <row r="30" customFormat="false" ht="15" hidden="false" customHeight="false" outlineLevel="0" collapsed="false">
      <c r="A30" s="103"/>
      <c r="B30" s="102"/>
      <c r="C30" s="103"/>
      <c r="D30" s="103"/>
      <c r="E30" s="103"/>
      <c r="F30" s="105"/>
      <c r="G30" s="105"/>
      <c r="H30" s="105"/>
      <c r="I30" s="103"/>
      <c r="U30" s="30" t="str">
        <f aca="false">IF(A30="","",IFERROR(INDEX(Schedule!$N$7:$N$18,MATCH(A30,Schedule!$A$7:$A$18,0)),"not in schedule"))</f>
        <v/>
      </c>
    </row>
    <row r="31" customFormat="false" ht="15" hidden="false" customHeight="false" outlineLevel="0" collapsed="false">
      <c r="A31" s="103"/>
      <c r="B31" s="102"/>
      <c r="C31" s="103"/>
      <c r="D31" s="103"/>
      <c r="E31" s="103"/>
      <c r="F31" s="105"/>
      <c r="G31" s="105"/>
      <c r="H31" s="105"/>
      <c r="I31" s="103"/>
      <c r="U31" s="30" t="str">
        <f aca="false">IF(A31="","",IFERROR(INDEX(Schedule!$N$7:$N$18,MATCH(A31,Schedule!$A$7:$A$18,0)),"not in schedule"))</f>
        <v/>
      </c>
    </row>
    <row r="32" customFormat="false" ht="15" hidden="false" customHeight="false" outlineLevel="0" collapsed="false">
      <c r="A32" s="103"/>
      <c r="B32" s="102"/>
      <c r="C32" s="103"/>
      <c r="D32" s="103"/>
      <c r="E32" s="103"/>
      <c r="F32" s="105"/>
      <c r="G32" s="105"/>
      <c r="H32" s="105"/>
      <c r="I32" s="103"/>
      <c r="U32" s="30" t="str">
        <f aca="false">IF(A32="","",IFERROR(INDEX(Schedule!$N$7:$N$18,MATCH(A32,Schedule!$A$7:$A$18,0)),"not in schedule"))</f>
        <v/>
      </c>
    </row>
    <row r="33" customFormat="false" ht="15" hidden="false" customHeight="false" outlineLevel="0" collapsed="false">
      <c r="A33" s="103"/>
      <c r="B33" s="102"/>
      <c r="C33" s="103"/>
      <c r="D33" s="103"/>
      <c r="E33" s="103"/>
      <c r="F33" s="105"/>
      <c r="G33" s="105"/>
      <c r="H33" s="105"/>
      <c r="I33" s="103"/>
      <c r="U33" s="30" t="str">
        <f aca="false">IF(A33="","",IFERROR(INDEX(Schedule!$N$7:$N$18,MATCH(A33,Schedule!$A$7:$A$18,0)),"not in schedule"))</f>
        <v/>
      </c>
    </row>
    <row r="34" customFormat="false" ht="15" hidden="false" customHeight="false" outlineLevel="0" collapsed="false">
      <c r="A34" s="103"/>
      <c r="B34" s="102"/>
      <c r="C34" s="103"/>
      <c r="D34" s="103"/>
      <c r="E34" s="103"/>
      <c r="F34" s="105"/>
      <c r="G34" s="105"/>
      <c r="H34" s="105"/>
      <c r="I34" s="103"/>
      <c r="U34" s="30" t="str">
        <f aca="false">IF(A34="","",IFERROR(INDEX(Schedule!$N$7:$N$18,MATCH(A34,Schedule!$A$7:$A$18,0)),"not in schedule"))</f>
        <v/>
      </c>
    </row>
    <row r="35" customFormat="false" ht="15" hidden="false" customHeight="false" outlineLevel="0" collapsed="false">
      <c r="A35" s="103"/>
      <c r="B35" s="102"/>
      <c r="C35" s="103"/>
      <c r="D35" s="103"/>
      <c r="E35" s="103"/>
      <c r="F35" s="105"/>
      <c r="G35" s="105"/>
      <c r="H35" s="105"/>
      <c r="I35" s="103"/>
      <c r="U35" s="30" t="str">
        <f aca="false">IF(A35="","",IFERROR(INDEX(Schedule!$N$7:$N$18,MATCH(A35,Schedule!$A$7:$A$18,0)),"not in schedule"))</f>
        <v/>
      </c>
    </row>
    <row r="36" customFormat="false" ht="15" hidden="false" customHeight="false" outlineLevel="0" collapsed="false">
      <c r="A36" s="103"/>
      <c r="B36" s="102"/>
      <c r="C36" s="103"/>
      <c r="D36" s="103"/>
      <c r="E36" s="103"/>
      <c r="F36" s="105"/>
      <c r="G36" s="105"/>
      <c r="H36" s="105"/>
      <c r="I36" s="103"/>
      <c r="U36" s="30" t="str">
        <f aca="false">IF(A36="","",IFERROR(INDEX(Schedule!$N$7:$N$18,MATCH(A36,Schedule!$A$7:$A$18,0)),"not in schedule"))</f>
        <v/>
      </c>
    </row>
    <row r="37" customFormat="false" ht="15" hidden="false" customHeight="false" outlineLevel="0" collapsed="false">
      <c r="A37" s="103"/>
      <c r="B37" s="102"/>
      <c r="C37" s="103"/>
      <c r="D37" s="103"/>
      <c r="E37" s="103"/>
      <c r="F37" s="105"/>
      <c r="G37" s="105"/>
      <c r="H37" s="105"/>
      <c r="I37" s="103"/>
      <c r="U37" s="30" t="str">
        <f aca="false">IF(A37="","",IFERROR(INDEX(Schedule!$N$7:$N$18,MATCH(A37,Schedule!$A$7:$A$18,0)),"not in schedule"))</f>
        <v/>
      </c>
    </row>
    <row r="38" customFormat="false" ht="15" hidden="false" customHeight="false" outlineLevel="0" collapsed="false">
      <c r="A38" s="103"/>
      <c r="B38" s="102"/>
      <c r="C38" s="103"/>
      <c r="D38" s="103"/>
      <c r="E38" s="103"/>
      <c r="F38" s="105"/>
      <c r="G38" s="105"/>
      <c r="H38" s="105"/>
      <c r="I38" s="103"/>
      <c r="U38" s="30" t="str">
        <f aca="false">IF(A38="","",IFERROR(INDEX(Schedule!$N$7:$N$18,MATCH(A38,Schedule!$A$7:$A$18,0)),"not in schedule"))</f>
        <v/>
      </c>
    </row>
    <row r="39" customFormat="false" ht="15" hidden="false" customHeight="false" outlineLevel="0" collapsed="false">
      <c r="A39" s="103"/>
      <c r="B39" s="102"/>
      <c r="C39" s="103"/>
      <c r="D39" s="103"/>
      <c r="E39" s="103"/>
      <c r="F39" s="105"/>
      <c r="G39" s="105"/>
      <c r="H39" s="105"/>
      <c r="I39" s="103"/>
      <c r="U39" s="30" t="str">
        <f aca="false">IF(A39="","",IFERROR(INDEX(Schedule!$N$7:$N$18,MATCH(A39,Schedule!$A$7:$A$18,0)),"not in schedule"))</f>
        <v/>
      </c>
    </row>
    <row r="40" customFormat="false" ht="15" hidden="false" customHeight="false" outlineLevel="0" collapsed="false">
      <c r="A40" s="103"/>
      <c r="B40" s="102"/>
      <c r="C40" s="103"/>
      <c r="D40" s="103"/>
      <c r="E40" s="103"/>
      <c r="F40" s="105"/>
      <c r="G40" s="105"/>
      <c r="H40" s="105"/>
      <c r="I40" s="103"/>
      <c r="U40" s="30" t="str">
        <f aca="false">IF(A40="","",IFERROR(INDEX(Schedule!$N$7:$N$18,MATCH(A40,Schedule!$A$7:$A$18,0)),"not in schedule"))</f>
        <v/>
      </c>
    </row>
    <row r="41" customFormat="false" ht="15" hidden="false" customHeight="false" outlineLevel="0" collapsed="false">
      <c r="A41" s="103"/>
      <c r="B41" s="102"/>
      <c r="C41" s="103"/>
      <c r="D41" s="103"/>
      <c r="E41" s="103"/>
      <c r="F41" s="105"/>
      <c r="G41" s="105"/>
      <c r="H41" s="105"/>
      <c r="I41" s="103"/>
      <c r="U41" s="30" t="str">
        <f aca="false">IF(A41="","",IFERROR(INDEX(Schedule!$N$7:$N$18,MATCH(A41,Schedule!$A$7:$A$18,0)),"not in schedule"))</f>
        <v/>
      </c>
    </row>
    <row r="42" customFormat="false" ht="15" hidden="false" customHeight="false" outlineLevel="0" collapsed="false">
      <c r="A42" s="103"/>
      <c r="B42" s="102"/>
      <c r="C42" s="103"/>
      <c r="D42" s="103"/>
      <c r="E42" s="103"/>
      <c r="F42" s="105"/>
      <c r="G42" s="105"/>
      <c r="H42" s="105"/>
      <c r="I42" s="103"/>
      <c r="U42" s="30" t="str">
        <f aca="false">IF(A42="","",IFERROR(INDEX(Schedule!$N$7:$N$18,MATCH(A42,Schedule!$A$7:$A$18,0)),"not in schedule"))</f>
        <v/>
      </c>
    </row>
    <row r="43" customFormat="false" ht="15" hidden="false" customHeight="false" outlineLevel="0" collapsed="false">
      <c r="A43" s="103"/>
      <c r="B43" s="102"/>
      <c r="C43" s="103"/>
      <c r="D43" s="103"/>
      <c r="E43" s="103"/>
      <c r="F43" s="105"/>
      <c r="G43" s="105"/>
      <c r="H43" s="105"/>
      <c r="I43" s="103"/>
      <c r="U43" s="30" t="str">
        <f aca="false">IF(A43="","",IFERROR(INDEX(Schedule!$N$7:$N$18,MATCH(A43,Schedule!$A$7:$A$18,0)),"not in schedule"))</f>
        <v/>
      </c>
    </row>
    <row r="44" customFormat="false" ht="15" hidden="false" customHeight="false" outlineLevel="0" collapsed="false">
      <c r="A44" s="103"/>
      <c r="B44" s="102"/>
      <c r="C44" s="103"/>
      <c r="D44" s="103"/>
      <c r="E44" s="103"/>
      <c r="F44" s="105"/>
      <c r="G44" s="105"/>
      <c r="H44" s="105"/>
      <c r="I44" s="103"/>
      <c r="U44" s="30" t="str">
        <f aca="false">IF(A44="","",IFERROR(INDEX(Schedule!$N$7:$N$18,MATCH(A44,Schedule!$A$7:$A$18,0)),"not in schedule"))</f>
        <v/>
      </c>
    </row>
    <row r="45" customFormat="false" ht="15" hidden="false" customHeight="false" outlineLevel="0" collapsed="false">
      <c r="A45" s="103"/>
      <c r="B45" s="102"/>
      <c r="C45" s="103"/>
      <c r="D45" s="103"/>
      <c r="E45" s="103"/>
      <c r="F45" s="105"/>
      <c r="G45" s="105"/>
      <c r="H45" s="105"/>
      <c r="I45" s="103"/>
      <c r="U45" s="30" t="str">
        <f aca="false">IF(A45="","",IFERROR(INDEX(Schedule!$N$7:$N$18,MATCH(A45,Schedule!$A$7:$A$18,0)),"not in schedule"))</f>
        <v/>
      </c>
    </row>
    <row r="46" customFormat="false" ht="15" hidden="false" customHeight="false" outlineLevel="0" collapsed="false">
      <c r="A46" s="103"/>
      <c r="B46" s="102"/>
      <c r="C46" s="103"/>
      <c r="D46" s="103"/>
      <c r="E46" s="103"/>
      <c r="F46" s="105"/>
      <c r="G46" s="105"/>
      <c r="H46" s="105"/>
      <c r="I46" s="103"/>
      <c r="U46" s="30" t="str">
        <f aca="false">IF(A46="","",IFERROR(INDEX(Schedule!$N$7:$N$18,MATCH(A46,Schedule!$A$7:$A$18,0)),"not in schedule"))</f>
        <v/>
      </c>
    </row>
    <row r="47" customFormat="false" ht="15" hidden="false" customHeight="false" outlineLevel="0" collapsed="false">
      <c r="A47" s="103"/>
      <c r="B47" s="102"/>
      <c r="C47" s="103"/>
      <c r="D47" s="103"/>
      <c r="E47" s="103"/>
      <c r="F47" s="105"/>
      <c r="G47" s="105"/>
      <c r="H47" s="105"/>
      <c r="I47" s="103"/>
      <c r="U47" s="30" t="str">
        <f aca="false">IF(A47="","",IFERROR(INDEX(Schedule!$N$7:$N$18,MATCH(A47,Schedule!$A$7:$A$18,0)),"not in schedule"))</f>
        <v/>
      </c>
    </row>
    <row r="48" customFormat="false" ht="15" hidden="false" customHeight="false" outlineLevel="0" collapsed="false">
      <c r="A48" s="103"/>
      <c r="B48" s="102"/>
      <c r="C48" s="103"/>
      <c r="D48" s="103"/>
      <c r="E48" s="103"/>
      <c r="F48" s="105"/>
      <c r="G48" s="105"/>
      <c r="H48" s="105"/>
      <c r="I48" s="103"/>
      <c r="U48" s="30" t="str">
        <f aca="false">IF(A48="","",IFERROR(INDEX(Schedule!$N$7:$N$18,MATCH(A48,Schedule!$A$7:$A$18,0)),"not in schedule"))</f>
        <v/>
      </c>
    </row>
    <row r="49" customFormat="false" ht="15" hidden="false" customHeight="false" outlineLevel="0" collapsed="false">
      <c r="A49" s="103"/>
      <c r="B49" s="102"/>
      <c r="C49" s="103"/>
      <c r="D49" s="103"/>
      <c r="E49" s="103"/>
      <c r="F49" s="105"/>
      <c r="G49" s="105"/>
      <c r="H49" s="105"/>
      <c r="I49" s="103"/>
      <c r="U49" s="30" t="str">
        <f aca="false">IF(A49="","",IFERROR(INDEX(Schedule!$N$7:$N$18,MATCH(A49,Schedule!$A$7:$A$18,0)),"not in schedule"))</f>
        <v/>
      </c>
    </row>
    <row r="50" customFormat="false" ht="15" hidden="false" customHeight="false" outlineLevel="0" collapsed="false">
      <c r="A50" s="103"/>
      <c r="B50" s="102"/>
      <c r="C50" s="103"/>
      <c r="D50" s="103"/>
      <c r="E50" s="103"/>
      <c r="F50" s="105"/>
      <c r="G50" s="105"/>
      <c r="H50" s="105"/>
      <c r="I50" s="103"/>
      <c r="U50" s="30" t="str">
        <f aca="false">IF(A50="","",IFERROR(INDEX(Schedule!$N$7:$N$18,MATCH(A50,Schedule!$A$7:$A$18,0)),"not in schedule"))</f>
        <v/>
      </c>
    </row>
    <row r="51" customFormat="false" ht="15" hidden="false" customHeight="false" outlineLevel="0" collapsed="false">
      <c r="A51" s="103"/>
      <c r="B51" s="102"/>
      <c r="C51" s="103"/>
      <c r="D51" s="103"/>
      <c r="E51" s="103"/>
      <c r="F51" s="105"/>
      <c r="G51" s="105"/>
      <c r="H51" s="105"/>
      <c r="I51" s="103"/>
      <c r="U51" s="30" t="str">
        <f aca="false">IF(A51="","",IFERROR(INDEX(Schedule!$N$7:$N$18,MATCH(A51,Schedule!$A$7:$A$18,0)),"not in schedule"))</f>
        <v/>
      </c>
    </row>
    <row r="52" customFormat="false" ht="15" hidden="false" customHeight="false" outlineLevel="0" collapsed="false">
      <c r="A52" s="103"/>
      <c r="B52" s="102"/>
      <c r="C52" s="103"/>
      <c r="D52" s="103"/>
      <c r="E52" s="103"/>
      <c r="F52" s="105"/>
      <c r="G52" s="105"/>
      <c r="H52" s="105"/>
      <c r="I52" s="103"/>
      <c r="U52" s="30" t="str">
        <f aca="false">IF(A52="","",IFERROR(INDEX(Schedule!$N$7:$N$18,MATCH(A52,Schedule!$A$7:$A$18,0)),"not in schedule"))</f>
        <v/>
      </c>
    </row>
    <row r="53" customFormat="false" ht="15" hidden="false" customHeight="false" outlineLevel="0" collapsed="false">
      <c r="A53" s="103"/>
      <c r="B53" s="102"/>
      <c r="C53" s="103"/>
      <c r="D53" s="103"/>
      <c r="E53" s="103"/>
      <c r="F53" s="105"/>
      <c r="G53" s="105"/>
      <c r="H53" s="105"/>
      <c r="I53" s="103"/>
      <c r="U53" s="30" t="str">
        <f aca="false">IF(A53="","",IFERROR(INDEX(Schedule!$N$7:$N$18,MATCH(A53,Schedule!$A$7:$A$18,0)),"not in schedule"))</f>
        <v/>
      </c>
    </row>
    <row r="54" customFormat="false" ht="15" hidden="false" customHeight="false" outlineLevel="0" collapsed="false">
      <c r="A54" s="103"/>
      <c r="B54" s="102"/>
      <c r="C54" s="103"/>
      <c r="D54" s="103"/>
      <c r="E54" s="103"/>
      <c r="F54" s="105"/>
      <c r="G54" s="105"/>
      <c r="H54" s="105"/>
      <c r="I54" s="103"/>
      <c r="U54" s="30" t="str">
        <f aca="false">IF(A54="","",IFERROR(INDEX(Schedule!$N$7:$N$18,MATCH(A54,Schedule!$A$7:$A$18,0)),"not in schedule"))</f>
        <v/>
      </c>
    </row>
    <row r="55" customFormat="false" ht="15" hidden="false" customHeight="false" outlineLevel="0" collapsed="false">
      <c r="A55" s="103"/>
      <c r="B55" s="102"/>
      <c r="C55" s="103"/>
      <c r="D55" s="103"/>
      <c r="E55" s="103"/>
      <c r="F55" s="105"/>
      <c r="G55" s="105"/>
      <c r="H55" s="105"/>
      <c r="I55" s="103"/>
      <c r="U55" s="30" t="str">
        <f aca="false">IF(A55="","",IFERROR(INDEX(Schedule!$N$7:$N$18,MATCH(A55,Schedule!$A$7:$A$18,0)),"not in schedule"))</f>
        <v/>
      </c>
    </row>
    <row r="56" customFormat="false" ht="15" hidden="false" customHeight="false" outlineLevel="0" collapsed="false">
      <c r="A56" s="103"/>
      <c r="B56" s="102"/>
      <c r="C56" s="103"/>
      <c r="D56" s="103"/>
      <c r="E56" s="103"/>
      <c r="F56" s="105"/>
      <c r="G56" s="105"/>
      <c r="H56" s="105"/>
      <c r="I56" s="103"/>
      <c r="U56" s="30" t="str">
        <f aca="false">IF(A56="","",IFERROR(INDEX(Schedule!$N$7:$N$18,MATCH(A56,Schedule!$A$7:$A$18,0)),"not in schedule"))</f>
        <v/>
      </c>
    </row>
    <row r="57" customFormat="false" ht="15" hidden="false" customHeight="false" outlineLevel="0" collapsed="false">
      <c r="A57" s="103"/>
      <c r="B57" s="102"/>
      <c r="C57" s="103"/>
      <c r="D57" s="103"/>
      <c r="E57" s="103"/>
      <c r="F57" s="105"/>
      <c r="G57" s="105"/>
      <c r="H57" s="105"/>
      <c r="I57" s="103"/>
      <c r="U57" s="30" t="str">
        <f aca="false">IF(A57="","",IFERROR(INDEX(Schedule!$N$7:$N$18,MATCH(A57,Schedule!$A$7:$A$18,0)),"not in schedule"))</f>
        <v/>
      </c>
    </row>
    <row r="58" customFormat="false" ht="15" hidden="false" customHeight="false" outlineLevel="0" collapsed="false">
      <c r="A58" s="103"/>
      <c r="B58" s="102"/>
      <c r="C58" s="103"/>
      <c r="D58" s="103"/>
      <c r="E58" s="103"/>
      <c r="F58" s="105"/>
      <c r="G58" s="105"/>
      <c r="H58" s="105"/>
      <c r="I58" s="103"/>
      <c r="U58" s="30" t="str">
        <f aca="false">IF(A58="","",IFERROR(INDEX(Schedule!$N$7:$N$18,MATCH(A58,Schedule!$A$7:$A$18,0)),"not in schedule"))</f>
        <v/>
      </c>
    </row>
    <row r="59" customFormat="false" ht="15" hidden="false" customHeight="false" outlineLevel="0" collapsed="false">
      <c r="A59" s="103"/>
      <c r="B59" s="102"/>
      <c r="C59" s="103"/>
      <c r="D59" s="103"/>
      <c r="E59" s="103"/>
      <c r="F59" s="105"/>
      <c r="G59" s="105"/>
      <c r="H59" s="105"/>
      <c r="I59" s="103"/>
      <c r="U59" s="30" t="str">
        <f aca="false">IF(A59="","",IFERROR(INDEX(Schedule!$N$7:$N$18,MATCH(A59,Schedule!$A$7:$A$18,0)),"not in schedule"))</f>
        <v/>
      </c>
    </row>
    <row r="60" customFormat="false" ht="15" hidden="false" customHeight="false" outlineLevel="0" collapsed="false">
      <c r="A60" s="103"/>
      <c r="B60" s="102"/>
      <c r="C60" s="103"/>
      <c r="D60" s="103"/>
      <c r="E60" s="103"/>
      <c r="F60" s="105"/>
      <c r="G60" s="105"/>
      <c r="H60" s="105"/>
      <c r="I60" s="103"/>
      <c r="U60" s="30" t="str">
        <f aca="false">IF(A60="","",IFERROR(INDEX(Schedule!$N$7:$N$18,MATCH(A60,Schedule!$A$7:$A$18,0)),"not in schedule"))</f>
        <v/>
      </c>
    </row>
    <row r="61" customFormat="false" ht="15" hidden="false" customHeight="false" outlineLevel="0" collapsed="false">
      <c r="A61" s="103"/>
      <c r="B61" s="102"/>
      <c r="C61" s="103"/>
      <c r="D61" s="103"/>
      <c r="E61" s="103"/>
      <c r="F61" s="105"/>
      <c r="G61" s="105"/>
      <c r="H61" s="105"/>
      <c r="I61" s="103"/>
      <c r="U61" s="30" t="str">
        <f aca="false">IF(A61="","",IFERROR(INDEX(Schedule!$N$7:$N$18,MATCH(A61,Schedule!$A$7:$A$18,0)),"not in schedule"))</f>
        <v/>
      </c>
    </row>
    <row r="62" customFormat="false" ht="15" hidden="false" customHeight="false" outlineLevel="0" collapsed="false">
      <c r="A62" s="103"/>
      <c r="B62" s="102"/>
      <c r="C62" s="103"/>
      <c r="D62" s="103"/>
      <c r="E62" s="103"/>
      <c r="F62" s="105"/>
      <c r="G62" s="105"/>
      <c r="H62" s="105"/>
      <c r="I62" s="103"/>
      <c r="U62" s="30" t="str">
        <f aca="false">IF(A62="","",IFERROR(INDEX(Schedule!$N$7:$N$18,MATCH(A62,Schedule!$A$7:$A$18,0)),"not in schedule"))</f>
        <v/>
      </c>
    </row>
    <row r="63" customFormat="false" ht="15" hidden="false" customHeight="false" outlineLevel="0" collapsed="false">
      <c r="A63" s="103"/>
      <c r="B63" s="102"/>
      <c r="C63" s="103"/>
      <c r="D63" s="103"/>
      <c r="E63" s="103"/>
      <c r="F63" s="105"/>
      <c r="G63" s="105"/>
      <c r="H63" s="105"/>
      <c r="I63" s="103"/>
      <c r="U63" s="30" t="str">
        <f aca="false">IF(A63="","",IFERROR(INDEX(Schedule!$N$7:$N$18,MATCH(A63,Schedule!$A$7:$A$18,0)),"not in schedule"))</f>
        <v/>
      </c>
    </row>
    <row r="64" customFormat="false" ht="15" hidden="false" customHeight="false" outlineLevel="0" collapsed="false">
      <c r="A64" s="103"/>
      <c r="B64" s="102"/>
      <c r="C64" s="103"/>
      <c r="D64" s="103"/>
      <c r="E64" s="103"/>
      <c r="F64" s="105"/>
      <c r="G64" s="105"/>
      <c r="H64" s="105"/>
      <c r="I64" s="103"/>
      <c r="U64" s="30" t="str">
        <f aca="false">IF(A64="","",IFERROR(INDEX(Schedule!$N$7:$N$18,MATCH(A64,Schedule!$A$7:$A$18,0)),"not in schedule"))</f>
        <v/>
      </c>
    </row>
    <row r="65" customFormat="false" ht="15" hidden="false" customHeight="false" outlineLevel="0" collapsed="false">
      <c r="A65" s="103"/>
      <c r="B65" s="102"/>
      <c r="C65" s="103"/>
      <c r="D65" s="103"/>
      <c r="E65" s="103"/>
      <c r="F65" s="105"/>
      <c r="G65" s="105"/>
      <c r="H65" s="105"/>
      <c r="I65" s="103"/>
      <c r="U65" s="30" t="str">
        <f aca="false">IF(A65="","",IFERROR(INDEX(Schedule!$N$7:$N$18,MATCH(A65,Schedule!$A$7:$A$18,0)),"not in schedule"))</f>
        <v/>
      </c>
    </row>
    <row r="66" customFormat="false" ht="15" hidden="false" customHeight="false" outlineLevel="0" collapsed="false">
      <c r="A66" s="103"/>
      <c r="B66" s="102"/>
      <c r="C66" s="103"/>
      <c r="D66" s="103"/>
      <c r="E66" s="103"/>
      <c r="F66" s="105"/>
      <c r="G66" s="105"/>
      <c r="H66" s="105"/>
      <c r="I66" s="103"/>
      <c r="U66" s="30" t="str">
        <f aca="false">IF(A66="","",IFERROR(INDEX(Schedule!$N$7:$N$18,MATCH(A66,Schedule!$A$7:$A$18,0)),"not in schedule"))</f>
        <v/>
      </c>
    </row>
    <row r="67" customFormat="false" ht="15" hidden="false" customHeight="false" outlineLevel="0" collapsed="false">
      <c r="A67" s="103"/>
      <c r="B67" s="102"/>
      <c r="C67" s="103"/>
      <c r="D67" s="103"/>
      <c r="E67" s="103"/>
      <c r="F67" s="105"/>
      <c r="G67" s="105"/>
      <c r="H67" s="105"/>
      <c r="I67" s="103"/>
      <c r="U67" s="30" t="str">
        <f aca="false">IF(A67="","",IFERROR(INDEX(Schedule!$N$7:$N$18,MATCH(A67,Schedule!$A$7:$A$18,0)),"not in schedule"))</f>
        <v/>
      </c>
    </row>
    <row r="68" customFormat="false" ht="15" hidden="false" customHeight="false" outlineLevel="0" collapsed="false">
      <c r="A68" s="103"/>
      <c r="B68" s="102"/>
      <c r="C68" s="103"/>
      <c r="D68" s="103"/>
      <c r="E68" s="103"/>
      <c r="F68" s="105"/>
      <c r="G68" s="105"/>
      <c r="H68" s="105"/>
      <c r="I68" s="103"/>
      <c r="U68" s="30" t="str">
        <f aca="false">IF(A68="","",IFERROR(INDEX(Schedule!$N$7:$N$18,MATCH(A68,Schedule!$A$7:$A$18,0)),"not in schedule"))</f>
        <v/>
      </c>
    </row>
    <row r="69" customFormat="false" ht="15" hidden="false" customHeight="false" outlineLevel="0" collapsed="false">
      <c r="A69" s="103"/>
      <c r="B69" s="102"/>
      <c r="C69" s="103"/>
      <c r="D69" s="103"/>
      <c r="E69" s="103"/>
      <c r="F69" s="105"/>
      <c r="G69" s="105"/>
      <c r="H69" s="105"/>
      <c r="I69" s="103"/>
      <c r="U69" s="30" t="str">
        <f aca="false">IF(A69="","",IFERROR(INDEX(Schedule!$N$7:$N$18,MATCH(A69,Schedule!$A$7:$A$18,0)),"not in schedule"))</f>
        <v/>
      </c>
    </row>
    <row r="70" customFormat="false" ht="15" hidden="false" customHeight="false" outlineLevel="0" collapsed="false">
      <c r="A70" s="103"/>
      <c r="B70" s="102"/>
      <c r="C70" s="103"/>
      <c r="D70" s="103"/>
      <c r="E70" s="103"/>
      <c r="F70" s="105"/>
      <c r="G70" s="105"/>
      <c r="H70" s="105"/>
      <c r="I70" s="103"/>
      <c r="U70" s="30" t="str">
        <f aca="false">IF(A70="","",IFERROR(INDEX(Schedule!$N$7:$N$18,MATCH(A70,Schedule!$A$7:$A$18,0)),"not in schedule"))</f>
        <v/>
      </c>
    </row>
    <row r="71" customFormat="false" ht="15" hidden="false" customHeight="false" outlineLevel="0" collapsed="false">
      <c r="A71" s="103"/>
      <c r="B71" s="102"/>
      <c r="C71" s="103"/>
      <c r="D71" s="103"/>
      <c r="E71" s="103"/>
      <c r="F71" s="105"/>
      <c r="G71" s="105"/>
      <c r="H71" s="105"/>
      <c r="I71" s="103"/>
      <c r="U71" s="30" t="str">
        <f aca="false">IF(A71="","",IFERROR(INDEX(Schedule!$N$7:$N$18,MATCH(A71,Schedule!$A$7:$A$18,0)),"not in schedule"))</f>
        <v/>
      </c>
    </row>
    <row r="72" customFormat="false" ht="15" hidden="false" customHeight="false" outlineLevel="0" collapsed="false">
      <c r="A72" s="103"/>
      <c r="B72" s="102"/>
      <c r="C72" s="103"/>
      <c r="D72" s="103"/>
      <c r="E72" s="103"/>
      <c r="F72" s="105"/>
      <c r="G72" s="105"/>
      <c r="H72" s="105"/>
      <c r="I72" s="103"/>
      <c r="U72" s="30" t="str">
        <f aca="false">IF(A72="","",IFERROR(INDEX(Schedule!$N$7:$N$18,MATCH(A72,Schedule!$A$7:$A$18,0)),"not in schedule"))</f>
        <v/>
      </c>
    </row>
    <row r="73" customFormat="false" ht="15" hidden="false" customHeight="false" outlineLevel="0" collapsed="false">
      <c r="A73" s="103"/>
      <c r="B73" s="102"/>
      <c r="C73" s="103"/>
      <c r="D73" s="103"/>
      <c r="E73" s="103"/>
      <c r="F73" s="105"/>
      <c r="G73" s="105"/>
      <c r="H73" s="105"/>
      <c r="I73" s="103"/>
      <c r="U73" s="30" t="str">
        <f aca="false">IF(A73="","",IFERROR(INDEX(Schedule!$N$7:$N$18,MATCH(A73,Schedule!$A$7:$A$18,0)),"not in schedule"))</f>
        <v/>
      </c>
    </row>
    <row r="74" customFormat="false" ht="15" hidden="false" customHeight="false" outlineLevel="0" collapsed="false">
      <c r="A74" s="103"/>
      <c r="B74" s="102"/>
      <c r="C74" s="103"/>
      <c r="D74" s="103"/>
      <c r="E74" s="103"/>
      <c r="F74" s="105"/>
      <c r="G74" s="105"/>
      <c r="H74" s="105"/>
      <c r="I74" s="103"/>
      <c r="U74" s="30" t="str">
        <f aca="false">IF(A74="","",IFERROR(INDEX(Schedule!$N$7:$N$18,MATCH(A74,Schedule!$A$7:$A$18,0)),"not in schedule"))</f>
        <v/>
      </c>
    </row>
    <row r="75" customFormat="false" ht="15" hidden="false" customHeight="false" outlineLevel="0" collapsed="false">
      <c r="A75" s="103"/>
      <c r="B75" s="102"/>
      <c r="C75" s="103"/>
      <c r="D75" s="103"/>
      <c r="E75" s="103"/>
      <c r="F75" s="105"/>
      <c r="G75" s="105"/>
      <c r="H75" s="105"/>
      <c r="I75" s="103"/>
      <c r="U75" s="30" t="str">
        <f aca="false">IF(A75="","",IFERROR(INDEX(Schedule!$N$7:$N$18,MATCH(A75,Schedule!$A$7:$A$18,0)),"not in schedule"))</f>
        <v/>
      </c>
    </row>
    <row r="76" customFormat="false" ht="15" hidden="false" customHeight="false" outlineLevel="0" collapsed="false">
      <c r="A76" s="103"/>
      <c r="B76" s="102"/>
      <c r="C76" s="103"/>
      <c r="D76" s="103"/>
      <c r="E76" s="103"/>
      <c r="F76" s="105"/>
      <c r="G76" s="105"/>
      <c r="H76" s="105"/>
      <c r="I76" s="103"/>
      <c r="U76" s="30" t="str">
        <f aca="false">IF(A76="","",IFERROR(INDEX(Schedule!$N$7:$N$18,MATCH(A76,Schedule!$A$7:$A$18,0)),"not in schedule"))</f>
        <v/>
      </c>
    </row>
    <row r="77" customFormat="false" ht="15" hidden="false" customHeight="false" outlineLevel="0" collapsed="false">
      <c r="A77" s="103"/>
      <c r="B77" s="102"/>
      <c r="C77" s="103"/>
      <c r="D77" s="103"/>
      <c r="E77" s="103"/>
      <c r="F77" s="105"/>
      <c r="G77" s="105"/>
      <c r="H77" s="105"/>
      <c r="I77" s="103"/>
      <c r="U77" s="30" t="str">
        <f aca="false">IF(A77="","",IFERROR(INDEX(Schedule!$N$7:$N$18,MATCH(A77,Schedule!$A$7:$A$18,0)),"not in schedule"))</f>
        <v/>
      </c>
    </row>
    <row r="78" customFormat="false" ht="15" hidden="false" customHeight="false" outlineLevel="0" collapsed="false">
      <c r="A78" s="103"/>
      <c r="B78" s="102"/>
      <c r="C78" s="103"/>
      <c r="D78" s="103"/>
      <c r="E78" s="103"/>
      <c r="F78" s="105"/>
      <c r="G78" s="105"/>
      <c r="H78" s="105"/>
      <c r="I78" s="103"/>
      <c r="U78" s="30" t="str">
        <f aca="false">IF(A78="","",IFERROR(INDEX(Schedule!$N$7:$N$18,MATCH(A78,Schedule!$A$7:$A$18,0)),"not in schedule"))</f>
        <v/>
      </c>
    </row>
    <row r="79" customFormat="false" ht="15" hidden="false" customHeight="false" outlineLevel="0" collapsed="false">
      <c r="A79" s="103"/>
      <c r="B79" s="102"/>
      <c r="C79" s="103"/>
      <c r="D79" s="103"/>
      <c r="E79" s="103"/>
      <c r="F79" s="105"/>
      <c r="G79" s="105"/>
      <c r="H79" s="105"/>
      <c r="I79" s="103"/>
      <c r="U79" s="30" t="str">
        <f aca="false">IF(A79="","",IFERROR(INDEX(Schedule!$N$7:$N$18,MATCH(A79,Schedule!$A$7:$A$18,0)),"not in schedule"))</f>
        <v/>
      </c>
    </row>
    <row r="80" customFormat="false" ht="15" hidden="false" customHeight="false" outlineLevel="0" collapsed="false">
      <c r="A80" s="103"/>
      <c r="B80" s="102"/>
      <c r="C80" s="103"/>
      <c r="D80" s="103"/>
      <c r="E80" s="103"/>
      <c r="F80" s="105"/>
      <c r="G80" s="105"/>
      <c r="H80" s="105"/>
      <c r="I80" s="103"/>
      <c r="U80" s="30" t="str">
        <f aca="false">IF(A80="","",IFERROR(INDEX(Schedule!$N$7:$N$18,MATCH(A80,Schedule!$A$7:$A$18,0)),"not in schedule"))</f>
        <v/>
      </c>
    </row>
    <row r="81" customFormat="false" ht="15" hidden="false" customHeight="false" outlineLevel="0" collapsed="false">
      <c r="A81" s="103"/>
      <c r="B81" s="102"/>
      <c r="C81" s="103"/>
      <c r="D81" s="103"/>
      <c r="E81" s="103"/>
      <c r="F81" s="105"/>
      <c r="G81" s="105"/>
      <c r="H81" s="105"/>
      <c r="I81" s="103"/>
      <c r="U81" s="30" t="str">
        <f aca="false">IF(A81="","",IFERROR(INDEX(Schedule!$N$7:$N$18,MATCH(A81,Schedule!$A$7:$A$18,0)),"not in schedule"))</f>
        <v/>
      </c>
    </row>
    <row r="82" customFormat="false" ht="15" hidden="false" customHeight="false" outlineLevel="0" collapsed="false">
      <c r="A82" s="103"/>
      <c r="B82" s="102"/>
      <c r="C82" s="103"/>
      <c r="D82" s="103"/>
      <c r="E82" s="103"/>
      <c r="F82" s="105"/>
      <c r="G82" s="105"/>
      <c r="H82" s="105"/>
      <c r="I82" s="103"/>
      <c r="U82" s="30" t="str">
        <f aca="false">IF(A82="","",IFERROR(INDEX(Schedule!$N$7:$N$18,MATCH(A82,Schedule!$A$7:$A$18,0)),"not in schedule"))</f>
        <v/>
      </c>
    </row>
    <row r="83" customFormat="false" ht="15" hidden="false" customHeight="false" outlineLevel="0" collapsed="false">
      <c r="A83" s="103"/>
      <c r="B83" s="102"/>
      <c r="C83" s="103"/>
      <c r="D83" s="103"/>
      <c r="E83" s="103"/>
      <c r="F83" s="105"/>
      <c r="G83" s="105"/>
      <c r="H83" s="105"/>
      <c r="I83" s="103"/>
      <c r="U83" s="30" t="str">
        <f aca="false">IF(A83="","",IFERROR(INDEX(Schedule!$N$7:$N$18,MATCH(A83,Schedule!$A$7:$A$18,0)),"not in schedule"))</f>
        <v/>
      </c>
    </row>
    <row r="84" customFormat="false" ht="15" hidden="false" customHeight="false" outlineLevel="0" collapsed="false">
      <c r="A84" s="103"/>
      <c r="B84" s="102"/>
      <c r="C84" s="103"/>
      <c r="D84" s="103"/>
      <c r="E84" s="103"/>
      <c r="F84" s="105"/>
      <c r="G84" s="105"/>
      <c r="H84" s="105"/>
      <c r="I84" s="103"/>
      <c r="U84" s="30" t="str">
        <f aca="false">IF(A84="","",IFERROR(INDEX(Schedule!$N$7:$N$18,MATCH(A84,Schedule!$A$7:$A$18,0)),"not in schedule"))</f>
        <v/>
      </c>
    </row>
    <row r="85" customFormat="false" ht="15" hidden="false" customHeight="false" outlineLevel="0" collapsed="false">
      <c r="A85" s="103"/>
      <c r="B85" s="102"/>
      <c r="C85" s="103"/>
      <c r="D85" s="103"/>
      <c r="E85" s="103"/>
      <c r="F85" s="105"/>
      <c r="G85" s="105"/>
      <c r="H85" s="105"/>
      <c r="I85" s="103"/>
      <c r="U85" s="30" t="str">
        <f aca="false">IF(A85="","",IFERROR(INDEX(Schedule!$N$7:$N$18,MATCH(A85,Schedule!$A$7:$A$18,0)),"not in schedule"))</f>
        <v/>
      </c>
    </row>
    <row r="86" customFormat="false" ht="15" hidden="false" customHeight="false" outlineLevel="0" collapsed="false">
      <c r="A86" s="103"/>
      <c r="B86" s="102"/>
      <c r="C86" s="103"/>
      <c r="D86" s="103"/>
      <c r="E86" s="103"/>
      <c r="F86" s="105"/>
      <c r="G86" s="105"/>
      <c r="H86" s="105"/>
      <c r="I86" s="103"/>
      <c r="U86" s="30" t="str">
        <f aca="false">IF(A86="","",IFERROR(INDEX(Schedule!$N$7:$N$18,MATCH(A86,Schedule!$A$7:$A$18,0)),"not in schedule"))</f>
        <v/>
      </c>
    </row>
    <row r="87" customFormat="false" ht="15" hidden="false" customHeight="false" outlineLevel="0" collapsed="false">
      <c r="A87" s="103"/>
      <c r="B87" s="102"/>
      <c r="C87" s="103"/>
      <c r="D87" s="103"/>
      <c r="E87" s="103"/>
      <c r="F87" s="105"/>
      <c r="G87" s="105"/>
      <c r="H87" s="105"/>
      <c r="I87" s="103"/>
      <c r="U87" s="30" t="str">
        <f aca="false">IF(A87="","",IFERROR(INDEX(Schedule!$N$7:$N$18,MATCH(A87,Schedule!$A$7:$A$18,0)),"not in schedule"))</f>
        <v/>
      </c>
    </row>
    <row r="88" customFormat="false" ht="15" hidden="false" customHeight="false" outlineLevel="0" collapsed="false">
      <c r="A88" s="103"/>
      <c r="B88" s="102"/>
      <c r="C88" s="103"/>
      <c r="D88" s="103"/>
      <c r="E88" s="103"/>
      <c r="F88" s="105"/>
      <c r="G88" s="105"/>
      <c r="H88" s="105"/>
      <c r="I88" s="103"/>
      <c r="U88" s="30" t="str">
        <f aca="false">IF(A88="","",IFERROR(INDEX(Schedule!$N$7:$N$18,MATCH(A88,Schedule!$A$7:$A$18,0)),"not in schedule"))</f>
        <v/>
      </c>
    </row>
    <row r="89" customFormat="false" ht="15" hidden="false" customHeight="false" outlineLevel="0" collapsed="false">
      <c r="A89" s="103"/>
      <c r="B89" s="102"/>
      <c r="C89" s="103"/>
      <c r="D89" s="103"/>
      <c r="E89" s="103"/>
      <c r="F89" s="105"/>
      <c r="G89" s="105"/>
      <c r="H89" s="105"/>
      <c r="I89" s="103"/>
      <c r="U89" s="30" t="str">
        <f aca="false">IF(A89="","",IFERROR(INDEX(Schedule!$N$7:$N$18,MATCH(A89,Schedule!$A$7:$A$18,0)),"not in schedule"))</f>
        <v/>
      </c>
    </row>
    <row r="90" customFormat="false" ht="15" hidden="false" customHeight="false" outlineLevel="0" collapsed="false">
      <c r="A90" s="103"/>
      <c r="B90" s="102"/>
      <c r="C90" s="103"/>
      <c r="D90" s="103"/>
      <c r="E90" s="103"/>
      <c r="F90" s="105"/>
      <c r="G90" s="105"/>
      <c r="H90" s="105"/>
      <c r="I90" s="103"/>
      <c r="U90" s="30" t="str">
        <f aca="false">IF(A90="","",IFERROR(INDEX(Schedule!$N$7:$N$18,MATCH(A90,Schedule!$A$7:$A$18,0)),"not in schedule"))</f>
        <v/>
      </c>
    </row>
    <row r="91" customFormat="false" ht="15" hidden="false" customHeight="false" outlineLevel="0" collapsed="false">
      <c r="A91" s="103"/>
      <c r="B91" s="102"/>
      <c r="C91" s="103"/>
      <c r="D91" s="103"/>
      <c r="E91" s="103"/>
      <c r="F91" s="105"/>
      <c r="G91" s="105"/>
      <c r="H91" s="105"/>
      <c r="I91" s="103"/>
      <c r="U91" s="30" t="str">
        <f aca="false">IF(A91="","",IFERROR(INDEX(Schedule!$N$7:$N$18,MATCH(A91,Schedule!$A$7:$A$18,0)),"not in schedule"))</f>
        <v/>
      </c>
    </row>
    <row r="92" customFormat="false" ht="15" hidden="false" customHeight="false" outlineLevel="0" collapsed="false">
      <c r="A92" s="103"/>
      <c r="B92" s="102"/>
      <c r="C92" s="103"/>
      <c r="D92" s="103"/>
      <c r="E92" s="103"/>
      <c r="F92" s="105"/>
      <c r="G92" s="105"/>
      <c r="H92" s="105"/>
      <c r="I92" s="103"/>
      <c r="U92" s="30" t="str">
        <f aca="false">IF(A92="","",IFERROR(INDEX(Schedule!$N$7:$N$18,MATCH(A92,Schedule!$A$7:$A$18,0)),"not in schedule"))</f>
        <v/>
      </c>
    </row>
    <row r="93" customFormat="false" ht="15" hidden="false" customHeight="false" outlineLevel="0" collapsed="false">
      <c r="A93" s="103"/>
      <c r="B93" s="102"/>
      <c r="C93" s="103"/>
      <c r="D93" s="103"/>
      <c r="E93" s="103"/>
      <c r="F93" s="105"/>
      <c r="G93" s="105"/>
      <c r="H93" s="105"/>
      <c r="I93" s="103"/>
      <c r="U93" s="30" t="str">
        <f aca="false">IF(A93="","",IFERROR(INDEX(Schedule!$N$7:$N$18,MATCH(A93,Schedule!$A$7:$A$18,0)),"not in schedule"))</f>
        <v/>
      </c>
    </row>
    <row r="94" customFormat="false" ht="15" hidden="false" customHeight="false" outlineLevel="0" collapsed="false">
      <c r="A94" s="103"/>
      <c r="B94" s="102"/>
      <c r="C94" s="103"/>
      <c r="D94" s="103"/>
      <c r="E94" s="103"/>
      <c r="F94" s="105"/>
      <c r="G94" s="105"/>
      <c r="H94" s="105"/>
      <c r="I94" s="103"/>
      <c r="U94" s="30" t="str">
        <f aca="false">IF(A94="","",IFERROR(INDEX(Schedule!$N$7:$N$18,MATCH(A94,Schedule!$A$7:$A$18,0)),"not in schedule"))</f>
        <v/>
      </c>
    </row>
    <row r="95" customFormat="false" ht="15" hidden="false" customHeight="false" outlineLevel="0" collapsed="false">
      <c r="A95" s="103"/>
      <c r="B95" s="102"/>
      <c r="C95" s="103"/>
      <c r="D95" s="103"/>
      <c r="E95" s="103"/>
      <c r="F95" s="105"/>
      <c r="G95" s="105"/>
      <c r="H95" s="105"/>
      <c r="I95" s="103"/>
      <c r="U95" s="30" t="str">
        <f aca="false">IF(A95="","",IFERROR(INDEX(Schedule!$N$7:$N$18,MATCH(A95,Schedule!$A$7:$A$18,0)),"not in schedule"))</f>
        <v/>
      </c>
    </row>
    <row r="96" customFormat="false" ht="15" hidden="false" customHeight="false" outlineLevel="0" collapsed="false">
      <c r="A96" s="103"/>
      <c r="B96" s="102"/>
      <c r="C96" s="103"/>
      <c r="D96" s="103"/>
      <c r="E96" s="103"/>
      <c r="F96" s="105"/>
      <c r="G96" s="105"/>
      <c r="H96" s="105"/>
      <c r="I96" s="103"/>
      <c r="U96" s="30" t="str">
        <f aca="false">IF(A96="","",IFERROR(INDEX(Schedule!$N$7:$N$18,MATCH(A96,Schedule!$A$7:$A$18,0)),"not in schedule"))</f>
        <v/>
      </c>
    </row>
    <row r="97" customFormat="false" ht="15" hidden="false" customHeight="false" outlineLevel="0" collapsed="false">
      <c r="A97" s="103"/>
      <c r="B97" s="102"/>
      <c r="C97" s="103"/>
      <c r="D97" s="103"/>
      <c r="E97" s="103"/>
      <c r="F97" s="105"/>
      <c r="G97" s="105"/>
      <c r="H97" s="105"/>
      <c r="I97" s="103"/>
      <c r="U97" s="30" t="str">
        <f aca="false">IF(A97="","",IFERROR(INDEX(Schedule!$N$7:$N$18,MATCH(A97,Schedule!$A$7:$A$18,0)),"not in schedule"))</f>
        <v/>
      </c>
    </row>
    <row r="98" customFormat="false" ht="15" hidden="false" customHeight="false" outlineLevel="0" collapsed="false">
      <c r="A98" s="103"/>
      <c r="B98" s="102"/>
      <c r="C98" s="103"/>
      <c r="D98" s="103"/>
      <c r="E98" s="103"/>
      <c r="F98" s="105"/>
      <c r="G98" s="105"/>
      <c r="H98" s="105"/>
      <c r="I98" s="103"/>
      <c r="U98" s="30" t="str">
        <f aca="false">IF(A98="","",IFERROR(INDEX(Schedule!$N$7:$N$18,MATCH(A98,Schedule!$A$7:$A$18,0)),"not in schedule"))</f>
        <v/>
      </c>
    </row>
    <row r="99" customFormat="false" ht="15" hidden="false" customHeight="false" outlineLevel="0" collapsed="false">
      <c r="A99" s="103"/>
      <c r="B99" s="102"/>
      <c r="C99" s="103"/>
      <c r="D99" s="103"/>
      <c r="E99" s="103"/>
      <c r="F99" s="105"/>
      <c r="G99" s="105"/>
      <c r="H99" s="105"/>
      <c r="I99" s="103"/>
      <c r="U99" s="30" t="str">
        <f aca="false">IF(A99="","",IFERROR(INDEX(Schedule!$N$7:$N$18,MATCH(A99,Schedule!$A$7:$A$18,0)),"not in schedule"))</f>
        <v/>
      </c>
    </row>
    <row r="100" customFormat="false" ht="15" hidden="false" customHeight="false" outlineLevel="0" collapsed="false">
      <c r="A100" s="103"/>
      <c r="B100" s="102"/>
      <c r="C100" s="103"/>
      <c r="D100" s="103"/>
      <c r="E100" s="103"/>
      <c r="F100" s="105"/>
      <c r="G100" s="105"/>
      <c r="H100" s="105"/>
      <c r="I100" s="103"/>
      <c r="U100" s="30" t="str">
        <f aca="false">IF(A100="","",IFERROR(INDEX(Schedule!$N$7:$N$18,MATCH(A100,Schedule!$A$7:$A$18,0)),"not in schedule"))</f>
        <v/>
      </c>
    </row>
    <row r="101" customFormat="false" ht="15" hidden="false" customHeight="false" outlineLevel="0" collapsed="false">
      <c r="A101" s="103"/>
      <c r="B101" s="102"/>
      <c r="C101" s="103"/>
      <c r="D101" s="103"/>
      <c r="E101" s="103"/>
      <c r="F101" s="105"/>
      <c r="G101" s="105"/>
      <c r="H101" s="105"/>
      <c r="I101" s="103"/>
      <c r="U101" s="30" t="str">
        <f aca="false">IF(A101="","",IFERROR(INDEX(Schedule!$N$7:$N$18,MATCH(A101,Schedule!$A$7:$A$18,0)),"not in schedule"))</f>
        <v/>
      </c>
    </row>
    <row r="102" customFormat="false" ht="15" hidden="false" customHeight="false" outlineLevel="0" collapsed="false">
      <c r="A102" s="103"/>
      <c r="B102" s="102"/>
      <c r="C102" s="103"/>
      <c r="D102" s="103"/>
      <c r="E102" s="103"/>
      <c r="F102" s="105"/>
      <c r="G102" s="105"/>
      <c r="H102" s="105"/>
      <c r="I102" s="103"/>
      <c r="U102" s="30" t="str">
        <f aca="false">IF(A102="","",IFERROR(INDEX(Schedule!$N$7:$N$18,MATCH(A102,Schedule!$A$7:$A$18,0)),"not in schedule"))</f>
        <v/>
      </c>
    </row>
    <row r="103" customFormat="false" ht="15" hidden="false" customHeight="false" outlineLevel="0" collapsed="false">
      <c r="A103" s="103"/>
      <c r="B103" s="102"/>
      <c r="C103" s="103"/>
      <c r="D103" s="103"/>
      <c r="E103" s="103"/>
      <c r="F103" s="105"/>
      <c r="G103" s="105"/>
      <c r="H103" s="105"/>
      <c r="I103" s="103"/>
      <c r="U103" s="30" t="str">
        <f aca="false">IF(A103="","",IFERROR(INDEX(Schedule!$N$7:$N$18,MATCH(A103,Schedule!$A$7:$A$18,0)),"not in schedule"))</f>
        <v/>
      </c>
    </row>
    <row r="104" customFormat="false" ht="15" hidden="false" customHeight="false" outlineLevel="0" collapsed="false">
      <c r="A104" s="103"/>
      <c r="B104" s="102"/>
      <c r="C104" s="103"/>
      <c r="D104" s="103"/>
      <c r="E104" s="103"/>
      <c r="F104" s="105"/>
      <c r="G104" s="105"/>
      <c r="H104" s="105"/>
      <c r="I104" s="103"/>
      <c r="U104" s="30" t="str">
        <f aca="false">IF(A104="","",IFERROR(INDEX(Schedule!$N$7:$N$18,MATCH(A104,Schedule!$A$7:$A$18,0)),"not in schedule"))</f>
        <v/>
      </c>
    </row>
  </sheetData>
  <dataValidations count="1">
    <dataValidation allowBlank="true" error="Pick a value from the list." errorStyle="stop" errorTitle="Not in the list" operator="between" showDropDown="false" showErrorMessage="false" showInputMessage="false" sqref="C5:C104" type="list">
      <formula1>Lists!$A$4:$A$6</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M18"/>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39" min="1" style="0" width="11"/>
  </cols>
  <sheetData>
    <row r="1" customFormat="false" ht="18.55" hidden="false" customHeight="false" outlineLevel="0" collapsed="false">
      <c r="A1" s="1" t="s">
        <v>1563</v>
      </c>
    </row>
    <row r="2" customFormat="false" ht="15" hidden="false" customHeight="false" outlineLevel="0" collapsed="false">
      <c r="A2" s="2" t="s">
        <v>1564</v>
      </c>
    </row>
    <row r="3" customFormat="false" ht="30" hidden="false" customHeight="true" outlineLevel="0" collapsed="false">
      <c r="A3" s="8" t="s">
        <v>1565</v>
      </c>
      <c r="B3" s="8"/>
      <c r="C3" s="8"/>
      <c r="D3" s="8"/>
      <c r="E3" s="8"/>
      <c r="F3" s="8"/>
      <c r="G3" s="8"/>
      <c r="H3" s="8"/>
      <c r="I3" s="8"/>
      <c r="J3" s="8"/>
      <c r="K3" s="8"/>
      <c r="L3" s="8"/>
      <c r="M3" s="8"/>
      <c r="N3" s="8"/>
      <c r="O3" s="8"/>
      <c r="P3" s="8"/>
      <c r="Q3" s="8"/>
      <c r="R3" s="8"/>
      <c r="S3" s="8"/>
      <c r="T3" s="8"/>
    </row>
    <row r="6" customFormat="false" ht="69.75" hidden="false" customHeight="true" outlineLevel="0" collapsed="false">
      <c r="A6" s="12" t="s">
        <v>324</v>
      </c>
      <c r="B6" s="12" t="s">
        <v>326</v>
      </c>
      <c r="C6" s="12" t="s">
        <v>1070</v>
      </c>
      <c r="D6" s="12" t="s">
        <v>331</v>
      </c>
      <c r="E6" s="12" t="s">
        <v>1018</v>
      </c>
      <c r="F6" s="12" t="s">
        <v>1015</v>
      </c>
      <c r="G6" s="12" t="s">
        <v>1017</v>
      </c>
      <c r="H6" s="12" t="s">
        <v>1566</v>
      </c>
      <c r="I6" s="12" t="s">
        <v>1567</v>
      </c>
      <c r="J6" s="12" t="s">
        <v>332</v>
      </c>
      <c r="K6" s="12" t="s">
        <v>1026</v>
      </c>
      <c r="L6" s="12" t="s">
        <v>1027</v>
      </c>
      <c r="M6" s="12" t="s">
        <v>1028</v>
      </c>
      <c r="N6" s="12" t="s">
        <v>1029</v>
      </c>
      <c r="O6" s="12" t="s">
        <v>1030</v>
      </c>
      <c r="P6" s="12" t="s">
        <v>1031</v>
      </c>
      <c r="Q6" s="12" t="s">
        <v>1032</v>
      </c>
      <c r="R6" s="12" t="s">
        <v>333</v>
      </c>
      <c r="S6" s="12" t="s">
        <v>334</v>
      </c>
      <c r="T6" s="12" t="s">
        <v>1033</v>
      </c>
      <c r="U6" s="12" t="s">
        <v>1532</v>
      </c>
      <c r="V6" s="12" t="s">
        <v>1533</v>
      </c>
      <c r="W6" s="12" t="s">
        <v>1534</v>
      </c>
      <c r="X6" s="12" t="s">
        <v>1535</v>
      </c>
      <c r="Y6" s="12" t="s">
        <v>1536</v>
      </c>
      <c r="Z6" s="12" t="s">
        <v>1537</v>
      </c>
      <c r="AA6" s="12" t="s">
        <v>1538</v>
      </c>
      <c r="AB6" s="12" t="s">
        <v>1539</v>
      </c>
      <c r="AC6" s="12" t="s">
        <v>1540</v>
      </c>
      <c r="AD6" s="12" t="s">
        <v>1541</v>
      </c>
      <c r="AE6" s="12" t="s">
        <v>1568</v>
      </c>
      <c r="AF6" s="12" t="s">
        <v>1569</v>
      </c>
      <c r="AG6" s="12" t="s">
        <v>1570</v>
      </c>
      <c r="AH6" s="12" t="s">
        <v>1571</v>
      </c>
      <c r="AI6" s="12" t="s">
        <v>1572</v>
      </c>
      <c r="AJ6" s="12" t="s">
        <v>1573</v>
      </c>
      <c r="AK6" s="12" t="s">
        <v>1574</v>
      </c>
      <c r="AL6" s="12" t="s">
        <v>1575</v>
      </c>
      <c r="AM6" s="12" t="s">
        <v>1576</v>
      </c>
    </row>
    <row r="7" customFormat="false" ht="15" hidden="false" customHeight="false" outlineLevel="0" collapsed="false">
      <c r="A7" s="30" t="str">
        <f aca="false">Drop_PnL!A7</f>
        <v>DRP-001</v>
      </c>
      <c r="B7" s="18" t="n">
        <f aca="false">Drop_PnL!B7</f>
        <v>46399</v>
      </c>
      <c r="C7" s="30" t="str">
        <f aca="false">Drop_PnL!AZ7</f>
        <v>N</v>
      </c>
      <c r="D7" s="19" t="n">
        <f aca="false">SUMIFS(Actuals_Campaigns!$R$5:$R$204,Actuals_Campaigns!$B$5:$B$204,A7)</f>
        <v>0</v>
      </c>
      <c r="E7" s="19" t="n">
        <f aca="false">SUMIFS(Actuals_Campaigns!$T$5:$T$204,Actuals_Campaigns!$B$5:$B$204,A7)</f>
        <v>0</v>
      </c>
      <c r="F7" s="19" t="n">
        <f aca="false">SUMIFS(Actuals_DropCosts!$F$5:$F$104,Actuals_DropCosts!$A$5:$A$104,A7)</f>
        <v>0</v>
      </c>
      <c r="G7" s="19" t="n">
        <f aca="false">SUMIFS(Actuals_DropCosts!$G$5:$G$104,Actuals_DropCosts!$A$5:$A$104,A7)</f>
        <v>0</v>
      </c>
      <c r="H7" s="19" t="n">
        <f aca="false">SUMIFS(Actuals_DropCosts!$H$5:$H$104,Actuals_DropCosts!$A$5:$A$104,A7)</f>
        <v>0</v>
      </c>
      <c r="I7" s="19" t="n">
        <f aca="false">IF(OR(C7="Y",AF7&gt;0,F7+G7+H7&gt;0),Drop_PnL!AM7,0)</f>
        <v>0</v>
      </c>
      <c r="J7" s="37" t="n">
        <f aca="false">SUM(E7:I7)</f>
        <v>0</v>
      </c>
      <c r="K7" s="36" t="n">
        <f aca="false">Hours_Log!R5</f>
        <v>0</v>
      </c>
      <c r="L7" s="36" t="n">
        <f aca="false">Hours_Log!S5</f>
        <v>0</v>
      </c>
      <c r="M7" s="36" t="n">
        <f aca="false">Hours_Log!T5</f>
        <v>0</v>
      </c>
      <c r="N7" s="36" t="n">
        <f aca="false">Hours_Log!U5</f>
        <v>0</v>
      </c>
      <c r="O7" s="36" t="n">
        <f aca="false">Hours_Log!V5</f>
        <v>0</v>
      </c>
      <c r="P7" s="36" t="n">
        <f aca="false">Hours_Log!W5</f>
        <v>0</v>
      </c>
      <c r="Q7" s="36" t="n">
        <f aca="false">Hours_Log!X5</f>
        <v>0</v>
      </c>
      <c r="R7" s="38" t="n">
        <f aca="false">SUM(K7:Q7)</f>
        <v>0</v>
      </c>
      <c r="S7" s="37" t="str">
        <f aca="false">IF(AND(NOT(OR(C7="Y",AF7&gt;0,F7+G7+H7&gt;0)),R7=0),"",D7-J7)</f>
        <v/>
      </c>
      <c r="T7" s="29" t="str">
        <f aca="false">IF(S7="","",IF(R7&gt;0,S7/R7,"n/a"))</f>
        <v/>
      </c>
      <c r="U7" s="24" t="n">
        <f aca="false">SUMIFS(Actuals_Campaigns!$H$5:$H$204,Actuals_Campaigns!$B$5:$B$204,A7)</f>
        <v>0</v>
      </c>
      <c r="V7" s="24" t="n">
        <f aca="false">SUMIFS(Actuals_Campaigns!$I$5:$I$204,Actuals_Campaigns!$B$5:$B$204,A7)</f>
        <v>0</v>
      </c>
      <c r="W7" s="24" t="n">
        <f aca="false">SUMIFS(Actuals_Campaigns!$J$5:$J$204,Actuals_Campaigns!$B$5:$B$204,A7)</f>
        <v>0</v>
      </c>
      <c r="X7" s="24" t="n">
        <f aca="false">SUMIFS(Actuals_Campaigns!$K$5:$K$204,Actuals_Campaigns!$B$5:$B$204,A7)</f>
        <v>0</v>
      </c>
      <c r="Y7" s="24" t="n">
        <f aca="false">SUMIFS(Actuals_Campaigns!$L$5:$L$204,Actuals_Campaigns!$B$5:$B$204,A7)</f>
        <v>0</v>
      </c>
      <c r="Z7" s="24" t="n">
        <f aca="false">SUMIFS(Actuals_Campaigns!$M$5:$M$204,Actuals_Campaigns!$B$5:$B$204,A7)</f>
        <v>0</v>
      </c>
      <c r="AA7" s="24" t="n">
        <f aca="false">SUMIFS(Actuals_Campaigns!$N$5:$N$204,Actuals_Campaigns!$B$5:$B$204,A7)</f>
        <v>0</v>
      </c>
      <c r="AB7" s="24" t="n">
        <f aca="false">SUMIFS(Actuals_Campaigns!$O$5:$O$204,Actuals_Campaigns!$B$5:$B$204,A7)</f>
        <v>0</v>
      </c>
      <c r="AC7" s="24" t="n">
        <f aca="false">SUMIFS(Actuals_Campaigns!$P$5:$P$204,Actuals_Campaigns!$B$5:$B$204,A7)</f>
        <v>0</v>
      </c>
      <c r="AD7" s="24" t="n">
        <f aca="false">SUMIFS(Actuals_Campaigns!$Q$5:$Q$204,Actuals_Campaigns!$B$5:$B$204,A7)</f>
        <v>0</v>
      </c>
      <c r="AE7" s="32" t="s">
        <v>1577</v>
      </c>
      <c r="AF7" s="21" t="n">
        <f aca="false">COUNTIF(Actuals_Campaigns!$B$5:$B$204,A7)</f>
        <v>0</v>
      </c>
      <c r="AG7" s="26" t="str">
        <f aca="false">IF(V7&gt;0,X7/V7,"")</f>
        <v/>
      </c>
      <c r="AH7" s="21" t="str">
        <f aca="false">IF(AF7=0,"",COUNTIFS(Actuals_Campaigns!$B$5:$B$204,A7,Actuals_Campaigns!$AN$5:$AN$204,"&lt;"&amp;Inputs!$C$131))</f>
        <v/>
      </c>
      <c r="AI7" s="21" t="str">
        <f aca="false">IF(AF7=0,"",COUNTIFS(Actuals_Campaigns!$B$5:$B$204,A7,Actuals_Campaigns!$AP$5:$AP$204,"Y")+COUNTIFS(Actuals_Campaigns!$B$5:$B$204,A7,Actuals_Campaigns!$AP$5:$AP$204,"missing"))</f>
        <v/>
      </c>
      <c r="AJ7" s="21" t="str">
        <f aca="false">IF(AF7=0,"",COUNTIFS(Actuals_Campaigns!$B$5:$B$204,A7,Actuals_Campaigns!$V$5:$V$204,"yes"))</f>
        <v/>
      </c>
      <c r="AK7" s="21" t="n">
        <f aca="false">COUNTIFS(Actuals_Campaigns!$B$5:$B$204,A7,Actuals_Campaigns!$W$5:$W$204,"Y")</f>
        <v>0</v>
      </c>
      <c r="AL7" s="21" t="n">
        <f aca="false">COUNTIFS(Actuals_Campaigns!$B$5:$B$204,A7,Actuals_Campaigns!$W$5:$W$204,"N")</f>
        <v>0</v>
      </c>
      <c r="AM7" s="19" t="n">
        <f aca="false">SUMIFS(Actuals_Campaigns!$X$5:$X$204,Actuals_Campaigns!$B$5:$B$204,A7,Actuals_Campaigns!$Y$5:$Y$204,"&gt;="&amp;Inputs!$C$10,Actuals_Campaigns!$Y$5:$Y$204,"&lt;="&amp;Cash_Flow!$AB$6)+SUMIFS(Actuals_Campaigns!$AM$5:$AM$204,Actuals_Campaigns!$B$5:$B$204,A7,Actuals_Campaigns!$S$5:$S$204,"&gt;="&amp;Inputs!$C$10,Actuals_Campaigns!$S$5:$S$204,"&lt;="&amp;Cash_Flow!$AB$6)-SUMIFS(Actuals_Campaigns!$T$5:$T$204,Actuals_Campaigns!$B$5:$B$204,A7,Actuals_Campaigns!$S$5:$S$204,"&gt;="&amp;Inputs!$C$10,Actuals_Campaigns!$S$5:$S$204,"&lt;="&amp;Cash_Flow!$AB$6)-SUMIFS(Actuals_DropCosts!$F$5:$F$104,Actuals_DropCosts!$A$5:$A$104,A7,Actuals_DropCosts!$B$5:$B$104,"&gt;="&amp;Inputs!$C$10,Actuals_DropCosts!$B$5:$B$104,"&lt;="&amp;Cash_Flow!$AB$6)-SUMIFS(Actuals_DropCosts!$G$5:$G$104,Actuals_DropCosts!$A$5:$A$104,A7,Actuals_DropCosts!$B$5:$B$104,"&gt;="&amp;Inputs!$C$10,Actuals_DropCosts!$B$5:$B$104,"&lt;="&amp;Cash_Flow!$AB$6)-SUMIFS(Actuals_DropCosts!$H$5:$H$104,Actuals_DropCosts!$A$5:$A$104,A7,Actuals_DropCosts!$B$5:$B$104,"&gt;="&amp;Inputs!$C$10,Actuals_DropCosts!$B$5:$B$104,"&lt;="&amp;Cash_Flow!$AB$6)</f>
        <v>0</v>
      </c>
    </row>
    <row r="8" customFormat="false" ht="15" hidden="false" customHeight="false" outlineLevel="0" collapsed="false">
      <c r="A8" s="30" t="str">
        <f aca="false">Drop_PnL!A8</f>
        <v>DRP-002</v>
      </c>
      <c r="B8" s="18" t="n">
        <f aca="false">Drop_PnL!B8</f>
        <v>46427</v>
      </c>
      <c r="C8" s="30" t="str">
        <f aca="false">Drop_PnL!AZ8</f>
        <v>N</v>
      </c>
      <c r="D8" s="19" t="n">
        <f aca="false">SUMIFS(Actuals_Campaigns!$R$5:$R$204,Actuals_Campaigns!$B$5:$B$204,A8)</f>
        <v>0</v>
      </c>
      <c r="E8" s="19" t="n">
        <f aca="false">SUMIFS(Actuals_Campaigns!$T$5:$T$204,Actuals_Campaigns!$B$5:$B$204,A8)</f>
        <v>0</v>
      </c>
      <c r="F8" s="19" t="n">
        <f aca="false">SUMIFS(Actuals_DropCosts!$F$5:$F$104,Actuals_DropCosts!$A$5:$A$104,A8)</f>
        <v>0</v>
      </c>
      <c r="G8" s="19" t="n">
        <f aca="false">SUMIFS(Actuals_DropCosts!$G$5:$G$104,Actuals_DropCosts!$A$5:$A$104,A8)</f>
        <v>0</v>
      </c>
      <c r="H8" s="19" t="n">
        <f aca="false">SUMIFS(Actuals_DropCosts!$H$5:$H$104,Actuals_DropCosts!$A$5:$A$104,A8)</f>
        <v>0</v>
      </c>
      <c r="I8" s="19" t="n">
        <f aca="false">IF(OR(C8="Y",AF8&gt;0,F8+G8+H8&gt;0),Drop_PnL!AM8,0)</f>
        <v>0</v>
      </c>
      <c r="J8" s="37" t="n">
        <f aca="false">SUM(E8:I8)</f>
        <v>0</v>
      </c>
      <c r="K8" s="36" t="n">
        <f aca="false">Hours_Log!R6</f>
        <v>0</v>
      </c>
      <c r="L8" s="36" t="n">
        <f aca="false">Hours_Log!S6</f>
        <v>0</v>
      </c>
      <c r="M8" s="36" t="n">
        <f aca="false">Hours_Log!T6</f>
        <v>0</v>
      </c>
      <c r="N8" s="36" t="n">
        <f aca="false">Hours_Log!U6</f>
        <v>0</v>
      </c>
      <c r="O8" s="36" t="n">
        <f aca="false">Hours_Log!V6</f>
        <v>0</v>
      </c>
      <c r="P8" s="36" t="n">
        <f aca="false">Hours_Log!W6</f>
        <v>0</v>
      </c>
      <c r="Q8" s="36" t="n">
        <f aca="false">Hours_Log!X6</f>
        <v>0</v>
      </c>
      <c r="R8" s="38" t="n">
        <f aca="false">SUM(K8:Q8)</f>
        <v>0</v>
      </c>
      <c r="S8" s="37" t="str">
        <f aca="false">IF(AND(NOT(OR(C8="Y",AF8&gt;0,F8+G8+H8&gt;0)),R8=0),"",D8-J8)</f>
        <v/>
      </c>
      <c r="T8" s="29" t="str">
        <f aca="false">IF(S8="","",IF(R8&gt;0,S8/R8,"n/a"))</f>
        <v/>
      </c>
      <c r="U8" s="24" t="n">
        <f aca="false">SUMIFS(Actuals_Campaigns!$H$5:$H$204,Actuals_Campaigns!$B$5:$B$204,A8)</f>
        <v>0</v>
      </c>
      <c r="V8" s="24" t="n">
        <f aca="false">SUMIFS(Actuals_Campaigns!$I$5:$I$204,Actuals_Campaigns!$B$5:$B$204,A8)</f>
        <v>0</v>
      </c>
      <c r="W8" s="24" t="n">
        <f aca="false">SUMIFS(Actuals_Campaigns!$J$5:$J$204,Actuals_Campaigns!$B$5:$B$204,A8)</f>
        <v>0</v>
      </c>
      <c r="X8" s="24" t="n">
        <f aca="false">SUMIFS(Actuals_Campaigns!$K$5:$K$204,Actuals_Campaigns!$B$5:$B$204,A8)</f>
        <v>0</v>
      </c>
      <c r="Y8" s="24" t="n">
        <f aca="false">SUMIFS(Actuals_Campaigns!$L$5:$L$204,Actuals_Campaigns!$B$5:$B$204,A8)</f>
        <v>0</v>
      </c>
      <c r="Z8" s="24" t="n">
        <f aca="false">SUMIFS(Actuals_Campaigns!$M$5:$M$204,Actuals_Campaigns!$B$5:$B$204,A8)</f>
        <v>0</v>
      </c>
      <c r="AA8" s="24" t="n">
        <f aca="false">SUMIFS(Actuals_Campaigns!$N$5:$N$204,Actuals_Campaigns!$B$5:$B$204,A8)</f>
        <v>0</v>
      </c>
      <c r="AB8" s="24" t="n">
        <f aca="false">SUMIFS(Actuals_Campaigns!$O$5:$O$204,Actuals_Campaigns!$B$5:$B$204,A8)</f>
        <v>0</v>
      </c>
      <c r="AC8" s="24" t="n">
        <f aca="false">SUMIFS(Actuals_Campaigns!$P$5:$P$204,Actuals_Campaigns!$B$5:$B$204,A8)</f>
        <v>0</v>
      </c>
      <c r="AD8" s="24" t="n">
        <f aca="false">SUMIFS(Actuals_Campaigns!$Q$5:$Q$204,Actuals_Campaigns!$B$5:$B$204,A8)</f>
        <v>0</v>
      </c>
      <c r="AE8" s="32" t="s">
        <v>1577</v>
      </c>
      <c r="AF8" s="21" t="n">
        <f aca="false">COUNTIF(Actuals_Campaigns!$B$5:$B$204,A8)</f>
        <v>0</v>
      </c>
      <c r="AG8" s="26" t="str">
        <f aca="false">IF(V8&gt;0,X8/V8,"")</f>
        <v/>
      </c>
      <c r="AH8" s="21" t="str">
        <f aca="false">IF(AF8=0,"",COUNTIFS(Actuals_Campaigns!$B$5:$B$204,A8,Actuals_Campaigns!$AN$5:$AN$204,"&lt;"&amp;Inputs!$C$131))</f>
        <v/>
      </c>
      <c r="AI8" s="21" t="str">
        <f aca="false">IF(AF8=0,"",COUNTIFS(Actuals_Campaigns!$B$5:$B$204,A8,Actuals_Campaigns!$AP$5:$AP$204,"Y")+COUNTIFS(Actuals_Campaigns!$B$5:$B$204,A8,Actuals_Campaigns!$AP$5:$AP$204,"missing"))</f>
        <v/>
      </c>
      <c r="AJ8" s="21" t="str">
        <f aca="false">IF(AF8=0,"",COUNTIFS(Actuals_Campaigns!$B$5:$B$204,A8,Actuals_Campaigns!$V$5:$V$204,"yes"))</f>
        <v/>
      </c>
      <c r="AK8" s="21" t="n">
        <f aca="false">COUNTIFS(Actuals_Campaigns!$B$5:$B$204,A8,Actuals_Campaigns!$W$5:$W$204,"Y")</f>
        <v>0</v>
      </c>
      <c r="AL8" s="21" t="n">
        <f aca="false">COUNTIFS(Actuals_Campaigns!$B$5:$B$204,A8,Actuals_Campaigns!$W$5:$W$204,"N")</f>
        <v>0</v>
      </c>
      <c r="AM8" s="19" t="n">
        <f aca="false">SUMIFS(Actuals_Campaigns!$X$5:$X$204,Actuals_Campaigns!$B$5:$B$204,A8,Actuals_Campaigns!$Y$5:$Y$204,"&gt;="&amp;Inputs!$C$10,Actuals_Campaigns!$Y$5:$Y$204,"&lt;="&amp;Cash_Flow!$AB$6)+SUMIFS(Actuals_Campaigns!$AM$5:$AM$204,Actuals_Campaigns!$B$5:$B$204,A8,Actuals_Campaigns!$S$5:$S$204,"&gt;="&amp;Inputs!$C$10,Actuals_Campaigns!$S$5:$S$204,"&lt;="&amp;Cash_Flow!$AB$6)-SUMIFS(Actuals_Campaigns!$T$5:$T$204,Actuals_Campaigns!$B$5:$B$204,A8,Actuals_Campaigns!$S$5:$S$204,"&gt;="&amp;Inputs!$C$10,Actuals_Campaigns!$S$5:$S$204,"&lt;="&amp;Cash_Flow!$AB$6)-SUMIFS(Actuals_DropCosts!$F$5:$F$104,Actuals_DropCosts!$A$5:$A$104,A8,Actuals_DropCosts!$B$5:$B$104,"&gt;="&amp;Inputs!$C$10,Actuals_DropCosts!$B$5:$B$104,"&lt;="&amp;Cash_Flow!$AB$6)-SUMIFS(Actuals_DropCosts!$G$5:$G$104,Actuals_DropCosts!$A$5:$A$104,A8,Actuals_DropCosts!$B$5:$B$104,"&gt;="&amp;Inputs!$C$10,Actuals_DropCosts!$B$5:$B$104,"&lt;="&amp;Cash_Flow!$AB$6)-SUMIFS(Actuals_DropCosts!$H$5:$H$104,Actuals_DropCosts!$A$5:$A$104,A8,Actuals_DropCosts!$B$5:$B$104,"&gt;="&amp;Inputs!$C$10,Actuals_DropCosts!$B$5:$B$104,"&lt;="&amp;Cash_Flow!$AB$6)</f>
        <v>0</v>
      </c>
    </row>
    <row r="9" customFormat="false" ht="15" hidden="false" customHeight="false" outlineLevel="0" collapsed="false">
      <c r="A9" s="30" t="str">
        <f aca="false">Drop_PnL!A9</f>
        <v>DRP-003</v>
      </c>
      <c r="B9" s="18" t="n">
        <f aca="false">Drop_PnL!B9</f>
        <v>46441</v>
      </c>
      <c r="C9" s="30" t="str">
        <f aca="false">Drop_PnL!AZ9</f>
        <v>N</v>
      </c>
      <c r="D9" s="19" t="n">
        <f aca="false">SUMIFS(Actuals_Campaigns!$R$5:$R$204,Actuals_Campaigns!$B$5:$B$204,A9)</f>
        <v>0</v>
      </c>
      <c r="E9" s="19" t="n">
        <f aca="false">SUMIFS(Actuals_Campaigns!$T$5:$T$204,Actuals_Campaigns!$B$5:$B$204,A9)</f>
        <v>0</v>
      </c>
      <c r="F9" s="19" t="n">
        <f aca="false">SUMIFS(Actuals_DropCosts!$F$5:$F$104,Actuals_DropCosts!$A$5:$A$104,A9)</f>
        <v>0</v>
      </c>
      <c r="G9" s="19" t="n">
        <f aca="false">SUMIFS(Actuals_DropCosts!$G$5:$G$104,Actuals_DropCosts!$A$5:$A$104,A9)</f>
        <v>0</v>
      </c>
      <c r="H9" s="19" t="n">
        <f aca="false">SUMIFS(Actuals_DropCosts!$H$5:$H$104,Actuals_DropCosts!$A$5:$A$104,A9)</f>
        <v>0</v>
      </c>
      <c r="I9" s="19" t="n">
        <f aca="false">IF(OR(C9="Y",AF9&gt;0,F9+G9+H9&gt;0),Drop_PnL!AM9,0)</f>
        <v>0</v>
      </c>
      <c r="J9" s="37" t="n">
        <f aca="false">SUM(E9:I9)</f>
        <v>0</v>
      </c>
      <c r="K9" s="36" t="n">
        <f aca="false">Hours_Log!R7</f>
        <v>0</v>
      </c>
      <c r="L9" s="36" t="n">
        <f aca="false">Hours_Log!S7</f>
        <v>0</v>
      </c>
      <c r="M9" s="36" t="n">
        <f aca="false">Hours_Log!T7</f>
        <v>0</v>
      </c>
      <c r="N9" s="36" t="n">
        <f aca="false">Hours_Log!U7</f>
        <v>0</v>
      </c>
      <c r="O9" s="36" t="n">
        <f aca="false">Hours_Log!V7</f>
        <v>0</v>
      </c>
      <c r="P9" s="36" t="n">
        <f aca="false">Hours_Log!W7</f>
        <v>0</v>
      </c>
      <c r="Q9" s="36" t="n">
        <f aca="false">Hours_Log!X7</f>
        <v>0</v>
      </c>
      <c r="R9" s="38" t="n">
        <f aca="false">SUM(K9:Q9)</f>
        <v>0</v>
      </c>
      <c r="S9" s="37" t="str">
        <f aca="false">IF(AND(NOT(OR(C9="Y",AF9&gt;0,F9+G9+H9&gt;0)),R9=0),"",D9-J9)</f>
        <v/>
      </c>
      <c r="T9" s="29" t="str">
        <f aca="false">IF(S9="","",IF(R9&gt;0,S9/R9,"n/a"))</f>
        <v/>
      </c>
      <c r="U9" s="24" t="n">
        <f aca="false">SUMIFS(Actuals_Campaigns!$H$5:$H$204,Actuals_Campaigns!$B$5:$B$204,A9)</f>
        <v>0</v>
      </c>
      <c r="V9" s="24" t="n">
        <f aca="false">SUMIFS(Actuals_Campaigns!$I$5:$I$204,Actuals_Campaigns!$B$5:$B$204,A9)</f>
        <v>0</v>
      </c>
      <c r="W9" s="24" t="n">
        <f aca="false">SUMIFS(Actuals_Campaigns!$J$5:$J$204,Actuals_Campaigns!$B$5:$B$204,A9)</f>
        <v>0</v>
      </c>
      <c r="X9" s="24" t="n">
        <f aca="false">SUMIFS(Actuals_Campaigns!$K$5:$K$204,Actuals_Campaigns!$B$5:$B$204,A9)</f>
        <v>0</v>
      </c>
      <c r="Y9" s="24" t="n">
        <f aca="false">SUMIFS(Actuals_Campaigns!$L$5:$L$204,Actuals_Campaigns!$B$5:$B$204,A9)</f>
        <v>0</v>
      </c>
      <c r="Z9" s="24" t="n">
        <f aca="false">SUMIFS(Actuals_Campaigns!$M$5:$M$204,Actuals_Campaigns!$B$5:$B$204,A9)</f>
        <v>0</v>
      </c>
      <c r="AA9" s="24" t="n">
        <f aca="false">SUMIFS(Actuals_Campaigns!$N$5:$N$204,Actuals_Campaigns!$B$5:$B$204,A9)</f>
        <v>0</v>
      </c>
      <c r="AB9" s="24" t="n">
        <f aca="false">SUMIFS(Actuals_Campaigns!$O$5:$O$204,Actuals_Campaigns!$B$5:$B$204,A9)</f>
        <v>0</v>
      </c>
      <c r="AC9" s="24" t="n">
        <f aca="false">SUMIFS(Actuals_Campaigns!$P$5:$P$204,Actuals_Campaigns!$B$5:$B$204,A9)</f>
        <v>0</v>
      </c>
      <c r="AD9" s="24" t="n">
        <f aca="false">SUMIFS(Actuals_Campaigns!$Q$5:$Q$204,Actuals_Campaigns!$B$5:$B$204,A9)</f>
        <v>0</v>
      </c>
      <c r="AE9" s="32" t="s">
        <v>1577</v>
      </c>
      <c r="AF9" s="21" t="n">
        <f aca="false">COUNTIF(Actuals_Campaigns!$B$5:$B$204,A9)</f>
        <v>0</v>
      </c>
      <c r="AG9" s="26" t="str">
        <f aca="false">IF(V9&gt;0,X9/V9,"")</f>
        <v/>
      </c>
      <c r="AH9" s="21" t="str">
        <f aca="false">IF(AF9=0,"",COUNTIFS(Actuals_Campaigns!$B$5:$B$204,A9,Actuals_Campaigns!$AN$5:$AN$204,"&lt;"&amp;Inputs!$C$131))</f>
        <v/>
      </c>
      <c r="AI9" s="21" t="str">
        <f aca="false">IF(AF9=0,"",COUNTIFS(Actuals_Campaigns!$B$5:$B$204,A9,Actuals_Campaigns!$AP$5:$AP$204,"Y")+COUNTIFS(Actuals_Campaigns!$B$5:$B$204,A9,Actuals_Campaigns!$AP$5:$AP$204,"missing"))</f>
        <v/>
      </c>
      <c r="AJ9" s="21" t="str">
        <f aca="false">IF(AF9=0,"",COUNTIFS(Actuals_Campaigns!$B$5:$B$204,A9,Actuals_Campaigns!$V$5:$V$204,"yes"))</f>
        <v/>
      </c>
      <c r="AK9" s="21" t="n">
        <f aca="false">COUNTIFS(Actuals_Campaigns!$B$5:$B$204,A9,Actuals_Campaigns!$W$5:$W$204,"Y")</f>
        <v>0</v>
      </c>
      <c r="AL9" s="21" t="n">
        <f aca="false">COUNTIFS(Actuals_Campaigns!$B$5:$B$204,A9,Actuals_Campaigns!$W$5:$W$204,"N")</f>
        <v>0</v>
      </c>
      <c r="AM9" s="19" t="n">
        <f aca="false">SUMIFS(Actuals_Campaigns!$X$5:$X$204,Actuals_Campaigns!$B$5:$B$204,A9,Actuals_Campaigns!$Y$5:$Y$204,"&gt;="&amp;Inputs!$C$10,Actuals_Campaigns!$Y$5:$Y$204,"&lt;="&amp;Cash_Flow!$AB$6)+SUMIFS(Actuals_Campaigns!$AM$5:$AM$204,Actuals_Campaigns!$B$5:$B$204,A9,Actuals_Campaigns!$S$5:$S$204,"&gt;="&amp;Inputs!$C$10,Actuals_Campaigns!$S$5:$S$204,"&lt;="&amp;Cash_Flow!$AB$6)-SUMIFS(Actuals_Campaigns!$T$5:$T$204,Actuals_Campaigns!$B$5:$B$204,A9,Actuals_Campaigns!$S$5:$S$204,"&gt;="&amp;Inputs!$C$10,Actuals_Campaigns!$S$5:$S$204,"&lt;="&amp;Cash_Flow!$AB$6)-SUMIFS(Actuals_DropCosts!$F$5:$F$104,Actuals_DropCosts!$A$5:$A$104,A9,Actuals_DropCosts!$B$5:$B$104,"&gt;="&amp;Inputs!$C$10,Actuals_DropCosts!$B$5:$B$104,"&lt;="&amp;Cash_Flow!$AB$6)-SUMIFS(Actuals_DropCosts!$G$5:$G$104,Actuals_DropCosts!$A$5:$A$104,A9,Actuals_DropCosts!$B$5:$B$104,"&gt;="&amp;Inputs!$C$10,Actuals_DropCosts!$B$5:$B$104,"&lt;="&amp;Cash_Flow!$AB$6)-SUMIFS(Actuals_DropCosts!$H$5:$H$104,Actuals_DropCosts!$A$5:$A$104,A9,Actuals_DropCosts!$B$5:$B$104,"&gt;="&amp;Inputs!$C$10,Actuals_DropCosts!$B$5:$B$104,"&lt;="&amp;Cash_Flow!$AB$6)</f>
        <v>0</v>
      </c>
    </row>
    <row r="10" customFormat="false" ht="15" hidden="false" customHeight="false" outlineLevel="0" collapsed="false">
      <c r="A10" s="30" t="str">
        <f aca="false">Drop_PnL!A10</f>
        <v>DRP-004</v>
      </c>
      <c r="B10" s="18" t="n">
        <f aca="false">Drop_PnL!B10</f>
        <v>46469</v>
      </c>
      <c r="C10" s="30" t="str">
        <f aca="false">Drop_PnL!AZ10</f>
        <v>N</v>
      </c>
      <c r="D10" s="19" t="n">
        <f aca="false">SUMIFS(Actuals_Campaigns!$R$5:$R$204,Actuals_Campaigns!$B$5:$B$204,A10)</f>
        <v>0</v>
      </c>
      <c r="E10" s="19" t="n">
        <f aca="false">SUMIFS(Actuals_Campaigns!$T$5:$T$204,Actuals_Campaigns!$B$5:$B$204,A10)</f>
        <v>0</v>
      </c>
      <c r="F10" s="19" t="n">
        <f aca="false">SUMIFS(Actuals_DropCosts!$F$5:$F$104,Actuals_DropCosts!$A$5:$A$104,A10)</f>
        <v>0</v>
      </c>
      <c r="G10" s="19" t="n">
        <f aca="false">SUMIFS(Actuals_DropCosts!$G$5:$G$104,Actuals_DropCosts!$A$5:$A$104,A10)</f>
        <v>0</v>
      </c>
      <c r="H10" s="19" t="n">
        <f aca="false">SUMIFS(Actuals_DropCosts!$H$5:$H$104,Actuals_DropCosts!$A$5:$A$104,A10)</f>
        <v>0</v>
      </c>
      <c r="I10" s="19" t="n">
        <f aca="false">IF(OR(C10="Y",AF10&gt;0,F10+G10+H10&gt;0),Drop_PnL!AM10,0)</f>
        <v>0</v>
      </c>
      <c r="J10" s="37" t="n">
        <f aca="false">SUM(E10:I10)</f>
        <v>0</v>
      </c>
      <c r="K10" s="36" t="n">
        <f aca="false">Hours_Log!R8</f>
        <v>0</v>
      </c>
      <c r="L10" s="36" t="n">
        <f aca="false">Hours_Log!S8</f>
        <v>0</v>
      </c>
      <c r="M10" s="36" t="n">
        <f aca="false">Hours_Log!T8</f>
        <v>0</v>
      </c>
      <c r="N10" s="36" t="n">
        <f aca="false">Hours_Log!U8</f>
        <v>0</v>
      </c>
      <c r="O10" s="36" t="n">
        <f aca="false">Hours_Log!V8</f>
        <v>0</v>
      </c>
      <c r="P10" s="36" t="n">
        <f aca="false">Hours_Log!W8</f>
        <v>0</v>
      </c>
      <c r="Q10" s="36" t="n">
        <f aca="false">Hours_Log!X8</f>
        <v>0</v>
      </c>
      <c r="R10" s="38" t="n">
        <f aca="false">SUM(K10:Q10)</f>
        <v>0</v>
      </c>
      <c r="S10" s="37" t="str">
        <f aca="false">IF(AND(NOT(OR(C10="Y",AF10&gt;0,F10+G10+H10&gt;0)),R10=0),"",D10-J10)</f>
        <v/>
      </c>
      <c r="T10" s="29" t="str">
        <f aca="false">IF(S10="","",IF(R10&gt;0,S10/R10,"n/a"))</f>
        <v/>
      </c>
      <c r="U10" s="24" t="n">
        <f aca="false">SUMIFS(Actuals_Campaigns!$H$5:$H$204,Actuals_Campaigns!$B$5:$B$204,A10)</f>
        <v>0</v>
      </c>
      <c r="V10" s="24" t="n">
        <f aca="false">SUMIFS(Actuals_Campaigns!$I$5:$I$204,Actuals_Campaigns!$B$5:$B$204,A10)</f>
        <v>0</v>
      </c>
      <c r="W10" s="24" t="n">
        <f aca="false">SUMIFS(Actuals_Campaigns!$J$5:$J$204,Actuals_Campaigns!$B$5:$B$204,A10)</f>
        <v>0</v>
      </c>
      <c r="X10" s="24" t="n">
        <f aca="false">SUMIFS(Actuals_Campaigns!$K$5:$K$204,Actuals_Campaigns!$B$5:$B$204,A10)</f>
        <v>0</v>
      </c>
      <c r="Y10" s="24" t="n">
        <f aca="false">SUMIFS(Actuals_Campaigns!$L$5:$L$204,Actuals_Campaigns!$B$5:$B$204,A10)</f>
        <v>0</v>
      </c>
      <c r="Z10" s="24" t="n">
        <f aca="false">SUMIFS(Actuals_Campaigns!$M$5:$M$204,Actuals_Campaigns!$B$5:$B$204,A10)</f>
        <v>0</v>
      </c>
      <c r="AA10" s="24" t="n">
        <f aca="false">SUMIFS(Actuals_Campaigns!$N$5:$N$204,Actuals_Campaigns!$B$5:$B$204,A10)</f>
        <v>0</v>
      </c>
      <c r="AB10" s="24" t="n">
        <f aca="false">SUMIFS(Actuals_Campaigns!$O$5:$O$204,Actuals_Campaigns!$B$5:$B$204,A10)</f>
        <v>0</v>
      </c>
      <c r="AC10" s="24" t="n">
        <f aca="false">SUMIFS(Actuals_Campaigns!$P$5:$P$204,Actuals_Campaigns!$B$5:$B$204,A10)</f>
        <v>0</v>
      </c>
      <c r="AD10" s="24" t="n">
        <f aca="false">SUMIFS(Actuals_Campaigns!$Q$5:$Q$204,Actuals_Campaigns!$B$5:$B$204,A10)</f>
        <v>0</v>
      </c>
      <c r="AE10" s="32" t="s">
        <v>1577</v>
      </c>
      <c r="AF10" s="21" t="n">
        <f aca="false">COUNTIF(Actuals_Campaigns!$B$5:$B$204,A10)</f>
        <v>0</v>
      </c>
      <c r="AG10" s="26" t="str">
        <f aca="false">IF(V10&gt;0,X10/V10,"")</f>
        <v/>
      </c>
      <c r="AH10" s="21" t="str">
        <f aca="false">IF(AF10=0,"",COUNTIFS(Actuals_Campaigns!$B$5:$B$204,A10,Actuals_Campaigns!$AN$5:$AN$204,"&lt;"&amp;Inputs!$C$131))</f>
        <v/>
      </c>
      <c r="AI10" s="21" t="str">
        <f aca="false">IF(AF10=0,"",COUNTIFS(Actuals_Campaigns!$B$5:$B$204,A10,Actuals_Campaigns!$AP$5:$AP$204,"Y")+COUNTIFS(Actuals_Campaigns!$B$5:$B$204,A10,Actuals_Campaigns!$AP$5:$AP$204,"missing"))</f>
        <v/>
      </c>
      <c r="AJ10" s="21" t="str">
        <f aca="false">IF(AF10=0,"",COUNTIFS(Actuals_Campaigns!$B$5:$B$204,A10,Actuals_Campaigns!$V$5:$V$204,"yes"))</f>
        <v/>
      </c>
      <c r="AK10" s="21" t="n">
        <f aca="false">COUNTIFS(Actuals_Campaigns!$B$5:$B$204,A10,Actuals_Campaigns!$W$5:$W$204,"Y")</f>
        <v>0</v>
      </c>
      <c r="AL10" s="21" t="n">
        <f aca="false">COUNTIFS(Actuals_Campaigns!$B$5:$B$204,A10,Actuals_Campaigns!$W$5:$W$204,"N")</f>
        <v>0</v>
      </c>
      <c r="AM10" s="19" t="n">
        <f aca="false">SUMIFS(Actuals_Campaigns!$X$5:$X$204,Actuals_Campaigns!$B$5:$B$204,A10,Actuals_Campaigns!$Y$5:$Y$204,"&gt;="&amp;Inputs!$C$10,Actuals_Campaigns!$Y$5:$Y$204,"&lt;="&amp;Cash_Flow!$AB$6)+SUMIFS(Actuals_Campaigns!$AM$5:$AM$204,Actuals_Campaigns!$B$5:$B$204,A10,Actuals_Campaigns!$S$5:$S$204,"&gt;="&amp;Inputs!$C$10,Actuals_Campaigns!$S$5:$S$204,"&lt;="&amp;Cash_Flow!$AB$6)-SUMIFS(Actuals_Campaigns!$T$5:$T$204,Actuals_Campaigns!$B$5:$B$204,A10,Actuals_Campaigns!$S$5:$S$204,"&gt;="&amp;Inputs!$C$10,Actuals_Campaigns!$S$5:$S$204,"&lt;="&amp;Cash_Flow!$AB$6)-SUMIFS(Actuals_DropCosts!$F$5:$F$104,Actuals_DropCosts!$A$5:$A$104,A10,Actuals_DropCosts!$B$5:$B$104,"&gt;="&amp;Inputs!$C$10,Actuals_DropCosts!$B$5:$B$104,"&lt;="&amp;Cash_Flow!$AB$6)-SUMIFS(Actuals_DropCosts!$G$5:$G$104,Actuals_DropCosts!$A$5:$A$104,A10,Actuals_DropCosts!$B$5:$B$104,"&gt;="&amp;Inputs!$C$10,Actuals_DropCosts!$B$5:$B$104,"&lt;="&amp;Cash_Flow!$AB$6)-SUMIFS(Actuals_DropCosts!$H$5:$H$104,Actuals_DropCosts!$A$5:$A$104,A10,Actuals_DropCosts!$B$5:$B$104,"&gt;="&amp;Inputs!$C$10,Actuals_DropCosts!$B$5:$B$104,"&lt;="&amp;Cash_Flow!$AB$6)</f>
        <v>0</v>
      </c>
    </row>
    <row r="11" customFormat="false" ht="15" hidden="false" customHeight="false" outlineLevel="0" collapsed="false">
      <c r="A11" s="30" t="str">
        <f aca="false">Drop_PnL!A11</f>
        <v>DRP-005</v>
      </c>
      <c r="B11" s="18" t="n">
        <f aca="false">Drop_PnL!B11</f>
        <v>46483</v>
      </c>
      <c r="C11" s="30" t="str">
        <f aca="false">Drop_PnL!AZ11</f>
        <v>N</v>
      </c>
      <c r="D11" s="19" t="n">
        <f aca="false">SUMIFS(Actuals_Campaigns!$R$5:$R$204,Actuals_Campaigns!$B$5:$B$204,A11)</f>
        <v>0</v>
      </c>
      <c r="E11" s="19" t="n">
        <f aca="false">SUMIFS(Actuals_Campaigns!$T$5:$T$204,Actuals_Campaigns!$B$5:$B$204,A11)</f>
        <v>0</v>
      </c>
      <c r="F11" s="19" t="n">
        <f aca="false">SUMIFS(Actuals_DropCosts!$F$5:$F$104,Actuals_DropCosts!$A$5:$A$104,A11)</f>
        <v>0</v>
      </c>
      <c r="G11" s="19" t="n">
        <f aca="false">SUMIFS(Actuals_DropCosts!$G$5:$G$104,Actuals_DropCosts!$A$5:$A$104,A11)</f>
        <v>0</v>
      </c>
      <c r="H11" s="19" t="n">
        <f aca="false">SUMIFS(Actuals_DropCosts!$H$5:$H$104,Actuals_DropCosts!$A$5:$A$104,A11)</f>
        <v>0</v>
      </c>
      <c r="I11" s="19" t="n">
        <f aca="false">IF(OR(C11="Y",AF11&gt;0,F11+G11+H11&gt;0),Drop_PnL!AM11,0)</f>
        <v>0</v>
      </c>
      <c r="J11" s="37" t="n">
        <f aca="false">SUM(E11:I11)</f>
        <v>0</v>
      </c>
      <c r="K11" s="36" t="n">
        <f aca="false">Hours_Log!R9</f>
        <v>0</v>
      </c>
      <c r="L11" s="36" t="n">
        <f aca="false">Hours_Log!S9</f>
        <v>0</v>
      </c>
      <c r="M11" s="36" t="n">
        <f aca="false">Hours_Log!T9</f>
        <v>0</v>
      </c>
      <c r="N11" s="36" t="n">
        <f aca="false">Hours_Log!U9</f>
        <v>0</v>
      </c>
      <c r="O11" s="36" t="n">
        <f aca="false">Hours_Log!V9</f>
        <v>0</v>
      </c>
      <c r="P11" s="36" t="n">
        <f aca="false">Hours_Log!W9</f>
        <v>0</v>
      </c>
      <c r="Q11" s="36" t="n">
        <f aca="false">Hours_Log!X9</f>
        <v>0</v>
      </c>
      <c r="R11" s="38" t="n">
        <f aca="false">SUM(K11:Q11)</f>
        <v>0</v>
      </c>
      <c r="S11" s="37" t="str">
        <f aca="false">IF(AND(NOT(OR(C11="Y",AF11&gt;0,F11+G11+H11&gt;0)),R11=0),"",D11-J11)</f>
        <v/>
      </c>
      <c r="T11" s="29" t="str">
        <f aca="false">IF(S11="","",IF(R11&gt;0,S11/R11,"n/a"))</f>
        <v/>
      </c>
      <c r="U11" s="24" t="n">
        <f aca="false">SUMIFS(Actuals_Campaigns!$H$5:$H$204,Actuals_Campaigns!$B$5:$B$204,A11)</f>
        <v>0</v>
      </c>
      <c r="V11" s="24" t="n">
        <f aca="false">SUMIFS(Actuals_Campaigns!$I$5:$I$204,Actuals_Campaigns!$B$5:$B$204,A11)</f>
        <v>0</v>
      </c>
      <c r="W11" s="24" t="n">
        <f aca="false">SUMIFS(Actuals_Campaigns!$J$5:$J$204,Actuals_Campaigns!$B$5:$B$204,A11)</f>
        <v>0</v>
      </c>
      <c r="X11" s="24" t="n">
        <f aca="false">SUMIFS(Actuals_Campaigns!$K$5:$K$204,Actuals_Campaigns!$B$5:$B$204,A11)</f>
        <v>0</v>
      </c>
      <c r="Y11" s="24" t="n">
        <f aca="false">SUMIFS(Actuals_Campaigns!$L$5:$L$204,Actuals_Campaigns!$B$5:$B$204,A11)</f>
        <v>0</v>
      </c>
      <c r="Z11" s="24" t="n">
        <f aca="false">SUMIFS(Actuals_Campaigns!$M$5:$M$204,Actuals_Campaigns!$B$5:$B$204,A11)</f>
        <v>0</v>
      </c>
      <c r="AA11" s="24" t="n">
        <f aca="false">SUMIFS(Actuals_Campaigns!$N$5:$N$204,Actuals_Campaigns!$B$5:$B$204,A11)</f>
        <v>0</v>
      </c>
      <c r="AB11" s="24" t="n">
        <f aca="false">SUMIFS(Actuals_Campaigns!$O$5:$O$204,Actuals_Campaigns!$B$5:$B$204,A11)</f>
        <v>0</v>
      </c>
      <c r="AC11" s="24" t="n">
        <f aca="false">SUMIFS(Actuals_Campaigns!$P$5:$P$204,Actuals_Campaigns!$B$5:$B$204,A11)</f>
        <v>0</v>
      </c>
      <c r="AD11" s="24" t="n">
        <f aca="false">SUMIFS(Actuals_Campaigns!$Q$5:$Q$204,Actuals_Campaigns!$B$5:$B$204,A11)</f>
        <v>0</v>
      </c>
      <c r="AE11" s="32" t="s">
        <v>1577</v>
      </c>
      <c r="AF11" s="21" t="n">
        <f aca="false">COUNTIF(Actuals_Campaigns!$B$5:$B$204,A11)</f>
        <v>0</v>
      </c>
      <c r="AG11" s="26" t="str">
        <f aca="false">IF(V11&gt;0,X11/V11,"")</f>
        <v/>
      </c>
      <c r="AH11" s="21" t="str">
        <f aca="false">IF(AF11=0,"",COUNTIFS(Actuals_Campaigns!$B$5:$B$204,A11,Actuals_Campaigns!$AN$5:$AN$204,"&lt;"&amp;Inputs!$C$131))</f>
        <v/>
      </c>
      <c r="AI11" s="21" t="str">
        <f aca="false">IF(AF11=0,"",COUNTIFS(Actuals_Campaigns!$B$5:$B$204,A11,Actuals_Campaigns!$AP$5:$AP$204,"Y")+COUNTIFS(Actuals_Campaigns!$B$5:$B$204,A11,Actuals_Campaigns!$AP$5:$AP$204,"missing"))</f>
        <v/>
      </c>
      <c r="AJ11" s="21" t="str">
        <f aca="false">IF(AF11=0,"",COUNTIFS(Actuals_Campaigns!$B$5:$B$204,A11,Actuals_Campaigns!$V$5:$V$204,"yes"))</f>
        <v/>
      </c>
      <c r="AK11" s="21" t="n">
        <f aca="false">COUNTIFS(Actuals_Campaigns!$B$5:$B$204,A11,Actuals_Campaigns!$W$5:$W$204,"Y")</f>
        <v>0</v>
      </c>
      <c r="AL11" s="21" t="n">
        <f aca="false">COUNTIFS(Actuals_Campaigns!$B$5:$B$204,A11,Actuals_Campaigns!$W$5:$W$204,"N")</f>
        <v>0</v>
      </c>
      <c r="AM11" s="19" t="n">
        <f aca="false">SUMIFS(Actuals_Campaigns!$X$5:$X$204,Actuals_Campaigns!$B$5:$B$204,A11,Actuals_Campaigns!$Y$5:$Y$204,"&gt;="&amp;Inputs!$C$10,Actuals_Campaigns!$Y$5:$Y$204,"&lt;="&amp;Cash_Flow!$AB$6)+SUMIFS(Actuals_Campaigns!$AM$5:$AM$204,Actuals_Campaigns!$B$5:$B$204,A11,Actuals_Campaigns!$S$5:$S$204,"&gt;="&amp;Inputs!$C$10,Actuals_Campaigns!$S$5:$S$204,"&lt;="&amp;Cash_Flow!$AB$6)-SUMIFS(Actuals_Campaigns!$T$5:$T$204,Actuals_Campaigns!$B$5:$B$204,A11,Actuals_Campaigns!$S$5:$S$204,"&gt;="&amp;Inputs!$C$10,Actuals_Campaigns!$S$5:$S$204,"&lt;="&amp;Cash_Flow!$AB$6)-SUMIFS(Actuals_DropCosts!$F$5:$F$104,Actuals_DropCosts!$A$5:$A$104,A11,Actuals_DropCosts!$B$5:$B$104,"&gt;="&amp;Inputs!$C$10,Actuals_DropCosts!$B$5:$B$104,"&lt;="&amp;Cash_Flow!$AB$6)-SUMIFS(Actuals_DropCosts!$G$5:$G$104,Actuals_DropCosts!$A$5:$A$104,A11,Actuals_DropCosts!$B$5:$B$104,"&gt;="&amp;Inputs!$C$10,Actuals_DropCosts!$B$5:$B$104,"&lt;="&amp;Cash_Flow!$AB$6)-SUMIFS(Actuals_DropCosts!$H$5:$H$104,Actuals_DropCosts!$A$5:$A$104,A11,Actuals_DropCosts!$B$5:$B$104,"&gt;="&amp;Inputs!$C$10,Actuals_DropCosts!$B$5:$B$104,"&lt;="&amp;Cash_Flow!$AB$6)</f>
        <v>0</v>
      </c>
    </row>
    <row r="12" customFormat="false" ht="15" hidden="false" customHeight="false" outlineLevel="0" collapsed="false">
      <c r="A12" s="30" t="str">
        <f aca="false">Drop_PnL!A12</f>
        <v>DRP-006</v>
      </c>
      <c r="B12" s="18" t="str">
        <f aca="false">Drop_PnL!B12</f>
        <v/>
      </c>
      <c r="C12" s="30" t="str">
        <f aca="false">Drop_PnL!AZ12</f>
        <v>N</v>
      </c>
      <c r="D12" s="19" t="n">
        <f aca="false">SUMIFS(Actuals_Campaigns!$R$5:$R$204,Actuals_Campaigns!$B$5:$B$204,A12)</f>
        <v>0</v>
      </c>
      <c r="E12" s="19" t="n">
        <f aca="false">SUMIFS(Actuals_Campaigns!$T$5:$T$204,Actuals_Campaigns!$B$5:$B$204,A12)</f>
        <v>0</v>
      </c>
      <c r="F12" s="19" t="n">
        <f aca="false">SUMIFS(Actuals_DropCosts!$F$5:$F$104,Actuals_DropCosts!$A$5:$A$104,A12)</f>
        <v>0</v>
      </c>
      <c r="G12" s="19" t="n">
        <f aca="false">SUMIFS(Actuals_DropCosts!$G$5:$G$104,Actuals_DropCosts!$A$5:$A$104,A12)</f>
        <v>0</v>
      </c>
      <c r="H12" s="19" t="n">
        <f aca="false">SUMIFS(Actuals_DropCosts!$H$5:$H$104,Actuals_DropCosts!$A$5:$A$104,A12)</f>
        <v>0</v>
      </c>
      <c r="I12" s="19" t="n">
        <f aca="false">IF(OR(C12="Y",AF12&gt;0,F12+G12+H12&gt;0),Drop_PnL!AM12,0)</f>
        <v>0</v>
      </c>
      <c r="J12" s="37" t="n">
        <f aca="false">SUM(E12:I12)</f>
        <v>0</v>
      </c>
      <c r="K12" s="36" t="n">
        <f aca="false">Hours_Log!R10</f>
        <v>0</v>
      </c>
      <c r="L12" s="36" t="n">
        <f aca="false">Hours_Log!S10</f>
        <v>0</v>
      </c>
      <c r="M12" s="36" t="n">
        <f aca="false">Hours_Log!T10</f>
        <v>0</v>
      </c>
      <c r="N12" s="36" t="n">
        <f aca="false">Hours_Log!U10</f>
        <v>0</v>
      </c>
      <c r="O12" s="36" t="n">
        <f aca="false">Hours_Log!V10</f>
        <v>0</v>
      </c>
      <c r="P12" s="36" t="n">
        <f aca="false">Hours_Log!W10</f>
        <v>0</v>
      </c>
      <c r="Q12" s="36" t="n">
        <f aca="false">Hours_Log!X10</f>
        <v>0</v>
      </c>
      <c r="R12" s="38" t="n">
        <f aca="false">SUM(K12:Q12)</f>
        <v>0</v>
      </c>
      <c r="S12" s="37" t="str">
        <f aca="false">IF(AND(NOT(OR(C12="Y",AF12&gt;0,F12+G12+H12&gt;0)),R12=0),"",D12-J12)</f>
        <v/>
      </c>
      <c r="T12" s="29" t="str">
        <f aca="false">IF(S12="","",IF(R12&gt;0,S12/R12,"n/a"))</f>
        <v/>
      </c>
      <c r="U12" s="24" t="n">
        <f aca="false">SUMIFS(Actuals_Campaigns!$H$5:$H$204,Actuals_Campaigns!$B$5:$B$204,A12)</f>
        <v>0</v>
      </c>
      <c r="V12" s="24" t="n">
        <f aca="false">SUMIFS(Actuals_Campaigns!$I$5:$I$204,Actuals_Campaigns!$B$5:$B$204,A12)</f>
        <v>0</v>
      </c>
      <c r="W12" s="24" t="n">
        <f aca="false">SUMIFS(Actuals_Campaigns!$J$5:$J$204,Actuals_Campaigns!$B$5:$B$204,A12)</f>
        <v>0</v>
      </c>
      <c r="X12" s="24" t="n">
        <f aca="false">SUMIFS(Actuals_Campaigns!$K$5:$K$204,Actuals_Campaigns!$B$5:$B$204,A12)</f>
        <v>0</v>
      </c>
      <c r="Y12" s="24" t="n">
        <f aca="false">SUMIFS(Actuals_Campaigns!$L$5:$L$204,Actuals_Campaigns!$B$5:$B$204,A12)</f>
        <v>0</v>
      </c>
      <c r="Z12" s="24" t="n">
        <f aca="false">SUMIFS(Actuals_Campaigns!$M$5:$M$204,Actuals_Campaigns!$B$5:$B$204,A12)</f>
        <v>0</v>
      </c>
      <c r="AA12" s="24" t="n">
        <f aca="false">SUMIFS(Actuals_Campaigns!$N$5:$N$204,Actuals_Campaigns!$B$5:$B$204,A12)</f>
        <v>0</v>
      </c>
      <c r="AB12" s="24" t="n">
        <f aca="false">SUMIFS(Actuals_Campaigns!$O$5:$O$204,Actuals_Campaigns!$B$5:$B$204,A12)</f>
        <v>0</v>
      </c>
      <c r="AC12" s="24" t="n">
        <f aca="false">SUMIFS(Actuals_Campaigns!$P$5:$P$204,Actuals_Campaigns!$B$5:$B$204,A12)</f>
        <v>0</v>
      </c>
      <c r="AD12" s="24" t="n">
        <f aca="false">SUMIFS(Actuals_Campaigns!$Q$5:$Q$204,Actuals_Campaigns!$B$5:$B$204,A12)</f>
        <v>0</v>
      </c>
      <c r="AE12" s="32" t="s">
        <v>1577</v>
      </c>
      <c r="AF12" s="21" t="n">
        <f aca="false">COUNTIF(Actuals_Campaigns!$B$5:$B$204,A12)</f>
        <v>0</v>
      </c>
      <c r="AG12" s="26" t="str">
        <f aca="false">IF(V12&gt;0,X12/V12,"")</f>
        <v/>
      </c>
      <c r="AH12" s="21" t="str">
        <f aca="false">IF(AF12=0,"",COUNTIFS(Actuals_Campaigns!$B$5:$B$204,A12,Actuals_Campaigns!$AN$5:$AN$204,"&lt;"&amp;Inputs!$C$131))</f>
        <v/>
      </c>
      <c r="AI12" s="21" t="str">
        <f aca="false">IF(AF12=0,"",COUNTIFS(Actuals_Campaigns!$B$5:$B$204,A12,Actuals_Campaigns!$AP$5:$AP$204,"Y")+COUNTIFS(Actuals_Campaigns!$B$5:$B$204,A12,Actuals_Campaigns!$AP$5:$AP$204,"missing"))</f>
        <v/>
      </c>
      <c r="AJ12" s="21" t="str">
        <f aca="false">IF(AF12=0,"",COUNTIFS(Actuals_Campaigns!$B$5:$B$204,A12,Actuals_Campaigns!$V$5:$V$204,"yes"))</f>
        <v/>
      </c>
      <c r="AK12" s="21" t="n">
        <f aca="false">COUNTIFS(Actuals_Campaigns!$B$5:$B$204,A12,Actuals_Campaigns!$W$5:$W$204,"Y")</f>
        <v>0</v>
      </c>
      <c r="AL12" s="21" t="n">
        <f aca="false">COUNTIFS(Actuals_Campaigns!$B$5:$B$204,A12,Actuals_Campaigns!$W$5:$W$204,"N")</f>
        <v>0</v>
      </c>
      <c r="AM12" s="19" t="n">
        <f aca="false">SUMIFS(Actuals_Campaigns!$X$5:$X$204,Actuals_Campaigns!$B$5:$B$204,A12,Actuals_Campaigns!$Y$5:$Y$204,"&gt;="&amp;Inputs!$C$10,Actuals_Campaigns!$Y$5:$Y$204,"&lt;="&amp;Cash_Flow!$AB$6)+SUMIFS(Actuals_Campaigns!$AM$5:$AM$204,Actuals_Campaigns!$B$5:$B$204,A12,Actuals_Campaigns!$S$5:$S$204,"&gt;="&amp;Inputs!$C$10,Actuals_Campaigns!$S$5:$S$204,"&lt;="&amp;Cash_Flow!$AB$6)-SUMIFS(Actuals_Campaigns!$T$5:$T$204,Actuals_Campaigns!$B$5:$B$204,A12,Actuals_Campaigns!$S$5:$S$204,"&gt;="&amp;Inputs!$C$10,Actuals_Campaigns!$S$5:$S$204,"&lt;="&amp;Cash_Flow!$AB$6)-SUMIFS(Actuals_DropCosts!$F$5:$F$104,Actuals_DropCosts!$A$5:$A$104,A12,Actuals_DropCosts!$B$5:$B$104,"&gt;="&amp;Inputs!$C$10,Actuals_DropCosts!$B$5:$B$104,"&lt;="&amp;Cash_Flow!$AB$6)-SUMIFS(Actuals_DropCosts!$G$5:$G$104,Actuals_DropCosts!$A$5:$A$104,A12,Actuals_DropCosts!$B$5:$B$104,"&gt;="&amp;Inputs!$C$10,Actuals_DropCosts!$B$5:$B$104,"&lt;="&amp;Cash_Flow!$AB$6)-SUMIFS(Actuals_DropCosts!$H$5:$H$104,Actuals_DropCosts!$A$5:$A$104,A12,Actuals_DropCosts!$B$5:$B$104,"&gt;="&amp;Inputs!$C$10,Actuals_DropCosts!$B$5:$B$104,"&lt;="&amp;Cash_Flow!$AB$6)</f>
        <v>0</v>
      </c>
    </row>
    <row r="13" customFormat="false" ht="15" hidden="false" customHeight="false" outlineLevel="0" collapsed="false">
      <c r="A13" s="30" t="str">
        <f aca="false">Drop_PnL!A13</f>
        <v>DRP-007</v>
      </c>
      <c r="B13" s="18" t="str">
        <f aca="false">Drop_PnL!B13</f>
        <v/>
      </c>
      <c r="C13" s="30" t="str">
        <f aca="false">Drop_PnL!AZ13</f>
        <v>N</v>
      </c>
      <c r="D13" s="19" t="n">
        <f aca="false">SUMIFS(Actuals_Campaigns!$R$5:$R$204,Actuals_Campaigns!$B$5:$B$204,A13)</f>
        <v>0</v>
      </c>
      <c r="E13" s="19" t="n">
        <f aca="false">SUMIFS(Actuals_Campaigns!$T$5:$T$204,Actuals_Campaigns!$B$5:$B$204,A13)</f>
        <v>0</v>
      </c>
      <c r="F13" s="19" t="n">
        <f aca="false">SUMIFS(Actuals_DropCosts!$F$5:$F$104,Actuals_DropCosts!$A$5:$A$104,A13)</f>
        <v>0</v>
      </c>
      <c r="G13" s="19" t="n">
        <f aca="false">SUMIFS(Actuals_DropCosts!$G$5:$G$104,Actuals_DropCosts!$A$5:$A$104,A13)</f>
        <v>0</v>
      </c>
      <c r="H13" s="19" t="n">
        <f aca="false">SUMIFS(Actuals_DropCosts!$H$5:$H$104,Actuals_DropCosts!$A$5:$A$104,A13)</f>
        <v>0</v>
      </c>
      <c r="I13" s="19" t="n">
        <f aca="false">IF(OR(C13="Y",AF13&gt;0,F13+G13+H13&gt;0),Drop_PnL!AM13,0)</f>
        <v>0</v>
      </c>
      <c r="J13" s="37" t="n">
        <f aca="false">SUM(E13:I13)</f>
        <v>0</v>
      </c>
      <c r="K13" s="36" t="n">
        <f aca="false">Hours_Log!R11</f>
        <v>0</v>
      </c>
      <c r="L13" s="36" t="n">
        <f aca="false">Hours_Log!S11</f>
        <v>0</v>
      </c>
      <c r="M13" s="36" t="n">
        <f aca="false">Hours_Log!T11</f>
        <v>0</v>
      </c>
      <c r="N13" s="36" t="n">
        <f aca="false">Hours_Log!U11</f>
        <v>0</v>
      </c>
      <c r="O13" s="36" t="n">
        <f aca="false">Hours_Log!V11</f>
        <v>0</v>
      </c>
      <c r="P13" s="36" t="n">
        <f aca="false">Hours_Log!W11</f>
        <v>0</v>
      </c>
      <c r="Q13" s="36" t="n">
        <f aca="false">Hours_Log!X11</f>
        <v>0</v>
      </c>
      <c r="R13" s="38" t="n">
        <f aca="false">SUM(K13:Q13)</f>
        <v>0</v>
      </c>
      <c r="S13" s="37" t="str">
        <f aca="false">IF(AND(NOT(OR(C13="Y",AF13&gt;0,F13+G13+H13&gt;0)),R13=0),"",D13-J13)</f>
        <v/>
      </c>
      <c r="T13" s="29" t="str">
        <f aca="false">IF(S13="","",IF(R13&gt;0,S13/R13,"n/a"))</f>
        <v/>
      </c>
      <c r="U13" s="24" t="n">
        <f aca="false">SUMIFS(Actuals_Campaigns!$H$5:$H$204,Actuals_Campaigns!$B$5:$B$204,A13)</f>
        <v>0</v>
      </c>
      <c r="V13" s="24" t="n">
        <f aca="false">SUMIFS(Actuals_Campaigns!$I$5:$I$204,Actuals_Campaigns!$B$5:$B$204,A13)</f>
        <v>0</v>
      </c>
      <c r="W13" s="24" t="n">
        <f aca="false">SUMIFS(Actuals_Campaigns!$J$5:$J$204,Actuals_Campaigns!$B$5:$B$204,A13)</f>
        <v>0</v>
      </c>
      <c r="X13" s="24" t="n">
        <f aca="false">SUMIFS(Actuals_Campaigns!$K$5:$K$204,Actuals_Campaigns!$B$5:$B$204,A13)</f>
        <v>0</v>
      </c>
      <c r="Y13" s="24" t="n">
        <f aca="false">SUMIFS(Actuals_Campaigns!$L$5:$L$204,Actuals_Campaigns!$B$5:$B$204,A13)</f>
        <v>0</v>
      </c>
      <c r="Z13" s="24" t="n">
        <f aca="false">SUMIFS(Actuals_Campaigns!$M$5:$M$204,Actuals_Campaigns!$B$5:$B$204,A13)</f>
        <v>0</v>
      </c>
      <c r="AA13" s="24" t="n">
        <f aca="false">SUMIFS(Actuals_Campaigns!$N$5:$N$204,Actuals_Campaigns!$B$5:$B$204,A13)</f>
        <v>0</v>
      </c>
      <c r="AB13" s="24" t="n">
        <f aca="false">SUMIFS(Actuals_Campaigns!$O$5:$O$204,Actuals_Campaigns!$B$5:$B$204,A13)</f>
        <v>0</v>
      </c>
      <c r="AC13" s="24" t="n">
        <f aca="false">SUMIFS(Actuals_Campaigns!$P$5:$P$204,Actuals_Campaigns!$B$5:$B$204,A13)</f>
        <v>0</v>
      </c>
      <c r="AD13" s="24" t="n">
        <f aca="false">SUMIFS(Actuals_Campaigns!$Q$5:$Q$204,Actuals_Campaigns!$B$5:$B$204,A13)</f>
        <v>0</v>
      </c>
      <c r="AE13" s="32" t="s">
        <v>1577</v>
      </c>
      <c r="AF13" s="21" t="n">
        <f aca="false">COUNTIF(Actuals_Campaigns!$B$5:$B$204,A13)</f>
        <v>0</v>
      </c>
      <c r="AG13" s="26" t="str">
        <f aca="false">IF(V13&gt;0,X13/V13,"")</f>
        <v/>
      </c>
      <c r="AH13" s="21" t="str">
        <f aca="false">IF(AF13=0,"",COUNTIFS(Actuals_Campaigns!$B$5:$B$204,A13,Actuals_Campaigns!$AN$5:$AN$204,"&lt;"&amp;Inputs!$C$131))</f>
        <v/>
      </c>
      <c r="AI13" s="21" t="str">
        <f aca="false">IF(AF13=0,"",COUNTIFS(Actuals_Campaigns!$B$5:$B$204,A13,Actuals_Campaigns!$AP$5:$AP$204,"Y")+COUNTIFS(Actuals_Campaigns!$B$5:$B$204,A13,Actuals_Campaigns!$AP$5:$AP$204,"missing"))</f>
        <v/>
      </c>
      <c r="AJ13" s="21" t="str">
        <f aca="false">IF(AF13=0,"",COUNTIFS(Actuals_Campaigns!$B$5:$B$204,A13,Actuals_Campaigns!$V$5:$V$204,"yes"))</f>
        <v/>
      </c>
      <c r="AK13" s="21" t="n">
        <f aca="false">COUNTIFS(Actuals_Campaigns!$B$5:$B$204,A13,Actuals_Campaigns!$W$5:$W$204,"Y")</f>
        <v>0</v>
      </c>
      <c r="AL13" s="21" t="n">
        <f aca="false">COUNTIFS(Actuals_Campaigns!$B$5:$B$204,A13,Actuals_Campaigns!$W$5:$W$204,"N")</f>
        <v>0</v>
      </c>
      <c r="AM13" s="19" t="n">
        <f aca="false">SUMIFS(Actuals_Campaigns!$X$5:$X$204,Actuals_Campaigns!$B$5:$B$204,A13,Actuals_Campaigns!$Y$5:$Y$204,"&gt;="&amp;Inputs!$C$10,Actuals_Campaigns!$Y$5:$Y$204,"&lt;="&amp;Cash_Flow!$AB$6)+SUMIFS(Actuals_Campaigns!$AM$5:$AM$204,Actuals_Campaigns!$B$5:$B$204,A13,Actuals_Campaigns!$S$5:$S$204,"&gt;="&amp;Inputs!$C$10,Actuals_Campaigns!$S$5:$S$204,"&lt;="&amp;Cash_Flow!$AB$6)-SUMIFS(Actuals_Campaigns!$T$5:$T$204,Actuals_Campaigns!$B$5:$B$204,A13,Actuals_Campaigns!$S$5:$S$204,"&gt;="&amp;Inputs!$C$10,Actuals_Campaigns!$S$5:$S$204,"&lt;="&amp;Cash_Flow!$AB$6)-SUMIFS(Actuals_DropCosts!$F$5:$F$104,Actuals_DropCosts!$A$5:$A$104,A13,Actuals_DropCosts!$B$5:$B$104,"&gt;="&amp;Inputs!$C$10,Actuals_DropCosts!$B$5:$B$104,"&lt;="&amp;Cash_Flow!$AB$6)-SUMIFS(Actuals_DropCosts!$G$5:$G$104,Actuals_DropCosts!$A$5:$A$104,A13,Actuals_DropCosts!$B$5:$B$104,"&gt;="&amp;Inputs!$C$10,Actuals_DropCosts!$B$5:$B$104,"&lt;="&amp;Cash_Flow!$AB$6)-SUMIFS(Actuals_DropCosts!$H$5:$H$104,Actuals_DropCosts!$A$5:$A$104,A13,Actuals_DropCosts!$B$5:$B$104,"&gt;="&amp;Inputs!$C$10,Actuals_DropCosts!$B$5:$B$104,"&lt;="&amp;Cash_Flow!$AB$6)</f>
        <v>0</v>
      </c>
    </row>
    <row r="14" customFormat="false" ht="15" hidden="false" customHeight="false" outlineLevel="0" collapsed="false">
      <c r="A14" s="30" t="str">
        <f aca="false">Drop_PnL!A14</f>
        <v>DRP-008</v>
      </c>
      <c r="B14" s="18" t="str">
        <f aca="false">Drop_PnL!B14</f>
        <v/>
      </c>
      <c r="C14" s="30" t="str">
        <f aca="false">Drop_PnL!AZ14</f>
        <v>N</v>
      </c>
      <c r="D14" s="19" t="n">
        <f aca="false">SUMIFS(Actuals_Campaigns!$R$5:$R$204,Actuals_Campaigns!$B$5:$B$204,A14)</f>
        <v>0</v>
      </c>
      <c r="E14" s="19" t="n">
        <f aca="false">SUMIFS(Actuals_Campaigns!$T$5:$T$204,Actuals_Campaigns!$B$5:$B$204,A14)</f>
        <v>0</v>
      </c>
      <c r="F14" s="19" t="n">
        <f aca="false">SUMIFS(Actuals_DropCosts!$F$5:$F$104,Actuals_DropCosts!$A$5:$A$104,A14)</f>
        <v>0</v>
      </c>
      <c r="G14" s="19" t="n">
        <f aca="false">SUMIFS(Actuals_DropCosts!$G$5:$G$104,Actuals_DropCosts!$A$5:$A$104,A14)</f>
        <v>0</v>
      </c>
      <c r="H14" s="19" t="n">
        <f aca="false">SUMIFS(Actuals_DropCosts!$H$5:$H$104,Actuals_DropCosts!$A$5:$A$104,A14)</f>
        <v>0</v>
      </c>
      <c r="I14" s="19" t="n">
        <f aca="false">IF(OR(C14="Y",AF14&gt;0,F14+G14+H14&gt;0),Drop_PnL!AM14,0)</f>
        <v>0</v>
      </c>
      <c r="J14" s="37" t="n">
        <f aca="false">SUM(E14:I14)</f>
        <v>0</v>
      </c>
      <c r="K14" s="36" t="n">
        <f aca="false">Hours_Log!R12</f>
        <v>0</v>
      </c>
      <c r="L14" s="36" t="n">
        <f aca="false">Hours_Log!S12</f>
        <v>0</v>
      </c>
      <c r="M14" s="36" t="n">
        <f aca="false">Hours_Log!T12</f>
        <v>0</v>
      </c>
      <c r="N14" s="36" t="n">
        <f aca="false">Hours_Log!U12</f>
        <v>0</v>
      </c>
      <c r="O14" s="36" t="n">
        <f aca="false">Hours_Log!V12</f>
        <v>0</v>
      </c>
      <c r="P14" s="36" t="n">
        <f aca="false">Hours_Log!W12</f>
        <v>0</v>
      </c>
      <c r="Q14" s="36" t="n">
        <f aca="false">Hours_Log!X12</f>
        <v>0</v>
      </c>
      <c r="R14" s="38" t="n">
        <f aca="false">SUM(K14:Q14)</f>
        <v>0</v>
      </c>
      <c r="S14" s="37" t="str">
        <f aca="false">IF(AND(NOT(OR(C14="Y",AF14&gt;0,F14+G14+H14&gt;0)),R14=0),"",D14-J14)</f>
        <v/>
      </c>
      <c r="T14" s="29" t="str">
        <f aca="false">IF(S14="","",IF(R14&gt;0,S14/R14,"n/a"))</f>
        <v/>
      </c>
      <c r="U14" s="24" t="n">
        <f aca="false">SUMIFS(Actuals_Campaigns!$H$5:$H$204,Actuals_Campaigns!$B$5:$B$204,A14)</f>
        <v>0</v>
      </c>
      <c r="V14" s="24" t="n">
        <f aca="false">SUMIFS(Actuals_Campaigns!$I$5:$I$204,Actuals_Campaigns!$B$5:$B$204,A14)</f>
        <v>0</v>
      </c>
      <c r="W14" s="24" t="n">
        <f aca="false">SUMIFS(Actuals_Campaigns!$J$5:$J$204,Actuals_Campaigns!$B$5:$B$204,A14)</f>
        <v>0</v>
      </c>
      <c r="X14" s="24" t="n">
        <f aca="false">SUMIFS(Actuals_Campaigns!$K$5:$K$204,Actuals_Campaigns!$B$5:$B$204,A14)</f>
        <v>0</v>
      </c>
      <c r="Y14" s="24" t="n">
        <f aca="false">SUMIFS(Actuals_Campaigns!$L$5:$L$204,Actuals_Campaigns!$B$5:$B$204,A14)</f>
        <v>0</v>
      </c>
      <c r="Z14" s="24" t="n">
        <f aca="false">SUMIFS(Actuals_Campaigns!$M$5:$M$204,Actuals_Campaigns!$B$5:$B$204,A14)</f>
        <v>0</v>
      </c>
      <c r="AA14" s="24" t="n">
        <f aca="false">SUMIFS(Actuals_Campaigns!$N$5:$N$204,Actuals_Campaigns!$B$5:$B$204,A14)</f>
        <v>0</v>
      </c>
      <c r="AB14" s="24" t="n">
        <f aca="false">SUMIFS(Actuals_Campaigns!$O$5:$O$204,Actuals_Campaigns!$B$5:$B$204,A14)</f>
        <v>0</v>
      </c>
      <c r="AC14" s="24" t="n">
        <f aca="false">SUMIFS(Actuals_Campaigns!$P$5:$P$204,Actuals_Campaigns!$B$5:$B$204,A14)</f>
        <v>0</v>
      </c>
      <c r="AD14" s="24" t="n">
        <f aca="false">SUMIFS(Actuals_Campaigns!$Q$5:$Q$204,Actuals_Campaigns!$B$5:$B$204,A14)</f>
        <v>0</v>
      </c>
      <c r="AE14" s="32" t="s">
        <v>1577</v>
      </c>
      <c r="AF14" s="21" t="n">
        <f aca="false">COUNTIF(Actuals_Campaigns!$B$5:$B$204,A14)</f>
        <v>0</v>
      </c>
      <c r="AG14" s="26" t="str">
        <f aca="false">IF(V14&gt;0,X14/V14,"")</f>
        <v/>
      </c>
      <c r="AH14" s="21" t="str">
        <f aca="false">IF(AF14=0,"",COUNTIFS(Actuals_Campaigns!$B$5:$B$204,A14,Actuals_Campaigns!$AN$5:$AN$204,"&lt;"&amp;Inputs!$C$131))</f>
        <v/>
      </c>
      <c r="AI14" s="21" t="str">
        <f aca="false">IF(AF14=0,"",COUNTIFS(Actuals_Campaigns!$B$5:$B$204,A14,Actuals_Campaigns!$AP$5:$AP$204,"Y")+COUNTIFS(Actuals_Campaigns!$B$5:$B$204,A14,Actuals_Campaigns!$AP$5:$AP$204,"missing"))</f>
        <v/>
      </c>
      <c r="AJ14" s="21" t="str">
        <f aca="false">IF(AF14=0,"",COUNTIFS(Actuals_Campaigns!$B$5:$B$204,A14,Actuals_Campaigns!$V$5:$V$204,"yes"))</f>
        <v/>
      </c>
      <c r="AK14" s="21" t="n">
        <f aca="false">COUNTIFS(Actuals_Campaigns!$B$5:$B$204,A14,Actuals_Campaigns!$W$5:$W$204,"Y")</f>
        <v>0</v>
      </c>
      <c r="AL14" s="21" t="n">
        <f aca="false">COUNTIFS(Actuals_Campaigns!$B$5:$B$204,A14,Actuals_Campaigns!$W$5:$W$204,"N")</f>
        <v>0</v>
      </c>
      <c r="AM14" s="19" t="n">
        <f aca="false">SUMIFS(Actuals_Campaigns!$X$5:$X$204,Actuals_Campaigns!$B$5:$B$204,A14,Actuals_Campaigns!$Y$5:$Y$204,"&gt;="&amp;Inputs!$C$10,Actuals_Campaigns!$Y$5:$Y$204,"&lt;="&amp;Cash_Flow!$AB$6)+SUMIFS(Actuals_Campaigns!$AM$5:$AM$204,Actuals_Campaigns!$B$5:$B$204,A14,Actuals_Campaigns!$S$5:$S$204,"&gt;="&amp;Inputs!$C$10,Actuals_Campaigns!$S$5:$S$204,"&lt;="&amp;Cash_Flow!$AB$6)-SUMIFS(Actuals_Campaigns!$T$5:$T$204,Actuals_Campaigns!$B$5:$B$204,A14,Actuals_Campaigns!$S$5:$S$204,"&gt;="&amp;Inputs!$C$10,Actuals_Campaigns!$S$5:$S$204,"&lt;="&amp;Cash_Flow!$AB$6)-SUMIFS(Actuals_DropCosts!$F$5:$F$104,Actuals_DropCosts!$A$5:$A$104,A14,Actuals_DropCosts!$B$5:$B$104,"&gt;="&amp;Inputs!$C$10,Actuals_DropCosts!$B$5:$B$104,"&lt;="&amp;Cash_Flow!$AB$6)-SUMIFS(Actuals_DropCosts!$G$5:$G$104,Actuals_DropCosts!$A$5:$A$104,A14,Actuals_DropCosts!$B$5:$B$104,"&gt;="&amp;Inputs!$C$10,Actuals_DropCosts!$B$5:$B$104,"&lt;="&amp;Cash_Flow!$AB$6)-SUMIFS(Actuals_DropCosts!$H$5:$H$104,Actuals_DropCosts!$A$5:$A$104,A14,Actuals_DropCosts!$B$5:$B$104,"&gt;="&amp;Inputs!$C$10,Actuals_DropCosts!$B$5:$B$104,"&lt;="&amp;Cash_Flow!$AB$6)</f>
        <v>0</v>
      </c>
    </row>
    <row r="15" customFormat="false" ht="15" hidden="false" customHeight="false" outlineLevel="0" collapsed="false">
      <c r="A15" s="30" t="str">
        <f aca="false">Drop_PnL!A15</f>
        <v>DRP-009</v>
      </c>
      <c r="B15" s="18" t="str">
        <f aca="false">Drop_PnL!B15</f>
        <v/>
      </c>
      <c r="C15" s="30" t="str">
        <f aca="false">Drop_PnL!AZ15</f>
        <v>N</v>
      </c>
      <c r="D15" s="19" t="n">
        <f aca="false">SUMIFS(Actuals_Campaigns!$R$5:$R$204,Actuals_Campaigns!$B$5:$B$204,A15)</f>
        <v>0</v>
      </c>
      <c r="E15" s="19" t="n">
        <f aca="false">SUMIFS(Actuals_Campaigns!$T$5:$T$204,Actuals_Campaigns!$B$5:$B$204,A15)</f>
        <v>0</v>
      </c>
      <c r="F15" s="19" t="n">
        <f aca="false">SUMIFS(Actuals_DropCosts!$F$5:$F$104,Actuals_DropCosts!$A$5:$A$104,A15)</f>
        <v>0</v>
      </c>
      <c r="G15" s="19" t="n">
        <f aca="false">SUMIFS(Actuals_DropCosts!$G$5:$G$104,Actuals_DropCosts!$A$5:$A$104,A15)</f>
        <v>0</v>
      </c>
      <c r="H15" s="19" t="n">
        <f aca="false">SUMIFS(Actuals_DropCosts!$H$5:$H$104,Actuals_DropCosts!$A$5:$A$104,A15)</f>
        <v>0</v>
      </c>
      <c r="I15" s="19" t="n">
        <f aca="false">IF(OR(C15="Y",AF15&gt;0,F15+G15+H15&gt;0),Drop_PnL!AM15,0)</f>
        <v>0</v>
      </c>
      <c r="J15" s="37" t="n">
        <f aca="false">SUM(E15:I15)</f>
        <v>0</v>
      </c>
      <c r="K15" s="36" t="n">
        <f aca="false">Hours_Log!R13</f>
        <v>0</v>
      </c>
      <c r="L15" s="36" t="n">
        <f aca="false">Hours_Log!S13</f>
        <v>0</v>
      </c>
      <c r="M15" s="36" t="n">
        <f aca="false">Hours_Log!T13</f>
        <v>0</v>
      </c>
      <c r="N15" s="36" t="n">
        <f aca="false">Hours_Log!U13</f>
        <v>0</v>
      </c>
      <c r="O15" s="36" t="n">
        <f aca="false">Hours_Log!V13</f>
        <v>0</v>
      </c>
      <c r="P15" s="36" t="n">
        <f aca="false">Hours_Log!W13</f>
        <v>0</v>
      </c>
      <c r="Q15" s="36" t="n">
        <f aca="false">Hours_Log!X13</f>
        <v>0</v>
      </c>
      <c r="R15" s="38" t="n">
        <f aca="false">SUM(K15:Q15)</f>
        <v>0</v>
      </c>
      <c r="S15" s="37" t="str">
        <f aca="false">IF(AND(NOT(OR(C15="Y",AF15&gt;0,F15+G15+H15&gt;0)),R15=0),"",D15-J15)</f>
        <v/>
      </c>
      <c r="T15" s="29" t="str">
        <f aca="false">IF(S15="","",IF(R15&gt;0,S15/R15,"n/a"))</f>
        <v/>
      </c>
      <c r="U15" s="24" t="n">
        <f aca="false">SUMIFS(Actuals_Campaigns!$H$5:$H$204,Actuals_Campaigns!$B$5:$B$204,A15)</f>
        <v>0</v>
      </c>
      <c r="V15" s="24" t="n">
        <f aca="false">SUMIFS(Actuals_Campaigns!$I$5:$I$204,Actuals_Campaigns!$B$5:$B$204,A15)</f>
        <v>0</v>
      </c>
      <c r="W15" s="24" t="n">
        <f aca="false">SUMIFS(Actuals_Campaigns!$J$5:$J$204,Actuals_Campaigns!$B$5:$B$204,A15)</f>
        <v>0</v>
      </c>
      <c r="X15" s="24" t="n">
        <f aca="false">SUMIFS(Actuals_Campaigns!$K$5:$K$204,Actuals_Campaigns!$B$5:$B$204,A15)</f>
        <v>0</v>
      </c>
      <c r="Y15" s="24" t="n">
        <f aca="false">SUMIFS(Actuals_Campaigns!$L$5:$L$204,Actuals_Campaigns!$B$5:$B$204,A15)</f>
        <v>0</v>
      </c>
      <c r="Z15" s="24" t="n">
        <f aca="false">SUMIFS(Actuals_Campaigns!$M$5:$M$204,Actuals_Campaigns!$B$5:$B$204,A15)</f>
        <v>0</v>
      </c>
      <c r="AA15" s="24" t="n">
        <f aca="false">SUMIFS(Actuals_Campaigns!$N$5:$N$204,Actuals_Campaigns!$B$5:$B$204,A15)</f>
        <v>0</v>
      </c>
      <c r="AB15" s="24" t="n">
        <f aca="false">SUMIFS(Actuals_Campaigns!$O$5:$O$204,Actuals_Campaigns!$B$5:$B$204,A15)</f>
        <v>0</v>
      </c>
      <c r="AC15" s="24" t="n">
        <f aca="false">SUMIFS(Actuals_Campaigns!$P$5:$P$204,Actuals_Campaigns!$B$5:$B$204,A15)</f>
        <v>0</v>
      </c>
      <c r="AD15" s="24" t="n">
        <f aca="false">SUMIFS(Actuals_Campaigns!$Q$5:$Q$204,Actuals_Campaigns!$B$5:$B$204,A15)</f>
        <v>0</v>
      </c>
      <c r="AE15" s="32" t="s">
        <v>1577</v>
      </c>
      <c r="AF15" s="21" t="n">
        <f aca="false">COUNTIF(Actuals_Campaigns!$B$5:$B$204,A15)</f>
        <v>0</v>
      </c>
      <c r="AG15" s="26" t="str">
        <f aca="false">IF(V15&gt;0,X15/V15,"")</f>
        <v/>
      </c>
      <c r="AH15" s="21" t="str">
        <f aca="false">IF(AF15=0,"",COUNTIFS(Actuals_Campaigns!$B$5:$B$204,A15,Actuals_Campaigns!$AN$5:$AN$204,"&lt;"&amp;Inputs!$C$131))</f>
        <v/>
      </c>
      <c r="AI15" s="21" t="str">
        <f aca="false">IF(AF15=0,"",COUNTIFS(Actuals_Campaigns!$B$5:$B$204,A15,Actuals_Campaigns!$AP$5:$AP$204,"Y")+COUNTIFS(Actuals_Campaigns!$B$5:$B$204,A15,Actuals_Campaigns!$AP$5:$AP$204,"missing"))</f>
        <v/>
      </c>
      <c r="AJ15" s="21" t="str">
        <f aca="false">IF(AF15=0,"",COUNTIFS(Actuals_Campaigns!$B$5:$B$204,A15,Actuals_Campaigns!$V$5:$V$204,"yes"))</f>
        <v/>
      </c>
      <c r="AK15" s="21" t="n">
        <f aca="false">COUNTIFS(Actuals_Campaigns!$B$5:$B$204,A15,Actuals_Campaigns!$W$5:$W$204,"Y")</f>
        <v>0</v>
      </c>
      <c r="AL15" s="21" t="n">
        <f aca="false">COUNTIFS(Actuals_Campaigns!$B$5:$B$204,A15,Actuals_Campaigns!$W$5:$W$204,"N")</f>
        <v>0</v>
      </c>
      <c r="AM15" s="19" t="n">
        <f aca="false">SUMIFS(Actuals_Campaigns!$X$5:$X$204,Actuals_Campaigns!$B$5:$B$204,A15,Actuals_Campaigns!$Y$5:$Y$204,"&gt;="&amp;Inputs!$C$10,Actuals_Campaigns!$Y$5:$Y$204,"&lt;="&amp;Cash_Flow!$AB$6)+SUMIFS(Actuals_Campaigns!$AM$5:$AM$204,Actuals_Campaigns!$B$5:$B$204,A15,Actuals_Campaigns!$S$5:$S$204,"&gt;="&amp;Inputs!$C$10,Actuals_Campaigns!$S$5:$S$204,"&lt;="&amp;Cash_Flow!$AB$6)-SUMIFS(Actuals_Campaigns!$T$5:$T$204,Actuals_Campaigns!$B$5:$B$204,A15,Actuals_Campaigns!$S$5:$S$204,"&gt;="&amp;Inputs!$C$10,Actuals_Campaigns!$S$5:$S$204,"&lt;="&amp;Cash_Flow!$AB$6)-SUMIFS(Actuals_DropCosts!$F$5:$F$104,Actuals_DropCosts!$A$5:$A$104,A15,Actuals_DropCosts!$B$5:$B$104,"&gt;="&amp;Inputs!$C$10,Actuals_DropCosts!$B$5:$B$104,"&lt;="&amp;Cash_Flow!$AB$6)-SUMIFS(Actuals_DropCosts!$G$5:$G$104,Actuals_DropCosts!$A$5:$A$104,A15,Actuals_DropCosts!$B$5:$B$104,"&gt;="&amp;Inputs!$C$10,Actuals_DropCosts!$B$5:$B$104,"&lt;="&amp;Cash_Flow!$AB$6)-SUMIFS(Actuals_DropCosts!$H$5:$H$104,Actuals_DropCosts!$A$5:$A$104,A15,Actuals_DropCosts!$B$5:$B$104,"&gt;="&amp;Inputs!$C$10,Actuals_DropCosts!$B$5:$B$104,"&lt;="&amp;Cash_Flow!$AB$6)</f>
        <v>0</v>
      </c>
    </row>
    <row r="16" customFormat="false" ht="15" hidden="false" customHeight="false" outlineLevel="0" collapsed="false">
      <c r="A16" s="30" t="str">
        <f aca="false">Drop_PnL!A16</f>
        <v>DRP-010</v>
      </c>
      <c r="B16" s="18" t="str">
        <f aca="false">Drop_PnL!B16</f>
        <v/>
      </c>
      <c r="C16" s="30" t="str">
        <f aca="false">Drop_PnL!AZ16</f>
        <v>N</v>
      </c>
      <c r="D16" s="19" t="n">
        <f aca="false">SUMIFS(Actuals_Campaigns!$R$5:$R$204,Actuals_Campaigns!$B$5:$B$204,A16)</f>
        <v>0</v>
      </c>
      <c r="E16" s="19" t="n">
        <f aca="false">SUMIFS(Actuals_Campaigns!$T$5:$T$204,Actuals_Campaigns!$B$5:$B$204,A16)</f>
        <v>0</v>
      </c>
      <c r="F16" s="19" t="n">
        <f aca="false">SUMIFS(Actuals_DropCosts!$F$5:$F$104,Actuals_DropCosts!$A$5:$A$104,A16)</f>
        <v>0</v>
      </c>
      <c r="G16" s="19" t="n">
        <f aca="false">SUMIFS(Actuals_DropCosts!$G$5:$G$104,Actuals_DropCosts!$A$5:$A$104,A16)</f>
        <v>0</v>
      </c>
      <c r="H16" s="19" t="n">
        <f aca="false">SUMIFS(Actuals_DropCosts!$H$5:$H$104,Actuals_DropCosts!$A$5:$A$104,A16)</f>
        <v>0</v>
      </c>
      <c r="I16" s="19" t="n">
        <f aca="false">IF(OR(C16="Y",AF16&gt;0,F16+G16+H16&gt;0),Drop_PnL!AM16,0)</f>
        <v>0</v>
      </c>
      <c r="J16" s="37" t="n">
        <f aca="false">SUM(E16:I16)</f>
        <v>0</v>
      </c>
      <c r="K16" s="36" t="n">
        <f aca="false">Hours_Log!R14</f>
        <v>0</v>
      </c>
      <c r="L16" s="36" t="n">
        <f aca="false">Hours_Log!S14</f>
        <v>0</v>
      </c>
      <c r="M16" s="36" t="n">
        <f aca="false">Hours_Log!T14</f>
        <v>0</v>
      </c>
      <c r="N16" s="36" t="n">
        <f aca="false">Hours_Log!U14</f>
        <v>0</v>
      </c>
      <c r="O16" s="36" t="n">
        <f aca="false">Hours_Log!V14</f>
        <v>0</v>
      </c>
      <c r="P16" s="36" t="n">
        <f aca="false">Hours_Log!W14</f>
        <v>0</v>
      </c>
      <c r="Q16" s="36" t="n">
        <f aca="false">Hours_Log!X14</f>
        <v>0</v>
      </c>
      <c r="R16" s="38" t="n">
        <f aca="false">SUM(K16:Q16)</f>
        <v>0</v>
      </c>
      <c r="S16" s="37" t="str">
        <f aca="false">IF(AND(NOT(OR(C16="Y",AF16&gt;0,F16+G16+H16&gt;0)),R16=0),"",D16-J16)</f>
        <v/>
      </c>
      <c r="T16" s="29" t="str">
        <f aca="false">IF(S16="","",IF(R16&gt;0,S16/R16,"n/a"))</f>
        <v/>
      </c>
      <c r="U16" s="24" t="n">
        <f aca="false">SUMIFS(Actuals_Campaigns!$H$5:$H$204,Actuals_Campaigns!$B$5:$B$204,A16)</f>
        <v>0</v>
      </c>
      <c r="V16" s="24" t="n">
        <f aca="false">SUMIFS(Actuals_Campaigns!$I$5:$I$204,Actuals_Campaigns!$B$5:$B$204,A16)</f>
        <v>0</v>
      </c>
      <c r="W16" s="24" t="n">
        <f aca="false">SUMIFS(Actuals_Campaigns!$J$5:$J$204,Actuals_Campaigns!$B$5:$B$204,A16)</f>
        <v>0</v>
      </c>
      <c r="X16" s="24" t="n">
        <f aca="false">SUMIFS(Actuals_Campaigns!$K$5:$K$204,Actuals_Campaigns!$B$5:$B$204,A16)</f>
        <v>0</v>
      </c>
      <c r="Y16" s="24" t="n">
        <f aca="false">SUMIFS(Actuals_Campaigns!$L$5:$L$204,Actuals_Campaigns!$B$5:$B$204,A16)</f>
        <v>0</v>
      </c>
      <c r="Z16" s="24" t="n">
        <f aca="false">SUMIFS(Actuals_Campaigns!$M$5:$M$204,Actuals_Campaigns!$B$5:$B$204,A16)</f>
        <v>0</v>
      </c>
      <c r="AA16" s="24" t="n">
        <f aca="false">SUMIFS(Actuals_Campaigns!$N$5:$N$204,Actuals_Campaigns!$B$5:$B$204,A16)</f>
        <v>0</v>
      </c>
      <c r="AB16" s="24" t="n">
        <f aca="false">SUMIFS(Actuals_Campaigns!$O$5:$O$204,Actuals_Campaigns!$B$5:$B$204,A16)</f>
        <v>0</v>
      </c>
      <c r="AC16" s="24" t="n">
        <f aca="false">SUMIFS(Actuals_Campaigns!$P$5:$P$204,Actuals_Campaigns!$B$5:$B$204,A16)</f>
        <v>0</v>
      </c>
      <c r="AD16" s="24" t="n">
        <f aca="false">SUMIFS(Actuals_Campaigns!$Q$5:$Q$204,Actuals_Campaigns!$B$5:$B$204,A16)</f>
        <v>0</v>
      </c>
      <c r="AE16" s="32" t="s">
        <v>1577</v>
      </c>
      <c r="AF16" s="21" t="n">
        <f aca="false">COUNTIF(Actuals_Campaigns!$B$5:$B$204,A16)</f>
        <v>0</v>
      </c>
      <c r="AG16" s="26" t="str">
        <f aca="false">IF(V16&gt;0,X16/V16,"")</f>
        <v/>
      </c>
      <c r="AH16" s="21" t="str">
        <f aca="false">IF(AF16=0,"",COUNTIFS(Actuals_Campaigns!$B$5:$B$204,A16,Actuals_Campaigns!$AN$5:$AN$204,"&lt;"&amp;Inputs!$C$131))</f>
        <v/>
      </c>
      <c r="AI16" s="21" t="str">
        <f aca="false">IF(AF16=0,"",COUNTIFS(Actuals_Campaigns!$B$5:$B$204,A16,Actuals_Campaigns!$AP$5:$AP$204,"Y")+COUNTIFS(Actuals_Campaigns!$B$5:$B$204,A16,Actuals_Campaigns!$AP$5:$AP$204,"missing"))</f>
        <v/>
      </c>
      <c r="AJ16" s="21" t="str">
        <f aca="false">IF(AF16=0,"",COUNTIFS(Actuals_Campaigns!$B$5:$B$204,A16,Actuals_Campaigns!$V$5:$V$204,"yes"))</f>
        <v/>
      </c>
      <c r="AK16" s="21" t="n">
        <f aca="false">COUNTIFS(Actuals_Campaigns!$B$5:$B$204,A16,Actuals_Campaigns!$W$5:$W$204,"Y")</f>
        <v>0</v>
      </c>
      <c r="AL16" s="21" t="n">
        <f aca="false">COUNTIFS(Actuals_Campaigns!$B$5:$B$204,A16,Actuals_Campaigns!$W$5:$W$204,"N")</f>
        <v>0</v>
      </c>
      <c r="AM16" s="19" t="n">
        <f aca="false">SUMIFS(Actuals_Campaigns!$X$5:$X$204,Actuals_Campaigns!$B$5:$B$204,A16,Actuals_Campaigns!$Y$5:$Y$204,"&gt;="&amp;Inputs!$C$10,Actuals_Campaigns!$Y$5:$Y$204,"&lt;="&amp;Cash_Flow!$AB$6)+SUMIFS(Actuals_Campaigns!$AM$5:$AM$204,Actuals_Campaigns!$B$5:$B$204,A16,Actuals_Campaigns!$S$5:$S$204,"&gt;="&amp;Inputs!$C$10,Actuals_Campaigns!$S$5:$S$204,"&lt;="&amp;Cash_Flow!$AB$6)-SUMIFS(Actuals_Campaigns!$T$5:$T$204,Actuals_Campaigns!$B$5:$B$204,A16,Actuals_Campaigns!$S$5:$S$204,"&gt;="&amp;Inputs!$C$10,Actuals_Campaigns!$S$5:$S$204,"&lt;="&amp;Cash_Flow!$AB$6)-SUMIFS(Actuals_DropCosts!$F$5:$F$104,Actuals_DropCosts!$A$5:$A$104,A16,Actuals_DropCosts!$B$5:$B$104,"&gt;="&amp;Inputs!$C$10,Actuals_DropCosts!$B$5:$B$104,"&lt;="&amp;Cash_Flow!$AB$6)-SUMIFS(Actuals_DropCosts!$G$5:$G$104,Actuals_DropCosts!$A$5:$A$104,A16,Actuals_DropCosts!$B$5:$B$104,"&gt;="&amp;Inputs!$C$10,Actuals_DropCosts!$B$5:$B$104,"&lt;="&amp;Cash_Flow!$AB$6)-SUMIFS(Actuals_DropCosts!$H$5:$H$104,Actuals_DropCosts!$A$5:$A$104,A16,Actuals_DropCosts!$B$5:$B$104,"&gt;="&amp;Inputs!$C$10,Actuals_DropCosts!$B$5:$B$104,"&lt;="&amp;Cash_Flow!$AB$6)</f>
        <v>0</v>
      </c>
    </row>
    <row r="17" customFormat="false" ht="15" hidden="false" customHeight="false" outlineLevel="0" collapsed="false">
      <c r="A17" s="30" t="str">
        <f aca="false">Drop_PnL!A17</f>
        <v>DRP-011</v>
      </c>
      <c r="B17" s="18" t="str">
        <f aca="false">Drop_PnL!B17</f>
        <v/>
      </c>
      <c r="C17" s="30" t="str">
        <f aca="false">Drop_PnL!AZ17</f>
        <v>N</v>
      </c>
      <c r="D17" s="19" t="n">
        <f aca="false">SUMIFS(Actuals_Campaigns!$R$5:$R$204,Actuals_Campaigns!$B$5:$B$204,A17)</f>
        <v>0</v>
      </c>
      <c r="E17" s="19" t="n">
        <f aca="false">SUMIFS(Actuals_Campaigns!$T$5:$T$204,Actuals_Campaigns!$B$5:$B$204,A17)</f>
        <v>0</v>
      </c>
      <c r="F17" s="19" t="n">
        <f aca="false">SUMIFS(Actuals_DropCosts!$F$5:$F$104,Actuals_DropCosts!$A$5:$A$104,A17)</f>
        <v>0</v>
      </c>
      <c r="G17" s="19" t="n">
        <f aca="false">SUMIFS(Actuals_DropCosts!$G$5:$G$104,Actuals_DropCosts!$A$5:$A$104,A17)</f>
        <v>0</v>
      </c>
      <c r="H17" s="19" t="n">
        <f aca="false">SUMIFS(Actuals_DropCosts!$H$5:$H$104,Actuals_DropCosts!$A$5:$A$104,A17)</f>
        <v>0</v>
      </c>
      <c r="I17" s="19" t="n">
        <f aca="false">IF(OR(C17="Y",AF17&gt;0,F17+G17+H17&gt;0),Drop_PnL!AM17,0)</f>
        <v>0</v>
      </c>
      <c r="J17" s="37" t="n">
        <f aca="false">SUM(E17:I17)</f>
        <v>0</v>
      </c>
      <c r="K17" s="36" t="n">
        <f aca="false">Hours_Log!R15</f>
        <v>0</v>
      </c>
      <c r="L17" s="36" t="n">
        <f aca="false">Hours_Log!S15</f>
        <v>0</v>
      </c>
      <c r="M17" s="36" t="n">
        <f aca="false">Hours_Log!T15</f>
        <v>0</v>
      </c>
      <c r="N17" s="36" t="n">
        <f aca="false">Hours_Log!U15</f>
        <v>0</v>
      </c>
      <c r="O17" s="36" t="n">
        <f aca="false">Hours_Log!V15</f>
        <v>0</v>
      </c>
      <c r="P17" s="36" t="n">
        <f aca="false">Hours_Log!W15</f>
        <v>0</v>
      </c>
      <c r="Q17" s="36" t="n">
        <f aca="false">Hours_Log!X15</f>
        <v>0</v>
      </c>
      <c r="R17" s="38" t="n">
        <f aca="false">SUM(K17:Q17)</f>
        <v>0</v>
      </c>
      <c r="S17" s="37" t="str">
        <f aca="false">IF(AND(NOT(OR(C17="Y",AF17&gt;0,F17+G17+H17&gt;0)),R17=0),"",D17-J17)</f>
        <v/>
      </c>
      <c r="T17" s="29" t="str">
        <f aca="false">IF(S17="","",IF(R17&gt;0,S17/R17,"n/a"))</f>
        <v/>
      </c>
      <c r="U17" s="24" t="n">
        <f aca="false">SUMIFS(Actuals_Campaigns!$H$5:$H$204,Actuals_Campaigns!$B$5:$B$204,A17)</f>
        <v>0</v>
      </c>
      <c r="V17" s="24" t="n">
        <f aca="false">SUMIFS(Actuals_Campaigns!$I$5:$I$204,Actuals_Campaigns!$B$5:$B$204,A17)</f>
        <v>0</v>
      </c>
      <c r="W17" s="24" t="n">
        <f aca="false">SUMIFS(Actuals_Campaigns!$J$5:$J$204,Actuals_Campaigns!$B$5:$B$204,A17)</f>
        <v>0</v>
      </c>
      <c r="X17" s="24" t="n">
        <f aca="false">SUMIFS(Actuals_Campaigns!$K$5:$K$204,Actuals_Campaigns!$B$5:$B$204,A17)</f>
        <v>0</v>
      </c>
      <c r="Y17" s="24" t="n">
        <f aca="false">SUMIFS(Actuals_Campaigns!$L$5:$L$204,Actuals_Campaigns!$B$5:$B$204,A17)</f>
        <v>0</v>
      </c>
      <c r="Z17" s="24" t="n">
        <f aca="false">SUMIFS(Actuals_Campaigns!$M$5:$M$204,Actuals_Campaigns!$B$5:$B$204,A17)</f>
        <v>0</v>
      </c>
      <c r="AA17" s="24" t="n">
        <f aca="false">SUMIFS(Actuals_Campaigns!$N$5:$N$204,Actuals_Campaigns!$B$5:$B$204,A17)</f>
        <v>0</v>
      </c>
      <c r="AB17" s="24" t="n">
        <f aca="false">SUMIFS(Actuals_Campaigns!$O$5:$O$204,Actuals_Campaigns!$B$5:$B$204,A17)</f>
        <v>0</v>
      </c>
      <c r="AC17" s="24" t="n">
        <f aca="false">SUMIFS(Actuals_Campaigns!$P$5:$P$204,Actuals_Campaigns!$B$5:$B$204,A17)</f>
        <v>0</v>
      </c>
      <c r="AD17" s="24" t="n">
        <f aca="false">SUMIFS(Actuals_Campaigns!$Q$5:$Q$204,Actuals_Campaigns!$B$5:$B$204,A17)</f>
        <v>0</v>
      </c>
      <c r="AE17" s="32" t="s">
        <v>1577</v>
      </c>
      <c r="AF17" s="21" t="n">
        <f aca="false">COUNTIF(Actuals_Campaigns!$B$5:$B$204,A17)</f>
        <v>0</v>
      </c>
      <c r="AG17" s="26" t="str">
        <f aca="false">IF(V17&gt;0,X17/V17,"")</f>
        <v/>
      </c>
      <c r="AH17" s="21" t="str">
        <f aca="false">IF(AF17=0,"",COUNTIFS(Actuals_Campaigns!$B$5:$B$204,A17,Actuals_Campaigns!$AN$5:$AN$204,"&lt;"&amp;Inputs!$C$131))</f>
        <v/>
      </c>
      <c r="AI17" s="21" t="str">
        <f aca="false">IF(AF17=0,"",COUNTIFS(Actuals_Campaigns!$B$5:$B$204,A17,Actuals_Campaigns!$AP$5:$AP$204,"Y")+COUNTIFS(Actuals_Campaigns!$B$5:$B$204,A17,Actuals_Campaigns!$AP$5:$AP$204,"missing"))</f>
        <v/>
      </c>
      <c r="AJ17" s="21" t="str">
        <f aca="false">IF(AF17=0,"",COUNTIFS(Actuals_Campaigns!$B$5:$B$204,A17,Actuals_Campaigns!$V$5:$V$204,"yes"))</f>
        <v/>
      </c>
      <c r="AK17" s="21" t="n">
        <f aca="false">COUNTIFS(Actuals_Campaigns!$B$5:$B$204,A17,Actuals_Campaigns!$W$5:$W$204,"Y")</f>
        <v>0</v>
      </c>
      <c r="AL17" s="21" t="n">
        <f aca="false">COUNTIFS(Actuals_Campaigns!$B$5:$B$204,A17,Actuals_Campaigns!$W$5:$W$204,"N")</f>
        <v>0</v>
      </c>
      <c r="AM17" s="19" t="n">
        <f aca="false">SUMIFS(Actuals_Campaigns!$X$5:$X$204,Actuals_Campaigns!$B$5:$B$204,A17,Actuals_Campaigns!$Y$5:$Y$204,"&gt;="&amp;Inputs!$C$10,Actuals_Campaigns!$Y$5:$Y$204,"&lt;="&amp;Cash_Flow!$AB$6)+SUMIFS(Actuals_Campaigns!$AM$5:$AM$204,Actuals_Campaigns!$B$5:$B$204,A17,Actuals_Campaigns!$S$5:$S$204,"&gt;="&amp;Inputs!$C$10,Actuals_Campaigns!$S$5:$S$204,"&lt;="&amp;Cash_Flow!$AB$6)-SUMIFS(Actuals_Campaigns!$T$5:$T$204,Actuals_Campaigns!$B$5:$B$204,A17,Actuals_Campaigns!$S$5:$S$204,"&gt;="&amp;Inputs!$C$10,Actuals_Campaigns!$S$5:$S$204,"&lt;="&amp;Cash_Flow!$AB$6)-SUMIFS(Actuals_DropCosts!$F$5:$F$104,Actuals_DropCosts!$A$5:$A$104,A17,Actuals_DropCosts!$B$5:$B$104,"&gt;="&amp;Inputs!$C$10,Actuals_DropCosts!$B$5:$B$104,"&lt;="&amp;Cash_Flow!$AB$6)-SUMIFS(Actuals_DropCosts!$G$5:$G$104,Actuals_DropCosts!$A$5:$A$104,A17,Actuals_DropCosts!$B$5:$B$104,"&gt;="&amp;Inputs!$C$10,Actuals_DropCosts!$B$5:$B$104,"&lt;="&amp;Cash_Flow!$AB$6)-SUMIFS(Actuals_DropCosts!$H$5:$H$104,Actuals_DropCosts!$A$5:$A$104,A17,Actuals_DropCosts!$B$5:$B$104,"&gt;="&amp;Inputs!$C$10,Actuals_DropCosts!$B$5:$B$104,"&lt;="&amp;Cash_Flow!$AB$6)</f>
        <v>0</v>
      </c>
    </row>
    <row r="18" customFormat="false" ht="15" hidden="false" customHeight="false" outlineLevel="0" collapsed="false">
      <c r="A18" s="30" t="str">
        <f aca="false">Drop_PnL!A18</f>
        <v>DRP-012</v>
      </c>
      <c r="B18" s="18" t="str">
        <f aca="false">Drop_PnL!B18</f>
        <v/>
      </c>
      <c r="C18" s="30" t="str">
        <f aca="false">Drop_PnL!AZ18</f>
        <v>N</v>
      </c>
      <c r="D18" s="19" t="n">
        <f aca="false">SUMIFS(Actuals_Campaigns!$R$5:$R$204,Actuals_Campaigns!$B$5:$B$204,A18)</f>
        <v>0</v>
      </c>
      <c r="E18" s="19" t="n">
        <f aca="false">SUMIFS(Actuals_Campaigns!$T$5:$T$204,Actuals_Campaigns!$B$5:$B$204,A18)</f>
        <v>0</v>
      </c>
      <c r="F18" s="19" t="n">
        <f aca="false">SUMIFS(Actuals_DropCosts!$F$5:$F$104,Actuals_DropCosts!$A$5:$A$104,A18)</f>
        <v>0</v>
      </c>
      <c r="G18" s="19" t="n">
        <f aca="false">SUMIFS(Actuals_DropCosts!$G$5:$G$104,Actuals_DropCosts!$A$5:$A$104,A18)</f>
        <v>0</v>
      </c>
      <c r="H18" s="19" t="n">
        <f aca="false">SUMIFS(Actuals_DropCosts!$H$5:$H$104,Actuals_DropCosts!$A$5:$A$104,A18)</f>
        <v>0</v>
      </c>
      <c r="I18" s="19" t="n">
        <f aca="false">IF(OR(C18="Y",AF18&gt;0,F18+G18+H18&gt;0),Drop_PnL!AM18,0)</f>
        <v>0</v>
      </c>
      <c r="J18" s="37" t="n">
        <f aca="false">SUM(E18:I18)</f>
        <v>0</v>
      </c>
      <c r="K18" s="36" t="n">
        <f aca="false">Hours_Log!R16</f>
        <v>0</v>
      </c>
      <c r="L18" s="36" t="n">
        <f aca="false">Hours_Log!S16</f>
        <v>0</v>
      </c>
      <c r="M18" s="36" t="n">
        <f aca="false">Hours_Log!T16</f>
        <v>0</v>
      </c>
      <c r="N18" s="36" t="n">
        <f aca="false">Hours_Log!U16</f>
        <v>0</v>
      </c>
      <c r="O18" s="36" t="n">
        <f aca="false">Hours_Log!V16</f>
        <v>0</v>
      </c>
      <c r="P18" s="36" t="n">
        <f aca="false">Hours_Log!W16</f>
        <v>0</v>
      </c>
      <c r="Q18" s="36" t="n">
        <f aca="false">Hours_Log!X16</f>
        <v>0</v>
      </c>
      <c r="R18" s="38" t="n">
        <f aca="false">SUM(K18:Q18)</f>
        <v>0</v>
      </c>
      <c r="S18" s="37" t="str">
        <f aca="false">IF(AND(NOT(OR(C18="Y",AF18&gt;0,F18+G18+H18&gt;0)),R18=0),"",D18-J18)</f>
        <v/>
      </c>
      <c r="T18" s="29" t="str">
        <f aca="false">IF(S18="","",IF(R18&gt;0,S18/R18,"n/a"))</f>
        <v/>
      </c>
      <c r="U18" s="24" t="n">
        <f aca="false">SUMIFS(Actuals_Campaigns!$H$5:$H$204,Actuals_Campaigns!$B$5:$B$204,A18)</f>
        <v>0</v>
      </c>
      <c r="V18" s="24" t="n">
        <f aca="false">SUMIFS(Actuals_Campaigns!$I$5:$I$204,Actuals_Campaigns!$B$5:$B$204,A18)</f>
        <v>0</v>
      </c>
      <c r="W18" s="24" t="n">
        <f aca="false">SUMIFS(Actuals_Campaigns!$J$5:$J$204,Actuals_Campaigns!$B$5:$B$204,A18)</f>
        <v>0</v>
      </c>
      <c r="X18" s="24" t="n">
        <f aca="false">SUMIFS(Actuals_Campaigns!$K$5:$K$204,Actuals_Campaigns!$B$5:$B$204,A18)</f>
        <v>0</v>
      </c>
      <c r="Y18" s="24" t="n">
        <f aca="false">SUMIFS(Actuals_Campaigns!$L$5:$L$204,Actuals_Campaigns!$B$5:$B$204,A18)</f>
        <v>0</v>
      </c>
      <c r="Z18" s="24" t="n">
        <f aca="false">SUMIFS(Actuals_Campaigns!$M$5:$M$204,Actuals_Campaigns!$B$5:$B$204,A18)</f>
        <v>0</v>
      </c>
      <c r="AA18" s="24" t="n">
        <f aca="false">SUMIFS(Actuals_Campaigns!$N$5:$N$204,Actuals_Campaigns!$B$5:$B$204,A18)</f>
        <v>0</v>
      </c>
      <c r="AB18" s="24" t="n">
        <f aca="false">SUMIFS(Actuals_Campaigns!$O$5:$O$204,Actuals_Campaigns!$B$5:$B$204,A18)</f>
        <v>0</v>
      </c>
      <c r="AC18" s="24" t="n">
        <f aca="false">SUMIFS(Actuals_Campaigns!$P$5:$P$204,Actuals_Campaigns!$B$5:$B$204,A18)</f>
        <v>0</v>
      </c>
      <c r="AD18" s="24" t="n">
        <f aca="false">SUMIFS(Actuals_Campaigns!$Q$5:$Q$204,Actuals_Campaigns!$B$5:$B$204,A18)</f>
        <v>0</v>
      </c>
      <c r="AE18" s="32" t="s">
        <v>1577</v>
      </c>
      <c r="AF18" s="21" t="n">
        <f aca="false">COUNTIF(Actuals_Campaigns!$B$5:$B$204,A18)</f>
        <v>0</v>
      </c>
      <c r="AG18" s="26" t="str">
        <f aca="false">IF(V18&gt;0,X18/V18,"")</f>
        <v/>
      </c>
      <c r="AH18" s="21" t="str">
        <f aca="false">IF(AF18=0,"",COUNTIFS(Actuals_Campaigns!$B$5:$B$204,A18,Actuals_Campaigns!$AN$5:$AN$204,"&lt;"&amp;Inputs!$C$131))</f>
        <v/>
      </c>
      <c r="AI18" s="21" t="str">
        <f aca="false">IF(AF18=0,"",COUNTIFS(Actuals_Campaigns!$B$5:$B$204,A18,Actuals_Campaigns!$AP$5:$AP$204,"Y")+COUNTIFS(Actuals_Campaigns!$B$5:$B$204,A18,Actuals_Campaigns!$AP$5:$AP$204,"missing"))</f>
        <v/>
      </c>
      <c r="AJ18" s="21" t="str">
        <f aca="false">IF(AF18=0,"",COUNTIFS(Actuals_Campaigns!$B$5:$B$204,A18,Actuals_Campaigns!$V$5:$V$204,"yes"))</f>
        <v/>
      </c>
      <c r="AK18" s="21" t="n">
        <f aca="false">COUNTIFS(Actuals_Campaigns!$B$5:$B$204,A18,Actuals_Campaigns!$W$5:$W$204,"Y")</f>
        <v>0</v>
      </c>
      <c r="AL18" s="21" t="n">
        <f aca="false">COUNTIFS(Actuals_Campaigns!$B$5:$B$204,A18,Actuals_Campaigns!$W$5:$W$204,"N")</f>
        <v>0</v>
      </c>
      <c r="AM18" s="19" t="n">
        <f aca="false">SUMIFS(Actuals_Campaigns!$X$5:$X$204,Actuals_Campaigns!$B$5:$B$204,A18,Actuals_Campaigns!$Y$5:$Y$204,"&gt;="&amp;Inputs!$C$10,Actuals_Campaigns!$Y$5:$Y$204,"&lt;="&amp;Cash_Flow!$AB$6)+SUMIFS(Actuals_Campaigns!$AM$5:$AM$204,Actuals_Campaigns!$B$5:$B$204,A18,Actuals_Campaigns!$S$5:$S$204,"&gt;="&amp;Inputs!$C$10,Actuals_Campaigns!$S$5:$S$204,"&lt;="&amp;Cash_Flow!$AB$6)-SUMIFS(Actuals_Campaigns!$T$5:$T$204,Actuals_Campaigns!$B$5:$B$204,A18,Actuals_Campaigns!$S$5:$S$204,"&gt;="&amp;Inputs!$C$10,Actuals_Campaigns!$S$5:$S$204,"&lt;="&amp;Cash_Flow!$AB$6)-SUMIFS(Actuals_DropCosts!$F$5:$F$104,Actuals_DropCosts!$A$5:$A$104,A18,Actuals_DropCosts!$B$5:$B$104,"&gt;="&amp;Inputs!$C$10,Actuals_DropCosts!$B$5:$B$104,"&lt;="&amp;Cash_Flow!$AB$6)-SUMIFS(Actuals_DropCosts!$G$5:$G$104,Actuals_DropCosts!$A$5:$A$104,A18,Actuals_DropCosts!$B$5:$B$104,"&gt;="&amp;Inputs!$C$10,Actuals_DropCosts!$B$5:$B$104,"&lt;="&amp;Cash_Flow!$AB$6)-SUMIFS(Actuals_DropCosts!$H$5:$H$104,Actuals_DropCosts!$A$5:$A$104,A18,Actuals_DropCosts!$B$5:$B$104,"&gt;="&amp;Inputs!$C$10,Actuals_DropCosts!$B$5:$B$104,"&lt;="&amp;Cash_Flow!$AB$6)</f>
        <v>0</v>
      </c>
    </row>
  </sheetData>
  <mergeCells count="1">
    <mergeCell ref="A3:T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5"/>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12"/>
    <col collapsed="false" customWidth="true" hidden="false" outlineLevel="0" max="4" min="4" style="0" width="14"/>
    <col collapsed="false" customWidth="true" hidden="false" outlineLevel="0" max="5" min="5" style="0" width="60"/>
  </cols>
  <sheetData>
    <row r="1" customFormat="false" ht="18.55" hidden="false" customHeight="false" outlineLevel="0" collapsed="false">
      <c r="A1" s="1" t="s">
        <v>1578</v>
      </c>
    </row>
    <row r="2" customFormat="false" ht="15" hidden="false" customHeight="false" outlineLevel="0" collapsed="false">
      <c r="A2" s="2" t="s">
        <v>1579</v>
      </c>
    </row>
    <row r="3" customFormat="false" ht="30" hidden="false" customHeight="true" outlineLevel="0" collapsed="false">
      <c r="A3" s="8" t="s">
        <v>1580</v>
      </c>
      <c r="B3" s="8"/>
      <c r="C3" s="8"/>
      <c r="D3" s="8"/>
      <c r="E3" s="8"/>
    </row>
    <row r="4" customFormat="false" ht="30" hidden="false" customHeight="true" outlineLevel="0" collapsed="false">
      <c r="A4" s="12" t="s">
        <v>1581</v>
      </c>
      <c r="B4" s="12" t="s">
        <v>1582</v>
      </c>
      <c r="C4" s="12" t="s">
        <v>366</v>
      </c>
      <c r="D4" s="12" t="s">
        <v>1583</v>
      </c>
      <c r="E4" s="12" t="s">
        <v>1584</v>
      </c>
    </row>
    <row r="5" customFormat="false" ht="15" hidden="false" customHeight="false" outlineLevel="0" collapsed="false">
      <c r="A5" s="30" t="s">
        <v>1585</v>
      </c>
      <c r="B5" s="30" t="n">
        <v>1</v>
      </c>
      <c r="C5" s="18" t="n">
        <f aca="false">EDATE(Inputs!$C$80,B5-1)</f>
        <v>46321</v>
      </c>
      <c r="D5" s="19" t="n">
        <f aca="false">IF(AND(C5&gt;=Inputs!$C$10,C5&lt;=Cash_Flow!$AB$6),Inputs!$C$79,0)</f>
        <v>60</v>
      </c>
      <c r="E5" s="32" t="s">
        <v>1586</v>
      </c>
    </row>
    <row r="6" customFormat="false" ht="15" hidden="false" customHeight="false" outlineLevel="0" collapsed="false">
      <c r="A6" s="30" t="s">
        <v>1585</v>
      </c>
      <c r="B6" s="30" t="n">
        <v>2</v>
      </c>
      <c r="C6" s="18" t="n">
        <f aca="false">EDATE(Inputs!$C$80,B6-1)</f>
        <v>46352</v>
      </c>
      <c r="D6" s="19" t="n">
        <f aca="false">IF(AND(C6&gt;=Inputs!$C$10,C6&lt;=Cash_Flow!$AB$6),Inputs!$C$79,0)</f>
        <v>60</v>
      </c>
      <c r="E6" s="32" t="s">
        <v>1586</v>
      </c>
    </row>
    <row r="7" customFormat="false" ht="15" hidden="false" customHeight="false" outlineLevel="0" collapsed="false">
      <c r="A7" s="30" t="s">
        <v>1585</v>
      </c>
      <c r="B7" s="30" t="n">
        <v>3</v>
      </c>
      <c r="C7" s="18" t="n">
        <f aca="false">EDATE(Inputs!$C$80,B7-1)</f>
        <v>46382</v>
      </c>
      <c r="D7" s="19" t="n">
        <f aca="false">IF(AND(C7&gt;=Inputs!$C$10,C7&lt;=Cash_Flow!$AB$6),Inputs!$C$79,0)</f>
        <v>60</v>
      </c>
      <c r="E7" s="32" t="s">
        <v>1586</v>
      </c>
    </row>
    <row r="8" customFormat="false" ht="15" hidden="false" customHeight="false" outlineLevel="0" collapsed="false">
      <c r="A8" s="30" t="s">
        <v>1585</v>
      </c>
      <c r="B8" s="30" t="n">
        <v>4</v>
      </c>
      <c r="C8" s="18" t="n">
        <f aca="false">EDATE(Inputs!$C$80,B8-1)</f>
        <v>46413</v>
      </c>
      <c r="D8" s="19" t="n">
        <f aca="false">IF(AND(C8&gt;=Inputs!$C$10,C8&lt;=Cash_Flow!$AB$6),Inputs!$C$79,0)</f>
        <v>60</v>
      </c>
      <c r="E8" s="32" t="s">
        <v>1586</v>
      </c>
    </row>
    <row r="9" customFormat="false" ht="15" hidden="false" customHeight="false" outlineLevel="0" collapsed="false">
      <c r="A9" s="30" t="s">
        <v>1585</v>
      </c>
      <c r="B9" s="30" t="n">
        <v>5</v>
      </c>
      <c r="C9" s="18" t="n">
        <f aca="false">EDATE(Inputs!$C$80,B9-1)</f>
        <v>46444</v>
      </c>
      <c r="D9" s="19" t="n">
        <f aca="false">IF(AND(C9&gt;=Inputs!$C$10,C9&lt;=Cash_Flow!$AB$6),Inputs!$C$79,0)</f>
        <v>60</v>
      </c>
      <c r="E9" s="32" t="s">
        <v>1586</v>
      </c>
    </row>
    <row r="10" customFormat="false" ht="15" hidden="false" customHeight="false" outlineLevel="0" collapsed="false">
      <c r="A10" s="30" t="s">
        <v>1585</v>
      </c>
      <c r="B10" s="30" t="n">
        <v>6</v>
      </c>
      <c r="C10" s="18" t="n">
        <f aca="false">EDATE(Inputs!$C$80,B10-1)</f>
        <v>46472</v>
      </c>
      <c r="D10" s="19" t="n">
        <f aca="false">IF(AND(C10&gt;=Inputs!$C$10,C10&lt;=Cash_Flow!$AB$6),Inputs!$C$79,0)</f>
        <v>60</v>
      </c>
      <c r="E10" s="32" t="s">
        <v>1586</v>
      </c>
    </row>
    <row r="11" customFormat="false" ht="15" hidden="false" customHeight="false" outlineLevel="0" collapsed="false">
      <c r="A11" s="30" t="s">
        <v>1585</v>
      </c>
      <c r="B11" s="30" t="n">
        <v>7</v>
      </c>
      <c r="C11" s="18" t="n">
        <f aca="false">EDATE(Inputs!$C$80,B11-1)</f>
        <v>46503</v>
      </c>
      <c r="D11" s="19" t="n">
        <f aca="false">IF(AND(C11&gt;=Inputs!$C$10,C11&lt;=Cash_Flow!$AB$6),Inputs!$C$79,0)</f>
        <v>0</v>
      </c>
      <c r="E11" s="32" t="s">
        <v>1586</v>
      </c>
    </row>
    <row r="12" customFormat="false" ht="15" hidden="false" customHeight="false" outlineLevel="0" collapsed="false">
      <c r="A12" s="30" t="s">
        <v>1585</v>
      </c>
      <c r="B12" s="30" t="n">
        <v>8</v>
      </c>
      <c r="C12" s="18" t="n">
        <f aca="false">EDATE(Inputs!$C$80,B12-1)</f>
        <v>46533</v>
      </c>
      <c r="D12" s="19" t="n">
        <f aca="false">IF(AND(C12&gt;=Inputs!$C$10,C12&lt;=Cash_Flow!$AB$6),Inputs!$C$79,0)</f>
        <v>0</v>
      </c>
      <c r="E12" s="32" t="s">
        <v>1586</v>
      </c>
    </row>
    <row r="13" customFormat="false" ht="15" hidden="false" customHeight="false" outlineLevel="0" collapsed="false">
      <c r="A13" s="30" t="s">
        <v>1585</v>
      </c>
      <c r="B13" s="30" t="n">
        <v>9</v>
      </c>
      <c r="C13" s="18" t="n">
        <f aca="false">EDATE(Inputs!$C$80,B13-1)</f>
        <v>46564</v>
      </c>
      <c r="D13" s="19" t="n">
        <f aca="false">IF(AND(C13&gt;=Inputs!$C$10,C13&lt;=Cash_Flow!$AB$6),Inputs!$C$79,0)</f>
        <v>0</v>
      </c>
      <c r="E13" s="32" t="s">
        <v>1586</v>
      </c>
    </row>
    <row r="14" customFormat="false" ht="15" hidden="false" customHeight="false" outlineLevel="0" collapsed="false">
      <c r="A14" s="30" t="s">
        <v>1585</v>
      </c>
      <c r="B14" s="30" t="n">
        <v>10</v>
      </c>
      <c r="C14" s="18" t="n">
        <f aca="false">EDATE(Inputs!$C$80,B14-1)</f>
        <v>46594</v>
      </c>
      <c r="D14" s="19" t="n">
        <f aca="false">IF(AND(C14&gt;=Inputs!$C$10,C14&lt;=Cash_Flow!$AB$6),Inputs!$C$79,0)</f>
        <v>0</v>
      </c>
      <c r="E14" s="32" t="s">
        <v>1586</v>
      </c>
    </row>
    <row r="15" customFormat="false" ht="15" hidden="false" customHeight="false" outlineLevel="0" collapsed="false">
      <c r="A15" s="30" t="s">
        <v>1585</v>
      </c>
      <c r="B15" s="30" t="n">
        <v>11</v>
      </c>
      <c r="C15" s="18" t="n">
        <f aca="false">EDATE(Inputs!$C$80,B15-1)</f>
        <v>46625</v>
      </c>
      <c r="D15" s="19" t="n">
        <f aca="false">IF(AND(C15&gt;=Inputs!$C$10,C15&lt;=Cash_Flow!$AB$6),Inputs!$C$79,0)</f>
        <v>0</v>
      </c>
      <c r="E15" s="32" t="s">
        <v>1586</v>
      </c>
    </row>
    <row r="16" customFormat="false" ht="15" hidden="false" customHeight="false" outlineLevel="0" collapsed="false">
      <c r="A16" s="30" t="s">
        <v>1585</v>
      </c>
      <c r="B16" s="30" t="n">
        <v>12</v>
      </c>
      <c r="C16" s="18" t="n">
        <f aca="false">EDATE(Inputs!$C$80,B16-1)</f>
        <v>46656</v>
      </c>
      <c r="D16" s="19" t="n">
        <f aca="false">IF(AND(C16&gt;=Inputs!$C$10,C16&lt;=Cash_Flow!$AB$6),Inputs!$C$79,0)</f>
        <v>0</v>
      </c>
      <c r="E16" s="32" t="s">
        <v>1586</v>
      </c>
    </row>
    <row r="17" customFormat="false" ht="15" hidden="false" customHeight="false" outlineLevel="0" collapsed="false">
      <c r="A17" s="30" t="s">
        <v>1587</v>
      </c>
      <c r="B17" s="30" t="n">
        <v>1</v>
      </c>
      <c r="C17" s="18" t="n">
        <f aca="false">IF(Inputs!$C$77="","",EDATE(Inputs!$C$77,B17-1))</f>
        <v>46419</v>
      </c>
      <c r="D17" s="19" t="n">
        <f aca="false">IF(C17="",0,IF(AND(Inputs!$C$75="unit",C17&lt;=Cash_Flow!$AB$6,OR(Inputs!$C$78="",C17&lt;=Inputs!$C$78)),Inputs!$C$76,0))</f>
        <v>150</v>
      </c>
      <c r="E17" s="32" t="s">
        <v>1588</v>
      </c>
    </row>
    <row r="18" customFormat="false" ht="15" hidden="false" customHeight="false" outlineLevel="0" collapsed="false">
      <c r="A18" s="30" t="s">
        <v>1587</v>
      </c>
      <c r="B18" s="30" t="n">
        <v>2</v>
      </c>
      <c r="C18" s="18" t="n">
        <f aca="false">IF(Inputs!$C$77="","",EDATE(Inputs!$C$77,B18-1))</f>
        <v>46447</v>
      </c>
      <c r="D18" s="19" t="n">
        <f aca="false">IF(C18="",0,IF(AND(Inputs!$C$75="unit",C18&lt;=Cash_Flow!$AB$6,OR(Inputs!$C$78="",C18&lt;=Inputs!$C$78)),Inputs!$C$76,0))</f>
        <v>150</v>
      </c>
      <c r="E18" s="32" t="s">
        <v>1588</v>
      </c>
    </row>
    <row r="19" customFormat="false" ht="15" hidden="false" customHeight="false" outlineLevel="0" collapsed="false">
      <c r="A19" s="30" t="s">
        <v>1587</v>
      </c>
      <c r="B19" s="30" t="n">
        <v>3</v>
      </c>
      <c r="C19" s="18" t="n">
        <f aca="false">IF(Inputs!$C$77="","",EDATE(Inputs!$C$77,B19-1))</f>
        <v>46478</v>
      </c>
      <c r="D19" s="19" t="n">
        <f aca="false">IF(C19="",0,IF(AND(Inputs!$C$75="unit",C19&lt;=Cash_Flow!$AB$6,OR(Inputs!$C$78="",C19&lt;=Inputs!$C$78)),Inputs!$C$76,0))</f>
        <v>150</v>
      </c>
      <c r="E19" s="32" t="s">
        <v>1588</v>
      </c>
    </row>
    <row r="20" customFormat="false" ht="15" hidden="false" customHeight="false" outlineLevel="0" collapsed="false">
      <c r="A20" s="30" t="s">
        <v>1587</v>
      </c>
      <c r="B20" s="30" t="n">
        <v>4</v>
      </c>
      <c r="C20" s="18" t="n">
        <f aca="false">IF(Inputs!$C$77="","",EDATE(Inputs!$C$77,B20-1))</f>
        <v>46508</v>
      </c>
      <c r="D20" s="19" t="n">
        <f aca="false">IF(C20="",0,IF(AND(Inputs!$C$75="unit",C20&lt;=Cash_Flow!$AB$6,OR(Inputs!$C$78="",C20&lt;=Inputs!$C$78)),Inputs!$C$76,0))</f>
        <v>0</v>
      </c>
      <c r="E20" s="32" t="s">
        <v>1588</v>
      </c>
    </row>
    <row r="21" customFormat="false" ht="15" hidden="false" customHeight="false" outlineLevel="0" collapsed="false">
      <c r="A21" s="30" t="s">
        <v>1587</v>
      </c>
      <c r="B21" s="30" t="n">
        <v>5</v>
      </c>
      <c r="C21" s="18" t="n">
        <f aca="false">IF(Inputs!$C$77="","",EDATE(Inputs!$C$77,B21-1))</f>
        <v>46539</v>
      </c>
      <c r="D21" s="19" t="n">
        <f aca="false">IF(C21="",0,IF(AND(Inputs!$C$75="unit",C21&lt;=Cash_Flow!$AB$6,OR(Inputs!$C$78="",C21&lt;=Inputs!$C$78)),Inputs!$C$76,0))</f>
        <v>0</v>
      </c>
      <c r="E21" s="32" t="s">
        <v>1588</v>
      </c>
    </row>
    <row r="22" customFormat="false" ht="15" hidden="false" customHeight="false" outlineLevel="0" collapsed="false">
      <c r="A22" s="30" t="s">
        <v>1587</v>
      </c>
      <c r="B22" s="30" t="n">
        <v>6</v>
      </c>
      <c r="C22" s="18" t="n">
        <f aca="false">IF(Inputs!$C$77="","",EDATE(Inputs!$C$77,B22-1))</f>
        <v>46569</v>
      </c>
      <c r="D22" s="19" t="n">
        <f aca="false">IF(C22="",0,IF(AND(Inputs!$C$75="unit",C22&lt;=Cash_Flow!$AB$6,OR(Inputs!$C$78="",C22&lt;=Inputs!$C$78)),Inputs!$C$76,0))</f>
        <v>0</v>
      </c>
      <c r="E22" s="32" t="s">
        <v>1588</v>
      </c>
    </row>
    <row r="23" customFormat="false" ht="15" hidden="false" customHeight="false" outlineLevel="0" collapsed="false">
      <c r="A23" s="30" t="s">
        <v>1587</v>
      </c>
      <c r="B23" s="30" t="n">
        <v>7</v>
      </c>
      <c r="C23" s="18" t="n">
        <f aca="false">IF(Inputs!$C$77="","",EDATE(Inputs!$C$77,B23-1))</f>
        <v>46600</v>
      </c>
      <c r="D23" s="19" t="n">
        <f aca="false">IF(C23="",0,IF(AND(Inputs!$C$75="unit",C23&lt;=Cash_Flow!$AB$6,OR(Inputs!$C$78="",C23&lt;=Inputs!$C$78)),Inputs!$C$76,0))</f>
        <v>0</v>
      </c>
      <c r="E23" s="32" t="s">
        <v>1588</v>
      </c>
    </row>
    <row r="24" customFormat="false" ht="15" hidden="false" customHeight="false" outlineLevel="0" collapsed="false">
      <c r="A24" s="30" t="s">
        <v>1587</v>
      </c>
      <c r="B24" s="30" t="n">
        <v>8</v>
      </c>
      <c r="C24" s="18" t="n">
        <f aca="false">IF(Inputs!$C$77="","",EDATE(Inputs!$C$77,B24-1))</f>
        <v>46631</v>
      </c>
      <c r="D24" s="19" t="n">
        <f aca="false">IF(C24="",0,IF(AND(Inputs!$C$75="unit",C24&lt;=Cash_Flow!$AB$6,OR(Inputs!$C$78="",C24&lt;=Inputs!$C$78)),Inputs!$C$76,0))</f>
        <v>0</v>
      </c>
      <c r="E24" s="32" t="s">
        <v>1588</v>
      </c>
    </row>
    <row r="25" customFormat="false" ht="15" hidden="false" customHeight="false" outlineLevel="0" collapsed="false">
      <c r="A25" s="30" t="s">
        <v>1587</v>
      </c>
      <c r="B25" s="30" t="n">
        <v>9</v>
      </c>
      <c r="C25" s="18" t="n">
        <f aca="false">IF(Inputs!$C$77="","",EDATE(Inputs!$C$77,B25-1))</f>
        <v>46661</v>
      </c>
      <c r="D25" s="19" t="n">
        <f aca="false">IF(C25="",0,IF(AND(Inputs!$C$75="unit",C25&lt;=Cash_Flow!$AB$6,OR(Inputs!$C$78="",C25&lt;=Inputs!$C$78)),Inputs!$C$76,0))</f>
        <v>0</v>
      </c>
      <c r="E25" s="32" t="s">
        <v>1588</v>
      </c>
    </row>
    <row r="26" customFormat="false" ht="15" hidden="false" customHeight="false" outlineLevel="0" collapsed="false">
      <c r="A26" s="30" t="s">
        <v>1587</v>
      </c>
      <c r="B26" s="30" t="n">
        <v>10</v>
      </c>
      <c r="C26" s="18" t="n">
        <f aca="false">IF(Inputs!$C$77="","",EDATE(Inputs!$C$77,B26-1))</f>
        <v>46692</v>
      </c>
      <c r="D26" s="19" t="n">
        <f aca="false">IF(C26="",0,IF(AND(Inputs!$C$75="unit",C26&lt;=Cash_Flow!$AB$6,OR(Inputs!$C$78="",C26&lt;=Inputs!$C$78)),Inputs!$C$76,0))</f>
        <v>0</v>
      </c>
      <c r="E26" s="32" t="s">
        <v>1588</v>
      </c>
    </row>
    <row r="27" customFormat="false" ht="15" hidden="false" customHeight="false" outlineLevel="0" collapsed="false">
      <c r="A27" s="30" t="s">
        <v>1587</v>
      </c>
      <c r="B27" s="30" t="n">
        <v>11</v>
      </c>
      <c r="C27" s="18" t="n">
        <f aca="false">IF(Inputs!$C$77="","",EDATE(Inputs!$C$77,B27-1))</f>
        <v>46722</v>
      </c>
      <c r="D27" s="19" t="n">
        <f aca="false">IF(C27="",0,IF(AND(Inputs!$C$75="unit",C27&lt;=Cash_Flow!$AB$6,OR(Inputs!$C$78="",C27&lt;=Inputs!$C$78)),Inputs!$C$76,0))</f>
        <v>0</v>
      </c>
      <c r="E27" s="32" t="s">
        <v>1588</v>
      </c>
    </row>
    <row r="28" customFormat="false" ht="15" hidden="false" customHeight="false" outlineLevel="0" collapsed="false">
      <c r="A28" s="30" t="s">
        <v>1587</v>
      </c>
      <c r="B28" s="30" t="n">
        <v>12</v>
      </c>
      <c r="C28" s="18" t="n">
        <f aca="false">IF(Inputs!$C$77="","",EDATE(Inputs!$C$77,B28-1))</f>
        <v>46753</v>
      </c>
      <c r="D28" s="19" t="n">
        <f aca="false">IF(C28="",0,IF(AND(Inputs!$C$75="unit",C28&lt;=Cash_Flow!$AB$6,OR(Inputs!$C$78="",C28&lt;=Inputs!$C$78)),Inputs!$C$76,0))</f>
        <v>0</v>
      </c>
      <c r="E28" s="32" t="s">
        <v>1588</v>
      </c>
    </row>
    <row r="29" customFormat="false" ht="15" hidden="false" customHeight="false" outlineLevel="0" collapsed="false">
      <c r="A29" s="30" t="s">
        <v>1589</v>
      </c>
      <c r="B29" s="30" t="n">
        <v>1</v>
      </c>
      <c r="C29" s="18" t="n">
        <f aca="false">EDATE(Inputs!$C$83,B29-1)</f>
        <v>46367</v>
      </c>
      <c r="D29" s="19" t="n">
        <f aca="false">IF(AND(Inputs!$C$82="monthly",C29&lt;=Cash_Flow!$AB$6),Inputs!$C$81,0)</f>
        <v>0</v>
      </c>
      <c r="E29" s="32" t="s">
        <v>1590</v>
      </c>
    </row>
    <row r="30" customFormat="false" ht="15" hidden="false" customHeight="false" outlineLevel="0" collapsed="false">
      <c r="A30" s="30" t="s">
        <v>1589</v>
      </c>
      <c r="B30" s="30" t="n">
        <v>2</v>
      </c>
      <c r="C30" s="18" t="n">
        <f aca="false">EDATE(Inputs!$C$83,B30-1)</f>
        <v>46398</v>
      </c>
      <c r="D30" s="19" t="n">
        <f aca="false">IF(AND(Inputs!$C$82="monthly",C30&lt;=Cash_Flow!$AB$6),Inputs!$C$81,0)</f>
        <v>0</v>
      </c>
      <c r="E30" s="32" t="s">
        <v>1590</v>
      </c>
    </row>
    <row r="31" customFormat="false" ht="15" hidden="false" customHeight="false" outlineLevel="0" collapsed="false">
      <c r="A31" s="30" t="s">
        <v>1589</v>
      </c>
      <c r="B31" s="30" t="n">
        <v>3</v>
      </c>
      <c r="C31" s="18" t="n">
        <f aca="false">EDATE(Inputs!$C$83,B31-1)</f>
        <v>46429</v>
      </c>
      <c r="D31" s="19" t="n">
        <f aca="false">IF(AND(Inputs!$C$82="monthly",C31&lt;=Cash_Flow!$AB$6),Inputs!$C$81,0)</f>
        <v>0</v>
      </c>
      <c r="E31" s="32" t="s">
        <v>1590</v>
      </c>
    </row>
    <row r="32" customFormat="false" ht="15" hidden="false" customHeight="false" outlineLevel="0" collapsed="false">
      <c r="A32" s="30" t="s">
        <v>1589</v>
      </c>
      <c r="B32" s="30" t="n">
        <v>4</v>
      </c>
      <c r="C32" s="18" t="n">
        <f aca="false">EDATE(Inputs!$C$83,B32-1)</f>
        <v>46457</v>
      </c>
      <c r="D32" s="19" t="n">
        <f aca="false">IF(AND(Inputs!$C$82="monthly",C32&lt;=Cash_Flow!$AB$6),Inputs!$C$81,0)</f>
        <v>0</v>
      </c>
      <c r="E32" s="32" t="s">
        <v>1590</v>
      </c>
    </row>
    <row r="33" customFormat="false" ht="15" hidden="false" customHeight="false" outlineLevel="0" collapsed="false">
      <c r="A33" s="30" t="s">
        <v>1589</v>
      </c>
      <c r="B33" s="30" t="n">
        <v>5</v>
      </c>
      <c r="C33" s="18" t="n">
        <f aca="false">EDATE(Inputs!$C$83,B33-1)</f>
        <v>46488</v>
      </c>
      <c r="D33" s="19" t="n">
        <f aca="false">IF(AND(Inputs!$C$82="monthly",C33&lt;=Cash_Flow!$AB$6),Inputs!$C$81,0)</f>
        <v>0</v>
      </c>
      <c r="E33" s="32" t="s">
        <v>1590</v>
      </c>
    </row>
    <row r="34" customFormat="false" ht="15" hidden="false" customHeight="false" outlineLevel="0" collapsed="false">
      <c r="A34" s="30" t="s">
        <v>1589</v>
      </c>
      <c r="B34" s="30" t="n">
        <v>6</v>
      </c>
      <c r="C34" s="18" t="n">
        <f aca="false">EDATE(Inputs!$C$83,B34-1)</f>
        <v>46518</v>
      </c>
      <c r="D34" s="19" t="n">
        <f aca="false">IF(AND(Inputs!$C$82="monthly",C34&lt;=Cash_Flow!$AB$6),Inputs!$C$81,0)</f>
        <v>0</v>
      </c>
      <c r="E34" s="32" t="s">
        <v>1590</v>
      </c>
    </row>
    <row r="35" customFormat="false" ht="15" hidden="false" customHeight="false" outlineLevel="0" collapsed="false">
      <c r="A35" s="30" t="s">
        <v>1589</v>
      </c>
      <c r="B35" s="30" t="n">
        <v>7</v>
      </c>
      <c r="C35" s="18" t="n">
        <f aca="false">EDATE(Inputs!$C$83,B35-1)</f>
        <v>46549</v>
      </c>
      <c r="D35" s="19" t="n">
        <f aca="false">IF(AND(Inputs!$C$82="monthly",C35&lt;=Cash_Flow!$AB$6),Inputs!$C$81,0)</f>
        <v>0</v>
      </c>
      <c r="E35" s="32" t="s">
        <v>1590</v>
      </c>
    </row>
    <row r="36" customFormat="false" ht="15" hidden="false" customHeight="false" outlineLevel="0" collapsed="false">
      <c r="A36" s="30" t="s">
        <v>1589</v>
      </c>
      <c r="B36" s="30" t="n">
        <v>8</v>
      </c>
      <c r="C36" s="18" t="n">
        <f aca="false">EDATE(Inputs!$C$83,B36-1)</f>
        <v>46579</v>
      </c>
      <c r="D36" s="19" t="n">
        <f aca="false">IF(AND(Inputs!$C$82="monthly",C36&lt;=Cash_Flow!$AB$6),Inputs!$C$81,0)</f>
        <v>0</v>
      </c>
      <c r="E36" s="32" t="s">
        <v>1590</v>
      </c>
    </row>
    <row r="37" customFormat="false" ht="15" hidden="false" customHeight="false" outlineLevel="0" collapsed="false">
      <c r="A37" s="30" t="s">
        <v>1589</v>
      </c>
      <c r="B37" s="30" t="n">
        <v>9</v>
      </c>
      <c r="C37" s="18" t="n">
        <f aca="false">EDATE(Inputs!$C$83,B37-1)</f>
        <v>46610</v>
      </c>
      <c r="D37" s="19" t="n">
        <f aca="false">IF(AND(Inputs!$C$82="monthly",C37&lt;=Cash_Flow!$AB$6),Inputs!$C$81,0)</f>
        <v>0</v>
      </c>
      <c r="E37" s="32" t="s">
        <v>1590</v>
      </c>
    </row>
    <row r="38" customFormat="false" ht="15" hidden="false" customHeight="false" outlineLevel="0" collapsed="false">
      <c r="A38" s="30" t="s">
        <v>1589</v>
      </c>
      <c r="B38" s="30" t="n">
        <v>10</v>
      </c>
      <c r="C38" s="18" t="n">
        <f aca="false">EDATE(Inputs!$C$83,B38-1)</f>
        <v>46641</v>
      </c>
      <c r="D38" s="19" t="n">
        <f aca="false">IF(AND(Inputs!$C$82="monthly",C38&lt;=Cash_Flow!$AB$6),Inputs!$C$81,0)</f>
        <v>0</v>
      </c>
      <c r="E38" s="32" t="s">
        <v>1590</v>
      </c>
    </row>
    <row r="39" customFormat="false" ht="15" hidden="false" customHeight="false" outlineLevel="0" collapsed="false">
      <c r="A39" s="30" t="s">
        <v>1589</v>
      </c>
      <c r="B39" s="30" t="n">
        <v>11</v>
      </c>
      <c r="C39" s="18" t="n">
        <f aca="false">EDATE(Inputs!$C$83,B39-1)</f>
        <v>46671</v>
      </c>
      <c r="D39" s="19" t="n">
        <f aca="false">IF(AND(Inputs!$C$82="monthly",C39&lt;=Cash_Flow!$AB$6),Inputs!$C$81,0)</f>
        <v>0</v>
      </c>
      <c r="E39" s="32" t="s">
        <v>1590</v>
      </c>
    </row>
    <row r="40" customFormat="false" ht="15" hidden="false" customHeight="false" outlineLevel="0" collapsed="false">
      <c r="A40" s="30" t="s">
        <v>1589</v>
      </c>
      <c r="B40" s="30" t="n">
        <v>12</v>
      </c>
      <c r="C40" s="18" t="n">
        <f aca="false">EDATE(Inputs!$C$83,B40-1)</f>
        <v>46702</v>
      </c>
      <c r="D40" s="19" t="n">
        <f aca="false">IF(AND(Inputs!$C$82="monthly",C40&lt;=Cash_Flow!$AB$6),Inputs!$C$81,0)</f>
        <v>0</v>
      </c>
      <c r="E40" s="32" t="s">
        <v>1590</v>
      </c>
    </row>
    <row r="41" customFormat="false" ht="15" hidden="false" customHeight="false" outlineLevel="0" collapsed="false">
      <c r="A41" s="30" t="s">
        <v>1589</v>
      </c>
      <c r="B41" s="30" t="s">
        <v>601</v>
      </c>
      <c r="C41" s="18" t="n">
        <f aca="false">Inputs!$C$83</f>
        <v>46367</v>
      </c>
      <c r="D41" s="19" t="n">
        <f aca="false">IF(AND(Inputs!$C$82="annual",C41&lt;=Cash_Flow!$AB$6),Inputs!$C$81*Inputs!$C$20,0)</f>
        <v>1200</v>
      </c>
      <c r="E41" s="32" t="s">
        <v>1591</v>
      </c>
    </row>
    <row r="42" customFormat="false" ht="15" hidden="false" customHeight="false" outlineLevel="0" collapsed="false">
      <c r="A42" s="30" t="s">
        <v>1592</v>
      </c>
      <c r="B42" s="30" t="n">
        <v>1</v>
      </c>
      <c r="C42" s="18" t="n">
        <f aca="false">EDATE(Inputs!$C$10,B42-1)</f>
        <v>46321</v>
      </c>
      <c r="D42" s="19" t="n">
        <f aca="false">IF(C42&lt;=Cash_Flow!$AB$6,Inputs!$C$84,0)</f>
        <v>0</v>
      </c>
      <c r="E42" s="32" t="s">
        <v>1593</v>
      </c>
    </row>
    <row r="43" customFormat="false" ht="15" hidden="false" customHeight="false" outlineLevel="0" collapsed="false">
      <c r="A43" s="30" t="s">
        <v>1592</v>
      </c>
      <c r="B43" s="30" t="n">
        <v>2</v>
      </c>
      <c r="C43" s="18" t="n">
        <f aca="false">EDATE(Inputs!$C$10,B43-1)</f>
        <v>46352</v>
      </c>
      <c r="D43" s="19" t="n">
        <f aca="false">IF(C43&lt;=Cash_Flow!$AB$6,Inputs!$C$84,0)</f>
        <v>0</v>
      </c>
      <c r="E43" s="32" t="s">
        <v>1593</v>
      </c>
    </row>
    <row r="44" customFormat="false" ht="15" hidden="false" customHeight="false" outlineLevel="0" collapsed="false">
      <c r="A44" s="30" t="s">
        <v>1592</v>
      </c>
      <c r="B44" s="30" t="n">
        <v>3</v>
      </c>
      <c r="C44" s="18" t="n">
        <f aca="false">EDATE(Inputs!$C$10,B44-1)</f>
        <v>46382</v>
      </c>
      <c r="D44" s="19" t="n">
        <f aca="false">IF(C44&lt;=Cash_Flow!$AB$6,Inputs!$C$84,0)</f>
        <v>0</v>
      </c>
      <c r="E44" s="32" t="s">
        <v>1593</v>
      </c>
    </row>
    <row r="45" customFormat="false" ht="15" hidden="false" customHeight="false" outlineLevel="0" collapsed="false">
      <c r="A45" s="30" t="s">
        <v>1592</v>
      </c>
      <c r="B45" s="30" t="n">
        <v>4</v>
      </c>
      <c r="C45" s="18" t="n">
        <f aca="false">EDATE(Inputs!$C$10,B45-1)</f>
        <v>46413</v>
      </c>
      <c r="D45" s="19" t="n">
        <f aca="false">IF(C45&lt;=Cash_Flow!$AB$6,Inputs!$C$84,0)</f>
        <v>0</v>
      </c>
      <c r="E45" s="32" t="s">
        <v>1593</v>
      </c>
    </row>
    <row r="46" customFormat="false" ht="15" hidden="false" customHeight="false" outlineLevel="0" collapsed="false">
      <c r="A46" s="30" t="s">
        <v>1592</v>
      </c>
      <c r="B46" s="30" t="n">
        <v>5</v>
      </c>
      <c r="C46" s="18" t="n">
        <f aca="false">EDATE(Inputs!$C$10,B46-1)</f>
        <v>46444</v>
      </c>
      <c r="D46" s="19" t="n">
        <f aca="false">IF(C46&lt;=Cash_Flow!$AB$6,Inputs!$C$84,0)</f>
        <v>0</v>
      </c>
      <c r="E46" s="32" t="s">
        <v>1593</v>
      </c>
    </row>
    <row r="47" customFormat="false" ht="15" hidden="false" customHeight="false" outlineLevel="0" collapsed="false">
      <c r="A47" s="30" t="s">
        <v>1592</v>
      </c>
      <c r="B47" s="30" t="n">
        <v>6</v>
      </c>
      <c r="C47" s="18" t="n">
        <f aca="false">EDATE(Inputs!$C$10,B47-1)</f>
        <v>46472</v>
      </c>
      <c r="D47" s="19" t="n">
        <f aca="false">IF(C47&lt;=Cash_Flow!$AB$6,Inputs!$C$84,0)</f>
        <v>0</v>
      </c>
      <c r="E47" s="32" t="s">
        <v>1593</v>
      </c>
    </row>
    <row r="48" customFormat="false" ht="15" hidden="false" customHeight="false" outlineLevel="0" collapsed="false">
      <c r="A48" s="30" t="s">
        <v>1592</v>
      </c>
      <c r="B48" s="30" t="n">
        <v>7</v>
      </c>
      <c r="C48" s="18" t="n">
        <f aca="false">EDATE(Inputs!$C$10,B48-1)</f>
        <v>46503</v>
      </c>
      <c r="D48" s="19" t="n">
        <f aca="false">IF(C48&lt;=Cash_Flow!$AB$6,Inputs!$C$84,0)</f>
        <v>0</v>
      </c>
      <c r="E48" s="32" t="s">
        <v>1593</v>
      </c>
    </row>
    <row r="49" customFormat="false" ht="15" hidden="false" customHeight="false" outlineLevel="0" collapsed="false">
      <c r="A49" s="30" t="s">
        <v>1592</v>
      </c>
      <c r="B49" s="30" t="n">
        <v>8</v>
      </c>
      <c r="C49" s="18" t="n">
        <f aca="false">EDATE(Inputs!$C$10,B49-1)</f>
        <v>46533</v>
      </c>
      <c r="D49" s="19" t="n">
        <f aca="false">IF(C49&lt;=Cash_Flow!$AB$6,Inputs!$C$84,0)</f>
        <v>0</v>
      </c>
      <c r="E49" s="32" t="s">
        <v>1593</v>
      </c>
    </row>
    <row r="50" customFormat="false" ht="15" hidden="false" customHeight="false" outlineLevel="0" collapsed="false">
      <c r="A50" s="30" t="s">
        <v>1592</v>
      </c>
      <c r="B50" s="30" t="n">
        <v>9</v>
      </c>
      <c r="C50" s="18" t="n">
        <f aca="false">EDATE(Inputs!$C$10,B50-1)</f>
        <v>46564</v>
      </c>
      <c r="D50" s="19" t="n">
        <f aca="false">IF(C50&lt;=Cash_Flow!$AB$6,Inputs!$C$84,0)</f>
        <v>0</v>
      </c>
      <c r="E50" s="32" t="s">
        <v>1593</v>
      </c>
    </row>
    <row r="51" customFormat="false" ht="15" hidden="false" customHeight="false" outlineLevel="0" collapsed="false">
      <c r="A51" s="30" t="s">
        <v>1592</v>
      </c>
      <c r="B51" s="30" t="n">
        <v>10</v>
      </c>
      <c r="C51" s="18" t="n">
        <f aca="false">EDATE(Inputs!$C$10,B51-1)</f>
        <v>46594</v>
      </c>
      <c r="D51" s="19" t="n">
        <f aca="false">IF(C51&lt;=Cash_Flow!$AB$6,Inputs!$C$84,0)</f>
        <v>0</v>
      </c>
      <c r="E51" s="32" t="s">
        <v>1593</v>
      </c>
    </row>
    <row r="52" customFormat="false" ht="15" hidden="false" customHeight="false" outlineLevel="0" collapsed="false">
      <c r="A52" s="30" t="s">
        <v>1592</v>
      </c>
      <c r="B52" s="30" t="n">
        <v>11</v>
      </c>
      <c r="C52" s="18" t="n">
        <f aca="false">EDATE(Inputs!$C$10,B52-1)</f>
        <v>46625</v>
      </c>
      <c r="D52" s="19" t="n">
        <f aca="false">IF(C52&lt;=Cash_Flow!$AB$6,Inputs!$C$84,0)</f>
        <v>0</v>
      </c>
      <c r="E52" s="32" t="s">
        <v>1593</v>
      </c>
    </row>
    <row r="53" customFormat="false" ht="15" hidden="false" customHeight="false" outlineLevel="0" collapsed="false">
      <c r="A53" s="30" t="s">
        <v>1592</v>
      </c>
      <c r="B53" s="30" t="n">
        <v>12</v>
      </c>
      <c r="C53" s="18" t="n">
        <f aca="false">EDATE(Inputs!$C$10,B53-1)</f>
        <v>46656</v>
      </c>
      <c r="D53" s="19" t="n">
        <f aca="false">IF(C53&lt;=Cash_Flow!$AB$6,Inputs!$C$84,0)</f>
        <v>0</v>
      </c>
      <c r="E53" s="32" t="s">
        <v>1593</v>
      </c>
    </row>
    <row r="55" customFormat="false" ht="15" hidden="false" customHeight="false" outlineLevel="0" collapsed="false">
      <c r="A55" s="9" t="s">
        <v>1594</v>
      </c>
      <c r="D55" s="37" t="n">
        <f aca="false">SUMIFS(Cash_Ledger!$D$5:$D$53,Cash_Ledger!$C$5:$C$53,"&gt;="&amp;Inputs!$C$10,Cash_Ledger!$C$5:$C$53,"&lt;="&amp;Cash_Flow!$AB$6)</f>
        <v>2010</v>
      </c>
    </row>
  </sheetData>
  <mergeCells count="1">
    <mergeCell ref="A3:E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8"/>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10"/>
    <col collapsed="false" customWidth="true" hidden="false" outlineLevel="0" max="3" min="3" style="0" width="70"/>
    <col collapsed="false" customWidth="true" hidden="false" outlineLevel="0" max="4" min="4" style="0" width="14"/>
    <col collapsed="false" customWidth="true" hidden="false" outlineLevel="0" max="5" min="5" style="0" width="10"/>
    <col collapsed="false" customWidth="true" hidden="false" outlineLevel="0" max="6" min="6" style="0" width="50"/>
  </cols>
  <sheetData>
    <row r="1" customFormat="false" ht="18.55" hidden="false" customHeight="false" outlineLevel="0" collapsed="false">
      <c r="A1" s="1" t="s">
        <v>1595</v>
      </c>
    </row>
    <row r="2" customFormat="false" ht="15" hidden="false" customHeight="false" outlineLevel="0" collapsed="false">
      <c r="A2" s="2" t="s">
        <v>1596</v>
      </c>
    </row>
    <row r="3" customFormat="false" ht="15" hidden="false" customHeight="false" outlineLevel="0" collapsed="false">
      <c r="C3" s="9" t="s">
        <v>1597</v>
      </c>
      <c r="D3" s="106" t="n">
        <v>0.01</v>
      </c>
    </row>
    <row r="4" customFormat="false" ht="30" hidden="false" customHeight="true" outlineLevel="0" collapsed="false">
      <c r="A4" s="12" t="s">
        <v>1315</v>
      </c>
      <c r="B4" s="12" t="s">
        <v>1598</v>
      </c>
      <c r="C4" s="12" t="s">
        <v>1599</v>
      </c>
      <c r="D4" s="12" t="s">
        <v>232</v>
      </c>
      <c r="E4" s="12" t="s">
        <v>1600</v>
      </c>
      <c r="F4" s="12" t="s">
        <v>1601</v>
      </c>
    </row>
    <row r="5" customFormat="false" ht="15" hidden="false" customHeight="false" outlineLevel="0" collapsed="false">
      <c r="A5" s="30" t="n">
        <v>1</v>
      </c>
      <c r="B5" s="30" t="s">
        <v>1602</v>
      </c>
      <c r="C5" s="7" t="s">
        <v>1603</v>
      </c>
      <c r="D5" s="107" t="n">
        <f aca="false">SUMPRODUCT(ISERROR(Drop_PnL!A7:BJ19)*1)+SUMPRODUCT(ISERROR(Plan_Check!A7:AM17)*1)+SUMPRODUCT(ISERROR(Steady_State!A7:AM18)*1)+SUMPRODUCT(ISERROR(Steady_State!B23:D61)*1)+SUMPRODUCT(ISERROR(Cash_Flow!C5:AC46)*1)+SUMPRODUCT(ISERROR(Cash_Flow!C49:J77)*1)+SUMPRODUCT(ISERROR(Sensitivity!B6:G67)*1)+SUMPRODUCT(ISERROR(Sensitivity!A77:AM77)*1)+SUMPRODUCT(ISERROR(Calculator!A40:AM40)*1)+SUMPRODUCT(ISERROR(Drop_Actuals!A7:AM18)*1)+SUMPRODUCT(ISERROR(Schedule!A7:AJ18)*1)+SUMPRODUCT(ISERROR(Inputs!A5:R175)*1)+SUMPRODUCT(ISERROR(Scenarios!C10:R21)*1)+SUMPRODUCT(ISERROR(Capital!B5:J35)*1)+SUMPRODUCT(ISERROR(Hours_Log!Q5:AA53)*1)+SUMPRODUCT(ISERROR(Pipeline!AG5:AI24)*1)+SUMPRODUCT(ISERROR(Dashboard!C9:C29)*1)+SUMPRODUCT(ISERROR(Dashboard!A31:L100)*1)</f>
        <v>0</v>
      </c>
      <c r="E5" s="22" t="n">
        <f aca="false">IF(D5=0,1,0)</f>
        <v>1</v>
      </c>
      <c r="F5" s="7" t="s">
        <v>1604</v>
      </c>
    </row>
    <row r="6" customFormat="false" ht="15" hidden="false" customHeight="false" outlineLevel="0" collapsed="false">
      <c r="A6" s="30" t="n">
        <v>2</v>
      </c>
      <c r="B6" s="30" t="s">
        <v>1602</v>
      </c>
      <c r="C6" s="7" t="s">
        <v>1605</v>
      </c>
      <c r="D6" s="107" t="n">
        <f aca="false">Cash_Flow!$C$69</f>
        <v>0</v>
      </c>
      <c r="E6" s="22" t="n">
        <f aca="false">IF(ABS(D6)&lt;=$D$3,1,0)</f>
        <v>1</v>
      </c>
      <c r="F6" s="7" t="s">
        <v>1606</v>
      </c>
    </row>
    <row r="7" customFormat="false" ht="15" hidden="false" customHeight="false" outlineLevel="0" collapsed="false">
      <c r="A7" s="30" t="n">
        <v>3</v>
      </c>
      <c r="B7" s="30" t="s">
        <v>1602</v>
      </c>
      <c r="C7" s="7" t="s">
        <v>1607</v>
      </c>
      <c r="D7" s="107" t="n">
        <f aca="false">Cash_Flow!$C$71-Cash_Ledger!$D$55</f>
        <v>0</v>
      </c>
      <c r="E7" s="22" t="n">
        <f aca="false">IF(ABS(D7)&lt;=$D$3,1,0)</f>
        <v>1</v>
      </c>
      <c r="F7" s="7" t="s">
        <v>1608</v>
      </c>
    </row>
    <row r="8" customFormat="false" ht="15" hidden="false" customHeight="false" outlineLevel="0" collapsed="false">
      <c r="A8" s="30" t="n">
        <v>4</v>
      </c>
      <c r="B8" s="30" t="s">
        <v>1602</v>
      </c>
      <c r="C8" s="7" t="s">
        <v>1609</v>
      </c>
      <c r="D8" s="107" t="n">
        <f aca="false">Cash_Flow!$AC$9-(SUMIFS(Drop_PnL!$AP$7:$AP$18,Drop_PnL!$AO$7:$AO$18,"&gt;="&amp;Inputs!$C$10,Drop_PnL!$AO$7:$AO$18,"&lt;="&amp;Cash_Flow!$AB$6,Drop_PnL!$AZ$7:$AZ$18,"N")+SUMIFS(Drop_PnL!$AR$7:$AR$18,Drop_PnL!$AQ$7:$AQ$18,"&gt;="&amp;Inputs!$C$10,Drop_PnL!$AQ$7:$AQ$18,"&lt;="&amp;Cash_Flow!$AB$6,Drop_PnL!$AZ$7:$AZ$18,"N")+SUMIFS(Drop_PnL!$AT$7:$AT$18,Drop_PnL!$AS$7:$AS$18,"&gt;="&amp;Inputs!$C$10,Drop_PnL!$AS$7:$AS$18,"&lt;="&amp;Cash_Flow!$AB$6,Drop_PnL!$AZ$7:$AZ$18,"N"))</f>
        <v>0</v>
      </c>
      <c r="E8" s="22" t="n">
        <f aca="false">IF(ABS(D8)&lt;=$D$3,1,0)</f>
        <v>1</v>
      </c>
      <c r="F8" s="7"/>
    </row>
    <row r="9" customFormat="false" ht="15" hidden="false" customHeight="false" outlineLevel="0" collapsed="false">
      <c r="A9" s="30" t="n">
        <v>5</v>
      </c>
      <c r="B9" s="30" t="s">
        <v>1602</v>
      </c>
      <c r="C9" s="7" t="s">
        <v>1610</v>
      </c>
      <c r="D9" s="107" t="n">
        <f aca="false">SUM(Drop_PnL!$AP$7:$AP$18)+SUM(Drop_PnL!$AR$7:$AR$18)+SUM(Drop_PnL!$AT$7:$AT$18)-SUM(Drop_PnL!$S$7:$S$18)</f>
        <v>0</v>
      </c>
      <c r="E9" s="22" t="n">
        <f aca="false">IF(ABS(D9)&lt;=$D$3,1,0)</f>
        <v>1</v>
      </c>
      <c r="F9" s="7"/>
    </row>
    <row r="10" customFormat="false" ht="15" hidden="false" customHeight="false" outlineLevel="0" collapsed="false">
      <c r="A10" s="30" t="n">
        <v>6</v>
      </c>
      <c r="B10" s="30" t="s">
        <v>1602</v>
      </c>
      <c r="C10" s="7" t="s">
        <v>1611</v>
      </c>
      <c r="D10" s="107" t="n">
        <f aca="false">SUM(Drop_PnL!$AU$7:$AU$18)+SUM(Drop_PnL!$AV$7:$AV$18)+SUM(Drop_PnL!$AW$7:$AW$18)-SUM(Drop_PnL!$W$7:$W$18)</f>
        <v>0</v>
      </c>
      <c r="E10" s="22" t="n">
        <f aca="false">IF(ABS(D10)&lt;=$D$3,1,0)</f>
        <v>1</v>
      </c>
      <c r="F10" s="7"/>
    </row>
    <row r="11" customFormat="false" ht="15" hidden="false" customHeight="false" outlineLevel="0" collapsed="false">
      <c r="A11" s="30" t="n">
        <v>7</v>
      </c>
      <c r="B11" s="30" t="s">
        <v>1602</v>
      </c>
      <c r="C11" s="7" t="s">
        <v>1612</v>
      </c>
      <c r="D11" s="107" t="n">
        <f aca="false">Capital!$G$33</f>
        <v>0</v>
      </c>
      <c r="E11" s="22" t="n">
        <f aca="false">IF(OR(ABS(D11)&lt;=$D$3,COUNTIF(Schedule!$N$7:$N$18,"Y")&gt;0),1,0)</f>
        <v>1</v>
      </c>
      <c r="F11" s="7" t="s">
        <v>1613</v>
      </c>
    </row>
    <row r="12" customFormat="false" ht="15" hidden="false" customHeight="false" outlineLevel="0" collapsed="false">
      <c r="A12" s="30" t="n">
        <v>8</v>
      </c>
      <c r="B12" s="30" t="s">
        <v>1602</v>
      </c>
      <c r="C12" s="7" t="s">
        <v>1614</v>
      </c>
      <c r="D12" s="107" t="n">
        <f aca="false">Sensitivity!$G$9</f>
        <v>0</v>
      </c>
      <c r="E12" s="22" t="n">
        <f aca="false">IF(ABS(D12)&lt;=$D$3,1,0)</f>
        <v>1</v>
      </c>
      <c r="F12" s="7"/>
    </row>
    <row r="13" customFormat="false" ht="15" hidden="false" customHeight="false" outlineLevel="0" collapsed="false">
      <c r="A13" s="30" t="n">
        <v>9</v>
      </c>
      <c r="B13" s="30" t="s">
        <v>1602</v>
      </c>
      <c r="C13" s="7" t="s">
        <v>1615</v>
      </c>
      <c r="D13" s="107" t="n">
        <f aca="false">Sensitivity!$C$71</f>
        <v>0</v>
      </c>
      <c r="E13" s="22" t="n">
        <f aca="false">IF(D13=0,1,0)</f>
        <v>1</v>
      </c>
      <c r="F13" s="7"/>
    </row>
    <row r="14" customFormat="false" ht="15" hidden="false" customHeight="false" outlineLevel="0" collapsed="false">
      <c r="A14" s="30" t="n">
        <v>10</v>
      </c>
      <c r="B14" s="30" t="s">
        <v>1602</v>
      </c>
      <c r="C14" s="7" t="s">
        <v>1616</v>
      </c>
      <c r="D14" s="107" t="n">
        <f aca="false">Sensitivity!$C$72</f>
        <v>0</v>
      </c>
      <c r="E14" s="22" t="n">
        <f aca="false">IF(D14=0,1,0)</f>
        <v>1</v>
      </c>
      <c r="F14" s="7"/>
    </row>
    <row r="15" customFormat="false" ht="15" hidden="false" customHeight="false" outlineLevel="0" collapsed="false">
      <c r="A15" s="30" t="n">
        <v>11</v>
      </c>
      <c r="B15" s="30" t="s">
        <v>1602</v>
      </c>
      <c r="C15" s="7" t="s">
        <v>1617</v>
      </c>
      <c r="D15" s="107" t="n">
        <f aca="false">Sensitivity!$C$73</f>
        <v>0</v>
      </c>
      <c r="E15" s="22" t="n">
        <f aca="false">IF(D15=0,1,0)</f>
        <v>1</v>
      </c>
      <c r="F15" s="7"/>
    </row>
    <row r="16" customFormat="false" ht="15" hidden="false" customHeight="false" outlineLevel="0" collapsed="false">
      <c r="A16" s="30" t="n">
        <v>12</v>
      </c>
      <c r="B16" s="30" t="s">
        <v>1602</v>
      </c>
      <c r="C16" s="7" t="s">
        <v>1618</v>
      </c>
      <c r="D16" s="107" t="n">
        <f aca="false">ABS(Plan_Check!S14)+ABS(Plan_Check!AA14)+ABS(Plan_Check!AI14)+IF(Plan_Check!AK14="n/a",0,1)</f>
        <v>0</v>
      </c>
      <c r="E16" s="22" t="n">
        <f aca="false">IF(D16=0,1,0)</f>
        <v>1</v>
      </c>
      <c r="F16" s="7"/>
    </row>
    <row r="17" customFormat="false" ht="15" hidden="false" customHeight="false" outlineLevel="0" collapsed="false">
      <c r="A17" s="30" t="n">
        <v>13</v>
      </c>
      <c r="B17" s="30" t="s">
        <v>1602</v>
      </c>
      <c r="C17" s="7" t="s">
        <v>1619</v>
      </c>
      <c r="D17" s="107" t="n">
        <f aca="false">IF(ISNUMBER(Plan_Check!AK15),0,1)</f>
        <v>0</v>
      </c>
      <c r="E17" s="22" t="n">
        <f aca="false">IF(D17=0,1,0)</f>
        <v>1</v>
      </c>
      <c r="F17" s="7"/>
    </row>
    <row r="18" customFormat="false" ht="15" hidden="false" customHeight="false" outlineLevel="0" collapsed="false">
      <c r="A18" s="30" t="n">
        <v>14</v>
      </c>
      <c r="B18" s="30" t="s">
        <v>1602</v>
      </c>
      <c r="C18" s="7" t="s">
        <v>1620</v>
      </c>
      <c r="D18" s="107" t="n">
        <f aca="false">Plan_Check!AB16-Plan_Check!G16*Inputs!$C$94</f>
        <v>0</v>
      </c>
      <c r="E18" s="22" t="n">
        <f aca="false">IF(ABS(D18)&lt;=$D$3,1,0)</f>
        <v>1</v>
      </c>
      <c r="F18" s="7"/>
    </row>
    <row r="19" customFormat="false" ht="28.35" hidden="false" customHeight="false" outlineLevel="0" collapsed="false">
      <c r="A19" s="30" t="n">
        <v>15</v>
      </c>
      <c r="B19" s="30" t="s">
        <v>1602</v>
      </c>
      <c r="C19" s="7" t="s">
        <v>1621</v>
      </c>
      <c r="D19" s="107" t="n">
        <f aca="false">Steady_State!$C$50-IF(Inputs!$C$62&gt;0,(Inputs!$C$62*(Inputs!$C$39*Sensitivity!$C$9+Sensitivity!$C$8)*Sensitivity!$C$7-Sensitivity!$C$10-Sensitivity!$C$11*MAX(Inputs!$C$62-1,0))/Inputs!$C$62,0)</f>
        <v>0</v>
      </c>
      <c r="E19" s="22" t="n">
        <f aca="false">IF(ABS(D19)&lt;=$D$3,1,0)</f>
        <v>1</v>
      </c>
      <c r="F19" s="7" t="s">
        <v>1622</v>
      </c>
    </row>
    <row r="20" customFormat="false" ht="28.35" hidden="false" customHeight="false" outlineLevel="0" collapsed="false">
      <c r="A20" s="30" t="n">
        <v>16</v>
      </c>
      <c r="B20" s="30" t="s">
        <v>1602</v>
      </c>
      <c r="C20" s="7" t="s">
        <v>1623</v>
      </c>
      <c r="D20" s="107" t="n">
        <f aca="false">SUM(Drop_PnL!$BI$7:$BI$18)-(Cash_Flow!$AC$11+Cash_Flow!$AC$18)</f>
        <v>0</v>
      </c>
      <c r="E20" s="22" t="n">
        <f aca="false">IF(ABS(D20)&lt;=$D$3,1,0)</f>
        <v>1</v>
      </c>
      <c r="F20" s="7" t="s">
        <v>1624</v>
      </c>
    </row>
    <row r="21" customFormat="false" ht="15" hidden="false" customHeight="false" outlineLevel="0" collapsed="false">
      <c r="A21" s="30" t="n">
        <v>17</v>
      </c>
      <c r="B21" s="30" t="s">
        <v>30</v>
      </c>
      <c r="C21" s="7" t="s">
        <v>1625</v>
      </c>
      <c r="D21" s="107" t="n">
        <f aca="false">COUNTIF(Schedule!$T$7:$T$18,"check")+COUNTIF(Schedule!$T$7:$T$18,"date missing")</f>
        <v>0</v>
      </c>
      <c r="E21" s="22" t="n">
        <f aca="false">IF(D21=0,1,0)</f>
        <v>1</v>
      </c>
      <c r="F21" s="7" t="s">
        <v>1626</v>
      </c>
    </row>
    <row r="22" customFormat="false" ht="55.2" hidden="false" customHeight="false" outlineLevel="0" collapsed="false">
      <c r="A22" s="30" t="n">
        <v>18</v>
      </c>
      <c r="B22" s="30" t="s">
        <v>1627</v>
      </c>
      <c r="C22" s="7" t="s">
        <v>1628</v>
      </c>
      <c r="D22" s="107" t="n">
        <f aca="false">IF(AND(Schedule!E8&lt;&gt;"",Schedule!E7&lt;&gt;""),IF(Schedule!E8&lt;Schedule!E7,1,0),0)+IF(AND(Schedule!E9&lt;&gt;"",Schedule!E8&lt;&gt;""),IF(Schedule!E9&lt;Schedule!E8,1,0),0)+IF(AND(Schedule!E10&lt;&gt;"",Schedule!E9&lt;&gt;""),IF(Schedule!E10&lt;Schedule!E9,1,0),0)+IF(AND(Schedule!E11&lt;&gt;"",Schedule!E10&lt;&gt;""),IF(Schedule!E11&lt;Schedule!E10,1,0),0)+IF(AND(Schedule!E12&lt;&gt;"",Schedule!E11&lt;&gt;""),IF(Schedule!E12&lt;Schedule!E11,1,0),0)+IF(AND(Schedule!E13&lt;&gt;"",Schedule!E12&lt;&gt;""),IF(Schedule!E13&lt;Schedule!E12,1,0),0)+IF(AND(Schedule!E14&lt;&gt;"",Schedule!E13&lt;&gt;""),IF(Schedule!E14&lt;Schedule!E13,1,0),0)+IF(AND(Schedule!E15&lt;&gt;"",Schedule!E14&lt;&gt;""),IF(Schedule!E15&lt;Schedule!E14,1,0),0)+IF(AND(Schedule!E16&lt;&gt;"",Schedule!E15&lt;&gt;""),IF(Schedule!E16&lt;Schedule!E15,1,0),0)+IF(AND(Schedule!E17&lt;&gt;"",Schedule!E16&lt;&gt;""),IF(Schedule!E17&lt;Schedule!E16,1,0),0)+IF(AND(Schedule!E18&lt;&gt;"",Schedule!E17&lt;&gt;""),IF(Schedule!E18&lt;Schedule!E17,1,0),0)</f>
        <v>0</v>
      </c>
      <c r="E22" s="108" t="s">
        <v>279</v>
      </c>
      <c r="F22" s="7" t="s">
        <v>1629</v>
      </c>
    </row>
    <row r="23" customFormat="false" ht="41.75" hidden="false" customHeight="false" outlineLevel="0" collapsed="false">
      <c r="A23" s="30" t="n">
        <v>19</v>
      </c>
      <c r="B23" s="30" t="s">
        <v>30</v>
      </c>
      <c r="C23" s="7" t="s">
        <v>1630</v>
      </c>
      <c r="D23" s="107" t="n">
        <f aca="false">IF(AND(Inputs!$C$10&amp;""&lt;&gt;Inputs!$J$10&amp;"",Inputs!$C$11&amp;""=Inputs!$J$11&amp;"",Inputs!$C$12&amp;""=Inputs!$J$12&amp;"",Inputs!$C$14&amp;""=Inputs!$J$14&amp;"",Inputs!$C$15&amp;""=Inputs!$J$15&amp;"",Schedule!$E$7&amp;""=Schedule!$AL$7&amp;""),1,0)</f>
        <v>0</v>
      </c>
      <c r="E23" s="22" t="n">
        <f aca="false">IF(D23=0,1,0)</f>
        <v>1</v>
      </c>
      <c r="F23" s="7" t="s">
        <v>1631</v>
      </c>
    </row>
    <row r="24" customFormat="false" ht="15" hidden="false" customHeight="false" outlineLevel="0" collapsed="false">
      <c r="A24" s="30" t="n">
        <v>20</v>
      </c>
      <c r="B24" s="30" t="s">
        <v>30</v>
      </c>
      <c r="C24" s="7" t="s">
        <v>1632</v>
      </c>
      <c r="D24" s="107" t="n">
        <f aca="false">MAX(0,SUMPRODUCT((Drop_PnL!D7:D18="founding")*Drop_PnL!O7:O18)-Inputs!$C$46)</f>
        <v>0</v>
      </c>
      <c r="E24" s="22" t="n">
        <f aca="false">IF(D24=0,1,0)</f>
        <v>1</v>
      </c>
      <c r="F24" s="7" t="s">
        <v>1633</v>
      </c>
    </row>
    <row r="25" customFormat="false" ht="15" hidden="false" customHeight="false" outlineLevel="0" collapsed="false">
      <c r="A25" s="30" t="n">
        <v>21</v>
      </c>
      <c r="B25" s="30" t="s">
        <v>30</v>
      </c>
      <c r="C25" s="7" t="s">
        <v>1634</v>
      </c>
      <c r="D25" s="107" t="n">
        <f aca="false">MAX(0,SUM(Drop_PnL!I7:I18)-Inputs!$C$47*SUMPRODUCT((Drop_PnL!D7:D18="founding")*Drop_PnL!O7:O18))</f>
        <v>0</v>
      </c>
      <c r="E25" s="22" t="n">
        <f aca="false">IF(D25=0,1,0)</f>
        <v>1</v>
      </c>
      <c r="F25" s="7"/>
    </row>
    <row r="26" customFormat="false" ht="15" hidden="false" customHeight="false" outlineLevel="0" collapsed="false">
      <c r="A26" s="30" t="n">
        <v>22</v>
      </c>
      <c r="B26" s="30" t="s">
        <v>30</v>
      </c>
      <c r="C26" s="7" t="s">
        <v>1635</v>
      </c>
      <c r="D26" s="107" t="n">
        <f aca="false">IF(ISNUMBER(MATCH(Inputs!$C$129,Schedule!$A$7:$A$18,0)),0,1)</f>
        <v>0</v>
      </c>
      <c r="E26" s="22" t="n">
        <f aca="false">IF(D26=0,1,0)</f>
        <v>1</v>
      </c>
      <c r="F26" s="7"/>
    </row>
    <row r="27" customFormat="false" ht="15" hidden="false" customHeight="false" outlineLevel="0" collapsed="false">
      <c r="A27" s="30" t="n">
        <v>23</v>
      </c>
      <c r="B27" s="30" t="s">
        <v>1636</v>
      </c>
      <c r="C27" s="7" t="s">
        <v>1637</v>
      </c>
      <c r="D27" s="107" t="n">
        <f aca="false">Hours_Log!$Z$50</f>
        <v>0</v>
      </c>
      <c r="E27" s="22" t="n">
        <f aca="false">IF(D27=0,1,0)</f>
        <v>1</v>
      </c>
      <c r="F27" s="7"/>
    </row>
    <row r="28" customFormat="false" ht="15" hidden="false" customHeight="false" outlineLevel="0" collapsed="false">
      <c r="A28" s="30" t="n">
        <v>24</v>
      </c>
      <c r="B28" s="30" t="s">
        <v>1636</v>
      </c>
      <c r="C28" s="7" t="s">
        <v>1638</v>
      </c>
      <c r="D28" s="107" t="n">
        <f aca="false">Hours_Log!$Z$51</f>
        <v>0</v>
      </c>
      <c r="E28" s="22" t="n">
        <f aca="false">IF(D28=0,1,0)</f>
        <v>1</v>
      </c>
      <c r="F28" s="7"/>
    </row>
    <row r="29" customFormat="false" ht="15" hidden="false" customHeight="false" outlineLevel="0" collapsed="false">
      <c r="A29" s="30" t="n">
        <v>25</v>
      </c>
      <c r="B29" s="30" t="s">
        <v>1636</v>
      </c>
      <c r="C29" s="7" t="s">
        <v>1639</v>
      </c>
      <c r="D29" s="107" t="n">
        <f aca="false">Toggl_Import!$AL$10+Toggl_Import!$AL$11</f>
        <v>0</v>
      </c>
      <c r="E29" s="22" t="n">
        <f aca="false">IF(D29=0,1,0)</f>
        <v>1</v>
      </c>
      <c r="F29" s="7"/>
    </row>
    <row r="30" customFormat="false" ht="15" hidden="false" customHeight="false" outlineLevel="0" collapsed="false">
      <c r="A30" s="30" t="n">
        <v>26</v>
      </c>
      <c r="B30" s="30" t="s">
        <v>1636</v>
      </c>
      <c r="C30" s="7" t="s">
        <v>1640</v>
      </c>
      <c r="D30" s="107" t="n">
        <f aca="false">Pipeline!$AH$22+Pipeline!$AH$23</f>
        <v>0</v>
      </c>
      <c r="E30" s="22" t="n">
        <f aca="false">IF(D30=0,1,0)</f>
        <v>1</v>
      </c>
      <c r="F30" s="7"/>
    </row>
    <row r="31" customFormat="false" ht="15" hidden="false" customHeight="false" outlineLevel="0" collapsed="false">
      <c r="A31" s="30" t="n">
        <v>27</v>
      </c>
      <c r="B31" s="30" t="s">
        <v>1636</v>
      </c>
      <c r="C31" s="7" t="s">
        <v>1641</v>
      </c>
      <c r="D31" s="107" t="n">
        <f aca="false">COUNTIF(Actuals_Campaigns!$AL$5:$AL$204,"not in schedule")</f>
        <v>0</v>
      </c>
      <c r="E31" s="22" t="n">
        <f aca="false">IF(D31=0,1,0)</f>
        <v>1</v>
      </c>
      <c r="F31" s="7"/>
    </row>
    <row r="32" customFormat="false" ht="15" hidden="false" customHeight="false" outlineLevel="0" collapsed="false">
      <c r="A32" s="30" t="n">
        <v>28</v>
      </c>
      <c r="B32" s="30" t="s">
        <v>1636</v>
      </c>
      <c r="C32" s="7" t="s">
        <v>1642</v>
      </c>
      <c r="D32" s="107" t="n">
        <f aca="false">COUNTIF(Actuals_DropCosts!$U$5:$U$104,"not in schedule")</f>
        <v>0</v>
      </c>
      <c r="E32" s="22" t="n">
        <f aca="false">IF(D32=0,1,0)</f>
        <v>1</v>
      </c>
      <c r="F32" s="7"/>
    </row>
    <row r="33" customFormat="false" ht="28.35" hidden="false" customHeight="false" outlineLevel="0" collapsed="false">
      <c r="A33" s="30" t="n">
        <v>29</v>
      </c>
      <c r="B33" s="30" t="s">
        <v>1636</v>
      </c>
      <c r="C33" s="7" t="s">
        <v>1643</v>
      </c>
      <c r="D33" s="107" t="n">
        <f aca="false">SUMPRODUCT((Actuals_Campaigns!$A$4:$Z$4&lt;&gt;Lists!$B$34:$AA$34)*1)+COUNTA(Actuals_Campaigns!$AA$4:$AK$204)</f>
        <v>0</v>
      </c>
      <c r="E33" s="22" t="n">
        <f aca="false">IF(D33=0,1,0)</f>
        <v>1</v>
      </c>
      <c r="F33" s="7" t="s">
        <v>1644</v>
      </c>
    </row>
    <row r="34" customFormat="false" ht="28.35" hidden="false" customHeight="false" outlineLevel="0" collapsed="false">
      <c r="A34" s="30" t="n">
        <v>30</v>
      </c>
      <c r="B34" s="30" t="s">
        <v>1636</v>
      </c>
      <c r="C34" s="7" t="s">
        <v>1645</v>
      </c>
      <c r="D34" s="107" t="n">
        <f aca="false">SUMPRODUCT((Actuals_DropCosts!$A$4:$I$4&lt;&gt;Lists!$B$35:$J$35)*1)+COUNTA(Actuals_DropCosts!$J$4:$T$104)</f>
        <v>0</v>
      </c>
      <c r="E34" s="22" t="n">
        <f aca="false">IF(D34=0,1,0)</f>
        <v>1</v>
      </c>
      <c r="F34" s="7"/>
    </row>
    <row r="35" customFormat="false" ht="28.35" hidden="false" customHeight="false" outlineLevel="0" collapsed="false">
      <c r="A35" s="30" t="n">
        <v>31</v>
      </c>
      <c r="B35" s="30" t="s">
        <v>1636</v>
      </c>
      <c r="C35" s="7" t="s">
        <v>1646</v>
      </c>
      <c r="D35" s="107" t="n">
        <f aca="false">SUMPRODUCT((Hours_Log!$A$4:$F$4&lt;&gt;Lists!$B$36:$G$36)*1)+COUNTA(Hours_Log!$G$4:$P$1004)</f>
        <v>0</v>
      </c>
      <c r="E35" s="22" t="n">
        <f aca="false">IF(D35=0,1,0)</f>
        <v>1</v>
      </c>
      <c r="F35" s="7"/>
    </row>
    <row r="36" customFormat="false" ht="28.35" hidden="false" customHeight="false" outlineLevel="0" collapsed="false">
      <c r="A36" s="30" t="n">
        <v>32</v>
      </c>
      <c r="B36" s="30" t="s">
        <v>1636</v>
      </c>
      <c r="C36" s="7" t="s">
        <v>1647</v>
      </c>
      <c r="D36" s="107" t="n">
        <f aca="false">SUMPRODUCT((Pipeline!$A$4:$I$4&lt;&gt;Lists!$B$37:$J$37)*1)+COUNTA(Pipeline!$J$4:$S$1004)</f>
        <v>0</v>
      </c>
      <c r="E36" s="22" t="n">
        <f aca="false">IF(D36=0,1,0)</f>
        <v>1</v>
      </c>
      <c r="F36" s="7"/>
    </row>
    <row r="37" customFormat="false" ht="41.75" hidden="false" customHeight="false" outlineLevel="0" collapsed="false">
      <c r="A37" s="30" t="n">
        <v>33</v>
      </c>
      <c r="B37" s="30" t="s">
        <v>1636</v>
      </c>
      <c r="C37" s="7" t="s">
        <v>1648</v>
      </c>
      <c r="D37" s="107" t="n">
        <f aca="false">COUNTA(Actuals_Campaigns!$C$5:$C$204)-COUNT(Actuals_Campaigns!$C$5:$C$204)+COUNTA(Actuals_Campaigns!$G$5:$U$204)-COUNT(Actuals_Campaigns!$G$5:$U$204)+COUNTA(Actuals_Campaigns!$X$5:$Z$204)-COUNT(Actuals_Campaigns!$X$5:$Z$204)</f>
        <v>0</v>
      </c>
      <c r="E37" s="22" t="n">
        <f aca="false">IF(D37=0,1,0)</f>
        <v>1</v>
      </c>
      <c r="F37" s="7" t="s">
        <v>1649</v>
      </c>
    </row>
    <row r="38" customFormat="false" ht="15" hidden="false" customHeight="false" outlineLevel="0" collapsed="false">
      <c r="A38" s="30" t="n">
        <v>34</v>
      </c>
      <c r="B38" s="30" t="s">
        <v>1636</v>
      </c>
      <c r="C38" s="7" t="s">
        <v>1650</v>
      </c>
      <c r="D38" s="107" t="n">
        <f aca="false">COUNTA(Actuals_DropCosts!$B$5:$B$104)-COUNT(Actuals_DropCosts!$B$5:$B$104)+COUNTA(Actuals_DropCosts!$D$5:$H$104)-COUNT(Actuals_DropCosts!$D$5:$H$104)</f>
        <v>0</v>
      </c>
      <c r="E38" s="22" t="n">
        <f aca="false">IF(D38=0,1,0)</f>
        <v>1</v>
      </c>
      <c r="F38" s="7"/>
    </row>
    <row r="39" customFormat="false" ht="15" hidden="false" customHeight="false" outlineLevel="0" collapsed="false">
      <c r="A39" s="30" t="n">
        <v>35</v>
      </c>
      <c r="B39" s="30" t="s">
        <v>1636</v>
      </c>
      <c r="C39" s="7" t="s">
        <v>1651</v>
      </c>
      <c r="D39" s="107" t="n">
        <f aca="false">COUNTA(Hours_Log!$A$5:$A$1004)-COUNT(Hours_Log!$A$5:$A$1004)+COUNTA(Hours_Log!$E$5:$E$1004)-COUNT(Hours_Log!$E$5:$E$1004)</f>
        <v>0</v>
      </c>
      <c r="E39" s="22" t="n">
        <f aca="false">IF(D39=0,1,0)</f>
        <v>1</v>
      </c>
      <c r="F39" s="7"/>
    </row>
    <row r="40" customFormat="false" ht="15" hidden="false" customHeight="false" outlineLevel="0" collapsed="false">
      <c r="A40" s="30" t="n">
        <v>36</v>
      </c>
      <c r="B40" s="30" t="s">
        <v>1636</v>
      </c>
      <c r="C40" s="7" t="s">
        <v>1652</v>
      </c>
      <c r="D40" s="107" t="n">
        <f aca="false">COUNTA(Pipeline!$A$5:$A$1004)-COUNT(Pipeline!$A$5:$A$1004)+COUNTA(Pipeline!$F$5:$F$1004)-COUNT(Pipeline!$F$5:$F$1004)</f>
        <v>0</v>
      </c>
      <c r="E40" s="22" t="n">
        <f aca="false">IF(D40=0,1,0)</f>
        <v>1</v>
      </c>
      <c r="F40" s="7"/>
    </row>
    <row r="41" customFormat="false" ht="15" hidden="false" customHeight="false" outlineLevel="0" collapsed="false">
      <c r="A41" s="30" t="n">
        <v>37</v>
      </c>
      <c r="B41" s="30" t="s">
        <v>1653</v>
      </c>
      <c r="C41" s="7" t="s">
        <v>1654</v>
      </c>
      <c r="D41" s="107" t="n">
        <f aca="false">COUNTIF(Plan_Check!$AX$7:$AX$13,"differs")</f>
        <v>0</v>
      </c>
      <c r="E41" s="22" t="n">
        <f aca="false">IF(D41=0,1,0)</f>
        <v>1</v>
      </c>
      <c r="F41" s="7" t="s">
        <v>1655</v>
      </c>
    </row>
    <row r="42" customFormat="false" ht="15" hidden="false" customHeight="false" outlineLevel="0" collapsed="false">
      <c r="A42" s="30" t="n">
        <v>38</v>
      </c>
      <c r="B42" s="30" t="s">
        <v>1653</v>
      </c>
      <c r="C42" s="7" t="s">
        <v>1656</v>
      </c>
      <c r="D42" s="107" t="n">
        <f aca="false">COUNTIF(Plan_Check!$J$22:$J$29,"no")</f>
        <v>0</v>
      </c>
      <c r="E42" s="22" t="n">
        <f aca="false">IF(D42=0,1,0)</f>
        <v>1</v>
      </c>
      <c r="F42" s="7" t="s">
        <v>1655</v>
      </c>
    </row>
    <row r="43" customFormat="false" ht="28.35" hidden="false" customHeight="false" outlineLevel="0" collapsed="false">
      <c r="A43" s="30" t="n">
        <v>39</v>
      </c>
      <c r="B43" s="30" t="s">
        <v>1653</v>
      </c>
      <c r="C43" s="7" t="s">
        <v>1657</v>
      </c>
      <c r="D43" s="107" t="n">
        <f aca="false">COUNTIF(Plan_Check!$G$34:$G$58,"differs: see reason")-COUNTIF(Plan_Check!G43:G43,"differs: see reason")-COUNTIF(Plan_Check!G58:G58,"differs: see reason")</f>
        <v>0</v>
      </c>
      <c r="E43" s="22" t="n">
        <f aca="false">IF(D43=0,1,0)</f>
        <v>1</v>
      </c>
      <c r="F43" s="7" t="s">
        <v>1658</v>
      </c>
    </row>
    <row r="45" customFormat="false" ht="15" hidden="false" customHeight="false" outlineLevel="0" collapsed="false">
      <c r="C45" s="9" t="s">
        <v>1659</v>
      </c>
      <c r="D45" s="22" t="n">
        <f aca="false">COUNTIFS(B5:B43,"Integrity",E5:E43,0)+COUNTIFS(B5:B43,"Schedule",E5:E43,0)</f>
        <v>0</v>
      </c>
    </row>
    <row r="46" customFormat="false" ht="15" hidden="false" customHeight="false" outlineLevel="0" collapsed="false">
      <c r="C46" s="9" t="s">
        <v>1660</v>
      </c>
      <c r="D46" s="22" t="n">
        <f aca="false">COUNTIFS(B5:B43,"Data",E5:E43,0)</f>
        <v>0</v>
      </c>
    </row>
    <row r="47" customFormat="false" ht="15" hidden="false" customHeight="false" outlineLevel="0" collapsed="false">
      <c r="C47" s="9" t="s">
        <v>1661</v>
      </c>
      <c r="D47" s="22" t="n">
        <f aca="false">COUNTIFS(B5:B43,"Plan",E5:E43,0)</f>
        <v>0</v>
      </c>
    </row>
    <row r="48" customFormat="false" ht="15" hidden="false" customHeight="false" outlineLevel="0" collapsed="false">
      <c r="C48" s="9" t="s">
        <v>1662</v>
      </c>
      <c r="D48" s="22" t="n">
        <f aca="false">COUNT(E5:E43)</f>
        <v>38</v>
      </c>
    </row>
  </sheetData>
  <conditionalFormatting sqref="E5:E43">
    <cfRule type="cellIs" priority="2" operator="equal" aboveAverage="0" equalAverage="0" bottom="0" percent="0" rank="0" text="" dxfId="5">
      <formula>1</formula>
    </cfRule>
    <cfRule type="cellIs" priority="3" operator="equal" aboveAverage="0" equalAverage="0" bottom="0" percent="0" rank="0" text="" dxfId="9">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37"/>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1"/>
    <col collapsed="false" customWidth="true" hidden="false" outlineLevel="0" max="3" min="3" style="0" width="21"/>
    <col collapsed="false" customWidth="true" hidden="false" outlineLevel="0" max="4" min="4" style="0" width="32"/>
    <col collapsed="false" customWidth="true" hidden="false" outlineLevel="0" max="5" min="5" style="0" width="8"/>
    <col collapsed="false" customWidth="true" hidden="false" outlineLevel="0" max="6" min="6" style="0" width="11"/>
    <col collapsed="false" customWidth="true" hidden="false" outlineLevel="0" max="7" min="7" style="0" width="9"/>
    <col collapsed="false" customWidth="true" hidden="false" outlineLevel="0" max="8" min="8" style="0" width="17"/>
    <col collapsed="false" customWidth="true" hidden="false" outlineLevel="0" max="9" min="9" style="0" width="15"/>
    <col collapsed="false" customWidth="true" hidden="false" outlineLevel="0" max="10" min="10" style="0" width="10"/>
    <col collapsed="false" customWidth="true" hidden="false" outlineLevel="0" max="11" min="11" style="0" width="14"/>
    <col collapsed="false" customWidth="true" hidden="false" outlineLevel="0" max="12" min="12" style="0" width="16"/>
    <col collapsed="false" customWidth="true" hidden="false" outlineLevel="0" max="14" min="14" style="0" width="13"/>
    <col collapsed="false" customWidth="true" hidden="false" outlineLevel="0" max="15" min="15" style="0" width="34"/>
    <col collapsed="false" customWidth="true" hidden="false" outlineLevel="0" max="18" min="17" style="0" width="13"/>
    <col collapsed="false" customWidth="true" hidden="false" outlineLevel="0" max="19" min="19" style="0" width="52"/>
    <col collapsed="false" customWidth="true" hidden="false" outlineLevel="0" max="21" min="21" style="0" width="30"/>
    <col collapsed="false" customWidth="true" hidden="false" outlineLevel="0" max="22" min="22" style="0" width="6"/>
    <col collapsed="false" customWidth="true" hidden="false" outlineLevel="0" max="24" min="24" style="0" width="24"/>
    <col collapsed="false" customWidth="true" hidden="false" outlineLevel="0" max="25" min="25" style="0" width="60"/>
  </cols>
  <sheetData>
    <row r="1" customFormat="false" ht="18.55" hidden="false" customHeight="false" outlineLevel="0" collapsed="false">
      <c r="A1" s="1" t="s">
        <v>60</v>
      </c>
    </row>
    <row r="2" customFormat="false" ht="15" hidden="false" customHeight="false" outlineLevel="0" collapsed="false">
      <c r="A2" s="2" t="s">
        <v>1663</v>
      </c>
    </row>
    <row r="3" customFormat="false" ht="30" hidden="false" customHeight="true" outlineLevel="0" collapsed="false">
      <c r="A3" s="93" t="s">
        <v>1529</v>
      </c>
      <c r="B3" s="93" t="s">
        <v>1530</v>
      </c>
      <c r="C3" s="93" t="s">
        <v>1452</v>
      </c>
      <c r="D3" s="93" t="s">
        <v>1664</v>
      </c>
      <c r="E3" s="93" t="s">
        <v>1665</v>
      </c>
      <c r="F3" s="93" t="s">
        <v>1666</v>
      </c>
      <c r="G3" s="93" t="s">
        <v>1483</v>
      </c>
      <c r="H3" s="93" t="s">
        <v>1486</v>
      </c>
      <c r="I3" s="93" t="s">
        <v>1667</v>
      </c>
      <c r="J3" s="93" t="s">
        <v>1547</v>
      </c>
      <c r="K3" s="93" t="s">
        <v>570</v>
      </c>
      <c r="L3" s="93" t="s">
        <v>599</v>
      </c>
      <c r="N3" s="93" t="s">
        <v>1668</v>
      </c>
      <c r="O3" s="93" t="s">
        <v>1669</v>
      </c>
      <c r="Q3" s="93" t="s">
        <v>1670</v>
      </c>
      <c r="R3" s="93" t="s">
        <v>1671</v>
      </c>
      <c r="S3" s="93" t="s">
        <v>1672</v>
      </c>
      <c r="U3" s="93" t="s">
        <v>1673</v>
      </c>
      <c r="X3" s="93" t="s">
        <v>1674</v>
      </c>
    </row>
    <row r="4" customFormat="false" ht="15" hidden="false" customHeight="false" outlineLevel="0" collapsed="false">
      <c r="A4" s="30" t="s">
        <v>672</v>
      </c>
      <c r="B4" s="30" t="s">
        <v>980</v>
      </c>
      <c r="C4" s="30" t="s">
        <v>1306</v>
      </c>
      <c r="D4" s="30" t="s">
        <v>1675</v>
      </c>
      <c r="E4" s="30" t="s">
        <v>805</v>
      </c>
      <c r="F4" s="30" t="s">
        <v>451</v>
      </c>
      <c r="G4" s="30" t="s">
        <v>1676</v>
      </c>
      <c r="H4" s="30" t="s">
        <v>1677</v>
      </c>
      <c r="I4" s="30" t="s">
        <v>1678</v>
      </c>
      <c r="J4" s="30" t="s">
        <v>805</v>
      </c>
      <c r="K4" s="30" t="s">
        <v>572</v>
      </c>
      <c r="L4" s="30" t="s">
        <v>601</v>
      </c>
      <c r="N4" s="18" t="n">
        <v>46337</v>
      </c>
      <c r="O4" s="30" t="s">
        <v>1679</v>
      </c>
      <c r="Q4" s="18" t="n">
        <v>46374</v>
      </c>
      <c r="R4" s="18" t="n">
        <v>46387</v>
      </c>
      <c r="S4" s="30" t="s">
        <v>1680</v>
      </c>
      <c r="U4" s="30" t="s">
        <v>1681</v>
      </c>
      <c r="V4" s="30" t="n">
        <v>3</v>
      </c>
      <c r="X4" s="30" t="s">
        <v>1682</v>
      </c>
      <c r="Y4" s="32" t="s">
        <v>1683</v>
      </c>
    </row>
    <row r="5" customFormat="false" ht="15" hidden="false" customHeight="false" outlineLevel="0" collapsed="false">
      <c r="A5" s="30" t="s">
        <v>674</v>
      </c>
      <c r="B5" s="30" t="s">
        <v>984</v>
      </c>
      <c r="C5" s="30" t="s">
        <v>1307</v>
      </c>
      <c r="D5" s="30" t="s">
        <v>1684</v>
      </c>
      <c r="E5" s="30" t="s">
        <v>822</v>
      </c>
      <c r="F5" s="30" t="s">
        <v>879</v>
      </c>
      <c r="G5" s="30" t="s">
        <v>1685</v>
      </c>
      <c r="H5" s="30" t="s">
        <v>1686</v>
      </c>
      <c r="I5" s="30" t="s">
        <v>1687</v>
      </c>
      <c r="J5" s="30" t="s">
        <v>822</v>
      </c>
      <c r="K5" s="30" t="s">
        <v>1688</v>
      </c>
      <c r="L5" s="30" t="s">
        <v>1689</v>
      </c>
      <c r="N5" s="18" t="n">
        <v>46352</v>
      </c>
      <c r="O5" s="30" t="s">
        <v>1690</v>
      </c>
      <c r="Q5" s="18" t="n">
        <v>46573</v>
      </c>
      <c r="R5" s="18" t="n">
        <v>46577</v>
      </c>
      <c r="S5" s="30" t="s">
        <v>1691</v>
      </c>
      <c r="U5" s="30" t="s">
        <v>1692</v>
      </c>
      <c r="V5" s="30" t="n">
        <v>4</v>
      </c>
    </row>
    <row r="6" customFormat="false" ht="15" hidden="false" customHeight="false" outlineLevel="0" collapsed="false">
      <c r="A6" s="30" t="s">
        <v>676</v>
      </c>
      <c r="C6" s="30" t="s">
        <v>1308</v>
      </c>
      <c r="D6" s="30" t="s">
        <v>1693</v>
      </c>
      <c r="F6" s="30" t="s">
        <v>880</v>
      </c>
      <c r="H6" s="30" t="s">
        <v>1694</v>
      </c>
      <c r="I6" s="30" t="s">
        <v>1695</v>
      </c>
      <c r="J6" s="30" t="s">
        <v>1696</v>
      </c>
      <c r="N6" s="18" t="n">
        <v>46381</v>
      </c>
      <c r="O6" s="30" t="s">
        <v>1697</v>
      </c>
      <c r="Q6" s="18" t="n">
        <v>46617</v>
      </c>
      <c r="R6" s="18" t="n">
        <v>46630</v>
      </c>
      <c r="S6" s="30" t="s">
        <v>1698</v>
      </c>
    </row>
    <row r="7" customFormat="false" ht="15" hidden="false" customHeight="false" outlineLevel="0" collapsed="false">
      <c r="C7" s="30" t="s">
        <v>1309</v>
      </c>
      <c r="D7" s="30" t="s">
        <v>1699</v>
      </c>
      <c r="F7" s="30" t="s">
        <v>881</v>
      </c>
      <c r="H7" s="30" t="s">
        <v>1700</v>
      </c>
      <c r="N7" s="18" t="n">
        <v>46388</v>
      </c>
      <c r="O7" s="30" t="s">
        <v>1701</v>
      </c>
      <c r="Q7" s="18" t="n">
        <v>46739</v>
      </c>
      <c r="R7" s="18" t="n">
        <v>46752</v>
      </c>
      <c r="S7" s="30" t="s">
        <v>1702</v>
      </c>
    </row>
    <row r="8" customFormat="false" ht="15" hidden="false" customHeight="false" outlineLevel="0" collapsed="false">
      <c r="C8" s="30" t="s">
        <v>1310</v>
      </c>
      <c r="D8" s="30" t="s">
        <v>1703</v>
      </c>
      <c r="F8" s="30" t="s">
        <v>882</v>
      </c>
      <c r="H8" s="30" t="s">
        <v>1704</v>
      </c>
      <c r="N8" s="18" t="n">
        <v>46405</v>
      </c>
      <c r="O8" s="30" t="s">
        <v>1705</v>
      </c>
      <c r="Q8" s="57"/>
      <c r="R8" s="57"/>
    </row>
    <row r="9" customFormat="false" ht="15" hidden="false" customHeight="false" outlineLevel="0" collapsed="false">
      <c r="C9" s="30" t="s">
        <v>1311</v>
      </c>
      <c r="D9" s="30" t="s">
        <v>1706</v>
      </c>
      <c r="H9" s="30" t="s">
        <v>1707</v>
      </c>
      <c r="N9" s="18" t="n">
        <v>46433</v>
      </c>
      <c r="O9" s="30" t="s">
        <v>1708</v>
      </c>
      <c r="Q9" s="57"/>
      <c r="R9" s="57"/>
    </row>
    <row r="10" customFormat="false" ht="15" hidden="false" customHeight="false" outlineLevel="0" collapsed="false">
      <c r="C10" s="30" t="s">
        <v>1312</v>
      </c>
      <c r="D10" s="30" t="s">
        <v>1709</v>
      </c>
      <c r="H10" s="30" t="s">
        <v>1710</v>
      </c>
      <c r="N10" s="18" t="n">
        <v>46538</v>
      </c>
      <c r="O10" s="30" t="s">
        <v>1711</v>
      </c>
      <c r="Q10" s="57"/>
      <c r="R10" s="57"/>
    </row>
    <row r="11" customFormat="false" ht="15" hidden="false" customHeight="false" outlineLevel="0" collapsed="false">
      <c r="H11" s="30" t="s">
        <v>1712</v>
      </c>
      <c r="N11" s="18" t="n">
        <v>46556</v>
      </c>
      <c r="O11" s="30" t="s">
        <v>1713</v>
      </c>
      <c r="Q11" s="57"/>
      <c r="R11" s="57"/>
    </row>
    <row r="12" customFormat="false" ht="15" hidden="false" customHeight="false" outlineLevel="0" collapsed="false">
      <c r="N12" s="18" t="n">
        <v>46573</v>
      </c>
      <c r="O12" s="30" t="s">
        <v>1714</v>
      </c>
      <c r="Q12" s="57"/>
      <c r="R12" s="57"/>
    </row>
    <row r="13" customFormat="false" ht="15" hidden="false" customHeight="false" outlineLevel="0" collapsed="false">
      <c r="N13" s="18" t="n">
        <v>46636</v>
      </c>
      <c r="O13" s="30" t="s">
        <v>1715</v>
      </c>
    </row>
    <row r="14" customFormat="false" ht="15" hidden="false" customHeight="false" outlineLevel="0" collapsed="false">
      <c r="N14" s="57"/>
    </row>
    <row r="15" customFormat="false" ht="15" hidden="false" customHeight="false" outlineLevel="0" collapsed="false">
      <c r="N15" s="57"/>
    </row>
    <row r="16" customFormat="false" ht="15" hidden="false" customHeight="false" outlineLevel="0" collapsed="false">
      <c r="N16" s="57"/>
    </row>
    <row r="17" customFormat="false" ht="15" hidden="false" customHeight="false" outlineLevel="0" collapsed="false">
      <c r="N17" s="57"/>
    </row>
    <row r="18" customFormat="false" ht="15" hidden="false" customHeight="false" outlineLevel="0" collapsed="false">
      <c r="N18" s="57"/>
    </row>
    <row r="19" customFormat="false" ht="15" hidden="false" customHeight="false" outlineLevel="0" collapsed="false">
      <c r="N19" s="57"/>
    </row>
    <row r="20" customFormat="false" ht="15" hidden="false" customHeight="false" outlineLevel="0" collapsed="false">
      <c r="N20" s="57"/>
    </row>
    <row r="21" customFormat="false" ht="15" hidden="false" customHeight="false" outlineLevel="0" collapsed="false">
      <c r="N21" s="57"/>
    </row>
    <row r="22" customFormat="false" ht="15" hidden="false" customHeight="false" outlineLevel="0" collapsed="false">
      <c r="N22" s="57"/>
    </row>
    <row r="23" customFormat="false" ht="15" hidden="false" customHeight="false" outlineLevel="0" collapsed="false">
      <c r="N23" s="57"/>
    </row>
    <row r="24" customFormat="false" ht="15" hidden="false" customHeight="false" outlineLevel="0" collapsed="false">
      <c r="N24" s="57"/>
    </row>
    <row r="25" customFormat="false" ht="15" hidden="false" customHeight="false" outlineLevel="0" collapsed="false">
      <c r="N25" s="57"/>
    </row>
    <row r="26" customFormat="false" ht="15" hidden="false" customHeight="false" outlineLevel="0" collapsed="false">
      <c r="N26" s="57"/>
    </row>
    <row r="27" customFormat="false" ht="15" hidden="false" customHeight="false" outlineLevel="0" collapsed="false">
      <c r="N27" s="57"/>
    </row>
    <row r="28" customFormat="false" ht="15" hidden="false" customHeight="false" outlineLevel="0" collapsed="false">
      <c r="N28" s="57"/>
    </row>
    <row r="29" customFormat="false" ht="15" hidden="false" customHeight="false" outlineLevel="0" collapsed="false">
      <c r="N29" s="57"/>
    </row>
    <row r="30" customFormat="false" ht="15" hidden="false" customHeight="false" outlineLevel="0" collapsed="false">
      <c r="N30" s="57"/>
    </row>
    <row r="33" customFormat="false" ht="15" hidden="false" customHeight="false" outlineLevel="0" collapsed="false">
      <c r="A33" s="9" t="s">
        <v>1716</v>
      </c>
    </row>
    <row r="34" customFormat="false" ht="15" hidden="false" customHeight="false" outlineLevel="0" collapsed="false">
      <c r="A34" s="9" t="s">
        <v>1717</v>
      </c>
      <c r="B34" s="32" t="s">
        <v>1451</v>
      </c>
      <c r="C34" s="32" t="s">
        <v>324</v>
      </c>
      <c r="D34" s="32" t="s">
        <v>1528</v>
      </c>
      <c r="E34" s="32" t="s">
        <v>1529</v>
      </c>
      <c r="F34" s="32" t="s">
        <v>1530</v>
      </c>
      <c r="G34" s="32" t="s">
        <v>1531</v>
      </c>
      <c r="H34" s="32" t="s">
        <v>463</v>
      </c>
      <c r="I34" s="32" t="s">
        <v>1532</v>
      </c>
      <c r="J34" s="32" t="s">
        <v>1533</v>
      </c>
      <c r="K34" s="32" t="s">
        <v>1534</v>
      </c>
      <c r="L34" s="32" t="s">
        <v>1535</v>
      </c>
      <c r="M34" s="32" t="s">
        <v>1536</v>
      </c>
      <c r="N34" s="32" t="s">
        <v>1537</v>
      </c>
      <c r="O34" s="32" t="s">
        <v>1538</v>
      </c>
      <c r="P34" s="32" t="s">
        <v>1539</v>
      </c>
      <c r="Q34" s="32" t="s">
        <v>1540</v>
      </c>
      <c r="R34" s="32" t="s">
        <v>1541</v>
      </c>
      <c r="S34" s="32" t="s">
        <v>1542</v>
      </c>
      <c r="T34" s="32" t="s">
        <v>1543</v>
      </c>
      <c r="U34" s="32" t="s">
        <v>1544</v>
      </c>
      <c r="V34" s="32" t="s">
        <v>1545</v>
      </c>
      <c r="W34" s="32" t="s">
        <v>1546</v>
      </c>
      <c r="X34" s="32" t="s">
        <v>1547</v>
      </c>
      <c r="Y34" s="32" t="s">
        <v>1548</v>
      </c>
      <c r="Z34" s="32" t="s">
        <v>1549</v>
      </c>
      <c r="AA34" s="32" t="s">
        <v>1550</v>
      </c>
    </row>
    <row r="35" customFormat="false" ht="15" hidden="false" customHeight="false" outlineLevel="0" collapsed="false">
      <c r="A35" s="9" t="s">
        <v>1718</v>
      </c>
      <c r="B35" s="32" t="s">
        <v>324</v>
      </c>
      <c r="C35" s="32" t="s">
        <v>1528</v>
      </c>
      <c r="D35" s="32" t="s">
        <v>1529</v>
      </c>
      <c r="E35" s="32" t="s">
        <v>463</v>
      </c>
      <c r="F35" s="32" t="s">
        <v>480</v>
      </c>
      <c r="G35" s="32" t="s">
        <v>1560</v>
      </c>
      <c r="H35" s="32" t="s">
        <v>1561</v>
      </c>
      <c r="I35" s="32" t="s">
        <v>1562</v>
      </c>
      <c r="J35" s="32" t="s">
        <v>1490</v>
      </c>
    </row>
    <row r="36" customFormat="false" ht="15" hidden="false" customHeight="false" outlineLevel="0" collapsed="false">
      <c r="A36" s="9" t="s">
        <v>1719</v>
      </c>
      <c r="B36" s="32" t="s">
        <v>366</v>
      </c>
      <c r="C36" s="32" t="s">
        <v>324</v>
      </c>
      <c r="D36" s="32" t="s">
        <v>1451</v>
      </c>
      <c r="E36" s="32" t="s">
        <v>1452</v>
      </c>
      <c r="F36" s="32" t="s">
        <v>407</v>
      </c>
      <c r="G36" s="32" t="s">
        <v>1453</v>
      </c>
    </row>
    <row r="37" customFormat="false" ht="15" hidden="false" customHeight="false" outlineLevel="0" collapsed="false">
      <c r="A37" s="9" t="s">
        <v>1720</v>
      </c>
      <c r="B37" s="32" t="s">
        <v>366</v>
      </c>
      <c r="C37" s="32" t="s">
        <v>1483</v>
      </c>
      <c r="D37" s="32" t="s">
        <v>1484</v>
      </c>
      <c r="E37" s="32" t="s">
        <v>1485</v>
      </c>
      <c r="F37" s="32" t="s">
        <v>1486</v>
      </c>
      <c r="G37" s="32" t="s">
        <v>1487</v>
      </c>
      <c r="H37" s="32" t="s">
        <v>1488</v>
      </c>
      <c r="I37" s="32" t="s">
        <v>1489</v>
      </c>
      <c r="J37" s="32" t="s">
        <v>1490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2026-10-24T03:20:39Z</dcterms:created>
  <dc:creator>openpyxl</dc:creator>
  <dc:description/>
  <dc:language>en-US</dc:language>
  <cp:lastModifiedBy/>
  <dcterms:modified xsi:type="dcterms:W3CDTF">2026-10-24T12:23:37Z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