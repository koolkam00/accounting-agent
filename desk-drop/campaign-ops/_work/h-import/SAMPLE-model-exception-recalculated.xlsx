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<sst xmlns="http://schemas.openxmlformats.org/spreadsheetml/2006/main" count="3164" uniqueCount="1760">
  <si>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</si>
  <si>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</si>
  <si>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</si>
  <si>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</si>
  <si>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</si>
  <si>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</si>
  <si>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</si>
  <si>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</si>
  <si>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</si>
  <si>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</si>
  <si>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</si>
  <si>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</si>
  <si>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</si>
  <si>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</si>
  <si>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</si>
  <si>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</si>
  <si>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</si>
  <si>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</si>
  <si>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</si>
  <si>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</si>
  <si>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</si>
  <si>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</si>
  <si>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</si>
  <si>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</si>
  <si>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</si>
  <si>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</si>
  <si>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</si>
  <si>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</si>
  <si>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</si>
  <si>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</si>
  <si>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</si>
  <si>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</si>
  <si>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</si>
  <si>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</si>
  <si>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</si>
  <si>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</si>
  <si>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</si>
  <si>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</si>
  <si>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</si>
  <si>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</si>
  <si>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</si>
  <si>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</si>
  <si>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</si>
  <si>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</si>
  <si>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</si>
  <si>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</si>
  <si>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</si>
  <si>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</si>
  <si>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</si>
  <si>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</si>
  <si>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</si>
  <si>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</si>
  <si>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</si>
  <si>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</si>
  <si>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</si>
  <si>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</si>
  <si>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</si>
  <si>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</si>
  <si>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</si>
  <si>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</si>
  <si>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</si>
  <si>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</si>
  <si>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</si>
  <si>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</si>
  <si>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</si>
  <si>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</si>
  <si>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</si>
  <si>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</si>
  <si>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</si>
  <si>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</si>
  <si>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</si>
  <si>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</si>
  <si>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</si>
  <si>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</si>
  <si>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</si>
  <si>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</si>
  <si>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</si>
  <si>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</si>
  <si>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</si>
  <si>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</si>
  <si>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</si>
  <si>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</si>
  <si>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</si>
  <si>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</si>
  <si>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</si>
  <si>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</si>
  <si>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</si>
  <si>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</si>
  <si>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</si>
  <si>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</si>
  <si>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</si>
  <si>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</si>
  <si>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</si>
  <si>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</si>
  <si>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</si>
  <si>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</si>
  <si>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</si>
  <si>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</si>
  <si>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</si>
  <si>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</si>
  <si>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</si>
  <si>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</si>
  <si>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</si>
  <si>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</si>
  <si>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</si>
  <si>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</si>
  <si>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</si>
  <si>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</si>
  <si>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</si>
  <si>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</si>
  <si>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</si>
  <si>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</si>
  <si>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</si>
  <si>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</si>
  <si>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</si>
  <si>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</si>
  <si>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</si>
  <si>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</si>
  <si>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</si>
  <si>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</si>
  <si>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</si>
  <si>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</si>
  <si>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</si>
  <si>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</si>
  <si>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</si>
  <si>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</si>
  <si>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</si>
  <si>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</si>
  <si>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</si>
  <si>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</si>
  <si>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</si>
  <si>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</si>
  <si>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</si>
  <si>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</si>
  <si>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</si>
  <si>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</si>
  <si>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</si>
  <si>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</si>
  <si>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</si>
  <si>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</si>
  <si>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</si>
  <si>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</si>
  <si>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</si>
  <si>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</si>
  <si>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</si>
  <si>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</si>
  <si>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</si>
  <si>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</si>
  <si>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</si>
  <si>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</si>
  <si>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</si>
  <si>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</si>
  <si>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</si>
  <si>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</si>
  <si>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</si>
  <si>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</si>
  <si>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</si>
  <si>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</si>
  <si>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</si>
  <si>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</si>
  <si>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</si>
  <si>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</si>
  <si>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</si>
  <si>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</si>
  <si>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</si>
  <si>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</si>
  <si>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</si>
  <si>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</si>
  <si>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</si>
  <si>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</si>
  <si>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</si>
  <si>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</si>
  <si>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</si>
  <si>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</si>
  <si>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</si>
  <si>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</si>
  <si>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</si>
  <si>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</si>
  <si>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</si>
  <si>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</si>
  <si>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</si>
  <si>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</si>
  <si>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</si>
  <si>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</si>
  <si>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</si>
  <si>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</si>
  <si>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</si>
  <si>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</si>
  <si>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</si>
  <si>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</si>
  <si>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</si>
  <si>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</si>
  <si>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</si>
  <si>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</si>
  <si>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</si>
  <si>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</si>
  <si>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</si>
  <si>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</si>
  <si>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</si>
  <si>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</si>
  <si>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</si>
  <si>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</si>
  <si>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</si>
  <si>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</si>
  <si>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</si>
  <si>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</si>
  <si>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</si>
  <si>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</si>
  <si>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</si>
  <si>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</si>
  <si>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</si>
  <si>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</si>
  <si>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</si>
  <si>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</si>
  <si>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</si>
  <si>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</si>
  <si>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</si>
  <si>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</si>
  <si>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</si>
  <si>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</si>
  <si>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</si>
  <si>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</si>
  <si>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</si>
  <si>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</si>
  <si>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</si>
  <si>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</si>
  <si>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</si>
  <si>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</si>
  <si>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</si>
  <si>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</si>
  <si>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</si>
  <si>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</si>
  <si>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</si>
  <si>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</si>
  <si>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</si>
  <si>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</si>
  <si>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</si>
  <si>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</si>
  <si>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</si>
  <si>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</si>
  <si>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</si>
  <si>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</si>
  <si>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</si>
  <si>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</si>
  <si>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</si>
  <si>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</si>
  <si>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</si>
  <si>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</si>
  <si>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</si>
  <si>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</si>
  <si>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</si>
  <si>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</si>
  <si>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</si>
  <si>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</si>
  <si>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</si>
  <si>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</si>
  <si>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</si>
  <si>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</si>
  <si>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</si>
  <si>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</si>
  <si>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</si>
  <si>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</si>
  <si>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</si>
  <si>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</si>
  <si>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</si>
  <si>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</si>
  <si>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</si>
  <si>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</si>
  <si>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</si>
  <si>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</si>
  <si>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</si>
  <si>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</si>
  <si>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</si>
  <si>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</si>
  <si>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</si>
  <si>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</si>
  <si>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</si>
  <si>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</si>
  <si>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</si>
  <si>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</si>
  <si>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</si>
  <si>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</si>
  <si>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</si>
  <si>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</si>
  <si>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</si>
  <si>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</si>
  <si>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</si>
  <si>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</si>
  <si>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</si>
  <si>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</si>
  <si>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</si>
  <si>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</si>
  <si>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</si>
  <si>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</si>
  <si>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</si>
  <si>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</si>
  <si>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</si>
  <si>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</si>
  <si>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</si>
  <si>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</si>
  <si>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</si>
  <si>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</si>
  <si>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</si>
  <si>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</si>
  <si>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</si>
  <si>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</si>
  <si>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</si>
  <si>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</si>
  <si>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</si>
  <si>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</si>
  <si>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</si>
  <si>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</si>
  <si>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</si>
  <si>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</si>
  <si>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</si>
  <si>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</si>
  <si>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</si>
  <si>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</si>
  <si>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</si>
  <si>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</si>
  <si>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</si>
  <si>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</si>
  <si>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</si>
  <si>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</si>
  <si>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</si>
  <si>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</si>
  <si>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</si>
  <si>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</si>
  <si>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</si>
  <si>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</si>
  <si>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</si>
  <si>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</si>
  <si>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</si>
  <si>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</si>
  <si>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</si>
  <si>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</si>
  <si>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</si>
  <si>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</si>
  <si>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</si>
  <si>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</si>
  <si>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</si>
  <si>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</si>
  <si>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</si>
  <si>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</si>
  <si>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</si>
  <si>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</si>
  <si>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</si>
  <si>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</si>
  <si>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</si>
  <si>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</si>
  <si>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</si>
  <si>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</si>
  <si>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</si>
  <si>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</si>
  <si>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</si>
  <si>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</si>
  <si>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</si>
  <si>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</si>
  <si>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</si>
  <si>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</si>
  <si>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</si>
  <si>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</si>
  <si>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</si>
  <si>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</si>
  <si>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</si>
  <si>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</si>
  <si>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</si>
  <si>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</si>
  <si>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</si>
  <si>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</si>
  <si>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</si>
  <si>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</si>
  <si>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</si>
  <si>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</si>
  <si>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</si>
  <si>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</si>
  <si>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</si>
  <si>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</si>
  <si>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</si>
  <si>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</si>
  <si>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</si>
  <si>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</si>
  <si>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</si>
  <si>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</si>
  <si>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</si>
  <si>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</si>
  <si>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</si>
  <si>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</si>
  <si>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</si>
  <si>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</si>
  <si>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</si>
  <si>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</si>
  <si>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</si>
  <si>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</si>
  <si>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</si>
  <si>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</si>
  <si>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</si>
  <si>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</si>
  <si>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</si>
  <si>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</si>
  <si>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</si>
  <si>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</si>
  <si>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</si>
  <si>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</si>
  <si>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</si>
  <si>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</si>
  <si>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</si>
  <si>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</si>
  <si>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</si>
  <si>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</si>
  <si>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</si>
  <si>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</si>
  <si>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</si>
  <si>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</si>
  <si>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</si>
  <si>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</si>
  <si>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</si>
  <si>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</si>
  <si>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</si>
  <si>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</si>
  <si>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</si>
  <si>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</si>
  <si>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</si>
  <si>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</si>
  <si>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</si>
  <si>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</si>
  <si>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</si>
  <si>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</si>
  <si>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</si>
  <si>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</si>
  <si>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</si>
  <si>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</si>
  <si>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</si>
  <si>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</si>
  <si>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</si>
  <si>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</si>
  <si>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</si>
  <si>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</si>
  <si>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</si>
  <si>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</si>
  <si>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</si>
  <si>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</si>
  <si>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</si>
  <si>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</si>
  <si>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</si>
  <si>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</si>
  <si>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</si>
  <si>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</si>
  <si>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</si>
  <si>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</si>
  <si>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</si>
  <si>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</si>
  <si>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</si>
  <si>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</si>
  <si>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</si>
  <si>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</si>
  <si>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</si>
  <si>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</si>
  <si>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</si>
  <si>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</si>
  <si>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</si>
  <si>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</si>
  <si>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</si>
  <si>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</si>
  <si>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</si>
  <si>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</si>
  <si>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</si>
  <si>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</si>
  <si>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</si>
  <si>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</si>
  <si>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</si>
  <si>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</si>
  <si>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</si>
  <si>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</si>
  <si>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</si>
  <si>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</si>
  <si>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</si>
  <si>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</si>
  <si>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</si>
  <si>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</si>
  <si>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</si>
  <si>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</si>
  <si>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</si>
  <si>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</si>
  <si>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</si>
  <si>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</si>
  <si>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</si>
  <si>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</si>
  <si>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</si>
  <si>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</si>
  <si>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</si>
  <si>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</si>
  <si>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</si>
  <si>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</si>
  <si>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</si>
  <si>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</si>
  <si>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</si>
  <si>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</si>
  <si>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</si>
  <si>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</si>
  <si>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</si>
  <si>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</si>
  <si>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</si>
  <si>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</si>
  <si>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</si>
  <si>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</si>
  <si>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</si>
  <si>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</si>
  <si>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</si>
  <si>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</si>
  <si>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</si>
  <si>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</si>
  <si>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</si>
  <si>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</si>
  <si>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</si>
  <si>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</si>
  <si>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</si>
  <si>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</si>
  <si>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</si>
  <si>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</si>
  <si>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</si>
  <si>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</si>
  <si>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</si>
  <si>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</si>
  <si>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</si>
  <si>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</si>
  <si>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</si>
  <si>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</si>
  <si>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</si>
  <si>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</si>
  <si>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</si>
  <si>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</si>
  <si>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</si>
  <si>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</si>
  <si>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</si>
  <si>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</si>
  <si>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</si>
  <si>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</si>
  <si>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</si>
  <si>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</si>
  <si>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</si>
  <si>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</si>
  <si>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</si>
  <si>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</si>
  <si>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</si>
  <si>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</si>
  <si>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</si>
  <si>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</si>
  <si>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</si>
  <si>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</si>
  <si>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</si>
  <si>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</si>
  <si>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</si>
  <si>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</si>
  <si>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</si>
  <si>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</si>
  <si>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</si>
  <si>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</si>
  <si>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</si>
  <si>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</si>
  <si>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</si>
  <si>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</si>
  <si>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</si>
  <si>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</si>
  <si>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</si>
  <si>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</si>
  <si>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</si>
  <si>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</si>
  <si>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</si>
  <si>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</si>
  <si>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</si>
  <si>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</si>
  <si>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</si>
  <si>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</si>
  <si>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</si>
  <si>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</si>
  <si>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</si>
  <si>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</si>
  <si>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</si>
  <si>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</si>
  <si>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</si>
  <si>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</si>
  <si>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</si>
  <si>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</si>
  <si>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</si>
  <si>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</si>
  <si>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</si>
  <si>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</si>
  <si>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</si>
  <si>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</si>
  <si>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</si>
  <si>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</si>
  <si>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</si>
  <si>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</si>
  <si>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</si>
  <si>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</si>
  <si>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</si>
  <si>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</si>
  <si>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</si>
  <si>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</si>
  <si>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</si>
  <si>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</si>
  <si>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</si>
  <si>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</si>
  <si>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</si>
  <si>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</si>
  <si>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</si>
  <si>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</si>
  <si>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</si>
  <si>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</si>
  <si>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</si>
  <si>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</si>
  <si>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</si>
  <si>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</si>
  <si>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</si>
  <si>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</si>
  <si>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</si>
  <si>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</si>
  <si>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</si>
  <si>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</si>
  <si>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</si>
  <si>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</si>
  <si>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</si>
  <si>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</si>
  <si>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</si>
  <si>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</si>
  <si>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</si>
  <si>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</si>
  <si>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</si>
  <si>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</si>
  <si>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</si>
  <si>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</si>
  <si>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</si>
  <si>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</si>
  <si>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</si>
  <si>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</si>
  <si>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</si>
  <si>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</si>
  <si>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</si>
  <si>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</si>
  <si>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</si>
  <si>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</si>
  <si>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</si>
  <si>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</si>
  <si>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</si>
  <si>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</si>
  <si>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</si>
  <si>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</si>
  <si>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</si>
  <si>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</si>
  <si>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</si>
  <si>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</si>
  <si>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</si>
  <si>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</si>
  <si>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</si>
  <si>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</si>
  <si>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</si>
  <si>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</si>
  <si>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</si>
  <si>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</si>
  <si>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</si>
  <si>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</si>
  <si>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</si>
  <si>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</si>
  <si>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</si>
  <si>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</si>
  <si>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</si>
  <si>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</si>
  <si>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</si>
  <si>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</si>
  <si>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</si>
  <si>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</si>
  <si>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</si>
  <si>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</si>
  <si>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</si>
  <si>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</si>
  <si>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</si>
  <si>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</si>
  <si>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</si>
  <si>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</si>
  <si>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</si>
  <si>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</si>
  <si>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</si>
  <si>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</si>
  <si>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</si>
  <si>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</si>
  <si>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</si>
  <si>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</si>
  <si>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</si>
  <si>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</si>
  <si>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</si>
  <si>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</si>
  <si>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</si>
  <si>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</si>
  <si>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</si>
  <si>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</si>
  <si>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</si>
  <si>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</si>
  <si>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</si>
  <si>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</si>
  <si>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</si>
  <si>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</si>
  <si>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</si>
  <si>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</si>
  <si>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</si>
  <si>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</si>
  <si>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</si>
  <si>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</si>
  <si>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</si>
  <si>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</si>
  <si>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</si>
  <si>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</si>
  <si>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</si>
  <si>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</si>
  <si>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</si>
  <si>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</si>
  <si>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</si>
  <si>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</si>
  <si>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</si>
  <si>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</si>
  <si>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</si>
  <si>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</si>
  <si>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</si>
  <si>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</si>
  <si>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</si>
  <si>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</si>
  <si>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</si>
  <si>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</si>
  <si>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</si>
  <si>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</si>
  <si>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</si>
  <si>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</si>
  <si>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</si>
  <si>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</si>
  <si>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</si>
  <si>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</si>
  <si>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</si>
  <si>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</si>
  <si>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</si>
  <si>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</si>
  <si>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</si>
  <si>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</si>
  <si>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</si>
  <si>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</si>
  <si>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</si>
  <si>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</si>
  <si>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</si>
  <si>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</si>
  <si>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</si>
  <si>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</si>
  <si>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</si>
  <si>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</si>
  <si>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</si>
  <si>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</si>
  <si>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</si>
  <si>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</si>
  <si>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</si>
  <si>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</si>
  <si>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</si>
  <si>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</si>
  <si>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</si>
  <si>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</si>
  <si>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</si>
  <si>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</si>
  <si>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</si>
  <si>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</si>
  <si>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</si>
  <si>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</si>
  <si>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</si>
  <si>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</si>
  <si>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</si>
  <si>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</si>
  <si>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</si>
  <si>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</si>
  <si>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</si>
  <si>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</si>
  <si>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</si>
  <si>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</si>
  <si>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</si>
  <si>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</si>
  <si>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</si>
  <si>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</si>
  <si>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</si>
  <si>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</si>
  <si>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</si>
  <si>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</si>
  <si>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</si>
  <si>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</si>
  <si>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</si>
  <si>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</si>
  <si>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</si>
  <si>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</si>
  <si>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</si>
  <si>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</si>
  <si>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</si>
  <si>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</si>
  <si>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</si>
  <si>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</si>
  <si>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</si>
  <si>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</si>
  <si>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</si>
  <si>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</si>
  <si>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</si>
  <si>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</si>
  <si>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</si>
  <si>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</si>
  <si>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</si>
  <si>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</si>
  <si>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</si>
  <si>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</si>
  <si>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</si>
  <si>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</si>
  <si>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</si>
  <si>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</si>
  <si>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</si>
  <si>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</si>
  <si>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</si>
  <si>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</si>
  <si>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</si>
  <si>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</si>
  <si>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</si>
  <si>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</si>
  <si>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</si>
  <si>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</si>
  <si>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</si>
  <si>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</si>
  <si>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</si>
  <si>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</si>
  <si>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</si>
  <si>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</si>
  <si>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</si>
  <si>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</si>
  <si>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</si>
  <si>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</si>
  <si>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</si>
  <si>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</si>
  <si>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</si>
  <si>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</si>
  <si>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</si>
  <si>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</si>
  <si>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</si>
  <si>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</si>
  <si>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</si>
  <si>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</si>
  <si>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</si>
  <si>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</si>
  <si>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</si>
  <si>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</si>
  <si>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</si>
  <si>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</si>
  <si>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</si>
  <si>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</si>
  <si>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</si>
  <si>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</si>
  <si>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</si>
  <si>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</si>
  <si>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</si>
  <si>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</si>
  <si>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</si>
  <si>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</si>
  <si>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</si>
  <si>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</si>
  <si>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</si>
  <si>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</si>
  <si>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</si>
  <si>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</si>
  <si>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</si>
  <si>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</si>
  <si>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</si>
  <si>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</si>
  <si>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</si>
  <si>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</si>
  <si>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</si>
  <si>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</si>
  <si>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</si>
  <si>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</si>
  <si>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</si>
  <si>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</si>
  <si>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</si>
  <si>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</si>
  <si>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</si>
  <si>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</si>
  <si>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</si>
  <si>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</si>
  <si>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</si>
  <si>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</si>
  <si>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</si>
  <si>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</si>
  <si>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</si>
  <si>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</si>
  <si>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</si>
  <si>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</si>
  <si>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</si>
  <si>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</si>
  <si>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</si>
  <si>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</si>
  <si>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</si>
  <si>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</si>
  <si>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</si>
  <si>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</si>
  <si>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</si>
  <si>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</si>
  <si>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</si>
  <si>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</si>
  <si>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</si>
  <si>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</si>
  <si>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</si>
  <si>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</si>
  <si>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</si>
  <si>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</si>
  <si>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</si>
  <si>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</si>
  <si>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</si>
  <si>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</si>
  <si>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</si>
  <si>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</si>
  <si>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</si>
  <si>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</si>
  <si>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</si>
  <si>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</si>
  <si>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</si>
  <si>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</si>
  <si>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</si>
  <si>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</si>
  <si>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</si>
  <si>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</si>
  <si>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</si>
  <si>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</si>
  <si>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</si>
  <si>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</si>
  <si>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</si>
  <si>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</si>
  <si>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</si>
  <si>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</si>
  <si>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</si>
  <si>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</si>
  <si>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</si>
  <si>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</si>
  <si>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</si>
  <si>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</si>
  <si>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</si>
  <si>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</si>
  <si>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</si>
  <si>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</si>
  <si>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</si>
  <si>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</si>
  <si>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</si>
  <si>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</si>
  <si>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</si>
  <si>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</si>
  <si>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</si>
  <si>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</si>
  <si>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</si>
  <si>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</si>
  <si>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</si>
  <si>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</si>
  <si>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</si>
  <si>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</si>
  <si>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</si>
  <si>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</si>
  <si>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</si>
  <si>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</si>
  <si>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</si>
  <si>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</si>
  <si>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</si>
  <si>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</si>
  <si>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</si>
  <si>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</si>
  <si>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</si>
  <si>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</si>
  <si>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</si>
  <si>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</si>
  <si>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</si>
  <si>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</si>
  <si>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</si>
  <si>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</si>
  <si>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</si>
  <si>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</si>
  <si>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</si>
  <si>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</si>
  <si>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</si>
  <si>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</si>
  <si>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</si>
  <si>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</si>
  <si>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</si>
  <si>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</si>
  <si>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</si>
  <si>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</si>
  <si>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</si>
  <si>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</si>
  <si>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</si>
  <si>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</si>
  <si>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</si>
  <si>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</si>
  <si>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</si>
  <si>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</si>
  <si>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</si>
  <si>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</si>
  <si>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</si>
  <si>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</si>
  <si>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</si>
  <si>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</si>
  <si>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</si>
  <si>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</si>
  <si>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</si>
  <si>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</si>
  <si>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</si>
  <si>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</si>
  <si>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</si>
  <si>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</si>
  <si>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</si>
  <si>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</si>
  <si>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</si>
  <si>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</si>
  <si>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</si>
  <si>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</si>
  <si>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</si>
  <si>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</si>
  <si>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</si>
  <si>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</si>
  <si>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</si>
  <si>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</si>
  <si>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</si>
  <si>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</si>
  <si>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</si>
  <si>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</si>
  <si>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</si>
  <si>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</si>
  <si>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</si>
  <si>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</si>
  <si>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</si>
  <si>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</si>
  <si>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</si>
  <si>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</si>
  <si>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</si>
  <si>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</si>
  <si>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</si>
  <si>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</si>
  <si>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</si>
  <si>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</si>
  <si>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</si>
  <si>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</si>
  <si>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</si>
  <si>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</si>
  <si>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</si>
  <si>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</si>
  <si>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</si>
  <si>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</si>
  <si>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</si>
  <si>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</si>
  <si>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</si>
  <si>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</si>
  <si>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</si>
  <si>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</si>
  <si>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</si>
  <si>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</si>
  <si>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</si>
  <si>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</si>
  <si>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</si>
  <si>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</si>
  <si>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</si>
  <si>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</si>
  <si>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</si>
  <si>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</si>
  <si>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</si>
  <si>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</si>
  <si>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</si>
  <si>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</si>
  <si>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</si>
  <si>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</si>
  <si>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</si>
  <si>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</si>
  <si>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</si>
  <si>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</si>
  <si>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</si>
  <si>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</si>
  <si>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</si>
  <si>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</si>
  <si>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</si>
  <si>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</si>
  <si>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</si>
  <si>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</si>
  <si>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</si>
  <si>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</si>
  <si>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</si>
  <si>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</si>
  <si>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</si>
  <si>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</si>
  <si>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</si>
  <si>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</si>
  <si>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</si>
  <si>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</si>
  <si>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</si>
  <si>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</si>
  <si>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</si>
  <si>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</si>
  <si>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</si>
  <si>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</si>
  <si>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</si>
  <si>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</si>
  <si>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</si>
  <si>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</si>
  <si>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</si>
  <si>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</si>
  <si>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</si>
  <si>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</si>
  <si>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</si>
  <si>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</si>
  <si>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</si>
  <si>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</si>
  <si>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</si>
  <si>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</si>
  <si>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</si>
  <si>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</si>
  <si>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</si>
  <si>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</si>
  <si>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</si>
  <si>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</si>
  <si>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</si>
  <si>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</si>
  <si>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</si>
  <si>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</si>
  <si>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</si>
  <si>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</si>
  <si>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</si>
  <si>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</si>
  <si>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</si>
  <si>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</si>
  <si>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</si>
  <si>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</si>
  <si>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</si>
  <si>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</si>
  <si>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</si>
  <si>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</si>
  <si>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</si>
  <si>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</si>
  <si>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</si>
  <si>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</si>
  <si>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</si>
  <si>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</si>
  <si>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</si>
  <si>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</si>
  <si>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</si>
  <si>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</si>
  <si>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</si>
  <si>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</si>
  <si>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</si>
  <si>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</si>
  <si>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</si>
  <si>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</si>
  <si>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</si>
  <si>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</si>
  <si>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</si>
  <si>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</si>
  <si>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</si>
  <si>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</si>
  <si>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</si>
  <si>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</si>
  <si>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</si>
  <si>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</si>
  <si>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</si>
  <si>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</si>
  <si>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</si>
  <si>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</si>
  <si>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</si>
  <si>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</si>
  <si>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</si>
  <si>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</si>
  <si>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</si>
  <si>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</si>
  <si>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</si>
  <si>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</si>
  <si>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</si>
  <si>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</si>
  <si>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</si>
  <si>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</si>
  <si>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</si>
  <si>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</si>
  <si>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</si>
  <si>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</si>
  <si>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</si>
  <si>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</si>
  <si>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</si>
  <si>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</si>
  <si>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</si>
  <si>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</si>
  <si>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</si>
  <si>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</si>
  <si>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</si>
  <si>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</si>
  <si>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</si>
  <si>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</si>
  <si>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</si>
  <si>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</si>
  <si>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</si>
  <si>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</si>
  <si>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</si>
  <si>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</si>
  <si>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</si>
  <si>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</si>
  <si>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</si>
  <si>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</si>
  <si>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</si>
  <si>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</si>
  <si>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</si>
  <si>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</si>
  <si>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</si>
  <si>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</si>
  <si>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</si>
  <si>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</si>
  <si>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</si>
  <si>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</si>
  <si>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</si>
  <si>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</si>
  <si>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</si>
  <si>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</si>
  <si>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</si>
  <si>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</si>
  <si>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</si>
  <si>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</si>
  <si>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</si>
  <si>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</si>
  <si>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</si>
  <si>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</si>
  <si>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</si>
  <si>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</si>
  <si>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</si>
  <si>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</si>
  <si>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</si>
  <si>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</si>
  <si>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</si>
  <si>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</si>
  <si>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</si>
  <si>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</si>
  <si>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</si>
  <si>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</si>
  <si>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</si>
  <si>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</si>
  <si>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</si>
  <si>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</si>
  <si>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</si>
  <si>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</si>
  <si>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</si>
  <si>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</si>
  <si>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</si>
  <si>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</si>
  <si>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</si>
  <si>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</si>
  <si>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</si>
  <si>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</si>
  <si>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</si>
  <si>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</si>
  <si>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</si>
  <si>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</si>
  <si>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</si>
  <si>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</si>
  <si>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</si>
  <si>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</si>
  <si>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</si>
  <si>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</si>
  <si>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</si>
  <si>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</si>
  <si>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</si>
  <si>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</si>
  <si>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</si>
  <si>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</si>
  <si>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</si>
  <si>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</si>
  <si>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</si>
  <si>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</si>
  <si>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</si>
  <si>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</si>
  <si>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</si>
  <si>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</si>
  <si>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</si>
  <si>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</si>
  <si>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</si>
  <si>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</si>
  <si>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</si>
  <si>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</si>
  <si>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</si>
  <si>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</si>
  <si>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</si>
  <si>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</si>
  <si>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</si>
  <si>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</si>
  <si>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</si>
  <si>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</si>
  <si>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</si>
  <si>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</si>
  <si>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</si>
  <si>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</si>
  <si>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</si>
  <si>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</si>
  <si>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</si>
  <si>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</si>
  <si>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</si>
  <si>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</si>
  <si>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</si>
  <si>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</si>
  <si>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</si>
  <si>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</si>
  <si>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</si>
  <si>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</si>
  <si>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</si>
  <si>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</si>
  <si>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</si>
  <si>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</si>
  <si>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</si>
  <si>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</si>
  <si>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</si>
  <si>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</si>
  <si>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</si>
  <si>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</si>
  <si>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</si>
  <si>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</si>
  <si>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</si>
  <si>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</si>
  <si>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</si>
  <si>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</si>
  <si>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</si>
  <si>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</si>
  <si>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</si>
  <si>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</si>
  <si>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</si>
  <si>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</si>
  <si>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</si>
  <si>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</si>
  <si>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</si>
  <si>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</si>
  <si>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</si>
  <si>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</si>
  <si>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</si>
  <si>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</si>
  <si>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</si>
  <si>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</si>
  <si>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</si>
  <si>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</si>
  <si>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</si>
  <si>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</si>
  <si>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</si>
  <si>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</si>
  <si>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</si>
  <si>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</si>
  <si>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</si>
  <si>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</si>
  <si>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</si>
  <si>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</si>
  <si>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</si>
  <si>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</si>
  <si>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</si>
  <si>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</si>
  <si>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</si>
  <si>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</si>
  <si>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</si>
  <si>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</si>
  <si>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</si>
  <si>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</si>
  <si>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</si>
  <si>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</si>
  <si>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</si>
  <si>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</si>
  <si>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</si>
  <si>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</si>
  <si>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</si>
  <si>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</si>
  <si>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</si>
  <si>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</si>
  <si>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</si>
  <si>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</si>
  <si>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</si>
  <si>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</si>
  <si>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</si>
  <si>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</si>
  <si>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</si>
  <si>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</si>
  <si>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</si>
  <si>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</si>
  <si>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</si>
  <si>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</si>
  <si>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</si>
  <si>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</si>
  <si>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</si>
  <si>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</si>
  <si>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</si>
  <si>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</si>
  <si>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</si>
  <si>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</si>
  <si>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</si>
  <si>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</si>
  <si>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</si>
  <si>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</si>
  <si>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</si>
  <si>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</si>
  <si>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</si>
  <si>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</si>
  <si>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</si>
  <si>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</si>
  <si>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</si>
  <si>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</si>
  <si>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</si>
  <si>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</si>
  <si>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</si>
  <si>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</si>
  <si>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</si>
  <si>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</si>
  <si>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</si>
  <si>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</si>
  <si>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</si>
  <si>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</si>
  <si>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</si>
  <si>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</si>
  <si>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</si>
  <si>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</si>
  <si>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</si>
  <si>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</si>
  <si>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</si>
  <si>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</si>
  <si>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</si>
  <si>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</si>
  <si>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</si>
  <si>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</si>
  <si>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</si>
  <si>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</si>
  <si>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</si>
  <si>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</si>
  <si>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</si>
  <si>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</si>
  <si>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</si>
  <si>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</si>
  <si>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</si>
  <si>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</si>
  <si>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</si>
  <si>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</si>
  <si>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</si>
  <si>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</si>
  <si>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</si>
  <si>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</si>
  <si>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</si>
  <si>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</si>
  <si>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</si>
  <si>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</si>
  <si>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</si>
  <si>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</si>
  <si>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</si>
  <si>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</si>
  <si>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</si>
  <si>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</si>
  <si>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</si>
  <si>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</si>
  <si>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</si>
  <si>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</si>
  <si>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</si>
  <si>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</si>
  <si>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</si>
  <si>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</si>
  <si>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</si>
  <si>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</si>
  <si>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</si>
  <si>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</si>
  <si>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</si>
  <si>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</si>
  <si>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</si>
  <si>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</si>
  <si>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</si>
  <si>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</si>
  <si>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</si>
  <si>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</si>
  <si>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</si>
  <si>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</si>
  <si>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</si>
  <si>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</si>
  <si>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</si>
  <si>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</si>
  <si>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</si>
  <si>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SAMPLE-CMP-003</t>
  </si>
  <si>
    <t xml:space="preserve">SAMPLE calls, proposal, agreement</t>
  </si>
  <si>
    <t xml:space="preserve">SAMPLE debrief and renewal proposal</t>
  </si>
  <si>
    <t xml:space="preserve">SAMPLE-CMP-004</t>
  </si>
  <si>
    <t xml:space="preserve">Invalid activity keys in the hand log (should be 0)</t>
  </si>
  <si>
    <t xml:space="preserve">Rows whose drop_id is not on Schedule (should be 0)</t>
  </si>
  <si>
    <t xml:space="preserve">SAMPLE-CMP-005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</si>
  <si>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</si>
  <si>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</si>
  <si>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</si>
  <si>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</si>
  <si>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</si>
  <si>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</si>
  <si>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SAMPLE-CMP-006</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</si>
  <si>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</si>
  <si>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</si>
  <si>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</si>
  <si>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</si>
  <si>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</si>
  <si>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</si>
  <si>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</si>
  <si>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</si>
  <si>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</si>
  <si>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</si>
  <si>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</si>
  <si>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</si>
  <si>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</si>
  <si>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</si>
  <si>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</si>
  <si>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</si>
  <si>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</si>
  <si>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</si>
  <si>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</si>
  <si>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</si>
  <si>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</si>
  <si>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</si>
  <si>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</si>
  <si>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</si>
  <si>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</si>
  <si>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</si>
  <si>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</si>
  <si>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</si>
  <si>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</si>
  <si>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</si>
  <si>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</si>
  <si>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</si>
  <si>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</si>
  <si>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</si>
  <si>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</si>
  <si>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</si>
  <si>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</si>
  <si>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</si>
  <si>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</si>
  <si>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</si>
  <si>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</si>
  <si>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</si>
  <si>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</si>
  <si>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</si>
  <si>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</si>
  <si>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</si>
  <si>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</si>
  <si>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</si>
  <si>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</si>
  <si>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</si>
  <si>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</si>
  <si>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</si>
  <si>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</si>
  <si>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</si>
  <si>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</si>
  <si>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</si>
  <si>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</si>
  <si>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</si>
  <si>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</si>
  <si>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</si>
  <si>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</si>
  <si>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</si>
  <si>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</si>
  <si>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</si>
  <si>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</si>
  <si>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</si>
  <si>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</si>
  <si>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</si>
  <si>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</si>
  <si>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</si>
  <si>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</si>
  <si>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</si>
  <si>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</si>
  <si>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</si>
  <si>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</si>
  <si>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</si>
  <si>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</si>
  <si>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</si>
  <si>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</si>
  <si>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</si>
  <si>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</si>
  <si>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</si>
  <si>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</si>
  <si>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</si>
  <si>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</si>
  <si>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</si>
  <si>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</si>
  <si>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</si>
  <si>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</si>
  <si>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</si>
  <si>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</si>
  <si>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</si>
  <si>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</si>
  <si>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</si>
  <si>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</si>
  <si>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</si>
  <si>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</si>
  <si>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</si>
  <si>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</si>
  <si>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SAMPLE-BR-001</t>
  </si>
  <si>
    <t xml:space="preserve">yes</t>
  </si>
  <si>
    <t xml:space="preserve">SAMPLE-BR-002</t>
  </si>
  <si>
    <t xml:space="preserve">maybe</t>
  </si>
  <si>
    <t xml:space="preserve">SAMPLE-BR-003</t>
  </si>
  <si>
    <t xml:space="preserve">SAMPLE-BR-004</t>
  </si>
  <si>
    <t xml:space="preserve">pending</t>
  </si>
  <si>
    <t xml:space="preserve">SAMPLE-BR-005</t>
  </si>
  <si>
    <t xml:space="preserve">SAMPLE-BR-006</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</si>
  <si>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</si>
  <si>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</si>
  <si>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</si>
  <si>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</si>
  <si>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</si>
  <si>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</si>
  <si>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</si>
  <si>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SAMPLE second standard run (exception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</si>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</sst>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-92</c:v>
                </c:pt>
                <c:pt idx="18">
                  <c:v>-242</c:v>
                </c:pt>
                <c:pt idx="19">
                  <c:v>1940.5</c:v>
                </c:pt>
                <c:pt idx="20">
                  <c:v>1835.5</c:v>
                </c:pt>
                <c:pt idx="21">
                  <c:v>6140.5</c:v>
                </c:pt>
                <c:pt idx="22">
                  <c:v>5910.5</c:v>
                </c:pt>
                <c:pt idx="23">
                  <c:v>8093</c:v>
                </c:pt>
                <c:pt idx="24">
                  <c:v>8093</c:v>
                </c:pt>
                <c:pt idx="25">
                  <c:v>8093</c:v>
                </c:pt>
              </c:numCache>
            </c:numRef>
          </c:val>
          <c:smooth val="0"/>
        </c:ser>
        <c:hiLowLines>
          <c:spPr>
            <a:ln w="0">
              <a:noFill/>
            </a:ln>
          </c:spPr>
        </c:hiLowLines>
        <c:marker val="0"/>
        <c:axId val="25379634"/>
        <c:axId val="3399367"/>
      </c:lineChart>
      <c:catAx>
        <c:axId val="2537963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399367"/>
        <c:crosses val="autoZero"/>
        <c:auto val="1"/>
        <c:lblAlgn val="ctr"/>
        <c:lblOffset val="100"/>
        <c:noMultiLvlLbl val="0"/>
      </c:catAx>
      <c:valAx>
        <c:axId val="339936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3796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-92</c:v>
                </c:pt>
                <c:pt idx="18">
                  <c:v>-242</c:v>
                </c:pt>
                <c:pt idx="19">
                  <c:v>1940.5</c:v>
                </c:pt>
                <c:pt idx="20">
                  <c:v>1835.5</c:v>
                </c:pt>
                <c:pt idx="21">
                  <c:v>6140.5</c:v>
                </c:pt>
                <c:pt idx="22">
                  <c:v>5910.5</c:v>
                </c:pt>
                <c:pt idx="23">
                  <c:v>8093</c:v>
                </c:pt>
                <c:pt idx="24">
                  <c:v>8093</c:v>
                </c:pt>
                <c:pt idx="25">
                  <c:v>8093</c:v>
                </c:pt>
              </c:numCache>
            </c:numRef>
          </c:val>
          <c:smooth val="0"/>
        </c:ser>
        <c:hiLowLines>
          <c:spPr>
            <a:ln w="0">
              <a:noFill/>
            </a:ln>
          </c:spPr>
        </c:hiLowLines>
        <c:marker val="0"/>
        <c:axId val="53759255"/>
        <c:axId val="64576831"/>
      </c:lineChart>
      <c:catAx>
        <c:axId val="5375925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4576831"/>
        <c:crosses val="autoZero"/>
        <c:auto val="1"/>
        <c:lblAlgn val="ctr"/>
        <c:lblOffset val="100"/>
        <c:noMultiLvlLbl val="0"/>
      </c:catAx>
      <c:valAx>
        <c:axId val="645768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75925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46472</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DRP-005</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2027-04-06,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$61.0 (2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241</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24.9169054441261</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50.3625730994152</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$34.3 per hour</v>
      </c>
      <c r="E22" s="14"/>
      <c r="F22" s="14"/>
      <c r="G22" s="14"/>
      <c r="H22" s="14"/>
      <c r="I22" s="14"/>
    </row>
    <row r="23" customFormat="false" ht="30" hidden="false" customHeight="true" outlineLevel="0" collapsed="false">
      <c r="B23" s="7" t="s">
        <v>248</v>
      </c>
      <c r="C23" s="16" t="n">
        <f aca="false">Cash_Flow!$C$44-SUMIFS(Drop_PnL!$BI$7:$BI$18,Drop_PnL!$B$7:$B$18,"&gt;"&amp;Inputs!$C$14)</f>
        <v>-477</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8093</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-7089.5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9030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-309.5</v>
      </c>
      <c r="H36" s="19" t="n">
        <f aca="false">SUMIFS(Cash_Flow!$C$26:$AB$26,Cash_Flow!$C$5:$AB$5,"&lt;="&amp;Inputs!$C$14)</f>
        <v>1940.5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-7687</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15780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8093</v>
      </c>
      <c r="H37" s="19" t="n">
        <f aca="false">SUMIFS(Cash_Flow!$C$26:$AB$26,Cash_Flow!$C$5:$AB$5,"&lt;="&amp;Inputs!$C$15)</f>
        <v>8093</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miss</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60.9655172413793</v>
      </c>
      <c r="G54" s="23" t="str">
        <f aca="false">IF(AND(D55&gt;0,F55&lt;D55),"not yet: "&amp;(D55-F55)&amp;" standard run(s) without actuals",IF(F54="",IF(Inputs!$C$17&gt;C54,"miss","not yet"),IF(F54&gt;=D54,"pass",IF(Inputs!$C$17&gt;C54,"miss","not yet"))))</f>
        <v>pass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2</v>
      </c>
      <c r="G55" s="23" t="str">
        <f aca="false">IF(D55=0,"",IF(F55&gt;=D55,"complete",(D55-F55)&amp;" without actuals"))</f>
        <v>complete</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miss</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0.666666666666667</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miss</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stop if nothing changes by the decision date</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0.978151260504202</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40.6795366795367</v>
      </c>
    </row>
    <row r="74" customFormat="false" ht="15" hidden="false" customHeight="false" outlineLevel="0" collapsed="false">
      <c r="B74" s="30" t="s">
        <v>312</v>
      </c>
      <c r="C74" s="9" t="str">
        <f aca="false">COUNTIFS(Schedule!$AF$7:$AF$18,"&lt;="&amp;Inputs!$C$17,Schedule!$N$7:$N$18,"Y")&amp;" of "&amp;COUNTIFS(Schedule!$AF$7:$AF$18,"&lt;="&amp;Inputs!$C$17)</f>
        <v>3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every drop whose results are due is in</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6</v>
      </c>
      <c r="F80" s="6" t="str">
        <f aca="false">IF(E80="",IF(Inputs!$C$17&gt;Inputs!$C$15,"miss","not yet"),IF(E80&gt;=C80,"pass",IF(Inputs!$C$17&gt;Inputs!$C$15,"miss","not yet")))</f>
        <v>pass</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n">
        <f aca="false">F54</f>
        <v>60.9655172413793</v>
      </c>
      <c r="F83" s="6" t="str">
        <f aca="false">IF(AND(D55&gt;0,F55&lt;D55),"not yet: "&amp;(D55-F55)&amp;" standard run(s) without actuals",IF(E83="",IF(Inputs!$C$17&gt;Inputs!$C$15,"miss","not yet"),IF(E83&gt;=C83,"pass",IF(Inputs!$C$17&gt;Inputs!$C$15,"miss","not yet"))))</f>
        <v>pass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actual</v>
      </c>
      <c r="E90" s="30" t="str">
        <f aca="false">IF(Drop_PnL!B9="","",Drop_PnL!C9)</f>
        <v>courier</v>
      </c>
      <c r="F90" s="30" t="n">
        <f aca="false">IF(Drop_PnL!B9="","",Drop_PnL!G9)</f>
        <v>3</v>
      </c>
      <c r="G90" s="21" t="n">
        <f aca="false">IF(Drop_PnL!B9="","",Drop_PnL!E9)</f>
        <v>10</v>
      </c>
      <c r="H90" s="19" t="n">
        <f aca="false">IF(Drop_PnL!B9="","",Drop_PnL!BA9)</f>
        <v>1350</v>
      </c>
      <c r="I90" s="19" t="n">
        <f aca="false">IF(Drop_PnL!B9="","",Drop_PnL!BB9)</f>
        <v>535</v>
      </c>
      <c r="J90" s="36" t="n">
        <f aca="false">IF(Drop_PnL!B9="","",Drop_PnL!BC9)</f>
        <v>20.5</v>
      </c>
      <c r="K90" s="19" t="n">
        <f aca="false">IF(Drop_PnL!B9="","",Drop_PnL!BD9)</f>
        <v>815</v>
      </c>
      <c r="L90" s="29" t="n">
        <f aca="false">IF(Drop_PnL!B9="","",Drop_PnL!BE9)</f>
        <v>39.7560975609756</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15780</v>
      </c>
      <c r="I100" s="37" t="n">
        <f aca="false">SUM(I88:I99)</f>
        <v>2252</v>
      </c>
      <c r="J100" s="38" t="n">
        <f aca="false">SUM(J88:J99)</f>
        <v>211.5</v>
      </c>
      <c r="K100" s="37" t="n">
        <f aca="false">SUM(K88:K99)</f>
        <v>13528</v>
      </c>
      <c r="L100" s="29" t="n">
        <f aca="false">IF(J100&gt;0,K100/J100,"n/a")</f>
        <v>63.9621749408983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46472</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46472</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805</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805</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Y</v>
      </c>
      <c r="BA9" s="19" t="n">
        <f aca="false">IF(AZ9="Y",Drop_Actuals!D9,S9)</f>
        <v>1350</v>
      </c>
      <c r="BB9" s="19" t="n">
        <f aca="false">IF(AZ9="Y",Drop_Actuals!J9,AA9)</f>
        <v>535</v>
      </c>
      <c r="BC9" s="36" t="n">
        <f aca="false">IF(AZ9="Y",Drop_Actuals!R9,AI9)</f>
        <v>20.5</v>
      </c>
      <c r="BD9" s="19" t="n">
        <f aca="false">BA9-BB9</f>
        <v>815</v>
      </c>
      <c r="BE9" s="28" t="n">
        <f aca="false">IF(BC9&gt;0,BD9/BC9,"n/a")</f>
        <v>39.7560975609756</v>
      </c>
      <c r="BF9" s="30" t="str">
        <f aca="false">IF(AND(N9=0,AZ9="N"),"",IF(AZ9="Y","actual","plan"))</f>
        <v>actual</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970</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0</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str">
        <f aca="false">IF(BG10=1,B10,"")</f>
        <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15780</v>
      </c>
      <c r="BB19" s="37" t="n">
        <f aca="false">SUM(BB7:BB18)</f>
        <v>2252</v>
      </c>
      <c r="BC19" s="38" t="n">
        <f aca="false">SUM(BC7:BC18)</f>
        <v>211.5</v>
      </c>
      <c r="BD19" s="37" t="n">
        <f aca="false">SUM(BD7:BD18)</f>
        <v>13528</v>
      </c>
      <c r="BE19" s="29" t="n">
        <f aca="false">IF(BC19&gt;0,BD19/BC19,"n/a")</f>
        <v>63.9621749408983</v>
      </c>
      <c r="BH19" s="37" t="n">
        <f aca="false">SUM(BH7:BH18)</f>
        <v>17544</v>
      </c>
      <c r="BI19" s="37" t="n">
        <f aca="false">SUM(BI7:BI18)</f>
        <v>14228</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9000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750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600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6780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750</v>
      </c>
      <c r="Q11" s="37" t="n">
        <f aca="false">SUM(Q9:Q10)</f>
        <v>0</v>
      </c>
      <c r="R11" s="37" t="n">
        <f aca="false">SUM(R9:R10)</f>
        <v>750</v>
      </c>
      <c r="S11" s="37" t="n">
        <f aca="false">SUM(S9:S10)</f>
        <v>1350</v>
      </c>
      <c r="T11" s="37" t="n">
        <f aca="false">SUM(T9:T10)</f>
        <v>600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15780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-160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-0</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-0</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-270</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-380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-1122</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-590</v>
      </c>
      <c r="S18" s="37" t="n">
        <f aca="false">SUM(S13:S17)</f>
        <v>0</v>
      </c>
      <c r="T18" s="37" t="n">
        <f aca="false">SUM(T13:T17)</f>
        <v>-380</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-1552</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690</v>
      </c>
      <c r="Q26" s="90" t="n">
        <f aca="false">Q11+Q18+Q24+Q25</f>
        <v>-150</v>
      </c>
      <c r="R26" s="90" t="n">
        <f aca="false">R11+R18+R24+R25</f>
        <v>160</v>
      </c>
      <c r="S26" s="90" t="n">
        <f aca="false">S11+S18+S24+S25</f>
        <v>1350</v>
      </c>
      <c r="T26" s="90" t="n">
        <f aca="false">T11+T18+T24+T25</f>
        <v>160</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8093</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-1612</v>
      </c>
      <c r="Q27" s="90" t="n">
        <f aca="false">P27+Q26</f>
        <v>-1762</v>
      </c>
      <c r="R27" s="90" t="n">
        <f aca="false">Q27+R26</f>
        <v>-1602</v>
      </c>
      <c r="S27" s="90" t="n">
        <f aca="false">R27+S26</f>
        <v>-252</v>
      </c>
      <c r="T27" s="90" t="n">
        <f aca="false">S27+T26</f>
        <v>-92</v>
      </c>
      <c r="U27" s="90" t="n">
        <f aca="false">T27+U26</f>
        <v>-242</v>
      </c>
      <c r="V27" s="90" t="n">
        <f aca="false">U27+V26</f>
        <v>1940.5</v>
      </c>
      <c r="W27" s="90" t="n">
        <f aca="false">V27+W26</f>
        <v>1835.5</v>
      </c>
      <c r="X27" s="90" t="n">
        <f aca="false">W27+X26</f>
        <v>6140.5</v>
      </c>
      <c r="Y27" s="90" t="n">
        <f aca="false">X27+Y26</f>
        <v>5910.5</v>
      </c>
      <c r="Z27" s="90" t="n">
        <f aca="false">Y27+Z26</f>
        <v>8093</v>
      </c>
      <c r="AA27" s="90" t="n">
        <f aca="false">Z27+AA26</f>
        <v>8093</v>
      </c>
      <c r="AB27" s="90" t="n">
        <f aca="false">AA27+AB26</f>
        <v>8093</v>
      </c>
      <c r="AC27" s="90" t="n">
        <f aca="false">AB27</f>
        <v>8093</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-1612</v>
      </c>
      <c r="Q29" s="90" t="n">
        <f aca="false">Q27+SUM($C28:Q28)</f>
        <v>-1762</v>
      </c>
      <c r="R29" s="90" t="n">
        <f aca="false">R27+SUM($C28:R28)</f>
        <v>-1602</v>
      </c>
      <c r="S29" s="90" t="n">
        <f aca="false">S27+SUM($C28:S28)</f>
        <v>-252</v>
      </c>
      <c r="T29" s="90" t="n">
        <f aca="false">T27+SUM($C28:T28)</f>
        <v>-92</v>
      </c>
      <c r="U29" s="90" t="n">
        <f aca="false">U27+SUM($C28:U28)</f>
        <v>-242</v>
      </c>
      <c r="V29" s="90" t="n">
        <f aca="false">V27+SUM($C28:V28)</f>
        <v>1940.5</v>
      </c>
      <c r="W29" s="90" t="n">
        <f aca="false">W27+SUM($C28:W28)</f>
        <v>1835.5</v>
      </c>
      <c r="X29" s="90" t="n">
        <f aca="false">X27+SUM($C28:X28)</f>
        <v>6140.5</v>
      </c>
      <c r="Y29" s="90" t="n">
        <f aca="false">Y27+SUM($C28:Y28)</f>
        <v>5910.5</v>
      </c>
      <c r="Z29" s="90" t="n">
        <f aca="false">Z27+SUM($C28:Z28)</f>
        <v>8093</v>
      </c>
      <c r="AA29" s="90" t="n">
        <f aca="false">AA27+SUM($C28:AA28)</f>
        <v>8093</v>
      </c>
      <c r="AB29" s="90" t="n">
        <f aca="false">AB27+SUM($C28:AB28)</f>
        <v>8093</v>
      </c>
      <c r="AC29" s="90" t="n">
        <f aca="false">AB29</f>
        <v>8093</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-4000</v>
      </c>
    </row>
    <row r="35" customFormat="false" ht="15" hidden="false" customHeight="false" outlineLevel="0" collapsed="false">
      <c r="B35" s="30" t="s">
        <v>1113</v>
      </c>
      <c r="C35" s="22" t="n">
        <f aca="false">INDEX(C4:AB4,1,MATCH(C34,C27:AB27,0))</f>
        <v>9</v>
      </c>
    </row>
    <row r="36" customFormat="false" ht="15" hidden="false" customHeight="false" outlineLevel="0" collapsed="false">
      <c r="B36" s="30" t="s">
        <v>1114</v>
      </c>
      <c r="C36" s="91" t="n">
        <f aca="false">INDEX(C5:AB5,1,MATCH(C34,C27:AB27,0))</f>
        <v>46377</v>
      </c>
    </row>
    <row r="37" customFormat="false" ht="15" hidden="false" customHeight="false" outlineLevel="0" collapsed="false">
      <c r="B37" s="30" t="s">
        <v>1115</v>
      </c>
      <c r="C37" s="37" t="n">
        <f aca="false">-MIN(0,C34)</f>
        <v>4000</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5000</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1510</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-4000</v>
      </c>
    </row>
    <row r="44" customFormat="false" ht="15" hidden="false" customHeight="false" outlineLevel="0" collapsed="false">
      <c r="B44" s="30" t="s">
        <v>1122</v>
      </c>
      <c r="C44" s="37" t="n">
        <f aca="false">AB27</f>
        <v>8093</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9000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3000</v>
      </c>
      <c r="G53" s="19" t="n">
        <f aca="false">SUMIFS(Actuals_Campaigns!$X$5:$X$204,Actuals_Campaigns!$Y$5:$Y$204,"&gt;="&amp;G$50,Actuals_Campaigns!$Y$5:$Y$204,"&lt;="&amp;G$51,Actuals_Campaigns!$AL$5:$AL$204,"Y")+SUMIFS(Actuals_Campaigns!$AM$5:$AM$204,Actuals_Campaigns!$S$5:$S$204,"&gt;="&amp;G$50,Actuals_Campaigns!$S$5:$S$204,"&lt;="&amp;G$51,Actuals_Campaigns!$AL$5:$AL$204,"Y")</f>
        <v>2700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6780</v>
      </c>
    </row>
    <row r="54" customFormat="false" ht="15" hidden="false" customHeight="false" outlineLevel="0" collapsed="false">
      <c r="B54" s="9" t="s">
        <v>1092</v>
      </c>
      <c r="C54" s="37" t="n">
        <f aca="false">C52+C53</f>
        <v>0</v>
      </c>
      <c r="D54" s="37" t="n">
        <f aca="false">D52+D53</f>
        <v>0</v>
      </c>
      <c r="E54" s="37" t="n">
        <f aca="false">E52+E53</f>
        <v>1080</v>
      </c>
      <c r="F54" s="37" t="n">
        <f aca="false">F52+F53</f>
        <v>3000</v>
      </c>
      <c r="G54" s="37" t="n">
        <f aca="false">G52+G53</f>
        <v>2700</v>
      </c>
      <c r="H54" s="37" t="n">
        <f aca="false">H52+H53</f>
        <v>6750</v>
      </c>
      <c r="I54" s="37" t="n">
        <f aca="false">I52+I53</f>
        <v>2250</v>
      </c>
      <c r="J54" s="37" t="n">
        <f aca="false">SUM(C54:I54)</f>
        <v>15780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-0</v>
      </c>
      <c r="H55" s="19" t="n">
        <f aca="false">-SUMIFS(Drop_PnL!$T$7:$T$18,Drop_PnL!$AX$7:$AX$18,"&gt;="&amp;H$50,Drop_PnL!$AX$7:$AX$18,"&lt;="&amp;H$51,Drop_PnL!$AZ$7:$AZ$18,"N")</f>
        <v>-80</v>
      </c>
      <c r="I55" s="19" t="n">
        <f aca="false">-SUMIFS(Drop_PnL!$T$7:$T$18,Drop_PnL!$AX$7:$AX$18,"&gt;="&amp;I$50,Drop_PnL!$AX$7:$AX$18,"&lt;="&amp;I$51,Drop_PnL!$AZ$7:$AZ$18,"N")</f>
        <v>-80</v>
      </c>
      <c r="J55" s="37" t="n">
        <f aca="false">SUM(C55:I55)</f>
        <v>-160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-0</v>
      </c>
      <c r="H56" s="19" t="n">
        <f aca="false">-SUMIFS(Drop_PnL!$U$7:$U$18,Drop_PnL!$AY$7:$AY$18,"&gt;="&amp;H$50,Drop_PnL!$AY$7:$AY$18,"&lt;="&amp;H$51,Drop_PnL!$AZ$7:$AZ$18,"N")</f>
        <v>-0</v>
      </c>
      <c r="I56" s="19" t="n">
        <f aca="false">-SUMIFS(Drop_PnL!$U$7:$U$18,Drop_PnL!$AY$7:$AY$18,"&gt;="&amp;I$50,Drop_PnL!$AY$7:$AY$18,"&lt;="&amp;I$51,Drop_PnL!$AZ$7:$AZ$18,"N")</f>
        <v>-0</v>
      </c>
      <c r="J56" s="37" t="n">
        <f aca="false">SUM(C56:I56)</f>
        <v>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-0</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-270</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-970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-1122</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-152</v>
      </c>
      <c r="G60" s="37" t="n">
        <f aca="false">G55+G56+G57+G58+G59</f>
        <v>-970</v>
      </c>
      <c r="H60" s="37" t="n">
        <f aca="false">H55+H56+H57+H58+H59</f>
        <v>-282.5</v>
      </c>
      <c r="I60" s="37" t="n">
        <f aca="false">I55+I56+I57+I58+I59</f>
        <v>-147.5</v>
      </c>
      <c r="J60" s="37" t="n">
        <f aca="false">SUM(C60:I60)</f>
        <v>-1552</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2388</v>
      </c>
      <c r="G67" s="37" t="n">
        <f aca="false">G54+G60+G65+G66</f>
        <v>1520</v>
      </c>
      <c r="H67" s="37" t="n">
        <f aca="false">H54+H60+H65+H66</f>
        <v>6232.5</v>
      </c>
      <c r="I67" s="37" t="n">
        <f aca="false">I54+I60+I65+I66</f>
        <v>1952.5</v>
      </c>
      <c r="J67" s="37" t="n">
        <f aca="false">SUM(C67:I67)</f>
        <v>8093</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160</v>
      </c>
      <c r="I26" s="7" t="s">
        <v>1434</v>
      </c>
    </row>
    <row r="27" customFormat="false" ht="15" hidden="false" customHeight="false" outlineLevel="0" collapsed="false">
      <c r="B27" s="7" t="s">
        <v>1435</v>
      </c>
      <c r="C27" s="60"/>
      <c r="D27" s="60"/>
      <c r="E27" s="60"/>
      <c r="F27" s="7" t="s">
        <v>1433</v>
      </c>
      <c r="G27" s="19" t="n">
        <f aca="false">-Cash_Flow!$AC$14-G11</f>
        <v>-720</v>
      </c>
      <c r="I27" s="7" t="s">
        <v>1436</v>
      </c>
    </row>
    <row r="28" customFormat="false" ht="15" hidden="false" customHeight="false" outlineLevel="0" collapsed="false">
      <c r="B28" s="7" t="s">
        <v>1018</v>
      </c>
      <c r="C28" s="60"/>
      <c r="D28" s="60"/>
      <c r="E28" s="60"/>
      <c r="F28" s="7" t="s">
        <v>1437</v>
      </c>
      <c r="G28" s="19" t="n">
        <f aca="false">-Cash_Flow!$AC$16</f>
        <v>270</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6565</v>
      </c>
    </row>
    <row r="32" customFormat="false" ht="15" hidden="false" customHeight="false" outlineLevel="0" collapsed="false">
      <c r="B32" s="9" t="s">
        <v>1444</v>
      </c>
      <c r="G32" s="37" t="n">
        <f aca="false">-(Cash_Flow!$AC$26-Cash_Flow!$AC$9-Cash_Flow!$AC$10)</f>
        <v>7687</v>
      </c>
    </row>
    <row r="33" customFormat="false" ht="15" hidden="false" customHeight="false" outlineLevel="0" collapsed="false">
      <c r="B33" s="9" t="s">
        <v>1445</v>
      </c>
      <c r="G33" s="94" t="n">
        <f aca="false">G31-G32</f>
        <v>-1122</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6</v>
      </c>
      <c r="S7" s="36" t="n">
        <f aca="false">SUMIFS(Hours_Log!$E$5:$E$1004,Hours_Log!$B$5:$B$1004,$Q7,Hours_Log!$D$5:$D$1004,S$4)+SUMIFS(Toggl_Import!$AI$10:$AI$509,Toggl_Import!$AG$10:$AG$509,$Q7,Toggl_Import!$AH$10:$AH$509,S$4)</f>
        <v>1.5</v>
      </c>
      <c r="T7" s="36" t="n">
        <f aca="false">SUMIFS(Hours_Log!$E$5:$E$1004,Hours_Log!$B$5:$B$1004,$Q7,Hours_Log!$D$5:$D$1004,T$4)+SUMIFS(Toggl_Import!$AI$10:$AI$509,Toggl_Import!$AG$10:$AG$509,$Q7,Toggl_Import!$AH$10:$AH$509,T$4)</f>
        <v>3</v>
      </c>
      <c r="U7" s="36" t="n">
        <f aca="false">SUMIFS(Hours_Log!$E$5:$E$1004,Hours_Log!$B$5:$B$1004,$Q7,Hours_Log!$D$5:$D$1004,U$4)+SUMIFS(Toggl_Import!$AI$10:$AI$509,Toggl_Import!$AG$10:$AG$509,$Q7,Toggl_Import!$AH$10:$AH$509,U$4)</f>
        <v>4</v>
      </c>
      <c r="V7" s="36" t="n">
        <f aca="false">SUMIFS(Hours_Log!$E$5:$E$1004,Hours_Log!$B$5:$B$1004,$Q7,Hours_Log!$D$5:$D$1004,V$4)+SUMIFS(Toggl_Import!$AI$10:$AI$509,Toggl_Import!$AG$10:$AG$509,$Q7,Toggl_Import!$AH$10:$AH$509,V$4)</f>
        <v>3</v>
      </c>
      <c r="W7" s="36" t="n">
        <f aca="false">SUMIFS(Hours_Log!$E$5:$E$1004,Hours_Log!$B$5:$B$1004,$Q7,Hours_Log!$D$5:$D$1004,W$4)+SUMIFS(Toggl_Import!$AI$10:$AI$509,Toggl_Import!$AG$10:$AG$509,$Q7,Toggl_Import!$AH$10:$AH$509,W$4)</f>
        <v>2</v>
      </c>
      <c r="X7" s="36" t="n">
        <f aca="false">SUMIFS(Hours_Log!$E$5:$E$1004,Hours_Log!$B$5:$B$1004,$Q7,Hours_Log!$D$5:$D$1004,X$4)+SUMIFS(Toggl_Import!$AI$10:$AI$509,Toggl_Import!$AG$10:$AG$509,$Q7,Toggl_Import!$AH$10:$AH$509,X$4)</f>
        <v>1</v>
      </c>
      <c r="Y7" s="38" t="n">
        <f aca="false">SUM(R7:X7)</f>
        <v>20.5</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51.5</v>
      </c>
      <c r="S17" s="36" t="n">
        <f aca="false">SUMIFS(Hours_Log!$E$5:$E$1004,Hours_Log!$D$5:$D$1004,S$4)+SUMIFS(Toggl_Import!$AI$10:$AI$509,Toggl_Import!$AH$10:$AH$509,S$4)</f>
        <v>39</v>
      </c>
      <c r="T17" s="36" t="n">
        <f aca="false">SUMIFS(Hours_Log!$E$5:$E$1004,Hours_Log!$D$5:$D$1004,T$4)+SUMIFS(Toggl_Import!$AI$10:$AI$509,Toggl_Import!$AH$10:$AH$509,T$4)</f>
        <v>10</v>
      </c>
      <c r="U17" s="36" t="n">
        <f aca="false">SUMIFS(Hours_Log!$E$5:$E$1004,Hours_Log!$D$5:$D$1004,U$4)+SUMIFS(Toggl_Import!$AI$10:$AI$509,Toggl_Import!$AH$10:$AH$509,U$4)</f>
        <v>17</v>
      </c>
      <c r="V17" s="36" t="n">
        <f aca="false">SUMIFS(Hours_Log!$E$5:$E$1004,Hours_Log!$D$5:$D$1004,V$4)+SUMIFS(Toggl_Import!$AI$10:$AI$509,Toggl_Import!$AH$10:$AH$509,V$4)</f>
        <v>10</v>
      </c>
      <c r="W17" s="36" t="n">
        <f aca="false">SUMIFS(Hours_Log!$E$5:$E$1004,Hours_Log!$D$5:$D$1004,W$4)+SUMIFS(Toggl_Import!$AI$10:$AI$509,Toggl_Import!$AH$10:$AH$509,W$4)</f>
        <v>12</v>
      </c>
      <c r="X17" s="36" t="n">
        <f aca="false">SUMIFS(Hours_Log!$E$5:$E$1004,Hours_Log!$D$5:$D$1004,X$4)+SUMIFS(Toggl_Import!$AI$10:$AI$509,Toggl_Import!$AH$10:$AH$509,X$4)</f>
        <v>5</v>
      </c>
      <c r="Y17" s="38" t="n">
        <f aca="false">SUM(R17:X17)</f>
        <v>144.5</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2</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12</v>
      </c>
      <c r="AA33" s="36" t="n">
        <f aca="false">SUMIFS(Hours_Log!$E$5:$E$1004,Hours_Log!$A$5:$A$1004,"&gt;="&amp;$R33,Hours_Log!$A$5:$A$1004,"&lt;"&amp;$R33+Inputs!$C$18,Hours_Log!$B$5:$B$1004,Inputs!$C$30&amp;"*")+SUMIFS(Toggl_Import!$AI$10:$AI$509,Toggl_Import!$AF$10:$AF$509,"&gt;="&amp;$R33,Toggl_Import!$AF$10:$AF$509,"&lt;"&amp;$R33+Inputs!$C$18,Toggl_Import!$AG$10:$AG$509,Inputs!$C$30&amp;"*")</f>
        <v>12</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2</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7.75</v>
      </c>
      <c r="AA34" s="36" t="n">
        <f aca="false">SUMIFS(Hours_Log!$E$5:$E$1004,Hours_Log!$A$5:$A$1004,"&gt;="&amp;$R34,Hours_Log!$A$5:$A$1004,"&lt;"&amp;$R34+Inputs!$C$18,Hours_Log!$B$5:$B$1004,Inputs!$C$30&amp;"*")+SUMIFS(Toggl_Import!$AI$10:$AI$509,Toggl_Import!$AF$10:$AF$509,"&gt;="&amp;$R34,Toggl_Import!$AF$10:$AF$509,"&lt;"&amp;$R34+Inputs!$C$18,Toggl_Import!$AG$10:$AG$509,Inputs!$C$30&amp;"*")</f>
        <v>7.75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2</v>
      </c>
      <c r="T35" s="36" t="n">
        <f aca="false">SUMIFS(Hours_Log!$E$5:$E$1004,Hours_Log!$A$5:$A$1004,"&gt;="&amp;$R35,Hours_Log!$A$5:$A$1004,"&lt;"&amp;$R35+Inputs!$C$18,Hours_Log!$D$5:$D$1004,T$21)+SUMIFS(Toggl_Import!$AI$10:$AI$509,Toggl_Import!$AF$10:$AF$509,"&gt;="&amp;$R35,Toggl_Import!$AF$10:$AF$509,"&lt;"&amp;$R35+Inputs!$C$18,Toggl_Import!$AH$10:$AH$509,T$21)</f>
        <v>1.5</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5.5</v>
      </c>
      <c r="AA35" s="36" t="n">
        <f aca="false">SUMIFS(Hours_Log!$E$5:$E$1004,Hours_Log!$A$5:$A$1004,"&gt;="&amp;$R35,Hours_Log!$A$5:$A$1004,"&lt;"&amp;$R35+Inputs!$C$18,Hours_Log!$B$5:$B$1004,Inputs!$C$30&amp;"*")+SUMIFS(Toggl_Import!$AI$10:$AI$509,Toggl_Import!$AF$10:$AF$509,"&gt;="&amp;$R35,Toggl_Import!$AF$10:$AF$509,"&lt;"&amp;$R35+Inputs!$C$18,Toggl_Import!$AG$10:$AG$509,Inputs!$C$30&amp;"*")</f>
        <v>5.5</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3.5</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14.5</v>
      </c>
      <c r="AA37" s="36" t="n">
        <f aca="false">SUMIFS(Hours_Log!$E$5:$E$1004,Hours_Log!$A$5:$A$1004,"&gt;="&amp;$R37,Hours_Log!$A$5:$A$1004,"&lt;"&amp;$R37+Inputs!$C$18,Hours_Log!$B$5:$B$1004,Inputs!$C$30&amp;"*")+SUMIFS(Toggl_Import!$AI$10:$AI$509,Toggl_Import!$AF$10:$AF$509,"&gt;="&amp;$R37,Toggl_Import!$AF$10:$AF$509,"&lt;"&amp;$R37+Inputs!$C$18,Toggl_Import!$AG$10:$AG$509,Inputs!$C$30&amp;"*")</f>
        <v>14.5</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1.5</v>
      </c>
      <c r="V39" s="36" t="n">
        <f aca="false">SUMIFS(Hours_Log!$E$5:$E$1004,Hours_Log!$A$5:$A$1004,"&gt;="&amp;$R39,Hours_Log!$A$5:$A$1004,"&lt;"&amp;$R39+Inputs!$C$18,Hours_Log!$D$5:$D$1004,V$21)+SUMIFS(Toggl_Import!$AI$10:$AI$509,Toggl_Import!$AF$10:$AF$509,"&gt;="&amp;$R39,Toggl_Import!$AF$10:$AF$509,"&lt;"&amp;$R39+Inputs!$C$18,Toggl_Import!$AH$10:$AH$509,V$21)</f>
        <v>4</v>
      </c>
      <c r="W39" s="36" t="n">
        <f aca="false">SUMIFS(Hours_Log!$E$5:$E$1004,Hours_Log!$A$5:$A$1004,"&gt;="&amp;$R39,Hours_Log!$A$5:$A$1004,"&lt;"&amp;$R39+Inputs!$C$18,Hours_Log!$D$5:$D$1004,W$21)+SUMIFS(Toggl_Import!$AI$10:$AI$509,Toggl_Import!$AF$10:$AF$509,"&gt;="&amp;$R39,Toggl_Import!$AF$10:$AF$509,"&lt;"&amp;$R39+Inputs!$C$18,Toggl_Import!$AH$10:$AH$509,W$21)</f>
        <v>1.5</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1</v>
      </c>
      <c r="Z39" s="38" t="n">
        <f aca="false">SUM(S39:Y39)</f>
        <v>9.5</v>
      </c>
      <c r="AA39" s="36" t="n">
        <f aca="false">SUMIFS(Hours_Log!$E$5:$E$1004,Hours_Log!$A$5:$A$1004,"&gt;="&amp;$R39,Hours_Log!$A$5:$A$1004,"&lt;"&amp;$R39+Inputs!$C$18,Hours_Log!$B$5:$B$1004,Inputs!$C$30&amp;"*")+SUMIFS(Toggl_Import!$AI$10:$AI$509,Toggl_Import!$AF$10:$AF$509,"&gt;="&amp;$R39,Toggl_Import!$AF$10:$AF$509,"&lt;"&amp;$R39+Inputs!$C$18,Toggl_Import!$AG$10:$AG$509,Inputs!$C$30&amp;"*")</f>
        <v>9.5</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1.5</v>
      </c>
      <c r="X40" s="36" t="n">
        <f aca="false">SUMIFS(Hours_Log!$E$5:$E$1004,Hours_Log!$A$5:$A$1004,"&gt;="&amp;$R40,Hours_Log!$A$5:$A$1004,"&lt;"&amp;$R40+Inputs!$C$18,Hours_Log!$D$5:$D$1004,X$21)+SUMIFS(Toggl_Import!$AI$10:$AI$509,Toggl_Import!$AF$10:$AF$509,"&gt;="&amp;$R40,Toggl_Import!$AF$10:$AF$509,"&lt;"&amp;$R40+Inputs!$C$18,Toggl_Import!$AH$10:$AH$509,X$21)</f>
        <v>1.5</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3</v>
      </c>
      <c r="AA40" s="36" t="n">
        <f aca="false">SUMIFS(Hours_Log!$E$5:$E$1004,Hours_Log!$A$5:$A$1004,"&gt;="&amp;$R40,Hours_Log!$A$5:$A$1004,"&lt;"&amp;$R40+Inputs!$C$18,Hours_Log!$B$5:$B$1004,Inputs!$C$30&amp;"*")+SUMIFS(Toggl_Import!$AI$10:$AI$509,Toggl_Import!$AF$10:$AF$509,"&gt;="&amp;$R40,Toggl_Import!$AF$10:$AF$509,"&lt;"&amp;$R40+Inputs!$C$18,Toggl_Import!$AG$10:$AG$509,Inputs!$C$30&amp;"*")</f>
        <v>3</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0.5</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0.5</v>
      </c>
      <c r="AA41" s="36" t="n">
        <f aca="false">SUMIFS(Hours_Log!$E$5:$E$1004,Hours_Log!$A$5:$A$1004,"&gt;="&amp;$R41,Hours_Log!$A$5:$A$1004,"&lt;"&amp;$R41+Inputs!$C$18,Hours_Log!$B$5:$B$1004,Inputs!$C$30&amp;"*")+SUMIFS(Toggl_Import!$AI$10:$AI$509,Toggl_Import!$AF$10:$AF$509,"&gt;="&amp;$R41,Toggl_Import!$AF$10:$AF$509,"&lt;"&amp;$R41+Inputs!$C$18,Toggl_Import!$AG$10:$AG$509,Inputs!$C$30&amp;"*")</f>
        <v>0.5</v>
      </c>
    </row>
    <row r="42" customFormat="false" ht="15" hidden="false" customHeight="false" outlineLevel="0" collapsed="false">
      <c r="A42" s="102" t="n">
        <v>46391</v>
      </c>
      <c r="B42" s="103" t="s">
        <v>982</v>
      </c>
      <c r="C42" s="103" t="s">
        <v>1475</v>
      </c>
      <c r="D42" s="104" t="s">
        <v>1306</v>
      </c>
      <c r="E42" s="105" t="n">
        <v>2</v>
      </c>
      <c r="F42" s="103" t="s">
        <v>1476</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t="n">
        <v>46380</v>
      </c>
      <c r="B43" s="103" t="s">
        <v>982</v>
      </c>
      <c r="C43" s="103" t="s">
        <v>1475</v>
      </c>
      <c r="D43" s="104" t="s">
        <v>1306</v>
      </c>
      <c r="E43" s="105" t="n">
        <v>2</v>
      </c>
      <c r="F43" s="103" t="s">
        <v>1476</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t="n">
        <v>46373</v>
      </c>
      <c r="B44" s="103" t="s">
        <v>982</v>
      </c>
      <c r="C44" s="103" t="s">
        <v>1475</v>
      </c>
      <c r="D44" s="104" t="s">
        <v>1306</v>
      </c>
      <c r="E44" s="105" t="n">
        <v>2</v>
      </c>
      <c r="F44" s="103" t="s">
        <v>1476</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t="n">
        <v>46437</v>
      </c>
      <c r="B45" s="103" t="s">
        <v>982</v>
      </c>
      <c r="C45" s="103" t="s">
        <v>1475</v>
      </c>
      <c r="D45" s="104" t="s">
        <v>1311</v>
      </c>
      <c r="E45" s="105" t="n">
        <v>1.5</v>
      </c>
      <c r="F45" s="103" t="s">
        <v>1471</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t="n">
        <v>46442</v>
      </c>
      <c r="B46" s="103" t="s">
        <v>982</v>
      </c>
      <c r="C46" s="103" t="s">
        <v>1475</v>
      </c>
      <c r="D46" s="104" t="s">
        <v>1311</v>
      </c>
      <c r="E46" s="105" t="n">
        <v>0.5</v>
      </c>
      <c r="F46" s="103" t="s">
        <v>1477</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982</v>
      </c>
      <c r="C47" s="103" t="s">
        <v>1478</v>
      </c>
      <c r="D47" s="104" t="s">
        <v>1306</v>
      </c>
      <c r="E47" s="105" t="n">
        <v>2</v>
      </c>
      <c r="F47" s="103" t="s">
        <v>1476</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982</v>
      </c>
      <c r="C48" s="103" t="s">
        <v>1478</v>
      </c>
      <c r="D48" s="104" t="s">
        <v>1306</v>
      </c>
      <c r="E48" s="105" t="n">
        <v>2</v>
      </c>
      <c r="F48" s="103" t="s">
        <v>1476</v>
      </c>
      <c r="Q48" s="30" t="s">
        <v>1085</v>
      </c>
      <c r="S48" s="38" t="n">
        <f aca="false">SUM(S22:S47)</f>
        <v>51.5</v>
      </c>
      <c r="T48" s="38" t="n">
        <f aca="false">SUM(T22:T47)</f>
        <v>39</v>
      </c>
      <c r="U48" s="38" t="n">
        <f aca="false">SUM(U22:U47)</f>
        <v>10</v>
      </c>
      <c r="V48" s="38" t="n">
        <f aca="false">SUM(V22:V47)</f>
        <v>17</v>
      </c>
      <c r="W48" s="38" t="n">
        <f aca="false">SUM(W22:W47)</f>
        <v>10</v>
      </c>
      <c r="X48" s="38" t="n">
        <f aca="false">SUM(X22:X47)</f>
        <v>12</v>
      </c>
      <c r="Y48" s="38" t="n">
        <f aca="false">SUM(Y22:Y47)</f>
        <v>5</v>
      </c>
      <c r="Z48" s="38" t="n">
        <f aca="false">SUM(Z22:Z47)</f>
        <v>144.5</v>
      </c>
      <c r="AA48" s="38" t="n">
        <f aca="false">SUM(AA22:AA47)</f>
        <v>129.5</v>
      </c>
    </row>
    <row r="49" customFormat="false" ht="15" hidden="false" customHeight="false" outlineLevel="0" collapsed="false">
      <c r="A49" s="102" t="n">
        <v>46377</v>
      </c>
      <c r="B49" s="103" t="s">
        <v>982</v>
      </c>
      <c r="C49" s="103" t="s">
        <v>1478</v>
      </c>
      <c r="D49" s="104" t="s">
        <v>1306</v>
      </c>
      <c r="E49" s="105" t="n">
        <v>2</v>
      </c>
      <c r="F49" s="103" t="s">
        <v>1476</v>
      </c>
    </row>
    <row r="50" customFormat="false" ht="15" hidden="false" customHeight="false" outlineLevel="0" collapsed="false">
      <c r="A50" s="102" t="n">
        <v>46437</v>
      </c>
      <c r="B50" s="103" t="s">
        <v>982</v>
      </c>
      <c r="C50" s="103" t="s">
        <v>1478</v>
      </c>
      <c r="D50" s="104" t="s">
        <v>1311</v>
      </c>
      <c r="E50" s="105" t="n">
        <v>1.5</v>
      </c>
      <c r="F50" s="103" t="s">
        <v>1471</v>
      </c>
      <c r="Q50" s="30" t="s">
        <v>1479</v>
      </c>
      <c r="Z50" s="22" t="n">
        <f aca="false">COUNTA(Hours_Log!$D$5:$D$1004)-SUMPRODUCT(COUNTIF(Hours_Log!$D$5:$D$1004,Lists!$C$4:$C$10))</f>
        <v>0</v>
      </c>
    </row>
    <row r="51" customFormat="false" ht="15" hidden="false" customHeight="false" outlineLevel="0" collapsed="false">
      <c r="A51" s="102" t="n">
        <v>46442</v>
      </c>
      <c r="B51" s="103" t="s">
        <v>982</v>
      </c>
      <c r="C51" s="103" t="s">
        <v>1478</v>
      </c>
      <c r="D51" s="104" t="s">
        <v>1311</v>
      </c>
      <c r="E51" s="105" t="n">
        <v>0.5</v>
      </c>
      <c r="F51" s="103" t="s">
        <v>1477</v>
      </c>
      <c r="Q51" s="30" t="s">
        <v>1480</v>
      </c>
      <c r="Z51" s="22" t="n">
        <f aca="false">SUMPRODUCT((Hours_Log!$B$5:$B$1004&lt;&gt;"")*(COUNTIF(Schedule!$A$7:$A$18,Hours_Log!$B$5:$B$1004)=0))</f>
        <v>0</v>
      </c>
    </row>
    <row r="52" customFormat="false" ht="15" hidden="false" customHeight="false" outlineLevel="0" collapsed="false">
      <c r="A52" s="102" t="n">
        <v>46395</v>
      </c>
      <c r="B52" s="103" t="s">
        <v>982</v>
      </c>
      <c r="C52" s="103" t="s">
        <v>1481</v>
      </c>
      <c r="D52" s="104" t="s">
        <v>1306</v>
      </c>
      <c r="E52" s="105" t="n">
        <v>2</v>
      </c>
      <c r="F52" s="103" t="s">
        <v>1476</v>
      </c>
      <c r="Q52" s="30" t="s">
        <v>1482</v>
      </c>
      <c r="Z52" s="38" t="n">
        <f aca="false">Y17-Z48</f>
        <v>0</v>
      </c>
    </row>
    <row r="53" customFormat="false" ht="15" hidden="false" customHeight="false" outlineLevel="0" collapsed="false">
      <c r="A53" s="102" t="n">
        <v>46387</v>
      </c>
      <c r="B53" s="103" t="s">
        <v>982</v>
      </c>
      <c r="C53" s="103" t="s">
        <v>1481</v>
      </c>
      <c r="D53" s="104" t="s">
        <v>1306</v>
      </c>
      <c r="E53" s="105" t="n">
        <v>2</v>
      </c>
      <c r="F53" s="103" t="s">
        <v>1476</v>
      </c>
      <c r="Q53" s="30" t="s">
        <v>1483</v>
      </c>
      <c r="Z53" s="38" t="n">
        <f aca="false">Z48-AA48</f>
        <v>15</v>
      </c>
    </row>
    <row r="54" customFormat="false" ht="15" hidden="false" customHeight="false" outlineLevel="0" collapsed="false">
      <c r="A54" s="102" t="n">
        <v>46379</v>
      </c>
      <c r="B54" s="103" t="s">
        <v>982</v>
      </c>
      <c r="C54" s="103" t="s">
        <v>1481</v>
      </c>
      <c r="D54" s="104" t="s">
        <v>1306</v>
      </c>
      <c r="E54" s="105" t="n">
        <v>2</v>
      </c>
      <c r="F54" s="103" t="s">
        <v>1476</v>
      </c>
    </row>
    <row r="55" customFormat="false" ht="15" hidden="false" customHeight="false" outlineLevel="0" collapsed="false">
      <c r="A55" s="102" t="n">
        <v>46437</v>
      </c>
      <c r="B55" s="103" t="s">
        <v>982</v>
      </c>
      <c r="C55" s="103" t="s">
        <v>1481</v>
      </c>
      <c r="D55" s="104" t="s">
        <v>1311</v>
      </c>
      <c r="E55" s="105" t="n">
        <v>1.5</v>
      </c>
      <c r="F55" s="103" t="s">
        <v>1471</v>
      </c>
    </row>
    <row r="56" customFormat="false" ht="15" hidden="false" customHeight="false" outlineLevel="0" collapsed="false">
      <c r="A56" s="102" t="n">
        <v>46442</v>
      </c>
      <c r="B56" s="103" t="s">
        <v>982</v>
      </c>
      <c r="C56" s="103" t="s">
        <v>1481</v>
      </c>
      <c r="D56" s="104" t="s">
        <v>1311</v>
      </c>
      <c r="E56" s="105" t="n">
        <v>0.5</v>
      </c>
      <c r="F56" s="103" t="s">
        <v>1477</v>
      </c>
    </row>
    <row r="57" customFormat="false" ht="15" hidden="false" customHeight="false" outlineLevel="0" collapsed="false">
      <c r="A57" s="102" t="n">
        <v>46392</v>
      </c>
      <c r="B57" s="103" t="s">
        <v>982</v>
      </c>
      <c r="C57" s="103"/>
      <c r="D57" s="104" t="s">
        <v>1307</v>
      </c>
      <c r="E57" s="105" t="n">
        <v>1.5</v>
      </c>
      <c r="F57" s="103" t="s">
        <v>1484</v>
      </c>
    </row>
    <row r="58" customFormat="false" ht="15" hidden="false" customHeight="false" outlineLevel="0" collapsed="false">
      <c r="A58" s="102" t="n">
        <v>46393</v>
      </c>
      <c r="B58" s="103" t="s">
        <v>982</v>
      </c>
      <c r="C58" s="103"/>
      <c r="D58" s="104" t="s">
        <v>1307</v>
      </c>
      <c r="E58" s="105" t="n">
        <v>1.5</v>
      </c>
      <c r="F58" s="103" t="s">
        <v>1484</v>
      </c>
    </row>
    <row r="59" customFormat="false" ht="15" hidden="false" customHeight="false" outlineLevel="0" collapsed="false">
      <c r="A59" s="102" t="n">
        <v>46394</v>
      </c>
      <c r="B59" s="103" t="s">
        <v>982</v>
      </c>
      <c r="C59" s="103"/>
      <c r="D59" s="104" t="s">
        <v>1307</v>
      </c>
      <c r="E59" s="105" t="n">
        <v>1.5</v>
      </c>
      <c r="F59" s="103" t="s">
        <v>1484</v>
      </c>
    </row>
    <row r="60" customFormat="false" ht="15" hidden="false" customHeight="false" outlineLevel="0" collapsed="false">
      <c r="A60" s="102" t="n">
        <v>46395</v>
      </c>
      <c r="B60" s="103" t="s">
        <v>982</v>
      </c>
      <c r="C60" s="103"/>
      <c r="D60" s="104" t="s">
        <v>1307</v>
      </c>
      <c r="E60" s="105" t="n">
        <v>1.5</v>
      </c>
      <c r="F60" s="103" t="s">
        <v>1484</v>
      </c>
    </row>
    <row r="61" customFormat="false" ht="15" hidden="false" customHeight="false" outlineLevel="0" collapsed="false">
      <c r="A61" s="102" t="n">
        <v>46400</v>
      </c>
      <c r="B61" s="103" t="s">
        <v>982</v>
      </c>
      <c r="C61" s="103"/>
      <c r="D61" s="104" t="s">
        <v>1307</v>
      </c>
      <c r="E61" s="105" t="n">
        <v>1.5</v>
      </c>
      <c r="F61" s="103" t="s">
        <v>1484</v>
      </c>
    </row>
    <row r="62" customFormat="false" ht="15" hidden="false" customHeight="false" outlineLevel="0" collapsed="false">
      <c r="A62" s="102" t="n">
        <v>46407</v>
      </c>
      <c r="B62" s="103" t="s">
        <v>982</v>
      </c>
      <c r="C62" s="103"/>
      <c r="D62" s="104" t="s">
        <v>1307</v>
      </c>
      <c r="E62" s="105" t="n">
        <v>1.25</v>
      </c>
      <c r="F62" s="103" t="s">
        <v>1485</v>
      </c>
    </row>
    <row r="63" customFormat="false" ht="15" hidden="false" customHeight="false" outlineLevel="0" collapsed="false">
      <c r="A63" s="102" t="n">
        <v>46419</v>
      </c>
      <c r="B63" s="103" t="s">
        <v>982</v>
      </c>
      <c r="C63" s="103"/>
      <c r="D63" s="104" t="s">
        <v>1307</v>
      </c>
      <c r="E63" s="105" t="n">
        <v>1.25</v>
      </c>
      <c r="F63" s="103" t="s">
        <v>1485</v>
      </c>
    </row>
    <row r="64" customFormat="false" ht="15" hidden="false" customHeight="false" outlineLevel="0" collapsed="false">
      <c r="A64" s="102" t="n">
        <v>46416</v>
      </c>
      <c r="B64" s="103" t="s">
        <v>982</v>
      </c>
      <c r="C64" s="103"/>
      <c r="D64" s="104" t="s">
        <v>1308</v>
      </c>
      <c r="E64" s="105" t="n">
        <v>1</v>
      </c>
      <c r="F64" s="103"/>
    </row>
    <row r="65" customFormat="false" ht="15" hidden="false" customHeight="false" outlineLevel="0" collapsed="false">
      <c r="A65" s="102" t="n">
        <v>46419</v>
      </c>
      <c r="B65" s="103" t="s">
        <v>982</v>
      </c>
      <c r="C65" s="103"/>
      <c r="D65" s="104" t="s">
        <v>1308</v>
      </c>
      <c r="E65" s="105" t="n">
        <v>1</v>
      </c>
      <c r="F65" s="103"/>
    </row>
    <row r="66" customFormat="false" ht="15" hidden="false" customHeight="false" outlineLevel="0" collapsed="false">
      <c r="A66" s="102" t="n">
        <v>46426</v>
      </c>
      <c r="B66" s="103" t="s">
        <v>982</v>
      </c>
      <c r="C66" s="103"/>
      <c r="D66" s="104" t="s">
        <v>1308</v>
      </c>
      <c r="E66" s="105" t="n">
        <v>2</v>
      </c>
      <c r="F66" s="103"/>
    </row>
    <row r="67" customFormat="false" ht="15" hidden="false" customHeight="false" outlineLevel="0" collapsed="false">
      <c r="A67" s="102" t="n">
        <v>46427</v>
      </c>
      <c r="B67" s="103" t="s">
        <v>982</v>
      </c>
      <c r="C67" s="103"/>
      <c r="D67" s="104" t="s">
        <v>1309</v>
      </c>
      <c r="E67" s="105" t="n">
        <v>6.5</v>
      </c>
      <c r="F67" s="103" t="s">
        <v>1486</v>
      </c>
    </row>
    <row r="68" customFormat="false" ht="15" hidden="false" customHeight="false" outlineLevel="0" collapsed="false">
      <c r="A68" s="102" t="n">
        <v>46428</v>
      </c>
      <c r="B68" s="103" t="s">
        <v>982</v>
      </c>
      <c r="C68" s="103"/>
      <c r="D68" s="104" t="s">
        <v>1309</v>
      </c>
      <c r="E68" s="105" t="n">
        <v>1.5</v>
      </c>
      <c r="F68" s="103" t="s">
        <v>1487</v>
      </c>
    </row>
    <row r="69" customFormat="false" ht="15" hidden="false" customHeight="false" outlineLevel="0" collapsed="false">
      <c r="A69" s="102" t="n">
        <v>46429</v>
      </c>
      <c r="B69" s="103" t="s">
        <v>982</v>
      </c>
      <c r="C69" s="103"/>
      <c r="D69" s="104" t="s">
        <v>1310</v>
      </c>
      <c r="E69" s="105" t="n">
        <v>2</v>
      </c>
      <c r="F69" s="103"/>
    </row>
    <row r="70" customFormat="false" ht="15" hidden="false" customHeight="false" outlineLevel="0" collapsed="false">
      <c r="A70" s="102" t="n">
        <v>46434</v>
      </c>
      <c r="B70" s="103" t="s">
        <v>982</v>
      </c>
      <c r="C70" s="103"/>
      <c r="D70" s="104" t="s">
        <v>1310</v>
      </c>
      <c r="E70" s="105" t="n">
        <v>2</v>
      </c>
      <c r="F70" s="103"/>
    </row>
    <row r="71" customFormat="false" ht="15" hidden="false" customHeight="false" outlineLevel="0" collapsed="false">
      <c r="A71" s="102" t="n">
        <v>46391</v>
      </c>
      <c r="B71" s="103" t="s">
        <v>982</v>
      </c>
      <c r="C71" s="103"/>
      <c r="D71" s="104" t="s">
        <v>1312</v>
      </c>
      <c r="E71" s="105" t="n">
        <v>1</v>
      </c>
      <c r="F71" s="103"/>
    </row>
    <row r="72" customFormat="false" ht="15" hidden="false" customHeight="false" outlineLevel="0" collapsed="false">
      <c r="A72" s="102" t="n">
        <v>46428</v>
      </c>
      <c r="B72" s="103" t="s">
        <v>982</v>
      </c>
      <c r="C72" s="103"/>
      <c r="D72" s="104" t="s">
        <v>1312</v>
      </c>
      <c r="E72" s="105" t="n">
        <v>1</v>
      </c>
      <c r="F72" s="103"/>
    </row>
    <row r="73" customFormat="false" ht="15" hidden="false" customHeight="false" outlineLevel="0" collapsed="false">
      <c r="A73" s="102" t="n">
        <v>46412</v>
      </c>
      <c r="B73" s="103" t="s">
        <v>986</v>
      </c>
      <c r="C73" s="103" t="s">
        <v>1488</v>
      </c>
      <c r="D73" s="104" t="s">
        <v>1306</v>
      </c>
      <c r="E73" s="105" t="n">
        <v>2</v>
      </c>
      <c r="F73" s="103" t="s">
        <v>1476</v>
      </c>
    </row>
    <row r="74" customFormat="false" ht="15" hidden="false" customHeight="false" outlineLevel="0" collapsed="false">
      <c r="A74" s="102" t="n">
        <v>46407</v>
      </c>
      <c r="B74" s="103" t="s">
        <v>986</v>
      </c>
      <c r="C74" s="103" t="s">
        <v>1488</v>
      </c>
      <c r="D74" s="104" t="s">
        <v>1306</v>
      </c>
      <c r="E74" s="105" t="n">
        <v>2</v>
      </c>
      <c r="F74" s="103" t="s">
        <v>1476</v>
      </c>
    </row>
    <row r="75" customFormat="false" ht="15" hidden="false" customHeight="false" outlineLevel="0" collapsed="false">
      <c r="A75" s="102" t="n">
        <v>46401</v>
      </c>
      <c r="B75" s="103" t="s">
        <v>986</v>
      </c>
      <c r="C75" s="103" t="s">
        <v>1488</v>
      </c>
      <c r="D75" s="104" t="s">
        <v>1306</v>
      </c>
      <c r="E75" s="105" t="n">
        <v>2</v>
      </c>
      <c r="F75" s="103" t="s">
        <v>1476</v>
      </c>
    </row>
    <row r="76" customFormat="false" ht="15" hidden="false" customHeight="false" outlineLevel="0" collapsed="false">
      <c r="A76" s="102" t="n">
        <v>46413</v>
      </c>
      <c r="B76" s="103" t="s">
        <v>986</v>
      </c>
      <c r="C76" s="103"/>
      <c r="D76" s="104" t="s">
        <v>1307</v>
      </c>
      <c r="E76" s="105" t="n">
        <v>1.5</v>
      </c>
      <c r="F76" s="103" t="s">
        <v>1489</v>
      </c>
    </row>
    <row r="77" customFormat="false" ht="15" hidden="false" customHeight="false" outlineLevel="0" collapsed="false">
      <c r="A77" s="102" t="n">
        <v>46430</v>
      </c>
      <c r="B77" s="103" t="s">
        <v>986</v>
      </c>
      <c r="C77" s="103"/>
      <c r="D77" s="104" t="s">
        <v>1308</v>
      </c>
      <c r="E77" s="105" t="n">
        <v>1.5</v>
      </c>
      <c r="F77" s="103" t="s">
        <v>1490</v>
      </c>
    </row>
    <row r="78" customFormat="false" ht="15" hidden="false" customHeight="false" outlineLevel="0" collapsed="false">
      <c r="A78" s="102" t="n">
        <v>46440</v>
      </c>
      <c r="B78" s="103" t="s">
        <v>986</v>
      </c>
      <c r="C78" s="103"/>
      <c r="D78" s="104" t="s">
        <v>1308</v>
      </c>
      <c r="E78" s="105" t="n">
        <v>1.5</v>
      </c>
      <c r="F78" s="103" t="s">
        <v>1467</v>
      </c>
    </row>
    <row r="79" customFormat="false" ht="15" hidden="false" customHeight="false" outlineLevel="0" collapsed="false">
      <c r="A79" s="102" t="n">
        <v>46441</v>
      </c>
      <c r="B79" s="103" t="s">
        <v>986</v>
      </c>
      <c r="C79" s="103"/>
      <c r="D79" s="104" t="s">
        <v>1309</v>
      </c>
      <c r="E79" s="105" t="n">
        <v>4</v>
      </c>
      <c r="F79" s="103" t="s">
        <v>1491</v>
      </c>
    </row>
    <row r="80" customFormat="false" ht="15" hidden="false" customHeight="false" outlineLevel="0" collapsed="false">
      <c r="A80" s="102" t="n">
        <v>46443</v>
      </c>
      <c r="B80" s="103" t="s">
        <v>986</v>
      </c>
      <c r="C80" s="103"/>
      <c r="D80" s="104" t="s">
        <v>1310</v>
      </c>
      <c r="E80" s="105" t="n">
        <v>1.5</v>
      </c>
      <c r="F80" s="103"/>
    </row>
    <row r="81" customFormat="false" ht="15" hidden="false" customHeight="false" outlineLevel="0" collapsed="false">
      <c r="A81" s="102" t="n">
        <v>46447</v>
      </c>
      <c r="B81" s="103" t="s">
        <v>986</v>
      </c>
      <c r="C81" s="103"/>
      <c r="D81" s="104" t="s">
        <v>1310</v>
      </c>
      <c r="E81" s="105" t="n">
        <v>1.5</v>
      </c>
      <c r="F81" s="103"/>
    </row>
    <row r="82" customFormat="false" ht="15" hidden="false" customHeight="false" outlineLevel="0" collapsed="false">
      <c r="A82" s="102" t="n">
        <v>46450</v>
      </c>
      <c r="B82" s="103" t="s">
        <v>986</v>
      </c>
      <c r="C82" s="103" t="s">
        <v>1488</v>
      </c>
      <c r="D82" s="104" t="s">
        <v>1311</v>
      </c>
      <c r="E82" s="105" t="n">
        <v>1.5</v>
      </c>
      <c r="F82" s="103" t="s">
        <v>1471</v>
      </c>
    </row>
    <row r="83" customFormat="false" ht="15" hidden="false" customHeight="false" outlineLevel="0" collapsed="false">
      <c r="A83" s="102" t="n">
        <v>46455</v>
      </c>
      <c r="B83" s="103" t="s">
        <v>986</v>
      </c>
      <c r="C83" s="103" t="s">
        <v>1488</v>
      </c>
      <c r="D83" s="104" t="s">
        <v>1311</v>
      </c>
      <c r="E83" s="105" t="n">
        <v>0.5</v>
      </c>
      <c r="F83" s="103" t="s">
        <v>1492</v>
      </c>
    </row>
    <row r="84" customFormat="false" ht="15" hidden="false" customHeight="false" outlineLevel="0" collapsed="false">
      <c r="A84" s="102" t="n">
        <v>46442</v>
      </c>
      <c r="B84" s="103" t="s">
        <v>986</v>
      </c>
      <c r="C84" s="103"/>
      <c r="D84" s="104" t="s">
        <v>1312</v>
      </c>
      <c r="E84" s="105" t="n">
        <v>1</v>
      </c>
      <c r="F84" s="103" t="s">
        <v>1493</v>
      </c>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1494</v>
      </c>
    </row>
    <row r="2" customFormat="false" ht="15" hidden="false" customHeight="false" outlineLevel="0" collapsed="false">
      <c r="A2" s="2" t="s">
        <v>1495</v>
      </c>
    </row>
    <row r="3" customFormat="false" ht="30" hidden="false" customHeight="true" outlineLevel="0" collapsed="false">
      <c r="B3" s="9" t="s">
        <v>1496</v>
      </c>
      <c r="G3" s="8" t="s">
        <v>1497</v>
      </c>
      <c r="H3" s="8"/>
      <c r="I3" s="8"/>
      <c r="J3" s="8"/>
      <c r="K3" s="8"/>
      <c r="L3" s="8"/>
      <c r="M3" s="8"/>
      <c r="N3" s="8"/>
      <c r="O3" s="8"/>
      <c r="P3" s="8"/>
    </row>
    <row r="4" customFormat="false" ht="15" hidden="false" customHeight="false" outlineLevel="0" collapsed="false">
      <c r="B4" s="30" t="s">
        <v>366</v>
      </c>
      <c r="C4" s="39" t="s">
        <v>1498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1499</v>
      </c>
      <c r="C5" s="39" t="s">
        <v>1500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1501</v>
      </c>
      <c r="C6" s="39" t="s">
        <v>1502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1503</v>
      </c>
      <c r="C7" s="39" t="s">
        <v>1504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1505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1506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1507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1508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1509</v>
      </c>
    </row>
    <row r="2" customFormat="false" ht="15" hidden="false" customHeight="false" outlineLevel="0" collapsed="false">
      <c r="A2" s="2" t="s">
        <v>1510</v>
      </c>
    </row>
    <row r="3" customFormat="false" ht="30" hidden="false" customHeight="true" outlineLevel="0" collapsed="false">
      <c r="A3" s="8" t="s">
        <v>1511</v>
      </c>
      <c r="B3" s="8"/>
      <c r="C3" s="8"/>
      <c r="D3" s="8"/>
      <c r="E3" s="8"/>
      <c r="F3" s="8"/>
      <c r="G3" s="8"/>
      <c r="H3" s="8"/>
      <c r="I3" s="8"/>
      <c r="AG3" s="84" t="s">
        <v>1512</v>
      </c>
    </row>
    <row r="4" customFormat="false" ht="30" hidden="false" customHeight="true" outlineLevel="0" collapsed="false">
      <c r="A4" s="12" t="s">
        <v>366</v>
      </c>
      <c r="B4" s="12" t="s">
        <v>1513</v>
      </c>
      <c r="C4" s="12" t="s">
        <v>1514</v>
      </c>
      <c r="D4" s="12" t="s">
        <v>1515</v>
      </c>
      <c r="E4" s="12" t="s">
        <v>1516</v>
      </c>
      <c r="F4" s="12" t="s">
        <v>1517</v>
      </c>
      <c r="G4" s="12" t="s">
        <v>1518</v>
      </c>
      <c r="H4" s="12" t="s">
        <v>1519</v>
      </c>
      <c r="I4" s="12" t="s">
        <v>1520</v>
      </c>
      <c r="T4" s="12" t="s">
        <v>1521</v>
      </c>
      <c r="U4" s="12" t="s">
        <v>1522</v>
      </c>
      <c r="V4" s="12" t="s">
        <v>1523</v>
      </c>
      <c r="W4" s="12" t="s">
        <v>1524</v>
      </c>
      <c r="X4" s="12" t="s">
        <v>1525</v>
      </c>
      <c r="Y4" s="12" t="s">
        <v>1526</v>
      </c>
      <c r="Z4" s="12" t="s">
        <v>1527</v>
      </c>
      <c r="AA4" s="12" t="s">
        <v>1528</v>
      </c>
      <c r="AB4" s="12" t="s">
        <v>1529</v>
      </c>
      <c r="AC4" s="12" t="s">
        <v>1530</v>
      </c>
      <c r="AD4" s="12" t="s">
        <v>1531</v>
      </c>
      <c r="AE4" s="12" t="s">
        <v>1532</v>
      </c>
      <c r="AG4" s="12" t="s">
        <v>231</v>
      </c>
      <c r="AH4" s="12" t="s">
        <v>1533</v>
      </c>
      <c r="AI4" s="12" t="s">
        <v>1534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1535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1536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1540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1541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1542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1543</v>
      </c>
      <c r="AH13" s="22" t="n">
        <f aca="false">SUMIFS(Pipeline!$X$5:$X$1004,Pipeline!$A$5:$A$1004,"&lt;="&amp;Inputs!$C$17)</f>
        <v>0</v>
      </c>
      <c r="AI13" s="18" t="n">
        <f aca="false">Inputs!$C$17</f>
        <v>46472</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1544</v>
      </c>
      <c r="AH14" s="22" t="n">
        <f aca="false">SUMIFS(Pipeline!$T$5:$T$1004,Pipeline!$B$5:$B$1004,"office",Pipeline!$E$5:$E$1004,"signed",Pipeline!$A$5:$A$1004,"&lt;="&amp;Inputs!$C$17)</f>
        <v>0</v>
      </c>
      <c r="AI14" s="18" t="n">
        <f aca="false">Inputs!$C$17</f>
        <v>46472</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1545</v>
      </c>
      <c r="AH15" s="22" t="n">
        <f aca="false">SUMIFS(Pipeline!$T$5:$T$1004,Pipeline!$B$5:$B$1004,"office",Pipeline!$E$5:$E$1004,"opt_out",Pipeline!$A$5:$A$1004,"&lt;="&amp;Inputs!$C$17)</f>
        <v>0</v>
      </c>
      <c r="AI15" s="18" t="n">
        <f aca="false">Inputs!$C$17</f>
        <v>46472</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1546</v>
      </c>
      <c r="AH16" s="22" t="n">
        <f aca="false">SUMIFS(Pipeline!$T$5:$T$1004,Pipeline!$B$5:$B$1004,"brand",Pipeline!$E$5:$E$1004,"paid",Pipeline!$A$5:$A$1004,"&lt;="&amp;Inputs!$C$17)</f>
        <v>0</v>
      </c>
      <c r="AI16" s="18" t="n">
        <f aca="false">Inputs!$C$17</f>
        <v>46472</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1547</v>
      </c>
      <c r="AH17" s="22" t="n">
        <f aca="false">SUMIFS(Pipeline!$T$5:$T$1004,Pipeline!$B$5:$B$1004,"brand",Pipeline!$E$5:$E$1004,"conversation",Pipeline!$A$5:$A$1004,"&lt;="&amp;Inputs!$C$17)</f>
        <v>0</v>
      </c>
      <c r="AI17" s="18" t="n">
        <f aca="false">Inputs!$C$17</f>
        <v>46472</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1548</v>
      </c>
      <c r="AH18" s="22" t="n">
        <f aca="false">COUNTIFS(Pipeline!$E$5:$E$1004,"outreach_sent",Pipeline!$A$5:$A$1004,"&lt;="&amp;Inputs!$C$17)</f>
        <v>0</v>
      </c>
      <c r="AI18" s="18" t="n">
        <f aca="false">Inputs!$C$17</f>
        <v>46472</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1550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1551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1552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1553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1554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1555</v>
      </c>
    </row>
    <row r="2" customFormat="false" ht="15" hidden="false" customHeight="false" outlineLevel="0" collapsed="false">
      <c r="A2" s="2" t="s">
        <v>1556</v>
      </c>
    </row>
    <row r="3" customFormat="false" ht="30" hidden="false" customHeight="true" outlineLevel="0" collapsed="false">
      <c r="A3" s="8" t="s">
        <v>1557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1558</v>
      </c>
      <c r="D4" s="12" t="s">
        <v>1559</v>
      </c>
      <c r="E4" s="12" t="s">
        <v>1560</v>
      </c>
      <c r="F4" s="12" t="s">
        <v>1561</v>
      </c>
      <c r="G4" s="12" t="s">
        <v>463</v>
      </c>
      <c r="H4" s="12" t="s">
        <v>1562</v>
      </c>
      <c r="I4" s="12" t="s">
        <v>1563</v>
      </c>
      <c r="J4" s="12" t="s">
        <v>1564</v>
      </c>
      <c r="K4" s="12" t="s">
        <v>1565</v>
      </c>
      <c r="L4" s="12" t="s">
        <v>1566</v>
      </c>
      <c r="M4" s="12" t="s">
        <v>1567</v>
      </c>
      <c r="N4" s="12" t="s">
        <v>1568</v>
      </c>
      <c r="O4" s="12" t="s">
        <v>1569</v>
      </c>
      <c r="P4" s="12" t="s">
        <v>1570</v>
      </c>
      <c r="Q4" s="12" t="s">
        <v>1571</v>
      </c>
      <c r="R4" s="12" t="s">
        <v>1572</v>
      </c>
      <c r="S4" s="12" t="s">
        <v>1573</v>
      </c>
      <c r="T4" s="12" t="s">
        <v>1574</v>
      </c>
      <c r="U4" s="12" t="s">
        <v>1575</v>
      </c>
      <c r="V4" s="12" t="s">
        <v>1576</v>
      </c>
      <c r="W4" s="12" t="s">
        <v>1577</v>
      </c>
      <c r="X4" s="12" t="s">
        <v>1578</v>
      </c>
      <c r="Y4" s="12" t="s">
        <v>1579</v>
      </c>
      <c r="Z4" s="12" t="s">
        <v>1580</v>
      </c>
      <c r="AL4" s="12" t="s">
        <v>1581</v>
      </c>
      <c r="AM4" s="12" t="s">
        <v>1582</v>
      </c>
      <c r="AN4" s="12" t="s">
        <v>1583</v>
      </c>
      <c r="AO4" s="12" t="s">
        <v>1584</v>
      </c>
      <c r="AP4" s="12" t="s">
        <v>1585</v>
      </c>
      <c r="AQ4" s="12" t="s">
        <v>1586</v>
      </c>
      <c r="AR4" s="12" t="s">
        <v>1587</v>
      </c>
    </row>
    <row r="5" customFormat="false" ht="15" hidden="false" customHeight="false" outlineLevel="0" collapsed="false">
      <c r="A5" s="103" t="s">
        <v>1455</v>
      </c>
      <c r="B5" s="103" t="s">
        <v>728</v>
      </c>
      <c r="C5" s="102" t="n">
        <v>46399</v>
      </c>
      <c r="D5" s="104" t="s">
        <v>672</v>
      </c>
      <c r="E5" s="104" t="s">
        <v>980</v>
      </c>
      <c r="F5" s="103" t="s">
        <v>1588</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1589</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1590</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1591</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1475</v>
      </c>
      <c r="B7" s="103" t="s">
        <v>982</v>
      </c>
      <c r="C7" s="102" t="n">
        <v>46427</v>
      </c>
      <c r="D7" s="104" t="s">
        <v>674</v>
      </c>
      <c r="E7" s="104" t="s">
        <v>984</v>
      </c>
      <c r="F7" s="103" t="s">
        <v>1592</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1589</v>
      </c>
      <c r="W7" s="104" t="s">
        <v>805</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1478</v>
      </c>
      <c r="B8" s="103" t="s">
        <v>982</v>
      </c>
      <c r="C8" s="102" t="n">
        <v>46427</v>
      </c>
      <c r="D8" s="104" t="s">
        <v>674</v>
      </c>
      <c r="E8" s="104" t="s">
        <v>984</v>
      </c>
      <c r="F8" s="103" t="s">
        <v>1593</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1591</v>
      </c>
      <c r="W8" s="104" t="s">
        <v>1594</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1481</v>
      </c>
      <c r="B9" s="103" t="s">
        <v>982</v>
      </c>
      <c r="C9" s="102" t="n">
        <v>46427</v>
      </c>
      <c r="D9" s="104" t="s">
        <v>674</v>
      </c>
      <c r="E9" s="104" t="s">
        <v>984</v>
      </c>
      <c r="F9" s="103" t="s">
        <v>1595</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1589</v>
      </c>
      <c r="W9" s="104" t="s">
        <v>1594</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t="s">
        <v>1488</v>
      </c>
      <c r="B10" s="103" t="s">
        <v>986</v>
      </c>
      <c r="C10" s="102" t="n">
        <v>46441</v>
      </c>
      <c r="D10" s="104" t="s">
        <v>674</v>
      </c>
      <c r="E10" s="104" t="s">
        <v>984</v>
      </c>
      <c r="F10" s="103" t="s">
        <v>1596</v>
      </c>
      <c r="G10" s="103" t="n">
        <v>9</v>
      </c>
      <c r="H10" s="103" t="n">
        <v>480</v>
      </c>
      <c r="I10" s="103" t="n">
        <v>425</v>
      </c>
      <c r="J10" s="103" t="n">
        <v>425</v>
      </c>
      <c r="K10" s="103" t="n">
        <v>425</v>
      </c>
      <c r="L10" s="103" t="n">
        <v>12</v>
      </c>
      <c r="M10" s="103" t="n">
        <v>408</v>
      </c>
      <c r="N10" s="103" t="n">
        <v>62</v>
      </c>
      <c r="O10" s="103" t="n">
        <v>49</v>
      </c>
      <c r="P10" s="103" t="n">
        <v>71</v>
      </c>
      <c r="Q10" s="103" t="n">
        <v>13</v>
      </c>
      <c r="R10" s="106" t="n">
        <v>1350</v>
      </c>
      <c r="S10" s="102" t="n">
        <v>46444</v>
      </c>
      <c r="T10" s="106" t="n">
        <v>0</v>
      </c>
      <c r="U10" s="102" t="n">
        <v>46450</v>
      </c>
      <c r="V10" s="104" t="s">
        <v>1589</v>
      </c>
      <c r="W10" s="104" t="s">
        <v>1594</v>
      </c>
      <c r="X10" s="106" t="n">
        <v>750</v>
      </c>
      <c r="Y10" s="102" t="n">
        <v>46415</v>
      </c>
      <c r="Z10" s="103" t="n">
        <v>5</v>
      </c>
      <c r="AL10" s="30" t="str">
        <f aca="false">IF(B10="","",IFERROR(INDEX(Schedule!$N$7:$N$18,MATCH(B10,Schedule!$A$7:$A$18,0)),"not in schedule"))</f>
        <v>Y</v>
      </c>
      <c r="AM10" s="19" t="n">
        <f aca="false">IF(B10="","",N(R10)-N(X10))</f>
        <v>600</v>
      </c>
      <c r="AN10" s="95" t="n">
        <f aca="false">IF(B10="","",IF(Z10&lt;&gt;"",Z10,IF(N(G10)&gt;0,N(N10)/G10,"")))</f>
        <v>5</v>
      </c>
      <c r="AO10" s="18" t="n">
        <f aca="false">IF(OR(B10="",C10=""),"",WORKDAY(C10,Inputs!$C$132,Lists!$N$4:$N$30))</f>
        <v>46450</v>
      </c>
      <c r="AP10" s="30" t="str">
        <f aca="false">IF(B10="","",IF(U10="","missing",IF(U10&gt;AO10,"Y","N")))</f>
        <v>N</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1597</v>
      </c>
    </row>
    <row r="2" customFormat="false" ht="15" hidden="false" customHeight="false" outlineLevel="0" collapsed="false">
      <c r="A2" s="2" t="s">
        <v>1598</v>
      </c>
    </row>
    <row r="4" customFormat="false" ht="31.5" hidden="false" customHeight="true" outlineLevel="0" collapsed="false">
      <c r="A4" s="12" t="s">
        <v>324</v>
      </c>
      <c r="B4" s="12" t="s">
        <v>1558</v>
      </c>
      <c r="C4" s="12" t="s">
        <v>1559</v>
      </c>
      <c r="D4" s="12" t="s">
        <v>463</v>
      </c>
      <c r="E4" s="12" t="s">
        <v>480</v>
      </c>
      <c r="F4" s="12" t="s">
        <v>1599</v>
      </c>
      <c r="G4" s="12" t="s">
        <v>1600</v>
      </c>
      <c r="H4" s="12" t="s">
        <v>1601</v>
      </c>
      <c r="I4" s="12" t="s">
        <v>1520</v>
      </c>
      <c r="U4" s="12" t="s">
        <v>1581</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1602</v>
      </c>
      <c r="U5" s="30" t="str">
        <f aca="false">IF(A5="","",IFERROR(INDEX(Schedule!$N$7:$N$18,MATCH(A5,Schedule!$A$7:$A$18,0)),"not in schedule"))</f>
        <v>Y</v>
      </c>
    </row>
    <row r="6" customFormat="false" ht="15" hidden="false" customHeight="false" outlineLevel="0" collapsed="false">
      <c r="A6" s="103" t="s">
        <v>982</v>
      </c>
      <c r="B6" s="102" t="n">
        <v>46427</v>
      </c>
      <c r="C6" s="104" t="s">
        <v>674</v>
      </c>
      <c r="D6" s="103" t="n">
        <v>10</v>
      </c>
      <c r="E6" s="103" t="n">
        <v>3</v>
      </c>
      <c r="F6" s="106" t="n">
        <v>232</v>
      </c>
      <c r="G6" s="106" t="n">
        <v>358</v>
      </c>
      <c r="H6" s="106" t="n">
        <v>0</v>
      </c>
      <c r="I6" s="103" t="s">
        <v>1603</v>
      </c>
      <c r="U6" s="30" t="str">
        <f aca="false">IF(A6="","",IFERROR(INDEX(Schedule!$N$7:$N$18,MATCH(A6,Schedule!$A$7:$A$18,0)),"not in schedule"))</f>
        <v>Y</v>
      </c>
    </row>
    <row r="7" customFormat="false" ht="15" hidden="false" customHeight="false" outlineLevel="0" collapsed="false">
      <c r="A7" s="103" t="s">
        <v>986</v>
      </c>
      <c r="B7" s="102" t="n">
        <v>46441</v>
      </c>
      <c r="C7" s="104" t="s">
        <v>674</v>
      </c>
      <c r="D7" s="103" t="n">
        <v>10</v>
      </c>
      <c r="E7" s="103" t="n">
        <v>1</v>
      </c>
      <c r="F7" s="106" t="n">
        <v>80</v>
      </c>
      <c r="G7" s="106" t="n">
        <v>300</v>
      </c>
      <c r="H7" s="106" t="n">
        <v>0</v>
      </c>
      <c r="I7" s="103" t="s">
        <v>1604</v>
      </c>
      <c r="U7" s="30" t="str">
        <f aca="false">IF(A7="","",IFERROR(INDEX(Schedule!$N$7:$N$18,MATCH(A7,Schedule!$A$7:$A$18,0)),"not in schedule"))</f>
        <v>Y</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1605</v>
      </c>
    </row>
    <row r="2" customFormat="false" ht="15" hidden="false" customHeight="false" outlineLevel="0" collapsed="false">
      <c r="A2" s="2" t="s">
        <v>1606</v>
      </c>
    </row>
    <row r="3" customFormat="false" ht="30" hidden="false" customHeight="true" outlineLevel="0" collapsed="false">
      <c r="A3" s="8" t="s">
        <v>1607</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1608</v>
      </c>
      <c r="I6" s="12" t="s">
        <v>1609</v>
      </c>
      <c r="J6" s="12" t="s">
        <v>332</v>
      </c>
      <c r="K6" s="12" t="s">
        <v>1026</v>
      </c>
      <c r="L6" s="12" t="s">
        <v>1027</v>
      </c>
      <c r="M6" s="12" t="s">
        <v>1028</v>
      </c>
      <c r="N6" s="12" t="s">
        <v>1029</v>
      </c>
      <c r="O6" s="12" t="s">
        <v>1030</v>
      </c>
      <c r="P6" s="12" t="s">
        <v>1031</v>
      </c>
      <c r="Q6" s="12" t="s">
        <v>1032</v>
      </c>
      <c r="R6" s="12" t="s">
        <v>333</v>
      </c>
      <c r="S6" s="12" t="s">
        <v>334</v>
      </c>
      <c r="T6" s="12" t="s">
        <v>1033</v>
      </c>
      <c r="U6" s="12" t="s">
        <v>1562</v>
      </c>
      <c r="V6" s="12" t="s">
        <v>1563</v>
      </c>
      <c r="W6" s="12" t="s">
        <v>1564</v>
      </c>
      <c r="X6" s="12" t="s">
        <v>1565</v>
      </c>
      <c r="Y6" s="12" t="s">
        <v>1566</v>
      </c>
      <c r="Z6" s="12" t="s">
        <v>1567</v>
      </c>
      <c r="AA6" s="12" t="s">
        <v>1568</v>
      </c>
      <c r="AB6" s="12" t="s">
        <v>1569</v>
      </c>
      <c r="AC6" s="12" t="s">
        <v>1570</v>
      </c>
      <c r="AD6" s="12" t="s">
        <v>1571</v>
      </c>
      <c r="AE6" s="12" t="s">
        <v>1610</v>
      </c>
      <c r="AF6" s="12" t="s">
        <v>1611</v>
      </c>
      <c r="AG6" s="12" t="s">
        <v>1612</v>
      </c>
      <c r="AH6" s="12" t="s">
        <v>1613</v>
      </c>
      <c r="AI6" s="12" t="s">
        <v>1614</v>
      </c>
      <c r="AJ6" s="12" t="s">
        <v>1615</v>
      </c>
      <c r="AK6" s="12" t="s">
        <v>1616</v>
      </c>
      <c r="AL6" s="12" t="s">
        <v>1617</v>
      </c>
      <c r="AM6" s="12" t="s">
        <v>1618</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1619</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1619</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Y</v>
      </c>
      <c r="D9" s="19" t="n">
        <f aca="false">SUMIFS(Actuals_Campaigns!$R$5:$R$204,Actuals_Campaigns!$B$5:$B$204,A9)</f>
        <v>1350</v>
      </c>
      <c r="E9" s="19" t="n">
        <f aca="false">SUMIFS(Actuals_Campaigns!$T$5:$T$204,Actuals_Campaigns!$B$5:$B$204,A9)</f>
        <v>0</v>
      </c>
      <c r="F9" s="19" t="n">
        <f aca="false">SUMIFS(Actuals_DropCosts!$F$5:$F$104,Actuals_DropCosts!$A$5:$A$104,A9)</f>
        <v>80</v>
      </c>
      <c r="G9" s="19" t="n">
        <f aca="false">SUMIFS(Actuals_DropCosts!$G$5:$G$104,Actuals_DropCosts!$A$5:$A$104,A9)</f>
        <v>300</v>
      </c>
      <c r="H9" s="19" t="n">
        <f aca="false">SUMIFS(Actuals_DropCosts!$H$5:$H$104,Actuals_DropCosts!$A$5:$A$104,A9)</f>
        <v>0</v>
      </c>
      <c r="I9" s="19" t="n">
        <f aca="false">IF(OR(C9="Y",AF9&gt;0,F9+G9+H9&gt;0),Drop_PnL!AM9,0)</f>
        <v>155</v>
      </c>
      <c r="J9" s="37" t="n">
        <f aca="false">SUM(E9:I9)</f>
        <v>535</v>
      </c>
      <c r="K9" s="36" t="n">
        <f aca="false">Hours_Log!R7</f>
        <v>6</v>
      </c>
      <c r="L9" s="36" t="n">
        <f aca="false">Hours_Log!S7</f>
        <v>1.5</v>
      </c>
      <c r="M9" s="36" t="n">
        <f aca="false">Hours_Log!T7</f>
        <v>3</v>
      </c>
      <c r="N9" s="36" t="n">
        <f aca="false">Hours_Log!U7</f>
        <v>4</v>
      </c>
      <c r="O9" s="36" t="n">
        <f aca="false">Hours_Log!V7</f>
        <v>3</v>
      </c>
      <c r="P9" s="36" t="n">
        <f aca="false">Hours_Log!W7</f>
        <v>2</v>
      </c>
      <c r="Q9" s="36" t="n">
        <f aca="false">Hours_Log!X7</f>
        <v>1</v>
      </c>
      <c r="R9" s="38" t="n">
        <f aca="false">SUM(K9:Q9)</f>
        <v>20.5</v>
      </c>
      <c r="S9" s="37" t="n">
        <f aca="false">IF(AND(NOT(OR(C9="Y",AF9&gt;0,F9+G9+H9&gt;0)),R9=0),"",D9-J9)</f>
        <v>815</v>
      </c>
      <c r="T9" s="29" t="n">
        <f aca="false">IF(S9="","",IF(R9&gt;0,S9/R9,"n/a"))</f>
        <v>39.7560975609756</v>
      </c>
      <c r="U9" s="24" t="n">
        <f aca="false">SUMIFS(Actuals_Campaigns!$H$5:$H$204,Actuals_Campaigns!$B$5:$B$204,A9)</f>
        <v>480</v>
      </c>
      <c r="V9" s="24" t="n">
        <f aca="false">SUMIFS(Actuals_Campaigns!$I$5:$I$204,Actuals_Campaigns!$B$5:$B$204,A9)</f>
        <v>425</v>
      </c>
      <c r="W9" s="24" t="n">
        <f aca="false">SUMIFS(Actuals_Campaigns!$J$5:$J$204,Actuals_Campaigns!$B$5:$B$204,A9)</f>
        <v>425</v>
      </c>
      <c r="X9" s="24" t="n">
        <f aca="false">SUMIFS(Actuals_Campaigns!$K$5:$K$204,Actuals_Campaigns!$B$5:$B$204,A9)</f>
        <v>425</v>
      </c>
      <c r="Y9" s="24" t="n">
        <f aca="false">SUMIFS(Actuals_Campaigns!$L$5:$L$204,Actuals_Campaigns!$B$5:$B$204,A9)</f>
        <v>12</v>
      </c>
      <c r="Z9" s="24" t="n">
        <f aca="false">SUMIFS(Actuals_Campaigns!$M$5:$M$204,Actuals_Campaigns!$B$5:$B$204,A9)</f>
        <v>408</v>
      </c>
      <c r="AA9" s="24" t="n">
        <f aca="false">SUMIFS(Actuals_Campaigns!$N$5:$N$204,Actuals_Campaigns!$B$5:$B$204,A9)</f>
        <v>62</v>
      </c>
      <c r="AB9" s="24" t="n">
        <f aca="false">SUMIFS(Actuals_Campaigns!$O$5:$O$204,Actuals_Campaigns!$B$5:$B$204,A9)</f>
        <v>49</v>
      </c>
      <c r="AC9" s="24" t="n">
        <f aca="false">SUMIFS(Actuals_Campaigns!$P$5:$P$204,Actuals_Campaigns!$B$5:$B$204,A9)</f>
        <v>71</v>
      </c>
      <c r="AD9" s="24" t="n">
        <f aca="false">SUMIFS(Actuals_Campaigns!$Q$5:$Q$204,Actuals_Campaigns!$B$5:$B$204,A9)</f>
        <v>13</v>
      </c>
      <c r="AE9" s="32" t="s">
        <v>1619</v>
      </c>
      <c r="AF9" s="21" t="n">
        <f aca="false">COUNTIF(Actuals_Campaigns!$B$5:$B$204,A9)</f>
        <v>1</v>
      </c>
      <c r="AG9" s="26" t="n">
        <f aca="false">IF(V9&gt;0,X9/V9,"")</f>
        <v>1</v>
      </c>
      <c r="AH9" s="21" t="n">
        <f aca="false">IF(AF9=0,"",COUNTIFS(Actuals_Campaigns!$B$5:$B$204,A9,Actuals_Campaigns!$AN$5:$AN$204,"&lt;"&amp;Inputs!$C$131))</f>
        <v>0</v>
      </c>
      <c r="AI9" s="21" t="n">
        <f aca="false">IF(AF9=0,"",COUNTIFS(Actuals_Campaigns!$B$5:$B$204,A9,Actuals_Campaigns!$AP$5:$AP$204,"Y")+COUNTIFS(Actuals_Campaigns!$B$5:$B$204,A9,Actuals_Campaigns!$AP$5:$AP$204,"missing"))</f>
        <v>0</v>
      </c>
      <c r="AJ9" s="21" t="n">
        <f aca="false">IF(AF9=0,"",COUNTIFS(Actuals_Campaigns!$B$5:$B$204,A9,Actuals_Campaigns!$V$5:$V$204,"yes"))</f>
        <v>1</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970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1619</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1619</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1619</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1619</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1619</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1619</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1619</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1619</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1619</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1620</v>
      </c>
    </row>
    <row r="2" customFormat="false" ht="15" hidden="false" customHeight="false" outlineLevel="0" collapsed="false">
      <c r="A2" s="2" t="s">
        <v>1621</v>
      </c>
    </row>
    <row r="3" customFormat="false" ht="30" hidden="false" customHeight="true" outlineLevel="0" collapsed="false">
      <c r="A3" s="8" t="s">
        <v>1622</v>
      </c>
      <c r="B3" s="8"/>
      <c r="C3" s="8"/>
      <c r="D3" s="8"/>
      <c r="E3" s="8"/>
    </row>
    <row r="4" customFormat="false" ht="30" hidden="false" customHeight="true" outlineLevel="0" collapsed="false">
      <c r="A4" s="12" t="s">
        <v>1623</v>
      </c>
      <c r="B4" s="12" t="s">
        <v>1624</v>
      </c>
      <c r="C4" s="12" t="s">
        <v>366</v>
      </c>
      <c r="D4" s="12" t="s">
        <v>1625</v>
      </c>
      <c r="E4" s="12" t="s">
        <v>1626</v>
      </c>
    </row>
    <row r="5" customFormat="false" ht="15" hidden="false" customHeight="false" outlineLevel="0" collapsed="false">
      <c r="A5" s="30" t="s">
        <v>1627</v>
      </c>
      <c r="B5" s="30" t="n">
        <v>1</v>
      </c>
      <c r="C5" s="18" t="n">
        <f aca="false">EDATE(Inputs!$C$80,B5-1)</f>
        <v>46321</v>
      </c>
      <c r="D5" s="19" t="n">
        <f aca="false">IF(AND(C5&gt;=Inputs!$C$10,C5&lt;=Cash_Flow!$AB$6),Inputs!$C$79,0)</f>
        <v>60</v>
      </c>
      <c r="E5" s="32" t="s">
        <v>1628</v>
      </c>
    </row>
    <row r="6" customFormat="false" ht="15" hidden="false" customHeight="false" outlineLevel="0" collapsed="false">
      <c r="A6" s="30" t="s">
        <v>1627</v>
      </c>
      <c r="B6" s="30" t="n">
        <v>2</v>
      </c>
      <c r="C6" s="18" t="n">
        <f aca="false">EDATE(Inputs!$C$80,B6-1)</f>
        <v>46352</v>
      </c>
      <c r="D6" s="19" t="n">
        <f aca="false">IF(AND(C6&gt;=Inputs!$C$10,C6&lt;=Cash_Flow!$AB$6),Inputs!$C$79,0)</f>
        <v>60</v>
      </c>
      <c r="E6" s="32" t="s">
        <v>1628</v>
      </c>
    </row>
    <row r="7" customFormat="false" ht="15" hidden="false" customHeight="false" outlineLevel="0" collapsed="false">
      <c r="A7" s="30" t="s">
        <v>1627</v>
      </c>
      <c r="B7" s="30" t="n">
        <v>3</v>
      </c>
      <c r="C7" s="18" t="n">
        <f aca="false">EDATE(Inputs!$C$80,B7-1)</f>
        <v>46382</v>
      </c>
      <c r="D7" s="19" t="n">
        <f aca="false">IF(AND(C7&gt;=Inputs!$C$10,C7&lt;=Cash_Flow!$AB$6),Inputs!$C$79,0)</f>
        <v>60</v>
      </c>
      <c r="E7" s="32" t="s">
        <v>1628</v>
      </c>
    </row>
    <row r="8" customFormat="false" ht="15" hidden="false" customHeight="false" outlineLevel="0" collapsed="false">
      <c r="A8" s="30" t="s">
        <v>1627</v>
      </c>
      <c r="B8" s="30" t="n">
        <v>4</v>
      </c>
      <c r="C8" s="18" t="n">
        <f aca="false">EDATE(Inputs!$C$80,B8-1)</f>
        <v>46413</v>
      </c>
      <c r="D8" s="19" t="n">
        <f aca="false">IF(AND(C8&gt;=Inputs!$C$10,C8&lt;=Cash_Flow!$AB$6),Inputs!$C$79,0)</f>
        <v>60</v>
      </c>
      <c r="E8" s="32" t="s">
        <v>1628</v>
      </c>
    </row>
    <row r="9" customFormat="false" ht="15" hidden="false" customHeight="false" outlineLevel="0" collapsed="false">
      <c r="A9" s="30" t="s">
        <v>1627</v>
      </c>
      <c r="B9" s="30" t="n">
        <v>5</v>
      </c>
      <c r="C9" s="18" t="n">
        <f aca="false">EDATE(Inputs!$C$80,B9-1)</f>
        <v>46444</v>
      </c>
      <c r="D9" s="19" t="n">
        <f aca="false">IF(AND(C9&gt;=Inputs!$C$10,C9&lt;=Cash_Flow!$AB$6),Inputs!$C$79,0)</f>
        <v>60</v>
      </c>
      <c r="E9" s="32" t="s">
        <v>1628</v>
      </c>
    </row>
    <row r="10" customFormat="false" ht="15" hidden="false" customHeight="false" outlineLevel="0" collapsed="false">
      <c r="A10" s="30" t="s">
        <v>1627</v>
      </c>
      <c r="B10" s="30" t="n">
        <v>6</v>
      </c>
      <c r="C10" s="18" t="n">
        <f aca="false">EDATE(Inputs!$C$80,B10-1)</f>
        <v>46472</v>
      </c>
      <c r="D10" s="19" t="n">
        <f aca="false">IF(AND(C10&gt;=Inputs!$C$10,C10&lt;=Cash_Flow!$AB$6),Inputs!$C$79,0)</f>
        <v>60</v>
      </c>
      <c r="E10" s="32" t="s">
        <v>1628</v>
      </c>
    </row>
    <row r="11" customFormat="false" ht="15" hidden="false" customHeight="false" outlineLevel="0" collapsed="false">
      <c r="A11" s="30" t="s">
        <v>1627</v>
      </c>
      <c r="B11" s="30" t="n">
        <v>7</v>
      </c>
      <c r="C11" s="18" t="n">
        <f aca="false">EDATE(Inputs!$C$80,B11-1)</f>
        <v>46503</v>
      </c>
      <c r="D11" s="19" t="n">
        <f aca="false">IF(AND(C11&gt;=Inputs!$C$10,C11&lt;=Cash_Flow!$AB$6),Inputs!$C$79,0)</f>
        <v>0</v>
      </c>
      <c r="E11" s="32" t="s">
        <v>1628</v>
      </c>
    </row>
    <row r="12" customFormat="false" ht="15" hidden="false" customHeight="false" outlineLevel="0" collapsed="false">
      <c r="A12" s="30" t="s">
        <v>1627</v>
      </c>
      <c r="B12" s="30" t="n">
        <v>8</v>
      </c>
      <c r="C12" s="18" t="n">
        <f aca="false">EDATE(Inputs!$C$80,B12-1)</f>
        <v>46533</v>
      </c>
      <c r="D12" s="19" t="n">
        <f aca="false">IF(AND(C12&gt;=Inputs!$C$10,C12&lt;=Cash_Flow!$AB$6),Inputs!$C$79,0)</f>
        <v>0</v>
      </c>
      <c r="E12" s="32" t="s">
        <v>1628</v>
      </c>
    </row>
    <row r="13" customFormat="false" ht="15" hidden="false" customHeight="false" outlineLevel="0" collapsed="false">
      <c r="A13" s="30" t="s">
        <v>1627</v>
      </c>
      <c r="B13" s="30" t="n">
        <v>9</v>
      </c>
      <c r="C13" s="18" t="n">
        <f aca="false">EDATE(Inputs!$C$80,B13-1)</f>
        <v>46564</v>
      </c>
      <c r="D13" s="19" t="n">
        <f aca="false">IF(AND(C13&gt;=Inputs!$C$10,C13&lt;=Cash_Flow!$AB$6),Inputs!$C$79,0)</f>
        <v>0</v>
      </c>
      <c r="E13" s="32" t="s">
        <v>1628</v>
      </c>
    </row>
    <row r="14" customFormat="false" ht="15" hidden="false" customHeight="false" outlineLevel="0" collapsed="false">
      <c r="A14" s="30" t="s">
        <v>1627</v>
      </c>
      <c r="B14" s="30" t="n">
        <v>10</v>
      </c>
      <c r="C14" s="18" t="n">
        <f aca="false">EDATE(Inputs!$C$80,B14-1)</f>
        <v>46594</v>
      </c>
      <c r="D14" s="19" t="n">
        <f aca="false">IF(AND(C14&gt;=Inputs!$C$10,C14&lt;=Cash_Flow!$AB$6),Inputs!$C$79,0)</f>
        <v>0</v>
      </c>
      <c r="E14" s="32" t="s">
        <v>1628</v>
      </c>
    </row>
    <row r="15" customFormat="false" ht="15" hidden="false" customHeight="false" outlineLevel="0" collapsed="false">
      <c r="A15" s="30" t="s">
        <v>1627</v>
      </c>
      <c r="B15" s="30" t="n">
        <v>11</v>
      </c>
      <c r="C15" s="18" t="n">
        <f aca="false">EDATE(Inputs!$C$80,B15-1)</f>
        <v>46625</v>
      </c>
      <c r="D15" s="19" t="n">
        <f aca="false">IF(AND(C15&gt;=Inputs!$C$10,C15&lt;=Cash_Flow!$AB$6),Inputs!$C$79,0)</f>
        <v>0</v>
      </c>
      <c r="E15" s="32" t="s">
        <v>1628</v>
      </c>
    </row>
    <row r="16" customFormat="false" ht="15" hidden="false" customHeight="false" outlineLevel="0" collapsed="false">
      <c r="A16" s="30" t="s">
        <v>1627</v>
      </c>
      <c r="B16" s="30" t="n">
        <v>12</v>
      </c>
      <c r="C16" s="18" t="n">
        <f aca="false">EDATE(Inputs!$C$80,B16-1)</f>
        <v>46656</v>
      </c>
      <c r="D16" s="19" t="n">
        <f aca="false">IF(AND(C16&gt;=Inputs!$C$10,C16&lt;=Cash_Flow!$AB$6),Inputs!$C$79,0)</f>
        <v>0</v>
      </c>
      <c r="E16" s="32" t="s">
        <v>1628</v>
      </c>
    </row>
    <row r="17" customFormat="false" ht="15" hidden="false" customHeight="false" outlineLevel="0" collapsed="false">
      <c r="A17" s="30" t="s">
        <v>1629</v>
      </c>
      <c r="B17" s="30" t="n">
        <v>1</v>
      </c>
      <c r="C17" s="18" t="n">
        <f aca="false">IF(Inputs!$C$77="","",EDATE(Inputs!$C$77,B17-1))</f>
        <v>46419</v>
      </c>
      <c r="D17" s="19" t="n">
        <f aca="false">IF(C17="",0,IF(AND(Inputs!$C$75="unit",C17&lt;=Cash_Flow!$AB$6,OR(Inputs!$C$78="",C17&lt;=Inputs!$C$78)),Inputs!$C$76,0))</f>
        <v>150</v>
      </c>
      <c r="E17" s="32" t="s">
        <v>1630</v>
      </c>
    </row>
    <row r="18" customFormat="false" ht="15" hidden="false" customHeight="false" outlineLevel="0" collapsed="false">
      <c r="A18" s="30" t="s">
        <v>1629</v>
      </c>
      <c r="B18" s="30" t="n">
        <v>2</v>
      </c>
      <c r="C18" s="18" t="n">
        <f aca="false">IF(Inputs!$C$77="","",EDATE(Inputs!$C$77,B18-1))</f>
        <v>46447</v>
      </c>
      <c r="D18" s="19" t="n">
        <f aca="false">IF(C18="",0,IF(AND(Inputs!$C$75="unit",C18&lt;=Cash_Flow!$AB$6,OR(Inputs!$C$78="",C18&lt;=Inputs!$C$78)),Inputs!$C$76,0))</f>
        <v>150</v>
      </c>
      <c r="E18" s="32" t="s">
        <v>1630</v>
      </c>
    </row>
    <row r="19" customFormat="false" ht="15" hidden="false" customHeight="false" outlineLevel="0" collapsed="false">
      <c r="A19" s="30" t="s">
        <v>1629</v>
      </c>
      <c r="B19" s="30" t="n">
        <v>3</v>
      </c>
      <c r="C19" s="18" t="n">
        <f aca="false">IF(Inputs!$C$77="","",EDATE(Inputs!$C$77,B19-1))</f>
        <v>46478</v>
      </c>
      <c r="D19" s="19" t="n">
        <f aca="false">IF(C19="",0,IF(AND(Inputs!$C$75="unit",C19&lt;=Cash_Flow!$AB$6,OR(Inputs!$C$78="",C19&lt;=Inputs!$C$78)),Inputs!$C$76,0))</f>
        <v>150</v>
      </c>
      <c r="E19" s="32" t="s">
        <v>1630</v>
      </c>
    </row>
    <row r="20" customFormat="false" ht="15" hidden="false" customHeight="false" outlineLevel="0" collapsed="false">
      <c r="A20" s="30" t="s">
        <v>1629</v>
      </c>
      <c r="B20" s="30" t="n">
        <v>4</v>
      </c>
      <c r="C20" s="18" t="n">
        <f aca="false">IF(Inputs!$C$77="","",EDATE(Inputs!$C$77,B20-1))</f>
        <v>46508</v>
      </c>
      <c r="D20" s="19" t="n">
        <f aca="false">IF(C20="",0,IF(AND(Inputs!$C$75="unit",C20&lt;=Cash_Flow!$AB$6,OR(Inputs!$C$78="",C20&lt;=Inputs!$C$78)),Inputs!$C$76,0))</f>
        <v>0</v>
      </c>
      <c r="E20" s="32" t="s">
        <v>1630</v>
      </c>
    </row>
    <row r="21" customFormat="false" ht="15" hidden="false" customHeight="false" outlineLevel="0" collapsed="false">
      <c r="A21" s="30" t="s">
        <v>1629</v>
      </c>
      <c r="B21" s="30" t="n">
        <v>5</v>
      </c>
      <c r="C21" s="18" t="n">
        <f aca="false">IF(Inputs!$C$77="","",EDATE(Inputs!$C$77,B21-1))</f>
        <v>46539</v>
      </c>
      <c r="D21" s="19" t="n">
        <f aca="false">IF(C21="",0,IF(AND(Inputs!$C$75="unit",C21&lt;=Cash_Flow!$AB$6,OR(Inputs!$C$78="",C21&lt;=Inputs!$C$78)),Inputs!$C$76,0))</f>
        <v>0</v>
      </c>
      <c r="E21" s="32" t="s">
        <v>1630</v>
      </c>
    </row>
    <row r="22" customFormat="false" ht="15" hidden="false" customHeight="false" outlineLevel="0" collapsed="false">
      <c r="A22" s="30" t="s">
        <v>1629</v>
      </c>
      <c r="B22" s="30" t="n">
        <v>6</v>
      </c>
      <c r="C22" s="18" t="n">
        <f aca="false">IF(Inputs!$C$77="","",EDATE(Inputs!$C$77,B22-1))</f>
        <v>46569</v>
      </c>
      <c r="D22" s="19" t="n">
        <f aca="false">IF(C22="",0,IF(AND(Inputs!$C$75="unit",C22&lt;=Cash_Flow!$AB$6,OR(Inputs!$C$78="",C22&lt;=Inputs!$C$78)),Inputs!$C$76,0))</f>
        <v>0</v>
      </c>
      <c r="E22" s="32" t="s">
        <v>1630</v>
      </c>
    </row>
    <row r="23" customFormat="false" ht="15" hidden="false" customHeight="false" outlineLevel="0" collapsed="false">
      <c r="A23" s="30" t="s">
        <v>1629</v>
      </c>
      <c r="B23" s="30" t="n">
        <v>7</v>
      </c>
      <c r="C23" s="18" t="n">
        <f aca="false">IF(Inputs!$C$77="","",EDATE(Inputs!$C$77,B23-1))</f>
        <v>46600</v>
      </c>
      <c r="D23" s="19" t="n">
        <f aca="false">IF(C23="",0,IF(AND(Inputs!$C$75="unit",C23&lt;=Cash_Flow!$AB$6,OR(Inputs!$C$78="",C23&lt;=Inputs!$C$78)),Inputs!$C$76,0))</f>
        <v>0</v>
      </c>
      <c r="E23" s="32" t="s">
        <v>1630</v>
      </c>
    </row>
    <row r="24" customFormat="false" ht="15" hidden="false" customHeight="false" outlineLevel="0" collapsed="false">
      <c r="A24" s="30" t="s">
        <v>1629</v>
      </c>
      <c r="B24" s="30" t="n">
        <v>8</v>
      </c>
      <c r="C24" s="18" t="n">
        <f aca="false">IF(Inputs!$C$77="","",EDATE(Inputs!$C$77,B24-1))</f>
        <v>46631</v>
      </c>
      <c r="D24" s="19" t="n">
        <f aca="false">IF(C24="",0,IF(AND(Inputs!$C$75="unit",C24&lt;=Cash_Flow!$AB$6,OR(Inputs!$C$78="",C24&lt;=Inputs!$C$78)),Inputs!$C$76,0))</f>
        <v>0</v>
      </c>
      <c r="E24" s="32" t="s">
        <v>1630</v>
      </c>
    </row>
    <row r="25" customFormat="false" ht="15" hidden="false" customHeight="false" outlineLevel="0" collapsed="false">
      <c r="A25" s="30" t="s">
        <v>1629</v>
      </c>
      <c r="B25" s="30" t="n">
        <v>9</v>
      </c>
      <c r="C25" s="18" t="n">
        <f aca="false">IF(Inputs!$C$77="","",EDATE(Inputs!$C$77,B25-1))</f>
        <v>46661</v>
      </c>
      <c r="D25" s="19" t="n">
        <f aca="false">IF(C25="",0,IF(AND(Inputs!$C$75="unit",C25&lt;=Cash_Flow!$AB$6,OR(Inputs!$C$78="",C25&lt;=Inputs!$C$78)),Inputs!$C$76,0))</f>
        <v>0</v>
      </c>
      <c r="E25" s="32" t="s">
        <v>1630</v>
      </c>
    </row>
    <row r="26" customFormat="false" ht="15" hidden="false" customHeight="false" outlineLevel="0" collapsed="false">
      <c r="A26" s="30" t="s">
        <v>1629</v>
      </c>
      <c r="B26" s="30" t="n">
        <v>10</v>
      </c>
      <c r="C26" s="18" t="n">
        <f aca="false">IF(Inputs!$C$77="","",EDATE(Inputs!$C$77,B26-1))</f>
        <v>46692</v>
      </c>
      <c r="D26" s="19" t="n">
        <f aca="false">IF(C26="",0,IF(AND(Inputs!$C$75="unit",C26&lt;=Cash_Flow!$AB$6,OR(Inputs!$C$78="",C26&lt;=Inputs!$C$78)),Inputs!$C$76,0))</f>
        <v>0</v>
      </c>
      <c r="E26" s="32" t="s">
        <v>1630</v>
      </c>
    </row>
    <row r="27" customFormat="false" ht="15" hidden="false" customHeight="false" outlineLevel="0" collapsed="false">
      <c r="A27" s="30" t="s">
        <v>1629</v>
      </c>
      <c r="B27" s="30" t="n">
        <v>11</v>
      </c>
      <c r="C27" s="18" t="n">
        <f aca="false">IF(Inputs!$C$77="","",EDATE(Inputs!$C$77,B27-1))</f>
        <v>46722</v>
      </c>
      <c r="D27" s="19" t="n">
        <f aca="false">IF(C27="",0,IF(AND(Inputs!$C$75="unit",C27&lt;=Cash_Flow!$AB$6,OR(Inputs!$C$78="",C27&lt;=Inputs!$C$78)),Inputs!$C$76,0))</f>
        <v>0</v>
      </c>
      <c r="E27" s="32" t="s">
        <v>1630</v>
      </c>
    </row>
    <row r="28" customFormat="false" ht="15" hidden="false" customHeight="false" outlineLevel="0" collapsed="false">
      <c r="A28" s="30" t="s">
        <v>1629</v>
      </c>
      <c r="B28" s="30" t="n">
        <v>12</v>
      </c>
      <c r="C28" s="18" t="n">
        <f aca="false">IF(Inputs!$C$77="","",EDATE(Inputs!$C$77,B28-1))</f>
        <v>46753</v>
      </c>
      <c r="D28" s="19" t="n">
        <f aca="false">IF(C28="",0,IF(AND(Inputs!$C$75="unit",C28&lt;=Cash_Flow!$AB$6,OR(Inputs!$C$78="",C28&lt;=Inputs!$C$78)),Inputs!$C$76,0))</f>
        <v>0</v>
      </c>
      <c r="E28" s="32" t="s">
        <v>1630</v>
      </c>
    </row>
    <row r="29" customFormat="false" ht="15" hidden="false" customHeight="false" outlineLevel="0" collapsed="false">
      <c r="A29" s="30" t="s">
        <v>1631</v>
      </c>
      <c r="B29" s="30" t="n">
        <v>1</v>
      </c>
      <c r="C29" s="18" t="n">
        <f aca="false">EDATE(Inputs!$C$83,B29-1)</f>
        <v>46367</v>
      </c>
      <c r="D29" s="19" t="n">
        <f aca="false">IF(AND(Inputs!$C$82="monthly",C29&lt;=Cash_Flow!$AB$6),Inputs!$C$81,0)</f>
        <v>0</v>
      </c>
      <c r="E29" s="32" t="s">
        <v>1632</v>
      </c>
    </row>
    <row r="30" customFormat="false" ht="15" hidden="false" customHeight="false" outlineLevel="0" collapsed="false">
      <c r="A30" s="30" t="s">
        <v>1631</v>
      </c>
      <c r="B30" s="30" t="n">
        <v>2</v>
      </c>
      <c r="C30" s="18" t="n">
        <f aca="false">EDATE(Inputs!$C$83,B30-1)</f>
        <v>46398</v>
      </c>
      <c r="D30" s="19" t="n">
        <f aca="false">IF(AND(Inputs!$C$82="monthly",C30&lt;=Cash_Flow!$AB$6),Inputs!$C$81,0)</f>
        <v>0</v>
      </c>
      <c r="E30" s="32" t="s">
        <v>1632</v>
      </c>
    </row>
    <row r="31" customFormat="false" ht="15" hidden="false" customHeight="false" outlineLevel="0" collapsed="false">
      <c r="A31" s="30" t="s">
        <v>1631</v>
      </c>
      <c r="B31" s="30" t="n">
        <v>3</v>
      </c>
      <c r="C31" s="18" t="n">
        <f aca="false">EDATE(Inputs!$C$83,B31-1)</f>
        <v>46429</v>
      </c>
      <c r="D31" s="19" t="n">
        <f aca="false">IF(AND(Inputs!$C$82="monthly",C31&lt;=Cash_Flow!$AB$6),Inputs!$C$81,0)</f>
        <v>0</v>
      </c>
      <c r="E31" s="32" t="s">
        <v>1632</v>
      </c>
    </row>
    <row r="32" customFormat="false" ht="15" hidden="false" customHeight="false" outlineLevel="0" collapsed="false">
      <c r="A32" s="30" t="s">
        <v>1631</v>
      </c>
      <c r="B32" s="30" t="n">
        <v>4</v>
      </c>
      <c r="C32" s="18" t="n">
        <f aca="false">EDATE(Inputs!$C$83,B32-1)</f>
        <v>46457</v>
      </c>
      <c r="D32" s="19" t="n">
        <f aca="false">IF(AND(Inputs!$C$82="monthly",C32&lt;=Cash_Flow!$AB$6),Inputs!$C$81,0)</f>
        <v>0</v>
      </c>
      <c r="E32" s="32" t="s">
        <v>1632</v>
      </c>
    </row>
    <row r="33" customFormat="false" ht="15" hidden="false" customHeight="false" outlineLevel="0" collapsed="false">
      <c r="A33" s="30" t="s">
        <v>1631</v>
      </c>
      <c r="B33" s="30" t="n">
        <v>5</v>
      </c>
      <c r="C33" s="18" t="n">
        <f aca="false">EDATE(Inputs!$C$83,B33-1)</f>
        <v>46488</v>
      </c>
      <c r="D33" s="19" t="n">
        <f aca="false">IF(AND(Inputs!$C$82="monthly",C33&lt;=Cash_Flow!$AB$6),Inputs!$C$81,0)</f>
        <v>0</v>
      </c>
      <c r="E33" s="32" t="s">
        <v>1632</v>
      </c>
    </row>
    <row r="34" customFormat="false" ht="15" hidden="false" customHeight="false" outlineLevel="0" collapsed="false">
      <c r="A34" s="30" t="s">
        <v>1631</v>
      </c>
      <c r="B34" s="30" t="n">
        <v>6</v>
      </c>
      <c r="C34" s="18" t="n">
        <f aca="false">EDATE(Inputs!$C$83,B34-1)</f>
        <v>46518</v>
      </c>
      <c r="D34" s="19" t="n">
        <f aca="false">IF(AND(Inputs!$C$82="monthly",C34&lt;=Cash_Flow!$AB$6),Inputs!$C$81,0)</f>
        <v>0</v>
      </c>
      <c r="E34" s="32" t="s">
        <v>1632</v>
      </c>
    </row>
    <row r="35" customFormat="false" ht="15" hidden="false" customHeight="false" outlineLevel="0" collapsed="false">
      <c r="A35" s="30" t="s">
        <v>1631</v>
      </c>
      <c r="B35" s="30" t="n">
        <v>7</v>
      </c>
      <c r="C35" s="18" t="n">
        <f aca="false">EDATE(Inputs!$C$83,B35-1)</f>
        <v>46549</v>
      </c>
      <c r="D35" s="19" t="n">
        <f aca="false">IF(AND(Inputs!$C$82="monthly",C35&lt;=Cash_Flow!$AB$6),Inputs!$C$81,0)</f>
        <v>0</v>
      </c>
      <c r="E35" s="32" t="s">
        <v>1632</v>
      </c>
    </row>
    <row r="36" customFormat="false" ht="15" hidden="false" customHeight="false" outlineLevel="0" collapsed="false">
      <c r="A36" s="30" t="s">
        <v>1631</v>
      </c>
      <c r="B36" s="30" t="n">
        <v>8</v>
      </c>
      <c r="C36" s="18" t="n">
        <f aca="false">EDATE(Inputs!$C$83,B36-1)</f>
        <v>46579</v>
      </c>
      <c r="D36" s="19" t="n">
        <f aca="false">IF(AND(Inputs!$C$82="monthly",C36&lt;=Cash_Flow!$AB$6),Inputs!$C$81,0)</f>
        <v>0</v>
      </c>
      <c r="E36" s="32" t="s">
        <v>1632</v>
      </c>
    </row>
    <row r="37" customFormat="false" ht="15" hidden="false" customHeight="false" outlineLevel="0" collapsed="false">
      <c r="A37" s="30" t="s">
        <v>1631</v>
      </c>
      <c r="B37" s="30" t="n">
        <v>9</v>
      </c>
      <c r="C37" s="18" t="n">
        <f aca="false">EDATE(Inputs!$C$83,B37-1)</f>
        <v>46610</v>
      </c>
      <c r="D37" s="19" t="n">
        <f aca="false">IF(AND(Inputs!$C$82="monthly",C37&lt;=Cash_Flow!$AB$6),Inputs!$C$81,0)</f>
        <v>0</v>
      </c>
      <c r="E37" s="32" t="s">
        <v>1632</v>
      </c>
    </row>
    <row r="38" customFormat="false" ht="15" hidden="false" customHeight="false" outlineLevel="0" collapsed="false">
      <c r="A38" s="30" t="s">
        <v>1631</v>
      </c>
      <c r="B38" s="30" t="n">
        <v>10</v>
      </c>
      <c r="C38" s="18" t="n">
        <f aca="false">EDATE(Inputs!$C$83,B38-1)</f>
        <v>46641</v>
      </c>
      <c r="D38" s="19" t="n">
        <f aca="false">IF(AND(Inputs!$C$82="monthly",C38&lt;=Cash_Flow!$AB$6),Inputs!$C$81,0)</f>
        <v>0</v>
      </c>
      <c r="E38" s="32" t="s">
        <v>1632</v>
      </c>
    </row>
    <row r="39" customFormat="false" ht="15" hidden="false" customHeight="false" outlineLevel="0" collapsed="false">
      <c r="A39" s="30" t="s">
        <v>1631</v>
      </c>
      <c r="B39" s="30" t="n">
        <v>11</v>
      </c>
      <c r="C39" s="18" t="n">
        <f aca="false">EDATE(Inputs!$C$83,B39-1)</f>
        <v>46671</v>
      </c>
      <c r="D39" s="19" t="n">
        <f aca="false">IF(AND(Inputs!$C$82="monthly",C39&lt;=Cash_Flow!$AB$6),Inputs!$C$81,0)</f>
        <v>0</v>
      </c>
      <c r="E39" s="32" t="s">
        <v>1632</v>
      </c>
    </row>
    <row r="40" customFormat="false" ht="15" hidden="false" customHeight="false" outlineLevel="0" collapsed="false">
      <c r="A40" s="30" t="s">
        <v>1631</v>
      </c>
      <c r="B40" s="30" t="n">
        <v>12</v>
      </c>
      <c r="C40" s="18" t="n">
        <f aca="false">EDATE(Inputs!$C$83,B40-1)</f>
        <v>46702</v>
      </c>
      <c r="D40" s="19" t="n">
        <f aca="false">IF(AND(Inputs!$C$82="monthly",C40&lt;=Cash_Flow!$AB$6),Inputs!$C$81,0)</f>
        <v>0</v>
      </c>
      <c r="E40" s="32" t="s">
        <v>1632</v>
      </c>
    </row>
    <row r="41" customFormat="false" ht="15" hidden="false" customHeight="false" outlineLevel="0" collapsed="false">
      <c r="A41" s="30" t="s">
        <v>1631</v>
      </c>
      <c r="B41" s="30" t="s">
        <v>601</v>
      </c>
      <c r="C41" s="18" t="n">
        <f aca="false">Inputs!$C$83</f>
        <v>46367</v>
      </c>
      <c r="D41" s="19" t="n">
        <f aca="false">IF(AND(Inputs!$C$82="annual",C41&lt;=Cash_Flow!$AB$6),Inputs!$C$81*Inputs!$C$20,0)</f>
        <v>1200</v>
      </c>
      <c r="E41" s="32" t="s">
        <v>1633</v>
      </c>
    </row>
    <row r="42" customFormat="false" ht="15" hidden="false" customHeight="false" outlineLevel="0" collapsed="false">
      <c r="A42" s="30" t="s">
        <v>1634</v>
      </c>
      <c r="B42" s="30" t="n">
        <v>1</v>
      </c>
      <c r="C42" s="18" t="n">
        <f aca="false">EDATE(Inputs!$C$10,B42-1)</f>
        <v>46321</v>
      </c>
      <c r="D42" s="19" t="n">
        <f aca="false">IF(C42&lt;=Cash_Flow!$AB$6,Inputs!$C$84,0)</f>
        <v>0</v>
      </c>
      <c r="E42" s="32" t="s">
        <v>1635</v>
      </c>
    </row>
    <row r="43" customFormat="false" ht="15" hidden="false" customHeight="false" outlineLevel="0" collapsed="false">
      <c r="A43" s="30" t="s">
        <v>1634</v>
      </c>
      <c r="B43" s="30" t="n">
        <v>2</v>
      </c>
      <c r="C43" s="18" t="n">
        <f aca="false">EDATE(Inputs!$C$10,B43-1)</f>
        <v>46352</v>
      </c>
      <c r="D43" s="19" t="n">
        <f aca="false">IF(C43&lt;=Cash_Flow!$AB$6,Inputs!$C$84,0)</f>
        <v>0</v>
      </c>
      <c r="E43" s="32" t="s">
        <v>1635</v>
      </c>
    </row>
    <row r="44" customFormat="false" ht="15" hidden="false" customHeight="false" outlineLevel="0" collapsed="false">
      <c r="A44" s="30" t="s">
        <v>1634</v>
      </c>
      <c r="B44" s="30" t="n">
        <v>3</v>
      </c>
      <c r="C44" s="18" t="n">
        <f aca="false">EDATE(Inputs!$C$10,B44-1)</f>
        <v>46382</v>
      </c>
      <c r="D44" s="19" t="n">
        <f aca="false">IF(C44&lt;=Cash_Flow!$AB$6,Inputs!$C$84,0)</f>
        <v>0</v>
      </c>
      <c r="E44" s="32" t="s">
        <v>1635</v>
      </c>
    </row>
    <row r="45" customFormat="false" ht="15" hidden="false" customHeight="false" outlineLevel="0" collapsed="false">
      <c r="A45" s="30" t="s">
        <v>1634</v>
      </c>
      <c r="B45" s="30" t="n">
        <v>4</v>
      </c>
      <c r="C45" s="18" t="n">
        <f aca="false">EDATE(Inputs!$C$10,B45-1)</f>
        <v>46413</v>
      </c>
      <c r="D45" s="19" t="n">
        <f aca="false">IF(C45&lt;=Cash_Flow!$AB$6,Inputs!$C$84,0)</f>
        <v>0</v>
      </c>
      <c r="E45" s="32" t="s">
        <v>1635</v>
      </c>
    </row>
    <row r="46" customFormat="false" ht="15" hidden="false" customHeight="false" outlineLevel="0" collapsed="false">
      <c r="A46" s="30" t="s">
        <v>1634</v>
      </c>
      <c r="B46" s="30" t="n">
        <v>5</v>
      </c>
      <c r="C46" s="18" t="n">
        <f aca="false">EDATE(Inputs!$C$10,B46-1)</f>
        <v>46444</v>
      </c>
      <c r="D46" s="19" t="n">
        <f aca="false">IF(C46&lt;=Cash_Flow!$AB$6,Inputs!$C$84,0)</f>
        <v>0</v>
      </c>
      <c r="E46" s="32" t="s">
        <v>1635</v>
      </c>
    </row>
    <row r="47" customFormat="false" ht="15" hidden="false" customHeight="false" outlineLevel="0" collapsed="false">
      <c r="A47" s="30" t="s">
        <v>1634</v>
      </c>
      <c r="B47" s="30" t="n">
        <v>6</v>
      </c>
      <c r="C47" s="18" t="n">
        <f aca="false">EDATE(Inputs!$C$10,B47-1)</f>
        <v>46472</v>
      </c>
      <c r="D47" s="19" t="n">
        <f aca="false">IF(C47&lt;=Cash_Flow!$AB$6,Inputs!$C$84,0)</f>
        <v>0</v>
      </c>
      <c r="E47" s="32" t="s">
        <v>1635</v>
      </c>
    </row>
    <row r="48" customFormat="false" ht="15" hidden="false" customHeight="false" outlineLevel="0" collapsed="false">
      <c r="A48" s="30" t="s">
        <v>1634</v>
      </c>
      <c r="B48" s="30" t="n">
        <v>7</v>
      </c>
      <c r="C48" s="18" t="n">
        <f aca="false">EDATE(Inputs!$C$10,B48-1)</f>
        <v>46503</v>
      </c>
      <c r="D48" s="19" t="n">
        <f aca="false">IF(C48&lt;=Cash_Flow!$AB$6,Inputs!$C$84,0)</f>
        <v>0</v>
      </c>
      <c r="E48" s="32" t="s">
        <v>1635</v>
      </c>
    </row>
    <row r="49" customFormat="false" ht="15" hidden="false" customHeight="false" outlineLevel="0" collapsed="false">
      <c r="A49" s="30" t="s">
        <v>1634</v>
      </c>
      <c r="B49" s="30" t="n">
        <v>8</v>
      </c>
      <c r="C49" s="18" t="n">
        <f aca="false">EDATE(Inputs!$C$10,B49-1)</f>
        <v>46533</v>
      </c>
      <c r="D49" s="19" t="n">
        <f aca="false">IF(C49&lt;=Cash_Flow!$AB$6,Inputs!$C$84,0)</f>
        <v>0</v>
      </c>
      <c r="E49" s="32" t="s">
        <v>1635</v>
      </c>
    </row>
    <row r="50" customFormat="false" ht="15" hidden="false" customHeight="false" outlineLevel="0" collapsed="false">
      <c r="A50" s="30" t="s">
        <v>1634</v>
      </c>
      <c r="B50" s="30" t="n">
        <v>9</v>
      </c>
      <c r="C50" s="18" t="n">
        <f aca="false">EDATE(Inputs!$C$10,B50-1)</f>
        <v>46564</v>
      </c>
      <c r="D50" s="19" t="n">
        <f aca="false">IF(C50&lt;=Cash_Flow!$AB$6,Inputs!$C$84,0)</f>
        <v>0</v>
      </c>
      <c r="E50" s="32" t="s">
        <v>1635</v>
      </c>
    </row>
    <row r="51" customFormat="false" ht="15" hidden="false" customHeight="false" outlineLevel="0" collapsed="false">
      <c r="A51" s="30" t="s">
        <v>1634</v>
      </c>
      <c r="B51" s="30" t="n">
        <v>10</v>
      </c>
      <c r="C51" s="18" t="n">
        <f aca="false">EDATE(Inputs!$C$10,B51-1)</f>
        <v>46594</v>
      </c>
      <c r="D51" s="19" t="n">
        <f aca="false">IF(C51&lt;=Cash_Flow!$AB$6,Inputs!$C$84,0)</f>
        <v>0</v>
      </c>
      <c r="E51" s="32" t="s">
        <v>1635</v>
      </c>
    </row>
    <row r="52" customFormat="false" ht="15" hidden="false" customHeight="false" outlineLevel="0" collapsed="false">
      <c r="A52" s="30" t="s">
        <v>1634</v>
      </c>
      <c r="B52" s="30" t="n">
        <v>11</v>
      </c>
      <c r="C52" s="18" t="n">
        <f aca="false">EDATE(Inputs!$C$10,B52-1)</f>
        <v>46625</v>
      </c>
      <c r="D52" s="19" t="n">
        <f aca="false">IF(C52&lt;=Cash_Flow!$AB$6,Inputs!$C$84,0)</f>
        <v>0</v>
      </c>
      <c r="E52" s="32" t="s">
        <v>1635</v>
      </c>
    </row>
    <row r="53" customFormat="false" ht="15" hidden="false" customHeight="false" outlineLevel="0" collapsed="false">
      <c r="A53" s="30" t="s">
        <v>1634</v>
      </c>
      <c r="B53" s="30" t="n">
        <v>12</v>
      </c>
      <c r="C53" s="18" t="n">
        <f aca="false">EDATE(Inputs!$C$10,B53-1)</f>
        <v>46656</v>
      </c>
      <c r="D53" s="19" t="n">
        <f aca="false">IF(C53&lt;=Cash_Flow!$AB$6,Inputs!$C$84,0)</f>
        <v>0</v>
      </c>
      <c r="E53" s="32" t="s">
        <v>1635</v>
      </c>
    </row>
    <row r="55" customFormat="false" ht="15" hidden="false" customHeight="false" outlineLevel="0" collapsed="false">
      <c r="A55" s="9" t="s">
        <v>1636</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1637</v>
      </c>
    </row>
    <row r="2" customFormat="false" ht="15" hidden="false" customHeight="false" outlineLevel="0" collapsed="false">
      <c r="A2" s="2" t="s">
        <v>1638</v>
      </c>
    </row>
    <row r="3" customFormat="false" ht="15" hidden="false" customHeight="false" outlineLevel="0" collapsed="false">
      <c r="C3" s="9" t="s">
        <v>1639</v>
      </c>
      <c r="D3" s="107" t="n">
        <v>0.01</v>
      </c>
    </row>
    <row r="4" customFormat="false" ht="30" hidden="false" customHeight="true" outlineLevel="0" collapsed="false">
      <c r="A4" s="12" t="s">
        <v>1315</v>
      </c>
      <c r="B4" s="12" t="s">
        <v>1640</v>
      </c>
      <c r="C4" s="12" t="s">
        <v>1641</v>
      </c>
      <c r="D4" s="12" t="s">
        <v>232</v>
      </c>
      <c r="E4" s="12" t="s">
        <v>1642</v>
      </c>
      <c r="F4" s="12" t="s">
        <v>1643</v>
      </c>
    </row>
    <row r="5" customFormat="false" ht="15" hidden="false" customHeight="false" outlineLevel="0" collapsed="false">
      <c r="A5" s="30" t="n">
        <v>1</v>
      </c>
      <c r="B5" s="30" t="s">
        <v>1644</v>
      </c>
      <c r="C5" s="7" t="s">
        <v>1645</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1646</v>
      </c>
    </row>
    <row r="6" customFormat="false" ht="15" hidden="false" customHeight="false" outlineLevel="0" collapsed="false">
      <c r="A6" s="30" t="n">
        <v>2</v>
      </c>
      <c r="B6" s="30" t="s">
        <v>1644</v>
      </c>
      <c r="C6" s="7" t="s">
        <v>1647</v>
      </c>
      <c r="D6" s="108" t="n">
        <f aca="false">Cash_Flow!$C$69</f>
        <v>0</v>
      </c>
      <c r="E6" s="22" t="n">
        <f aca="false">IF(ABS(D6)&lt;=$D$3,1,0)</f>
        <v>1</v>
      </c>
      <c r="F6" s="7" t="s">
        <v>1648</v>
      </c>
    </row>
    <row r="7" customFormat="false" ht="15" hidden="false" customHeight="false" outlineLevel="0" collapsed="false">
      <c r="A7" s="30" t="n">
        <v>3</v>
      </c>
      <c r="B7" s="30" t="s">
        <v>1644</v>
      </c>
      <c r="C7" s="7" t="s">
        <v>1649</v>
      </c>
      <c r="D7" s="108" t="n">
        <f aca="false">Cash_Flow!$C$71-Cash_Ledger!$D$55</f>
        <v>0</v>
      </c>
      <c r="E7" s="22" t="n">
        <f aca="false">IF(ABS(D7)&lt;=$D$3,1,0)</f>
        <v>1</v>
      </c>
      <c r="F7" s="7" t="s">
        <v>1650</v>
      </c>
    </row>
    <row r="8" customFormat="false" ht="15" hidden="false" customHeight="false" outlineLevel="0" collapsed="false">
      <c r="A8" s="30" t="n">
        <v>4</v>
      </c>
      <c r="B8" s="30" t="s">
        <v>1644</v>
      </c>
      <c r="C8" s="7" t="s">
        <v>1651</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1644</v>
      </c>
      <c r="C9" s="7" t="s">
        <v>1652</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1644</v>
      </c>
      <c r="C10" s="7" t="s">
        <v>1653</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1644</v>
      </c>
      <c r="C11" s="7" t="s">
        <v>1654</v>
      </c>
      <c r="D11" s="108" t="n">
        <f aca="false">Capital!$G$33</f>
        <v>-1122</v>
      </c>
      <c r="E11" s="22" t="n">
        <f aca="false">IF(OR(ABS(D11)&lt;=$D$3,COUNTIF(Schedule!$N$7:$N$18,"Y")&gt;0),1,0)</f>
        <v>1</v>
      </c>
      <c r="F11" s="7" t="s">
        <v>1655</v>
      </c>
    </row>
    <row r="12" customFormat="false" ht="15" hidden="false" customHeight="false" outlineLevel="0" collapsed="false">
      <c r="A12" s="30" t="n">
        <v>8</v>
      </c>
      <c r="B12" s="30" t="s">
        <v>1644</v>
      </c>
      <c r="C12" s="7" t="s">
        <v>1656</v>
      </c>
      <c r="D12" s="108" t="n">
        <f aca="false">Sensitivity!$G$9</f>
        <v>0</v>
      </c>
      <c r="E12" s="22" t="n">
        <f aca="false">IF(ABS(D12)&lt;=$D$3,1,0)</f>
        <v>1</v>
      </c>
      <c r="F12" s="7"/>
    </row>
    <row r="13" customFormat="false" ht="15" hidden="false" customHeight="false" outlineLevel="0" collapsed="false">
      <c r="A13" s="30" t="n">
        <v>9</v>
      </c>
      <c r="B13" s="30" t="s">
        <v>1644</v>
      </c>
      <c r="C13" s="7" t="s">
        <v>1657</v>
      </c>
      <c r="D13" s="108" t="n">
        <f aca="false">Sensitivity!$C$71</f>
        <v>0</v>
      </c>
      <c r="E13" s="22" t="n">
        <f aca="false">IF(D13=0,1,0)</f>
        <v>1</v>
      </c>
      <c r="F13" s="7"/>
    </row>
    <row r="14" customFormat="false" ht="15" hidden="false" customHeight="false" outlineLevel="0" collapsed="false">
      <c r="A14" s="30" t="n">
        <v>10</v>
      </c>
      <c r="B14" s="30" t="s">
        <v>1644</v>
      </c>
      <c r="C14" s="7" t="s">
        <v>1658</v>
      </c>
      <c r="D14" s="108" t="n">
        <f aca="false">Sensitivity!$C$72</f>
        <v>0</v>
      </c>
      <c r="E14" s="22" t="n">
        <f aca="false">IF(D14=0,1,0)</f>
        <v>1</v>
      </c>
      <c r="F14" s="7"/>
    </row>
    <row r="15" customFormat="false" ht="15" hidden="false" customHeight="false" outlineLevel="0" collapsed="false">
      <c r="A15" s="30" t="n">
        <v>11</v>
      </c>
      <c r="B15" s="30" t="s">
        <v>1644</v>
      </c>
      <c r="C15" s="7" t="s">
        <v>1659</v>
      </c>
      <c r="D15" s="108" t="n">
        <f aca="false">Sensitivity!$C$73</f>
        <v>0</v>
      </c>
      <c r="E15" s="22" t="n">
        <f aca="false">IF(D15=0,1,0)</f>
        <v>1</v>
      </c>
      <c r="F15" s="7"/>
    </row>
    <row r="16" customFormat="false" ht="15" hidden="false" customHeight="false" outlineLevel="0" collapsed="false">
      <c r="A16" s="30" t="n">
        <v>12</v>
      </c>
      <c r="B16" s="30" t="s">
        <v>1644</v>
      </c>
      <c r="C16" s="7" t="s">
        <v>1660</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1644</v>
      </c>
      <c r="C17" s="7" t="s">
        <v>1661</v>
      </c>
      <c r="D17" s="108" t="n">
        <f aca="false">IF(ISNUMBER(Plan_Check!AK15),0,1)</f>
        <v>0</v>
      </c>
      <c r="E17" s="22" t="n">
        <f aca="false">IF(D17=0,1,0)</f>
        <v>1</v>
      </c>
      <c r="F17" s="7"/>
    </row>
    <row r="18" customFormat="false" ht="15" hidden="false" customHeight="false" outlineLevel="0" collapsed="false">
      <c r="A18" s="30" t="n">
        <v>14</v>
      </c>
      <c r="B18" s="30" t="s">
        <v>1644</v>
      </c>
      <c r="C18" s="7" t="s">
        <v>1662</v>
      </c>
      <c r="D18" s="108" t="n">
        <f aca="false">Plan_Check!AB16-Plan_Check!G16*Inputs!$C$94</f>
        <v>0</v>
      </c>
      <c r="E18" s="22" t="n">
        <f aca="false">IF(ABS(D18)&lt;=$D$3,1,0)</f>
        <v>1</v>
      </c>
      <c r="F18" s="7"/>
    </row>
    <row r="19" customFormat="false" ht="28.35" hidden="false" customHeight="false" outlineLevel="0" collapsed="false">
      <c r="A19" s="30" t="n">
        <v>15</v>
      </c>
      <c r="B19" s="30" t="s">
        <v>1644</v>
      </c>
      <c r="C19" s="7" t="s">
        <v>1663</v>
      </c>
      <c r="D19" s="108" t="n">
        <f aca="false">Steady_State!$C$50-IF(Inputs!$C$62&gt;0,(Inputs!$C$62*(Inputs!$C$39*Sensitivity!$C$9+Sensitivity!$C$8)*Sensitivity!$C$7-Sensitivity!$C$10-Sensitivity!$C$11*MAX(Inputs!$C$62-1,0))/Inputs!$C$62,0)</f>
        <v>0</v>
      </c>
      <c r="E19" s="22" t="n">
        <f aca="false">IF(ABS(D19)&lt;=$D$3,1,0)</f>
        <v>1</v>
      </c>
      <c r="F19" s="7" t="s">
        <v>1664</v>
      </c>
    </row>
    <row r="20" customFormat="false" ht="28.35" hidden="false" customHeight="false" outlineLevel="0" collapsed="false">
      <c r="A20" s="30" t="n">
        <v>16</v>
      </c>
      <c r="B20" s="30" t="s">
        <v>1644</v>
      </c>
      <c r="C20" s="7" t="s">
        <v>1665</v>
      </c>
      <c r="D20" s="108" t="n">
        <f aca="false">SUM(Drop_PnL!$BI$7:$BI$18)-(Cash_Flow!$AC$11+Cash_Flow!$AC$18)</f>
        <v>0</v>
      </c>
      <c r="E20" s="22" t="n">
        <f aca="false">IF(ABS(D20)&lt;=$D$3,1,0)</f>
        <v>1</v>
      </c>
      <c r="F20" s="7" t="s">
        <v>1666</v>
      </c>
    </row>
    <row r="21" customFormat="false" ht="15" hidden="false" customHeight="false" outlineLevel="0" collapsed="false">
      <c r="A21" s="30" t="n">
        <v>17</v>
      </c>
      <c r="B21" s="30" t="s">
        <v>30</v>
      </c>
      <c r="C21" s="7" t="s">
        <v>1667</v>
      </c>
      <c r="D21" s="108" t="n">
        <f aca="false">COUNTIF(Schedule!$T$7:$T$18,"check")+COUNTIF(Schedule!$T$7:$T$18,"date missing")</f>
        <v>0</v>
      </c>
      <c r="E21" s="22" t="n">
        <f aca="false">IF(D21=0,1,0)</f>
        <v>1</v>
      </c>
      <c r="F21" s="7" t="s">
        <v>1668</v>
      </c>
    </row>
    <row r="22" customFormat="false" ht="55.2" hidden="false" customHeight="false" outlineLevel="0" collapsed="false">
      <c r="A22" s="30" t="n">
        <v>18</v>
      </c>
      <c r="B22" s="30" t="s">
        <v>1669</v>
      </c>
      <c r="C22" s="7" t="s">
        <v>1670</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1671</v>
      </c>
    </row>
    <row r="23" customFormat="false" ht="41.75" hidden="false" customHeight="false" outlineLevel="0" collapsed="false">
      <c r="A23" s="30" t="n">
        <v>19</v>
      </c>
      <c r="B23" s="30" t="s">
        <v>30</v>
      </c>
      <c r="C23" s="7" t="s">
        <v>1672</v>
      </c>
      <c r="D23" s="108" t="n">
        <f aca="false">IF(AND(Inputs!$C$10&amp;""&lt;&gt;Inputs!$J$10&amp;"",Inputs!$C$11&amp;""=Inputs!$J$11&amp;"",Inputs!$C$12&amp;""=Inputs!$J$12&amp;"",Inputs!$C$14&amp;""=Inputs!$J$14&amp;"",Inputs!$C$15&amp;""=Inputs!$J$15&amp;"",Schedule!$E$7&amp;""=Schedule!$AL$7&amp;""),1,0)</f>
        <v>0</v>
      </c>
      <c r="E23" s="22" t="n">
        <f aca="false">IF(D23=0,1,0)</f>
        <v>1</v>
      </c>
      <c r="F23" s="7" t="s">
        <v>1673</v>
      </c>
    </row>
    <row r="24" customFormat="false" ht="15" hidden="false" customHeight="false" outlineLevel="0" collapsed="false">
      <c r="A24" s="30" t="n">
        <v>20</v>
      </c>
      <c r="B24" s="30" t="s">
        <v>30</v>
      </c>
      <c r="C24" s="7" t="s">
        <v>1674</v>
      </c>
      <c r="D24" s="108" t="n">
        <f aca="false">MAX(0,SUMPRODUCT((Drop_PnL!D7:D18="founding")*Drop_PnL!O7:O18)-Inputs!$C$46)</f>
        <v>0</v>
      </c>
      <c r="E24" s="22" t="n">
        <f aca="false">IF(D24=0,1,0)</f>
        <v>1</v>
      </c>
      <c r="F24" s="7" t="s">
        <v>1675</v>
      </c>
    </row>
    <row r="25" customFormat="false" ht="15" hidden="false" customHeight="false" outlineLevel="0" collapsed="false">
      <c r="A25" s="30" t="n">
        <v>21</v>
      </c>
      <c r="B25" s="30" t="s">
        <v>30</v>
      </c>
      <c r="C25" s="7" t="s">
        <v>1676</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1677</v>
      </c>
      <c r="D26" s="108" t="n">
        <f aca="false">IF(ISNUMBER(MATCH(Inputs!$C$129,Schedule!$A$7:$A$18,0)),0,1)</f>
        <v>0</v>
      </c>
      <c r="E26" s="22" t="n">
        <f aca="false">IF(D26=0,1,0)</f>
        <v>1</v>
      </c>
      <c r="F26" s="7"/>
    </row>
    <row r="27" customFormat="false" ht="15" hidden="false" customHeight="false" outlineLevel="0" collapsed="false">
      <c r="A27" s="30" t="n">
        <v>23</v>
      </c>
      <c r="B27" s="30" t="s">
        <v>1678</v>
      </c>
      <c r="C27" s="7" t="s">
        <v>1679</v>
      </c>
      <c r="D27" s="108" t="n">
        <f aca="false">Hours_Log!$Z$50</f>
        <v>0</v>
      </c>
      <c r="E27" s="22" t="n">
        <f aca="false">IF(D27=0,1,0)</f>
        <v>1</v>
      </c>
      <c r="F27" s="7"/>
    </row>
    <row r="28" customFormat="false" ht="15" hidden="false" customHeight="false" outlineLevel="0" collapsed="false">
      <c r="A28" s="30" t="n">
        <v>24</v>
      </c>
      <c r="B28" s="30" t="s">
        <v>1678</v>
      </c>
      <c r="C28" s="7" t="s">
        <v>1680</v>
      </c>
      <c r="D28" s="108" t="n">
        <f aca="false">Hours_Log!$Z$51</f>
        <v>0</v>
      </c>
      <c r="E28" s="22" t="n">
        <f aca="false">IF(D28=0,1,0)</f>
        <v>1</v>
      </c>
      <c r="F28" s="7"/>
    </row>
    <row r="29" customFormat="false" ht="15" hidden="false" customHeight="false" outlineLevel="0" collapsed="false">
      <c r="A29" s="30" t="n">
        <v>25</v>
      </c>
      <c r="B29" s="30" t="s">
        <v>1678</v>
      </c>
      <c r="C29" s="7" t="s">
        <v>1681</v>
      </c>
      <c r="D29" s="108" t="n">
        <f aca="false">Toggl_Import!$AL$10+Toggl_Import!$AL$11</f>
        <v>0</v>
      </c>
      <c r="E29" s="22" t="n">
        <f aca="false">IF(D29=0,1,0)</f>
        <v>1</v>
      </c>
      <c r="F29" s="7"/>
    </row>
    <row r="30" customFormat="false" ht="15" hidden="false" customHeight="false" outlineLevel="0" collapsed="false">
      <c r="A30" s="30" t="n">
        <v>26</v>
      </c>
      <c r="B30" s="30" t="s">
        <v>1678</v>
      </c>
      <c r="C30" s="7" t="s">
        <v>1682</v>
      </c>
      <c r="D30" s="108" t="n">
        <f aca="false">Pipeline!$AH$22+Pipeline!$AH$23</f>
        <v>0</v>
      </c>
      <c r="E30" s="22" t="n">
        <f aca="false">IF(D30=0,1,0)</f>
        <v>1</v>
      </c>
      <c r="F30" s="7"/>
    </row>
    <row r="31" customFormat="false" ht="15" hidden="false" customHeight="false" outlineLevel="0" collapsed="false">
      <c r="A31" s="30" t="n">
        <v>27</v>
      </c>
      <c r="B31" s="30" t="s">
        <v>1678</v>
      </c>
      <c r="C31" s="7" t="s">
        <v>1683</v>
      </c>
      <c r="D31" s="108" t="n">
        <f aca="false">COUNTIF(Actuals_Campaigns!$AL$5:$AL$204,"not in schedule")</f>
        <v>0</v>
      </c>
      <c r="E31" s="22" t="n">
        <f aca="false">IF(D31=0,1,0)</f>
        <v>1</v>
      </c>
      <c r="F31" s="7"/>
    </row>
    <row r="32" customFormat="false" ht="15" hidden="false" customHeight="false" outlineLevel="0" collapsed="false">
      <c r="A32" s="30" t="n">
        <v>28</v>
      </c>
      <c r="B32" s="30" t="s">
        <v>1678</v>
      </c>
      <c r="C32" s="7" t="s">
        <v>1684</v>
      </c>
      <c r="D32" s="108" t="n">
        <f aca="false">COUNTIF(Actuals_DropCosts!$U$5:$U$104,"not in schedule")</f>
        <v>0</v>
      </c>
      <c r="E32" s="22" t="n">
        <f aca="false">IF(D32=0,1,0)</f>
        <v>1</v>
      </c>
      <c r="F32" s="7"/>
    </row>
    <row r="33" customFormat="false" ht="28.35" hidden="false" customHeight="false" outlineLevel="0" collapsed="false">
      <c r="A33" s="30" t="n">
        <v>29</v>
      </c>
      <c r="B33" s="30" t="s">
        <v>1678</v>
      </c>
      <c r="C33" s="7" t="s">
        <v>1685</v>
      </c>
      <c r="D33" s="108" t="n">
        <f aca="false">SUMPRODUCT((Actuals_Campaigns!$A$4:$Z$4&lt;&gt;Lists!$B$34:$AA$34)*1)+COUNTA(Actuals_Campaigns!$AA$4:$AK$204)</f>
        <v>0</v>
      </c>
      <c r="E33" s="22" t="n">
        <f aca="false">IF(D33=0,1,0)</f>
        <v>1</v>
      </c>
      <c r="F33" s="7" t="s">
        <v>1686</v>
      </c>
    </row>
    <row r="34" customFormat="false" ht="28.35" hidden="false" customHeight="false" outlineLevel="0" collapsed="false">
      <c r="A34" s="30" t="n">
        <v>30</v>
      </c>
      <c r="B34" s="30" t="s">
        <v>1678</v>
      </c>
      <c r="C34" s="7" t="s">
        <v>1687</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1678</v>
      </c>
      <c r="C35" s="7" t="s">
        <v>1688</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1678</v>
      </c>
      <c r="C36" s="7" t="s">
        <v>1689</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1678</v>
      </c>
      <c r="C37" s="7" t="s">
        <v>1690</v>
      </c>
      <c r="D37" s="108" t="n">
        <f aca="false">COUNTA(Actuals_Campaigns!$C$5:$C$204)-COUNT(Actuals_Campaigns!$C$5:$C$204)+COUNTA(Actuals_Campaigns!$G$5:$U$204)-COUNT(Actuals_Campaigns!$G$5:$U$204)+COUNTA(Actuals_Campaigns!$X$5:$Z$204)-COUNT(Actuals_Campaigns!$X$5:$Z$204)</f>
        <v>0</v>
      </c>
      <c r="E37" s="22" t="n">
        <f aca="false">IF(D37=0,1,0)</f>
        <v>1</v>
      </c>
      <c r="F37" s="7" t="s">
        <v>1691</v>
      </c>
    </row>
    <row r="38" customFormat="false" ht="15" hidden="false" customHeight="false" outlineLevel="0" collapsed="false">
      <c r="A38" s="30" t="n">
        <v>34</v>
      </c>
      <c r="B38" s="30" t="s">
        <v>1678</v>
      </c>
      <c r="C38" s="7" t="s">
        <v>1692</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1678</v>
      </c>
      <c r="C39" s="7" t="s">
        <v>1693</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1678</v>
      </c>
      <c r="C40" s="7" t="s">
        <v>1694</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1695</v>
      </c>
      <c r="C41" s="7" t="s">
        <v>1696</v>
      </c>
      <c r="D41" s="108" t="n">
        <f aca="false">COUNTIF(Plan_Check!$AX$7:$AX$13,"differs")</f>
        <v>0</v>
      </c>
      <c r="E41" s="22" t="n">
        <f aca="false">IF(D41=0,1,0)</f>
        <v>1</v>
      </c>
      <c r="F41" s="7" t="s">
        <v>1697</v>
      </c>
    </row>
    <row r="42" customFormat="false" ht="15" hidden="false" customHeight="false" outlineLevel="0" collapsed="false">
      <c r="A42" s="30" t="n">
        <v>38</v>
      </c>
      <c r="B42" s="30" t="s">
        <v>1695</v>
      </c>
      <c r="C42" s="7" t="s">
        <v>1698</v>
      </c>
      <c r="D42" s="108" t="n">
        <f aca="false">COUNTIF(Plan_Check!$J$22:$J$29,"no")</f>
        <v>0</v>
      </c>
      <c r="E42" s="22" t="n">
        <f aca="false">IF(D42=0,1,0)</f>
        <v>1</v>
      </c>
      <c r="F42" s="7" t="s">
        <v>1697</v>
      </c>
    </row>
    <row r="43" customFormat="false" ht="28.35" hidden="false" customHeight="false" outlineLevel="0" collapsed="false">
      <c r="A43" s="30" t="n">
        <v>39</v>
      </c>
      <c r="B43" s="30" t="s">
        <v>1695</v>
      </c>
      <c r="C43" s="7" t="s">
        <v>1699</v>
      </c>
      <c r="D43" s="108" t="n">
        <f aca="false">COUNTIF(Plan_Check!$G$34:$G$58,"differs: see reason")-COUNTIF(Plan_Check!G43:G43,"differs: see reason")-COUNTIF(Plan_Check!G58:G58,"differs: see reason")</f>
        <v>0</v>
      </c>
      <c r="E43" s="22" t="n">
        <f aca="false">IF(D43=0,1,0)</f>
        <v>1</v>
      </c>
      <c r="F43" s="7" t="s">
        <v>1700</v>
      </c>
    </row>
    <row r="45" customFormat="false" ht="15" hidden="false" customHeight="false" outlineLevel="0" collapsed="false">
      <c r="C45" s="9" t="s">
        <v>1701</v>
      </c>
      <c r="D45" s="22" t="n">
        <f aca="false">COUNTIFS(B5:B43,"Integrity",E5:E43,0)+COUNTIFS(B5:B43,"Schedule",E5:E43,0)</f>
        <v>0</v>
      </c>
    </row>
    <row r="46" customFormat="false" ht="15" hidden="false" customHeight="false" outlineLevel="0" collapsed="false">
      <c r="C46" s="9" t="s">
        <v>1702</v>
      </c>
      <c r="D46" s="22" t="n">
        <f aca="false">COUNTIFS(B5:B43,"Data",E5:E43,0)</f>
        <v>0</v>
      </c>
    </row>
    <row r="47" customFormat="false" ht="15" hidden="false" customHeight="false" outlineLevel="0" collapsed="false">
      <c r="C47" s="9" t="s">
        <v>1703</v>
      </c>
      <c r="D47" s="22" t="n">
        <f aca="false">COUNTIFS(B5:B43,"Plan",E5:E43,0)</f>
        <v>0</v>
      </c>
    </row>
    <row r="48" customFormat="false" ht="15" hidden="false" customHeight="false" outlineLevel="0" collapsed="false">
      <c r="C48" s="9" t="s">
        <v>1704</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1705</v>
      </c>
    </row>
    <row r="3" customFormat="false" ht="30" hidden="false" customHeight="true" outlineLevel="0" collapsed="false">
      <c r="A3" s="93" t="s">
        <v>1559</v>
      </c>
      <c r="B3" s="93" t="s">
        <v>1560</v>
      </c>
      <c r="C3" s="93" t="s">
        <v>1452</v>
      </c>
      <c r="D3" s="93" t="s">
        <v>1706</v>
      </c>
      <c r="E3" s="93" t="s">
        <v>1707</v>
      </c>
      <c r="F3" s="93" t="s">
        <v>1708</v>
      </c>
      <c r="G3" s="93" t="s">
        <v>1513</v>
      </c>
      <c r="H3" s="93" t="s">
        <v>1516</v>
      </c>
      <c r="I3" s="93" t="s">
        <v>1709</v>
      </c>
      <c r="J3" s="93" t="s">
        <v>1577</v>
      </c>
      <c r="K3" s="93" t="s">
        <v>570</v>
      </c>
      <c r="L3" s="93" t="s">
        <v>599</v>
      </c>
      <c r="N3" s="93" t="s">
        <v>1710</v>
      </c>
      <c r="O3" s="93" t="s">
        <v>1711</v>
      </c>
      <c r="Q3" s="93" t="s">
        <v>1712</v>
      </c>
      <c r="R3" s="93" t="s">
        <v>1713</v>
      </c>
      <c r="S3" s="93" t="s">
        <v>1714</v>
      </c>
      <c r="U3" s="93" t="s">
        <v>1715</v>
      </c>
      <c r="X3" s="93" t="s">
        <v>1716</v>
      </c>
    </row>
    <row r="4" customFormat="false" ht="15" hidden="false" customHeight="false" outlineLevel="0" collapsed="false">
      <c r="A4" s="30" t="s">
        <v>672</v>
      </c>
      <c r="B4" s="30" t="s">
        <v>980</v>
      </c>
      <c r="C4" s="30" t="s">
        <v>1306</v>
      </c>
      <c r="D4" s="30" t="s">
        <v>1717</v>
      </c>
      <c r="E4" s="30" t="s">
        <v>805</v>
      </c>
      <c r="F4" s="30" t="s">
        <v>451</v>
      </c>
      <c r="G4" s="30" t="s">
        <v>1718</v>
      </c>
      <c r="H4" s="30" t="s">
        <v>1719</v>
      </c>
      <c r="I4" s="30" t="s">
        <v>1589</v>
      </c>
      <c r="J4" s="30" t="s">
        <v>805</v>
      </c>
      <c r="K4" s="30" t="s">
        <v>572</v>
      </c>
      <c r="L4" s="30" t="s">
        <v>601</v>
      </c>
      <c r="N4" s="18" t="n">
        <v>46337</v>
      </c>
      <c r="O4" s="30" t="s">
        <v>1720</v>
      </c>
      <c r="Q4" s="18" t="n">
        <v>46374</v>
      </c>
      <c r="R4" s="18" t="n">
        <v>46387</v>
      </c>
      <c r="S4" s="30" t="s">
        <v>1721</v>
      </c>
      <c r="U4" s="30" t="s">
        <v>1722</v>
      </c>
      <c r="V4" s="30" t="n">
        <v>3</v>
      </c>
      <c r="X4" s="30" t="s">
        <v>1723</v>
      </c>
      <c r="Y4" s="32" t="s">
        <v>1724</v>
      </c>
    </row>
    <row r="5" customFormat="false" ht="15" hidden="false" customHeight="false" outlineLevel="0" collapsed="false">
      <c r="A5" s="30" t="s">
        <v>674</v>
      </c>
      <c r="B5" s="30" t="s">
        <v>984</v>
      </c>
      <c r="C5" s="30" t="s">
        <v>1307</v>
      </c>
      <c r="D5" s="30" t="s">
        <v>1725</v>
      </c>
      <c r="E5" s="30" t="s">
        <v>822</v>
      </c>
      <c r="F5" s="30" t="s">
        <v>879</v>
      </c>
      <c r="G5" s="30" t="s">
        <v>1726</v>
      </c>
      <c r="H5" s="30" t="s">
        <v>1727</v>
      </c>
      <c r="I5" s="30" t="s">
        <v>1591</v>
      </c>
      <c r="J5" s="30" t="s">
        <v>822</v>
      </c>
      <c r="K5" s="30" t="s">
        <v>1728</v>
      </c>
      <c r="L5" s="30" t="s">
        <v>1729</v>
      </c>
      <c r="N5" s="18" t="n">
        <v>46352</v>
      </c>
      <c r="O5" s="30" t="s">
        <v>1730</v>
      </c>
      <c r="Q5" s="18" t="n">
        <v>46573</v>
      </c>
      <c r="R5" s="18" t="n">
        <v>46577</v>
      </c>
      <c r="S5" s="30" t="s">
        <v>1731</v>
      </c>
      <c r="U5" s="30" t="s">
        <v>1732</v>
      </c>
      <c r="V5" s="30" t="n">
        <v>4</v>
      </c>
    </row>
    <row r="6" customFormat="false" ht="15" hidden="false" customHeight="false" outlineLevel="0" collapsed="false">
      <c r="A6" s="30" t="s">
        <v>676</v>
      </c>
      <c r="C6" s="30" t="s">
        <v>1308</v>
      </c>
      <c r="D6" s="30" t="s">
        <v>1733</v>
      </c>
      <c r="F6" s="30" t="s">
        <v>880</v>
      </c>
      <c r="H6" s="30" t="s">
        <v>1734</v>
      </c>
      <c r="I6" s="30" t="s">
        <v>1735</v>
      </c>
      <c r="J6" s="30" t="s">
        <v>1594</v>
      </c>
      <c r="N6" s="18" t="n">
        <v>46381</v>
      </c>
      <c r="O6" s="30" t="s">
        <v>1736</v>
      </c>
      <c r="Q6" s="18" t="n">
        <v>46617</v>
      </c>
      <c r="R6" s="18" t="n">
        <v>46630</v>
      </c>
      <c r="S6" s="30" t="s">
        <v>1737</v>
      </c>
    </row>
    <row r="7" customFormat="false" ht="15" hidden="false" customHeight="false" outlineLevel="0" collapsed="false">
      <c r="C7" s="30" t="s">
        <v>1309</v>
      </c>
      <c r="D7" s="30" t="s">
        <v>1738</v>
      </c>
      <c r="F7" s="30" t="s">
        <v>881</v>
      </c>
      <c r="H7" s="30" t="s">
        <v>1739</v>
      </c>
      <c r="N7" s="18" t="n">
        <v>46388</v>
      </c>
      <c r="O7" s="30" t="s">
        <v>1740</v>
      </c>
      <c r="Q7" s="18" t="n">
        <v>46739</v>
      </c>
      <c r="R7" s="18" t="n">
        <v>46752</v>
      </c>
      <c r="S7" s="30" t="s">
        <v>1741</v>
      </c>
    </row>
    <row r="8" customFormat="false" ht="15" hidden="false" customHeight="false" outlineLevel="0" collapsed="false">
      <c r="C8" s="30" t="s">
        <v>1310</v>
      </c>
      <c r="D8" s="30" t="s">
        <v>1742</v>
      </c>
      <c r="F8" s="30" t="s">
        <v>882</v>
      </c>
      <c r="H8" s="30" t="s">
        <v>1743</v>
      </c>
      <c r="N8" s="18" t="n">
        <v>46405</v>
      </c>
      <c r="O8" s="30" t="s">
        <v>1744</v>
      </c>
      <c r="Q8" s="57"/>
      <c r="R8" s="57"/>
    </row>
    <row r="9" customFormat="false" ht="15" hidden="false" customHeight="false" outlineLevel="0" collapsed="false">
      <c r="C9" s="30" t="s">
        <v>1311</v>
      </c>
      <c r="D9" s="30" t="s">
        <v>1745</v>
      </c>
      <c r="H9" s="30" t="s">
        <v>1746</v>
      </c>
      <c r="N9" s="18" t="n">
        <v>46433</v>
      </c>
      <c r="O9" s="30" t="s">
        <v>1747</v>
      </c>
      <c r="Q9" s="57"/>
      <c r="R9" s="57"/>
    </row>
    <row r="10" customFormat="false" ht="15" hidden="false" customHeight="false" outlineLevel="0" collapsed="false">
      <c r="C10" s="30" t="s">
        <v>1312</v>
      </c>
      <c r="D10" s="30" t="s">
        <v>1748</v>
      </c>
      <c r="H10" s="30" t="s">
        <v>1749</v>
      </c>
      <c r="N10" s="18" t="n">
        <v>46538</v>
      </c>
      <c r="O10" s="30" t="s">
        <v>1750</v>
      </c>
      <c r="Q10" s="57"/>
      <c r="R10" s="57"/>
    </row>
    <row r="11" customFormat="false" ht="15" hidden="false" customHeight="false" outlineLevel="0" collapsed="false">
      <c r="H11" s="30" t="s">
        <v>1751</v>
      </c>
      <c r="N11" s="18" t="n">
        <v>46556</v>
      </c>
      <c r="O11" s="30" t="s">
        <v>1752</v>
      </c>
      <c r="Q11" s="57"/>
      <c r="R11" s="57"/>
    </row>
    <row r="12" customFormat="false" ht="15" hidden="false" customHeight="false" outlineLevel="0" collapsed="false">
      <c r="N12" s="18" t="n">
        <v>46573</v>
      </c>
      <c r="O12" s="30" t="s">
        <v>1753</v>
      </c>
      <c r="Q12" s="57"/>
      <c r="R12" s="57"/>
    </row>
    <row r="13" customFormat="false" ht="15" hidden="false" customHeight="false" outlineLevel="0" collapsed="false">
      <c r="N13" s="18" t="n">
        <v>46636</v>
      </c>
      <c r="O13" s="30" t="s">
        <v>1754</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1755</v>
      </c>
    </row>
    <row r="34" customFormat="false" ht="15" hidden="false" customHeight="false" outlineLevel="0" collapsed="false">
      <c r="A34" s="9" t="s">
        <v>1756</v>
      </c>
      <c r="B34" s="32" t="s">
        <v>1451</v>
      </c>
      <c r="C34" s="32" t="s">
        <v>324</v>
      </c>
      <c r="D34" s="32" t="s">
        <v>1558</v>
      </c>
      <c r="E34" s="32" t="s">
        <v>1559</v>
      </c>
      <c r="F34" s="32" t="s">
        <v>1560</v>
      </c>
      <c r="G34" s="32" t="s">
        <v>1561</v>
      </c>
      <c r="H34" s="32" t="s">
        <v>463</v>
      </c>
      <c r="I34" s="32" t="s">
        <v>1562</v>
      </c>
      <c r="J34" s="32" t="s">
        <v>1563</v>
      </c>
      <c r="K34" s="32" t="s">
        <v>1564</v>
      </c>
      <c r="L34" s="32" t="s">
        <v>1565</v>
      </c>
      <c r="M34" s="32" t="s">
        <v>1566</v>
      </c>
      <c r="N34" s="32" t="s">
        <v>1567</v>
      </c>
      <c r="O34" s="32" t="s">
        <v>1568</v>
      </c>
      <c r="P34" s="32" t="s">
        <v>1569</v>
      </c>
      <c r="Q34" s="32" t="s">
        <v>1570</v>
      </c>
      <c r="R34" s="32" t="s">
        <v>1571</v>
      </c>
      <c r="S34" s="32" t="s">
        <v>1572</v>
      </c>
      <c r="T34" s="32" t="s">
        <v>1573</v>
      </c>
      <c r="U34" s="32" t="s">
        <v>1574</v>
      </c>
      <c r="V34" s="32" t="s">
        <v>1575</v>
      </c>
      <c r="W34" s="32" t="s">
        <v>1576</v>
      </c>
      <c r="X34" s="32" t="s">
        <v>1577</v>
      </c>
      <c r="Y34" s="32" t="s">
        <v>1578</v>
      </c>
      <c r="Z34" s="32" t="s">
        <v>1579</v>
      </c>
      <c r="AA34" s="32" t="s">
        <v>1580</v>
      </c>
    </row>
    <row r="35" customFormat="false" ht="15" hidden="false" customHeight="false" outlineLevel="0" collapsed="false">
      <c r="A35" s="9" t="s">
        <v>1757</v>
      </c>
      <c r="B35" s="32" t="s">
        <v>324</v>
      </c>
      <c r="C35" s="32" t="s">
        <v>1558</v>
      </c>
      <c r="D35" s="32" t="s">
        <v>1559</v>
      </c>
      <c r="E35" s="32" t="s">
        <v>463</v>
      </c>
      <c r="F35" s="32" t="s">
        <v>480</v>
      </c>
      <c r="G35" s="32" t="s">
        <v>1599</v>
      </c>
      <c r="H35" s="32" t="s">
        <v>1600</v>
      </c>
      <c r="I35" s="32" t="s">
        <v>1601</v>
      </c>
      <c r="J35" s="32" t="s">
        <v>1520</v>
      </c>
    </row>
    <row r="36" customFormat="false" ht="15" hidden="false" customHeight="false" outlineLevel="0" collapsed="false">
      <c r="A36" s="9" t="s">
        <v>1758</v>
      </c>
      <c r="B36" s="32" t="s">
        <v>366</v>
      </c>
      <c r="C36" s="32" t="s">
        <v>324</v>
      </c>
      <c r="D36" s="32" t="s">
        <v>1451</v>
      </c>
      <c r="E36" s="32" t="s">
        <v>1452</v>
      </c>
      <c r="F36" s="32" t="s">
        <v>407</v>
      </c>
      <c r="G36" s="32" t="s">
        <v>1453</v>
      </c>
    </row>
    <row r="37" customFormat="false" ht="15" hidden="false" customHeight="false" outlineLevel="0" collapsed="false">
      <c r="A37" s="9" t="s">
        <v>1759</v>
      </c>
      <c r="B37" s="32" t="s">
        <v>366</v>
      </c>
      <c r="C37" s="32" t="s">
        <v>1513</v>
      </c>
      <c r="D37" s="32" t="s">
        <v>1514</v>
      </c>
      <c r="E37" s="32" t="s">
        <v>1515</v>
      </c>
      <c r="F37" s="32" t="s">
        <v>1516</v>
      </c>
      <c r="G37" s="32" t="s">
        <v>1517</v>
      </c>
      <c r="H37" s="32" t="s">
        <v>1518</v>
      </c>
      <c r="I37" s="32" t="s">
        <v>1519</v>
      </c>
      <c r="J37" s="32" t="s">
        <v>1520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2026-10-24T12:23:30Z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