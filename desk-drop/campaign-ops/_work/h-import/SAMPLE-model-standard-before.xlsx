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ddd yyyy-mm-dd"/>
    <numFmt numFmtId="165" formatCode="$#,##0.0;($#,##0.0);$0.0"/>
    <numFmt numFmtId="166" formatCode="$#,##0;($#,##0);$0"/>
    <numFmt numFmtId="167" formatCode="yyyy-mm-dd"/>
    <numFmt numFmtId="168" formatCode="0.0#"/>
    <numFmt numFmtId="169" formatCode="0.0%"/>
    <numFmt numFmtId="170" formatCode="mmm d"/>
    <numFmt numFmtId="171" formatCode="mmm yy"/>
    <numFmt numFmtId="172" formatCode="$#,##0.00;($#,##0.00);$0.00"/>
    <numFmt numFmtId="173" formatCode="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5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4"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2"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0" fontId="0" fillId="7"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1" fontId="4" fillId="6" borderId="1" applyAlignment="1" pivotButton="0" quotePrefix="0" xfId="0">
      <alignment vertical="top"/>
    </xf>
    <xf numFmtId="9" fontId="4" fillId="6" borderId="1"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0" fontId="4" fillId="3" borderId="1" applyAlignment="1" pivotButton="0" quotePrefix="0" xfId="0">
      <alignment vertical="top" wrapText="1"/>
    </xf>
    <xf numFmtId="167" fontId="4" fillId="3" borderId="1" applyAlignment="1" pivotButton="0" quotePrefix="0" xfId="0">
      <alignment vertical="top" wrapText="1"/>
    </xf>
    <xf numFmtId="0" fontId="4" fillId="6" borderId="1" applyAlignment="1" pivotButton="0" quotePrefix="0" xfId="0">
      <alignment vertical="top" wrapText="1"/>
    </xf>
    <xf numFmtId="164"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7" fontId="0" fillId="0" borderId="0" applyAlignment="1" pivotButton="0" quotePrefix="0" xfId="0">
      <alignment vertical="top" wrapText="1"/>
    </xf>
    <xf numFmtId="1" fontId="0" fillId="0" borderId="0" applyAlignment="1" pivotButton="0" quotePrefix="0" xfId="0">
      <alignment vertical="top" wrapText="1"/>
    </xf>
    <xf numFmtId="167"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7"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0"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2" fontId="6" fillId="0" borderId="0" applyAlignment="1" pivotButton="0" quotePrefix="0" xfId="0">
      <alignment vertical="top"/>
    </xf>
    <xf numFmtId="169"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2" fontId="0" fillId="0" borderId="0" applyAlignment="1" pivotButton="0" quotePrefix="0" xfId="0">
      <alignment vertical="top"/>
    </xf>
    <xf numFmtId="2" fontId="0" fillId="0" borderId="0" applyAlignment="1" pivotButton="0" quotePrefix="0" xfId="0">
      <alignment vertical="top"/>
    </xf>
    <xf numFmtId="167" fontId="0" fillId="3" borderId="0" pivotButton="0" quotePrefix="0" xfId="0"/>
    <xf numFmtId="0" fontId="0" fillId="3" borderId="0" pivotButton="0" quotePrefix="0" xfId="0"/>
    <xf numFmtId="168" fontId="0" fillId="3" borderId="0" pivotButton="0" quotePrefix="0" xfId="0"/>
    <xf numFmtId="166"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xf numFmtId="1" fontId="6" fillId="0" borderId="0" applyAlignment="1" pivotButton="0" quotePrefix="0" xfId="0">
      <alignment horizontal="center" vertical="top"/>
    </xf>
    <xf numFmtId="164" fontId="6" fillId="0"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167" fontId="4" fillId="3" borderId="1" applyAlignment="1" pivotButton="0" quotePrefix="0" xfId="0">
      <alignment vertical="top" wrapText="1"/>
    </xf>
    <xf numFmtId="164" fontId="0" fillId="0" borderId="0" applyAlignment="1" pivotButton="0" quotePrefix="0" xfId="0">
      <alignment vertical="top" wrapText="1"/>
    </xf>
    <xf numFmtId="167" fontId="0" fillId="0" borderId="0" applyAlignment="1" pivotButton="0" quotePrefix="0" xfId="0">
      <alignment vertical="top" wrapText="1"/>
    </xf>
    <xf numFmtId="167" fontId="5" fillId="0" borderId="0" pivotButton="0" quotePrefix="0" xfId="0"/>
    <xf numFmtId="167" fontId="0" fillId="0" borderId="0" pivotButton="0" quotePrefix="0" xfId="0"/>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169" fontId="0" fillId="0" borderId="0" applyAlignment="1" pivotButton="0" quotePrefix="0" xfId="0">
      <alignment vertical="top"/>
    </xf>
    <xf numFmtId="172" fontId="0" fillId="0" borderId="0" applyAlignment="1" pivotButton="0" quotePrefix="0" xfId="0">
      <alignment vertical="top"/>
    </xf>
    <xf numFmtId="167" fontId="0" fillId="3" borderId="0" pivotButton="0" quotePrefix="0" xfId="0"/>
    <xf numFmtId="168" fontId="0" fillId="3" borderId="0" pivotButton="0" quotePrefix="0" xfId="0"/>
    <xf numFmtId="166" fontId="0" fillId="3" borderId="0" pivotButton="0" quotePrefix="0" xfId="0"/>
  </cellXfs>
  <cellStyles count="1">
    <cellStyle name="Normal" xfId="0" builtinId="0" hidden="0"/>
  </cellStyles>
  <dxfs count="10">
    <dxf>
      <font>
        <color rgb="00006100"/>
      </font>
      <fill>
        <patternFill patternType="solid">
          <fgColor rgb="00C6EFCE"/>
        </patternFill>
      </fill>
    </dxf>
    <dxf>
      <font>
        <b val="1"/>
        <color rgb="009C0006"/>
      </font>
      <fill>
        <patternFill patternType="solid">
          <fgColor rgb="00FFC7CE"/>
        </patternFill>
      </fill>
    </dxf>
    <dxf>
      <font>
        <b val="1"/>
        <color rgb="00006100"/>
      </font>
      <fill>
        <patternFill patternType="solid">
          <fgColor rgb="00C6EF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41"/>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75" customHeight="1">
      <c r="A7" s="5" t="inlineStr">
        <is>
          <t>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90"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is>
      </c>
    </row>
    <row r="13" ht="60" customHeight="1">
      <c r="A13" s="6" t="inlineStr">
        <is>
          <t>4. Read the Dashboard</t>
        </is>
      </c>
      <c r="B13" s="5" t="inlineStr">
        <is>
          <t>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2">
      <c r="A22" s="3" t="inlineStr">
        <is>
          <t>Tabs, in the order you use them</t>
        </is>
      </c>
      <c r="B22" s="4" t="n"/>
    </row>
    <row r="23" ht="60" customHeight="1">
      <c r="A23" s="6" t="inlineStr">
        <is>
          <t>Dashboard</t>
        </is>
      </c>
      <c r="B23" s="5" t="inlineStr">
        <is>
          <t>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12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45" customHeight="1">
      <c r="A50" s="6" t="inlineStr">
        <is>
          <t>Dates</t>
        </is>
      </c>
      <c r="B50" s="5" t="inlineStr">
        <is>
          <t>YYYY-MM-DD. Week 1 starts Monday 2026-10-26 (CONTRACTS section 3). Moving week 1 does not move the gate or drop dates, which are typed CONTRACTS dates: move them too (Checks flags week 1 moved on its own).</t>
        </is>
      </c>
    </row>
    <row r="51" ht="135" customHeight="1">
      <c r="A51" s="6" t="inlineStr">
        <is>
          <t>Dates and amounts must be real dates and numbers</t>
        </is>
      </c>
      <c r="B51" s="5" t="inlineStr">
        <is>
          <t>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is>
      </c>
    </row>
    <row r="53">
      <c r="A53" s="3" t="inlineStr">
        <is>
          <t>Plan readings (each verified by Plan_Check; none is a fudge)</t>
        </is>
      </c>
      <c r="B53" s="4" t="n"/>
    </row>
    <row r="54" ht="30" customHeight="1">
      <c r="A54" s="6" t="inlineStr">
        <is>
          <t>(a) Display kit</t>
        </is>
      </c>
      <c r="B54" s="5" t="inlineStr">
        <is>
          <t>$8 per office per drop, not per brand. Only this reproduces the scenario hard costs: a three-brand courier drop is $80 + $300 + $75 + $30 + $50 + $135 = $670. Per brand it would be $830.</t>
        </is>
      </c>
    </row>
    <row r="55" ht="45" customHeight="1">
      <c r="A55" s="6" t="inlineStr">
        <is>
          <t>(b) Campaign zero</t>
        </is>
      </c>
      <c r="B55" s="5" t="inlineStr">
        <is>
          <t>Reproduces with storage at $0 (sealed cases at home), transport $120 and processing at 3%: $40 + $120 + $0 + $30 + $50 + $36 = $276, which the plan rounds to $280. Contribution is $924 against the plan's $920, and $16.2 per hour.</t>
        </is>
      </c>
    </row>
    <row r="56" ht="15" customHeight="1">
      <c r="A56" s="6" t="inlineStr">
        <is>
          <t>(c) Direct-ship row</t>
        </is>
      </c>
      <c r="B56" s="5" t="inlineStr">
        <is>
          <t>The three-brand direct-ship row ($370) keeps the $75 storage allocation and $0 transport.</t>
        </is>
      </c>
    </row>
    <row r="57" ht="30" customHeight="1">
      <c r="A57" s="6" t="inlineStr">
        <is>
          <t>(d) The $1,000 price</t>
        </is>
      </c>
      <c r="B57" s="5" t="inlineStr">
        <is>
          <t>'At $1,000 the three-brand drop drops to about $47 an hour' assumes no card processing: $2,465 / 52 h = $47.4. With processing at 3% it is $45.7.</t>
        </is>
      </c>
    </row>
    <row r="58" ht="30" customHeight="1">
      <c r="A58" s="6" t="inlineStr">
        <is>
          <t>(e) Monthly steady state</t>
        </is>
      </c>
      <c r="B58" s="5" t="inlineStr">
        <is>
          <t>$9,000 revenue, about $1,350 hard costs and 104 hours is two three-brand courier drops: $1,340 in hard costs and $7,660 contribution. The plan rounds these.</t>
        </is>
      </c>
    </row>
    <row r="59" ht="30" customHeight="1">
      <c r="A59" s="6" t="inlineStr">
        <is>
          <t>(f) Fixed overhead</t>
        </is>
      </c>
      <c r="B59" s="5" t="inlineStr">
        <is>
          <t>$60 software + $100 insurance + $150 storage + $0 phone = $310 a month, inside the plan's $200 to $350. With home storage it is $160.</t>
        </is>
      </c>
    </row>
    <row r="60" ht="45" customHeight="1">
      <c r="A60" s="6" t="inlineStr">
        <is>
          <t>(g) Transport lump</t>
        </is>
      </c>
      <c r="B60" s="5" t="inlineStr">
        <is>
          <t>The plan's capital line 'Transport, campaigns zero to two: $600' does not reconcile to its own rates ($120 + $300 + $300 = $720). The model pays transport per drop at the rates; the capital table is reproduced as printed.</t>
        </is>
      </c>
    </row>
    <row r="61" ht="30" customHeight="1">
      <c r="A61" s="6" t="inlineStr">
        <is>
          <t>(h) Hours per win</t>
        </is>
      </c>
      <c r="B61" s="5" t="inlineStr">
        <is>
          <t>Six hours per standard brand win = five qualified conversations of 45 minutes (20% close rate) plus 2.25 hours of proposal and paperwork. The close rate on Inputs moves it.</t>
        </is>
      </c>
    </row>
    <row r="63">
      <c r="A63" s="3" t="inlineStr">
        <is>
          <t>How the model counts money (no double counting)</t>
        </is>
      </c>
      <c r="B63" s="4" t="n"/>
    </row>
    <row r="64" ht="105" customHeight="1">
      <c r="A64"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5" ht="45" customHeight="1">
      <c r="A65"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6" ht="45" customHeight="1">
      <c r="A66"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8">
      <c r="A68" s="3" t="inlineStr">
        <is>
          <t>How shared drop costs split across brands</t>
        </is>
      </c>
      <c r="B68" s="4" t="n"/>
    </row>
    <row r="69" ht="60" customHeight="1">
      <c r="A69"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71">
      <c r="A71" s="3" t="inlineStr">
        <is>
          <t>Assumptions (numbered)</t>
        </is>
      </c>
      <c r="B71" s="4" t="n"/>
    </row>
    <row r="72" ht="60" customHeight="1">
      <c r="A72" s="6" t="inlineStr">
        <is>
          <t>1</t>
        </is>
      </c>
      <c r="B72"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3" ht="15" customHeight="1">
      <c r="A73" s="6" t="inlineStr">
        <is>
          <t>2</t>
        </is>
      </c>
      <c r="B73" s="5" t="inlineStr">
        <is>
          <t>A drop with zero brands does not run: no cost, no hours.</t>
        </is>
      </c>
    </row>
    <row r="74" ht="60" customHeight="1">
      <c r="A74" s="6" t="inlineStr">
        <is>
          <t>3</t>
        </is>
      </c>
      <c r="B74"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5" ht="45" customHeight="1">
      <c r="A75" s="6" t="inlineStr">
        <is>
          <t>4</t>
        </is>
      </c>
      <c r="B75" s="5" t="inlineStr">
        <is>
          <t>A renewal fills a brand slot on a later drop at that brand's tier price and costs 2 hours of brand sales instead of 6. In the decision-window drops, renewals = renewal rate x brands, rounded. In the steady state they are not rounded (expected values).</t>
        </is>
      </c>
    </row>
    <row r="76" ht="30" customHeight="1">
      <c r="A76" s="6" t="inlineStr">
        <is>
          <t>5</t>
        </is>
      </c>
      <c r="B76" s="5" t="inlineStr">
        <is>
          <t>Card processing applies to every receipt while the toggle is 1 (high end of the 0% to 3% range). Set it to 0 to model bank transfer, the plan's preferred invoicing.</t>
        </is>
      </c>
    </row>
    <row r="77" ht="75" customHeight="1">
      <c r="A77" s="6" t="inlineStr">
        <is>
          <t>6</t>
        </is>
      </c>
      <c r="B77"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8" ht="30" customHeight="1">
      <c r="A78" s="6" t="inlineStr">
        <is>
          <t>7</t>
        </is>
      </c>
      <c r="B78" s="5" t="inlineStr">
        <is>
          <t>Storage: home for campaign zero, a $150-a-month unit from 2027-02-01 through the six months. Software $60 a month from week 1. Phone $0.</t>
        </is>
      </c>
    </row>
    <row r="79" ht="30" customHeight="1">
      <c r="A79" s="6" t="inlineStr">
        <is>
          <t>8</t>
        </is>
      </c>
      <c r="B79" s="5" t="inlineStr">
        <is>
          <t>Courier transport is $30 a stop ($300 for ten stops; range $25 to $40). Founder delivery is $120 a drop. Direct-ship transport is $0; mailing the kit ahead needs a quote.</t>
        </is>
      </c>
    </row>
    <row r="80" ht="120" customHeight="1">
      <c r="A80" s="6" t="inlineStr">
        <is>
          <t>9</t>
        </is>
      </c>
      <c r="B80" s="5" t="inlineStr">
        <is>
          <t>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1" ht="90" customHeight="1">
      <c r="A81" s="6" t="inlineStr">
        <is>
          <t>10</t>
        </is>
      </c>
      <c r="B81" s="5" t="inlineStr">
        <is>
          <t>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is>
      </c>
    </row>
    <row r="82" ht="60" customHeight="1">
      <c r="A82" s="6" t="inlineStr">
        <is>
          <t>11</t>
        </is>
      </c>
      <c r="B82"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3" ht="45" customHeight="1">
      <c r="A83" s="6" t="inlineStr">
        <is>
          <t>12</t>
        </is>
      </c>
      <c r="B83" s="5" t="inlineStr">
        <is>
          <t>Gate tests use real numbers only: the pipeline log for Gates 0 and 1, campaign actuals for Gates 2 and 3. A gate is 'not yet' until its review date passes, then 'miss' if the threshold is not met.</t>
        </is>
      </c>
    </row>
    <row r="84" ht="30" customHeight="1">
      <c r="A84" s="6" t="inlineStr">
        <is>
          <t>13</t>
        </is>
      </c>
      <c r="B84" s="5" t="inlineStr">
        <is>
          <t>Gate 2 tests five responses per office per brand campaign using survey_responses_min_office when operations supplies it, otherwise the average per office.</t>
        </is>
      </c>
    </row>
    <row r="85" ht="30" customHeight="1">
      <c r="A85" s="6" t="inlineStr">
        <is>
          <t>14</t>
        </is>
      </c>
      <c r="B85" s="5" t="inlineStr">
        <is>
          <t>The steady state uses the courier model, as the plan's monthly picture does; direct-ship raises contribution per hour.</t>
        </is>
      </c>
    </row>
    <row r="86" ht="120" customHeight="1">
      <c r="A86" s="6" t="inlineStr">
        <is>
          <t>15</t>
        </is>
      </c>
      <c r="B86"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is>
      </c>
    </row>
    <row r="87" ht="60" customHeight="1">
      <c r="A87" s="6" t="inlineStr">
        <is>
          <t>16</t>
        </is>
      </c>
      <c r="B87"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8" ht="60" customHeight="1">
      <c r="A88" s="6" t="inlineStr">
        <is>
          <t>17</t>
        </is>
      </c>
      <c r="B88"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9" ht="105" customHeight="1">
      <c r="A89" s="6" t="inlineStr">
        <is>
          <t>18</t>
        </is>
      </c>
      <c r="B89"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90" ht="30" customHeight="1">
      <c r="A90" s="6" t="inlineStr">
        <is>
          <t>19</t>
        </is>
      </c>
      <c r="B90" s="5" t="inlineStr">
        <is>
          <t>A renewal counts toward Gate 3 only when the pipeline's renewal_answer says yes and commits $1,500 or more, and each brand counts once, however many rows repeat it.</t>
        </is>
      </c>
    </row>
    <row r="91" ht="45" customHeight="1">
      <c r="A91" s="6" t="inlineStr">
        <is>
          <t>20</t>
        </is>
      </c>
      <c r="B91" s="5" t="inlineStr">
        <is>
          <t>Pasted files carry exactly the HANDOFF columns, in order. Each paste area has ten or more blank columns before its helpers, and Checks flags a header that differs or anything pasted in the blank columns. Extra fields go in a separate file.</t>
        </is>
      </c>
    </row>
    <row r="92" ht="45" customHeight="1">
      <c r="A92" s="6" t="inlineStr">
        <is>
          <t>21</t>
        </is>
      </c>
      <c r="B92" s="5" t="inlineStr">
        <is>
          <t>Scenario B's office-paid revenue ($500 a month) is shown but left out of the steady-state net until its cost to serve is quoted, so an unpriced cost never makes B look better than the plan base.</t>
        </is>
      </c>
    </row>
    <row r="93" ht="60" customHeight="1">
      <c r="A93" s="6" t="inlineStr">
        <is>
          <t>22</t>
        </is>
      </c>
      <c r="B93"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4" ht="45" customHeight="1">
      <c r="A94" s="6" t="inlineStr">
        <is>
          <t>23</t>
        </is>
      </c>
      <c r="B94" s="5" t="inlineStr">
        <is>
          <t>The decision rule says Stop only when both tests have failed. While renewal is under 30% and fewer than two drops after Gate 3 have actuals, it says the switch test is still running, because the plan's situation B is 'run two more drops' first.</t>
        </is>
      </c>
    </row>
    <row r="95" ht="45" customHeight="1">
      <c r="A95" s="6" t="inlineStr">
        <is>
          <t>24</t>
        </is>
      </c>
      <c r="B95" s="5" t="inlineStr">
        <is>
          <t>Gate 1 counts a brand as 'paid in full' once its paid rows by the review date add up to the founding package price ($600 at defaults). A deposit or part payment alone does not count. Each payment is its own row, in date order.</t>
        </is>
      </c>
    </row>
    <row r="96" ht="75" customHeight="1">
      <c r="A96" s="6" t="inlineStr">
        <is>
          <t>25</t>
        </is>
      </c>
      <c r="B96"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7" ht="60" customHeight="1">
      <c r="A97" s="6" t="inlineStr">
        <is>
          <t>26</t>
        </is>
      </c>
      <c r="B97"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8" ht="30" customHeight="1">
      <c r="A98" s="6" t="inlineStr">
        <is>
          <t>27</t>
        </is>
      </c>
      <c r="B98" s="5" t="inlineStr">
        <is>
          <t>The storage unit is rented from the first day of the month of the first standard drop that runs. With no standard drop scheduled, no unit is rented.</t>
        </is>
      </c>
    </row>
    <row r="99" ht="45" customHeight="1">
      <c r="A99" s="6" t="inlineStr">
        <is>
          <t>28</t>
        </is>
      </c>
      <c r="B99" s="5" t="inlineStr">
        <is>
          <t>The brand renewal rate counts brands, not campaigns, as the plan's test does ('40% of brands renew'): brands with at least one renewed = Y, over brands with any Y or N answer, each brand_id once. So brand_id must stay the same across a brand's campaigns.</t>
        </is>
      </c>
    </row>
    <row r="100" ht="45" customHeight="1">
      <c r="A100" s="6" t="inlineStr">
        <is>
          <t>29</t>
        </is>
      </c>
      <c r="B100" s="5" t="inlineStr">
        <is>
          <t>Cost lines with no figure yet (needs quote or needs founder decision) count as $0 in the cash flow. The Dashboard's capital-to-commit line says how many: 5 at defaults (mailing address, hired and non-owned auto, building endorsements, kit mailing, extra tent cards).</t>
        </is>
      </c>
    </row>
    <row r="101" ht="60" customHeight="1">
      <c r="A101" s="6" t="inlineStr">
        <is>
          <t>30</t>
        </is>
      </c>
      <c r="B101" s="5" t="inlineStr">
        <is>
          <t>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is>
      </c>
    </row>
    <row r="103">
      <c r="A103" s="3" t="inlineStr">
        <is>
          <t>Derived items (founder to confirm)</t>
        </is>
      </c>
      <c r="B103" s="4" t="n"/>
    </row>
    <row r="104" ht="45" customHeight="1">
      <c r="A104" s="6" t="inlineStr">
        <is>
          <t>D1</t>
        </is>
      </c>
      <c r="B104" s="5" t="inlineStr">
        <is>
          <t>Calendar from CONTRACTS section 3: week 1 2026-10-26; Gate 0 2026-11-13; Gate 1 2026-12-11; campaign zero Tue 2027-01-12 (moved by the December blackout); Gate 2 2027-01-22; standard drops Tue 2027-02-09 and Tue 2027-02-23; Gate 3 Fri 2027-03-12; decision 2027-04-09.</t>
        </is>
      </c>
    </row>
    <row r="105" ht="120" customHeight="1">
      <c r="A105" s="6" t="inlineStr">
        <is>
          <t>D2</t>
        </is>
      </c>
      <c r="B105"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is>
      </c>
    </row>
    <row r="106" ht="45" customHeight="1">
      <c r="A106" s="6" t="inlineStr">
        <is>
          <t>D3</t>
        </is>
      </c>
      <c r="B106" s="5" t="inlineStr">
        <is>
          <t>New offices: five in campaign zero; standard run 1 fills its ten (five new); run 2 adds the two that reach the goal of 12 active offices. These are formulas of Inputs, so changing the drop size or the goal moves them.</t>
        </is>
      </c>
    </row>
    <row r="107" ht="30" customHeight="1">
      <c r="A107" s="6" t="inlineStr">
        <is>
          <t>D4</t>
        </is>
      </c>
      <c r="B107" s="5" t="inlineStr">
        <is>
          <t>Founding payment 20 business days before the drop (campaign zero's money at Gate 1). Standard signature at T-10 (the latest that still lets a brand ship). Balance at T+1.</t>
        </is>
      </c>
    </row>
    <row r="108" ht="120" customHeight="1">
      <c r="A108" s="6" t="inlineStr">
        <is>
          <t>D5</t>
        </is>
      </c>
      <c r="B108" s="5" t="inlineStr">
        <is>
          <t>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9" ht="30" customHeight="1">
      <c r="A109" s="6" t="inlineStr">
        <is>
          <t>D6</t>
        </is>
      </c>
      <c r="B109" s="5" t="inlineStr">
        <is>
          <t>Hour rates for receiving and kitting, drop day and checks by delivery model, derived from the plan's table (Inputs section 7).</t>
        </is>
      </c>
    </row>
    <row r="110" ht="75" customHeight="1">
      <c r="A110" s="6" t="inlineStr">
        <is>
          <t>D7</t>
        </is>
      </c>
      <c r="B110" s="5" t="inlineStr">
        <is>
          <t>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is>
      </c>
    </row>
    <row r="111" ht="15" customHeight="1">
      <c r="A111" s="6" t="inlineStr">
        <is>
          <t>D8</t>
        </is>
      </c>
      <c r="B111" s="5" t="inlineStr">
        <is>
          <t>One drop per office every 28 days counts as 'one a month' for the office-fatigue warning.</t>
        </is>
      </c>
    </row>
    <row r="112" ht="30" customHeight="1">
      <c r="A112" s="6" t="inlineStr">
        <is>
          <t>D9</t>
        </is>
      </c>
      <c r="B112" s="5" t="inlineStr">
        <is>
          <t>Courier $30 a stop is the plan's $300 route divided by ten stops. Proposal and paperwork 2.25 hours make the plan's six hours per win at a 20% close rate.</t>
        </is>
      </c>
    </row>
    <row r="113" ht="45" customHeight="1">
      <c r="A113" s="6" t="inlineStr">
        <is>
          <t>D10</t>
        </is>
      </c>
      <c r="B113" s="5" t="inlineStr">
        <is>
          <t>Gate 2 follows its drop on Schedule: the campaign-zero date plus seven business days (2027-01-22). The storage unit starts on the first day of the month of the first standard drop that runs (2027-02-01).</t>
        </is>
      </c>
    </row>
    <row r="114" ht="45" customHeight="1">
      <c r="A114" s="6" t="inlineStr">
        <is>
          <t>D11</t>
        </is>
      </c>
      <c r="B114" s="5" t="inlineStr">
        <is>
          <t>DRP-005's debrief (T+10) is Tue 2027-04-20, after the canonical decision date of Fri 2027-04-09 (CONTRACTS section 3). The model keeps the canonical date and warns on the Dashboard; REPORT.md asks whether to move the review to 2027-04-20.</t>
        </is>
      </c>
    </row>
    <row r="116">
      <c r="A116" s="3" t="inlineStr">
        <is>
          <t>Needs a quote or a founder decision (blank or flagged)</t>
        </is>
      </c>
      <c r="B116" s="4" t="n"/>
    </row>
    <row r="117" ht="15" customHeight="1">
      <c r="A117" s="6" t="inlineStr">
        <is>
          <t>Courier</t>
        </is>
      </c>
      <c r="B117" s="5" t="inlineStr">
        <is>
          <t>Three quotes for a ten-stop route. Default $30 a stop.</t>
        </is>
      </c>
    </row>
    <row r="118" ht="30" customHeight="1">
      <c r="A118" s="6" t="inlineStr">
        <is>
          <t>Insurance</t>
        </is>
      </c>
      <c r="B118" s="5" t="inlineStr">
        <is>
          <t>Three general liability quotes, plus hired and non-owned auto and any building endorsements. Default $100 a month; add-ons blank.</t>
        </is>
      </c>
    </row>
    <row r="119" ht="45" customHeight="1">
      <c r="A119" s="6" t="inlineStr">
        <is>
          <t>Publication</t>
        </is>
      </c>
      <c r="B119" s="5" t="inlineStr">
        <is>
          <t>A quote once the county named in the Articles is settled. Default $2,000, the plan's high end, until then. The legal pack's working figures: New York County $1,745, Albany County $345 if the attorney confirms it fits.</t>
        </is>
      </c>
    </row>
    <row r="120" ht="15" customHeight="1">
      <c r="A120" s="6" t="inlineStr">
        <is>
          <t>Kit mailing</t>
        </is>
      </c>
      <c r="B120" s="5" t="inlineStr">
        <is>
          <t>Postage to mail a display kit ahead of a direct-ship drop. Blank.</t>
        </is>
      </c>
    </row>
    <row r="121" ht="15" customHeight="1">
      <c r="A121" s="6" t="inlineStr">
        <is>
          <t>Extra tent cards</t>
        </is>
      </c>
      <c r="B121" s="5" t="inlineStr">
        <is>
          <t>Whether each brand on a drop needs its own card ($1 to $2 each). Blank, per reading (a).</t>
        </is>
      </c>
    </row>
    <row r="122" ht="15" customHeight="1">
      <c r="A122" s="6" t="inlineStr">
        <is>
          <t>Payment lag</t>
        </is>
      </c>
      <c r="B122" s="5" t="inlineStr">
        <is>
          <t>Your invoice terms. Blank = paid the day invoiced.</t>
        </is>
      </c>
    </row>
    <row r="123" ht="15" customHeight="1">
      <c r="A123" s="6" t="inlineStr">
        <is>
          <t>Founder cash</t>
        </is>
      </c>
      <c r="B123" s="5" t="inlineStr">
        <is>
          <t>What you commit to the six months (plan question 7). Blank.</t>
        </is>
      </c>
    </row>
    <row r="124" ht="15" customHeight="1">
      <c r="A124" s="6" t="inlineStr">
        <is>
          <t>Office-paid cost</t>
        </is>
      </c>
      <c r="B124" s="5" t="inlineStr">
        <is>
          <t>Cost to serve an office-paid office (scenario B). Blank.</t>
        </is>
      </c>
    </row>
    <row r="125" ht="30" customHeight="1">
      <c r="A125" s="6" t="inlineStr">
        <is>
          <t>Mailing address</t>
        </is>
      </c>
      <c r="B125" s="5" t="inlineStr">
        <is>
          <t>A PO box or private mailbox for email footers and the LLC notice, only if you will not use a home address (legal pack, CAN-SPAM). Blank; Include = Y, so a quote flows in when typed.</t>
        </is>
      </c>
    </row>
    <row r="126" ht="30" customHeight="1">
      <c r="A126" s="6" t="inlineStr">
        <is>
          <t>Registered agent</t>
        </is>
      </c>
      <c r="B126" s="5" t="inlineStr">
        <is>
          <t>Only if the attorney confirms the Albany County route for the Articles (legal pack). Blank; Include = N.</t>
        </is>
      </c>
    </row>
    <row r="128">
      <c r="A128" s="3" t="inlineStr">
        <is>
          <t>Measurement honesty</t>
        </is>
      </c>
      <c r="B128" s="4" t="n"/>
    </row>
    <row r="129" ht="45" customHeight="1">
      <c r="A12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31">
      <c r="A131" s="3" t="inlineStr">
        <is>
          <t>Google Sheets</t>
        </is>
      </c>
      <c r="B131" s="4" t="n"/>
    </row>
    <row r="132" ht="120" customHeight="1">
      <c r="A132"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is>
      </c>
    </row>
    <row r="134">
      <c r="A134" s="3" t="inlineStr">
        <is>
          <t>Changelog</t>
        </is>
      </c>
      <c r="B134" s="4" t="n"/>
    </row>
    <row r="135" ht="60" customHeight="1">
      <c r="A135" s="6" t="inlineStr">
        <is>
          <t>Round 1</t>
        </is>
      </c>
      <c r="B13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6" ht="75" customHeight="1">
      <c r="A136" s="6" t="inlineStr">
        <is>
          <t>Round 2</t>
        </is>
      </c>
      <c r="B13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7" ht="60" customHeight="1">
      <c r="A137" s="6" t="inlineStr">
        <is>
          <t>Round 3</t>
        </is>
      </c>
      <c r="B13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8" ht="45" customHeight="1">
      <c r="A138" s="6" t="inlineStr">
        <is>
          <t>Round 4</t>
        </is>
      </c>
      <c r="B138"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9" ht="120" customHeight="1">
      <c r="A139" s="6" t="inlineStr">
        <is>
          <t>Round 5</t>
        </is>
      </c>
      <c r="B139"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40" ht="180" customHeight="1">
      <c r="A140" s="6" t="inlineStr">
        <is>
          <t>Round 6</t>
        </is>
      </c>
      <c r="B140"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row r="141" ht="135" customHeight="1">
      <c r="A141" s="6" t="inlineStr">
        <is>
          <t>Round 7</t>
        </is>
      </c>
      <c r="B141" s="5" t="inlineStr">
        <is>
          <t>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is>
      </c>
    </row>
  </sheetData>
  <mergeCells count="8">
    <mergeCell ref="A64:B64"/>
    <mergeCell ref="A7:B7"/>
    <mergeCell ref="A65:B65"/>
    <mergeCell ref="A129:B129"/>
    <mergeCell ref="A66:B66"/>
    <mergeCell ref="A132:B132"/>
    <mergeCell ref="A6:B6"/>
    <mergeCell ref="A69:B6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c r="A4" t="inlineStr">
        <is>
          <t>SAMPLE DATA. Untouched scratch copy, as-of date set only.</t>
        </is>
      </c>
    </row>
    <row r="5" ht="30" customHeight="1">
      <c r="B5" s="8" t="inlineStr">
        <is>
          <t>As of</t>
        </is>
      </c>
      <c r="C5" s="104">
        <f>Inputs!$C$17</f>
        <v/>
      </c>
      <c r="D5" s="8" t="inlineStr">
        <is>
          <t>Scenario</t>
        </is>
      </c>
      <c r="E5" s="8">
        <f>Inputs!$C$35</f>
        <v/>
      </c>
      <c r="F5" s="8" t="inlineStr">
        <is>
          <t>Checks</t>
        </is>
      </c>
      <c r="G5" s="6">
        <f>IF(Checks!$D$45&gt;0,Checks!$D$45&amp;" integrity check(s) failing: see Checks",IF(Checks!$D$46&gt;0,Checks!$D$46&amp;" data check(s) failing: pasted rows are ignored or misread (see Checks)","all integrity and data checks pass"))</f>
        <v/>
      </c>
    </row>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IFERROR(INDEX(Drop_PnL!$A$7:$A$18,MATCH(MIN(Drop_PnL!$BJ$7:$BJ$18),Drop_PnL!$BJ$7:$BJ$18,0)),"none scheduled")</f>
        <v/>
      </c>
      <c r="D9" s="5">
        <f>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
      </c>
    </row>
    <row r="10" ht="30" customHeight="1">
      <c r="B10" s="5" t="inlineStr">
        <is>
          <t>Its contribution per founder hour (plan)</t>
        </is>
      </c>
      <c r="C10" s="105">
        <f>IFERROR(INDEX(Drop_PnL!$AK$7:$AK$18,MATCH(MIN(Drop_PnL!$BJ$7:$BJ$18),Drop_PnL!$BJ$7:$BJ$18,0)),"n/a")</f>
        <v/>
      </c>
      <c r="D10" s="5">
        <f>IFERROR("revenue "&amp;TEXT(INDEX(Drop_PnL!$S$7:$S$18,MATCH(MIN(Drop_PnL!$BJ$7:$BJ$18),Drop_PnL!$BJ$7:$BJ$18,0)),"$#,##0")&amp;", "&amp;TEXT(INDEX(Drop_PnL!$AI$7:$AI$18,MATCH(MIN(Drop_PnL!$BJ$7:$BJ$18),Drop_PnL!$BJ$7:$BJ$18,0)),"0")&amp;" founder hours; campaign zero is at the founding rate, so the standard price does not move it","")</f>
        <v/>
      </c>
    </row>
    <row r="11" ht="30" customHeight="1">
      <c r="B11" s="5" t="inlineStr">
        <is>
          <t>Price in force: standard price per office (Inputs, section 3)</t>
        </is>
      </c>
      <c r="C11" s="106">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05">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05">
        <f>IF(E54="","n/a",E54)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05">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06">
        <f>Cash_Flow!$C$34</f>
        <v/>
      </c>
      <c r="D15" s="5">
        <f>"in week "&amp;Cash_Flow!$C$35&amp;", starting "&amp;TEXT(Cash_Flow!$C$36,"ddd yyyy-mm-dd")</f>
        <v/>
      </c>
    </row>
    <row r="16" ht="30" customHeight="1">
      <c r="B16" s="5" t="inlineStr">
        <is>
          <t>Capital to commit: lowest point plus the reserve</t>
        </is>
      </c>
      <c r="C16" s="106">
        <f>Cash_Flow!$C$39</f>
        <v/>
      </c>
      <c r="D16" s="5">
        <f>"reserve "&amp;TEXT(Inputs!$C$117,"$#,##0")&amp;" (plan)"&amp;IF(Inputs!$C$175&gt;0,"; counts "&amp;Inputs!$C$175&amp;" unpriced cost line(s) as $0 until quoted (Inputs, status needs quote or needs founder decision)","")</f>
        <v/>
      </c>
    </row>
    <row r="17" ht="30" customHeight="1">
      <c r="B17" s="5" t="inlineStr">
        <is>
          <t>Plan capital figure (high end of the plan's table)</t>
        </is>
      </c>
      <c r="C17" s="106">
        <f>Capital!$D$14</f>
        <v/>
      </c>
      <c r="D17" s="5">
        <f>"low end "&amp;TEXT(Capital!$C$14,"$#,##0")</f>
        <v/>
      </c>
    </row>
    <row r="18" ht="30" customHeight="1">
      <c r="B18" s="5" t="inlineStr">
        <is>
          <t>Gap to the plan capital figure (positive = headroom)</t>
        </is>
      </c>
      <c r="C18" s="106">
        <f>Cash_Flow!$C$41</f>
        <v/>
      </c>
      <c r="D18" s="5">
        <f>IF(C18&gt;=0,"the plan figure covers the model need","the model needs more than the plan figure")</f>
        <v/>
      </c>
    </row>
    <row r="19" ht="30" customHeight="1">
      <c r="B19" s="5" t="inlineStr">
        <is>
          <t>Founder cash committed</t>
        </is>
      </c>
      <c r="C19" s="106">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06">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05">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05">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06">
        <f>Cash_Flow!$C$44-SUMIFS(Drop_PnL!$BI$7:$BI$18,Drop_PnL!$B$7:$B$18,"&gt;"&amp;Inputs!$C$14)</f>
        <v/>
      </c>
      <c r="D23" s="5">
        <f>"the decision-window drops add "&amp;TEXT(C24-C23,"$#,##0")&amp;" by week 26"</f>
        <v/>
      </c>
    </row>
    <row r="24" ht="30" customHeight="1">
      <c r="B24" s="5" t="inlineStr">
        <is>
          <t>Cumulative cash at week 26: with the decision-window drops (derived)</t>
        </is>
      </c>
      <c r="C24" s="106">
        <f>Cash_Flow!$C$44</f>
        <v/>
      </c>
      <c r="D24" s="5">
        <f>"before founder cash; lowest balance with founder cash "&amp;IF(Inputs!$C$115="","(founder cash not set)",TEXT(Cash_Flow!$C$43,"$#,##0"))</f>
        <v/>
      </c>
    </row>
    <row r="25" ht="30" customHeight="1">
      <c r="B25" s="5" t="inlineStr">
        <is>
          <t>Steady state, scenario in force: contribution per month</t>
        </is>
      </c>
      <c r="C25" s="106">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IF(Checks!$D$47=0,"plan figures reproduce","plan reproduction differs in "&amp;Checks!$D$47&amp;" check(s); expected after edits")</f>
        <v/>
      </c>
    </row>
    <row r="31">
      <c r="A31" s="3" t="inlineStr">
        <is>
          <t>Cash at each stop point (before founder cash)</t>
        </is>
      </c>
      <c r="B31" s="4" t="n"/>
      <c r="C31" s="4" t="n"/>
      <c r="D31" s="4" t="n"/>
      <c r="E31" s="4" t="n"/>
      <c r="F31" s="4" t="n"/>
      <c r="G31" s="4" t="n"/>
      <c r="H31" s="4" t="n"/>
      <c r="I31" s="4" t="n"/>
    </row>
    <row r="32" ht="70" customHeight="1">
      <c r="B32" s="10" t="inlineStr">
        <is>
          <t>Review</t>
        </is>
      </c>
      <c r="C32" s="10" t="inlineStr">
        <is>
          <t>Date</t>
        </is>
      </c>
      <c r="D32" s="10" t="inlineStr">
        <is>
          <t>Paid out before the review day (gross; no brand money)</t>
        </is>
      </c>
      <c r="E32" s="10" t="inlineStr">
        <is>
          <t>Brand cash received by the review day</t>
        </is>
      </c>
      <c r="F32" s="10" t="inlineStr">
        <is>
          <t>Refunds owed if you stop: payments received for drops not yet run</t>
        </is>
      </c>
      <c r="G32" s="10" t="inlineStr">
        <is>
          <t>Net if you stop here: paid out + received - refunds</t>
        </is>
      </c>
      <c r="H32" s="10" t="inlineStr">
        <is>
          <t>Cumulative net cash at the end of that week, if every gate passes</t>
        </is>
      </c>
    </row>
    <row r="33" ht="18" customHeight="1">
      <c r="B33" s="8" t="inlineStr">
        <is>
          <t>Gate 0</t>
        </is>
      </c>
      <c r="C33" s="107">
        <f>Inputs!$C$11</f>
        <v/>
      </c>
      <c r="D33" s="108">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08">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08">
        <f>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
      </c>
      <c r="G33" s="106">
        <f>D33+E33-F33</f>
        <v/>
      </c>
      <c r="H33" s="108">
        <f>SUMIFS(Cash_Flow!$C$26:$AB$26,Cash_Flow!$C$5:$AB$5,"&lt;="&amp;Inputs!$C$11)</f>
        <v/>
      </c>
    </row>
    <row r="34" ht="18" customHeight="1">
      <c r="B34" s="8" t="inlineStr">
        <is>
          <t>Gate 1</t>
        </is>
      </c>
      <c r="C34" s="107">
        <f>Inputs!$C$12</f>
        <v/>
      </c>
      <c r="D34" s="108">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08">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08">
        <f>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
      </c>
      <c r="G34" s="106">
        <f>D34+E34-F34</f>
        <v/>
      </c>
      <c r="H34" s="108">
        <f>SUMIFS(Cash_Flow!$C$26:$AB$26,Cash_Flow!$C$5:$AB$5,"&lt;="&amp;Inputs!$C$12)</f>
        <v/>
      </c>
    </row>
    <row r="35" ht="18" customHeight="1">
      <c r="B35" s="8" t="inlineStr">
        <is>
          <t>Gate 2</t>
        </is>
      </c>
      <c r="C35" s="107">
        <f>Inputs!$C$13</f>
        <v/>
      </c>
      <c r="D35" s="108">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08">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08">
        <f>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
      </c>
      <c r="G35" s="106">
        <f>D35+E35-F35</f>
        <v/>
      </c>
      <c r="H35" s="108">
        <f>SUMIFS(Cash_Flow!$C$26:$AB$26,Cash_Flow!$C$5:$AB$5,"&lt;="&amp;Inputs!$C$13)</f>
        <v/>
      </c>
    </row>
    <row r="36" ht="18" customHeight="1">
      <c r="B36" s="8" t="inlineStr">
        <is>
          <t>Gate 3</t>
        </is>
      </c>
      <c r="C36" s="107">
        <f>Inputs!$C$14</f>
        <v/>
      </c>
      <c r="D36" s="108">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08">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08">
        <f>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
      </c>
      <c r="G36" s="106">
        <f>D36+E36-F36</f>
        <v/>
      </c>
      <c r="H36" s="108">
        <f>SUMIFS(Cash_Flow!$C$26:$AB$26,Cash_Flow!$C$5:$AB$5,"&lt;="&amp;Inputs!$C$14)</f>
        <v/>
      </c>
    </row>
    <row r="37" ht="18" customHeight="1">
      <c r="B37" s="8" t="inlineStr">
        <is>
          <t>Six-month decision</t>
        </is>
      </c>
      <c r="C37" s="107">
        <f>Inputs!$C$15</f>
        <v/>
      </c>
      <c r="D37" s="108">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08">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08">
        <f>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
      </c>
      <c r="G37" s="106">
        <f>D37+E37-F37</f>
        <v/>
      </c>
      <c r="H37" s="108">
        <f>SUMIFS(Cash_Flow!$C$26:$AB$26,Cash_Flow!$C$5:$AB$5,"&lt;="&amp;Inputs!$C$15)</f>
        <v/>
      </c>
    </row>
    <row r="38" ht="58" customHeight="1">
      <c r="B38" s="17" t="inlineStr">
        <is>
          <t>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is>
      </c>
    </row>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07">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07">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07">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07">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07">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07">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07">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07">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07">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07">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07">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07">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07">
        <f>Inputs!$C$14</f>
        <v/>
      </c>
      <c r="D54" s="109">
        <f>Inputs!$C$136</f>
        <v/>
      </c>
      <c r="E54" s="109">
        <f>IF(SUMIFS(Drop_PnL!$AI$7:$AI$18,Drop_PnL!$D$7:$D$18,"standard",Drop_PnL!$B$7:$B$18,"&lt;="&amp;Inputs!$C$14)&gt;0,SUMIFS(Drop_PnL!$AJ$7:$AJ$18,Drop_PnL!$D$7:$D$18,"standard",Drop_PnL!$B$7:$B$18,"&lt;="&amp;Inputs!$C$14)/SUMIFS(Drop_PnL!$AI$7:$AI$18,Drop_PnL!$D$7:$D$18,"standard",Drop_PnL!$B$7:$B$18,"&lt;="&amp;Inputs!$C$14),"")</f>
        <v/>
      </c>
      <c r="F54" s="110">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07">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7" ht="22" customHeight="1">
      <c r="A57" s="10" t="inlineStr">
        <is>
          <t>Gate</t>
        </is>
      </c>
      <c r="B57" s="10" t="inlineStr">
        <is>
          <t>Review date</t>
        </is>
      </c>
      <c r="C57" s="10" t="inlineStr">
        <is>
          <t>Overall</t>
        </is>
      </c>
    </row>
    <row r="58">
      <c r="A58" s="8" t="inlineStr">
        <is>
          <t>Gate 0</t>
        </is>
      </c>
      <c r="B58" s="107">
        <f>C42</f>
        <v/>
      </c>
      <c r="C58" s="8">
        <f>IF(IF(G43="miss",1,0)+IF(G45="miss",1,0)&gt;0,"miss",IF(IF(LEFT(G43,LEN("not yet"))="not yet",1,0)+IF(LEFT(G45,LEN("not yet"))="not yet",1,0)&gt;0,"not yet","pass"))</f>
        <v/>
      </c>
    </row>
    <row r="59">
      <c r="A59" s="8" t="inlineStr">
        <is>
          <t>Gate 1</t>
        </is>
      </c>
      <c r="B59" s="107">
        <f>C46</f>
        <v/>
      </c>
      <c r="C59" s="8">
        <f>IF(IF(G46="miss",1,0)+IF(G47="miss",1,0)+IF(G48="miss",1,0)&gt;0,"miss",IF(IF(LEFT(G46,LEN("not yet"))="not yet",1,0)+IF(LEFT(G47,LEN("not yet"))="not yet",1,0)+IF(LEFT(G48,LEN("not yet"))="not yet",1,0)&gt;0,"not yet","pass"))</f>
        <v/>
      </c>
    </row>
    <row r="60">
      <c r="A60" s="8" t="inlineStr">
        <is>
          <t>Gate 2</t>
        </is>
      </c>
      <c r="B60" s="107">
        <f>C49</f>
        <v/>
      </c>
      <c r="C60" s="8">
        <f>IF(IF(G49="miss",1,0)+IF(G50="miss",1,0)+IF(G51="miss",1,0)+IF(G52="miss",1,0)&gt;0,"miss",IF(IF(LEFT(G49,LEN("not yet"))="not yet",1,0)+IF(LEFT(G50,LEN("not yet"))="not yet",1,0)+IF(LEFT(G51,LEN("not yet"))="not yet",1,0)+IF(LEFT(G52,LEN("not yet"))="not yet",1,0)&gt;0,"not yet","pass"))</f>
        <v/>
      </c>
    </row>
    <row r="61">
      <c r="A61" s="8" t="inlineStr">
        <is>
          <t>Gate 3</t>
        </is>
      </c>
      <c r="B61" s="107">
        <f>C53</f>
        <v/>
      </c>
      <c r="C61" s="8">
        <f>IF(IF(G53="miss",1,0)+IF(G54="miss",1,0)&gt;0,"miss",IF(IF(LEFT(G53,LEN("not yet"))="not yet",1,0)+IF(LEFT(G54,LEN("not yet"))="not yet",1,0)&gt;0,"not yet","pass"))</f>
        <v/>
      </c>
    </row>
    <row r="63">
      <c r="A63" s="3" t="inlineStr">
        <is>
          <t>Decision rule (plan): scale, switch to office-paid, or stop</t>
        </is>
      </c>
      <c r="B63" s="4" t="n"/>
      <c r="C63" s="4" t="n"/>
      <c r="D63" s="4" t="n"/>
      <c r="E63" s="4" t="n"/>
      <c r="F63" s="4" t="n"/>
      <c r="G63" s="4" t="n"/>
      <c r="H63" s="4" t="n"/>
      <c r="I63" s="4" t="n"/>
    </row>
    <row r="64">
      <c r="B64" s="29" t="inlineStr">
        <is>
          <t>Brand renewal rate, each brand once (renewed Y / answered Y or N)</t>
        </is>
      </c>
      <c r="C64" s="26">
        <f>IF(SUM(Actuals_Campaigns!$AQ$5:$AQ$204)=0,"",SUM(Actuals_Campaigns!$AR$5:$AR$204)/SUM(Actuals_Campaigns!$AQ$5:$AQ$204))</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110">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109">
        <f>Inputs!$C$136</f>
        <v/>
      </c>
      <c r="D83" s="109">
        <f>E54</f>
        <v/>
      </c>
      <c r="E83" s="110">
        <f>F54</f>
        <v/>
      </c>
      <c r="F83" s="6">
        <f>IF(AND(D55&gt;0,F55&lt;D55),"not yet: "&amp;(D55-F55)&amp;" standard run(s) without actuals",IF(E83="",IF(Inputs!$C$17&gt;Inputs!$C$15,"miss","not yet"),IF(E83&gt;=C83,"pass",IF(Inputs!$C$17&gt;Inputs!$C$15,"miss","not yet"))))</f>
        <v/>
      </c>
    </row>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111">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07">
        <f>IF(Drop_PnL!B7="","",Drop_PnL!B7)</f>
        <v/>
      </c>
      <c r="D88" s="29">
        <f>Drop_PnL!BF7</f>
        <v/>
      </c>
      <c r="E88" s="29">
        <f>IF(Drop_PnL!B7="","",Drop_PnL!C7)</f>
        <v/>
      </c>
      <c r="F88" s="29">
        <f>IF(Drop_PnL!B7="","",Drop_PnL!G7)</f>
        <v/>
      </c>
      <c r="G88" s="20">
        <f>IF(Drop_PnL!B7="","",Drop_PnL!E7)</f>
        <v/>
      </c>
      <c r="H88" s="108">
        <f>IF(Drop_PnL!B7="","",Drop_PnL!BA7)</f>
        <v/>
      </c>
      <c r="I88" s="108">
        <f>IF(Drop_PnL!B7="","",Drop_PnL!BB7)</f>
        <v/>
      </c>
      <c r="J88" s="112">
        <f>IF(Drop_PnL!B7="","",Drop_PnL!BC7)</f>
        <v/>
      </c>
      <c r="K88" s="108">
        <f>IF(Drop_PnL!B7="","",Drop_PnL!BD7)</f>
        <v/>
      </c>
      <c r="L88" s="110">
        <f>IF(Drop_PnL!B7="","",Drop_PnL!BE7)</f>
        <v/>
      </c>
    </row>
    <row r="89">
      <c r="A89" s="29">
        <f>IF(Drop_PnL!B8="","",Drop_PnL!A8)</f>
        <v/>
      </c>
      <c r="B89" s="29">
        <f>IF(Drop_PnL!B8="","",Schedule!B8&amp;"")</f>
        <v/>
      </c>
      <c r="C89" s="107">
        <f>IF(Drop_PnL!B8="","",Drop_PnL!B8)</f>
        <v/>
      </c>
      <c r="D89" s="29">
        <f>Drop_PnL!BF8</f>
        <v/>
      </c>
      <c r="E89" s="29">
        <f>IF(Drop_PnL!B8="","",Drop_PnL!C8)</f>
        <v/>
      </c>
      <c r="F89" s="29">
        <f>IF(Drop_PnL!B8="","",Drop_PnL!G8)</f>
        <v/>
      </c>
      <c r="G89" s="20">
        <f>IF(Drop_PnL!B8="","",Drop_PnL!E8)</f>
        <v/>
      </c>
      <c r="H89" s="108">
        <f>IF(Drop_PnL!B8="","",Drop_PnL!BA8)</f>
        <v/>
      </c>
      <c r="I89" s="108">
        <f>IF(Drop_PnL!B8="","",Drop_PnL!BB8)</f>
        <v/>
      </c>
      <c r="J89" s="112">
        <f>IF(Drop_PnL!B8="","",Drop_PnL!BC8)</f>
        <v/>
      </c>
      <c r="K89" s="108">
        <f>IF(Drop_PnL!B8="","",Drop_PnL!BD8)</f>
        <v/>
      </c>
      <c r="L89" s="110">
        <f>IF(Drop_PnL!B8="","",Drop_PnL!BE8)</f>
        <v/>
      </c>
    </row>
    <row r="90">
      <c r="A90" s="29">
        <f>IF(Drop_PnL!B9="","",Drop_PnL!A9)</f>
        <v/>
      </c>
      <c r="B90" s="29">
        <f>IF(Drop_PnL!B9="","",Schedule!B9&amp;"")</f>
        <v/>
      </c>
      <c r="C90" s="107">
        <f>IF(Drop_PnL!B9="","",Drop_PnL!B9)</f>
        <v/>
      </c>
      <c r="D90" s="29">
        <f>Drop_PnL!BF9</f>
        <v/>
      </c>
      <c r="E90" s="29">
        <f>IF(Drop_PnL!B9="","",Drop_PnL!C9)</f>
        <v/>
      </c>
      <c r="F90" s="29">
        <f>IF(Drop_PnL!B9="","",Drop_PnL!G9)</f>
        <v/>
      </c>
      <c r="G90" s="20">
        <f>IF(Drop_PnL!B9="","",Drop_PnL!E9)</f>
        <v/>
      </c>
      <c r="H90" s="108">
        <f>IF(Drop_PnL!B9="","",Drop_PnL!BA9)</f>
        <v/>
      </c>
      <c r="I90" s="108">
        <f>IF(Drop_PnL!B9="","",Drop_PnL!BB9)</f>
        <v/>
      </c>
      <c r="J90" s="112">
        <f>IF(Drop_PnL!B9="","",Drop_PnL!BC9)</f>
        <v/>
      </c>
      <c r="K90" s="108">
        <f>IF(Drop_PnL!B9="","",Drop_PnL!BD9)</f>
        <v/>
      </c>
      <c r="L90" s="110">
        <f>IF(Drop_PnL!B9="","",Drop_PnL!BE9)</f>
        <v/>
      </c>
    </row>
    <row r="91">
      <c r="A91" s="29">
        <f>IF(Drop_PnL!B10="","",Drop_PnL!A10)</f>
        <v/>
      </c>
      <c r="B91" s="29">
        <f>IF(Drop_PnL!B10="","",Schedule!B10&amp;"")</f>
        <v/>
      </c>
      <c r="C91" s="107">
        <f>IF(Drop_PnL!B10="","",Drop_PnL!B10)</f>
        <v/>
      </c>
      <c r="D91" s="29">
        <f>Drop_PnL!BF10</f>
        <v/>
      </c>
      <c r="E91" s="29">
        <f>IF(Drop_PnL!B10="","",Drop_PnL!C10)</f>
        <v/>
      </c>
      <c r="F91" s="29">
        <f>IF(Drop_PnL!B10="","",Drop_PnL!G10)</f>
        <v/>
      </c>
      <c r="G91" s="20">
        <f>IF(Drop_PnL!B10="","",Drop_PnL!E10)</f>
        <v/>
      </c>
      <c r="H91" s="108">
        <f>IF(Drop_PnL!B10="","",Drop_PnL!BA10)</f>
        <v/>
      </c>
      <c r="I91" s="108">
        <f>IF(Drop_PnL!B10="","",Drop_PnL!BB10)</f>
        <v/>
      </c>
      <c r="J91" s="112">
        <f>IF(Drop_PnL!B10="","",Drop_PnL!BC10)</f>
        <v/>
      </c>
      <c r="K91" s="108">
        <f>IF(Drop_PnL!B10="","",Drop_PnL!BD10)</f>
        <v/>
      </c>
      <c r="L91" s="110">
        <f>IF(Drop_PnL!B10="","",Drop_PnL!BE10)</f>
        <v/>
      </c>
    </row>
    <row r="92">
      <c r="A92" s="29">
        <f>IF(Drop_PnL!B11="","",Drop_PnL!A11)</f>
        <v/>
      </c>
      <c r="B92" s="29">
        <f>IF(Drop_PnL!B11="","",Schedule!B11&amp;"")</f>
        <v/>
      </c>
      <c r="C92" s="107">
        <f>IF(Drop_PnL!B11="","",Drop_PnL!B11)</f>
        <v/>
      </c>
      <c r="D92" s="29">
        <f>Drop_PnL!BF11</f>
        <v/>
      </c>
      <c r="E92" s="29">
        <f>IF(Drop_PnL!B11="","",Drop_PnL!C11)</f>
        <v/>
      </c>
      <c r="F92" s="29">
        <f>IF(Drop_PnL!B11="","",Drop_PnL!G11)</f>
        <v/>
      </c>
      <c r="G92" s="20">
        <f>IF(Drop_PnL!B11="","",Drop_PnL!E11)</f>
        <v/>
      </c>
      <c r="H92" s="108">
        <f>IF(Drop_PnL!B11="","",Drop_PnL!BA11)</f>
        <v/>
      </c>
      <c r="I92" s="108">
        <f>IF(Drop_PnL!B11="","",Drop_PnL!BB11)</f>
        <v/>
      </c>
      <c r="J92" s="112">
        <f>IF(Drop_PnL!B11="","",Drop_PnL!BC11)</f>
        <v/>
      </c>
      <c r="K92" s="108">
        <f>IF(Drop_PnL!B11="","",Drop_PnL!BD11)</f>
        <v/>
      </c>
      <c r="L92" s="110">
        <f>IF(Drop_PnL!B11="","",Drop_PnL!BE11)</f>
        <v/>
      </c>
    </row>
    <row r="93">
      <c r="A93" s="29">
        <f>IF(Drop_PnL!B12="","",Drop_PnL!A12)</f>
        <v/>
      </c>
      <c r="B93" s="29">
        <f>IF(Drop_PnL!B12="","",Schedule!B12&amp;"")</f>
        <v/>
      </c>
      <c r="C93" s="107">
        <f>IF(Drop_PnL!B12="","",Drop_PnL!B12)</f>
        <v/>
      </c>
      <c r="D93" s="29">
        <f>Drop_PnL!BF12</f>
        <v/>
      </c>
      <c r="E93" s="29">
        <f>IF(Drop_PnL!B12="","",Drop_PnL!C12)</f>
        <v/>
      </c>
      <c r="F93" s="29">
        <f>IF(Drop_PnL!B12="","",Drop_PnL!G12)</f>
        <v/>
      </c>
      <c r="G93" s="20">
        <f>IF(Drop_PnL!B12="","",Drop_PnL!E12)</f>
        <v/>
      </c>
      <c r="H93" s="108">
        <f>IF(Drop_PnL!B12="","",Drop_PnL!BA12)</f>
        <v/>
      </c>
      <c r="I93" s="108">
        <f>IF(Drop_PnL!B12="","",Drop_PnL!BB12)</f>
        <v/>
      </c>
      <c r="J93" s="112">
        <f>IF(Drop_PnL!B12="","",Drop_PnL!BC12)</f>
        <v/>
      </c>
      <c r="K93" s="108">
        <f>IF(Drop_PnL!B12="","",Drop_PnL!BD12)</f>
        <v/>
      </c>
      <c r="L93" s="110">
        <f>IF(Drop_PnL!B12="","",Drop_PnL!BE12)</f>
        <v/>
      </c>
    </row>
    <row r="94">
      <c r="A94" s="29">
        <f>IF(Drop_PnL!B13="","",Drop_PnL!A13)</f>
        <v/>
      </c>
      <c r="B94" s="29">
        <f>IF(Drop_PnL!B13="","",Schedule!B13&amp;"")</f>
        <v/>
      </c>
      <c r="C94" s="107">
        <f>IF(Drop_PnL!B13="","",Drop_PnL!B13)</f>
        <v/>
      </c>
      <c r="D94" s="29">
        <f>Drop_PnL!BF13</f>
        <v/>
      </c>
      <c r="E94" s="29">
        <f>IF(Drop_PnL!B13="","",Drop_PnL!C13)</f>
        <v/>
      </c>
      <c r="F94" s="29">
        <f>IF(Drop_PnL!B13="","",Drop_PnL!G13)</f>
        <v/>
      </c>
      <c r="G94" s="20">
        <f>IF(Drop_PnL!B13="","",Drop_PnL!E13)</f>
        <v/>
      </c>
      <c r="H94" s="108">
        <f>IF(Drop_PnL!B13="","",Drop_PnL!BA13)</f>
        <v/>
      </c>
      <c r="I94" s="108">
        <f>IF(Drop_PnL!B13="","",Drop_PnL!BB13)</f>
        <v/>
      </c>
      <c r="J94" s="112">
        <f>IF(Drop_PnL!B13="","",Drop_PnL!BC13)</f>
        <v/>
      </c>
      <c r="K94" s="108">
        <f>IF(Drop_PnL!B13="","",Drop_PnL!BD13)</f>
        <v/>
      </c>
      <c r="L94" s="110">
        <f>IF(Drop_PnL!B13="","",Drop_PnL!BE13)</f>
        <v/>
      </c>
    </row>
    <row r="95">
      <c r="A95" s="29">
        <f>IF(Drop_PnL!B14="","",Drop_PnL!A14)</f>
        <v/>
      </c>
      <c r="B95" s="29">
        <f>IF(Drop_PnL!B14="","",Schedule!B14&amp;"")</f>
        <v/>
      </c>
      <c r="C95" s="107">
        <f>IF(Drop_PnL!B14="","",Drop_PnL!B14)</f>
        <v/>
      </c>
      <c r="D95" s="29">
        <f>Drop_PnL!BF14</f>
        <v/>
      </c>
      <c r="E95" s="29">
        <f>IF(Drop_PnL!B14="","",Drop_PnL!C14)</f>
        <v/>
      </c>
      <c r="F95" s="29">
        <f>IF(Drop_PnL!B14="","",Drop_PnL!G14)</f>
        <v/>
      </c>
      <c r="G95" s="20">
        <f>IF(Drop_PnL!B14="","",Drop_PnL!E14)</f>
        <v/>
      </c>
      <c r="H95" s="108">
        <f>IF(Drop_PnL!B14="","",Drop_PnL!BA14)</f>
        <v/>
      </c>
      <c r="I95" s="108">
        <f>IF(Drop_PnL!B14="","",Drop_PnL!BB14)</f>
        <v/>
      </c>
      <c r="J95" s="112">
        <f>IF(Drop_PnL!B14="","",Drop_PnL!BC14)</f>
        <v/>
      </c>
      <c r="K95" s="108">
        <f>IF(Drop_PnL!B14="","",Drop_PnL!BD14)</f>
        <v/>
      </c>
      <c r="L95" s="110">
        <f>IF(Drop_PnL!B14="","",Drop_PnL!BE14)</f>
        <v/>
      </c>
    </row>
    <row r="96">
      <c r="A96" s="29">
        <f>IF(Drop_PnL!B15="","",Drop_PnL!A15)</f>
        <v/>
      </c>
      <c r="B96" s="29">
        <f>IF(Drop_PnL!B15="","",Schedule!B15&amp;"")</f>
        <v/>
      </c>
      <c r="C96" s="107">
        <f>IF(Drop_PnL!B15="","",Drop_PnL!B15)</f>
        <v/>
      </c>
      <c r="D96" s="29">
        <f>Drop_PnL!BF15</f>
        <v/>
      </c>
      <c r="E96" s="29">
        <f>IF(Drop_PnL!B15="","",Drop_PnL!C15)</f>
        <v/>
      </c>
      <c r="F96" s="29">
        <f>IF(Drop_PnL!B15="","",Drop_PnL!G15)</f>
        <v/>
      </c>
      <c r="G96" s="20">
        <f>IF(Drop_PnL!B15="","",Drop_PnL!E15)</f>
        <v/>
      </c>
      <c r="H96" s="108">
        <f>IF(Drop_PnL!B15="","",Drop_PnL!BA15)</f>
        <v/>
      </c>
      <c r="I96" s="108">
        <f>IF(Drop_PnL!B15="","",Drop_PnL!BB15)</f>
        <v/>
      </c>
      <c r="J96" s="112">
        <f>IF(Drop_PnL!B15="","",Drop_PnL!BC15)</f>
        <v/>
      </c>
      <c r="K96" s="108">
        <f>IF(Drop_PnL!B15="","",Drop_PnL!BD15)</f>
        <v/>
      </c>
      <c r="L96" s="110">
        <f>IF(Drop_PnL!B15="","",Drop_PnL!BE15)</f>
        <v/>
      </c>
    </row>
    <row r="97">
      <c r="A97" s="29">
        <f>IF(Drop_PnL!B16="","",Drop_PnL!A16)</f>
        <v/>
      </c>
      <c r="B97" s="29">
        <f>IF(Drop_PnL!B16="","",Schedule!B16&amp;"")</f>
        <v/>
      </c>
      <c r="C97" s="107">
        <f>IF(Drop_PnL!B16="","",Drop_PnL!B16)</f>
        <v/>
      </c>
      <c r="D97" s="29">
        <f>Drop_PnL!BF16</f>
        <v/>
      </c>
      <c r="E97" s="29">
        <f>IF(Drop_PnL!B16="","",Drop_PnL!C16)</f>
        <v/>
      </c>
      <c r="F97" s="29">
        <f>IF(Drop_PnL!B16="","",Drop_PnL!G16)</f>
        <v/>
      </c>
      <c r="G97" s="20">
        <f>IF(Drop_PnL!B16="","",Drop_PnL!E16)</f>
        <v/>
      </c>
      <c r="H97" s="108">
        <f>IF(Drop_PnL!B16="","",Drop_PnL!BA16)</f>
        <v/>
      </c>
      <c r="I97" s="108">
        <f>IF(Drop_PnL!B16="","",Drop_PnL!BB16)</f>
        <v/>
      </c>
      <c r="J97" s="112">
        <f>IF(Drop_PnL!B16="","",Drop_PnL!BC16)</f>
        <v/>
      </c>
      <c r="K97" s="108">
        <f>IF(Drop_PnL!B16="","",Drop_PnL!BD16)</f>
        <v/>
      </c>
      <c r="L97" s="110">
        <f>IF(Drop_PnL!B16="","",Drop_PnL!BE16)</f>
        <v/>
      </c>
    </row>
    <row r="98">
      <c r="A98" s="29">
        <f>IF(Drop_PnL!B17="","",Drop_PnL!A17)</f>
        <v/>
      </c>
      <c r="B98" s="29">
        <f>IF(Drop_PnL!B17="","",Schedule!B17&amp;"")</f>
        <v/>
      </c>
      <c r="C98" s="107">
        <f>IF(Drop_PnL!B17="","",Drop_PnL!B17)</f>
        <v/>
      </c>
      <c r="D98" s="29">
        <f>Drop_PnL!BF17</f>
        <v/>
      </c>
      <c r="E98" s="29">
        <f>IF(Drop_PnL!B17="","",Drop_PnL!C17)</f>
        <v/>
      </c>
      <c r="F98" s="29">
        <f>IF(Drop_PnL!B17="","",Drop_PnL!G17)</f>
        <v/>
      </c>
      <c r="G98" s="20">
        <f>IF(Drop_PnL!B17="","",Drop_PnL!E17)</f>
        <v/>
      </c>
      <c r="H98" s="108">
        <f>IF(Drop_PnL!B17="","",Drop_PnL!BA17)</f>
        <v/>
      </c>
      <c r="I98" s="108">
        <f>IF(Drop_PnL!B17="","",Drop_PnL!BB17)</f>
        <v/>
      </c>
      <c r="J98" s="112">
        <f>IF(Drop_PnL!B17="","",Drop_PnL!BC17)</f>
        <v/>
      </c>
      <c r="K98" s="108">
        <f>IF(Drop_PnL!B17="","",Drop_PnL!BD17)</f>
        <v/>
      </c>
      <c r="L98" s="110">
        <f>IF(Drop_PnL!B17="","",Drop_PnL!BE17)</f>
        <v/>
      </c>
    </row>
    <row r="99">
      <c r="A99" s="29">
        <f>IF(Drop_PnL!B18="","",Drop_PnL!A18)</f>
        <v/>
      </c>
      <c r="B99" s="29">
        <f>IF(Drop_PnL!B18="","",Schedule!B18&amp;"")</f>
        <v/>
      </c>
      <c r="C99" s="107">
        <f>IF(Drop_PnL!B18="","",Drop_PnL!B18)</f>
        <v/>
      </c>
      <c r="D99" s="29">
        <f>Drop_PnL!BF18</f>
        <v/>
      </c>
      <c r="E99" s="29">
        <f>IF(Drop_PnL!B18="","",Drop_PnL!C18)</f>
        <v/>
      </c>
      <c r="F99" s="29">
        <f>IF(Drop_PnL!B18="","",Drop_PnL!G18)</f>
        <v/>
      </c>
      <c r="G99" s="20">
        <f>IF(Drop_PnL!B18="","",Drop_PnL!E18)</f>
        <v/>
      </c>
      <c r="H99" s="108">
        <f>IF(Drop_PnL!B18="","",Drop_PnL!BA18)</f>
        <v/>
      </c>
      <c r="I99" s="108">
        <f>IF(Drop_PnL!B18="","",Drop_PnL!BB18)</f>
        <v/>
      </c>
      <c r="J99" s="112">
        <f>IF(Drop_PnL!B18="","",Drop_PnL!BC18)</f>
        <v/>
      </c>
      <c r="K99" s="108">
        <f>IF(Drop_PnL!B18="","",Drop_PnL!BD18)</f>
        <v/>
      </c>
      <c r="L99" s="110">
        <f>IF(Drop_PnL!B18="","",Drop_PnL!BE18)</f>
        <v/>
      </c>
    </row>
    <row r="100">
      <c r="A100" s="8" t="inlineStr">
        <is>
          <t>Total</t>
        </is>
      </c>
      <c r="F100" s="8">
        <f>SUM(F88:F99)</f>
        <v/>
      </c>
      <c r="G100" s="21">
        <f>SUM(G88:G99)</f>
        <v/>
      </c>
      <c r="H100" s="113">
        <f>SUM(H88:H99)</f>
        <v/>
      </c>
      <c r="I100" s="113">
        <f>SUM(I88:I99)</f>
        <v/>
      </c>
      <c r="J100" s="114">
        <f>SUM(J88:J99)</f>
        <v/>
      </c>
      <c r="K100" s="113">
        <f>SUM(K88:K99)</f>
        <v/>
      </c>
      <c r="L100" s="110">
        <f>IF(J100&gt;0,K100/J100,"n/a")</f>
        <v/>
      </c>
    </row>
    <row r="102">
      <c r="A102" s="30" t="inlineStr">
        <is>
          <t>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and data checks pass"</formula>
    </cfRule>
    <cfRule type="expression" priority="2" dxfId="1">
      <formula>AND(G5&lt;&gt;"",G5&lt;&gt;"all integrity and data checks pass")</formula>
    </cfRule>
  </conditionalFormatting>
  <conditionalFormatting sqref="G42:G55">
    <cfRule type="cellIs" priority="3" operator="equal" dxfId="2">
      <formula>"pass"</formula>
    </cfRule>
    <cfRule type="cellIs" priority="4" operator="equal" dxfId="1">
      <formula>"miss"</formula>
    </cfRule>
    <cfRule type="cellIs" priority="5" operator="equal" dxfId="3">
      <formula>"not yet"</formula>
    </cfRule>
    <cfRule type="expression" priority="6" dxfId="3">
      <formula>LEFT(G42,LEN("not yet"))="not yet"</formula>
    </cfRule>
    <cfRule type="cellIs" priority="7" operator="equal" dxfId="0">
      <formula>"complete"</formula>
    </cfRule>
  </conditionalFormatting>
  <conditionalFormatting sqref="G55">
    <cfRule type="expression" priority="8" dxfId="4">
      <formula>AND(G55&lt;&gt;"",G55&lt;&gt;"complete")</formula>
    </cfRule>
  </conditionalFormatting>
  <conditionalFormatting sqref="C58:C61">
    <cfRule type="cellIs" priority="9" operator="equal" dxfId="2">
      <formula>"pass"</formula>
    </cfRule>
    <cfRule type="cellIs" priority="10" operator="equal" dxfId="1">
      <formula>"miss"</formula>
    </cfRule>
    <cfRule type="cellIs" priority="11" operator="equal" dxfId="3">
      <formula>"not yet"</formula>
    </cfRule>
  </conditionalFormatting>
  <conditionalFormatting sqref="F80:F83">
    <cfRule type="cellIs" priority="12" operator="equal" dxfId="2">
      <formula>"pass"</formula>
    </cfRule>
    <cfRule type="cellIs" priority="13" operator="equal" dxfId="1">
      <formula>"miss"</formula>
    </cfRule>
    <cfRule type="cellIs" priority="14" operator="equal" dxfId="3">
      <formula>"not yet"</formula>
    </cfRule>
    <cfRule type="expression" priority="15" dxfId="3">
      <formula>LEFT(F80,LEN("not yet"))="not yet"</formula>
    </cfRule>
  </conditionalFormatting>
  <conditionalFormatting sqref="L88:L100">
    <cfRule type="expression" priority="16" dxfId="5">
      <formula>AND(ISNUMBER(L88),L88&gt;=$L$86)</formula>
    </cfRule>
    <cfRule type="expression" priority="17"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5"/>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115"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 Moving it moves the cash-flow weeks, software, the domain and any mailbox only. The gate dates below and the drop dates on Schedule are typed CONTRACTS dates: move them too. Checks flags week 1 moved on its own (review R3-09).</t>
        </is>
      </c>
      <c r="J10" s="116" t="n">
        <v>46321</v>
      </c>
      <c r="K10" s="37">
        <f>IF(C10&amp;""=J10&amp;"","","changed")</f>
        <v/>
      </c>
    </row>
    <row r="11">
      <c r="A11" s="30" t="inlineStr">
        <is>
          <t>gate0_date</t>
        </is>
      </c>
      <c r="B11" s="5" t="inlineStr">
        <is>
          <t>Gate 0 review (end of week 3)</t>
        </is>
      </c>
      <c r="C11" s="115" t="n">
        <v>46339</v>
      </c>
      <c r="D11" s="29" t="inlineStr">
        <is>
          <t>date</t>
        </is>
      </c>
      <c r="E11" s="29" t="n"/>
      <c r="F11" s="29" t="n"/>
      <c r="G11" s="29" t="inlineStr">
        <is>
          <t>derived, founder to confirm</t>
        </is>
      </c>
      <c r="H11" s="5" t="inlineStr">
        <is>
          <t>CONTRACTS.md section 3 (canonical calendar)</t>
        </is>
      </c>
      <c r="I11" s="5" t="inlineStr"/>
      <c r="J11" s="116" t="n">
        <v>46339</v>
      </c>
      <c r="K11" s="37">
        <f>IF(C11&amp;""=J11&amp;"","","changed")</f>
        <v/>
      </c>
    </row>
    <row r="12">
      <c r="A12" s="30" t="inlineStr">
        <is>
          <t>gate1_date</t>
        </is>
      </c>
      <c r="B12" s="5" t="inlineStr">
        <is>
          <t>Gate 1 review (end of week 7)</t>
        </is>
      </c>
      <c r="C12" s="115" t="n">
        <v>46367</v>
      </c>
      <c r="D12" s="29" t="inlineStr">
        <is>
          <t>date</t>
        </is>
      </c>
      <c r="E12" s="29" t="n"/>
      <c r="F12" s="29" t="n"/>
      <c r="G12" s="29" t="inlineStr">
        <is>
          <t>derived, founder to confirm</t>
        </is>
      </c>
      <c r="H12" s="5" t="inlineStr">
        <is>
          <t>CONTRACTS.md section 3 (canonical calendar)</t>
        </is>
      </c>
      <c r="I12" s="5" t="inlineStr"/>
      <c r="J12" s="116" t="n">
        <v>46367</v>
      </c>
      <c r="K12" s="37">
        <f>IF(C12&amp;""=J12&amp;"","","changed")</f>
        <v/>
      </c>
    </row>
    <row r="13">
      <c r="A13" s="30" t="inlineStr">
        <is>
          <t>gate2_date</t>
        </is>
      </c>
      <c r="B13" s="5" t="inlineStr">
        <is>
          <t>Gate 2 review (campaign zero report, T+7)</t>
        </is>
      </c>
      <c r="C13" s="117">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116">
        <f>IFERROR(WORKDAY(INDEX(Schedule!$E$7:$E$18,MATCH(Inputs!$C$129,Schedule!$A$7:$A$18,0)),Inputs!$C$132,Lists!$N$4:$N$30),"")</f>
        <v/>
      </c>
      <c r="K13" s="37">
        <f>IF(C13&amp;""=J13&amp;"","","changed")</f>
        <v/>
      </c>
    </row>
    <row r="14">
      <c r="A14" s="30" t="inlineStr">
        <is>
          <t>gate3_date</t>
        </is>
      </c>
      <c r="B14" s="5" t="inlineStr">
        <is>
          <t>Gate 3 review</t>
        </is>
      </c>
      <c r="C14" s="115"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116" t="n">
        <v>46458</v>
      </c>
      <c r="K14" s="37">
        <f>IF(C14&amp;""=J14&amp;"","","changed")</f>
        <v/>
      </c>
    </row>
    <row r="15">
      <c r="A15" s="30" t="inlineStr">
        <is>
          <t>decision_date</t>
        </is>
      </c>
      <c r="B15" s="5" t="inlineStr">
        <is>
          <t>Six-month decision (end of week 24)</t>
        </is>
      </c>
      <c r="C15" s="115" t="n">
        <v>46486</v>
      </c>
      <c r="D15" s="29" t="inlineStr">
        <is>
          <t>date</t>
        </is>
      </c>
      <c r="E15" s="29" t="n"/>
      <c r="F15" s="29" t="n"/>
      <c r="G15" s="29" t="inlineStr">
        <is>
          <t>derived, founder to confirm</t>
        </is>
      </c>
      <c r="H15" s="5" t="inlineStr">
        <is>
          <t>CONTRACTS.md section 3 (canonical calendar)</t>
        </is>
      </c>
      <c r="I15" s="5" t="inlineStr"/>
      <c r="J15" s="116" t="n">
        <v>46486</v>
      </c>
      <c r="K15" s="37">
        <f>IF(C15&amp;""=J15&amp;"","","changed")</f>
        <v/>
      </c>
    </row>
    <row r="16">
      <c r="A16" s="30" t="inlineStr">
        <is>
          <t>as_of_override</t>
        </is>
      </c>
      <c r="B16" s="5" t="inlineStr">
        <is>
          <t>As-of date override (blank = today)</t>
        </is>
      </c>
      <c r="C16" s="115" t="n">
        <v>46458</v>
      </c>
      <c r="D16" s="29" t="inlineStr">
        <is>
          <t>date</t>
        </is>
      </c>
      <c r="E16" s="29" t="n"/>
      <c r="F16" s="29" t="n"/>
      <c r="G16" s="29" t="inlineStr">
        <is>
          <t>setting</t>
        </is>
      </c>
      <c r="H16" s="5" t="inlineStr">
        <is>
          <t>Model setting</t>
        </is>
      </c>
      <c r="I16" s="5" t="inlineStr">
        <is>
          <t>Leave blank to use today's date. Type a date to see gates and the next drop as of that day.</t>
        </is>
      </c>
      <c r="J16" s="116" t="n"/>
      <c r="K16" s="37">
        <f>IF(C16&amp;""=J16&amp;"","","changed")</f>
        <v/>
      </c>
    </row>
    <row r="17">
      <c r="A17" s="30" t="inlineStr">
        <is>
          <t>as_of</t>
        </is>
      </c>
      <c r="B17" s="5" t="inlineStr">
        <is>
          <t>As-of date in use</t>
        </is>
      </c>
      <c r="C17" s="118">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02:33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02:33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02:33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02:33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119"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120"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121">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119" t="n">
        <v>120</v>
      </c>
      <c r="D42" s="29" t="inlineStr">
        <is>
          <t>USD per office</t>
        </is>
      </c>
      <c r="E42" s="108" t="n">
        <v>120</v>
      </c>
      <c r="F42" s="108" t="n">
        <v>180</v>
      </c>
      <c r="G42" s="29" t="inlineStr">
        <is>
          <t>planning estimate</t>
        </is>
      </c>
      <c r="H42" s="5" t="inlineStr">
        <is>
          <t>plan.md, Revised model: Price table</t>
        </is>
      </c>
      <c r="I42" s="5" t="inlineStr">
        <is>
          <t>$600 for 5 offices. The plan's summary table once said $600 to $900; the decided price is $600 (low end shown as default).</t>
        </is>
      </c>
      <c r="J42" s="120"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121">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119"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120"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122" t="n">
        <v>0.03</v>
      </c>
      <c r="D54" s="29" t="inlineStr">
        <is>
          <t>share of revenue</t>
        </is>
      </c>
      <c r="E54" s="29" t="n"/>
      <c r="F54" s="29" t="n"/>
      <c r="G54" s="29" t="inlineStr">
        <is>
          <t>planning estimate</t>
        </is>
      </c>
      <c r="H54" s="5" t="inlineStr">
        <is>
          <t>plan.md, Economics: hard-cost table</t>
        </is>
      </c>
      <c r="I54" s="5" t="inlineStr">
        <is>
          <t>Card fees. Zero by bank transfer.</t>
        </is>
      </c>
      <c r="J54" s="123"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119"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120" t="n">
        <v>8</v>
      </c>
      <c r="K68" s="37">
        <f>IF(C68&amp;""=J68&amp;"","","changed")</f>
        <v/>
      </c>
    </row>
    <row r="69">
      <c r="A69" s="30" t="inlineStr">
        <is>
          <t>card_extra</t>
        </is>
      </c>
      <c r="B69" s="5" t="inlineStr">
        <is>
          <t>Extra tent card per additional brand per office</t>
        </is>
      </c>
      <c r="C69" s="119" t="n"/>
      <c r="D69" s="29" t="inlineStr">
        <is>
          <t>USD per card</t>
        </is>
      </c>
      <c r="E69" s="108" t="n">
        <v>1</v>
      </c>
      <c r="F69" s="108"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120" t="n"/>
      <c r="K69" s="37">
        <f>IF(C69&amp;""=J69&amp;"","","changed")</f>
        <v/>
      </c>
    </row>
    <row r="70">
      <c r="A70" s="30" t="inlineStr">
        <is>
          <t>founder_transport</t>
        </is>
      </c>
      <c r="B70" s="5" t="inlineStr">
        <is>
          <t>Founder delivery (car rides) per drop</t>
        </is>
      </c>
      <c r="C70" s="119"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120" t="n">
        <v>120</v>
      </c>
      <c r="K70" s="37">
        <f>IF(C70&amp;""=J70&amp;"","","changed")</f>
        <v/>
      </c>
    </row>
    <row r="71">
      <c r="A71" s="30" t="inlineStr">
        <is>
          <t>courier_per_stop</t>
        </is>
      </c>
      <c r="B71" s="5" t="inlineStr">
        <is>
          <t>Courier per stop</t>
        </is>
      </c>
      <c r="C71" s="119" t="n">
        <v>30</v>
      </c>
      <c r="D71" s="29" t="inlineStr">
        <is>
          <t>USD per stop</t>
        </is>
      </c>
      <c r="E71" s="108" t="n">
        <v>25</v>
      </c>
      <c r="F71" s="108" t="n">
        <v>40</v>
      </c>
      <c r="G71" s="29" t="inlineStr">
        <is>
          <t>planning estimate, needs quote</t>
        </is>
      </c>
      <c r="H71" s="5" t="inlineStr">
        <is>
          <t>plan.md, Economics: hard-cost table</t>
        </is>
      </c>
      <c r="I71" s="5" t="inlineStr">
        <is>
          <t>$300 for a ten-stop route is $30 a stop; plan range $25 to $40. No reliable published rate; get three quotes.</t>
        </is>
      </c>
      <c r="J71" s="120" t="n">
        <v>30</v>
      </c>
      <c r="K71" s="37">
        <f>IF(C71&amp;""=J71&amp;"","","changed")</f>
        <v/>
      </c>
    </row>
    <row r="72">
      <c r="A72" s="30" t="inlineStr">
        <is>
          <t>direct_transport</t>
        </is>
      </c>
      <c r="B72" s="5" t="inlineStr">
        <is>
          <t>Transport when brands ship direct</t>
        </is>
      </c>
      <c r="C72" s="119"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120" t="n">
        <v>0</v>
      </c>
      <c r="K72" s="37">
        <f>IF(C72&amp;""=J72&amp;"","","changed")</f>
        <v/>
      </c>
    </row>
    <row r="73">
      <c r="A73" s="30" t="inlineStr">
        <is>
          <t>kit_mail_per_office</t>
        </is>
      </c>
      <c r="B73" s="5" t="inlineStr">
        <is>
          <t>Mailing the display kit ahead (direct-ship)</t>
        </is>
      </c>
      <c r="C73" s="119"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120"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119"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120" t="n">
        <v>150</v>
      </c>
      <c r="K76" s="37">
        <f>IF(C76&amp;""=J76&amp;"","","changed")</f>
        <v/>
      </c>
    </row>
    <row r="77">
      <c r="A77" s="30" t="inlineStr">
        <is>
          <t>storage_start</t>
        </is>
      </c>
      <c r="B77" s="5" t="inlineStr">
        <is>
          <t>Storage unit rented from</t>
        </is>
      </c>
      <c r="C77" s="117">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116">
        <f>IF(COUNT(Schedule!$AJ$7:$AJ$18)=0,"",EOMONTH(MIN(Schedule!$AJ$7:$AJ$18),-1)+1)</f>
        <v/>
      </c>
      <c r="K77" s="37">
        <f>IF(C77&amp;""=J77&amp;"","","changed")</f>
        <v/>
      </c>
    </row>
    <row r="78">
      <c r="A78" s="30" t="inlineStr">
        <is>
          <t>storage_end</t>
        </is>
      </c>
      <c r="B78" s="5" t="inlineStr">
        <is>
          <t>Storage unit released (blank = keep)</t>
        </is>
      </c>
      <c r="C78" s="115" t="n"/>
      <c r="D78" s="29" t="inlineStr">
        <is>
          <t>date</t>
        </is>
      </c>
      <c r="E78" s="29" t="n"/>
      <c r="F78" s="29" t="n"/>
      <c r="G78" s="29" t="inlineStr">
        <is>
          <t>setting</t>
        </is>
      </c>
      <c r="H78" s="5" t="inlineStr">
        <is>
          <t>Plan reading (c)</t>
        </is>
      </c>
      <c r="I78" s="5" t="inlineStr">
        <is>
          <t>Blank keeps the unit through the window, as the plan's direct-ship row keeps the $75.</t>
        </is>
      </c>
      <c r="J78" s="116" t="n"/>
      <c r="K78" s="37">
        <f>IF(C78&amp;""=J78&amp;"","","changed")</f>
        <v/>
      </c>
    </row>
    <row r="79">
      <c r="A79" s="30" t="inlineStr">
        <is>
          <t>software_monthly</t>
        </is>
      </c>
      <c r="B79" s="5" t="inlineStr">
        <is>
          <t>Software per month</t>
        </is>
      </c>
      <c r="C79" s="119" t="n">
        <v>60</v>
      </c>
      <c r="D79" s="29" t="inlineStr">
        <is>
          <t>USD per month</t>
        </is>
      </c>
      <c r="E79" s="108" t="n">
        <v>7</v>
      </c>
      <c r="F79" s="108" t="n">
        <v>81</v>
      </c>
      <c r="G79" s="29" t="inlineStr">
        <is>
          <t>planning estimate</t>
        </is>
      </c>
      <c r="H79" s="5" t="inlineStr">
        <is>
          <t>plan.md, Economics: Capital to the first six months; Tools table</t>
        </is>
      </c>
      <c r="I79" s="5" t="inlineStr">
        <is>
          <t>$360 for six months. Tools table sums to $7 to $81; the plan caps software under $60.</t>
        </is>
      </c>
      <c r="J79" s="120" t="n">
        <v>60</v>
      </c>
      <c r="K79" s="37">
        <f>IF(C79&amp;""=J79&amp;"","","changed")</f>
        <v/>
      </c>
    </row>
    <row r="80">
      <c r="A80" s="30" t="inlineStr">
        <is>
          <t>software_start</t>
        </is>
      </c>
      <c r="B80" s="5" t="inlineStr">
        <is>
          <t>Software paid from</t>
        </is>
      </c>
      <c r="C80" s="117">
        <f>Inputs!$C$10</f>
        <v/>
      </c>
      <c r="D80" s="29" t="inlineStr">
        <is>
          <t>date</t>
        </is>
      </c>
      <c r="E80" s="29" t="n"/>
      <c r="F80" s="29" t="n"/>
      <c r="G80" s="29" t="inlineStr">
        <is>
          <t>derived, founder to confirm</t>
        </is>
      </c>
      <c r="H80" s="5" t="inlineStr">
        <is>
          <t>plan.md, Week 1 setup</t>
        </is>
      </c>
      <c r="I80" s="5" t="inlineStr">
        <is>
          <t>Follows week 1.</t>
        </is>
      </c>
      <c r="J80" s="116">
        <f>Inputs!$C$10</f>
        <v/>
      </c>
      <c r="K80" s="37">
        <f>IF(C80&amp;""=J80&amp;"","","changed")</f>
        <v/>
      </c>
    </row>
    <row r="81">
      <c r="A81" s="30" t="inlineStr">
        <is>
          <t>insurance_monthly</t>
        </is>
      </c>
      <c r="B81" s="5" t="inlineStr">
        <is>
          <t>General liability insurance per month</t>
        </is>
      </c>
      <c r="C81" s="119" t="n">
        <v>100</v>
      </c>
      <c r="D81" s="29" t="inlineStr">
        <is>
          <t>USD per month</t>
        </is>
      </c>
      <c r="E81" s="108" t="n">
        <v>41.66666666666666</v>
      </c>
      <c r="F81" s="108" t="n">
        <v>125</v>
      </c>
      <c r="G81" s="29" t="inlineStr">
        <is>
          <t>plan estimate (legal pack); three quotes before binding</t>
        </is>
      </c>
      <c r="H81" s="5" t="inlineStr">
        <is>
          <t>plan.md, Economics: hard-cost table; desk-drop-legal-pack/figures.csv (re-read 2026-10-24, after its 02:33 update)</t>
        </is>
      </c>
      <c r="I81" s="5" t="inlineStr">
        <is>
          <t>'Roughly $100 a month'. Capital table range $500 to $1,500 a year, shown here per month. The legal pack carries $1,200 a year as a plan estimate and asks for a quote before binding.</t>
        </is>
      </c>
      <c r="J81" s="120"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117">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116">
        <f>Inputs!$C$12</f>
        <v/>
      </c>
      <c r="K83" s="37">
        <f>IF(C83&amp;""=J83&amp;"","","changed")</f>
        <v/>
      </c>
    </row>
    <row r="84">
      <c r="A84" s="30" t="inlineStr">
        <is>
          <t>phone_monthly</t>
        </is>
      </c>
      <c r="B84" s="5" t="inlineStr">
        <is>
          <t>Phone per month</t>
        </is>
      </c>
      <c r="C84" s="119" t="n">
        <v>0</v>
      </c>
      <c r="D84" s="29" t="inlineStr">
        <is>
          <t>USD per month</t>
        </is>
      </c>
      <c r="E84" s="29" t="n"/>
      <c r="F84" s="29" t="n"/>
      <c r="G84" s="29" t="inlineStr">
        <is>
          <t>planning estimate</t>
        </is>
      </c>
      <c r="H84" s="5" t="inlineStr">
        <is>
          <t>plan.md, Tools: 'Your phone', Google Voice $0</t>
        </is>
      </c>
      <c r="I84" s="5" t="inlineStr"/>
      <c r="J84" s="120"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124">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121">
        <f>Inputs!$C$70</f>
        <v/>
      </c>
      <c r="D105" s="119" t="n">
        <v>0</v>
      </c>
      <c r="E105" s="119" t="n">
        <v>0</v>
      </c>
      <c r="F105" s="125" t="n">
        <v>2</v>
      </c>
      <c r="G105" s="125" t="n">
        <v>1</v>
      </c>
      <c r="H105" s="125" t="n">
        <v>0.6</v>
      </c>
      <c r="I105" s="5" t="inlineStr">
        <is>
          <t>Campaign zero column (2 brands, 5 offices): receiving 3 = 2.0 + 0.5 x 2; drop day 5 h / 5 offices; checks 3 h / 5 offices.</t>
        </is>
      </c>
    </row>
    <row r="106">
      <c r="A106" s="30" t="inlineStr">
        <is>
          <t>model_table</t>
        </is>
      </c>
      <c r="B106" s="8" t="inlineStr">
        <is>
          <t>courier</t>
        </is>
      </c>
      <c r="C106" s="119" t="n">
        <v>0</v>
      </c>
      <c r="D106" s="121">
        <f>Inputs!$C$71</f>
        <v/>
      </c>
      <c r="E106" s="119" t="n">
        <v>0</v>
      </c>
      <c r="F106" s="125" t="n">
        <v>2.5</v>
      </c>
      <c r="G106" s="125" t="n">
        <v>0.8</v>
      </c>
      <c r="H106" s="125" t="n">
        <v>0.4</v>
      </c>
      <c r="I106" s="5" t="inlineStr">
        <is>
          <t>1-brand and 3-brand columns (10 offices): receiving 3 = 2.5 + 0.5 x 1 and 4 = 2.5 + 0.5 x 3; drop day 8 h / 10; checks 4 h / 10.</t>
        </is>
      </c>
    </row>
    <row r="107">
      <c r="A107" s="30" t="inlineStr">
        <is>
          <t>model_table</t>
        </is>
      </c>
      <c r="B107" s="8" t="inlineStr">
        <is>
          <t>direct-ship</t>
        </is>
      </c>
      <c r="C107" s="121">
        <f>Inputs!$C$72</f>
        <v/>
      </c>
      <c r="D107" s="119" t="n">
        <v>0</v>
      </c>
      <c r="E107" s="121">
        <f>Inputs!$C$73</f>
        <v/>
      </c>
      <c r="F107" s="125" t="n">
        <v>0.5</v>
      </c>
      <c r="G107" s="125" t="n">
        <v>0.3</v>
      </c>
      <c r="H107" s="125" t="n">
        <v>0.4</v>
      </c>
      <c r="I107" s="5" t="inlineStr">
        <is>
          <t>Direct-ship column (3 brands, 10 offices): receiving 2 = 0.5 + 0.5 x 3; drop day 3 h / 10; checks 4 h / 10.</t>
        </is>
      </c>
    </row>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119"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120" t="n"/>
      <c r="K115" s="37">
        <f>IF(C115&amp;""=J115&amp;"","","changed")</f>
        <v/>
      </c>
    </row>
    <row r="116">
      <c r="A116" s="30" t="inlineStr">
        <is>
          <t>founder_cash_date</t>
        </is>
      </c>
      <c r="B116" s="5" t="inlineStr">
        <is>
          <t>Founder cash goes in on</t>
        </is>
      </c>
      <c r="C116" s="117">
        <f>Inputs!$C$10</f>
        <v/>
      </c>
      <c r="D116" s="29" t="inlineStr">
        <is>
          <t>date</t>
        </is>
      </c>
      <c r="E116" s="29" t="n"/>
      <c r="F116" s="29" t="n"/>
      <c r="G116" s="29" t="inlineStr">
        <is>
          <t>setting</t>
        </is>
      </c>
      <c r="H116" s="5" t="inlineStr">
        <is>
          <t>Model setting</t>
        </is>
      </c>
      <c r="I116" s="5" t="inlineStr">
        <is>
          <t>Follows week 1.</t>
        </is>
      </c>
      <c r="J116" s="116">
        <f>Inputs!$C$10</f>
        <v/>
      </c>
      <c r="K116" s="37">
        <f>IF(C116&amp;""=J116&amp;"","","changed")</f>
        <v/>
      </c>
    </row>
    <row r="117">
      <c r="A117" s="30" t="inlineStr">
        <is>
          <t>reserve_usd</t>
        </is>
      </c>
      <c r="B117" s="5" t="inlineStr">
        <is>
          <t>Reserve held back (not spent)</t>
        </is>
      </c>
      <c r="C117" s="119" t="n">
        <v>1000</v>
      </c>
      <c r="D117" s="29" t="inlineStr">
        <is>
          <t>USD</t>
        </is>
      </c>
      <c r="E117" s="29" t="n"/>
      <c r="F117" s="29" t="n"/>
      <c r="G117" s="29" t="inlineStr">
        <is>
          <t>planning estimate</t>
        </is>
      </c>
      <c r="H117" s="5" t="inlineStr">
        <is>
          <t>plan.md, Economics: Capital to the first six months</t>
        </is>
      </c>
      <c r="I117" s="5" t="inlineStr"/>
      <c r="J117" s="120" t="n">
        <v>1000</v>
      </c>
      <c r="K117" s="37">
        <f>IF(C117&amp;""=J117&amp;"","","changed")</f>
        <v/>
      </c>
    </row>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119" t="n">
        <v>500</v>
      </c>
      <c r="D124" s="29" t="inlineStr">
        <is>
          <t>USD per campaign</t>
        </is>
      </c>
      <c r="E124" s="29" t="n"/>
      <c r="F124" s="29" t="n"/>
      <c r="G124" s="29" t="inlineStr">
        <is>
          <t>planning estimate</t>
        </is>
      </c>
      <c r="H124" s="5" t="inlineStr">
        <is>
          <t>plan.md, Gate 0</t>
        </is>
      </c>
      <c r="I124" s="5" t="inlineStr"/>
      <c r="J124" s="120"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119" t="n">
        <v>1500</v>
      </c>
      <c r="D135" s="29" t="inlineStr">
        <is>
          <t>USD</t>
        </is>
      </c>
      <c r="E135" s="29" t="n"/>
      <c r="F135" s="29" t="n"/>
      <c r="G135" s="29" t="inlineStr">
        <is>
          <t>planning estimate</t>
        </is>
      </c>
      <c r="H135" s="5" t="inlineStr">
        <is>
          <t>plan.md, Gate 3</t>
        </is>
      </c>
      <c r="I135" s="5" t="inlineStr"/>
      <c r="J135" s="120" t="n">
        <v>1500</v>
      </c>
      <c r="K135" s="37">
        <f>IF(C135&amp;""=J135&amp;"","","changed")</f>
        <v/>
      </c>
    </row>
    <row r="136">
      <c r="A136" s="30" t="inlineStr">
        <is>
          <t>g3_per_hour</t>
        </is>
      </c>
      <c r="B136" s="5" t="inlineStr">
        <is>
          <t>Gate 3: contribution per founder hour</t>
        </is>
      </c>
      <c r="C136" s="119" t="n">
        <v>50</v>
      </c>
      <c r="D136" s="29" t="inlineStr">
        <is>
          <t>USD per hour</t>
        </is>
      </c>
      <c r="E136" s="29" t="n"/>
      <c r="F136" s="29" t="n"/>
      <c r="G136" s="29" t="inlineStr">
        <is>
          <t>planning estimate</t>
        </is>
      </c>
      <c r="H136" s="5" t="inlineStr">
        <is>
          <t>plan.md, Gate 3</t>
        </is>
      </c>
      <c r="I136" s="5" t="inlineStr"/>
      <c r="J136" s="120"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119" t="n">
        <v>100</v>
      </c>
      <c r="D139" s="29" t="inlineStr">
        <is>
          <t>USD per month</t>
        </is>
      </c>
      <c r="E139" s="29" t="n"/>
      <c r="F139" s="29" t="n"/>
      <c r="G139" s="29" t="inlineStr">
        <is>
          <t>planning estimate</t>
        </is>
      </c>
      <c r="H139" s="5" t="inlineStr">
        <is>
          <t>plan.md, decision rule</t>
        </is>
      </c>
      <c r="I139" s="5" t="inlineStr"/>
      <c r="J139" s="120"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119" t="n">
        <v>100</v>
      </c>
      <c r="D149" s="29" t="inlineStr">
        <is>
          <t>USD per office</t>
        </is>
      </c>
      <c r="E149" s="29" t="n"/>
      <c r="F149" s="29" t="n"/>
      <c r="G149" s="29" t="inlineStr">
        <is>
          <t>setting</t>
        </is>
      </c>
      <c r="H149" s="5" t="inlineStr">
        <is>
          <t>Model setting</t>
        </is>
      </c>
      <c r="I149" s="5" t="inlineStr"/>
      <c r="J149" s="120" t="n">
        <v>100</v>
      </c>
      <c r="K149" s="37">
        <f>IF(C149&amp;""=J149&amp;"","","changed")</f>
        <v/>
      </c>
    </row>
    <row r="150">
      <c r="A150" s="30" t="inlineStr">
        <is>
          <t>sens_price_step</t>
        </is>
      </c>
      <c r="B150" s="5" t="inlineStr">
        <is>
          <t>Price per office: step</t>
        </is>
      </c>
      <c r="C150" s="119" t="n">
        <v>25</v>
      </c>
      <c r="D150" s="29" t="inlineStr">
        <is>
          <t>USD per office</t>
        </is>
      </c>
      <c r="E150" s="29" t="n"/>
      <c r="F150" s="29" t="n"/>
      <c r="G150" s="29" t="inlineStr">
        <is>
          <t>setting</t>
        </is>
      </c>
      <c r="H150" s="5" t="inlineStr">
        <is>
          <t>Model setting</t>
        </is>
      </c>
      <c r="I150" s="5" t="inlineStr"/>
      <c r="J150" s="120"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119" t="n">
        <v>200</v>
      </c>
      <c r="D158" s="29" t="inlineStr">
        <is>
          <t>USD one-time</t>
        </is>
      </c>
      <c r="E158" s="108" t="n">
        <v>200</v>
      </c>
      <c r="F158" s="108" t="n">
        <v>200</v>
      </c>
      <c r="G158" s="29" t="inlineStr">
        <is>
          <t>verified 2026-10-23 (legal pack)</t>
        </is>
      </c>
      <c r="H158" s="5" t="inlineStr">
        <is>
          <t>desk-drop-legal-pack/figures.csv (re-read 2026-10-24, after its 02:33 update); https://dos.ny.gov/limited-liability-company-articles-organization</t>
        </is>
      </c>
      <c r="I158" s="5" t="inlineStr">
        <is>
          <t>Plan capital table: $200 plus $50.</t>
        </is>
      </c>
      <c r="J158" s="120" t="n">
        <v>200</v>
      </c>
      <c r="K158" s="37">
        <f>IF(AND(C158&amp;""=J158&amp;"",N158&amp;""=S158&amp;"",L158&amp;""=T158&amp;""),"","changed")</f>
        <v/>
      </c>
      <c r="L158" s="117">
        <f>WORKDAY(Inputs!$C$11,Inputs!$C$25,Lists!$N$4:$N$30)</f>
        <v/>
      </c>
      <c r="M158" s="5" t="inlineStr">
        <is>
          <t>Follows Gate 0: earliest Thu 2026-11-19, never before the attorney hour (legal pack). Day 0 = first verbal brand yes</t>
        </is>
      </c>
      <c r="N158" s="36" t="inlineStr">
        <is>
          <t>Y</t>
        </is>
      </c>
      <c r="O158" s="126" t="n"/>
      <c r="P158" s="127" t="n"/>
      <c r="Q158" s="128">
        <f>IF(P158&lt;&gt;"",N(O158),IF(N158="Y",N(C158),0))</f>
        <v/>
      </c>
      <c r="R158" s="129">
        <f>IF(P158&lt;&gt;"",P158,L158)</f>
        <v/>
      </c>
      <c r="S158" s="30" t="inlineStr">
        <is>
          <t>Y</t>
        </is>
      </c>
      <c r="T158" s="116">
        <f>WORKDAY(Inputs!$C$11,Inputs!$C$25,Lists!$N$4:$N$30)</f>
        <v/>
      </c>
    </row>
    <row r="159">
      <c r="A159" s="30" t="inlineStr">
        <is>
          <t>su_cert</t>
        </is>
      </c>
      <c r="B159" s="5" t="inlineStr">
        <is>
          <t>Certificate of Publication filing</t>
        </is>
      </c>
      <c r="C159" s="119" t="n">
        <v>50</v>
      </c>
      <c r="D159" s="29" t="inlineStr">
        <is>
          <t>USD one-time</t>
        </is>
      </c>
      <c r="E159" s="108" t="n">
        <v>50</v>
      </c>
      <c r="F159" s="108" t="n">
        <v>50</v>
      </c>
      <c r="G159" s="29" t="inlineStr">
        <is>
          <t>verified 2026-10-23 (legal pack)</t>
        </is>
      </c>
      <c r="H159" s="5" t="inlineStr">
        <is>
          <t>desk-drop-legal-pack/figures.csv (re-read 2026-10-24, after its 02:33 update); https://dos.ny.gov/certificate-publication-domestic-limited-liability-company-0</t>
        </is>
      </c>
      <c r="I159" s="5" t="inlineStr"/>
      <c r="J159" s="120" t="n">
        <v>50</v>
      </c>
      <c r="K159" s="37">
        <f>IF(AND(C159&amp;""=J159&amp;"",N159&amp;""=S159&amp;"",L159&amp;""=T159&amp;""),"","changed")</f>
        <v/>
      </c>
      <c r="L159" s="117">
        <f>L160+Inputs!$C$29*Inputs!$C$18</f>
        <v/>
      </c>
      <c r="M159" s="5" t="inlineStr">
        <is>
          <t>Follows publication: after the sixth weekly run (2027-01-15 by default; legal limit day 120)</t>
        </is>
      </c>
      <c r="N159" s="36" t="inlineStr">
        <is>
          <t>Y</t>
        </is>
      </c>
      <c r="O159" s="126" t="n"/>
      <c r="P159" s="127" t="n"/>
      <c r="Q159" s="128">
        <f>IF(P159&lt;&gt;"",N(O159),IF(N159="Y",N(C159),0))</f>
        <v/>
      </c>
      <c r="R159" s="129">
        <f>IF(P159&lt;&gt;"",P159,L159)</f>
        <v/>
      </c>
      <c r="S159" s="30" t="inlineStr">
        <is>
          <t>Y</t>
        </is>
      </c>
      <c r="T159" s="116">
        <f>L160+Inputs!$C$29*Inputs!$C$18</f>
        <v/>
      </c>
    </row>
    <row r="160">
      <c r="A160" s="30" t="inlineStr">
        <is>
          <t>su_pub</t>
        </is>
      </c>
      <c r="B160" s="5" t="inlineStr">
        <is>
          <t>Newspaper publication (two papers, six weeks), county not chosen</t>
        </is>
      </c>
      <c r="C160" s="119" t="n">
        <v>2000</v>
      </c>
      <c r="D160" s="29" t="inlineStr">
        <is>
          <t>USD one-time</t>
        </is>
      </c>
      <c r="E160" s="108" t="n">
        <v>250</v>
      </c>
      <c r="F160" s="108" t="n">
        <v>2000</v>
      </c>
      <c r="G160" s="29" t="inlineStr">
        <is>
          <t>needs quote (plan high end until quoted)</t>
        </is>
      </c>
      <c r="H160" s="5" t="inlineStr">
        <is>
          <t>plan.md, Economics: Capital table ($250 to $2,000, no working figure); desk-drop-legal-pack/figures.csv (re-read 2026-10-24, after its 02:33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120" t="n">
        <v>2000</v>
      </c>
      <c r="K160" s="37">
        <f>IF(AND(C160&amp;""=J160&amp;"",N160&amp;""=S160&amp;"",L160&amp;""=T160&amp;""),"","changed")</f>
        <v/>
      </c>
      <c r="L160" s="117">
        <f>WORKDAY(L158,Inputs!$C$28,Lists!$N$4:$N$30)</f>
        <v/>
      </c>
      <c r="M160" s="5" t="inlineStr">
        <is>
          <t>Follows the LLC filing: ordered within 10 business days (legal pack), 2026-12-04 by default</t>
        </is>
      </c>
      <c r="N160" s="36" t="inlineStr">
        <is>
          <t>Y</t>
        </is>
      </c>
      <c r="O160" s="126" t="n"/>
      <c r="P160" s="127" t="n"/>
      <c r="Q160" s="128">
        <f>IF(P160&lt;&gt;"",N(O160),IF(N160="Y",N(C160),0))</f>
        <v/>
      </c>
      <c r="R160" s="129">
        <f>IF(P160&lt;&gt;"",P160,L160)</f>
        <v/>
      </c>
      <c r="S160" s="30" t="inlineStr">
        <is>
          <t>Y</t>
        </is>
      </c>
      <c r="T160" s="116">
        <f>WORKDAY(L158,Inputs!$C$28,Lists!$N$4:$N$30)</f>
        <v/>
      </c>
    </row>
    <row r="161">
      <c r="A161" s="30" t="inlineStr">
        <is>
          <t>su_reg_agent</t>
        </is>
      </c>
      <c r="B161" s="5" t="inlineStr">
        <is>
          <t>Registered agent, only if the Articles name Albany County</t>
        </is>
      </c>
      <c r="C161" s="126" t="n"/>
      <c r="D161" s="29" t="inlineStr">
        <is>
          <t>USD one-time</t>
        </is>
      </c>
      <c r="E161" s="130" t="n"/>
      <c r="F161" s="130" t="n"/>
      <c r="G161" s="29" t="inlineStr">
        <is>
          <t>needs quote (legal pack)</t>
        </is>
      </c>
      <c r="H161" s="5" t="inlineStr">
        <is>
          <t>desk-drop-legal-pack/figures.csv (re-read 2026-10-24, after its 02:33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131" t="n"/>
      <c r="K161" s="37">
        <f>IF(AND(C161&amp;""=J161&amp;"",N161&amp;""=S161&amp;"",L161&amp;""=T161&amp;""),"","changed")</f>
        <v/>
      </c>
      <c r="L161" s="117">
        <f>L158</f>
        <v/>
      </c>
      <c r="M161" s="5" t="inlineStr">
        <is>
          <t>Follows the LLC filing (the Articles name the agent)</t>
        </is>
      </c>
      <c r="N161" s="36" t="inlineStr">
        <is>
          <t>N</t>
        </is>
      </c>
      <c r="O161" s="126" t="n"/>
      <c r="P161" s="127" t="n"/>
      <c r="Q161" s="128">
        <f>IF(P161&lt;&gt;"",N(O161),IF(N161="Y",N(C161),0))</f>
        <v/>
      </c>
      <c r="R161" s="129">
        <f>IF(P161&lt;&gt;"",P161,L161)</f>
        <v/>
      </c>
      <c r="S161" s="30" t="inlineStr">
        <is>
          <t>N</t>
        </is>
      </c>
      <c r="T161" s="116">
        <f>L158</f>
        <v/>
      </c>
    </row>
    <row r="162">
      <c r="A162" s="30" t="inlineStr">
        <is>
          <t>su_license</t>
        </is>
      </c>
      <c r="B162" s="5" t="inlineStr">
        <is>
          <t>Food warehouse license (Article 28-D, two years), if required</t>
        </is>
      </c>
      <c r="C162" s="119" t="n">
        <v>400</v>
      </c>
      <c r="D162" s="29" t="inlineStr">
        <is>
          <t>USD one-time</t>
        </is>
      </c>
      <c r="E162" s="108" t="n">
        <v>0</v>
      </c>
      <c r="F162" s="108" t="n">
        <v>400</v>
      </c>
      <c r="G162" s="29" t="inlineStr">
        <is>
          <t>fee verified 2026-10-23; need unknown (legal pack)</t>
        </is>
      </c>
      <c r="H162" s="5" t="inlineStr">
        <is>
          <t>desk-drop-legal-pack/figures.csv (re-read 2026-10-24, after its 02:33 update); https://www.nysenate.gov/legislation/laws/AGM/500-B</t>
        </is>
      </c>
      <c r="I162" s="5" t="inlineStr">
        <is>
          <t>Zero if the state says sealed cases at home need no license, or if brands ship direct.</t>
        </is>
      </c>
      <c r="J162" s="120" t="n">
        <v>400</v>
      </c>
      <c r="K162" s="37">
        <f>IF(AND(C162&amp;""=J162&amp;"",N162&amp;""=S162&amp;"",L162&amp;""=T162&amp;""),"","changed")</f>
        <v/>
      </c>
      <c r="L162" s="117">
        <f>Inputs!$C$12</f>
        <v/>
      </c>
      <c r="M162" s="5" t="inlineStr">
        <is>
          <t>Follows Gate 1. Before any brand ships (legal pack: latest 2026-12-21)</t>
        </is>
      </c>
      <c r="N162" s="36" t="inlineStr">
        <is>
          <t>Y</t>
        </is>
      </c>
      <c r="O162" s="126" t="n"/>
      <c r="P162" s="127" t="n"/>
      <c r="Q162" s="128">
        <f>IF(P162&lt;&gt;"",N(O162),IF(N162="Y",N(C162),0))</f>
        <v/>
      </c>
      <c r="R162" s="129">
        <f>IF(P162&lt;&gt;"",P162,L162)</f>
        <v/>
      </c>
      <c r="S162" s="30" t="inlineStr">
        <is>
          <t>Y</t>
        </is>
      </c>
      <c r="T162" s="116">
        <f>Inputs!$C$12</f>
        <v/>
      </c>
    </row>
    <row r="163">
      <c r="A163" s="30" t="inlineStr">
        <is>
          <t>su_print</t>
        </is>
      </c>
      <c r="B163" s="5" t="inlineStr">
        <is>
          <t>Printing and materials (hand truck, supplies, first card runs)</t>
        </is>
      </c>
      <c r="C163" s="119" t="n">
        <v>300</v>
      </c>
      <c r="D163" s="29" t="inlineStr">
        <is>
          <t>USD one-time</t>
        </is>
      </c>
      <c r="E163" s="108" t="n">
        <v>300</v>
      </c>
      <c r="F163" s="108"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120" t="n">
        <v>300</v>
      </c>
      <c r="K163" s="37">
        <f>IF(AND(C163&amp;""=J163&amp;"",N163&amp;""=S163&amp;"",L163&amp;""=T163&amp;""),"","changed")</f>
        <v/>
      </c>
      <c r="L163" s="117">
        <f>Inputs!$C$12</f>
        <v/>
      </c>
      <c r="M163" s="5" t="inlineStr">
        <is>
          <t>Follows Gate 1: hand truck, supplies and first card run (plan setup checklist)</t>
        </is>
      </c>
      <c r="N163" s="36" t="inlineStr">
        <is>
          <t>Y</t>
        </is>
      </c>
      <c r="O163" s="126" t="n"/>
      <c r="P163" s="127" t="n"/>
      <c r="Q163" s="128">
        <f>IF(P163&lt;&gt;"",N(O163),IF(N163="Y",N(C163),0))</f>
        <v/>
      </c>
      <c r="R163" s="129">
        <f>IF(P163&lt;&gt;"",P163,L163)</f>
        <v/>
      </c>
      <c r="S163" s="30" t="inlineStr">
        <is>
          <t>Y</t>
        </is>
      </c>
      <c r="T163" s="116">
        <f>Inputs!$C$12</f>
        <v/>
      </c>
    </row>
    <row r="164">
      <c r="A164" s="30" t="inlineStr">
        <is>
          <t>su_domain</t>
        </is>
      </c>
      <c r="B164" s="5" t="inlineStr">
        <is>
          <t>Domain and email setup</t>
        </is>
      </c>
      <c r="C164" s="119" t="n">
        <v>100</v>
      </c>
      <c r="D164" s="29" t="inlineStr">
        <is>
          <t>USD one-time</t>
        </is>
      </c>
      <c r="E164" s="108" t="n">
        <v>100</v>
      </c>
      <c r="F164" s="108" t="n">
        <v>100</v>
      </c>
      <c r="G164" s="29" t="inlineStr">
        <is>
          <t>planning estimate</t>
        </is>
      </c>
      <c r="H164" s="5" t="inlineStr">
        <is>
          <t>plan.md, Economics: Capital to the first six months</t>
        </is>
      </c>
      <c r="I164" s="5" t="inlineStr"/>
      <c r="J164" s="120" t="n">
        <v>100</v>
      </c>
      <c r="K164" s="37">
        <f>IF(AND(C164&amp;""=J164&amp;"",N164&amp;""=S164&amp;"",L164&amp;""=T164&amp;""),"","changed")</f>
        <v/>
      </c>
      <c r="L164" s="117">
        <f>Inputs!$C$10</f>
        <v/>
      </c>
      <c r="M164" s="5" t="inlineStr">
        <is>
          <t>Follows week 1: days 1 and 2 (plan)</t>
        </is>
      </c>
      <c r="N164" s="36" t="inlineStr">
        <is>
          <t>Y</t>
        </is>
      </c>
      <c r="O164" s="126" t="n"/>
      <c r="P164" s="127" t="n"/>
      <c r="Q164" s="128">
        <f>IF(P164&lt;&gt;"",N(O164),IF(N164="Y",N(C164),0))</f>
        <v/>
      </c>
      <c r="R164" s="129">
        <f>IF(P164&lt;&gt;"",P164,L164)</f>
        <v/>
      </c>
      <c r="S164" s="30" t="inlineStr">
        <is>
          <t>Y</t>
        </is>
      </c>
      <c r="T164" s="116">
        <f>Inputs!$C$10</f>
        <v/>
      </c>
    </row>
    <row r="165">
      <c r="A165" s="30" t="inlineStr">
        <is>
          <t>su_mailbox</t>
        </is>
      </c>
      <c r="B165" s="5" t="inlineStr">
        <is>
          <t>Mailing address for email footers and the LLC notice (PO box or private mailbox), first year</t>
        </is>
      </c>
      <c r="C165" s="126" t="n"/>
      <c r="D165" s="29" t="inlineStr">
        <is>
          <t>USD one-time</t>
        </is>
      </c>
      <c r="E165" s="130" t="n"/>
      <c r="F165" s="130" t="n"/>
      <c r="G165" s="29" t="inlineStr">
        <is>
          <t>needs quote (legal pack)</t>
        </is>
      </c>
      <c r="H165" s="5" t="inlineStr">
        <is>
          <t>desk-drop-legal-pack/figures.csv (re-read 2026-10-24, after its 02:33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131" t="n"/>
      <c r="K165" s="37">
        <f>IF(AND(C165&amp;""=J165&amp;"",N165&amp;""=S165&amp;"",L165&amp;""=T165&amp;""),"","changed")</f>
        <v/>
      </c>
      <c r="L165" s="117">
        <f>Inputs!$C$10</f>
        <v/>
      </c>
      <c r="M165" s="5" t="inlineStr">
        <is>
          <t>Follows week 1: before the first outreach email (legal pack)</t>
        </is>
      </c>
      <c r="N165" s="36" t="inlineStr">
        <is>
          <t>Y</t>
        </is>
      </c>
      <c r="O165" s="126" t="n"/>
      <c r="P165" s="127" t="n"/>
      <c r="Q165" s="128">
        <f>IF(P165&lt;&gt;"",N(O165),IF(N165="Y",N(C165),0))</f>
        <v/>
      </c>
      <c r="R165" s="129">
        <f>IF(P165&lt;&gt;"",P165,L165)</f>
        <v/>
      </c>
      <c r="S165" s="30" t="inlineStr">
        <is>
          <t>Y</t>
        </is>
      </c>
      <c r="T165" s="116">
        <f>Inputs!$C$10</f>
        <v/>
      </c>
    </row>
    <row r="166">
      <c r="A166" s="30" t="inlineStr">
        <is>
          <t>su_attorney</t>
        </is>
      </c>
      <c r="B166" s="5" t="inlineStr">
        <is>
          <t>Attorney hour (both agreements, name and formation questions)</t>
        </is>
      </c>
      <c r="C166" s="119" t="n">
        <v>400</v>
      </c>
      <c r="D166" s="29" t="inlineStr">
        <is>
          <t>USD one-time</t>
        </is>
      </c>
      <c r="E166" s="108" t="n">
        <v>300</v>
      </c>
      <c r="F166" s="108" t="n">
        <v>500</v>
      </c>
      <c r="G166" s="29" t="inlineStr">
        <is>
          <t>plan estimate (legal pack)</t>
        </is>
      </c>
      <c r="H166" s="5" t="inlineStr">
        <is>
          <t>desk-drop-legal-pack/figures.csv (re-read 2026-10-24, after its 02:33 update); plan.md Legal table</t>
        </is>
      </c>
      <c r="I166" s="5" t="inlineStr">
        <is>
          <t>Not in the plan's capital table. Plan question 8 puts both hours at about $700; $400 plus the accountant's $300 keeps that figure.</t>
        </is>
      </c>
      <c r="J166" s="120" t="n">
        <v>400</v>
      </c>
      <c r="K166" s="37">
        <f>IF(AND(C166&amp;""=J166&amp;"",N166&amp;""=S166&amp;"",L166&amp;""=T166&amp;""),"","changed")</f>
        <v/>
      </c>
      <c r="L166" s="117">
        <f>WORKDAY(Inputs!$C$11,Inputs!$C$26,Lists!$N$4:$N$30)</f>
        <v/>
      </c>
      <c r="M166" s="5" t="inlineStr">
        <is>
          <t>Follows Gate 0: booked then, held by Wed 2026-11-18, before the filing (legal pack)</t>
        </is>
      </c>
      <c r="N166" s="36" t="inlineStr">
        <is>
          <t>Y</t>
        </is>
      </c>
      <c r="O166" s="126" t="n"/>
      <c r="P166" s="127" t="n"/>
      <c r="Q166" s="128">
        <f>IF(P166&lt;&gt;"",N(O166),IF(N166="Y",N(C166),0))</f>
        <v/>
      </c>
      <c r="R166" s="129">
        <f>IF(P166&lt;&gt;"",P166,L166)</f>
        <v/>
      </c>
      <c r="S166" s="30" t="inlineStr">
        <is>
          <t>Y</t>
        </is>
      </c>
      <c r="T166" s="116">
        <f>WORKDAY(Inputs!$C$11,Inputs!$C$26,Lists!$N$4:$N$30)</f>
        <v/>
      </c>
    </row>
    <row r="167">
      <c r="A167" s="30" t="inlineStr">
        <is>
          <t>su_accountant</t>
        </is>
      </c>
      <c r="B167" s="5" t="inlineStr">
        <is>
          <t>Accountant hour (sales tax, UBT, estimates)</t>
        </is>
      </c>
      <c r="C167" s="119" t="n">
        <v>300</v>
      </c>
      <c r="D167" s="29" t="inlineStr">
        <is>
          <t>USD one-time</t>
        </is>
      </c>
      <c r="E167" s="108" t="n">
        <v>200</v>
      </c>
      <c r="F167" s="108" t="n">
        <v>400</v>
      </c>
      <c r="G167" s="29" t="inlineStr">
        <is>
          <t>plan estimate (legal pack)</t>
        </is>
      </c>
      <c r="H167" s="5" t="inlineStr">
        <is>
          <t>desk-drop-legal-pack/figures.csv (re-read 2026-10-24, after its 02:33 update); plan.md Legal table</t>
        </is>
      </c>
      <c r="I167" s="5" t="inlineStr">
        <is>
          <t>Not in the plan's capital table. See the attorney line for the $700 pair.</t>
        </is>
      </c>
      <c r="J167" s="120" t="n">
        <v>300</v>
      </c>
      <c r="K167" s="37">
        <f>IF(AND(C167&amp;""=J167&amp;"",N167&amp;""=S167&amp;"",L167&amp;""=T167&amp;""),"","changed")</f>
        <v/>
      </c>
      <c r="L167" s="117">
        <f>WORKDAY(Inputs!$C$11,Inputs!$C$27,Lists!$N$4:$N$30)</f>
        <v/>
      </c>
      <c r="M167" s="5" t="inlineStr">
        <is>
          <t>Follows Gate 0: booked then, held by Fri 2026-11-20, before the first invoice (legal pack)</t>
        </is>
      </c>
      <c r="N167" s="36" t="inlineStr">
        <is>
          <t>Y</t>
        </is>
      </c>
      <c r="O167" s="126" t="n"/>
      <c r="P167" s="127" t="n"/>
      <c r="Q167" s="128">
        <f>IF(P167&lt;&gt;"",N(O167),IF(N167="Y",N(C167),0))</f>
        <v/>
      </c>
      <c r="R167" s="129">
        <f>IF(P167&lt;&gt;"",P167,L167)</f>
        <v/>
      </c>
      <c r="S167" s="30" t="inlineStr">
        <is>
          <t>Y</t>
        </is>
      </c>
      <c r="T167" s="116">
        <f>WORKDAY(Inputs!$C$11,Inputs!$C$27,Lists!$N$4:$N$30)</f>
        <v/>
      </c>
    </row>
    <row r="168">
      <c r="A168" s="30" t="inlineStr">
        <is>
          <t>su_it204</t>
        </is>
      </c>
      <c r="B168" s="5" t="inlineStr">
        <is>
          <t>NYS LLC annual filing fee (IT-204-LL), single-member</t>
        </is>
      </c>
      <c r="C168" s="119" t="n">
        <v>25</v>
      </c>
      <c r="D168" s="29" t="inlineStr">
        <is>
          <t>USD one-time</t>
        </is>
      </c>
      <c r="E168" s="108" t="n">
        <v>25</v>
      </c>
      <c r="F168" s="108" t="n">
        <v>25</v>
      </c>
      <c r="G168" s="29" t="inlineStr">
        <is>
          <t>verified 2026-10-23 (legal pack)</t>
        </is>
      </c>
      <c r="H168" s="5" t="inlineStr">
        <is>
          <t>desk-drop-legal-pack/figures.csv (re-read 2026-10-24, after its 02:33 update); https://www.tax.ny.gov/pdf/current_forms/it/it204lli.pdf</t>
        </is>
      </c>
      <c r="I168" s="5" t="inlineStr">
        <is>
          <t>Accountant confirms whether 2026 is owed. Not in the plan.</t>
        </is>
      </c>
      <c r="J168" s="120" t="n">
        <v>25</v>
      </c>
      <c r="K168" s="37">
        <f>IF(AND(C168&amp;""=J168&amp;"",N168&amp;""=S168&amp;"",L168&amp;""=T168&amp;""),"","changed")</f>
        <v/>
      </c>
      <c r="L168" s="115" t="n">
        <v>46461</v>
      </c>
      <c r="M168" s="5" t="inlineStr">
        <is>
          <t>Statutory date: first possibly Mon 2027-03-15 for 2026 (legal pack)</t>
        </is>
      </c>
      <c r="N168" s="36" t="inlineStr">
        <is>
          <t>Y</t>
        </is>
      </c>
      <c r="O168" s="126" t="n"/>
      <c r="P168" s="127" t="n"/>
      <c r="Q168" s="128">
        <f>IF(P168&lt;&gt;"",N(O168),IF(N168="Y",N(C168),0))</f>
        <v/>
      </c>
      <c r="R168" s="129">
        <f>IF(P168&lt;&gt;"",P168,L168)</f>
        <v/>
      </c>
      <c r="S168" s="30" t="inlineStr">
        <is>
          <t>Y</t>
        </is>
      </c>
      <c r="T168" s="116" t="n">
        <v>46461</v>
      </c>
    </row>
    <row r="169">
      <c r="A169" s="30" t="inlineStr">
        <is>
          <t>su_hnoa</t>
        </is>
      </c>
      <c r="B169" s="5" t="inlineStr">
        <is>
          <t>Hired and non-owned auto add-on to the liability policy</t>
        </is>
      </c>
      <c r="C169" s="126" t="n"/>
      <c r="D169" s="29" t="inlineStr">
        <is>
          <t>USD one-time</t>
        </is>
      </c>
      <c r="E169" s="130" t="n"/>
      <c r="F169" s="130" t="n"/>
      <c r="G169" s="29" t="inlineStr">
        <is>
          <t>needs quote (legal pack)</t>
        </is>
      </c>
      <c r="H169" s="5" t="inlineStr">
        <is>
          <t>desk-drop-legal-pack/figures.csv (re-read 2026-10-24, after its 02:33 update); plan.md Legal table ('Small add-on. Ask the carrier.')</t>
        </is>
      </c>
      <c r="I169" s="5" t="inlineStr">
        <is>
          <t>Needed if car rides, a car service or a rented van carry product (campaign zero does). Blank counts as $0.</t>
        </is>
      </c>
      <c r="J169" s="131" t="n"/>
      <c r="K169" s="37">
        <f>IF(AND(C169&amp;""=J169&amp;"",N169&amp;""=S169&amp;"",L169&amp;""=T169&amp;""),"","changed")</f>
        <v/>
      </c>
      <c r="L169" s="117">
        <f>Inputs!$C$83</f>
        <v/>
      </c>
      <c r="M169" s="5" t="inlineStr">
        <is>
          <t>Follows the insurance bind date</t>
        </is>
      </c>
      <c r="N169" s="36" t="inlineStr">
        <is>
          <t>Y</t>
        </is>
      </c>
      <c r="O169" s="126" t="n"/>
      <c r="P169" s="127" t="n"/>
      <c r="Q169" s="128">
        <f>IF(P169&lt;&gt;"",N(O169),IF(N169="Y",N(C169),0))</f>
        <v/>
      </c>
      <c r="R169" s="129">
        <f>IF(P169&lt;&gt;"",P169,L169)</f>
        <v/>
      </c>
      <c r="S169" s="30" t="inlineStr">
        <is>
          <t>Y</t>
        </is>
      </c>
      <c r="T169" s="116">
        <f>Inputs!$C$83</f>
        <v/>
      </c>
    </row>
    <row r="170">
      <c r="A170" s="30" t="inlineStr">
        <is>
          <t>su_addl_insured</t>
        </is>
      </c>
      <c r="B170" s="5" t="inlineStr">
        <is>
          <t>Additional-insured endorsements for buildings that require them</t>
        </is>
      </c>
      <c r="C170" s="126" t="n"/>
      <c r="D170" s="29" t="inlineStr">
        <is>
          <t>USD one-time</t>
        </is>
      </c>
      <c r="E170" s="130" t="n"/>
      <c r="F170" s="130" t="n"/>
      <c r="G170" s="29" t="inlineStr">
        <is>
          <t>needs quote (legal pack)</t>
        </is>
      </c>
      <c r="H170" s="5" t="inlineStr">
        <is>
          <t>desk-drop-legal-pack/figures.csv (re-read 2026-10-24, after its 02:33 update)</t>
        </is>
      </c>
      <c r="I170" s="5" t="inlineStr">
        <is>
          <t>The legal pack expects one per building that requires it, because there is no contract with any building; zero only if the carrier confirms its blanket endorsement covers buildings. Blank counts as $0.</t>
        </is>
      </c>
      <c r="J170" s="131" t="n"/>
      <c r="K170" s="37">
        <f>IF(AND(C170&amp;""=J170&amp;"",N170&amp;""=S170&amp;"",L170&amp;""=T170&amp;""),"","changed")</f>
        <v/>
      </c>
      <c r="L170" s="117">
        <f>Inputs!$C$83</f>
        <v/>
      </c>
      <c r="M170" s="5" t="inlineStr">
        <is>
          <t>Follows the insurance bind date; before each such building's first drop</t>
        </is>
      </c>
      <c r="N170" s="36" t="inlineStr">
        <is>
          <t>Y</t>
        </is>
      </c>
      <c r="O170" s="126" t="n"/>
      <c r="P170" s="127" t="n"/>
      <c r="Q170" s="128">
        <f>IF(P170&lt;&gt;"",N(O170),IF(N170="Y",N(C170),0))</f>
        <v/>
      </c>
      <c r="R170" s="129">
        <f>IF(P170&lt;&gt;"",P170,L170)</f>
        <v/>
      </c>
      <c r="S170" s="30" t="inlineStr">
        <is>
          <t>Y</t>
        </is>
      </c>
      <c r="T170" s="116">
        <f>Inputs!$C$83</f>
        <v/>
      </c>
    </row>
    <row r="171">
      <c r="A171" s="30" t="inlineStr">
        <is>
          <t>su_tm</t>
        </is>
      </c>
      <c r="B171" s="5" t="inlineStr">
        <is>
          <t>Federal trademark application (one class)</t>
        </is>
      </c>
      <c r="C171" s="119" t="n">
        <v>350</v>
      </c>
      <c r="D171" s="29" t="inlineStr">
        <is>
          <t>USD one-time</t>
        </is>
      </c>
      <c r="E171" s="108" t="n">
        <v>350</v>
      </c>
      <c r="F171" s="108" t="n">
        <v>850</v>
      </c>
      <c r="G171" s="29" t="inlineStr">
        <is>
          <t>verified 2026-10-23 (legal pack)</t>
        </is>
      </c>
      <c r="H171" s="5" t="inlineStr">
        <is>
          <t>desk-drop-legal-pack/figures.csv (re-read 2026-10-24, after its 02:33 update); plan.md setup checklist, 'After campaign zero: Trademark application, if the campaign was a pass'; https://www.uspto.gov/learning-and-resources/fees-and-payment/uspto-fee-schedule</t>
        </is>
      </c>
      <c r="I171" s="5" t="inlineStr">
        <is>
          <t>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is>
      </c>
      <c r="J171" s="120" t="n">
        <v>350</v>
      </c>
      <c r="K171" s="37">
        <f>IF(AND(C171&amp;""=J171&amp;"",N171&amp;""=S171&amp;"",L171&amp;""=T171&amp;""),"","changed")</f>
        <v/>
      </c>
      <c r="L171" s="117">
        <f>Inputs!$C$13</f>
        <v/>
      </c>
      <c r="M171" s="5" t="inlineStr">
        <is>
          <t>Follows Gate 2: after campaign zero passes (plan setup checklist; legal pack: from about Mon 2027-01-25); attorney advises first</t>
        </is>
      </c>
      <c r="N171" s="36" t="inlineStr">
        <is>
          <t>Y</t>
        </is>
      </c>
      <c r="O171" s="126" t="n"/>
      <c r="P171" s="127" t="n"/>
      <c r="Q171" s="128">
        <f>IF(P171&lt;&gt;"",N(O171),IF(N171="Y",N(C171),0))</f>
        <v/>
      </c>
      <c r="R171" s="129">
        <f>IF(P171&lt;&gt;"",P171,L171)</f>
        <v/>
      </c>
      <c r="S171" s="30" t="inlineStr">
        <is>
          <t>Y</t>
        </is>
      </c>
      <c r="T171" s="116">
        <f>Inputs!$C$13</f>
        <v/>
      </c>
    </row>
    <row r="172">
      <c r="B172" s="8" t="inlineStr">
        <is>
          <t>Total startup outlays (cash amounts used)</t>
        </is>
      </c>
      <c r="Q172" s="113">
        <f>SUM(Q158:Q171)</f>
        <v/>
      </c>
    </row>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row r="175">
      <c r="B175" s="6" t="inlineStr">
        <is>
          <t>Unpriced cost lines counted as $0 (status 'needs quote' or 'needs founder decision', value blank, included)</t>
        </is>
      </c>
      <c r="C175" s="21">
        <f>SUMPRODUCT((LEFT(G158:G171,LEN("needs"))="needs")*(C158:C171="")*(N158:N171="Y"))+IF(Inputs!$C$69="",1,0)+IF(Inputs!$C$73="",1,0)</f>
        <v/>
      </c>
      <c r="D175" s="30" t="inlineStr">
        <is>
          <t>startup lines in section 11 plus extra tent cards and kit mailing (section 5). Each adds $0 to the low point and the capital to commit until you type a figure.</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follows the plan base (blue cells) and says so. Nothing here is a forecast of which scenario will happen.</t>
        </is>
      </c>
    </row>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62">
        <f>Inputs!$C$62</f>
        <v/>
      </c>
      <c r="D11" s="62">
        <f>$C11</f>
        <v/>
      </c>
      <c r="E11" s="62">
        <f>$C11</f>
        <v/>
      </c>
      <c r="F11" s="62">
        <f>$C11</f>
        <v/>
      </c>
      <c r="G11" s="59" t="n">
        <v>0</v>
      </c>
      <c r="H11" s="60">
        <f>INDEX(C11:G11,1,MATCH(Inputs!$C$35,$C$5:$G$5,0))</f>
        <v/>
      </c>
      <c r="I11" s="29" t="inlineStr">
        <is>
          <t>brands</t>
        </is>
      </c>
      <c r="J11" s="5" t="inlineStr">
        <is>
          <t>Plan: three brands per drop (Inputs, 'Brands per standard drop'). A, B and C do not name a figure, so they follow the plan base. D stops.</t>
        </is>
      </c>
      <c r="L11" s="61">
        <f>Inputs!$C$62</f>
        <v/>
      </c>
      <c r="M11" s="61">
        <f>$C11</f>
        <v/>
      </c>
      <c r="N11" s="61">
        <f>$C11</f>
        <v/>
      </c>
      <c r="O11" s="61">
        <f>$C11</f>
        <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63">
        <f>Inputs!$C$111</f>
        <v/>
      </c>
      <c r="D12" s="46" t="n">
        <v>0.4</v>
      </c>
      <c r="E12" s="46" t="n">
        <v>0</v>
      </c>
      <c r="F12" s="63">
        <f>C12</f>
        <v/>
      </c>
      <c r="G12" s="46" t="n">
        <v>0</v>
      </c>
      <c r="H12" s="64">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4</v>
      </c>
      <c r="E13" s="59" t="n">
        <v>0</v>
      </c>
      <c r="F13" s="65" t="n"/>
      <c r="G13" s="59" t="n">
        <v>0</v>
      </c>
      <c r="H13" s="60">
        <f>INDEX(C13:G13,1,MATCH(Inputs!$C$35,$C$5:$G$5,0))</f>
        <v/>
      </c>
      <c r="I13" s="29" t="inlineStr">
        <is>
          <t>offices</t>
        </is>
      </c>
      <c r="J13" s="5" t="inlineStr">
        <is>
          <t>A: 'Grow the roster to 20 to 30 offices': 4 new offices on each of the two decision-window drops take the 12-office roster to 20, the low end (derived, founder to confirm; review R3-08). C: 'replace the weakest offices'; the plan gives no count. Blank = 0; founder to set.</t>
        </is>
      </c>
      <c r="L13" s="61" t="n">
        <v>0</v>
      </c>
      <c r="M13" s="61" t="n">
        <v>4</v>
      </c>
      <c r="N13" s="61" t="n">
        <v>0</v>
      </c>
      <c r="O13" s="66"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132">
        <f>Inputs!$C$39</f>
        <v/>
      </c>
      <c r="D14" s="119" t="n">
        <v>180</v>
      </c>
      <c r="E14" s="132">
        <f>Inputs!$C$39</f>
        <v/>
      </c>
      <c r="F14" s="132">
        <f>Inputs!$C$39</f>
        <v/>
      </c>
      <c r="G14" s="132">
        <f>Inputs!$C$39</f>
        <v/>
      </c>
      <c r="H14" s="133">
        <f>INDEX(C14:G14,1,MATCH(Inputs!$C$35,$C$5:$G$5,0))</f>
        <v/>
      </c>
      <c r="I14" s="29" t="inlineStr">
        <is>
          <t>USD per office</t>
        </is>
      </c>
      <c r="J14" s="5" t="inlineStr">
        <is>
          <t>A: 'raise the standard price to $1,800 to $2,000' = $180 to $200 per office; low end.</t>
        </is>
      </c>
      <c r="L14" s="120">
        <f>Inputs!$C$39</f>
        <v/>
      </c>
      <c r="M14" s="120" t="n">
        <v>180</v>
      </c>
      <c r="N14" s="120">
        <f>Inputs!$C$39</f>
        <v/>
      </c>
      <c r="O14" s="120">
        <f>Inputs!$C$39</f>
        <v/>
      </c>
      <c r="P14" s="120">
        <f>Inputs!$C$39</f>
        <v/>
      </c>
      <c r="Q14" s="37">
        <f>IF(AND(C14&amp;""=L14&amp;"",D14&amp;""=M14&amp;"",E14&amp;""=N14&amp;"",F14&amp;""=O14&amp;"",G14&amp;""=P14&amp;""),"","changed")</f>
        <v/>
      </c>
      <c r="R14" s="20">
        <f>IF(INDEX(C14:G14,1,MATCH(Inputs!$C$35,$C$5:$G$5,0))="",1,0)</f>
        <v/>
      </c>
    </row>
    <row r="15" ht="30" customHeight="1">
      <c r="B15" s="5" t="inlineStr">
        <is>
          <t>Steady-state drops per month</t>
        </is>
      </c>
      <c r="C15" s="62">
        <f>Inputs!$C$112</f>
        <v/>
      </c>
      <c r="D15" s="62">
        <f>$C15</f>
        <v/>
      </c>
      <c r="E15" s="62">
        <f>$C15</f>
        <v/>
      </c>
      <c r="F15" s="62">
        <f>$C15</f>
        <v/>
      </c>
      <c r="G15" s="59" t="n">
        <v>0</v>
      </c>
      <c r="H15" s="60">
        <f>INDEX(C15:G15,1,MATCH(Inputs!$C$35,$C$5:$G$5,0))</f>
        <v/>
      </c>
      <c r="I15" s="29" t="inlineStr">
        <is>
          <t>drops per month</t>
        </is>
      </c>
      <c r="J15" s="5" t="inlineStr">
        <is>
          <t>Plan monthly picture: two drops a month (Inputs section 8). A, B and C follow the plan base. D stops.</t>
        </is>
      </c>
      <c r="L15" s="61">
        <f>Inputs!$C$112</f>
        <v/>
      </c>
      <c r="M15" s="61">
        <f>$C15</f>
        <v/>
      </c>
      <c r="N15" s="61">
        <f>$C15</f>
        <v/>
      </c>
      <c r="O15" s="61">
        <f>$C15</f>
        <v/>
      </c>
      <c r="P15" s="61" t="n">
        <v>0</v>
      </c>
      <c r="Q15" s="37">
        <f>IF(AND(C15&amp;""=L15&amp;"",D15&amp;""=M15&amp;"",E15&amp;""=N15&amp;"",F15&amp;""=O15&amp;"",G15&amp;""=P15&amp;""),"","changed")</f>
        <v/>
      </c>
      <c r="R15" s="20">
        <f>IF(INDEX(C15:G15,1,MATCH(Inputs!$C$35,$C$5:$G$5,0))="",1,0)</f>
        <v/>
      </c>
    </row>
    <row r="16" ht="30" customHeight="1">
      <c r="B16" s="5" t="inlineStr">
        <is>
          <t>Steady-state brands per drop</t>
        </is>
      </c>
      <c r="C16" s="62">
        <f>Inputs!$C$62</f>
        <v/>
      </c>
      <c r="D16" s="62">
        <f>$C16</f>
        <v/>
      </c>
      <c r="E16" s="62">
        <f>$C16</f>
        <v/>
      </c>
      <c r="F16" s="62">
        <f>$C16</f>
        <v/>
      </c>
      <c r="G16" s="59" t="n">
        <v>0</v>
      </c>
      <c r="H16" s="60">
        <f>INDEX(C16:G16,1,MATCH(Inputs!$C$35,$C$5:$G$5,0))</f>
        <v/>
      </c>
      <c r="I16" s="29" t="inlineStr">
        <is>
          <t>brands</t>
        </is>
      </c>
      <c r="J16" s="5" t="inlineStr">
        <is>
          <t>Plan monthly picture: three-brand drops (Inputs, 'Brands per standard drop'). A, B and C follow the plan base. D stops.</t>
        </is>
      </c>
      <c r="L16" s="61">
        <f>Inputs!$C$62</f>
        <v/>
      </c>
      <c r="M16" s="61">
        <f>$C16</f>
        <v/>
      </c>
      <c r="N16" s="61">
        <f>$C16</f>
        <v/>
      </c>
      <c r="O16" s="61">
        <f>$C16</f>
        <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126" t="n"/>
      <c r="D18" s="126" t="n"/>
      <c r="E18" s="119" t="n">
        <v>100</v>
      </c>
      <c r="F18" s="126" t="n"/>
      <c r="G18" s="126" t="n"/>
      <c r="H18" s="133">
        <f>INDEX(C18:G18,1,MATCH(Inputs!$C$35,$C$5:$G$5,0))</f>
        <v/>
      </c>
      <c r="I18" s="29" t="inlineStr">
        <is>
          <t>USD per month</t>
        </is>
      </c>
      <c r="J18" s="5" t="inlineStr">
        <is>
          <t>B: $100 to $200 a month; low end.</t>
        </is>
      </c>
      <c r="L18" s="131" t="n"/>
      <c r="M18" s="131" t="n"/>
      <c r="N18" s="120" t="n">
        <v>100</v>
      </c>
      <c r="O18" s="131" t="n"/>
      <c r="P18" s="131" t="n"/>
      <c r="Q18" s="37">
        <f>IF(AND(C18&amp;""=L18&amp;"",D18&amp;""=M18&amp;"",E18&amp;""=N18&amp;"",F18&amp;""=O18&amp;"",G18&amp;""=P18&amp;""),"","changed")</f>
        <v/>
      </c>
      <c r="R18" s="20">
        <f>IF(INDEX(C18:G18,1,MATCH(Inputs!$C$35,$C$5:$G$5,0))="",1,0)</f>
        <v/>
      </c>
    </row>
    <row r="19" ht="30" customHeight="1">
      <c r="B19" s="5" t="inlineStr">
        <is>
          <t>Cost to serve one office-paid office per month</t>
        </is>
      </c>
      <c r="C19" s="126" t="n"/>
      <c r="D19" s="126" t="n"/>
      <c r="E19" s="126" t="n"/>
      <c r="F19" s="126" t="n"/>
      <c r="G19" s="126" t="n"/>
      <c r="H19" s="133">
        <f>INDEX(C19:G19,1,MATCH(Inputs!$C$35,$C$5:$G$5,0))</f>
        <v/>
      </c>
      <c r="I19" s="29" t="inlineStr">
        <is>
          <t>USD per month</t>
        </is>
      </c>
      <c r="J19" s="5" t="inlineStr">
        <is>
          <t>Needs quote. The plan prices no cost for guaranteed twice-monthly curated drops.</t>
        </is>
      </c>
      <c r="L19" s="131" t="n"/>
      <c r="M19" s="131" t="n"/>
      <c r="N19" s="131" t="n"/>
      <c r="O19" s="131" t="n"/>
      <c r="P19" s="131" t="n"/>
      <c r="Q19" s="37">
        <f>IF(AND(C19&amp;""=L19&amp;"",D19&amp;""=M19&amp;"",E19&amp;""=N19&amp;"",F19&amp;""=O19&amp;"",G19&amp;""=P19&amp;""),"","changed")</f>
        <v/>
      </c>
      <c r="R19" s="20">
        <f>IF(INDEX(C19:G19,1,MATCH(Inputs!$C$35,$C$5:$G$5,0))="",1,0)</f>
        <v/>
      </c>
    </row>
    <row r="20" ht="30" customHeight="1">
      <c r="B20" s="5" t="inlineStr">
        <is>
          <t>Part-time delivery hire</t>
        </is>
      </c>
      <c r="C20" s="119" t="n">
        <v>25</v>
      </c>
      <c r="D20" s="119" t="n">
        <v>25</v>
      </c>
      <c r="E20" s="126" t="n"/>
      <c r="F20" s="126" t="n"/>
      <c r="G20" s="126" t="n"/>
      <c r="H20" s="133">
        <f>INDEX(C20:G20,1,MATCH(Inputs!$C$35,$C$5:$G$5,0))</f>
        <v/>
      </c>
      <c r="I20" s="29" t="inlineStr">
        <is>
          <t>USD per hour</t>
        </is>
      </c>
      <c r="J20" s="5" t="inlineStr">
        <is>
          <t>A: 'about $25 an hour once you run more than two drops a month'. It replaces drop-day hours (model reading).</t>
        </is>
      </c>
      <c r="L20" s="120" t="n">
        <v>25</v>
      </c>
      <c r="M20" s="120" t="n">
        <v>25</v>
      </c>
      <c r="N20" s="131" t="n"/>
      <c r="O20" s="131" t="n"/>
      <c r="P20" s="131"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62">
        <f>$C21</f>
        <v/>
      </c>
      <c r="E21" s="62">
        <f>$C21</f>
        <v/>
      </c>
      <c r="F21" s="62">
        <f>$C21</f>
        <v/>
      </c>
      <c r="G21" s="62">
        <f>$C21</f>
        <v/>
      </c>
      <c r="H21" s="60">
        <f>INDEX(C21:G21,1,MATCH(Inputs!$C$35,$C$5:$G$5,0))</f>
        <v/>
      </c>
      <c r="I21" s="29" t="inlineStr">
        <is>
          <t>drops per month</t>
        </is>
      </c>
      <c r="J21" s="5" t="inlineStr">
        <is>
          <t>Plan: 'more than two drops a month'. One rule for every scenario, so A to D follow the plan base.</t>
        </is>
      </c>
      <c r="L21" s="61" t="n">
        <v>2</v>
      </c>
      <c r="M21" s="61">
        <f>$C21</f>
        <v/>
      </c>
      <c r="N21" s="61">
        <f>$C21</f>
        <v/>
      </c>
      <c r="O21" s="61">
        <f>$C21</f>
        <v/>
      </c>
      <c r="P21" s="61">
        <f>$C21</f>
        <v/>
      </c>
      <c r="Q21" s="37">
        <f>IF(AND(C21&amp;""=L21&amp;"",D21&amp;""=M21&amp;"",E21&amp;""=N21&amp;"",F21&amp;""=O21&amp;"",G21&amp;""=P21&amp;""),"","changed")</f>
        <v/>
      </c>
      <c r="R21" s="20">
        <f>IF(INDEX(C21:G21,1,MATCH(Inputs!$C$35,$C$5:$G$5,0))="",1,0)</f>
        <v/>
      </c>
    </row>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9" t="inlineStr">
        <is>
          <t>DRP-001</t>
        </is>
      </c>
      <c r="B7" s="69" t="inlineStr">
        <is>
          <t>Campaign zero (founding)</t>
        </is>
      </c>
      <c r="C7" s="69" t="inlineStr">
        <is>
          <t>derived: CONTRACTS s3</t>
        </is>
      </c>
      <c r="D7" s="69" t="n"/>
      <c r="E7" s="134" t="n">
        <v>46399</v>
      </c>
      <c r="F7" s="5">
        <f>IF(E7="","",TEXT(E7,"ddd"))</f>
        <v/>
      </c>
      <c r="G7" s="69" t="inlineStr">
        <is>
          <t>founder</t>
        </is>
      </c>
      <c r="H7" s="69" t="inlineStr">
        <is>
          <t>founding</t>
        </is>
      </c>
      <c r="I7" s="71">
        <f>Inputs!$C$59</f>
        <v/>
      </c>
      <c r="J7" s="71">
        <f>IF(N(K7)=0,0,I7)</f>
        <v/>
      </c>
      <c r="K7" s="71">
        <f>Inputs!$C$60</f>
        <v/>
      </c>
      <c r="L7" s="69" t="n">
        <v>0</v>
      </c>
      <c r="M7" s="69" t="n">
        <v>0</v>
      </c>
      <c r="N7" s="69" t="inlineStr">
        <is>
          <t>N</t>
        </is>
      </c>
      <c r="O7" s="69" t="inlineStr">
        <is>
          <t>Stretch option Tue 2026-12-08 only if both brands pay by 2026-11-20. Brands asked to ship by 2026-12-22.</t>
        </is>
      </c>
      <c r="P7" s="5">
        <f>IF(E7="","",IF(OR(WEEKDAY(E7)=Lists!$V$4,WEEKDAY(E7)=Lists!$V$5),"ok","not Tue/Wed"))</f>
        <v/>
      </c>
      <c r="Q7" s="135">
        <f>IF(E7="","",WORKDAY(E7,Inputs!$C$23-1,Lists!$N$4:$N$30))</f>
        <v/>
      </c>
      <c r="R7" s="5">
        <f>IF(E7="","",IF(COUNTIFS(Lists!$Q$4:$Q$12,"&lt;="&amp;Q7,Lists!$R$4:$R$12,"&gt;="&amp;E7)&gt;0,"clash","ok"))</f>
        <v/>
      </c>
      <c r="S7" s="73">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4">
        <f>IF(AND(E7&amp;""=AL7&amp;"",G7&amp;""=AM7&amp;"",H7&amp;""=AN7&amp;"",I7&amp;""=AO7&amp;"",J7&amp;""=AP7&amp;"",K7&amp;""=AQ7&amp;"",L7&amp;""=AR7&amp;"",M7&amp;""=AS7&amp;""),"","changed")</f>
        <v/>
      </c>
      <c r="Y7" s="136">
        <f>IF(OR(E7="",N(K7)=0),"",WORKDAY(E7,-IF(H7="founding",Inputs!$C$49,Inputs!$C$51),Lists!$N$4:$N$30))</f>
        <v/>
      </c>
      <c r="Z7" s="76">
        <f>IF(Y7="","",N(K7)-N(L7))</f>
        <v/>
      </c>
      <c r="AA7" s="76">
        <f>IF(Z7="","",Z7/Inputs!$C$90)</f>
        <v/>
      </c>
      <c r="AB7" s="76">
        <f>IF(Y7="","",SUMIFS($Z$7:$Z$18,$Y$7:$Y$18,"&lt;="&amp;Y7))</f>
        <v/>
      </c>
      <c r="AC7" s="76">
        <f>IF(AB7="","",AB7/Inputs!$C$90)</f>
        <v/>
      </c>
      <c r="AD7" s="76">
        <f>IF(Y7="","",SUMIFS(Pipeline!$T$5:$T$1004,Pipeline!$B$5:$B$1004,"brand",Pipeline!$E$5:$E$1004,"paid",Pipeline!$A$5:$A$1004,"&lt;="&amp;Y7))</f>
        <v/>
      </c>
      <c r="AE7" s="76">
        <f>IF(Y7="","",SUMIFS(Pipeline!$T$5:$T$1004,Pipeline!$B$5:$B$1004,"brand",Pipeline!$E$5:$E$1004,"conversation",Pipeline!$A$5:$A$1004,"&lt;="&amp;Y7))</f>
        <v/>
      </c>
      <c r="AF7" s="135">
        <f>IF(Y7="","",WORKDAY(E7,Inputs!$C$24,Lists!$N$4:$N$30))</f>
        <v/>
      </c>
      <c r="AG7" s="5">
        <f>IF(AF7="","",IF(AND(E7&gt;Inputs!$C$14,E7&lt;=Inputs!$C$15,AF7&gt;Inputs!$C$15),"after the decision","ok"))</f>
        <v/>
      </c>
      <c r="AH7" s="135">
        <f>IF(AG7="after the decision",AF7,"")</f>
        <v/>
      </c>
      <c r="AI7" s="76">
        <f>IF(U7="","",MIN(N(I7)-N(J7),MAX(0,U7-V7)))</f>
        <v/>
      </c>
      <c r="AJ7" s="136">
        <f>IF(AND(H7="standard",N(K7)&gt;0,E7&lt;&gt;""),E7,"")</f>
        <v/>
      </c>
      <c r="AL7" s="116" t="n">
        <v>46399</v>
      </c>
      <c r="AM7" s="30" t="inlineStr">
        <is>
          <t>founder</t>
        </is>
      </c>
      <c r="AN7" s="30" t="inlineStr">
        <is>
          <t>founding</t>
        </is>
      </c>
      <c r="AO7" s="30">
        <f>Inputs!$C$59</f>
        <v/>
      </c>
      <c r="AP7" s="30">
        <f>IF(N(K7)=0,0,I7)</f>
        <v/>
      </c>
      <c r="AQ7" s="30">
        <f>Inputs!$C$60</f>
        <v/>
      </c>
      <c r="AR7" s="30" t="n">
        <v>0</v>
      </c>
      <c r="AS7" s="30" t="n">
        <v>0</v>
      </c>
    </row>
    <row r="8" ht="56" customHeight="1">
      <c r="A8" s="69" t="inlineStr">
        <is>
          <t>DRP-002</t>
        </is>
      </c>
      <c r="B8" s="69" t="inlineStr">
        <is>
          <t>Standard run 1</t>
        </is>
      </c>
      <c r="C8" s="69" t="inlineStr">
        <is>
          <t>derived: CONTRACTS s3</t>
        </is>
      </c>
      <c r="D8" s="69" t="n"/>
      <c r="E8" s="134" t="n">
        <v>46427</v>
      </c>
      <c r="F8" s="5">
        <f>IF(E8="","",TEXT(E8,"ddd"))</f>
        <v/>
      </c>
      <c r="G8" s="69" t="inlineStr">
        <is>
          <t>courier</t>
        </is>
      </c>
      <c r="H8" s="69" t="inlineStr">
        <is>
          <t>standard</t>
        </is>
      </c>
      <c r="I8" s="71">
        <f>Inputs!$C$61</f>
        <v/>
      </c>
      <c r="J8" s="71">
        <f>IF(N(K8)=0,0,MAX(0,I8-SUM(J$7:J7)))</f>
        <v/>
      </c>
      <c r="K8" s="71">
        <f>Inputs!$C$62</f>
        <v/>
      </c>
      <c r="L8" s="69" t="n">
        <v>0</v>
      </c>
      <c r="M8" s="69" t="n">
        <v>0</v>
      </c>
      <c r="N8" s="69" t="inlineStr">
        <is>
          <t>N</t>
        </is>
      </c>
      <c r="O8" s="69"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135">
        <f>IF(E8="","",WORKDAY(E8,Inputs!$C$23-1,Lists!$N$4:$N$30))</f>
        <v/>
      </c>
      <c r="R8" s="5">
        <f>IF(E8="","",IF(COUNTIFS(Lists!$Q$4:$Q$12,"&lt;="&amp;Q8,Lists!$R$4:$R$12,"&gt;="&amp;E8)&gt;0,"clash","ok"))</f>
        <v/>
      </c>
      <c r="S8" s="73">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4">
        <f>IF(AND(E8&amp;""=AL8&amp;"",G8&amp;""=AM8&amp;"",H8&amp;""=AN8&amp;"",I8&amp;""=AO8&amp;"",J8&amp;""=AP8&amp;"",K8&amp;""=AQ8&amp;"",L8&amp;""=AR8&amp;"",M8&amp;""=AS8&amp;""),"","changed")</f>
        <v/>
      </c>
      <c r="Y8" s="136">
        <f>IF(OR(E8="",N(K8)=0),"",WORKDAY(E8,-IF(H8="founding",Inputs!$C$49,Inputs!$C$51),Lists!$N$4:$N$30))</f>
        <v/>
      </c>
      <c r="Z8" s="76">
        <f>IF(Y8="","",N(K8)-N(L8))</f>
        <v/>
      </c>
      <c r="AA8" s="76">
        <f>IF(Z8="","",Z8/Inputs!$C$90)</f>
        <v/>
      </c>
      <c r="AB8" s="76">
        <f>IF(Y8="","",SUMIFS($Z$7:$Z$18,$Y$7:$Y$18,"&lt;="&amp;Y8))</f>
        <v/>
      </c>
      <c r="AC8" s="76">
        <f>IF(AB8="","",AB8/Inputs!$C$90)</f>
        <v/>
      </c>
      <c r="AD8" s="76">
        <f>IF(Y8="","",SUMIFS(Pipeline!$T$5:$T$1004,Pipeline!$B$5:$B$1004,"brand",Pipeline!$E$5:$E$1004,"paid",Pipeline!$A$5:$A$1004,"&lt;="&amp;Y8))</f>
        <v/>
      </c>
      <c r="AE8" s="76">
        <f>IF(Y8="","",SUMIFS(Pipeline!$T$5:$T$1004,Pipeline!$B$5:$B$1004,"brand",Pipeline!$E$5:$E$1004,"conversation",Pipeline!$A$5:$A$1004,"&lt;="&amp;Y8))</f>
        <v/>
      </c>
      <c r="AF8" s="135">
        <f>IF(Y8="","",WORKDAY(E8,Inputs!$C$24,Lists!$N$4:$N$30))</f>
        <v/>
      </c>
      <c r="AG8" s="5">
        <f>IF(AF8="","",IF(AND(E8&gt;Inputs!$C$14,E8&lt;=Inputs!$C$15,AF8&gt;Inputs!$C$15),"after the decision","ok"))</f>
        <v/>
      </c>
      <c r="AH8" s="135">
        <f>IF(AG8="after the decision",AF8,"")</f>
        <v/>
      </c>
      <c r="AI8" s="76">
        <f>IF(U8="","",MIN(N(I8)-N(J8),MAX(0,U8-V8)))</f>
        <v/>
      </c>
      <c r="AJ8" s="136">
        <f>IF(AND(H8="standard",N(K8)&gt;0,E8&lt;&gt;""),E8,"")</f>
        <v/>
      </c>
      <c r="AL8" s="116" t="n">
        <v>46427</v>
      </c>
      <c r="AM8" s="30" t="inlineStr">
        <is>
          <t>courier</t>
        </is>
      </c>
      <c r="AN8" s="30" t="inlineStr">
        <is>
          <t>standard</t>
        </is>
      </c>
      <c r="AO8" s="30">
        <f>Inputs!$C$61</f>
        <v/>
      </c>
      <c r="AP8" s="30">
        <f>IF(N(K8)=0,0,MAX(0,I8-SUM(J$7:J7)))</f>
        <v/>
      </c>
      <c r="AQ8" s="30">
        <f>Inputs!$C$62</f>
        <v/>
      </c>
      <c r="AR8" s="30" t="n">
        <v>0</v>
      </c>
      <c r="AS8" s="30" t="n">
        <v>0</v>
      </c>
    </row>
    <row r="9" ht="56" customHeight="1">
      <c r="A9" s="69" t="inlineStr">
        <is>
          <t>DRP-003</t>
        </is>
      </c>
      <c r="B9" s="69" t="inlineStr">
        <is>
          <t>Standard run 2</t>
        </is>
      </c>
      <c r="C9" s="69" t="inlineStr">
        <is>
          <t>derived: CONTRACTS s3</t>
        </is>
      </c>
      <c r="D9" s="69" t="n"/>
      <c r="E9" s="134" t="n">
        <v>46441</v>
      </c>
      <c r="F9" s="5">
        <f>IF(E9="","",TEXT(E9,"ddd"))</f>
        <v/>
      </c>
      <c r="G9" s="69" t="inlineStr">
        <is>
          <t>courier</t>
        </is>
      </c>
      <c r="H9" s="69" t="inlineStr">
        <is>
          <t>standard</t>
        </is>
      </c>
      <c r="I9" s="71">
        <f>Inputs!$C$61</f>
        <v/>
      </c>
      <c r="J9" s="71">
        <f>IF(N(K9)=0,0,MAX(0,MIN(I9,Inputs!$C$145-SUM(J$7:J8))))</f>
        <v/>
      </c>
      <c r="K9" s="71">
        <f>Inputs!$C$62</f>
        <v/>
      </c>
      <c r="L9" s="69" t="n">
        <v>0</v>
      </c>
      <c r="M9" s="69" t="n">
        <v>0</v>
      </c>
      <c r="N9" s="69" t="inlineStr">
        <is>
          <t>N</t>
        </is>
      </c>
      <c r="O9" s="69" t="inlineStr">
        <is>
          <t>New offices reach the six-month goal of 12 active offices (two). Two weeks after run 1, so most offices get two drops in February. No founding renewal by default (README assumption 18).</t>
        </is>
      </c>
      <c r="P9" s="5">
        <f>IF(E9="","",IF(OR(WEEKDAY(E9)=Lists!$V$4,WEEKDAY(E9)=Lists!$V$5),"ok","not Tue/Wed"))</f>
        <v/>
      </c>
      <c r="Q9" s="135">
        <f>IF(E9="","",WORKDAY(E9,Inputs!$C$23-1,Lists!$N$4:$N$30))</f>
        <v/>
      </c>
      <c r="R9" s="5">
        <f>IF(E9="","",IF(COUNTIFS(Lists!$Q$4:$Q$12,"&lt;="&amp;Q9,Lists!$R$4:$R$12,"&gt;="&amp;E9)&gt;0,"clash","ok"))</f>
        <v/>
      </c>
      <c r="S9" s="73">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4">
        <f>IF(AND(E9&amp;""=AL9&amp;"",G9&amp;""=AM9&amp;"",H9&amp;""=AN9&amp;"",I9&amp;""=AO9&amp;"",J9&amp;""=AP9&amp;"",K9&amp;""=AQ9&amp;"",L9&amp;""=AR9&amp;"",M9&amp;""=AS9&amp;""),"","changed")</f>
        <v/>
      </c>
      <c r="Y9" s="136">
        <f>IF(OR(E9="",N(K9)=0),"",WORKDAY(E9,-IF(H9="founding",Inputs!$C$49,Inputs!$C$51),Lists!$N$4:$N$30))</f>
        <v/>
      </c>
      <c r="Z9" s="76">
        <f>IF(Y9="","",N(K9)-N(L9))</f>
        <v/>
      </c>
      <c r="AA9" s="76">
        <f>IF(Z9="","",Z9/Inputs!$C$90)</f>
        <v/>
      </c>
      <c r="AB9" s="76">
        <f>IF(Y9="","",SUMIFS($Z$7:$Z$18,$Y$7:$Y$18,"&lt;="&amp;Y9))</f>
        <v/>
      </c>
      <c r="AC9" s="76">
        <f>IF(AB9="","",AB9/Inputs!$C$90)</f>
        <v/>
      </c>
      <c r="AD9" s="76">
        <f>IF(Y9="","",SUMIFS(Pipeline!$T$5:$T$1004,Pipeline!$B$5:$B$1004,"brand",Pipeline!$E$5:$E$1004,"paid",Pipeline!$A$5:$A$1004,"&lt;="&amp;Y9))</f>
        <v/>
      </c>
      <c r="AE9" s="76">
        <f>IF(Y9="","",SUMIFS(Pipeline!$T$5:$T$1004,Pipeline!$B$5:$B$1004,"brand",Pipeline!$E$5:$E$1004,"conversation",Pipeline!$A$5:$A$1004,"&lt;="&amp;Y9))</f>
        <v/>
      </c>
      <c r="AF9" s="135">
        <f>IF(Y9="","",WORKDAY(E9,Inputs!$C$24,Lists!$N$4:$N$30))</f>
        <v/>
      </c>
      <c r="AG9" s="5">
        <f>IF(AF9="","",IF(AND(E9&gt;Inputs!$C$14,E9&lt;=Inputs!$C$15,AF9&gt;Inputs!$C$15),"after the decision","ok"))</f>
        <v/>
      </c>
      <c r="AH9" s="135">
        <f>IF(AG9="after the decision",AF9,"")</f>
        <v/>
      </c>
      <c r="AI9" s="76">
        <f>IF(U9="","",MIN(N(I9)-N(J9),MAX(0,U9-V9)))</f>
        <v/>
      </c>
      <c r="AJ9" s="136">
        <f>IF(AND(H9="standard",N(K9)&gt;0,E9&lt;&gt;""),E9,"")</f>
        <v/>
      </c>
      <c r="AL9" s="116"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9" t="inlineStr">
        <is>
          <t>DRP-004</t>
        </is>
      </c>
      <c r="B10" s="69" t="inlineStr">
        <is>
          <t>Decision window drop 1</t>
        </is>
      </c>
      <c r="C10" s="69" t="inlineStr">
        <is>
          <t>derived: scenario</t>
        </is>
      </c>
      <c r="D10" s="69" t="n">
        <v>1</v>
      </c>
      <c r="E10" s="134" t="n">
        <v>46469</v>
      </c>
      <c r="F10" s="5">
        <f>IF(E10="","",TEXT(E10,"ddd"))</f>
        <v/>
      </c>
      <c r="G10" s="69" t="inlineStr">
        <is>
          <t>direct-ship</t>
        </is>
      </c>
      <c r="H10" s="69" t="inlineStr">
        <is>
          <t>standard</t>
        </is>
      </c>
      <c r="I10" s="71">
        <f>Inputs!$C$61</f>
        <v/>
      </c>
      <c r="J10" s="71">
        <f>IF(K10&gt;0,N(Scenarios!$H$13),0)</f>
        <v/>
      </c>
      <c r="K10" s="71">
        <f>IF(D10&lt;=Scenarios!$H$10,Scenarios!$H$11,0)</f>
        <v/>
      </c>
      <c r="L10" s="71">
        <f>ROUND(Scenarios!$H$12*K10,0)</f>
        <v/>
      </c>
      <c r="M10" s="69" t="n">
        <v>0</v>
      </c>
      <c r="N10" s="69" t="inlineStr">
        <is>
          <t>N</t>
        </is>
      </c>
      <c r="O10" s="69"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135">
        <f>IF(E10="","",WORKDAY(E10,Inputs!$C$23-1,Lists!$N$4:$N$30))</f>
        <v/>
      </c>
      <c r="R10" s="5">
        <f>IF(E10="","",IF(COUNTIFS(Lists!$Q$4:$Q$12,"&lt;="&amp;Q10,Lists!$R$4:$R$12,"&gt;="&amp;E10)&gt;0,"clash","ok"))</f>
        <v/>
      </c>
      <c r="S10" s="73">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4">
        <f>IF(AND(E10&amp;""=AL10&amp;"",G10&amp;""=AM10&amp;"",H10&amp;""=AN10&amp;"",I10&amp;""=AO10&amp;"",J10&amp;""=AP10&amp;"",K10&amp;""=AQ10&amp;"",L10&amp;""=AR10&amp;"",M10&amp;""=AS10&amp;""),"","changed")</f>
        <v/>
      </c>
      <c r="Y10" s="136">
        <f>IF(OR(E10="",N(K10)=0),"",WORKDAY(E10,-IF(H10="founding",Inputs!$C$49,Inputs!$C$51),Lists!$N$4:$N$30))</f>
        <v/>
      </c>
      <c r="Z10" s="76">
        <f>IF(Y10="","",N(K10)-N(L10))</f>
        <v/>
      </c>
      <c r="AA10" s="76">
        <f>IF(Z10="","",Z10/Inputs!$C$90)</f>
        <v/>
      </c>
      <c r="AB10" s="76">
        <f>IF(Y10="","",SUMIFS($Z$7:$Z$18,$Y$7:$Y$18,"&lt;="&amp;Y10))</f>
        <v/>
      </c>
      <c r="AC10" s="76">
        <f>IF(AB10="","",AB10/Inputs!$C$90)</f>
        <v/>
      </c>
      <c r="AD10" s="76">
        <f>IF(Y10="","",SUMIFS(Pipeline!$T$5:$T$1004,Pipeline!$B$5:$B$1004,"brand",Pipeline!$E$5:$E$1004,"paid",Pipeline!$A$5:$A$1004,"&lt;="&amp;Y10))</f>
        <v/>
      </c>
      <c r="AE10" s="76">
        <f>IF(Y10="","",SUMIFS(Pipeline!$T$5:$T$1004,Pipeline!$B$5:$B$1004,"brand",Pipeline!$E$5:$E$1004,"conversation",Pipeline!$A$5:$A$1004,"&lt;="&amp;Y10))</f>
        <v/>
      </c>
      <c r="AF10" s="135">
        <f>IF(Y10="","",WORKDAY(E10,Inputs!$C$24,Lists!$N$4:$N$30))</f>
        <v/>
      </c>
      <c r="AG10" s="5">
        <f>IF(AF10="","",IF(AND(E10&gt;Inputs!$C$14,E10&lt;=Inputs!$C$15,AF10&gt;Inputs!$C$15),"after the decision","ok"))</f>
        <v/>
      </c>
      <c r="AH10" s="135">
        <f>IF(AG10="after the decision",AF10,"")</f>
        <v/>
      </c>
      <c r="AI10" s="76">
        <f>IF(U10="","",MIN(N(I10)-N(J10),MAX(0,U10-V10)))</f>
        <v/>
      </c>
      <c r="AJ10" s="136">
        <f>IF(AND(H10="standard",N(K10)&gt;0,E10&lt;&gt;""),E10,"")</f>
        <v/>
      </c>
      <c r="AL10" s="116"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9" t="inlineStr">
        <is>
          <t>DRP-005</t>
        </is>
      </c>
      <c r="B11" s="69" t="inlineStr">
        <is>
          <t>Decision window drop 2</t>
        </is>
      </c>
      <c r="C11" s="69" t="inlineStr">
        <is>
          <t>derived: scenario</t>
        </is>
      </c>
      <c r="D11" s="69" t="n">
        <v>2</v>
      </c>
      <c r="E11" s="134" t="n">
        <v>46483</v>
      </c>
      <c r="F11" s="5">
        <f>IF(E11="","",TEXT(E11,"ddd"))</f>
        <v/>
      </c>
      <c r="G11" s="69" t="inlineStr">
        <is>
          <t>direct-ship</t>
        </is>
      </c>
      <c r="H11" s="69" t="inlineStr">
        <is>
          <t>standard</t>
        </is>
      </c>
      <c r="I11" s="71">
        <f>Inputs!$C$61</f>
        <v/>
      </c>
      <c r="J11" s="71">
        <f>IF(K11&gt;0,N(Scenarios!$H$13),0)</f>
        <v/>
      </c>
      <c r="K11" s="71">
        <f>IF(D11&lt;=Scenarios!$H$10,Scenarios!$H$11,0)</f>
        <v/>
      </c>
      <c r="L11" s="71">
        <f>ROUND(Scenarios!$H$12*K11,0)</f>
        <v/>
      </c>
      <c r="M11" s="69" t="n">
        <v>0</v>
      </c>
      <c r="N11" s="69" t="inlineStr">
        <is>
          <t>N</t>
        </is>
      </c>
      <c r="O11" s="69" t="inlineStr">
        <is>
          <t>Second extra drop (scenario B's 'two more drops'; two drops a month in the base). Its debrief (T+10) lands after the 2027-04-09 decision: see REPORT.md, question 1.</t>
        </is>
      </c>
      <c r="P11" s="5">
        <f>IF(E11="","",IF(OR(WEEKDAY(E11)=Lists!$V$4,WEEKDAY(E11)=Lists!$V$5),"ok","not Tue/Wed"))</f>
        <v/>
      </c>
      <c r="Q11" s="135">
        <f>IF(E11="","",WORKDAY(E11,Inputs!$C$23-1,Lists!$N$4:$N$30))</f>
        <v/>
      </c>
      <c r="R11" s="5">
        <f>IF(E11="","",IF(COUNTIFS(Lists!$Q$4:$Q$12,"&lt;="&amp;Q11,Lists!$R$4:$R$12,"&gt;="&amp;E11)&gt;0,"clash","ok"))</f>
        <v/>
      </c>
      <c r="S11" s="73">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4">
        <f>IF(AND(E11&amp;""=AL11&amp;"",G11&amp;""=AM11&amp;"",H11&amp;""=AN11&amp;"",I11&amp;""=AO11&amp;"",J11&amp;""=AP11&amp;"",K11&amp;""=AQ11&amp;"",L11&amp;""=AR11&amp;"",M11&amp;""=AS11&amp;""),"","changed")</f>
        <v/>
      </c>
      <c r="Y11" s="136">
        <f>IF(OR(E11="",N(K11)=0),"",WORKDAY(E11,-IF(H11="founding",Inputs!$C$49,Inputs!$C$51),Lists!$N$4:$N$30))</f>
        <v/>
      </c>
      <c r="Z11" s="76">
        <f>IF(Y11="","",N(K11)-N(L11))</f>
        <v/>
      </c>
      <c r="AA11" s="76">
        <f>IF(Z11="","",Z11/Inputs!$C$90)</f>
        <v/>
      </c>
      <c r="AB11" s="76">
        <f>IF(Y11="","",SUMIFS($Z$7:$Z$18,$Y$7:$Y$18,"&lt;="&amp;Y11))</f>
        <v/>
      </c>
      <c r="AC11" s="76">
        <f>IF(AB11="","",AB11/Inputs!$C$90)</f>
        <v/>
      </c>
      <c r="AD11" s="76">
        <f>IF(Y11="","",SUMIFS(Pipeline!$T$5:$T$1004,Pipeline!$B$5:$B$1004,"brand",Pipeline!$E$5:$E$1004,"paid",Pipeline!$A$5:$A$1004,"&lt;="&amp;Y11))</f>
        <v/>
      </c>
      <c r="AE11" s="76">
        <f>IF(Y11="","",SUMIFS(Pipeline!$T$5:$T$1004,Pipeline!$B$5:$B$1004,"brand",Pipeline!$E$5:$E$1004,"conversation",Pipeline!$A$5:$A$1004,"&lt;="&amp;Y11))</f>
        <v/>
      </c>
      <c r="AF11" s="135">
        <f>IF(Y11="","",WORKDAY(E11,Inputs!$C$24,Lists!$N$4:$N$30))</f>
        <v/>
      </c>
      <c r="AG11" s="5">
        <f>IF(AF11="","",IF(AND(E11&gt;Inputs!$C$14,E11&lt;=Inputs!$C$15,AF11&gt;Inputs!$C$15),"after the decision","ok"))</f>
        <v/>
      </c>
      <c r="AH11" s="135">
        <f>IF(AG11="after the decision",AF11,"")</f>
        <v/>
      </c>
      <c r="AI11" s="76">
        <f>IF(U11="","",MIN(N(I11)-N(J11),MAX(0,U11-V11)))</f>
        <v/>
      </c>
      <c r="AJ11" s="136">
        <f>IF(AND(H11="standard",N(K11)&gt;0,E11&lt;&gt;""),E11,"")</f>
        <v/>
      </c>
      <c r="AL11" s="116"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9" t="inlineStr">
        <is>
          <t>DRP-006</t>
        </is>
      </c>
      <c r="B12" s="69" t="n"/>
      <c r="C12" s="69" t="inlineStr">
        <is>
          <t>founder entry</t>
        </is>
      </c>
      <c r="D12" s="69" t="n"/>
      <c r="E12" s="134" t="n"/>
      <c r="F12" s="5">
        <f>IF(E12="","",TEXT(E12,"ddd"))</f>
        <v/>
      </c>
      <c r="G12" s="69" t="n"/>
      <c r="H12" s="69" t="n"/>
      <c r="I12" s="69" t="n"/>
      <c r="J12" s="69" t="n"/>
      <c r="K12" s="69" t="n"/>
      <c r="L12" s="69" t="n"/>
      <c r="M12" s="69" t="n"/>
      <c r="N12" s="69" t="inlineStr">
        <is>
          <t>N</t>
        </is>
      </c>
      <c r="O12" s="69" t="n"/>
      <c r="P12" s="5">
        <f>IF(E12="","",IF(OR(WEEKDAY(E12)=Lists!$V$4,WEEKDAY(E12)=Lists!$V$5),"ok","not Tue/Wed"))</f>
        <v/>
      </c>
      <c r="Q12" s="135">
        <f>IF(E12="","",WORKDAY(E12,Inputs!$C$23-1,Lists!$N$4:$N$30))</f>
        <v/>
      </c>
      <c r="R12" s="5">
        <f>IF(E12="","",IF(COUNTIFS(Lists!$Q$4:$Q$12,"&lt;="&amp;Q12,Lists!$R$4:$R$12,"&gt;="&amp;E12)&gt;0,"clash","ok"))</f>
        <v/>
      </c>
      <c r="S12" s="73">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4">
        <f>IF(AND(E12&amp;""=AL12&amp;"",G12&amp;""=AM12&amp;"",H12&amp;""=AN12&amp;"",I12&amp;""=AO12&amp;"",J12&amp;""=AP12&amp;"",K12&amp;""=AQ12&amp;"",L12&amp;""=AR12&amp;"",M12&amp;""=AS12&amp;""),"","changed")</f>
        <v/>
      </c>
      <c r="Y12" s="136">
        <f>IF(OR(E12="",N(K12)=0),"",WORKDAY(E12,-IF(H12="founding",Inputs!$C$49,Inputs!$C$51),Lists!$N$4:$N$30))</f>
        <v/>
      </c>
      <c r="Z12" s="76">
        <f>IF(Y12="","",N(K12)-N(L12))</f>
        <v/>
      </c>
      <c r="AA12" s="76">
        <f>IF(Z12="","",Z12/Inputs!$C$90)</f>
        <v/>
      </c>
      <c r="AB12" s="76">
        <f>IF(Y12="","",SUMIFS($Z$7:$Z$18,$Y$7:$Y$18,"&lt;="&amp;Y12))</f>
        <v/>
      </c>
      <c r="AC12" s="76">
        <f>IF(AB12="","",AB12/Inputs!$C$90)</f>
        <v/>
      </c>
      <c r="AD12" s="76">
        <f>IF(Y12="","",SUMIFS(Pipeline!$T$5:$T$1004,Pipeline!$B$5:$B$1004,"brand",Pipeline!$E$5:$E$1004,"paid",Pipeline!$A$5:$A$1004,"&lt;="&amp;Y12))</f>
        <v/>
      </c>
      <c r="AE12" s="76">
        <f>IF(Y12="","",SUMIFS(Pipeline!$T$5:$T$1004,Pipeline!$B$5:$B$1004,"brand",Pipeline!$E$5:$E$1004,"conversation",Pipeline!$A$5:$A$1004,"&lt;="&amp;Y12))</f>
        <v/>
      </c>
      <c r="AF12" s="135">
        <f>IF(Y12="","",WORKDAY(E12,Inputs!$C$24,Lists!$N$4:$N$30))</f>
        <v/>
      </c>
      <c r="AG12" s="5">
        <f>IF(AF12="","",IF(AND(E12&gt;Inputs!$C$14,E12&lt;=Inputs!$C$15,AF12&gt;Inputs!$C$15),"after the decision","ok"))</f>
        <v/>
      </c>
      <c r="AH12" s="135">
        <f>IF(AG12="after the decision",AF12,"")</f>
        <v/>
      </c>
      <c r="AI12" s="76">
        <f>IF(U12="","",MIN(N(I12)-N(J12),MAX(0,U12-V12)))</f>
        <v/>
      </c>
      <c r="AJ12" s="136">
        <f>IF(AND(H12="standard",N(K12)&gt;0,E12&lt;&gt;""),E12,"")</f>
        <v/>
      </c>
      <c r="AL12" s="137" t="n"/>
      <c r="AM12" s="78" t="n"/>
      <c r="AN12" s="78" t="n"/>
      <c r="AO12" s="78" t="n"/>
      <c r="AP12" s="78" t="n"/>
      <c r="AQ12" s="78" t="n"/>
      <c r="AR12" s="78" t="n"/>
      <c r="AS12" s="78" t="n"/>
    </row>
    <row r="13" ht="56" customHeight="1">
      <c r="A13" s="69" t="inlineStr">
        <is>
          <t>DRP-007</t>
        </is>
      </c>
      <c r="B13" s="69" t="n"/>
      <c r="C13" s="69" t="inlineStr">
        <is>
          <t>founder entry</t>
        </is>
      </c>
      <c r="D13" s="69" t="n"/>
      <c r="E13" s="134" t="n"/>
      <c r="F13" s="5">
        <f>IF(E13="","",TEXT(E13,"ddd"))</f>
        <v/>
      </c>
      <c r="G13" s="69" t="n"/>
      <c r="H13" s="69" t="n"/>
      <c r="I13" s="69" t="n"/>
      <c r="J13" s="69" t="n"/>
      <c r="K13" s="69" t="n"/>
      <c r="L13" s="69" t="n"/>
      <c r="M13" s="69" t="n"/>
      <c r="N13" s="69" t="inlineStr">
        <is>
          <t>N</t>
        </is>
      </c>
      <c r="O13" s="69" t="n"/>
      <c r="P13" s="5">
        <f>IF(E13="","",IF(OR(WEEKDAY(E13)=Lists!$V$4,WEEKDAY(E13)=Lists!$V$5),"ok","not Tue/Wed"))</f>
        <v/>
      </c>
      <c r="Q13" s="135">
        <f>IF(E13="","",WORKDAY(E13,Inputs!$C$23-1,Lists!$N$4:$N$30))</f>
        <v/>
      </c>
      <c r="R13" s="5">
        <f>IF(E13="","",IF(COUNTIFS(Lists!$Q$4:$Q$12,"&lt;="&amp;Q13,Lists!$R$4:$R$12,"&gt;="&amp;E13)&gt;0,"clash","ok"))</f>
        <v/>
      </c>
      <c r="S13" s="73">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4">
        <f>IF(AND(E13&amp;""=AL13&amp;"",G13&amp;""=AM13&amp;"",H13&amp;""=AN13&amp;"",I13&amp;""=AO13&amp;"",J13&amp;""=AP13&amp;"",K13&amp;""=AQ13&amp;"",L13&amp;""=AR13&amp;"",M13&amp;""=AS13&amp;""),"","changed")</f>
        <v/>
      </c>
      <c r="Y13" s="136">
        <f>IF(OR(E13="",N(K13)=0),"",WORKDAY(E13,-IF(H13="founding",Inputs!$C$49,Inputs!$C$51),Lists!$N$4:$N$30))</f>
        <v/>
      </c>
      <c r="Z13" s="76">
        <f>IF(Y13="","",N(K13)-N(L13))</f>
        <v/>
      </c>
      <c r="AA13" s="76">
        <f>IF(Z13="","",Z13/Inputs!$C$90)</f>
        <v/>
      </c>
      <c r="AB13" s="76">
        <f>IF(Y13="","",SUMIFS($Z$7:$Z$18,$Y$7:$Y$18,"&lt;="&amp;Y13))</f>
        <v/>
      </c>
      <c r="AC13" s="76">
        <f>IF(AB13="","",AB13/Inputs!$C$90)</f>
        <v/>
      </c>
      <c r="AD13" s="76">
        <f>IF(Y13="","",SUMIFS(Pipeline!$T$5:$T$1004,Pipeline!$B$5:$B$1004,"brand",Pipeline!$E$5:$E$1004,"paid",Pipeline!$A$5:$A$1004,"&lt;="&amp;Y13))</f>
        <v/>
      </c>
      <c r="AE13" s="76">
        <f>IF(Y13="","",SUMIFS(Pipeline!$T$5:$T$1004,Pipeline!$B$5:$B$1004,"brand",Pipeline!$E$5:$E$1004,"conversation",Pipeline!$A$5:$A$1004,"&lt;="&amp;Y13))</f>
        <v/>
      </c>
      <c r="AF13" s="135">
        <f>IF(Y13="","",WORKDAY(E13,Inputs!$C$24,Lists!$N$4:$N$30))</f>
        <v/>
      </c>
      <c r="AG13" s="5">
        <f>IF(AF13="","",IF(AND(E13&gt;Inputs!$C$14,E13&lt;=Inputs!$C$15,AF13&gt;Inputs!$C$15),"after the decision","ok"))</f>
        <v/>
      </c>
      <c r="AH13" s="135">
        <f>IF(AG13="after the decision",AF13,"")</f>
        <v/>
      </c>
      <c r="AI13" s="76">
        <f>IF(U13="","",MIN(N(I13)-N(J13),MAX(0,U13-V13)))</f>
        <v/>
      </c>
      <c r="AJ13" s="136">
        <f>IF(AND(H13="standard",N(K13)&gt;0,E13&lt;&gt;""),E13,"")</f>
        <v/>
      </c>
      <c r="AL13" s="137" t="n"/>
      <c r="AM13" s="78" t="n"/>
      <c r="AN13" s="78" t="n"/>
      <c r="AO13" s="78" t="n"/>
      <c r="AP13" s="78" t="n"/>
      <c r="AQ13" s="78" t="n"/>
      <c r="AR13" s="78" t="n"/>
      <c r="AS13" s="78" t="n"/>
    </row>
    <row r="14" ht="56" customHeight="1">
      <c r="A14" s="69" t="inlineStr">
        <is>
          <t>DRP-008</t>
        </is>
      </c>
      <c r="B14" s="69" t="n"/>
      <c r="C14" s="69" t="inlineStr">
        <is>
          <t>founder entry</t>
        </is>
      </c>
      <c r="D14" s="69" t="n"/>
      <c r="E14" s="134" t="n"/>
      <c r="F14" s="5">
        <f>IF(E14="","",TEXT(E14,"ddd"))</f>
        <v/>
      </c>
      <c r="G14" s="69" t="n"/>
      <c r="H14" s="69" t="n"/>
      <c r="I14" s="69" t="n"/>
      <c r="J14" s="69" t="n"/>
      <c r="K14" s="69" t="n"/>
      <c r="L14" s="69" t="n"/>
      <c r="M14" s="69" t="n"/>
      <c r="N14" s="69" t="inlineStr">
        <is>
          <t>N</t>
        </is>
      </c>
      <c r="O14" s="69" t="n"/>
      <c r="P14" s="5">
        <f>IF(E14="","",IF(OR(WEEKDAY(E14)=Lists!$V$4,WEEKDAY(E14)=Lists!$V$5),"ok","not Tue/Wed"))</f>
        <v/>
      </c>
      <c r="Q14" s="135">
        <f>IF(E14="","",WORKDAY(E14,Inputs!$C$23-1,Lists!$N$4:$N$30))</f>
        <v/>
      </c>
      <c r="R14" s="5">
        <f>IF(E14="","",IF(COUNTIFS(Lists!$Q$4:$Q$12,"&lt;="&amp;Q14,Lists!$R$4:$R$12,"&gt;="&amp;E14)&gt;0,"clash","ok"))</f>
        <v/>
      </c>
      <c r="S14" s="73">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4">
        <f>IF(AND(E14&amp;""=AL14&amp;"",G14&amp;""=AM14&amp;"",H14&amp;""=AN14&amp;"",I14&amp;""=AO14&amp;"",J14&amp;""=AP14&amp;"",K14&amp;""=AQ14&amp;"",L14&amp;""=AR14&amp;"",M14&amp;""=AS14&amp;""),"","changed")</f>
        <v/>
      </c>
      <c r="Y14" s="136">
        <f>IF(OR(E14="",N(K14)=0),"",WORKDAY(E14,-IF(H14="founding",Inputs!$C$49,Inputs!$C$51),Lists!$N$4:$N$30))</f>
        <v/>
      </c>
      <c r="Z14" s="76">
        <f>IF(Y14="","",N(K14)-N(L14))</f>
        <v/>
      </c>
      <c r="AA14" s="76">
        <f>IF(Z14="","",Z14/Inputs!$C$90)</f>
        <v/>
      </c>
      <c r="AB14" s="76">
        <f>IF(Y14="","",SUMIFS($Z$7:$Z$18,$Y$7:$Y$18,"&lt;="&amp;Y14))</f>
        <v/>
      </c>
      <c r="AC14" s="76">
        <f>IF(AB14="","",AB14/Inputs!$C$90)</f>
        <v/>
      </c>
      <c r="AD14" s="76">
        <f>IF(Y14="","",SUMIFS(Pipeline!$T$5:$T$1004,Pipeline!$B$5:$B$1004,"brand",Pipeline!$E$5:$E$1004,"paid",Pipeline!$A$5:$A$1004,"&lt;="&amp;Y14))</f>
        <v/>
      </c>
      <c r="AE14" s="76">
        <f>IF(Y14="","",SUMIFS(Pipeline!$T$5:$T$1004,Pipeline!$B$5:$B$1004,"brand",Pipeline!$E$5:$E$1004,"conversation",Pipeline!$A$5:$A$1004,"&lt;="&amp;Y14))</f>
        <v/>
      </c>
      <c r="AF14" s="135">
        <f>IF(Y14="","",WORKDAY(E14,Inputs!$C$24,Lists!$N$4:$N$30))</f>
        <v/>
      </c>
      <c r="AG14" s="5">
        <f>IF(AF14="","",IF(AND(E14&gt;Inputs!$C$14,E14&lt;=Inputs!$C$15,AF14&gt;Inputs!$C$15),"after the decision","ok"))</f>
        <v/>
      </c>
      <c r="AH14" s="135">
        <f>IF(AG14="after the decision",AF14,"")</f>
        <v/>
      </c>
      <c r="AI14" s="76">
        <f>IF(U14="","",MIN(N(I14)-N(J14),MAX(0,U14-V14)))</f>
        <v/>
      </c>
      <c r="AJ14" s="136">
        <f>IF(AND(H14="standard",N(K14)&gt;0,E14&lt;&gt;""),E14,"")</f>
        <v/>
      </c>
      <c r="AL14" s="137" t="n"/>
      <c r="AM14" s="78" t="n"/>
      <c r="AN14" s="78" t="n"/>
      <c r="AO14" s="78" t="n"/>
      <c r="AP14" s="78" t="n"/>
      <c r="AQ14" s="78" t="n"/>
      <c r="AR14" s="78" t="n"/>
      <c r="AS14" s="78" t="n"/>
    </row>
    <row r="15" ht="56" customHeight="1">
      <c r="A15" s="69" t="inlineStr">
        <is>
          <t>DRP-009</t>
        </is>
      </c>
      <c r="B15" s="69" t="n"/>
      <c r="C15" s="69" t="inlineStr">
        <is>
          <t>founder entry</t>
        </is>
      </c>
      <c r="D15" s="69" t="n"/>
      <c r="E15" s="134" t="n"/>
      <c r="F15" s="5">
        <f>IF(E15="","",TEXT(E15,"ddd"))</f>
        <v/>
      </c>
      <c r="G15" s="69" t="n"/>
      <c r="H15" s="69" t="n"/>
      <c r="I15" s="69" t="n"/>
      <c r="J15" s="69" t="n"/>
      <c r="K15" s="69" t="n"/>
      <c r="L15" s="69" t="n"/>
      <c r="M15" s="69" t="n"/>
      <c r="N15" s="69" t="inlineStr">
        <is>
          <t>N</t>
        </is>
      </c>
      <c r="O15" s="69" t="n"/>
      <c r="P15" s="5">
        <f>IF(E15="","",IF(OR(WEEKDAY(E15)=Lists!$V$4,WEEKDAY(E15)=Lists!$V$5),"ok","not Tue/Wed"))</f>
        <v/>
      </c>
      <c r="Q15" s="135">
        <f>IF(E15="","",WORKDAY(E15,Inputs!$C$23-1,Lists!$N$4:$N$30))</f>
        <v/>
      </c>
      <c r="R15" s="5">
        <f>IF(E15="","",IF(COUNTIFS(Lists!$Q$4:$Q$12,"&lt;="&amp;Q15,Lists!$R$4:$R$12,"&gt;="&amp;E15)&gt;0,"clash","ok"))</f>
        <v/>
      </c>
      <c r="S15" s="73">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4">
        <f>IF(AND(E15&amp;""=AL15&amp;"",G15&amp;""=AM15&amp;"",H15&amp;""=AN15&amp;"",I15&amp;""=AO15&amp;"",J15&amp;""=AP15&amp;"",K15&amp;""=AQ15&amp;"",L15&amp;""=AR15&amp;"",M15&amp;""=AS15&amp;""),"","changed")</f>
        <v/>
      </c>
      <c r="Y15" s="136">
        <f>IF(OR(E15="",N(K15)=0),"",WORKDAY(E15,-IF(H15="founding",Inputs!$C$49,Inputs!$C$51),Lists!$N$4:$N$30))</f>
        <v/>
      </c>
      <c r="Z15" s="76">
        <f>IF(Y15="","",N(K15)-N(L15))</f>
        <v/>
      </c>
      <c r="AA15" s="76">
        <f>IF(Z15="","",Z15/Inputs!$C$90)</f>
        <v/>
      </c>
      <c r="AB15" s="76">
        <f>IF(Y15="","",SUMIFS($Z$7:$Z$18,$Y$7:$Y$18,"&lt;="&amp;Y15))</f>
        <v/>
      </c>
      <c r="AC15" s="76">
        <f>IF(AB15="","",AB15/Inputs!$C$90)</f>
        <v/>
      </c>
      <c r="AD15" s="76">
        <f>IF(Y15="","",SUMIFS(Pipeline!$T$5:$T$1004,Pipeline!$B$5:$B$1004,"brand",Pipeline!$E$5:$E$1004,"paid",Pipeline!$A$5:$A$1004,"&lt;="&amp;Y15))</f>
        <v/>
      </c>
      <c r="AE15" s="76">
        <f>IF(Y15="","",SUMIFS(Pipeline!$T$5:$T$1004,Pipeline!$B$5:$B$1004,"brand",Pipeline!$E$5:$E$1004,"conversation",Pipeline!$A$5:$A$1004,"&lt;="&amp;Y15))</f>
        <v/>
      </c>
      <c r="AF15" s="135">
        <f>IF(Y15="","",WORKDAY(E15,Inputs!$C$24,Lists!$N$4:$N$30))</f>
        <v/>
      </c>
      <c r="AG15" s="5">
        <f>IF(AF15="","",IF(AND(E15&gt;Inputs!$C$14,E15&lt;=Inputs!$C$15,AF15&gt;Inputs!$C$15),"after the decision","ok"))</f>
        <v/>
      </c>
      <c r="AH15" s="135">
        <f>IF(AG15="after the decision",AF15,"")</f>
        <v/>
      </c>
      <c r="AI15" s="76">
        <f>IF(U15="","",MIN(N(I15)-N(J15),MAX(0,U15-V15)))</f>
        <v/>
      </c>
      <c r="AJ15" s="136">
        <f>IF(AND(H15="standard",N(K15)&gt;0,E15&lt;&gt;""),E15,"")</f>
        <v/>
      </c>
      <c r="AL15" s="137" t="n"/>
      <c r="AM15" s="78" t="n"/>
      <c r="AN15" s="78" t="n"/>
      <c r="AO15" s="78" t="n"/>
      <c r="AP15" s="78" t="n"/>
      <c r="AQ15" s="78" t="n"/>
      <c r="AR15" s="78" t="n"/>
      <c r="AS15" s="78" t="n"/>
    </row>
    <row r="16" ht="56" customHeight="1">
      <c r="A16" s="69" t="inlineStr">
        <is>
          <t>DRP-010</t>
        </is>
      </c>
      <c r="B16" s="69" t="n"/>
      <c r="C16" s="69" t="inlineStr">
        <is>
          <t>founder entry</t>
        </is>
      </c>
      <c r="D16" s="69" t="n"/>
      <c r="E16" s="134" t="n"/>
      <c r="F16" s="5">
        <f>IF(E16="","",TEXT(E16,"ddd"))</f>
        <v/>
      </c>
      <c r="G16" s="69" t="n"/>
      <c r="H16" s="69" t="n"/>
      <c r="I16" s="69" t="n"/>
      <c r="J16" s="69" t="n"/>
      <c r="K16" s="69" t="n"/>
      <c r="L16" s="69" t="n"/>
      <c r="M16" s="69" t="n"/>
      <c r="N16" s="69" t="inlineStr">
        <is>
          <t>N</t>
        </is>
      </c>
      <c r="O16" s="69" t="n"/>
      <c r="P16" s="5">
        <f>IF(E16="","",IF(OR(WEEKDAY(E16)=Lists!$V$4,WEEKDAY(E16)=Lists!$V$5),"ok","not Tue/Wed"))</f>
        <v/>
      </c>
      <c r="Q16" s="135">
        <f>IF(E16="","",WORKDAY(E16,Inputs!$C$23-1,Lists!$N$4:$N$30))</f>
        <v/>
      </c>
      <c r="R16" s="5">
        <f>IF(E16="","",IF(COUNTIFS(Lists!$Q$4:$Q$12,"&lt;="&amp;Q16,Lists!$R$4:$R$12,"&gt;="&amp;E16)&gt;0,"clash","ok"))</f>
        <v/>
      </c>
      <c r="S16" s="73">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4">
        <f>IF(AND(E16&amp;""=AL16&amp;"",G16&amp;""=AM16&amp;"",H16&amp;""=AN16&amp;"",I16&amp;""=AO16&amp;"",J16&amp;""=AP16&amp;"",K16&amp;""=AQ16&amp;"",L16&amp;""=AR16&amp;"",M16&amp;""=AS16&amp;""),"","changed")</f>
        <v/>
      </c>
      <c r="Y16" s="136">
        <f>IF(OR(E16="",N(K16)=0),"",WORKDAY(E16,-IF(H16="founding",Inputs!$C$49,Inputs!$C$51),Lists!$N$4:$N$30))</f>
        <v/>
      </c>
      <c r="Z16" s="76">
        <f>IF(Y16="","",N(K16)-N(L16))</f>
        <v/>
      </c>
      <c r="AA16" s="76">
        <f>IF(Z16="","",Z16/Inputs!$C$90)</f>
        <v/>
      </c>
      <c r="AB16" s="76">
        <f>IF(Y16="","",SUMIFS($Z$7:$Z$18,$Y$7:$Y$18,"&lt;="&amp;Y16))</f>
        <v/>
      </c>
      <c r="AC16" s="76">
        <f>IF(AB16="","",AB16/Inputs!$C$90)</f>
        <v/>
      </c>
      <c r="AD16" s="76">
        <f>IF(Y16="","",SUMIFS(Pipeline!$T$5:$T$1004,Pipeline!$B$5:$B$1004,"brand",Pipeline!$E$5:$E$1004,"paid",Pipeline!$A$5:$A$1004,"&lt;="&amp;Y16))</f>
        <v/>
      </c>
      <c r="AE16" s="76">
        <f>IF(Y16="","",SUMIFS(Pipeline!$T$5:$T$1004,Pipeline!$B$5:$B$1004,"brand",Pipeline!$E$5:$E$1004,"conversation",Pipeline!$A$5:$A$1004,"&lt;="&amp;Y16))</f>
        <v/>
      </c>
      <c r="AF16" s="135">
        <f>IF(Y16="","",WORKDAY(E16,Inputs!$C$24,Lists!$N$4:$N$30))</f>
        <v/>
      </c>
      <c r="AG16" s="5">
        <f>IF(AF16="","",IF(AND(E16&gt;Inputs!$C$14,E16&lt;=Inputs!$C$15,AF16&gt;Inputs!$C$15),"after the decision","ok"))</f>
        <v/>
      </c>
      <c r="AH16" s="135">
        <f>IF(AG16="after the decision",AF16,"")</f>
        <v/>
      </c>
      <c r="AI16" s="76">
        <f>IF(U16="","",MIN(N(I16)-N(J16),MAX(0,U16-V16)))</f>
        <v/>
      </c>
      <c r="AJ16" s="136">
        <f>IF(AND(H16="standard",N(K16)&gt;0,E16&lt;&gt;""),E16,"")</f>
        <v/>
      </c>
      <c r="AL16" s="137" t="n"/>
      <c r="AM16" s="78" t="n"/>
      <c r="AN16" s="78" t="n"/>
      <c r="AO16" s="78" t="n"/>
      <c r="AP16" s="78" t="n"/>
      <c r="AQ16" s="78" t="n"/>
      <c r="AR16" s="78" t="n"/>
      <c r="AS16" s="78" t="n"/>
    </row>
    <row r="17" ht="56" customHeight="1">
      <c r="A17" s="69" t="inlineStr">
        <is>
          <t>DRP-011</t>
        </is>
      </c>
      <c r="B17" s="69" t="n"/>
      <c r="C17" s="69" t="inlineStr">
        <is>
          <t>founder entry</t>
        </is>
      </c>
      <c r="D17" s="69" t="n"/>
      <c r="E17" s="134" t="n"/>
      <c r="F17" s="5">
        <f>IF(E17="","",TEXT(E17,"ddd"))</f>
        <v/>
      </c>
      <c r="G17" s="69" t="n"/>
      <c r="H17" s="69" t="n"/>
      <c r="I17" s="69" t="n"/>
      <c r="J17" s="69" t="n"/>
      <c r="K17" s="69" t="n"/>
      <c r="L17" s="69" t="n"/>
      <c r="M17" s="69" t="n"/>
      <c r="N17" s="69" t="inlineStr">
        <is>
          <t>N</t>
        </is>
      </c>
      <c r="O17" s="69" t="n"/>
      <c r="P17" s="5">
        <f>IF(E17="","",IF(OR(WEEKDAY(E17)=Lists!$V$4,WEEKDAY(E17)=Lists!$V$5),"ok","not Tue/Wed"))</f>
        <v/>
      </c>
      <c r="Q17" s="135">
        <f>IF(E17="","",WORKDAY(E17,Inputs!$C$23-1,Lists!$N$4:$N$30))</f>
        <v/>
      </c>
      <c r="R17" s="5">
        <f>IF(E17="","",IF(COUNTIFS(Lists!$Q$4:$Q$12,"&lt;="&amp;Q17,Lists!$R$4:$R$12,"&gt;="&amp;E17)&gt;0,"clash","ok"))</f>
        <v/>
      </c>
      <c r="S17" s="73">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4">
        <f>IF(AND(E17&amp;""=AL17&amp;"",G17&amp;""=AM17&amp;"",H17&amp;""=AN17&amp;"",I17&amp;""=AO17&amp;"",J17&amp;""=AP17&amp;"",K17&amp;""=AQ17&amp;"",L17&amp;""=AR17&amp;"",M17&amp;""=AS17&amp;""),"","changed")</f>
        <v/>
      </c>
      <c r="Y17" s="136">
        <f>IF(OR(E17="",N(K17)=0),"",WORKDAY(E17,-IF(H17="founding",Inputs!$C$49,Inputs!$C$51),Lists!$N$4:$N$30))</f>
        <v/>
      </c>
      <c r="Z17" s="76">
        <f>IF(Y17="","",N(K17)-N(L17))</f>
        <v/>
      </c>
      <c r="AA17" s="76">
        <f>IF(Z17="","",Z17/Inputs!$C$90)</f>
        <v/>
      </c>
      <c r="AB17" s="76">
        <f>IF(Y17="","",SUMIFS($Z$7:$Z$18,$Y$7:$Y$18,"&lt;="&amp;Y17))</f>
        <v/>
      </c>
      <c r="AC17" s="76">
        <f>IF(AB17="","",AB17/Inputs!$C$90)</f>
        <v/>
      </c>
      <c r="AD17" s="76">
        <f>IF(Y17="","",SUMIFS(Pipeline!$T$5:$T$1004,Pipeline!$B$5:$B$1004,"brand",Pipeline!$E$5:$E$1004,"paid",Pipeline!$A$5:$A$1004,"&lt;="&amp;Y17))</f>
        <v/>
      </c>
      <c r="AE17" s="76">
        <f>IF(Y17="","",SUMIFS(Pipeline!$T$5:$T$1004,Pipeline!$B$5:$B$1004,"brand",Pipeline!$E$5:$E$1004,"conversation",Pipeline!$A$5:$A$1004,"&lt;="&amp;Y17))</f>
        <v/>
      </c>
      <c r="AF17" s="135">
        <f>IF(Y17="","",WORKDAY(E17,Inputs!$C$24,Lists!$N$4:$N$30))</f>
        <v/>
      </c>
      <c r="AG17" s="5">
        <f>IF(AF17="","",IF(AND(E17&gt;Inputs!$C$14,E17&lt;=Inputs!$C$15,AF17&gt;Inputs!$C$15),"after the decision","ok"))</f>
        <v/>
      </c>
      <c r="AH17" s="135">
        <f>IF(AG17="after the decision",AF17,"")</f>
        <v/>
      </c>
      <c r="AI17" s="76">
        <f>IF(U17="","",MIN(N(I17)-N(J17),MAX(0,U17-V17)))</f>
        <v/>
      </c>
      <c r="AJ17" s="136">
        <f>IF(AND(H17="standard",N(K17)&gt;0,E17&lt;&gt;""),E17,"")</f>
        <v/>
      </c>
      <c r="AL17" s="137" t="n"/>
      <c r="AM17" s="78" t="n"/>
      <c r="AN17" s="78" t="n"/>
      <c r="AO17" s="78" t="n"/>
      <c r="AP17" s="78" t="n"/>
      <c r="AQ17" s="78" t="n"/>
      <c r="AR17" s="78" t="n"/>
      <c r="AS17" s="78" t="n"/>
    </row>
    <row r="18" ht="56" customHeight="1">
      <c r="A18" s="69" t="inlineStr">
        <is>
          <t>DRP-012</t>
        </is>
      </c>
      <c r="B18" s="69" t="n"/>
      <c r="C18" s="69" t="inlineStr">
        <is>
          <t>founder entry</t>
        </is>
      </c>
      <c r="D18" s="69" t="n"/>
      <c r="E18" s="134" t="n"/>
      <c r="F18" s="5">
        <f>IF(E18="","",TEXT(E18,"ddd"))</f>
        <v/>
      </c>
      <c r="G18" s="69" t="n"/>
      <c r="H18" s="69" t="n"/>
      <c r="I18" s="69" t="n"/>
      <c r="J18" s="69" t="n"/>
      <c r="K18" s="69" t="n"/>
      <c r="L18" s="69" t="n"/>
      <c r="M18" s="69" t="n"/>
      <c r="N18" s="69" t="inlineStr">
        <is>
          <t>N</t>
        </is>
      </c>
      <c r="O18" s="69" t="n"/>
      <c r="P18" s="5">
        <f>IF(E18="","",IF(OR(WEEKDAY(E18)=Lists!$V$4,WEEKDAY(E18)=Lists!$V$5),"ok","not Tue/Wed"))</f>
        <v/>
      </c>
      <c r="Q18" s="135">
        <f>IF(E18="","",WORKDAY(E18,Inputs!$C$23-1,Lists!$N$4:$N$30))</f>
        <v/>
      </c>
      <c r="R18" s="5">
        <f>IF(E18="","",IF(COUNTIFS(Lists!$Q$4:$Q$12,"&lt;="&amp;Q18,Lists!$R$4:$R$12,"&gt;="&amp;E18)&gt;0,"clash","ok"))</f>
        <v/>
      </c>
      <c r="S18" s="73">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4">
        <f>IF(AND(E18&amp;""=AL18&amp;"",G18&amp;""=AM18&amp;"",H18&amp;""=AN18&amp;"",I18&amp;""=AO18&amp;"",J18&amp;""=AP18&amp;"",K18&amp;""=AQ18&amp;"",L18&amp;""=AR18&amp;"",M18&amp;""=AS18&amp;""),"","changed")</f>
        <v/>
      </c>
      <c r="Y18" s="136">
        <f>IF(OR(E18="",N(K18)=0),"",WORKDAY(E18,-IF(H18="founding",Inputs!$C$49,Inputs!$C$51),Lists!$N$4:$N$30))</f>
        <v/>
      </c>
      <c r="Z18" s="76">
        <f>IF(Y18="","",N(K18)-N(L18))</f>
        <v/>
      </c>
      <c r="AA18" s="76">
        <f>IF(Z18="","",Z18/Inputs!$C$90)</f>
        <v/>
      </c>
      <c r="AB18" s="76">
        <f>IF(Y18="","",SUMIFS($Z$7:$Z$18,$Y$7:$Y$18,"&lt;="&amp;Y18))</f>
        <v/>
      </c>
      <c r="AC18" s="76">
        <f>IF(AB18="","",AB18/Inputs!$C$90)</f>
        <v/>
      </c>
      <c r="AD18" s="76">
        <f>IF(Y18="","",SUMIFS(Pipeline!$T$5:$T$1004,Pipeline!$B$5:$B$1004,"brand",Pipeline!$E$5:$E$1004,"paid",Pipeline!$A$5:$A$1004,"&lt;="&amp;Y18))</f>
        <v/>
      </c>
      <c r="AE18" s="76">
        <f>IF(Y18="","",SUMIFS(Pipeline!$T$5:$T$1004,Pipeline!$B$5:$B$1004,"brand",Pipeline!$E$5:$E$1004,"conversation",Pipeline!$A$5:$A$1004,"&lt;="&amp;Y18))</f>
        <v/>
      </c>
      <c r="AF18" s="135">
        <f>IF(Y18="","",WORKDAY(E18,Inputs!$C$24,Lists!$N$4:$N$30))</f>
        <v/>
      </c>
      <c r="AG18" s="5">
        <f>IF(AF18="","",IF(AND(E18&gt;Inputs!$C$14,E18&lt;=Inputs!$C$15,AF18&gt;Inputs!$C$15),"after the decision","ok"))</f>
        <v/>
      </c>
      <c r="AH18" s="135">
        <f>IF(AG18="after the decision",AF18,"")</f>
        <v/>
      </c>
      <c r="AI18" s="76">
        <f>IF(U18="","",MIN(N(I18)-N(J18),MAX(0,U18-V18)))</f>
        <v/>
      </c>
      <c r="AJ18" s="136">
        <f>IF(AND(H18="standard",N(K18)&gt;0,E18&lt;&gt;""),E18,"")</f>
        <v/>
      </c>
      <c r="AL18" s="137" t="n"/>
      <c r="AM18" s="78" t="n"/>
      <c r="AN18" s="78" t="n"/>
      <c r="AO18" s="78" t="n"/>
      <c r="AP18" s="78" t="n"/>
      <c r="AQ18" s="78" t="n"/>
      <c r="AR18" s="78" t="n"/>
      <c r="AS18" s="78" t="n"/>
    </row>
    <row r="19">
      <c r="B19" s="8" t="inlineStr">
        <is>
          <t>Totals</t>
        </is>
      </c>
      <c r="I19" s="8">
        <f>SUM(I7:I18)</f>
        <v/>
      </c>
      <c r="J19" s="8">
        <f>SUM(J7:J18)</f>
        <v/>
      </c>
      <c r="K19" s="8">
        <f>SUM(K7:K18)</f>
        <v/>
      </c>
      <c r="L19" s="8">
        <f>SUM(L7:L18)</f>
        <v/>
      </c>
      <c r="M19" s="8">
        <f>SUM(M7:M18)</f>
        <v/>
      </c>
      <c r="S19" s="24">
        <f>SUM(S7:S18)</f>
        <v/>
      </c>
      <c r="Z19" s="21">
        <f>SUM(Z7:Z18)</f>
        <v/>
      </c>
      <c r="AA19" s="21">
        <f>SUM(AA7:AA18)</f>
        <v/>
      </c>
    </row>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5">
      <c r="B5" s="79" t="inlineStr">
        <is>
          <t>Your drop</t>
        </is>
      </c>
      <c r="E5" s="79"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113">
        <f>S40</f>
        <v/>
      </c>
      <c r="G7" s="108">
        <f>IF(G40&gt;0,F7/G40,"")</f>
        <v/>
      </c>
    </row>
    <row r="8">
      <c r="B8" s="29" t="inlineStr">
        <is>
          <t>Offices</t>
        </is>
      </c>
      <c r="C8" s="36" t="n">
        <v>10</v>
      </c>
      <c r="E8" s="29" t="inlineStr">
        <is>
          <t>Display kits</t>
        </is>
      </c>
      <c r="F8" s="108">
        <f>T40</f>
        <v/>
      </c>
      <c r="G8" s="108">
        <f>IF(G40&gt;0,F8/G40,"")</f>
        <v/>
      </c>
    </row>
    <row r="9">
      <c r="B9" s="29" t="inlineStr">
        <is>
          <t>of which new offices</t>
        </is>
      </c>
      <c r="C9" s="36" t="n">
        <v>0</v>
      </c>
      <c r="E9" s="29" t="inlineStr">
        <is>
          <t>Transport</t>
        </is>
      </c>
      <c r="F9" s="108">
        <f>U40</f>
        <v/>
      </c>
      <c r="G9" s="108">
        <f>IF(G40&gt;0,F9/G40,"")</f>
        <v/>
      </c>
    </row>
    <row r="10">
      <c r="B10" s="29" t="inlineStr">
        <is>
          <t>Brands</t>
        </is>
      </c>
      <c r="C10" s="36" t="n">
        <v>3</v>
      </c>
      <c r="E10" s="29" t="inlineStr">
        <is>
          <t>Kit mailing</t>
        </is>
      </c>
      <c r="F10" s="108">
        <f>V40</f>
        <v/>
      </c>
      <c r="G10" s="108">
        <f>IF(G40&gt;0,F10/G40,"")</f>
        <v/>
      </c>
    </row>
    <row r="11">
      <c r="B11" s="29" t="inlineStr">
        <is>
          <t>of which renewals</t>
        </is>
      </c>
      <c r="C11" s="36" t="n">
        <v>0</v>
      </c>
      <c r="E11" s="29" t="inlineStr">
        <is>
          <t>Card processing</t>
        </is>
      </c>
      <c r="F11" s="108">
        <f>W40</f>
        <v/>
      </c>
      <c r="G11" s="108">
        <f>IF(G40&gt;0,F11/G40,"")</f>
        <v/>
      </c>
    </row>
    <row r="12">
      <c r="B12" s="29" t="inlineStr">
        <is>
          <t>of which founding-rate renewals</t>
        </is>
      </c>
      <c r="C12" s="36" t="n">
        <v>0</v>
      </c>
      <c r="E12" s="29" t="inlineStr">
        <is>
          <t>Storage allocation</t>
        </is>
      </c>
      <c r="F12" s="108">
        <f>X40</f>
        <v/>
      </c>
      <c r="G12" s="108">
        <f>IF(G40&gt;0,F12/G40,"")</f>
        <v/>
      </c>
    </row>
    <row r="13">
      <c r="B13" s="29" t="inlineStr">
        <is>
          <t>Standard price per office (blank = Inputs)</t>
        </is>
      </c>
      <c r="C13" s="126" t="n"/>
      <c r="E13" s="29" t="inlineStr">
        <is>
          <t>Software allocation</t>
        </is>
      </c>
      <c r="F13" s="108">
        <f>Y40</f>
        <v/>
      </c>
      <c r="G13" s="108">
        <f>IF(G40&gt;0,F13/G40,"")</f>
        <v/>
      </c>
    </row>
    <row r="14">
      <c r="B14" s="29" t="inlineStr">
        <is>
          <t>Founding price per office (blank = Inputs)</t>
        </is>
      </c>
      <c r="C14" s="126" t="n"/>
      <c r="E14" s="29" t="inlineStr">
        <is>
          <t>Insurance allocation</t>
        </is>
      </c>
      <c r="F14" s="108">
        <f>Z40</f>
        <v/>
      </c>
      <c r="G14" s="108">
        <f>IF(G40&gt;0,F14/G40,"")</f>
        <v/>
      </c>
    </row>
    <row r="15">
      <c r="B15" s="29" t="inlineStr">
        <is>
          <t>Storage allocated? Y/N (blank = Inputs choice)</t>
        </is>
      </c>
      <c r="C15" s="80" t="n"/>
      <c r="E15" s="8" t="inlineStr">
        <is>
          <t>Hard costs</t>
        </is>
      </c>
      <c r="F15" s="113">
        <f>AA40</f>
        <v/>
      </c>
      <c r="G15" s="108">
        <f>IF(G40&gt;0,F15/G40,"")</f>
        <v/>
      </c>
    </row>
    <row r="16">
      <c r="B16" s="29" t="inlineStr">
        <is>
          <t>Card processing? Y/N (blank = Inputs toggle)</t>
        </is>
      </c>
      <c r="C16" s="80" t="n"/>
      <c r="E16" s="8" t="inlineStr">
        <is>
          <t>Contribution</t>
        </is>
      </c>
      <c r="F16" s="113">
        <f>AJ40</f>
        <v/>
      </c>
      <c r="G16" s="108">
        <f>IF(G40&gt;0,F16/G40,"")</f>
        <v/>
      </c>
    </row>
    <row r="17">
      <c r="E17" s="29" t="inlineStr">
        <is>
          <t>brand_sales (h)</t>
        </is>
      </c>
      <c r="F17" s="112">
        <f>AB40</f>
        <v/>
      </c>
      <c r="G17" s="112">
        <f>IF(G40&gt;0,F17/G40,"")</f>
        <v/>
      </c>
    </row>
    <row r="18">
      <c r="E18" s="29" t="inlineStr">
        <is>
          <t>office_coordination (h)</t>
        </is>
      </c>
      <c r="F18" s="112">
        <f>AC40</f>
        <v/>
      </c>
      <c r="G18" s="112">
        <f>IF(G40&gt;0,F18/G40,"")</f>
        <v/>
      </c>
    </row>
    <row r="19">
      <c r="E19" s="29" t="inlineStr">
        <is>
          <t>receiving_kitting (h)</t>
        </is>
      </c>
      <c r="F19" s="112">
        <f>AD40</f>
        <v/>
      </c>
      <c r="G19" s="112">
        <f>IF(G40&gt;0,F19/G40,"")</f>
        <v/>
      </c>
    </row>
    <row r="20">
      <c r="E20" s="29" t="inlineStr">
        <is>
          <t>drop_day (h)</t>
        </is>
      </c>
      <c r="F20" s="112">
        <f>AE40</f>
        <v/>
      </c>
      <c r="G20" s="112">
        <f>IF(G40&gt;0,F20/G40,"")</f>
        <v/>
      </c>
    </row>
    <row r="21">
      <c r="E21" s="29" t="inlineStr">
        <is>
          <t>checks_pickup (h)</t>
        </is>
      </c>
      <c r="F21" s="112">
        <f>AF40</f>
        <v/>
      </c>
      <c r="G21" s="112">
        <f>IF(G40&gt;0,F21/G40,"")</f>
        <v/>
      </c>
    </row>
    <row r="22">
      <c r="E22" s="29" t="inlineStr">
        <is>
          <t>reporting_debriefs (h)</t>
        </is>
      </c>
      <c r="F22" s="112">
        <f>AG40</f>
        <v/>
      </c>
      <c r="G22" s="112">
        <f>IF(G40&gt;0,F22/G40,"")</f>
        <v/>
      </c>
    </row>
    <row r="23">
      <c r="E23" s="29" t="inlineStr">
        <is>
          <t>admin_invoicing (h)</t>
        </is>
      </c>
      <c r="F23" s="112">
        <f>AH40</f>
        <v/>
      </c>
      <c r="G23" s="112">
        <f>IF(G40&gt;0,F23/G40,"")</f>
        <v/>
      </c>
    </row>
    <row r="24">
      <c r="E24" s="8" t="inlineStr">
        <is>
          <t>Founder hours</t>
        </is>
      </c>
      <c r="F24" s="114">
        <f>AI40</f>
        <v/>
      </c>
      <c r="G24" s="112">
        <f>IF(G40&gt;0,F24/G40,"")</f>
        <v/>
      </c>
    </row>
    <row r="25">
      <c r="E25" s="8" t="inlineStr">
        <is>
          <t>Contribution per founder hour</t>
        </is>
      </c>
      <c r="F25" s="105">
        <f>AK40</f>
        <v/>
      </c>
      <c r="G25" s="109">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7">
      <c r="A37" s="79" t="inlineStr">
        <is>
          <t>Engine row: the same formulas as every row on Drop_PnL. Read-only; the result table above reads it.</t>
        </is>
      </c>
    </row>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138" t="n"/>
      <c r="C40" s="29">
        <f>$C$7</f>
        <v/>
      </c>
      <c r="D40" s="29">
        <f>$C$6</f>
        <v/>
      </c>
      <c r="E40" s="20">
        <f>N($C$8)</f>
        <v/>
      </c>
      <c r="F40" s="20">
        <f>N($C$9)</f>
        <v/>
      </c>
      <c r="G40" s="29">
        <f>N($C$10)</f>
        <v/>
      </c>
      <c r="H40" s="29">
        <f>N($C$11)</f>
        <v/>
      </c>
      <c r="I40" s="29">
        <f>N($C$12)</f>
        <v/>
      </c>
      <c r="J40" s="108">
        <f>IF($C$13="",Inputs!$C$39,$C$13)</f>
        <v/>
      </c>
      <c r="K40" s="108">
        <f>IF($C$14="",Inputs!$C$42,$C$14)</f>
        <v/>
      </c>
      <c r="L40" s="20">
        <f>IF($C$15="",IF(Inputs!$C$75="unit",1,0),IF($C$15="Y",1,0))</f>
        <v/>
      </c>
      <c r="M40" s="20">
        <f>IF($C$16="",Inputs!$C$55,IF($C$16="Y",1,0))</f>
        <v/>
      </c>
      <c r="N40" s="20">
        <f>IF(G40&gt;0,1,0)</f>
        <v/>
      </c>
      <c r="O40" s="29">
        <f>IF(D40="founding",G40-H40,0)</f>
        <v/>
      </c>
      <c r="P40" s="29">
        <f>IF(D40="standard",G40-H40,0)</f>
        <v/>
      </c>
      <c r="Q40" s="108">
        <f>O40*(K40*MIN(E40,Inputs!$C$43)+Inputs!$C$45*MAX(E40-Inputs!$C$43,0))+I40*K40*E40</f>
        <v/>
      </c>
      <c r="R40" s="108">
        <f>(P40+H40-I40)*(J40*MIN(E40,Inputs!$C$40)+Inputs!$C$45*MAX(E40-Inputs!$C$40,0))</f>
        <v/>
      </c>
      <c r="S40" s="113">
        <f>Q40+R40</f>
        <v/>
      </c>
      <c r="T40" s="108">
        <f>N40*E40*(Inputs!$C$68+Inputs!$C$69*MAX(G40-1,0))</f>
        <v/>
      </c>
      <c r="U40" s="108">
        <f>IF(N40=0,0,INDEX(Inputs!$C$105:$C$107,MATCH(C40,Inputs!$B$105:$B$107,0))+INDEX(Inputs!$D$105:$D$107,MATCH(C40,Inputs!$B$105:$B$107,0))*E40)</f>
        <v/>
      </c>
      <c r="V40" s="108">
        <f>IF(N40=0,0,INDEX(Inputs!$E$105:$E$107,MATCH(C40,Inputs!$B$105:$B$107,0))*E40)</f>
        <v/>
      </c>
      <c r="W40" s="108">
        <f>S40*Inputs!$C$54*M40</f>
        <v/>
      </c>
      <c r="X40" s="108">
        <f>N40*L40*Inputs!$C$76/Inputs!$C$85</f>
        <v/>
      </c>
      <c r="Y40" s="108">
        <f>N40*Inputs!$C$79/Inputs!$C$85</f>
        <v/>
      </c>
      <c r="Z40" s="108">
        <f>N40*Inputs!$C$81/Inputs!$C$85</f>
        <v/>
      </c>
      <c r="AA40" s="113">
        <f>SUM(T40:Z40)</f>
        <v/>
      </c>
      <c r="AB40" s="112">
        <f>O40*Inputs!$C$89+P40*Inputs!$C$93+H40*Inputs!$C$94</f>
        <v/>
      </c>
      <c r="AC40" s="112">
        <f>N40*(F40*Inputs!$C$95+(E40-F40)*Inputs!$C$96)</f>
        <v/>
      </c>
      <c r="AD40" s="112">
        <f>IF(N40=0,0,INDEX(Inputs!$F$105:$F$107,MATCH(C40,Inputs!$B$105:$B$107,0))+Inputs!$C$97*G40)</f>
        <v/>
      </c>
      <c r="AE40" s="112">
        <f>IF(N40=0,0,INDEX(Inputs!$G$105:$G$107,MATCH(C40,Inputs!$B$105:$B$107,0))*E40)</f>
        <v/>
      </c>
      <c r="AF40" s="112">
        <f>IF(N40=0,0,INDEX(Inputs!$H$105:$H$107,MATCH(C40,Inputs!$B$105:$B$107,0))*E40)</f>
        <v/>
      </c>
      <c r="AG40" s="112">
        <f>Inputs!$C$98*G40</f>
        <v/>
      </c>
      <c r="AH40" s="112">
        <f>N40*Inputs!$C$99</f>
        <v/>
      </c>
      <c r="AI40" s="114">
        <f>SUM(AB40:AH40)</f>
        <v/>
      </c>
      <c r="AJ40" s="113">
        <f>S40-AA40</f>
        <v/>
      </c>
      <c r="AK40" s="110">
        <f>IF(AI40&gt;0,AJ40/AI40,"n/a")</f>
        <v/>
      </c>
      <c r="AL40" s="108">
        <f>T40+U40+V40+W40</f>
        <v/>
      </c>
      <c r="AM40" s="108">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19"/>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c r="AO5" s="82" t="inlineStr">
        <is>
          <t>Cash timing on the plan's terms (feeds Cash_Flow)</t>
        </is>
      </c>
      <c r="AZ5" s="82" t="inlineStr">
        <is>
          <t>Live: actual where Actuals in = Y, otherwise plan</t>
        </is>
      </c>
      <c r="BH5" s="82"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c r="BJ6" s="10" t="inlineStr">
        <is>
          <t>Upcoming drop: its date (the Dashboard takes the earliest)</t>
        </is>
      </c>
    </row>
    <row r="7">
      <c r="A7" s="29">
        <f>Schedule!A7</f>
        <v/>
      </c>
      <c r="B7" s="107">
        <f>IF(Schedule!E7="","",Schedule!E7)</f>
        <v/>
      </c>
      <c r="C7" s="29">
        <f>IF(Schedule!G7="","",Schedule!G7)</f>
        <v/>
      </c>
      <c r="D7" s="29">
        <f>IF(Schedule!H7="","",Schedule!H7)</f>
        <v/>
      </c>
      <c r="E7" s="20">
        <f>N(Schedule!I7)</f>
        <v/>
      </c>
      <c r="F7" s="20">
        <f>N(Schedule!J7)</f>
        <v/>
      </c>
      <c r="G7" s="29">
        <f>N(Schedule!K7)</f>
        <v/>
      </c>
      <c r="H7" s="29">
        <f>N(Schedule!L7)</f>
        <v/>
      </c>
      <c r="I7" s="29">
        <f>N(Schedule!M7)</f>
        <v/>
      </c>
      <c r="J7" s="108">
        <f>IF(AND(B7&lt;&gt;"",B7&gt;Inputs!$C$15),Scenarios!$H$14,Inputs!$C$39)</f>
        <v/>
      </c>
      <c r="K7" s="108">
        <f>Inputs!$C$42</f>
        <v/>
      </c>
      <c r="L7" s="20">
        <f>IF(AND(Inputs!$C$75="unit",B7&lt;&gt;"",Inputs!$C$77&lt;&gt;"",B7&gt;=Inputs!$C$77,OR(Inputs!$C$78="",B7&lt;=Inputs!$C$78)),1,0)</f>
        <v/>
      </c>
      <c r="M7" s="20">
        <f>Inputs!$C$55</f>
        <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7">
        <f>IF(OR(N7=0,AP7=0),"",WORKDAY(B7,-Inputs!$C$49,Lists!$N$4:$N$30)+N(Inputs!$C$53))</f>
        <v/>
      </c>
      <c r="AP7" s="108">
        <f>Q7*Inputs!$C$48</f>
        <v/>
      </c>
      <c r="AQ7" s="107">
        <f>IF(OR(N7=0,AR7=0),"",WORKDAY(B7,-Inputs!$C$51,Lists!$N$4:$N$30)+N(Inputs!$C$53))</f>
        <v/>
      </c>
      <c r="AR7" s="108">
        <f>R7*Inputs!$C$50</f>
        <v/>
      </c>
      <c r="AS7" s="107">
        <f>IF(OR(N7=0,AT7=0),"",WORKDAY(B7,Inputs!$C$52,Lists!$N$4:$N$30)+N(Inputs!$C$53))</f>
        <v/>
      </c>
      <c r="AT7" s="108">
        <f>Q7*(1-Inputs!$C$48)+R7*(1-Inputs!$C$50)</f>
        <v/>
      </c>
      <c r="AU7" s="108">
        <f>AP7*Inputs!$C$54*M7</f>
        <v/>
      </c>
      <c r="AV7" s="108">
        <f>AR7*Inputs!$C$54*M7</f>
        <v/>
      </c>
      <c r="AW7" s="108">
        <f>AT7*Inputs!$C$54*M7</f>
        <v/>
      </c>
      <c r="AX7" s="107">
        <f>IF(N7=0,"",WORKDAY(B7,-Inputs!$C$74,Lists!$N$4:$N$30))</f>
        <v/>
      </c>
      <c r="AY7" s="107">
        <f>IF(N7=0,"",B7)</f>
        <v/>
      </c>
      <c r="AZ7" s="29">
        <f>IF(Schedule!N7="Y","Y","N")</f>
        <v/>
      </c>
      <c r="BA7" s="108">
        <f>IF(AZ7="Y",Drop_Actuals!D7,S7)</f>
        <v/>
      </c>
      <c r="BB7" s="108">
        <f>IF(AZ7="Y",Drop_Actuals!J7,AA7)</f>
        <v/>
      </c>
      <c r="BC7" s="112">
        <f>IF(AZ7="Y",Drop_Actuals!R7,AI7)</f>
        <v/>
      </c>
      <c r="BD7" s="108">
        <f>BA7-BB7</f>
        <v/>
      </c>
      <c r="BE7" s="109">
        <f>IF(BC7&gt;0,BD7/BC7,"n/a")</f>
        <v/>
      </c>
      <c r="BF7" s="29">
        <f>IF(AND(N7=0,AZ7="N"),"",IF(AZ7="Y","actual","plan"))</f>
        <v/>
      </c>
      <c r="BG7" s="20">
        <f>IF(AND(N7=1,B7&gt;=Inputs!$C$17),1,0)</f>
        <v/>
      </c>
      <c r="BH7" s="108">
        <f>IF(AND(AO7&lt;&gt;"",AO7&gt;=Inputs!$C$10,AO7&lt;=Cash_Flow!$AB$6),AP7-AU7,0)+IF(AND(AQ7&lt;&gt;"",AQ7&gt;=Inputs!$C$10,AQ7&lt;=Cash_Flow!$AB$6),AR7-AV7,0)+IF(AND(AS7&lt;&gt;"",AS7&gt;=Inputs!$C$10,AS7&lt;=Cash_Flow!$AB$6),AT7-AW7,0)-IF(AND(AX7&lt;&gt;"",AX7&gt;=Inputs!$C$10,AX7&lt;=Cash_Flow!$AB$6),T7+V7,0)-IF(AND(AY7&lt;&gt;"",AY7&gt;=Inputs!$C$10,AY7&lt;=Cash_Flow!$AB$6),U7,0)</f>
        <v/>
      </c>
      <c r="BI7" s="108">
        <f>IF(AZ7="Y",Drop_Actuals!AM7,BH7)</f>
        <v/>
      </c>
      <c r="BJ7" s="107">
        <f>IF(BG7=1,B7,"")</f>
        <v/>
      </c>
    </row>
    <row r="8">
      <c r="A8" s="29">
        <f>Schedule!A8</f>
        <v/>
      </c>
      <c r="B8" s="107">
        <f>IF(Schedule!E8="","",Schedule!E8)</f>
        <v/>
      </c>
      <c r="C8" s="29">
        <f>IF(Schedule!G8="","",Schedule!G8)</f>
        <v/>
      </c>
      <c r="D8" s="29">
        <f>IF(Schedule!H8="","",Schedule!H8)</f>
        <v/>
      </c>
      <c r="E8" s="20">
        <f>N(Schedule!I8)</f>
        <v/>
      </c>
      <c r="F8" s="20">
        <f>N(Schedule!J8)</f>
        <v/>
      </c>
      <c r="G8" s="29">
        <f>N(Schedule!K8)</f>
        <v/>
      </c>
      <c r="H8" s="29">
        <f>N(Schedule!L8)</f>
        <v/>
      </c>
      <c r="I8" s="29">
        <f>N(Schedule!M8)</f>
        <v/>
      </c>
      <c r="J8" s="108">
        <f>IF(AND(B8&lt;&gt;"",B8&gt;Inputs!$C$15),Scenarios!$H$14,Inputs!$C$39)</f>
        <v/>
      </c>
      <c r="K8" s="108">
        <f>Inputs!$C$42</f>
        <v/>
      </c>
      <c r="L8" s="20">
        <f>IF(AND(Inputs!$C$75="unit",B8&lt;&gt;"",Inputs!$C$77&lt;&gt;"",B8&gt;=Inputs!$C$77,OR(Inputs!$C$78="",B8&lt;=Inputs!$C$78)),1,0)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7">
        <f>IF(OR(N8=0,AP8=0),"",WORKDAY(B8,-Inputs!$C$49,Lists!$N$4:$N$30)+N(Inputs!$C$53))</f>
        <v/>
      </c>
      <c r="AP8" s="108">
        <f>Q8*Inputs!$C$48</f>
        <v/>
      </c>
      <c r="AQ8" s="107">
        <f>IF(OR(N8=0,AR8=0),"",WORKDAY(B8,-Inputs!$C$51,Lists!$N$4:$N$30)+N(Inputs!$C$53))</f>
        <v/>
      </c>
      <c r="AR8" s="108">
        <f>R8*Inputs!$C$50</f>
        <v/>
      </c>
      <c r="AS8" s="107">
        <f>IF(OR(N8=0,AT8=0),"",WORKDAY(B8,Inputs!$C$52,Lists!$N$4:$N$30)+N(Inputs!$C$53))</f>
        <v/>
      </c>
      <c r="AT8" s="108">
        <f>Q8*(1-Inputs!$C$48)+R8*(1-Inputs!$C$50)</f>
        <v/>
      </c>
      <c r="AU8" s="108">
        <f>AP8*Inputs!$C$54*M8</f>
        <v/>
      </c>
      <c r="AV8" s="108">
        <f>AR8*Inputs!$C$54*M8</f>
        <v/>
      </c>
      <c r="AW8" s="108">
        <f>AT8*Inputs!$C$54*M8</f>
        <v/>
      </c>
      <c r="AX8" s="107">
        <f>IF(N8=0,"",WORKDAY(B8,-Inputs!$C$74,Lists!$N$4:$N$30))</f>
        <v/>
      </c>
      <c r="AY8" s="107">
        <f>IF(N8=0,"",B8)</f>
        <v/>
      </c>
      <c r="AZ8" s="29">
        <f>IF(Schedule!N8="Y","Y","N")</f>
        <v/>
      </c>
      <c r="BA8" s="108">
        <f>IF(AZ8="Y",Drop_Actuals!D8,S8)</f>
        <v/>
      </c>
      <c r="BB8" s="108">
        <f>IF(AZ8="Y",Drop_Actuals!J8,AA8)</f>
        <v/>
      </c>
      <c r="BC8" s="112">
        <f>IF(AZ8="Y",Drop_Actuals!R8,AI8)</f>
        <v/>
      </c>
      <c r="BD8" s="108">
        <f>BA8-BB8</f>
        <v/>
      </c>
      <c r="BE8" s="109">
        <f>IF(BC8&gt;0,BD8/BC8,"n/a")</f>
        <v/>
      </c>
      <c r="BF8" s="29">
        <f>IF(AND(N8=0,AZ8="N"),"",IF(AZ8="Y","actual","plan"))</f>
        <v/>
      </c>
      <c r="BG8" s="20">
        <f>IF(AND(N8=1,B8&gt;=Inputs!$C$17),1,0)</f>
        <v/>
      </c>
      <c r="BH8" s="108">
        <f>IF(AND(AO8&lt;&gt;"",AO8&gt;=Inputs!$C$10,AO8&lt;=Cash_Flow!$AB$6),AP8-AU8,0)+IF(AND(AQ8&lt;&gt;"",AQ8&gt;=Inputs!$C$10,AQ8&lt;=Cash_Flow!$AB$6),AR8-AV8,0)+IF(AND(AS8&lt;&gt;"",AS8&gt;=Inputs!$C$10,AS8&lt;=Cash_Flow!$AB$6),AT8-AW8,0)-IF(AND(AX8&lt;&gt;"",AX8&gt;=Inputs!$C$10,AX8&lt;=Cash_Flow!$AB$6),T8+V8,0)-IF(AND(AY8&lt;&gt;"",AY8&gt;=Inputs!$C$10,AY8&lt;=Cash_Flow!$AB$6),U8,0)</f>
        <v/>
      </c>
      <c r="BI8" s="108">
        <f>IF(AZ8="Y",Drop_Actuals!AM8,BH8)</f>
        <v/>
      </c>
      <c r="BJ8" s="107">
        <f>IF(BG8=1,B8,"")</f>
        <v/>
      </c>
    </row>
    <row r="9">
      <c r="A9" s="29">
        <f>Schedule!A9</f>
        <v/>
      </c>
      <c r="B9" s="107">
        <f>IF(Schedule!E9="","",Schedule!E9)</f>
        <v/>
      </c>
      <c r="C9" s="29">
        <f>IF(Schedule!G9="","",Schedule!G9)</f>
        <v/>
      </c>
      <c r="D9" s="29">
        <f>IF(Schedule!H9="","",Schedule!H9)</f>
        <v/>
      </c>
      <c r="E9" s="20">
        <f>N(Schedule!I9)</f>
        <v/>
      </c>
      <c r="F9" s="20">
        <f>N(Schedule!J9)</f>
        <v/>
      </c>
      <c r="G9" s="29">
        <f>N(Schedule!K9)</f>
        <v/>
      </c>
      <c r="H9" s="29">
        <f>N(Schedule!L9)</f>
        <v/>
      </c>
      <c r="I9" s="29">
        <f>N(Schedule!M9)</f>
        <v/>
      </c>
      <c r="J9" s="108">
        <f>IF(AND(B9&lt;&gt;"",B9&gt;Inputs!$C$15),Scenarios!$H$14,Inputs!$C$39)</f>
        <v/>
      </c>
      <c r="K9" s="108">
        <f>Inputs!$C$42</f>
        <v/>
      </c>
      <c r="L9" s="20">
        <f>IF(AND(Inputs!$C$75="unit",B9&lt;&gt;"",Inputs!$C$77&lt;&gt;"",B9&gt;=Inputs!$C$77,OR(Inputs!$C$78="",B9&lt;=Inputs!$C$78)),1,0)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7">
        <f>IF(OR(N9=0,AP9=0),"",WORKDAY(B9,-Inputs!$C$49,Lists!$N$4:$N$30)+N(Inputs!$C$53))</f>
        <v/>
      </c>
      <c r="AP9" s="108">
        <f>Q9*Inputs!$C$48</f>
        <v/>
      </c>
      <c r="AQ9" s="107">
        <f>IF(OR(N9=0,AR9=0),"",WORKDAY(B9,-Inputs!$C$51,Lists!$N$4:$N$30)+N(Inputs!$C$53))</f>
        <v/>
      </c>
      <c r="AR9" s="108">
        <f>R9*Inputs!$C$50</f>
        <v/>
      </c>
      <c r="AS9" s="107">
        <f>IF(OR(N9=0,AT9=0),"",WORKDAY(B9,Inputs!$C$52,Lists!$N$4:$N$30)+N(Inputs!$C$53))</f>
        <v/>
      </c>
      <c r="AT9" s="108">
        <f>Q9*(1-Inputs!$C$48)+R9*(1-Inputs!$C$50)</f>
        <v/>
      </c>
      <c r="AU9" s="108">
        <f>AP9*Inputs!$C$54*M9</f>
        <v/>
      </c>
      <c r="AV9" s="108">
        <f>AR9*Inputs!$C$54*M9</f>
        <v/>
      </c>
      <c r="AW9" s="108">
        <f>AT9*Inputs!$C$54*M9</f>
        <v/>
      </c>
      <c r="AX9" s="107">
        <f>IF(N9=0,"",WORKDAY(B9,-Inputs!$C$74,Lists!$N$4:$N$30))</f>
        <v/>
      </c>
      <c r="AY9" s="107">
        <f>IF(N9=0,"",B9)</f>
        <v/>
      </c>
      <c r="AZ9" s="29">
        <f>IF(Schedule!N9="Y","Y","N")</f>
        <v/>
      </c>
      <c r="BA9" s="108">
        <f>IF(AZ9="Y",Drop_Actuals!D9,S9)</f>
        <v/>
      </c>
      <c r="BB9" s="108">
        <f>IF(AZ9="Y",Drop_Actuals!J9,AA9)</f>
        <v/>
      </c>
      <c r="BC9" s="112">
        <f>IF(AZ9="Y",Drop_Actuals!R9,AI9)</f>
        <v/>
      </c>
      <c r="BD9" s="108">
        <f>BA9-BB9</f>
        <v/>
      </c>
      <c r="BE9" s="109">
        <f>IF(BC9&gt;0,BD9/BC9,"n/a")</f>
        <v/>
      </c>
      <c r="BF9" s="29">
        <f>IF(AND(N9=0,AZ9="N"),"",IF(AZ9="Y","actual","plan"))</f>
        <v/>
      </c>
      <c r="BG9" s="20">
        <f>IF(AND(N9=1,B9&gt;=Inputs!$C$17),1,0)</f>
        <v/>
      </c>
      <c r="BH9" s="108">
        <f>IF(AND(AO9&lt;&gt;"",AO9&gt;=Inputs!$C$10,AO9&lt;=Cash_Flow!$AB$6),AP9-AU9,0)+IF(AND(AQ9&lt;&gt;"",AQ9&gt;=Inputs!$C$10,AQ9&lt;=Cash_Flow!$AB$6),AR9-AV9,0)+IF(AND(AS9&lt;&gt;"",AS9&gt;=Inputs!$C$10,AS9&lt;=Cash_Flow!$AB$6),AT9-AW9,0)-IF(AND(AX9&lt;&gt;"",AX9&gt;=Inputs!$C$10,AX9&lt;=Cash_Flow!$AB$6),T9+V9,0)-IF(AND(AY9&lt;&gt;"",AY9&gt;=Inputs!$C$10,AY9&lt;=Cash_Flow!$AB$6),U9,0)</f>
        <v/>
      </c>
      <c r="BI9" s="108">
        <f>IF(AZ9="Y",Drop_Actuals!AM9,BH9)</f>
        <v/>
      </c>
      <c r="BJ9" s="107">
        <f>IF(BG9=1,B9,"")</f>
        <v/>
      </c>
    </row>
    <row r="10">
      <c r="A10" s="29">
        <f>Schedule!A10</f>
        <v/>
      </c>
      <c r="B10" s="107">
        <f>IF(Schedule!E10="","",Schedule!E10)</f>
        <v/>
      </c>
      <c r="C10" s="29">
        <f>IF(Schedule!G10="","",Schedule!G10)</f>
        <v/>
      </c>
      <c r="D10" s="29">
        <f>IF(Schedule!H10="","",Schedule!H10)</f>
        <v/>
      </c>
      <c r="E10" s="20">
        <f>N(Schedule!I10)</f>
        <v/>
      </c>
      <c r="F10" s="20">
        <f>N(Schedule!J10)</f>
        <v/>
      </c>
      <c r="G10" s="29">
        <f>N(Schedule!K10)</f>
        <v/>
      </c>
      <c r="H10" s="29">
        <f>N(Schedule!L10)</f>
        <v/>
      </c>
      <c r="I10" s="29">
        <f>N(Schedule!M10)</f>
        <v/>
      </c>
      <c r="J10" s="108">
        <f>IF(AND(B10&lt;&gt;"",B10&gt;Inputs!$C$15),Scenarios!$H$14,Inputs!$C$39)</f>
        <v/>
      </c>
      <c r="K10" s="108">
        <f>Inputs!$C$42</f>
        <v/>
      </c>
      <c r="L10" s="20">
        <f>IF(AND(Inputs!$C$75="unit",B10&lt;&gt;"",Inputs!$C$77&lt;&gt;"",B10&gt;=Inputs!$C$77,OR(Inputs!$C$78="",B10&lt;=Inputs!$C$78)),1,0)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7">
        <f>IF(OR(N10=0,AP10=0),"",WORKDAY(B10,-Inputs!$C$49,Lists!$N$4:$N$30)+N(Inputs!$C$53))</f>
        <v/>
      </c>
      <c r="AP10" s="108">
        <f>Q10*Inputs!$C$48</f>
        <v/>
      </c>
      <c r="AQ10" s="107">
        <f>IF(OR(N10=0,AR10=0),"",WORKDAY(B10,-Inputs!$C$51,Lists!$N$4:$N$30)+N(Inputs!$C$53))</f>
        <v/>
      </c>
      <c r="AR10" s="108">
        <f>R10*Inputs!$C$50</f>
        <v/>
      </c>
      <c r="AS10" s="107">
        <f>IF(OR(N10=0,AT10=0),"",WORKDAY(B10,Inputs!$C$52,Lists!$N$4:$N$30)+N(Inputs!$C$53))</f>
        <v/>
      </c>
      <c r="AT10" s="108">
        <f>Q10*(1-Inputs!$C$48)+R10*(1-Inputs!$C$50)</f>
        <v/>
      </c>
      <c r="AU10" s="108">
        <f>AP10*Inputs!$C$54*M10</f>
        <v/>
      </c>
      <c r="AV10" s="108">
        <f>AR10*Inputs!$C$54*M10</f>
        <v/>
      </c>
      <c r="AW10" s="108">
        <f>AT10*Inputs!$C$54*M10</f>
        <v/>
      </c>
      <c r="AX10" s="107">
        <f>IF(N10=0,"",WORKDAY(B10,-Inputs!$C$74,Lists!$N$4:$N$30))</f>
        <v/>
      </c>
      <c r="AY10" s="107">
        <f>IF(N10=0,"",B10)</f>
        <v/>
      </c>
      <c r="AZ10" s="29">
        <f>IF(Schedule!N10="Y","Y","N")</f>
        <v/>
      </c>
      <c r="BA10" s="108">
        <f>IF(AZ10="Y",Drop_Actuals!D10,S10)</f>
        <v/>
      </c>
      <c r="BB10" s="108">
        <f>IF(AZ10="Y",Drop_Actuals!J10,AA10)</f>
        <v/>
      </c>
      <c r="BC10" s="112">
        <f>IF(AZ10="Y",Drop_Actuals!R10,AI10)</f>
        <v/>
      </c>
      <c r="BD10" s="108">
        <f>BA10-BB10</f>
        <v/>
      </c>
      <c r="BE10" s="109">
        <f>IF(BC10&gt;0,BD10/BC10,"n/a")</f>
        <v/>
      </c>
      <c r="BF10" s="29">
        <f>IF(AND(N10=0,AZ10="N"),"",IF(AZ10="Y","actual","plan"))</f>
        <v/>
      </c>
      <c r="BG10" s="20">
        <f>IF(AND(N10=1,B10&gt;=Inputs!$C$17),1,0)</f>
        <v/>
      </c>
      <c r="BH10" s="108">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08">
        <f>IF(AZ10="Y",Drop_Actuals!AM10,BH10)</f>
        <v/>
      </c>
      <c r="BJ10" s="107">
        <f>IF(BG10=1,B10,"")</f>
        <v/>
      </c>
    </row>
    <row r="11">
      <c r="A11" s="29">
        <f>Schedule!A11</f>
        <v/>
      </c>
      <c r="B11" s="107">
        <f>IF(Schedule!E11="","",Schedule!E11)</f>
        <v/>
      </c>
      <c r="C11" s="29">
        <f>IF(Schedule!G11="","",Schedule!G11)</f>
        <v/>
      </c>
      <c r="D11" s="29">
        <f>IF(Schedule!H11="","",Schedule!H11)</f>
        <v/>
      </c>
      <c r="E11" s="20">
        <f>N(Schedule!I11)</f>
        <v/>
      </c>
      <c r="F11" s="20">
        <f>N(Schedule!J11)</f>
        <v/>
      </c>
      <c r="G11" s="29">
        <f>N(Schedule!K11)</f>
        <v/>
      </c>
      <c r="H11" s="29">
        <f>N(Schedule!L11)</f>
        <v/>
      </c>
      <c r="I11" s="29">
        <f>N(Schedule!M11)</f>
        <v/>
      </c>
      <c r="J11" s="108">
        <f>IF(AND(B11&lt;&gt;"",B11&gt;Inputs!$C$15),Scenarios!$H$14,Inputs!$C$39)</f>
        <v/>
      </c>
      <c r="K11" s="108">
        <f>Inputs!$C$42</f>
        <v/>
      </c>
      <c r="L11" s="20">
        <f>IF(AND(Inputs!$C$75="unit",B11&lt;&gt;"",Inputs!$C$77&lt;&gt;"",B11&gt;=Inputs!$C$77,OR(Inputs!$C$78="",B11&lt;=Inputs!$C$78)),1,0)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7">
        <f>IF(OR(N11=0,AP11=0),"",WORKDAY(B11,-Inputs!$C$49,Lists!$N$4:$N$30)+N(Inputs!$C$53))</f>
        <v/>
      </c>
      <c r="AP11" s="108">
        <f>Q11*Inputs!$C$48</f>
        <v/>
      </c>
      <c r="AQ11" s="107">
        <f>IF(OR(N11=0,AR11=0),"",WORKDAY(B11,-Inputs!$C$51,Lists!$N$4:$N$30)+N(Inputs!$C$53))</f>
        <v/>
      </c>
      <c r="AR11" s="108">
        <f>R11*Inputs!$C$50</f>
        <v/>
      </c>
      <c r="AS11" s="107">
        <f>IF(OR(N11=0,AT11=0),"",WORKDAY(B11,Inputs!$C$52,Lists!$N$4:$N$30)+N(Inputs!$C$53))</f>
        <v/>
      </c>
      <c r="AT11" s="108">
        <f>Q11*(1-Inputs!$C$48)+R11*(1-Inputs!$C$50)</f>
        <v/>
      </c>
      <c r="AU11" s="108">
        <f>AP11*Inputs!$C$54*M11</f>
        <v/>
      </c>
      <c r="AV11" s="108">
        <f>AR11*Inputs!$C$54*M11</f>
        <v/>
      </c>
      <c r="AW11" s="108">
        <f>AT11*Inputs!$C$54*M11</f>
        <v/>
      </c>
      <c r="AX11" s="107">
        <f>IF(N11=0,"",WORKDAY(B11,-Inputs!$C$74,Lists!$N$4:$N$30))</f>
        <v/>
      </c>
      <c r="AY11" s="107">
        <f>IF(N11=0,"",B11)</f>
        <v/>
      </c>
      <c r="AZ11" s="29">
        <f>IF(Schedule!N11="Y","Y","N")</f>
        <v/>
      </c>
      <c r="BA11" s="108">
        <f>IF(AZ11="Y",Drop_Actuals!D11,S11)</f>
        <v/>
      </c>
      <c r="BB11" s="108">
        <f>IF(AZ11="Y",Drop_Actuals!J11,AA11)</f>
        <v/>
      </c>
      <c r="BC11" s="112">
        <f>IF(AZ11="Y",Drop_Actuals!R11,AI11)</f>
        <v/>
      </c>
      <c r="BD11" s="108">
        <f>BA11-BB11</f>
        <v/>
      </c>
      <c r="BE11" s="109">
        <f>IF(BC11&gt;0,BD11/BC11,"n/a")</f>
        <v/>
      </c>
      <c r="BF11" s="29">
        <f>IF(AND(N11=0,AZ11="N"),"",IF(AZ11="Y","actual","plan"))</f>
        <v/>
      </c>
      <c r="BG11" s="20">
        <f>IF(AND(N11=1,B11&gt;=Inputs!$C$17),1,0)</f>
        <v/>
      </c>
      <c r="BH11" s="108">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08">
        <f>IF(AZ11="Y",Drop_Actuals!AM11,BH11)</f>
        <v/>
      </c>
      <c r="BJ11" s="107">
        <f>IF(BG11=1,B11,"")</f>
        <v/>
      </c>
    </row>
    <row r="12">
      <c r="A12" s="29">
        <f>Schedule!A12</f>
        <v/>
      </c>
      <c r="B12" s="107">
        <f>IF(Schedule!E12="","",Schedule!E12)</f>
        <v/>
      </c>
      <c r="C12" s="29">
        <f>IF(Schedule!G12="","",Schedule!G12)</f>
        <v/>
      </c>
      <c r="D12" s="29">
        <f>IF(Schedule!H12="","",Schedule!H12)</f>
        <v/>
      </c>
      <c r="E12" s="20">
        <f>N(Schedule!I12)</f>
        <v/>
      </c>
      <c r="F12" s="20">
        <f>N(Schedule!J12)</f>
        <v/>
      </c>
      <c r="G12" s="29">
        <f>N(Schedule!K12)</f>
        <v/>
      </c>
      <c r="H12" s="29">
        <f>N(Schedule!L12)</f>
        <v/>
      </c>
      <c r="I12" s="29">
        <f>N(Schedule!M12)</f>
        <v/>
      </c>
      <c r="J12" s="108">
        <f>IF(AND(B12&lt;&gt;"",B12&gt;Inputs!$C$15),Scenarios!$H$14,Inputs!$C$39)</f>
        <v/>
      </c>
      <c r="K12" s="108">
        <f>Inputs!$C$42</f>
        <v/>
      </c>
      <c r="L12" s="20">
        <f>IF(AND(Inputs!$C$75="unit",B12&lt;&gt;"",Inputs!$C$77&lt;&gt;"",B12&gt;=Inputs!$C$77,OR(Inputs!$C$78="",B12&lt;=Inputs!$C$78)),1,0)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O12" s="107">
        <f>IF(OR(N12=0,AP12=0),"",WORKDAY(B12,-Inputs!$C$49,Lists!$N$4:$N$30)+N(Inputs!$C$53))</f>
        <v/>
      </c>
      <c r="AP12" s="108">
        <f>Q12*Inputs!$C$48</f>
        <v/>
      </c>
      <c r="AQ12" s="107">
        <f>IF(OR(N12=0,AR12=0),"",WORKDAY(B12,-Inputs!$C$51,Lists!$N$4:$N$30)+N(Inputs!$C$53))</f>
        <v/>
      </c>
      <c r="AR12" s="108">
        <f>R12*Inputs!$C$50</f>
        <v/>
      </c>
      <c r="AS12" s="107">
        <f>IF(OR(N12=0,AT12=0),"",WORKDAY(B12,Inputs!$C$52,Lists!$N$4:$N$30)+N(Inputs!$C$53))</f>
        <v/>
      </c>
      <c r="AT12" s="108">
        <f>Q12*(1-Inputs!$C$48)+R12*(1-Inputs!$C$50)</f>
        <v/>
      </c>
      <c r="AU12" s="108">
        <f>AP12*Inputs!$C$54*M12</f>
        <v/>
      </c>
      <c r="AV12" s="108">
        <f>AR12*Inputs!$C$54*M12</f>
        <v/>
      </c>
      <c r="AW12" s="108">
        <f>AT12*Inputs!$C$54*M12</f>
        <v/>
      </c>
      <c r="AX12" s="107">
        <f>IF(N12=0,"",WORKDAY(B12,-Inputs!$C$74,Lists!$N$4:$N$30))</f>
        <v/>
      </c>
      <c r="AY12" s="107">
        <f>IF(N12=0,"",B12)</f>
        <v/>
      </c>
      <c r="AZ12" s="29">
        <f>IF(Schedule!N12="Y","Y","N")</f>
        <v/>
      </c>
      <c r="BA12" s="108">
        <f>IF(AZ12="Y",Drop_Actuals!D12,S12)</f>
        <v/>
      </c>
      <c r="BB12" s="108">
        <f>IF(AZ12="Y",Drop_Actuals!J12,AA12)</f>
        <v/>
      </c>
      <c r="BC12" s="112">
        <f>IF(AZ12="Y",Drop_Actuals!R12,AI12)</f>
        <v/>
      </c>
      <c r="BD12" s="108">
        <f>BA12-BB12</f>
        <v/>
      </c>
      <c r="BE12" s="109">
        <f>IF(BC12&gt;0,BD12/BC12,"n/a")</f>
        <v/>
      </c>
      <c r="BF12" s="29">
        <f>IF(AND(N12=0,AZ12="N"),"",IF(AZ12="Y","actual","plan"))</f>
        <v/>
      </c>
      <c r="BG12" s="20">
        <f>IF(AND(N12=1,B12&gt;=Inputs!$C$17),1,0)</f>
        <v/>
      </c>
      <c r="BH12" s="108">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08">
        <f>IF(AZ12="Y",Drop_Actuals!AM12,BH12)</f>
        <v/>
      </c>
      <c r="BJ12" s="107">
        <f>IF(BG12=1,B12,"")</f>
        <v/>
      </c>
    </row>
    <row r="13">
      <c r="A13" s="29">
        <f>Schedule!A13</f>
        <v/>
      </c>
      <c r="B13" s="107">
        <f>IF(Schedule!E13="","",Schedule!E13)</f>
        <v/>
      </c>
      <c r="C13" s="29">
        <f>IF(Schedule!G13="","",Schedule!G13)</f>
        <v/>
      </c>
      <c r="D13" s="29">
        <f>IF(Schedule!H13="","",Schedule!H13)</f>
        <v/>
      </c>
      <c r="E13" s="20">
        <f>N(Schedule!I13)</f>
        <v/>
      </c>
      <c r="F13" s="20">
        <f>N(Schedule!J13)</f>
        <v/>
      </c>
      <c r="G13" s="29">
        <f>N(Schedule!K13)</f>
        <v/>
      </c>
      <c r="H13" s="29">
        <f>N(Schedule!L13)</f>
        <v/>
      </c>
      <c r="I13" s="29">
        <f>N(Schedule!M13)</f>
        <v/>
      </c>
      <c r="J13" s="108">
        <f>IF(AND(B13&lt;&gt;"",B13&gt;Inputs!$C$15),Scenarios!$H$14,Inputs!$C$39)</f>
        <v/>
      </c>
      <c r="K13" s="108">
        <f>Inputs!$C$42</f>
        <v/>
      </c>
      <c r="L13" s="20">
        <f>IF(AND(Inputs!$C$75="unit",B13&lt;&gt;"",Inputs!$C$77&lt;&gt;"",B13&gt;=Inputs!$C$77,OR(Inputs!$C$78="",B13&lt;=Inputs!$C$78)),1,0)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O13" s="107">
        <f>IF(OR(N13=0,AP13=0),"",WORKDAY(B13,-Inputs!$C$49,Lists!$N$4:$N$30)+N(Inputs!$C$53))</f>
        <v/>
      </c>
      <c r="AP13" s="108">
        <f>Q13*Inputs!$C$48</f>
        <v/>
      </c>
      <c r="AQ13" s="107">
        <f>IF(OR(N13=0,AR13=0),"",WORKDAY(B13,-Inputs!$C$51,Lists!$N$4:$N$30)+N(Inputs!$C$53))</f>
        <v/>
      </c>
      <c r="AR13" s="108">
        <f>R13*Inputs!$C$50</f>
        <v/>
      </c>
      <c r="AS13" s="107">
        <f>IF(OR(N13=0,AT13=0),"",WORKDAY(B13,Inputs!$C$52,Lists!$N$4:$N$30)+N(Inputs!$C$53))</f>
        <v/>
      </c>
      <c r="AT13" s="108">
        <f>Q13*(1-Inputs!$C$48)+R13*(1-Inputs!$C$50)</f>
        <v/>
      </c>
      <c r="AU13" s="108">
        <f>AP13*Inputs!$C$54*M13</f>
        <v/>
      </c>
      <c r="AV13" s="108">
        <f>AR13*Inputs!$C$54*M13</f>
        <v/>
      </c>
      <c r="AW13" s="108">
        <f>AT13*Inputs!$C$54*M13</f>
        <v/>
      </c>
      <c r="AX13" s="107">
        <f>IF(N13=0,"",WORKDAY(B13,-Inputs!$C$74,Lists!$N$4:$N$30))</f>
        <v/>
      </c>
      <c r="AY13" s="107">
        <f>IF(N13=0,"",B13)</f>
        <v/>
      </c>
      <c r="AZ13" s="29">
        <f>IF(Schedule!N13="Y","Y","N")</f>
        <v/>
      </c>
      <c r="BA13" s="108">
        <f>IF(AZ13="Y",Drop_Actuals!D13,S13)</f>
        <v/>
      </c>
      <c r="BB13" s="108">
        <f>IF(AZ13="Y",Drop_Actuals!J13,AA13)</f>
        <v/>
      </c>
      <c r="BC13" s="112">
        <f>IF(AZ13="Y",Drop_Actuals!R13,AI13)</f>
        <v/>
      </c>
      <c r="BD13" s="108">
        <f>BA13-BB13</f>
        <v/>
      </c>
      <c r="BE13" s="109">
        <f>IF(BC13&gt;0,BD13/BC13,"n/a")</f>
        <v/>
      </c>
      <c r="BF13" s="29">
        <f>IF(AND(N13=0,AZ13="N"),"",IF(AZ13="Y","actual","plan"))</f>
        <v/>
      </c>
      <c r="BG13" s="20">
        <f>IF(AND(N13=1,B13&gt;=Inputs!$C$17),1,0)</f>
        <v/>
      </c>
      <c r="BH13" s="108">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08">
        <f>IF(AZ13="Y",Drop_Actuals!AM13,BH13)</f>
        <v/>
      </c>
      <c r="BJ13" s="107">
        <f>IF(BG13=1,B13,"")</f>
        <v/>
      </c>
    </row>
    <row r="14">
      <c r="A14" s="29">
        <f>Schedule!A14</f>
        <v/>
      </c>
      <c r="B14" s="107">
        <f>IF(Schedule!E14="","",Schedule!E14)</f>
        <v/>
      </c>
      <c r="C14" s="29">
        <f>IF(Schedule!G14="","",Schedule!G14)</f>
        <v/>
      </c>
      <c r="D14" s="29">
        <f>IF(Schedule!H14="","",Schedule!H14)</f>
        <v/>
      </c>
      <c r="E14" s="20">
        <f>N(Schedule!I14)</f>
        <v/>
      </c>
      <c r="F14" s="20">
        <f>N(Schedule!J14)</f>
        <v/>
      </c>
      <c r="G14" s="29">
        <f>N(Schedule!K14)</f>
        <v/>
      </c>
      <c r="H14" s="29">
        <f>N(Schedule!L14)</f>
        <v/>
      </c>
      <c r="I14" s="29">
        <f>N(Schedule!M14)</f>
        <v/>
      </c>
      <c r="J14" s="108">
        <f>IF(AND(B14&lt;&gt;"",B14&gt;Inputs!$C$15),Scenarios!$H$14,Inputs!$C$39)</f>
        <v/>
      </c>
      <c r="K14" s="108">
        <f>Inputs!$C$42</f>
        <v/>
      </c>
      <c r="L14" s="20">
        <f>IF(AND(Inputs!$C$75="unit",B14&lt;&gt;"",Inputs!$C$77&lt;&gt;"",B14&gt;=Inputs!$C$77,OR(Inputs!$C$78="",B14&lt;=Inputs!$C$78)),1,0)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7">
        <f>IF(OR(N14=0,AP14=0),"",WORKDAY(B14,-Inputs!$C$49,Lists!$N$4:$N$30)+N(Inputs!$C$53))</f>
        <v/>
      </c>
      <c r="AP14" s="108">
        <f>Q14*Inputs!$C$48</f>
        <v/>
      </c>
      <c r="AQ14" s="107">
        <f>IF(OR(N14=0,AR14=0),"",WORKDAY(B14,-Inputs!$C$51,Lists!$N$4:$N$30)+N(Inputs!$C$53))</f>
        <v/>
      </c>
      <c r="AR14" s="108">
        <f>R14*Inputs!$C$50</f>
        <v/>
      </c>
      <c r="AS14" s="107">
        <f>IF(OR(N14=0,AT14=0),"",WORKDAY(B14,Inputs!$C$52,Lists!$N$4:$N$30)+N(Inputs!$C$53))</f>
        <v/>
      </c>
      <c r="AT14" s="108">
        <f>Q14*(1-Inputs!$C$48)+R14*(1-Inputs!$C$50)</f>
        <v/>
      </c>
      <c r="AU14" s="108">
        <f>AP14*Inputs!$C$54*M14</f>
        <v/>
      </c>
      <c r="AV14" s="108">
        <f>AR14*Inputs!$C$54*M14</f>
        <v/>
      </c>
      <c r="AW14" s="108">
        <f>AT14*Inputs!$C$54*M14</f>
        <v/>
      </c>
      <c r="AX14" s="107">
        <f>IF(N14=0,"",WORKDAY(B14,-Inputs!$C$74,Lists!$N$4:$N$30))</f>
        <v/>
      </c>
      <c r="AY14" s="107">
        <f>IF(N14=0,"",B14)</f>
        <v/>
      </c>
      <c r="AZ14" s="29">
        <f>IF(Schedule!N14="Y","Y","N")</f>
        <v/>
      </c>
      <c r="BA14" s="108">
        <f>IF(AZ14="Y",Drop_Actuals!D14,S14)</f>
        <v/>
      </c>
      <c r="BB14" s="108">
        <f>IF(AZ14="Y",Drop_Actuals!J14,AA14)</f>
        <v/>
      </c>
      <c r="BC14" s="112">
        <f>IF(AZ14="Y",Drop_Actuals!R14,AI14)</f>
        <v/>
      </c>
      <c r="BD14" s="108">
        <f>BA14-BB14</f>
        <v/>
      </c>
      <c r="BE14" s="109">
        <f>IF(BC14&gt;0,BD14/BC14,"n/a")</f>
        <v/>
      </c>
      <c r="BF14" s="29">
        <f>IF(AND(N14=0,AZ14="N"),"",IF(AZ14="Y","actual","plan"))</f>
        <v/>
      </c>
      <c r="BG14" s="20">
        <f>IF(AND(N14=1,B14&gt;=Inputs!$C$17),1,0)</f>
        <v/>
      </c>
      <c r="BH14" s="108">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08">
        <f>IF(AZ14="Y",Drop_Actuals!AM14,BH14)</f>
        <v/>
      </c>
      <c r="BJ14" s="107">
        <f>IF(BG14=1,B14,"")</f>
        <v/>
      </c>
    </row>
    <row r="15">
      <c r="A15" s="29">
        <f>Schedule!A15</f>
        <v/>
      </c>
      <c r="B15" s="107">
        <f>IF(Schedule!E15="","",Schedule!E15)</f>
        <v/>
      </c>
      <c r="C15" s="29">
        <f>IF(Schedule!G15="","",Schedule!G15)</f>
        <v/>
      </c>
      <c r="D15" s="29">
        <f>IF(Schedule!H15="","",Schedule!H15)</f>
        <v/>
      </c>
      <c r="E15" s="20">
        <f>N(Schedule!I15)</f>
        <v/>
      </c>
      <c r="F15" s="20">
        <f>N(Schedule!J15)</f>
        <v/>
      </c>
      <c r="G15" s="29">
        <f>N(Schedule!K15)</f>
        <v/>
      </c>
      <c r="H15" s="29">
        <f>N(Schedule!L15)</f>
        <v/>
      </c>
      <c r="I15" s="29">
        <f>N(Schedule!M15)</f>
        <v/>
      </c>
      <c r="J15" s="108">
        <f>IF(AND(B15&lt;&gt;"",B15&gt;Inputs!$C$15),Scenarios!$H$14,Inputs!$C$39)</f>
        <v/>
      </c>
      <c r="K15" s="108">
        <f>Inputs!$C$42</f>
        <v/>
      </c>
      <c r="L15" s="20">
        <f>IF(AND(Inputs!$C$75="unit",B15&lt;&gt;"",Inputs!$C$77&lt;&gt;"",B15&gt;=Inputs!$C$77,OR(Inputs!$C$78="",B15&lt;=Inputs!$C$78)),1,0)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7">
        <f>IF(OR(N15=0,AP15=0),"",WORKDAY(B15,-Inputs!$C$49,Lists!$N$4:$N$30)+N(Inputs!$C$53))</f>
        <v/>
      </c>
      <c r="AP15" s="108">
        <f>Q15*Inputs!$C$48</f>
        <v/>
      </c>
      <c r="AQ15" s="107">
        <f>IF(OR(N15=0,AR15=0),"",WORKDAY(B15,-Inputs!$C$51,Lists!$N$4:$N$30)+N(Inputs!$C$53))</f>
        <v/>
      </c>
      <c r="AR15" s="108">
        <f>R15*Inputs!$C$50</f>
        <v/>
      </c>
      <c r="AS15" s="107">
        <f>IF(OR(N15=0,AT15=0),"",WORKDAY(B15,Inputs!$C$52,Lists!$N$4:$N$30)+N(Inputs!$C$53))</f>
        <v/>
      </c>
      <c r="AT15" s="108">
        <f>Q15*(1-Inputs!$C$48)+R15*(1-Inputs!$C$50)</f>
        <v/>
      </c>
      <c r="AU15" s="108">
        <f>AP15*Inputs!$C$54*M15</f>
        <v/>
      </c>
      <c r="AV15" s="108">
        <f>AR15*Inputs!$C$54*M15</f>
        <v/>
      </c>
      <c r="AW15" s="108">
        <f>AT15*Inputs!$C$54*M15</f>
        <v/>
      </c>
      <c r="AX15" s="107">
        <f>IF(N15=0,"",WORKDAY(B15,-Inputs!$C$74,Lists!$N$4:$N$30))</f>
        <v/>
      </c>
      <c r="AY15" s="107">
        <f>IF(N15=0,"",B15)</f>
        <v/>
      </c>
      <c r="AZ15" s="29">
        <f>IF(Schedule!N15="Y","Y","N")</f>
        <v/>
      </c>
      <c r="BA15" s="108">
        <f>IF(AZ15="Y",Drop_Actuals!D15,S15)</f>
        <v/>
      </c>
      <c r="BB15" s="108">
        <f>IF(AZ15="Y",Drop_Actuals!J15,AA15)</f>
        <v/>
      </c>
      <c r="BC15" s="112">
        <f>IF(AZ15="Y",Drop_Actuals!R15,AI15)</f>
        <v/>
      </c>
      <c r="BD15" s="108">
        <f>BA15-BB15</f>
        <v/>
      </c>
      <c r="BE15" s="109">
        <f>IF(BC15&gt;0,BD15/BC15,"n/a")</f>
        <v/>
      </c>
      <c r="BF15" s="29">
        <f>IF(AND(N15=0,AZ15="N"),"",IF(AZ15="Y","actual","plan"))</f>
        <v/>
      </c>
      <c r="BG15" s="20">
        <f>IF(AND(N15=1,B15&gt;=Inputs!$C$17),1,0)</f>
        <v/>
      </c>
      <c r="BH15" s="108">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08">
        <f>IF(AZ15="Y",Drop_Actuals!AM15,BH15)</f>
        <v/>
      </c>
      <c r="BJ15" s="107">
        <f>IF(BG15=1,B15,"")</f>
        <v/>
      </c>
    </row>
    <row r="16">
      <c r="A16" s="29">
        <f>Schedule!A16</f>
        <v/>
      </c>
      <c r="B16" s="107">
        <f>IF(Schedule!E16="","",Schedule!E16)</f>
        <v/>
      </c>
      <c r="C16" s="29">
        <f>IF(Schedule!G16="","",Schedule!G16)</f>
        <v/>
      </c>
      <c r="D16" s="29">
        <f>IF(Schedule!H16="","",Schedule!H16)</f>
        <v/>
      </c>
      <c r="E16" s="20">
        <f>N(Schedule!I16)</f>
        <v/>
      </c>
      <c r="F16" s="20">
        <f>N(Schedule!J16)</f>
        <v/>
      </c>
      <c r="G16" s="29">
        <f>N(Schedule!K16)</f>
        <v/>
      </c>
      <c r="H16" s="29">
        <f>N(Schedule!L16)</f>
        <v/>
      </c>
      <c r="I16" s="29">
        <f>N(Schedule!M16)</f>
        <v/>
      </c>
      <c r="J16" s="108">
        <f>IF(AND(B16&lt;&gt;"",B16&gt;Inputs!$C$15),Scenarios!$H$14,Inputs!$C$39)</f>
        <v/>
      </c>
      <c r="K16" s="108">
        <f>Inputs!$C$42</f>
        <v/>
      </c>
      <c r="L16" s="20">
        <f>IF(AND(Inputs!$C$75="unit",B16&lt;&gt;"",Inputs!$C$77&lt;&gt;"",B16&gt;=Inputs!$C$77,OR(Inputs!$C$78="",B16&lt;=Inputs!$C$78)),1,0)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7">
        <f>IF(OR(N16=0,AP16=0),"",WORKDAY(B16,-Inputs!$C$49,Lists!$N$4:$N$30)+N(Inputs!$C$53))</f>
        <v/>
      </c>
      <c r="AP16" s="108">
        <f>Q16*Inputs!$C$48</f>
        <v/>
      </c>
      <c r="AQ16" s="107">
        <f>IF(OR(N16=0,AR16=0),"",WORKDAY(B16,-Inputs!$C$51,Lists!$N$4:$N$30)+N(Inputs!$C$53))</f>
        <v/>
      </c>
      <c r="AR16" s="108">
        <f>R16*Inputs!$C$50</f>
        <v/>
      </c>
      <c r="AS16" s="107">
        <f>IF(OR(N16=0,AT16=0),"",WORKDAY(B16,Inputs!$C$52,Lists!$N$4:$N$30)+N(Inputs!$C$53))</f>
        <v/>
      </c>
      <c r="AT16" s="108">
        <f>Q16*(1-Inputs!$C$48)+R16*(1-Inputs!$C$50)</f>
        <v/>
      </c>
      <c r="AU16" s="108">
        <f>AP16*Inputs!$C$54*M16</f>
        <v/>
      </c>
      <c r="AV16" s="108">
        <f>AR16*Inputs!$C$54*M16</f>
        <v/>
      </c>
      <c r="AW16" s="108">
        <f>AT16*Inputs!$C$54*M16</f>
        <v/>
      </c>
      <c r="AX16" s="107">
        <f>IF(N16=0,"",WORKDAY(B16,-Inputs!$C$74,Lists!$N$4:$N$30))</f>
        <v/>
      </c>
      <c r="AY16" s="107">
        <f>IF(N16=0,"",B16)</f>
        <v/>
      </c>
      <c r="AZ16" s="29">
        <f>IF(Schedule!N16="Y","Y","N")</f>
        <v/>
      </c>
      <c r="BA16" s="108">
        <f>IF(AZ16="Y",Drop_Actuals!D16,S16)</f>
        <v/>
      </c>
      <c r="BB16" s="108">
        <f>IF(AZ16="Y",Drop_Actuals!J16,AA16)</f>
        <v/>
      </c>
      <c r="BC16" s="112">
        <f>IF(AZ16="Y",Drop_Actuals!R16,AI16)</f>
        <v/>
      </c>
      <c r="BD16" s="108">
        <f>BA16-BB16</f>
        <v/>
      </c>
      <c r="BE16" s="109">
        <f>IF(BC16&gt;0,BD16/BC16,"n/a")</f>
        <v/>
      </c>
      <c r="BF16" s="29">
        <f>IF(AND(N16=0,AZ16="N"),"",IF(AZ16="Y","actual","plan"))</f>
        <v/>
      </c>
      <c r="BG16" s="20">
        <f>IF(AND(N16=1,B16&gt;=Inputs!$C$17),1,0)</f>
        <v/>
      </c>
      <c r="BH16" s="108">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08">
        <f>IF(AZ16="Y",Drop_Actuals!AM16,BH16)</f>
        <v/>
      </c>
      <c r="BJ16" s="107">
        <f>IF(BG16=1,B16,"")</f>
        <v/>
      </c>
    </row>
    <row r="17">
      <c r="A17" s="29">
        <f>Schedule!A17</f>
        <v/>
      </c>
      <c r="B17" s="107">
        <f>IF(Schedule!E17="","",Schedule!E17)</f>
        <v/>
      </c>
      <c r="C17" s="29">
        <f>IF(Schedule!G17="","",Schedule!G17)</f>
        <v/>
      </c>
      <c r="D17" s="29">
        <f>IF(Schedule!H17="","",Schedule!H17)</f>
        <v/>
      </c>
      <c r="E17" s="20">
        <f>N(Schedule!I17)</f>
        <v/>
      </c>
      <c r="F17" s="20">
        <f>N(Schedule!J17)</f>
        <v/>
      </c>
      <c r="G17" s="29">
        <f>N(Schedule!K17)</f>
        <v/>
      </c>
      <c r="H17" s="29">
        <f>N(Schedule!L17)</f>
        <v/>
      </c>
      <c r="I17" s="29">
        <f>N(Schedule!M17)</f>
        <v/>
      </c>
      <c r="J17" s="108">
        <f>IF(AND(B17&lt;&gt;"",B17&gt;Inputs!$C$15),Scenarios!$H$14,Inputs!$C$39)</f>
        <v/>
      </c>
      <c r="K17" s="108">
        <f>Inputs!$C$42</f>
        <v/>
      </c>
      <c r="L17" s="20">
        <f>IF(AND(Inputs!$C$75="unit",B17&lt;&gt;"",Inputs!$C$77&lt;&gt;"",B17&gt;=Inputs!$C$77,OR(Inputs!$C$78="",B17&lt;=Inputs!$C$78)),1,0)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7">
        <f>IF(OR(N17=0,AP17=0),"",WORKDAY(B17,-Inputs!$C$49,Lists!$N$4:$N$30)+N(Inputs!$C$53))</f>
        <v/>
      </c>
      <c r="AP17" s="108">
        <f>Q17*Inputs!$C$48</f>
        <v/>
      </c>
      <c r="AQ17" s="107">
        <f>IF(OR(N17=0,AR17=0),"",WORKDAY(B17,-Inputs!$C$51,Lists!$N$4:$N$30)+N(Inputs!$C$53))</f>
        <v/>
      </c>
      <c r="AR17" s="108">
        <f>R17*Inputs!$C$50</f>
        <v/>
      </c>
      <c r="AS17" s="107">
        <f>IF(OR(N17=0,AT17=0),"",WORKDAY(B17,Inputs!$C$52,Lists!$N$4:$N$30)+N(Inputs!$C$53))</f>
        <v/>
      </c>
      <c r="AT17" s="108">
        <f>Q17*(1-Inputs!$C$48)+R17*(1-Inputs!$C$50)</f>
        <v/>
      </c>
      <c r="AU17" s="108">
        <f>AP17*Inputs!$C$54*M17</f>
        <v/>
      </c>
      <c r="AV17" s="108">
        <f>AR17*Inputs!$C$54*M17</f>
        <v/>
      </c>
      <c r="AW17" s="108">
        <f>AT17*Inputs!$C$54*M17</f>
        <v/>
      </c>
      <c r="AX17" s="107">
        <f>IF(N17=0,"",WORKDAY(B17,-Inputs!$C$74,Lists!$N$4:$N$30))</f>
        <v/>
      </c>
      <c r="AY17" s="107">
        <f>IF(N17=0,"",B17)</f>
        <v/>
      </c>
      <c r="AZ17" s="29">
        <f>IF(Schedule!N17="Y","Y","N")</f>
        <v/>
      </c>
      <c r="BA17" s="108">
        <f>IF(AZ17="Y",Drop_Actuals!D17,S17)</f>
        <v/>
      </c>
      <c r="BB17" s="108">
        <f>IF(AZ17="Y",Drop_Actuals!J17,AA17)</f>
        <v/>
      </c>
      <c r="BC17" s="112">
        <f>IF(AZ17="Y",Drop_Actuals!R17,AI17)</f>
        <v/>
      </c>
      <c r="BD17" s="108">
        <f>BA17-BB17</f>
        <v/>
      </c>
      <c r="BE17" s="109">
        <f>IF(BC17&gt;0,BD17/BC17,"n/a")</f>
        <v/>
      </c>
      <c r="BF17" s="29">
        <f>IF(AND(N17=0,AZ17="N"),"",IF(AZ17="Y","actual","plan"))</f>
        <v/>
      </c>
      <c r="BG17" s="20">
        <f>IF(AND(N17=1,B17&gt;=Inputs!$C$17),1,0)</f>
        <v/>
      </c>
      <c r="BH17" s="108">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08">
        <f>IF(AZ17="Y",Drop_Actuals!AM17,BH17)</f>
        <v/>
      </c>
      <c r="BJ17" s="107">
        <f>IF(BG17=1,B17,"")</f>
        <v/>
      </c>
    </row>
    <row r="18">
      <c r="A18" s="29">
        <f>Schedule!A18</f>
        <v/>
      </c>
      <c r="B18" s="107">
        <f>IF(Schedule!E18="","",Schedule!E18)</f>
        <v/>
      </c>
      <c r="C18" s="29">
        <f>IF(Schedule!G18="","",Schedule!G18)</f>
        <v/>
      </c>
      <c r="D18" s="29">
        <f>IF(Schedule!H18="","",Schedule!H18)</f>
        <v/>
      </c>
      <c r="E18" s="20">
        <f>N(Schedule!I18)</f>
        <v/>
      </c>
      <c r="F18" s="20">
        <f>N(Schedule!J18)</f>
        <v/>
      </c>
      <c r="G18" s="29">
        <f>N(Schedule!K18)</f>
        <v/>
      </c>
      <c r="H18" s="29">
        <f>N(Schedule!L18)</f>
        <v/>
      </c>
      <c r="I18" s="29">
        <f>N(Schedule!M18)</f>
        <v/>
      </c>
      <c r="J18" s="108">
        <f>IF(AND(B18&lt;&gt;"",B18&gt;Inputs!$C$15),Scenarios!$H$14,Inputs!$C$39)</f>
        <v/>
      </c>
      <c r="K18" s="108">
        <f>Inputs!$C$42</f>
        <v/>
      </c>
      <c r="L18" s="20">
        <f>IF(AND(Inputs!$C$75="unit",B18&lt;&gt;"",Inputs!$C$77&lt;&gt;"",B18&gt;=Inputs!$C$77,OR(Inputs!$C$78="",B18&lt;=Inputs!$C$78)),1,0)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c r="AO18" s="107">
        <f>IF(OR(N18=0,AP18=0),"",WORKDAY(B18,-Inputs!$C$49,Lists!$N$4:$N$30)+N(Inputs!$C$53))</f>
        <v/>
      </c>
      <c r="AP18" s="108">
        <f>Q18*Inputs!$C$48</f>
        <v/>
      </c>
      <c r="AQ18" s="107">
        <f>IF(OR(N18=0,AR18=0),"",WORKDAY(B18,-Inputs!$C$51,Lists!$N$4:$N$30)+N(Inputs!$C$53))</f>
        <v/>
      </c>
      <c r="AR18" s="108">
        <f>R18*Inputs!$C$50</f>
        <v/>
      </c>
      <c r="AS18" s="107">
        <f>IF(OR(N18=0,AT18=0),"",WORKDAY(B18,Inputs!$C$52,Lists!$N$4:$N$30)+N(Inputs!$C$53))</f>
        <v/>
      </c>
      <c r="AT18" s="108">
        <f>Q18*(1-Inputs!$C$48)+R18*(1-Inputs!$C$50)</f>
        <v/>
      </c>
      <c r="AU18" s="108">
        <f>AP18*Inputs!$C$54*M18</f>
        <v/>
      </c>
      <c r="AV18" s="108">
        <f>AR18*Inputs!$C$54*M18</f>
        <v/>
      </c>
      <c r="AW18" s="108">
        <f>AT18*Inputs!$C$54*M18</f>
        <v/>
      </c>
      <c r="AX18" s="107">
        <f>IF(N18=0,"",WORKDAY(B18,-Inputs!$C$74,Lists!$N$4:$N$30))</f>
        <v/>
      </c>
      <c r="AY18" s="107">
        <f>IF(N18=0,"",B18)</f>
        <v/>
      </c>
      <c r="AZ18" s="29">
        <f>IF(Schedule!N18="Y","Y","N")</f>
        <v/>
      </c>
      <c r="BA18" s="108">
        <f>IF(AZ18="Y",Drop_Actuals!D18,S18)</f>
        <v/>
      </c>
      <c r="BB18" s="108">
        <f>IF(AZ18="Y",Drop_Actuals!J18,AA18)</f>
        <v/>
      </c>
      <c r="BC18" s="112">
        <f>IF(AZ18="Y",Drop_Actuals!R18,AI18)</f>
        <v/>
      </c>
      <c r="BD18" s="108">
        <f>BA18-BB18</f>
        <v/>
      </c>
      <c r="BE18" s="109">
        <f>IF(BC18&gt;0,BD18/BC18,"n/a")</f>
        <v/>
      </c>
      <c r="BF18" s="29">
        <f>IF(AND(N18=0,AZ18="N"),"",IF(AZ18="Y","actual","plan"))</f>
        <v/>
      </c>
      <c r="BG18" s="20">
        <f>IF(AND(N18=1,B18&gt;=Inputs!$C$17),1,0)</f>
        <v/>
      </c>
      <c r="BH18" s="108">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08">
        <f>IF(AZ18="Y",Drop_Actuals!AM18,BH18)</f>
        <v/>
      </c>
      <c r="BJ18" s="107">
        <f>IF(BG18=1,B18,"")</f>
        <v/>
      </c>
    </row>
    <row r="19">
      <c r="A19" s="8" t="inlineStr">
        <is>
          <t>Totals (all scheduled drops)</t>
        </is>
      </c>
      <c r="E19" s="21">
        <f>SUM(E7:E18)</f>
        <v/>
      </c>
      <c r="F19" s="21">
        <f>SUM(F7:F18)</f>
        <v/>
      </c>
      <c r="G19" s="8">
        <f>SUM(G7:G18)</f>
        <v/>
      </c>
      <c r="H19" s="8">
        <f>SUM(H7:H18)</f>
        <v/>
      </c>
      <c r="S19" s="113">
        <f>SUM(S7:S18)</f>
        <v/>
      </c>
      <c r="T19" s="113">
        <f>SUM(T7:T18)</f>
        <v/>
      </c>
      <c r="U19" s="113">
        <f>SUM(U7:U18)</f>
        <v/>
      </c>
      <c r="V19" s="113">
        <f>SUM(V7:V18)</f>
        <v/>
      </c>
      <c r="W19" s="113">
        <f>SUM(W7:W18)</f>
        <v/>
      </c>
      <c r="X19" s="113">
        <f>SUM(X7:X18)</f>
        <v/>
      </c>
      <c r="Y19" s="113">
        <f>SUM(Y7:Y18)</f>
        <v/>
      </c>
      <c r="Z19" s="113">
        <f>SUM(Z7:Z18)</f>
        <v/>
      </c>
      <c r="AA19" s="113">
        <f>SUM(AA7:AA18)</f>
        <v/>
      </c>
      <c r="AB19" s="114">
        <f>SUM(AB7:AB18)</f>
        <v/>
      </c>
      <c r="AC19" s="114">
        <f>SUM(AC7:AC18)</f>
        <v/>
      </c>
      <c r="AD19" s="114">
        <f>SUM(AD7:AD18)</f>
        <v/>
      </c>
      <c r="AE19" s="114">
        <f>SUM(AE7:AE18)</f>
        <v/>
      </c>
      <c r="AF19" s="114">
        <f>SUM(AF7:AF18)</f>
        <v/>
      </c>
      <c r="AG19" s="114">
        <f>SUM(AG7:AG18)</f>
        <v/>
      </c>
      <c r="AH19" s="114">
        <f>SUM(AH7:AH18)</f>
        <v/>
      </c>
      <c r="AI19" s="114">
        <f>SUM(AI7:AI18)</f>
        <v/>
      </c>
      <c r="AJ19" s="113">
        <f>SUM(AJ7:AJ18)</f>
        <v/>
      </c>
      <c r="AK19" s="110">
        <f>IF(AI19&gt;0,AJ19/AI19,"n/a")</f>
        <v/>
      </c>
      <c r="AL19" s="113">
        <f>SUM(AL7:AL18)</f>
        <v/>
      </c>
      <c r="AM19" s="113">
        <f>SUM(AM7:AM18)</f>
        <v/>
      </c>
      <c r="AP19" s="113">
        <f>SUM(AP7:AP18)</f>
        <v/>
      </c>
      <c r="AR19" s="113">
        <f>SUM(AR7:AR18)</f>
        <v/>
      </c>
      <c r="AT19" s="113">
        <f>SUM(AT7:AT18)</f>
        <v/>
      </c>
      <c r="AU19" s="113">
        <f>SUM(AU7:AU18)</f>
        <v/>
      </c>
      <c r="AV19" s="113">
        <f>SUM(AV7:AV18)</f>
        <v/>
      </c>
      <c r="AW19" s="113">
        <f>SUM(AW7:AW18)</f>
        <v/>
      </c>
      <c r="BA19" s="113">
        <f>SUM(BA7:BA18)</f>
        <v/>
      </c>
      <c r="BB19" s="113">
        <f>SUM(BB7:BB18)</f>
        <v/>
      </c>
      <c r="BC19" s="114">
        <f>SUM(BC7:BC18)</f>
        <v/>
      </c>
      <c r="BD19" s="113">
        <f>SUM(BD7:BD18)</f>
        <v/>
      </c>
      <c r="BE19" s="110">
        <f>IF(BC19&gt;0,BD19/BC19,"n/a")</f>
        <v/>
      </c>
      <c r="BH19" s="113">
        <f>SUM(BH7:BH18)</f>
        <v/>
      </c>
      <c r="BI19" s="113">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3" t="n">
        <v>1</v>
      </c>
      <c r="D4" s="83" t="n">
        <v>2</v>
      </c>
      <c r="E4" s="83" t="n">
        <v>3</v>
      </c>
      <c r="F4" s="83" t="n">
        <v>4</v>
      </c>
      <c r="G4" s="83" t="n">
        <v>5</v>
      </c>
      <c r="H4" s="83" t="n">
        <v>6</v>
      </c>
      <c r="I4" s="83" t="n">
        <v>7</v>
      </c>
      <c r="J4" s="83" t="n">
        <v>8</v>
      </c>
      <c r="K4" s="83" t="n">
        <v>9</v>
      </c>
      <c r="L4" s="83" t="n">
        <v>10</v>
      </c>
      <c r="M4" s="83" t="n">
        <v>11</v>
      </c>
      <c r="N4" s="83" t="n">
        <v>12</v>
      </c>
      <c r="O4" s="83" t="n">
        <v>13</v>
      </c>
      <c r="P4" s="83" t="n">
        <v>14</v>
      </c>
      <c r="Q4" s="83" t="n">
        <v>15</v>
      </c>
      <c r="R4" s="83" t="n">
        <v>16</v>
      </c>
      <c r="S4" s="83" t="n">
        <v>17</v>
      </c>
      <c r="T4" s="83" t="n">
        <v>18</v>
      </c>
      <c r="U4" s="83" t="n">
        <v>19</v>
      </c>
      <c r="V4" s="83" t="n">
        <v>20</v>
      </c>
      <c r="W4" s="83" t="n">
        <v>21</v>
      </c>
      <c r="X4" s="83" t="n">
        <v>22</v>
      </c>
      <c r="Y4" s="83" t="n">
        <v>23</v>
      </c>
      <c r="Z4" s="83" t="n">
        <v>24</v>
      </c>
      <c r="AA4" s="83" t="n">
        <v>25</v>
      </c>
      <c r="AB4" s="83" t="n">
        <v>26</v>
      </c>
      <c r="AC4" s="83" t="inlineStr">
        <is>
          <t>Six months</t>
        </is>
      </c>
    </row>
    <row r="5">
      <c r="B5" s="8" t="inlineStr">
        <is>
          <t>Week starts</t>
        </is>
      </c>
      <c r="C5" s="139">
        <f>Inputs!$C$10</f>
        <v/>
      </c>
      <c r="D5" s="139">
        <f>C5+Inputs!$C$18</f>
        <v/>
      </c>
      <c r="E5" s="139">
        <f>D5+Inputs!$C$18</f>
        <v/>
      </c>
      <c r="F5" s="139">
        <f>E5+Inputs!$C$18</f>
        <v/>
      </c>
      <c r="G5" s="139">
        <f>F5+Inputs!$C$18</f>
        <v/>
      </c>
      <c r="H5" s="139">
        <f>G5+Inputs!$C$18</f>
        <v/>
      </c>
      <c r="I5" s="139">
        <f>H5+Inputs!$C$18</f>
        <v/>
      </c>
      <c r="J5" s="139">
        <f>I5+Inputs!$C$18</f>
        <v/>
      </c>
      <c r="K5" s="139">
        <f>J5+Inputs!$C$18</f>
        <v/>
      </c>
      <c r="L5" s="139">
        <f>K5+Inputs!$C$18</f>
        <v/>
      </c>
      <c r="M5" s="139">
        <f>L5+Inputs!$C$18</f>
        <v/>
      </c>
      <c r="N5" s="139">
        <f>M5+Inputs!$C$18</f>
        <v/>
      </c>
      <c r="O5" s="139">
        <f>N5+Inputs!$C$18</f>
        <v/>
      </c>
      <c r="P5" s="139">
        <f>O5+Inputs!$C$18</f>
        <v/>
      </c>
      <c r="Q5" s="139">
        <f>P5+Inputs!$C$18</f>
        <v/>
      </c>
      <c r="R5" s="139">
        <f>Q5+Inputs!$C$18</f>
        <v/>
      </c>
      <c r="S5" s="139">
        <f>R5+Inputs!$C$18</f>
        <v/>
      </c>
      <c r="T5" s="139">
        <f>S5+Inputs!$C$18</f>
        <v/>
      </c>
      <c r="U5" s="139">
        <f>T5+Inputs!$C$18</f>
        <v/>
      </c>
      <c r="V5" s="139">
        <f>U5+Inputs!$C$18</f>
        <v/>
      </c>
      <c r="W5" s="139">
        <f>V5+Inputs!$C$18</f>
        <v/>
      </c>
      <c r="X5" s="139">
        <f>W5+Inputs!$C$18</f>
        <v/>
      </c>
      <c r="Y5" s="139">
        <f>X5+Inputs!$C$18</f>
        <v/>
      </c>
      <c r="Z5" s="139">
        <f>Y5+Inputs!$C$18</f>
        <v/>
      </c>
      <c r="AA5" s="139">
        <f>Z5+Inputs!$C$18</f>
        <v/>
      </c>
      <c r="AB5" s="139">
        <f>AA5+Inputs!$C$18</f>
        <v/>
      </c>
    </row>
    <row r="6">
      <c r="B6" s="8" t="inlineStr">
        <is>
          <t>Week ends</t>
        </is>
      </c>
      <c r="C6" s="139">
        <f>C5+Inputs!$C$18-1</f>
        <v/>
      </c>
      <c r="D6" s="139">
        <f>D5+Inputs!$C$18-1</f>
        <v/>
      </c>
      <c r="E6" s="139">
        <f>E5+Inputs!$C$18-1</f>
        <v/>
      </c>
      <c r="F6" s="139">
        <f>F5+Inputs!$C$18-1</f>
        <v/>
      </c>
      <c r="G6" s="139">
        <f>G5+Inputs!$C$18-1</f>
        <v/>
      </c>
      <c r="H6" s="139">
        <f>H5+Inputs!$C$18-1</f>
        <v/>
      </c>
      <c r="I6" s="139">
        <f>I5+Inputs!$C$18-1</f>
        <v/>
      </c>
      <c r="J6" s="139">
        <f>J5+Inputs!$C$18-1</f>
        <v/>
      </c>
      <c r="K6" s="139">
        <f>K5+Inputs!$C$18-1</f>
        <v/>
      </c>
      <c r="L6" s="139">
        <f>L5+Inputs!$C$18-1</f>
        <v/>
      </c>
      <c r="M6" s="139">
        <f>M5+Inputs!$C$18-1</f>
        <v/>
      </c>
      <c r="N6" s="139">
        <f>N5+Inputs!$C$18-1</f>
        <v/>
      </c>
      <c r="O6" s="139">
        <f>O5+Inputs!$C$18-1</f>
        <v/>
      </c>
      <c r="P6" s="139">
        <f>P5+Inputs!$C$18-1</f>
        <v/>
      </c>
      <c r="Q6" s="139">
        <f>Q5+Inputs!$C$18-1</f>
        <v/>
      </c>
      <c r="R6" s="139">
        <f>R5+Inputs!$C$18-1</f>
        <v/>
      </c>
      <c r="S6" s="139">
        <f>S5+Inputs!$C$18-1</f>
        <v/>
      </c>
      <c r="T6" s="139">
        <f>T5+Inputs!$C$18-1</f>
        <v/>
      </c>
      <c r="U6" s="139">
        <f>U5+Inputs!$C$18-1</f>
        <v/>
      </c>
      <c r="V6" s="139">
        <f>V5+Inputs!$C$18-1</f>
        <v/>
      </c>
      <c r="W6" s="139">
        <f>W5+Inputs!$C$18-1</f>
        <v/>
      </c>
      <c r="X6" s="139">
        <f>X5+Inputs!$C$18-1</f>
        <v/>
      </c>
      <c r="Y6" s="139">
        <f>Y5+Inputs!$C$18-1</f>
        <v/>
      </c>
      <c r="Z6" s="139">
        <f>Z5+Inputs!$C$18-1</f>
        <v/>
      </c>
      <c r="AA6" s="139">
        <f>AA5+Inputs!$C$18-1</f>
        <v/>
      </c>
      <c r="AB6" s="139">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08">
        <f>SUMIFS(Drop_PnL!$AP$7:$AP$18,Drop_PnL!$AO$7:$AO$18,"&gt;="&amp;C$5,Drop_PnL!$AO$7:$AO$18,"&lt;="&amp;C$6,Drop_PnL!$AZ$7:$AZ$18,"N")+SUMIFS(Drop_PnL!$AR$7:$AR$18,Drop_PnL!$AQ$7:$AQ$18,"&gt;="&amp;C$5,Drop_PnL!$AQ$7:$AQ$18,"&lt;="&amp;C$6,Drop_PnL!$AZ$7:$AZ$18,"N")+SUMIFS(Drop_PnL!$AT$7:$AT$18,Drop_PnL!$AS$7:$AS$18,"&gt;="&amp;C$5,Drop_PnL!$AS$7:$AS$18,"&lt;="&amp;C$6,Drop_PnL!$AZ$7:$AZ$18,"N")</f>
        <v/>
      </c>
      <c r="D9" s="108">
        <f>SUMIFS(Drop_PnL!$AP$7:$AP$18,Drop_PnL!$AO$7:$AO$18,"&gt;="&amp;D$5,Drop_PnL!$AO$7:$AO$18,"&lt;="&amp;D$6,Drop_PnL!$AZ$7:$AZ$18,"N")+SUMIFS(Drop_PnL!$AR$7:$AR$18,Drop_PnL!$AQ$7:$AQ$18,"&gt;="&amp;D$5,Drop_PnL!$AQ$7:$AQ$18,"&lt;="&amp;D$6,Drop_PnL!$AZ$7:$AZ$18,"N")+SUMIFS(Drop_PnL!$AT$7:$AT$18,Drop_PnL!$AS$7:$AS$18,"&gt;="&amp;D$5,Drop_PnL!$AS$7:$AS$18,"&lt;="&amp;D$6,Drop_PnL!$AZ$7:$AZ$18,"N")</f>
        <v/>
      </c>
      <c r="E9" s="108">
        <f>SUMIFS(Drop_PnL!$AP$7:$AP$18,Drop_PnL!$AO$7:$AO$18,"&gt;="&amp;E$5,Drop_PnL!$AO$7:$AO$18,"&lt;="&amp;E$6,Drop_PnL!$AZ$7:$AZ$18,"N")+SUMIFS(Drop_PnL!$AR$7:$AR$18,Drop_PnL!$AQ$7:$AQ$18,"&gt;="&amp;E$5,Drop_PnL!$AQ$7:$AQ$18,"&lt;="&amp;E$6,Drop_PnL!$AZ$7:$AZ$18,"N")+SUMIFS(Drop_PnL!$AT$7:$AT$18,Drop_PnL!$AS$7:$AS$18,"&gt;="&amp;E$5,Drop_PnL!$AS$7:$AS$18,"&lt;="&amp;E$6,Drop_PnL!$AZ$7:$AZ$18,"N")</f>
        <v/>
      </c>
      <c r="F9" s="108">
        <f>SUMIFS(Drop_PnL!$AP$7:$AP$18,Drop_PnL!$AO$7:$AO$18,"&gt;="&amp;F$5,Drop_PnL!$AO$7:$AO$18,"&lt;="&amp;F$6,Drop_PnL!$AZ$7:$AZ$18,"N")+SUMIFS(Drop_PnL!$AR$7:$AR$18,Drop_PnL!$AQ$7:$AQ$18,"&gt;="&amp;F$5,Drop_PnL!$AQ$7:$AQ$18,"&lt;="&amp;F$6,Drop_PnL!$AZ$7:$AZ$18,"N")+SUMIFS(Drop_PnL!$AT$7:$AT$18,Drop_PnL!$AS$7:$AS$18,"&gt;="&amp;F$5,Drop_PnL!$AS$7:$AS$18,"&lt;="&amp;F$6,Drop_PnL!$AZ$7:$AZ$18,"N")</f>
        <v/>
      </c>
      <c r="G9" s="108">
        <f>SUMIFS(Drop_PnL!$AP$7:$AP$18,Drop_PnL!$AO$7:$AO$18,"&gt;="&amp;G$5,Drop_PnL!$AO$7:$AO$18,"&lt;="&amp;G$6,Drop_PnL!$AZ$7:$AZ$18,"N")+SUMIFS(Drop_PnL!$AR$7:$AR$18,Drop_PnL!$AQ$7:$AQ$18,"&gt;="&amp;G$5,Drop_PnL!$AQ$7:$AQ$18,"&lt;="&amp;G$6,Drop_PnL!$AZ$7:$AZ$18,"N")+SUMIFS(Drop_PnL!$AT$7:$AT$18,Drop_PnL!$AS$7:$AS$18,"&gt;="&amp;G$5,Drop_PnL!$AS$7:$AS$18,"&lt;="&amp;G$6,Drop_PnL!$AZ$7:$AZ$18,"N")</f>
        <v/>
      </c>
      <c r="H9" s="108">
        <f>SUMIFS(Drop_PnL!$AP$7:$AP$18,Drop_PnL!$AO$7:$AO$18,"&gt;="&amp;H$5,Drop_PnL!$AO$7:$AO$18,"&lt;="&amp;H$6,Drop_PnL!$AZ$7:$AZ$18,"N")+SUMIFS(Drop_PnL!$AR$7:$AR$18,Drop_PnL!$AQ$7:$AQ$18,"&gt;="&amp;H$5,Drop_PnL!$AQ$7:$AQ$18,"&lt;="&amp;H$6,Drop_PnL!$AZ$7:$AZ$18,"N")+SUMIFS(Drop_PnL!$AT$7:$AT$18,Drop_PnL!$AS$7:$AS$18,"&gt;="&amp;H$5,Drop_PnL!$AS$7:$AS$18,"&lt;="&amp;H$6,Drop_PnL!$AZ$7:$AZ$18,"N")</f>
        <v/>
      </c>
      <c r="I9" s="108">
        <f>SUMIFS(Drop_PnL!$AP$7:$AP$18,Drop_PnL!$AO$7:$AO$18,"&gt;="&amp;I$5,Drop_PnL!$AO$7:$AO$18,"&lt;="&amp;I$6,Drop_PnL!$AZ$7:$AZ$18,"N")+SUMIFS(Drop_PnL!$AR$7:$AR$18,Drop_PnL!$AQ$7:$AQ$18,"&gt;="&amp;I$5,Drop_PnL!$AQ$7:$AQ$18,"&lt;="&amp;I$6,Drop_PnL!$AZ$7:$AZ$18,"N")+SUMIFS(Drop_PnL!$AT$7:$AT$18,Drop_PnL!$AS$7:$AS$18,"&gt;="&amp;I$5,Drop_PnL!$AS$7:$AS$18,"&lt;="&amp;I$6,Drop_PnL!$AZ$7:$AZ$18,"N")</f>
        <v/>
      </c>
      <c r="J9" s="108">
        <f>SUMIFS(Drop_PnL!$AP$7:$AP$18,Drop_PnL!$AO$7:$AO$18,"&gt;="&amp;J$5,Drop_PnL!$AO$7:$AO$18,"&lt;="&amp;J$6,Drop_PnL!$AZ$7:$AZ$18,"N")+SUMIFS(Drop_PnL!$AR$7:$AR$18,Drop_PnL!$AQ$7:$AQ$18,"&gt;="&amp;J$5,Drop_PnL!$AQ$7:$AQ$18,"&lt;="&amp;J$6,Drop_PnL!$AZ$7:$AZ$18,"N")+SUMIFS(Drop_PnL!$AT$7:$AT$18,Drop_PnL!$AS$7:$AS$18,"&gt;="&amp;J$5,Drop_PnL!$AS$7:$AS$18,"&lt;="&amp;J$6,Drop_PnL!$AZ$7:$AZ$18,"N")</f>
        <v/>
      </c>
      <c r="K9" s="108">
        <f>SUMIFS(Drop_PnL!$AP$7:$AP$18,Drop_PnL!$AO$7:$AO$18,"&gt;="&amp;K$5,Drop_PnL!$AO$7:$AO$18,"&lt;="&amp;K$6,Drop_PnL!$AZ$7:$AZ$18,"N")+SUMIFS(Drop_PnL!$AR$7:$AR$18,Drop_PnL!$AQ$7:$AQ$18,"&gt;="&amp;K$5,Drop_PnL!$AQ$7:$AQ$18,"&lt;="&amp;K$6,Drop_PnL!$AZ$7:$AZ$18,"N")+SUMIFS(Drop_PnL!$AT$7:$AT$18,Drop_PnL!$AS$7:$AS$18,"&gt;="&amp;K$5,Drop_PnL!$AS$7:$AS$18,"&lt;="&amp;K$6,Drop_PnL!$AZ$7:$AZ$18,"N")</f>
        <v/>
      </c>
      <c r="L9" s="108">
        <f>SUMIFS(Drop_PnL!$AP$7:$AP$18,Drop_PnL!$AO$7:$AO$18,"&gt;="&amp;L$5,Drop_PnL!$AO$7:$AO$18,"&lt;="&amp;L$6,Drop_PnL!$AZ$7:$AZ$18,"N")+SUMIFS(Drop_PnL!$AR$7:$AR$18,Drop_PnL!$AQ$7:$AQ$18,"&gt;="&amp;L$5,Drop_PnL!$AQ$7:$AQ$18,"&lt;="&amp;L$6,Drop_PnL!$AZ$7:$AZ$18,"N")+SUMIFS(Drop_PnL!$AT$7:$AT$18,Drop_PnL!$AS$7:$AS$18,"&gt;="&amp;L$5,Drop_PnL!$AS$7:$AS$18,"&lt;="&amp;L$6,Drop_PnL!$AZ$7:$AZ$18,"N")</f>
        <v/>
      </c>
      <c r="M9" s="108">
        <f>SUMIFS(Drop_PnL!$AP$7:$AP$18,Drop_PnL!$AO$7:$AO$18,"&gt;="&amp;M$5,Drop_PnL!$AO$7:$AO$18,"&lt;="&amp;M$6,Drop_PnL!$AZ$7:$AZ$18,"N")+SUMIFS(Drop_PnL!$AR$7:$AR$18,Drop_PnL!$AQ$7:$AQ$18,"&gt;="&amp;M$5,Drop_PnL!$AQ$7:$AQ$18,"&lt;="&amp;M$6,Drop_PnL!$AZ$7:$AZ$18,"N")+SUMIFS(Drop_PnL!$AT$7:$AT$18,Drop_PnL!$AS$7:$AS$18,"&gt;="&amp;M$5,Drop_PnL!$AS$7:$AS$18,"&lt;="&amp;M$6,Drop_PnL!$AZ$7:$AZ$18,"N")</f>
        <v/>
      </c>
      <c r="N9" s="108">
        <f>SUMIFS(Drop_PnL!$AP$7:$AP$18,Drop_PnL!$AO$7:$AO$18,"&gt;="&amp;N$5,Drop_PnL!$AO$7:$AO$18,"&lt;="&amp;N$6,Drop_PnL!$AZ$7:$AZ$18,"N")+SUMIFS(Drop_PnL!$AR$7:$AR$18,Drop_PnL!$AQ$7:$AQ$18,"&gt;="&amp;N$5,Drop_PnL!$AQ$7:$AQ$18,"&lt;="&amp;N$6,Drop_PnL!$AZ$7:$AZ$18,"N")+SUMIFS(Drop_PnL!$AT$7:$AT$18,Drop_PnL!$AS$7:$AS$18,"&gt;="&amp;N$5,Drop_PnL!$AS$7:$AS$18,"&lt;="&amp;N$6,Drop_PnL!$AZ$7:$AZ$18,"N")</f>
        <v/>
      </c>
      <c r="O9" s="108">
        <f>SUMIFS(Drop_PnL!$AP$7:$AP$18,Drop_PnL!$AO$7:$AO$18,"&gt;="&amp;O$5,Drop_PnL!$AO$7:$AO$18,"&lt;="&amp;O$6,Drop_PnL!$AZ$7:$AZ$18,"N")+SUMIFS(Drop_PnL!$AR$7:$AR$18,Drop_PnL!$AQ$7:$AQ$18,"&gt;="&amp;O$5,Drop_PnL!$AQ$7:$AQ$18,"&lt;="&amp;O$6,Drop_PnL!$AZ$7:$AZ$18,"N")+SUMIFS(Drop_PnL!$AT$7:$AT$18,Drop_PnL!$AS$7:$AS$18,"&gt;="&amp;O$5,Drop_PnL!$AS$7:$AS$18,"&lt;="&amp;O$6,Drop_PnL!$AZ$7:$AZ$18,"N")</f>
        <v/>
      </c>
      <c r="P9" s="108">
        <f>SUMIFS(Drop_PnL!$AP$7:$AP$18,Drop_PnL!$AO$7:$AO$18,"&gt;="&amp;P$5,Drop_PnL!$AO$7:$AO$18,"&lt;="&amp;P$6,Drop_PnL!$AZ$7:$AZ$18,"N")+SUMIFS(Drop_PnL!$AR$7:$AR$18,Drop_PnL!$AQ$7:$AQ$18,"&gt;="&amp;P$5,Drop_PnL!$AQ$7:$AQ$18,"&lt;="&amp;P$6,Drop_PnL!$AZ$7:$AZ$18,"N")+SUMIFS(Drop_PnL!$AT$7:$AT$18,Drop_PnL!$AS$7:$AS$18,"&gt;="&amp;P$5,Drop_PnL!$AS$7:$AS$18,"&lt;="&amp;P$6,Drop_PnL!$AZ$7:$AZ$18,"N")</f>
        <v/>
      </c>
      <c r="Q9" s="108">
        <f>SUMIFS(Drop_PnL!$AP$7:$AP$18,Drop_PnL!$AO$7:$AO$18,"&gt;="&amp;Q$5,Drop_PnL!$AO$7:$AO$18,"&lt;="&amp;Q$6,Drop_PnL!$AZ$7:$AZ$18,"N")+SUMIFS(Drop_PnL!$AR$7:$AR$18,Drop_PnL!$AQ$7:$AQ$18,"&gt;="&amp;Q$5,Drop_PnL!$AQ$7:$AQ$18,"&lt;="&amp;Q$6,Drop_PnL!$AZ$7:$AZ$18,"N")+SUMIFS(Drop_PnL!$AT$7:$AT$18,Drop_PnL!$AS$7:$AS$18,"&gt;="&amp;Q$5,Drop_PnL!$AS$7:$AS$18,"&lt;="&amp;Q$6,Drop_PnL!$AZ$7:$AZ$18,"N")</f>
        <v/>
      </c>
      <c r="R9" s="108">
        <f>SUMIFS(Drop_PnL!$AP$7:$AP$18,Drop_PnL!$AO$7:$AO$18,"&gt;="&amp;R$5,Drop_PnL!$AO$7:$AO$18,"&lt;="&amp;R$6,Drop_PnL!$AZ$7:$AZ$18,"N")+SUMIFS(Drop_PnL!$AR$7:$AR$18,Drop_PnL!$AQ$7:$AQ$18,"&gt;="&amp;R$5,Drop_PnL!$AQ$7:$AQ$18,"&lt;="&amp;R$6,Drop_PnL!$AZ$7:$AZ$18,"N")+SUMIFS(Drop_PnL!$AT$7:$AT$18,Drop_PnL!$AS$7:$AS$18,"&gt;="&amp;R$5,Drop_PnL!$AS$7:$AS$18,"&lt;="&amp;R$6,Drop_PnL!$AZ$7:$AZ$18,"N")</f>
        <v/>
      </c>
      <c r="S9" s="108">
        <f>SUMIFS(Drop_PnL!$AP$7:$AP$18,Drop_PnL!$AO$7:$AO$18,"&gt;="&amp;S$5,Drop_PnL!$AO$7:$AO$18,"&lt;="&amp;S$6,Drop_PnL!$AZ$7:$AZ$18,"N")+SUMIFS(Drop_PnL!$AR$7:$AR$18,Drop_PnL!$AQ$7:$AQ$18,"&gt;="&amp;S$5,Drop_PnL!$AQ$7:$AQ$18,"&lt;="&amp;S$6,Drop_PnL!$AZ$7:$AZ$18,"N")+SUMIFS(Drop_PnL!$AT$7:$AT$18,Drop_PnL!$AS$7:$AS$18,"&gt;="&amp;S$5,Drop_PnL!$AS$7:$AS$18,"&lt;="&amp;S$6,Drop_PnL!$AZ$7:$AZ$18,"N")</f>
        <v/>
      </c>
      <c r="T9" s="108">
        <f>SUMIFS(Drop_PnL!$AP$7:$AP$18,Drop_PnL!$AO$7:$AO$18,"&gt;="&amp;T$5,Drop_PnL!$AO$7:$AO$18,"&lt;="&amp;T$6,Drop_PnL!$AZ$7:$AZ$18,"N")+SUMIFS(Drop_PnL!$AR$7:$AR$18,Drop_PnL!$AQ$7:$AQ$18,"&gt;="&amp;T$5,Drop_PnL!$AQ$7:$AQ$18,"&lt;="&amp;T$6,Drop_PnL!$AZ$7:$AZ$18,"N")+SUMIFS(Drop_PnL!$AT$7:$AT$18,Drop_PnL!$AS$7:$AS$18,"&gt;="&amp;T$5,Drop_PnL!$AS$7:$AS$18,"&lt;="&amp;T$6,Drop_PnL!$AZ$7:$AZ$18,"N")</f>
        <v/>
      </c>
      <c r="U9" s="108">
        <f>SUMIFS(Drop_PnL!$AP$7:$AP$18,Drop_PnL!$AO$7:$AO$18,"&gt;="&amp;U$5,Drop_PnL!$AO$7:$AO$18,"&lt;="&amp;U$6,Drop_PnL!$AZ$7:$AZ$18,"N")+SUMIFS(Drop_PnL!$AR$7:$AR$18,Drop_PnL!$AQ$7:$AQ$18,"&gt;="&amp;U$5,Drop_PnL!$AQ$7:$AQ$18,"&lt;="&amp;U$6,Drop_PnL!$AZ$7:$AZ$18,"N")+SUMIFS(Drop_PnL!$AT$7:$AT$18,Drop_PnL!$AS$7:$AS$18,"&gt;="&amp;U$5,Drop_PnL!$AS$7:$AS$18,"&lt;="&amp;U$6,Drop_PnL!$AZ$7:$AZ$18,"N")</f>
        <v/>
      </c>
      <c r="V9" s="108">
        <f>SUMIFS(Drop_PnL!$AP$7:$AP$18,Drop_PnL!$AO$7:$AO$18,"&gt;="&amp;V$5,Drop_PnL!$AO$7:$AO$18,"&lt;="&amp;V$6,Drop_PnL!$AZ$7:$AZ$18,"N")+SUMIFS(Drop_PnL!$AR$7:$AR$18,Drop_PnL!$AQ$7:$AQ$18,"&gt;="&amp;V$5,Drop_PnL!$AQ$7:$AQ$18,"&lt;="&amp;V$6,Drop_PnL!$AZ$7:$AZ$18,"N")+SUMIFS(Drop_PnL!$AT$7:$AT$18,Drop_PnL!$AS$7:$AS$18,"&gt;="&amp;V$5,Drop_PnL!$AS$7:$AS$18,"&lt;="&amp;V$6,Drop_PnL!$AZ$7:$AZ$18,"N")</f>
        <v/>
      </c>
      <c r="W9" s="108">
        <f>SUMIFS(Drop_PnL!$AP$7:$AP$18,Drop_PnL!$AO$7:$AO$18,"&gt;="&amp;W$5,Drop_PnL!$AO$7:$AO$18,"&lt;="&amp;W$6,Drop_PnL!$AZ$7:$AZ$18,"N")+SUMIFS(Drop_PnL!$AR$7:$AR$18,Drop_PnL!$AQ$7:$AQ$18,"&gt;="&amp;W$5,Drop_PnL!$AQ$7:$AQ$18,"&lt;="&amp;W$6,Drop_PnL!$AZ$7:$AZ$18,"N")+SUMIFS(Drop_PnL!$AT$7:$AT$18,Drop_PnL!$AS$7:$AS$18,"&gt;="&amp;W$5,Drop_PnL!$AS$7:$AS$18,"&lt;="&amp;W$6,Drop_PnL!$AZ$7:$AZ$18,"N")</f>
        <v/>
      </c>
      <c r="X9" s="108">
        <f>SUMIFS(Drop_PnL!$AP$7:$AP$18,Drop_PnL!$AO$7:$AO$18,"&gt;="&amp;X$5,Drop_PnL!$AO$7:$AO$18,"&lt;="&amp;X$6,Drop_PnL!$AZ$7:$AZ$18,"N")+SUMIFS(Drop_PnL!$AR$7:$AR$18,Drop_PnL!$AQ$7:$AQ$18,"&gt;="&amp;X$5,Drop_PnL!$AQ$7:$AQ$18,"&lt;="&amp;X$6,Drop_PnL!$AZ$7:$AZ$18,"N")+SUMIFS(Drop_PnL!$AT$7:$AT$18,Drop_PnL!$AS$7:$AS$18,"&gt;="&amp;X$5,Drop_PnL!$AS$7:$AS$18,"&lt;="&amp;X$6,Drop_PnL!$AZ$7:$AZ$18,"N")</f>
        <v/>
      </c>
      <c r="Y9" s="108">
        <f>SUMIFS(Drop_PnL!$AP$7:$AP$18,Drop_PnL!$AO$7:$AO$18,"&gt;="&amp;Y$5,Drop_PnL!$AO$7:$AO$18,"&lt;="&amp;Y$6,Drop_PnL!$AZ$7:$AZ$18,"N")+SUMIFS(Drop_PnL!$AR$7:$AR$18,Drop_PnL!$AQ$7:$AQ$18,"&gt;="&amp;Y$5,Drop_PnL!$AQ$7:$AQ$18,"&lt;="&amp;Y$6,Drop_PnL!$AZ$7:$AZ$18,"N")+SUMIFS(Drop_PnL!$AT$7:$AT$18,Drop_PnL!$AS$7:$AS$18,"&gt;="&amp;Y$5,Drop_PnL!$AS$7:$AS$18,"&lt;="&amp;Y$6,Drop_PnL!$AZ$7:$AZ$18,"N")</f>
        <v/>
      </c>
      <c r="Z9" s="108">
        <f>SUMIFS(Drop_PnL!$AP$7:$AP$18,Drop_PnL!$AO$7:$AO$18,"&gt;="&amp;Z$5,Drop_PnL!$AO$7:$AO$18,"&lt;="&amp;Z$6,Drop_PnL!$AZ$7:$AZ$18,"N")+SUMIFS(Drop_PnL!$AR$7:$AR$18,Drop_PnL!$AQ$7:$AQ$18,"&gt;="&amp;Z$5,Drop_PnL!$AQ$7:$AQ$18,"&lt;="&amp;Z$6,Drop_PnL!$AZ$7:$AZ$18,"N")+SUMIFS(Drop_PnL!$AT$7:$AT$18,Drop_PnL!$AS$7:$AS$18,"&gt;="&amp;Z$5,Drop_PnL!$AS$7:$AS$18,"&lt;="&amp;Z$6,Drop_PnL!$AZ$7:$AZ$18,"N")</f>
        <v/>
      </c>
      <c r="AA9" s="108">
        <f>SUMIFS(Drop_PnL!$AP$7:$AP$18,Drop_PnL!$AO$7:$AO$18,"&gt;="&amp;AA$5,Drop_PnL!$AO$7:$AO$18,"&lt;="&amp;AA$6,Drop_PnL!$AZ$7:$AZ$18,"N")+SUMIFS(Drop_PnL!$AR$7:$AR$18,Drop_PnL!$AQ$7:$AQ$18,"&gt;="&amp;AA$5,Drop_PnL!$AQ$7:$AQ$18,"&lt;="&amp;AA$6,Drop_PnL!$AZ$7:$AZ$18,"N")+SUMIFS(Drop_PnL!$AT$7:$AT$18,Drop_PnL!$AS$7:$AS$18,"&gt;="&amp;AA$5,Drop_PnL!$AS$7:$AS$18,"&lt;="&amp;AA$6,Drop_PnL!$AZ$7:$AZ$18,"N")</f>
        <v/>
      </c>
      <c r="AB9" s="108">
        <f>SUMIFS(Drop_PnL!$AP$7:$AP$18,Drop_PnL!$AO$7:$AO$18,"&gt;="&amp;AB$5,Drop_PnL!$AO$7:$AO$18,"&lt;="&amp;AB$6,Drop_PnL!$AZ$7:$AZ$18,"N")+SUMIFS(Drop_PnL!$AR$7:$AR$18,Drop_PnL!$AQ$7:$AQ$18,"&gt;="&amp;AB$5,Drop_PnL!$AQ$7:$AQ$18,"&lt;="&amp;AB$6,Drop_PnL!$AZ$7:$AZ$18,"N")+SUMIFS(Drop_PnL!$AT$7:$AT$18,Drop_PnL!$AS$7:$AS$18,"&gt;="&amp;AB$5,Drop_PnL!$AS$7:$AS$18,"&lt;="&amp;AB$6,Drop_PnL!$AZ$7:$AZ$18,"N")</f>
        <v/>
      </c>
      <c r="AC9" s="113">
        <f>SUM(C9:AB9)</f>
        <v/>
      </c>
    </row>
    <row r="10">
      <c r="B10" s="29" t="inlineStr">
        <is>
          <t>Brand receipts, actual (drops with actuals)</t>
        </is>
      </c>
      <c r="C10" s="108">
        <f>SUMIFS(Actuals_Campaigns!$X$5:$X$204,Actuals_Campaigns!$Y$5:$Y$204,"&gt;="&amp;C$5,Actuals_Campaigns!$Y$5:$Y$204,"&lt;="&amp;C$6,Actuals_Campaigns!$AL$5:$AL$204,"Y")+SUMIFS(Actuals_Campaigns!$AM$5:$AM$204,Actuals_Campaigns!$S$5:$S$204,"&gt;="&amp;C$5,Actuals_Campaigns!$S$5:$S$204,"&lt;="&amp;C$6,Actuals_Campaigns!$AL$5:$AL$204,"Y")</f>
        <v/>
      </c>
      <c r="D10" s="108">
        <f>SUMIFS(Actuals_Campaigns!$X$5:$X$204,Actuals_Campaigns!$Y$5:$Y$204,"&gt;="&amp;D$5,Actuals_Campaigns!$Y$5:$Y$204,"&lt;="&amp;D$6,Actuals_Campaigns!$AL$5:$AL$204,"Y")+SUMIFS(Actuals_Campaigns!$AM$5:$AM$204,Actuals_Campaigns!$S$5:$S$204,"&gt;="&amp;D$5,Actuals_Campaigns!$S$5:$S$204,"&lt;="&amp;D$6,Actuals_Campaigns!$AL$5:$AL$204,"Y")</f>
        <v/>
      </c>
      <c r="E10" s="108">
        <f>SUMIFS(Actuals_Campaigns!$X$5:$X$204,Actuals_Campaigns!$Y$5:$Y$204,"&gt;="&amp;E$5,Actuals_Campaigns!$Y$5:$Y$204,"&lt;="&amp;E$6,Actuals_Campaigns!$AL$5:$AL$204,"Y")+SUMIFS(Actuals_Campaigns!$AM$5:$AM$204,Actuals_Campaigns!$S$5:$S$204,"&gt;="&amp;E$5,Actuals_Campaigns!$S$5:$S$204,"&lt;="&amp;E$6,Actuals_Campaigns!$AL$5:$AL$204,"Y")</f>
        <v/>
      </c>
      <c r="F10" s="108">
        <f>SUMIFS(Actuals_Campaigns!$X$5:$X$204,Actuals_Campaigns!$Y$5:$Y$204,"&gt;="&amp;F$5,Actuals_Campaigns!$Y$5:$Y$204,"&lt;="&amp;F$6,Actuals_Campaigns!$AL$5:$AL$204,"Y")+SUMIFS(Actuals_Campaigns!$AM$5:$AM$204,Actuals_Campaigns!$S$5:$S$204,"&gt;="&amp;F$5,Actuals_Campaigns!$S$5:$S$204,"&lt;="&amp;F$6,Actuals_Campaigns!$AL$5:$AL$204,"Y")</f>
        <v/>
      </c>
      <c r="G10" s="108">
        <f>SUMIFS(Actuals_Campaigns!$X$5:$X$204,Actuals_Campaigns!$Y$5:$Y$204,"&gt;="&amp;G$5,Actuals_Campaigns!$Y$5:$Y$204,"&lt;="&amp;G$6,Actuals_Campaigns!$AL$5:$AL$204,"Y")+SUMIFS(Actuals_Campaigns!$AM$5:$AM$204,Actuals_Campaigns!$S$5:$S$204,"&gt;="&amp;G$5,Actuals_Campaigns!$S$5:$S$204,"&lt;="&amp;G$6,Actuals_Campaigns!$AL$5:$AL$204,"Y")</f>
        <v/>
      </c>
      <c r="H10" s="108">
        <f>SUMIFS(Actuals_Campaigns!$X$5:$X$204,Actuals_Campaigns!$Y$5:$Y$204,"&gt;="&amp;H$5,Actuals_Campaigns!$Y$5:$Y$204,"&lt;="&amp;H$6,Actuals_Campaigns!$AL$5:$AL$204,"Y")+SUMIFS(Actuals_Campaigns!$AM$5:$AM$204,Actuals_Campaigns!$S$5:$S$204,"&gt;="&amp;H$5,Actuals_Campaigns!$S$5:$S$204,"&lt;="&amp;H$6,Actuals_Campaigns!$AL$5:$AL$204,"Y")</f>
        <v/>
      </c>
      <c r="I10" s="108">
        <f>SUMIFS(Actuals_Campaigns!$X$5:$X$204,Actuals_Campaigns!$Y$5:$Y$204,"&gt;="&amp;I$5,Actuals_Campaigns!$Y$5:$Y$204,"&lt;="&amp;I$6,Actuals_Campaigns!$AL$5:$AL$204,"Y")+SUMIFS(Actuals_Campaigns!$AM$5:$AM$204,Actuals_Campaigns!$S$5:$S$204,"&gt;="&amp;I$5,Actuals_Campaigns!$S$5:$S$204,"&lt;="&amp;I$6,Actuals_Campaigns!$AL$5:$AL$204,"Y")</f>
        <v/>
      </c>
      <c r="J10" s="108">
        <f>SUMIFS(Actuals_Campaigns!$X$5:$X$204,Actuals_Campaigns!$Y$5:$Y$204,"&gt;="&amp;J$5,Actuals_Campaigns!$Y$5:$Y$204,"&lt;="&amp;J$6,Actuals_Campaigns!$AL$5:$AL$204,"Y")+SUMIFS(Actuals_Campaigns!$AM$5:$AM$204,Actuals_Campaigns!$S$5:$S$204,"&gt;="&amp;J$5,Actuals_Campaigns!$S$5:$S$204,"&lt;="&amp;J$6,Actuals_Campaigns!$AL$5:$AL$204,"Y")</f>
        <v/>
      </c>
      <c r="K10" s="108">
        <f>SUMIFS(Actuals_Campaigns!$X$5:$X$204,Actuals_Campaigns!$Y$5:$Y$204,"&gt;="&amp;K$5,Actuals_Campaigns!$Y$5:$Y$204,"&lt;="&amp;K$6,Actuals_Campaigns!$AL$5:$AL$204,"Y")+SUMIFS(Actuals_Campaigns!$AM$5:$AM$204,Actuals_Campaigns!$S$5:$S$204,"&gt;="&amp;K$5,Actuals_Campaigns!$S$5:$S$204,"&lt;="&amp;K$6,Actuals_Campaigns!$AL$5:$AL$204,"Y")</f>
        <v/>
      </c>
      <c r="L10" s="108">
        <f>SUMIFS(Actuals_Campaigns!$X$5:$X$204,Actuals_Campaigns!$Y$5:$Y$204,"&gt;="&amp;L$5,Actuals_Campaigns!$Y$5:$Y$204,"&lt;="&amp;L$6,Actuals_Campaigns!$AL$5:$AL$204,"Y")+SUMIFS(Actuals_Campaigns!$AM$5:$AM$204,Actuals_Campaigns!$S$5:$S$204,"&gt;="&amp;L$5,Actuals_Campaigns!$S$5:$S$204,"&lt;="&amp;L$6,Actuals_Campaigns!$AL$5:$AL$204,"Y")</f>
        <v/>
      </c>
      <c r="M10" s="108">
        <f>SUMIFS(Actuals_Campaigns!$X$5:$X$204,Actuals_Campaigns!$Y$5:$Y$204,"&gt;="&amp;M$5,Actuals_Campaigns!$Y$5:$Y$204,"&lt;="&amp;M$6,Actuals_Campaigns!$AL$5:$AL$204,"Y")+SUMIFS(Actuals_Campaigns!$AM$5:$AM$204,Actuals_Campaigns!$S$5:$S$204,"&gt;="&amp;M$5,Actuals_Campaigns!$S$5:$S$204,"&lt;="&amp;M$6,Actuals_Campaigns!$AL$5:$AL$204,"Y")</f>
        <v/>
      </c>
      <c r="N10" s="108">
        <f>SUMIFS(Actuals_Campaigns!$X$5:$X$204,Actuals_Campaigns!$Y$5:$Y$204,"&gt;="&amp;N$5,Actuals_Campaigns!$Y$5:$Y$204,"&lt;="&amp;N$6,Actuals_Campaigns!$AL$5:$AL$204,"Y")+SUMIFS(Actuals_Campaigns!$AM$5:$AM$204,Actuals_Campaigns!$S$5:$S$204,"&gt;="&amp;N$5,Actuals_Campaigns!$S$5:$S$204,"&lt;="&amp;N$6,Actuals_Campaigns!$AL$5:$AL$204,"Y")</f>
        <v/>
      </c>
      <c r="O10" s="108">
        <f>SUMIFS(Actuals_Campaigns!$X$5:$X$204,Actuals_Campaigns!$Y$5:$Y$204,"&gt;="&amp;O$5,Actuals_Campaigns!$Y$5:$Y$204,"&lt;="&amp;O$6,Actuals_Campaigns!$AL$5:$AL$204,"Y")+SUMIFS(Actuals_Campaigns!$AM$5:$AM$204,Actuals_Campaigns!$S$5:$S$204,"&gt;="&amp;O$5,Actuals_Campaigns!$S$5:$S$204,"&lt;="&amp;O$6,Actuals_Campaigns!$AL$5:$AL$204,"Y")</f>
        <v/>
      </c>
      <c r="P10" s="108">
        <f>SUMIFS(Actuals_Campaigns!$X$5:$X$204,Actuals_Campaigns!$Y$5:$Y$204,"&gt;="&amp;P$5,Actuals_Campaigns!$Y$5:$Y$204,"&lt;="&amp;P$6,Actuals_Campaigns!$AL$5:$AL$204,"Y")+SUMIFS(Actuals_Campaigns!$AM$5:$AM$204,Actuals_Campaigns!$S$5:$S$204,"&gt;="&amp;P$5,Actuals_Campaigns!$S$5:$S$204,"&lt;="&amp;P$6,Actuals_Campaigns!$AL$5:$AL$204,"Y")</f>
        <v/>
      </c>
      <c r="Q10" s="108">
        <f>SUMIFS(Actuals_Campaigns!$X$5:$X$204,Actuals_Campaigns!$Y$5:$Y$204,"&gt;="&amp;Q$5,Actuals_Campaigns!$Y$5:$Y$204,"&lt;="&amp;Q$6,Actuals_Campaigns!$AL$5:$AL$204,"Y")+SUMIFS(Actuals_Campaigns!$AM$5:$AM$204,Actuals_Campaigns!$S$5:$S$204,"&gt;="&amp;Q$5,Actuals_Campaigns!$S$5:$S$204,"&lt;="&amp;Q$6,Actuals_Campaigns!$AL$5:$AL$204,"Y")</f>
        <v/>
      </c>
      <c r="R10" s="108">
        <f>SUMIFS(Actuals_Campaigns!$X$5:$X$204,Actuals_Campaigns!$Y$5:$Y$204,"&gt;="&amp;R$5,Actuals_Campaigns!$Y$5:$Y$204,"&lt;="&amp;R$6,Actuals_Campaigns!$AL$5:$AL$204,"Y")+SUMIFS(Actuals_Campaigns!$AM$5:$AM$204,Actuals_Campaigns!$S$5:$S$204,"&gt;="&amp;R$5,Actuals_Campaigns!$S$5:$S$204,"&lt;="&amp;R$6,Actuals_Campaigns!$AL$5:$AL$204,"Y")</f>
        <v/>
      </c>
      <c r="S10" s="108">
        <f>SUMIFS(Actuals_Campaigns!$X$5:$X$204,Actuals_Campaigns!$Y$5:$Y$204,"&gt;="&amp;S$5,Actuals_Campaigns!$Y$5:$Y$204,"&lt;="&amp;S$6,Actuals_Campaigns!$AL$5:$AL$204,"Y")+SUMIFS(Actuals_Campaigns!$AM$5:$AM$204,Actuals_Campaigns!$S$5:$S$204,"&gt;="&amp;S$5,Actuals_Campaigns!$S$5:$S$204,"&lt;="&amp;S$6,Actuals_Campaigns!$AL$5:$AL$204,"Y")</f>
        <v/>
      </c>
      <c r="T10" s="108">
        <f>SUMIFS(Actuals_Campaigns!$X$5:$X$204,Actuals_Campaigns!$Y$5:$Y$204,"&gt;="&amp;T$5,Actuals_Campaigns!$Y$5:$Y$204,"&lt;="&amp;T$6,Actuals_Campaigns!$AL$5:$AL$204,"Y")+SUMIFS(Actuals_Campaigns!$AM$5:$AM$204,Actuals_Campaigns!$S$5:$S$204,"&gt;="&amp;T$5,Actuals_Campaigns!$S$5:$S$204,"&lt;="&amp;T$6,Actuals_Campaigns!$AL$5:$AL$204,"Y")</f>
        <v/>
      </c>
      <c r="U10" s="108">
        <f>SUMIFS(Actuals_Campaigns!$X$5:$X$204,Actuals_Campaigns!$Y$5:$Y$204,"&gt;="&amp;U$5,Actuals_Campaigns!$Y$5:$Y$204,"&lt;="&amp;U$6,Actuals_Campaigns!$AL$5:$AL$204,"Y")+SUMIFS(Actuals_Campaigns!$AM$5:$AM$204,Actuals_Campaigns!$S$5:$S$204,"&gt;="&amp;U$5,Actuals_Campaigns!$S$5:$S$204,"&lt;="&amp;U$6,Actuals_Campaigns!$AL$5:$AL$204,"Y")</f>
        <v/>
      </c>
      <c r="V10" s="108">
        <f>SUMIFS(Actuals_Campaigns!$X$5:$X$204,Actuals_Campaigns!$Y$5:$Y$204,"&gt;="&amp;V$5,Actuals_Campaigns!$Y$5:$Y$204,"&lt;="&amp;V$6,Actuals_Campaigns!$AL$5:$AL$204,"Y")+SUMIFS(Actuals_Campaigns!$AM$5:$AM$204,Actuals_Campaigns!$S$5:$S$204,"&gt;="&amp;V$5,Actuals_Campaigns!$S$5:$S$204,"&lt;="&amp;V$6,Actuals_Campaigns!$AL$5:$AL$204,"Y")</f>
        <v/>
      </c>
      <c r="W10" s="108">
        <f>SUMIFS(Actuals_Campaigns!$X$5:$X$204,Actuals_Campaigns!$Y$5:$Y$204,"&gt;="&amp;W$5,Actuals_Campaigns!$Y$5:$Y$204,"&lt;="&amp;W$6,Actuals_Campaigns!$AL$5:$AL$204,"Y")+SUMIFS(Actuals_Campaigns!$AM$5:$AM$204,Actuals_Campaigns!$S$5:$S$204,"&gt;="&amp;W$5,Actuals_Campaigns!$S$5:$S$204,"&lt;="&amp;W$6,Actuals_Campaigns!$AL$5:$AL$204,"Y")</f>
        <v/>
      </c>
      <c r="X10" s="108">
        <f>SUMIFS(Actuals_Campaigns!$X$5:$X$204,Actuals_Campaigns!$Y$5:$Y$204,"&gt;="&amp;X$5,Actuals_Campaigns!$Y$5:$Y$204,"&lt;="&amp;X$6,Actuals_Campaigns!$AL$5:$AL$204,"Y")+SUMIFS(Actuals_Campaigns!$AM$5:$AM$204,Actuals_Campaigns!$S$5:$S$204,"&gt;="&amp;X$5,Actuals_Campaigns!$S$5:$S$204,"&lt;="&amp;X$6,Actuals_Campaigns!$AL$5:$AL$204,"Y")</f>
        <v/>
      </c>
      <c r="Y10" s="108">
        <f>SUMIFS(Actuals_Campaigns!$X$5:$X$204,Actuals_Campaigns!$Y$5:$Y$204,"&gt;="&amp;Y$5,Actuals_Campaigns!$Y$5:$Y$204,"&lt;="&amp;Y$6,Actuals_Campaigns!$AL$5:$AL$204,"Y")+SUMIFS(Actuals_Campaigns!$AM$5:$AM$204,Actuals_Campaigns!$S$5:$S$204,"&gt;="&amp;Y$5,Actuals_Campaigns!$S$5:$S$204,"&lt;="&amp;Y$6,Actuals_Campaigns!$AL$5:$AL$204,"Y")</f>
        <v/>
      </c>
      <c r="Z10" s="108">
        <f>SUMIFS(Actuals_Campaigns!$X$5:$X$204,Actuals_Campaigns!$Y$5:$Y$204,"&gt;="&amp;Z$5,Actuals_Campaigns!$Y$5:$Y$204,"&lt;="&amp;Z$6,Actuals_Campaigns!$AL$5:$AL$204,"Y")+SUMIFS(Actuals_Campaigns!$AM$5:$AM$204,Actuals_Campaigns!$S$5:$S$204,"&gt;="&amp;Z$5,Actuals_Campaigns!$S$5:$S$204,"&lt;="&amp;Z$6,Actuals_Campaigns!$AL$5:$AL$204,"Y")</f>
        <v/>
      </c>
      <c r="AA10" s="108">
        <f>SUMIFS(Actuals_Campaigns!$X$5:$X$204,Actuals_Campaigns!$Y$5:$Y$204,"&gt;="&amp;AA$5,Actuals_Campaigns!$Y$5:$Y$204,"&lt;="&amp;AA$6,Actuals_Campaigns!$AL$5:$AL$204,"Y")+SUMIFS(Actuals_Campaigns!$AM$5:$AM$204,Actuals_Campaigns!$S$5:$S$204,"&gt;="&amp;AA$5,Actuals_Campaigns!$S$5:$S$204,"&lt;="&amp;AA$6,Actuals_Campaigns!$AL$5:$AL$204,"Y")</f>
        <v/>
      </c>
      <c r="AB10" s="108">
        <f>SUMIFS(Actuals_Campaigns!$X$5:$X$204,Actuals_Campaigns!$Y$5:$Y$204,"&gt;="&amp;AB$5,Actuals_Campaigns!$Y$5:$Y$204,"&lt;="&amp;AB$6,Actuals_Campaigns!$AL$5:$AL$204,"Y")+SUMIFS(Actuals_Campaigns!$AM$5:$AM$204,Actuals_Campaigns!$S$5:$S$204,"&gt;="&amp;AB$5,Actuals_Campaigns!$S$5:$S$204,"&lt;="&amp;AB$6,Actuals_Campaigns!$AL$5:$AL$204,"Y")</f>
        <v/>
      </c>
      <c r="AC10" s="113">
        <f>SUM(C10:AB10)</f>
        <v/>
      </c>
    </row>
    <row r="11">
      <c r="B11" s="8" t="inlineStr">
        <is>
          <t>Total receipts</t>
        </is>
      </c>
      <c r="C11" s="113">
        <f>SUM(C9:C10)</f>
        <v/>
      </c>
      <c r="D11" s="113">
        <f>SUM(D9:D10)</f>
        <v/>
      </c>
      <c r="E11" s="113">
        <f>SUM(E9:E10)</f>
        <v/>
      </c>
      <c r="F11" s="113">
        <f>SUM(F9:F10)</f>
        <v/>
      </c>
      <c r="G11" s="113">
        <f>SUM(G9:G10)</f>
        <v/>
      </c>
      <c r="H11" s="113">
        <f>SUM(H9:H10)</f>
        <v/>
      </c>
      <c r="I11" s="113">
        <f>SUM(I9:I10)</f>
        <v/>
      </c>
      <c r="J11" s="113">
        <f>SUM(J9:J10)</f>
        <v/>
      </c>
      <c r="K11" s="113">
        <f>SUM(K9:K10)</f>
        <v/>
      </c>
      <c r="L11" s="113">
        <f>SUM(L9:L10)</f>
        <v/>
      </c>
      <c r="M11" s="113">
        <f>SUM(M9:M10)</f>
        <v/>
      </c>
      <c r="N11" s="113">
        <f>SUM(N9:N10)</f>
        <v/>
      </c>
      <c r="O11" s="113">
        <f>SUM(O9:O10)</f>
        <v/>
      </c>
      <c r="P11" s="113">
        <f>SUM(P9:P10)</f>
        <v/>
      </c>
      <c r="Q11" s="113">
        <f>SUM(Q9:Q10)</f>
        <v/>
      </c>
      <c r="R11" s="113">
        <f>SUM(R9:R10)</f>
        <v/>
      </c>
      <c r="S11" s="113">
        <f>SUM(S9:S10)</f>
        <v/>
      </c>
      <c r="T11" s="113">
        <f>SUM(T9:T10)</f>
        <v/>
      </c>
      <c r="U11" s="113">
        <f>SUM(U9:U10)</f>
        <v/>
      </c>
      <c r="V11" s="113">
        <f>SUM(V9:V10)</f>
        <v/>
      </c>
      <c r="W11" s="113">
        <f>SUM(W9:W10)</f>
        <v/>
      </c>
      <c r="X11" s="113">
        <f>SUM(X9:X10)</f>
        <v/>
      </c>
      <c r="Y11" s="113">
        <f>SUM(Y9:Y10)</f>
        <v/>
      </c>
      <c r="Z11" s="113">
        <f>SUM(Z9:Z10)</f>
        <v/>
      </c>
      <c r="AA11" s="113">
        <f>SUM(AA9:AA10)</f>
        <v/>
      </c>
      <c r="AB11" s="113">
        <f>SUM(AB9:AB10)</f>
        <v/>
      </c>
      <c r="AC11" s="113">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08">
        <f>-SUMIFS(Drop_PnL!$T$7:$T$18,Drop_PnL!$AX$7:$AX$18,"&gt;="&amp;C$5,Drop_PnL!$AX$7:$AX$18,"&lt;="&amp;C$6,Drop_PnL!$AZ$7:$AZ$18,"N")</f>
        <v/>
      </c>
      <c r="D13" s="108">
        <f>-SUMIFS(Drop_PnL!$T$7:$T$18,Drop_PnL!$AX$7:$AX$18,"&gt;="&amp;D$5,Drop_PnL!$AX$7:$AX$18,"&lt;="&amp;D$6,Drop_PnL!$AZ$7:$AZ$18,"N")</f>
        <v/>
      </c>
      <c r="E13" s="108">
        <f>-SUMIFS(Drop_PnL!$T$7:$T$18,Drop_PnL!$AX$7:$AX$18,"&gt;="&amp;E$5,Drop_PnL!$AX$7:$AX$18,"&lt;="&amp;E$6,Drop_PnL!$AZ$7:$AZ$18,"N")</f>
        <v/>
      </c>
      <c r="F13" s="108">
        <f>-SUMIFS(Drop_PnL!$T$7:$T$18,Drop_PnL!$AX$7:$AX$18,"&gt;="&amp;F$5,Drop_PnL!$AX$7:$AX$18,"&lt;="&amp;F$6,Drop_PnL!$AZ$7:$AZ$18,"N")</f>
        <v/>
      </c>
      <c r="G13" s="108">
        <f>-SUMIFS(Drop_PnL!$T$7:$T$18,Drop_PnL!$AX$7:$AX$18,"&gt;="&amp;G$5,Drop_PnL!$AX$7:$AX$18,"&lt;="&amp;G$6,Drop_PnL!$AZ$7:$AZ$18,"N")</f>
        <v/>
      </c>
      <c r="H13" s="108">
        <f>-SUMIFS(Drop_PnL!$T$7:$T$18,Drop_PnL!$AX$7:$AX$18,"&gt;="&amp;H$5,Drop_PnL!$AX$7:$AX$18,"&lt;="&amp;H$6,Drop_PnL!$AZ$7:$AZ$18,"N")</f>
        <v/>
      </c>
      <c r="I13" s="108">
        <f>-SUMIFS(Drop_PnL!$T$7:$T$18,Drop_PnL!$AX$7:$AX$18,"&gt;="&amp;I$5,Drop_PnL!$AX$7:$AX$18,"&lt;="&amp;I$6,Drop_PnL!$AZ$7:$AZ$18,"N")</f>
        <v/>
      </c>
      <c r="J13" s="108">
        <f>-SUMIFS(Drop_PnL!$T$7:$T$18,Drop_PnL!$AX$7:$AX$18,"&gt;="&amp;J$5,Drop_PnL!$AX$7:$AX$18,"&lt;="&amp;J$6,Drop_PnL!$AZ$7:$AZ$18,"N")</f>
        <v/>
      </c>
      <c r="K13" s="108">
        <f>-SUMIFS(Drop_PnL!$T$7:$T$18,Drop_PnL!$AX$7:$AX$18,"&gt;="&amp;K$5,Drop_PnL!$AX$7:$AX$18,"&lt;="&amp;K$6,Drop_PnL!$AZ$7:$AZ$18,"N")</f>
        <v/>
      </c>
      <c r="L13" s="108">
        <f>-SUMIFS(Drop_PnL!$T$7:$T$18,Drop_PnL!$AX$7:$AX$18,"&gt;="&amp;L$5,Drop_PnL!$AX$7:$AX$18,"&lt;="&amp;L$6,Drop_PnL!$AZ$7:$AZ$18,"N")</f>
        <v/>
      </c>
      <c r="M13" s="108">
        <f>-SUMIFS(Drop_PnL!$T$7:$T$18,Drop_PnL!$AX$7:$AX$18,"&gt;="&amp;M$5,Drop_PnL!$AX$7:$AX$18,"&lt;="&amp;M$6,Drop_PnL!$AZ$7:$AZ$18,"N")</f>
        <v/>
      </c>
      <c r="N13" s="108">
        <f>-SUMIFS(Drop_PnL!$T$7:$T$18,Drop_PnL!$AX$7:$AX$18,"&gt;="&amp;N$5,Drop_PnL!$AX$7:$AX$18,"&lt;="&amp;N$6,Drop_PnL!$AZ$7:$AZ$18,"N")</f>
        <v/>
      </c>
      <c r="O13" s="108">
        <f>-SUMIFS(Drop_PnL!$T$7:$T$18,Drop_PnL!$AX$7:$AX$18,"&gt;="&amp;O$5,Drop_PnL!$AX$7:$AX$18,"&lt;="&amp;O$6,Drop_PnL!$AZ$7:$AZ$18,"N")</f>
        <v/>
      </c>
      <c r="P13" s="108">
        <f>-SUMIFS(Drop_PnL!$T$7:$T$18,Drop_PnL!$AX$7:$AX$18,"&gt;="&amp;P$5,Drop_PnL!$AX$7:$AX$18,"&lt;="&amp;P$6,Drop_PnL!$AZ$7:$AZ$18,"N")</f>
        <v/>
      </c>
      <c r="Q13" s="108">
        <f>-SUMIFS(Drop_PnL!$T$7:$T$18,Drop_PnL!$AX$7:$AX$18,"&gt;="&amp;Q$5,Drop_PnL!$AX$7:$AX$18,"&lt;="&amp;Q$6,Drop_PnL!$AZ$7:$AZ$18,"N")</f>
        <v/>
      </c>
      <c r="R13" s="108">
        <f>-SUMIFS(Drop_PnL!$T$7:$T$18,Drop_PnL!$AX$7:$AX$18,"&gt;="&amp;R$5,Drop_PnL!$AX$7:$AX$18,"&lt;="&amp;R$6,Drop_PnL!$AZ$7:$AZ$18,"N")</f>
        <v/>
      </c>
      <c r="S13" s="108">
        <f>-SUMIFS(Drop_PnL!$T$7:$T$18,Drop_PnL!$AX$7:$AX$18,"&gt;="&amp;S$5,Drop_PnL!$AX$7:$AX$18,"&lt;="&amp;S$6,Drop_PnL!$AZ$7:$AZ$18,"N")</f>
        <v/>
      </c>
      <c r="T13" s="108">
        <f>-SUMIFS(Drop_PnL!$T$7:$T$18,Drop_PnL!$AX$7:$AX$18,"&gt;="&amp;T$5,Drop_PnL!$AX$7:$AX$18,"&lt;="&amp;T$6,Drop_PnL!$AZ$7:$AZ$18,"N")</f>
        <v/>
      </c>
      <c r="U13" s="108">
        <f>-SUMIFS(Drop_PnL!$T$7:$T$18,Drop_PnL!$AX$7:$AX$18,"&gt;="&amp;U$5,Drop_PnL!$AX$7:$AX$18,"&lt;="&amp;U$6,Drop_PnL!$AZ$7:$AZ$18,"N")</f>
        <v/>
      </c>
      <c r="V13" s="108">
        <f>-SUMIFS(Drop_PnL!$T$7:$T$18,Drop_PnL!$AX$7:$AX$18,"&gt;="&amp;V$5,Drop_PnL!$AX$7:$AX$18,"&lt;="&amp;V$6,Drop_PnL!$AZ$7:$AZ$18,"N")</f>
        <v/>
      </c>
      <c r="W13" s="108">
        <f>-SUMIFS(Drop_PnL!$T$7:$T$18,Drop_PnL!$AX$7:$AX$18,"&gt;="&amp;W$5,Drop_PnL!$AX$7:$AX$18,"&lt;="&amp;W$6,Drop_PnL!$AZ$7:$AZ$18,"N")</f>
        <v/>
      </c>
      <c r="X13" s="108">
        <f>-SUMIFS(Drop_PnL!$T$7:$T$18,Drop_PnL!$AX$7:$AX$18,"&gt;="&amp;X$5,Drop_PnL!$AX$7:$AX$18,"&lt;="&amp;X$6,Drop_PnL!$AZ$7:$AZ$18,"N")</f>
        <v/>
      </c>
      <c r="Y13" s="108">
        <f>-SUMIFS(Drop_PnL!$T$7:$T$18,Drop_PnL!$AX$7:$AX$18,"&gt;="&amp;Y$5,Drop_PnL!$AX$7:$AX$18,"&lt;="&amp;Y$6,Drop_PnL!$AZ$7:$AZ$18,"N")</f>
        <v/>
      </c>
      <c r="Z13" s="108">
        <f>-SUMIFS(Drop_PnL!$T$7:$T$18,Drop_PnL!$AX$7:$AX$18,"&gt;="&amp;Z$5,Drop_PnL!$AX$7:$AX$18,"&lt;="&amp;Z$6,Drop_PnL!$AZ$7:$AZ$18,"N")</f>
        <v/>
      </c>
      <c r="AA13" s="108">
        <f>-SUMIFS(Drop_PnL!$T$7:$T$18,Drop_PnL!$AX$7:$AX$18,"&gt;="&amp;AA$5,Drop_PnL!$AX$7:$AX$18,"&lt;="&amp;AA$6,Drop_PnL!$AZ$7:$AZ$18,"N")</f>
        <v/>
      </c>
      <c r="AB13" s="108">
        <f>-SUMIFS(Drop_PnL!$T$7:$T$18,Drop_PnL!$AX$7:$AX$18,"&gt;="&amp;AB$5,Drop_PnL!$AX$7:$AX$18,"&lt;="&amp;AB$6,Drop_PnL!$AZ$7:$AZ$18,"N")</f>
        <v/>
      </c>
      <c r="AC13" s="113">
        <f>SUM(C13:AB13)</f>
        <v/>
      </c>
    </row>
    <row r="14">
      <c r="B14" s="29" t="inlineStr">
        <is>
          <t>Transport, plan</t>
        </is>
      </c>
      <c r="C14" s="108">
        <f>-SUMIFS(Drop_PnL!$U$7:$U$18,Drop_PnL!$AY$7:$AY$18,"&gt;="&amp;C$5,Drop_PnL!$AY$7:$AY$18,"&lt;="&amp;C$6,Drop_PnL!$AZ$7:$AZ$18,"N")</f>
        <v/>
      </c>
      <c r="D14" s="108">
        <f>-SUMIFS(Drop_PnL!$U$7:$U$18,Drop_PnL!$AY$7:$AY$18,"&gt;="&amp;D$5,Drop_PnL!$AY$7:$AY$18,"&lt;="&amp;D$6,Drop_PnL!$AZ$7:$AZ$18,"N")</f>
        <v/>
      </c>
      <c r="E14" s="108">
        <f>-SUMIFS(Drop_PnL!$U$7:$U$18,Drop_PnL!$AY$7:$AY$18,"&gt;="&amp;E$5,Drop_PnL!$AY$7:$AY$18,"&lt;="&amp;E$6,Drop_PnL!$AZ$7:$AZ$18,"N")</f>
        <v/>
      </c>
      <c r="F14" s="108">
        <f>-SUMIFS(Drop_PnL!$U$7:$U$18,Drop_PnL!$AY$7:$AY$18,"&gt;="&amp;F$5,Drop_PnL!$AY$7:$AY$18,"&lt;="&amp;F$6,Drop_PnL!$AZ$7:$AZ$18,"N")</f>
        <v/>
      </c>
      <c r="G14" s="108">
        <f>-SUMIFS(Drop_PnL!$U$7:$U$18,Drop_PnL!$AY$7:$AY$18,"&gt;="&amp;G$5,Drop_PnL!$AY$7:$AY$18,"&lt;="&amp;G$6,Drop_PnL!$AZ$7:$AZ$18,"N")</f>
        <v/>
      </c>
      <c r="H14" s="108">
        <f>-SUMIFS(Drop_PnL!$U$7:$U$18,Drop_PnL!$AY$7:$AY$18,"&gt;="&amp;H$5,Drop_PnL!$AY$7:$AY$18,"&lt;="&amp;H$6,Drop_PnL!$AZ$7:$AZ$18,"N")</f>
        <v/>
      </c>
      <c r="I14" s="108">
        <f>-SUMIFS(Drop_PnL!$U$7:$U$18,Drop_PnL!$AY$7:$AY$18,"&gt;="&amp;I$5,Drop_PnL!$AY$7:$AY$18,"&lt;="&amp;I$6,Drop_PnL!$AZ$7:$AZ$18,"N")</f>
        <v/>
      </c>
      <c r="J14" s="108">
        <f>-SUMIFS(Drop_PnL!$U$7:$U$18,Drop_PnL!$AY$7:$AY$18,"&gt;="&amp;J$5,Drop_PnL!$AY$7:$AY$18,"&lt;="&amp;J$6,Drop_PnL!$AZ$7:$AZ$18,"N")</f>
        <v/>
      </c>
      <c r="K14" s="108">
        <f>-SUMIFS(Drop_PnL!$U$7:$U$18,Drop_PnL!$AY$7:$AY$18,"&gt;="&amp;K$5,Drop_PnL!$AY$7:$AY$18,"&lt;="&amp;K$6,Drop_PnL!$AZ$7:$AZ$18,"N")</f>
        <v/>
      </c>
      <c r="L14" s="108">
        <f>-SUMIFS(Drop_PnL!$U$7:$U$18,Drop_PnL!$AY$7:$AY$18,"&gt;="&amp;L$5,Drop_PnL!$AY$7:$AY$18,"&lt;="&amp;L$6,Drop_PnL!$AZ$7:$AZ$18,"N")</f>
        <v/>
      </c>
      <c r="M14" s="108">
        <f>-SUMIFS(Drop_PnL!$U$7:$U$18,Drop_PnL!$AY$7:$AY$18,"&gt;="&amp;M$5,Drop_PnL!$AY$7:$AY$18,"&lt;="&amp;M$6,Drop_PnL!$AZ$7:$AZ$18,"N")</f>
        <v/>
      </c>
      <c r="N14" s="108">
        <f>-SUMIFS(Drop_PnL!$U$7:$U$18,Drop_PnL!$AY$7:$AY$18,"&gt;="&amp;N$5,Drop_PnL!$AY$7:$AY$18,"&lt;="&amp;N$6,Drop_PnL!$AZ$7:$AZ$18,"N")</f>
        <v/>
      </c>
      <c r="O14" s="108">
        <f>-SUMIFS(Drop_PnL!$U$7:$U$18,Drop_PnL!$AY$7:$AY$18,"&gt;="&amp;O$5,Drop_PnL!$AY$7:$AY$18,"&lt;="&amp;O$6,Drop_PnL!$AZ$7:$AZ$18,"N")</f>
        <v/>
      </c>
      <c r="P14" s="108">
        <f>-SUMIFS(Drop_PnL!$U$7:$U$18,Drop_PnL!$AY$7:$AY$18,"&gt;="&amp;P$5,Drop_PnL!$AY$7:$AY$18,"&lt;="&amp;P$6,Drop_PnL!$AZ$7:$AZ$18,"N")</f>
        <v/>
      </c>
      <c r="Q14" s="108">
        <f>-SUMIFS(Drop_PnL!$U$7:$U$18,Drop_PnL!$AY$7:$AY$18,"&gt;="&amp;Q$5,Drop_PnL!$AY$7:$AY$18,"&lt;="&amp;Q$6,Drop_PnL!$AZ$7:$AZ$18,"N")</f>
        <v/>
      </c>
      <c r="R14" s="108">
        <f>-SUMIFS(Drop_PnL!$U$7:$U$18,Drop_PnL!$AY$7:$AY$18,"&gt;="&amp;R$5,Drop_PnL!$AY$7:$AY$18,"&lt;="&amp;R$6,Drop_PnL!$AZ$7:$AZ$18,"N")</f>
        <v/>
      </c>
      <c r="S14" s="108">
        <f>-SUMIFS(Drop_PnL!$U$7:$U$18,Drop_PnL!$AY$7:$AY$18,"&gt;="&amp;S$5,Drop_PnL!$AY$7:$AY$18,"&lt;="&amp;S$6,Drop_PnL!$AZ$7:$AZ$18,"N")</f>
        <v/>
      </c>
      <c r="T14" s="108">
        <f>-SUMIFS(Drop_PnL!$U$7:$U$18,Drop_PnL!$AY$7:$AY$18,"&gt;="&amp;T$5,Drop_PnL!$AY$7:$AY$18,"&lt;="&amp;T$6,Drop_PnL!$AZ$7:$AZ$18,"N")</f>
        <v/>
      </c>
      <c r="U14" s="108">
        <f>-SUMIFS(Drop_PnL!$U$7:$U$18,Drop_PnL!$AY$7:$AY$18,"&gt;="&amp;U$5,Drop_PnL!$AY$7:$AY$18,"&lt;="&amp;U$6,Drop_PnL!$AZ$7:$AZ$18,"N")</f>
        <v/>
      </c>
      <c r="V14" s="108">
        <f>-SUMIFS(Drop_PnL!$U$7:$U$18,Drop_PnL!$AY$7:$AY$18,"&gt;="&amp;V$5,Drop_PnL!$AY$7:$AY$18,"&lt;="&amp;V$6,Drop_PnL!$AZ$7:$AZ$18,"N")</f>
        <v/>
      </c>
      <c r="W14" s="108">
        <f>-SUMIFS(Drop_PnL!$U$7:$U$18,Drop_PnL!$AY$7:$AY$18,"&gt;="&amp;W$5,Drop_PnL!$AY$7:$AY$18,"&lt;="&amp;W$6,Drop_PnL!$AZ$7:$AZ$18,"N")</f>
        <v/>
      </c>
      <c r="X14" s="108">
        <f>-SUMIFS(Drop_PnL!$U$7:$U$18,Drop_PnL!$AY$7:$AY$18,"&gt;="&amp;X$5,Drop_PnL!$AY$7:$AY$18,"&lt;="&amp;X$6,Drop_PnL!$AZ$7:$AZ$18,"N")</f>
        <v/>
      </c>
      <c r="Y14" s="108">
        <f>-SUMIFS(Drop_PnL!$U$7:$U$18,Drop_PnL!$AY$7:$AY$18,"&gt;="&amp;Y$5,Drop_PnL!$AY$7:$AY$18,"&lt;="&amp;Y$6,Drop_PnL!$AZ$7:$AZ$18,"N")</f>
        <v/>
      </c>
      <c r="Z14" s="108">
        <f>-SUMIFS(Drop_PnL!$U$7:$U$18,Drop_PnL!$AY$7:$AY$18,"&gt;="&amp;Z$5,Drop_PnL!$AY$7:$AY$18,"&lt;="&amp;Z$6,Drop_PnL!$AZ$7:$AZ$18,"N")</f>
        <v/>
      </c>
      <c r="AA14" s="108">
        <f>-SUMIFS(Drop_PnL!$U$7:$U$18,Drop_PnL!$AY$7:$AY$18,"&gt;="&amp;AA$5,Drop_PnL!$AY$7:$AY$18,"&lt;="&amp;AA$6,Drop_PnL!$AZ$7:$AZ$18,"N")</f>
        <v/>
      </c>
      <c r="AB14" s="108">
        <f>-SUMIFS(Drop_PnL!$U$7:$U$18,Drop_PnL!$AY$7:$AY$18,"&gt;="&amp;AB$5,Drop_PnL!$AY$7:$AY$18,"&lt;="&amp;AB$6,Drop_PnL!$AZ$7:$AZ$18,"N")</f>
        <v/>
      </c>
      <c r="AC14" s="113">
        <f>SUM(C14:AB14)</f>
        <v/>
      </c>
    </row>
    <row r="15">
      <c r="B15" s="29" t="inlineStr">
        <is>
          <t>Kit mailing, plan (needs quote)</t>
        </is>
      </c>
      <c r="C15" s="108">
        <f>-SUMIFS(Drop_PnL!$V$7:$V$18,Drop_PnL!$AX$7:$AX$18,"&gt;="&amp;C$5,Drop_PnL!$AX$7:$AX$18,"&lt;="&amp;C$6,Drop_PnL!$AZ$7:$AZ$18,"N")</f>
        <v/>
      </c>
      <c r="D15" s="108">
        <f>-SUMIFS(Drop_PnL!$V$7:$V$18,Drop_PnL!$AX$7:$AX$18,"&gt;="&amp;D$5,Drop_PnL!$AX$7:$AX$18,"&lt;="&amp;D$6,Drop_PnL!$AZ$7:$AZ$18,"N")</f>
        <v/>
      </c>
      <c r="E15" s="108">
        <f>-SUMIFS(Drop_PnL!$V$7:$V$18,Drop_PnL!$AX$7:$AX$18,"&gt;="&amp;E$5,Drop_PnL!$AX$7:$AX$18,"&lt;="&amp;E$6,Drop_PnL!$AZ$7:$AZ$18,"N")</f>
        <v/>
      </c>
      <c r="F15" s="108">
        <f>-SUMIFS(Drop_PnL!$V$7:$V$18,Drop_PnL!$AX$7:$AX$18,"&gt;="&amp;F$5,Drop_PnL!$AX$7:$AX$18,"&lt;="&amp;F$6,Drop_PnL!$AZ$7:$AZ$18,"N")</f>
        <v/>
      </c>
      <c r="G15" s="108">
        <f>-SUMIFS(Drop_PnL!$V$7:$V$18,Drop_PnL!$AX$7:$AX$18,"&gt;="&amp;G$5,Drop_PnL!$AX$7:$AX$18,"&lt;="&amp;G$6,Drop_PnL!$AZ$7:$AZ$18,"N")</f>
        <v/>
      </c>
      <c r="H15" s="108">
        <f>-SUMIFS(Drop_PnL!$V$7:$V$18,Drop_PnL!$AX$7:$AX$18,"&gt;="&amp;H$5,Drop_PnL!$AX$7:$AX$18,"&lt;="&amp;H$6,Drop_PnL!$AZ$7:$AZ$18,"N")</f>
        <v/>
      </c>
      <c r="I15" s="108">
        <f>-SUMIFS(Drop_PnL!$V$7:$V$18,Drop_PnL!$AX$7:$AX$18,"&gt;="&amp;I$5,Drop_PnL!$AX$7:$AX$18,"&lt;="&amp;I$6,Drop_PnL!$AZ$7:$AZ$18,"N")</f>
        <v/>
      </c>
      <c r="J15" s="108">
        <f>-SUMIFS(Drop_PnL!$V$7:$V$18,Drop_PnL!$AX$7:$AX$18,"&gt;="&amp;J$5,Drop_PnL!$AX$7:$AX$18,"&lt;="&amp;J$6,Drop_PnL!$AZ$7:$AZ$18,"N")</f>
        <v/>
      </c>
      <c r="K15" s="108">
        <f>-SUMIFS(Drop_PnL!$V$7:$V$18,Drop_PnL!$AX$7:$AX$18,"&gt;="&amp;K$5,Drop_PnL!$AX$7:$AX$18,"&lt;="&amp;K$6,Drop_PnL!$AZ$7:$AZ$18,"N")</f>
        <v/>
      </c>
      <c r="L15" s="108">
        <f>-SUMIFS(Drop_PnL!$V$7:$V$18,Drop_PnL!$AX$7:$AX$18,"&gt;="&amp;L$5,Drop_PnL!$AX$7:$AX$18,"&lt;="&amp;L$6,Drop_PnL!$AZ$7:$AZ$18,"N")</f>
        <v/>
      </c>
      <c r="M15" s="108">
        <f>-SUMIFS(Drop_PnL!$V$7:$V$18,Drop_PnL!$AX$7:$AX$18,"&gt;="&amp;M$5,Drop_PnL!$AX$7:$AX$18,"&lt;="&amp;M$6,Drop_PnL!$AZ$7:$AZ$18,"N")</f>
        <v/>
      </c>
      <c r="N15" s="108">
        <f>-SUMIFS(Drop_PnL!$V$7:$V$18,Drop_PnL!$AX$7:$AX$18,"&gt;="&amp;N$5,Drop_PnL!$AX$7:$AX$18,"&lt;="&amp;N$6,Drop_PnL!$AZ$7:$AZ$18,"N")</f>
        <v/>
      </c>
      <c r="O15" s="108">
        <f>-SUMIFS(Drop_PnL!$V$7:$V$18,Drop_PnL!$AX$7:$AX$18,"&gt;="&amp;O$5,Drop_PnL!$AX$7:$AX$18,"&lt;="&amp;O$6,Drop_PnL!$AZ$7:$AZ$18,"N")</f>
        <v/>
      </c>
      <c r="P15" s="108">
        <f>-SUMIFS(Drop_PnL!$V$7:$V$18,Drop_PnL!$AX$7:$AX$18,"&gt;="&amp;P$5,Drop_PnL!$AX$7:$AX$18,"&lt;="&amp;P$6,Drop_PnL!$AZ$7:$AZ$18,"N")</f>
        <v/>
      </c>
      <c r="Q15" s="108">
        <f>-SUMIFS(Drop_PnL!$V$7:$V$18,Drop_PnL!$AX$7:$AX$18,"&gt;="&amp;Q$5,Drop_PnL!$AX$7:$AX$18,"&lt;="&amp;Q$6,Drop_PnL!$AZ$7:$AZ$18,"N")</f>
        <v/>
      </c>
      <c r="R15" s="108">
        <f>-SUMIFS(Drop_PnL!$V$7:$V$18,Drop_PnL!$AX$7:$AX$18,"&gt;="&amp;R$5,Drop_PnL!$AX$7:$AX$18,"&lt;="&amp;R$6,Drop_PnL!$AZ$7:$AZ$18,"N")</f>
        <v/>
      </c>
      <c r="S15" s="108">
        <f>-SUMIFS(Drop_PnL!$V$7:$V$18,Drop_PnL!$AX$7:$AX$18,"&gt;="&amp;S$5,Drop_PnL!$AX$7:$AX$18,"&lt;="&amp;S$6,Drop_PnL!$AZ$7:$AZ$18,"N")</f>
        <v/>
      </c>
      <c r="T15" s="108">
        <f>-SUMIFS(Drop_PnL!$V$7:$V$18,Drop_PnL!$AX$7:$AX$18,"&gt;="&amp;T$5,Drop_PnL!$AX$7:$AX$18,"&lt;="&amp;T$6,Drop_PnL!$AZ$7:$AZ$18,"N")</f>
        <v/>
      </c>
      <c r="U15" s="108">
        <f>-SUMIFS(Drop_PnL!$V$7:$V$18,Drop_PnL!$AX$7:$AX$18,"&gt;="&amp;U$5,Drop_PnL!$AX$7:$AX$18,"&lt;="&amp;U$6,Drop_PnL!$AZ$7:$AZ$18,"N")</f>
        <v/>
      </c>
      <c r="V15" s="108">
        <f>-SUMIFS(Drop_PnL!$V$7:$V$18,Drop_PnL!$AX$7:$AX$18,"&gt;="&amp;V$5,Drop_PnL!$AX$7:$AX$18,"&lt;="&amp;V$6,Drop_PnL!$AZ$7:$AZ$18,"N")</f>
        <v/>
      </c>
      <c r="W15" s="108">
        <f>-SUMIFS(Drop_PnL!$V$7:$V$18,Drop_PnL!$AX$7:$AX$18,"&gt;="&amp;W$5,Drop_PnL!$AX$7:$AX$18,"&lt;="&amp;W$6,Drop_PnL!$AZ$7:$AZ$18,"N")</f>
        <v/>
      </c>
      <c r="X15" s="108">
        <f>-SUMIFS(Drop_PnL!$V$7:$V$18,Drop_PnL!$AX$7:$AX$18,"&gt;="&amp;X$5,Drop_PnL!$AX$7:$AX$18,"&lt;="&amp;X$6,Drop_PnL!$AZ$7:$AZ$18,"N")</f>
        <v/>
      </c>
      <c r="Y15" s="108">
        <f>-SUMIFS(Drop_PnL!$V$7:$V$18,Drop_PnL!$AX$7:$AX$18,"&gt;="&amp;Y$5,Drop_PnL!$AX$7:$AX$18,"&lt;="&amp;Y$6,Drop_PnL!$AZ$7:$AZ$18,"N")</f>
        <v/>
      </c>
      <c r="Z15" s="108">
        <f>-SUMIFS(Drop_PnL!$V$7:$V$18,Drop_PnL!$AX$7:$AX$18,"&gt;="&amp;Z$5,Drop_PnL!$AX$7:$AX$18,"&lt;="&amp;Z$6,Drop_PnL!$AZ$7:$AZ$18,"N")</f>
        <v/>
      </c>
      <c r="AA15" s="108">
        <f>-SUMIFS(Drop_PnL!$V$7:$V$18,Drop_PnL!$AX$7:$AX$18,"&gt;="&amp;AA$5,Drop_PnL!$AX$7:$AX$18,"&lt;="&amp;AA$6,Drop_PnL!$AZ$7:$AZ$18,"N")</f>
        <v/>
      </c>
      <c r="AB15" s="108">
        <f>-SUMIFS(Drop_PnL!$V$7:$V$18,Drop_PnL!$AX$7:$AX$18,"&gt;="&amp;AB$5,Drop_PnL!$AX$7:$AX$18,"&lt;="&amp;AB$6,Drop_PnL!$AZ$7:$AZ$18,"N")</f>
        <v/>
      </c>
      <c r="AC15" s="113">
        <f>SUM(C15:AB15)</f>
        <v/>
      </c>
    </row>
    <row r="16">
      <c r="B16" s="29" t="inlineStr">
        <is>
          <t>Card processing, plan</t>
        </is>
      </c>
      <c r="C16" s="108">
        <f>-(SUMIFS(Drop_PnL!$AU$7:$AU$18,Drop_PnL!$AO$7:$AO$18,"&gt;="&amp;C$5,Drop_PnL!$AO$7:$AO$18,"&lt;="&amp;C$6,Drop_PnL!$AZ$7:$AZ$18,"N")+SUMIFS(Drop_PnL!$AV$7:$AV$18,Drop_PnL!$AQ$7:$AQ$18,"&gt;="&amp;C$5,Drop_PnL!$AQ$7:$AQ$18,"&lt;="&amp;C$6,Drop_PnL!$AZ$7:$AZ$18,"N")+SUMIFS(Drop_PnL!$AW$7:$AW$18,Drop_PnL!$AS$7:$AS$18,"&gt;="&amp;C$5,Drop_PnL!$AS$7:$AS$18,"&lt;="&amp;C$6,Drop_PnL!$AZ$7:$AZ$18,"N"))</f>
        <v/>
      </c>
      <c r="D16" s="108">
        <f>-(SUMIFS(Drop_PnL!$AU$7:$AU$18,Drop_PnL!$AO$7:$AO$18,"&gt;="&amp;D$5,Drop_PnL!$AO$7:$AO$18,"&lt;="&amp;D$6,Drop_PnL!$AZ$7:$AZ$18,"N")+SUMIFS(Drop_PnL!$AV$7:$AV$18,Drop_PnL!$AQ$7:$AQ$18,"&gt;="&amp;D$5,Drop_PnL!$AQ$7:$AQ$18,"&lt;="&amp;D$6,Drop_PnL!$AZ$7:$AZ$18,"N")+SUMIFS(Drop_PnL!$AW$7:$AW$18,Drop_PnL!$AS$7:$AS$18,"&gt;="&amp;D$5,Drop_PnL!$AS$7:$AS$18,"&lt;="&amp;D$6,Drop_PnL!$AZ$7:$AZ$18,"N"))</f>
        <v/>
      </c>
      <c r="E16" s="108">
        <f>-(SUMIFS(Drop_PnL!$AU$7:$AU$18,Drop_PnL!$AO$7:$AO$18,"&gt;="&amp;E$5,Drop_PnL!$AO$7:$AO$18,"&lt;="&amp;E$6,Drop_PnL!$AZ$7:$AZ$18,"N")+SUMIFS(Drop_PnL!$AV$7:$AV$18,Drop_PnL!$AQ$7:$AQ$18,"&gt;="&amp;E$5,Drop_PnL!$AQ$7:$AQ$18,"&lt;="&amp;E$6,Drop_PnL!$AZ$7:$AZ$18,"N")+SUMIFS(Drop_PnL!$AW$7:$AW$18,Drop_PnL!$AS$7:$AS$18,"&gt;="&amp;E$5,Drop_PnL!$AS$7:$AS$18,"&lt;="&amp;E$6,Drop_PnL!$AZ$7:$AZ$18,"N"))</f>
        <v/>
      </c>
      <c r="F16" s="108">
        <f>-(SUMIFS(Drop_PnL!$AU$7:$AU$18,Drop_PnL!$AO$7:$AO$18,"&gt;="&amp;F$5,Drop_PnL!$AO$7:$AO$18,"&lt;="&amp;F$6,Drop_PnL!$AZ$7:$AZ$18,"N")+SUMIFS(Drop_PnL!$AV$7:$AV$18,Drop_PnL!$AQ$7:$AQ$18,"&gt;="&amp;F$5,Drop_PnL!$AQ$7:$AQ$18,"&lt;="&amp;F$6,Drop_PnL!$AZ$7:$AZ$18,"N")+SUMIFS(Drop_PnL!$AW$7:$AW$18,Drop_PnL!$AS$7:$AS$18,"&gt;="&amp;F$5,Drop_PnL!$AS$7:$AS$18,"&lt;="&amp;F$6,Drop_PnL!$AZ$7:$AZ$18,"N"))</f>
        <v/>
      </c>
      <c r="G16" s="108">
        <f>-(SUMIFS(Drop_PnL!$AU$7:$AU$18,Drop_PnL!$AO$7:$AO$18,"&gt;="&amp;G$5,Drop_PnL!$AO$7:$AO$18,"&lt;="&amp;G$6,Drop_PnL!$AZ$7:$AZ$18,"N")+SUMIFS(Drop_PnL!$AV$7:$AV$18,Drop_PnL!$AQ$7:$AQ$18,"&gt;="&amp;G$5,Drop_PnL!$AQ$7:$AQ$18,"&lt;="&amp;G$6,Drop_PnL!$AZ$7:$AZ$18,"N")+SUMIFS(Drop_PnL!$AW$7:$AW$18,Drop_PnL!$AS$7:$AS$18,"&gt;="&amp;G$5,Drop_PnL!$AS$7:$AS$18,"&lt;="&amp;G$6,Drop_PnL!$AZ$7:$AZ$18,"N"))</f>
        <v/>
      </c>
      <c r="H16" s="108">
        <f>-(SUMIFS(Drop_PnL!$AU$7:$AU$18,Drop_PnL!$AO$7:$AO$18,"&gt;="&amp;H$5,Drop_PnL!$AO$7:$AO$18,"&lt;="&amp;H$6,Drop_PnL!$AZ$7:$AZ$18,"N")+SUMIFS(Drop_PnL!$AV$7:$AV$18,Drop_PnL!$AQ$7:$AQ$18,"&gt;="&amp;H$5,Drop_PnL!$AQ$7:$AQ$18,"&lt;="&amp;H$6,Drop_PnL!$AZ$7:$AZ$18,"N")+SUMIFS(Drop_PnL!$AW$7:$AW$18,Drop_PnL!$AS$7:$AS$18,"&gt;="&amp;H$5,Drop_PnL!$AS$7:$AS$18,"&lt;="&amp;H$6,Drop_PnL!$AZ$7:$AZ$18,"N"))</f>
        <v/>
      </c>
      <c r="I16" s="108">
        <f>-(SUMIFS(Drop_PnL!$AU$7:$AU$18,Drop_PnL!$AO$7:$AO$18,"&gt;="&amp;I$5,Drop_PnL!$AO$7:$AO$18,"&lt;="&amp;I$6,Drop_PnL!$AZ$7:$AZ$18,"N")+SUMIFS(Drop_PnL!$AV$7:$AV$18,Drop_PnL!$AQ$7:$AQ$18,"&gt;="&amp;I$5,Drop_PnL!$AQ$7:$AQ$18,"&lt;="&amp;I$6,Drop_PnL!$AZ$7:$AZ$18,"N")+SUMIFS(Drop_PnL!$AW$7:$AW$18,Drop_PnL!$AS$7:$AS$18,"&gt;="&amp;I$5,Drop_PnL!$AS$7:$AS$18,"&lt;="&amp;I$6,Drop_PnL!$AZ$7:$AZ$18,"N"))</f>
        <v/>
      </c>
      <c r="J16" s="108">
        <f>-(SUMIFS(Drop_PnL!$AU$7:$AU$18,Drop_PnL!$AO$7:$AO$18,"&gt;="&amp;J$5,Drop_PnL!$AO$7:$AO$18,"&lt;="&amp;J$6,Drop_PnL!$AZ$7:$AZ$18,"N")+SUMIFS(Drop_PnL!$AV$7:$AV$18,Drop_PnL!$AQ$7:$AQ$18,"&gt;="&amp;J$5,Drop_PnL!$AQ$7:$AQ$18,"&lt;="&amp;J$6,Drop_PnL!$AZ$7:$AZ$18,"N")+SUMIFS(Drop_PnL!$AW$7:$AW$18,Drop_PnL!$AS$7:$AS$18,"&gt;="&amp;J$5,Drop_PnL!$AS$7:$AS$18,"&lt;="&amp;J$6,Drop_PnL!$AZ$7:$AZ$18,"N"))</f>
        <v/>
      </c>
      <c r="K16" s="108">
        <f>-(SUMIFS(Drop_PnL!$AU$7:$AU$18,Drop_PnL!$AO$7:$AO$18,"&gt;="&amp;K$5,Drop_PnL!$AO$7:$AO$18,"&lt;="&amp;K$6,Drop_PnL!$AZ$7:$AZ$18,"N")+SUMIFS(Drop_PnL!$AV$7:$AV$18,Drop_PnL!$AQ$7:$AQ$18,"&gt;="&amp;K$5,Drop_PnL!$AQ$7:$AQ$18,"&lt;="&amp;K$6,Drop_PnL!$AZ$7:$AZ$18,"N")+SUMIFS(Drop_PnL!$AW$7:$AW$18,Drop_PnL!$AS$7:$AS$18,"&gt;="&amp;K$5,Drop_PnL!$AS$7:$AS$18,"&lt;="&amp;K$6,Drop_PnL!$AZ$7:$AZ$18,"N"))</f>
        <v/>
      </c>
      <c r="L16" s="108">
        <f>-(SUMIFS(Drop_PnL!$AU$7:$AU$18,Drop_PnL!$AO$7:$AO$18,"&gt;="&amp;L$5,Drop_PnL!$AO$7:$AO$18,"&lt;="&amp;L$6,Drop_PnL!$AZ$7:$AZ$18,"N")+SUMIFS(Drop_PnL!$AV$7:$AV$18,Drop_PnL!$AQ$7:$AQ$18,"&gt;="&amp;L$5,Drop_PnL!$AQ$7:$AQ$18,"&lt;="&amp;L$6,Drop_PnL!$AZ$7:$AZ$18,"N")+SUMIFS(Drop_PnL!$AW$7:$AW$18,Drop_PnL!$AS$7:$AS$18,"&gt;="&amp;L$5,Drop_PnL!$AS$7:$AS$18,"&lt;="&amp;L$6,Drop_PnL!$AZ$7:$AZ$18,"N"))</f>
        <v/>
      </c>
      <c r="M16" s="108">
        <f>-(SUMIFS(Drop_PnL!$AU$7:$AU$18,Drop_PnL!$AO$7:$AO$18,"&gt;="&amp;M$5,Drop_PnL!$AO$7:$AO$18,"&lt;="&amp;M$6,Drop_PnL!$AZ$7:$AZ$18,"N")+SUMIFS(Drop_PnL!$AV$7:$AV$18,Drop_PnL!$AQ$7:$AQ$18,"&gt;="&amp;M$5,Drop_PnL!$AQ$7:$AQ$18,"&lt;="&amp;M$6,Drop_PnL!$AZ$7:$AZ$18,"N")+SUMIFS(Drop_PnL!$AW$7:$AW$18,Drop_PnL!$AS$7:$AS$18,"&gt;="&amp;M$5,Drop_PnL!$AS$7:$AS$18,"&lt;="&amp;M$6,Drop_PnL!$AZ$7:$AZ$18,"N"))</f>
        <v/>
      </c>
      <c r="N16" s="108">
        <f>-(SUMIFS(Drop_PnL!$AU$7:$AU$18,Drop_PnL!$AO$7:$AO$18,"&gt;="&amp;N$5,Drop_PnL!$AO$7:$AO$18,"&lt;="&amp;N$6,Drop_PnL!$AZ$7:$AZ$18,"N")+SUMIFS(Drop_PnL!$AV$7:$AV$18,Drop_PnL!$AQ$7:$AQ$18,"&gt;="&amp;N$5,Drop_PnL!$AQ$7:$AQ$18,"&lt;="&amp;N$6,Drop_PnL!$AZ$7:$AZ$18,"N")+SUMIFS(Drop_PnL!$AW$7:$AW$18,Drop_PnL!$AS$7:$AS$18,"&gt;="&amp;N$5,Drop_PnL!$AS$7:$AS$18,"&lt;="&amp;N$6,Drop_PnL!$AZ$7:$AZ$18,"N"))</f>
        <v/>
      </c>
      <c r="O16" s="108">
        <f>-(SUMIFS(Drop_PnL!$AU$7:$AU$18,Drop_PnL!$AO$7:$AO$18,"&gt;="&amp;O$5,Drop_PnL!$AO$7:$AO$18,"&lt;="&amp;O$6,Drop_PnL!$AZ$7:$AZ$18,"N")+SUMIFS(Drop_PnL!$AV$7:$AV$18,Drop_PnL!$AQ$7:$AQ$18,"&gt;="&amp;O$5,Drop_PnL!$AQ$7:$AQ$18,"&lt;="&amp;O$6,Drop_PnL!$AZ$7:$AZ$18,"N")+SUMIFS(Drop_PnL!$AW$7:$AW$18,Drop_PnL!$AS$7:$AS$18,"&gt;="&amp;O$5,Drop_PnL!$AS$7:$AS$18,"&lt;="&amp;O$6,Drop_PnL!$AZ$7:$AZ$18,"N"))</f>
        <v/>
      </c>
      <c r="P16" s="108">
        <f>-(SUMIFS(Drop_PnL!$AU$7:$AU$18,Drop_PnL!$AO$7:$AO$18,"&gt;="&amp;P$5,Drop_PnL!$AO$7:$AO$18,"&lt;="&amp;P$6,Drop_PnL!$AZ$7:$AZ$18,"N")+SUMIFS(Drop_PnL!$AV$7:$AV$18,Drop_PnL!$AQ$7:$AQ$18,"&gt;="&amp;P$5,Drop_PnL!$AQ$7:$AQ$18,"&lt;="&amp;P$6,Drop_PnL!$AZ$7:$AZ$18,"N")+SUMIFS(Drop_PnL!$AW$7:$AW$18,Drop_PnL!$AS$7:$AS$18,"&gt;="&amp;P$5,Drop_PnL!$AS$7:$AS$18,"&lt;="&amp;P$6,Drop_PnL!$AZ$7:$AZ$18,"N"))</f>
        <v/>
      </c>
      <c r="Q16" s="108">
        <f>-(SUMIFS(Drop_PnL!$AU$7:$AU$18,Drop_PnL!$AO$7:$AO$18,"&gt;="&amp;Q$5,Drop_PnL!$AO$7:$AO$18,"&lt;="&amp;Q$6,Drop_PnL!$AZ$7:$AZ$18,"N")+SUMIFS(Drop_PnL!$AV$7:$AV$18,Drop_PnL!$AQ$7:$AQ$18,"&gt;="&amp;Q$5,Drop_PnL!$AQ$7:$AQ$18,"&lt;="&amp;Q$6,Drop_PnL!$AZ$7:$AZ$18,"N")+SUMIFS(Drop_PnL!$AW$7:$AW$18,Drop_PnL!$AS$7:$AS$18,"&gt;="&amp;Q$5,Drop_PnL!$AS$7:$AS$18,"&lt;="&amp;Q$6,Drop_PnL!$AZ$7:$AZ$18,"N"))</f>
        <v/>
      </c>
      <c r="R16" s="108">
        <f>-(SUMIFS(Drop_PnL!$AU$7:$AU$18,Drop_PnL!$AO$7:$AO$18,"&gt;="&amp;R$5,Drop_PnL!$AO$7:$AO$18,"&lt;="&amp;R$6,Drop_PnL!$AZ$7:$AZ$18,"N")+SUMIFS(Drop_PnL!$AV$7:$AV$18,Drop_PnL!$AQ$7:$AQ$18,"&gt;="&amp;R$5,Drop_PnL!$AQ$7:$AQ$18,"&lt;="&amp;R$6,Drop_PnL!$AZ$7:$AZ$18,"N")+SUMIFS(Drop_PnL!$AW$7:$AW$18,Drop_PnL!$AS$7:$AS$18,"&gt;="&amp;R$5,Drop_PnL!$AS$7:$AS$18,"&lt;="&amp;R$6,Drop_PnL!$AZ$7:$AZ$18,"N"))</f>
        <v/>
      </c>
      <c r="S16" s="108">
        <f>-(SUMIFS(Drop_PnL!$AU$7:$AU$18,Drop_PnL!$AO$7:$AO$18,"&gt;="&amp;S$5,Drop_PnL!$AO$7:$AO$18,"&lt;="&amp;S$6,Drop_PnL!$AZ$7:$AZ$18,"N")+SUMIFS(Drop_PnL!$AV$7:$AV$18,Drop_PnL!$AQ$7:$AQ$18,"&gt;="&amp;S$5,Drop_PnL!$AQ$7:$AQ$18,"&lt;="&amp;S$6,Drop_PnL!$AZ$7:$AZ$18,"N")+SUMIFS(Drop_PnL!$AW$7:$AW$18,Drop_PnL!$AS$7:$AS$18,"&gt;="&amp;S$5,Drop_PnL!$AS$7:$AS$18,"&lt;="&amp;S$6,Drop_PnL!$AZ$7:$AZ$18,"N"))</f>
        <v/>
      </c>
      <c r="T16" s="108">
        <f>-(SUMIFS(Drop_PnL!$AU$7:$AU$18,Drop_PnL!$AO$7:$AO$18,"&gt;="&amp;T$5,Drop_PnL!$AO$7:$AO$18,"&lt;="&amp;T$6,Drop_PnL!$AZ$7:$AZ$18,"N")+SUMIFS(Drop_PnL!$AV$7:$AV$18,Drop_PnL!$AQ$7:$AQ$18,"&gt;="&amp;T$5,Drop_PnL!$AQ$7:$AQ$18,"&lt;="&amp;T$6,Drop_PnL!$AZ$7:$AZ$18,"N")+SUMIFS(Drop_PnL!$AW$7:$AW$18,Drop_PnL!$AS$7:$AS$18,"&gt;="&amp;T$5,Drop_PnL!$AS$7:$AS$18,"&lt;="&amp;T$6,Drop_PnL!$AZ$7:$AZ$18,"N"))</f>
        <v/>
      </c>
      <c r="U16" s="108">
        <f>-(SUMIFS(Drop_PnL!$AU$7:$AU$18,Drop_PnL!$AO$7:$AO$18,"&gt;="&amp;U$5,Drop_PnL!$AO$7:$AO$18,"&lt;="&amp;U$6,Drop_PnL!$AZ$7:$AZ$18,"N")+SUMIFS(Drop_PnL!$AV$7:$AV$18,Drop_PnL!$AQ$7:$AQ$18,"&gt;="&amp;U$5,Drop_PnL!$AQ$7:$AQ$18,"&lt;="&amp;U$6,Drop_PnL!$AZ$7:$AZ$18,"N")+SUMIFS(Drop_PnL!$AW$7:$AW$18,Drop_PnL!$AS$7:$AS$18,"&gt;="&amp;U$5,Drop_PnL!$AS$7:$AS$18,"&lt;="&amp;U$6,Drop_PnL!$AZ$7:$AZ$18,"N"))</f>
        <v/>
      </c>
      <c r="V16" s="108">
        <f>-(SUMIFS(Drop_PnL!$AU$7:$AU$18,Drop_PnL!$AO$7:$AO$18,"&gt;="&amp;V$5,Drop_PnL!$AO$7:$AO$18,"&lt;="&amp;V$6,Drop_PnL!$AZ$7:$AZ$18,"N")+SUMIFS(Drop_PnL!$AV$7:$AV$18,Drop_PnL!$AQ$7:$AQ$18,"&gt;="&amp;V$5,Drop_PnL!$AQ$7:$AQ$18,"&lt;="&amp;V$6,Drop_PnL!$AZ$7:$AZ$18,"N")+SUMIFS(Drop_PnL!$AW$7:$AW$18,Drop_PnL!$AS$7:$AS$18,"&gt;="&amp;V$5,Drop_PnL!$AS$7:$AS$18,"&lt;="&amp;V$6,Drop_PnL!$AZ$7:$AZ$18,"N"))</f>
        <v/>
      </c>
      <c r="W16" s="108">
        <f>-(SUMIFS(Drop_PnL!$AU$7:$AU$18,Drop_PnL!$AO$7:$AO$18,"&gt;="&amp;W$5,Drop_PnL!$AO$7:$AO$18,"&lt;="&amp;W$6,Drop_PnL!$AZ$7:$AZ$18,"N")+SUMIFS(Drop_PnL!$AV$7:$AV$18,Drop_PnL!$AQ$7:$AQ$18,"&gt;="&amp;W$5,Drop_PnL!$AQ$7:$AQ$18,"&lt;="&amp;W$6,Drop_PnL!$AZ$7:$AZ$18,"N")+SUMIFS(Drop_PnL!$AW$7:$AW$18,Drop_PnL!$AS$7:$AS$18,"&gt;="&amp;W$5,Drop_PnL!$AS$7:$AS$18,"&lt;="&amp;W$6,Drop_PnL!$AZ$7:$AZ$18,"N"))</f>
        <v/>
      </c>
      <c r="X16" s="108">
        <f>-(SUMIFS(Drop_PnL!$AU$7:$AU$18,Drop_PnL!$AO$7:$AO$18,"&gt;="&amp;X$5,Drop_PnL!$AO$7:$AO$18,"&lt;="&amp;X$6,Drop_PnL!$AZ$7:$AZ$18,"N")+SUMIFS(Drop_PnL!$AV$7:$AV$18,Drop_PnL!$AQ$7:$AQ$18,"&gt;="&amp;X$5,Drop_PnL!$AQ$7:$AQ$18,"&lt;="&amp;X$6,Drop_PnL!$AZ$7:$AZ$18,"N")+SUMIFS(Drop_PnL!$AW$7:$AW$18,Drop_PnL!$AS$7:$AS$18,"&gt;="&amp;X$5,Drop_PnL!$AS$7:$AS$18,"&lt;="&amp;X$6,Drop_PnL!$AZ$7:$AZ$18,"N"))</f>
        <v/>
      </c>
      <c r="Y16" s="108">
        <f>-(SUMIFS(Drop_PnL!$AU$7:$AU$18,Drop_PnL!$AO$7:$AO$18,"&gt;="&amp;Y$5,Drop_PnL!$AO$7:$AO$18,"&lt;="&amp;Y$6,Drop_PnL!$AZ$7:$AZ$18,"N")+SUMIFS(Drop_PnL!$AV$7:$AV$18,Drop_PnL!$AQ$7:$AQ$18,"&gt;="&amp;Y$5,Drop_PnL!$AQ$7:$AQ$18,"&lt;="&amp;Y$6,Drop_PnL!$AZ$7:$AZ$18,"N")+SUMIFS(Drop_PnL!$AW$7:$AW$18,Drop_PnL!$AS$7:$AS$18,"&gt;="&amp;Y$5,Drop_PnL!$AS$7:$AS$18,"&lt;="&amp;Y$6,Drop_PnL!$AZ$7:$AZ$18,"N"))</f>
        <v/>
      </c>
      <c r="Z16" s="108">
        <f>-(SUMIFS(Drop_PnL!$AU$7:$AU$18,Drop_PnL!$AO$7:$AO$18,"&gt;="&amp;Z$5,Drop_PnL!$AO$7:$AO$18,"&lt;="&amp;Z$6,Drop_PnL!$AZ$7:$AZ$18,"N")+SUMIFS(Drop_PnL!$AV$7:$AV$18,Drop_PnL!$AQ$7:$AQ$18,"&gt;="&amp;Z$5,Drop_PnL!$AQ$7:$AQ$18,"&lt;="&amp;Z$6,Drop_PnL!$AZ$7:$AZ$18,"N")+SUMIFS(Drop_PnL!$AW$7:$AW$18,Drop_PnL!$AS$7:$AS$18,"&gt;="&amp;Z$5,Drop_PnL!$AS$7:$AS$18,"&lt;="&amp;Z$6,Drop_PnL!$AZ$7:$AZ$18,"N"))</f>
        <v/>
      </c>
      <c r="AA16" s="108">
        <f>-(SUMIFS(Drop_PnL!$AU$7:$AU$18,Drop_PnL!$AO$7:$AO$18,"&gt;="&amp;AA$5,Drop_PnL!$AO$7:$AO$18,"&lt;="&amp;AA$6,Drop_PnL!$AZ$7:$AZ$18,"N")+SUMIFS(Drop_PnL!$AV$7:$AV$18,Drop_PnL!$AQ$7:$AQ$18,"&gt;="&amp;AA$5,Drop_PnL!$AQ$7:$AQ$18,"&lt;="&amp;AA$6,Drop_PnL!$AZ$7:$AZ$18,"N")+SUMIFS(Drop_PnL!$AW$7:$AW$18,Drop_PnL!$AS$7:$AS$18,"&gt;="&amp;AA$5,Drop_PnL!$AS$7:$AS$18,"&lt;="&amp;AA$6,Drop_PnL!$AZ$7:$AZ$18,"N"))</f>
        <v/>
      </c>
      <c r="AB16" s="108">
        <f>-(SUMIFS(Drop_PnL!$AU$7:$AU$18,Drop_PnL!$AO$7:$AO$18,"&gt;="&amp;AB$5,Drop_PnL!$AO$7:$AO$18,"&lt;="&amp;AB$6,Drop_PnL!$AZ$7:$AZ$18,"N")+SUMIFS(Drop_PnL!$AV$7:$AV$18,Drop_PnL!$AQ$7:$AQ$18,"&gt;="&amp;AB$5,Drop_PnL!$AQ$7:$AQ$18,"&lt;="&amp;AB$6,Drop_PnL!$AZ$7:$AZ$18,"N")+SUMIFS(Drop_PnL!$AW$7:$AW$18,Drop_PnL!$AS$7:$AS$18,"&gt;="&amp;AB$5,Drop_PnL!$AS$7:$AS$18,"&lt;="&amp;AB$6,Drop_PnL!$AZ$7:$AZ$18,"N"))</f>
        <v/>
      </c>
      <c r="AC16" s="113">
        <f>SUM(C16:AB16)</f>
        <v/>
      </c>
    </row>
    <row r="17">
      <c r="B17" s="29" t="inlineStr">
        <is>
          <t>Direct costs and processing, actual</t>
        </is>
      </c>
      <c r="C17" s="108">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08">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08">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08">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08">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08">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08">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08">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08">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08">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08">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08">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08">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08">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08">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08">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08">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08">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08">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08">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08">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08">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08">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08">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08">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08">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113">
        <f>SUM(C17:AB17)</f>
        <v/>
      </c>
    </row>
    <row r="18">
      <c r="B18" s="8" t="inlineStr">
        <is>
          <t>Total direct costs</t>
        </is>
      </c>
      <c r="C18" s="113">
        <f>SUM(C13:C17)</f>
        <v/>
      </c>
      <c r="D18" s="113">
        <f>SUM(D13:D17)</f>
        <v/>
      </c>
      <c r="E18" s="113">
        <f>SUM(E13:E17)</f>
        <v/>
      </c>
      <c r="F18" s="113">
        <f>SUM(F13:F17)</f>
        <v/>
      </c>
      <c r="G18" s="113">
        <f>SUM(G13:G17)</f>
        <v/>
      </c>
      <c r="H18" s="113">
        <f>SUM(H13:H17)</f>
        <v/>
      </c>
      <c r="I18" s="113">
        <f>SUM(I13:I17)</f>
        <v/>
      </c>
      <c r="J18" s="113">
        <f>SUM(J13:J17)</f>
        <v/>
      </c>
      <c r="K18" s="113">
        <f>SUM(K13:K17)</f>
        <v/>
      </c>
      <c r="L18" s="113">
        <f>SUM(L13:L17)</f>
        <v/>
      </c>
      <c r="M18" s="113">
        <f>SUM(M13:M17)</f>
        <v/>
      </c>
      <c r="N18" s="113">
        <f>SUM(N13:N17)</f>
        <v/>
      </c>
      <c r="O18" s="113">
        <f>SUM(O13:O17)</f>
        <v/>
      </c>
      <c r="P18" s="113">
        <f>SUM(P13:P17)</f>
        <v/>
      </c>
      <c r="Q18" s="113">
        <f>SUM(Q13:Q17)</f>
        <v/>
      </c>
      <c r="R18" s="113">
        <f>SUM(R13:R17)</f>
        <v/>
      </c>
      <c r="S18" s="113">
        <f>SUM(S13:S17)</f>
        <v/>
      </c>
      <c r="T18" s="113">
        <f>SUM(T13:T17)</f>
        <v/>
      </c>
      <c r="U18" s="113">
        <f>SUM(U13:U17)</f>
        <v/>
      </c>
      <c r="V18" s="113">
        <f>SUM(V13:V17)</f>
        <v/>
      </c>
      <c r="W18" s="113">
        <f>SUM(W13:W17)</f>
        <v/>
      </c>
      <c r="X18" s="113">
        <f>SUM(X13:X17)</f>
        <v/>
      </c>
      <c r="Y18" s="113">
        <f>SUM(Y13:Y17)</f>
        <v/>
      </c>
      <c r="Z18" s="113">
        <f>SUM(Z13:Z17)</f>
        <v/>
      </c>
      <c r="AA18" s="113">
        <f>SUM(AA13:AA17)</f>
        <v/>
      </c>
      <c r="AB18" s="113">
        <f>SUM(AB13:AB17)</f>
        <v/>
      </c>
      <c r="AC18" s="113">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08">
        <f>-SUMIFS(Cash_Ledger!$D$5:$D$53,Cash_Ledger!$C$5:$C$53,"&gt;="&amp;C$5,Cash_Ledger!$C$5:$C$53,"&lt;="&amp;C$6,Cash_Ledger!$A$5:$A$53,"software")</f>
        <v/>
      </c>
      <c r="D20" s="108">
        <f>-SUMIFS(Cash_Ledger!$D$5:$D$53,Cash_Ledger!$C$5:$C$53,"&gt;="&amp;D$5,Cash_Ledger!$C$5:$C$53,"&lt;="&amp;D$6,Cash_Ledger!$A$5:$A$53,"software")</f>
        <v/>
      </c>
      <c r="E20" s="108">
        <f>-SUMIFS(Cash_Ledger!$D$5:$D$53,Cash_Ledger!$C$5:$C$53,"&gt;="&amp;E$5,Cash_Ledger!$C$5:$C$53,"&lt;="&amp;E$6,Cash_Ledger!$A$5:$A$53,"software")</f>
        <v/>
      </c>
      <c r="F20" s="108">
        <f>-SUMIFS(Cash_Ledger!$D$5:$D$53,Cash_Ledger!$C$5:$C$53,"&gt;="&amp;F$5,Cash_Ledger!$C$5:$C$53,"&lt;="&amp;F$6,Cash_Ledger!$A$5:$A$53,"software")</f>
        <v/>
      </c>
      <c r="G20" s="108">
        <f>-SUMIFS(Cash_Ledger!$D$5:$D$53,Cash_Ledger!$C$5:$C$53,"&gt;="&amp;G$5,Cash_Ledger!$C$5:$C$53,"&lt;="&amp;G$6,Cash_Ledger!$A$5:$A$53,"software")</f>
        <v/>
      </c>
      <c r="H20" s="108">
        <f>-SUMIFS(Cash_Ledger!$D$5:$D$53,Cash_Ledger!$C$5:$C$53,"&gt;="&amp;H$5,Cash_Ledger!$C$5:$C$53,"&lt;="&amp;H$6,Cash_Ledger!$A$5:$A$53,"software")</f>
        <v/>
      </c>
      <c r="I20" s="108">
        <f>-SUMIFS(Cash_Ledger!$D$5:$D$53,Cash_Ledger!$C$5:$C$53,"&gt;="&amp;I$5,Cash_Ledger!$C$5:$C$53,"&lt;="&amp;I$6,Cash_Ledger!$A$5:$A$53,"software")</f>
        <v/>
      </c>
      <c r="J20" s="108">
        <f>-SUMIFS(Cash_Ledger!$D$5:$D$53,Cash_Ledger!$C$5:$C$53,"&gt;="&amp;J$5,Cash_Ledger!$C$5:$C$53,"&lt;="&amp;J$6,Cash_Ledger!$A$5:$A$53,"software")</f>
        <v/>
      </c>
      <c r="K20" s="108">
        <f>-SUMIFS(Cash_Ledger!$D$5:$D$53,Cash_Ledger!$C$5:$C$53,"&gt;="&amp;K$5,Cash_Ledger!$C$5:$C$53,"&lt;="&amp;K$6,Cash_Ledger!$A$5:$A$53,"software")</f>
        <v/>
      </c>
      <c r="L20" s="108">
        <f>-SUMIFS(Cash_Ledger!$D$5:$D$53,Cash_Ledger!$C$5:$C$53,"&gt;="&amp;L$5,Cash_Ledger!$C$5:$C$53,"&lt;="&amp;L$6,Cash_Ledger!$A$5:$A$53,"software")</f>
        <v/>
      </c>
      <c r="M20" s="108">
        <f>-SUMIFS(Cash_Ledger!$D$5:$D$53,Cash_Ledger!$C$5:$C$53,"&gt;="&amp;M$5,Cash_Ledger!$C$5:$C$53,"&lt;="&amp;M$6,Cash_Ledger!$A$5:$A$53,"software")</f>
        <v/>
      </c>
      <c r="N20" s="108">
        <f>-SUMIFS(Cash_Ledger!$D$5:$D$53,Cash_Ledger!$C$5:$C$53,"&gt;="&amp;N$5,Cash_Ledger!$C$5:$C$53,"&lt;="&amp;N$6,Cash_Ledger!$A$5:$A$53,"software")</f>
        <v/>
      </c>
      <c r="O20" s="108">
        <f>-SUMIFS(Cash_Ledger!$D$5:$D$53,Cash_Ledger!$C$5:$C$53,"&gt;="&amp;O$5,Cash_Ledger!$C$5:$C$53,"&lt;="&amp;O$6,Cash_Ledger!$A$5:$A$53,"software")</f>
        <v/>
      </c>
      <c r="P20" s="108">
        <f>-SUMIFS(Cash_Ledger!$D$5:$D$53,Cash_Ledger!$C$5:$C$53,"&gt;="&amp;P$5,Cash_Ledger!$C$5:$C$53,"&lt;="&amp;P$6,Cash_Ledger!$A$5:$A$53,"software")</f>
        <v/>
      </c>
      <c r="Q20" s="108">
        <f>-SUMIFS(Cash_Ledger!$D$5:$D$53,Cash_Ledger!$C$5:$C$53,"&gt;="&amp;Q$5,Cash_Ledger!$C$5:$C$53,"&lt;="&amp;Q$6,Cash_Ledger!$A$5:$A$53,"software")</f>
        <v/>
      </c>
      <c r="R20" s="108">
        <f>-SUMIFS(Cash_Ledger!$D$5:$D$53,Cash_Ledger!$C$5:$C$53,"&gt;="&amp;R$5,Cash_Ledger!$C$5:$C$53,"&lt;="&amp;R$6,Cash_Ledger!$A$5:$A$53,"software")</f>
        <v/>
      </c>
      <c r="S20" s="108">
        <f>-SUMIFS(Cash_Ledger!$D$5:$D$53,Cash_Ledger!$C$5:$C$53,"&gt;="&amp;S$5,Cash_Ledger!$C$5:$C$53,"&lt;="&amp;S$6,Cash_Ledger!$A$5:$A$53,"software")</f>
        <v/>
      </c>
      <c r="T20" s="108">
        <f>-SUMIFS(Cash_Ledger!$D$5:$D$53,Cash_Ledger!$C$5:$C$53,"&gt;="&amp;T$5,Cash_Ledger!$C$5:$C$53,"&lt;="&amp;T$6,Cash_Ledger!$A$5:$A$53,"software")</f>
        <v/>
      </c>
      <c r="U20" s="108">
        <f>-SUMIFS(Cash_Ledger!$D$5:$D$53,Cash_Ledger!$C$5:$C$53,"&gt;="&amp;U$5,Cash_Ledger!$C$5:$C$53,"&lt;="&amp;U$6,Cash_Ledger!$A$5:$A$53,"software")</f>
        <v/>
      </c>
      <c r="V20" s="108">
        <f>-SUMIFS(Cash_Ledger!$D$5:$D$53,Cash_Ledger!$C$5:$C$53,"&gt;="&amp;V$5,Cash_Ledger!$C$5:$C$53,"&lt;="&amp;V$6,Cash_Ledger!$A$5:$A$53,"software")</f>
        <v/>
      </c>
      <c r="W20" s="108">
        <f>-SUMIFS(Cash_Ledger!$D$5:$D$53,Cash_Ledger!$C$5:$C$53,"&gt;="&amp;W$5,Cash_Ledger!$C$5:$C$53,"&lt;="&amp;W$6,Cash_Ledger!$A$5:$A$53,"software")</f>
        <v/>
      </c>
      <c r="X20" s="108">
        <f>-SUMIFS(Cash_Ledger!$D$5:$D$53,Cash_Ledger!$C$5:$C$53,"&gt;="&amp;X$5,Cash_Ledger!$C$5:$C$53,"&lt;="&amp;X$6,Cash_Ledger!$A$5:$A$53,"software")</f>
        <v/>
      </c>
      <c r="Y20" s="108">
        <f>-SUMIFS(Cash_Ledger!$D$5:$D$53,Cash_Ledger!$C$5:$C$53,"&gt;="&amp;Y$5,Cash_Ledger!$C$5:$C$53,"&lt;="&amp;Y$6,Cash_Ledger!$A$5:$A$53,"software")</f>
        <v/>
      </c>
      <c r="Z20" s="108">
        <f>-SUMIFS(Cash_Ledger!$D$5:$D$53,Cash_Ledger!$C$5:$C$53,"&gt;="&amp;Z$5,Cash_Ledger!$C$5:$C$53,"&lt;="&amp;Z$6,Cash_Ledger!$A$5:$A$53,"software")</f>
        <v/>
      </c>
      <c r="AA20" s="108">
        <f>-SUMIFS(Cash_Ledger!$D$5:$D$53,Cash_Ledger!$C$5:$C$53,"&gt;="&amp;AA$5,Cash_Ledger!$C$5:$C$53,"&lt;="&amp;AA$6,Cash_Ledger!$A$5:$A$53,"software")</f>
        <v/>
      </c>
      <c r="AB20" s="108">
        <f>-SUMIFS(Cash_Ledger!$D$5:$D$53,Cash_Ledger!$C$5:$C$53,"&gt;="&amp;AB$5,Cash_Ledger!$C$5:$C$53,"&lt;="&amp;AB$6,Cash_Ledger!$A$5:$A$53,"software")</f>
        <v/>
      </c>
      <c r="AC20" s="113">
        <f>SUM(C20:AB20)</f>
        <v/>
      </c>
    </row>
    <row r="21">
      <c r="B21" s="29" t="inlineStr">
        <is>
          <t>Insurance</t>
        </is>
      </c>
      <c r="C21" s="108">
        <f>-SUMIFS(Cash_Ledger!$D$5:$D$53,Cash_Ledger!$C$5:$C$53,"&gt;="&amp;C$5,Cash_Ledger!$C$5:$C$53,"&lt;="&amp;C$6,Cash_Ledger!$A$5:$A$53,"insurance")</f>
        <v/>
      </c>
      <c r="D21" s="108">
        <f>-SUMIFS(Cash_Ledger!$D$5:$D$53,Cash_Ledger!$C$5:$C$53,"&gt;="&amp;D$5,Cash_Ledger!$C$5:$C$53,"&lt;="&amp;D$6,Cash_Ledger!$A$5:$A$53,"insurance")</f>
        <v/>
      </c>
      <c r="E21" s="108">
        <f>-SUMIFS(Cash_Ledger!$D$5:$D$53,Cash_Ledger!$C$5:$C$53,"&gt;="&amp;E$5,Cash_Ledger!$C$5:$C$53,"&lt;="&amp;E$6,Cash_Ledger!$A$5:$A$53,"insurance")</f>
        <v/>
      </c>
      <c r="F21" s="108">
        <f>-SUMIFS(Cash_Ledger!$D$5:$D$53,Cash_Ledger!$C$5:$C$53,"&gt;="&amp;F$5,Cash_Ledger!$C$5:$C$53,"&lt;="&amp;F$6,Cash_Ledger!$A$5:$A$53,"insurance")</f>
        <v/>
      </c>
      <c r="G21" s="108">
        <f>-SUMIFS(Cash_Ledger!$D$5:$D$53,Cash_Ledger!$C$5:$C$53,"&gt;="&amp;G$5,Cash_Ledger!$C$5:$C$53,"&lt;="&amp;G$6,Cash_Ledger!$A$5:$A$53,"insurance")</f>
        <v/>
      </c>
      <c r="H21" s="108">
        <f>-SUMIFS(Cash_Ledger!$D$5:$D$53,Cash_Ledger!$C$5:$C$53,"&gt;="&amp;H$5,Cash_Ledger!$C$5:$C$53,"&lt;="&amp;H$6,Cash_Ledger!$A$5:$A$53,"insurance")</f>
        <v/>
      </c>
      <c r="I21" s="108">
        <f>-SUMIFS(Cash_Ledger!$D$5:$D$53,Cash_Ledger!$C$5:$C$53,"&gt;="&amp;I$5,Cash_Ledger!$C$5:$C$53,"&lt;="&amp;I$6,Cash_Ledger!$A$5:$A$53,"insurance")</f>
        <v/>
      </c>
      <c r="J21" s="108">
        <f>-SUMIFS(Cash_Ledger!$D$5:$D$53,Cash_Ledger!$C$5:$C$53,"&gt;="&amp;J$5,Cash_Ledger!$C$5:$C$53,"&lt;="&amp;J$6,Cash_Ledger!$A$5:$A$53,"insurance")</f>
        <v/>
      </c>
      <c r="K21" s="108">
        <f>-SUMIFS(Cash_Ledger!$D$5:$D$53,Cash_Ledger!$C$5:$C$53,"&gt;="&amp;K$5,Cash_Ledger!$C$5:$C$53,"&lt;="&amp;K$6,Cash_Ledger!$A$5:$A$53,"insurance")</f>
        <v/>
      </c>
      <c r="L21" s="108">
        <f>-SUMIFS(Cash_Ledger!$D$5:$D$53,Cash_Ledger!$C$5:$C$53,"&gt;="&amp;L$5,Cash_Ledger!$C$5:$C$53,"&lt;="&amp;L$6,Cash_Ledger!$A$5:$A$53,"insurance")</f>
        <v/>
      </c>
      <c r="M21" s="108">
        <f>-SUMIFS(Cash_Ledger!$D$5:$D$53,Cash_Ledger!$C$5:$C$53,"&gt;="&amp;M$5,Cash_Ledger!$C$5:$C$53,"&lt;="&amp;M$6,Cash_Ledger!$A$5:$A$53,"insurance")</f>
        <v/>
      </c>
      <c r="N21" s="108">
        <f>-SUMIFS(Cash_Ledger!$D$5:$D$53,Cash_Ledger!$C$5:$C$53,"&gt;="&amp;N$5,Cash_Ledger!$C$5:$C$53,"&lt;="&amp;N$6,Cash_Ledger!$A$5:$A$53,"insurance")</f>
        <v/>
      </c>
      <c r="O21" s="108">
        <f>-SUMIFS(Cash_Ledger!$D$5:$D$53,Cash_Ledger!$C$5:$C$53,"&gt;="&amp;O$5,Cash_Ledger!$C$5:$C$53,"&lt;="&amp;O$6,Cash_Ledger!$A$5:$A$53,"insurance")</f>
        <v/>
      </c>
      <c r="P21" s="108">
        <f>-SUMIFS(Cash_Ledger!$D$5:$D$53,Cash_Ledger!$C$5:$C$53,"&gt;="&amp;P$5,Cash_Ledger!$C$5:$C$53,"&lt;="&amp;P$6,Cash_Ledger!$A$5:$A$53,"insurance")</f>
        <v/>
      </c>
      <c r="Q21" s="108">
        <f>-SUMIFS(Cash_Ledger!$D$5:$D$53,Cash_Ledger!$C$5:$C$53,"&gt;="&amp;Q$5,Cash_Ledger!$C$5:$C$53,"&lt;="&amp;Q$6,Cash_Ledger!$A$5:$A$53,"insurance")</f>
        <v/>
      </c>
      <c r="R21" s="108">
        <f>-SUMIFS(Cash_Ledger!$D$5:$D$53,Cash_Ledger!$C$5:$C$53,"&gt;="&amp;R$5,Cash_Ledger!$C$5:$C$53,"&lt;="&amp;R$6,Cash_Ledger!$A$5:$A$53,"insurance")</f>
        <v/>
      </c>
      <c r="S21" s="108">
        <f>-SUMIFS(Cash_Ledger!$D$5:$D$53,Cash_Ledger!$C$5:$C$53,"&gt;="&amp;S$5,Cash_Ledger!$C$5:$C$53,"&lt;="&amp;S$6,Cash_Ledger!$A$5:$A$53,"insurance")</f>
        <v/>
      </c>
      <c r="T21" s="108">
        <f>-SUMIFS(Cash_Ledger!$D$5:$D$53,Cash_Ledger!$C$5:$C$53,"&gt;="&amp;T$5,Cash_Ledger!$C$5:$C$53,"&lt;="&amp;T$6,Cash_Ledger!$A$5:$A$53,"insurance")</f>
        <v/>
      </c>
      <c r="U21" s="108">
        <f>-SUMIFS(Cash_Ledger!$D$5:$D$53,Cash_Ledger!$C$5:$C$53,"&gt;="&amp;U$5,Cash_Ledger!$C$5:$C$53,"&lt;="&amp;U$6,Cash_Ledger!$A$5:$A$53,"insurance")</f>
        <v/>
      </c>
      <c r="V21" s="108">
        <f>-SUMIFS(Cash_Ledger!$D$5:$D$53,Cash_Ledger!$C$5:$C$53,"&gt;="&amp;V$5,Cash_Ledger!$C$5:$C$53,"&lt;="&amp;V$6,Cash_Ledger!$A$5:$A$53,"insurance")</f>
        <v/>
      </c>
      <c r="W21" s="108">
        <f>-SUMIFS(Cash_Ledger!$D$5:$D$53,Cash_Ledger!$C$5:$C$53,"&gt;="&amp;W$5,Cash_Ledger!$C$5:$C$53,"&lt;="&amp;W$6,Cash_Ledger!$A$5:$A$53,"insurance")</f>
        <v/>
      </c>
      <c r="X21" s="108">
        <f>-SUMIFS(Cash_Ledger!$D$5:$D$53,Cash_Ledger!$C$5:$C$53,"&gt;="&amp;X$5,Cash_Ledger!$C$5:$C$53,"&lt;="&amp;X$6,Cash_Ledger!$A$5:$A$53,"insurance")</f>
        <v/>
      </c>
      <c r="Y21" s="108">
        <f>-SUMIFS(Cash_Ledger!$D$5:$D$53,Cash_Ledger!$C$5:$C$53,"&gt;="&amp;Y$5,Cash_Ledger!$C$5:$C$53,"&lt;="&amp;Y$6,Cash_Ledger!$A$5:$A$53,"insurance")</f>
        <v/>
      </c>
      <c r="Z21" s="108">
        <f>-SUMIFS(Cash_Ledger!$D$5:$D$53,Cash_Ledger!$C$5:$C$53,"&gt;="&amp;Z$5,Cash_Ledger!$C$5:$C$53,"&lt;="&amp;Z$6,Cash_Ledger!$A$5:$A$53,"insurance")</f>
        <v/>
      </c>
      <c r="AA21" s="108">
        <f>-SUMIFS(Cash_Ledger!$D$5:$D$53,Cash_Ledger!$C$5:$C$53,"&gt;="&amp;AA$5,Cash_Ledger!$C$5:$C$53,"&lt;="&amp;AA$6,Cash_Ledger!$A$5:$A$53,"insurance")</f>
        <v/>
      </c>
      <c r="AB21" s="108">
        <f>-SUMIFS(Cash_Ledger!$D$5:$D$53,Cash_Ledger!$C$5:$C$53,"&gt;="&amp;AB$5,Cash_Ledger!$C$5:$C$53,"&lt;="&amp;AB$6,Cash_Ledger!$A$5:$A$53,"insurance")</f>
        <v/>
      </c>
      <c r="AC21" s="113">
        <f>SUM(C21:AB21)</f>
        <v/>
      </c>
    </row>
    <row r="22">
      <c r="B22" s="29" t="inlineStr">
        <is>
          <t>Storage</t>
        </is>
      </c>
      <c r="C22" s="108">
        <f>-SUMIFS(Cash_Ledger!$D$5:$D$53,Cash_Ledger!$C$5:$C$53,"&gt;="&amp;C$5,Cash_Ledger!$C$5:$C$53,"&lt;="&amp;C$6,Cash_Ledger!$A$5:$A$53,"storage")</f>
        <v/>
      </c>
      <c r="D22" s="108">
        <f>-SUMIFS(Cash_Ledger!$D$5:$D$53,Cash_Ledger!$C$5:$C$53,"&gt;="&amp;D$5,Cash_Ledger!$C$5:$C$53,"&lt;="&amp;D$6,Cash_Ledger!$A$5:$A$53,"storage")</f>
        <v/>
      </c>
      <c r="E22" s="108">
        <f>-SUMIFS(Cash_Ledger!$D$5:$D$53,Cash_Ledger!$C$5:$C$53,"&gt;="&amp;E$5,Cash_Ledger!$C$5:$C$53,"&lt;="&amp;E$6,Cash_Ledger!$A$5:$A$53,"storage")</f>
        <v/>
      </c>
      <c r="F22" s="108">
        <f>-SUMIFS(Cash_Ledger!$D$5:$D$53,Cash_Ledger!$C$5:$C$53,"&gt;="&amp;F$5,Cash_Ledger!$C$5:$C$53,"&lt;="&amp;F$6,Cash_Ledger!$A$5:$A$53,"storage")</f>
        <v/>
      </c>
      <c r="G22" s="108">
        <f>-SUMIFS(Cash_Ledger!$D$5:$D$53,Cash_Ledger!$C$5:$C$53,"&gt;="&amp;G$5,Cash_Ledger!$C$5:$C$53,"&lt;="&amp;G$6,Cash_Ledger!$A$5:$A$53,"storage")</f>
        <v/>
      </c>
      <c r="H22" s="108">
        <f>-SUMIFS(Cash_Ledger!$D$5:$D$53,Cash_Ledger!$C$5:$C$53,"&gt;="&amp;H$5,Cash_Ledger!$C$5:$C$53,"&lt;="&amp;H$6,Cash_Ledger!$A$5:$A$53,"storage")</f>
        <v/>
      </c>
      <c r="I22" s="108">
        <f>-SUMIFS(Cash_Ledger!$D$5:$D$53,Cash_Ledger!$C$5:$C$53,"&gt;="&amp;I$5,Cash_Ledger!$C$5:$C$53,"&lt;="&amp;I$6,Cash_Ledger!$A$5:$A$53,"storage")</f>
        <v/>
      </c>
      <c r="J22" s="108">
        <f>-SUMIFS(Cash_Ledger!$D$5:$D$53,Cash_Ledger!$C$5:$C$53,"&gt;="&amp;J$5,Cash_Ledger!$C$5:$C$53,"&lt;="&amp;J$6,Cash_Ledger!$A$5:$A$53,"storage")</f>
        <v/>
      </c>
      <c r="K22" s="108">
        <f>-SUMIFS(Cash_Ledger!$D$5:$D$53,Cash_Ledger!$C$5:$C$53,"&gt;="&amp;K$5,Cash_Ledger!$C$5:$C$53,"&lt;="&amp;K$6,Cash_Ledger!$A$5:$A$53,"storage")</f>
        <v/>
      </c>
      <c r="L22" s="108">
        <f>-SUMIFS(Cash_Ledger!$D$5:$D$53,Cash_Ledger!$C$5:$C$53,"&gt;="&amp;L$5,Cash_Ledger!$C$5:$C$53,"&lt;="&amp;L$6,Cash_Ledger!$A$5:$A$53,"storage")</f>
        <v/>
      </c>
      <c r="M22" s="108">
        <f>-SUMIFS(Cash_Ledger!$D$5:$D$53,Cash_Ledger!$C$5:$C$53,"&gt;="&amp;M$5,Cash_Ledger!$C$5:$C$53,"&lt;="&amp;M$6,Cash_Ledger!$A$5:$A$53,"storage")</f>
        <v/>
      </c>
      <c r="N22" s="108">
        <f>-SUMIFS(Cash_Ledger!$D$5:$D$53,Cash_Ledger!$C$5:$C$53,"&gt;="&amp;N$5,Cash_Ledger!$C$5:$C$53,"&lt;="&amp;N$6,Cash_Ledger!$A$5:$A$53,"storage")</f>
        <v/>
      </c>
      <c r="O22" s="108">
        <f>-SUMIFS(Cash_Ledger!$D$5:$D$53,Cash_Ledger!$C$5:$C$53,"&gt;="&amp;O$5,Cash_Ledger!$C$5:$C$53,"&lt;="&amp;O$6,Cash_Ledger!$A$5:$A$53,"storage")</f>
        <v/>
      </c>
      <c r="P22" s="108">
        <f>-SUMIFS(Cash_Ledger!$D$5:$D$53,Cash_Ledger!$C$5:$C$53,"&gt;="&amp;P$5,Cash_Ledger!$C$5:$C$53,"&lt;="&amp;P$6,Cash_Ledger!$A$5:$A$53,"storage")</f>
        <v/>
      </c>
      <c r="Q22" s="108">
        <f>-SUMIFS(Cash_Ledger!$D$5:$D$53,Cash_Ledger!$C$5:$C$53,"&gt;="&amp;Q$5,Cash_Ledger!$C$5:$C$53,"&lt;="&amp;Q$6,Cash_Ledger!$A$5:$A$53,"storage")</f>
        <v/>
      </c>
      <c r="R22" s="108">
        <f>-SUMIFS(Cash_Ledger!$D$5:$D$53,Cash_Ledger!$C$5:$C$53,"&gt;="&amp;R$5,Cash_Ledger!$C$5:$C$53,"&lt;="&amp;R$6,Cash_Ledger!$A$5:$A$53,"storage")</f>
        <v/>
      </c>
      <c r="S22" s="108">
        <f>-SUMIFS(Cash_Ledger!$D$5:$D$53,Cash_Ledger!$C$5:$C$53,"&gt;="&amp;S$5,Cash_Ledger!$C$5:$C$53,"&lt;="&amp;S$6,Cash_Ledger!$A$5:$A$53,"storage")</f>
        <v/>
      </c>
      <c r="T22" s="108">
        <f>-SUMIFS(Cash_Ledger!$D$5:$D$53,Cash_Ledger!$C$5:$C$53,"&gt;="&amp;T$5,Cash_Ledger!$C$5:$C$53,"&lt;="&amp;T$6,Cash_Ledger!$A$5:$A$53,"storage")</f>
        <v/>
      </c>
      <c r="U22" s="108">
        <f>-SUMIFS(Cash_Ledger!$D$5:$D$53,Cash_Ledger!$C$5:$C$53,"&gt;="&amp;U$5,Cash_Ledger!$C$5:$C$53,"&lt;="&amp;U$6,Cash_Ledger!$A$5:$A$53,"storage")</f>
        <v/>
      </c>
      <c r="V22" s="108">
        <f>-SUMIFS(Cash_Ledger!$D$5:$D$53,Cash_Ledger!$C$5:$C$53,"&gt;="&amp;V$5,Cash_Ledger!$C$5:$C$53,"&lt;="&amp;V$6,Cash_Ledger!$A$5:$A$53,"storage")</f>
        <v/>
      </c>
      <c r="W22" s="108">
        <f>-SUMIFS(Cash_Ledger!$D$5:$D$53,Cash_Ledger!$C$5:$C$53,"&gt;="&amp;W$5,Cash_Ledger!$C$5:$C$53,"&lt;="&amp;W$6,Cash_Ledger!$A$5:$A$53,"storage")</f>
        <v/>
      </c>
      <c r="X22" s="108">
        <f>-SUMIFS(Cash_Ledger!$D$5:$D$53,Cash_Ledger!$C$5:$C$53,"&gt;="&amp;X$5,Cash_Ledger!$C$5:$C$53,"&lt;="&amp;X$6,Cash_Ledger!$A$5:$A$53,"storage")</f>
        <v/>
      </c>
      <c r="Y22" s="108">
        <f>-SUMIFS(Cash_Ledger!$D$5:$D$53,Cash_Ledger!$C$5:$C$53,"&gt;="&amp;Y$5,Cash_Ledger!$C$5:$C$53,"&lt;="&amp;Y$6,Cash_Ledger!$A$5:$A$53,"storage")</f>
        <v/>
      </c>
      <c r="Z22" s="108">
        <f>-SUMIFS(Cash_Ledger!$D$5:$D$53,Cash_Ledger!$C$5:$C$53,"&gt;="&amp;Z$5,Cash_Ledger!$C$5:$C$53,"&lt;="&amp;Z$6,Cash_Ledger!$A$5:$A$53,"storage")</f>
        <v/>
      </c>
      <c r="AA22" s="108">
        <f>-SUMIFS(Cash_Ledger!$D$5:$D$53,Cash_Ledger!$C$5:$C$53,"&gt;="&amp;AA$5,Cash_Ledger!$C$5:$C$53,"&lt;="&amp;AA$6,Cash_Ledger!$A$5:$A$53,"storage")</f>
        <v/>
      </c>
      <c r="AB22" s="108">
        <f>-SUMIFS(Cash_Ledger!$D$5:$D$53,Cash_Ledger!$C$5:$C$53,"&gt;="&amp;AB$5,Cash_Ledger!$C$5:$C$53,"&lt;="&amp;AB$6,Cash_Ledger!$A$5:$A$53,"storage")</f>
        <v/>
      </c>
      <c r="AC22" s="113">
        <f>SUM(C22:AB22)</f>
        <v/>
      </c>
    </row>
    <row r="23">
      <c r="B23" s="29" t="inlineStr">
        <is>
          <t>Phone</t>
        </is>
      </c>
      <c r="C23" s="108">
        <f>-SUMIFS(Cash_Ledger!$D$5:$D$53,Cash_Ledger!$C$5:$C$53,"&gt;="&amp;C$5,Cash_Ledger!$C$5:$C$53,"&lt;="&amp;C$6,Cash_Ledger!$A$5:$A$53,"phone")</f>
        <v/>
      </c>
      <c r="D23" s="108">
        <f>-SUMIFS(Cash_Ledger!$D$5:$D$53,Cash_Ledger!$C$5:$C$53,"&gt;="&amp;D$5,Cash_Ledger!$C$5:$C$53,"&lt;="&amp;D$6,Cash_Ledger!$A$5:$A$53,"phone")</f>
        <v/>
      </c>
      <c r="E23" s="108">
        <f>-SUMIFS(Cash_Ledger!$D$5:$D$53,Cash_Ledger!$C$5:$C$53,"&gt;="&amp;E$5,Cash_Ledger!$C$5:$C$53,"&lt;="&amp;E$6,Cash_Ledger!$A$5:$A$53,"phone")</f>
        <v/>
      </c>
      <c r="F23" s="108">
        <f>-SUMIFS(Cash_Ledger!$D$5:$D$53,Cash_Ledger!$C$5:$C$53,"&gt;="&amp;F$5,Cash_Ledger!$C$5:$C$53,"&lt;="&amp;F$6,Cash_Ledger!$A$5:$A$53,"phone")</f>
        <v/>
      </c>
      <c r="G23" s="108">
        <f>-SUMIFS(Cash_Ledger!$D$5:$D$53,Cash_Ledger!$C$5:$C$53,"&gt;="&amp;G$5,Cash_Ledger!$C$5:$C$53,"&lt;="&amp;G$6,Cash_Ledger!$A$5:$A$53,"phone")</f>
        <v/>
      </c>
      <c r="H23" s="108">
        <f>-SUMIFS(Cash_Ledger!$D$5:$D$53,Cash_Ledger!$C$5:$C$53,"&gt;="&amp;H$5,Cash_Ledger!$C$5:$C$53,"&lt;="&amp;H$6,Cash_Ledger!$A$5:$A$53,"phone")</f>
        <v/>
      </c>
      <c r="I23" s="108">
        <f>-SUMIFS(Cash_Ledger!$D$5:$D$53,Cash_Ledger!$C$5:$C$53,"&gt;="&amp;I$5,Cash_Ledger!$C$5:$C$53,"&lt;="&amp;I$6,Cash_Ledger!$A$5:$A$53,"phone")</f>
        <v/>
      </c>
      <c r="J23" s="108">
        <f>-SUMIFS(Cash_Ledger!$D$5:$D$53,Cash_Ledger!$C$5:$C$53,"&gt;="&amp;J$5,Cash_Ledger!$C$5:$C$53,"&lt;="&amp;J$6,Cash_Ledger!$A$5:$A$53,"phone")</f>
        <v/>
      </c>
      <c r="K23" s="108">
        <f>-SUMIFS(Cash_Ledger!$D$5:$D$53,Cash_Ledger!$C$5:$C$53,"&gt;="&amp;K$5,Cash_Ledger!$C$5:$C$53,"&lt;="&amp;K$6,Cash_Ledger!$A$5:$A$53,"phone")</f>
        <v/>
      </c>
      <c r="L23" s="108">
        <f>-SUMIFS(Cash_Ledger!$D$5:$D$53,Cash_Ledger!$C$5:$C$53,"&gt;="&amp;L$5,Cash_Ledger!$C$5:$C$53,"&lt;="&amp;L$6,Cash_Ledger!$A$5:$A$53,"phone")</f>
        <v/>
      </c>
      <c r="M23" s="108">
        <f>-SUMIFS(Cash_Ledger!$D$5:$D$53,Cash_Ledger!$C$5:$C$53,"&gt;="&amp;M$5,Cash_Ledger!$C$5:$C$53,"&lt;="&amp;M$6,Cash_Ledger!$A$5:$A$53,"phone")</f>
        <v/>
      </c>
      <c r="N23" s="108">
        <f>-SUMIFS(Cash_Ledger!$D$5:$D$53,Cash_Ledger!$C$5:$C$53,"&gt;="&amp;N$5,Cash_Ledger!$C$5:$C$53,"&lt;="&amp;N$6,Cash_Ledger!$A$5:$A$53,"phone")</f>
        <v/>
      </c>
      <c r="O23" s="108">
        <f>-SUMIFS(Cash_Ledger!$D$5:$D$53,Cash_Ledger!$C$5:$C$53,"&gt;="&amp;O$5,Cash_Ledger!$C$5:$C$53,"&lt;="&amp;O$6,Cash_Ledger!$A$5:$A$53,"phone")</f>
        <v/>
      </c>
      <c r="P23" s="108">
        <f>-SUMIFS(Cash_Ledger!$D$5:$D$53,Cash_Ledger!$C$5:$C$53,"&gt;="&amp;P$5,Cash_Ledger!$C$5:$C$53,"&lt;="&amp;P$6,Cash_Ledger!$A$5:$A$53,"phone")</f>
        <v/>
      </c>
      <c r="Q23" s="108">
        <f>-SUMIFS(Cash_Ledger!$D$5:$D$53,Cash_Ledger!$C$5:$C$53,"&gt;="&amp;Q$5,Cash_Ledger!$C$5:$C$53,"&lt;="&amp;Q$6,Cash_Ledger!$A$5:$A$53,"phone")</f>
        <v/>
      </c>
      <c r="R23" s="108">
        <f>-SUMIFS(Cash_Ledger!$D$5:$D$53,Cash_Ledger!$C$5:$C$53,"&gt;="&amp;R$5,Cash_Ledger!$C$5:$C$53,"&lt;="&amp;R$6,Cash_Ledger!$A$5:$A$53,"phone")</f>
        <v/>
      </c>
      <c r="S23" s="108">
        <f>-SUMIFS(Cash_Ledger!$D$5:$D$53,Cash_Ledger!$C$5:$C$53,"&gt;="&amp;S$5,Cash_Ledger!$C$5:$C$53,"&lt;="&amp;S$6,Cash_Ledger!$A$5:$A$53,"phone")</f>
        <v/>
      </c>
      <c r="T23" s="108">
        <f>-SUMIFS(Cash_Ledger!$D$5:$D$53,Cash_Ledger!$C$5:$C$53,"&gt;="&amp;T$5,Cash_Ledger!$C$5:$C$53,"&lt;="&amp;T$6,Cash_Ledger!$A$5:$A$53,"phone")</f>
        <v/>
      </c>
      <c r="U23" s="108">
        <f>-SUMIFS(Cash_Ledger!$D$5:$D$53,Cash_Ledger!$C$5:$C$53,"&gt;="&amp;U$5,Cash_Ledger!$C$5:$C$53,"&lt;="&amp;U$6,Cash_Ledger!$A$5:$A$53,"phone")</f>
        <v/>
      </c>
      <c r="V23" s="108">
        <f>-SUMIFS(Cash_Ledger!$D$5:$D$53,Cash_Ledger!$C$5:$C$53,"&gt;="&amp;V$5,Cash_Ledger!$C$5:$C$53,"&lt;="&amp;V$6,Cash_Ledger!$A$5:$A$53,"phone")</f>
        <v/>
      </c>
      <c r="W23" s="108">
        <f>-SUMIFS(Cash_Ledger!$D$5:$D$53,Cash_Ledger!$C$5:$C$53,"&gt;="&amp;W$5,Cash_Ledger!$C$5:$C$53,"&lt;="&amp;W$6,Cash_Ledger!$A$5:$A$53,"phone")</f>
        <v/>
      </c>
      <c r="X23" s="108">
        <f>-SUMIFS(Cash_Ledger!$D$5:$D$53,Cash_Ledger!$C$5:$C$53,"&gt;="&amp;X$5,Cash_Ledger!$C$5:$C$53,"&lt;="&amp;X$6,Cash_Ledger!$A$5:$A$53,"phone")</f>
        <v/>
      </c>
      <c r="Y23" s="108">
        <f>-SUMIFS(Cash_Ledger!$D$5:$D$53,Cash_Ledger!$C$5:$C$53,"&gt;="&amp;Y$5,Cash_Ledger!$C$5:$C$53,"&lt;="&amp;Y$6,Cash_Ledger!$A$5:$A$53,"phone")</f>
        <v/>
      </c>
      <c r="Z23" s="108">
        <f>-SUMIFS(Cash_Ledger!$D$5:$D$53,Cash_Ledger!$C$5:$C$53,"&gt;="&amp;Z$5,Cash_Ledger!$C$5:$C$53,"&lt;="&amp;Z$6,Cash_Ledger!$A$5:$A$53,"phone")</f>
        <v/>
      </c>
      <c r="AA23" s="108">
        <f>-SUMIFS(Cash_Ledger!$D$5:$D$53,Cash_Ledger!$C$5:$C$53,"&gt;="&amp;AA$5,Cash_Ledger!$C$5:$C$53,"&lt;="&amp;AA$6,Cash_Ledger!$A$5:$A$53,"phone")</f>
        <v/>
      </c>
      <c r="AB23" s="108">
        <f>-SUMIFS(Cash_Ledger!$D$5:$D$53,Cash_Ledger!$C$5:$C$53,"&gt;="&amp;AB$5,Cash_Ledger!$C$5:$C$53,"&lt;="&amp;AB$6,Cash_Ledger!$A$5:$A$53,"phone")</f>
        <v/>
      </c>
      <c r="AC23" s="113">
        <f>SUM(C23:AB23)</f>
        <v/>
      </c>
    </row>
    <row r="24">
      <c r="B24" s="8" t="inlineStr">
        <is>
          <t>Total overhead</t>
        </is>
      </c>
      <c r="C24" s="113">
        <f>SUM(C20:C23)</f>
        <v/>
      </c>
      <c r="D24" s="113">
        <f>SUM(D20:D23)</f>
        <v/>
      </c>
      <c r="E24" s="113">
        <f>SUM(E20:E23)</f>
        <v/>
      </c>
      <c r="F24" s="113">
        <f>SUM(F20:F23)</f>
        <v/>
      </c>
      <c r="G24" s="113">
        <f>SUM(G20:G23)</f>
        <v/>
      </c>
      <c r="H24" s="113">
        <f>SUM(H20:H23)</f>
        <v/>
      </c>
      <c r="I24" s="113">
        <f>SUM(I20:I23)</f>
        <v/>
      </c>
      <c r="J24" s="113">
        <f>SUM(J20:J23)</f>
        <v/>
      </c>
      <c r="K24" s="113">
        <f>SUM(K20:K23)</f>
        <v/>
      </c>
      <c r="L24" s="113">
        <f>SUM(L20:L23)</f>
        <v/>
      </c>
      <c r="M24" s="113">
        <f>SUM(M20:M23)</f>
        <v/>
      </c>
      <c r="N24" s="113">
        <f>SUM(N20:N23)</f>
        <v/>
      </c>
      <c r="O24" s="113">
        <f>SUM(O20:O23)</f>
        <v/>
      </c>
      <c r="P24" s="113">
        <f>SUM(P20:P23)</f>
        <v/>
      </c>
      <c r="Q24" s="113">
        <f>SUM(Q20:Q23)</f>
        <v/>
      </c>
      <c r="R24" s="113">
        <f>SUM(R20:R23)</f>
        <v/>
      </c>
      <c r="S24" s="113">
        <f>SUM(S20:S23)</f>
        <v/>
      </c>
      <c r="T24" s="113">
        <f>SUM(T20:T23)</f>
        <v/>
      </c>
      <c r="U24" s="113">
        <f>SUM(U20:U23)</f>
        <v/>
      </c>
      <c r="V24" s="113">
        <f>SUM(V20:V23)</f>
        <v/>
      </c>
      <c r="W24" s="113">
        <f>SUM(W20:W23)</f>
        <v/>
      </c>
      <c r="X24" s="113">
        <f>SUM(X20:X23)</f>
        <v/>
      </c>
      <c r="Y24" s="113">
        <f>SUM(Y20:Y23)</f>
        <v/>
      </c>
      <c r="Z24" s="113">
        <f>SUM(Z20:Z23)</f>
        <v/>
      </c>
      <c r="AA24" s="113">
        <f>SUM(AA20:AA23)</f>
        <v/>
      </c>
      <c r="AB24" s="113">
        <f>SUM(AB20:AB23)</f>
        <v/>
      </c>
      <c r="AC24" s="113">
        <f>SUM(C24:AB24)</f>
        <v/>
      </c>
    </row>
    <row r="25">
      <c r="B25" s="29" t="inlineStr">
        <is>
          <t>Startup outlays (Inputs section 11)</t>
        </is>
      </c>
      <c r="C25" s="108">
        <f>-SUMIFS(Inputs!$Q$158:$Q$171,Inputs!$R$158:$R$171,"&gt;="&amp;C$5,Inputs!$R$158:$R$171,"&lt;="&amp;C$6)</f>
        <v/>
      </c>
      <c r="D25" s="108">
        <f>-SUMIFS(Inputs!$Q$158:$Q$171,Inputs!$R$158:$R$171,"&gt;="&amp;D$5,Inputs!$R$158:$R$171,"&lt;="&amp;D$6)</f>
        <v/>
      </c>
      <c r="E25" s="108">
        <f>-SUMIFS(Inputs!$Q$158:$Q$171,Inputs!$R$158:$R$171,"&gt;="&amp;E$5,Inputs!$R$158:$R$171,"&lt;="&amp;E$6)</f>
        <v/>
      </c>
      <c r="F25" s="108">
        <f>-SUMIFS(Inputs!$Q$158:$Q$171,Inputs!$R$158:$R$171,"&gt;="&amp;F$5,Inputs!$R$158:$R$171,"&lt;="&amp;F$6)</f>
        <v/>
      </c>
      <c r="G25" s="108">
        <f>-SUMIFS(Inputs!$Q$158:$Q$171,Inputs!$R$158:$R$171,"&gt;="&amp;G$5,Inputs!$R$158:$R$171,"&lt;="&amp;G$6)</f>
        <v/>
      </c>
      <c r="H25" s="108">
        <f>-SUMIFS(Inputs!$Q$158:$Q$171,Inputs!$R$158:$R$171,"&gt;="&amp;H$5,Inputs!$R$158:$R$171,"&lt;="&amp;H$6)</f>
        <v/>
      </c>
      <c r="I25" s="108">
        <f>-SUMIFS(Inputs!$Q$158:$Q$171,Inputs!$R$158:$R$171,"&gt;="&amp;I$5,Inputs!$R$158:$R$171,"&lt;="&amp;I$6)</f>
        <v/>
      </c>
      <c r="J25" s="108">
        <f>-SUMIFS(Inputs!$Q$158:$Q$171,Inputs!$R$158:$R$171,"&gt;="&amp;J$5,Inputs!$R$158:$R$171,"&lt;="&amp;J$6)</f>
        <v/>
      </c>
      <c r="K25" s="108">
        <f>-SUMIFS(Inputs!$Q$158:$Q$171,Inputs!$R$158:$R$171,"&gt;="&amp;K$5,Inputs!$R$158:$R$171,"&lt;="&amp;K$6)</f>
        <v/>
      </c>
      <c r="L25" s="108">
        <f>-SUMIFS(Inputs!$Q$158:$Q$171,Inputs!$R$158:$R$171,"&gt;="&amp;L$5,Inputs!$R$158:$R$171,"&lt;="&amp;L$6)</f>
        <v/>
      </c>
      <c r="M25" s="108">
        <f>-SUMIFS(Inputs!$Q$158:$Q$171,Inputs!$R$158:$R$171,"&gt;="&amp;M$5,Inputs!$R$158:$R$171,"&lt;="&amp;M$6)</f>
        <v/>
      </c>
      <c r="N25" s="108">
        <f>-SUMIFS(Inputs!$Q$158:$Q$171,Inputs!$R$158:$R$171,"&gt;="&amp;N$5,Inputs!$R$158:$R$171,"&lt;="&amp;N$6)</f>
        <v/>
      </c>
      <c r="O25" s="108">
        <f>-SUMIFS(Inputs!$Q$158:$Q$171,Inputs!$R$158:$R$171,"&gt;="&amp;O$5,Inputs!$R$158:$R$171,"&lt;="&amp;O$6)</f>
        <v/>
      </c>
      <c r="P25" s="108">
        <f>-SUMIFS(Inputs!$Q$158:$Q$171,Inputs!$R$158:$R$171,"&gt;="&amp;P$5,Inputs!$R$158:$R$171,"&lt;="&amp;P$6)</f>
        <v/>
      </c>
      <c r="Q25" s="108">
        <f>-SUMIFS(Inputs!$Q$158:$Q$171,Inputs!$R$158:$R$171,"&gt;="&amp;Q$5,Inputs!$R$158:$R$171,"&lt;="&amp;Q$6)</f>
        <v/>
      </c>
      <c r="R25" s="108">
        <f>-SUMIFS(Inputs!$Q$158:$Q$171,Inputs!$R$158:$R$171,"&gt;="&amp;R$5,Inputs!$R$158:$R$171,"&lt;="&amp;R$6)</f>
        <v/>
      </c>
      <c r="S25" s="108">
        <f>-SUMIFS(Inputs!$Q$158:$Q$171,Inputs!$R$158:$R$171,"&gt;="&amp;S$5,Inputs!$R$158:$R$171,"&lt;="&amp;S$6)</f>
        <v/>
      </c>
      <c r="T25" s="108">
        <f>-SUMIFS(Inputs!$Q$158:$Q$171,Inputs!$R$158:$R$171,"&gt;="&amp;T$5,Inputs!$R$158:$R$171,"&lt;="&amp;T$6)</f>
        <v/>
      </c>
      <c r="U25" s="108">
        <f>-SUMIFS(Inputs!$Q$158:$Q$171,Inputs!$R$158:$R$171,"&gt;="&amp;U$5,Inputs!$R$158:$R$171,"&lt;="&amp;U$6)</f>
        <v/>
      </c>
      <c r="V25" s="108">
        <f>-SUMIFS(Inputs!$Q$158:$Q$171,Inputs!$R$158:$R$171,"&gt;="&amp;V$5,Inputs!$R$158:$R$171,"&lt;="&amp;V$6)</f>
        <v/>
      </c>
      <c r="W25" s="108">
        <f>-SUMIFS(Inputs!$Q$158:$Q$171,Inputs!$R$158:$R$171,"&gt;="&amp;W$5,Inputs!$R$158:$R$171,"&lt;="&amp;W$6)</f>
        <v/>
      </c>
      <c r="X25" s="108">
        <f>-SUMIFS(Inputs!$Q$158:$Q$171,Inputs!$R$158:$R$171,"&gt;="&amp;X$5,Inputs!$R$158:$R$171,"&lt;="&amp;X$6)</f>
        <v/>
      </c>
      <c r="Y25" s="108">
        <f>-SUMIFS(Inputs!$Q$158:$Q$171,Inputs!$R$158:$R$171,"&gt;="&amp;Y$5,Inputs!$R$158:$R$171,"&lt;="&amp;Y$6)</f>
        <v/>
      </c>
      <c r="Z25" s="108">
        <f>-SUMIFS(Inputs!$Q$158:$Q$171,Inputs!$R$158:$R$171,"&gt;="&amp;Z$5,Inputs!$R$158:$R$171,"&lt;="&amp;Z$6)</f>
        <v/>
      </c>
      <c r="AA25" s="108">
        <f>-SUMIFS(Inputs!$Q$158:$Q$171,Inputs!$R$158:$R$171,"&gt;="&amp;AA$5,Inputs!$R$158:$R$171,"&lt;="&amp;AA$6)</f>
        <v/>
      </c>
      <c r="AB25" s="108">
        <f>-SUMIFS(Inputs!$Q$158:$Q$171,Inputs!$R$158:$R$171,"&gt;="&amp;AB$5,Inputs!$R$158:$R$171,"&lt;="&amp;AB$6)</f>
        <v/>
      </c>
      <c r="AC25" s="113">
        <f>SUM(C25:AB25)</f>
        <v/>
      </c>
    </row>
    <row r="26">
      <c r="B26" s="8" t="inlineStr">
        <is>
          <t>Net cash flow</t>
        </is>
      </c>
      <c r="C26" s="140">
        <f>C11+C18+C24+C25</f>
        <v/>
      </c>
      <c r="D26" s="140">
        <f>D11+D18+D24+D25</f>
        <v/>
      </c>
      <c r="E26" s="140">
        <f>E11+E18+E24+E25</f>
        <v/>
      </c>
      <c r="F26" s="140">
        <f>F11+F18+F24+F25</f>
        <v/>
      </c>
      <c r="G26" s="140">
        <f>G11+G18+G24+G25</f>
        <v/>
      </c>
      <c r="H26" s="140">
        <f>H11+H18+H24+H25</f>
        <v/>
      </c>
      <c r="I26" s="140">
        <f>I11+I18+I24+I25</f>
        <v/>
      </c>
      <c r="J26" s="140">
        <f>J11+J18+J24+J25</f>
        <v/>
      </c>
      <c r="K26" s="140">
        <f>K11+K18+K24+K25</f>
        <v/>
      </c>
      <c r="L26" s="140">
        <f>L11+L18+L24+L25</f>
        <v/>
      </c>
      <c r="M26" s="140">
        <f>M11+M18+M24+M25</f>
        <v/>
      </c>
      <c r="N26" s="140">
        <f>N11+N18+N24+N25</f>
        <v/>
      </c>
      <c r="O26" s="140">
        <f>O11+O18+O24+O25</f>
        <v/>
      </c>
      <c r="P26" s="140">
        <f>P11+P18+P24+P25</f>
        <v/>
      </c>
      <c r="Q26" s="140">
        <f>Q11+Q18+Q24+Q25</f>
        <v/>
      </c>
      <c r="R26" s="140">
        <f>R11+R18+R24+R25</f>
        <v/>
      </c>
      <c r="S26" s="140">
        <f>S11+S18+S24+S25</f>
        <v/>
      </c>
      <c r="T26" s="140">
        <f>T11+T18+T24+T25</f>
        <v/>
      </c>
      <c r="U26" s="140">
        <f>U11+U18+U24+U25</f>
        <v/>
      </c>
      <c r="V26" s="140">
        <f>V11+V18+V24+V25</f>
        <v/>
      </c>
      <c r="W26" s="140">
        <f>W11+W18+W24+W25</f>
        <v/>
      </c>
      <c r="X26" s="140">
        <f>X11+X18+X24+X25</f>
        <v/>
      </c>
      <c r="Y26" s="140">
        <f>Y11+Y18+Y24+Y25</f>
        <v/>
      </c>
      <c r="Z26" s="140">
        <f>Z11+Z18+Z24+Z25</f>
        <v/>
      </c>
      <c r="AA26" s="140">
        <f>AA11+AA18+AA24+AA25</f>
        <v/>
      </c>
      <c r="AB26" s="140">
        <f>AB11+AB18+AB24+AB25</f>
        <v/>
      </c>
      <c r="AC26" s="140">
        <f>SUM(C26:AB26)</f>
        <v/>
      </c>
    </row>
    <row r="27">
      <c r="B27" s="8" t="inlineStr">
        <is>
          <t>Cumulative net cash flow, before founder cash</t>
        </is>
      </c>
      <c r="C27" s="140">
        <f>C26</f>
        <v/>
      </c>
      <c r="D27" s="140">
        <f>C27+D26</f>
        <v/>
      </c>
      <c r="E27" s="140">
        <f>D27+E26</f>
        <v/>
      </c>
      <c r="F27" s="140">
        <f>E27+F26</f>
        <v/>
      </c>
      <c r="G27" s="140">
        <f>F27+G26</f>
        <v/>
      </c>
      <c r="H27" s="140">
        <f>G27+H26</f>
        <v/>
      </c>
      <c r="I27" s="140">
        <f>H27+I26</f>
        <v/>
      </c>
      <c r="J27" s="140">
        <f>I27+J26</f>
        <v/>
      </c>
      <c r="K27" s="140">
        <f>J27+K26</f>
        <v/>
      </c>
      <c r="L27" s="140">
        <f>K27+L26</f>
        <v/>
      </c>
      <c r="M27" s="140">
        <f>L27+M26</f>
        <v/>
      </c>
      <c r="N27" s="140">
        <f>M27+N26</f>
        <v/>
      </c>
      <c r="O27" s="140">
        <f>N27+O26</f>
        <v/>
      </c>
      <c r="P27" s="140">
        <f>O27+P26</f>
        <v/>
      </c>
      <c r="Q27" s="140">
        <f>P27+Q26</f>
        <v/>
      </c>
      <c r="R27" s="140">
        <f>Q27+R26</f>
        <v/>
      </c>
      <c r="S27" s="140">
        <f>R27+S26</f>
        <v/>
      </c>
      <c r="T27" s="140">
        <f>S27+T26</f>
        <v/>
      </c>
      <c r="U27" s="140">
        <f>T27+U26</f>
        <v/>
      </c>
      <c r="V27" s="140">
        <f>U27+V26</f>
        <v/>
      </c>
      <c r="W27" s="140">
        <f>V27+W26</f>
        <v/>
      </c>
      <c r="X27" s="140">
        <f>W27+X26</f>
        <v/>
      </c>
      <c r="Y27" s="140">
        <f>X27+Y26</f>
        <v/>
      </c>
      <c r="Z27" s="140">
        <f>Y27+Z26</f>
        <v/>
      </c>
      <c r="AA27" s="140">
        <f>Z27+AA26</f>
        <v/>
      </c>
      <c r="AB27" s="140">
        <f>AA27+AB26</f>
        <v/>
      </c>
      <c r="AC27" s="140">
        <f>AB27</f>
        <v/>
      </c>
    </row>
    <row r="28">
      <c r="B28" s="8" t="inlineStr">
        <is>
          <t>Founder cash in</t>
        </is>
      </c>
      <c r="C28" s="113">
        <f>IF(AND(Inputs!$C$116&gt;=C$5,Inputs!$C$116&lt;=C$6),N(Inputs!$C$115),0)</f>
        <v/>
      </c>
      <c r="D28" s="113">
        <f>IF(AND(Inputs!$C$116&gt;=D$5,Inputs!$C$116&lt;=D$6),N(Inputs!$C$115),0)</f>
        <v/>
      </c>
      <c r="E28" s="113">
        <f>IF(AND(Inputs!$C$116&gt;=E$5,Inputs!$C$116&lt;=E$6),N(Inputs!$C$115),0)</f>
        <v/>
      </c>
      <c r="F28" s="113">
        <f>IF(AND(Inputs!$C$116&gt;=F$5,Inputs!$C$116&lt;=F$6),N(Inputs!$C$115),0)</f>
        <v/>
      </c>
      <c r="G28" s="113">
        <f>IF(AND(Inputs!$C$116&gt;=G$5,Inputs!$C$116&lt;=G$6),N(Inputs!$C$115),0)</f>
        <v/>
      </c>
      <c r="H28" s="113">
        <f>IF(AND(Inputs!$C$116&gt;=H$5,Inputs!$C$116&lt;=H$6),N(Inputs!$C$115),0)</f>
        <v/>
      </c>
      <c r="I28" s="113">
        <f>IF(AND(Inputs!$C$116&gt;=I$5,Inputs!$C$116&lt;=I$6),N(Inputs!$C$115),0)</f>
        <v/>
      </c>
      <c r="J28" s="113">
        <f>IF(AND(Inputs!$C$116&gt;=J$5,Inputs!$C$116&lt;=J$6),N(Inputs!$C$115),0)</f>
        <v/>
      </c>
      <c r="K28" s="113">
        <f>IF(AND(Inputs!$C$116&gt;=K$5,Inputs!$C$116&lt;=K$6),N(Inputs!$C$115),0)</f>
        <v/>
      </c>
      <c r="L28" s="113">
        <f>IF(AND(Inputs!$C$116&gt;=L$5,Inputs!$C$116&lt;=L$6),N(Inputs!$C$115),0)</f>
        <v/>
      </c>
      <c r="M28" s="113">
        <f>IF(AND(Inputs!$C$116&gt;=M$5,Inputs!$C$116&lt;=M$6),N(Inputs!$C$115),0)</f>
        <v/>
      </c>
      <c r="N28" s="113">
        <f>IF(AND(Inputs!$C$116&gt;=N$5,Inputs!$C$116&lt;=N$6),N(Inputs!$C$115),0)</f>
        <v/>
      </c>
      <c r="O28" s="113">
        <f>IF(AND(Inputs!$C$116&gt;=O$5,Inputs!$C$116&lt;=O$6),N(Inputs!$C$115),0)</f>
        <v/>
      </c>
      <c r="P28" s="113">
        <f>IF(AND(Inputs!$C$116&gt;=P$5,Inputs!$C$116&lt;=P$6),N(Inputs!$C$115),0)</f>
        <v/>
      </c>
      <c r="Q28" s="113">
        <f>IF(AND(Inputs!$C$116&gt;=Q$5,Inputs!$C$116&lt;=Q$6),N(Inputs!$C$115),0)</f>
        <v/>
      </c>
      <c r="R28" s="113">
        <f>IF(AND(Inputs!$C$116&gt;=R$5,Inputs!$C$116&lt;=R$6),N(Inputs!$C$115),0)</f>
        <v/>
      </c>
      <c r="S28" s="113">
        <f>IF(AND(Inputs!$C$116&gt;=S$5,Inputs!$C$116&lt;=S$6),N(Inputs!$C$115),0)</f>
        <v/>
      </c>
      <c r="T28" s="113">
        <f>IF(AND(Inputs!$C$116&gt;=T$5,Inputs!$C$116&lt;=T$6),N(Inputs!$C$115),0)</f>
        <v/>
      </c>
      <c r="U28" s="113">
        <f>IF(AND(Inputs!$C$116&gt;=U$5,Inputs!$C$116&lt;=U$6),N(Inputs!$C$115),0)</f>
        <v/>
      </c>
      <c r="V28" s="113">
        <f>IF(AND(Inputs!$C$116&gt;=V$5,Inputs!$C$116&lt;=V$6),N(Inputs!$C$115),0)</f>
        <v/>
      </c>
      <c r="W28" s="113">
        <f>IF(AND(Inputs!$C$116&gt;=W$5,Inputs!$C$116&lt;=W$6),N(Inputs!$C$115),0)</f>
        <v/>
      </c>
      <c r="X28" s="113">
        <f>IF(AND(Inputs!$C$116&gt;=X$5,Inputs!$C$116&lt;=X$6),N(Inputs!$C$115),0)</f>
        <v/>
      </c>
      <c r="Y28" s="113">
        <f>IF(AND(Inputs!$C$116&gt;=Y$5,Inputs!$C$116&lt;=Y$6),N(Inputs!$C$115),0)</f>
        <v/>
      </c>
      <c r="Z28" s="113">
        <f>IF(AND(Inputs!$C$116&gt;=Z$5,Inputs!$C$116&lt;=Z$6),N(Inputs!$C$115),0)</f>
        <v/>
      </c>
      <c r="AA28" s="113">
        <f>IF(AND(Inputs!$C$116&gt;=AA$5,Inputs!$C$116&lt;=AA$6),N(Inputs!$C$115),0)</f>
        <v/>
      </c>
      <c r="AB28" s="113">
        <f>IF(AND(Inputs!$C$116&gt;=AB$5,Inputs!$C$116&lt;=AB$6),N(Inputs!$C$115),0)</f>
        <v/>
      </c>
      <c r="AC28" s="113">
        <f>SUM(C28:AB28)</f>
        <v/>
      </c>
    </row>
    <row r="29">
      <c r="B29" s="8" t="inlineStr">
        <is>
          <t>Cash balance with founder cash</t>
        </is>
      </c>
      <c r="C29" s="140">
        <f>C27+SUM($C28:C28)</f>
        <v/>
      </c>
      <c r="D29" s="140">
        <f>D27+SUM($C28:D28)</f>
        <v/>
      </c>
      <c r="E29" s="140">
        <f>E27+SUM($C28:E28)</f>
        <v/>
      </c>
      <c r="F29" s="140">
        <f>F27+SUM($C28:F28)</f>
        <v/>
      </c>
      <c r="G29" s="140">
        <f>G27+SUM($C28:G28)</f>
        <v/>
      </c>
      <c r="H29" s="140">
        <f>H27+SUM($C28:H28)</f>
        <v/>
      </c>
      <c r="I29" s="140">
        <f>I27+SUM($C28:I28)</f>
        <v/>
      </c>
      <c r="J29" s="140">
        <f>J27+SUM($C28:J28)</f>
        <v/>
      </c>
      <c r="K29" s="140">
        <f>K27+SUM($C28:K28)</f>
        <v/>
      </c>
      <c r="L29" s="140">
        <f>L27+SUM($C28:L28)</f>
        <v/>
      </c>
      <c r="M29" s="140">
        <f>M27+SUM($C28:M28)</f>
        <v/>
      </c>
      <c r="N29" s="140">
        <f>N27+SUM($C28:N28)</f>
        <v/>
      </c>
      <c r="O29" s="140">
        <f>O27+SUM($C28:O28)</f>
        <v/>
      </c>
      <c r="P29" s="140">
        <f>P27+SUM($C28:P28)</f>
        <v/>
      </c>
      <c r="Q29" s="140">
        <f>Q27+SUM($C28:Q28)</f>
        <v/>
      </c>
      <c r="R29" s="140">
        <f>R27+SUM($C28:R28)</f>
        <v/>
      </c>
      <c r="S29" s="140">
        <f>S27+SUM($C28:S28)</f>
        <v/>
      </c>
      <c r="T29" s="140">
        <f>T27+SUM($C28:T28)</f>
        <v/>
      </c>
      <c r="U29" s="140">
        <f>U27+SUM($C28:U28)</f>
        <v/>
      </c>
      <c r="V29" s="140">
        <f>V27+SUM($C28:V28)</f>
        <v/>
      </c>
      <c r="W29" s="140">
        <f>W27+SUM($C28:W28)</f>
        <v/>
      </c>
      <c r="X29" s="140">
        <f>X27+SUM($C28:X28)</f>
        <v/>
      </c>
      <c r="Y29" s="140">
        <f>Y27+SUM($C28:Y28)</f>
        <v/>
      </c>
      <c r="Z29" s="140">
        <f>Z27+SUM($C28:Z28)</f>
        <v/>
      </c>
      <c r="AA29" s="140">
        <f>AA27+SUM($C28:AA28)</f>
        <v/>
      </c>
      <c r="AB29" s="140">
        <f>AB27+SUM($C28:AB28)</f>
        <v/>
      </c>
      <c r="AC29" s="140">
        <f>AB29</f>
        <v/>
      </c>
    </row>
    <row r="30">
      <c r="B30" s="8" t="inlineStr">
        <is>
          <t>Actual bank balance at week end (optional; type it)</t>
        </is>
      </c>
      <c r="C30" s="126" t="n"/>
      <c r="D30" s="126" t="n"/>
      <c r="E30" s="126" t="n"/>
      <c r="F30" s="126" t="n"/>
      <c r="G30" s="126" t="n"/>
      <c r="H30" s="126" t="n"/>
      <c r="I30" s="126" t="n"/>
      <c r="J30" s="126" t="n"/>
      <c r="K30" s="126" t="n"/>
      <c r="L30" s="126" t="n"/>
      <c r="M30" s="126" t="n"/>
      <c r="N30" s="126" t="n"/>
      <c r="O30" s="126" t="n"/>
      <c r="P30" s="126" t="n"/>
      <c r="Q30" s="126" t="n"/>
      <c r="R30" s="126" t="n"/>
      <c r="S30" s="126" t="n"/>
      <c r="T30" s="126" t="n"/>
      <c r="U30" s="126" t="n"/>
      <c r="V30" s="126" t="n"/>
      <c r="W30" s="126" t="n"/>
      <c r="X30" s="126" t="n"/>
      <c r="Y30" s="126" t="n"/>
      <c r="Z30" s="126" t="n"/>
      <c r="AA30" s="126" t="n"/>
      <c r="AB30" s="126" t="n"/>
    </row>
    <row r="31">
      <c r="B31" s="29" t="inlineStr">
        <is>
          <t>Variance: actual less the model balance with founder cash</t>
        </is>
      </c>
      <c r="C31" s="108">
        <f>IF(C30="","",C30-C29)</f>
        <v/>
      </c>
      <c r="D31" s="108">
        <f>IF(D30="","",D30-D29)</f>
        <v/>
      </c>
      <c r="E31" s="108">
        <f>IF(E30="","",E30-E29)</f>
        <v/>
      </c>
      <c r="F31" s="108">
        <f>IF(F30="","",F30-F29)</f>
        <v/>
      </c>
      <c r="G31" s="108">
        <f>IF(G30="","",G30-G29)</f>
        <v/>
      </c>
      <c r="H31" s="108">
        <f>IF(H30="","",H30-H29)</f>
        <v/>
      </c>
      <c r="I31" s="108">
        <f>IF(I30="","",I30-I29)</f>
        <v/>
      </c>
      <c r="J31" s="108">
        <f>IF(J30="","",J30-J29)</f>
        <v/>
      </c>
      <c r="K31" s="108">
        <f>IF(K30="","",K30-K29)</f>
        <v/>
      </c>
      <c r="L31" s="108">
        <f>IF(L30="","",L30-L29)</f>
        <v/>
      </c>
      <c r="M31" s="108">
        <f>IF(M30="","",M30-M29)</f>
        <v/>
      </c>
      <c r="N31" s="108">
        <f>IF(N30="","",N30-N29)</f>
        <v/>
      </c>
      <c r="O31" s="108">
        <f>IF(O30="","",O30-O29)</f>
        <v/>
      </c>
      <c r="P31" s="108">
        <f>IF(P30="","",P30-P29)</f>
        <v/>
      </c>
      <c r="Q31" s="108">
        <f>IF(Q30="","",Q30-Q29)</f>
        <v/>
      </c>
      <c r="R31" s="108">
        <f>IF(R30="","",R30-R29)</f>
        <v/>
      </c>
      <c r="S31" s="108">
        <f>IF(S30="","",S30-S29)</f>
        <v/>
      </c>
      <c r="T31" s="108">
        <f>IF(T30="","",T30-T29)</f>
        <v/>
      </c>
      <c r="U31" s="108">
        <f>IF(U30="","",U30-U29)</f>
        <v/>
      </c>
      <c r="V31" s="108">
        <f>IF(V30="","",V30-V29)</f>
        <v/>
      </c>
      <c r="W31" s="108">
        <f>IF(W30="","",W30-W29)</f>
        <v/>
      </c>
      <c r="X31" s="108">
        <f>IF(X30="","",X30-X29)</f>
        <v/>
      </c>
      <c r="Y31" s="108">
        <f>IF(Y30="","",Y30-Y29)</f>
        <v/>
      </c>
      <c r="Z31" s="108">
        <f>IF(Z30="","",Z30-Z29)</f>
        <v/>
      </c>
      <c r="AA31" s="108">
        <f>IF(AA30="","",AA30-AA29)</f>
        <v/>
      </c>
      <c r="AB31" s="108">
        <f>IF(AB30="","",AB30-AB29)</f>
        <v/>
      </c>
    </row>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06">
        <f>MIN(C27:AB27)</f>
        <v/>
      </c>
    </row>
    <row r="35">
      <c r="B35" s="29" t="inlineStr">
        <is>
          <t>Week of the lowest point</t>
        </is>
      </c>
      <c r="C35" s="21">
        <f>INDEX(C4:AB4,1,MATCH(C34,C27:AB27,0))</f>
        <v/>
      </c>
    </row>
    <row r="36">
      <c r="B36" s="29" t="inlineStr">
        <is>
          <t>That week starts</t>
        </is>
      </c>
      <c r="C36" s="141">
        <f>INDEX(C5:AB5,1,MATCH(C34,C27:AB27,0))</f>
        <v/>
      </c>
    </row>
    <row r="37">
      <c r="B37" s="29" t="inlineStr">
        <is>
          <t>Peak cash need (the lowest point, as a positive number)</t>
        </is>
      </c>
      <c r="C37" s="113">
        <f>-MIN(0,C34)</f>
        <v/>
      </c>
    </row>
    <row r="38">
      <c r="B38" s="29" t="inlineStr">
        <is>
          <t>Reserve held back (plan)</t>
        </is>
      </c>
      <c r="C38" s="113">
        <f>Inputs!$C$117</f>
        <v/>
      </c>
    </row>
    <row r="39">
      <c r="B39" s="29" t="inlineStr">
        <is>
          <t>Capital to commit: peak need plus reserve</t>
        </is>
      </c>
      <c r="C39" s="106">
        <f>C37+C38</f>
        <v/>
      </c>
    </row>
    <row r="40">
      <c r="B40" s="29" t="inlineStr">
        <is>
          <t>Plan capital figure, high end (Capital tab)</t>
        </is>
      </c>
      <c r="C40" s="113">
        <f>Capital!D14</f>
        <v/>
      </c>
    </row>
    <row r="41">
      <c r="B41" s="29" t="inlineStr">
        <is>
          <t>Gap: plan capital figure minus capital to commit (positive = headroom)</t>
        </is>
      </c>
      <c r="C41" s="106">
        <f>C40-C39</f>
        <v/>
      </c>
    </row>
    <row r="42">
      <c r="B42" s="29" t="inlineStr">
        <is>
          <t>Founder cash committed (Inputs)</t>
        </is>
      </c>
      <c r="C42" s="113">
        <f>IF(Inputs!$C$115="","not set",Inputs!$C$115)</f>
        <v/>
      </c>
    </row>
    <row r="43">
      <c r="B43" s="29" t="inlineStr">
        <is>
          <t>Lowest cash balance with founder cash</t>
        </is>
      </c>
      <c r="C43" s="113">
        <f>MIN(C29:AB29)</f>
        <v/>
      </c>
    </row>
    <row r="44">
      <c r="B44" s="29" t="inlineStr">
        <is>
          <t>Cumulative net cash at the end of week 26</t>
        </is>
      </c>
      <c r="C44" s="113">
        <f>AB27</f>
        <v/>
      </c>
    </row>
    <row r="45">
      <c r="B45" s="29" t="inlineStr">
        <is>
          <t>Latest week with an actual bank balance typed (row 30)</t>
        </is>
      </c>
      <c r="C45" s="21">
        <f>IF(COUNT(C30:AB30)=0,"",SUMPRODUCT(MAX((C30:AB30&lt;&gt;"")*C4:AB4)))</f>
        <v/>
      </c>
    </row>
    <row r="46">
      <c r="B46" s="29" t="inlineStr">
        <is>
          <t>Variance that week (actual less model)</t>
        </is>
      </c>
      <c r="C46" s="113">
        <f>IF(C45="","",INDEX(C31:AB31,1,C45))</f>
        <v/>
      </c>
    </row>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142">
        <f>DATE(YEAR(Inputs!$C$10),MONTH(Inputs!$C$10),1)</f>
        <v/>
      </c>
      <c r="D49" s="142">
        <f>EDATE(C49,1)</f>
        <v/>
      </c>
      <c r="E49" s="142">
        <f>EDATE(D49,1)</f>
        <v/>
      </c>
      <c r="F49" s="142">
        <f>EDATE(E49,1)</f>
        <v/>
      </c>
      <c r="G49" s="142">
        <f>EDATE(F49,1)</f>
        <v/>
      </c>
      <c r="H49" s="142">
        <f>EDATE(G49,1)</f>
        <v/>
      </c>
      <c r="I49" s="142">
        <f>EDATE(H49,1)</f>
        <v/>
      </c>
      <c r="J49" s="88" t="inlineStr">
        <is>
          <t>Six months</t>
        </is>
      </c>
    </row>
    <row r="50">
      <c r="B50" s="8" t="inlineStr">
        <is>
          <t>Counted from</t>
        </is>
      </c>
      <c r="C50" s="139">
        <f>MAX(C49,Inputs!$C$10)</f>
        <v/>
      </c>
      <c r="D50" s="139">
        <f>MAX(D49,Inputs!$C$10)</f>
        <v/>
      </c>
      <c r="E50" s="139">
        <f>MAX(E49,Inputs!$C$10)</f>
        <v/>
      </c>
      <c r="F50" s="139">
        <f>MAX(F49,Inputs!$C$10)</f>
        <v/>
      </c>
      <c r="G50" s="139">
        <f>MAX(G49,Inputs!$C$10)</f>
        <v/>
      </c>
      <c r="H50" s="139">
        <f>MAX(H49,Inputs!$C$10)</f>
        <v/>
      </c>
      <c r="I50" s="139">
        <f>MAX(I49,Inputs!$C$10)</f>
        <v/>
      </c>
    </row>
    <row r="51">
      <c r="B51" s="8" t="inlineStr">
        <is>
          <t>Counted to</t>
        </is>
      </c>
      <c r="C51" s="139">
        <f>MIN(EOMONTH(C49,0),Cash_Flow!$AB$6)</f>
        <v/>
      </c>
      <c r="D51" s="139">
        <f>MIN(EOMONTH(D49,0),Cash_Flow!$AB$6)</f>
        <v/>
      </c>
      <c r="E51" s="139">
        <f>MIN(EOMONTH(E49,0),Cash_Flow!$AB$6)</f>
        <v/>
      </c>
      <c r="F51" s="139">
        <f>MIN(EOMONTH(F49,0),Cash_Flow!$AB$6)</f>
        <v/>
      </c>
      <c r="G51" s="139">
        <f>MIN(EOMONTH(G49,0),Cash_Flow!$AB$6)</f>
        <v/>
      </c>
      <c r="H51" s="139">
        <f>MIN(EOMONTH(H49,0),Cash_Flow!$AB$6)</f>
        <v/>
      </c>
      <c r="I51" s="139">
        <f>MIN(EOMONTH(I49,0),Cash_Flow!$AB$6)</f>
        <v/>
      </c>
    </row>
    <row r="52">
      <c r="B52" s="29" t="inlineStr">
        <is>
          <t>Brand receipts, plan (drops without actuals)</t>
        </is>
      </c>
      <c r="C52" s="108">
        <f>SUMIFS(Drop_PnL!$AP$7:$AP$18,Drop_PnL!$AO$7:$AO$18,"&gt;="&amp;C$50,Drop_PnL!$AO$7:$AO$18,"&lt;="&amp;C$51,Drop_PnL!$AZ$7:$AZ$18,"N")+SUMIFS(Drop_PnL!$AR$7:$AR$18,Drop_PnL!$AQ$7:$AQ$18,"&gt;="&amp;C$50,Drop_PnL!$AQ$7:$AQ$18,"&lt;="&amp;C$51,Drop_PnL!$AZ$7:$AZ$18,"N")+SUMIFS(Drop_PnL!$AT$7:$AT$18,Drop_PnL!$AS$7:$AS$18,"&gt;="&amp;C$50,Drop_PnL!$AS$7:$AS$18,"&lt;="&amp;C$51,Drop_PnL!$AZ$7:$AZ$18,"N")</f>
        <v/>
      </c>
      <c r="D52" s="108">
        <f>SUMIFS(Drop_PnL!$AP$7:$AP$18,Drop_PnL!$AO$7:$AO$18,"&gt;="&amp;D$50,Drop_PnL!$AO$7:$AO$18,"&lt;="&amp;D$51,Drop_PnL!$AZ$7:$AZ$18,"N")+SUMIFS(Drop_PnL!$AR$7:$AR$18,Drop_PnL!$AQ$7:$AQ$18,"&gt;="&amp;D$50,Drop_PnL!$AQ$7:$AQ$18,"&lt;="&amp;D$51,Drop_PnL!$AZ$7:$AZ$18,"N")+SUMIFS(Drop_PnL!$AT$7:$AT$18,Drop_PnL!$AS$7:$AS$18,"&gt;="&amp;D$50,Drop_PnL!$AS$7:$AS$18,"&lt;="&amp;D$51,Drop_PnL!$AZ$7:$AZ$18,"N")</f>
        <v/>
      </c>
      <c r="E52" s="108">
        <f>SUMIFS(Drop_PnL!$AP$7:$AP$18,Drop_PnL!$AO$7:$AO$18,"&gt;="&amp;E$50,Drop_PnL!$AO$7:$AO$18,"&lt;="&amp;E$51,Drop_PnL!$AZ$7:$AZ$18,"N")+SUMIFS(Drop_PnL!$AR$7:$AR$18,Drop_PnL!$AQ$7:$AQ$18,"&gt;="&amp;E$50,Drop_PnL!$AQ$7:$AQ$18,"&lt;="&amp;E$51,Drop_PnL!$AZ$7:$AZ$18,"N")+SUMIFS(Drop_PnL!$AT$7:$AT$18,Drop_PnL!$AS$7:$AS$18,"&gt;="&amp;E$50,Drop_PnL!$AS$7:$AS$18,"&lt;="&amp;E$51,Drop_PnL!$AZ$7:$AZ$18,"N")</f>
        <v/>
      </c>
      <c r="F52" s="108">
        <f>SUMIFS(Drop_PnL!$AP$7:$AP$18,Drop_PnL!$AO$7:$AO$18,"&gt;="&amp;F$50,Drop_PnL!$AO$7:$AO$18,"&lt;="&amp;F$51,Drop_PnL!$AZ$7:$AZ$18,"N")+SUMIFS(Drop_PnL!$AR$7:$AR$18,Drop_PnL!$AQ$7:$AQ$18,"&gt;="&amp;F$50,Drop_PnL!$AQ$7:$AQ$18,"&lt;="&amp;F$51,Drop_PnL!$AZ$7:$AZ$18,"N")+SUMIFS(Drop_PnL!$AT$7:$AT$18,Drop_PnL!$AS$7:$AS$18,"&gt;="&amp;F$50,Drop_PnL!$AS$7:$AS$18,"&lt;="&amp;F$51,Drop_PnL!$AZ$7:$AZ$18,"N")</f>
        <v/>
      </c>
      <c r="G52" s="108">
        <f>SUMIFS(Drop_PnL!$AP$7:$AP$18,Drop_PnL!$AO$7:$AO$18,"&gt;="&amp;G$50,Drop_PnL!$AO$7:$AO$18,"&lt;="&amp;G$51,Drop_PnL!$AZ$7:$AZ$18,"N")+SUMIFS(Drop_PnL!$AR$7:$AR$18,Drop_PnL!$AQ$7:$AQ$18,"&gt;="&amp;G$50,Drop_PnL!$AQ$7:$AQ$18,"&lt;="&amp;G$51,Drop_PnL!$AZ$7:$AZ$18,"N")+SUMIFS(Drop_PnL!$AT$7:$AT$18,Drop_PnL!$AS$7:$AS$18,"&gt;="&amp;G$50,Drop_PnL!$AS$7:$AS$18,"&lt;="&amp;G$51,Drop_PnL!$AZ$7:$AZ$18,"N")</f>
        <v/>
      </c>
      <c r="H52" s="108">
        <f>SUMIFS(Drop_PnL!$AP$7:$AP$18,Drop_PnL!$AO$7:$AO$18,"&gt;="&amp;H$50,Drop_PnL!$AO$7:$AO$18,"&lt;="&amp;H$51,Drop_PnL!$AZ$7:$AZ$18,"N")+SUMIFS(Drop_PnL!$AR$7:$AR$18,Drop_PnL!$AQ$7:$AQ$18,"&gt;="&amp;H$50,Drop_PnL!$AQ$7:$AQ$18,"&lt;="&amp;H$51,Drop_PnL!$AZ$7:$AZ$18,"N")+SUMIFS(Drop_PnL!$AT$7:$AT$18,Drop_PnL!$AS$7:$AS$18,"&gt;="&amp;H$50,Drop_PnL!$AS$7:$AS$18,"&lt;="&amp;H$51,Drop_PnL!$AZ$7:$AZ$18,"N")</f>
        <v/>
      </c>
      <c r="I52" s="108">
        <f>SUMIFS(Drop_PnL!$AP$7:$AP$18,Drop_PnL!$AO$7:$AO$18,"&gt;="&amp;I$50,Drop_PnL!$AO$7:$AO$18,"&lt;="&amp;I$51,Drop_PnL!$AZ$7:$AZ$18,"N")+SUMIFS(Drop_PnL!$AR$7:$AR$18,Drop_PnL!$AQ$7:$AQ$18,"&gt;="&amp;I$50,Drop_PnL!$AQ$7:$AQ$18,"&lt;="&amp;I$51,Drop_PnL!$AZ$7:$AZ$18,"N")+SUMIFS(Drop_PnL!$AT$7:$AT$18,Drop_PnL!$AS$7:$AS$18,"&gt;="&amp;I$50,Drop_PnL!$AS$7:$AS$18,"&lt;="&amp;I$51,Drop_PnL!$AZ$7:$AZ$18,"N")</f>
        <v/>
      </c>
      <c r="J52" s="113">
        <f>SUM(C52:I52)</f>
        <v/>
      </c>
    </row>
    <row r="53">
      <c r="B53" s="29" t="inlineStr">
        <is>
          <t>Brand receipts, actual (drops with actuals)</t>
        </is>
      </c>
      <c r="C53" s="108">
        <f>SUMIFS(Actuals_Campaigns!$X$5:$X$204,Actuals_Campaigns!$Y$5:$Y$204,"&gt;="&amp;C$50,Actuals_Campaigns!$Y$5:$Y$204,"&lt;="&amp;C$51,Actuals_Campaigns!$AL$5:$AL$204,"Y")+SUMIFS(Actuals_Campaigns!$AM$5:$AM$204,Actuals_Campaigns!$S$5:$S$204,"&gt;="&amp;C$50,Actuals_Campaigns!$S$5:$S$204,"&lt;="&amp;C$51,Actuals_Campaigns!$AL$5:$AL$204,"Y")</f>
        <v/>
      </c>
      <c r="D53" s="108">
        <f>SUMIFS(Actuals_Campaigns!$X$5:$X$204,Actuals_Campaigns!$Y$5:$Y$204,"&gt;="&amp;D$50,Actuals_Campaigns!$Y$5:$Y$204,"&lt;="&amp;D$51,Actuals_Campaigns!$AL$5:$AL$204,"Y")+SUMIFS(Actuals_Campaigns!$AM$5:$AM$204,Actuals_Campaigns!$S$5:$S$204,"&gt;="&amp;D$50,Actuals_Campaigns!$S$5:$S$204,"&lt;="&amp;D$51,Actuals_Campaigns!$AL$5:$AL$204,"Y")</f>
        <v/>
      </c>
      <c r="E53" s="108">
        <f>SUMIFS(Actuals_Campaigns!$X$5:$X$204,Actuals_Campaigns!$Y$5:$Y$204,"&gt;="&amp;E$50,Actuals_Campaigns!$Y$5:$Y$204,"&lt;="&amp;E$51,Actuals_Campaigns!$AL$5:$AL$204,"Y")+SUMIFS(Actuals_Campaigns!$AM$5:$AM$204,Actuals_Campaigns!$S$5:$S$204,"&gt;="&amp;E$50,Actuals_Campaigns!$S$5:$S$204,"&lt;="&amp;E$51,Actuals_Campaigns!$AL$5:$AL$204,"Y")</f>
        <v/>
      </c>
      <c r="F53" s="108">
        <f>SUMIFS(Actuals_Campaigns!$X$5:$X$204,Actuals_Campaigns!$Y$5:$Y$204,"&gt;="&amp;F$50,Actuals_Campaigns!$Y$5:$Y$204,"&lt;="&amp;F$51,Actuals_Campaigns!$AL$5:$AL$204,"Y")+SUMIFS(Actuals_Campaigns!$AM$5:$AM$204,Actuals_Campaigns!$S$5:$S$204,"&gt;="&amp;F$50,Actuals_Campaigns!$S$5:$S$204,"&lt;="&amp;F$51,Actuals_Campaigns!$AL$5:$AL$204,"Y")</f>
        <v/>
      </c>
      <c r="G53" s="108">
        <f>SUMIFS(Actuals_Campaigns!$X$5:$X$204,Actuals_Campaigns!$Y$5:$Y$204,"&gt;="&amp;G$50,Actuals_Campaigns!$Y$5:$Y$204,"&lt;="&amp;G$51,Actuals_Campaigns!$AL$5:$AL$204,"Y")+SUMIFS(Actuals_Campaigns!$AM$5:$AM$204,Actuals_Campaigns!$S$5:$S$204,"&gt;="&amp;G$50,Actuals_Campaigns!$S$5:$S$204,"&lt;="&amp;G$51,Actuals_Campaigns!$AL$5:$AL$204,"Y")</f>
        <v/>
      </c>
      <c r="H53" s="108">
        <f>SUMIFS(Actuals_Campaigns!$X$5:$X$204,Actuals_Campaigns!$Y$5:$Y$204,"&gt;="&amp;H$50,Actuals_Campaigns!$Y$5:$Y$204,"&lt;="&amp;H$51,Actuals_Campaigns!$AL$5:$AL$204,"Y")+SUMIFS(Actuals_Campaigns!$AM$5:$AM$204,Actuals_Campaigns!$S$5:$S$204,"&gt;="&amp;H$50,Actuals_Campaigns!$S$5:$S$204,"&lt;="&amp;H$51,Actuals_Campaigns!$AL$5:$AL$204,"Y")</f>
        <v/>
      </c>
      <c r="I53" s="108">
        <f>SUMIFS(Actuals_Campaigns!$X$5:$X$204,Actuals_Campaigns!$Y$5:$Y$204,"&gt;="&amp;I$50,Actuals_Campaigns!$Y$5:$Y$204,"&lt;="&amp;I$51,Actuals_Campaigns!$AL$5:$AL$204,"Y")+SUMIFS(Actuals_Campaigns!$AM$5:$AM$204,Actuals_Campaigns!$S$5:$S$204,"&gt;="&amp;I$50,Actuals_Campaigns!$S$5:$S$204,"&lt;="&amp;I$51,Actuals_Campaigns!$AL$5:$AL$204,"Y")</f>
        <v/>
      </c>
      <c r="J53" s="113">
        <f>SUM(C53:I53)</f>
        <v/>
      </c>
    </row>
    <row r="54">
      <c r="B54" s="8" t="inlineStr">
        <is>
          <t>Total receipts</t>
        </is>
      </c>
      <c r="C54" s="113">
        <f>C52+C53</f>
        <v/>
      </c>
      <c r="D54" s="113">
        <f>D52+D53</f>
        <v/>
      </c>
      <c r="E54" s="113">
        <f>E52+E53</f>
        <v/>
      </c>
      <c r="F54" s="113">
        <f>F52+F53</f>
        <v/>
      </c>
      <c r="G54" s="113">
        <f>G52+G53</f>
        <v/>
      </c>
      <c r="H54" s="113">
        <f>H52+H53</f>
        <v/>
      </c>
      <c r="I54" s="113">
        <f>I52+I53</f>
        <v/>
      </c>
      <c r="J54" s="113">
        <f>SUM(C54:I54)</f>
        <v/>
      </c>
    </row>
    <row r="55">
      <c r="B55" s="29" t="inlineStr">
        <is>
          <t>Display kits, plan</t>
        </is>
      </c>
      <c r="C55" s="108">
        <f>-SUMIFS(Drop_PnL!$T$7:$T$18,Drop_PnL!$AX$7:$AX$18,"&gt;="&amp;C$50,Drop_PnL!$AX$7:$AX$18,"&lt;="&amp;C$51,Drop_PnL!$AZ$7:$AZ$18,"N")</f>
        <v/>
      </c>
      <c r="D55" s="108">
        <f>-SUMIFS(Drop_PnL!$T$7:$T$18,Drop_PnL!$AX$7:$AX$18,"&gt;="&amp;D$50,Drop_PnL!$AX$7:$AX$18,"&lt;="&amp;D$51,Drop_PnL!$AZ$7:$AZ$18,"N")</f>
        <v/>
      </c>
      <c r="E55" s="108">
        <f>-SUMIFS(Drop_PnL!$T$7:$T$18,Drop_PnL!$AX$7:$AX$18,"&gt;="&amp;E$50,Drop_PnL!$AX$7:$AX$18,"&lt;="&amp;E$51,Drop_PnL!$AZ$7:$AZ$18,"N")</f>
        <v/>
      </c>
      <c r="F55" s="108">
        <f>-SUMIFS(Drop_PnL!$T$7:$T$18,Drop_PnL!$AX$7:$AX$18,"&gt;="&amp;F$50,Drop_PnL!$AX$7:$AX$18,"&lt;="&amp;F$51,Drop_PnL!$AZ$7:$AZ$18,"N")</f>
        <v/>
      </c>
      <c r="G55" s="108">
        <f>-SUMIFS(Drop_PnL!$T$7:$T$18,Drop_PnL!$AX$7:$AX$18,"&gt;="&amp;G$50,Drop_PnL!$AX$7:$AX$18,"&lt;="&amp;G$51,Drop_PnL!$AZ$7:$AZ$18,"N")</f>
        <v/>
      </c>
      <c r="H55" s="108">
        <f>-SUMIFS(Drop_PnL!$T$7:$T$18,Drop_PnL!$AX$7:$AX$18,"&gt;="&amp;H$50,Drop_PnL!$AX$7:$AX$18,"&lt;="&amp;H$51,Drop_PnL!$AZ$7:$AZ$18,"N")</f>
        <v/>
      </c>
      <c r="I55" s="108">
        <f>-SUMIFS(Drop_PnL!$T$7:$T$18,Drop_PnL!$AX$7:$AX$18,"&gt;="&amp;I$50,Drop_PnL!$AX$7:$AX$18,"&lt;="&amp;I$51,Drop_PnL!$AZ$7:$AZ$18,"N")</f>
        <v/>
      </c>
      <c r="J55" s="113">
        <f>SUM(C55:I55)</f>
        <v/>
      </c>
    </row>
    <row r="56">
      <c r="B56" s="29" t="inlineStr">
        <is>
          <t>Transport, plan</t>
        </is>
      </c>
      <c r="C56" s="108">
        <f>-SUMIFS(Drop_PnL!$U$7:$U$18,Drop_PnL!$AY$7:$AY$18,"&gt;="&amp;C$50,Drop_PnL!$AY$7:$AY$18,"&lt;="&amp;C$51,Drop_PnL!$AZ$7:$AZ$18,"N")</f>
        <v/>
      </c>
      <c r="D56" s="108">
        <f>-SUMIFS(Drop_PnL!$U$7:$U$18,Drop_PnL!$AY$7:$AY$18,"&gt;="&amp;D$50,Drop_PnL!$AY$7:$AY$18,"&lt;="&amp;D$51,Drop_PnL!$AZ$7:$AZ$18,"N")</f>
        <v/>
      </c>
      <c r="E56" s="108">
        <f>-SUMIFS(Drop_PnL!$U$7:$U$18,Drop_PnL!$AY$7:$AY$18,"&gt;="&amp;E$50,Drop_PnL!$AY$7:$AY$18,"&lt;="&amp;E$51,Drop_PnL!$AZ$7:$AZ$18,"N")</f>
        <v/>
      </c>
      <c r="F56" s="108">
        <f>-SUMIFS(Drop_PnL!$U$7:$U$18,Drop_PnL!$AY$7:$AY$18,"&gt;="&amp;F$50,Drop_PnL!$AY$7:$AY$18,"&lt;="&amp;F$51,Drop_PnL!$AZ$7:$AZ$18,"N")</f>
        <v/>
      </c>
      <c r="G56" s="108">
        <f>-SUMIFS(Drop_PnL!$U$7:$U$18,Drop_PnL!$AY$7:$AY$18,"&gt;="&amp;G$50,Drop_PnL!$AY$7:$AY$18,"&lt;="&amp;G$51,Drop_PnL!$AZ$7:$AZ$18,"N")</f>
        <v/>
      </c>
      <c r="H56" s="108">
        <f>-SUMIFS(Drop_PnL!$U$7:$U$18,Drop_PnL!$AY$7:$AY$18,"&gt;="&amp;H$50,Drop_PnL!$AY$7:$AY$18,"&lt;="&amp;H$51,Drop_PnL!$AZ$7:$AZ$18,"N")</f>
        <v/>
      </c>
      <c r="I56" s="108">
        <f>-SUMIFS(Drop_PnL!$U$7:$U$18,Drop_PnL!$AY$7:$AY$18,"&gt;="&amp;I$50,Drop_PnL!$AY$7:$AY$18,"&lt;="&amp;I$51,Drop_PnL!$AZ$7:$AZ$18,"N")</f>
        <v/>
      </c>
      <c r="J56" s="113">
        <f>SUM(C56:I56)</f>
        <v/>
      </c>
    </row>
    <row r="57">
      <c r="B57" s="29" t="inlineStr">
        <is>
          <t>Kit mailing, plan (needs quote)</t>
        </is>
      </c>
      <c r="C57" s="108">
        <f>-SUMIFS(Drop_PnL!$V$7:$V$18,Drop_PnL!$AX$7:$AX$18,"&gt;="&amp;C$50,Drop_PnL!$AX$7:$AX$18,"&lt;="&amp;C$51,Drop_PnL!$AZ$7:$AZ$18,"N")</f>
        <v/>
      </c>
      <c r="D57" s="108">
        <f>-SUMIFS(Drop_PnL!$V$7:$V$18,Drop_PnL!$AX$7:$AX$18,"&gt;="&amp;D$50,Drop_PnL!$AX$7:$AX$18,"&lt;="&amp;D$51,Drop_PnL!$AZ$7:$AZ$18,"N")</f>
        <v/>
      </c>
      <c r="E57" s="108">
        <f>-SUMIFS(Drop_PnL!$V$7:$V$18,Drop_PnL!$AX$7:$AX$18,"&gt;="&amp;E$50,Drop_PnL!$AX$7:$AX$18,"&lt;="&amp;E$51,Drop_PnL!$AZ$7:$AZ$18,"N")</f>
        <v/>
      </c>
      <c r="F57" s="108">
        <f>-SUMIFS(Drop_PnL!$V$7:$V$18,Drop_PnL!$AX$7:$AX$18,"&gt;="&amp;F$50,Drop_PnL!$AX$7:$AX$18,"&lt;="&amp;F$51,Drop_PnL!$AZ$7:$AZ$18,"N")</f>
        <v/>
      </c>
      <c r="G57" s="108">
        <f>-SUMIFS(Drop_PnL!$V$7:$V$18,Drop_PnL!$AX$7:$AX$18,"&gt;="&amp;G$50,Drop_PnL!$AX$7:$AX$18,"&lt;="&amp;G$51,Drop_PnL!$AZ$7:$AZ$18,"N")</f>
        <v/>
      </c>
      <c r="H57" s="108">
        <f>-SUMIFS(Drop_PnL!$V$7:$V$18,Drop_PnL!$AX$7:$AX$18,"&gt;="&amp;H$50,Drop_PnL!$AX$7:$AX$18,"&lt;="&amp;H$51,Drop_PnL!$AZ$7:$AZ$18,"N")</f>
        <v/>
      </c>
      <c r="I57" s="108">
        <f>-SUMIFS(Drop_PnL!$V$7:$V$18,Drop_PnL!$AX$7:$AX$18,"&gt;="&amp;I$50,Drop_PnL!$AX$7:$AX$18,"&lt;="&amp;I$51,Drop_PnL!$AZ$7:$AZ$18,"N")</f>
        <v/>
      </c>
      <c r="J57" s="113">
        <f>SUM(C57:I57)</f>
        <v/>
      </c>
    </row>
    <row r="58">
      <c r="B58" s="29" t="inlineStr">
        <is>
          <t>Card processing, plan</t>
        </is>
      </c>
      <c r="C58" s="108">
        <f>-(SUMIFS(Drop_PnL!$AU$7:$AU$18,Drop_PnL!$AO$7:$AO$18,"&gt;="&amp;C$50,Drop_PnL!$AO$7:$AO$18,"&lt;="&amp;C$51,Drop_PnL!$AZ$7:$AZ$18,"N")+SUMIFS(Drop_PnL!$AV$7:$AV$18,Drop_PnL!$AQ$7:$AQ$18,"&gt;="&amp;C$50,Drop_PnL!$AQ$7:$AQ$18,"&lt;="&amp;C$51,Drop_PnL!$AZ$7:$AZ$18,"N")+SUMIFS(Drop_PnL!$AW$7:$AW$18,Drop_PnL!$AS$7:$AS$18,"&gt;="&amp;C$50,Drop_PnL!$AS$7:$AS$18,"&lt;="&amp;C$51,Drop_PnL!$AZ$7:$AZ$18,"N"))</f>
        <v/>
      </c>
      <c r="D58" s="108">
        <f>-(SUMIFS(Drop_PnL!$AU$7:$AU$18,Drop_PnL!$AO$7:$AO$18,"&gt;="&amp;D$50,Drop_PnL!$AO$7:$AO$18,"&lt;="&amp;D$51,Drop_PnL!$AZ$7:$AZ$18,"N")+SUMIFS(Drop_PnL!$AV$7:$AV$18,Drop_PnL!$AQ$7:$AQ$18,"&gt;="&amp;D$50,Drop_PnL!$AQ$7:$AQ$18,"&lt;="&amp;D$51,Drop_PnL!$AZ$7:$AZ$18,"N")+SUMIFS(Drop_PnL!$AW$7:$AW$18,Drop_PnL!$AS$7:$AS$18,"&gt;="&amp;D$50,Drop_PnL!$AS$7:$AS$18,"&lt;="&amp;D$51,Drop_PnL!$AZ$7:$AZ$18,"N"))</f>
        <v/>
      </c>
      <c r="E58" s="108">
        <f>-(SUMIFS(Drop_PnL!$AU$7:$AU$18,Drop_PnL!$AO$7:$AO$18,"&gt;="&amp;E$50,Drop_PnL!$AO$7:$AO$18,"&lt;="&amp;E$51,Drop_PnL!$AZ$7:$AZ$18,"N")+SUMIFS(Drop_PnL!$AV$7:$AV$18,Drop_PnL!$AQ$7:$AQ$18,"&gt;="&amp;E$50,Drop_PnL!$AQ$7:$AQ$18,"&lt;="&amp;E$51,Drop_PnL!$AZ$7:$AZ$18,"N")+SUMIFS(Drop_PnL!$AW$7:$AW$18,Drop_PnL!$AS$7:$AS$18,"&gt;="&amp;E$50,Drop_PnL!$AS$7:$AS$18,"&lt;="&amp;E$51,Drop_PnL!$AZ$7:$AZ$18,"N"))</f>
        <v/>
      </c>
      <c r="F58" s="108">
        <f>-(SUMIFS(Drop_PnL!$AU$7:$AU$18,Drop_PnL!$AO$7:$AO$18,"&gt;="&amp;F$50,Drop_PnL!$AO$7:$AO$18,"&lt;="&amp;F$51,Drop_PnL!$AZ$7:$AZ$18,"N")+SUMIFS(Drop_PnL!$AV$7:$AV$18,Drop_PnL!$AQ$7:$AQ$18,"&gt;="&amp;F$50,Drop_PnL!$AQ$7:$AQ$18,"&lt;="&amp;F$51,Drop_PnL!$AZ$7:$AZ$18,"N")+SUMIFS(Drop_PnL!$AW$7:$AW$18,Drop_PnL!$AS$7:$AS$18,"&gt;="&amp;F$50,Drop_PnL!$AS$7:$AS$18,"&lt;="&amp;F$51,Drop_PnL!$AZ$7:$AZ$18,"N"))</f>
        <v/>
      </c>
      <c r="G58" s="108">
        <f>-(SUMIFS(Drop_PnL!$AU$7:$AU$18,Drop_PnL!$AO$7:$AO$18,"&gt;="&amp;G$50,Drop_PnL!$AO$7:$AO$18,"&lt;="&amp;G$51,Drop_PnL!$AZ$7:$AZ$18,"N")+SUMIFS(Drop_PnL!$AV$7:$AV$18,Drop_PnL!$AQ$7:$AQ$18,"&gt;="&amp;G$50,Drop_PnL!$AQ$7:$AQ$18,"&lt;="&amp;G$51,Drop_PnL!$AZ$7:$AZ$18,"N")+SUMIFS(Drop_PnL!$AW$7:$AW$18,Drop_PnL!$AS$7:$AS$18,"&gt;="&amp;G$50,Drop_PnL!$AS$7:$AS$18,"&lt;="&amp;G$51,Drop_PnL!$AZ$7:$AZ$18,"N"))</f>
        <v/>
      </c>
      <c r="H58" s="108">
        <f>-(SUMIFS(Drop_PnL!$AU$7:$AU$18,Drop_PnL!$AO$7:$AO$18,"&gt;="&amp;H$50,Drop_PnL!$AO$7:$AO$18,"&lt;="&amp;H$51,Drop_PnL!$AZ$7:$AZ$18,"N")+SUMIFS(Drop_PnL!$AV$7:$AV$18,Drop_PnL!$AQ$7:$AQ$18,"&gt;="&amp;H$50,Drop_PnL!$AQ$7:$AQ$18,"&lt;="&amp;H$51,Drop_PnL!$AZ$7:$AZ$18,"N")+SUMIFS(Drop_PnL!$AW$7:$AW$18,Drop_PnL!$AS$7:$AS$18,"&gt;="&amp;H$50,Drop_PnL!$AS$7:$AS$18,"&lt;="&amp;H$51,Drop_PnL!$AZ$7:$AZ$18,"N"))</f>
        <v/>
      </c>
      <c r="I58" s="108">
        <f>-(SUMIFS(Drop_PnL!$AU$7:$AU$18,Drop_PnL!$AO$7:$AO$18,"&gt;="&amp;I$50,Drop_PnL!$AO$7:$AO$18,"&lt;="&amp;I$51,Drop_PnL!$AZ$7:$AZ$18,"N")+SUMIFS(Drop_PnL!$AV$7:$AV$18,Drop_PnL!$AQ$7:$AQ$18,"&gt;="&amp;I$50,Drop_PnL!$AQ$7:$AQ$18,"&lt;="&amp;I$51,Drop_PnL!$AZ$7:$AZ$18,"N")+SUMIFS(Drop_PnL!$AW$7:$AW$18,Drop_PnL!$AS$7:$AS$18,"&gt;="&amp;I$50,Drop_PnL!$AS$7:$AS$18,"&lt;="&amp;I$51,Drop_PnL!$AZ$7:$AZ$18,"N"))</f>
        <v/>
      </c>
      <c r="J58" s="113">
        <f>SUM(C58:I58)</f>
        <v/>
      </c>
    </row>
    <row r="59">
      <c r="B59" s="29" t="inlineStr">
        <is>
          <t>Direct costs and processing, actual</t>
        </is>
      </c>
      <c r="C59" s="108">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08">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08">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08">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08">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08">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08">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113">
        <f>SUM(C59:I59)</f>
        <v/>
      </c>
    </row>
    <row r="60">
      <c r="B60" s="8" t="inlineStr">
        <is>
          <t>Total direct costs</t>
        </is>
      </c>
      <c r="C60" s="113">
        <f>C55+C56+C57+C58+C59</f>
        <v/>
      </c>
      <c r="D60" s="113">
        <f>D55+D56+D57+D58+D59</f>
        <v/>
      </c>
      <c r="E60" s="113">
        <f>E55+E56+E57+E58+E59</f>
        <v/>
      </c>
      <c r="F60" s="113">
        <f>F55+F56+F57+F58+F59</f>
        <v/>
      </c>
      <c r="G60" s="113">
        <f>G55+G56+G57+G58+G59</f>
        <v/>
      </c>
      <c r="H60" s="113">
        <f>H55+H56+H57+H58+H59</f>
        <v/>
      </c>
      <c r="I60" s="113">
        <f>I55+I56+I57+I58+I59</f>
        <v/>
      </c>
      <c r="J60" s="113">
        <f>SUM(C60:I60)</f>
        <v/>
      </c>
    </row>
    <row r="61">
      <c r="B61" s="29" t="inlineStr">
        <is>
          <t>Software</t>
        </is>
      </c>
      <c r="C61" s="108">
        <f>-SUMIFS(Cash_Ledger!$D$5:$D$53,Cash_Ledger!$C$5:$C$53,"&gt;="&amp;C$50,Cash_Ledger!$C$5:$C$53,"&lt;="&amp;C$51,Cash_Ledger!$A$5:$A$53,"software")</f>
        <v/>
      </c>
      <c r="D61" s="108">
        <f>-SUMIFS(Cash_Ledger!$D$5:$D$53,Cash_Ledger!$C$5:$C$53,"&gt;="&amp;D$50,Cash_Ledger!$C$5:$C$53,"&lt;="&amp;D$51,Cash_Ledger!$A$5:$A$53,"software")</f>
        <v/>
      </c>
      <c r="E61" s="108">
        <f>-SUMIFS(Cash_Ledger!$D$5:$D$53,Cash_Ledger!$C$5:$C$53,"&gt;="&amp;E$50,Cash_Ledger!$C$5:$C$53,"&lt;="&amp;E$51,Cash_Ledger!$A$5:$A$53,"software")</f>
        <v/>
      </c>
      <c r="F61" s="108">
        <f>-SUMIFS(Cash_Ledger!$D$5:$D$53,Cash_Ledger!$C$5:$C$53,"&gt;="&amp;F$50,Cash_Ledger!$C$5:$C$53,"&lt;="&amp;F$51,Cash_Ledger!$A$5:$A$53,"software")</f>
        <v/>
      </c>
      <c r="G61" s="108">
        <f>-SUMIFS(Cash_Ledger!$D$5:$D$53,Cash_Ledger!$C$5:$C$53,"&gt;="&amp;G$50,Cash_Ledger!$C$5:$C$53,"&lt;="&amp;G$51,Cash_Ledger!$A$5:$A$53,"software")</f>
        <v/>
      </c>
      <c r="H61" s="108">
        <f>-SUMIFS(Cash_Ledger!$D$5:$D$53,Cash_Ledger!$C$5:$C$53,"&gt;="&amp;H$50,Cash_Ledger!$C$5:$C$53,"&lt;="&amp;H$51,Cash_Ledger!$A$5:$A$53,"software")</f>
        <v/>
      </c>
      <c r="I61" s="108">
        <f>-SUMIFS(Cash_Ledger!$D$5:$D$53,Cash_Ledger!$C$5:$C$53,"&gt;="&amp;I$50,Cash_Ledger!$C$5:$C$53,"&lt;="&amp;I$51,Cash_Ledger!$A$5:$A$53,"software")</f>
        <v/>
      </c>
      <c r="J61" s="113">
        <f>SUM(C61:I61)</f>
        <v/>
      </c>
    </row>
    <row r="62">
      <c r="B62" s="29" t="inlineStr">
        <is>
          <t>Insurance</t>
        </is>
      </c>
      <c r="C62" s="108">
        <f>-SUMIFS(Cash_Ledger!$D$5:$D$53,Cash_Ledger!$C$5:$C$53,"&gt;="&amp;C$50,Cash_Ledger!$C$5:$C$53,"&lt;="&amp;C$51,Cash_Ledger!$A$5:$A$53,"insurance")</f>
        <v/>
      </c>
      <c r="D62" s="108">
        <f>-SUMIFS(Cash_Ledger!$D$5:$D$53,Cash_Ledger!$C$5:$C$53,"&gt;="&amp;D$50,Cash_Ledger!$C$5:$C$53,"&lt;="&amp;D$51,Cash_Ledger!$A$5:$A$53,"insurance")</f>
        <v/>
      </c>
      <c r="E62" s="108">
        <f>-SUMIFS(Cash_Ledger!$D$5:$D$53,Cash_Ledger!$C$5:$C$53,"&gt;="&amp;E$50,Cash_Ledger!$C$5:$C$53,"&lt;="&amp;E$51,Cash_Ledger!$A$5:$A$53,"insurance")</f>
        <v/>
      </c>
      <c r="F62" s="108">
        <f>-SUMIFS(Cash_Ledger!$D$5:$D$53,Cash_Ledger!$C$5:$C$53,"&gt;="&amp;F$50,Cash_Ledger!$C$5:$C$53,"&lt;="&amp;F$51,Cash_Ledger!$A$5:$A$53,"insurance")</f>
        <v/>
      </c>
      <c r="G62" s="108">
        <f>-SUMIFS(Cash_Ledger!$D$5:$D$53,Cash_Ledger!$C$5:$C$53,"&gt;="&amp;G$50,Cash_Ledger!$C$5:$C$53,"&lt;="&amp;G$51,Cash_Ledger!$A$5:$A$53,"insurance")</f>
        <v/>
      </c>
      <c r="H62" s="108">
        <f>-SUMIFS(Cash_Ledger!$D$5:$D$53,Cash_Ledger!$C$5:$C$53,"&gt;="&amp;H$50,Cash_Ledger!$C$5:$C$53,"&lt;="&amp;H$51,Cash_Ledger!$A$5:$A$53,"insurance")</f>
        <v/>
      </c>
      <c r="I62" s="108">
        <f>-SUMIFS(Cash_Ledger!$D$5:$D$53,Cash_Ledger!$C$5:$C$53,"&gt;="&amp;I$50,Cash_Ledger!$C$5:$C$53,"&lt;="&amp;I$51,Cash_Ledger!$A$5:$A$53,"insurance")</f>
        <v/>
      </c>
      <c r="J62" s="113">
        <f>SUM(C62:I62)</f>
        <v/>
      </c>
    </row>
    <row r="63">
      <c r="B63" s="29" t="inlineStr">
        <is>
          <t>Storage</t>
        </is>
      </c>
      <c r="C63" s="108">
        <f>-SUMIFS(Cash_Ledger!$D$5:$D$53,Cash_Ledger!$C$5:$C$53,"&gt;="&amp;C$50,Cash_Ledger!$C$5:$C$53,"&lt;="&amp;C$51,Cash_Ledger!$A$5:$A$53,"storage")</f>
        <v/>
      </c>
      <c r="D63" s="108">
        <f>-SUMIFS(Cash_Ledger!$D$5:$D$53,Cash_Ledger!$C$5:$C$53,"&gt;="&amp;D$50,Cash_Ledger!$C$5:$C$53,"&lt;="&amp;D$51,Cash_Ledger!$A$5:$A$53,"storage")</f>
        <v/>
      </c>
      <c r="E63" s="108">
        <f>-SUMIFS(Cash_Ledger!$D$5:$D$53,Cash_Ledger!$C$5:$C$53,"&gt;="&amp;E$50,Cash_Ledger!$C$5:$C$53,"&lt;="&amp;E$51,Cash_Ledger!$A$5:$A$53,"storage")</f>
        <v/>
      </c>
      <c r="F63" s="108">
        <f>-SUMIFS(Cash_Ledger!$D$5:$D$53,Cash_Ledger!$C$5:$C$53,"&gt;="&amp;F$50,Cash_Ledger!$C$5:$C$53,"&lt;="&amp;F$51,Cash_Ledger!$A$5:$A$53,"storage")</f>
        <v/>
      </c>
      <c r="G63" s="108">
        <f>-SUMIFS(Cash_Ledger!$D$5:$D$53,Cash_Ledger!$C$5:$C$53,"&gt;="&amp;G$50,Cash_Ledger!$C$5:$C$53,"&lt;="&amp;G$51,Cash_Ledger!$A$5:$A$53,"storage")</f>
        <v/>
      </c>
      <c r="H63" s="108">
        <f>-SUMIFS(Cash_Ledger!$D$5:$D$53,Cash_Ledger!$C$5:$C$53,"&gt;="&amp;H$50,Cash_Ledger!$C$5:$C$53,"&lt;="&amp;H$51,Cash_Ledger!$A$5:$A$53,"storage")</f>
        <v/>
      </c>
      <c r="I63" s="108">
        <f>-SUMIFS(Cash_Ledger!$D$5:$D$53,Cash_Ledger!$C$5:$C$53,"&gt;="&amp;I$50,Cash_Ledger!$C$5:$C$53,"&lt;="&amp;I$51,Cash_Ledger!$A$5:$A$53,"storage")</f>
        <v/>
      </c>
      <c r="J63" s="113">
        <f>SUM(C63:I63)</f>
        <v/>
      </c>
    </row>
    <row r="64">
      <c r="B64" s="29" t="inlineStr">
        <is>
          <t>Phone</t>
        </is>
      </c>
      <c r="C64" s="108">
        <f>-SUMIFS(Cash_Ledger!$D$5:$D$53,Cash_Ledger!$C$5:$C$53,"&gt;="&amp;C$50,Cash_Ledger!$C$5:$C$53,"&lt;="&amp;C$51,Cash_Ledger!$A$5:$A$53,"phone")</f>
        <v/>
      </c>
      <c r="D64" s="108">
        <f>-SUMIFS(Cash_Ledger!$D$5:$D$53,Cash_Ledger!$C$5:$C$53,"&gt;="&amp;D$50,Cash_Ledger!$C$5:$C$53,"&lt;="&amp;D$51,Cash_Ledger!$A$5:$A$53,"phone")</f>
        <v/>
      </c>
      <c r="E64" s="108">
        <f>-SUMIFS(Cash_Ledger!$D$5:$D$53,Cash_Ledger!$C$5:$C$53,"&gt;="&amp;E$50,Cash_Ledger!$C$5:$C$53,"&lt;="&amp;E$51,Cash_Ledger!$A$5:$A$53,"phone")</f>
        <v/>
      </c>
      <c r="F64" s="108">
        <f>-SUMIFS(Cash_Ledger!$D$5:$D$53,Cash_Ledger!$C$5:$C$53,"&gt;="&amp;F$50,Cash_Ledger!$C$5:$C$53,"&lt;="&amp;F$51,Cash_Ledger!$A$5:$A$53,"phone")</f>
        <v/>
      </c>
      <c r="G64" s="108">
        <f>-SUMIFS(Cash_Ledger!$D$5:$D$53,Cash_Ledger!$C$5:$C$53,"&gt;="&amp;G$50,Cash_Ledger!$C$5:$C$53,"&lt;="&amp;G$51,Cash_Ledger!$A$5:$A$53,"phone")</f>
        <v/>
      </c>
      <c r="H64" s="108">
        <f>-SUMIFS(Cash_Ledger!$D$5:$D$53,Cash_Ledger!$C$5:$C$53,"&gt;="&amp;H$50,Cash_Ledger!$C$5:$C$53,"&lt;="&amp;H$51,Cash_Ledger!$A$5:$A$53,"phone")</f>
        <v/>
      </c>
      <c r="I64" s="108">
        <f>-SUMIFS(Cash_Ledger!$D$5:$D$53,Cash_Ledger!$C$5:$C$53,"&gt;="&amp;I$50,Cash_Ledger!$C$5:$C$53,"&lt;="&amp;I$51,Cash_Ledger!$A$5:$A$53,"phone")</f>
        <v/>
      </c>
      <c r="J64" s="113">
        <f>SUM(C64:I64)</f>
        <v/>
      </c>
    </row>
    <row r="65">
      <c r="B65" s="8" t="inlineStr">
        <is>
          <t>Total overhead</t>
        </is>
      </c>
      <c r="C65" s="113">
        <f>C61+C62+C63+C64</f>
        <v/>
      </c>
      <c r="D65" s="113">
        <f>D61+D62+D63+D64</f>
        <v/>
      </c>
      <c r="E65" s="113">
        <f>E61+E62+E63+E64</f>
        <v/>
      </c>
      <c r="F65" s="113">
        <f>F61+F62+F63+F64</f>
        <v/>
      </c>
      <c r="G65" s="113">
        <f>G61+G62+G63+G64</f>
        <v/>
      </c>
      <c r="H65" s="113">
        <f>H61+H62+H63+H64</f>
        <v/>
      </c>
      <c r="I65" s="113">
        <f>I61+I62+I63+I64</f>
        <v/>
      </c>
      <c r="J65" s="113">
        <f>SUM(C65:I65)</f>
        <v/>
      </c>
    </row>
    <row r="66">
      <c r="B66" s="29" t="inlineStr">
        <is>
          <t>Startup outlays (Inputs section 11)</t>
        </is>
      </c>
      <c r="C66" s="108">
        <f>-SUMIFS(Inputs!$Q$158:$Q$171,Inputs!$R$158:$R$171,"&gt;="&amp;C$50,Inputs!$R$158:$R$171,"&lt;="&amp;C$51)</f>
        <v/>
      </c>
      <c r="D66" s="108">
        <f>-SUMIFS(Inputs!$Q$158:$Q$171,Inputs!$R$158:$R$171,"&gt;="&amp;D$50,Inputs!$R$158:$R$171,"&lt;="&amp;D$51)</f>
        <v/>
      </c>
      <c r="E66" s="108">
        <f>-SUMIFS(Inputs!$Q$158:$Q$171,Inputs!$R$158:$R$171,"&gt;="&amp;E$50,Inputs!$R$158:$R$171,"&lt;="&amp;E$51)</f>
        <v/>
      </c>
      <c r="F66" s="108">
        <f>-SUMIFS(Inputs!$Q$158:$Q$171,Inputs!$R$158:$R$171,"&gt;="&amp;F$50,Inputs!$R$158:$R$171,"&lt;="&amp;F$51)</f>
        <v/>
      </c>
      <c r="G66" s="108">
        <f>-SUMIFS(Inputs!$Q$158:$Q$171,Inputs!$R$158:$R$171,"&gt;="&amp;G$50,Inputs!$R$158:$R$171,"&lt;="&amp;G$51)</f>
        <v/>
      </c>
      <c r="H66" s="108">
        <f>-SUMIFS(Inputs!$Q$158:$Q$171,Inputs!$R$158:$R$171,"&gt;="&amp;H$50,Inputs!$R$158:$R$171,"&lt;="&amp;H$51)</f>
        <v/>
      </c>
      <c r="I66" s="108">
        <f>-SUMIFS(Inputs!$Q$158:$Q$171,Inputs!$R$158:$R$171,"&gt;="&amp;I$50,Inputs!$R$158:$R$171,"&lt;="&amp;I$51)</f>
        <v/>
      </c>
      <c r="J66" s="113">
        <f>SUM(C66:I66)</f>
        <v/>
      </c>
    </row>
    <row r="67">
      <c r="B67" s="8" t="inlineStr">
        <is>
          <t>Net cash flow</t>
        </is>
      </c>
      <c r="C67" s="113">
        <f>C54+C60+C65+C66</f>
        <v/>
      </c>
      <c r="D67" s="113">
        <f>D54+D60+D65+D66</f>
        <v/>
      </c>
      <c r="E67" s="113">
        <f>E54+E60+E65+E66</f>
        <v/>
      </c>
      <c r="F67" s="113">
        <f>F54+F60+F65+F66</f>
        <v/>
      </c>
      <c r="G67" s="113">
        <f>G54+G60+G65+G66</f>
        <v/>
      </c>
      <c r="H67" s="113">
        <f>H54+H60+H65+H66</f>
        <v/>
      </c>
      <c r="I67" s="113">
        <f>I54+I60+I65+I66</f>
        <v/>
      </c>
      <c r="J67" s="113">
        <f>SUM(C67:I67)</f>
        <v/>
      </c>
    </row>
    <row r="69">
      <c r="B69" s="8" t="inlineStr">
        <is>
          <t>Check: monthly six-month net less weekly six-month net</t>
        </is>
      </c>
      <c r="C69" s="143">
        <f>J67-AC26</f>
        <v/>
      </c>
    </row>
    <row r="70">
      <c r="B70" s="29" t="inlineStr">
        <is>
          <t>Overhead allocated to drops in the six months (a view, not paid)</t>
        </is>
      </c>
      <c r="C70" s="108">
        <f>SUMIFS(Drop_PnL!$AM$7:$AM$18,Drop_PnL!$B$7:$B$18,"&gt;="&amp;Inputs!$C$10,Drop_PnL!$B$7:$B$18,"&lt;="&amp;Cash_Flow!$AB$6)</f>
        <v/>
      </c>
    </row>
    <row r="71">
      <c r="B71" s="29" t="inlineStr">
        <is>
          <t>Overhead paid in the six months (Cash_Ledger)</t>
        </is>
      </c>
      <c r="C71" s="108">
        <f>-AC24</f>
        <v/>
      </c>
    </row>
    <row r="72">
      <c r="B72" s="29" t="inlineStr">
        <is>
          <t>Overhead not absorbed by drops (paid less allocated)</t>
        </is>
      </c>
      <c r="C72" s="113">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08">
        <f>C73*Inputs!$C$81</f>
        <v/>
      </c>
    </row>
    <row r="75">
      <c r="B75" s="29" t="inlineStr">
        <is>
          <t>Insurance prepaid beyond the six months (paid less expensed)</t>
        </is>
      </c>
      <c r="C75" s="108">
        <f>MAX(0,-AC21-C74)</f>
        <v/>
      </c>
    </row>
    <row r="76">
      <c r="B76" s="29" t="inlineStr">
        <is>
          <t>Overhead expensed in the six months (paid less prepaid)</t>
        </is>
      </c>
      <c r="C76" s="108">
        <f>C71-C75</f>
        <v/>
      </c>
    </row>
    <row r="77">
      <c r="B77" s="29" t="inlineStr">
        <is>
          <t>Overhead not absorbed by drops, expensed basis</t>
        </is>
      </c>
      <c r="C77" s="113">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137" t="n"/>
      <c r="C7" s="30" t="inlineStr">
        <is>
          <t>courier</t>
        </is>
      </c>
      <c r="D7" s="30" t="inlineStr">
        <is>
          <t>standard</t>
        </is>
      </c>
      <c r="E7" s="61" t="n">
        <v>10</v>
      </c>
      <c r="F7" s="61" t="n">
        <v>0</v>
      </c>
      <c r="G7" s="30" t="n">
        <v>3</v>
      </c>
      <c r="H7" s="30" t="n">
        <v>0</v>
      </c>
      <c r="I7" s="30" t="n">
        <v>0</v>
      </c>
      <c r="J7" s="120" t="n">
        <v>150</v>
      </c>
      <c r="K7" s="120">
        <f>Inputs!$C$42</f>
        <v/>
      </c>
      <c r="L7" s="61" t="n">
        <v>1</v>
      </c>
      <c r="M7" s="61"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row>
    <row r="8">
      <c r="A8" s="29" t="inlineStr">
        <is>
          <t>Standard drop on Inputs today: brands per drop, steady-state model and offices, all new brands</t>
        </is>
      </c>
      <c r="B8" s="138" t="n"/>
      <c r="C8" s="29">
        <f>Inputs!$C$113</f>
        <v/>
      </c>
      <c r="D8" s="29" t="inlineStr">
        <is>
          <t>standard</t>
        </is>
      </c>
      <c r="E8" s="20">
        <f>Inputs!$C$114</f>
        <v/>
      </c>
      <c r="F8" s="20" t="n">
        <v>0</v>
      </c>
      <c r="G8" s="29">
        <f>Inputs!$C$62</f>
        <v/>
      </c>
      <c r="H8" s="29" t="n">
        <v>0</v>
      </c>
      <c r="I8" s="29" t="n">
        <v>0</v>
      </c>
      <c r="J8" s="108">
        <f>Inputs!$C$39</f>
        <v/>
      </c>
      <c r="K8" s="108">
        <f>Inputs!$C$42</f>
        <v/>
      </c>
      <c r="L8" s="20">
        <f>IF(Inputs!$C$75="unit",1,0)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row>
    <row r="9">
      <c r="A9" s="29" t="inlineStr">
        <is>
          <t>Active scenario: one steady-state drop</t>
        </is>
      </c>
      <c r="B9" s="138" t="n"/>
      <c r="C9" s="29">
        <f>Inputs!$C$113</f>
        <v/>
      </c>
      <c r="D9" s="29" t="inlineStr">
        <is>
          <t>standard</t>
        </is>
      </c>
      <c r="E9" s="20">
        <f>Inputs!$C$114</f>
        <v/>
      </c>
      <c r="F9" s="20" t="n">
        <v>0</v>
      </c>
      <c r="G9" s="29">
        <f>Scenarios!$H$16</f>
        <v/>
      </c>
      <c r="H9" s="29">
        <f>Scenarios!$H$12*G9</f>
        <v/>
      </c>
      <c r="I9" s="29" t="n">
        <v>0</v>
      </c>
      <c r="J9" s="108">
        <f>Scenarios!$H$14</f>
        <v/>
      </c>
      <c r="K9" s="108">
        <f>Inputs!$C$42</f>
        <v/>
      </c>
      <c r="L9" s="20">
        <f>IF(Inputs!$C$75="unit",1,0)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row>
    <row r="10">
      <c r="A10" s="29" t="inlineStr">
        <is>
          <t>Break-even: one-brand standard drop, new brand (steady-state model)</t>
        </is>
      </c>
      <c r="B10" s="138" t="n"/>
      <c r="C10" s="29">
        <f>Inputs!$C$113</f>
        <v/>
      </c>
      <c r="D10" s="29" t="inlineStr">
        <is>
          <t>standard</t>
        </is>
      </c>
      <c r="E10" s="20">
        <f>Inputs!$C$114</f>
        <v/>
      </c>
      <c r="F10" s="20" t="n">
        <v>0</v>
      </c>
      <c r="G10" s="29" t="n">
        <v>1</v>
      </c>
      <c r="H10" s="29" t="n">
        <v>0</v>
      </c>
      <c r="I10" s="29" t="n">
        <v>0</v>
      </c>
      <c r="J10" s="108">
        <f>Inputs!$C$39</f>
        <v/>
      </c>
      <c r="K10" s="108">
        <f>Inputs!$C$42</f>
        <v/>
      </c>
      <c r="L10" s="20">
        <f>IF(Inputs!$C$75="unit",1,0)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row>
    <row r="11">
      <c r="A11" s="29" t="inlineStr">
        <is>
          <t>Crossing: 1 new brand</t>
        </is>
      </c>
      <c r="B11" s="138" t="n"/>
      <c r="C11" s="29">
        <f>Inputs!$C$113</f>
        <v/>
      </c>
      <c r="D11" s="29" t="inlineStr">
        <is>
          <t>standard</t>
        </is>
      </c>
      <c r="E11" s="20">
        <f>Inputs!$C$114</f>
        <v/>
      </c>
      <c r="F11" s="20" t="n">
        <v>0</v>
      </c>
      <c r="G11" s="29" t="n">
        <v>1</v>
      </c>
      <c r="H11" s="29" t="n">
        <v>0</v>
      </c>
      <c r="I11" s="29" t="n">
        <v>0</v>
      </c>
      <c r="J11" s="108">
        <f>Inputs!$C$39</f>
        <v/>
      </c>
      <c r="K11" s="108">
        <f>Inputs!$C$42</f>
        <v/>
      </c>
      <c r="L11" s="20">
        <f>IF(Inputs!$C$75="unit",1,0)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row>
    <row r="12">
      <c r="A12" s="29" t="inlineStr">
        <is>
          <t>Crossing: 2 new brands</t>
        </is>
      </c>
      <c r="B12" s="138" t="n"/>
      <c r="C12" s="29">
        <f>Inputs!$C$113</f>
        <v/>
      </c>
      <c r="D12" s="29" t="inlineStr">
        <is>
          <t>standard</t>
        </is>
      </c>
      <c r="E12" s="20">
        <f>Inputs!$C$114</f>
        <v/>
      </c>
      <c r="F12" s="20" t="n">
        <v>0</v>
      </c>
      <c r="G12" s="29" t="n">
        <v>2</v>
      </c>
      <c r="H12" s="29" t="n">
        <v>0</v>
      </c>
      <c r="I12" s="29" t="n">
        <v>0</v>
      </c>
      <c r="J12" s="108">
        <f>Inputs!$C$39</f>
        <v/>
      </c>
      <c r="K12" s="108">
        <f>Inputs!$C$42</f>
        <v/>
      </c>
      <c r="L12" s="20">
        <f>IF(Inputs!$C$75="unit",1,0)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row>
    <row r="13">
      <c r="A13" s="29" t="inlineStr">
        <is>
          <t>Crossing at the active renewal rate, 1 brand</t>
        </is>
      </c>
      <c r="B13" s="138" t="n"/>
      <c r="C13" s="29">
        <f>Inputs!$C$113</f>
        <v/>
      </c>
      <c r="D13" s="29" t="inlineStr">
        <is>
          <t>standard</t>
        </is>
      </c>
      <c r="E13" s="20">
        <f>Inputs!$C$114</f>
        <v/>
      </c>
      <c r="F13" s="20" t="n">
        <v>0</v>
      </c>
      <c r="G13" s="29" t="n">
        <v>1</v>
      </c>
      <c r="H13" s="29">
        <f>Scenarios!$H$12*G13</f>
        <v/>
      </c>
      <c r="I13" s="29" t="n">
        <v>0</v>
      </c>
      <c r="J13" s="108">
        <f>Inputs!$C$39</f>
        <v/>
      </c>
      <c r="K13" s="108">
        <f>Inputs!$C$42</f>
        <v/>
      </c>
      <c r="L13" s="20">
        <f>IF(Inputs!$C$75="unit",1,0)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row>
    <row r="14">
      <c r="A14" s="29" t="inlineStr">
        <is>
          <t>Crossing at the active renewal rate, 2 brands</t>
        </is>
      </c>
      <c r="B14" s="138" t="n"/>
      <c r="C14" s="29">
        <f>Inputs!$C$113</f>
        <v/>
      </c>
      <c r="D14" s="29" t="inlineStr">
        <is>
          <t>standard</t>
        </is>
      </c>
      <c r="E14" s="20">
        <f>Inputs!$C$114</f>
        <v/>
      </c>
      <c r="F14" s="20" t="n">
        <v>0</v>
      </c>
      <c r="G14" s="29" t="n">
        <v>2</v>
      </c>
      <c r="H14" s="29">
        <f>Scenarios!$H$12*G14</f>
        <v/>
      </c>
      <c r="I14" s="29" t="n">
        <v>0</v>
      </c>
      <c r="J14" s="108">
        <f>Inputs!$C$39</f>
        <v/>
      </c>
      <c r="K14" s="108">
        <f>Inputs!$C$42</f>
        <v/>
      </c>
      <c r="L14" s="20">
        <f>IF(Inputs!$C$75="unit",1,0)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row>
    <row r="15">
      <c r="A15" s="29" t="inlineStr">
        <is>
          <t>Crossing: direct-ship, 1 new brand</t>
        </is>
      </c>
      <c r="B15" s="138" t="n"/>
      <c r="C15" s="29" t="inlineStr">
        <is>
          <t>direct-ship</t>
        </is>
      </c>
      <c r="D15" s="29" t="inlineStr">
        <is>
          <t>standard</t>
        </is>
      </c>
      <c r="E15" s="20">
        <f>Inputs!$C$114</f>
        <v/>
      </c>
      <c r="F15" s="20" t="n">
        <v>0</v>
      </c>
      <c r="G15" s="29" t="n">
        <v>1</v>
      </c>
      <c r="H15" s="29" t="n">
        <v>0</v>
      </c>
      <c r="I15" s="29" t="n">
        <v>0</v>
      </c>
      <c r="J15" s="108">
        <f>Inputs!$C$39</f>
        <v/>
      </c>
      <c r="K15" s="108">
        <f>Inputs!$C$42</f>
        <v/>
      </c>
      <c r="L15" s="20">
        <f>IF(Inputs!$C$75="unit",1,0)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row>
    <row r="16">
      <c r="A16" s="29" t="inlineStr">
        <is>
          <t>Crossing: direct-ship, 2 new brands</t>
        </is>
      </c>
      <c r="B16" s="138" t="n"/>
      <c r="C16" s="29" t="inlineStr">
        <is>
          <t>direct-ship</t>
        </is>
      </c>
      <c r="D16" s="29" t="inlineStr">
        <is>
          <t>standard</t>
        </is>
      </c>
      <c r="E16" s="20">
        <f>Inputs!$C$114</f>
        <v/>
      </c>
      <c r="F16" s="20" t="n">
        <v>0</v>
      </c>
      <c r="G16" s="29" t="n">
        <v>2</v>
      </c>
      <c r="H16" s="29" t="n">
        <v>0</v>
      </c>
      <c r="I16" s="29" t="n">
        <v>0</v>
      </c>
      <c r="J16" s="108">
        <f>Inputs!$C$39</f>
        <v/>
      </c>
      <c r="K16" s="108">
        <f>Inputs!$C$42</f>
        <v/>
      </c>
      <c r="L16" s="20">
        <f>IF(Inputs!$C$75="unit",1,0)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row>
    <row r="17">
      <c r="A17" s="29" t="inlineStr">
        <is>
          <t>Price crossing: standard drop at the first sensitivity price</t>
        </is>
      </c>
      <c r="B17" s="138" t="n"/>
      <c r="C17" s="29">
        <f>Inputs!$C$113</f>
        <v/>
      </c>
      <c r="D17" s="29" t="inlineStr">
        <is>
          <t>standard</t>
        </is>
      </c>
      <c r="E17" s="20">
        <f>Inputs!$C$114</f>
        <v/>
      </c>
      <c r="F17" s="20" t="n">
        <v>0</v>
      </c>
      <c r="G17" s="29">
        <f>Inputs!$C$62</f>
        <v/>
      </c>
      <c r="H17" s="29" t="n">
        <v>0</v>
      </c>
      <c r="I17" s="29" t="n">
        <v>0</v>
      </c>
      <c r="J17" s="108">
        <f>Inputs!$C$149</f>
        <v/>
      </c>
      <c r="K17" s="108">
        <f>Inputs!$C$42</f>
        <v/>
      </c>
      <c r="L17" s="20">
        <f>IF(Inputs!$C$75="unit",1,0)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row>
    <row r="18">
      <c r="A18" s="29" t="inlineStr">
        <is>
          <t>Price crossing: standard drop at the first price plus one step</t>
        </is>
      </c>
      <c r="B18" s="138" t="n"/>
      <c r="C18" s="29">
        <f>Inputs!$C$113</f>
        <v/>
      </c>
      <c r="D18" s="29" t="inlineStr">
        <is>
          <t>standard</t>
        </is>
      </c>
      <c r="E18" s="20">
        <f>Inputs!$C$114</f>
        <v/>
      </c>
      <c r="F18" s="20" t="n">
        <v>0</v>
      </c>
      <c r="G18" s="29">
        <f>Inputs!$C$62</f>
        <v/>
      </c>
      <c r="H18" s="29" t="n">
        <v>0</v>
      </c>
      <c r="I18" s="29" t="n">
        <v>0</v>
      </c>
      <c r="J18" s="108">
        <f>Inputs!$C$149+Inputs!$C$150</f>
        <v/>
      </c>
      <c r="K18" s="108">
        <f>Inputs!$C$42</f>
        <v/>
      </c>
      <c r="L18" s="20">
        <f>IF(Inputs!$C$75="unit",1,0)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row>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08">
        <f>C23*S7</f>
        <v/>
      </c>
      <c r="D24" s="108">
        <f>D23*S9</f>
        <v/>
      </c>
      <c r="E24" s="29" t="inlineStr">
        <is>
          <t>USD per month</t>
        </is>
      </c>
      <c r="F24" s="30" t="inlineStr">
        <is>
          <t>drops x one drop</t>
        </is>
      </c>
    </row>
    <row r="25">
      <c r="B25" s="29" t="inlineStr">
        <is>
          <t>Hard costs (incl. overhead allocations)</t>
        </is>
      </c>
      <c r="C25" s="108">
        <f>C23*AA7</f>
        <v/>
      </c>
      <c r="D25" s="108">
        <f>D23*AA9</f>
        <v/>
      </c>
      <c r="E25" s="29" t="inlineStr">
        <is>
          <t>USD per month</t>
        </is>
      </c>
      <c r="F25" s="30" t="inlineStr">
        <is>
          <t>drops x one drop</t>
        </is>
      </c>
    </row>
    <row r="26">
      <c r="B26" s="29" t="inlineStr">
        <is>
          <t>Founder hours</t>
        </is>
      </c>
      <c r="C26" s="112">
        <f>C23*AI7</f>
        <v/>
      </c>
      <c r="D26" s="112">
        <f>D23*AI9</f>
        <v/>
      </c>
      <c r="E26" s="29" t="inlineStr">
        <is>
          <t>hours per month</t>
        </is>
      </c>
      <c r="F26" s="30" t="inlineStr">
        <is>
          <t>drops x one drop</t>
        </is>
      </c>
    </row>
    <row r="27">
      <c r="B27" s="29" t="inlineStr">
        <is>
          <t>Contribution (plan definition)</t>
        </is>
      </c>
      <c r="C27" s="113">
        <f>C24-C25</f>
        <v/>
      </c>
      <c r="D27" s="113">
        <f>D24-D25</f>
        <v/>
      </c>
      <c r="E27" s="29" t="inlineStr">
        <is>
          <t>USD per month</t>
        </is>
      </c>
      <c r="F27" s="30" t="inlineStr">
        <is>
          <t>revenue less hard costs</t>
        </is>
      </c>
    </row>
    <row r="28">
      <c r="B28" s="29" t="inlineStr">
        <is>
          <t>Contribution per founder hour</t>
        </is>
      </c>
      <c r="C28" s="110">
        <f>IF(C26&gt;0,C27/C26,"n/a")</f>
        <v/>
      </c>
      <c r="D28" s="110">
        <f>IF(D26&gt;0,D27/D26,"n/a")</f>
        <v/>
      </c>
      <c r="E28" s="29" t="inlineStr">
        <is>
          <t>USD per hour</t>
        </is>
      </c>
      <c r="F28" s="30" t="inlineStr"/>
    </row>
    <row r="29">
      <c r="B29" s="29" t="inlineStr">
        <is>
          <t>Contribution per year at this rate</t>
        </is>
      </c>
      <c r="C29" s="108">
        <f>C27*Inputs!$C$20</f>
        <v/>
      </c>
      <c r="D29" s="108">
        <f>D27*Inputs!$C$20</f>
        <v/>
      </c>
      <c r="E29" s="29" t="inlineStr">
        <is>
          <t>USD per year</t>
        </is>
      </c>
      <c r="F29" s="30" t="inlineStr">
        <is>
          <t>before overhead not absorbed and before tax</t>
        </is>
      </c>
    </row>
    <row r="30">
      <c r="B30" s="29" t="inlineStr">
        <is>
          <t>Founder hours per week</t>
        </is>
      </c>
      <c r="C30" s="112">
        <f>C26/Inputs!$C$21</f>
        <v/>
      </c>
      <c r="D30" s="112">
        <f>D26/Inputs!$C$21</f>
        <v/>
      </c>
      <c r="E30" s="29" t="inlineStr">
        <is>
          <t>hours per week</t>
        </is>
      </c>
      <c r="F30" s="30" t="inlineStr">
        <is>
          <t>monthly hours / weeks per month</t>
        </is>
      </c>
    </row>
    <row r="31">
      <c r="B31" s="29" t="inlineStr">
        <is>
          <t>Overhead paid per month</t>
        </is>
      </c>
      <c r="C31" s="108">
        <f>(Inputs!$C$79+Inputs!$C$81+Inputs!$C$84+Inputs!$C$76*IF(Inputs!$C$75="unit",1,0))</f>
        <v/>
      </c>
      <c r="D31" s="108">
        <f>(Inputs!$C$79+Inputs!$C$81+Inputs!$C$84+Inputs!$C$76*IF(Inputs!$C$75="unit",1,0))</f>
        <v/>
      </c>
      <c r="E31" s="29" t="inlineStr">
        <is>
          <t>USD per month</t>
        </is>
      </c>
      <c r="F31" s="30" t="inlineStr">
        <is>
          <t>software + insurance + phone + storage if unit</t>
        </is>
      </c>
    </row>
    <row r="32">
      <c r="B32" s="29" t="inlineStr">
        <is>
          <t>Overhead allocated to drops per month</t>
        </is>
      </c>
      <c r="C32" s="108">
        <f>C23*AM7</f>
        <v/>
      </c>
      <c r="D32" s="108">
        <f>D23*AM9</f>
        <v/>
      </c>
      <c r="E32" s="29" t="inlineStr">
        <is>
          <t>USD per month</t>
        </is>
      </c>
      <c r="F32" s="30" t="inlineStr">
        <is>
          <t>drops x allocation per drop</t>
        </is>
      </c>
    </row>
    <row r="33">
      <c r="B33" s="29" t="inlineStr">
        <is>
          <t>Overhead not absorbed by drops</t>
        </is>
      </c>
      <c r="C33" s="108">
        <f>C31-C32</f>
        <v/>
      </c>
      <c r="D33" s="108">
        <f>D31-D32</f>
        <v/>
      </c>
      <c r="E33" s="29" t="inlineStr">
        <is>
          <t>USD per month</t>
        </is>
      </c>
      <c r="F33" s="30" t="inlineStr">
        <is>
          <t>paid less allocated; zero at two drops a month</t>
        </is>
      </c>
    </row>
    <row r="34">
      <c r="B34" s="29" t="inlineStr">
        <is>
          <t>Office-paid tier revenue (gross)</t>
        </is>
      </c>
      <c r="C34" s="108" t="n">
        <v>0</v>
      </c>
      <c r="D34" s="108">
        <f>Scenarios!$H$17*N(Scenarios!$H$18)</f>
        <v/>
      </c>
      <c r="E34" s="29" t="inlineStr">
        <is>
          <t>USD per month</t>
        </is>
      </c>
      <c r="F34" s="30" t="inlineStr">
        <is>
          <t>scenario B only</t>
        </is>
      </c>
    </row>
    <row r="35">
      <c r="B35" s="29" t="inlineStr">
        <is>
          <t>Office-paid tier cost to serve (needs quote)</t>
        </is>
      </c>
      <c r="C35" s="108" t="n">
        <v>0</v>
      </c>
      <c r="D35" s="108">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112" t="n">
        <v>0</v>
      </c>
      <c r="D37" s="112">
        <f>IF(D23&gt;Scenarios!$H$21,D23*AE9,0)</f>
        <v/>
      </c>
      <c r="E37" s="29" t="inlineStr">
        <is>
          <t>hours per month</t>
        </is>
      </c>
      <c r="F37" s="30" t="inlineStr">
        <is>
          <t>scenario A rule: hire above two drops a month</t>
        </is>
      </c>
    </row>
    <row r="38">
      <c r="B38" s="29" t="inlineStr">
        <is>
          <t>Delivery hire cost</t>
        </is>
      </c>
      <c r="C38" s="108" t="n">
        <v>0</v>
      </c>
      <c r="D38" s="108">
        <f>D37*N(Scenarios!$H$20)</f>
        <v/>
      </c>
      <c r="E38" s="29" t="inlineStr">
        <is>
          <t>USD per month</t>
        </is>
      </c>
      <c r="F38" s="30" t="inlineStr"/>
    </row>
    <row r="39">
      <c r="B39" s="29" t="inlineStr">
        <is>
          <t>Net monthly contribution after overhead, office tier and hire</t>
        </is>
      </c>
      <c r="C39" s="113">
        <f>C27-C33+C34-C35-C38</f>
        <v/>
      </c>
      <c r="D39" s="113">
        <f>D27-D33+IF(D36="yes",D34-D35,0)-D38</f>
        <v/>
      </c>
      <c r="E39" s="29" t="inlineStr">
        <is>
          <t>USD per month</t>
        </is>
      </c>
      <c r="F39" s="30" t="inlineStr">
        <is>
          <t>office tier only when 'counted in the net' says yes</t>
        </is>
      </c>
    </row>
    <row r="40">
      <c r="B40" s="29" t="inlineStr">
        <is>
          <t>Founder hours net of the hire</t>
        </is>
      </c>
      <c r="C40" s="112">
        <f>C26-C37</f>
        <v/>
      </c>
      <c r="D40" s="112">
        <f>D26-D37</f>
        <v/>
      </c>
      <c r="E40" s="29" t="inlineStr">
        <is>
          <t>hours per month</t>
        </is>
      </c>
      <c r="F40" s="30" t="inlineStr"/>
    </row>
    <row r="41">
      <c r="B41" s="29" t="inlineStr">
        <is>
          <t>Net contribution per founder hour</t>
        </is>
      </c>
      <c r="C41" s="110">
        <f>IF(C40&gt;0,C39/C40,"n/a")</f>
        <v/>
      </c>
      <c r="D41" s="110">
        <f>IF(D40&gt;0,D39/D40,"n/a")</f>
        <v/>
      </c>
      <c r="E41" s="29" t="inlineStr">
        <is>
          <t>USD per hour</t>
        </is>
      </c>
      <c r="F41" s="30" t="inlineStr"/>
    </row>
    <row r="42">
      <c r="B42" s="29" t="inlineStr">
        <is>
          <t>New brand wins needed per month</t>
        </is>
      </c>
      <c r="C42" s="144">
        <f>C23*(G7-H7)</f>
        <v/>
      </c>
      <c r="D42" s="144">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113">
        <f>Inputs!$Q$172</f>
        <v/>
      </c>
      <c r="E48" s="29" t="inlineStr">
        <is>
          <t>USD</t>
        </is>
      </c>
      <c r="F48" s="30" t="inlineStr">
        <is>
          <t>sum of startup cash amounts</t>
        </is>
      </c>
    </row>
    <row r="49">
      <c r="B49" s="5" t="inlineStr">
        <is>
          <t>Contribution of a one-brand standard drop</t>
        </is>
      </c>
      <c r="C49" s="113">
        <f>AJ10</f>
        <v/>
      </c>
      <c r="E49" s="29" t="inlineStr">
        <is>
          <t>USD per campaign</t>
        </is>
      </c>
      <c r="F49" s="30" t="inlineStr">
        <is>
          <t>engine row 10</t>
        </is>
      </c>
    </row>
    <row r="50">
      <c r="B50" s="5" t="inlineStr">
        <is>
          <t>Contribution per brand on a standard drop (price, brands per drop and delivery model on Inputs)</t>
        </is>
      </c>
      <c r="C50" s="113">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113">
        <f>AJ10+AM10</f>
        <v/>
      </c>
      <c r="E54" s="29" t="inlineStr">
        <is>
          <t>USD per campaign</t>
        </is>
      </c>
      <c r="F54" s="30" t="inlineStr">
        <is>
          <t>revenue less direct costs</t>
        </is>
      </c>
    </row>
    <row r="55">
      <c r="B55" s="5" t="inlineStr">
        <is>
          <t>Overhead paid per month</t>
        </is>
      </c>
      <c r="C55" s="113">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91">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91">
        <f>IF((AJ14-AJ13)-Inputs!$C$136*(AI14-AI13)&lt;=0,"never",MAX(0,1+(Inputs!$C$136*AI13-AJ13)/((AJ14-AJ13)-Inputs!$C$136*(AI14-AI13))))</f>
        <v/>
      </c>
      <c r="E59" s="29" t="inlineStr">
        <is>
          <t>brands per drop</t>
        </is>
      </c>
      <c r="F59" s="30" t="inlineStr">
        <is>
          <t>engine rows 13 and 14</t>
        </is>
      </c>
    </row>
    <row r="60">
      <c r="B60" s="5" t="inlineStr">
        <is>
          <t>Same, brands ship direct</t>
        </is>
      </c>
      <c r="C60" s="91">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143">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5">
      <c r="B5" s="79" t="inlineStr">
        <is>
          <t>Reference-drop components (from Inputs)</t>
        </is>
      </c>
      <c r="E5" s="79"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145">
        <f>1-Inputs!$C$54*Inputs!$C$55</f>
        <v/>
      </c>
      <c r="E7" s="29" t="inlineStr">
        <is>
          <t>Shortcut formula</t>
        </is>
      </c>
      <c r="G7" s="109">
        <f>IF(($C$12+$G$6*((1-Scenarios!$H$12)*$C$13+Scenarios!$H$12*$C$14))&gt;0,($G$6*(Inputs!$C$39*$C$9+$C$8)*$C$7-$C$10-$C$11*MAX($G$6-1,0))/($C$12+$G$6*((1-Scenarios!$H$12)*$C$13+Scenarios!$H$12*$C$14)),"n/a")</f>
        <v/>
      </c>
    </row>
    <row r="8">
      <c r="B8" s="29" t="inlineStr">
        <is>
          <t>Revenue per brand from offices beyond the package</t>
        </is>
      </c>
      <c r="C8" s="108">
        <f>Inputs!$C$45*MAX(C6-Inputs!$C$40,0)</f>
        <v/>
      </c>
      <c r="E8" s="29" t="inlineStr">
        <is>
          <t>Full engine (row 77)</t>
        </is>
      </c>
      <c r="G8" s="109">
        <f>AK77</f>
        <v/>
      </c>
    </row>
    <row r="9">
      <c r="B9" s="29" t="inlineStr">
        <is>
          <t>Package offices priced at the per-office rate</t>
        </is>
      </c>
      <c r="C9" s="20">
        <f>MIN(C6,Inputs!$C$40)</f>
        <v/>
      </c>
      <c r="E9" s="29" t="inlineStr">
        <is>
          <t>Difference (should be 0)</t>
        </is>
      </c>
      <c r="G9" s="93">
        <f>G7-G8</f>
        <v/>
      </c>
    </row>
    <row r="10">
      <c r="B10" s="29" t="inlineStr">
        <is>
          <t>Fixed cost per drop (kits, transport, mailing, allocations)</t>
        </is>
      </c>
      <c r="C10" s="108">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08">
        <f>Inputs!$C$136</f>
        <v/>
      </c>
    </row>
    <row r="11">
      <c r="B11" s="29" t="inlineStr">
        <is>
          <t>Extra card cost per brand beyond the first</t>
        </is>
      </c>
      <c r="C11" s="108">
        <f>C6*N(Inputs!$C$69)</f>
        <v/>
      </c>
    </row>
    <row r="12">
      <c r="B12" s="29" t="inlineStr">
        <is>
          <t>Fixed hours per drop (existing offices, logistics, admin)</t>
        </is>
      </c>
      <c r="C12" s="112">
        <f>C6*Inputs!$C$96+INDEX(Inputs!$F$105:$F$107,MATCH(Inputs!$C$113,Inputs!$B$105:$B$107,0))+INDEX(Inputs!$G$105:$G$107,MATCH(Inputs!$C$113,Inputs!$B$105:$B$107,0))*C6+INDEX(Inputs!$H$105:$H$107,MATCH(Inputs!$C$113,Inputs!$B$105:$B$107,0))*C6+Inputs!$C$99</f>
        <v/>
      </c>
    </row>
    <row r="13">
      <c r="B13" s="29" t="inlineStr">
        <is>
          <t>Hours per new brand</t>
        </is>
      </c>
      <c r="C13" s="112">
        <f>Inputs!$C$93+Inputs!$C$97+Inputs!$C$98</f>
        <v/>
      </c>
    </row>
    <row r="14">
      <c r="B14" s="29" t="inlineStr">
        <is>
          <t>Hours per renewing brand</t>
        </is>
      </c>
      <c r="C14" s="112">
        <f>Inputs!$C$94+Inputs!$C$97+Inputs!$C$98</f>
        <v/>
      </c>
    </row>
    <row r="16">
      <c r="B16" s="79" t="inlineStr">
        <is>
          <t>Table 1. Contribution per founder hour: price per office (rows) x brands per drop (columns), all brands new</t>
        </is>
      </c>
    </row>
    <row r="17">
      <c r="B17" s="88" t="inlineStr">
        <is>
          <t>Price per office \ brands</t>
        </is>
      </c>
      <c r="C17" s="94">
        <f>Inputs!$C$151</f>
        <v/>
      </c>
      <c r="D17" s="94">
        <f>C17+Inputs!$C$152</f>
        <v/>
      </c>
      <c r="E17" s="94">
        <f>D17+Inputs!$C$152</f>
        <v/>
      </c>
      <c r="F17" s="94">
        <f>E17+Inputs!$C$152</f>
        <v/>
      </c>
      <c r="G17" s="94">
        <f>F17+Inputs!$C$152</f>
        <v/>
      </c>
    </row>
    <row r="18">
      <c r="B18" s="113">
        <f>Inputs!$C$149</f>
        <v/>
      </c>
      <c r="C18" s="109">
        <f>IF(($C$12+C$17*((1-0)*$C$13+0*$C$14))&gt;0,(C$17*($B18*$C$9+$C$8)*$C$7-$C$10-$C$11*MAX(C$17-1,0))/($C$12+C$17*((1-0)*$C$13+0*$C$14)),"n/a")</f>
        <v/>
      </c>
      <c r="D18" s="109">
        <f>IF(($C$12+D$17*((1-0)*$C$13+0*$C$14))&gt;0,(D$17*($B18*$C$9+$C$8)*$C$7-$C$10-$C$11*MAX(D$17-1,0))/($C$12+D$17*((1-0)*$C$13+0*$C$14)),"n/a")</f>
        <v/>
      </c>
      <c r="E18" s="109">
        <f>IF(($C$12+E$17*((1-0)*$C$13+0*$C$14))&gt;0,(E$17*($B18*$C$9+$C$8)*$C$7-$C$10-$C$11*MAX(E$17-1,0))/($C$12+E$17*((1-0)*$C$13+0*$C$14)),"n/a")</f>
        <v/>
      </c>
      <c r="F18" s="109">
        <f>IF(($C$12+F$17*((1-0)*$C$13+0*$C$14))&gt;0,(F$17*($B18*$C$9+$C$8)*$C$7-$C$10-$C$11*MAX(F$17-1,0))/($C$12+F$17*((1-0)*$C$13+0*$C$14)),"n/a")</f>
        <v/>
      </c>
      <c r="G18" s="109">
        <f>IF(($C$12+G$17*((1-0)*$C$13+0*$C$14))&gt;0,(G$17*($B18*$C$9+$C$8)*$C$7-$C$10-$C$11*MAX(G$17-1,0))/($C$12+G$17*((1-0)*$C$13+0*$C$14)),"n/a")</f>
        <v/>
      </c>
    </row>
    <row r="19">
      <c r="B19" s="113">
        <f>B18+Inputs!$C$150</f>
        <v/>
      </c>
      <c r="C19" s="109">
        <f>IF(($C$12+C$17*((1-0)*$C$13+0*$C$14))&gt;0,(C$17*($B19*$C$9+$C$8)*$C$7-$C$10-$C$11*MAX(C$17-1,0))/($C$12+C$17*((1-0)*$C$13+0*$C$14)),"n/a")</f>
        <v/>
      </c>
      <c r="D19" s="109">
        <f>IF(($C$12+D$17*((1-0)*$C$13+0*$C$14))&gt;0,(D$17*($B19*$C$9+$C$8)*$C$7-$C$10-$C$11*MAX(D$17-1,0))/($C$12+D$17*((1-0)*$C$13+0*$C$14)),"n/a")</f>
        <v/>
      </c>
      <c r="E19" s="109">
        <f>IF(($C$12+E$17*((1-0)*$C$13+0*$C$14))&gt;0,(E$17*($B19*$C$9+$C$8)*$C$7-$C$10-$C$11*MAX(E$17-1,0))/($C$12+E$17*((1-0)*$C$13+0*$C$14)),"n/a")</f>
        <v/>
      </c>
      <c r="F19" s="109">
        <f>IF(($C$12+F$17*((1-0)*$C$13+0*$C$14))&gt;0,(F$17*($B19*$C$9+$C$8)*$C$7-$C$10-$C$11*MAX(F$17-1,0))/($C$12+F$17*((1-0)*$C$13+0*$C$14)),"n/a")</f>
        <v/>
      </c>
      <c r="G19" s="109">
        <f>IF(($C$12+G$17*((1-0)*$C$13+0*$C$14))&gt;0,(G$17*($B19*$C$9+$C$8)*$C$7-$C$10-$C$11*MAX(G$17-1,0))/($C$12+G$17*((1-0)*$C$13+0*$C$14)),"n/a")</f>
        <v/>
      </c>
    </row>
    <row r="20">
      <c r="B20" s="113">
        <f>B19+Inputs!$C$150</f>
        <v/>
      </c>
      <c r="C20" s="109">
        <f>IF(($C$12+C$17*((1-0)*$C$13+0*$C$14))&gt;0,(C$17*($B20*$C$9+$C$8)*$C$7-$C$10-$C$11*MAX(C$17-1,0))/($C$12+C$17*((1-0)*$C$13+0*$C$14)),"n/a")</f>
        <v/>
      </c>
      <c r="D20" s="109">
        <f>IF(($C$12+D$17*((1-0)*$C$13+0*$C$14))&gt;0,(D$17*($B20*$C$9+$C$8)*$C$7-$C$10-$C$11*MAX(D$17-1,0))/($C$12+D$17*((1-0)*$C$13+0*$C$14)),"n/a")</f>
        <v/>
      </c>
      <c r="E20" s="109">
        <f>IF(($C$12+E$17*((1-0)*$C$13+0*$C$14))&gt;0,(E$17*($B20*$C$9+$C$8)*$C$7-$C$10-$C$11*MAX(E$17-1,0))/($C$12+E$17*((1-0)*$C$13+0*$C$14)),"n/a")</f>
        <v/>
      </c>
      <c r="F20" s="109">
        <f>IF(($C$12+F$17*((1-0)*$C$13+0*$C$14))&gt;0,(F$17*($B20*$C$9+$C$8)*$C$7-$C$10-$C$11*MAX(F$17-1,0))/($C$12+F$17*((1-0)*$C$13+0*$C$14)),"n/a")</f>
        <v/>
      </c>
      <c r="G20" s="109">
        <f>IF(($C$12+G$17*((1-0)*$C$13+0*$C$14))&gt;0,(G$17*($B20*$C$9+$C$8)*$C$7-$C$10-$C$11*MAX(G$17-1,0))/($C$12+G$17*((1-0)*$C$13+0*$C$14)),"n/a")</f>
        <v/>
      </c>
    </row>
    <row r="21">
      <c r="B21" s="113">
        <f>B20+Inputs!$C$150</f>
        <v/>
      </c>
      <c r="C21" s="109">
        <f>IF(($C$12+C$17*((1-0)*$C$13+0*$C$14))&gt;0,(C$17*($B21*$C$9+$C$8)*$C$7-$C$10-$C$11*MAX(C$17-1,0))/($C$12+C$17*((1-0)*$C$13+0*$C$14)),"n/a")</f>
        <v/>
      </c>
      <c r="D21" s="109">
        <f>IF(($C$12+D$17*((1-0)*$C$13+0*$C$14))&gt;0,(D$17*($B21*$C$9+$C$8)*$C$7-$C$10-$C$11*MAX(D$17-1,0))/($C$12+D$17*((1-0)*$C$13+0*$C$14)),"n/a")</f>
        <v/>
      </c>
      <c r="E21" s="109">
        <f>IF(($C$12+E$17*((1-0)*$C$13+0*$C$14))&gt;0,(E$17*($B21*$C$9+$C$8)*$C$7-$C$10-$C$11*MAX(E$17-1,0))/($C$12+E$17*((1-0)*$C$13+0*$C$14)),"n/a")</f>
        <v/>
      </c>
      <c r="F21" s="109">
        <f>IF(($C$12+F$17*((1-0)*$C$13+0*$C$14))&gt;0,(F$17*($B21*$C$9+$C$8)*$C$7-$C$10-$C$11*MAX(F$17-1,0))/($C$12+F$17*((1-0)*$C$13+0*$C$14)),"n/a")</f>
        <v/>
      </c>
      <c r="G21" s="109">
        <f>IF(($C$12+G$17*((1-0)*$C$13+0*$C$14))&gt;0,(G$17*($B21*$C$9+$C$8)*$C$7-$C$10-$C$11*MAX(G$17-1,0))/($C$12+G$17*((1-0)*$C$13+0*$C$14)),"n/a")</f>
        <v/>
      </c>
    </row>
    <row r="22">
      <c r="B22" s="113">
        <f>B21+Inputs!$C$150</f>
        <v/>
      </c>
      <c r="C22" s="109">
        <f>IF(($C$12+C$17*((1-0)*$C$13+0*$C$14))&gt;0,(C$17*($B22*$C$9+$C$8)*$C$7-$C$10-$C$11*MAX(C$17-1,0))/($C$12+C$17*((1-0)*$C$13+0*$C$14)),"n/a")</f>
        <v/>
      </c>
      <c r="D22" s="109">
        <f>IF(($C$12+D$17*((1-0)*$C$13+0*$C$14))&gt;0,(D$17*($B22*$C$9+$C$8)*$C$7-$C$10-$C$11*MAX(D$17-1,0))/($C$12+D$17*((1-0)*$C$13+0*$C$14)),"n/a")</f>
        <v/>
      </c>
      <c r="E22" s="109">
        <f>IF(($C$12+E$17*((1-0)*$C$13+0*$C$14))&gt;0,(E$17*($B22*$C$9+$C$8)*$C$7-$C$10-$C$11*MAX(E$17-1,0))/($C$12+E$17*((1-0)*$C$13+0*$C$14)),"n/a")</f>
        <v/>
      </c>
      <c r="F22" s="109">
        <f>IF(($C$12+F$17*((1-0)*$C$13+0*$C$14))&gt;0,(F$17*($B22*$C$9+$C$8)*$C$7-$C$10-$C$11*MAX(F$17-1,0))/($C$12+F$17*((1-0)*$C$13+0*$C$14)),"n/a")</f>
        <v/>
      </c>
      <c r="G22" s="109">
        <f>IF(($C$12+G$17*((1-0)*$C$13+0*$C$14))&gt;0,(G$17*($B22*$C$9+$C$8)*$C$7-$C$10-$C$11*MAX(G$17-1,0))/($C$12+G$17*((1-0)*$C$13+0*$C$14)),"n/a")</f>
        <v/>
      </c>
    </row>
    <row r="23">
      <c r="B23" s="113">
        <f>B22+Inputs!$C$150</f>
        <v/>
      </c>
      <c r="C23" s="109">
        <f>IF(($C$12+C$17*((1-0)*$C$13+0*$C$14))&gt;0,(C$17*($B23*$C$9+$C$8)*$C$7-$C$10-$C$11*MAX(C$17-1,0))/($C$12+C$17*((1-0)*$C$13+0*$C$14)),"n/a")</f>
        <v/>
      </c>
      <c r="D23" s="109">
        <f>IF(($C$12+D$17*((1-0)*$C$13+0*$C$14))&gt;0,(D$17*($B23*$C$9+$C$8)*$C$7-$C$10-$C$11*MAX(D$17-1,0))/($C$12+D$17*((1-0)*$C$13+0*$C$14)),"n/a")</f>
        <v/>
      </c>
      <c r="E23" s="109">
        <f>IF(($C$12+E$17*((1-0)*$C$13+0*$C$14))&gt;0,(E$17*($B23*$C$9+$C$8)*$C$7-$C$10-$C$11*MAX(E$17-1,0))/($C$12+E$17*((1-0)*$C$13+0*$C$14)),"n/a")</f>
        <v/>
      </c>
      <c r="F23" s="109">
        <f>IF(($C$12+F$17*((1-0)*$C$13+0*$C$14))&gt;0,(F$17*($B23*$C$9+$C$8)*$C$7-$C$10-$C$11*MAX(F$17-1,0))/($C$12+F$17*((1-0)*$C$13+0*$C$14)),"n/a")</f>
        <v/>
      </c>
      <c r="G23" s="109">
        <f>IF(($C$12+G$17*((1-0)*$C$13+0*$C$14))&gt;0,(G$17*($B23*$C$9+$C$8)*$C$7-$C$10-$C$11*MAX(G$17-1,0))/($C$12+G$17*((1-0)*$C$13+0*$C$14)),"n/a")</f>
        <v/>
      </c>
    </row>
    <row r="24">
      <c r="B24" s="113">
        <f>B23+Inputs!$C$150</f>
        <v/>
      </c>
      <c r="C24" s="109">
        <f>IF(($C$12+C$17*((1-0)*$C$13+0*$C$14))&gt;0,(C$17*($B24*$C$9+$C$8)*$C$7-$C$10-$C$11*MAX(C$17-1,0))/($C$12+C$17*((1-0)*$C$13+0*$C$14)),"n/a")</f>
        <v/>
      </c>
      <c r="D24" s="109">
        <f>IF(($C$12+D$17*((1-0)*$C$13+0*$C$14))&gt;0,(D$17*($B24*$C$9+$C$8)*$C$7-$C$10-$C$11*MAX(D$17-1,0))/($C$12+D$17*((1-0)*$C$13+0*$C$14)),"n/a")</f>
        <v/>
      </c>
      <c r="E24" s="109">
        <f>IF(($C$12+E$17*((1-0)*$C$13+0*$C$14))&gt;0,(E$17*($B24*$C$9+$C$8)*$C$7-$C$10-$C$11*MAX(E$17-1,0))/($C$12+E$17*((1-0)*$C$13+0*$C$14)),"n/a")</f>
        <v/>
      </c>
      <c r="F24" s="109">
        <f>IF(($C$12+F$17*((1-0)*$C$13+0*$C$14))&gt;0,(F$17*($B24*$C$9+$C$8)*$C$7-$C$10-$C$11*MAX(F$17-1,0))/($C$12+F$17*((1-0)*$C$13+0*$C$14)),"n/a")</f>
        <v/>
      </c>
      <c r="G24" s="109">
        <f>IF(($C$12+G$17*((1-0)*$C$13+0*$C$14))&gt;0,(G$17*($B24*$C$9+$C$8)*$C$7-$C$10-$C$11*MAX(G$17-1,0))/($C$12+G$17*((1-0)*$C$13+0*$C$14)),"n/a")</f>
        <v/>
      </c>
    </row>
    <row r="25">
      <c r="B25" s="113">
        <f>B24+Inputs!$C$150</f>
        <v/>
      </c>
      <c r="C25" s="109">
        <f>IF(($C$12+C$17*((1-0)*$C$13+0*$C$14))&gt;0,(C$17*($B25*$C$9+$C$8)*$C$7-$C$10-$C$11*MAX(C$17-1,0))/($C$12+C$17*((1-0)*$C$13+0*$C$14)),"n/a")</f>
        <v/>
      </c>
      <c r="D25" s="109">
        <f>IF(($C$12+D$17*((1-0)*$C$13+0*$C$14))&gt;0,(D$17*($B25*$C$9+$C$8)*$C$7-$C$10-$C$11*MAX(D$17-1,0))/($C$12+D$17*((1-0)*$C$13+0*$C$14)),"n/a")</f>
        <v/>
      </c>
      <c r="E25" s="109">
        <f>IF(($C$12+E$17*((1-0)*$C$13+0*$C$14))&gt;0,(E$17*($B25*$C$9+$C$8)*$C$7-$C$10-$C$11*MAX(E$17-1,0))/($C$12+E$17*((1-0)*$C$13+0*$C$14)),"n/a")</f>
        <v/>
      </c>
      <c r="F25" s="109">
        <f>IF(($C$12+F$17*((1-0)*$C$13+0*$C$14))&gt;0,(F$17*($B25*$C$9+$C$8)*$C$7-$C$10-$C$11*MAX(F$17-1,0))/($C$12+F$17*((1-0)*$C$13+0*$C$14)),"n/a")</f>
        <v/>
      </c>
      <c r="G25" s="109">
        <f>IF(($C$12+G$17*((1-0)*$C$13+0*$C$14))&gt;0,(G$17*($B25*$C$9+$C$8)*$C$7-$C$10-$C$11*MAX(G$17-1,0))/($C$12+G$17*((1-0)*$C$13+0*$C$14)),"n/a")</f>
        <v/>
      </c>
    </row>
    <row r="28">
      <c r="B28" s="79" t="inlineStr">
        <is>
          <t>Table 2. Contribution per founder hour: renewal rate (rows) x brands per drop (columns), at the standard price on Inputs</t>
        </is>
      </c>
    </row>
    <row r="29">
      <c r="B29" s="88" t="inlineStr">
        <is>
          <t>Renewal rate \ brands</t>
        </is>
      </c>
      <c r="C29" s="94">
        <f>Inputs!$C$151</f>
        <v/>
      </c>
      <c r="D29" s="94">
        <f>C29+Inputs!$C$152</f>
        <v/>
      </c>
      <c r="E29" s="94">
        <f>D29+Inputs!$C$152</f>
        <v/>
      </c>
      <c r="F29" s="94">
        <f>E29+Inputs!$C$152</f>
        <v/>
      </c>
      <c r="G29" s="94">
        <f>F29+Inputs!$C$152</f>
        <v/>
      </c>
    </row>
    <row r="30">
      <c r="B30" s="26">
        <f>Inputs!$C$153</f>
        <v/>
      </c>
      <c r="C30" s="109">
        <f>IF(($C$12+C$29*((1-$B30)*$C$13+$B30*$C$14))&gt;0,(C$29*(Inputs!$C$39*$C$9+$C$8)*$C$7-$C$10-$C$11*MAX(C$29-1,0))/($C$12+C$29*((1-$B30)*$C$13+$B30*$C$14)),"n/a")</f>
        <v/>
      </c>
      <c r="D30" s="109">
        <f>IF(($C$12+D$29*((1-$B30)*$C$13+$B30*$C$14))&gt;0,(D$29*(Inputs!$C$39*$C$9+$C$8)*$C$7-$C$10-$C$11*MAX(D$29-1,0))/($C$12+D$29*((1-$B30)*$C$13+$B30*$C$14)),"n/a")</f>
        <v/>
      </c>
      <c r="E30" s="109">
        <f>IF(($C$12+E$29*((1-$B30)*$C$13+$B30*$C$14))&gt;0,(E$29*(Inputs!$C$39*$C$9+$C$8)*$C$7-$C$10-$C$11*MAX(E$29-1,0))/($C$12+E$29*((1-$B30)*$C$13+$B30*$C$14)),"n/a")</f>
        <v/>
      </c>
      <c r="F30" s="109">
        <f>IF(($C$12+F$29*((1-$B30)*$C$13+$B30*$C$14))&gt;0,(F$29*(Inputs!$C$39*$C$9+$C$8)*$C$7-$C$10-$C$11*MAX(F$29-1,0))/($C$12+F$29*((1-$B30)*$C$13+$B30*$C$14)),"n/a")</f>
        <v/>
      </c>
      <c r="G30" s="109">
        <f>IF(($C$12+G$29*((1-$B30)*$C$13+$B30*$C$14))&gt;0,(G$29*(Inputs!$C$39*$C$9+$C$8)*$C$7-$C$10-$C$11*MAX(G$29-1,0))/($C$12+G$29*((1-$B30)*$C$13+$B30*$C$14)),"n/a")</f>
        <v/>
      </c>
    </row>
    <row r="31">
      <c r="B31" s="26">
        <f>B30+Inputs!$C$154</f>
        <v/>
      </c>
      <c r="C31" s="109">
        <f>IF(($C$12+C$29*((1-$B31)*$C$13+$B31*$C$14))&gt;0,(C$29*(Inputs!$C$39*$C$9+$C$8)*$C$7-$C$10-$C$11*MAX(C$29-1,0))/($C$12+C$29*((1-$B31)*$C$13+$B31*$C$14)),"n/a")</f>
        <v/>
      </c>
      <c r="D31" s="109">
        <f>IF(($C$12+D$29*((1-$B31)*$C$13+$B31*$C$14))&gt;0,(D$29*(Inputs!$C$39*$C$9+$C$8)*$C$7-$C$10-$C$11*MAX(D$29-1,0))/($C$12+D$29*((1-$B31)*$C$13+$B31*$C$14)),"n/a")</f>
        <v/>
      </c>
      <c r="E31" s="109">
        <f>IF(($C$12+E$29*((1-$B31)*$C$13+$B31*$C$14))&gt;0,(E$29*(Inputs!$C$39*$C$9+$C$8)*$C$7-$C$10-$C$11*MAX(E$29-1,0))/($C$12+E$29*((1-$B31)*$C$13+$B31*$C$14)),"n/a")</f>
        <v/>
      </c>
      <c r="F31" s="109">
        <f>IF(($C$12+F$29*((1-$B31)*$C$13+$B31*$C$14))&gt;0,(F$29*(Inputs!$C$39*$C$9+$C$8)*$C$7-$C$10-$C$11*MAX(F$29-1,0))/($C$12+F$29*((1-$B31)*$C$13+$B31*$C$14)),"n/a")</f>
        <v/>
      </c>
      <c r="G31" s="109">
        <f>IF(($C$12+G$29*((1-$B31)*$C$13+$B31*$C$14))&gt;0,(G$29*(Inputs!$C$39*$C$9+$C$8)*$C$7-$C$10-$C$11*MAX(G$29-1,0))/($C$12+G$29*((1-$B31)*$C$13+$B31*$C$14)),"n/a")</f>
        <v/>
      </c>
    </row>
    <row r="32">
      <c r="B32" s="26">
        <f>B31+Inputs!$C$154</f>
        <v/>
      </c>
      <c r="C32" s="109">
        <f>IF(($C$12+C$29*((1-$B32)*$C$13+$B32*$C$14))&gt;0,(C$29*(Inputs!$C$39*$C$9+$C$8)*$C$7-$C$10-$C$11*MAX(C$29-1,0))/($C$12+C$29*((1-$B32)*$C$13+$B32*$C$14)),"n/a")</f>
        <v/>
      </c>
      <c r="D32" s="109">
        <f>IF(($C$12+D$29*((1-$B32)*$C$13+$B32*$C$14))&gt;0,(D$29*(Inputs!$C$39*$C$9+$C$8)*$C$7-$C$10-$C$11*MAX(D$29-1,0))/($C$12+D$29*((1-$B32)*$C$13+$B32*$C$14)),"n/a")</f>
        <v/>
      </c>
      <c r="E32" s="109">
        <f>IF(($C$12+E$29*((1-$B32)*$C$13+$B32*$C$14))&gt;0,(E$29*(Inputs!$C$39*$C$9+$C$8)*$C$7-$C$10-$C$11*MAX(E$29-1,0))/($C$12+E$29*((1-$B32)*$C$13+$B32*$C$14)),"n/a")</f>
        <v/>
      </c>
      <c r="F32" s="109">
        <f>IF(($C$12+F$29*((1-$B32)*$C$13+$B32*$C$14))&gt;0,(F$29*(Inputs!$C$39*$C$9+$C$8)*$C$7-$C$10-$C$11*MAX(F$29-1,0))/($C$12+F$29*((1-$B32)*$C$13+$B32*$C$14)),"n/a")</f>
        <v/>
      </c>
      <c r="G32" s="109">
        <f>IF(($C$12+G$29*((1-$B32)*$C$13+$B32*$C$14))&gt;0,(G$29*(Inputs!$C$39*$C$9+$C$8)*$C$7-$C$10-$C$11*MAX(G$29-1,0))/($C$12+G$29*((1-$B32)*$C$13+$B32*$C$14)),"n/a")</f>
        <v/>
      </c>
    </row>
    <row r="33">
      <c r="B33" s="26">
        <f>B32+Inputs!$C$154</f>
        <v/>
      </c>
      <c r="C33" s="109">
        <f>IF(($C$12+C$29*((1-$B33)*$C$13+$B33*$C$14))&gt;0,(C$29*(Inputs!$C$39*$C$9+$C$8)*$C$7-$C$10-$C$11*MAX(C$29-1,0))/($C$12+C$29*((1-$B33)*$C$13+$B33*$C$14)),"n/a")</f>
        <v/>
      </c>
      <c r="D33" s="109">
        <f>IF(($C$12+D$29*((1-$B33)*$C$13+$B33*$C$14))&gt;0,(D$29*(Inputs!$C$39*$C$9+$C$8)*$C$7-$C$10-$C$11*MAX(D$29-1,0))/($C$12+D$29*((1-$B33)*$C$13+$B33*$C$14)),"n/a")</f>
        <v/>
      </c>
      <c r="E33" s="109">
        <f>IF(($C$12+E$29*((1-$B33)*$C$13+$B33*$C$14))&gt;0,(E$29*(Inputs!$C$39*$C$9+$C$8)*$C$7-$C$10-$C$11*MAX(E$29-1,0))/($C$12+E$29*((1-$B33)*$C$13+$B33*$C$14)),"n/a")</f>
        <v/>
      </c>
      <c r="F33" s="109">
        <f>IF(($C$12+F$29*((1-$B33)*$C$13+$B33*$C$14))&gt;0,(F$29*(Inputs!$C$39*$C$9+$C$8)*$C$7-$C$10-$C$11*MAX(F$29-1,0))/($C$12+F$29*((1-$B33)*$C$13+$B33*$C$14)),"n/a")</f>
        <v/>
      </c>
      <c r="G33" s="109">
        <f>IF(($C$12+G$29*((1-$B33)*$C$13+$B33*$C$14))&gt;0,(G$29*(Inputs!$C$39*$C$9+$C$8)*$C$7-$C$10-$C$11*MAX(G$29-1,0))/($C$12+G$29*((1-$B33)*$C$13+$B33*$C$14)),"n/a")</f>
        <v/>
      </c>
    </row>
    <row r="34">
      <c r="B34" s="26">
        <f>B33+Inputs!$C$154</f>
        <v/>
      </c>
      <c r="C34" s="109">
        <f>IF(($C$12+C$29*((1-$B34)*$C$13+$B34*$C$14))&gt;0,(C$29*(Inputs!$C$39*$C$9+$C$8)*$C$7-$C$10-$C$11*MAX(C$29-1,0))/($C$12+C$29*((1-$B34)*$C$13+$B34*$C$14)),"n/a")</f>
        <v/>
      </c>
      <c r="D34" s="109">
        <f>IF(($C$12+D$29*((1-$B34)*$C$13+$B34*$C$14))&gt;0,(D$29*(Inputs!$C$39*$C$9+$C$8)*$C$7-$C$10-$C$11*MAX(D$29-1,0))/($C$12+D$29*((1-$B34)*$C$13+$B34*$C$14)),"n/a")</f>
        <v/>
      </c>
      <c r="E34" s="109">
        <f>IF(($C$12+E$29*((1-$B34)*$C$13+$B34*$C$14))&gt;0,(E$29*(Inputs!$C$39*$C$9+$C$8)*$C$7-$C$10-$C$11*MAX(E$29-1,0))/($C$12+E$29*((1-$B34)*$C$13+$B34*$C$14)),"n/a")</f>
        <v/>
      </c>
      <c r="F34" s="109">
        <f>IF(($C$12+F$29*((1-$B34)*$C$13+$B34*$C$14))&gt;0,(F$29*(Inputs!$C$39*$C$9+$C$8)*$C$7-$C$10-$C$11*MAX(F$29-1,0))/($C$12+F$29*((1-$B34)*$C$13+$B34*$C$14)),"n/a")</f>
        <v/>
      </c>
      <c r="G34" s="109">
        <f>IF(($C$12+G$29*((1-$B34)*$C$13+$B34*$C$14))&gt;0,(G$29*(Inputs!$C$39*$C$9+$C$8)*$C$7-$C$10-$C$11*MAX(G$29-1,0))/($C$12+G$29*((1-$B34)*$C$13+$B34*$C$14)),"n/a")</f>
        <v/>
      </c>
    </row>
    <row r="35">
      <c r="B35" s="26">
        <f>B34+Inputs!$C$154</f>
        <v/>
      </c>
      <c r="C35" s="109">
        <f>IF(($C$12+C$29*((1-$B35)*$C$13+$B35*$C$14))&gt;0,(C$29*(Inputs!$C$39*$C$9+$C$8)*$C$7-$C$10-$C$11*MAX(C$29-1,0))/($C$12+C$29*((1-$B35)*$C$13+$B35*$C$14)),"n/a")</f>
        <v/>
      </c>
      <c r="D35" s="109">
        <f>IF(($C$12+D$29*((1-$B35)*$C$13+$B35*$C$14))&gt;0,(D$29*(Inputs!$C$39*$C$9+$C$8)*$C$7-$C$10-$C$11*MAX(D$29-1,0))/($C$12+D$29*((1-$B35)*$C$13+$B35*$C$14)),"n/a")</f>
        <v/>
      </c>
      <c r="E35" s="109">
        <f>IF(($C$12+E$29*((1-$B35)*$C$13+$B35*$C$14))&gt;0,(E$29*(Inputs!$C$39*$C$9+$C$8)*$C$7-$C$10-$C$11*MAX(E$29-1,0))/($C$12+E$29*((1-$B35)*$C$13+$B35*$C$14)),"n/a")</f>
        <v/>
      </c>
      <c r="F35" s="109">
        <f>IF(($C$12+F$29*((1-$B35)*$C$13+$B35*$C$14))&gt;0,(F$29*(Inputs!$C$39*$C$9+$C$8)*$C$7-$C$10-$C$11*MAX(F$29-1,0))/($C$12+F$29*((1-$B35)*$C$13+$B35*$C$14)),"n/a")</f>
        <v/>
      </c>
      <c r="G35" s="109">
        <f>IF(($C$12+G$29*((1-$B35)*$C$13+$B35*$C$14))&gt;0,(G$29*(Inputs!$C$39*$C$9+$C$8)*$C$7-$C$10-$C$11*MAX(G$29-1,0))/($C$12+G$29*((1-$B35)*$C$13+$B35*$C$14)),"n/a")</f>
        <v/>
      </c>
    </row>
    <row r="36">
      <c r="B36" s="26">
        <f>B35+Inputs!$C$154</f>
        <v/>
      </c>
      <c r="C36" s="109">
        <f>IF(($C$12+C$29*((1-$B36)*$C$13+$B36*$C$14))&gt;0,(C$29*(Inputs!$C$39*$C$9+$C$8)*$C$7-$C$10-$C$11*MAX(C$29-1,0))/($C$12+C$29*((1-$B36)*$C$13+$B36*$C$14)),"n/a")</f>
        <v/>
      </c>
      <c r="D36" s="109">
        <f>IF(($C$12+D$29*((1-$B36)*$C$13+$B36*$C$14))&gt;0,(D$29*(Inputs!$C$39*$C$9+$C$8)*$C$7-$C$10-$C$11*MAX(D$29-1,0))/($C$12+D$29*((1-$B36)*$C$13+$B36*$C$14)),"n/a")</f>
        <v/>
      </c>
      <c r="E36" s="109">
        <f>IF(($C$12+E$29*((1-$B36)*$C$13+$B36*$C$14))&gt;0,(E$29*(Inputs!$C$39*$C$9+$C$8)*$C$7-$C$10-$C$11*MAX(E$29-1,0))/($C$12+E$29*((1-$B36)*$C$13+$B36*$C$14)),"n/a")</f>
        <v/>
      </c>
      <c r="F36" s="109">
        <f>IF(($C$12+F$29*((1-$B36)*$C$13+$B36*$C$14))&gt;0,(F$29*(Inputs!$C$39*$C$9+$C$8)*$C$7-$C$10-$C$11*MAX(F$29-1,0))/($C$12+F$29*((1-$B36)*$C$13+$B36*$C$14)),"n/a")</f>
        <v/>
      </c>
      <c r="G36" s="109">
        <f>IF(($C$12+G$29*((1-$B36)*$C$13+$B36*$C$14))&gt;0,(G$29*(Inputs!$C$39*$C$9+$C$8)*$C$7-$C$10-$C$11*MAX(G$29-1,0))/($C$12+G$29*((1-$B36)*$C$13+$B36*$C$14)),"n/a")</f>
        <v/>
      </c>
    </row>
    <row r="37">
      <c r="B37" s="26">
        <f>B36+Inputs!$C$154</f>
        <v/>
      </c>
      <c r="C37" s="109">
        <f>IF(($C$12+C$29*((1-$B37)*$C$13+$B37*$C$14))&gt;0,(C$29*(Inputs!$C$39*$C$9+$C$8)*$C$7-$C$10-$C$11*MAX(C$29-1,0))/($C$12+C$29*((1-$B37)*$C$13+$B37*$C$14)),"n/a")</f>
        <v/>
      </c>
      <c r="D37" s="109">
        <f>IF(($C$12+D$29*((1-$B37)*$C$13+$B37*$C$14))&gt;0,(D$29*(Inputs!$C$39*$C$9+$C$8)*$C$7-$C$10-$C$11*MAX(D$29-1,0))/($C$12+D$29*((1-$B37)*$C$13+$B37*$C$14)),"n/a")</f>
        <v/>
      </c>
      <c r="E37" s="109">
        <f>IF(($C$12+E$29*((1-$B37)*$C$13+$B37*$C$14))&gt;0,(E$29*(Inputs!$C$39*$C$9+$C$8)*$C$7-$C$10-$C$11*MAX(E$29-1,0))/($C$12+E$29*((1-$B37)*$C$13+$B37*$C$14)),"n/a")</f>
        <v/>
      </c>
      <c r="F37" s="109">
        <f>IF(($C$12+F$29*((1-$B37)*$C$13+$B37*$C$14))&gt;0,(F$29*(Inputs!$C$39*$C$9+$C$8)*$C$7-$C$10-$C$11*MAX(F$29-1,0))/($C$12+F$29*((1-$B37)*$C$13+$B37*$C$14)),"n/a")</f>
        <v/>
      </c>
      <c r="G37" s="109">
        <f>IF(($C$12+G$29*((1-$B37)*$C$13+$B37*$C$14))&gt;0,(G$29*(Inputs!$C$39*$C$9+$C$8)*$C$7-$C$10-$C$11*MAX(G$29-1,0))/($C$12+G$29*((1-$B37)*$C$13+$B37*$C$14)),"n/a")</f>
        <v/>
      </c>
    </row>
    <row r="38">
      <c r="B38" s="26">
        <f>B37+Inputs!$C$154</f>
        <v/>
      </c>
      <c r="C38" s="109">
        <f>IF(($C$12+C$29*((1-$B38)*$C$13+$B38*$C$14))&gt;0,(C$29*(Inputs!$C$39*$C$9+$C$8)*$C$7-$C$10-$C$11*MAX(C$29-1,0))/($C$12+C$29*((1-$B38)*$C$13+$B38*$C$14)),"n/a")</f>
        <v/>
      </c>
      <c r="D38" s="109">
        <f>IF(($C$12+D$29*((1-$B38)*$C$13+$B38*$C$14))&gt;0,(D$29*(Inputs!$C$39*$C$9+$C$8)*$C$7-$C$10-$C$11*MAX(D$29-1,0))/($C$12+D$29*((1-$B38)*$C$13+$B38*$C$14)),"n/a")</f>
        <v/>
      </c>
      <c r="E38" s="109">
        <f>IF(($C$12+E$29*((1-$B38)*$C$13+$B38*$C$14))&gt;0,(E$29*(Inputs!$C$39*$C$9+$C$8)*$C$7-$C$10-$C$11*MAX(E$29-1,0))/($C$12+E$29*((1-$B38)*$C$13+$B38*$C$14)),"n/a")</f>
        <v/>
      </c>
      <c r="F38" s="109">
        <f>IF(($C$12+F$29*((1-$B38)*$C$13+$B38*$C$14))&gt;0,(F$29*(Inputs!$C$39*$C$9+$C$8)*$C$7-$C$10-$C$11*MAX(F$29-1,0))/($C$12+F$29*((1-$B38)*$C$13+$B38*$C$14)),"n/a")</f>
        <v/>
      </c>
      <c r="G38" s="109">
        <f>IF(($C$12+G$29*((1-$B38)*$C$13+$B38*$C$14))&gt;0,(G$29*(Inputs!$C$39*$C$9+$C$8)*$C$7-$C$10-$C$11*MAX(G$29-1,0))/($C$12+G$29*((1-$B38)*$C$13+$B38*$C$14)),"n/a")</f>
        <v/>
      </c>
    </row>
    <row r="39">
      <c r="B39" s="26">
        <f>B38+Inputs!$C$154</f>
        <v/>
      </c>
      <c r="C39" s="109">
        <f>IF(($C$12+C$29*((1-$B39)*$C$13+$B39*$C$14))&gt;0,(C$29*(Inputs!$C$39*$C$9+$C$8)*$C$7-$C$10-$C$11*MAX(C$29-1,0))/($C$12+C$29*((1-$B39)*$C$13+$B39*$C$14)),"n/a")</f>
        <v/>
      </c>
      <c r="D39" s="109">
        <f>IF(($C$12+D$29*((1-$B39)*$C$13+$B39*$C$14))&gt;0,(D$29*(Inputs!$C$39*$C$9+$C$8)*$C$7-$C$10-$C$11*MAX(D$29-1,0))/($C$12+D$29*((1-$B39)*$C$13+$B39*$C$14)),"n/a")</f>
        <v/>
      </c>
      <c r="E39" s="109">
        <f>IF(($C$12+E$29*((1-$B39)*$C$13+$B39*$C$14))&gt;0,(E$29*(Inputs!$C$39*$C$9+$C$8)*$C$7-$C$10-$C$11*MAX(E$29-1,0))/($C$12+E$29*((1-$B39)*$C$13+$B39*$C$14)),"n/a")</f>
        <v/>
      </c>
      <c r="F39" s="109">
        <f>IF(($C$12+F$29*((1-$B39)*$C$13+$B39*$C$14))&gt;0,(F$29*(Inputs!$C$39*$C$9+$C$8)*$C$7-$C$10-$C$11*MAX(F$29-1,0))/($C$12+F$29*((1-$B39)*$C$13+$B39*$C$14)),"n/a")</f>
        <v/>
      </c>
      <c r="G39" s="109">
        <f>IF(($C$12+G$29*((1-$B39)*$C$13+$B39*$C$14))&gt;0,(G$29*(Inputs!$C$39*$C$9+$C$8)*$C$7-$C$10-$C$11*MAX(G$29-1,0))/($C$12+G$29*((1-$B39)*$C$13+$B39*$C$14)),"n/a")</f>
        <v/>
      </c>
    </row>
    <row r="40">
      <c r="B40" s="26">
        <f>B39+Inputs!$C$154</f>
        <v/>
      </c>
      <c r="C40" s="109">
        <f>IF(($C$12+C$29*((1-$B40)*$C$13+$B40*$C$14))&gt;0,(C$29*(Inputs!$C$39*$C$9+$C$8)*$C$7-$C$10-$C$11*MAX(C$29-1,0))/($C$12+C$29*((1-$B40)*$C$13+$B40*$C$14)),"n/a")</f>
        <v/>
      </c>
      <c r="D40" s="109">
        <f>IF(($C$12+D$29*((1-$B40)*$C$13+$B40*$C$14))&gt;0,(D$29*(Inputs!$C$39*$C$9+$C$8)*$C$7-$C$10-$C$11*MAX(D$29-1,0))/($C$12+D$29*((1-$B40)*$C$13+$B40*$C$14)),"n/a")</f>
        <v/>
      </c>
      <c r="E40" s="109">
        <f>IF(($C$12+E$29*((1-$B40)*$C$13+$B40*$C$14))&gt;0,(E$29*(Inputs!$C$39*$C$9+$C$8)*$C$7-$C$10-$C$11*MAX(E$29-1,0))/($C$12+E$29*((1-$B40)*$C$13+$B40*$C$14)),"n/a")</f>
        <v/>
      </c>
      <c r="F40" s="109">
        <f>IF(($C$12+F$29*((1-$B40)*$C$13+$B40*$C$14))&gt;0,(F$29*(Inputs!$C$39*$C$9+$C$8)*$C$7-$C$10-$C$11*MAX(F$29-1,0))/($C$12+F$29*((1-$B40)*$C$13+$B40*$C$14)),"n/a")</f>
        <v/>
      </c>
      <c r="G40" s="109">
        <f>IF(($C$12+G$29*((1-$B40)*$C$13+$B40*$C$14))&gt;0,(G$29*(Inputs!$C$39*$C$9+$C$8)*$C$7-$C$10-$C$11*MAX(G$29-1,0))/($C$12+G$29*((1-$B40)*$C$13+$B40*$C$14)),"n/a")</f>
        <v/>
      </c>
    </row>
    <row r="43">
      <c r="B43" s="79"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144">
        <f>Scenarios!$H$15*Scenarios!$H$16*(1-B45)</f>
        <v/>
      </c>
      <c r="D45" s="20">
        <f>C45/Inputs!$C$90</f>
        <v/>
      </c>
      <c r="E45" s="112">
        <f>Scenarios!$H$15*IF(Scenarios!$H$16&gt;0,$C$12+Scenarios!$H$16*((1-B45)*$C$13+B45*$C$14),0)</f>
        <v/>
      </c>
      <c r="F45" s="108">
        <f>Scenarios!$H$15*IF(Scenarios!$H$16&gt;0,Scenarios!$H$16*(Scenarios!$H$14*$C$9+$C$8)*$C$7-$C$10-$C$11*MAX(Scenarios!$H$16-1,0),0)</f>
        <v/>
      </c>
      <c r="G45" s="109">
        <f>IF(E45&gt;0,F45/E45,"n/a")</f>
        <v/>
      </c>
    </row>
    <row r="46">
      <c r="B46" s="26">
        <f>B45+Inputs!$C$154</f>
        <v/>
      </c>
      <c r="C46" s="144">
        <f>Scenarios!$H$15*Scenarios!$H$16*(1-B46)</f>
        <v/>
      </c>
      <c r="D46" s="20">
        <f>C46/Inputs!$C$90</f>
        <v/>
      </c>
      <c r="E46" s="112">
        <f>Scenarios!$H$15*IF(Scenarios!$H$16&gt;0,$C$12+Scenarios!$H$16*((1-B46)*$C$13+B46*$C$14),0)</f>
        <v/>
      </c>
      <c r="F46" s="108">
        <f>Scenarios!$H$15*IF(Scenarios!$H$16&gt;0,Scenarios!$H$16*(Scenarios!$H$14*$C$9+$C$8)*$C$7-$C$10-$C$11*MAX(Scenarios!$H$16-1,0),0)</f>
        <v/>
      </c>
      <c r="G46" s="109">
        <f>IF(E46&gt;0,F46/E46,"n/a")</f>
        <v/>
      </c>
    </row>
    <row r="47">
      <c r="B47" s="26">
        <f>B46+Inputs!$C$154</f>
        <v/>
      </c>
      <c r="C47" s="144">
        <f>Scenarios!$H$15*Scenarios!$H$16*(1-B47)</f>
        <v/>
      </c>
      <c r="D47" s="20">
        <f>C47/Inputs!$C$90</f>
        <v/>
      </c>
      <c r="E47" s="112">
        <f>Scenarios!$H$15*IF(Scenarios!$H$16&gt;0,$C$12+Scenarios!$H$16*((1-B47)*$C$13+B47*$C$14),0)</f>
        <v/>
      </c>
      <c r="F47" s="108">
        <f>Scenarios!$H$15*IF(Scenarios!$H$16&gt;0,Scenarios!$H$16*(Scenarios!$H$14*$C$9+$C$8)*$C$7-$C$10-$C$11*MAX(Scenarios!$H$16-1,0),0)</f>
        <v/>
      </c>
      <c r="G47" s="109">
        <f>IF(E47&gt;0,F47/E47,"n/a")</f>
        <v/>
      </c>
    </row>
    <row r="48">
      <c r="B48" s="26">
        <f>B47+Inputs!$C$154</f>
        <v/>
      </c>
      <c r="C48" s="144">
        <f>Scenarios!$H$15*Scenarios!$H$16*(1-B48)</f>
        <v/>
      </c>
      <c r="D48" s="20">
        <f>C48/Inputs!$C$90</f>
        <v/>
      </c>
      <c r="E48" s="112">
        <f>Scenarios!$H$15*IF(Scenarios!$H$16&gt;0,$C$12+Scenarios!$H$16*((1-B48)*$C$13+B48*$C$14),0)</f>
        <v/>
      </c>
      <c r="F48" s="108">
        <f>Scenarios!$H$15*IF(Scenarios!$H$16&gt;0,Scenarios!$H$16*(Scenarios!$H$14*$C$9+$C$8)*$C$7-$C$10-$C$11*MAX(Scenarios!$H$16-1,0),0)</f>
        <v/>
      </c>
      <c r="G48" s="109">
        <f>IF(E48&gt;0,F48/E48,"n/a")</f>
        <v/>
      </c>
    </row>
    <row r="49">
      <c r="B49" s="26">
        <f>B48+Inputs!$C$154</f>
        <v/>
      </c>
      <c r="C49" s="144">
        <f>Scenarios!$H$15*Scenarios!$H$16*(1-B49)</f>
        <v/>
      </c>
      <c r="D49" s="20">
        <f>C49/Inputs!$C$90</f>
        <v/>
      </c>
      <c r="E49" s="112">
        <f>Scenarios!$H$15*IF(Scenarios!$H$16&gt;0,$C$12+Scenarios!$H$16*((1-B49)*$C$13+B49*$C$14),0)</f>
        <v/>
      </c>
      <c r="F49" s="108">
        <f>Scenarios!$H$15*IF(Scenarios!$H$16&gt;0,Scenarios!$H$16*(Scenarios!$H$14*$C$9+$C$8)*$C$7-$C$10-$C$11*MAX(Scenarios!$H$16-1,0),0)</f>
        <v/>
      </c>
      <c r="G49" s="109">
        <f>IF(E49&gt;0,F49/E49,"n/a")</f>
        <v/>
      </c>
    </row>
    <row r="50">
      <c r="B50" s="26">
        <f>B49+Inputs!$C$154</f>
        <v/>
      </c>
      <c r="C50" s="144">
        <f>Scenarios!$H$15*Scenarios!$H$16*(1-B50)</f>
        <v/>
      </c>
      <c r="D50" s="20">
        <f>C50/Inputs!$C$90</f>
        <v/>
      </c>
      <c r="E50" s="112">
        <f>Scenarios!$H$15*IF(Scenarios!$H$16&gt;0,$C$12+Scenarios!$H$16*((1-B50)*$C$13+B50*$C$14),0)</f>
        <v/>
      </c>
      <c r="F50" s="108">
        <f>Scenarios!$H$15*IF(Scenarios!$H$16&gt;0,Scenarios!$H$16*(Scenarios!$H$14*$C$9+$C$8)*$C$7-$C$10-$C$11*MAX(Scenarios!$H$16-1,0),0)</f>
        <v/>
      </c>
      <c r="G50" s="109">
        <f>IF(E50&gt;0,F50/E50,"n/a")</f>
        <v/>
      </c>
    </row>
    <row r="51">
      <c r="B51" s="26">
        <f>B50+Inputs!$C$154</f>
        <v/>
      </c>
      <c r="C51" s="144">
        <f>Scenarios!$H$15*Scenarios!$H$16*(1-B51)</f>
        <v/>
      </c>
      <c r="D51" s="20">
        <f>C51/Inputs!$C$90</f>
        <v/>
      </c>
      <c r="E51" s="112">
        <f>Scenarios!$H$15*IF(Scenarios!$H$16&gt;0,$C$12+Scenarios!$H$16*((1-B51)*$C$13+B51*$C$14),0)</f>
        <v/>
      </c>
      <c r="F51" s="108">
        <f>Scenarios!$H$15*IF(Scenarios!$H$16&gt;0,Scenarios!$H$16*(Scenarios!$H$14*$C$9+$C$8)*$C$7-$C$10-$C$11*MAX(Scenarios!$H$16-1,0),0)</f>
        <v/>
      </c>
      <c r="G51" s="109">
        <f>IF(E51&gt;0,F51/E51,"n/a")</f>
        <v/>
      </c>
    </row>
    <row r="52">
      <c r="B52" s="26">
        <f>B51+Inputs!$C$154</f>
        <v/>
      </c>
      <c r="C52" s="144">
        <f>Scenarios!$H$15*Scenarios!$H$16*(1-B52)</f>
        <v/>
      </c>
      <c r="D52" s="20">
        <f>C52/Inputs!$C$90</f>
        <v/>
      </c>
      <c r="E52" s="112">
        <f>Scenarios!$H$15*IF(Scenarios!$H$16&gt;0,$C$12+Scenarios!$H$16*((1-B52)*$C$13+B52*$C$14),0)</f>
        <v/>
      </c>
      <c r="F52" s="108">
        <f>Scenarios!$H$15*IF(Scenarios!$H$16&gt;0,Scenarios!$H$16*(Scenarios!$H$14*$C$9+$C$8)*$C$7-$C$10-$C$11*MAX(Scenarios!$H$16-1,0),0)</f>
        <v/>
      </c>
      <c r="G52" s="109">
        <f>IF(E52&gt;0,F52/E52,"n/a")</f>
        <v/>
      </c>
    </row>
    <row r="53">
      <c r="B53" s="26">
        <f>B52+Inputs!$C$154</f>
        <v/>
      </c>
      <c r="C53" s="144">
        <f>Scenarios!$H$15*Scenarios!$H$16*(1-B53)</f>
        <v/>
      </c>
      <c r="D53" s="20">
        <f>C53/Inputs!$C$90</f>
        <v/>
      </c>
      <c r="E53" s="112">
        <f>Scenarios!$H$15*IF(Scenarios!$H$16&gt;0,$C$12+Scenarios!$H$16*((1-B53)*$C$13+B53*$C$14),0)</f>
        <v/>
      </c>
      <c r="F53" s="108">
        <f>Scenarios!$H$15*IF(Scenarios!$H$16&gt;0,Scenarios!$H$16*(Scenarios!$H$14*$C$9+$C$8)*$C$7-$C$10-$C$11*MAX(Scenarios!$H$16-1,0),0)</f>
        <v/>
      </c>
      <c r="G53" s="109">
        <f>IF(E53&gt;0,F53/E53,"n/a")</f>
        <v/>
      </c>
    </row>
    <row r="54">
      <c r="B54" s="26">
        <f>B53+Inputs!$C$154</f>
        <v/>
      </c>
      <c r="C54" s="144">
        <f>Scenarios!$H$15*Scenarios!$H$16*(1-B54)</f>
        <v/>
      </c>
      <c r="D54" s="20">
        <f>C54/Inputs!$C$90</f>
        <v/>
      </c>
      <c r="E54" s="112">
        <f>Scenarios!$H$15*IF(Scenarios!$H$16&gt;0,$C$12+Scenarios!$H$16*((1-B54)*$C$13+B54*$C$14),0)</f>
        <v/>
      </c>
      <c r="F54" s="108">
        <f>Scenarios!$H$15*IF(Scenarios!$H$16&gt;0,Scenarios!$H$16*(Scenarios!$H$14*$C$9+$C$8)*$C$7-$C$10-$C$11*MAX(Scenarios!$H$16-1,0),0)</f>
        <v/>
      </c>
      <c r="G54" s="109">
        <f>IF(E54&gt;0,F54/E54,"n/a")</f>
        <v/>
      </c>
    </row>
    <row r="55">
      <c r="B55" s="26">
        <f>B54+Inputs!$C$154</f>
        <v/>
      </c>
      <c r="C55" s="144">
        <f>Scenarios!$H$15*Scenarios!$H$16*(1-B55)</f>
        <v/>
      </c>
      <c r="D55" s="20">
        <f>C55/Inputs!$C$90</f>
        <v/>
      </c>
      <c r="E55" s="112">
        <f>Scenarios!$H$15*IF(Scenarios!$H$16&gt;0,$C$12+Scenarios!$H$16*((1-B55)*$C$13+B55*$C$14),0)</f>
        <v/>
      </c>
      <c r="F55" s="108">
        <f>Scenarios!$H$15*IF(Scenarios!$H$16&gt;0,Scenarios!$H$16*(Scenarios!$H$14*$C$9+$C$8)*$C$7-$C$10-$C$11*MAX(Scenarios!$H$16-1,0),0)</f>
        <v/>
      </c>
      <c r="G55" s="109">
        <f>IF(E55&gt;0,F55/E55,"n/a")</f>
        <v/>
      </c>
    </row>
    <row r="58">
      <c r="B58" s="79"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113">
        <f>Inputs!$C$149</f>
        <v/>
      </c>
      <c r="C60" s="108">
        <f>Scenarios!$H$15*Scenarios!$H$16*(B60*$C$9+$C$8)</f>
        <v/>
      </c>
      <c r="D60" s="108">
        <f>Scenarios!$H$15*IF(Scenarios!$H$16&gt;0,Scenarios!$H$16*(B60*$C$9+$C$8)*$C$7-$C$10-$C$11*MAX(Scenarios!$H$16-1,0),0)</f>
        <v/>
      </c>
      <c r="E60" s="112">
        <f>Scenarios!$H$15*IF(Scenarios!$H$16&gt;0,$C$12+Scenarios!$H$16*((1-Scenarios!$H$12)*$C$13+Scenarios!$H$12*$C$14),0)</f>
        <v/>
      </c>
      <c r="F60" s="109">
        <f>IF(E60&gt;0,D60/E60,"n/a")</f>
        <v/>
      </c>
    </row>
    <row r="61">
      <c r="B61" s="113">
        <f>B60+Inputs!$C$150</f>
        <v/>
      </c>
      <c r="C61" s="108">
        <f>Scenarios!$H$15*Scenarios!$H$16*(B61*$C$9+$C$8)</f>
        <v/>
      </c>
      <c r="D61" s="108">
        <f>Scenarios!$H$15*IF(Scenarios!$H$16&gt;0,Scenarios!$H$16*(B61*$C$9+$C$8)*$C$7-$C$10-$C$11*MAX(Scenarios!$H$16-1,0),0)</f>
        <v/>
      </c>
      <c r="E61" s="112">
        <f>Scenarios!$H$15*IF(Scenarios!$H$16&gt;0,$C$12+Scenarios!$H$16*((1-Scenarios!$H$12)*$C$13+Scenarios!$H$12*$C$14),0)</f>
        <v/>
      </c>
      <c r="F61" s="109">
        <f>IF(E61&gt;0,D61/E61,"n/a")</f>
        <v/>
      </c>
    </row>
    <row r="62">
      <c r="B62" s="113">
        <f>B61+Inputs!$C$150</f>
        <v/>
      </c>
      <c r="C62" s="108">
        <f>Scenarios!$H$15*Scenarios!$H$16*(B62*$C$9+$C$8)</f>
        <v/>
      </c>
      <c r="D62" s="108">
        <f>Scenarios!$H$15*IF(Scenarios!$H$16&gt;0,Scenarios!$H$16*(B62*$C$9+$C$8)*$C$7-$C$10-$C$11*MAX(Scenarios!$H$16-1,0),0)</f>
        <v/>
      </c>
      <c r="E62" s="112">
        <f>Scenarios!$H$15*IF(Scenarios!$H$16&gt;0,$C$12+Scenarios!$H$16*((1-Scenarios!$H$12)*$C$13+Scenarios!$H$12*$C$14),0)</f>
        <v/>
      </c>
      <c r="F62" s="109">
        <f>IF(E62&gt;0,D62/E62,"n/a")</f>
        <v/>
      </c>
    </row>
    <row r="63">
      <c r="B63" s="113">
        <f>B62+Inputs!$C$150</f>
        <v/>
      </c>
      <c r="C63" s="108">
        <f>Scenarios!$H$15*Scenarios!$H$16*(B63*$C$9+$C$8)</f>
        <v/>
      </c>
      <c r="D63" s="108">
        <f>Scenarios!$H$15*IF(Scenarios!$H$16&gt;0,Scenarios!$H$16*(B63*$C$9+$C$8)*$C$7-$C$10-$C$11*MAX(Scenarios!$H$16-1,0),0)</f>
        <v/>
      </c>
      <c r="E63" s="112">
        <f>Scenarios!$H$15*IF(Scenarios!$H$16&gt;0,$C$12+Scenarios!$H$16*((1-Scenarios!$H$12)*$C$13+Scenarios!$H$12*$C$14),0)</f>
        <v/>
      </c>
      <c r="F63" s="109">
        <f>IF(E63&gt;0,D63/E63,"n/a")</f>
        <v/>
      </c>
    </row>
    <row r="64">
      <c r="B64" s="113">
        <f>B63+Inputs!$C$150</f>
        <v/>
      </c>
      <c r="C64" s="108">
        <f>Scenarios!$H$15*Scenarios!$H$16*(B64*$C$9+$C$8)</f>
        <v/>
      </c>
      <c r="D64" s="108">
        <f>Scenarios!$H$15*IF(Scenarios!$H$16&gt;0,Scenarios!$H$16*(B64*$C$9+$C$8)*$C$7-$C$10-$C$11*MAX(Scenarios!$H$16-1,0),0)</f>
        <v/>
      </c>
      <c r="E64" s="112">
        <f>Scenarios!$H$15*IF(Scenarios!$H$16&gt;0,$C$12+Scenarios!$H$16*((1-Scenarios!$H$12)*$C$13+Scenarios!$H$12*$C$14),0)</f>
        <v/>
      </c>
      <c r="F64" s="109">
        <f>IF(E64&gt;0,D64/E64,"n/a")</f>
        <v/>
      </c>
    </row>
    <row r="65">
      <c r="B65" s="113">
        <f>B64+Inputs!$C$150</f>
        <v/>
      </c>
      <c r="C65" s="108">
        <f>Scenarios!$H$15*Scenarios!$H$16*(B65*$C$9+$C$8)</f>
        <v/>
      </c>
      <c r="D65" s="108">
        <f>Scenarios!$H$15*IF(Scenarios!$H$16&gt;0,Scenarios!$H$16*(B65*$C$9+$C$8)*$C$7-$C$10-$C$11*MAX(Scenarios!$H$16-1,0),0)</f>
        <v/>
      </c>
      <c r="E65" s="112">
        <f>Scenarios!$H$15*IF(Scenarios!$H$16&gt;0,$C$12+Scenarios!$H$16*((1-Scenarios!$H$12)*$C$13+Scenarios!$H$12*$C$14),0)</f>
        <v/>
      </c>
      <c r="F65" s="109">
        <f>IF(E65&gt;0,D65/E65,"n/a")</f>
        <v/>
      </c>
    </row>
    <row r="66">
      <c r="B66" s="113">
        <f>B65+Inputs!$C$150</f>
        <v/>
      </c>
      <c r="C66" s="108">
        <f>Scenarios!$H$15*Scenarios!$H$16*(B66*$C$9+$C$8)</f>
        <v/>
      </c>
      <c r="D66" s="108">
        <f>Scenarios!$H$15*IF(Scenarios!$H$16&gt;0,Scenarios!$H$16*(B66*$C$9+$C$8)*$C$7-$C$10-$C$11*MAX(Scenarios!$H$16-1,0),0)</f>
        <v/>
      </c>
      <c r="E66" s="112">
        <f>Scenarios!$H$15*IF(Scenarios!$H$16&gt;0,$C$12+Scenarios!$H$16*((1-Scenarios!$H$12)*$C$13+Scenarios!$H$12*$C$14),0)</f>
        <v/>
      </c>
      <c r="F66" s="109">
        <f>IF(E66&gt;0,D66/E66,"n/a")</f>
        <v/>
      </c>
    </row>
    <row r="67">
      <c r="B67" s="113">
        <f>B66+Inputs!$C$150</f>
        <v/>
      </c>
      <c r="C67" s="108">
        <f>Scenarios!$H$15*Scenarios!$H$16*(B67*$C$9+$C$8)</f>
        <v/>
      </c>
      <c r="D67" s="108">
        <f>Scenarios!$H$15*IF(Scenarios!$H$16&gt;0,Scenarios!$H$16*(B67*$C$9+$C$8)*$C$7-$C$10-$C$11*MAX(Scenarios!$H$16-1,0),0)</f>
        <v/>
      </c>
      <c r="E67" s="112">
        <f>Scenarios!$H$15*IF(Scenarios!$H$16&gt;0,$C$12+Scenarios!$H$16*((1-Scenarios!$H$12)*$C$13+Scenarios!$H$12*$C$14),0)</f>
        <v/>
      </c>
      <c r="F67" s="109">
        <f>IF(E67&gt;0,D67/E67,"n/a")</f>
        <v/>
      </c>
    </row>
    <row r="70">
      <c r="B70" s="79"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5">
      <c r="A75" s="79"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138" t="n"/>
      <c r="C77" s="29">
        <f>Inputs!$C$113</f>
        <v/>
      </c>
      <c r="D77" s="29" t="inlineStr">
        <is>
          <t>standard</t>
        </is>
      </c>
      <c r="E77" s="20">
        <f>Inputs!$C$114</f>
        <v/>
      </c>
      <c r="F77" s="20" t="n">
        <v>0</v>
      </c>
      <c r="G77" s="29">
        <f>$G$6</f>
        <v/>
      </c>
      <c r="H77" s="29">
        <f>Scenarios!$H$12*G77</f>
        <v/>
      </c>
      <c r="I77" s="29" t="n">
        <v>0</v>
      </c>
      <c r="J77" s="108">
        <f>Inputs!$C$39</f>
        <v/>
      </c>
      <c r="K77" s="108">
        <f>Inputs!$C$42</f>
        <v/>
      </c>
      <c r="L77" s="20">
        <f>IF(Inputs!$C$75="unit",1,0)</f>
        <v/>
      </c>
      <c r="M77" s="20">
        <f>Inputs!$C$55</f>
        <v/>
      </c>
      <c r="N77" s="20">
        <f>IF(G77&gt;0,1,0)</f>
        <v/>
      </c>
      <c r="O77" s="29">
        <f>IF(D77="founding",G77-H77,0)</f>
        <v/>
      </c>
      <c r="P77" s="29">
        <f>IF(D77="standard",G77-H77,0)</f>
        <v/>
      </c>
      <c r="Q77" s="108">
        <f>O77*(K77*MIN(E77,Inputs!$C$43)+Inputs!$C$45*MAX(E77-Inputs!$C$43,0))+I77*K77*E77</f>
        <v/>
      </c>
      <c r="R77" s="108">
        <f>(P77+H77-I77)*(J77*MIN(E77,Inputs!$C$40)+Inputs!$C$45*MAX(E77-Inputs!$C$40,0))</f>
        <v/>
      </c>
      <c r="S77" s="113">
        <f>Q77+R77</f>
        <v/>
      </c>
      <c r="T77" s="108">
        <f>N77*E77*(Inputs!$C$68+Inputs!$C$69*MAX(G77-1,0))</f>
        <v/>
      </c>
      <c r="U77" s="108">
        <f>IF(N77=0,0,INDEX(Inputs!$C$105:$C$107,MATCH(C77,Inputs!$B$105:$B$107,0))+INDEX(Inputs!$D$105:$D$107,MATCH(C77,Inputs!$B$105:$B$107,0))*E77)</f>
        <v/>
      </c>
      <c r="V77" s="108">
        <f>IF(N77=0,0,INDEX(Inputs!$E$105:$E$107,MATCH(C77,Inputs!$B$105:$B$107,0))*E77)</f>
        <v/>
      </c>
      <c r="W77" s="108">
        <f>S77*Inputs!$C$54*M77</f>
        <v/>
      </c>
      <c r="X77" s="108">
        <f>N77*L77*Inputs!$C$76/Inputs!$C$85</f>
        <v/>
      </c>
      <c r="Y77" s="108">
        <f>N77*Inputs!$C$79/Inputs!$C$85</f>
        <v/>
      </c>
      <c r="Z77" s="108">
        <f>N77*Inputs!$C$81/Inputs!$C$85</f>
        <v/>
      </c>
      <c r="AA77" s="113">
        <f>SUM(T77:Z77)</f>
        <v/>
      </c>
      <c r="AB77" s="112">
        <f>O77*Inputs!$C$89+P77*Inputs!$C$93+H77*Inputs!$C$94</f>
        <v/>
      </c>
      <c r="AC77" s="112">
        <f>N77*(F77*Inputs!$C$95+(E77-F77)*Inputs!$C$96)</f>
        <v/>
      </c>
      <c r="AD77" s="112">
        <f>IF(N77=0,0,INDEX(Inputs!$F$105:$F$107,MATCH(C77,Inputs!$B$105:$B$107,0))+Inputs!$C$97*G77)</f>
        <v/>
      </c>
      <c r="AE77" s="112">
        <f>IF(N77=0,0,INDEX(Inputs!$G$105:$G$107,MATCH(C77,Inputs!$B$105:$B$107,0))*E77)</f>
        <v/>
      </c>
      <c r="AF77" s="112">
        <f>IF(N77=0,0,INDEX(Inputs!$H$105:$H$107,MATCH(C77,Inputs!$B$105:$B$107,0))*E77)</f>
        <v/>
      </c>
      <c r="AG77" s="112">
        <f>Inputs!$C$98*G77</f>
        <v/>
      </c>
      <c r="AH77" s="112">
        <f>N77*Inputs!$C$99</f>
        <v/>
      </c>
      <c r="AI77" s="114">
        <f>SUM(AB77:AH77)</f>
        <v/>
      </c>
      <c r="AJ77" s="113">
        <f>S77-AA77</f>
        <v/>
      </c>
      <c r="AK77" s="110">
        <f>IF(AI77&gt;0,AJ77/AI77,"n/a")</f>
        <v/>
      </c>
      <c r="AL77" s="108">
        <f>T77+U77+V77+W77</f>
        <v/>
      </c>
      <c r="AM77" s="108">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127" t="n"/>
      <c r="C7" s="36" t="inlineStr">
        <is>
          <t>founder</t>
        </is>
      </c>
      <c r="D7" s="36" t="inlineStr">
        <is>
          <t>founding</t>
        </is>
      </c>
      <c r="E7" s="59" t="n">
        <v>5</v>
      </c>
      <c r="F7" s="59" t="n">
        <v>5</v>
      </c>
      <c r="G7" s="36" t="n">
        <v>2</v>
      </c>
      <c r="H7" s="36" t="n">
        <v>0</v>
      </c>
      <c r="I7" s="36" t="n">
        <v>0</v>
      </c>
      <c r="J7" s="119" t="n">
        <v>150</v>
      </c>
      <c r="K7" s="119" t="n">
        <v>120</v>
      </c>
      <c r="L7" s="59" t="n">
        <v>0</v>
      </c>
      <c r="M7" s="59"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8" t="n">
        <v>1200</v>
      </c>
      <c r="AP7" s="108" t="n">
        <v>280</v>
      </c>
      <c r="AQ7" s="112" t="n">
        <v>57</v>
      </c>
      <c r="AR7" s="108" t="n">
        <v>920</v>
      </c>
      <c r="AS7" s="109" t="n">
        <v>16</v>
      </c>
      <c r="AT7" s="146" t="n">
        <v>5</v>
      </c>
      <c r="AU7" s="96" t="n">
        <v>0.01</v>
      </c>
      <c r="AV7" s="96"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127" t="n"/>
      <c r="C8" s="36" t="inlineStr">
        <is>
          <t>courier</t>
        </is>
      </c>
      <c r="D8" s="36" t="inlineStr">
        <is>
          <t>standard</t>
        </is>
      </c>
      <c r="E8" s="59" t="n">
        <v>10</v>
      </c>
      <c r="F8" s="59" t="n">
        <v>0</v>
      </c>
      <c r="G8" s="36" t="n">
        <v>1</v>
      </c>
      <c r="H8" s="36" t="n">
        <v>0</v>
      </c>
      <c r="I8" s="36" t="n">
        <v>0</v>
      </c>
      <c r="J8" s="119" t="n">
        <v>150</v>
      </c>
      <c r="K8" s="119" t="n">
        <v>120</v>
      </c>
      <c r="L8" s="59" t="n">
        <v>1</v>
      </c>
      <c r="M8" s="59" t="n">
        <v>1</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8" t="n">
        <v>1500</v>
      </c>
      <c r="AP8" s="108" t="n">
        <v>580</v>
      </c>
      <c r="AQ8" s="112" t="n">
        <v>35</v>
      </c>
      <c r="AR8" s="108" t="n">
        <v>920</v>
      </c>
      <c r="AS8" s="109" t="n">
        <v>26</v>
      </c>
      <c r="AT8" s="146" t="n">
        <v>5</v>
      </c>
      <c r="AU8" s="96" t="n">
        <v>0.01</v>
      </c>
      <c r="AV8" s="96"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127" t="n"/>
      <c r="C9" s="36" t="inlineStr">
        <is>
          <t>courier</t>
        </is>
      </c>
      <c r="D9" s="36" t="inlineStr">
        <is>
          <t>standard</t>
        </is>
      </c>
      <c r="E9" s="59" t="n">
        <v>10</v>
      </c>
      <c r="F9" s="59" t="n">
        <v>0</v>
      </c>
      <c r="G9" s="36" t="n">
        <v>3</v>
      </c>
      <c r="H9" s="36" t="n">
        <v>0</v>
      </c>
      <c r="I9" s="36" t="n">
        <v>0</v>
      </c>
      <c r="J9" s="119" t="n">
        <v>150</v>
      </c>
      <c r="K9" s="119" t="n">
        <v>120</v>
      </c>
      <c r="L9" s="59" t="n">
        <v>1</v>
      </c>
      <c r="M9" s="59" t="n">
        <v>1</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8" t="n">
        <v>4500</v>
      </c>
      <c r="AP9" s="108" t="n">
        <v>670</v>
      </c>
      <c r="AQ9" s="112" t="n">
        <v>52</v>
      </c>
      <c r="AR9" s="108" t="n">
        <v>3830</v>
      </c>
      <c r="AS9" s="109" t="n">
        <v>74</v>
      </c>
      <c r="AT9" s="146" t="n">
        <v>5</v>
      </c>
      <c r="AU9" s="96" t="n">
        <v>0.01</v>
      </c>
      <c r="AV9" s="96"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127" t="n"/>
      <c r="C10" s="36" t="inlineStr">
        <is>
          <t>direct-ship</t>
        </is>
      </c>
      <c r="D10" s="36" t="inlineStr">
        <is>
          <t>standard</t>
        </is>
      </c>
      <c r="E10" s="59" t="n">
        <v>10</v>
      </c>
      <c r="F10" s="59" t="n">
        <v>0</v>
      </c>
      <c r="G10" s="36" t="n">
        <v>3</v>
      </c>
      <c r="H10" s="36" t="n">
        <v>0</v>
      </c>
      <c r="I10" s="36" t="n">
        <v>0</v>
      </c>
      <c r="J10" s="119" t="n">
        <v>150</v>
      </c>
      <c r="K10" s="119" t="n">
        <v>120</v>
      </c>
      <c r="L10" s="59" t="n">
        <v>1</v>
      </c>
      <c r="M10" s="59" t="n">
        <v>1</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8" t="n">
        <v>4500</v>
      </c>
      <c r="AP10" s="108" t="n">
        <v>370</v>
      </c>
      <c r="AQ10" s="112" t="n">
        <v>45</v>
      </c>
      <c r="AR10" s="108" t="n">
        <v>4130</v>
      </c>
      <c r="AS10" s="109" t="n">
        <v>92</v>
      </c>
      <c r="AT10" s="146" t="n">
        <v>5</v>
      </c>
      <c r="AU10" s="96" t="n">
        <v>0.01</v>
      </c>
      <c r="AV10" s="96"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127" t="n"/>
      <c r="C11" s="36" t="inlineStr">
        <is>
          <t>courier</t>
        </is>
      </c>
      <c r="D11" s="36" t="inlineStr">
        <is>
          <t>standard</t>
        </is>
      </c>
      <c r="E11" s="59" t="n">
        <v>10</v>
      </c>
      <c r="F11" s="59" t="n">
        <v>0</v>
      </c>
      <c r="G11" s="36" t="n">
        <v>3</v>
      </c>
      <c r="H11" s="36" t="n">
        <v>0</v>
      </c>
      <c r="I11" s="36" t="n">
        <v>0</v>
      </c>
      <c r="J11" s="119" t="n">
        <v>200</v>
      </c>
      <c r="K11" s="119" t="n">
        <v>120</v>
      </c>
      <c r="L11" s="59" t="n">
        <v>1</v>
      </c>
      <c r="M11" s="59" t="n">
        <v>1</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8" t="n">
        <v>6000</v>
      </c>
      <c r="AP11" s="108" t="n">
        <v>715</v>
      </c>
      <c r="AQ11" s="112" t="n">
        <v>52</v>
      </c>
      <c r="AR11" s="108" t="n">
        <v>5285</v>
      </c>
      <c r="AS11" s="109" t="n">
        <v>102</v>
      </c>
      <c r="AT11" s="146" t="n">
        <v>5</v>
      </c>
      <c r="AU11" s="96" t="n">
        <v>0.01</v>
      </c>
      <c r="AV11" s="96"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127" t="n"/>
      <c r="C12" s="36" t="inlineStr">
        <is>
          <t>courier</t>
        </is>
      </c>
      <c r="D12" s="36" t="inlineStr">
        <is>
          <t>standard</t>
        </is>
      </c>
      <c r="E12" s="59" t="n">
        <v>10</v>
      </c>
      <c r="F12" s="59" t="n">
        <v>0</v>
      </c>
      <c r="G12" s="36" t="n">
        <v>3</v>
      </c>
      <c r="H12" s="36" t="n">
        <v>0</v>
      </c>
      <c r="I12" s="36" t="n">
        <v>0</v>
      </c>
      <c r="J12" s="119" t="n">
        <v>100</v>
      </c>
      <c r="K12" s="119" t="n">
        <v>120</v>
      </c>
      <c r="L12" s="59" t="n">
        <v>1</v>
      </c>
      <c r="M12" s="59" t="n">
        <v>0</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Q12" s="112" t="n">
        <v>52</v>
      </c>
      <c r="AS12" s="109" t="n">
        <v>47</v>
      </c>
      <c r="AT12" s="146" t="n">
        <v>5</v>
      </c>
      <c r="AU12" s="96" t="n">
        <v>0.01</v>
      </c>
      <c r="AV12" s="96"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127" t="n"/>
      <c r="C13" s="36" t="inlineStr">
        <is>
          <t>courier</t>
        </is>
      </c>
      <c r="D13" s="36" t="inlineStr">
        <is>
          <t>standard</t>
        </is>
      </c>
      <c r="E13" s="59" t="n">
        <v>10</v>
      </c>
      <c r="F13" s="59" t="n">
        <v>0</v>
      </c>
      <c r="G13" s="36" t="n">
        <v>3</v>
      </c>
      <c r="H13" s="36" t="n">
        <v>0</v>
      </c>
      <c r="I13" s="36" t="n">
        <v>0</v>
      </c>
      <c r="J13" s="119" t="n">
        <v>100</v>
      </c>
      <c r="K13" s="119" t="n">
        <v>120</v>
      </c>
      <c r="L13" s="59" t="n">
        <v>1</v>
      </c>
      <c r="M13" s="59" t="n">
        <v>1</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Q13" s="112" t="n">
        <v>52</v>
      </c>
      <c r="AS13" s="109" t="n">
        <v>47</v>
      </c>
      <c r="AT13" s="146" t="n">
        <v>5</v>
      </c>
      <c r="AU13" s="96" t="n">
        <v>0.01</v>
      </c>
      <c r="AV13" s="96"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127" t="n"/>
      <c r="C14" s="36" t="inlineStr">
        <is>
          <t>courier</t>
        </is>
      </c>
      <c r="D14" s="36" t="inlineStr">
        <is>
          <t>standard</t>
        </is>
      </c>
      <c r="E14" s="59" t="n">
        <v>10</v>
      </c>
      <c r="F14" s="59" t="n">
        <v>0</v>
      </c>
      <c r="G14" s="36" t="n">
        <v>0</v>
      </c>
      <c r="H14" s="36" t="n">
        <v>0</v>
      </c>
      <c r="I14" s="36" t="n">
        <v>0</v>
      </c>
      <c r="J14" s="119" t="n">
        <v>150</v>
      </c>
      <c r="K14" s="119" t="n">
        <v>120</v>
      </c>
      <c r="L14" s="59" t="n">
        <v>1</v>
      </c>
      <c r="M14" s="59" t="n">
        <v>1</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8" t="n">
        <v>0</v>
      </c>
      <c r="AP14" s="108" t="n">
        <v>0</v>
      </c>
      <c r="AQ14" s="112" t="n">
        <v>0</v>
      </c>
      <c r="AR14" s="108" t="n">
        <v>0</v>
      </c>
      <c r="AT14" s="146" t="n">
        <v>0.01</v>
      </c>
      <c r="AU14" s="96" t="n">
        <v>0.01</v>
      </c>
      <c r="AV14" s="96"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127" t="n"/>
      <c r="C15" s="36" t="inlineStr">
        <is>
          <t>courier</t>
        </is>
      </c>
      <c r="D15" s="36" t="inlineStr">
        <is>
          <t>standard</t>
        </is>
      </c>
      <c r="E15" s="59" t="n">
        <v>1</v>
      </c>
      <c r="F15" s="59" t="n">
        <v>0</v>
      </c>
      <c r="G15" s="36" t="n">
        <v>1</v>
      </c>
      <c r="H15" s="36" t="n">
        <v>0</v>
      </c>
      <c r="I15" s="36" t="n">
        <v>0</v>
      </c>
      <c r="J15" s="119" t="n">
        <v>150</v>
      </c>
      <c r="K15" s="119" t="n">
        <v>120</v>
      </c>
      <c r="L15" s="59" t="n">
        <v>1</v>
      </c>
      <c r="M15" s="59" t="n">
        <v>1</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8" t="n">
        <v>150</v>
      </c>
      <c r="AP15" s="108" t="n">
        <v>197.5</v>
      </c>
      <c r="AQ15" s="112" t="n">
        <v>15.2</v>
      </c>
      <c r="AR15" s="108" t="n">
        <v>-47.5</v>
      </c>
      <c r="AS15" s="109" t="n">
        <v>-3.125</v>
      </c>
      <c r="AT15" s="146" t="n">
        <v>0.01</v>
      </c>
      <c r="AU15" s="96" t="n">
        <v>0.01</v>
      </c>
      <c r="AV15" s="96"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127" t="n"/>
      <c r="C16" s="36" t="inlineStr">
        <is>
          <t>courier</t>
        </is>
      </c>
      <c r="D16" s="36" t="inlineStr">
        <is>
          <t>standard</t>
        </is>
      </c>
      <c r="E16" s="59" t="n">
        <v>10</v>
      </c>
      <c r="F16" s="59" t="n">
        <v>0</v>
      </c>
      <c r="G16" s="36" t="n">
        <v>3</v>
      </c>
      <c r="H16" s="36" t="n">
        <v>3</v>
      </c>
      <c r="I16" s="36" t="n">
        <v>0</v>
      </c>
      <c r="J16" s="119" t="n">
        <v>150</v>
      </c>
      <c r="K16" s="119" t="n">
        <v>120</v>
      </c>
      <c r="L16" s="59" t="n">
        <v>1</v>
      </c>
      <c r="M16" s="59" t="n">
        <v>1</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8" t="n">
        <v>4500</v>
      </c>
      <c r="AP16" s="108" t="n">
        <v>670</v>
      </c>
      <c r="AQ16" s="112" t="n">
        <v>40</v>
      </c>
      <c r="AR16" s="108" t="n">
        <v>3830</v>
      </c>
      <c r="AS16" s="109" t="n">
        <v>95.75</v>
      </c>
      <c r="AT16" s="146" t="n">
        <v>0.01</v>
      </c>
      <c r="AU16" s="96" t="n">
        <v>0.01</v>
      </c>
      <c r="AV16" s="96"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127" t="n"/>
      <c r="C17" s="36" t="inlineStr">
        <is>
          <t>courier</t>
        </is>
      </c>
      <c r="D17" s="36" t="inlineStr">
        <is>
          <t>founding</t>
        </is>
      </c>
      <c r="E17" s="59" t="n">
        <v>10</v>
      </c>
      <c r="F17" s="59" t="n">
        <v>0</v>
      </c>
      <c r="G17" s="36" t="n">
        <v>1</v>
      </c>
      <c r="H17" s="36" t="n">
        <v>0</v>
      </c>
      <c r="I17" s="36" t="n">
        <v>0</v>
      </c>
      <c r="J17" s="119" t="n">
        <v>150</v>
      </c>
      <c r="K17" s="119" t="n">
        <v>120</v>
      </c>
      <c r="L17" s="59" t="n">
        <v>1</v>
      </c>
      <c r="M17" s="59" t="n">
        <v>1</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8" t="n">
        <v>1350</v>
      </c>
      <c r="AT17" s="146" t="n">
        <v>0.01</v>
      </c>
      <c r="AU17" s="96" t="n">
        <v>0.01</v>
      </c>
      <c r="AV17" s="96"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6" t="n">
        <v>0.01</v>
      </c>
    </row>
    <row r="22">
      <c r="A22" s="29" t="inlineStr">
        <is>
          <t>brand_sales</t>
        </is>
      </c>
      <c r="B22" s="112" t="n">
        <v>20</v>
      </c>
      <c r="C22" s="112">
        <f>AB7</f>
        <v/>
      </c>
      <c r="D22" s="112" t="n">
        <v>6</v>
      </c>
      <c r="E22" s="112">
        <f>AB8</f>
        <v/>
      </c>
      <c r="F22" s="112" t="n">
        <v>18</v>
      </c>
      <c r="G22" s="112">
        <f>AB9</f>
        <v/>
      </c>
      <c r="H22" s="112" t="n">
        <v>18</v>
      </c>
      <c r="I22" s="112">
        <f>AB10</f>
        <v/>
      </c>
      <c r="J22" s="8">
        <f>IF(AND(ABS(B22-C22)&lt;=$L$21,ABS(D22-E22)&lt;=$L$21,ABS(F22-G22)&lt;=$L$21,ABS(H22-I22)&lt;=$L$21),"yes","no")</f>
        <v/>
      </c>
    </row>
    <row r="23">
      <c r="A23" s="29" t="inlineStr">
        <is>
          <t>office_coordination</t>
        </is>
      </c>
      <c r="B23" s="112" t="n">
        <v>20</v>
      </c>
      <c r="C23" s="112">
        <f>AC7</f>
        <v/>
      </c>
      <c r="D23" s="112" t="n">
        <v>10</v>
      </c>
      <c r="E23" s="112">
        <f>AC8</f>
        <v/>
      </c>
      <c r="F23" s="112" t="n">
        <v>10</v>
      </c>
      <c r="G23" s="112">
        <f>AC9</f>
        <v/>
      </c>
      <c r="H23" s="112" t="n">
        <v>10</v>
      </c>
      <c r="I23" s="112">
        <f>AC10</f>
        <v/>
      </c>
      <c r="J23" s="8">
        <f>IF(AND(ABS(B23-C23)&lt;=$L$21,ABS(D23-E23)&lt;=$L$21,ABS(F23-G23)&lt;=$L$21,ABS(H23-I23)&lt;=$L$21),"yes","no")</f>
        <v/>
      </c>
    </row>
    <row r="24">
      <c r="A24" s="29" t="inlineStr">
        <is>
          <t>receiving_kitting</t>
        </is>
      </c>
      <c r="B24" s="112" t="n">
        <v>3</v>
      </c>
      <c r="C24" s="112">
        <f>AD7</f>
        <v/>
      </c>
      <c r="D24" s="112" t="n">
        <v>3</v>
      </c>
      <c r="E24" s="112">
        <f>AD8</f>
        <v/>
      </c>
      <c r="F24" s="112" t="n">
        <v>4</v>
      </c>
      <c r="G24" s="112">
        <f>AD9</f>
        <v/>
      </c>
      <c r="H24" s="112" t="n">
        <v>2</v>
      </c>
      <c r="I24" s="112">
        <f>AD10</f>
        <v/>
      </c>
      <c r="J24" s="8">
        <f>IF(AND(ABS(B24-C24)&lt;=$L$21,ABS(D24-E24)&lt;=$L$21,ABS(F24-G24)&lt;=$L$21,ABS(H24-I24)&lt;=$L$21),"yes","no")</f>
        <v/>
      </c>
    </row>
    <row r="25">
      <c r="A25" s="29" t="inlineStr">
        <is>
          <t>drop_day</t>
        </is>
      </c>
      <c r="B25" s="112" t="n">
        <v>5</v>
      </c>
      <c r="C25" s="112">
        <f>AE7</f>
        <v/>
      </c>
      <c r="D25" s="112" t="n">
        <v>8</v>
      </c>
      <c r="E25" s="112">
        <f>AE8</f>
        <v/>
      </c>
      <c r="F25" s="112" t="n">
        <v>8</v>
      </c>
      <c r="G25" s="112">
        <f>AE9</f>
        <v/>
      </c>
      <c r="H25" s="112" t="n">
        <v>3</v>
      </c>
      <c r="I25" s="112">
        <f>AE10</f>
        <v/>
      </c>
      <c r="J25" s="8">
        <f>IF(AND(ABS(B25-C25)&lt;=$L$21,ABS(D25-E25)&lt;=$L$21,ABS(F25-G25)&lt;=$L$21,ABS(H25-I25)&lt;=$L$21),"yes","no")</f>
        <v/>
      </c>
    </row>
    <row r="26">
      <c r="A26" s="29" t="inlineStr">
        <is>
          <t>checks_pickup</t>
        </is>
      </c>
      <c r="B26" s="112" t="n">
        <v>3</v>
      </c>
      <c r="C26" s="112">
        <f>AF7</f>
        <v/>
      </c>
      <c r="D26" s="112" t="n">
        <v>4</v>
      </c>
      <c r="E26" s="112">
        <f>AF8</f>
        <v/>
      </c>
      <c r="F26" s="112" t="n">
        <v>4</v>
      </c>
      <c r="G26" s="112">
        <f>AF9</f>
        <v/>
      </c>
      <c r="H26" s="112" t="n">
        <v>4</v>
      </c>
      <c r="I26" s="112">
        <f>AF10</f>
        <v/>
      </c>
      <c r="J26" s="8">
        <f>IF(AND(ABS(B26-C26)&lt;=$L$21,ABS(D26-E26)&lt;=$L$21,ABS(F26-G26)&lt;=$L$21,ABS(H26-I26)&lt;=$L$21),"yes","no")</f>
        <v/>
      </c>
    </row>
    <row r="27">
      <c r="A27" s="29" t="inlineStr">
        <is>
          <t>reporting_debriefs</t>
        </is>
      </c>
      <c r="B27" s="112" t="n">
        <v>4</v>
      </c>
      <c r="C27" s="112">
        <f>AG7</f>
        <v/>
      </c>
      <c r="D27" s="112" t="n">
        <v>2</v>
      </c>
      <c r="E27" s="112">
        <f>AG8</f>
        <v/>
      </c>
      <c r="F27" s="112" t="n">
        <v>6</v>
      </c>
      <c r="G27" s="112">
        <f>AG9</f>
        <v/>
      </c>
      <c r="H27" s="112" t="n">
        <v>6</v>
      </c>
      <c r="I27" s="112">
        <f>AG10</f>
        <v/>
      </c>
      <c r="J27" s="8">
        <f>IF(AND(ABS(B27-C27)&lt;=$L$21,ABS(D27-E27)&lt;=$L$21,ABS(F27-G27)&lt;=$L$21,ABS(H27-I27)&lt;=$L$21),"yes","no")</f>
        <v/>
      </c>
    </row>
    <row r="28">
      <c r="A28" s="29" t="inlineStr">
        <is>
          <t>admin_invoicing</t>
        </is>
      </c>
      <c r="B28" s="112" t="n">
        <v>2</v>
      </c>
      <c r="C28" s="112">
        <f>AH7</f>
        <v/>
      </c>
      <c r="D28" s="112" t="n">
        <v>2</v>
      </c>
      <c r="E28" s="112">
        <f>AH8</f>
        <v/>
      </c>
      <c r="F28" s="112" t="n">
        <v>2</v>
      </c>
      <c r="G28" s="112">
        <f>AH9</f>
        <v/>
      </c>
      <c r="H28" s="112" t="n">
        <v>2</v>
      </c>
      <c r="I28" s="112">
        <f>AH10</f>
        <v/>
      </c>
      <c r="J28" s="8">
        <f>IF(AND(ABS(B28-C28)&lt;=$L$21,ABS(D28-E28)&lt;=$L$21,ABS(F28-G28)&lt;=$L$21,ABS(H28-I28)&lt;=$L$21),"yes","no")</f>
        <v/>
      </c>
    </row>
    <row r="29">
      <c r="A29" s="8" t="inlineStr">
        <is>
          <t>total</t>
        </is>
      </c>
      <c r="B29" s="112" t="n">
        <v>57</v>
      </c>
      <c r="C29" s="112">
        <f>AI7</f>
        <v/>
      </c>
      <c r="D29" s="112" t="n">
        <v>35</v>
      </c>
      <c r="E29" s="112">
        <f>AI8</f>
        <v/>
      </c>
      <c r="F29" s="112" t="n">
        <v>52</v>
      </c>
      <c r="G29" s="112">
        <f>AI9</f>
        <v/>
      </c>
      <c r="H29" s="112" t="n">
        <v>45</v>
      </c>
      <c r="I29" s="112">
        <f>AI10</f>
        <v/>
      </c>
      <c r="J29" s="8">
        <f>IF(AND(ABS(B29-C29)&lt;=$L$21,ABS(D29-E29)&lt;=$L$21,ABS(F29-G29)&lt;=$L$21,ABS(H29-I29)&lt;=$L$21),"yes","no")</f>
        <v/>
      </c>
    </row>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08" t="n">
        <v>280</v>
      </c>
      <c r="D34" s="108">
        <f>AA7</f>
        <v/>
      </c>
      <c r="E34" s="108">
        <f>D34-C34</f>
        <v/>
      </c>
      <c r="F34" s="108"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08" t="n">
        <v>920</v>
      </c>
      <c r="D35" s="108">
        <f>AJ7</f>
        <v/>
      </c>
      <c r="E35" s="108">
        <f>D35-C35</f>
        <v/>
      </c>
      <c r="F35" s="108" t="n">
        <v>5</v>
      </c>
      <c r="G35" s="8">
        <f>IF(ABS(E35)&lt;=F35,"within tolerance","differs: see reason")</f>
        <v/>
      </c>
      <c r="H35" s="5" t="inlineStr">
        <is>
          <t>(b) $1,200 - $276 = $924.</t>
        </is>
      </c>
    </row>
    <row r="36" ht="30" customHeight="1">
      <c r="A36" s="29" t="n">
        <v>3</v>
      </c>
      <c r="B36" s="5" t="inlineStr">
        <is>
          <t>Campaign zero per founder hour</t>
        </is>
      </c>
      <c r="C36" s="109" t="n">
        <v>16</v>
      </c>
      <c r="D36" s="109">
        <f>AK7</f>
        <v/>
      </c>
      <c r="E36" s="109">
        <f>D36-C36</f>
        <v/>
      </c>
      <c r="F36" s="109" t="n">
        <v>0.5</v>
      </c>
      <c r="G36" s="8">
        <f>IF(ABS(E36)&lt;=F36,"within tolerance","differs: see reason")</f>
        <v/>
      </c>
      <c r="H36" s="5" t="inlineStr">
        <is>
          <t>(b) $924 / 57 h = $16.2.</t>
        </is>
      </c>
    </row>
    <row r="37" ht="30" customHeight="1">
      <c r="A37" s="29" t="n">
        <v>4</v>
      </c>
      <c r="B37" s="5" t="inlineStr">
        <is>
          <t>Three-brand courier hard costs</t>
        </is>
      </c>
      <c r="C37" s="108" t="n">
        <v>670</v>
      </c>
      <c r="D37" s="108">
        <f>AA9</f>
        <v/>
      </c>
      <c r="E37" s="108">
        <f>D37-C37</f>
        <v/>
      </c>
      <c r="F37" s="108"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109" t="n">
        <v>74</v>
      </c>
      <c r="D38" s="109">
        <f>AK9</f>
        <v/>
      </c>
      <c r="E38" s="109">
        <f>D38-C38</f>
        <v/>
      </c>
      <c r="F38" s="109" t="n">
        <v>0.5</v>
      </c>
      <c r="G38" s="8">
        <f>IF(ABS(E38)&lt;=F38,"within tolerance","differs: see reason")</f>
        <v/>
      </c>
      <c r="H38" s="5" t="inlineStr">
        <is>
          <t>$3,830 / 52 h = $73.7.</t>
        </is>
      </c>
    </row>
    <row r="39" ht="30" customHeight="1">
      <c r="A39" s="29" t="n">
        <v>6</v>
      </c>
      <c r="B39" s="5" t="inlineStr">
        <is>
          <t>One-brand drop per founder hour ('about $26')</t>
        </is>
      </c>
      <c r="C39" s="109" t="n">
        <v>26</v>
      </c>
      <c r="D39" s="109">
        <f>AK8</f>
        <v/>
      </c>
      <c r="E39" s="109">
        <f>D39-C39</f>
        <v/>
      </c>
      <c r="F39" s="109" t="n">
        <v>0.5</v>
      </c>
      <c r="G39" s="8">
        <f>IF(ABS(E39)&lt;=F39,"within tolerance","differs: see reason")</f>
        <v/>
      </c>
      <c r="H39" s="5" t="inlineStr">
        <is>
          <t>$920 / 35 h = $26.3.</t>
        </is>
      </c>
    </row>
    <row r="40" ht="30" customHeight="1">
      <c r="A40" s="29" t="n">
        <v>7</v>
      </c>
      <c r="B40" s="5" t="inlineStr">
        <is>
          <t>Direct-ship hard costs</t>
        </is>
      </c>
      <c r="C40" s="108" t="n">
        <v>370</v>
      </c>
      <c r="D40" s="108">
        <f>AA10</f>
        <v/>
      </c>
      <c r="E40" s="108">
        <f>D40-C40</f>
        <v/>
      </c>
      <c r="F40" s="108" t="n">
        <v>5</v>
      </c>
      <c r="G40" s="8">
        <f>IF(ABS(E40)&lt;=F40,"within tolerance","differs: see reason")</f>
        <v/>
      </c>
      <c r="H40" s="5" t="inlineStr">
        <is>
          <t>(c) keeps $75 storage, $0 transport.</t>
        </is>
      </c>
    </row>
    <row r="41" ht="30" customHeight="1">
      <c r="A41" s="29" t="n">
        <v>8</v>
      </c>
      <c r="B41" s="5" t="inlineStr">
        <is>
          <t>$2,000 each per founder hour</t>
        </is>
      </c>
      <c r="C41" s="109" t="n">
        <v>102</v>
      </c>
      <c r="D41" s="109">
        <f>AK11</f>
        <v/>
      </c>
      <c r="E41" s="109">
        <f>D41-C41</f>
        <v/>
      </c>
      <c r="F41" s="109" t="n">
        <v>0.5</v>
      </c>
      <c r="G41" s="8">
        <f>IF(ABS(E41)&lt;=F41,"within tolerance","differs: see reason")</f>
        <v/>
      </c>
      <c r="H41" s="5" t="inlineStr">
        <is>
          <t>$5,285 / 52 h = $101.6.</t>
        </is>
      </c>
    </row>
    <row r="42" ht="30" customHeight="1">
      <c r="A42" s="29" t="n">
        <v>9</v>
      </c>
      <c r="B42" s="5" t="inlineStr">
        <is>
          <t>At $1,000 'about $47 an hour'</t>
        </is>
      </c>
      <c r="C42" s="109" t="n">
        <v>47</v>
      </c>
      <c r="D42" s="109">
        <f>AK12</f>
        <v/>
      </c>
      <c r="E42" s="109">
        <f>D42-C42</f>
        <v/>
      </c>
      <c r="F42" s="109" t="n">
        <v>0.5</v>
      </c>
      <c r="G42" s="8">
        <f>IF(ABS(E42)&lt;=F42,"within tolerance","differs: see reason")</f>
        <v/>
      </c>
      <c r="H42" s="5" t="inlineStr">
        <is>
          <t>(d) no card processing: $2,465 / 52 h = $47.4.</t>
        </is>
      </c>
    </row>
    <row r="43" ht="30" customHeight="1">
      <c r="A43" s="29" t="n">
        <v>10</v>
      </c>
      <c r="B43" s="5" t="inlineStr">
        <is>
          <t>At $1,000 with processing</t>
        </is>
      </c>
      <c r="C43" s="109" t="n">
        <v>47</v>
      </c>
      <c r="D43" s="109">
        <f>AK13</f>
        <v/>
      </c>
      <c r="E43" s="109">
        <f>D43-C43</f>
        <v/>
      </c>
      <c r="F43" s="109"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08" t="n">
        <v>9000</v>
      </c>
      <c r="D44" s="108">
        <f>Steady_State!$C$24</f>
        <v/>
      </c>
      <c r="E44" s="108">
        <f>D44-C44</f>
        <v/>
      </c>
      <c r="F44" s="108" t="n">
        <v>25</v>
      </c>
      <c r="G44" s="8">
        <f>IF(ABS(E44)&lt;=F44,"within tolerance","differs: see reason")</f>
        <v/>
      </c>
      <c r="H44" s="5" t="inlineStr">
        <is>
          <t>(e) 2 x the three-brand courier drop.</t>
        </is>
      </c>
    </row>
    <row r="45" ht="30" customHeight="1">
      <c r="A45" s="29" t="n">
        <v>12</v>
      </c>
      <c r="B45" s="5" t="inlineStr">
        <is>
          <t>Monthly hard costs ('about $1,350')</t>
        </is>
      </c>
      <c r="C45" s="108" t="n">
        <v>1350</v>
      </c>
      <c r="D45" s="108">
        <f>Steady_State!$C$25</f>
        <v/>
      </c>
      <c r="E45" s="108">
        <f>D45-C45</f>
        <v/>
      </c>
      <c r="F45" s="108" t="n">
        <v>25</v>
      </c>
      <c r="G45" s="8">
        <f>IF(ABS(E45)&lt;=F45,"within tolerance","differs: see reason")</f>
        <v/>
      </c>
      <c r="H45" s="5" t="inlineStr">
        <is>
          <t>(e) 2 x $670 = $1,340; the plan rounds to $1,350.</t>
        </is>
      </c>
    </row>
    <row r="46" ht="30" customHeight="1">
      <c r="A46" s="29" t="n">
        <v>13</v>
      </c>
      <c r="B46" s="5" t="inlineStr">
        <is>
          <t>Monthly founder hours ('about 104')</t>
        </is>
      </c>
      <c r="C46" s="112" t="n">
        <v>104</v>
      </c>
      <c r="D46" s="112">
        <f>Steady_State!$C$26</f>
        <v/>
      </c>
      <c r="E46" s="112">
        <f>D46-C46</f>
        <v/>
      </c>
      <c r="F46" s="112" t="n">
        <v>0.01</v>
      </c>
      <c r="G46" s="8">
        <f>IF(ABS(E46)&lt;=F46,"within tolerance","differs: see reason")</f>
        <v/>
      </c>
      <c r="H46" s="5" t="inlineStr">
        <is>
          <t>(e) 2 x 52 h.</t>
        </is>
      </c>
    </row>
    <row r="47" ht="30" customHeight="1">
      <c r="A47" s="29" t="n">
        <v>14</v>
      </c>
      <c r="B47" s="5" t="inlineStr">
        <is>
          <t>Monthly contribution ('roughly $7,650')</t>
        </is>
      </c>
      <c r="C47" s="108" t="n">
        <v>7650</v>
      </c>
      <c r="D47" s="108">
        <f>Steady_State!$C$27</f>
        <v/>
      </c>
      <c r="E47" s="108">
        <f>D47-C47</f>
        <v/>
      </c>
      <c r="F47" s="108" t="n">
        <v>25</v>
      </c>
      <c r="G47" s="8">
        <f>IF(ABS(E47)&lt;=F47,"within tolerance","differs: see reason")</f>
        <v/>
      </c>
      <c r="H47" s="5" t="inlineStr">
        <is>
          <t>(e) $9,000 - $1,340 = $7,660; the plan rounds to $7,650.</t>
        </is>
      </c>
    </row>
    <row r="48" ht="30" customHeight="1">
      <c r="A48" s="29" t="n">
        <v>15</v>
      </c>
      <c r="B48" s="5" t="inlineStr">
        <is>
          <t>A year at that rate ('about $90,000')</t>
        </is>
      </c>
      <c r="C48" s="108" t="n">
        <v>90000</v>
      </c>
      <c r="D48" s="108">
        <f>Steady_State!$C$29</f>
        <v/>
      </c>
      <c r="E48" s="108">
        <f>D48-C48</f>
        <v/>
      </c>
      <c r="F48" s="108" t="n">
        <v>5000</v>
      </c>
      <c r="G48" s="8">
        <f>IF(ABS(E48)&lt;=F48,"within tolerance","differs: see reason")</f>
        <v/>
      </c>
      <c r="H48" s="5" t="inlineStr">
        <is>
          <t>$7,660 x 12 = $91,920, before overhead and tax.</t>
        </is>
      </c>
    </row>
    <row r="49" ht="30" customHeight="1">
      <c r="A49" s="29" t="n">
        <v>16</v>
      </c>
      <c r="B49" s="5" t="inlineStr">
        <is>
          <t>Brand wins a month ('six')</t>
        </is>
      </c>
      <c r="C49" s="144" t="n">
        <v>6</v>
      </c>
      <c r="D49" s="144">
        <f>Steady_State!$C$42</f>
        <v/>
      </c>
      <c r="E49" s="144">
        <f>D49-C49</f>
        <v/>
      </c>
      <c r="F49" s="144"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08" t="n">
        <v>275</v>
      </c>
      <c r="D52" s="108">
        <f>Steady_State!$C$31</f>
        <v/>
      </c>
      <c r="E52" s="108">
        <f>D52-C52</f>
        <v/>
      </c>
      <c r="F52" s="108"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112" t="n">
        <v>6</v>
      </c>
      <c r="D54" s="112">
        <f>Inputs!$C$93</f>
        <v/>
      </c>
      <c r="E54" s="112">
        <f>D54-C54</f>
        <v/>
      </c>
      <c r="F54" s="112" t="n">
        <v>0.01</v>
      </c>
      <c r="G54" s="8">
        <f>IF(ABS(E54)&lt;=F54,"within tolerance","differs: see reason")</f>
        <v/>
      </c>
      <c r="H54" s="5" t="inlineStr">
        <is>
          <t>5 conversations x 0.75 h + 2.25 h paperwork at a 20% close rate.</t>
        </is>
      </c>
    </row>
    <row r="55" ht="30" customHeight="1">
      <c r="A55" s="29" t="n">
        <v>22</v>
      </c>
      <c r="B55" s="5" t="inlineStr">
        <is>
          <t>Capital, low end</t>
        </is>
      </c>
      <c r="C55" s="108" t="n">
        <v>3360</v>
      </c>
      <c r="D55" s="108">
        <f>Capital!$C$14</f>
        <v/>
      </c>
      <c r="E55" s="108">
        <f>D55-C55</f>
        <v/>
      </c>
      <c r="F55" s="108" t="n">
        <v>0.01</v>
      </c>
      <c r="G55" s="8">
        <f>IF(ABS(E55)&lt;=F55,"within tolerance","differs: see reason")</f>
        <v/>
      </c>
      <c r="H55" s="5" t="inlineStr">
        <is>
          <t>Sum of the plan's low column.</t>
        </is>
      </c>
    </row>
    <row r="56" ht="30" customHeight="1">
      <c r="A56" s="29" t="n">
        <v>23</v>
      </c>
      <c r="B56" s="5" t="inlineStr">
        <is>
          <t>Capital, high end</t>
        </is>
      </c>
      <c r="C56" s="108" t="n">
        <v>6510</v>
      </c>
      <c r="D56" s="108">
        <f>Capital!$D$14</f>
        <v/>
      </c>
      <c r="E56" s="108">
        <f>D56-C56</f>
        <v/>
      </c>
      <c r="F56" s="108" t="n">
        <v>0.01</v>
      </c>
      <c r="G56" s="8">
        <f>IF(ABS(E56)&lt;=F56,"within tolerance","differs: see reason")</f>
        <v/>
      </c>
      <c r="H56" s="5" t="inlineStr">
        <is>
          <t>Sum of the plan's high column.</t>
        </is>
      </c>
    </row>
    <row r="57" ht="30" customHeight="1">
      <c r="A57" s="29" t="n">
        <v>24</v>
      </c>
      <c r="B57" s="5" t="inlineStr">
        <is>
          <t>Software, six months</t>
        </is>
      </c>
      <c r="C57" s="108" t="n">
        <v>360</v>
      </c>
      <c r="D57" s="108">
        <f>Capital!G10</f>
        <v/>
      </c>
      <c r="E57" s="108">
        <f>D57-C57</f>
        <v/>
      </c>
      <c r="F57" s="108" t="n">
        <v>0.01</v>
      </c>
      <c r="G57" s="8">
        <f>IF(ABS(E57)&lt;=F57,"within tolerance","differs: see reason")</f>
        <v/>
      </c>
      <c r="H57" s="5" t="inlineStr">
        <is>
          <t>Six $60 payments inside the window.</t>
        </is>
      </c>
    </row>
    <row r="58" ht="30" customHeight="1">
      <c r="A58" s="29" t="n">
        <v>25</v>
      </c>
      <c r="B58" s="5" t="inlineStr">
        <is>
          <t>Transport, campaigns zero to two</t>
        </is>
      </c>
      <c r="C58" s="108" t="n">
        <v>600</v>
      </c>
      <c r="D58" s="108">
        <f>Capital!G11</f>
        <v/>
      </c>
      <c r="E58" s="108">
        <f>D58-C58</f>
        <v/>
      </c>
      <c r="F58" s="108"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08" t="n">
        <v>250</v>
      </c>
      <c r="D5" s="108" t="n">
        <v>250</v>
      </c>
      <c r="E5" s="108">
        <f>Inputs!$C$158+Inputs!$C$159</f>
        <v/>
      </c>
      <c r="F5" s="5" t="inlineStr">
        <is>
          <t>Startup outlays</t>
        </is>
      </c>
      <c r="G5" s="108">
        <f>Inputs!$Q$158+Inputs!$Q$159</f>
        <v/>
      </c>
      <c r="H5" s="108">
        <f>G5-D5</f>
        <v/>
      </c>
      <c r="I5" s="5" t="inlineStr">
        <is>
          <t>Reproduces.</t>
        </is>
      </c>
      <c r="J5" s="5" t="inlineStr">
        <is>
          <t>verified 2026-10-23 ($200 and $50, dos.ny.gov)</t>
        </is>
      </c>
    </row>
    <row r="6" ht="48" customHeight="1">
      <c r="B6" s="5" t="inlineStr">
        <is>
          <t>Newspaper publication</t>
        </is>
      </c>
      <c r="C6" s="108" t="n">
        <v>250</v>
      </c>
      <c r="D6" s="108" t="n">
        <v>2000</v>
      </c>
      <c r="E6" s="108">
        <f>Inputs!$C$160</f>
        <v/>
      </c>
      <c r="F6" s="5" t="inlineStr">
        <is>
          <t>Startup outlays</t>
        </is>
      </c>
      <c r="G6" s="108">
        <f>Inputs!$Q$160</f>
        <v/>
      </c>
      <c r="H6" s="108">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08" t="n">
        <v>500</v>
      </c>
      <c r="D7" s="108" t="n">
        <v>1500</v>
      </c>
      <c r="E7" s="108">
        <f>Inputs!$C$81*Inputs!$C$20</f>
        <v/>
      </c>
      <c r="F7" s="5" t="inlineStr">
        <is>
          <t>Overhead (Cash_Ledger, insurance)</t>
        </is>
      </c>
      <c r="G7" s="108">
        <f>SUMIFS(Cash_Ledger!$D$5:$D$53,Cash_Ledger!$A$5:$A$53,"insurance",Cash_Ledger!$C$5:$C$53,"&gt;="&amp;Inputs!$C$10,Cash_Ledger!$C$5:$C$53,"&lt;="&amp;Cash_Flow!$AB$6)</f>
        <v/>
      </c>
      <c r="H7" s="108">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08" t="n">
        <v>0</v>
      </c>
      <c r="D8" s="108" t="n">
        <v>400</v>
      </c>
      <c r="E8" s="108">
        <f>Inputs!$C$162</f>
        <v/>
      </c>
      <c r="F8" s="5" t="inlineStr">
        <is>
          <t>Startup outlays</t>
        </is>
      </c>
      <c r="G8" s="108">
        <f>Inputs!$Q$162</f>
        <v/>
      </c>
      <c r="H8" s="108">
        <f>G8-D8</f>
        <v/>
      </c>
      <c r="I8" s="5" t="inlineStr">
        <is>
          <t>High end until the state answers.</t>
        </is>
      </c>
      <c r="J8" s="5" t="inlineStr">
        <is>
          <t>fee verified 2026-10-23; whether required is unknown</t>
        </is>
      </c>
    </row>
    <row r="9" ht="32" customHeight="1">
      <c r="B9" s="5" t="inlineStr">
        <is>
          <t>Printing and materials</t>
        </is>
      </c>
      <c r="C9" s="108" t="n">
        <v>300</v>
      </c>
      <c r="D9" s="108" t="n">
        <v>300</v>
      </c>
      <c r="E9" s="108">
        <f>Inputs!$C$163</f>
        <v/>
      </c>
      <c r="F9" s="5" t="inlineStr">
        <is>
          <t>Startup outlays</t>
        </is>
      </c>
      <c r="G9" s="108">
        <f>Inputs!$Q$163</f>
        <v/>
      </c>
      <c r="H9" s="108">
        <f>G9-D9</f>
        <v/>
      </c>
      <c r="I9" s="5" t="inlineStr">
        <is>
          <t>Startup supplies; per-drop kits are separate.</t>
        </is>
      </c>
      <c r="J9" s="5" t="inlineStr">
        <is>
          <t>plan estimate</t>
        </is>
      </c>
    </row>
    <row r="10" ht="32" customHeight="1">
      <c r="B10" s="5" t="inlineStr">
        <is>
          <t>Software, six months</t>
        </is>
      </c>
      <c r="C10" s="108" t="n">
        <v>360</v>
      </c>
      <c r="D10" s="108" t="n">
        <v>360</v>
      </c>
      <c r="E10" s="108">
        <f>Inputs!$C$79*COUNTIFS(Cash_Ledger!$A$5:$A$53,"software",Cash_Ledger!$D$5:$D$53,"&gt;0")</f>
        <v/>
      </c>
      <c r="F10" s="5" t="inlineStr">
        <is>
          <t>Overhead (Cash_Ledger, software)</t>
        </is>
      </c>
      <c r="G10" s="108">
        <f>SUMIFS(Cash_Ledger!$D$5:$D$53,Cash_Ledger!$A$5:$A$53,"software",Cash_Ledger!$C$5:$C$53,"&gt;="&amp;Inputs!$C$10,Cash_Ledger!$C$5:$C$53,"&lt;="&amp;Cash_Flow!$AB$6)</f>
        <v/>
      </c>
      <c r="H10" s="108">
        <f>G10-D10</f>
        <v/>
      </c>
      <c r="I10" s="5" t="inlineStr">
        <is>
          <t>Six monthly payments inside the window.</t>
        </is>
      </c>
      <c r="J10" s="5" t="inlineStr">
        <is>
          <t>plan estimate</t>
        </is>
      </c>
    </row>
    <row r="11" ht="48" customHeight="1">
      <c r="B11" s="5" t="inlineStr">
        <is>
          <t>Transport, campaigns zero to two</t>
        </is>
      </c>
      <c r="C11" s="108" t="n">
        <v>600</v>
      </c>
      <c r="D11" s="108" t="n">
        <v>600</v>
      </c>
      <c r="E11" s="108">
        <f>SUM(Drop_PnL!U7:U9)</f>
        <v/>
      </c>
      <c r="F11" s="5" t="inlineStr">
        <is>
          <t>Per drop (Drop_PnL transport, first three drops)</t>
        </is>
      </c>
      <c r="G11" s="108">
        <f>SUM(Drop_PnL!U7:U9)</f>
        <v/>
      </c>
      <c r="H11" s="108">
        <f>G11-D11</f>
        <v/>
      </c>
      <c r="I11" s="5" t="inlineStr">
        <is>
          <t>Per-drop rates give $120 + $300 + $300 = $720; the plan's $600 lump does not reconcile to its own rates.</t>
        </is>
      </c>
      <c r="J11" s="5" t="inlineStr">
        <is>
          <t>plan estimate</t>
        </is>
      </c>
    </row>
    <row r="12" ht="32" customHeight="1">
      <c r="B12" s="5" t="inlineStr">
        <is>
          <t>Domain and email</t>
        </is>
      </c>
      <c r="C12" s="108" t="n">
        <v>100</v>
      </c>
      <c r="D12" s="108" t="n">
        <v>100</v>
      </c>
      <c r="E12" s="108">
        <f>Inputs!$C$164</f>
        <v/>
      </c>
      <c r="F12" s="5" t="inlineStr">
        <is>
          <t>Startup outlays</t>
        </is>
      </c>
      <c r="G12" s="108">
        <f>Inputs!$Q$164</f>
        <v/>
      </c>
      <c r="H12" s="108">
        <f>G12-D12</f>
        <v/>
      </c>
      <c r="I12" s="5" t="inlineStr">
        <is>
          <t>Reproduces.</t>
        </is>
      </c>
      <c r="J12" s="5" t="inlineStr">
        <is>
          <t>plan estimate</t>
        </is>
      </c>
    </row>
    <row r="13" ht="32" customHeight="1">
      <c r="B13" s="5" t="inlineStr">
        <is>
          <t>Reserve</t>
        </is>
      </c>
      <c r="C13" s="108" t="n">
        <v>1000</v>
      </c>
      <c r="D13" s="108" t="n">
        <v>1000</v>
      </c>
      <c r="E13" s="108">
        <f>Inputs!$C$117</f>
        <v/>
      </c>
      <c r="F13" s="5" t="inlineStr">
        <is>
          <t>Not spent; added to capital to commit</t>
        </is>
      </c>
      <c r="G13" s="130" t="n"/>
      <c r="H13" s="130" t="n"/>
      <c r="I13" s="5" t="inlineStr">
        <is>
          <t>Held back, not an outflow.</t>
        </is>
      </c>
      <c r="J13" s="5" t="inlineStr">
        <is>
          <t>plan estimate</t>
        </is>
      </c>
    </row>
    <row r="14">
      <c r="B14" s="8" t="inlineStr">
        <is>
          <t>Total (model cash excludes the reserve)</t>
        </is>
      </c>
      <c r="C14" s="113">
        <f>SUM(C5:C13)</f>
        <v/>
      </c>
      <c r="D14" s="113">
        <f>SUM(D5:D13)</f>
        <v/>
      </c>
      <c r="E14" s="113">
        <f>SUM(E5:E13)</f>
        <v/>
      </c>
      <c r="G14" s="113">
        <f>SUM(G5:G13)</f>
        <v/>
      </c>
    </row>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08" t="n">
        <v>300</v>
      </c>
      <c r="D17" s="108" t="n">
        <v>500</v>
      </c>
      <c r="E17" s="108">
        <f>Inputs!$C$166</f>
        <v/>
      </c>
      <c r="F17" s="5" t="inlineStr">
        <is>
          <t>Startup outlays</t>
        </is>
      </c>
      <c r="G17" s="108">
        <f>Inputs!$Q$166</f>
        <v/>
      </c>
      <c r="I17" s="5" t="inlineStr">
        <is>
          <t>Legal pack plan estimate. The plan asks for both hours (about $700) before the first invoice.</t>
        </is>
      </c>
    </row>
    <row r="18">
      <c r="B18" s="5" t="inlineStr">
        <is>
          <t>Accountant hour</t>
        </is>
      </c>
      <c r="C18" s="108" t="n">
        <v>200</v>
      </c>
      <c r="D18" s="108" t="n">
        <v>400</v>
      </c>
      <c r="E18" s="108">
        <f>Inputs!$C$167</f>
        <v/>
      </c>
      <c r="F18" s="5" t="inlineStr">
        <is>
          <t>Startup outlays</t>
        </is>
      </c>
      <c r="G18" s="108">
        <f>Inputs!$Q$167</f>
        <v/>
      </c>
      <c r="I18" s="5" t="inlineStr">
        <is>
          <t>Legal pack plan estimate.</t>
        </is>
      </c>
    </row>
    <row r="19">
      <c r="B19" s="5" t="inlineStr">
        <is>
          <t>NYS LLC annual filing fee (IT-204-LL)</t>
        </is>
      </c>
      <c r="C19" s="108" t="n">
        <v>25</v>
      </c>
      <c r="D19" s="108" t="n">
        <v>25</v>
      </c>
      <c r="E19" s="108">
        <f>Inputs!$C$168</f>
        <v/>
      </c>
      <c r="F19" s="5" t="inlineStr">
        <is>
          <t>Startup outlays</t>
        </is>
      </c>
      <c r="G19" s="108">
        <f>Inputs!$Q$168</f>
        <v/>
      </c>
      <c r="I19" s="5" t="inlineStr">
        <is>
          <t>Legal pack, verified 2026-10-23; accountant confirms whether 2026 is owed.</t>
        </is>
      </c>
    </row>
    <row r="20">
      <c r="B20" s="5" t="inlineStr">
        <is>
          <t>Hired and non-owned auto add-on (needs quote)</t>
        </is>
      </c>
      <c r="C20" s="130" t="n"/>
      <c r="D20" s="130" t="n"/>
      <c r="E20" s="108">
        <f>Inputs!$C$169</f>
        <v/>
      </c>
      <c r="F20" s="5" t="inlineStr">
        <is>
          <t>Startup outlays</t>
        </is>
      </c>
      <c r="G20" s="108">
        <f>Inputs!$Q$169</f>
        <v/>
      </c>
      <c r="I20" s="5" t="inlineStr">
        <is>
          <t>Legal pack: unknown until quoted. Campaign zero's car rides need it.</t>
        </is>
      </c>
    </row>
    <row r="21">
      <c r="B21" s="5" t="inlineStr">
        <is>
          <t>Additional-insured endorsements (needs quote)</t>
        </is>
      </c>
      <c r="C21" s="130" t="n"/>
      <c r="D21" s="130" t="n"/>
      <c r="E21" s="108">
        <f>Inputs!$C$170</f>
        <v/>
      </c>
      <c r="F21" s="5" t="inlineStr">
        <is>
          <t>Startup outlays</t>
        </is>
      </c>
      <c r="G21" s="108">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130" t="n"/>
      <c r="D22" s="130" t="n"/>
      <c r="E22" s="108">
        <f>Inputs!$C$165</f>
        <v/>
      </c>
      <c r="F22" s="5" t="inlineStr">
        <is>
          <t>Startup outlays</t>
        </is>
      </c>
      <c r="G22" s="108">
        <f>Inputs!$Q$165</f>
        <v/>
      </c>
      <c r="I22" s="5" t="inlineStr">
        <is>
          <t>Legal pack: only if you will not use a home address in email footers and the LLC notice (CAN-SPAM).</t>
        </is>
      </c>
    </row>
    <row r="23">
      <c r="B23" s="5" t="inlineStr">
        <is>
          <t>Registered agent, Albany County route only (needs quote)</t>
        </is>
      </c>
      <c r="C23" s="130" t="n"/>
      <c r="D23" s="130" t="n"/>
      <c r="E23" s="108">
        <f>Inputs!$C$161</f>
        <v/>
      </c>
      <c r="F23" s="5" t="inlineStr">
        <is>
          <t>Startup outlays (Include = N)</t>
        </is>
      </c>
      <c r="G23" s="108">
        <f>Inputs!$Q$161</f>
        <v/>
      </c>
      <c r="I23" s="5" t="inlineStr">
        <is>
          <t>Legal pack: optional in New York; only if the Articles name Albany County.</t>
        </is>
      </c>
    </row>
    <row r="24">
      <c r="B24" s="5" t="inlineStr">
        <is>
          <t>Trademark application, one class</t>
        </is>
      </c>
      <c r="C24" s="108" t="n">
        <v>350</v>
      </c>
      <c r="D24" s="108" t="n">
        <v>850</v>
      </c>
      <c r="E24" s="108">
        <f>Inputs!$C$171</f>
        <v/>
      </c>
      <c r="F24" s="5" t="inlineStr">
        <is>
          <t>Startup outlays (at Gate 2)</t>
        </is>
      </c>
      <c r="G24" s="108">
        <f>Inputs!$Q$171</f>
        <v/>
      </c>
      <c r="I24" s="5" t="inlineStr">
        <is>
          <t>Plan setup checklist and legal pack: after campaign zero, if it was a pass, inside the six months. The plan's capital table has no line for it. Include = N if the attorney advises against filing.</t>
        </is>
      </c>
    </row>
    <row r="25">
      <c r="B25" s="5" t="inlineStr">
        <is>
          <t>Storage unit, months inside the window</t>
        </is>
      </c>
      <c r="C25" s="130" t="n"/>
      <c r="D25" s="130" t="n"/>
      <c r="E25" s="130" t="n"/>
      <c r="F25" s="5" t="inlineStr">
        <is>
          <t>Overhead (Cash_Ledger, storage)</t>
        </is>
      </c>
      <c r="G25" s="108">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130" t="n"/>
      <c r="D26" s="130" t="n"/>
      <c r="E26" s="130" t="n"/>
      <c r="F26" s="5" t="inlineStr">
        <is>
          <t>Per drop</t>
        </is>
      </c>
      <c r="G26" s="108">
        <f>-Cash_Flow!$AC$13</f>
        <v/>
      </c>
      <c r="I26" s="5" t="inlineStr">
        <is>
          <t>$8 per office per drop.</t>
        </is>
      </c>
    </row>
    <row r="27">
      <c r="B27" s="5" t="inlineStr">
        <is>
          <t>Transport on drops after the first three</t>
        </is>
      </c>
      <c r="C27" s="130" t="n"/>
      <c r="D27" s="130" t="n"/>
      <c r="E27" s="130" t="n"/>
      <c r="F27" s="5" t="inlineStr">
        <is>
          <t>Per drop</t>
        </is>
      </c>
      <c r="G27" s="108">
        <f>-Cash_Flow!$AC$14-G11</f>
        <v/>
      </c>
      <c r="I27" s="5" t="inlineStr">
        <is>
          <t>Direct-ship drops carry $0.</t>
        </is>
      </c>
    </row>
    <row r="28">
      <c r="B28" s="5" t="inlineStr">
        <is>
          <t>Card processing</t>
        </is>
      </c>
      <c r="C28" s="130" t="n"/>
      <c r="D28" s="130" t="n"/>
      <c r="E28" s="130" t="n"/>
      <c r="F28" s="5" t="inlineStr">
        <is>
          <t>Per receipt</t>
        </is>
      </c>
      <c r="G28" s="108">
        <f>-Cash_Flow!$AC$16</f>
        <v/>
      </c>
      <c r="I28" s="5" t="inlineStr">
        <is>
          <t>3% while the processing toggle is on.</t>
        </is>
      </c>
    </row>
    <row r="29">
      <c r="B29" s="5" t="inlineStr">
        <is>
          <t>Kit mailing (needs quote)</t>
        </is>
      </c>
      <c r="C29" s="130" t="n"/>
      <c r="D29" s="130" t="n"/>
      <c r="E29" s="130" t="n"/>
      <c r="F29" s="5" t="inlineStr">
        <is>
          <t>Per drop</t>
        </is>
      </c>
      <c r="G29" s="108">
        <f>-Cash_Flow!$AC$15</f>
        <v/>
      </c>
      <c r="I29" s="5" t="inlineStr">
        <is>
          <t>Blank until quoted.</t>
        </is>
      </c>
    </row>
    <row r="30">
      <c r="B30" s="5" t="inlineStr">
        <is>
          <t>Phone</t>
        </is>
      </c>
      <c r="C30" s="130" t="n"/>
      <c r="D30" s="130" t="n"/>
      <c r="E30" s="130" t="n"/>
      <c r="F30" s="5" t="inlineStr">
        <is>
          <t>Overhead (Cash_Ledger, phone)</t>
        </is>
      </c>
      <c r="G30" s="108">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113">
        <f>SUM(G5:G13)+SUM(G17:G30)</f>
        <v/>
      </c>
    </row>
    <row r="32">
      <c r="B32" s="8" t="inlineStr">
        <is>
          <t>Same total read from Cash_Flow (all outflows, plan basis)</t>
        </is>
      </c>
      <c r="G32" s="113">
        <f>-(Cash_Flow!$AC$26-Cash_Flow!$AC$9-Cash_Flow!$AC$10)</f>
        <v/>
      </c>
    </row>
    <row r="33">
      <c r="B33" s="8" t="inlineStr">
        <is>
          <t>Difference (should be 0 while no drop has actuals)</t>
        </is>
      </c>
      <c r="G33" s="143">
        <f>G31-G32</f>
        <v/>
      </c>
    </row>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9"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147" t="n"/>
      <c r="B5" s="98" t="n"/>
      <c r="C5" s="98" t="n"/>
      <c r="D5" s="98" t="n"/>
      <c r="E5" s="148" t="n"/>
      <c r="F5" s="98" t="n"/>
      <c r="Q5" s="29">
        <f>Schedule!A7</f>
        <v/>
      </c>
      <c r="R5" s="112">
        <f>SUMIFS(Hours_Log!$E$5:$E$1004,Hours_Log!$B$5:$B$1004,$Q5,Hours_Log!$D$5:$D$1004,R$4)+SUMIFS(Toggl_Import!$AI$10:$AI$509,Toggl_Import!$AG$10:$AG$509,$Q5,Toggl_Import!$AH$10:$AH$509,R$4)</f>
        <v/>
      </c>
      <c r="S5" s="112">
        <f>SUMIFS(Hours_Log!$E$5:$E$1004,Hours_Log!$B$5:$B$1004,$Q5,Hours_Log!$D$5:$D$1004,S$4)+SUMIFS(Toggl_Import!$AI$10:$AI$509,Toggl_Import!$AG$10:$AG$509,$Q5,Toggl_Import!$AH$10:$AH$509,S$4)</f>
        <v/>
      </c>
      <c r="T5" s="112">
        <f>SUMIFS(Hours_Log!$E$5:$E$1004,Hours_Log!$B$5:$B$1004,$Q5,Hours_Log!$D$5:$D$1004,T$4)+SUMIFS(Toggl_Import!$AI$10:$AI$509,Toggl_Import!$AG$10:$AG$509,$Q5,Toggl_Import!$AH$10:$AH$509,T$4)</f>
        <v/>
      </c>
      <c r="U5" s="112">
        <f>SUMIFS(Hours_Log!$E$5:$E$1004,Hours_Log!$B$5:$B$1004,$Q5,Hours_Log!$D$5:$D$1004,U$4)+SUMIFS(Toggl_Import!$AI$10:$AI$509,Toggl_Import!$AG$10:$AG$509,$Q5,Toggl_Import!$AH$10:$AH$509,U$4)</f>
        <v/>
      </c>
      <c r="V5" s="112">
        <f>SUMIFS(Hours_Log!$E$5:$E$1004,Hours_Log!$B$5:$B$1004,$Q5,Hours_Log!$D$5:$D$1004,V$4)+SUMIFS(Toggl_Import!$AI$10:$AI$509,Toggl_Import!$AG$10:$AG$509,$Q5,Toggl_Import!$AH$10:$AH$509,V$4)</f>
        <v/>
      </c>
      <c r="W5" s="112">
        <f>SUMIFS(Hours_Log!$E$5:$E$1004,Hours_Log!$B$5:$B$1004,$Q5,Hours_Log!$D$5:$D$1004,W$4)+SUMIFS(Toggl_Import!$AI$10:$AI$509,Toggl_Import!$AG$10:$AG$509,$Q5,Toggl_Import!$AH$10:$AH$509,W$4)</f>
        <v/>
      </c>
      <c r="X5" s="112">
        <f>SUMIFS(Hours_Log!$E$5:$E$1004,Hours_Log!$B$5:$B$1004,$Q5,Hours_Log!$D$5:$D$1004,X$4)+SUMIFS(Toggl_Import!$AI$10:$AI$509,Toggl_Import!$AG$10:$AG$509,$Q5,Toggl_Import!$AH$10:$AH$509,X$4)</f>
        <v/>
      </c>
      <c r="Y5" s="114">
        <f>SUM(R5:X5)</f>
        <v/>
      </c>
    </row>
    <row r="6">
      <c r="A6" s="147" t="n"/>
      <c r="B6" s="98" t="n"/>
      <c r="C6" s="98" t="n"/>
      <c r="D6" s="98" t="n"/>
      <c r="E6" s="148" t="n"/>
      <c r="F6" s="98" t="n"/>
      <c r="Q6" s="29">
        <f>Schedule!A8</f>
        <v/>
      </c>
      <c r="R6" s="112">
        <f>SUMIFS(Hours_Log!$E$5:$E$1004,Hours_Log!$B$5:$B$1004,$Q6,Hours_Log!$D$5:$D$1004,R$4)+SUMIFS(Toggl_Import!$AI$10:$AI$509,Toggl_Import!$AG$10:$AG$509,$Q6,Toggl_Import!$AH$10:$AH$509,R$4)</f>
        <v/>
      </c>
      <c r="S6" s="112">
        <f>SUMIFS(Hours_Log!$E$5:$E$1004,Hours_Log!$B$5:$B$1004,$Q6,Hours_Log!$D$5:$D$1004,S$4)+SUMIFS(Toggl_Import!$AI$10:$AI$509,Toggl_Import!$AG$10:$AG$509,$Q6,Toggl_Import!$AH$10:$AH$509,S$4)</f>
        <v/>
      </c>
      <c r="T6" s="112">
        <f>SUMIFS(Hours_Log!$E$5:$E$1004,Hours_Log!$B$5:$B$1004,$Q6,Hours_Log!$D$5:$D$1004,T$4)+SUMIFS(Toggl_Import!$AI$10:$AI$509,Toggl_Import!$AG$10:$AG$509,$Q6,Toggl_Import!$AH$10:$AH$509,T$4)</f>
        <v/>
      </c>
      <c r="U6" s="112">
        <f>SUMIFS(Hours_Log!$E$5:$E$1004,Hours_Log!$B$5:$B$1004,$Q6,Hours_Log!$D$5:$D$1004,U$4)+SUMIFS(Toggl_Import!$AI$10:$AI$509,Toggl_Import!$AG$10:$AG$509,$Q6,Toggl_Import!$AH$10:$AH$509,U$4)</f>
        <v/>
      </c>
      <c r="V6" s="112">
        <f>SUMIFS(Hours_Log!$E$5:$E$1004,Hours_Log!$B$5:$B$1004,$Q6,Hours_Log!$D$5:$D$1004,V$4)+SUMIFS(Toggl_Import!$AI$10:$AI$509,Toggl_Import!$AG$10:$AG$509,$Q6,Toggl_Import!$AH$10:$AH$509,V$4)</f>
        <v/>
      </c>
      <c r="W6" s="112">
        <f>SUMIFS(Hours_Log!$E$5:$E$1004,Hours_Log!$B$5:$B$1004,$Q6,Hours_Log!$D$5:$D$1004,W$4)+SUMIFS(Toggl_Import!$AI$10:$AI$509,Toggl_Import!$AG$10:$AG$509,$Q6,Toggl_Import!$AH$10:$AH$509,W$4)</f>
        <v/>
      </c>
      <c r="X6" s="112">
        <f>SUMIFS(Hours_Log!$E$5:$E$1004,Hours_Log!$B$5:$B$1004,$Q6,Hours_Log!$D$5:$D$1004,X$4)+SUMIFS(Toggl_Import!$AI$10:$AI$509,Toggl_Import!$AG$10:$AG$509,$Q6,Toggl_Import!$AH$10:$AH$509,X$4)</f>
        <v/>
      </c>
      <c r="Y6" s="114">
        <f>SUM(R6:X6)</f>
        <v/>
      </c>
    </row>
    <row r="7">
      <c r="A7" s="147" t="n"/>
      <c r="B7" s="98" t="n"/>
      <c r="C7" s="98" t="n"/>
      <c r="D7" s="98" t="n"/>
      <c r="E7" s="148" t="n"/>
      <c r="F7" s="98" t="n"/>
      <c r="Q7" s="29">
        <f>Schedule!A9</f>
        <v/>
      </c>
      <c r="R7" s="112">
        <f>SUMIFS(Hours_Log!$E$5:$E$1004,Hours_Log!$B$5:$B$1004,$Q7,Hours_Log!$D$5:$D$1004,R$4)+SUMIFS(Toggl_Import!$AI$10:$AI$509,Toggl_Import!$AG$10:$AG$509,$Q7,Toggl_Import!$AH$10:$AH$509,R$4)</f>
        <v/>
      </c>
      <c r="S7" s="112">
        <f>SUMIFS(Hours_Log!$E$5:$E$1004,Hours_Log!$B$5:$B$1004,$Q7,Hours_Log!$D$5:$D$1004,S$4)+SUMIFS(Toggl_Import!$AI$10:$AI$509,Toggl_Import!$AG$10:$AG$509,$Q7,Toggl_Import!$AH$10:$AH$509,S$4)</f>
        <v/>
      </c>
      <c r="T7" s="112">
        <f>SUMIFS(Hours_Log!$E$5:$E$1004,Hours_Log!$B$5:$B$1004,$Q7,Hours_Log!$D$5:$D$1004,T$4)+SUMIFS(Toggl_Import!$AI$10:$AI$509,Toggl_Import!$AG$10:$AG$509,$Q7,Toggl_Import!$AH$10:$AH$509,T$4)</f>
        <v/>
      </c>
      <c r="U7" s="112">
        <f>SUMIFS(Hours_Log!$E$5:$E$1004,Hours_Log!$B$5:$B$1004,$Q7,Hours_Log!$D$5:$D$1004,U$4)+SUMIFS(Toggl_Import!$AI$10:$AI$509,Toggl_Import!$AG$10:$AG$509,$Q7,Toggl_Import!$AH$10:$AH$509,U$4)</f>
        <v/>
      </c>
      <c r="V7" s="112">
        <f>SUMIFS(Hours_Log!$E$5:$E$1004,Hours_Log!$B$5:$B$1004,$Q7,Hours_Log!$D$5:$D$1004,V$4)+SUMIFS(Toggl_Import!$AI$10:$AI$509,Toggl_Import!$AG$10:$AG$509,$Q7,Toggl_Import!$AH$10:$AH$509,V$4)</f>
        <v/>
      </c>
      <c r="W7" s="112">
        <f>SUMIFS(Hours_Log!$E$5:$E$1004,Hours_Log!$B$5:$B$1004,$Q7,Hours_Log!$D$5:$D$1004,W$4)+SUMIFS(Toggl_Import!$AI$10:$AI$509,Toggl_Import!$AG$10:$AG$509,$Q7,Toggl_Import!$AH$10:$AH$509,W$4)</f>
        <v/>
      </c>
      <c r="X7" s="112">
        <f>SUMIFS(Hours_Log!$E$5:$E$1004,Hours_Log!$B$5:$B$1004,$Q7,Hours_Log!$D$5:$D$1004,X$4)+SUMIFS(Toggl_Import!$AI$10:$AI$509,Toggl_Import!$AG$10:$AG$509,$Q7,Toggl_Import!$AH$10:$AH$509,X$4)</f>
        <v/>
      </c>
      <c r="Y7" s="114">
        <f>SUM(R7:X7)</f>
        <v/>
      </c>
    </row>
    <row r="8">
      <c r="A8" s="147" t="n"/>
      <c r="B8" s="98" t="n"/>
      <c r="C8" s="98" t="n"/>
      <c r="D8" s="98" t="n"/>
      <c r="E8" s="148" t="n"/>
      <c r="F8" s="98" t="n"/>
      <c r="Q8" s="29">
        <f>Schedule!A10</f>
        <v/>
      </c>
      <c r="R8" s="112">
        <f>SUMIFS(Hours_Log!$E$5:$E$1004,Hours_Log!$B$5:$B$1004,$Q8,Hours_Log!$D$5:$D$1004,R$4)+SUMIFS(Toggl_Import!$AI$10:$AI$509,Toggl_Import!$AG$10:$AG$509,$Q8,Toggl_Import!$AH$10:$AH$509,R$4)</f>
        <v/>
      </c>
      <c r="S8" s="112">
        <f>SUMIFS(Hours_Log!$E$5:$E$1004,Hours_Log!$B$5:$B$1004,$Q8,Hours_Log!$D$5:$D$1004,S$4)+SUMIFS(Toggl_Import!$AI$10:$AI$509,Toggl_Import!$AG$10:$AG$509,$Q8,Toggl_Import!$AH$10:$AH$509,S$4)</f>
        <v/>
      </c>
      <c r="T8" s="112">
        <f>SUMIFS(Hours_Log!$E$5:$E$1004,Hours_Log!$B$5:$B$1004,$Q8,Hours_Log!$D$5:$D$1004,T$4)+SUMIFS(Toggl_Import!$AI$10:$AI$509,Toggl_Import!$AG$10:$AG$509,$Q8,Toggl_Import!$AH$10:$AH$509,T$4)</f>
        <v/>
      </c>
      <c r="U8" s="112">
        <f>SUMIFS(Hours_Log!$E$5:$E$1004,Hours_Log!$B$5:$B$1004,$Q8,Hours_Log!$D$5:$D$1004,U$4)+SUMIFS(Toggl_Import!$AI$10:$AI$509,Toggl_Import!$AG$10:$AG$509,$Q8,Toggl_Import!$AH$10:$AH$509,U$4)</f>
        <v/>
      </c>
      <c r="V8" s="112">
        <f>SUMIFS(Hours_Log!$E$5:$E$1004,Hours_Log!$B$5:$B$1004,$Q8,Hours_Log!$D$5:$D$1004,V$4)+SUMIFS(Toggl_Import!$AI$10:$AI$509,Toggl_Import!$AG$10:$AG$509,$Q8,Toggl_Import!$AH$10:$AH$509,V$4)</f>
        <v/>
      </c>
      <c r="W8" s="112">
        <f>SUMIFS(Hours_Log!$E$5:$E$1004,Hours_Log!$B$5:$B$1004,$Q8,Hours_Log!$D$5:$D$1004,W$4)+SUMIFS(Toggl_Import!$AI$10:$AI$509,Toggl_Import!$AG$10:$AG$509,$Q8,Toggl_Import!$AH$10:$AH$509,W$4)</f>
        <v/>
      </c>
      <c r="X8" s="112">
        <f>SUMIFS(Hours_Log!$E$5:$E$1004,Hours_Log!$B$5:$B$1004,$Q8,Hours_Log!$D$5:$D$1004,X$4)+SUMIFS(Toggl_Import!$AI$10:$AI$509,Toggl_Import!$AG$10:$AG$509,$Q8,Toggl_Import!$AH$10:$AH$509,X$4)</f>
        <v/>
      </c>
      <c r="Y8" s="114">
        <f>SUM(R8:X8)</f>
        <v/>
      </c>
    </row>
    <row r="9">
      <c r="A9" s="147" t="n"/>
      <c r="B9" s="98" t="n"/>
      <c r="C9" s="98" t="n"/>
      <c r="D9" s="98" t="n"/>
      <c r="E9" s="148" t="n"/>
      <c r="F9" s="98" t="n"/>
      <c r="Q9" s="29">
        <f>Schedule!A11</f>
        <v/>
      </c>
      <c r="R9" s="112">
        <f>SUMIFS(Hours_Log!$E$5:$E$1004,Hours_Log!$B$5:$B$1004,$Q9,Hours_Log!$D$5:$D$1004,R$4)+SUMIFS(Toggl_Import!$AI$10:$AI$509,Toggl_Import!$AG$10:$AG$509,$Q9,Toggl_Import!$AH$10:$AH$509,R$4)</f>
        <v/>
      </c>
      <c r="S9" s="112">
        <f>SUMIFS(Hours_Log!$E$5:$E$1004,Hours_Log!$B$5:$B$1004,$Q9,Hours_Log!$D$5:$D$1004,S$4)+SUMIFS(Toggl_Import!$AI$10:$AI$509,Toggl_Import!$AG$10:$AG$509,$Q9,Toggl_Import!$AH$10:$AH$509,S$4)</f>
        <v/>
      </c>
      <c r="T9" s="112">
        <f>SUMIFS(Hours_Log!$E$5:$E$1004,Hours_Log!$B$5:$B$1004,$Q9,Hours_Log!$D$5:$D$1004,T$4)+SUMIFS(Toggl_Import!$AI$10:$AI$509,Toggl_Import!$AG$10:$AG$509,$Q9,Toggl_Import!$AH$10:$AH$509,T$4)</f>
        <v/>
      </c>
      <c r="U9" s="112">
        <f>SUMIFS(Hours_Log!$E$5:$E$1004,Hours_Log!$B$5:$B$1004,$Q9,Hours_Log!$D$5:$D$1004,U$4)+SUMIFS(Toggl_Import!$AI$10:$AI$509,Toggl_Import!$AG$10:$AG$509,$Q9,Toggl_Import!$AH$10:$AH$509,U$4)</f>
        <v/>
      </c>
      <c r="V9" s="112">
        <f>SUMIFS(Hours_Log!$E$5:$E$1004,Hours_Log!$B$5:$B$1004,$Q9,Hours_Log!$D$5:$D$1004,V$4)+SUMIFS(Toggl_Import!$AI$10:$AI$509,Toggl_Import!$AG$10:$AG$509,$Q9,Toggl_Import!$AH$10:$AH$509,V$4)</f>
        <v/>
      </c>
      <c r="W9" s="112">
        <f>SUMIFS(Hours_Log!$E$5:$E$1004,Hours_Log!$B$5:$B$1004,$Q9,Hours_Log!$D$5:$D$1004,W$4)+SUMIFS(Toggl_Import!$AI$10:$AI$509,Toggl_Import!$AG$10:$AG$509,$Q9,Toggl_Import!$AH$10:$AH$509,W$4)</f>
        <v/>
      </c>
      <c r="X9" s="112">
        <f>SUMIFS(Hours_Log!$E$5:$E$1004,Hours_Log!$B$5:$B$1004,$Q9,Hours_Log!$D$5:$D$1004,X$4)+SUMIFS(Toggl_Import!$AI$10:$AI$509,Toggl_Import!$AG$10:$AG$509,$Q9,Toggl_Import!$AH$10:$AH$509,X$4)</f>
        <v/>
      </c>
      <c r="Y9" s="114">
        <f>SUM(R9:X9)</f>
        <v/>
      </c>
    </row>
    <row r="10">
      <c r="A10" s="147" t="n"/>
      <c r="B10" s="98" t="n"/>
      <c r="C10" s="98" t="n"/>
      <c r="D10" s="98" t="n"/>
      <c r="E10" s="148" t="n"/>
      <c r="F10" s="98" t="n"/>
      <c r="Q10" s="29">
        <f>Schedule!A12</f>
        <v/>
      </c>
      <c r="R10" s="112">
        <f>SUMIFS(Hours_Log!$E$5:$E$1004,Hours_Log!$B$5:$B$1004,$Q10,Hours_Log!$D$5:$D$1004,R$4)+SUMIFS(Toggl_Import!$AI$10:$AI$509,Toggl_Import!$AG$10:$AG$509,$Q10,Toggl_Import!$AH$10:$AH$509,R$4)</f>
        <v/>
      </c>
      <c r="S10" s="112">
        <f>SUMIFS(Hours_Log!$E$5:$E$1004,Hours_Log!$B$5:$B$1004,$Q10,Hours_Log!$D$5:$D$1004,S$4)+SUMIFS(Toggl_Import!$AI$10:$AI$509,Toggl_Import!$AG$10:$AG$509,$Q10,Toggl_Import!$AH$10:$AH$509,S$4)</f>
        <v/>
      </c>
      <c r="T10" s="112">
        <f>SUMIFS(Hours_Log!$E$5:$E$1004,Hours_Log!$B$5:$B$1004,$Q10,Hours_Log!$D$5:$D$1004,T$4)+SUMIFS(Toggl_Import!$AI$10:$AI$509,Toggl_Import!$AG$10:$AG$509,$Q10,Toggl_Import!$AH$10:$AH$509,T$4)</f>
        <v/>
      </c>
      <c r="U10" s="112">
        <f>SUMIFS(Hours_Log!$E$5:$E$1004,Hours_Log!$B$5:$B$1004,$Q10,Hours_Log!$D$5:$D$1004,U$4)+SUMIFS(Toggl_Import!$AI$10:$AI$509,Toggl_Import!$AG$10:$AG$509,$Q10,Toggl_Import!$AH$10:$AH$509,U$4)</f>
        <v/>
      </c>
      <c r="V10" s="112">
        <f>SUMIFS(Hours_Log!$E$5:$E$1004,Hours_Log!$B$5:$B$1004,$Q10,Hours_Log!$D$5:$D$1004,V$4)+SUMIFS(Toggl_Import!$AI$10:$AI$509,Toggl_Import!$AG$10:$AG$509,$Q10,Toggl_Import!$AH$10:$AH$509,V$4)</f>
        <v/>
      </c>
      <c r="W10" s="112">
        <f>SUMIFS(Hours_Log!$E$5:$E$1004,Hours_Log!$B$5:$B$1004,$Q10,Hours_Log!$D$5:$D$1004,W$4)+SUMIFS(Toggl_Import!$AI$10:$AI$509,Toggl_Import!$AG$10:$AG$509,$Q10,Toggl_Import!$AH$10:$AH$509,W$4)</f>
        <v/>
      </c>
      <c r="X10" s="112">
        <f>SUMIFS(Hours_Log!$E$5:$E$1004,Hours_Log!$B$5:$B$1004,$Q10,Hours_Log!$D$5:$D$1004,X$4)+SUMIFS(Toggl_Import!$AI$10:$AI$509,Toggl_Import!$AG$10:$AG$509,$Q10,Toggl_Import!$AH$10:$AH$509,X$4)</f>
        <v/>
      </c>
      <c r="Y10" s="114">
        <f>SUM(R10:X10)</f>
        <v/>
      </c>
    </row>
    <row r="11">
      <c r="A11" s="147" t="n"/>
      <c r="B11" s="98" t="n"/>
      <c r="C11" s="98" t="n"/>
      <c r="D11" s="98" t="n"/>
      <c r="E11" s="148" t="n"/>
      <c r="F11" s="98" t="n"/>
      <c r="Q11" s="29">
        <f>Schedule!A13</f>
        <v/>
      </c>
      <c r="R11" s="112">
        <f>SUMIFS(Hours_Log!$E$5:$E$1004,Hours_Log!$B$5:$B$1004,$Q11,Hours_Log!$D$5:$D$1004,R$4)+SUMIFS(Toggl_Import!$AI$10:$AI$509,Toggl_Import!$AG$10:$AG$509,$Q11,Toggl_Import!$AH$10:$AH$509,R$4)</f>
        <v/>
      </c>
      <c r="S11" s="112">
        <f>SUMIFS(Hours_Log!$E$5:$E$1004,Hours_Log!$B$5:$B$1004,$Q11,Hours_Log!$D$5:$D$1004,S$4)+SUMIFS(Toggl_Import!$AI$10:$AI$509,Toggl_Import!$AG$10:$AG$509,$Q11,Toggl_Import!$AH$10:$AH$509,S$4)</f>
        <v/>
      </c>
      <c r="T11" s="112">
        <f>SUMIFS(Hours_Log!$E$5:$E$1004,Hours_Log!$B$5:$B$1004,$Q11,Hours_Log!$D$5:$D$1004,T$4)+SUMIFS(Toggl_Import!$AI$10:$AI$509,Toggl_Import!$AG$10:$AG$509,$Q11,Toggl_Import!$AH$10:$AH$509,T$4)</f>
        <v/>
      </c>
      <c r="U11" s="112">
        <f>SUMIFS(Hours_Log!$E$5:$E$1004,Hours_Log!$B$5:$B$1004,$Q11,Hours_Log!$D$5:$D$1004,U$4)+SUMIFS(Toggl_Import!$AI$10:$AI$509,Toggl_Import!$AG$10:$AG$509,$Q11,Toggl_Import!$AH$10:$AH$509,U$4)</f>
        <v/>
      </c>
      <c r="V11" s="112">
        <f>SUMIFS(Hours_Log!$E$5:$E$1004,Hours_Log!$B$5:$B$1004,$Q11,Hours_Log!$D$5:$D$1004,V$4)+SUMIFS(Toggl_Import!$AI$10:$AI$509,Toggl_Import!$AG$10:$AG$509,$Q11,Toggl_Import!$AH$10:$AH$509,V$4)</f>
        <v/>
      </c>
      <c r="W11" s="112">
        <f>SUMIFS(Hours_Log!$E$5:$E$1004,Hours_Log!$B$5:$B$1004,$Q11,Hours_Log!$D$5:$D$1004,W$4)+SUMIFS(Toggl_Import!$AI$10:$AI$509,Toggl_Import!$AG$10:$AG$509,$Q11,Toggl_Import!$AH$10:$AH$509,W$4)</f>
        <v/>
      </c>
      <c r="X11" s="112">
        <f>SUMIFS(Hours_Log!$E$5:$E$1004,Hours_Log!$B$5:$B$1004,$Q11,Hours_Log!$D$5:$D$1004,X$4)+SUMIFS(Toggl_Import!$AI$10:$AI$509,Toggl_Import!$AG$10:$AG$509,$Q11,Toggl_Import!$AH$10:$AH$509,X$4)</f>
        <v/>
      </c>
      <c r="Y11" s="114">
        <f>SUM(R11:X11)</f>
        <v/>
      </c>
    </row>
    <row r="12">
      <c r="A12" s="147" t="n"/>
      <c r="B12" s="98" t="n"/>
      <c r="C12" s="98" t="n"/>
      <c r="D12" s="98" t="n"/>
      <c r="E12" s="148" t="n"/>
      <c r="F12" s="98" t="n"/>
      <c r="Q12" s="29">
        <f>Schedule!A14</f>
        <v/>
      </c>
      <c r="R12" s="112">
        <f>SUMIFS(Hours_Log!$E$5:$E$1004,Hours_Log!$B$5:$B$1004,$Q12,Hours_Log!$D$5:$D$1004,R$4)+SUMIFS(Toggl_Import!$AI$10:$AI$509,Toggl_Import!$AG$10:$AG$509,$Q12,Toggl_Import!$AH$10:$AH$509,R$4)</f>
        <v/>
      </c>
      <c r="S12" s="112">
        <f>SUMIFS(Hours_Log!$E$5:$E$1004,Hours_Log!$B$5:$B$1004,$Q12,Hours_Log!$D$5:$D$1004,S$4)+SUMIFS(Toggl_Import!$AI$10:$AI$509,Toggl_Import!$AG$10:$AG$509,$Q12,Toggl_Import!$AH$10:$AH$509,S$4)</f>
        <v/>
      </c>
      <c r="T12" s="112">
        <f>SUMIFS(Hours_Log!$E$5:$E$1004,Hours_Log!$B$5:$B$1004,$Q12,Hours_Log!$D$5:$D$1004,T$4)+SUMIFS(Toggl_Import!$AI$10:$AI$509,Toggl_Import!$AG$10:$AG$509,$Q12,Toggl_Import!$AH$10:$AH$509,T$4)</f>
        <v/>
      </c>
      <c r="U12" s="112">
        <f>SUMIFS(Hours_Log!$E$5:$E$1004,Hours_Log!$B$5:$B$1004,$Q12,Hours_Log!$D$5:$D$1004,U$4)+SUMIFS(Toggl_Import!$AI$10:$AI$509,Toggl_Import!$AG$10:$AG$509,$Q12,Toggl_Import!$AH$10:$AH$509,U$4)</f>
        <v/>
      </c>
      <c r="V12" s="112">
        <f>SUMIFS(Hours_Log!$E$5:$E$1004,Hours_Log!$B$5:$B$1004,$Q12,Hours_Log!$D$5:$D$1004,V$4)+SUMIFS(Toggl_Import!$AI$10:$AI$509,Toggl_Import!$AG$10:$AG$509,$Q12,Toggl_Import!$AH$10:$AH$509,V$4)</f>
        <v/>
      </c>
      <c r="W12" s="112">
        <f>SUMIFS(Hours_Log!$E$5:$E$1004,Hours_Log!$B$5:$B$1004,$Q12,Hours_Log!$D$5:$D$1004,W$4)+SUMIFS(Toggl_Import!$AI$10:$AI$509,Toggl_Import!$AG$10:$AG$509,$Q12,Toggl_Import!$AH$10:$AH$509,W$4)</f>
        <v/>
      </c>
      <c r="X12" s="112">
        <f>SUMIFS(Hours_Log!$E$5:$E$1004,Hours_Log!$B$5:$B$1004,$Q12,Hours_Log!$D$5:$D$1004,X$4)+SUMIFS(Toggl_Import!$AI$10:$AI$509,Toggl_Import!$AG$10:$AG$509,$Q12,Toggl_Import!$AH$10:$AH$509,X$4)</f>
        <v/>
      </c>
      <c r="Y12" s="114">
        <f>SUM(R12:X12)</f>
        <v/>
      </c>
    </row>
    <row r="13">
      <c r="A13" s="147" t="n"/>
      <c r="B13" s="98" t="n"/>
      <c r="C13" s="98" t="n"/>
      <c r="D13" s="98" t="n"/>
      <c r="E13" s="148" t="n"/>
      <c r="F13" s="98" t="n"/>
      <c r="Q13" s="29">
        <f>Schedule!A15</f>
        <v/>
      </c>
      <c r="R13" s="112">
        <f>SUMIFS(Hours_Log!$E$5:$E$1004,Hours_Log!$B$5:$B$1004,$Q13,Hours_Log!$D$5:$D$1004,R$4)+SUMIFS(Toggl_Import!$AI$10:$AI$509,Toggl_Import!$AG$10:$AG$509,$Q13,Toggl_Import!$AH$10:$AH$509,R$4)</f>
        <v/>
      </c>
      <c r="S13" s="112">
        <f>SUMIFS(Hours_Log!$E$5:$E$1004,Hours_Log!$B$5:$B$1004,$Q13,Hours_Log!$D$5:$D$1004,S$4)+SUMIFS(Toggl_Import!$AI$10:$AI$509,Toggl_Import!$AG$10:$AG$509,$Q13,Toggl_Import!$AH$10:$AH$509,S$4)</f>
        <v/>
      </c>
      <c r="T13" s="112">
        <f>SUMIFS(Hours_Log!$E$5:$E$1004,Hours_Log!$B$5:$B$1004,$Q13,Hours_Log!$D$5:$D$1004,T$4)+SUMIFS(Toggl_Import!$AI$10:$AI$509,Toggl_Import!$AG$10:$AG$509,$Q13,Toggl_Import!$AH$10:$AH$509,T$4)</f>
        <v/>
      </c>
      <c r="U13" s="112">
        <f>SUMIFS(Hours_Log!$E$5:$E$1004,Hours_Log!$B$5:$B$1004,$Q13,Hours_Log!$D$5:$D$1004,U$4)+SUMIFS(Toggl_Import!$AI$10:$AI$509,Toggl_Import!$AG$10:$AG$509,$Q13,Toggl_Import!$AH$10:$AH$509,U$4)</f>
        <v/>
      </c>
      <c r="V13" s="112">
        <f>SUMIFS(Hours_Log!$E$5:$E$1004,Hours_Log!$B$5:$B$1004,$Q13,Hours_Log!$D$5:$D$1004,V$4)+SUMIFS(Toggl_Import!$AI$10:$AI$509,Toggl_Import!$AG$10:$AG$509,$Q13,Toggl_Import!$AH$10:$AH$509,V$4)</f>
        <v/>
      </c>
      <c r="W13" s="112">
        <f>SUMIFS(Hours_Log!$E$5:$E$1004,Hours_Log!$B$5:$B$1004,$Q13,Hours_Log!$D$5:$D$1004,W$4)+SUMIFS(Toggl_Import!$AI$10:$AI$509,Toggl_Import!$AG$10:$AG$509,$Q13,Toggl_Import!$AH$10:$AH$509,W$4)</f>
        <v/>
      </c>
      <c r="X13" s="112">
        <f>SUMIFS(Hours_Log!$E$5:$E$1004,Hours_Log!$B$5:$B$1004,$Q13,Hours_Log!$D$5:$D$1004,X$4)+SUMIFS(Toggl_Import!$AI$10:$AI$509,Toggl_Import!$AG$10:$AG$509,$Q13,Toggl_Import!$AH$10:$AH$509,X$4)</f>
        <v/>
      </c>
      <c r="Y13" s="114">
        <f>SUM(R13:X13)</f>
        <v/>
      </c>
    </row>
    <row r="14">
      <c r="A14" s="147" t="n"/>
      <c r="B14" s="98" t="n"/>
      <c r="C14" s="98" t="n"/>
      <c r="D14" s="98" t="n"/>
      <c r="E14" s="148" t="n"/>
      <c r="F14" s="98" t="n"/>
      <c r="Q14" s="29">
        <f>Schedule!A16</f>
        <v/>
      </c>
      <c r="R14" s="112">
        <f>SUMIFS(Hours_Log!$E$5:$E$1004,Hours_Log!$B$5:$B$1004,$Q14,Hours_Log!$D$5:$D$1004,R$4)+SUMIFS(Toggl_Import!$AI$10:$AI$509,Toggl_Import!$AG$10:$AG$509,$Q14,Toggl_Import!$AH$10:$AH$509,R$4)</f>
        <v/>
      </c>
      <c r="S14" s="112">
        <f>SUMIFS(Hours_Log!$E$5:$E$1004,Hours_Log!$B$5:$B$1004,$Q14,Hours_Log!$D$5:$D$1004,S$4)+SUMIFS(Toggl_Import!$AI$10:$AI$509,Toggl_Import!$AG$10:$AG$509,$Q14,Toggl_Import!$AH$10:$AH$509,S$4)</f>
        <v/>
      </c>
      <c r="T14" s="112">
        <f>SUMIFS(Hours_Log!$E$5:$E$1004,Hours_Log!$B$5:$B$1004,$Q14,Hours_Log!$D$5:$D$1004,T$4)+SUMIFS(Toggl_Import!$AI$10:$AI$509,Toggl_Import!$AG$10:$AG$509,$Q14,Toggl_Import!$AH$10:$AH$509,T$4)</f>
        <v/>
      </c>
      <c r="U14" s="112">
        <f>SUMIFS(Hours_Log!$E$5:$E$1004,Hours_Log!$B$5:$B$1004,$Q14,Hours_Log!$D$5:$D$1004,U$4)+SUMIFS(Toggl_Import!$AI$10:$AI$509,Toggl_Import!$AG$10:$AG$509,$Q14,Toggl_Import!$AH$10:$AH$509,U$4)</f>
        <v/>
      </c>
      <c r="V14" s="112">
        <f>SUMIFS(Hours_Log!$E$5:$E$1004,Hours_Log!$B$5:$B$1004,$Q14,Hours_Log!$D$5:$D$1004,V$4)+SUMIFS(Toggl_Import!$AI$10:$AI$509,Toggl_Import!$AG$10:$AG$509,$Q14,Toggl_Import!$AH$10:$AH$509,V$4)</f>
        <v/>
      </c>
      <c r="W14" s="112">
        <f>SUMIFS(Hours_Log!$E$5:$E$1004,Hours_Log!$B$5:$B$1004,$Q14,Hours_Log!$D$5:$D$1004,W$4)+SUMIFS(Toggl_Import!$AI$10:$AI$509,Toggl_Import!$AG$10:$AG$509,$Q14,Toggl_Import!$AH$10:$AH$509,W$4)</f>
        <v/>
      </c>
      <c r="X14" s="112">
        <f>SUMIFS(Hours_Log!$E$5:$E$1004,Hours_Log!$B$5:$B$1004,$Q14,Hours_Log!$D$5:$D$1004,X$4)+SUMIFS(Toggl_Import!$AI$10:$AI$509,Toggl_Import!$AG$10:$AG$509,$Q14,Toggl_Import!$AH$10:$AH$509,X$4)</f>
        <v/>
      </c>
      <c r="Y14" s="114">
        <f>SUM(R14:X14)</f>
        <v/>
      </c>
    </row>
    <row r="15">
      <c r="A15" s="147" t="n"/>
      <c r="B15" s="98" t="n"/>
      <c r="C15" s="98" t="n"/>
      <c r="D15" s="98" t="n"/>
      <c r="E15" s="148" t="n"/>
      <c r="F15" s="98" t="n"/>
      <c r="Q15" s="29">
        <f>Schedule!A17</f>
        <v/>
      </c>
      <c r="R15" s="112">
        <f>SUMIFS(Hours_Log!$E$5:$E$1004,Hours_Log!$B$5:$B$1004,$Q15,Hours_Log!$D$5:$D$1004,R$4)+SUMIFS(Toggl_Import!$AI$10:$AI$509,Toggl_Import!$AG$10:$AG$509,$Q15,Toggl_Import!$AH$10:$AH$509,R$4)</f>
        <v/>
      </c>
      <c r="S15" s="112">
        <f>SUMIFS(Hours_Log!$E$5:$E$1004,Hours_Log!$B$5:$B$1004,$Q15,Hours_Log!$D$5:$D$1004,S$4)+SUMIFS(Toggl_Import!$AI$10:$AI$509,Toggl_Import!$AG$10:$AG$509,$Q15,Toggl_Import!$AH$10:$AH$509,S$4)</f>
        <v/>
      </c>
      <c r="T15" s="112">
        <f>SUMIFS(Hours_Log!$E$5:$E$1004,Hours_Log!$B$5:$B$1004,$Q15,Hours_Log!$D$5:$D$1004,T$4)+SUMIFS(Toggl_Import!$AI$10:$AI$509,Toggl_Import!$AG$10:$AG$509,$Q15,Toggl_Import!$AH$10:$AH$509,T$4)</f>
        <v/>
      </c>
      <c r="U15" s="112">
        <f>SUMIFS(Hours_Log!$E$5:$E$1004,Hours_Log!$B$5:$B$1004,$Q15,Hours_Log!$D$5:$D$1004,U$4)+SUMIFS(Toggl_Import!$AI$10:$AI$509,Toggl_Import!$AG$10:$AG$509,$Q15,Toggl_Import!$AH$10:$AH$509,U$4)</f>
        <v/>
      </c>
      <c r="V15" s="112">
        <f>SUMIFS(Hours_Log!$E$5:$E$1004,Hours_Log!$B$5:$B$1004,$Q15,Hours_Log!$D$5:$D$1004,V$4)+SUMIFS(Toggl_Import!$AI$10:$AI$509,Toggl_Import!$AG$10:$AG$509,$Q15,Toggl_Import!$AH$10:$AH$509,V$4)</f>
        <v/>
      </c>
      <c r="W15" s="112">
        <f>SUMIFS(Hours_Log!$E$5:$E$1004,Hours_Log!$B$5:$B$1004,$Q15,Hours_Log!$D$5:$D$1004,W$4)+SUMIFS(Toggl_Import!$AI$10:$AI$509,Toggl_Import!$AG$10:$AG$509,$Q15,Toggl_Import!$AH$10:$AH$509,W$4)</f>
        <v/>
      </c>
      <c r="X15" s="112">
        <f>SUMIFS(Hours_Log!$E$5:$E$1004,Hours_Log!$B$5:$B$1004,$Q15,Hours_Log!$D$5:$D$1004,X$4)+SUMIFS(Toggl_Import!$AI$10:$AI$509,Toggl_Import!$AG$10:$AG$509,$Q15,Toggl_Import!$AH$10:$AH$509,X$4)</f>
        <v/>
      </c>
      <c r="Y15" s="114">
        <f>SUM(R15:X15)</f>
        <v/>
      </c>
    </row>
    <row r="16">
      <c r="A16" s="147" t="n"/>
      <c r="B16" s="98" t="n"/>
      <c r="C16" s="98" t="n"/>
      <c r="D16" s="98" t="n"/>
      <c r="E16" s="148" t="n"/>
      <c r="F16" s="98" t="n"/>
      <c r="Q16" s="29">
        <f>Schedule!A18</f>
        <v/>
      </c>
      <c r="R16" s="112">
        <f>SUMIFS(Hours_Log!$E$5:$E$1004,Hours_Log!$B$5:$B$1004,$Q16,Hours_Log!$D$5:$D$1004,R$4)+SUMIFS(Toggl_Import!$AI$10:$AI$509,Toggl_Import!$AG$10:$AG$509,$Q16,Toggl_Import!$AH$10:$AH$509,R$4)</f>
        <v/>
      </c>
      <c r="S16" s="112">
        <f>SUMIFS(Hours_Log!$E$5:$E$1004,Hours_Log!$B$5:$B$1004,$Q16,Hours_Log!$D$5:$D$1004,S$4)+SUMIFS(Toggl_Import!$AI$10:$AI$509,Toggl_Import!$AG$10:$AG$509,$Q16,Toggl_Import!$AH$10:$AH$509,S$4)</f>
        <v/>
      </c>
      <c r="T16" s="112">
        <f>SUMIFS(Hours_Log!$E$5:$E$1004,Hours_Log!$B$5:$B$1004,$Q16,Hours_Log!$D$5:$D$1004,T$4)+SUMIFS(Toggl_Import!$AI$10:$AI$509,Toggl_Import!$AG$10:$AG$509,$Q16,Toggl_Import!$AH$10:$AH$509,T$4)</f>
        <v/>
      </c>
      <c r="U16" s="112">
        <f>SUMIFS(Hours_Log!$E$5:$E$1004,Hours_Log!$B$5:$B$1004,$Q16,Hours_Log!$D$5:$D$1004,U$4)+SUMIFS(Toggl_Import!$AI$10:$AI$509,Toggl_Import!$AG$10:$AG$509,$Q16,Toggl_Import!$AH$10:$AH$509,U$4)</f>
        <v/>
      </c>
      <c r="V16" s="112">
        <f>SUMIFS(Hours_Log!$E$5:$E$1004,Hours_Log!$B$5:$B$1004,$Q16,Hours_Log!$D$5:$D$1004,V$4)+SUMIFS(Toggl_Import!$AI$10:$AI$509,Toggl_Import!$AG$10:$AG$509,$Q16,Toggl_Import!$AH$10:$AH$509,V$4)</f>
        <v/>
      </c>
      <c r="W16" s="112">
        <f>SUMIFS(Hours_Log!$E$5:$E$1004,Hours_Log!$B$5:$B$1004,$Q16,Hours_Log!$D$5:$D$1004,W$4)+SUMIFS(Toggl_Import!$AI$10:$AI$509,Toggl_Import!$AG$10:$AG$509,$Q16,Toggl_Import!$AH$10:$AH$509,W$4)</f>
        <v/>
      </c>
      <c r="X16" s="112">
        <f>SUMIFS(Hours_Log!$E$5:$E$1004,Hours_Log!$B$5:$B$1004,$Q16,Hours_Log!$D$5:$D$1004,X$4)+SUMIFS(Toggl_Import!$AI$10:$AI$509,Toggl_Import!$AG$10:$AG$509,$Q16,Toggl_Import!$AH$10:$AH$509,X$4)</f>
        <v/>
      </c>
      <c r="Y16" s="114">
        <f>SUM(R16:X16)</f>
        <v/>
      </c>
    </row>
    <row r="17">
      <c r="A17" s="147" t="n"/>
      <c r="B17" s="98" t="n"/>
      <c r="C17" s="98" t="n"/>
      <c r="D17" s="98" t="n"/>
      <c r="E17" s="148" t="n"/>
      <c r="F17" s="98" t="n"/>
      <c r="Q17" s="29" t="inlineStr">
        <is>
          <t>All hours</t>
        </is>
      </c>
      <c r="R17" s="112">
        <f>SUMIFS(Hours_Log!$E$5:$E$1004,Hours_Log!$D$5:$D$1004,R$4)+SUMIFS(Toggl_Import!$AI$10:$AI$509,Toggl_Import!$AH$10:$AH$509,R$4)</f>
        <v/>
      </c>
      <c r="S17" s="112">
        <f>SUMIFS(Hours_Log!$E$5:$E$1004,Hours_Log!$D$5:$D$1004,S$4)+SUMIFS(Toggl_Import!$AI$10:$AI$509,Toggl_Import!$AH$10:$AH$509,S$4)</f>
        <v/>
      </c>
      <c r="T17" s="112">
        <f>SUMIFS(Hours_Log!$E$5:$E$1004,Hours_Log!$D$5:$D$1004,T$4)+SUMIFS(Toggl_Import!$AI$10:$AI$509,Toggl_Import!$AH$10:$AH$509,T$4)</f>
        <v/>
      </c>
      <c r="U17" s="112">
        <f>SUMIFS(Hours_Log!$E$5:$E$1004,Hours_Log!$D$5:$D$1004,U$4)+SUMIFS(Toggl_Import!$AI$10:$AI$509,Toggl_Import!$AH$10:$AH$509,U$4)</f>
        <v/>
      </c>
      <c r="V17" s="112">
        <f>SUMIFS(Hours_Log!$E$5:$E$1004,Hours_Log!$D$5:$D$1004,V$4)+SUMIFS(Toggl_Import!$AI$10:$AI$509,Toggl_Import!$AH$10:$AH$509,V$4)</f>
        <v/>
      </c>
      <c r="W17" s="112">
        <f>SUMIFS(Hours_Log!$E$5:$E$1004,Hours_Log!$D$5:$D$1004,W$4)+SUMIFS(Toggl_Import!$AI$10:$AI$509,Toggl_Import!$AH$10:$AH$509,W$4)</f>
        <v/>
      </c>
      <c r="X17" s="112">
        <f>SUMIFS(Hours_Log!$E$5:$E$1004,Hours_Log!$D$5:$D$1004,X$4)+SUMIFS(Toggl_Import!$AI$10:$AI$509,Toggl_Import!$AH$10:$AH$509,X$4)</f>
        <v/>
      </c>
      <c r="Y17" s="114">
        <f>SUM(R17:X17)</f>
        <v/>
      </c>
    </row>
    <row r="18">
      <c r="A18" s="147" t="n"/>
      <c r="B18" s="98" t="n"/>
      <c r="C18" s="98" t="n"/>
      <c r="D18" s="98" t="n"/>
      <c r="E18" s="148" t="n"/>
      <c r="F18" s="98" t="n"/>
      <c r="Q18" s="29" t="inlineStr">
        <is>
          <t>Not linked to a scheduled drop</t>
        </is>
      </c>
      <c r="R18" s="112">
        <f>R17-SUM(R5:R16)</f>
        <v/>
      </c>
      <c r="S18" s="112">
        <f>S17-SUM(S5:S16)</f>
        <v/>
      </c>
      <c r="T18" s="112">
        <f>T17-SUM(T5:T16)</f>
        <v/>
      </c>
      <c r="U18" s="112">
        <f>U17-SUM(U5:U16)</f>
        <v/>
      </c>
      <c r="V18" s="112">
        <f>V17-SUM(V5:V16)</f>
        <v/>
      </c>
      <c r="W18" s="112">
        <f>W17-SUM(W5:W16)</f>
        <v/>
      </c>
      <c r="X18" s="112">
        <f>X17-SUM(X5:X16)</f>
        <v/>
      </c>
      <c r="Y18" s="112">
        <f>Y17-SUM(Y5:Y16)</f>
        <v/>
      </c>
    </row>
    <row r="19">
      <c r="A19" s="147" t="n"/>
      <c r="B19" s="98" t="n"/>
      <c r="C19" s="98" t="n"/>
      <c r="D19" s="98" t="n"/>
      <c r="E19" s="148" t="n"/>
      <c r="F19" s="98" t="n"/>
    </row>
    <row r="20">
      <c r="A20" s="147" t="n"/>
      <c r="B20" s="98" t="n"/>
      <c r="C20" s="98" t="n"/>
      <c r="D20" s="98" t="n"/>
      <c r="E20" s="148" t="n"/>
      <c r="F20" s="98" t="n"/>
      <c r="Q20" s="79" t="inlineStr">
        <is>
          <t>Totals per week (hand log plus Toggl)</t>
        </is>
      </c>
    </row>
    <row r="21" ht="30" customHeight="1">
      <c r="A21" s="147" t="n"/>
      <c r="B21" s="98" t="n"/>
      <c r="C21" s="98" t="n"/>
      <c r="D21" s="98" t="n"/>
      <c r="E21" s="148" t="n"/>
      <c r="F21" s="98" t="n"/>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147" t="n"/>
      <c r="B22" s="98" t="n"/>
      <c r="C22" s="98" t="n"/>
      <c r="D22" s="98" t="n"/>
      <c r="E22" s="148" t="n"/>
      <c r="F22" s="98" t="n"/>
      <c r="Q22" s="29" t="n">
        <v>1</v>
      </c>
      <c r="R22" s="107">
        <f>Inputs!$C$10</f>
        <v/>
      </c>
      <c r="S22" s="112">
        <f>SUMIFS(Hours_Log!$E$5:$E$1004,Hours_Log!$A$5:$A$1004,"&gt;="&amp;$R22,Hours_Log!$A$5:$A$1004,"&lt;"&amp;$R22+Inputs!$C$18,Hours_Log!$D$5:$D$1004,S$21)+SUMIFS(Toggl_Import!$AI$10:$AI$509,Toggl_Import!$AF$10:$AF$509,"&gt;="&amp;$R22,Toggl_Import!$AF$10:$AF$509,"&lt;"&amp;$R22+Inputs!$C$18,Toggl_Import!$AH$10:$AH$509,S$21)</f>
        <v/>
      </c>
      <c r="T22" s="112">
        <f>SUMIFS(Hours_Log!$E$5:$E$1004,Hours_Log!$A$5:$A$1004,"&gt;="&amp;$R22,Hours_Log!$A$5:$A$1004,"&lt;"&amp;$R22+Inputs!$C$18,Hours_Log!$D$5:$D$1004,T$21)+SUMIFS(Toggl_Import!$AI$10:$AI$509,Toggl_Import!$AF$10:$AF$509,"&gt;="&amp;$R22,Toggl_Import!$AF$10:$AF$509,"&lt;"&amp;$R22+Inputs!$C$18,Toggl_Import!$AH$10:$AH$509,T$21)</f>
        <v/>
      </c>
      <c r="U22" s="112">
        <f>SUMIFS(Hours_Log!$E$5:$E$1004,Hours_Log!$A$5:$A$1004,"&gt;="&amp;$R22,Hours_Log!$A$5:$A$1004,"&lt;"&amp;$R22+Inputs!$C$18,Hours_Log!$D$5:$D$1004,U$21)+SUMIFS(Toggl_Import!$AI$10:$AI$509,Toggl_Import!$AF$10:$AF$509,"&gt;="&amp;$R22,Toggl_Import!$AF$10:$AF$509,"&lt;"&amp;$R22+Inputs!$C$18,Toggl_Import!$AH$10:$AH$509,U$21)</f>
        <v/>
      </c>
      <c r="V22" s="112">
        <f>SUMIFS(Hours_Log!$E$5:$E$1004,Hours_Log!$A$5:$A$1004,"&gt;="&amp;$R22,Hours_Log!$A$5:$A$1004,"&lt;"&amp;$R22+Inputs!$C$18,Hours_Log!$D$5:$D$1004,V$21)+SUMIFS(Toggl_Import!$AI$10:$AI$509,Toggl_Import!$AF$10:$AF$509,"&gt;="&amp;$R22,Toggl_Import!$AF$10:$AF$509,"&lt;"&amp;$R22+Inputs!$C$18,Toggl_Import!$AH$10:$AH$509,V$21)</f>
        <v/>
      </c>
      <c r="W22" s="112">
        <f>SUMIFS(Hours_Log!$E$5:$E$1004,Hours_Log!$A$5:$A$1004,"&gt;="&amp;$R22,Hours_Log!$A$5:$A$1004,"&lt;"&amp;$R22+Inputs!$C$18,Hours_Log!$D$5:$D$1004,W$21)+SUMIFS(Toggl_Import!$AI$10:$AI$509,Toggl_Import!$AF$10:$AF$509,"&gt;="&amp;$R22,Toggl_Import!$AF$10:$AF$509,"&lt;"&amp;$R22+Inputs!$C$18,Toggl_Import!$AH$10:$AH$509,W$21)</f>
        <v/>
      </c>
      <c r="X22" s="112">
        <f>SUMIFS(Hours_Log!$E$5:$E$1004,Hours_Log!$A$5:$A$1004,"&gt;="&amp;$R22,Hours_Log!$A$5:$A$1004,"&lt;"&amp;$R22+Inputs!$C$18,Hours_Log!$D$5:$D$1004,X$21)+SUMIFS(Toggl_Import!$AI$10:$AI$509,Toggl_Import!$AF$10:$AF$509,"&gt;="&amp;$R22,Toggl_Import!$AF$10:$AF$509,"&lt;"&amp;$R22+Inputs!$C$18,Toggl_Import!$AH$10:$AH$509,X$21)</f>
        <v/>
      </c>
      <c r="Y22" s="112">
        <f>SUMIFS(Hours_Log!$E$5:$E$1004,Hours_Log!$A$5:$A$1004,"&gt;="&amp;$R22,Hours_Log!$A$5:$A$1004,"&lt;"&amp;$R22+Inputs!$C$18,Hours_Log!$D$5:$D$1004,Y$21)+SUMIFS(Toggl_Import!$AI$10:$AI$509,Toggl_Import!$AF$10:$AF$509,"&gt;="&amp;$R22,Toggl_Import!$AF$10:$AF$509,"&lt;"&amp;$R22+Inputs!$C$18,Toggl_Import!$AH$10:$AH$509,Y$21)</f>
        <v/>
      </c>
      <c r="Z22" s="114">
        <f>SUM(S22:Y22)</f>
        <v/>
      </c>
      <c r="AA22" s="112">
        <f>SUMIFS(Hours_Log!$E$5:$E$1004,Hours_Log!$A$5:$A$1004,"&gt;="&amp;$R22,Hours_Log!$A$5:$A$1004,"&lt;"&amp;$R22+Inputs!$C$18,Hours_Log!$B$5:$B$1004,Inputs!$C$30&amp;"*")+SUMIFS(Toggl_Import!$AI$10:$AI$509,Toggl_Import!$AF$10:$AF$509,"&gt;="&amp;$R22,Toggl_Import!$AF$10:$AF$509,"&lt;"&amp;$R22+Inputs!$C$18,Toggl_Import!$AG$10:$AG$509,Inputs!$C$30&amp;"*")</f>
        <v/>
      </c>
    </row>
    <row r="23">
      <c r="A23" s="147" t="n"/>
      <c r="B23" s="98" t="n"/>
      <c r="C23" s="98" t="n"/>
      <c r="D23" s="98" t="n"/>
      <c r="E23" s="148" t="n"/>
      <c r="F23" s="98" t="n"/>
      <c r="Q23" s="29" t="n">
        <v>2</v>
      </c>
      <c r="R23" s="107">
        <f>R22+Inputs!$C$18</f>
        <v/>
      </c>
      <c r="S23" s="112">
        <f>SUMIFS(Hours_Log!$E$5:$E$1004,Hours_Log!$A$5:$A$1004,"&gt;="&amp;$R23,Hours_Log!$A$5:$A$1004,"&lt;"&amp;$R23+Inputs!$C$18,Hours_Log!$D$5:$D$1004,S$21)+SUMIFS(Toggl_Import!$AI$10:$AI$509,Toggl_Import!$AF$10:$AF$509,"&gt;="&amp;$R23,Toggl_Import!$AF$10:$AF$509,"&lt;"&amp;$R23+Inputs!$C$18,Toggl_Import!$AH$10:$AH$509,S$21)</f>
        <v/>
      </c>
      <c r="T23" s="112">
        <f>SUMIFS(Hours_Log!$E$5:$E$1004,Hours_Log!$A$5:$A$1004,"&gt;="&amp;$R23,Hours_Log!$A$5:$A$1004,"&lt;"&amp;$R23+Inputs!$C$18,Hours_Log!$D$5:$D$1004,T$21)+SUMIFS(Toggl_Import!$AI$10:$AI$509,Toggl_Import!$AF$10:$AF$509,"&gt;="&amp;$R23,Toggl_Import!$AF$10:$AF$509,"&lt;"&amp;$R23+Inputs!$C$18,Toggl_Import!$AH$10:$AH$509,T$21)</f>
        <v/>
      </c>
      <c r="U23" s="112">
        <f>SUMIFS(Hours_Log!$E$5:$E$1004,Hours_Log!$A$5:$A$1004,"&gt;="&amp;$R23,Hours_Log!$A$5:$A$1004,"&lt;"&amp;$R23+Inputs!$C$18,Hours_Log!$D$5:$D$1004,U$21)+SUMIFS(Toggl_Import!$AI$10:$AI$509,Toggl_Import!$AF$10:$AF$509,"&gt;="&amp;$R23,Toggl_Import!$AF$10:$AF$509,"&lt;"&amp;$R23+Inputs!$C$18,Toggl_Import!$AH$10:$AH$509,U$21)</f>
        <v/>
      </c>
      <c r="V23" s="112">
        <f>SUMIFS(Hours_Log!$E$5:$E$1004,Hours_Log!$A$5:$A$1004,"&gt;="&amp;$R23,Hours_Log!$A$5:$A$1004,"&lt;"&amp;$R23+Inputs!$C$18,Hours_Log!$D$5:$D$1004,V$21)+SUMIFS(Toggl_Import!$AI$10:$AI$509,Toggl_Import!$AF$10:$AF$509,"&gt;="&amp;$R23,Toggl_Import!$AF$10:$AF$509,"&lt;"&amp;$R23+Inputs!$C$18,Toggl_Import!$AH$10:$AH$509,V$21)</f>
        <v/>
      </c>
      <c r="W23" s="112">
        <f>SUMIFS(Hours_Log!$E$5:$E$1004,Hours_Log!$A$5:$A$1004,"&gt;="&amp;$R23,Hours_Log!$A$5:$A$1004,"&lt;"&amp;$R23+Inputs!$C$18,Hours_Log!$D$5:$D$1004,W$21)+SUMIFS(Toggl_Import!$AI$10:$AI$509,Toggl_Import!$AF$10:$AF$509,"&gt;="&amp;$R23,Toggl_Import!$AF$10:$AF$509,"&lt;"&amp;$R23+Inputs!$C$18,Toggl_Import!$AH$10:$AH$509,W$21)</f>
        <v/>
      </c>
      <c r="X23" s="112">
        <f>SUMIFS(Hours_Log!$E$5:$E$1004,Hours_Log!$A$5:$A$1004,"&gt;="&amp;$R23,Hours_Log!$A$5:$A$1004,"&lt;"&amp;$R23+Inputs!$C$18,Hours_Log!$D$5:$D$1004,X$21)+SUMIFS(Toggl_Import!$AI$10:$AI$509,Toggl_Import!$AF$10:$AF$509,"&gt;="&amp;$R23,Toggl_Import!$AF$10:$AF$509,"&lt;"&amp;$R23+Inputs!$C$18,Toggl_Import!$AH$10:$AH$509,X$21)</f>
        <v/>
      </c>
      <c r="Y23" s="112">
        <f>SUMIFS(Hours_Log!$E$5:$E$1004,Hours_Log!$A$5:$A$1004,"&gt;="&amp;$R23,Hours_Log!$A$5:$A$1004,"&lt;"&amp;$R23+Inputs!$C$18,Hours_Log!$D$5:$D$1004,Y$21)+SUMIFS(Toggl_Import!$AI$10:$AI$509,Toggl_Import!$AF$10:$AF$509,"&gt;="&amp;$R23,Toggl_Import!$AF$10:$AF$509,"&lt;"&amp;$R23+Inputs!$C$18,Toggl_Import!$AH$10:$AH$509,Y$21)</f>
        <v/>
      </c>
      <c r="Z23" s="114">
        <f>SUM(S23:Y23)</f>
        <v/>
      </c>
      <c r="AA23" s="112">
        <f>SUMIFS(Hours_Log!$E$5:$E$1004,Hours_Log!$A$5:$A$1004,"&gt;="&amp;$R23,Hours_Log!$A$5:$A$1004,"&lt;"&amp;$R23+Inputs!$C$18,Hours_Log!$B$5:$B$1004,Inputs!$C$30&amp;"*")+SUMIFS(Toggl_Import!$AI$10:$AI$509,Toggl_Import!$AF$10:$AF$509,"&gt;="&amp;$R23,Toggl_Import!$AF$10:$AF$509,"&lt;"&amp;$R23+Inputs!$C$18,Toggl_Import!$AG$10:$AG$509,Inputs!$C$30&amp;"*")</f>
        <v/>
      </c>
    </row>
    <row r="24">
      <c r="A24" s="147" t="n"/>
      <c r="B24" s="98" t="n"/>
      <c r="C24" s="98" t="n"/>
      <c r="D24" s="98" t="n"/>
      <c r="E24" s="148" t="n"/>
      <c r="F24" s="98" t="n"/>
      <c r="Q24" s="29" t="n">
        <v>3</v>
      </c>
      <c r="R24" s="107">
        <f>R23+Inputs!$C$18</f>
        <v/>
      </c>
      <c r="S24" s="112">
        <f>SUMIFS(Hours_Log!$E$5:$E$1004,Hours_Log!$A$5:$A$1004,"&gt;="&amp;$R24,Hours_Log!$A$5:$A$1004,"&lt;"&amp;$R24+Inputs!$C$18,Hours_Log!$D$5:$D$1004,S$21)+SUMIFS(Toggl_Import!$AI$10:$AI$509,Toggl_Import!$AF$10:$AF$509,"&gt;="&amp;$R24,Toggl_Import!$AF$10:$AF$509,"&lt;"&amp;$R24+Inputs!$C$18,Toggl_Import!$AH$10:$AH$509,S$21)</f>
        <v/>
      </c>
      <c r="T24" s="112">
        <f>SUMIFS(Hours_Log!$E$5:$E$1004,Hours_Log!$A$5:$A$1004,"&gt;="&amp;$R24,Hours_Log!$A$5:$A$1004,"&lt;"&amp;$R24+Inputs!$C$18,Hours_Log!$D$5:$D$1004,T$21)+SUMIFS(Toggl_Import!$AI$10:$AI$509,Toggl_Import!$AF$10:$AF$509,"&gt;="&amp;$R24,Toggl_Import!$AF$10:$AF$509,"&lt;"&amp;$R24+Inputs!$C$18,Toggl_Import!$AH$10:$AH$509,T$21)</f>
        <v/>
      </c>
      <c r="U24" s="112">
        <f>SUMIFS(Hours_Log!$E$5:$E$1004,Hours_Log!$A$5:$A$1004,"&gt;="&amp;$R24,Hours_Log!$A$5:$A$1004,"&lt;"&amp;$R24+Inputs!$C$18,Hours_Log!$D$5:$D$1004,U$21)+SUMIFS(Toggl_Import!$AI$10:$AI$509,Toggl_Import!$AF$10:$AF$509,"&gt;="&amp;$R24,Toggl_Import!$AF$10:$AF$509,"&lt;"&amp;$R24+Inputs!$C$18,Toggl_Import!$AH$10:$AH$509,U$21)</f>
        <v/>
      </c>
      <c r="V24" s="112">
        <f>SUMIFS(Hours_Log!$E$5:$E$1004,Hours_Log!$A$5:$A$1004,"&gt;="&amp;$R24,Hours_Log!$A$5:$A$1004,"&lt;"&amp;$R24+Inputs!$C$18,Hours_Log!$D$5:$D$1004,V$21)+SUMIFS(Toggl_Import!$AI$10:$AI$509,Toggl_Import!$AF$10:$AF$509,"&gt;="&amp;$R24,Toggl_Import!$AF$10:$AF$509,"&lt;"&amp;$R24+Inputs!$C$18,Toggl_Import!$AH$10:$AH$509,V$21)</f>
        <v/>
      </c>
      <c r="W24" s="112">
        <f>SUMIFS(Hours_Log!$E$5:$E$1004,Hours_Log!$A$5:$A$1004,"&gt;="&amp;$R24,Hours_Log!$A$5:$A$1004,"&lt;"&amp;$R24+Inputs!$C$18,Hours_Log!$D$5:$D$1004,W$21)+SUMIFS(Toggl_Import!$AI$10:$AI$509,Toggl_Import!$AF$10:$AF$509,"&gt;="&amp;$R24,Toggl_Import!$AF$10:$AF$509,"&lt;"&amp;$R24+Inputs!$C$18,Toggl_Import!$AH$10:$AH$509,W$21)</f>
        <v/>
      </c>
      <c r="X24" s="112">
        <f>SUMIFS(Hours_Log!$E$5:$E$1004,Hours_Log!$A$5:$A$1004,"&gt;="&amp;$R24,Hours_Log!$A$5:$A$1004,"&lt;"&amp;$R24+Inputs!$C$18,Hours_Log!$D$5:$D$1004,X$21)+SUMIFS(Toggl_Import!$AI$10:$AI$509,Toggl_Import!$AF$10:$AF$509,"&gt;="&amp;$R24,Toggl_Import!$AF$10:$AF$509,"&lt;"&amp;$R24+Inputs!$C$18,Toggl_Import!$AH$10:$AH$509,X$21)</f>
        <v/>
      </c>
      <c r="Y24" s="112">
        <f>SUMIFS(Hours_Log!$E$5:$E$1004,Hours_Log!$A$5:$A$1004,"&gt;="&amp;$R24,Hours_Log!$A$5:$A$1004,"&lt;"&amp;$R24+Inputs!$C$18,Hours_Log!$D$5:$D$1004,Y$21)+SUMIFS(Toggl_Import!$AI$10:$AI$509,Toggl_Import!$AF$10:$AF$509,"&gt;="&amp;$R24,Toggl_Import!$AF$10:$AF$509,"&lt;"&amp;$R24+Inputs!$C$18,Toggl_Import!$AH$10:$AH$509,Y$21)</f>
        <v/>
      </c>
      <c r="Z24" s="114">
        <f>SUM(S24:Y24)</f>
        <v/>
      </c>
      <c r="AA24" s="112">
        <f>SUMIFS(Hours_Log!$E$5:$E$1004,Hours_Log!$A$5:$A$1004,"&gt;="&amp;$R24,Hours_Log!$A$5:$A$1004,"&lt;"&amp;$R24+Inputs!$C$18,Hours_Log!$B$5:$B$1004,Inputs!$C$30&amp;"*")+SUMIFS(Toggl_Import!$AI$10:$AI$509,Toggl_Import!$AF$10:$AF$509,"&gt;="&amp;$R24,Toggl_Import!$AF$10:$AF$509,"&lt;"&amp;$R24+Inputs!$C$18,Toggl_Import!$AG$10:$AG$509,Inputs!$C$30&amp;"*")</f>
        <v/>
      </c>
    </row>
    <row r="25">
      <c r="A25" s="147" t="n"/>
      <c r="B25" s="98" t="n"/>
      <c r="C25" s="98" t="n"/>
      <c r="D25" s="98" t="n"/>
      <c r="E25" s="148" t="n"/>
      <c r="F25" s="98" t="n"/>
      <c r="Q25" s="29" t="n">
        <v>4</v>
      </c>
      <c r="R25" s="107">
        <f>R24+Inputs!$C$18</f>
        <v/>
      </c>
      <c r="S25" s="112">
        <f>SUMIFS(Hours_Log!$E$5:$E$1004,Hours_Log!$A$5:$A$1004,"&gt;="&amp;$R25,Hours_Log!$A$5:$A$1004,"&lt;"&amp;$R25+Inputs!$C$18,Hours_Log!$D$5:$D$1004,S$21)+SUMIFS(Toggl_Import!$AI$10:$AI$509,Toggl_Import!$AF$10:$AF$509,"&gt;="&amp;$R25,Toggl_Import!$AF$10:$AF$509,"&lt;"&amp;$R25+Inputs!$C$18,Toggl_Import!$AH$10:$AH$509,S$21)</f>
        <v/>
      </c>
      <c r="T25" s="112">
        <f>SUMIFS(Hours_Log!$E$5:$E$1004,Hours_Log!$A$5:$A$1004,"&gt;="&amp;$R25,Hours_Log!$A$5:$A$1004,"&lt;"&amp;$R25+Inputs!$C$18,Hours_Log!$D$5:$D$1004,T$21)+SUMIFS(Toggl_Import!$AI$10:$AI$509,Toggl_Import!$AF$10:$AF$509,"&gt;="&amp;$R25,Toggl_Import!$AF$10:$AF$509,"&lt;"&amp;$R25+Inputs!$C$18,Toggl_Import!$AH$10:$AH$509,T$21)</f>
        <v/>
      </c>
      <c r="U25" s="112">
        <f>SUMIFS(Hours_Log!$E$5:$E$1004,Hours_Log!$A$5:$A$1004,"&gt;="&amp;$R25,Hours_Log!$A$5:$A$1004,"&lt;"&amp;$R25+Inputs!$C$18,Hours_Log!$D$5:$D$1004,U$21)+SUMIFS(Toggl_Import!$AI$10:$AI$509,Toggl_Import!$AF$10:$AF$509,"&gt;="&amp;$R25,Toggl_Import!$AF$10:$AF$509,"&lt;"&amp;$R25+Inputs!$C$18,Toggl_Import!$AH$10:$AH$509,U$21)</f>
        <v/>
      </c>
      <c r="V25" s="112">
        <f>SUMIFS(Hours_Log!$E$5:$E$1004,Hours_Log!$A$5:$A$1004,"&gt;="&amp;$R25,Hours_Log!$A$5:$A$1004,"&lt;"&amp;$R25+Inputs!$C$18,Hours_Log!$D$5:$D$1004,V$21)+SUMIFS(Toggl_Import!$AI$10:$AI$509,Toggl_Import!$AF$10:$AF$509,"&gt;="&amp;$R25,Toggl_Import!$AF$10:$AF$509,"&lt;"&amp;$R25+Inputs!$C$18,Toggl_Import!$AH$10:$AH$509,V$21)</f>
        <v/>
      </c>
      <c r="W25" s="112">
        <f>SUMIFS(Hours_Log!$E$5:$E$1004,Hours_Log!$A$5:$A$1004,"&gt;="&amp;$R25,Hours_Log!$A$5:$A$1004,"&lt;"&amp;$R25+Inputs!$C$18,Hours_Log!$D$5:$D$1004,W$21)+SUMIFS(Toggl_Import!$AI$10:$AI$509,Toggl_Import!$AF$10:$AF$509,"&gt;="&amp;$R25,Toggl_Import!$AF$10:$AF$509,"&lt;"&amp;$R25+Inputs!$C$18,Toggl_Import!$AH$10:$AH$509,W$21)</f>
        <v/>
      </c>
      <c r="X25" s="112">
        <f>SUMIFS(Hours_Log!$E$5:$E$1004,Hours_Log!$A$5:$A$1004,"&gt;="&amp;$R25,Hours_Log!$A$5:$A$1004,"&lt;"&amp;$R25+Inputs!$C$18,Hours_Log!$D$5:$D$1004,X$21)+SUMIFS(Toggl_Import!$AI$10:$AI$509,Toggl_Import!$AF$10:$AF$509,"&gt;="&amp;$R25,Toggl_Import!$AF$10:$AF$509,"&lt;"&amp;$R25+Inputs!$C$18,Toggl_Import!$AH$10:$AH$509,X$21)</f>
        <v/>
      </c>
      <c r="Y25" s="112">
        <f>SUMIFS(Hours_Log!$E$5:$E$1004,Hours_Log!$A$5:$A$1004,"&gt;="&amp;$R25,Hours_Log!$A$5:$A$1004,"&lt;"&amp;$R25+Inputs!$C$18,Hours_Log!$D$5:$D$1004,Y$21)+SUMIFS(Toggl_Import!$AI$10:$AI$509,Toggl_Import!$AF$10:$AF$509,"&gt;="&amp;$R25,Toggl_Import!$AF$10:$AF$509,"&lt;"&amp;$R25+Inputs!$C$18,Toggl_Import!$AH$10:$AH$509,Y$21)</f>
        <v/>
      </c>
      <c r="Z25" s="114">
        <f>SUM(S25:Y25)</f>
        <v/>
      </c>
      <c r="AA25" s="112">
        <f>SUMIFS(Hours_Log!$E$5:$E$1004,Hours_Log!$A$5:$A$1004,"&gt;="&amp;$R25,Hours_Log!$A$5:$A$1004,"&lt;"&amp;$R25+Inputs!$C$18,Hours_Log!$B$5:$B$1004,Inputs!$C$30&amp;"*")+SUMIFS(Toggl_Import!$AI$10:$AI$509,Toggl_Import!$AF$10:$AF$509,"&gt;="&amp;$R25,Toggl_Import!$AF$10:$AF$509,"&lt;"&amp;$R25+Inputs!$C$18,Toggl_Import!$AG$10:$AG$509,Inputs!$C$30&amp;"*")</f>
        <v/>
      </c>
    </row>
    <row r="26">
      <c r="A26" s="147" t="n"/>
      <c r="B26" s="98" t="n"/>
      <c r="C26" s="98" t="n"/>
      <c r="D26" s="98" t="n"/>
      <c r="E26" s="148" t="n"/>
      <c r="F26" s="98" t="n"/>
      <c r="Q26" s="29" t="n">
        <v>5</v>
      </c>
      <c r="R26" s="107">
        <f>R25+Inputs!$C$18</f>
        <v/>
      </c>
      <c r="S26" s="112">
        <f>SUMIFS(Hours_Log!$E$5:$E$1004,Hours_Log!$A$5:$A$1004,"&gt;="&amp;$R26,Hours_Log!$A$5:$A$1004,"&lt;"&amp;$R26+Inputs!$C$18,Hours_Log!$D$5:$D$1004,S$21)+SUMIFS(Toggl_Import!$AI$10:$AI$509,Toggl_Import!$AF$10:$AF$509,"&gt;="&amp;$R26,Toggl_Import!$AF$10:$AF$509,"&lt;"&amp;$R26+Inputs!$C$18,Toggl_Import!$AH$10:$AH$509,S$21)</f>
        <v/>
      </c>
      <c r="T26" s="112">
        <f>SUMIFS(Hours_Log!$E$5:$E$1004,Hours_Log!$A$5:$A$1004,"&gt;="&amp;$R26,Hours_Log!$A$5:$A$1004,"&lt;"&amp;$R26+Inputs!$C$18,Hours_Log!$D$5:$D$1004,T$21)+SUMIFS(Toggl_Import!$AI$10:$AI$509,Toggl_Import!$AF$10:$AF$509,"&gt;="&amp;$R26,Toggl_Import!$AF$10:$AF$509,"&lt;"&amp;$R26+Inputs!$C$18,Toggl_Import!$AH$10:$AH$509,T$21)</f>
        <v/>
      </c>
      <c r="U26" s="112">
        <f>SUMIFS(Hours_Log!$E$5:$E$1004,Hours_Log!$A$5:$A$1004,"&gt;="&amp;$R26,Hours_Log!$A$5:$A$1004,"&lt;"&amp;$R26+Inputs!$C$18,Hours_Log!$D$5:$D$1004,U$21)+SUMIFS(Toggl_Import!$AI$10:$AI$509,Toggl_Import!$AF$10:$AF$509,"&gt;="&amp;$R26,Toggl_Import!$AF$10:$AF$509,"&lt;"&amp;$R26+Inputs!$C$18,Toggl_Import!$AH$10:$AH$509,U$21)</f>
        <v/>
      </c>
      <c r="V26" s="112">
        <f>SUMIFS(Hours_Log!$E$5:$E$1004,Hours_Log!$A$5:$A$1004,"&gt;="&amp;$R26,Hours_Log!$A$5:$A$1004,"&lt;"&amp;$R26+Inputs!$C$18,Hours_Log!$D$5:$D$1004,V$21)+SUMIFS(Toggl_Import!$AI$10:$AI$509,Toggl_Import!$AF$10:$AF$509,"&gt;="&amp;$R26,Toggl_Import!$AF$10:$AF$509,"&lt;"&amp;$R26+Inputs!$C$18,Toggl_Import!$AH$10:$AH$509,V$21)</f>
        <v/>
      </c>
      <c r="W26" s="112">
        <f>SUMIFS(Hours_Log!$E$5:$E$1004,Hours_Log!$A$5:$A$1004,"&gt;="&amp;$R26,Hours_Log!$A$5:$A$1004,"&lt;"&amp;$R26+Inputs!$C$18,Hours_Log!$D$5:$D$1004,W$21)+SUMIFS(Toggl_Import!$AI$10:$AI$509,Toggl_Import!$AF$10:$AF$509,"&gt;="&amp;$R26,Toggl_Import!$AF$10:$AF$509,"&lt;"&amp;$R26+Inputs!$C$18,Toggl_Import!$AH$10:$AH$509,W$21)</f>
        <v/>
      </c>
      <c r="X26" s="112">
        <f>SUMIFS(Hours_Log!$E$5:$E$1004,Hours_Log!$A$5:$A$1004,"&gt;="&amp;$R26,Hours_Log!$A$5:$A$1004,"&lt;"&amp;$R26+Inputs!$C$18,Hours_Log!$D$5:$D$1004,X$21)+SUMIFS(Toggl_Import!$AI$10:$AI$509,Toggl_Import!$AF$10:$AF$509,"&gt;="&amp;$R26,Toggl_Import!$AF$10:$AF$509,"&lt;"&amp;$R26+Inputs!$C$18,Toggl_Import!$AH$10:$AH$509,X$21)</f>
        <v/>
      </c>
      <c r="Y26" s="112">
        <f>SUMIFS(Hours_Log!$E$5:$E$1004,Hours_Log!$A$5:$A$1004,"&gt;="&amp;$R26,Hours_Log!$A$5:$A$1004,"&lt;"&amp;$R26+Inputs!$C$18,Hours_Log!$D$5:$D$1004,Y$21)+SUMIFS(Toggl_Import!$AI$10:$AI$509,Toggl_Import!$AF$10:$AF$509,"&gt;="&amp;$R26,Toggl_Import!$AF$10:$AF$509,"&lt;"&amp;$R26+Inputs!$C$18,Toggl_Import!$AH$10:$AH$509,Y$21)</f>
        <v/>
      </c>
      <c r="Z26" s="114">
        <f>SUM(S26:Y26)</f>
        <v/>
      </c>
      <c r="AA26" s="112">
        <f>SUMIFS(Hours_Log!$E$5:$E$1004,Hours_Log!$A$5:$A$1004,"&gt;="&amp;$R26,Hours_Log!$A$5:$A$1004,"&lt;"&amp;$R26+Inputs!$C$18,Hours_Log!$B$5:$B$1004,Inputs!$C$30&amp;"*")+SUMIFS(Toggl_Import!$AI$10:$AI$509,Toggl_Import!$AF$10:$AF$509,"&gt;="&amp;$R26,Toggl_Import!$AF$10:$AF$509,"&lt;"&amp;$R26+Inputs!$C$18,Toggl_Import!$AG$10:$AG$509,Inputs!$C$30&amp;"*")</f>
        <v/>
      </c>
    </row>
    <row r="27">
      <c r="A27" s="147" t="n"/>
      <c r="B27" s="98" t="n"/>
      <c r="C27" s="98" t="n"/>
      <c r="D27" s="98" t="n"/>
      <c r="E27" s="148" t="n"/>
      <c r="F27" s="98" t="n"/>
      <c r="Q27" s="29" t="n">
        <v>6</v>
      </c>
      <c r="R27" s="107">
        <f>R26+Inputs!$C$18</f>
        <v/>
      </c>
      <c r="S27" s="112">
        <f>SUMIFS(Hours_Log!$E$5:$E$1004,Hours_Log!$A$5:$A$1004,"&gt;="&amp;$R27,Hours_Log!$A$5:$A$1004,"&lt;"&amp;$R27+Inputs!$C$18,Hours_Log!$D$5:$D$1004,S$21)+SUMIFS(Toggl_Import!$AI$10:$AI$509,Toggl_Import!$AF$10:$AF$509,"&gt;="&amp;$R27,Toggl_Import!$AF$10:$AF$509,"&lt;"&amp;$R27+Inputs!$C$18,Toggl_Import!$AH$10:$AH$509,S$21)</f>
        <v/>
      </c>
      <c r="T27" s="112">
        <f>SUMIFS(Hours_Log!$E$5:$E$1004,Hours_Log!$A$5:$A$1004,"&gt;="&amp;$R27,Hours_Log!$A$5:$A$1004,"&lt;"&amp;$R27+Inputs!$C$18,Hours_Log!$D$5:$D$1004,T$21)+SUMIFS(Toggl_Import!$AI$10:$AI$509,Toggl_Import!$AF$10:$AF$509,"&gt;="&amp;$R27,Toggl_Import!$AF$10:$AF$509,"&lt;"&amp;$R27+Inputs!$C$18,Toggl_Import!$AH$10:$AH$509,T$21)</f>
        <v/>
      </c>
      <c r="U27" s="112">
        <f>SUMIFS(Hours_Log!$E$5:$E$1004,Hours_Log!$A$5:$A$1004,"&gt;="&amp;$R27,Hours_Log!$A$5:$A$1004,"&lt;"&amp;$R27+Inputs!$C$18,Hours_Log!$D$5:$D$1004,U$21)+SUMIFS(Toggl_Import!$AI$10:$AI$509,Toggl_Import!$AF$10:$AF$509,"&gt;="&amp;$R27,Toggl_Import!$AF$10:$AF$509,"&lt;"&amp;$R27+Inputs!$C$18,Toggl_Import!$AH$10:$AH$509,U$21)</f>
        <v/>
      </c>
      <c r="V27" s="112">
        <f>SUMIFS(Hours_Log!$E$5:$E$1004,Hours_Log!$A$5:$A$1004,"&gt;="&amp;$R27,Hours_Log!$A$5:$A$1004,"&lt;"&amp;$R27+Inputs!$C$18,Hours_Log!$D$5:$D$1004,V$21)+SUMIFS(Toggl_Import!$AI$10:$AI$509,Toggl_Import!$AF$10:$AF$509,"&gt;="&amp;$R27,Toggl_Import!$AF$10:$AF$509,"&lt;"&amp;$R27+Inputs!$C$18,Toggl_Import!$AH$10:$AH$509,V$21)</f>
        <v/>
      </c>
      <c r="W27" s="112">
        <f>SUMIFS(Hours_Log!$E$5:$E$1004,Hours_Log!$A$5:$A$1004,"&gt;="&amp;$R27,Hours_Log!$A$5:$A$1004,"&lt;"&amp;$R27+Inputs!$C$18,Hours_Log!$D$5:$D$1004,W$21)+SUMIFS(Toggl_Import!$AI$10:$AI$509,Toggl_Import!$AF$10:$AF$509,"&gt;="&amp;$R27,Toggl_Import!$AF$10:$AF$509,"&lt;"&amp;$R27+Inputs!$C$18,Toggl_Import!$AH$10:$AH$509,W$21)</f>
        <v/>
      </c>
      <c r="X27" s="112">
        <f>SUMIFS(Hours_Log!$E$5:$E$1004,Hours_Log!$A$5:$A$1004,"&gt;="&amp;$R27,Hours_Log!$A$5:$A$1004,"&lt;"&amp;$R27+Inputs!$C$18,Hours_Log!$D$5:$D$1004,X$21)+SUMIFS(Toggl_Import!$AI$10:$AI$509,Toggl_Import!$AF$10:$AF$509,"&gt;="&amp;$R27,Toggl_Import!$AF$10:$AF$509,"&lt;"&amp;$R27+Inputs!$C$18,Toggl_Import!$AH$10:$AH$509,X$21)</f>
        <v/>
      </c>
      <c r="Y27" s="112">
        <f>SUMIFS(Hours_Log!$E$5:$E$1004,Hours_Log!$A$5:$A$1004,"&gt;="&amp;$R27,Hours_Log!$A$5:$A$1004,"&lt;"&amp;$R27+Inputs!$C$18,Hours_Log!$D$5:$D$1004,Y$21)+SUMIFS(Toggl_Import!$AI$10:$AI$509,Toggl_Import!$AF$10:$AF$509,"&gt;="&amp;$R27,Toggl_Import!$AF$10:$AF$509,"&lt;"&amp;$R27+Inputs!$C$18,Toggl_Import!$AH$10:$AH$509,Y$21)</f>
        <v/>
      </c>
      <c r="Z27" s="114">
        <f>SUM(S27:Y27)</f>
        <v/>
      </c>
      <c r="AA27" s="112">
        <f>SUMIFS(Hours_Log!$E$5:$E$1004,Hours_Log!$A$5:$A$1004,"&gt;="&amp;$R27,Hours_Log!$A$5:$A$1004,"&lt;"&amp;$R27+Inputs!$C$18,Hours_Log!$B$5:$B$1004,Inputs!$C$30&amp;"*")+SUMIFS(Toggl_Import!$AI$10:$AI$509,Toggl_Import!$AF$10:$AF$509,"&gt;="&amp;$R27,Toggl_Import!$AF$10:$AF$509,"&lt;"&amp;$R27+Inputs!$C$18,Toggl_Import!$AG$10:$AG$509,Inputs!$C$30&amp;"*")</f>
        <v/>
      </c>
    </row>
    <row r="28">
      <c r="A28" s="147" t="n"/>
      <c r="B28" s="98" t="n"/>
      <c r="C28" s="98" t="n"/>
      <c r="D28" s="98" t="n"/>
      <c r="E28" s="148" t="n"/>
      <c r="F28" s="98" t="n"/>
      <c r="Q28" s="29" t="n">
        <v>7</v>
      </c>
      <c r="R28" s="107">
        <f>R27+Inputs!$C$18</f>
        <v/>
      </c>
      <c r="S28" s="112">
        <f>SUMIFS(Hours_Log!$E$5:$E$1004,Hours_Log!$A$5:$A$1004,"&gt;="&amp;$R28,Hours_Log!$A$5:$A$1004,"&lt;"&amp;$R28+Inputs!$C$18,Hours_Log!$D$5:$D$1004,S$21)+SUMIFS(Toggl_Import!$AI$10:$AI$509,Toggl_Import!$AF$10:$AF$509,"&gt;="&amp;$R28,Toggl_Import!$AF$10:$AF$509,"&lt;"&amp;$R28+Inputs!$C$18,Toggl_Import!$AH$10:$AH$509,S$21)</f>
        <v/>
      </c>
      <c r="T28" s="112">
        <f>SUMIFS(Hours_Log!$E$5:$E$1004,Hours_Log!$A$5:$A$1004,"&gt;="&amp;$R28,Hours_Log!$A$5:$A$1004,"&lt;"&amp;$R28+Inputs!$C$18,Hours_Log!$D$5:$D$1004,T$21)+SUMIFS(Toggl_Import!$AI$10:$AI$509,Toggl_Import!$AF$10:$AF$509,"&gt;="&amp;$R28,Toggl_Import!$AF$10:$AF$509,"&lt;"&amp;$R28+Inputs!$C$18,Toggl_Import!$AH$10:$AH$509,T$21)</f>
        <v/>
      </c>
      <c r="U28" s="112">
        <f>SUMIFS(Hours_Log!$E$5:$E$1004,Hours_Log!$A$5:$A$1004,"&gt;="&amp;$R28,Hours_Log!$A$5:$A$1004,"&lt;"&amp;$R28+Inputs!$C$18,Hours_Log!$D$5:$D$1004,U$21)+SUMIFS(Toggl_Import!$AI$10:$AI$509,Toggl_Import!$AF$10:$AF$509,"&gt;="&amp;$R28,Toggl_Import!$AF$10:$AF$509,"&lt;"&amp;$R28+Inputs!$C$18,Toggl_Import!$AH$10:$AH$509,U$21)</f>
        <v/>
      </c>
      <c r="V28" s="112">
        <f>SUMIFS(Hours_Log!$E$5:$E$1004,Hours_Log!$A$5:$A$1004,"&gt;="&amp;$R28,Hours_Log!$A$5:$A$1004,"&lt;"&amp;$R28+Inputs!$C$18,Hours_Log!$D$5:$D$1004,V$21)+SUMIFS(Toggl_Import!$AI$10:$AI$509,Toggl_Import!$AF$10:$AF$509,"&gt;="&amp;$R28,Toggl_Import!$AF$10:$AF$509,"&lt;"&amp;$R28+Inputs!$C$18,Toggl_Import!$AH$10:$AH$509,V$21)</f>
        <v/>
      </c>
      <c r="W28" s="112">
        <f>SUMIFS(Hours_Log!$E$5:$E$1004,Hours_Log!$A$5:$A$1004,"&gt;="&amp;$R28,Hours_Log!$A$5:$A$1004,"&lt;"&amp;$R28+Inputs!$C$18,Hours_Log!$D$5:$D$1004,W$21)+SUMIFS(Toggl_Import!$AI$10:$AI$509,Toggl_Import!$AF$10:$AF$509,"&gt;="&amp;$R28,Toggl_Import!$AF$10:$AF$509,"&lt;"&amp;$R28+Inputs!$C$18,Toggl_Import!$AH$10:$AH$509,W$21)</f>
        <v/>
      </c>
      <c r="X28" s="112">
        <f>SUMIFS(Hours_Log!$E$5:$E$1004,Hours_Log!$A$5:$A$1004,"&gt;="&amp;$R28,Hours_Log!$A$5:$A$1004,"&lt;"&amp;$R28+Inputs!$C$18,Hours_Log!$D$5:$D$1004,X$21)+SUMIFS(Toggl_Import!$AI$10:$AI$509,Toggl_Import!$AF$10:$AF$509,"&gt;="&amp;$R28,Toggl_Import!$AF$10:$AF$509,"&lt;"&amp;$R28+Inputs!$C$18,Toggl_Import!$AH$10:$AH$509,X$21)</f>
        <v/>
      </c>
      <c r="Y28" s="112">
        <f>SUMIFS(Hours_Log!$E$5:$E$1004,Hours_Log!$A$5:$A$1004,"&gt;="&amp;$R28,Hours_Log!$A$5:$A$1004,"&lt;"&amp;$R28+Inputs!$C$18,Hours_Log!$D$5:$D$1004,Y$21)+SUMIFS(Toggl_Import!$AI$10:$AI$509,Toggl_Import!$AF$10:$AF$509,"&gt;="&amp;$R28,Toggl_Import!$AF$10:$AF$509,"&lt;"&amp;$R28+Inputs!$C$18,Toggl_Import!$AH$10:$AH$509,Y$21)</f>
        <v/>
      </c>
      <c r="Z28" s="114">
        <f>SUM(S28:Y28)</f>
        <v/>
      </c>
      <c r="AA28" s="112">
        <f>SUMIFS(Hours_Log!$E$5:$E$1004,Hours_Log!$A$5:$A$1004,"&gt;="&amp;$R28,Hours_Log!$A$5:$A$1004,"&lt;"&amp;$R28+Inputs!$C$18,Hours_Log!$B$5:$B$1004,Inputs!$C$30&amp;"*")+SUMIFS(Toggl_Import!$AI$10:$AI$509,Toggl_Import!$AF$10:$AF$509,"&gt;="&amp;$R28,Toggl_Import!$AF$10:$AF$509,"&lt;"&amp;$R28+Inputs!$C$18,Toggl_Import!$AG$10:$AG$509,Inputs!$C$30&amp;"*")</f>
        <v/>
      </c>
    </row>
    <row r="29">
      <c r="A29" s="147" t="n"/>
      <c r="B29" s="98" t="n"/>
      <c r="C29" s="98" t="n"/>
      <c r="D29" s="98" t="n"/>
      <c r="E29" s="148" t="n"/>
      <c r="F29" s="98" t="n"/>
      <c r="Q29" s="29" t="n">
        <v>8</v>
      </c>
      <c r="R29" s="107">
        <f>R28+Inputs!$C$18</f>
        <v/>
      </c>
      <c r="S29" s="112">
        <f>SUMIFS(Hours_Log!$E$5:$E$1004,Hours_Log!$A$5:$A$1004,"&gt;="&amp;$R29,Hours_Log!$A$5:$A$1004,"&lt;"&amp;$R29+Inputs!$C$18,Hours_Log!$D$5:$D$1004,S$21)+SUMIFS(Toggl_Import!$AI$10:$AI$509,Toggl_Import!$AF$10:$AF$509,"&gt;="&amp;$R29,Toggl_Import!$AF$10:$AF$509,"&lt;"&amp;$R29+Inputs!$C$18,Toggl_Import!$AH$10:$AH$509,S$21)</f>
        <v/>
      </c>
      <c r="T29" s="112">
        <f>SUMIFS(Hours_Log!$E$5:$E$1004,Hours_Log!$A$5:$A$1004,"&gt;="&amp;$R29,Hours_Log!$A$5:$A$1004,"&lt;"&amp;$R29+Inputs!$C$18,Hours_Log!$D$5:$D$1004,T$21)+SUMIFS(Toggl_Import!$AI$10:$AI$509,Toggl_Import!$AF$10:$AF$509,"&gt;="&amp;$R29,Toggl_Import!$AF$10:$AF$509,"&lt;"&amp;$R29+Inputs!$C$18,Toggl_Import!$AH$10:$AH$509,T$21)</f>
        <v/>
      </c>
      <c r="U29" s="112">
        <f>SUMIFS(Hours_Log!$E$5:$E$1004,Hours_Log!$A$5:$A$1004,"&gt;="&amp;$R29,Hours_Log!$A$5:$A$1004,"&lt;"&amp;$R29+Inputs!$C$18,Hours_Log!$D$5:$D$1004,U$21)+SUMIFS(Toggl_Import!$AI$10:$AI$509,Toggl_Import!$AF$10:$AF$509,"&gt;="&amp;$R29,Toggl_Import!$AF$10:$AF$509,"&lt;"&amp;$R29+Inputs!$C$18,Toggl_Import!$AH$10:$AH$509,U$21)</f>
        <v/>
      </c>
      <c r="V29" s="112">
        <f>SUMIFS(Hours_Log!$E$5:$E$1004,Hours_Log!$A$5:$A$1004,"&gt;="&amp;$R29,Hours_Log!$A$5:$A$1004,"&lt;"&amp;$R29+Inputs!$C$18,Hours_Log!$D$5:$D$1004,V$21)+SUMIFS(Toggl_Import!$AI$10:$AI$509,Toggl_Import!$AF$10:$AF$509,"&gt;="&amp;$R29,Toggl_Import!$AF$10:$AF$509,"&lt;"&amp;$R29+Inputs!$C$18,Toggl_Import!$AH$10:$AH$509,V$21)</f>
        <v/>
      </c>
      <c r="W29" s="112">
        <f>SUMIFS(Hours_Log!$E$5:$E$1004,Hours_Log!$A$5:$A$1004,"&gt;="&amp;$R29,Hours_Log!$A$5:$A$1004,"&lt;"&amp;$R29+Inputs!$C$18,Hours_Log!$D$5:$D$1004,W$21)+SUMIFS(Toggl_Import!$AI$10:$AI$509,Toggl_Import!$AF$10:$AF$509,"&gt;="&amp;$R29,Toggl_Import!$AF$10:$AF$509,"&lt;"&amp;$R29+Inputs!$C$18,Toggl_Import!$AH$10:$AH$509,W$21)</f>
        <v/>
      </c>
      <c r="X29" s="112">
        <f>SUMIFS(Hours_Log!$E$5:$E$1004,Hours_Log!$A$5:$A$1004,"&gt;="&amp;$R29,Hours_Log!$A$5:$A$1004,"&lt;"&amp;$R29+Inputs!$C$18,Hours_Log!$D$5:$D$1004,X$21)+SUMIFS(Toggl_Import!$AI$10:$AI$509,Toggl_Import!$AF$10:$AF$509,"&gt;="&amp;$R29,Toggl_Import!$AF$10:$AF$509,"&lt;"&amp;$R29+Inputs!$C$18,Toggl_Import!$AH$10:$AH$509,X$21)</f>
        <v/>
      </c>
      <c r="Y29" s="112">
        <f>SUMIFS(Hours_Log!$E$5:$E$1004,Hours_Log!$A$5:$A$1004,"&gt;="&amp;$R29,Hours_Log!$A$5:$A$1004,"&lt;"&amp;$R29+Inputs!$C$18,Hours_Log!$D$5:$D$1004,Y$21)+SUMIFS(Toggl_Import!$AI$10:$AI$509,Toggl_Import!$AF$10:$AF$509,"&gt;="&amp;$R29,Toggl_Import!$AF$10:$AF$509,"&lt;"&amp;$R29+Inputs!$C$18,Toggl_Import!$AH$10:$AH$509,Y$21)</f>
        <v/>
      </c>
      <c r="Z29" s="114">
        <f>SUM(S29:Y29)</f>
        <v/>
      </c>
      <c r="AA29" s="112">
        <f>SUMIFS(Hours_Log!$E$5:$E$1004,Hours_Log!$A$5:$A$1004,"&gt;="&amp;$R29,Hours_Log!$A$5:$A$1004,"&lt;"&amp;$R29+Inputs!$C$18,Hours_Log!$B$5:$B$1004,Inputs!$C$30&amp;"*")+SUMIFS(Toggl_Import!$AI$10:$AI$509,Toggl_Import!$AF$10:$AF$509,"&gt;="&amp;$R29,Toggl_Import!$AF$10:$AF$509,"&lt;"&amp;$R29+Inputs!$C$18,Toggl_Import!$AG$10:$AG$509,Inputs!$C$30&amp;"*")</f>
        <v/>
      </c>
    </row>
    <row r="30">
      <c r="A30" s="147" t="n"/>
      <c r="B30" s="98" t="n"/>
      <c r="C30" s="98" t="n"/>
      <c r="D30" s="98" t="n"/>
      <c r="E30" s="148" t="n"/>
      <c r="F30" s="98" t="n"/>
      <c r="Q30" s="29" t="n">
        <v>9</v>
      </c>
      <c r="R30" s="107">
        <f>R29+Inputs!$C$18</f>
        <v/>
      </c>
      <c r="S30" s="112">
        <f>SUMIFS(Hours_Log!$E$5:$E$1004,Hours_Log!$A$5:$A$1004,"&gt;="&amp;$R30,Hours_Log!$A$5:$A$1004,"&lt;"&amp;$R30+Inputs!$C$18,Hours_Log!$D$5:$D$1004,S$21)+SUMIFS(Toggl_Import!$AI$10:$AI$509,Toggl_Import!$AF$10:$AF$509,"&gt;="&amp;$R30,Toggl_Import!$AF$10:$AF$509,"&lt;"&amp;$R30+Inputs!$C$18,Toggl_Import!$AH$10:$AH$509,S$21)</f>
        <v/>
      </c>
      <c r="T30" s="112">
        <f>SUMIFS(Hours_Log!$E$5:$E$1004,Hours_Log!$A$5:$A$1004,"&gt;="&amp;$R30,Hours_Log!$A$5:$A$1004,"&lt;"&amp;$R30+Inputs!$C$18,Hours_Log!$D$5:$D$1004,T$21)+SUMIFS(Toggl_Import!$AI$10:$AI$509,Toggl_Import!$AF$10:$AF$509,"&gt;="&amp;$R30,Toggl_Import!$AF$10:$AF$509,"&lt;"&amp;$R30+Inputs!$C$18,Toggl_Import!$AH$10:$AH$509,T$21)</f>
        <v/>
      </c>
      <c r="U30" s="112">
        <f>SUMIFS(Hours_Log!$E$5:$E$1004,Hours_Log!$A$5:$A$1004,"&gt;="&amp;$R30,Hours_Log!$A$5:$A$1004,"&lt;"&amp;$R30+Inputs!$C$18,Hours_Log!$D$5:$D$1004,U$21)+SUMIFS(Toggl_Import!$AI$10:$AI$509,Toggl_Import!$AF$10:$AF$509,"&gt;="&amp;$R30,Toggl_Import!$AF$10:$AF$509,"&lt;"&amp;$R30+Inputs!$C$18,Toggl_Import!$AH$10:$AH$509,U$21)</f>
        <v/>
      </c>
      <c r="V30" s="112">
        <f>SUMIFS(Hours_Log!$E$5:$E$1004,Hours_Log!$A$5:$A$1004,"&gt;="&amp;$R30,Hours_Log!$A$5:$A$1004,"&lt;"&amp;$R30+Inputs!$C$18,Hours_Log!$D$5:$D$1004,V$21)+SUMIFS(Toggl_Import!$AI$10:$AI$509,Toggl_Import!$AF$10:$AF$509,"&gt;="&amp;$R30,Toggl_Import!$AF$10:$AF$509,"&lt;"&amp;$R30+Inputs!$C$18,Toggl_Import!$AH$10:$AH$509,V$21)</f>
        <v/>
      </c>
      <c r="W30" s="112">
        <f>SUMIFS(Hours_Log!$E$5:$E$1004,Hours_Log!$A$5:$A$1004,"&gt;="&amp;$R30,Hours_Log!$A$5:$A$1004,"&lt;"&amp;$R30+Inputs!$C$18,Hours_Log!$D$5:$D$1004,W$21)+SUMIFS(Toggl_Import!$AI$10:$AI$509,Toggl_Import!$AF$10:$AF$509,"&gt;="&amp;$R30,Toggl_Import!$AF$10:$AF$509,"&lt;"&amp;$R30+Inputs!$C$18,Toggl_Import!$AH$10:$AH$509,W$21)</f>
        <v/>
      </c>
      <c r="X30" s="112">
        <f>SUMIFS(Hours_Log!$E$5:$E$1004,Hours_Log!$A$5:$A$1004,"&gt;="&amp;$R30,Hours_Log!$A$5:$A$1004,"&lt;"&amp;$R30+Inputs!$C$18,Hours_Log!$D$5:$D$1004,X$21)+SUMIFS(Toggl_Import!$AI$10:$AI$509,Toggl_Import!$AF$10:$AF$509,"&gt;="&amp;$R30,Toggl_Import!$AF$10:$AF$509,"&lt;"&amp;$R30+Inputs!$C$18,Toggl_Import!$AH$10:$AH$509,X$21)</f>
        <v/>
      </c>
      <c r="Y30" s="112">
        <f>SUMIFS(Hours_Log!$E$5:$E$1004,Hours_Log!$A$5:$A$1004,"&gt;="&amp;$R30,Hours_Log!$A$5:$A$1004,"&lt;"&amp;$R30+Inputs!$C$18,Hours_Log!$D$5:$D$1004,Y$21)+SUMIFS(Toggl_Import!$AI$10:$AI$509,Toggl_Import!$AF$10:$AF$509,"&gt;="&amp;$R30,Toggl_Import!$AF$10:$AF$509,"&lt;"&amp;$R30+Inputs!$C$18,Toggl_Import!$AH$10:$AH$509,Y$21)</f>
        <v/>
      </c>
      <c r="Z30" s="114">
        <f>SUM(S30:Y30)</f>
        <v/>
      </c>
      <c r="AA30" s="112">
        <f>SUMIFS(Hours_Log!$E$5:$E$1004,Hours_Log!$A$5:$A$1004,"&gt;="&amp;$R30,Hours_Log!$A$5:$A$1004,"&lt;"&amp;$R30+Inputs!$C$18,Hours_Log!$B$5:$B$1004,Inputs!$C$30&amp;"*")+SUMIFS(Toggl_Import!$AI$10:$AI$509,Toggl_Import!$AF$10:$AF$509,"&gt;="&amp;$R30,Toggl_Import!$AF$10:$AF$509,"&lt;"&amp;$R30+Inputs!$C$18,Toggl_Import!$AG$10:$AG$509,Inputs!$C$30&amp;"*")</f>
        <v/>
      </c>
    </row>
    <row r="31">
      <c r="A31" s="147" t="n"/>
      <c r="B31" s="98" t="n"/>
      <c r="C31" s="98" t="n"/>
      <c r="D31" s="98" t="n"/>
      <c r="E31" s="148" t="n"/>
      <c r="F31" s="98" t="n"/>
      <c r="Q31" s="29" t="n">
        <v>10</v>
      </c>
      <c r="R31" s="107">
        <f>R30+Inputs!$C$18</f>
        <v/>
      </c>
      <c r="S31" s="112">
        <f>SUMIFS(Hours_Log!$E$5:$E$1004,Hours_Log!$A$5:$A$1004,"&gt;="&amp;$R31,Hours_Log!$A$5:$A$1004,"&lt;"&amp;$R31+Inputs!$C$18,Hours_Log!$D$5:$D$1004,S$21)+SUMIFS(Toggl_Import!$AI$10:$AI$509,Toggl_Import!$AF$10:$AF$509,"&gt;="&amp;$R31,Toggl_Import!$AF$10:$AF$509,"&lt;"&amp;$R31+Inputs!$C$18,Toggl_Import!$AH$10:$AH$509,S$21)</f>
        <v/>
      </c>
      <c r="T31" s="112">
        <f>SUMIFS(Hours_Log!$E$5:$E$1004,Hours_Log!$A$5:$A$1004,"&gt;="&amp;$R31,Hours_Log!$A$5:$A$1004,"&lt;"&amp;$R31+Inputs!$C$18,Hours_Log!$D$5:$D$1004,T$21)+SUMIFS(Toggl_Import!$AI$10:$AI$509,Toggl_Import!$AF$10:$AF$509,"&gt;="&amp;$R31,Toggl_Import!$AF$10:$AF$509,"&lt;"&amp;$R31+Inputs!$C$18,Toggl_Import!$AH$10:$AH$509,T$21)</f>
        <v/>
      </c>
      <c r="U31" s="112">
        <f>SUMIFS(Hours_Log!$E$5:$E$1004,Hours_Log!$A$5:$A$1004,"&gt;="&amp;$R31,Hours_Log!$A$5:$A$1004,"&lt;"&amp;$R31+Inputs!$C$18,Hours_Log!$D$5:$D$1004,U$21)+SUMIFS(Toggl_Import!$AI$10:$AI$509,Toggl_Import!$AF$10:$AF$509,"&gt;="&amp;$R31,Toggl_Import!$AF$10:$AF$509,"&lt;"&amp;$R31+Inputs!$C$18,Toggl_Import!$AH$10:$AH$509,U$21)</f>
        <v/>
      </c>
      <c r="V31" s="112">
        <f>SUMIFS(Hours_Log!$E$5:$E$1004,Hours_Log!$A$5:$A$1004,"&gt;="&amp;$R31,Hours_Log!$A$5:$A$1004,"&lt;"&amp;$R31+Inputs!$C$18,Hours_Log!$D$5:$D$1004,V$21)+SUMIFS(Toggl_Import!$AI$10:$AI$509,Toggl_Import!$AF$10:$AF$509,"&gt;="&amp;$R31,Toggl_Import!$AF$10:$AF$509,"&lt;"&amp;$R31+Inputs!$C$18,Toggl_Import!$AH$10:$AH$509,V$21)</f>
        <v/>
      </c>
      <c r="W31" s="112">
        <f>SUMIFS(Hours_Log!$E$5:$E$1004,Hours_Log!$A$5:$A$1004,"&gt;="&amp;$R31,Hours_Log!$A$5:$A$1004,"&lt;"&amp;$R31+Inputs!$C$18,Hours_Log!$D$5:$D$1004,W$21)+SUMIFS(Toggl_Import!$AI$10:$AI$509,Toggl_Import!$AF$10:$AF$509,"&gt;="&amp;$R31,Toggl_Import!$AF$10:$AF$509,"&lt;"&amp;$R31+Inputs!$C$18,Toggl_Import!$AH$10:$AH$509,W$21)</f>
        <v/>
      </c>
      <c r="X31" s="112">
        <f>SUMIFS(Hours_Log!$E$5:$E$1004,Hours_Log!$A$5:$A$1004,"&gt;="&amp;$R31,Hours_Log!$A$5:$A$1004,"&lt;"&amp;$R31+Inputs!$C$18,Hours_Log!$D$5:$D$1004,X$21)+SUMIFS(Toggl_Import!$AI$10:$AI$509,Toggl_Import!$AF$10:$AF$509,"&gt;="&amp;$R31,Toggl_Import!$AF$10:$AF$509,"&lt;"&amp;$R31+Inputs!$C$18,Toggl_Import!$AH$10:$AH$509,X$21)</f>
        <v/>
      </c>
      <c r="Y31" s="112">
        <f>SUMIFS(Hours_Log!$E$5:$E$1004,Hours_Log!$A$5:$A$1004,"&gt;="&amp;$R31,Hours_Log!$A$5:$A$1004,"&lt;"&amp;$R31+Inputs!$C$18,Hours_Log!$D$5:$D$1004,Y$21)+SUMIFS(Toggl_Import!$AI$10:$AI$509,Toggl_Import!$AF$10:$AF$509,"&gt;="&amp;$R31,Toggl_Import!$AF$10:$AF$509,"&lt;"&amp;$R31+Inputs!$C$18,Toggl_Import!$AH$10:$AH$509,Y$21)</f>
        <v/>
      </c>
      <c r="Z31" s="114">
        <f>SUM(S31:Y31)</f>
        <v/>
      </c>
      <c r="AA31" s="112">
        <f>SUMIFS(Hours_Log!$E$5:$E$1004,Hours_Log!$A$5:$A$1004,"&gt;="&amp;$R31,Hours_Log!$A$5:$A$1004,"&lt;"&amp;$R31+Inputs!$C$18,Hours_Log!$B$5:$B$1004,Inputs!$C$30&amp;"*")+SUMIFS(Toggl_Import!$AI$10:$AI$509,Toggl_Import!$AF$10:$AF$509,"&gt;="&amp;$R31,Toggl_Import!$AF$10:$AF$509,"&lt;"&amp;$R31+Inputs!$C$18,Toggl_Import!$AG$10:$AG$509,Inputs!$C$30&amp;"*")</f>
        <v/>
      </c>
    </row>
    <row r="32">
      <c r="A32" s="147" t="n"/>
      <c r="B32" s="98" t="n"/>
      <c r="C32" s="98" t="n"/>
      <c r="D32" s="98" t="n"/>
      <c r="E32" s="148" t="n"/>
      <c r="F32" s="98" t="n"/>
      <c r="Q32" s="29" t="n">
        <v>11</v>
      </c>
      <c r="R32" s="107">
        <f>R31+Inputs!$C$18</f>
        <v/>
      </c>
      <c r="S32" s="112">
        <f>SUMIFS(Hours_Log!$E$5:$E$1004,Hours_Log!$A$5:$A$1004,"&gt;="&amp;$R32,Hours_Log!$A$5:$A$1004,"&lt;"&amp;$R32+Inputs!$C$18,Hours_Log!$D$5:$D$1004,S$21)+SUMIFS(Toggl_Import!$AI$10:$AI$509,Toggl_Import!$AF$10:$AF$509,"&gt;="&amp;$R32,Toggl_Import!$AF$10:$AF$509,"&lt;"&amp;$R32+Inputs!$C$18,Toggl_Import!$AH$10:$AH$509,S$21)</f>
        <v/>
      </c>
      <c r="T32" s="112">
        <f>SUMIFS(Hours_Log!$E$5:$E$1004,Hours_Log!$A$5:$A$1004,"&gt;="&amp;$R32,Hours_Log!$A$5:$A$1004,"&lt;"&amp;$R32+Inputs!$C$18,Hours_Log!$D$5:$D$1004,T$21)+SUMIFS(Toggl_Import!$AI$10:$AI$509,Toggl_Import!$AF$10:$AF$509,"&gt;="&amp;$R32,Toggl_Import!$AF$10:$AF$509,"&lt;"&amp;$R32+Inputs!$C$18,Toggl_Import!$AH$10:$AH$509,T$21)</f>
        <v/>
      </c>
      <c r="U32" s="112">
        <f>SUMIFS(Hours_Log!$E$5:$E$1004,Hours_Log!$A$5:$A$1004,"&gt;="&amp;$R32,Hours_Log!$A$5:$A$1004,"&lt;"&amp;$R32+Inputs!$C$18,Hours_Log!$D$5:$D$1004,U$21)+SUMIFS(Toggl_Import!$AI$10:$AI$509,Toggl_Import!$AF$10:$AF$509,"&gt;="&amp;$R32,Toggl_Import!$AF$10:$AF$509,"&lt;"&amp;$R32+Inputs!$C$18,Toggl_Import!$AH$10:$AH$509,U$21)</f>
        <v/>
      </c>
      <c r="V32" s="112">
        <f>SUMIFS(Hours_Log!$E$5:$E$1004,Hours_Log!$A$5:$A$1004,"&gt;="&amp;$R32,Hours_Log!$A$5:$A$1004,"&lt;"&amp;$R32+Inputs!$C$18,Hours_Log!$D$5:$D$1004,V$21)+SUMIFS(Toggl_Import!$AI$10:$AI$509,Toggl_Import!$AF$10:$AF$509,"&gt;="&amp;$R32,Toggl_Import!$AF$10:$AF$509,"&lt;"&amp;$R32+Inputs!$C$18,Toggl_Import!$AH$10:$AH$509,V$21)</f>
        <v/>
      </c>
      <c r="W32" s="112">
        <f>SUMIFS(Hours_Log!$E$5:$E$1004,Hours_Log!$A$5:$A$1004,"&gt;="&amp;$R32,Hours_Log!$A$5:$A$1004,"&lt;"&amp;$R32+Inputs!$C$18,Hours_Log!$D$5:$D$1004,W$21)+SUMIFS(Toggl_Import!$AI$10:$AI$509,Toggl_Import!$AF$10:$AF$509,"&gt;="&amp;$R32,Toggl_Import!$AF$10:$AF$509,"&lt;"&amp;$R32+Inputs!$C$18,Toggl_Import!$AH$10:$AH$509,W$21)</f>
        <v/>
      </c>
      <c r="X32" s="112">
        <f>SUMIFS(Hours_Log!$E$5:$E$1004,Hours_Log!$A$5:$A$1004,"&gt;="&amp;$R32,Hours_Log!$A$5:$A$1004,"&lt;"&amp;$R32+Inputs!$C$18,Hours_Log!$D$5:$D$1004,X$21)+SUMIFS(Toggl_Import!$AI$10:$AI$509,Toggl_Import!$AF$10:$AF$509,"&gt;="&amp;$R32,Toggl_Import!$AF$10:$AF$509,"&lt;"&amp;$R32+Inputs!$C$18,Toggl_Import!$AH$10:$AH$509,X$21)</f>
        <v/>
      </c>
      <c r="Y32" s="112">
        <f>SUMIFS(Hours_Log!$E$5:$E$1004,Hours_Log!$A$5:$A$1004,"&gt;="&amp;$R32,Hours_Log!$A$5:$A$1004,"&lt;"&amp;$R32+Inputs!$C$18,Hours_Log!$D$5:$D$1004,Y$21)+SUMIFS(Toggl_Import!$AI$10:$AI$509,Toggl_Import!$AF$10:$AF$509,"&gt;="&amp;$R32,Toggl_Import!$AF$10:$AF$509,"&lt;"&amp;$R32+Inputs!$C$18,Toggl_Import!$AH$10:$AH$509,Y$21)</f>
        <v/>
      </c>
      <c r="Z32" s="114">
        <f>SUM(S32:Y32)</f>
        <v/>
      </c>
      <c r="AA32" s="112">
        <f>SUMIFS(Hours_Log!$E$5:$E$1004,Hours_Log!$A$5:$A$1004,"&gt;="&amp;$R32,Hours_Log!$A$5:$A$1004,"&lt;"&amp;$R32+Inputs!$C$18,Hours_Log!$B$5:$B$1004,Inputs!$C$30&amp;"*")+SUMIFS(Toggl_Import!$AI$10:$AI$509,Toggl_Import!$AF$10:$AF$509,"&gt;="&amp;$R32,Toggl_Import!$AF$10:$AF$509,"&lt;"&amp;$R32+Inputs!$C$18,Toggl_Import!$AG$10:$AG$509,Inputs!$C$30&amp;"*")</f>
        <v/>
      </c>
    </row>
    <row r="33">
      <c r="A33" s="147" t="n"/>
      <c r="B33" s="98" t="n"/>
      <c r="C33" s="98" t="n"/>
      <c r="D33" s="98" t="n"/>
      <c r="E33" s="148" t="n"/>
      <c r="F33" s="98" t="n"/>
      <c r="Q33" s="29" t="n">
        <v>12</v>
      </c>
      <c r="R33" s="107">
        <f>R32+Inputs!$C$18</f>
        <v/>
      </c>
      <c r="S33" s="112">
        <f>SUMIFS(Hours_Log!$E$5:$E$1004,Hours_Log!$A$5:$A$1004,"&gt;="&amp;$R33,Hours_Log!$A$5:$A$1004,"&lt;"&amp;$R33+Inputs!$C$18,Hours_Log!$D$5:$D$1004,S$21)+SUMIFS(Toggl_Import!$AI$10:$AI$509,Toggl_Import!$AF$10:$AF$509,"&gt;="&amp;$R33,Toggl_Import!$AF$10:$AF$509,"&lt;"&amp;$R33+Inputs!$C$18,Toggl_Import!$AH$10:$AH$509,S$21)</f>
        <v/>
      </c>
      <c r="T33" s="112">
        <f>SUMIFS(Hours_Log!$E$5:$E$1004,Hours_Log!$A$5:$A$1004,"&gt;="&amp;$R33,Hours_Log!$A$5:$A$1004,"&lt;"&amp;$R33+Inputs!$C$18,Hours_Log!$D$5:$D$1004,T$21)+SUMIFS(Toggl_Import!$AI$10:$AI$509,Toggl_Import!$AF$10:$AF$509,"&gt;="&amp;$R33,Toggl_Import!$AF$10:$AF$509,"&lt;"&amp;$R33+Inputs!$C$18,Toggl_Import!$AH$10:$AH$509,T$21)</f>
        <v/>
      </c>
      <c r="U33" s="112">
        <f>SUMIFS(Hours_Log!$E$5:$E$1004,Hours_Log!$A$5:$A$1004,"&gt;="&amp;$R33,Hours_Log!$A$5:$A$1004,"&lt;"&amp;$R33+Inputs!$C$18,Hours_Log!$D$5:$D$1004,U$21)+SUMIFS(Toggl_Import!$AI$10:$AI$509,Toggl_Import!$AF$10:$AF$509,"&gt;="&amp;$R33,Toggl_Import!$AF$10:$AF$509,"&lt;"&amp;$R33+Inputs!$C$18,Toggl_Import!$AH$10:$AH$509,U$21)</f>
        <v/>
      </c>
      <c r="V33" s="112">
        <f>SUMIFS(Hours_Log!$E$5:$E$1004,Hours_Log!$A$5:$A$1004,"&gt;="&amp;$R33,Hours_Log!$A$5:$A$1004,"&lt;"&amp;$R33+Inputs!$C$18,Hours_Log!$D$5:$D$1004,V$21)+SUMIFS(Toggl_Import!$AI$10:$AI$509,Toggl_Import!$AF$10:$AF$509,"&gt;="&amp;$R33,Toggl_Import!$AF$10:$AF$509,"&lt;"&amp;$R33+Inputs!$C$18,Toggl_Import!$AH$10:$AH$509,V$21)</f>
        <v/>
      </c>
      <c r="W33" s="112">
        <f>SUMIFS(Hours_Log!$E$5:$E$1004,Hours_Log!$A$5:$A$1004,"&gt;="&amp;$R33,Hours_Log!$A$5:$A$1004,"&lt;"&amp;$R33+Inputs!$C$18,Hours_Log!$D$5:$D$1004,W$21)+SUMIFS(Toggl_Import!$AI$10:$AI$509,Toggl_Import!$AF$10:$AF$509,"&gt;="&amp;$R33,Toggl_Import!$AF$10:$AF$509,"&lt;"&amp;$R33+Inputs!$C$18,Toggl_Import!$AH$10:$AH$509,W$21)</f>
        <v/>
      </c>
      <c r="X33" s="112">
        <f>SUMIFS(Hours_Log!$E$5:$E$1004,Hours_Log!$A$5:$A$1004,"&gt;="&amp;$R33,Hours_Log!$A$5:$A$1004,"&lt;"&amp;$R33+Inputs!$C$18,Hours_Log!$D$5:$D$1004,X$21)+SUMIFS(Toggl_Import!$AI$10:$AI$509,Toggl_Import!$AF$10:$AF$509,"&gt;="&amp;$R33,Toggl_Import!$AF$10:$AF$509,"&lt;"&amp;$R33+Inputs!$C$18,Toggl_Import!$AH$10:$AH$509,X$21)</f>
        <v/>
      </c>
      <c r="Y33" s="112">
        <f>SUMIFS(Hours_Log!$E$5:$E$1004,Hours_Log!$A$5:$A$1004,"&gt;="&amp;$R33,Hours_Log!$A$5:$A$1004,"&lt;"&amp;$R33+Inputs!$C$18,Hours_Log!$D$5:$D$1004,Y$21)+SUMIFS(Toggl_Import!$AI$10:$AI$509,Toggl_Import!$AF$10:$AF$509,"&gt;="&amp;$R33,Toggl_Import!$AF$10:$AF$509,"&lt;"&amp;$R33+Inputs!$C$18,Toggl_Import!$AH$10:$AH$509,Y$21)</f>
        <v/>
      </c>
      <c r="Z33" s="114">
        <f>SUM(S33:Y33)</f>
        <v/>
      </c>
      <c r="AA33" s="112">
        <f>SUMIFS(Hours_Log!$E$5:$E$1004,Hours_Log!$A$5:$A$1004,"&gt;="&amp;$R33,Hours_Log!$A$5:$A$1004,"&lt;"&amp;$R33+Inputs!$C$18,Hours_Log!$B$5:$B$1004,Inputs!$C$30&amp;"*")+SUMIFS(Toggl_Import!$AI$10:$AI$509,Toggl_Import!$AF$10:$AF$509,"&gt;="&amp;$R33,Toggl_Import!$AF$10:$AF$509,"&lt;"&amp;$R33+Inputs!$C$18,Toggl_Import!$AG$10:$AG$509,Inputs!$C$30&amp;"*")</f>
        <v/>
      </c>
    </row>
    <row r="34">
      <c r="A34" s="147" t="n"/>
      <c r="B34" s="98" t="n"/>
      <c r="C34" s="98" t="n"/>
      <c r="D34" s="98" t="n"/>
      <c r="E34" s="148" t="n"/>
      <c r="F34" s="98" t="n"/>
      <c r="Q34" s="29" t="n">
        <v>13</v>
      </c>
      <c r="R34" s="107">
        <f>R33+Inputs!$C$18</f>
        <v/>
      </c>
      <c r="S34" s="112">
        <f>SUMIFS(Hours_Log!$E$5:$E$1004,Hours_Log!$A$5:$A$1004,"&gt;="&amp;$R34,Hours_Log!$A$5:$A$1004,"&lt;"&amp;$R34+Inputs!$C$18,Hours_Log!$D$5:$D$1004,S$21)+SUMIFS(Toggl_Import!$AI$10:$AI$509,Toggl_Import!$AF$10:$AF$509,"&gt;="&amp;$R34,Toggl_Import!$AF$10:$AF$509,"&lt;"&amp;$R34+Inputs!$C$18,Toggl_Import!$AH$10:$AH$509,S$21)</f>
        <v/>
      </c>
      <c r="T34" s="112">
        <f>SUMIFS(Hours_Log!$E$5:$E$1004,Hours_Log!$A$5:$A$1004,"&gt;="&amp;$R34,Hours_Log!$A$5:$A$1004,"&lt;"&amp;$R34+Inputs!$C$18,Hours_Log!$D$5:$D$1004,T$21)+SUMIFS(Toggl_Import!$AI$10:$AI$509,Toggl_Import!$AF$10:$AF$509,"&gt;="&amp;$R34,Toggl_Import!$AF$10:$AF$509,"&lt;"&amp;$R34+Inputs!$C$18,Toggl_Import!$AH$10:$AH$509,T$21)</f>
        <v/>
      </c>
      <c r="U34" s="112">
        <f>SUMIFS(Hours_Log!$E$5:$E$1004,Hours_Log!$A$5:$A$1004,"&gt;="&amp;$R34,Hours_Log!$A$5:$A$1004,"&lt;"&amp;$R34+Inputs!$C$18,Hours_Log!$D$5:$D$1004,U$21)+SUMIFS(Toggl_Import!$AI$10:$AI$509,Toggl_Import!$AF$10:$AF$509,"&gt;="&amp;$R34,Toggl_Import!$AF$10:$AF$509,"&lt;"&amp;$R34+Inputs!$C$18,Toggl_Import!$AH$10:$AH$509,U$21)</f>
        <v/>
      </c>
      <c r="V34" s="112">
        <f>SUMIFS(Hours_Log!$E$5:$E$1004,Hours_Log!$A$5:$A$1004,"&gt;="&amp;$R34,Hours_Log!$A$5:$A$1004,"&lt;"&amp;$R34+Inputs!$C$18,Hours_Log!$D$5:$D$1004,V$21)+SUMIFS(Toggl_Import!$AI$10:$AI$509,Toggl_Import!$AF$10:$AF$509,"&gt;="&amp;$R34,Toggl_Import!$AF$10:$AF$509,"&lt;"&amp;$R34+Inputs!$C$18,Toggl_Import!$AH$10:$AH$509,V$21)</f>
        <v/>
      </c>
      <c r="W34" s="112">
        <f>SUMIFS(Hours_Log!$E$5:$E$1004,Hours_Log!$A$5:$A$1004,"&gt;="&amp;$R34,Hours_Log!$A$5:$A$1004,"&lt;"&amp;$R34+Inputs!$C$18,Hours_Log!$D$5:$D$1004,W$21)+SUMIFS(Toggl_Import!$AI$10:$AI$509,Toggl_Import!$AF$10:$AF$509,"&gt;="&amp;$R34,Toggl_Import!$AF$10:$AF$509,"&lt;"&amp;$R34+Inputs!$C$18,Toggl_Import!$AH$10:$AH$509,W$21)</f>
        <v/>
      </c>
      <c r="X34" s="112">
        <f>SUMIFS(Hours_Log!$E$5:$E$1004,Hours_Log!$A$5:$A$1004,"&gt;="&amp;$R34,Hours_Log!$A$5:$A$1004,"&lt;"&amp;$R34+Inputs!$C$18,Hours_Log!$D$5:$D$1004,X$21)+SUMIFS(Toggl_Import!$AI$10:$AI$509,Toggl_Import!$AF$10:$AF$509,"&gt;="&amp;$R34,Toggl_Import!$AF$10:$AF$509,"&lt;"&amp;$R34+Inputs!$C$18,Toggl_Import!$AH$10:$AH$509,X$21)</f>
        <v/>
      </c>
      <c r="Y34" s="112">
        <f>SUMIFS(Hours_Log!$E$5:$E$1004,Hours_Log!$A$5:$A$1004,"&gt;="&amp;$R34,Hours_Log!$A$5:$A$1004,"&lt;"&amp;$R34+Inputs!$C$18,Hours_Log!$D$5:$D$1004,Y$21)+SUMIFS(Toggl_Import!$AI$10:$AI$509,Toggl_Import!$AF$10:$AF$509,"&gt;="&amp;$R34,Toggl_Import!$AF$10:$AF$509,"&lt;"&amp;$R34+Inputs!$C$18,Toggl_Import!$AH$10:$AH$509,Y$21)</f>
        <v/>
      </c>
      <c r="Z34" s="114">
        <f>SUM(S34:Y34)</f>
        <v/>
      </c>
      <c r="AA34" s="112">
        <f>SUMIFS(Hours_Log!$E$5:$E$1004,Hours_Log!$A$5:$A$1004,"&gt;="&amp;$R34,Hours_Log!$A$5:$A$1004,"&lt;"&amp;$R34+Inputs!$C$18,Hours_Log!$B$5:$B$1004,Inputs!$C$30&amp;"*")+SUMIFS(Toggl_Import!$AI$10:$AI$509,Toggl_Import!$AF$10:$AF$509,"&gt;="&amp;$R34,Toggl_Import!$AF$10:$AF$509,"&lt;"&amp;$R34+Inputs!$C$18,Toggl_Import!$AG$10:$AG$509,Inputs!$C$30&amp;"*")</f>
        <v/>
      </c>
    </row>
    <row r="35">
      <c r="A35" s="147" t="n"/>
      <c r="B35" s="98" t="n"/>
      <c r="C35" s="98" t="n"/>
      <c r="D35" s="98" t="n"/>
      <c r="E35" s="148" t="n"/>
      <c r="F35" s="98" t="n"/>
      <c r="Q35" s="29" t="n">
        <v>14</v>
      </c>
      <c r="R35" s="107">
        <f>R34+Inputs!$C$18</f>
        <v/>
      </c>
      <c r="S35" s="112">
        <f>SUMIFS(Hours_Log!$E$5:$E$1004,Hours_Log!$A$5:$A$1004,"&gt;="&amp;$R35,Hours_Log!$A$5:$A$1004,"&lt;"&amp;$R35+Inputs!$C$18,Hours_Log!$D$5:$D$1004,S$21)+SUMIFS(Toggl_Import!$AI$10:$AI$509,Toggl_Import!$AF$10:$AF$509,"&gt;="&amp;$R35,Toggl_Import!$AF$10:$AF$509,"&lt;"&amp;$R35+Inputs!$C$18,Toggl_Import!$AH$10:$AH$509,S$21)</f>
        <v/>
      </c>
      <c r="T35" s="112">
        <f>SUMIFS(Hours_Log!$E$5:$E$1004,Hours_Log!$A$5:$A$1004,"&gt;="&amp;$R35,Hours_Log!$A$5:$A$1004,"&lt;"&amp;$R35+Inputs!$C$18,Hours_Log!$D$5:$D$1004,T$21)+SUMIFS(Toggl_Import!$AI$10:$AI$509,Toggl_Import!$AF$10:$AF$509,"&gt;="&amp;$R35,Toggl_Import!$AF$10:$AF$509,"&lt;"&amp;$R35+Inputs!$C$18,Toggl_Import!$AH$10:$AH$509,T$21)</f>
        <v/>
      </c>
      <c r="U35" s="112">
        <f>SUMIFS(Hours_Log!$E$5:$E$1004,Hours_Log!$A$5:$A$1004,"&gt;="&amp;$R35,Hours_Log!$A$5:$A$1004,"&lt;"&amp;$R35+Inputs!$C$18,Hours_Log!$D$5:$D$1004,U$21)+SUMIFS(Toggl_Import!$AI$10:$AI$509,Toggl_Import!$AF$10:$AF$509,"&gt;="&amp;$R35,Toggl_Import!$AF$10:$AF$509,"&lt;"&amp;$R35+Inputs!$C$18,Toggl_Import!$AH$10:$AH$509,U$21)</f>
        <v/>
      </c>
      <c r="V35" s="112">
        <f>SUMIFS(Hours_Log!$E$5:$E$1004,Hours_Log!$A$5:$A$1004,"&gt;="&amp;$R35,Hours_Log!$A$5:$A$1004,"&lt;"&amp;$R35+Inputs!$C$18,Hours_Log!$D$5:$D$1004,V$21)+SUMIFS(Toggl_Import!$AI$10:$AI$509,Toggl_Import!$AF$10:$AF$509,"&gt;="&amp;$R35,Toggl_Import!$AF$10:$AF$509,"&lt;"&amp;$R35+Inputs!$C$18,Toggl_Import!$AH$10:$AH$509,V$21)</f>
        <v/>
      </c>
      <c r="W35" s="112">
        <f>SUMIFS(Hours_Log!$E$5:$E$1004,Hours_Log!$A$5:$A$1004,"&gt;="&amp;$R35,Hours_Log!$A$5:$A$1004,"&lt;"&amp;$R35+Inputs!$C$18,Hours_Log!$D$5:$D$1004,W$21)+SUMIFS(Toggl_Import!$AI$10:$AI$509,Toggl_Import!$AF$10:$AF$509,"&gt;="&amp;$R35,Toggl_Import!$AF$10:$AF$509,"&lt;"&amp;$R35+Inputs!$C$18,Toggl_Import!$AH$10:$AH$509,W$21)</f>
        <v/>
      </c>
      <c r="X35" s="112">
        <f>SUMIFS(Hours_Log!$E$5:$E$1004,Hours_Log!$A$5:$A$1004,"&gt;="&amp;$R35,Hours_Log!$A$5:$A$1004,"&lt;"&amp;$R35+Inputs!$C$18,Hours_Log!$D$5:$D$1004,X$21)+SUMIFS(Toggl_Import!$AI$10:$AI$509,Toggl_Import!$AF$10:$AF$509,"&gt;="&amp;$R35,Toggl_Import!$AF$10:$AF$509,"&lt;"&amp;$R35+Inputs!$C$18,Toggl_Import!$AH$10:$AH$509,X$21)</f>
        <v/>
      </c>
      <c r="Y35" s="112">
        <f>SUMIFS(Hours_Log!$E$5:$E$1004,Hours_Log!$A$5:$A$1004,"&gt;="&amp;$R35,Hours_Log!$A$5:$A$1004,"&lt;"&amp;$R35+Inputs!$C$18,Hours_Log!$D$5:$D$1004,Y$21)+SUMIFS(Toggl_Import!$AI$10:$AI$509,Toggl_Import!$AF$10:$AF$509,"&gt;="&amp;$R35,Toggl_Import!$AF$10:$AF$509,"&lt;"&amp;$R35+Inputs!$C$18,Toggl_Import!$AH$10:$AH$509,Y$21)</f>
        <v/>
      </c>
      <c r="Z35" s="114">
        <f>SUM(S35:Y35)</f>
        <v/>
      </c>
      <c r="AA35" s="112">
        <f>SUMIFS(Hours_Log!$E$5:$E$1004,Hours_Log!$A$5:$A$1004,"&gt;="&amp;$R35,Hours_Log!$A$5:$A$1004,"&lt;"&amp;$R35+Inputs!$C$18,Hours_Log!$B$5:$B$1004,Inputs!$C$30&amp;"*")+SUMIFS(Toggl_Import!$AI$10:$AI$509,Toggl_Import!$AF$10:$AF$509,"&gt;="&amp;$R35,Toggl_Import!$AF$10:$AF$509,"&lt;"&amp;$R35+Inputs!$C$18,Toggl_Import!$AG$10:$AG$509,Inputs!$C$30&amp;"*")</f>
        <v/>
      </c>
    </row>
    <row r="36">
      <c r="A36" s="147" t="n"/>
      <c r="B36" s="98" t="n"/>
      <c r="C36" s="98" t="n"/>
      <c r="D36" s="98" t="n"/>
      <c r="E36" s="148" t="n"/>
      <c r="F36" s="98" t="n"/>
      <c r="Q36" s="29" t="n">
        <v>15</v>
      </c>
      <c r="R36" s="107">
        <f>R35+Inputs!$C$18</f>
        <v/>
      </c>
      <c r="S36" s="112">
        <f>SUMIFS(Hours_Log!$E$5:$E$1004,Hours_Log!$A$5:$A$1004,"&gt;="&amp;$R36,Hours_Log!$A$5:$A$1004,"&lt;"&amp;$R36+Inputs!$C$18,Hours_Log!$D$5:$D$1004,S$21)+SUMIFS(Toggl_Import!$AI$10:$AI$509,Toggl_Import!$AF$10:$AF$509,"&gt;="&amp;$R36,Toggl_Import!$AF$10:$AF$509,"&lt;"&amp;$R36+Inputs!$C$18,Toggl_Import!$AH$10:$AH$509,S$21)</f>
        <v/>
      </c>
      <c r="T36" s="112">
        <f>SUMIFS(Hours_Log!$E$5:$E$1004,Hours_Log!$A$5:$A$1004,"&gt;="&amp;$R36,Hours_Log!$A$5:$A$1004,"&lt;"&amp;$R36+Inputs!$C$18,Hours_Log!$D$5:$D$1004,T$21)+SUMIFS(Toggl_Import!$AI$10:$AI$509,Toggl_Import!$AF$10:$AF$509,"&gt;="&amp;$R36,Toggl_Import!$AF$10:$AF$509,"&lt;"&amp;$R36+Inputs!$C$18,Toggl_Import!$AH$10:$AH$509,T$21)</f>
        <v/>
      </c>
      <c r="U36" s="112">
        <f>SUMIFS(Hours_Log!$E$5:$E$1004,Hours_Log!$A$5:$A$1004,"&gt;="&amp;$R36,Hours_Log!$A$5:$A$1004,"&lt;"&amp;$R36+Inputs!$C$18,Hours_Log!$D$5:$D$1004,U$21)+SUMIFS(Toggl_Import!$AI$10:$AI$509,Toggl_Import!$AF$10:$AF$509,"&gt;="&amp;$R36,Toggl_Import!$AF$10:$AF$509,"&lt;"&amp;$R36+Inputs!$C$18,Toggl_Import!$AH$10:$AH$509,U$21)</f>
        <v/>
      </c>
      <c r="V36" s="112">
        <f>SUMIFS(Hours_Log!$E$5:$E$1004,Hours_Log!$A$5:$A$1004,"&gt;="&amp;$R36,Hours_Log!$A$5:$A$1004,"&lt;"&amp;$R36+Inputs!$C$18,Hours_Log!$D$5:$D$1004,V$21)+SUMIFS(Toggl_Import!$AI$10:$AI$509,Toggl_Import!$AF$10:$AF$509,"&gt;="&amp;$R36,Toggl_Import!$AF$10:$AF$509,"&lt;"&amp;$R36+Inputs!$C$18,Toggl_Import!$AH$10:$AH$509,V$21)</f>
        <v/>
      </c>
      <c r="W36" s="112">
        <f>SUMIFS(Hours_Log!$E$5:$E$1004,Hours_Log!$A$5:$A$1004,"&gt;="&amp;$R36,Hours_Log!$A$5:$A$1004,"&lt;"&amp;$R36+Inputs!$C$18,Hours_Log!$D$5:$D$1004,W$21)+SUMIFS(Toggl_Import!$AI$10:$AI$509,Toggl_Import!$AF$10:$AF$509,"&gt;="&amp;$R36,Toggl_Import!$AF$10:$AF$509,"&lt;"&amp;$R36+Inputs!$C$18,Toggl_Import!$AH$10:$AH$509,W$21)</f>
        <v/>
      </c>
      <c r="X36" s="112">
        <f>SUMIFS(Hours_Log!$E$5:$E$1004,Hours_Log!$A$5:$A$1004,"&gt;="&amp;$R36,Hours_Log!$A$5:$A$1004,"&lt;"&amp;$R36+Inputs!$C$18,Hours_Log!$D$5:$D$1004,X$21)+SUMIFS(Toggl_Import!$AI$10:$AI$509,Toggl_Import!$AF$10:$AF$509,"&gt;="&amp;$R36,Toggl_Import!$AF$10:$AF$509,"&lt;"&amp;$R36+Inputs!$C$18,Toggl_Import!$AH$10:$AH$509,X$21)</f>
        <v/>
      </c>
      <c r="Y36" s="112">
        <f>SUMIFS(Hours_Log!$E$5:$E$1004,Hours_Log!$A$5:$A$1004,"&gt;="&amp;$R36,Hours_Log!$A$5:$A$1004,"&lt;"&amp;$R36+Inputs!$C$18,Hours_Log!$D$5:$D$1004,Y$21)+SUMIFS(Toggl_Import!$AI$10:$AI$509,Toggl_Import!$AF$10:$AF$509,"&gt;="&amp;$R36,Toggl_Import!$AF$10:$AF$509,"&lt;"&amp;$R36+Inputs!$C$18,Toggl_Import!$AH$10:$AH$509,Y$21)</f>
        <v/>
      </c>
      <c r="Z36" s="114">
        <f>SUM(S36:Y36)</f>
        <v/>
      </c>
      <c r="AA36" s="112">
        <f>SUMIFS(Hours_Log!$E$5:$E$1004,Hours_Log!$A$5:$A$1004,"&gt;="&amp;$R36,Hours_Log!$A$5:$A$1004,"&lt;"&amp;$R36+Inputs!$C$18,Hours_Log!$B$5:$B$1004,Inputs!$C$30&amp;"*")+SUMIFS(Toggl_Import!$AI$10:$AI$509,Toggl_Import!$AF$10:$AF$509,"&gt;="&amp;$R36,Toggl_Import!$AF$10:$AF$509,"&lt;"&amp;$R36+Inputs!$C$18,Toggl_Import!$AG$10:$AG$509,Inputs!$C$30&amp;"*")</f>
        <v/>
      </c>
    </row>
    <row r="37">
      <c r="A37" s="147" t="n"/>
      <c r="B37" s="98" t="n"/>
      <c r="C37" s="98" t="n"/>
      <c r="D37" s="98" t="n"/>
      <c r="E37" s="148" t="n"/>
      <c r="F37" s="98" t="n"/>
      <c r="Q37" s="29" t="n">
        <v>16</v>
      </c>
      <c r="R37" s="107">
        <f>R36+Inputs!$C$18</f>
        <v/>
      </c>
      <c r="S37" s="112">
        <f>SUMIFS(Hours_Log!$E$5:$E$1004,Hours_Log!$A$5:$A$1004,"&gt;="&amp;$R37,Hours_Log!$A$5:$A$1004,"&lt;"&amp;$R37+Inputs!$C$18,Hours_Log!$D$5:$D$1004,S$21)+SUMIFS(Toggl_Import!$AI$10:$AI$509,Toggl_Import!$AF$10:$AF$509,"&gt;="&amp;$R37,Toggl_Import!$AF$10:$AF$509,"&lt;"&amp;$R37+Inputs!$C$18,Toggl_Import!$AH$10:$AH$509,S$21)</f>
        <v/>
      </c>
      <c r="T37" s="112">
        <f>SUMIFS(Hours_Log!$E$5:$E$1004,Hours_Log!$A$5:$A$1004,"&gt;="&amp;$R37,Hours_Log!$A$5:$A$1004,"&lt;"&amp;$R37+Inputs!$C$18,Hours_Log!$D$5:$D$1004,T$21)+SUMIFS(Toggl_Import!$AI$10:$AI$509,Toggl_Import!$AF$10:$AF$509,"&gt;="&amp;$R37,Toggl_Import!$AF$10:$AF$509,"&lt;"&amp;$R37+Inputs!$C$18,Toggl_Import!$AH$10:$AH$509,T$21)</f>
        <v/>
      </c>
      <c r="U37" s="112">
        <f>SUMIFS(Hours_Log!$E$5:$E$1004,Hours_Log!$A$5:$A$1004,"&gt;="&amp;$R37,Hours_Log!$A$5:$A$1004,"&lt;"&amp;$R37+Inputs!$C$18,Hours_Log!$D$5:$D$1004,U$21)+SUMIFS(Toggl_Import!$AI$10:$AI$509,Toggl_Import!$AF$10:$AF$509,"&gt;="&amp;$R37,Toggl_Import!$AF$10:$AF$509,"&lt;"&amp;$R37+Inputs!$C$18,Toggl_Import!$AH$10:$AH$509,U$21)</f>
        <v/>
      </c>
      <c r="V37" s="112">
        <f>SUMIFS(Hours_Log!$E$5:$E$1004,Hours_Log!$A$5:$A$1004,"&gt;="&amp;$R37,Hours_Log!$A$5:$A$1004,"&lt;"&amp;$R37+Inputs!$C$18,Hours_Log!$D$5:$D$1004,V$21)+SUMIFS(Toggl_Import!$AI$10:$AI$509,Toggl_Import!$AF$10:$AF$509,"&gt;="&amp;$R37,Toggl_Import!$AF$10:$AF$509,"&lt;"&amp;$R37+Inputs!$C$18,Toggl_Import!$AH$10:$AH$509,V$21)</f>
        <v/>
      </c>
      <c r="W37" s="112">
        <f>SUMIFS(Hours_Log!$E$5:$E$1004,Hours_Log!$A$5:$A$1004,"&gt;="&amp;$R37,Hours_Log!$A$5:$A$1004,"&lt;"&amp;$R37+Inputs!$C$18,Hours_Log!$D$5:$D$1004,W$21)+SUMIFS(Toggl_Import!$AI$10:$AI$509,Toggl_Import!$AF$10:$AF$509,"&gt;="&amp;$R37,Toggl_Import!$AF$10:$AF$509,"&lt;"&amp;$R37+Inputs!$C$18,Toggl_Import!$AH$10:$AH$509,W$21)</f>
        <v/>
      </c>
      <c r="X37" s="112">
        <f>SUMIFS(Hours_Log!$E$5:$E$1004,Hours_Log!$A$5:$A$1004,"&gt;="&amp;$R37,Hours_Log!$A$5:$A$1004,"&lt;"&amp;$R37+Inputs!$C$18,Hours_Log!$D$5:$D$1004,X$21)+SUMIFS(Toggl_Import!$AI$10:$AI$509,Toggl_Import!$AF$10:$AF$509,"&gt;="&amp;$R37,Toggl_Import!$AF$10:$AF$509,"&lt;"&amp;$R37+Inputs!$C$18,Toggl_Import!$AH$10:$AH$509,X$21)</f>
        <v/>
      </c>
      <c r="Y37" s="112">
        <f>SUMIFS(Hours_Log!$E$5:$E$1004,Hours_Log!$A$5:$A$1004,"&gt;="&amp;$R37,Hours_Log!$A$5:$A$1004,"&lt;"&amp;$R37+Inputs!$C$18,Hours_Log!$D$5:$D$1004,Y$21)+SUMIFS(Toggl_Import!$AI$10:$AI$509,Toggl_Import!$AF$10:$AF$509,"&gt;="&amp;$R37,Toggl_Import!$AF$10:$AF$509,"&lt;"&amp;$R37+Inputs!$C$18,Toggl_Import!$AH$10:$AH$509,Y$21)</f>
        <v/>
      </c>
      <c r="Z37" s="114">
        <f>SUM(S37:Y37)</f>
        <v/>
      </c>
      <c r="AA37" s="112">
        <f>SUMIFS(Hours_Log!$E$5:$E$1004,Hours_Log!$A$5:$A$1004,"&gt;="&amp;$R37,Hours_Log!$A$5:$A$1004,"&lt;"&amp;$R37+Inputs!$C$18,Hours_Log!$B$5:$B$1004,Inputs!$C$30&amp;"*")+SUMIFS(Toggl_Import!$AI$10:$AI$509,Toggl_Import!$AF$10:$AF$509,"&gt;="&amp;$R37,Toggl_Import!$AF$10:$AF$509,"&lt;"&amp;$R37+Inputs!$C$18,Toggl_Import!$AG$10:$AG$509,Inputs!$C$30&amp;"*")</f>
        <v/>
      </c>
    </row>
    <row r="38">
      <c r="A38" s="147" t="n"/>
      <c r="B38" s="98" t="n"/>
      <c r="C38" s="98" t="n"/>
      <c r="D38" s="98" t="n"/>
      <c r="E38" s="148" t="n"/>
      <c r="F38" s="98" t="n"/>
      <c r="Q38" s="29" t="n">
        <v>17</v>
      </c>
      <c r="R38" s="107">
        <f>R37+Inputs!$C$18</f>
        <v/>
      </c>
      <c r="S38" s="112">
        <f>SUMIFS(Hours_Log!$E$5:$E$1004,Hours_Log!$A$5:$A$1004,"&gt;="&amp;$R38,Hours_Log!$A$5:$A$1004,"&lt;"&amp;$R38+Inputs!$C$18,Hours_Log!$D$5:$D$1004,S$21)+SUMIFS(Toggl_Import!$AI$10:$AI$509,Toggl_Import!$AF$10:$AF$509,"&gt;="&amp;$R38,Toggl_Import!$AF$10:$AF$509,"&lt;"&amp;$R38+Inputs!$C$18,Toggl_Import!$AH$10:$AH$509,S$21)</f>
        <v/>
      </c>
      <c r="T38" s="112">
        <f>SUMIFS(Hours_Log!$E$5:$E$1004,Hours_Log!$A$5:$A$1004,"&gt;="&amp;$R38,Hours_Log!$A$5:$A$1004,"&lt;"&amp;$R38+Inputs!$C$18,Hours_Log!$D$5:$D$1004,T$21)+SUMIFS(Toggl_Import!$AI$10:$AI$509,Toggl_Import!$AF$10:$AF$509,"&gt;="&amp;$R38,Toggl_Import!$AF$10:$AF$509,"&lt;"&amp;$R38+Inputs!$C$18,Toggl_Import!$AH$10:$AH$509,T$21)</f>
        <v/>
      </c>
      <c r="U38" s="112">
        <f>SUMIFS(Hours_Log!$E$5:$E$1004,Hours_Log!$A$5:$A$1004,"&gt;="&amp;$R38,Hours_Log!$A$5:$A$1004,"&lt;"&amp;$R38+Inputs!$C$18,Hours_Log!$D$5:$D$1004,U$21)+SUMIFS(Toggl_Import!$AI$10:$AI$509,Toggl_Import!$AF$10:$AF$509,"&gt;="&amp;$R38,Toggl_Import!$AF$10:$AF$509,"&lt;"&amp;$R38+Inputs!$C$18,Toggl_Import!$AH$10:$AH$509,U$21)</f>
        <v/>
      </c>
      <c r="V38" s="112">
        <f>SUMIFS(Hours_Log!$E$5:$E$1004,Hours_Log!$A$5:$A$1004,"&gt;="&amp;$R38,Hours_Log!$A$5:$A$1004,"&lt;"&amp;$R38+Inputs!$C$18,Hours_Log!$D$5:$D$1004,V$21)+SUMIFS(Toggl_Import!$AI$10:$AI$509,Toggl_Import!$AF$10:$AF$509,"&gt;="&amp;$R38,Toggl_Import!$AF$10:$AF$509,"&lt;"&amp;$R38+Inputs!$C$18,Toggl_Import!$AH$10:$AH$509,V$21)</f>
        <v/>
      </c>
      <c r="W38" s="112">
        <f>SUMIFS(Hours_Log!$E$5:$E$1004,Hours_Log!$A$5:$A$1004,"&gt;="&amp;$R38,Hours_Log!$A$5:$A$1004,"&lt;"&amp;$R38+Inputs!$C$18,Hours_Log!$D$5:$D$1004,W$21)+SUMIFS(Toggl_Import!$AI$10:$AI$509,Toggl_Import!$AF$10:$AF$509,"&gt;="&amp;$R38,Toggl_Import!$AF$10:$AF$509,"&lt;"&amp;$R38+Inputs!$C$18,Toggl_Import!$AH$10:$AH$509,W$21)</f>
        <v/>
      </c>
      <c r="X38" s="112">
        <f>SUMIFS(Hours_Log!$E$5:$E$1004,Hours_Log!$A$5:$A$1004,"&gt;="&amp;$R38,Hours_Log!$A$5:$A$1004,"&lt;"&amp;$R38+Inputs!$C$18,Hours_Log!$D$5:$D$1004,X$21)+SUMIFS(Toggl_Import!$AI$10:$AI$509,Toggl_Import!$AF$10:$AF$509,"&gt;="&amp;$R38,Toggl_Import!$AF$10:$AF$509,"&lt;"&amp;$R38+Inputs!$C$18,Toggl_Import!$AH$10:$AH$509,X$21)</f>
        <v/>
      </c>
      <c r="Y38" s="112">
        <f>SUMIFS(Hours_Log!$E$5:$E$1004,Hours_Log!$A$5:$A$1004,"&gt;="&amp;$R38,Hours_Log!$A$5:$A$1004,"&lt;"&amp;$R38+Inputs!$C$18,Hours_Log!$D$5:$D$1004,Y$21)+SUMIFS(Toggl_Import!$AI$10:$AI$509,Toggl_Import!$AF$10:$AF$509,"&gt;="&amp;$R38,Toggl_Import!$AF$10:$AF$509,"&lt;"&amp;$R38+Inputs!$C$18,Toggl_Import!$AH$10:$AH$509,Y$21)</f>
        <v/>
      </c>
      <c r="Z38" s="114">
        <f>SUM(S38:Y38)</f>
        <v/>
      </c>
      <c r="AA38" s="112">
        <f>SUMIFS(Hours_Log!$E$5:$E$1004,Hours_Log!$A$5:$A$1004,"&gt;="&amp;$R38,Hours_Log!$A$5:$A$1004,"&lt;"&amp;$R38+Inputs!$C$18,Hours_Log!$B$5:$B$1004,Inputs!$C$30&amp;"*")+SUMIFS(Toggl_Import!$AI$10:$AI$509,Toggl_Import!$AF$10:$AF$509,"&gt;="&amp;$R38,Toggl_Import!$AF$10:$AF$509,"&lt;"&amp;$R38+Inputs!$C$18,Toggl_Import!$AG$10:$AG$509,Inputs!$C$30&amp;"*")</f>
        <v/>
      </c>
    </row>
    <row r="39">
      <c r="A39" s="147" t="n"/>
      <c r="B39" s="98" t="n"/>
      <c r="C39" s="98" t="n"/>
      <c r="D39" s="98" t="n"/>
      <c r="E39" s="148" t="n"/>
      <c r="F39" s="98" t="n"/>
      <c r="Q39" s="29" t="n">
        <v>18</v>
      </c>
      <c r="R39" s="107">
        <f>R38+Inputs!$C$18</f>
        <v/>
      </c>
      <c r="S39" s="112">
        <f>SUMIFS(Hours_Log!$E$5:$E$1004,Hours_Log!$A$5:$A$1004,"&gt;="&amp;$R39,Hours_Log!$A$5:$A$1004,"&lt;"&amp;$R39+Inputs!$C$18,Hours_Log!$D$5:$D$1004,S$21)+SUMIFS(Toggl_Import!$AI$10:$AI$509,Toggl_Import!$AF$10:$AF$509,"&gt;="&amp;$R39,Toggl_Import!$AF$10:$AF$509,"&lt;"&amp;$R39+Inputs!$C$18,Toggl_Import!$AH$10:$AH$509,S$21)</f>
        <v/>
      </c>
      <c r="T39" s="112">
        <f>SUMIFS(Hours_Log!$E$5:$E$1004,Hours_Log!$A$5:$A$1004,"&gt;="&amp;$R39,Hours_Log!$A$5:$A$1004,"&lt;"&amp;$R39+Inputs!$C$18,Hours_Log!$D$5:$D$1004,T$21)+SUMIFS(Toggl_Import!$AI$10:$AI$509,Toggl_Import!$AF$10:$AF$509,"&gt;="&amp;$R39,Toggl_Import!$AF$10:$AF$509,"&lt;"&amp;$R39+Inputs!$C$18,Toggl_Import!$AH$10:$AH$509,T$21)</f>
        <v/>
      </c>
      <c r="U39" s="112">
        <f>SUMIFS(Hours_Log!$E$5:$E$1004,Hours_Log!$A$5:$A$1004,"&gt;="&amp;$R39,Hours_Log!$A$5:$A$1004,"&lt;"&amp;$R39+Inputs!$C$18,Hours_Log!$D$5:$D$1004,U$21)+SUMIFS(Toggl_Import!$AI$10:$AI$509,Toggl_Import!$AF$10:$AF$509,"&gt;="&amp;$R39,Toggl_Import!$AF$10:$AF$509,"&lt;"&amp;$R39+Inputs!$C$18,Toggl_Import!$AH$10:$AH$509,U$21)</f>
        <v/>
      </c>
      <c r="V39" s="112">
        <f>SUMIFS(Hours_Log!$E$5:$E$1004,Hours_Log!$A$5:$A$1004,"&gt;="&amp;$R39,Hours_Log!$A$5:$A$1004,"&lt;"&amp;$R39+Inputs!$C$18,Hours_Log!$D$5:$D$1004,V$21)+SUMIFS(Toggl_Import!$AI$10:$AI$509,Toggl_Import!$AF$10:$AF$509,"&gt;="&amp;$R39,Toggl_Import!$AF$10:$AF$509,"&lt;"&amp;$R39+Inputs!$C$18,Toggl_Import!$AH$10:$AH$509,V$21)</f>
        <v/>
      </c>
      <c r="W39" s="112">
        <f>SUMIFS(Hours_Log!$E$5:$E$1004,Hours_Log!$A$5:$A$1004,"&gt;="&amp;$R39,Hours_Log!$A$5:$A$1004,"&lt;"&amp;$R39+Inputs!$C$18,Hours_Log!$D$5:$D$1004,W$21)+SUMIFS(Toggl_Import!$AI$10:$AI$509,Toggl_Import!$AF$10:$AF$509,"&gt;="&amp;$R39,Toggl_Import!$AF$10:$AF$509,"&lt;"&amp;$R39+Inputs!$C$18,Toggl_Import!$AH$10:$AH$509,W$21)</f>
        <v/>
      </c>
      <c r="X39" s="112">
        <f>SUMIFS(Hours_Log!$E$5:$E$1004,Hours_Log!$A$5:$A$1004,"&gt;="&amp;$R39,Hours_Log!$A$5:$A$1004,"&lt;"&amp;$R39+Inputs!$C$18,Hours_Log!$D$5:$D$1004,X$21)+SUMIFS(Toggl_Import!$AI$10:$AI$509,Toggl_Import!$AF$10:$AF$509,"&gt;="&amp;$R39,Toggl_Import!$AF$10:$AF$509,"&lt;"&amp;$R39+Inputs!$C$18,Toggl_Import!$AH$10:$AH$509,X$21)</f>
        <v/>
      </c>
      <c r="Y39" s="112">
        <f>SUMIFS(Hours_Log!$E$5:$E$1004,Hours_Log!$A$5:$A$1004,"&gt;="&amp;$R39,Hours_Log!$A$5:$A$1004,"&lt;"&amp;$R39+Inputs!$C$18,Hours_Log!$D$5:$D$1004,Y$21)+SUMIFS(Toggl_Import!$AI$10:$AI$509,Toggl_Import!$AF$10:$AF$509,"&gt;="&amp;$R39,Toggl_Import!$AF$10:$AF$509,"&lt;"&amp;$R39+Inputs!$C$18,Toggl_Import!$AH$10:$AH$509,Y$21)</f>
        <v/>
      </c>
      <c r="Z39" s="114">
        <f>SUM(S39:Y39)</f>
        <v/>
      </c>
      <c r="AA39" s="112">
        <f>SUMIFS(Hours_Log!$E$5:$E$1004,Hours_Log!$A$5:$A$1004,"&gt;="&amp;$R39,Hours_Log!$A$5:$A$1004,"&lt;"&amp;$R39+Inputs!$C$18,Hours_Log!$B$5:$B$1004,Inputs!$C$30&amp;"*")+SUMIFS(Toggl_Import!$AI$10:$AI$509,Toggl_Import!$AF$10:$AF$509,"&gt;="&amp;$R39,Toggl_Import!$AF$10:$AF$509,"&lt;"&amp;$R39+Inputs!$C$18,Toggl_Import!$AG$10:$AG$509,Inputs!$C$30&amp;"*")</f>
        <v/>
      </c>
    </row>
    <row r="40">
      <c r="A40" s="147" t="n"/>
      <c r="B40" s="98" t="n"/>
      <c r="C40" s="98" t="n"/>
      <c r="D40" s="98" t="n"/>
      <c r="E40" s="148" t="n"/>
      <c r="F40" s="98" t="n"/>
      <c r="Q40" s="29" t="n">
        <v>19</v>
      </c>
      <c r="R40" s="107">
        <f>R39+Inputs!$C$18</f>
        <v/>
      </c>
      <c r="S40" s="112">
        <f>SUMIFS(Hours_Log!$E$5:$E$1004,Hours_Log!$A$5:$A$1004,"&gt;="&amp;$R40,Hours_Log!$A$5:$A$1004,"&lt;"&amp;$R40+Inputs!$C$18,Hours_Log!$D$5:$D$1004,S$21)+SUMIFS(Toggl_Import!$AI$10:$AI$509,Toggl_Import!$AF$10:$AF$509,"&gt;="&amp;$R40,Toggl_Import!$AF$10:$AF$509,"&lt;"&amp;$R40+Inputs!$C$18,Toggl_Import!$AH$10:$AH$509,S$21)</f>
        <v/>
      </c>
      <c r="T40" s="112">
        <f>SUMIFS(Hours_Log!$E$5:$E$1004,Hours_Log!$A$5:$A$1004,"&gt;="&amp;$R40,Hours_Log!$A$5:$A$1004,"&lt;"&amp;$R40+Inputs!$C$18,Hours_Log!$D$5:$D$1004,T$21)+SUMIFS(Toggl_Import!$AI$10:$AI$509,Toggl_Import!$AF$10:$AF$509,"&gt;="&amp;$R40,Toggl_Import!$AF$10:$AF$509,"&lt;"&amp;$R40+Inputs!$C$18,Toggl_Import!$AH$10:$AH$509,T$21)</f>
        <v/>
      </c>
      <c r="U40" s="112">
        <f>SUMIFS(Hours_Log!$E$5:$E$1004,Hours_Log!$A$5:$A$1004,"&gt;="&amp;$R40,Hours_Log!$A$5:$A$1004,"&lt;"&amp;$R40+Inputs!$C$18,Hours_Log!$D$5:$D$1004,U$21)+SUMIFS(Toggl_Import!$AI$10:$AI$509,Toggl_Import!$AF$10:$AF$509,"&gt;="&amp;$R40,Toggl_Import!$AF$10:$AF$509,"&lt;"&amp;$R40+Inputs!$C$18,Toggl_Import!$AH$10:$AH$509,U$21)</f>
        <v/>
      </c>
      <c r="V40" s="112">
        <f>SUMIFS(Hours_Log!$E$5:$E$1004,Hours_Log!$A$5:$A$1004,"&gt;="&amp;$R40,Hours_Log!$A$5:$A$1004,"&lt;"&amp;$R40+Inputs!$C$18,Hours_Log!$D$5:$D$1004,V$21)+SUMIFS(Toggl_Import!$AI$10:$AI$509,Toggl_Import!$AF$10:$AF$509,"&gt;="&amp;$R40,Toggl_Import!$AF$10:$AF$509,"&lt;"&amp;$R40+Inputs!$C$18,Toggl_Import!$AH$10:$AH$509,V$21)</f>
        <v/>
      </c>
      <c r="W40" s="112">
        <f>SUMIFS(Hours_Log!$E$5:$E$1004,Hours_Log!$A$5:$A$1004,"&gt;="&amp;$R40,Hours_Log!$A$5:$A$1004,"&lt;"&amp;$R40+Inputs!$C$18,Hours_Log!$D$5:$D$1004,W$21)+SUMIFS(Toggl_Import!$AI$10:$AI$509,Toggl_Import!$AF$10:$AF$509,"&gt;="&amp;$R40,Toggl_Import!$AF$10:$AF$509,"&lt;"&amp;$R40+Inputs!$C$18,Toggl_Import!$AH$10:$AH$509,W$21)</f>
        <v/>
      </c>
      <c r="X40" s="112">
        <f>SUMIFS(Hours_Log!$E$5:$E$1004,Hours_Log!$A$5:$A$1004,"&gt;="&amp;$R40,Hours_Log!$A$5:$A$1004,"&lt;"&amp;$R40+Inputs!$C$18,Hours_Log!$D$5:$D$1004,X$21)+SUMIFS(Toggl_Import!$AI$10:$AI$509,Toggl_Import!$AF$10:$AF$509,"&gt;="&amp;$R40,Toggl_Import!$AF$10:$AF$509,"&lt;"&amp;$R40+Inputs!$C$18,Toggl_Import!$AH$10:$AH$509,X$21)</f>
        <v/>
      </c>
      <c r="Y40" s="112">
        <f>SUMIFS(Hours_Log!$E$5:$E$1004,Hours_Log!$A$5:$A$1004,"&gt;="&amp;$R40,Hours_Log!$A$5:$A$1004,"&lt;"&amp;$R40+Inputs!$C$18,Hours_Log!$D$5:$D$1004,Y$21)+SUMIFS(Toggl_Import!$AI$10:$AI$509,Toggl_Import!$AF$10:$AF$509,"&gt;="&amp;$R40,Toggl_Import!$AF$10:$AF$509,"&lt;"&amp;$R40+Inputs!$C$18,Toggl_Import!$AH$10:$AH$509,Y$21)</f>
        <v/>
      </c>
      <c r="Z40" s="114">
        <f>SUM(S40:Y40)</f>
        <v/>
      </c>
      <c r="AA40" s="112">
        <f>SUMIFS(Hours_Log!$E$5:$E$1004,Hours_Log!$A$5:$A$1004,"&gt;="&amp;$R40,Hours_Log!$A$5:$A$1004,"&lt;"&amp;$R40+Inputs!$C$18,Hours_Log!$B$5:$B$1004,Inputs!$C$30&amp;"*")+SUMIFS(Toggl_Import!$AI$10:$AI$509,Toggl_Import!$AF$10:$AF$509,"&gt;="&amp;$R40,Toggl_Import!$AF$10:$AF$509,"&lt;"&amp;$R40+Inputs!$C$18,Toggl_Import!$AG$10:$AG$509,Inputs!$C$30&amp;"*")</f>
        <v/>
      </c>
    </row>
    <row r="41">
      <c r="A41" s="147" t="n"/>
      <c r="B41" s="98" t="n"/>
      <c r="C41" s="98" t="n"/>
      <c r="D41" s="98" t="n"/>
      <c r="E41" s="148" t="n"/>
      <c r="F41" s="98" t="n"/>
      <c r="Q41" s="29" t="n">
        <v>20</v>
      </c>
      <c r="R41" s="107">
        <f>R40+Inputs!$C$18</f>
        <v/>
      </c>
      <c r="S41" s="112">
        <f>SUMIFS(Hours_Log!$E$5:$E$1004,Hours_Log!$A$5:$A$1004,"&gt;="&amp;$R41,Hours_Log!$A$5:$A$1004,"&lt;"&amp;$R41+Inputs!$C$18,Hours_Log!$D$5:$D$1004,S$21)+SUMIFS(Toggl_Import!$AI$10:$AI$509,Toggl_Import!$AF$10:$AF$509,"&gt;="&amp;$R41,Toggl_Import!$AF$10:$AF$509,"&lt;"&amp;$R41+Inputs!$C$18,Toggl_Import!$AH$10:$AH$509,S$21)</f>
        <v/>
      </c>
      <c r="T41" s="112">
        <f>SUMIFS(Hours_Log!$E$5:$E$1004,Hours_Log!$A$5:$A$1004,"&gt;="&amp;$R41,Hours_Log!$A$5:$A$1004,"&lt;"&amp;$R41+Inputs!$C$18,Hours_Log!$D$5:$D$1004,T$21)+SUMIFS(Toggl_Import!$AI$10:$AI$509,Toggl_Import!$AF$10:$AF$509,"&gt;="&amp;$R41,Toggl_Import!$AF$10:$AF$509,"&lt;"&amp;$R41+Inputs!$C$18,Toggl_Import!$AH$10:$AH$509,T$21)</f>
        <v/>
      </c>
      <c r="U41" s="112">
        <f>SUMIFS(Hours_Log!$E$5:$E$1004,Hours_Log!$A$5:$A$1004,"&gt;="&amp;$R41,Hours_Log!$A$5:$A$1004,"&lt;"&amp;$R41+Inputs!$C$18,Hours_Log!$D$5:$D$1004,U$21)+SUMIFS(Toggl_Import!$AI$10:$AI$509,Toggl_Import!$AF$10:$AF$509,"&gt;="&amp;$R41,Toggl_Import!$AF$10:$AF$509,"&lt;"&amp;$R41+Inputs!$C$18,Toggl_Import!$AH$10:$AH$509,U$21)</f>
        <v/>
      </c>
      <c r="V41" s="112">
        <f>SUMIFS(Hours_Log!$E$5:$E$1004,Hours_Log!$A$5:$A$1004,"&gt;="&amp;$R41,Hours_Log!$A$5:$A$1004,"&lt;"&amp;$R41+Inputs!$C$18,Hours_Log!$D$5:$D$1004,V$21)+SUMIFS(Toggl_Import!$AI$10:$AI$509,Toggl_Import!$AF$10:$AF$509,"&gt;="&amp;$R41,Toggl_Import!$AF$10:$AF$509,"&lt;"&amp;$R41+Inputs!$C$18,Toggl_Import!$AH$10:$AH$509,V$21)</f>
        <v/>
      </c>
      <c r="W41" s="112">
        <f>SUMIFS(Hours_Log!$E$5:$E$1004,Hours_Log!$A$5:$A$1004,"&gt;="&amp;$R41,Hours_Log!$A$5:$A$1004,"&lt;"&amp;$R41+Inputs!$C$18,Hours_Log!$D$5:$D$1004,W$21)+SUMIFS(Toggl_Import!$AI$10:$AI$509,Toggl_Import!$AF$10:$AF$509,"&gt;="&amp;$R41,Toggl_Import!$AF$10:$AF$509,"&lt;"&amp;$R41+Inputs!$C$18,Toggl_Import!$AH$10:$AH$509,W$21)</f>
        <v/>
      </c>
      <c r="X41" s="112">
        <f>SUMIFS(Hours_Log!$E$5:$E$1004,Hours_Log!$A$5:$A$1004,"&gt;="&amp;$R41,Hours_Log!$A$5:$A$1004,"&lt;"&amp;$R41+Inputs!$C$18,Hours_Log!$D$5:$D$1004,X$21)+SUMIFS(Toggl_Import!$AI$10:$AI$509,Toggl_Import!$AF$10:$AF$509,"&gt;="&amp;$R41,Toggl_Import!$AF$10:$AF$509,"&lt;"&amp;$R41+Inputs!$C$18,Toggl_Import!$AH$10:$AH$509,X$21)</f>
        <v/>
      </c>
      <c r="Y41" s="112">
        <f>SUMIFS(Hours_Log!$E$5:$E$1004,Hours_Log!$A$5:$A$1004,"&gt;="&amp;$R41,Hours_Log!$A$5:$A$1004,"&lt;"&amp;$R41+Inputs!$C$18,Hours_Log!$D$5:$D$1004,Y$21)+SUMIFS(Toggl_Import!$AI$10:$AI$509,Toggl_Import!$AF$10:$AF$509,"&gt;="&amp;$R41,Toggl_Import!$AF$10:$AF$509,"&lt;"&amp;$R41+Inputs!$C$18,Toggl_Import!$AH$10:$AH$509,Y$21)</f>
        <v/>
      </c>
      <c r="Z41" s="114">
        <f>SUM(S41:Y41)</f>
        <v/>
      </c>
      <c r="AA41" s="112">
        <f>SUMIFS(Hours_Log!$E$5:$E$1004,Hours_Log!$A$5:$A$1004,"&gt;="&amp;$R41,Hours_Log!$A$5:$A$1004,"&lt;"&amp;$R41+Inputs!$C$18,Hours_Log!$B$5:$B$1004,Inputs!$C$30&amp;"*")+SUMIFS(Toggl_Import!$AI$10:$AI$509,Toggl_Import!$AF$10:$AF$509,"&gt;="&amp;$R41,Toggl_Import!$AF$10:$AF$509,"&lt;"&amp;$R41+Inputs!$C$18,Toggl_Import!$AG$10:$AG$509,Inputs!$C$30&amp;"*")</f>
        <v/>
      </c>
    </row>
    <row r="42">
      <c r="A42" s="147" t="n"/>
      <c r="B42" s="98" t="n"/>
      <c r="C42" s="98" t="n"/>
      <c r="D42" s="98" t="n"/>
      <c r="E42" s="148" t="n"/>
      <c r="F42" s="98" t="n"/>
      <c r="Q42" s="29" t="n">
        <v>21</v>
      </c>
      <c r="R42" s="107">
        <f>R41+Inputs!$C$18</f>
        <v/>
      </c>
      <c r="S42" s="112">
        <f>SUMIFS(Hours_Log!$E$5:$E$1004,Hours_Log!$A$5:$A$1004,"&gt;="&amp;$R42,Hours_Log!$A$5:$A$1004,"&lt;"&amp;$R42+Inputs!$C$18,Hours_Log!$D$5:$D$1004,S$21)+SUMIFS(Toggl_Import!$AI$10:$AI$509,Toggl_Import!$AF$10:$AF$509,"&gt;="&amp;$R42,Toggl_Import!$AF$10:$AF$509,"&lt;"&amp;$R42+Inputs!$C$18,Toggl_Import!$AH$10:$AH$509,S$21)</f>
        <v/>
      </c>
      <c r="T42" s="112">
        <f>SUMIFS(Hours_Log!$E$5:$E$1004,Hours_Log!$A$5:$A$1004,"&gt;="&amp;$R42,Hours_Log!$A$5:$A$1004,"&lt;"&amp;$R42+Inputs!$C$18,Hours_Log!$D$5:$D$1004,T$21)+SUMIFS(Toggl_Import!$AI$10:$AI$509,Toggl_Import!$AF$10:$AF$509,"&gt;="&amp;$R42,Toggl_Import!$AF$10:$AF$509,"&lt;"&amp;$R42+Inputs!$C$18,Toggl_Import!$AH$10:$AH$509,T$21)</f>
        <v/>
      </c>
      <c r="U42" s="112">
        <f>SUMIFS(Hours_Log!$E$5:$E$1004,Hours_Log!$A$5:$A$1004,"&gt;="&amp;$R42,Hours_Log!$A$5:$A$1004,"&lt;"&amp;$R42+Inputs!$C$18,Hours_Log!$D$5:$D$1004,U$21)+SUMIFS(Toggl_Import!$AI$10:$AI$509,Toggl_Import!$AF$10:$AF$509,"&gt;="&amp;$R42,Toggl_Import!$AF$10:$AF$509,"&lt;"&amp;$R42+Inputs!$C$18,Toggl_Import!$AH$10:$AH$509,U$21)</f>
        <v/>
      </c>
      <c r="V42" s="112">
        <f>SUMIFS(Hours_Log!$E$5:$E$1004,Hours_Log!$A$5:$A$1004,"&gt;="&amp;$R42,Hours_Log!$A$5:$A$1004,"&lt;"&amp;$R42+Inputs!$C$18,Hours_Log!$D$5:$D$1004,V$21)+SUMIFS(Toggl_Import!$AI$10:$AI$509,Toggl_Import!$AF$10:$AF$509,"&gt;="&amp;$R42,Toggl_Import!$AF$10:$AF$509,"&lt;"&amp;$R42+Inputs!$C$18,Toggl_Import!$AH$10:$AH$509,V$21)</f>
        <v/>
      </c>
      <c r="W42" s="112">
        <f>SUMIFS(Hours_Log!$E$5:$E$1004,Hours_Log!$A$5:$A$1004,"&gt;="&amp;$R42,Hours_Log!$A$5:$A$1004,"&lt;"&amp;$R42+Inputs!$C$18,Hours_Log!$D$5:$D$1004,W$21)+SUMIFS(Toggl_Import!$AI$10:$AI$509,Toggl_Import!$AF$10:$AF$509,"&gt;="&amp;$R42,Toggl_Import!$AF$10:$AF$509,"&lt;"&amp;$R42+Inputs!$C$18,Toggl_Import!$AH$10:$AH$509,W$21)</f>
        <v/>
      </c>
      <c r="X42" s="112">
        <f>SUMIFS(Hours_Log!$E$5:$E$1004,Hours_Log!$A$5:$A$1004,"&gt;="&amp;$R42,Hours_Log!$A$5:$A$1004,"&lt;"&amp;$R42+Inputs!$C$18,Hours_Log!$D$5:$D$1004,X$21)+SUMIFS(Toggl_Import!$AI$10:$AI$509,Toggl_Import!$AF$10:$AF$509,"&gt;="&amp;$R42,Toggl_Import!$AF$10:$AF$509,"&lt;"&amp;$R42+Inputs!$C$18,Toggl_Import!$AH$10:$AH$509,X$21)</f>
        <v/>
      </c>
      <c r="Y42" s="112">
        <f>SUMIFS(Hours_Log!$E$5:$E$1004,Hours_Log!$A$5:$A$1004,"&gt;="&amp;$R42,Hours_Log!$A$5:$A$1004,"&lt;"&amp;$R42+Inputs!$C$18,Hours_Log!$D$5:$D$1004,Y$21)+SUMIFS(Toggl_Import!$AI$10:$AI$509,Toggl_Import!$AF$10:$AF$509,"&gt;="&amp;$R42,Toggl_Import!$AF$10:$AF$509,"&lt;"&amp;$R42+Inputs!$C$18,Toggl_Import!$AH$10:$AH$509,Y$21)</f>
        <v/>
      </c>
      <c r="Z42" s="114">
        <f>SUM(S42:Y42)</f>
        <v/>
      </c>
      <c r="AA42" s="112">
        <f>SUMIFS(Hours_Log!$E$5:$E$1004,Hours_Log!$A$5:$A$1004,"&gt;="&amp;$R42,Hours_Log!$A$5:$A$1004,"&lt;"&amp;$R42+Inputs!$C$18,Hours_Log!$B$5:$B$1004,Inputs!$C$30&amp;"*")+SUMIFS(Toggl_Import!$AI$10:$AI$509,Toggl_Import!$AF$10:$AF$509,"&gt;="&amp;$R42,Toggl_Import!$AF$10:$AF$509,"&lt;"&amp;$R42+Inputs!$C$18,Toggl_Import!$AG$10:$AG$509,Inputs!$C$30&amp;"*")</f>
        <v/>
      </c>
    </row>
    <row r="43">
      <c r="A43" s="147" t="n"/>
      <c r="B43" s="98" t="n"/>
      <c r="C43" s="98" t="n"/>
      <c r="D43" s="98" t="n"/>
      <c r="E43" s="148" t="n"/>
      <c r="F43" s="98" t="n"/>
      <c r="Q43" s="29" t="n">
        <v>22</v>
      </c>
      <c r="R43" s="107">
        <f>R42+Inputs!$C$18</f>
        <v/>
      </c>
      <c r="S43" s="112">
        <f>SUMIFS(Hours_Log!$E$5:$E$1004,Hours_Log!$A$5:$A$1004,"&gt;="&amp;$R43,Hours_Log!$A$5:$A$1004,"&lt;"&amp;$R43+Inputs!$C$18,Hours_Log!$D$5:$D$1004,S$21)+SUMIFS(Toggl_Import!$AI$10:$AI$509,Toggl_Import!$AF$10:$AF$509,"&gt;="&amp;$R43,Toggl_Import!$AF$10:$AF$509,"&lt;"&amp;$R43+Inputs!$C$18,Toggl_Import!$AH$10:$AH$509,S$21)</f>
        <v/>
      </c>
      <c r="T43" s="112">
        <f>SUMIFS(Hours_Log!$E$5:$E$1004,Hours_Log!$A$5:$A$1004,"&gt;="&amp;$R43,Hours_Log!$A$5:$A$1004,"&lt;"&amp;$R43+Inputs!$C$18,Hours_Log!$D$5:$D$1004,T$21)+SUMIFS(Toggl_Import!$AI$10:$AI$509,Toggl_Import!$AF$10:$AF$509,"&gt;="&amp;$R43,Toggl_Import!$AF$10:$AF$509,"&lt;"&amp;$R43+Inputs!$C$18,Toggl_Import!$AH$10:$AH$509,T$21)</f>
        <v/>
      </c>
      <c r="U43" s="112">
        <f>SUMIFS(Hours_Log!$E$5:$E$1004,Hours_Log!$A$5:$A$1004,"&gt;="&amp;$R43,Hours_Log!$A$5:$A$1004,"&lt;"&amp;$R43+Inputs!$C$18,Hours_Log!$D$5:$D$1004,U$21)+SUMIFS(Toggl_Import!$AI$10:$AI$509,Toggl_Import!$AF$10:$AF$509,"&gt;="&amp;$R43,Toggl_Import!$AF$10:$AF$509,"&lt;"&amp;$R43+Inputs!$C$18,Toggl_Import!$AH$10:$AH$509,U$21)</f>
        <v/>
      </c>
      <c r="V43" s="112">
        <f>SUMIFS(Hours_Log!$E$5:$E$1004,Hours_Log!$A$5:$A$1004,"&gt;="&amp;$R43,Hours_Log!$A$5:$A$1004,"&lt;"&amp;$R43+Inputs!$C$18,Hours_Log!$D$5:$D$1004,V$21)+SUMIFS(Toggl_Import!$AI$10:$AI$509,Toggl_Import!$AF$10:$AF$509,"&gt;="&amp;$R43,Toggl_Import!$AF$10:$AF$509,"&lt;"&amp;$R43+Inputs!$C$18,Toggl_Import!$AH$10:$AH$509,V$21)</f>
        <v/>
      </c>
      <c r="W43" s="112">
        <f>SUMIFS(Hours_Log!$E$5:$E$1004,Hours_Log!$A$5:$A$1004,"&gt;="&amp;$R43,Hours_Log!$A$5:$A$1004,"&lt;"&amp;$R43+Inputs!$C$18,Hours_Log!$D$5:$D$1004,W$21)+SUMIFS(Toggl_Import!$AI$10:$AI$509,Toggl_Import!$AF$10:$AF$509,"&gt;="&amp;$R43,Toggl_Import!$AF$10:$AF$509,"&lt;"&amp;$R43+Inputs!$C$18,Toggl_Import!$AH$10:$AH$509,W$21)</f>
        <v/>
      </c>
      <c r="X43" s="112">
        <f>SUMIFS(Hours_Log!$E$5:$E$1004,Hours_Log!$A$5:$A$1004,"&gt;="&amp;$R43,Hours_Log!$A$5:$A$1004,"&lt;"&amp;$R43+Inputs!$C$18,Hours_Log!$D$5:$D$1004,X$21)+SUMIFS(Toggl_Import!$AI$10:$AI$509,Toggl_Import!$AF$10:$AF$509,"&gt;="&amp;$R43,Toggl_Import!$AF$10:$AF$509,"&lt;"&amp;$R43+Inputs!$C$18,Toggl_Import!$AH$10:$AH$509,X$21)</f>
        <v/>
      </c>
      <c r="Y43" s="112">
        <f>SUMIFS(Hours_Log!$E$5:$E$1004,Hours_Log!$A$5:$A$1004,"&gt;="&amp;$R43,Hours_Log!$A$5:$A$1004,"&lt;"&amp;$R43+Inputs!$C$18,Hours_Log!$D$5:$D$1004,Y$21)+SUMIFS(Toggl_Import!$AI$10:$AI$509,Toggl_Import!$AF$10:$AF$509,"&gt;="&amp;$R43,Toggl_Import!$AF$10:$AF$509,"&lt;"&amp;$R43+Inputs!$C$18,Toggl_Import!$AH$10:$AH$509,Y$21)</f>
        <v/>
      </c>
      <c r="Z43" s="114">
        <f>SUM(S43:Y43)</f>
        <v/>
      </c>
      <c r="AA43" s="112">
        <f>SUMIFS(Hours_Log!$E$5:$E$1004,Hours_Log!$A$5:$A$1004,"&gt;="&amp;$R43,Hours_Log!$A$5:$A$1004,"&lt;"&amp;$R43+Inputs!$C$18,Hours_Log!$B$5:$B$1004,Inputs!$C$30&amp;"*")+SUMIFS(Toggl_Import!$AI$10:$AI$509,Toggl_Import!$AF$10:$AF$509,"&gt;="&amp;$R43,Toggl_Import!$AF$10:$AF$509,"&lt;"&amp;$R43+Inputs!$C$18,Toggl_Import!$AG$10:$AG$509,Inputs!$C$30&amp;"*")</f>
        <v/>
      </c>
    </row>
    <row r="44">
      <c r="A44" s="147" t="n"/>
      <c r="B44" s="98" t="n"/>
      <c r="C44" s="98" t="n"/>
      <c r="D44" s="98" t="n"/>
      <c r="E44" s="148" t="n"/>
      <c r="F44" s="98" t="n"/>
      <c r="Q44" s="29" t="n">
        <v>23</v>
      </c>
      <c r="R44" s="107">
        <f>R43+Inputs!$C$18</f>
        <v/>
      </c>
      <c r="S44" s="112">
        <f>SUMIFS(Hours_Log!$E$5:$E$1004,Hours_Log!$A$5:$A$1004,"&gt;="&amp;$R44,Hours_Log!$A$5:$A$1004,"&lt;"&amp;$R44+Inputs!$C$18,Hours_Log!$D$5:$D$1004,S$21)+SUMIFS(Toggl_Import!$AI$10:$AI$509,Toggl_Import!$AF$10:$AF$509,"&gt;="&amp;$R44,Toggl_Import!$AF$10:$AF$509,"&lt;"&amp;$R44+Inputs!$C$18,Toggl_Import!$AH$10:$AH$509,S$21)</f>
        <v/>
      </c>
      <c r="T44" s="112">
        <f>SUMIFS(Hours_Log!$E$5:$E$1004,Hours_Log!$A$5:$A$1004,"&gt;="&amp;$R44,Hours_Log!$A$5:$A$1004,"&lt;"&amp;$R44+Inputs!$C$18,Hours_Log!$D$5:$D$1004,T$21)+SUMIFS(Toggl_Import!$AI$10:$AI$509,Toggl_Import!$AF$10:$AF$509,"&gt;="&amp;$R44,Toggl_Import!$AF$10:$AF$509,"&lt;"&amp;$R44+Inputs!$C$18,Toggl_Import!$AH$10:$AH$509,T$21)</f>
        <v/>
      </c>
      <c r="U44" s="112">
        <f>SUMIFS(Hours_Log!$E$5:$E$1004,Hours_Log!$A$5:$A$1004,"&gt;="&amp;$R44,Hours_Log!$A$5:$A$1004,"&lt;"&amp;$R44+Inputs!$C$18,Hours_Log!$D$5:$D$1004,U$21)+SUMIFS(Toggl_Import!$AI$10:$AI$509,Toggl_Import!$AF$10:$AF$509,"&gt;="&amp;$R44,Toggl_Import!$AF$10:$AF$509,"&lt;"&amp;$R44+Inputs!$C$18,Toggl_Import!$AH$10:$AH$509,U$21)</f>
        <v/>
      </c>
      <c r="V44" s="112">
        <f>SUMIFS(Hours_Log!$E$5:$E$1004,Hours_Log!$A$5:$A$1004,"&gt;="&amp;$R44,Hours_Log!$A$5:$A$1004,"&lt;"&amp;$R44+Inputs!$C$18,Hours_Log!$D$5:$D$1004,V$21)+SUMIFS(Toggl_Import!$AI$10:$AI$509,Toggl_Import!$AF$10:$AF$509,"&gt;="&amp;$R44,Toggl_Import!$AF$10:$AF$509,"&lt;"&amp;$R44+Inputs!$C$18,Toggl_Import!$AH$10:$AH$509,V$21)</f>
        <v/>
      </c>
      <c r="W44" s="112">
        <f>SUMIFS(Hours_Log!$E$5:$E$1004,Hours_Log!$A$5:$A$1004,"&gt;="&amp;$R44,Hours_Log!$A$5:$A$1004,"&lt;"&amp;$R44+Inputs!$C$18,Hours_Log!$D$5:$D$1004,W$21)+SUMIFS(Toggl_Import!$AI$10:$AI$509,Toggl_Import!$AF$10:$AF$509,"&gt;="&amp;$R44,Toggl_Import!$AF$10:$AF$509,"&lt;"&amp;$R44+Inputs!$C$18,Toggl_Import!$AH$10:$AH$509,W$21)</f>
        <v/>
      </c>
      <c r="X44" s="112">
        <f>SUMIFS(Hours_Log!$E$5:$E$1004,Hours_Log!$A$5:$A$1004,"&gt;="&amp;$R44,Hours_Log!$A$5:$A$1004,"&lt;"&amp;$R44+Inputs!$C$18,Hours_Log!$D$5:$D$1004,X$21)+SUMIFS(Toggl_Import!$AI$10:$AI$509,Toggl_Import!$AF$10:$AF$509,"&gt;="&amp;$R44,Toggl_Import!$AF$10:$AF$509,"&lt;"&amp;$R44+Inputs!$C$18,Toggl_Import!$AH$10:$AH$509,X$21)</f>
        <v/>
      </c>
      <c r="Y44" s="112">
        <f>SUMIFS(Hours_Log!$E$5:$E$1004,Hours_Log!$A$5:$A$1004,"&gt;="&amp;$R44,Hours_Log!$A$5:$A$1004,"&lt;"&amp;$R44+Inputs!$C$18,Hours_Log!$D$5:$D$1004,Y$21)+SUMIFS(Toggl_Import!$AI$10:$AI$509,Toggl_Import!$AF$10:$AF$509,"&gt;="&amp;$R44,Toggl_Import!$AF$10:$AF$509,"&lt;"&amp;$R44+Inputs!$C$18,Toggl_Import!$AH$10:$AH$509,Y$21)</f>
        <v/>
      </c>
      <c r="Z44" s="114">
        <f>SUM(S44:Y44)</f>
        <v/>
      </c>
      <c r="AA44" s="112">
        <f>SUMIFS(Hours_Log!$E$5:$E$1004,Hours_Log!$A$5:$A$1004,"&gt;="&amp;$R44,Hours_Log!$A$5:$A$1004,"&lt;"&amp;$R44+Inputs!$C$18,Hours_Log!$B$5:$B$1004,Inputs!$C$30&amp;"*")+SUMIFS(Toggl_Import!$AI$10:$AI$509,Toggl_Import!$AF$10:$AF$509,"&gt;="&amp;$R44,Toggl_Import!$AF$10:$AF$509,"&lt;"&amp;$R44+Inputs!$C$18,Toggl_Import!$AG$10:$AG$509,Inputs!$C$30&amp;"*")</f>
        <v/>
      </c>
    </row>
    <row r="45">
      <c r="A45" s="147" t="n"/>
      <c r="B45" s="98" t="n"/>
      <c r="C45" s="98" t="n"/>
      <c r="D45" s="98" t="n"/>
      <c r="E45" s="148" t="n"/>
      <c r="F45" s="98" t="n"/>
      <c r="Q45" s="29" t="n">
        <v>24</v>
      </c>
      <c r="R45" s="107">
        <f>R44+Inputs!$C$18</f>
        <v/>
      </c>
      <c r="S45" s="112">
        <f>SUMIFS(Hours_Log!$E$5:$E$1004,Hours_Log!$A$5:$A$1004,"&gt;="&amp;$R45,Hours_Log!$A$5:$A$1004,"&lt;"&amp;$R45+Inputs!$C$18,Hours_Log!$D$5:$D$1004,S$21)+SUMIFS(Toggl_Import!$AI$10:$AI$509,Toggl_Import!$AF$10:$AF$509,"&gt;="&amp;$R45,Toggl_Import!$AF$10:$AF$509,"&lt;"&amp;$R45+Inputs!$C$18,Toggl_Import!$AH$10:$AH$509,S$21)</f>
        <v/>
      </c>
      <c r="T45" s="112">
        <f>SUMIFS(Hours_Log!$E$5:$E$1004,Hours_Log!$A$5:$A$1004,"&gt;="&amp;$R45,Hours_Log!$A$5:$A$1004,"&lt;"&amp;$R45+Inputs!$C$18,Hours_Log!$D$5:$D$1004,T$21)+SUMIFS(Toggl_Import!$AI$10:$AI$509,Toggl_Import!$AF$10:$AF$509,"&gt;="&amp;$R45,Toggl_Import!$AF$10:$AF$509,"&lt;"&amp;$R45+Inputs!$C$18,Toggl_Import!$AH$10:$AH$509,T$21)</f>
        <v/>
      </c>
      <c r="U45" s="112">
        <f>SUMIFS(Hours_Log!$E$5:$E$1004,Hours_Log!$A$5:$A$1004,"&gt;="&amp;$R45,Hours_Log!$A$5:$A$1004,"&lt;"&amp;$R45+Inputs!$C$18,Hours_Log!$D$5:$D$1004,U$21)+SUMIFS(Toggl_Import!$AI$10:$AI$509,Toggl_Import!$AF$10:$AF$509,"&gt;="&amp;$R45,Toggl_Import!$AF$10:$AF$509,"&lt;"&amp;$R45+Inputs!$C$18,Toggl_Import!$AH$10:$AH$509,U$21)</f>
        <v/>
      </c>
      <c r="V45" s="112">
        <f>SUMIFS(Hours_Log!$E$5:$E$1004,Hours_Log!$A$5:$A$1004,"&gt;="&amp;$R45,Hours_Log!$A$5:$A$1004,"&lt;"&amp;$R45+Inputs!$C$18,Hours_Log!$D$5:$D$1004,V$21)+SUMIFS(Toggl_Import!$AI$10:$AI$509,Toggl_Import!$AF$10:$AF$509,"&gt;="&amp;$R45,Toggl_Import!$AF$10:$AF$509,"&lt;"&amp;$R45+Inputs!$C$18,Toggl_Import!$AH$10:$AH$509,V$21)</f>
        <v/>
      </c>
      <c r="W45" s="112">
        <f>SUMIFS(Hours_Log!$E$5:$E$1004,Hours_Log!$A$5:$A$1004,"&gt;="&amp;$R45,Hours_Log!$A$5:$A$1004,"&lt;"&amp;$R45+Inputs!$C$18,Hours_Log!$D$5:$D$1004,W$21)+SUMIFS(Toggl_Import!$AI$10:$AI$509,Toggl_Import!$AF$10:$AF$509,"&gt;="&amp;$R45,Toggl_Import!$AF$10:$AF$509,"&lt;"&amp;$R45+Inputs!$C$18,Toggl_Import!$AH$10:$AH$509,W$21)</f>
        <v/>
      </c>
      <c r="X45" s="112">
        <f>SUMIFS(Hours_Log!$E$5:$E$1004,Hours_Log!$A$5:$A$1004,"&gt;="&amp;$R45,Hours_Log!$A$5:$A$1004,"&lt;"&amp;$R45+Inputs!$C$18,Hours_Log!$D$5:$D$1004,X$21)+SUMIFS(Toggl_Import!$AI$10:$AI$509,Toggl_Import!$AF$10:$AF$509,"&gt;="&amp;$R45,Toggl_Import!$AF$10:$AF$509,"&lt;"&amp;$R45+Inputs!$C$18,Toggl_Import!$AH$10:$AH$509,X$21)</f>
        <v/>
      </c>
      <c r="Y45" s="112">
        <f>SUMIFS(Hours_Log!$E$5:$E$1004,Hours_Log!$A$5:$A$1004,"&gt;="&amp;$R45,Hours_Log!$A$5:$A$1004,"&lt;"&amp;$R45+Inputs!$C$18,Hours_Log!$D$5:$D$1004,Y$21)+SUMIFS(Toggl_Import!$AI$10:$AI$509,Toggl_Import!$AF$10:$AF$509,"&gt;="&amp;$R45,Toggl_Import!$AF$10:$AF$509,"&lt;"&amp;$R45+Inputs!$C$18,Toggl_Import!$AH$10:$AH$509,Y$21)</f>
        <v/>
      </c>
      <c r="Z45" s="114">
        <f>SUM(S45:Y45)</f>
        <v/>
      </c>
      <c r="AA45" s="112">
        <f>SUMIFS(Hours_Log!$E$5:$E$1004,Hours_Log!$A$5:$A$1004,"&gt;="&amp;$R45,Hours_Log!$A$5:$A$1004,"&lt;"&amp;$R45+Inputs!$C$18,Hours_Log!$B$5:$B$1004,Inputs!$C$30&amp;"*")+SUMIFS(Toggl_Import!$AI$10:$AI$509,Toggl_Import!$AF$10:$AF$509,"&gt;="&amp;$R45,Toggl_Import!$AF$10:$AF$509,"&lt;"&amp;$R45+Inputs!$C$18,Toggl_Import!$AG$10:$AG$509,Inputs!$C$30&amp;"*")</f>
        <v/>
      </c>
    </row>
    <row r="46">
      <c r="A46" s="147" t="n"/>
      <c r="B46" s="98" t="n"/>
      <c r="C46" s="98" t="n"/>
      <c r="D46" s="98" t="n"/>
      <c r="E46" s="148" t="n"/>
      <c r="F46" s="98" t="n"/>
      <c r="Q46" s="29" t="n">
        <v>25</v>
      </c>
      <c r="R46" s="107">
        <f>R45+Inputs!$C$18</f>
        <v/>
      </c>
      <c r="S46" s="112">
        <f>SUMIFS(Hours_Log!$E$5:$E$1004,Hours_Log!$A$5:$A$1004,"&gt;="&amp;$R46,Hours_Log!$A$5:$A$1004,"&lt;"&amp;$R46+Inputs!$C$18,Hours_Log!$D$5:$D$1004,S$21)+SUMIFS(Toggl_Import!$AI$10:$AI$509,Toggl_Import!$AF$10:$AF$509,"&gt;="&amp;$R46,Toggl_Import!$AF$10:$AF$509,"&lt;"&amp;$R46+Inputs!$C$18,Toggl_Import!$AH$10:$AH$509,S$21)</f>
        <v/>
      </c>
      <c r="T46" s="112">
        <f>SUMIFS(Hours_Log!$E$5:$E$1004,Hours_Log!$A$5:$A$1004,"&gt;="&amp;$R46,Hours_Log!$A$5:$A$1004,"&lt;"&amp;$R46+Inputs!$C$18,Hours_Log!$D$5:$D$1004,T$21)+SUMIFS(Toggl_Import!$AI$10:$AI$509,Toggl_Import!$AF$10:$AF$509,"&gt;="&amp;$R46,Toggl_Import!$AF$10:$AF$509,"&lt;"&amp;$R46+Inputs!$C$18,Toggl_Import!$AH$10:$AH$509,T$21)</f>
        <v/>
      </c>
      <c r="U46" s="112">
        <f>SUMIFS(Hours_Log!$E$5:$E$1004,Hours_Log!$A$5:$A$1004,"&gt;="&amp;$R46,Hours_Log!$A$5:$A$1004,"&lt;"&amp;$R46+Inputs!$C$18,Hours_Log!$D$5:$D$1004,U$21)+SUMIFS(Toggl_Import!$AI$10:$AI$509,Toggl_Import!$AF$10:$AF$509,"&gt;="&amp;$R46,Toggl_Import!$AF$10:$AF$509,"&lt;"&amp;$R46+Inputs!$C$18,Toggl_Import!$AH$10:$AH$509,U$21)</f>
        <v/>
      </c>
      <c r="V46" s="112">
        <f>SUMIFS(Hours_Log!$E$5:$E$1004,Hours_Log!$A$5:$A$1004,"&gt;="&amp;$R46,Hours_Log!$A$5:$A$1004,"&lt;"&amp;$R46+Inputs!$C$18,Hours_Log!$D$5:$D$1004,V$21)+SUMIFS(Toggl_Import!$AI$10:$AI$509,Toggl_Import!$AF$10:$AF$509,"&gt;="&amp;$R46,Toggl_Import!$AF$10:$AF$509,"&lt;"&amp;$R46+Inputs!$C$18,Toggl_Import!$AH$10:$AH$509,V$21)</f>
        <v/>
      </c>
      <c r="W46" s="112">
        <f>SUMIFS(Hours_Log!$E$5:$E$1004,Hours_Log!$A$5:$A$1004,"&gt;="&amp;$R46,Hours_Log!$A$5:$A$1004,"&lt;"&amp;$R46+Inputs!$C$18,Hours_Log!$D$5:$D$1004,W$21)+SUMIFS(Toggl_Import!$AI$10:$AI$509,Toggl_Import!$AF$10:$AF$509,"&gt;="&amp;$R46,Toggl_Import!$AF$10:$AF$509,"&lt;"&amp;$R46+Inputs!$C$18,Toggl_Import!$AH$10:$AH$509,W$21)</f>
        <v/>
      </c>
      <c r="X46" s="112">
        <f>SUMIFS(Hours_Log!$E$5:$E$1004,Hours_Log!$A$5:$A$1004,"&gt;="&amp;$R46,Hours_Log!$A$5:$A$1004,"&lt;"&amp;$R46+Inputs!$C$18,Hours_Log!$D$5:$D$1004,X$21)+SUMIFS(Toggl_Import!$AI$10:$AI$509,Toggl_Import!$AF$10:$AF$509,"&gt;="&amp;$R46,Toggl_Import!$AF$10:$AF$509,"&lt;"&amp;$R46+Inputs!$C$18,Toggl_Import!$AH$10:$AH$509,X$21)</f>
        <v/>
      </c>
      <c r="Y46" s="112">
        <f>SUMIFS(Hours_Log!$E$5:$E$1004,Hours_Log!$A$5:$A$1004,"&gt;="&amp;$R46,Hours_Log!$A$5:$A$1004,"&lt;"&amp;$R46+Inputs!$C$18,Hours_Log!$D$5:$D$1004,Y$21)+SUMIFS(Toggl_Import!$AI$10:$AI$509,Toggl_Import!$AF$10:$AF$509,"&gt;="&amp;$R46,Toggl_Import!$AF$10:$AF$509,"&lt;"&amp;$R46+Inputs!$C$18,Toggl_Import!$AH$10:$AH$509,Y$21)</f>
        <v/>
      </c>
      <c r="Z46" s="114">
        <f>SUM(S46:Y46)</f>
        <v/>
      </c>
      <c r="AA46" s="112">
        <f>SUMIFS(Hours_Log!$E$5:$E$1004,Hours_Log!$A$5:$A$1004,"&gt;="&amp;$R46,Hours_Log!$A$5:$A$1004,"&lt;"&amp;$R46+Inputs!$C$18,Hours_Log!$B$5:$B$1004,Inputs!$C$30&amp;"*")+SUMIFS(Toggl_Import!$AI$10:$AI$509,Toggl_Import!$AF$10:$AF$509,"&gt;="&amp;$R46,Toggl_Import!$AF$10:$AF$509,"&lt;"&amp;$R46+Inputs!$C$18,Toggl_Import!$AG$10:$AG$509,Inputs!$C$30&amp;"*")</f>
        <v/>
      </c>
    </row>
    <row r="47">
      <c r="A47" s="147" t="n"/>
      <c r="B47" s="98" t="n"/>
      <c r="C47" s="98" t="n"/>
      <c r="D47" s="98" t="n"/>
      <c r="E47" s="148" t="n"/>
      <c r="F47" s="98" t="n"/>
      <c r="Q47" s="29" t="n">
        <v>26</v>
      </c>
      <c r="R47" s="107">
        <f>R46+Inputs!$C$18</f>
        <v/>
      </c>
      <c r="S47" s="112">
        <f>SUMIFS(Hours_Log!$E$5:$E$1004,Hours_Log!$A$5:$A$1004,"&gt;="&amp;$R47,Hours_Log!$A$5:$A$1004,"&lt;"&amp;$R47+Inputs!$C$18,Hours_Log!$D$5:$D$1004,S$21)+SUMIFS(Toggl_Import!$AI$10:$AI$509,Toggl_Import!$AF$10:$AF$509,"&gt;="&amp;$R47,Toggl_Import!$AF$10:$AF$509,"&lt;"&amp;$R47+Inputs!$C$18,Toggl_Import!$AH$10:$AH$509,S$21)</f>
        <v/>
      </c>
      <c r="T47" s="112">
        <f>SUMIFS(Hours_Log!$E$5:$E$1004,Hours_Log!$A$5:$A$1004,"&gt;="&amp;$R47,Hours_Log!$A$5:$A$1004,"&lt;"&amp;$R47+Inputs!$C$18,Hours_Log!$D$5:$D$1004,T$21)+SUMIFS(Toggl_Import!$AI$10:$AI$509,Toggl_Import!$AF$10:$AF$509,"&gt;="&amp;$R47,Toggl_Import!$AF$10:$AF$509,"&lt;"&amp;$R47+Inputs!$C$18,Toggl_Import!$AH$10:$AH$509,T$21)</f>
        <v/>
      </c>
      <c r="U47" s="112">
        <f>SUMIFS(Hours_Log!$E$5:$E$1004,Hours_Log!$A$5:$A$1004,"&gt;="&amp;$R47,Hours_Log!$A$5:$A$1004,"&lt;"&amp;$R47+Inputs!$C$18,Hours_Log!$D$5:$D$1004,U$21)+SUMIFS(Toggl_Import!$AI$10:$AI$509,Toggl_Import!$AF$10:$AF$509,"&gt;="&amp;$R47,Toggl_Import!$AF$10:$AF$509,"&lt;"&amp;$R47+Inputs!$C$18,Toggl_Import!$AH$10:$AH$509,U$21)</f>
        <v/>
      </c>
      <c r="V47" s="112">
        <f>SUMIFS(Hours_Log!$E$5:$E$1004,Hours_Log!$A$5:$A$1004,"&gt;="&amp;$R47,Hours_Log!$A$5:$A$1004,"&lt;"&amp;$R47+Inputs!$C$18,Hours_Log!$D$5:$D$1004,V$21)+SUMIFS(Toggl_Import!$AI$10:$AI$509,Toggl_Import!$AF$10:$AF$509,"&gt;="&amp;$R47,Toggl_Import!$AF$10:$AF$509,"&lt;"&amp;$R47+Inputs!$C$18,Toggl_Import!$AH$10:$AH$509,V$21)</f>
        <v/>
      </c>
      <c r="W47" s="112">
        <f>SUMIFS(Hours_Log!$E$5:$E$1004,Hours_Log!$A$5:$A$1004,"&gt;="&amp;$R47,Hours_Log!$A$5:$A$1004,"&lt;"&amp;$R47+Inputs!$C$18,Hours_Log!$D$5:$D$1004,W$21)+SUMIFS(Toggl_Import!$AI$10:$AI$509,Toggl_Import!$AF$10:$AF$509,"&gt;="&amp;$R47,Toggl_Import!$AF$10:$AF$509,"&lt;"&amp;$R47+Inputs!$C$18,Toggl_Import!$AH$10:$AH$509,W$21)</f>
        <v/>
      </c>
      <c r="X47" s="112">
        <f>SUMIFS(Hours_Log!$E$5:$E$1004,Hours_Log!$A$5:$A$1004,"&gt;="&amp;$R47,Hours_Log!$A$5:$A$1004,"&lt;"&amp;$R47+Inputs!$C$18,Hours_Log!$D$5:$D$1004,X$21)+SUMIFS(Toggl_Import!$AI$10:$AI$509,Toggl_Import!$AF$10:$AF$509,"&gt;="&amp;$R47,Toggl_Import!$AF$10:$AF$509,"&lt;"&amp;$R47+Inputs!$C$18,Toggl_Import!$AH$10:$AH$509,X$21)</f>
        <v/>
      </c>
      <c r="Y47" s="112">
        <f>SUMIFS(Hours_Log!$E$5:$E$1004,Hours_Log!$A$5:$A$1004,"&gt;="&amp;$R47,Hours_Log!$A$5:$A$1004,"&lt;"&amp;$R47+Inputs!$C$18,Hours_Log!$D$5:$D$1004,Y$21)+SUMIFS(Toggl_Import!$AI$10:$AI$509,Toggl_Import!$AF$10:$AF$509,"&gt;="&amp;$R47,Toggl_Import!$AF$10:$AF$509,"&lt;"&amp;$R47+Inputs!$C$18,Toggl_Import!$AH$10:$AH$509,Y$21)</f>
        <v/>
      </c>
      <c r="Z47" s="114">
        <f>SUM(S47:Y47)</f>
        <v/>
      </c>
      <c r="AA47" s="112">
        <f>SUMIFS(Hours_Log!$E$5:$E$1004,Hours_Log!$A$5:$A$1004,"&gt;="&amp;$R47,Hours_Log!$A$5:$A$1004,"&lt;"&amp;$R47+Inputs!$C$18,Hours_Log!$B$5:$B$1004,Inputs!$C$30&amp;"*")+SUMIFS(Toggl_Import!$AI$10:$AI$509,Toggl_Import!$AF$10:$AF$509,"&gt;="&amp;$R47,Toggl_Import!$AF$10:$AF$509,"&lt;"&amp;$R47+Inputs!$C$18,Toggl_Import!$AG$10:$AG$509,Inputs!$C$30&amp;"*")</f>
        <v/>
      </c>
    </row>
    <row r="48">
      <c r="A48" s="147" t="n"/>
      <c r="B48" s="98" t="n"/>
      <c r="C48" s="98" t="n"/>
      <c r="D48" s="98" t="n"/>
      <c r="E48" s="148" t="n"/>
      <c r="F48" s="98" t="n"/>
      <c r="Q48" s="29" t="inlineStr">
        <is>
          <t>Six months</t>
        </is>
      </c>
      <c r="S48" s="114">
        <f>SUM(S22:S47)</f>
        <v/>
      </c>
      <c r="T48" s="114">
        <f>SUM(T22:T47)</f>
        <v/>
      </c>
      <c r="U48" s="114">
        <f>SUM(U22:U47)</f>
        <v/>
      </c>
      <c r="V48" s="114">
        <f>SUM(V22:V47)</f>
        <v/>
      </c>
      <c r="W48" s="114">
        <f>SUM(W22:W47)</f>
        <v/>
      </c>
      <c r="X48" s="114">
        <f>SUM(X22:X47)</f>
        <v/>
      </c>
      <c r="Y48" s="114">
        <f>SUM(Y22:Y47)</f>
        <v/>
      </c>
      <c r="Z48" s="114">
        <f>SUM(Z22:Z47)</f>
        <v/>
      </c>
      <c r="AA48" s="114">
        <f>SUM(AA22:AA47)</f>
        <v/>
      </c>
    </row>
    <row r="49">
      <c r="A49" s="147" t="n"/>
      <c r="B49" s="98" t="n"/>
      <c r="C49" s="98" t="n"/>
      <c r="D49" s="98" t="n"/>
      <c r="E49" s="148" t="n"/>
      <c r="F49" s="98" t="n"/>
    </row>
    <row r="50">
      <c r="A50" s="147" t="n"/>
      <c r="B50" s="98" t="n"/>
      <c r="C50" s="98" t="n"/>
      <c r="D50" s="98" t="n"/>
      <c r="E50" s="148" t="n"/>
      <c r="F50" s="98" t="n"/>
      <c r="Q50" s="29" t="inlineStr">
        <is>
          <t>Invalid activity keys in the hand log (should be 0)</t>
        </is>
      </c>
      <c r="Z50" s="21">
        <f>COUNTA(Hours_Log!$D$5:$D$1004)-SUMPRODUCT(COUNTIF(Hours_Log!$D$5:$D$1004,Lists!$C$4:$C$10))</f>
        <v/>
      </c>
    </row>
    <row r="51">
      <c r="A51" s="147" t="n"/>
      <c r="B51" s="98" t="n"/>
      <c r="C51" s="98" t="n"/>
      <c r="D51" s="98" t="n"/>
      <c r="E51" s="148" t="n"/>
      <c r="F51" s="98" t="n"/>
      <c r="Q51" s="29" t="inlineStr">
        <is>
          <t>Rows whose drop_id is not on Schedule (should be 0)</t>
        </is>
      </c>
      <c r="Z51" s="21">
        <f>SUMPRODUCT((Hours_Log!$B$5:$B$1004&lt;&gt;"")*(COUNTIF(Schedule!$A$7:$A$18,Hours_Log!$B$5:$B$1004)=0))</f>
        <v/>
      </c>
    </row>
    <row r="52">
      <c r="A52" s="147" t="n"/>
      <c r="B52" s="98" t="n"/>
      <c r="C52" s="98" t="n"/>
      <c r="D52" s="98" t="n"/>
      <c r="E52" s="148" t="n"/>
      <c r="F52" s="98" t="n"/>
      <c r="Q52" s="29" t="inlineStr">
        <is>
          <t>Hours outside the 26 weeks (dated before week 1 or after week 26)</t>
        </is>
      </c>
      <c r="Z52" s="114">
        <f>Y17-Z48</f>
        <v/>
      </c>
    </row>
    <row r="53">
      <c r="A53" s="147" t="n"/>
      <c r="B53" s="98" t="n"/>
      <c r="C53" s="98" t="n"/>
      <c r="D53" s="98" t="n"/>
      <c r="E53" s="148" t="n"/>
      <c r="F53" s="98" t="n"/>
      <c r="Q53" s="29" t="inlineStr">
        <is>
          <t>Hours inside the 26 weeks not linked to a drop (feeds the Dashboard's six-month all-in rate)</t>
        </is>
      </c>
      <c r="Z53" s="114">
        <f>Z48-AA48</f>
        <v/>
      </c>
    </row>
    <row r="54">
      <c r="A54" s="147" t="n"/>
      <c r="B54" s="98" t="n"/>
      <c r="C54" s="98" t="n"/>
      <c r="D54" s="98" t="n"/>
      <c r="E54" s="148" t="n"/>
      <c r="F54" s="98" t="n"/>
    </row>
    <row r="55">
      <c r="A55" s="147" t="n"/>
      <c r="B55" s="98" t="n"/>
      <c r="C55" s="98" t="n"/>
      <c r="D55" s="98" t="n"/>
      <c r="E55" s="148" t="n"/>
      <c r="F55" s="98" t="n"/>
    </row>
    <row r="56">
      <c r="A56" s="147" t="n"/>
      <c r="B56" s="98" t="n"/>
      <c r="C56" s="98" t="n"/>
      <c r="D56" s="98" t="n"/>
      <c r="E56" s="148" t="n"/>
      <c r="F56" s="98" t="n"/>
    </row>
    <row r="57">
      <c r="A57" s="147" t="n"/>
      <c r="B57" s="98" t="n"/>
      <c r="C57" s="98" t="n"/>
      <c r="D57" s="98" t="n"/>
      <c r="E57" s="148" t="n"/>
      <c r="F57" s="98" t="n"/>
    </row>
    <row r="58">
      <c r="A58" s="147" t="n"/>
      <c r="B58" s="98" t="n"/>
      <c r="C58" s="98" t="n"/>
      <c r="D58" s="98" t="n"/>
      <c r="E58" s="148" t="n"/>
      <c r="F58" s="98" t="n"/>
    </row>
    <row r="59">
      <c r="A59" s="147" t="n"/>
      <c r="B59" s="98" t="n"/>
      <c r="C59" s="98" t="n"/>
      <c r="D59" s="98" t="n"/>
      <c r="E59" s="148" t="n"/>
      <c r="F59" s="98" t="n"/>
    </row>
    <row r="60">
      <c r="A60" s="147" t="n"/>
      <c r="B60" s="98" t="n"/>
      <c r="C60" s="98" t="n"/>
      <c r="D60" s="98" t="n"/>
      <c r="E60" s="148" t="n"/>
      <c r="F60" s="98" t="n"/>
    </row>
    <row r="61">
      <c r="A61" s="147" t="n"/>
      <c r="B61" s="98" t="n"/>
      <c r="C61" s="98" t="n"/>
      <c r="D61" s="98" t="n"/>
      <c r="E61" s="148" t="n"/>
      <c r="F61" s="98" t="n"/>
    </row>
    <row r="62">
      <c r="A62" s="147" t="n"/>
      <c r="B62" s="98" t="n"/>
      <c r="C62" s="98" t="n"/>
      <c r="D62" s="98" t="n"/>
      <c r="E62" s="148" t="n"/>
      <c r="F62" s="98" t="n"/>
    </row>
    <row r="63">
      <c r="A63" s="147" t="n"/>
      <c r="B63" s="98" t="n"/>
      <c r="C63" s="98" t="n"/>
      <c r="D63" s="98" t="n"/>
      <c r="E63" s="148" t="n"/>
      <c r="F63" s="98" t="n"/>
    </row>
    <row r="64">
      <c r="A64" s="147" t="n"/>
      <c r="B64" s="98" t="n"/>
      <c r="C64" s="98" t="n"/>
      <c r="D64" s="98" t="n"/>
      <c r="E64" s="148" t="n"/>
      <c r="F64" s="98" t="n"/>
    </row>
    <row r="65">
      <c r="A65" s="147" t="n"/>
      <c r="B65" s="98" t="n"/>
      <c r="C65" s="98" t="n"/>
      <c r="D65" s="98" t="n"/>
      <c r="E65" s="148" t="n"/>
      <c r="F65" s="98" t="n"/>
    </row>
    <row r="66">
      <c r="A66" s="147" t="n"/>
      <c r="B66" s="98" t="n"/>
      <c r="C66" s="98" t="n"/>
      <c r="D66" s="98" t="n"/>
      <c r="E66" s="148" t="n"/>
      <c r="F66" s="98" t="n"/>
    </row>
    <row r="67">
      <c r="A67" s="147" t="n"/>
      <c r="B67" s="98" t="n"/>
      <c r="C67" s="98" t="n"/>
      <c r="D67" s="98" t="n"/>
      <c r="E67" s="148" t="n"/>
      <c r="F67" s="98" t="n"/>
    </row>
    <row r="68">
      <c r="A68" s="147" t="n"/>
      <c r="B68" s="98" t="n"/>
      <c r="C68" s="98" t="n"/>
      <c r="D68" s="98" t="n"/>
      <c r="E68" s="148" t="n"/>
      <c r="F68" s="98" t="n"/>
    </row>
    <row r="69">
      <c r="A69" s="147" t="n"/>
      <c r="B69" s="98" t="n"/>
      <c r="C69" s="98" t="n"/>
      <c r="D69" s="98" t="n"/>
      <c r="E69" s="148" t="n"/>
      <c r="F69" s="98" t="n"/>
    </row>
    <row r="70">
      <c r="A70" s="147" t="n"/>
      <c r="B70" s="98" t="n"/>
      <c r="C70" s="98" t="n"/>
      <c r="D70" s="98" t="n"/>
      <c r="E70" s="148" t="n"/>
      <c r="F70" s="98" t="n"/>
    </row>
    <row r="71">
      <c r="A71" s="147" t="n"/>
      <c r="B71" s="98" t="n"/>
      <c r="C71" s="98" t="n"/>
      <c r="D71" s="98" t="n"/>
      <c r="E71" s="148" t="n"/>
      <c r="F71" s="98" t="n"/>
    </row>
    <row r="72">
      <c r="A72" s="147" t="n"/>
      <c r="B72" s="98" t="n"/>
      <c r="C72" s="98" t="n"/>
      <c r="D72" s="98" t="n"/>
      <c r="E72" s="148" t="n"/>
      <c r="F72" s="98" t="n"/>
    </row>
    <row r="73">
      <c r="A73" s="147" t="n"/>
      <c r="B73" s="98" t="n"/>
      <c r="C73" s="98" t="n"/>
      <c r="D73" s="98" t="n"/>
      <c r="E73" s="148" t="n"/>
      <c r="F73" s="98" t="n"/>
    </row>
    <row r="74">
      <c r="A74" s="147" t="n"/>
      <c r="B74" s="98" t="n"/>
      <c r="C74" s="98" t="n"/>
      <c r="D74" s="98" t="n"/>
      <c r="E74" s="148" t="n"/>
      <c r="F74" s="98" t="n"/>
    </row>
    <row r="75">
      <c r="A75" s="147" t="n"/>
      <c r="B75" s="98" t="n"/>
      <c r="C75" s="98" t="n"/>
      <c r="D75" s="98" t="n"/>
      <c r="E75" s="148" t="n"/>
      <c r="F75" s="98" t="n"/>
    </row>
    <row r="76">
      <c r="A76" s="147" t="n"/>
      <c r="B76" s="98" t="n"/>
      <c r="C76" s="98" t="n"/>
      <c r="D76" s="98" t="n"/>
      <c r="E76" s="148" t="n"/>
      <c r="F76" s="98" t="n"/>
    </row>
    <row r="77">
      <c r="A77" s="147" t="n"/>
      <c r="B77" s="98" t="n"/>
      <c r="C77" s="98" t="n"/>
      <c r="D77" s="98" t="n"/>
      <c r="E77" s="148" t="n"/>
      <c r="F77" s="98" t="n"/>
    </row>
    <row r="78">
      <c r="A78" s="147" t="n"/>
      <c r="B78" s="98" t="n"/>
      <c r="C78" s="98" t="n"/>
      <c r="D78" s="98" t="n"/>
      <c r="E78" s="148" t="n"/>
      <c r="F78" s="98" t="n"/>
    </row>
    <row r="79">
      <c r="A79" s="147" t="n"/>
      <c r="B79" s="98" t="n"/>
      <c r="C79" s="98" t="n"/>
      <c r="D79" s="98" t="n"/>
      <c r="E79" s="148" t="n"/>
      <c r="F79" s="98" t="n"/>
    </row>
    <row r="80">
      <c r="A80" s="147" t="n"/>
      <c r="B80" s="98" t="n"/>
      <c r="C80" s="98" t="n"/>
      <c r="D80" s="98" t="n"/>
      <c r="E80" s="148" t="n"/>
      <c r="F80" s="98" t="n"/>
    </row>
    <row r="81">
      <c r="A81" s="147" t="n"/>
      <c r="B81" s="98" t="n"/>
      <c r="C81" s="98" t="n"/>
      <c r="D81" s="98" t="n"/>
      <c r="E81" s="148" t="n"/>
      <c r="F81" s="98" t="n"/>
    </row>
    <row r="82">
      <c r="A82" s="147" t="n"/>
      <c r="B82" s="98" t="n"/>
      <c r="C82" s="98" t="n"/>
      <c r="D82" s="98" t="n"/>
      <c r="E82" s="148" t="n"/>
      <c r="F82" s="98" t="n"/>
    </row>
    <row r="83">
      <c r="A83" s="147" t="n"/>
      <c r="B83" s="98" t="n"/>
      <c r="C83" s="98" t="n"/>
      <c r="D83" s="98" t="n"/>
      <c r="E83" s="148" t="n"/>
      <c r="F83" s="98" t="n"/>
    </row>
    <row r="84">
      <c r="A84" s="147" t="n"/>
      <c r="B84" s="98" t="n"/>
      <c r="C84" s="98" t="n"/>
      <c r="D84" s="98" t="n"/>
      <c r="E84" s="148" t="n"/>
      <c r="F84" s="98" t="n"/>
    </row>
    <row r="85">
      <c r="A85" s="147" t="n"/>
      <c r="B85" s="98" t="n"/>
      <c r="C85" s="98" t="n"/>
      <c r="D85" s="98" t="n"/>
      <c r="E85" s="148" t="n"/>
      <c r="F85" s="98" t="n"/>
    </row>
    <row r="86">
      <c r="A86" s="147" t="n"/>
      <c r="B86" s="98" t="n"/>
      <c r="C86" s="98" t="n"/>
      <c r="D86" s="98" t="n"/>
      <c r="E86" s="148" t="n"/>
      <c r="F86" s="98" t="n"/>
    </row>
    <row r="87">
      <c r="A87" s="147" t="n"/>
      <c r="B87" s="98" t="n"/>
      <c r="C87" s="98" t="n"/>
      <c r="D87" s="98" t="n"/>
      <c r="E87" s="148" t="n"/>
      <c r="F87" s="98" t="n"/>
    </row>
    <row r="88">
      <c r="A88" s="147" t="n"/>
      <c r="B88" s="98" t="n"/>
      <c r="C88" s="98" t="n"/>
      <c r="D88" s="98" t="n"/>
      <c r="E88" s="148" t="n"/>
      <c r="F88" s="98" t="n"/>
    </row>
    <row r="89">
      <c r="A89" s="147" t="n"/>
      <c r="B89" s="98" t="n"/>
      <c r="C89" s="98" t="n"/>
      <c r="D89" s="98" t="n"/>
      <c r="E89" s="148" t="n"/>
      <c r="F89" s="98" t="n"/>
    </row>
    <row r="90">
      <c r="A90" s="147" t="n"/>
      <c r="B90" s="98" t="n"/>
      <c r="C90" s="98" t="n"/>
      <c r="D90" s="98" t="n"/>
      <c r="E90" s="148" t="n"/>
      <c r="F90" s="98" t="n"/>
    </row>
    <row r="91">
      <c r="A91" s="147" t="n"/>
      <c r="B91" s="98" t="n"/>
      <c r="C91" s="98" t="n"/>
      <c r="D91" s="98" t="n"/>
      <c r="E91" s="148" t="n"/>
      <c r="F91" s="98" t="n"/>
    </row>
    <row r="92">
      <c r="A92" s="147" t="n"/>
      <c r="B92" s="98" t="n"/>
      <c r="C92" s="98" t="n"/>
      <c r="D92" s="98" t="n"/>
      <c r="E92" s="148" t="n"/>
      <c r="F92" s="98" t="n"/>
    </row>
    <row r="93">
      <c r="A93" s="147" t="n"/>
      <c r="B93" s="98" t="n"/>
      <c r="C93" s="98" t="n"/>
      <c r="D93" s="98" t="n"/>
      <c r="E93" s="148" t="n"/>
      <c r="F93" s="98" t="n"/>
    </row>
    <row r="94">
      <c r="A94" s="147" t="n"/>
      <c r="B94" s="98" t="n"/>
      <c r="C94" s="98" t="n"/>
      <c r="D94" s="98" t="n"/>
      <c r="E94" s="148" t="n"/>
      <c r="F94" s="98" t="n"/>
    </row>
    <row r="95">
      <c r="A95" s="147" t="n"/>
      <c r="B95" s="98" t="n"/>
      <c r="C95" s="98" t="n"/>
      <c r="D95" s="98" t="n"/>
      <c r="E95" s="148" t="n"/>
      <c r="F95" s="98" t="n"/>
    </row>
    <row r="96">
      <c r="A96" s="147" t="n"/>
      <c r="B96" s="98" t="n"/>
      <c r="C96" s="98" t="n"/>
      <c r="D96" s="98" t="n"/>
      <c r="E96" s="148" t="n"/>
      <c r="F96" s="98" t="n"/>
    </row>
    <row r="97">
      <c r="A97" s="147" t="n"/>
      <c r="B97" s="98" t="n"/>
      <c r="C97" s="98" t="n"/>
      <c r="D97" s="98" t="n"/>
      <c r="E97" s="148" t="n"/>
      <c r="F97" s="98" t="n"/>
    </row>
    <row r="98">
      <c r="A98" s="147" t="n"/>
      <c r="B98" s="98" t="n"/>
      <c r="C98" s="98" t="n"/>
      <c r="D98" s="98" t="n"/>
      <c r="E98" s="148" t="n"/>
      <c r="F98" s="98" t="n"/>
    </row>
    <row r="99">
      <c r="A99" s="147" t="n"/>
      <c r="B99" s="98" t="n"/>
      <c r="C99" s="98" t="n"/>
      <c r="D99" s="98" t="n"/>
      <c r="E99" s="148" t="n"/>
      <c r="F99" s="98" t="n"/>
    </row>
    <row r="100">
      <c r="A100" s="147" t="n"/>
      <c r="B100" s="98" t="n"/>
      <c r="C100" s="98" t="n"/>
      <c r="D100" s="98" t="n"/>
      <c r="E100" s="148" t="n"/>
      <c r="F100" s="98" t="n"/>
    </row>
    <row r="101">
      <c r="A101" s="147" t="n"/>
      <c r="B101" s="98" t="n"/>
      <c r="C101" s="98" t="n"/>
      <c r="D101" s="98" t="n"/>
      <c r="E101" s="148" t="n"/>
      <c r="F101" s="98" t="n"/>
    </row>
    <row r="102">
      <c r="A102" s="147" t="n"/>
      <c r="B102" s="98" t="n"/>
      <c r="C102" s="98" t="n"/>
      <c r="D102" s="98" t="n"/>
      <c r="E102" s="148" t="n"/>
      <c r="F102" s="98" t="n"/>
    </row>
    <row r="103">
      <c r="A103" s="147" t="n"/>
      <c r="B103" s="98" t="n"/>
      <c r="C103" s="98" t="n"/>
      <c r="D103" s="98" t="n"/>
      <c r="E103" s="148" t="n"/>
      <c r="F103" s="98" t="n"/>
    </row>
    <row r="104">
      <c r="A104" s="147" t="n"/>
      <c r="B104" s="98" t="n"/>
      <c r="C104" s="98" t="n"/>
      <c r="D104" s="98" t="n"/>
      <c r="E104" s="148" t="n"/>
      <c r="F104" s="98" t="n"/>
    </row>
    <row r="105">
      <c r="A105" s="147" t="n"/>
      <c r="B105" s="98" t="n"/>
      <c r="C105" s="98" t="n"/>
      <c r="D105" s="98" t="n"/>
      <c r="E105" s="148" t="n"/>
      <c r="F105" s="98" t="n"/>
    </row>
    <row r="106">
      <c r="A106" s="147" t="n"/>
      <c r="B106" s="98" t="n"/>
      <c r="C106" s="98" t="n"/>
      <c r="D106" s="98" t="n"/>
      <c r="E106" s="148" t="n"/>
      <c r="F106" s="98" t="n"/>
    </row>
    <row r="107">
      <c r="A107" s="147" t="n"/>
      <c r="B107" s="98" t="n"/>
      <c r="C107" s="98" t="n"/>
      <c r="D107" s="98" t="n"/>
      <c r="E107" s="148" t="n"/>
      <c r="F107" s="98" t="n"/>
    </row>
    <row r="108">
      <c r="A108" s="147" t="n"/>
      <c r="B108" s="98" t="n"/>
      <c r="C108" s="98" t="n"/>
      <c r="D108" s="98" t="n"/>
      <c r="E108" s="148" t="n"/>
      <c r="F108" s="98" t="n"/>
    </row>
    <row r="109">
      <c r="A109" s="147" t="n"/>
      <c r="B109" s="98" t="n"/>
      <c r="C109" s="98" t="n"/>
      <c r="D109" s="98" t="n"/>
      <c r="E109" s="148" t="n"/>
      <c r="F109" s="98" t="n"/>
    </row>
    <row r="110">
      <c r="A110" s="147" t="n"/>
      <c r="B110" s="98" t="n"/>
      <c r="C110" s="98" t="n"/>
      <c r="D110" s="98" t="n"/>
      <c r="E110" s="148" t="n"/>
      <c r="F110" s="98" t="n"/>
    </row>
    <row r="111">
      <c r="A111" s="147" t="n"/>
      <c r="B111" s="98" t="n"/>
      <c r="C111" s="98" t="n"/>
      <c r="D111" s="98" t="n"/>
      <c r="E111" s="148" t="n"/>
      <c r="F111" s="98" t="n"/>
    </row>
    <row r="112">
      <c r="A112" s="147" t="n"/>
      <c r="B112" s="98" t="n"/>
      <c r="C112" s="98" t="n"/>
      <c r="D112" s="98" t="n"/>
      <c r="E112" s="148" t="n"/>
      <c r="F112" s="98" t="n"/>
    </row>
    <row r="113">
      <c r="A113" s="147" t="n"/>
      <c r="B113" s="98" t="n"/>
      <c r="C113" s="98" t="n"/>
      <c r="D113" s="98" t="n"/>
      <c r="E113" s="148" t="n"/>
      <c r="F113" s="98" t="n"/>
    </row>
    <row r="114">
      <c r="A114" s="147" t="n"/>
      <c r="B114" s="98" t="n"/>
      <c r="C114" s="98" t="n"/>
      <c r="D114" s="98" t="n"/>
      <c r="E114" s="148" t="n"/>
      <c r="F114" s="98" t="n"/>
    </row>
    <row r="115">
      <c r="A115" s="147" t="n"/>
      <c r="B115" s="98" t="n"/>
      <c r="C115" s="98" t="n"/>
      <c r="D115" s="98" t="n"/>
      <c r="E115" s="148" t="n"/>
      <c r="F115" s="98" t="n"/>
    </row>
    <row r="116">
      <c r="A116" s="147" t="n"/>
      <c r="B116" s="98" t="n"/>
      <c r="C116" s="98" t="n"/>
      <c r="D116" s="98" t="n"/>
      <c r="E116" s="148" t="n"/>
      <c r="F116" s="98" t="n"/>
    </row>
    <row r="117">
      <c r="A117" s="147" t="n"/>
      <c r="B117" s="98" t="n"/>
      <c r="C117" s="98" t="n"/>
      <c r="D117" s="98" t="n"/>
      <c r="E117" s="148" t="n"/>
      <c r="F117" s="98" t="n"/>
    </row>
    <row r="118">
      <c r="A118" s="147" t="n"/>
      <c r="B118" s="98" t="n"/>
      <c r="C118" s="98" t="n"/>
      <c r="D118" s="98" t="n"/>
      <c r="E118" s="148" t="n"/>
      <c r="F118" s="98" t="n"/>
    </row>
    <row r="119">
      <c r="A119" s="147" t="n"/>
      <c r="B119" s="98" t="n"/>
      <c r="C119" s="98" t="n"/>
      <c r="D119" s="98" t="n"/>
      <c r="E119" s="148" t="n"/>
      <c r="F119" s="98" t="n"/>
    </row>
    <row r="120">
      <c r="A120" s="147" t="n"/>
      <c r="B120" s="98" t="n"/>
      <c r="C120" s="98" t="n"/>
      <c r="D120" s="98" t="n"/>
      <c r="E120" s="148" t="n"/>
      <c r="F120" s="98" t="n"/>
    </row>
    <row r="121">
      <c r="A121" s="147" t="n"/>
      <c r="B121" s="98" t="n"/>
      <c r="C121" s="98" t="n"/>
      <c r="D121" s="98" t="n"/>
      <c r="E121" s="148" t="n"/>
      <c r="F121" s="98" t="n"/>
    </row>
    <row r="122">
      <c r="A122" s="147" t="n"/>
      <c r="B122" s="98" t="n"/>
      <c r="C122" s="98" t="n"/>
      <c r="D122" s="98" t="n"/>
      <c r="E122" s="148" t="n"/>
      <c r="F122" s="98" t="n"/>
    </row>
    <row r="123">
      <c r="A123" s="147" t="n"/>
      <c r="B123" s="98" t="n"/>
      <c r="C123" s="98" t="n"/>
      <c r="D123" s="98" t="n"/>
      <c r="E123" s="148" t="n"/>
      <c r="F123" s="98" t="n"/>
    </row>
    <row r="124">
      <c r="A124" s="147" t="n"/>
      <c r="B124" s="98" t="n"/>
      <c r="C124" s="98" t="n"/>
      <c r="D124" s="98" t="n"/>
      <c r="E124" s="148" t="n"/>
      <c r="F124" s="98" t="n"/>
    </row>
    <row r="125">
      <c r="A125" s="147" t="n"/>
      <c r="B125" s="98" t="n"/>
      <c r="C125" s="98" t="n"/>
      <c r="D125" s="98" t="n"/>
      <c r="E125" s="148" t="n"/>
      <c r="F125" s="98" t="n"/>
    </row>
    <row r="126">
      <c r="A126" s="147" t="n"/>
      <c r="B126" s="98" t="n"/>
      <c r="C126" s="98" t="n"/>
      <c r="D126" s="98" t="n"/>
      <c r="E126" s="148" t="n"/>
      <c r="F126" s="98" t="n"/>
    </row>
    <row r="127">
      <c r="A127" s="147" t="n"/>
      <c r="B127" s="98" t="n"/>
      <c r="C127" s="98" t="n"/>
      <c r="D127" s="98" t="n"/>
      <c r="E127" s="148" t="n"/>
      <c r="F127" s="98" t="n"/>
    </row>
    <row r="128">
      <c r="A128" s="147" t="n"/>
      <c r="B128" s="98" t="n"/>
      <c r="C128" s="98" t="n"/>
      <c r="D128" s="98" t="n"/>
      <c r="E128" s="148" t="n"/>
      <c r="F128" s="98" t="n"/>
    </row>
    <row r="129">
      <c r="A129" s="147" t="n"/>
      <c r="B129" s="98" t="n"/>
      <c r="C129" s="98" t="n"/>
      <c r="D129" s="98" t="n"/>
      <c r="E129" s="148" t="n"/>
      <c r="F129" s="98" t="n"/>
    </row>
    <row r="130">
      <c r="A130" s="147" t="n"/>
      <c r="B130" s="98" t="n"/>
      <c r="C130" s="98" t="n"/>
      <c r="D130" s="98" t="n"/>
      <c r="E130" s="148" t="n"/>
      <c r="F130" s="98" t="n"/>
    </row>
    <row r="131">
      <c r="A131" s="147" t="n"/>
      <c r="B131" s="98" t="n"/>
      <c r="C131" s="98" t="n"/>
      <c r="D131" s="98" t="n"/>
      <c r="E131" s="148" t="n"/>
      <c r="F131" s="98" t="n"/>
    </row>
    <row r="132">
      <c r="A132" s="147" t="n"/>
      <c r="B132" s="98" t="n"/>
      <c r="C132" s="98" t="n"/>
      <c r="D132" s="98" t="n"/>
      <c r="E132" s="148" t="n"/>
      <c r="F132" s="98" t="n"/>
    </row>
    <row r="133">
      <c r="A133" s="147" t="n"/>
      <c r="B133" s="98" t="n"/>
      <c r="C133" s="98" t="n"/>
      <c r="D133" s="98" t="n"/>
      <c r="E133" s="148" t="n"/>
      <c r="F133" s="98" t="n"/>
    </row>
    <row r="134">
      <c r="A134" s="147" t="n"/>
      <c r="B134" s="98" t="n"/>
      <c r="C134" s="98" t="n"/>
      <c r="D134" s="98" t="n"/>
      <c r="E134" s="148" t="n"/>
      <c r="F134" s="98" t="n"/>
    </row>
    <row r="135">
      <c r="A135" s="147" t="n"/>
      <c r="B135" s="98" t="n"/>
      <c r="C135" s="98" t="n"/>
      <c r="D135" s="98" t="n"/>
      <c r="E135" s="148" t="n"/>
      <c r="F135" s="98" t="n"/>
    </row>
    <row r="136">
      <c r="A136" s="147" t="n"/>
      <c r="B136" s="98" t="n"/>
      <c r="C136" s="98" t="n"/>
      <c r="D136" s="98" t="n"/>
      <c r="E136" s="148" t="n"/>
      <c r="F136" s="98" t="n"/>
    </row>
    <row r="137">
      <c r="A137" s="147" t="n"/>
      <c r="B137" s="98" t="n"/>
      <c r="C137" s="98" t="n"/>
      <c r="D137" s="98" t="n"/>
      <c r="E137" s="148" t="n"/>
      <c r="F137" s="98" t="n"/>
    </row>
    <row r="138">
      <c r="A138" s="147" t="n"/>
      <c r="B138" s="98" t="n"/>
      <c r="C138" s="98" t="n"/>
      <c r="D138" s="98" t="n"/>
      <c r="E138" s="148" t="n"/>
      <c r="F138" s="98" t="n"/>
    </row>
    <row r="139">
      <c r="A139" s="147" t="n"/>
      <c r="B139" s="98" t="n"/>
      <c r="C139" s="98" t="n"/>
      <c r="D139" s="98" t="n"/>
      <c r="E139" s="148" t="n"/>
      <c r="F139" s="98" t="n"/>
    </row>
    <row r="140">
      <c r="A140" s="147" t="n"/>
      <c r="B140" s="98" t="n"/>
      <c r="C140" s="98" t="n"/>
      <c r="D140" s="98" t="n"/>
      <c r="E140" s="148" t="n"/>
      <c r="F140" s="98" t="n"/>
    </row>
    <row r="141">
      <c r="A141" s="147" t="n"/>
      <c r="B141" s="98" t="n"/>
      <c r="C141" s="98" t="n"/>
      <c r="D141" s="98" t="n"/>
      <c r="E141" s="148" t="n"/>
      <c r="F141" s="98" t="n"/>
    </row>
    <row r="142">
      <c r="A142" s="147" t="n"/>
      <c r="B142" s="98" t="n"/>
      <c r="C142" s="98" t="n"/>
      <c r="D142" s="98" t="n"/>
      <c r="E142" s="148" t="n"/>
      <c r="F142" s="98" t="n"/>
    </row>
    <row r="143">
      <c r="A143" s="147" t="n"/>
      <c r="B143" s="98" t="n"/>
      <c r="C143" s="98" t="n"/>
      <c r="D143" s="98" t="n"/>
      <c r="E143" s="148" t="n"/>
      <c r="F143" s="98" t="n"/>
    </row>
    <row r="144">
      <c r="A144" s="147" t="n"/>
      <c r="B144" s="98" t="n"/>
      <c r="C144" s="98" t="n"/>
      <c r="D144" s="98" t="n"/>
      <c r="E144" s="148" t="n"/>
      <c r="F144" s="98" t="n"/>
    </row>
    <row r="145">
      <c r="A145" s="147" t="n"/>
      <c r="B145" s="98" t="n"/>
      <c r="C145" s="98" t="n"/>
      <c r="D145" s="98" t="n"/>
      <c r="E145" s="148" t="n"/>
      <c r="F145" s="98" t="n"/>
    </row>
    <row r="146">
      <c r="A146" s="147" t="n"/>
      <c r="B146" s="98" t="n"/>
      <c r="C146" s="98" t="n"/>
      <c r="D146" s="98" t="n"/>
      <c r="E146" s="148" t="n"/>
      <c r="F146" s="98" t="n"/>
    </row>
    <row r="147">
      <c r="A147" s="147" t="n"/>
      <c r="B147" s="98" t="n"/>
      <c r="C147" s="98" t="n"/>
      <c r="D147" s="98" t="n"/>
      <c r="E147" s="148" t="n"/>
      <c r="F147" s="98" t="n"/>
    </row>
    <row r="148">
      <c r="A148" s="147" t="n"/>
      <c r="B148" s="98" t="n"/>
      <c r="C148" s="98" t="n"/>
      <c r="D148" s="98" t="n"/>
      <c r="E148" s="148" t="n"/>
      <c r="F148" s="98" t="n"/>
    </row>
    <row r="149">
      <c r="A149" s="147" t="n"/>
      <c r="B149" s="98" t="n"/>
      <c r="C149" s="98" t="n"/>
      <c r="D149" s="98" t="n"/>
      <c r="E149" s="148" t="n"/>
      <c r="F149" s="98" t="n"/>
    </row>
    <row r="150">
      <c r="A150" s="147" t="n"/>
      <c r="B150" s="98" t="n"/>
      <c r="C150" s="98" t="n"/>
      <c r="D150" s="98" t="n"/>
      <c r="E150" s="148" t="n"/>
      <c r="F150" s="98" t="n"/>
    </row>
    <row r="151">
      <c r="A151" s="147" t="n"/>
      <c r="B151" s="98" t="n"/>
      <c r="C151" s="98" t="n"/>
      <c r="D151" s="98" t="n"/>
      <c r="E151" s="148" t="n"/>
      <c r="F151" s="98" t="n"/>
    </row>
    <row r="152">
      <c r="A152" s="147" t="n"/>
      <c r="B152" s="98" t="n"/>
      <c r="C152" s="98" t="n"/>
      <c r="D152" s="98" t="n"/>
      <c r="E152" s="148" t="n"/>
      <c r="F152" s="98" t="n"/>
    </row>
    <row r="153">
      <c r="A153" s="147" t="n"/>
      <c r="B153" s="98" t="n"/>
      <c r="C153" s="98" t="n"/>
      <c r="D153" s="98" t="n"/>
      <c r="E153" s="148" t="n"/>
      <c r="F153" s="98" t="n"/>
    </row>
    <row r="154">
      <c r="A154" s="147" t="n"/>
      <c r="B154" s="98" t="n"/>
      <c r="C154" s="98" t="n"/>
      <c r="D154" s="98" t="n"/>
      <c r="E154" s="148" t="n"/>
      <c r="F154" s="98" t="n"/>
    </row>
    <row r="155">
      <c r="A155" s="147" t="n"/>
      <c r="B155" s="98" t="n"/>
      <c r="C155" s="98" t="n"/>
      <c r="D155" s="98" t="n"/>
      <c r="E155" s="148" t="n"/>
      <c r="F155" s="98" t="n"/>
    </row>
    <row r="156">
      <c r="A156" s="147" t="n"/>
      <c r="B156" s="98" t="n"/>
      <c r="C156" s="98" t="n"/>
      <c r="D156" s="98" t="n"/>
      <c r="E156" s="148" t="n"/>
      <c r="F156" s="98" t="n"/>
    </row>
    <row r="157">
      <c r="A157" s="147" t="n"/>
      <c r="B157" s="98" t="n"/>
      <c r="C157" s="98" t="n"/>
      <c r="D157" s="98" t="n"/>
      <c r="E157" s="148" t="n"/>
      <c r="F157" s="98" t="n"/>
    </row>
    <row r="158">
      <c r="A158" s="147" t="n"/>
      <c r="B158" s="98" t="n"/>
      <c r="C158" s="98" t="n"/>
      <c r="D158" s="98" t="n"/>
      <c r="E158" s="148" t="n"/>
      <c r="F158" s="98" t="n"/>
    </row>
    <row r="159">
      <c r="A159" s="147" t="n"/>
      <c r="B159" s="98" t="n"/>
      <c r="C159" s="98" t="n"/>
      <c r="D159" s="98" t="n"/>
      <c r="E159" s="148" t="n"/>
      <c r="F159" s="98" t="n"/>
    </row>
    <row r="160">
      <c r="A160" s="147" t="n"/>
      <c r="B160" s="98" t="n"/>
      <c r="C160" s="98" t="n"/>
      <c r="D160" s="98" t="n"/>
      <c r="E160" s="148" t="n"/>
      <c r="F160" s="98" t="n"/>
    </row>
    <row r="161">
      <c r="A161" s="147" t="n"/>
      <c r="B161" s="98" t="n"/>
      <c r="C161" s="98" t="n"/>
      <c r="D161" s="98" t="n"/>
      <c r="E161" s="148" t="n"/>
      <c r="F161" s="98" t="n"/>
    </row>
    <row r="162">
      <c r="A162" s="147" t="n"/>
      <c r="B162" s="98" t="n"/>
      <c r="C162" s="98" t="n"/>
      <c r="D162" s="98" t="n"/>
      <c r="E162" s="148" t="n"/>
      <c r="F162" s="98" t="n"/>
    </row>
    <row r="163">
      <c r="A163" s="147" t="n"/>
      <c r="B163" s="98" t="n"/>
      <c r="C163" s="98" t="n"/>
      <c r="D163" s="98" t="n"/>
      <c r="E163" s="148" t="n"/>
      <c r="F163" s="98" t="n"/>
    </row>
    <row r="164">
      <c r="A164" s="147" t="n"/>
      <c r="B164" s="98" t="n"/>
      <c r="C164" s="98" t="n"/>
      <c r="D164" s="98" t="n"/>
      <c r="E164" s="148" t="n"/>
      <c r="F164" s="98" t="n"/>
    </row>
    <row r="165">
      <c r="A165" s="147" t="n"/>
      <c r="B165" s="98" t="n"/>
      <c r="C165" s="98" t="n"/>
      <c r="D165" s="98" t="n"/>
      <c r="E165" s="148" t="n"/>
      <c r="F165" s="98" t="n"/>
    </row>
    <row r="166">
      <c r="A166" s="147" t="n"/>
      <c r="B166" s="98" t="n"/>
      <c r="C166" s="98" t="n"/>
      <c r="D166" s="98" t="n"/>
      <c r="E166" s="148" t="n"/>
      <c r="F166" s="98" t="n"/>
    </row>
    <row r="167">
      <c r="A167" s="147" t="n"/>
      <c r="B167" s="98" t="n"/>
      <c r="C167" s="98" t="n"/>
      <c r="D167" s="98" t="n"/>
      <c r="E167" s="148" t="n"/>
      <c r="F167" s="98" t="n"/>
    </row>
    <row r="168">
      <c r="A168" s="147" t="n"/>
      <c r="B168" s="98" t="n"/>
      <c r="C168" s="98" t="n"/>
      <c r="D168" s="98" t="n"/>
      <c r="E168" s="148" t="n"/>
      <c r="F168" s="98" t="n"/>
    </row>
    <row r="169">
      <c r="A169" s="147" t="n"/>
      <c r="B169" s="98" t="n"/>
      <c r="C169" s="98" t="n"/>
      <c r="D169" s="98" t="n"/>
      <c r="E169" s="148" t="n"/>
      <c r="F169" s="98" t="n"/>
    </row>
    <row r="170">
      <c r="A170" s="147" t="n"/>
      <c r="B170" s="98" t="n"/>
      <c r="C170" s="98" t="n"/>
      <c r="D170" s="98" t="n"/>
      <c r="E170" s="148" t="n"/>
      <c r="F170" s="98" t="n"/>
    </row>
    <row r="171">
      <c r="A171" s="147" t="n"/>
      <c r="B171" s="98" t="n"/>
      <c r="C171" s="98" t="n"/>
      <c r="D171" s="98" t="n"/>
      <c r="E171" s="148" t="n"/>
      <c r="F171" s="98" t="n"/>
    </row>
    <row r="172">
      <c r="A172" s="147" t="n"/>
      <c r="B172" s="98" t="n"/>
      <c r="C172" s="98" t="n"/>
      <c r="D172" s="98" t="n"/>
      <c r="E172" s="148" t="n"/>
      <c r="F172" s="98" t="n"/>
    </row>
    <row r="173">
      <c r="A173" s="147" t="n"/>
      <c r="B173" s="98" t="n"/>
      <c r="C173" s="98" t="n"/>
      <c r="D173" s="98" t="n"/>
      <c r="E173" s="148" t="n"/>
      <c r="F173" s="98" t="n"/>
    </row>
    <row r="174">
      <c r="A174" s="147" t="n"/>
      <c r="B174" s="98" t="n"/>
      <c r="C174" s="98" t="n"/>
      <c r="D174" s="98" t="n"/>
      <c r="E174" s="148" t="n"/>
      <c r="F174" s="98" t="n"/>
    </row>
    <row r="175">
      <c r="A175" s="147" t="n"/>
      <c r="B175" s="98" t="n"/>
      <c r="C175" s="98" t="n"/>
      <c r="D175" s="98" t="n"/>
      <c r="E175" s="148" t="n"/>
      <c r="F175" s="98" t="n"/>
    </row>
    <row r="176">
      <c r="A176" s="147" t="n"/>
      <c r="B176" s="98" t="n"/>
      <c r="C176" s="98" t="n"/>
      <c r="D176" s="98" t="n"/>
      <c r="E176" s="148" t="n"/>
      <c r="F176" s="98" t="n"/>
    </row>
    <row r="177">
      <c r="A177" s="147" t="n"/>
      <c r="B177" s="98" t="n"/>
      <c r="C177" s="98" t="n"/>
      <c r="D177" s="98" t="n"/>
      <c r="E177" s="148" t="n"/>
      <c r="F177" s="98" t="n"/>
    </row>
    <row r="178">
      <c r="A178" s="147" t="n"/>
      <c r="B178" s="98" t="n"/>
      <c r="C178" s="98" t="n"/>
      <c r="D178" s="98" t="n"/>
      <c r="E178" s="148" t="n"/>
      <c r="F178" s="98" t="n"/>
    </row>
    <row r="179">
      <c r="A179" s="147" t="n"/>
      <c r="B179" s="98" t="n"/>
      <c r="C179" s="98" t="n"/>
      <c r="D179" s="98" t="n"/>
      <c r="E179" s="148" t="n"/>
      <c r="F179" s="98" t="n"/>
    </row>
    <row r="180">
      <c r="A180" s="147" t="n"/>
      <c r="B180" s="98" t="n"/>
      <c r="C180" s="98" t="n"/>
      <c r="D180" s="98" t="n"/>
      <c r="E180" s="148" t="n"/>
      <c r="F180" s="98" t="n"/>
    </row>
    <row r="181">
      <c r="A181" s="147" t="n"/>
      <c r="B181" s="98" t="n"/>
      <c r="C181" s="98" t="n"/>
      <c r="D181" s="98" t="n"/>
      <c r="E181" s="148" t="n"/>
      <c r="F181" s="98" t="n"/>
    </row>
    <row r="182">
      <c r="A182" s="147" t="n"/>
      <c r="B182" s="98" t="n"/>
      <c r="C182" s="98" t="n"/>
      <c r="D182" s="98" t="n"/>
      <c r="E182" s="148" t="n"/>
      <c r="F182" s="98" t="n"/>
    </row>
    <row r="183">
      <c r="A183" s="147" t="n"/>
      <c r="B183" s="98" t="n"/>
      <c r="C183" s="98" t="n"/>
      <c r="D183" s="98" t="n"/>
      <c r="E183" s="148" t="n"/>
      <c r="F183" s="98" t="n"/>
    </row>
    <row r="184">
      <c r="A184" s="147" t="n"/>
      <c r="B184" s="98" t="n"/>
      <c r="C184" s="98" t="n"/>
      <c r="D184" s="98" t="n"/>
      <c r="E184" s="148" t="n"/>
      <c r="F184" s="98" t="n"/>
    </row>
    <row r="185">
      <c r="A185" s="147" t="n"/>
      <c r="B185" s="98" t="n"/>
      <c r="C185" s="98" t="n"/>
      <c r="D185" s="98" t="n"/>
      <c r="E185" s="148" t="n"/>
      <c r="F185" s="98" t="n"/>
    </row>
    <row r="186">
      <c r="A186" s="147" t="n"/>
      <c r="B186" s="98" t="n"/>
      <c r="C186" s="98" t="n"/>
      <c r="D186" s="98" t="n"/>
      <c r="E186" s="148" t="n"/>
      <c r="F186" s="98" t="n"/>
    </row>
    <row r="187">
      <c r="A187" s="147" t="n"/>
      <c r="B187" s="98" t="n"/>
      <c r="C187" s="98" t="n"/>
      <c r="D187" s="98" t="n"/>
      <c r="E187" s="148" t="n"/>
      <c r="F187" s="98" t="n"/>
    </row>
    <row r="188">
      <c r="A188" s="147" t="n"/>
      <c r="B188" s="98" t="n"/>
      <c r="C188" s="98" t="n"/>
      <c r="D188" s="98" t="n"/>
      <c r="E188" s="148" t="n"/>
      <c r="F188" s="98" t="n"/>
    </row>
    <row r="189">
      <c r="A189" s="147" t="n"/>
      <c r="B189" s="98" t="n"/>
      <c r="C189" s="98" t="n"/>
      <c r="D189" s="98" t="n"/>
      <c r="E189" s="148" t="n"/>
      <c r="F189" s="98" t="n"/>
    </row>
    <row r="190">
      <c r="A190" s="147" t="n"/>
      <c r="B190" s="98" t="n"/>
      <c r="C190" s="98" t="n"/>
      <c r="D190" s="98" t="n"/>
      <c r="E190" s="148" t="n"/>
      <c r="F190" s="98" t="n"/>
    </row>
    <row r="191">
      <c r="A191" s="147" t="n"/>
      <c r="B191" s="98" t="n"/>
      <c r="C191" s="98" t="n"/>
      <c r="D191" s="98" t="n"/>
      <c r="E191" s="148" t="n"/>
      <c r="F191" s="98" t="n"/>
    </row>
    <row r="192">
      <c r="A192" s="147" t="n"/>
      <c r="B192" s="98" t="n"/>
      <c r="C192" s="98" t="n"/>
      <c r="D192" s="98" t="n"/>
      <c r="E192" s="148" t="n"/>
      <c r="F192" s="98" t="n"/>
    </row>
    <row r="193">
      <c r="A193" s="147" t="n"/>
      <c r="B193" s="98" t="n"/>
      <c r="C193" s="98" t="n"/>
      <c r="D193" s="98" t="n"/>
      <c r="E193" s="148" t="n"/>
      <c r="F193" s="98" t="n"/>
    </row>
    <row r="194">
      <c r="A194" s="147" t="n"/>
      <c r="B194" s="98" t="n"/>
      <c r="C194" s="98" t="n"/>
      <c r="D194" s="98" t="n"/>
      <c r="E194" s="148" t="n"/>
      <c r="F194" s="98" t="n"/>
    </row>
    <row r="195">
      <c r="A195" s="147" t="n"/>
      <c r="B195" s="98" t="n"/>
      <c r="C195" s="98" t="n"/>
      <c r="D195" s="98" t="n"/>
      <c r="E195" s="148" t="n"/>
      <c r="F195" s="98" t="n"/>
    </row>
    <row r="196">
      <c r="A196" s="147" t="n"/>
      <c r="B196" s="98" t="n"/>
      <c r="C196" s="98" t="n"/>
      <c r="D196" s="98" t="n"/>
      <c r="E196" s="148" t="n"/>
      <c r="F196" s="98" t="n"/>
    </row>
    <row r="197">
      <c r="A197" s="147" t="n"/>
      <c r="B197" s="98" t="n"/>
      <c r="C197" s="98" t="n"/>
      <c r="D197" s="98" t="n"/>
      <c r="E197" s="148" t="n"/>
      <c r="F197" s="98" t="n"/>
    </row>
    <row r="198">
      <c r="A198" s="147" t="n"/>
      <c r="B198" s="98" t="n"/>
      <c r="C198" s="98" t="n"/>
      <c r="D198" s="98" t="n"/>
      <c r="E198" s="148" t="n"/>
      <c r="F198" s="98" t="n"/>
    </row>
    <row r="199">
      <c r="A199" s="147" t="n"/>
      <c r="B199" s="98" t="n"/>
      <c r="C199" s="98" t="n"/>
      <c r="D199" s="98" t="n"/>
      <c r="E199" s="148" t="n"/>
      <c r="F199" s="98" t="n"/>
    </row>
    <row r="200">
      <c r="A200" s="147" t="n"/>
      <c r="B200" s="98" t="n"/>
      <c r="C200" s="98" t="n"/>
      <c r="D200" s="98" t="n"/>
      <c r="E200" s="148" t="n"/>
      <c r="F200" s="98" t="n"/>
    </row>
    <row r="201">
      <c r="A201" s="147" t="n"/>
      <c r="B201" s="98" t="n"/>
      <c r="C201" s="98" t="n"/>
      <c r="D201" s="98" t="n"/>
      <c r="E201" s="148" t="n"/>
      <c r="F201" s="98" t="n"/>
    </row>
    <row r="202">
      <c r="A202" s="147" t="n"/>
      <c r="B202" s="98" t="n"/>
      <c r="C202" s="98" t="n"/>
      <c r="D202" s="98" t="n"/>
      <c r="E202" s="148" t="n"/>
      <c r="F202" s="98" t="n"/>
    </row>
    <row r="203">
      <c r="A203" s="147" t="n"/>
      <c r="B203" s="98" t="n"/>
      <c r="C203" s="98" t="n"/>
      <c r="D203" s="98" t="n"/>
      <c r="E203" s="148" t="n"/>
      <c r="F203" s="98" t="n"/>
    </row>
    <row r="204">
      <c r="A204" s="147" t="n"/>
      <c r="B204" s="98" t="n"/>
      <c r="C204" s="98" t="n"/>
      <c r="D204" s="98" t="n"/>
      <c r="E204" s="148" t="n"/>
      <c r="F204" s="98" t="n"/>
    </row>
    <row r="205">
      <c r="A205" s="147" t="n"/>
      <c r="B205" s="98" t="n"/>
      <c r="C205" s="98" t="n"/>
      <c r="D205" s="98" t="n"/>
      <c r="E205" s="148" t="n"/>
      <c r="F205" s="98" t="n"/>
    </row>
    <row r="206">
      <c r="A206" s="147" t="n"/>
      <c r="B206" s="98" t="n"/>
      <c r="C206" s="98" t="n"/>
      <c r="D206" s="98" t="n"/>
      <c r="E206" s="148" t="n"/>
      <c r="F206" s="98" t="n"/>
    </row>
    <row r="207">
      <c r="A207" s="147" t="n"/>
      <c r="B207" s="98" t="n"/>
      <c r="C207" s="98" t="n"/>
      <c r="D207" s="98" t="n"/>
      <c r="E207" s="148" t="n"/>
      <c r="F207" s="98" t="n"/>
    </row>
    <row r="208">
      <c r="A208" s="147" t="n"/>
      <c r="B208" s="98" t="n"/>
      <c r="C208" s="98" t="n"/>
      <c r="D208" s="98" t="n"/>
      <c r="E208" s="148" t="n"/>
      <c r="F208" s="98" t="n"/>
    </row>
    <row r="209">
      <c r="A209" s="147" t="n"/>
      <c r="B209" s="98" t="n"/>
      <c r="C209" s="98" t="n"/>
      <c r="D209" s="98" t="n"/>
      <c r="E209" s="148" t="n"/>
      <c r="F209" s="98" t="n"/>
    </row>
    <row r="210">
      <c r="A210" s="147" t="n"/>
      <c r="B210" s="98" t="n"/>
      <c r="C210" s="98" t="n"/>
      <c r="D210" s="98" t="n"/>
      <c r="E210" s="148" t="n"/>
      <c r="F210" s="98" t="n"/>
    </row>
    <row r="211">
      <c r="A211" s="147" t="n"/>
      <c r="B211" s="98" t="n"/>
      <c r="C211" s="98" t="n"/>
      <c r="D211" s="98" t="n"/>
      <c r="E211" s="148" t="n"/>
      <c r="F211" s="98" t="n"/>
    </row>
    <row r="212">
      <c r="A212" s="147" t="n"/>
      <c r="B212" s="98" t="n"/>
      <c r="C212" s="98" t="n"/>
      <c r="D212" s="98" t="n"/>
      <c r="E212" s="148" t="n"/>
      <c r="F212" s="98" t="n"/>
    </row>
    <row r="213">
      <c r="A213" s="147" t="n"/>
      <c r="B213" s="98" t="n"/>
      <c r="C213" s="98" t="n"/>
      <c r="D213" s="98" t="n"/>
      <c r="E213" s="148" t="n"/>
      <c r="F213" s="98" t="n"/>
    </row>
    <row r="214">
      <c r="A214" s="147" t="n"/>
      <c r="B214" s="98" t="n"/>
      <c r="C214" s="98" t="n"/>
      <c r="D214" s="98" t="n"/>
      <c r="E214" s="148" t="n"/>
      <c r="F214" s="98" t="n"/>
    </row>
    <row r="215">
      <c r="A215" s="147" t="n"/>
      <c r="B215" s="98" t="n"/>
      <c r="C215" s="98" t="n"/>
      <c r="D215" s="98" t="n"/>
      <c r="E215" s="148" t="n"/>
      <c r="F215" s="98" t="n"/>
    </row>
    <row r="216">
      <c r="A216" s="147" t="n"/>
      <c r="B216" s="98" t="n"/>
      <c r="C216" s="98" t="n"/>
      <c r="D216" s="98" t="n"/>
      <c r="E216" s="148" t="n"/>
      <c r="F216" s="98" t="n"/>
    </row>
    <row r="217">
      <c r="A217" s="147" t="n"/>
      <c r="B217" s="98" t="n"/>
      <c r="C217" s="98" t="n"/>
      <c r="D217" s="98" t="n"/>
      <c r="E217" s="148" t="n"/>
      <c r="F217" s="98" t="n"/>
    </row>
    <row r="218">
      <c r="A218" s="147" t="n"/>
      <c r="B218" s="98" t="n"/>
      <c r="C218" s="98" t="n"/>
      <c r="D218" s="98" t="n"/>
      <c r="E218" s="148" t="n"/>
      <c r="F218" s="98" t="n"/>
    </row>
    <row r="219">
      <c r="A219" s="147" t="n"/>
      <c r="B219" s="98" t="n"/>
      <c r="C219" s="98" t="n"/>
      <c r="D219" s="98" t="n"/>
      <c r="E219" s="148" t="n"/>
      <c r="F219" s="98" t="n"/>
    </row>
    <row r="220">
      <c r="A220" s="147" t="n"/>
      <c r="B220" s="98" t="n"/>
      <c r="C220" s="98" t="n"/>
      <c r="D220" s="98" t="n"/>
      <c r="E220" s="148" t="n"/>
      <c r="F220" s="98" t="n"/>
    </row>
    <row r="221">
      <c r="A221" s="147" t="n"/>
      <c r="B221" s="98" t="n"/>
      <c r="C221" s="98" t="n"/>
      <c r="D221" s="98" t="n"/>
      <c r="E221" s="148" t="n"/>
      <c r="F221" s="98" t="n"/>
    </row>
    <row r="222">
      <c r="A222" s="147" t="n"/>
      <c r="B222" s="98" t="n"/>
      <c r="C222" s="98" t="n"/>
      <c r="D222" s="98" t="n"/>
      <c r="E222" s="148" t="n"/>
      <c r="F222" s="98" t="n"/>
    </row>
    <row r="223">
      <c r="A223" s="147" t="n"/>
      <c r="B223" s="98" t="n"/>
      <c r="C223" s="98" t="n"/>
      <c r="D223" s="98" t="n"/>
      <c r="E223" s="148" t="n"/>
      <c r="F223" s="98" t="n"/>
    </row>
    <row r="224">
      <c r="A224" s="147" t="n"/>
      <c r="B224" s="98" t="n"/>
      <c r="C224" s="98" t="n"/>
      <c r="D224" s="98" t="n"/>
      <c r="E224" s="148" t="n"/>
      <c r="F224" s="98" t="n"/>
    </row>
    <row r="225">
      <c r="A225" s="147" t="n"/>
      <c r="B225" s="98" t="n"/>
      <c r="C225" s="98" t="n"/>
      <c r="D225" s="98" t="n"/>
      <c r="E225" s="148" t="n"/>
      <c r="F225" s="98" t="n"/>
    </row>
    <row r="226">
      <c r="A226" s="147" t="n"/>
      <c r="B226" s="98" t="n"/>
      <c r="C226" s="98" t="n"/>
      <c r="D226" s="98" t="n"/>
      <c r="E226" s="148" t="n"/>
      <c r="F226" s="98" t="n"/>
    </row>
    <row r="227">
      <c r="A227" s="147" t="n"/>
      <c r="B227" s="98" t="n"/>
      <c r="C227" s="98" t="n"/>
      <c r="D227" s="98" t="n"/>
      <c r="E227" s="148" t="n"/>
      <c r="F227" s="98" t="n"/>
    </row>
    <row r="228">
      <c r="A228" s="147" t="n"/>
      <c r="B228" s="98" t="n"/>
      <c r="C228" s="98" t="n"/>
      <c r="D228" s="98" t="n"/>
      <c r="E228" s="148" t="n"/>
      <c r="F228" s="98" t="n"/>
    </row>
    <row r="229">
      <c r="A229" s="147" t="n"/>
      <c r="B229" s="98" t="n"/>
      <c r="C229" s="98" t="n"/>
      <c r="D229" s="98" t="n"/>
      <c r="E229" s="148" t="n"/>
      <c r="F229" s="98" t="n"/>
    </row>
    <row r="230">
      <c r="A230" s="147" t="n"/>
      <c r="B230" s="98" t="n"/>
      <c r="C230" s="98" t="n"/>
      <c r="D230" s="98" t="n"/>
      <c r="E230" s="148" t="n"/>
      <c r="F230" s="98" t="n"/>
    </row>
    <row r="231">
      <c r="A231" s="147" t="n"/>
      <c r="B231" s="98" t="n"/>
      <c r="C231" s="98" t="n"/>
      <c r="D231" s="98" t="n"/>
      <c r="E231" s="148" t="n"/>
      <c r="F231" s="98" t="n"/>
    </row>
    <row r="232">
      <c r="A232" s="147" t="n"/>
      <c r="B232" s="98" t="n"/>
      <c r="C232" s="98" t="n"/>
      <c r="D232" s="98" t="n"/>
      <c r="E232" s="148" t="n"/>
      <c r="F232" s="98" t="n"/>
    </row>
    <row r="233">
      <c r="A233" s="147" t="n"/>
      <c r="B233" s="98" t="n"/>
      <c r="C233" s="98" t="n"/>
      <c r="D233" s="98" t="n"/>
      <c r="E233" s="148" t="n"/>
      <c r="F233" s="98" t="n"/>
    </row>
    <row r="234">
      <c r="A234" s="147" t="n"/>
      <c r="B234" s="98" t="n"/>
      <c r="C234" s="98" t="n"/>
      <c r="D234" s="98" t="n"/>
      <c r="E234" s="148" t="n"/>
      <c r="F234" s="98" t="n"/>
    </row>
    <row r="235">
      <c r="A235" s="147" t="n"/>
      <c r="B235" s="98" t="n"/>
      <c r="C235" s="98" t="n"/>
      <c r="D235" s="98" t="n"/>
      <c r="E235" s="148" t="n"/>
      <c r="F235" s="98" t="n"/>
    </row>
    <row r="236">
      <c r="A236" s="147" t="n"/>
      <c r="B236" s="98" t="n"/>
      <c r="C236" s="98" t="n"/>
      <c r="D236" s="98" t="n"/>
      <c r="E236" s="148" t="n"/>
      <c r="F236" s="98" t="n"/>
    </row>
    <row r="237">
      <c r="A237" s="147" t="n"/>
      <c r="B237" s="98" t="n"/>
      <c r="C237" s="98" t="n"/>
      <c r="D237" s="98" t="n"/>
      <c r="E237" s="148" t="n"/>
      <c r="F237" s="98" t="n"/>
    </row>
    <row r="238">
      <c r="A238" s="147" t="n"/>
      <c r="B238" s="98" t="n"/>
      <c r="C238" s="98" t="n"/>
      <c r="D238" s="98" t="n"/>
      <c r="E238" s="148" t="n"/>
      <c r="F238" s="98" t="n"/>
    </row>
    <row r="239">
      <c r="A239" s="147" t="n"/>
      <c r="B239" s="98" t="n"/>
      <c r="C239" s="98" t="n"/>
      <c r="D239" s="98" t="n"/>
      <c r="E239" s="148" t="n"/>
      <c r="F239" s="98" t="n"/>
    </row>
    <row r="240">
      <c r="A240" s="147" t="n"/>
      <c r="B240" s="98" t="n"/>
      <c r="C240" s="98" t="n"/>
      <c r="D240" s="98" t="n"/>
      <c r="E240" s="148" t="n"/>
      <c r="F240" s="98" t="n"/>
    </row>
    <row r="241">
      <c r="A241" s="147" t="n"/>
      <c r="B241" s="98" t="n"/>
      <c r="C241" s="98" t="n"/>
      <c r="D241" s="98" t="n"/>
      <c r="E241" s="148" t="n"/>
      <c r="F241" s="98" t="n"/>
    </row>
    <row r="242">
      <c r="A242" s="147" t="n"/>
      <c r="B242" s="98" t="n"/>
      <c r="C242" s="98" t="n"/>
      <c r="D242" s="98" t="n"/>
      <c r="E242" s="148" t="n"/>
      <c r="F242" s="98" t="n"/>
    </row>
    <row r="243">
      <c r="A243" s="147" t="n"/>
      <c r="B243" s="98" t="n"/>
      <c r="C243" s="98" t="n"/>
      <c r="D243" s="98" t="n"/>
      <c r="E243" s="148" t="n"/>
      <c r="F243" s="98" t="n"/>
    </row>
    <row r="244">
      <c r="A244" s="147" t="n"/>
      <c r="B244" s="98" t="n"/>
      <c r="C244" s="98" t="n"/>
      <c r="D244" s="98" t="n"/>
      <c r="E244" s="148" t="n"/>
      <c r="F244" s="98" t="n"/>
    </row>
    <row r="245">
      <c r="A245" s="147" t="n"/>
      <c r="B245" s="98" t="n"/>
      <c r="C245" s="98" t="n"/>
      <c r="D245" s="98" t="n"/>
      <c r="E245" s="148" t="n"/>
      <c r="F245" s="98" t="n"/>
    </row>
    <row r="246">
      <c r="A246" s="147" t="n"/>
      <c r="B246" s="98" t="n"/>
      <c r="C246" s="98" t="n"/>
      <c r="D246" s="98" t="n"/>
      <c r="E246" s="148" t="n"/>
      <c r="F246" s="98" t="n"/>
    </row>
    <row r="247">
      <c r="A247" s="147" t="n"/>
      <c r="B247" s="98" t="n"/>
      <c r="C247" s="98" t="n"/>
      <c r="D247" s="98" t="n"/>
      <c r="E247" s="148" t="n"/>
      <c r="F247" s="98" t="n"/>
    </row>
    <row r="248">
      <c r="A248" s="147" t="n"/>
      <c r="B248" s="98" t="n"/>
      <c r="C248" s="98" t="n"/>
      <c r="D248" s="98" t="n"/>
      <c r="E248" s="148" t="n"/>
      <c r="F248" s="98" t="n"/>
    </row>
    <row r="249">
      <c r="A249" s="147" t="n"/>
      <c r="B249" s="98" t="n"/>
      <c r="C249" s="98" t="n"/>
      <c r="D249" s="98" t="n"/>
      <c r="E249" s="148" t="n"/>
      <c r="F249" s="98" t="n"/>
    </row>
    <row r="250">
      <c r="A250" s="147" t="n"/>
      <c r="B250" s="98" t="n"/>
      <c r="C250" s="98" t="n"/>
      <c r="D250" s="98" t="n"/>
      <c r="E250" s="148" t="n"/>
      <c r="F250" s="98" t="n"/>
    </row>
    <row r="251">
      <c r="A251" s="147" t="n"/>
      <c r="B251" s="98" t="n"/>
      <c r="C251" s="98" t="n"/>
      <c r="D251" s="98" t="n"/>
      <c r="E251" s="148" t="n"/>
      <c r="F251" s="98" t="n"/>
    </row>
    <row r="252">
      <c r="A252" s="147" t="n"/>
      <c r="B252" s="98" t="n"/>
      <c r="C252" s="98" t="n"/>
      <c r="D252" s="98" t="n"/>
      <c r="E252" s="148" t="n"/>
      <c r="F252" s="98" t="n"/>
    </row>
    <row r="253">
      <c r="A253" s="147" t="n"/>
      <c r="B253" s="98" t="n"/>
      <c r="C253" s="98" t="n"/>
      <c r="D253" s="98" t="n"/>
      <c r="E253" s="148" t="n"/>
      <c r="F253" s="98" t="n"/>
    </row>
    <row r="254">
      <c r="A254" s="147" t="n"/>
      <c r="B254" s="98" t="n"/>
      <c r="C254" s="98" t="n"/>
      <c r="D254" s="98" t="n"/>
      <c r="E254" s="148" t="n"/>
      <c r="F254" s="98" t="n"/>
    </row>
    <row r="255">
      <c r="A255" s="147" t="n"/>
      <c r="B255" s="98" t="n"/>
      <c r="C255" s="98" t="n"/>
      <c r="D255" s="98" t="n"/>
      <c r="E255" s="148" t="n"/>
      <c r="F255" s="98" t="n"/>
    </row>
    <row r="256">
      <c r="A256" s="147" t="n"/>
      <c r="B256" s="98" t="n"/>
      <c r="C256" s="98" t="n"/>
      <c r="D256" s="98" t="n"/>
      <c r="E256" s="148" t="n"/>
      <c r="F256" s="98" t="n"/>
    </row>
    <row r="257">
      <c r="A257" s="147" t="n"/>
      <c r="B257" s="98" t="n"/>
      <c r="C257" s="98" t="n"/>
      <c r="D257" s="98" t="n"/>
      <c r="E257" s="148" t="n"/>
      <c r="F257" s="98" t="n"/>
    </row>
    <row r="258">
      <c r="A258" s="147" t="n"/>
      <c r="B258" s="98" t="n"/>
      <c r="C258" s="98" t="n"/>
      <c r="D258" s="98" t="n"/>
      <c r="E258" s="148" t="n"/>
      <c r="F258" s="98" t="n"/>
    </row>
    <row r="259">
      <c r="A259" s="147" t="n"/>
      <c r="B259" s="98" t="n"/>
      <c r="C259" s="98" t="n"/>
      <c r="D259" s="98" t="n"/>
      <c r="E259" s="148" t="n"/>
      <c r="F259" s="98" t="n"/>
    </row>
    <row r="260">
      <c r="A260" s="147" t="n"/>
      <c r="B260" s="98" t="n"/>
      <c r="C260" s="98" t="n"/>
      <c r="D260" s="98" t="n"/>
      <c r="E260" s="148" t="n"/>
      <c r="F260" s="98" t="n"/>
    </row>
    <row r="261">
      <c r="A261" s="147" t="n"/>
      <c r="B261" s="98" t="n"/>
      <c r="C261" s="98" t="n"/>
      <c r="D261" s="98" t="n"/>
      <c r="E261" s="148" t="n"/>
      <c r="F261" s="98" t="n"/>
    </row>
    <row r="262">
      <c r="A262" s="147" t="n"/>
      <c r="B262" s="98" t="n"/>
      <c r="C262" s="98" t="n"/>
      <c r="D262" s="98" t="n"/>
      <c r="E262" s="148" t="n"/>
      <c r="F262" s="98" t="n"/>
    </row>
    <row r="263">
      <c r="A263" s="147" t="n"/>
      <c r="B263" s="98" t="n"/>
      <c r="C263" s="98" t="n"/>
      <c r="D263" s="98" t="n"/>
      <c r="E263" s="148" t="n"/>
      <c r="F263" s="98" t="n"/>
    </row>
    <row r="264">
      <c r="A264" s="147" t="n"/>
      <c r="B264" s="98" t="n"/>
      <c r="C264" s="98" t="n"/>
      <c r="D264" s="98" t="n"/>
      <c r="E264" s="148" t="n"/>
      <c r="F264" s="98" t="n"/>
    </row>
    <row r="265">
      <c r="A265" s="147" t="n"/>
      <c r="B265" s="98" t="n"/>
      <c r="C265" s="98" t="n"/>
      <c r="D265" s="98" t="n"/>
      <c r="E265" s="148" t="n"/>
      <c r="F265" s="98" t="n"/>
    </row>
    <row r="266">
      <c r="A266" s="147" t="n"/>
      <c r="B266" s="98" t="n"/>
      <c r="C266" s="98" t="n"/>
      <c r="D266" s="98" t="n"/>
      <c r="E266" s="148" t="n"/>
      <c r="F266" s="98" t="n"/>
    </row>
    <row r="267">
      <c r="A267" s="147" t="n"/>
      <c r="B267" s="98" t="n"/>
      <c r="C267" s="98" t="n"/>
      <c r="D267" s="98" t="n"/>
      <c r="E267" s="148" t="n"/>
      <c r="F267" s="98" t="n"/>
    </row>
    <row r="268">
      <c r="A268" s="147" t="n"/>
      <c r="B268" s="98" t="n"/>
      <c r="C268" s="98" t="n"/>
      <c r="D268" s="98" t="n"/>
      <c r="E268" s="148" t="n"/>
      <c r="F268" s="98" t="n"/>
    </row>
    <row r="269">
      <c r="A269" s="147" t="n"/>
      <c r="B269" s="98" t="n"/>
      <c r="C269" s="98" t="n"/>
      <c r="D269" s="98" t="n"/>
      <c r="E269" s="148" t="n"/>
      <c r="F269" s="98" t="n"/>
    </row>
    <row r="270">
      <c r="A270" s="147" t="n"/>
      <c r="B270" s="98" t="n"/>
      <c r="C270" s="98" t="n"/>
      <c r="D270" s="98" t="n"/>
      <c r="E270" s="148" t="n"/>
      <c r="F270" s="98" t="n"/>
    </row>
    <row r="271">
      <c r="A271" s="147" t="n"/>
      <c r="B271" s="98" t="n"/>
      <c r="C271" s="98" t="n"/>
      <c r="D271" s="98" t="n"/>
      <c r="E271" s="148" t="n"/>
      <c r="F271" s="98" t="n"/>
    </row>
    <row r="272">
      <c r="A272" s="147" t="n"/>
      <c r="B272" s="98" t="n"/>
      <c r="C272" s="98" t="n"/>
      <c r="D272" s="98" t="n"/>
      <c r="E272" s="148" t="n"/>
      <c r="F272" s="98" t="n"/>
    </row>
    <row r="273">
      <c r="A273" s="147" t="n"/>
      <c r="B273" s="98" t="n"/>
      <c r="C273" s="98" t="n"/>
      <c r="D273" s="98" t="n"/>
      <c r="E273" s="148" t="n"/>
      <c r="F273" s="98" t="n"/>
    </row>
    <row r="274">
      <c r="A274" s="147" t="n"/>
      <c r="B274" s="98" t="n"/>
      <c r="C274" s="98" t="n"/>
      <c r="D274" s="98" t="n"/>
      <c r="E274" s="148" t="n"/>
      <c r="F274" s="98" t="n"/>
    </row>
    <row r="275">
      <c r="A275" s="147" t="n"/>
      <c r="B275" s="98" t="n"/>
      <c r="C275" s="98" t="n"/>
      <c r="D275" s="98" t="n"/>
      <c r="E275" s="148" t="n"/>
      <c r="F275" s="98" t="n"/>
    </row>
    <row r="276">
      <c r="A276" s="147" t="n"/>
      <c r="B276" s="98" t="n"/>
      <c r="C276" s="98" t="n"/>
      <c r="D276" s="98" t="n"/>
      <c r="E276" s="148" t="n"/>
      <c r="F276" s="98" t="n"/>
    </row>
    <row r="277">
      <c r="A277" s="147" t="n"/>
      <c r="B277" s="98" t="n"/>
      <c r="C277" s="98" t="n"/>
      <c r="D277" s="98" t="n"/>
      <c r="E277" s="148" t="n"/>
      <c r="F277" s="98" t="n"/>
    </row>
    <row r="278">
      <c r="A278" s="147" t="n"/>
      <c r="B278" s="98" t="n"/>
      <c r="C278" s="98" t="n"/>
      <c r="D278" s="98" t="n"/>
      <c r="E278" s="148" t="n"/>
      <c r="F278" s="98" t="n"/>
    </row>
    <row r="279">
      <c r="A279" s="147" t="n"/>
      <c r="B279" s="98" t="n"/>
      <c r="C279" s="98" t="n"/>
      <c r="D279" s="98" t="n"/>
      <c r="E279" s="148" t="n"/>
      <c r="F279" s="98" t="n"/>
    </row>
    <row r="280">
      <c r="A280" s="147" t="n"/>
      <c r="B280" s="98" t="n"/>
      <c r="C280" s="98" t="n"/>
      <c r="D280" s="98" t="n"/>
      <c r="E280" s="148" t="n"/>
      <c r="F280" s="98" t="n"/>
    </row>
    <row r="281">
      <c r="A281" s="147" t="n"/>
      <c r="B281" s="98" t="n"/>
      <c r="C281" s="98" t="n"/>
      <c r="D281" s="98" t="n"/>
      <c r="E281" s="148" t="n"/>
      <c r="F281" s="98" t="n"/>
    </row>
    <row r="282">
      <c r="A282" s="147" t="n"/>
      <c r="B282" s="98" t="n"/>
      <c r="C282" s="98" t="n"/>
      <c r="D282" s="98" t="n"/>
      <c r="E282" s="148" t="n"/>
      <c r="F282" s="98" t="n"/>
    </row>
    <row r="283">
      <c r="A283" s="147" t="n"/>
      <c r="B283" s="98" t="n"/>
      <c r="C283" s="98" t="n"/>
      <c r="D283" s="98" t="n"/>
      <c r="E283" s="148" t="n"/>
      <c r="F283" s="98" t="n"/>
    </row>
    <row r="284">
      <c r="A284" s="147" t="n"/>
      <c r="B284" s="98" t="n"/>
      <c r="C284" s="98" t="n"/>
      <c r="D284" s="98" t="n"/>
      <c r="E284" s="148" t="n"/>
      <c r="F284" s="98" t="n"/>
    </row>
    <row r="285">
      <c r="A285" s="147" t="n"/>
      <c r="B285" s="98" t="n"/>
      <c r="C285" s="98" t="n"/>
      <c r="D285" s="98" t="n"/>
      <c r="E285" s="148" t="n"/>
      <c r="F285" s="98" t="n"/>
    </row>
    <row r="286">
      <c r="A286" s="147" t="n"/>
      <c r="B286" s="98" t="n"/>
      <c r="C286" s="98" t="n"/>
      <c r="D286" s="98" t="n"/>
      <c r="E286" s="148" t="n"/>
      <c r="F286" s="98" t="n"/>
    </row>
    <row r="287">
      <c r="A287" s="147" t="n"/>
      <c r="B287" s="98" t="n"/>
      <c r="C287" s="98" t="n"/>
      <c r="D287" s="98" t="n"/>
      <c r="E287" s="148" t="n"/>
      <c r="F287" s="98" t="n"/>
    </row>
    <row r="288">
      <c r="A288" s="147" t="n"/>
      <c r="B288" s="98" t="n"/>
      <c r="C288" s="98" t="n"/>
      <c r="D288" s="98" t="n"/>
      <c r="E288" s="148" t="n"/>
      <c r="F288" s="98" t="n"/>
    </row>
    <row r="289">
      <c r="A289" s="147" t="n"/>
      <c r="B289" s="98" t="n"/>
      <c r="C289" s="98" t="n"/>
      <c r="D289" s="98" t="n"/>
      <c r="E289" s="148" t="n"/>
      <c r="F289" s="98" t="n"/>
    </row>
    <row r="290">
      <c r="A290" s="147" t="n"/>
      <c r="B290" s="98" t="n"/>
      <c r="C290" s="98" t="n"/>
      <c r="D290" s="98" t="n"/>
      <c r="E290" s="148" t="n"/>
      <c r="F290" s="98" t="n"/>
    </row>
    <row r="291">
      <c r="A291" s="147" t="n"/>
      <c r="B291" s="98" t="n"/>
      <c r="C291" s="98" t="n"/>
      <c r="D291" s="98" t="n"/>
      <c r="E291" s="148" t="n"/>
      <c r="F291" s="98" t="n"/>
    </row>
    <row r="292">
      <c r="A292" s="147" t="n"/>
      <c r="B292" s="98" t="n"/>
      <c r="C292" s="98" t="n"/>
      <c r="D292" s="98" t="n"/>
      <c r="E292" s="148" t="n"/>
      <c r="F292" s="98" t="n"/>
    </row>
    <row r="293">
      <c r="A293" s="147" t="n"/>
      <c r="B293" s="98" t="n"/>
      <c r="C293" s="98" t="n"/>
      <c r="D293" s="98" t="n"/>
      <c r="E293" s="148" t="n"/>
      <c r="F293" s="98" t="n"/>
    </row>
    <row r="294">
      <c r="A294" s="147" t="n"/>
      <c r="B294" s="98" t="n"/>
      <c r="C294" s="98" t="n"/>
      <c r="D294" s="98" t="n"/>
      <c r="E294" s="148" t="n"/>
      <c r="F294" s="98" t="n"/>
    </row>
    <row r="295">
      <c r="A295" s="147" t="n"/>
      <c r="B295" s="98" t="n"/>
      <c r="C295" s="98" t="n"/>
      <c r="D295" s="98" t="n"/>
      <c r="E295" s="148" t="n"/>
      <c r="F295" s="98" t="n"/>
    </row>
    <row r="296">
      <c r="A296" s="147" t="n"/>
      <c r="B296" s="98" t="n"/>
      <c r="C296" s="98" t="n"/>
      <c r="D296" s="98" t="n"/>
      <c r="E296" s="148" t="n"/>
      <c r="F296" s="98" t="n"/>
    </row>
    <row r="297">
      <c r="A297" s="147" t="n"/>
      <c r="B297" s="98" t="n"/>
      <c r="C297" s="98" t="n"/>
      <c r="D297" s="98" t="n"/>
      <c r="E297" s="148" t="n"/>
      <c r="F297" s="98" t="n"/>
    </row>
    <row r="298">
      <c r="A298" s="147" t="n"/>
      <c r="B298" s="98" t="n"/>
      <c r="C298" s="98" t="n"/>
      <c r="D298" s="98" t="n"/>
      <c r="E298" s="148" t="n"/>
      <c r="F298" s="98" t="n"/>
    </row>
    <row r="299">
      <c r="A299" s="147" t="n"/>
      <c r="B299" s="98" t="n"/>
      <c r="C299" s="98" t="n"/>
      <c r="D299" s="98" t="n"/>
      <c r="E299" s="148" t="n"/>
      <c r="F299" s="98" t="n"/>
    </row>
    <row r="300">
      <c r="A300" s="147" t="n"/>
      <c r="B300" s="98" t="n"/>
      <c r="C300" s="98" t="n"/>
      <c r="D300" s="98" t="n"/>
      <c r="E300" s="148" t="n"/>
      <c r="F300" s="98" t="n"/>
    </row>
    <row r="301">
      <c r="A301" s="147" t="n"/>
      <c r="B301" s="98" t="n"/>
      <c r="C301" s="98" t="n"/>
      <c r="D301" s="98" t="n"/>
      <c r="E301" s="148" t="n"/>
      <c r="F301" s="98" t="n"/>
    </row>
    <row r="302">
      <c r="A302" s="147" t="n"/>
      <c r="B302" s="98" t="n"/>
      <c r="C302" s="98" t="n"/>
      <c r="D302" s="98" t="n"/>
      <c r="E302" s="148" t="n"/>
      <c r="F302" s="98" t="n"/>
    </row>
    <row r="303">
      <c r="A303" s="147" t="n"/>
      <c r="B303" s="98" t="n"/>
      <c r="C303" s="98" t="n"/>
      <c r="D303" s="98" t="n"/>
      <c r="E303" s="148" t="n"/>
      <c r="F303" s="98" t="n"/>
    </row>
    <row r="304">
      <c r="A304" s="147" t="n"/>
      <c r="B304" s="98" t="n"/>
      <c r="C304" s="98" t="n"/>
      <c r="D304" s="98" t="n"/>
      <c r="E304" s="148" t="n"/>
      <c r="F304" s="98" t="n"/>
    </row>
    <row r="305">
      <c r="A305" s="147" t="n"/>
      <c r="B305" s="98" t="n"/>
      <c r="C305" s="98" t="n"/>
      <c r="D305" s="98" t="n"/>
      <c r="E305" s="148" t="n"/>
      <c r="F305" s="98" t="n"/>
    </row>
    <row r="306">
      <c r="A306" s="147" t="n"/>
      <c r="B306" s="98" t="n"/>
      <c r="C306" s="98" t="n"/>
      <c r="D306" s="98" t="n"/>
      <c r="E306" s="148" t="n"/>
      <c r="F306" s="98" t="n"/>
    </row>
    <row r="307">
      <c r="A307" s="147" t="n"/>
      <c r="B307" s="98" t="n"/>
      <c r="C307" s="98" t="n"/>
      <c r="D307" s="98" t="n"/>
      <c r="E307" s="148" t="n"/>
      <c r="F307" s="98" t="n"/>
    </row>
    <row r="308">
      <c r="A308" s="147" t="n"/>
      <c r="B308" s="98" t="n"/>
      <c r="C308" s="98" t="n"/>
      <c r="D308" s="98" t="n"/>
      <c r="E308" s="148" t="n"/>
      <c r="F308" s="98" t="n"/>
    </row>
    <row r="309">
      <c r="A309" s="147" t="n"/>
      <c r="B309" s="98" t="n"/>
      <c r="C309" s="98" t="n"/>
      <c r="D309" s="98" t="n"/>
      <c r="E309" s="148" t="n"/>
      <c r="F309" s="98" t="n"/>
    </row>
    <row r="310">
      <c r="A310" s="147" t="n"/>
      <c r="B310" s="98" t="n"/>
      <c r="C310" s="98" t="n"/>
      <c r="D310" s="98" t="n"/>
      <c r="E310" s="148" t="n"/>
      <c r="F310" s="98" t="n"/>
    </row>
    <row r="311">
      <c r="A311" s="147" t="n"/>
      <c r="B311" s="98" t="n"/>
      <c r="C311" s="98" t="n"/>
      <c r="D311" s="98" t="n"/>
      <c r="E311" s="148" t="n"/>
      <c r="F311" s="98" t="n"/>
    </row>
    <row r="312">
      <c r="A312" s="147" t="n"/>
      <c r="B312" s="98" t="n"/>
      <c r="C312" s="98" t="n"/>
      <c r="D312" s="98" t="n"/>
      <c r="E312" s="148" t="n"/>
      <c r="F312" s="98" t="n"/>
    </row>
    <row r="313">
      <c r="A313" s="147" t="n"/>
      <c r="B313" s="98" t="n"/>
      <c r="C313" s="98" t="n"/>
      <c r="D313" s="98" t="n"/>
      <c r="E313" s="148" t="n"/>
      <c r="F313" s="98" t="n"/>
    </row>
    <row r="314">
      <c r="A314" s="147" t="n"/>
      <c r="B314" s="98" t="n"/>
      <c r="C314" s="98" t="n"/>
      <c r="D314" s="98" t="n"/>
      <c r="E314" s="148" t="n"/>
      <c r="F314" s="98" t="n"/>
    </row>
    <row r="315">
      <c r="A315" s="147" t="n"/>
      <c r="B315" s="98" t="n"/>
      <c r="C315" s="98" t="n"/>
      <c r="D315" s="98" t="n"/>
      <c r="E315" s="148" t="n"/>
      <c r="F315" s="98" t="n"/>
    </row>
    <row r="316">
      <c r="A316" s="147" t="n"/>
      <c r="B316" s="98" t="n"/>
      <c r="C316" s="98" t="n"/>
      <c r="D316" s="98" t="n"/>
      <c r="E316" s="148" t="n"/>
      <c r="F316" s="98" t="n"/>
    </row>
    <row r="317">
      <c r="A317" s="147" t="n"/>
      <c r="B317" s="98" t="n"/>
      <c r="C317" s="98" t="n"/>
      <c r="D317" s="98" t="n"/>
      <c r="E317" s="148" t="n"/>
      <c r="F317" s="98" t="n"/>
    </row>
    <row r="318">
      <c r="A318" s="147" t="n"/>
      <c r="B318" s="98" t="n"/>
      <c r="C318" s="98" t="n"/>
      <c r="D318" s="98" t="n"/>
      <c r="E318" s="148" t="n"/>
      <c r="F318" s="98" t="n"/>
    </row>
    <row r="319">
      <c r="A319" s="147" t="n"/>
      <c r="B319" s="98" t="n"/>
      <c r="C319" s="98" t="n"/>
      <c r="D319" s="98" t="n"/>
      <c r="E319" s="148" t="n"/>
      <c r="F319" s="98" t="n"/>
    </row>
    <row r="320">
      <c r="A320" s="147" t="n"/>
      <c r="B320" s="98" t="n"/>
      <c r="C320" s="98" t="n"/>
      <c r="D320" s="98" t="n"/>
      <c r="E320" s="148" t="n"/>
      <c r="F320" s="98" t="n"/>
    </row>
    <row r="321">
      <c r="A321" s="147" t="n"/>
      <c r="B321" s="98" t="n"/>
      <c r="C321" s="98" t="n"/>
      <c r="D321" s="98" t="n"/>
      <c r="E321" s="148" t="n"/>
      <c r="F321" s="98" t="n"/>
    </row>
    <row r="322">
      <c r="A322" s="147" t="n"/>
      <c r="B322" s="98" t="n"/>
      <c r="C322" s="98" t="n"/>
      <c r="D322" s="98" t="n"/>
      <c r="E322" s="148" t="n"/>
      <c r="F322" s="98" t="n"/>
    </row>
    <row r="323">
      <c r="A323" s="147" t="n"/>
      <c r="B323" s="98" t="n"/>
      <c r="C323" s="98" t="n"/>
      <c r="D323" s="98" t="n"/>
      <c r="E323" s="148" t="n"/>
      <c r="F323" s="98" t="n"/>
    </row>
    <row r="324">
      <c r="A324" s="147" t="n"/>
      <c r="B324" s="98" t="n"/>
      <c r="C324" s="98" t="n"/>
      <c r="D324" s="98" t="n"/>
      <c r="E324" s="148" t="n"/>
      <c r="F324" s="98" t="n"/>
    </row>
    <row r="325">
      <c r="A325" s="147" t="n"/>
      <c r="B325" s="98" t="n"/>
      <c r="C325" s="98" t="n"/>
      <c r="D325" s="98" t="n"/>
      <c r="E325" s="148" t="n"/>
      <c r="F325" s="98" t="n"/>
    </row>
    <row r="326">
      <c r="A326" s="147" t="n"/>
      <c r="B326" s="98" t="n"/>
      <c r="C326" s="98" t="n"/>
      <c r="D326" s="98" t="n"/>
      <c r="E326" s="148" t="n"/>
      <c r="F326" s="98" t="n"/>
    </row>
    <row r="327">
      <c r="A327" s="147" t="n"/>
      <c r="B327" s="98" t="n"/>
      <c r="C327" s="98" t="n"/>
      <c r="D327" s="98" t="n"/>
      <c r="E327" s="148" t="n"/>
      <c r="F327" s="98" t="n"/>
    </row>
    <row r="328">
      <c r="A328" s="147" t="n"/>
      <c r="B328" s="98" t="n"/>
      <c r="C328" s="98" t="n"/>
      <c r="D328" s="98" t="n"/>
      <c r="E328" s="148" t="n"/>
      <c r="F328" s="98" t="n"/>
    </row>
    <row r="329">
      <c r="A329" s="147" t="n"/>
      <c r="B329" s="98" t="n"/>
      <c r="C329" s="98" t="n"/>
      <c r="D329" s="98" t="n"/>
      <c r="E329" s="148" t="n"/>
      <c r="F329" s="98" t="n"/>
    </row>
    <row r="330">
      <c r="A330" s="147" t="n"/>
      <c r="B330" s="98" t="n"/>
      <c r="C330" s="98" t="n"/>
      <c r="D330" s="98" t="n"/>
      <c r="E330" s="148" t="n"/>
      <c r="F330" s="98" t="n"/>
    </row>
    <row r="331">
      <c r="A331" s="147" t="n"/>
      <c r="B331" s="98" t="n"/>
      <c r="C331" s="98" t="n"/>
      <c r="D331" s="98" t="n"/>
      <c r="E331" s="148" t="n"/>
      <c r="F331" s="98" t="n"/>
    </row>
    <row r="332">
      <c r="A332" s="147" t="n"/>
      <c r="B332" s="98" t="n"/>
      <c r="C332" s="98" t="n"/>
      <c r="D332" s="98" t="n"/>
      <c r="E332" s="148" t="n"/>
      <c r="F332" s="98" t="n"/>
    </row>
    <row r="333">
      <c r="A333" s="147" t="n"/>
      <c r="B333" s="98" t="n"/>
      <c r="C333" s="98" t="n"/>
      <c r="D333" s="98" t="n"/>
      <c r="E333" s="148" t="n"/>
      <c r="F333" s="98" t="n"/>
    </row>
    <row r="334">
      <c r="A334" s="147" t="n"/>
      <c r="B334" s="98" t="n"/>
      <c r="C334" s="98" t="n"/>
      <c r="D334" s="98" t="n"/>
      <c r="E334" s="148" t="n"/>
      <c r="F334" s="98" t="n"/>
    </row>
    <row r="335">
      <c r="A335" s="147" t="n"/>
      <c r="B335" s="98" t="n"/>
      <c r="C335" s="98" t="n"/>
      <c r="D335" s="98" t="n"/>
      <c r="E335" s="148" t="n"/>
      <c r="F335" s="98" t="n"/>
    </row>
    <row r="336">
      <c r="A336" s="147" t="n"/>
      <c r="B336" s="98" t="n"/>
      <c r="C336" s="98" t="n"/>
      <c r="D336" s="98" t="n"/>
      <c r="E336" s="148" t="n"/>
      <c r="F336" s="98" t="n"/>
    </row>
    <row r="337">
      <c r="A337" s="147" t="n"/>
      <c r="B337" s="98" t="n"/>
      <c r="C337" s="98" t="n"/>
      <c r="D337" s="98" t="n"/>
      <c r="E337" s="148" t="n"/>
      <c r="F337" s="98" t="n"/>
    </row>
    <row r="338">
      <c r="A338" s="147" t="n"/>
      <c r="B338" s="98" t="n"/>
      <c r="C338" s="98" t="n"/>
      <c r="D338" s="98" t="n"/>
      <c r="E338" s="148" t="n"/>
      <c r="F338" s="98" t="n"/>
    </row>
    <row r="339">
      <c r="A339" s="147" t="n"/>
      <c r="B339" s="98" t="n"/>
      <c r="C339" s="98" t="n"/>
      <c r="D339" s="98" t="n"/>
      <c r="E339" s="148" t="n"/>
      <c r="F339" s="98" t="n"/>
    </row>
    <row r="340">
      <c r="A340" s="147" t="n"/>
      <c r="B340" s="98" t="n"/>
      <c r="C340" s="98" t="n"/>
      <c r="D340" s="98" t="n"/>
      <c r="E340" s="148" t="n"/>
      <c r="F340" s="98" t="n"/>
    </row>
    <row r="341">
      <c r="A341" s="147" t="n"/>
      <c r="B341" s="98" t="n"/>
      <c r="C341" s="98" t="n"/>
      <c r="D341" s="98" t="n"/>
      <c r="E341" s="148" t="n"/>
      <c r="F341" s="98" t="n"/>
    </row>
    <row r="342">
      <c r="A342" s="147" t="n"/>
      <c r="B342" s="98" t="n"/>
      <c r="C342" s="98" t="n"/>
      <c r="D342" s="98" t="n"/>
      <c r="E342" s="148" t="n"/>
      <c r="F342" s="98" t="n"/>
    </row>
    <row r="343">
      <c r="A343" s="147" t="n"/>
      <c r="B343" s="98" t="n"/>
      <c r="C343" s="98" t="n"/>
      <c r="D343" s="98" t="n"/>
      <c r="E343" s="148" t="n"/>
      <c r="F343" s="98" t="n"/>
    </row>
    <row r="344">
      <c r="A344" s="147" t="n"/>
      <c r="B344" s="98" t="n"/>
      <c r="C344" s="98" t="n"/>
      <c r="D344" s="98" t="n"/>
      <c r="E344" s="148" t="n"/>
      <c r="F344" s="98" t="n"/>
    </row>
    <row r="345">
      <c r="A345" s="147" t="n"/>
      <c r="B345" s="98" t="n"/>
      <c r="C345" s="98" t="n"/>
      <c r="D345" s="98" t="n"/>
      <c r="E345" s="148" t="n"/>
      <c r="F345" s="98" t="n"/>
    </row>
    <row r="346">
      <c r="A346" s="147" t="n"/>
      <c r="B346" s="98" t="n"/>
      <c r="C346" s="98" t="n"/>
      <c r="D346" s="98" t="n"/>
      <c r="E346" s="148" t="n"/>
      <c r="F346" s="98" t="n"/>
    </row>
    <row r="347">
      <c r="A347" s="147" t="n"/>
      <c r="B347" s="98" t="n"/>
      <c r="C347" s="98" t="n"/>
      <c r="D347" s="98" t="n"/>
      <c r="E347" s="148" t="n"/>
      <c r="F347" s="98" t="n"/>
    </row>
    <row r="348">
      <c r="A348" s="147" t="n"/>
      <c r="B348" s="98" t="n"/>
      <c r="C348" s="98" t="n"/>
      <c r="D348" s="98" t="n"/>
      <c r="E348" s="148" t="n"/>
      <c r="F348" s="98" t="n"/>
    </row>
    <row r="349">
      <c r="A349" s="147" t="n"/>
      <c r="B349" s="98" t="n"/>
      <c r="C349" s="98" t="n"/>
      <c r="D349" s="98" t="n"/>
      <c r="E349" s="148" t="n"/>
      <c r="F349" s="98" t="n"/>
    </row>
    <row r="350">
      <c r="A350" s="147" t="n"/>
      <c r="B350" s="98" t="n"/>
      <c r="C350" s="98" t="n"/>
      <c r="D350" s="98" t="n"/>
      <c r="E350" s="148" t="n"/>
      <c r="F350" s="98" t="n"/>
    </row>
    <row r="351">
      <c r="A351" s="147" t="n"/>
      <c r="B351" s="98" t="n"/>
      <c r="C351" s="98" t="n"/>
      <c r="D351" s="98" t="n"/>
      <c r="E351" s="148" t="n"/>
      <c r="F351" s="98" t="n"/>
    </row>
    <row r="352">
      <c r="A352" s="147" t="n"/>
      <c r="B352" s="98" t="n"/>
      <c r="C352" s="98" t="n"/>
      <c r="D352" s="98" t="n"/>
      <c r="E352" s="148" t="n"/>
      <c r="F352" s="98" t="n"/>
    </row>
    <row r="353">
      <c r="A353" s="147" t="n"/>
      <c r="B353" s="98" t="n"/>
      <c r="C353" s="98" t="n"/>
      <c r="D353" s="98" t="n"/>
      <c r="E353" s="148" t="n"/>
      <c r="F353" s="98" t="n"/>
    </row>
    <row r="354">
      <c r="A354" s="147" t="n"/>
      <c r="B354" s="98" t="n"/>
      <c r="C354" s="98" t="n"/>
      <c r="D354" s="98" t="n"/>
      <c r="E354" s="148" t="n"/>
      <c r="F354" s="98" t="n"/>
    </row>
    <row r="355">
      <c r="A355" s="147" t="n"/>
      <c r="B355" s="98" t="n"/>
      <c r="C355" s="98" t="n"/>
      <c r="D355" s="98" t="n"/>
      <c r="E355" s="148" t="n"/>
      <c r="F355" s="98" t="n"/>
    </row>
    <row r="356">
      <c r="A356" s="147" t="n"/>
      <c r="B356" s="98" t="n"/>
      <c r="C356" s="98" t="n"/>
      <c r="D356" s="98" t="n"/>
      <c r="E356" s="148" t="n"/>
      <c r="F356" s="98" t="n"/>
    </row>
    <row r="357">
      <c r="A357" s="147" t="n"/>
      <c r="B357" s="98" t="n"/>
      <c r="C357" s="98" t="n"/>
      <c r="D357" s="98" t="n"/>
      <c r="E357" s="148" t="n"/>
      <c r="F357" s="98" t="n"/>
    </row>
    <row r="358">
      <c r="A358" s="147" t="n"/>
      <c r="B358" s="98" t="n"/>
      <c r="C358" s="98" t="n"/>
      <c r="D358" s="98" t="n"/>
      <c r="E358" s="148" t="n"/>
      <c r="F358" s="98" t="n"/>
    </row>
    <row r="359">
      <c r="A359" s="147" t="n"/>
      <c r="B359" s="98" t="n"/>
      <c r="C359" s="98" t="n"/>
      <c r="D359" s="98" t="n"/>
      <c r="E359" s="148" t="n"/>
      <c r="F359" s="98" t="n"/>
    </row>
    <row r="360">
      <c r="A360" s="147" t="n"/>
      <c r="B360" s="98" t="n"/>
      <c r="C360" s="98" t="n"/>
      <c r="D360" s="98" t="n"/>
      <c r="E360" s="148" t="n"/>
      <c r="F360" s="98" t="n"/>
    </row>
    <row r="361">
      <c r="A361" s="147" t="n"/>
      <c r="B361" s="98" t="n"/>
      <c r="C361" s="98" t="n"/>
      <c r="D361" s="98" t="n"/>
      <c r="E361" s="148" t="n"/>
      <c r="F361" s="98" t="n"/>
    </row>
    <row r="362">
      <c r="A362" s="147" t="n"/>
      <c r="B362" s="98" t="n"/>
      <c r="C362" s="98" t="n"/>
      <c r="D362" s="98" t="n"/>
      <c r="E362" s="148" t="n"/>
      <c r="F362" s="98" t="n"/>
    </row>
    <row r="363">
      <c r="A363" s="147" t="n"/>
      <c r="B363" s="98" t="n"/>
      <c r="C363" s="98" t="n"/>
      <c r="D363" s="98" t="n"/>
      <c r="E363" s="148" t="n"/>
      <c r="F363" s="98" t="n"/>
    </row>
    <row r="364">
      <c r="A364" s="147" t="n"/>
      <c r="B364" s="98" t="n"/>
      <c r="C364" s="98" t="n"/>
      <c r="D364" s="98" t="n"/>
      <c r="E364" s="148" t="n"/>
      <c r="F364" s="98" t="n"/>
    </row>
    <row r="365">
      <c r="A365" s="147" t="n"/>
      <c r="B365" s="98" t="n"/>
      <c r="C365" s="98" t="n"/>
      <c r="D365" s="98" t="n"/>
      <c r="E365" s="148" t="n"/>
      <c r="F365" s="98" t="n"/>
    </row>
    <row r="366">
      <c r="A366" s="147" t="n"/>
      <c r="B366" s="98" t="n"/>
      <c r="C366" s="98" t="n"/>
      <c r="D366" s="98" t="n"/>
      <c r="E366" s="148" t="n"/>
      <c r="F366" s="98" t="n"/>
    </row>
    <row r="367">
      <c r="A367" s="147" t="n"/>
      <c r="B367" s="98" t="n"/>
      <c r="C367" s="98" t="n"/>
      <c r="D367" s="98" t="n"/>
      <c r="E367" s="148" t="n"/>
      <c r="F367" s="98" t="n"/>
    </row>
    <row r="368">
      <c r="A368" s="147" t="n"/>
      <c r="B368" s="98" t="n"/>
      <c r="C368" s="98" t="n"/>
      <c r="D368" s="98" t="n"/>
      <c r="E368" s="148" t="n"/>
      <c r="F368" s="98" t="n"/>
    </row>
    <row r="369">
      <c r="A369" s="147" t="n"/>
      <c r="B369" s="98" t="n"/>
      <c r="C369" s="98" t="n"/>
      <c r="D369" s="98" t="n"/>
      <c r="E369" s="148" t="n"/>
      <c r="F369" s="98" t="n"/>
    </row>
    <row r="370">
      <c r="A370" s="147" t="n"/>
      <c r="B370" s="98" t="n"/>
      <c r="C370" s="98" t="n"/>
      <c r="D370" s="98" t="n"/>
      <c r="E370" s="148" t="n"/>
      <c r="F370" s="98" t="n"/>
    </row>
    <row r="371">
      <c r="A371" s="147" t="n"/>
      <c r="B371" s="98" t="n"/>
      <c r="C371" s="98" t="n"/>
      <c r="D371" s="98" t="n"/>
      <c r="E371" s="148" t="n"/>
      <c r="F371" s="98" t="n"/>
    </row>
    <row r="372">
      <c r="A372" s="147" t="n"/>
      <c r="B372" s="98" t="n"/>
      <c r="C372" s="98" t="n"/>
      <c r="D372" s="98" t="n"/>
      <c r="E372" s="148" t="n"/>
      <c r="F372" s="98" t="n"/>
    </row>
    <row r="373">
      <c r="A373" s="147" t="n"/>
      <c r="B373" s="98" t="n"/>
      <c r="C373" s="98" t="n"/>
      <c r="D373" s="98" t="n"/>
      <c r="E373" s="148" t="n"/>
      <c r="F373" s="98" t="n"/>
    </row>
    <row r="374">
      <c r="A374" s="147" t="n"/>
      <c r="B374" s="98" t="n"/>
      <c r="C374" s="98" t="n"/>
      <c r="D374" s="98" t="n"/>
      <c r="E374" s="148" t="n"/>
      <c r="F374" s="98" t="n"/>
    </row>
    <row r="375">
      <c r="A375" s="147" t="n"/>
      <c r="B375" s="98" t="n"/>
      <c r="C375" s="98" t="n"/>
      <c r="D375" s="98" t="n"/>
      <c r="E375" s="148" t="n"/>
      <c r="F375" s="98" t="n"/>
    </row>
    <row r="376">
      <c r="A376" s="147" t="n"/>
      <c r="B376" s="98" t="n"/>
      <c r="C376" s="98" t="n"/>
      <c r="D376" s="98" t="n"/>
      <c r="E376" s="148" t="n"/>
      <c r="F376" s="98" t="n"/>
    </row>
    <row r="377">
      <c r="A377" s="147" t="n"/>
      <c r="B377" s="98" t="n"/>
      <c r="C377" s="98" t="n"/>
      <c r="D377" s="98" t="n"/>
      <c r="E377" s="148" t="n"/>
      <c r="F377" s="98" t="n"/>
    </row>
    <row r="378">
      <c r="A378" s="147" t="n"/>
      <c r="B378" s="98" t="n"/>
      <c r="C378" s="98" t="n"/>
      <c r="D378" s="98" t="n"/>
      <c r="E378" s="148" t="n"/>
      <c r="F378" s="98" t="n"/>
    </row>
    <row r="379">
      <c r="A379" s="147" t="n"/>
      <c r="B379" s="98" t="n"/>
      <c r="C379" s="98" t="n"/>
      <c r="D379" s="98" t="n"/>
      <c r="E379" s="148" t="n"/>
      <c r="F379" s="98" t="n"/>
    </row>
    <row r="380">
      <c r="A380" s="147" t="n"/>
      <c r="B380" s="98" t="n"/>
      <c r="C380" s="98" t="n"/>
      <c r="D380" s="98" t="n"/>
      <c r="E380" s="148" t="n"/>
      <c r="F380" s="98" t="n"/>
    </row>
    <row r="381">
      <c r="A381" s="147" t="n"/>
      <c r="B381" s="98" t="n"/>
      <c r="C381" s="98" t="n"/>
      <c r="D381" s="98" t="n"/>
      <c r="E381" s="148" t="n"/>
      <c r="F381" s="98" t="n"/>
    </row>
    <row r="382">
      <c r="A382" s="147" t="n"/>
      <c r="B382" s="98" t="n"/>
      <c r="C382" s="98" t="n"/>
      <c r="D382" s="98" t="n"/>
      <c r="E382" s="148" t="n"/>
      <c r="F382" s="98" t="n"/>
    </row>
    <row r="383">
      <c r="A383" s="147" t="n"/>
      <c r="B383" s="98" t="n"/>
      <c r="C383" s="98" t="n"/>
      <c r="D383" s="98" t="n"/>
      <c r="E383" s="148" t="n"/>
      <c r="F383" s="98" t="n"/>
    </row>
    <row r="384">
      <c r="A384" s="147" t="n"/>
      <c r="B384" s="98" t="n"/>
      <c r="C384" s="98" t="n"/>
      <c r="D384" s="98" t="n"/>
      <c r="E384" s="148" t="n"/>
      <c r="F384" s="98" t="n"/>
    </row>
    <row r="385">
      <c r="A385" s="147" t="n"/>
      <c r="B385" s="98" t="n"/>
      <c r="C385" s="98" t="n"/>
      <c r="D385" s="98" t="n"/>
      <c r="E385" s="148" t="n"/>
      <c r="F385" s="98" t="n"/>
    </row>
    <row r="386">
      <c r="A386" s="147" t="n"/>
      <c r="B386" s="98" t="n"/>
      <c r="C386" s="98" t="n"/>
      <c r="D386" s="98" t="n"/>
      <c r="E386" s="148" t="n"/>
      <c r="F386" s="98" t="n"/>
    </row>
    <row r="387">
      <c r="A387" s="147" t="n"/>
      <c r="B387" s="98" t="n"/>
      <c r="C387" s="98" t="n"/>
      <c r="D387" s="98" t="n"/>
      <c r="E387" s="148" t="n"/>
      <c r="F387" s="98" t="n"/>
    </row>
    <row r="388">
      <c r="A388" s="147" t="n"/>
      <c r="B388" s="98" t="n"/>
      <c r="C388" s="98" t="n"/>
      <c r="D388" s="98" t="n"/>
      <c r="E388" s="148" t="n"/>
      <c r="F388" s="98" t="n"/>
    </row>
    <row r="389">
      <c r="A389" s="147" t="n"/>
      <c r="B389" s="98" t="n"/>
      <c r="C389" s="98" t="n"/>
      <c r="D389" s="98" t="n"/>
      <c r="E389" s="148" t="n"/>
      <c r="F389" s="98" t="n"/>
    </row>
    <row r="390">
      <c r="A390" s="147" t="n"/>
      <c r="B390" s="98" t="n"/>
      <c r="C390" s="98" t="n"/>
      <c r="D390" s="98" t="n"/>
      <c r="E390" s="148" t="n"/>
      <c r="F390" s="98" t="n"/>
    </row>
    <row r="391">
      <c r="A391" s="147" t="n"/>
      <c r="B391" s="98" t="n"/>
      <c r="C391" s="98" t="n"/>
      <c r="D391" s="98" t="n"/>
      <c r="E391" s="148" t="n"/>
      <c r="F391" s="98" t="n"/>
    </row>
    <row r="392">
      <c r="A392" s="147" t="n"/>
      <c r="B392" s="98" t="n"/>
      <c r="C392" s="98" t="n"/>
      <c r="D392" s="98" t="n"/>
      <c r="E392" s="148" t="n"/>
      <c r="F392" s="98" t="n"/>
    </row>
    <row r="393">
      <c r="A393" s="147" t="n"/>
      <c r="B393" s="98" t="n"/>
      <c r="C393" s="98" t="n"/>
      <c r="D393" s="98" t="n"/>
      <c r="E393" s="148" t="n"/>
      <c r="F393" s="98" t="n"/>
    </row>
    <row r="394">
      <c r="A394" s="147" t="n"/>
      <c r="B394" s="98" t="n"/>
      <c r="C394" s="98" t="n"/>
      <c r="D394" s="98" t="n"/>
      <c r="E394" s="148" t="n"/>
      <c r="F394" s="98" t="n"/>
    </row>
    <row r="395">
      <c r="A395" s="147" t="n"/>
      <c r="B395" s="98" t="n"/>
      <c r="C395" s="98" t="n"/>
      <c r="D395" s="98" t="n"/>
      <c r="E395" s="148" t="n"/>
      <c r="F395" s="98" t="n"/>
    </row>
    <row r="396">
      <c r="A396" s="147" t="n"/>
      <c r="B396" s="98" t="n"/>
      <c r="C396" s="98" t="n"/>
      <c r="D396" s="98" t="n"/>
      <c r="E396" s="148" t="n"/>
      <c r="F396" s="98" t="n"/>
    </row>
    <row r="397">
      <c r="A397" s="147" t="n"/>
      <c r="B397" s="98" t="n"/>
      <c r="C397" s="98" t="n"/>
      <c r="D397" s="98" t="n"/>
      <c r="E397" s="148" t="n"/>
      <c r="F397" s="98" t="n"/>
    </row>
    <row r="398">
      <c r="A398" s="147" t="n"/>
      <c r="B398" s="98" t="n"/>
      <c r="C398" s="98" t="n"/>
      <c r="D398" s="98" t="n"/>
      <c r="E398" s="148" t="n"/>
      <c r="F398" s="98" t="n"/>
    </row>
    <row r="399">
      <c r="A399" s="147" t="n"/>
      <c r="B399" s="98" t="n"/>
      <c r="C399" s="98" t="n"/>
      <c r="D399" s="98" t="n"/>
      <c r="E399" s="148" t="n"/>
      <c r="F399" s="98" t="n"/>
    </row>
    <row r="400">
      <c r="A400" s="147" t="n"/>
      <c r="B400" s="98" t="n"/>
      <c r="C400" s="98" t="n"/>
      <c r="D400" s="98" t="n"/>
      <c r="E400" s="148" t="n"/>
      <c r="F400" s="98" t="n"/>
    </row>
    <row r="401">
      <c r="A401" s="147" t="n"/>
      <c r="B401" s="98" t="n"/>
      <c r="C401" s="98" t="n"/>
      <c r="D401" s="98" t="n"/>
      <c r="E401" s="148" t="n"/>
      <c r="F401" s="98" t="n"/>
    </row>
    <row r="402">
      <c r="A402" s="147" t="n"/>
      <c r="B402" s="98" t="n"/>
      <c r="C402" s="98" t="n"/>
      <c r="D402" s="98" t="n"/>
      <c r="E402" s="148" t="n"/>
      <c r="F402" s="98" t="n"/>
    </row>
    <row r="403">
      <c r="A403" s="147" t="n"/>
      <c r="B403" s="98" t="n"/>
      <c r="C403" s="98" t="n"/>
      <c r="D403" s="98" t="n"/>
      <c r="E403" s="148" t="n"/>
      <c r="F403" s="98" t="n"/>
    </row>
    <row r="404">
      <c r="A404" s="147" t="n"/>
      <c r="B404" s="98" t="n"/>
      <c r="C404" s="98" t="n"/>
      <c r="D404" s="98" t="n"/>
      <c r="E404" s="148" t="n"/>
      <c r="F404" s="98" t="n"/>
    </row>
    <row r="405">
      <c r="A405" s="147" t="n"/>
      <c r="B405" s="98" t="n"/>
      <c r="C405" s="98" t="n"/>
      <c r="D405" s="98" t="n"/>
      <c r="E405" s="148" t="n"/>
      <c r="F405" s="98" t="n"/>
    </row>
    <row r="406">
      <c r="A406" s="147" t="n"/>
      <c r="B406" s="98" t="n"/>
      <c r="C406" s="98" t="n"/>
      <c r="D406" s="98" t="n"/>
      <c r="E406" s="148" t="n"/>
      <c r="F406" s="98" t="n"/>
    </row>
    <row r="407">
      <c r="A407" s="147" t="n"/>
      <c r="B407" s="98" t="n"/>
      <c r="C407" s="98" t="n"/>
      <c r="D407" s="98" t="n"/>
      <c r="E407" s="148" t="n"/>
      <c r="F407" s="98" t="n"/>
    </row>
    <row r="408">
      <c r="A408" s="147" t="n"/>
      <c r="B408" s="98" t="n"/>
      <c r="C408" s="98" t="n"/>
      <c r="D408" s="98" t="n"/>
      <c r="E408" s="148" t="n"/>
      <c r="F408" s="98" t="n"/>
    </row>
    <row r="409">
      <c r="A409" s="147" t="n"/>
      <c r="B409" s="98" t="n"/>
      <c r="C409" s="98" t="n"/>
      <c r="D409" s="98" t="n"/>
      <c r="E409" s="148" t="n"/>
      <c r="F409" s="98" t="n"/>
    </row>
    <row r="410">
      <c r="A410" s="147" t="n"/>
      <c r="B410" s="98" t="n"/>
      <c r="C410" s="98" t="n"/>
      <c r="D410" s="98" t="n"/>
      <c r="E410" s="148" t="n"/>
      <c r="F410" s="98" t="n"/>
    </row>
    <row r="411">
      <c r="A411" s="147" t="n"/>
      <c r="B411" s="98" t="n"/>
      <c r="C411" s="98" t="n"/>
      <c r="D411" s="98" t="n"/>
      <c r="E411" s="148" t="n"/>
      <c r="F411" s="98" t="n"/>
    </row>
    <row r="412">
      <c r="A412" s="147" t="n"/>
      <c r="B412" s="98" t="n"/>
      <c r="C412" s="98" t="n"/>
      <c r="D412" s="98" t="n"/>
      <c r="E412" s="148" t="n"/>
      <c r="F412" s="98" t="n"/>
    </row>
    <row r="413">
      <c r="A413" s="147" t="n"/>
      <c r="B413" s="98" t="n"/>
      <c r="C413" s="98" t="n"/>
      <c r="D413" s="98" t="n"/>
      <c r="E413" s="148" t="n"/>
      <c r="F413" s="98" t="n"/>
    </row>
    <row r="414">
      <c r="A414" s="147" t="n"/>
      <c r="B414" s="98" t="n"/>
      <c r="C414" s="98" t="n"/>
      <c r="D414" s="98" t="n"/>
      <c r="E414" s="148" t="n"/>
      <c r="F414" s="98" t="n"/>
    </row>
    <row r="415">
      <c r="A415" s="147" t="n"/>
      <c r="B415" s="98" t="n"/>
      <c r="C415" s="98" t="n"/>
      <c r="D415" s="98" t="n"/>
      <c r="E415" s="148" t="n"/>
      <c r="F415" s="98" t="n"/>
    </row>
    <row r="416">
      <c r="A416" s="147" t="n"/>
      <c r="B416" s="98" t="n"/>
      <c r="C416" s="98" t="n"/>
      <c r="D416" s="98" t="n"/>
      <c r="E416" s="148" t="n"/>
      <c r="F416" s="98" t="n"/>
    </row>
    <row r="417">
      <c r="A417" s="147" t="n"/>
      <c r="B417" s="98" t="n"/>
      <c r="C417" s="98" t="n"/>
      <c r="D417" s="98" t="n"/>
      <c r="E417" s="148" t="n"/>
      <c r="F417" s="98" t="n"/>
    </row>
    <row r="418">
      <c r="A418" s="147" t="n"/>
      <c r="B418" s="98" t="n"/>
      <c r="C418" s="98" t="n"/>
      <c r="D418" s="98" t="n"/>
      <c r="E418" s="148" t="n"/>
      <c r="F418" s="98" t="n"/>
    </row>
    <row r="419">
      <c r="A419" s="147" t="n"/>
      <c r="B419" s="98" t="n"/>
      <c r="C419" s="98" t="n"/>
      <c r="D419" s="98" t="n"/>
      <c r="E419" s="148" t="n"/>
      <c r="F419" s="98" t="n"/>
    </row>
    <row r="420">
      <c r="A420" s="147" t="n"/>
      <c r="B420" s="98" t="n"/>
      <c r="C420" s="98" t="n"/>
      <c r="D420" s="98" t="n"/>
      <c r="E420" s="148" t="n"/>
      <c r="F420" s="98" t="n"/>
    </row>
    <row r="421">
      <c r="A421" s="147" t="n"/>
      <c r="B421" s="98" t="n"/>
      <c r="C421" s="98" t="n"/>
      <c r="D421" s="98" t="n"/>
      <c r="E421" s="148" t="n"/>
      <c r="F421" s="98" t="n"/>
    </row>
    <row r="422">
      <c r="A422" s="147" t="n"/>
      <c r="B422" s="98" t="n"/>
      <c r="C422" s="98" t="n"/>
      <c r="D422" s="98" t="n"/>
      <c r="E422" s="148" t="n"/>
      <c r="F422" s="98" t="n"/>
    </row>
    <row r="423">
      <c r="A423" s="147" t="n"/>
      <c r="B423" s="98" t="n"/>
      <c r="C423" s="98" t="n"/>
      <c r="D423" s="98" t="n"/>
      <c r="E423" s="148" t="n"/>
      <c r="F423" s="98" t="n"/>
    </row>
    <row r="424">
      <c r="A424" s="147" t="n"/>
      <c r="B424" s="98" t="n"/>
      <c r="C424" s="98" t="n"/>
      <c r="D424" s="98" t="n"/>
      <c r="E424" s="148" t="n"/>
      <c r="F424" s="98" t="n"/>
    </row>
    <row r="425">
      <c r="A425" s="147" t="n"/>
      <c r="B425" s="98" t="n"/>
      <c r="C425" s="98" t="n"/>
      <c r="D425" s="98" t="n"/>
      <c r="E425" s="148" t="n"/>
      <c r="F425" s="98" t="n"/>
    </row>
    <row r="426">
      <c r="A426" s="147" t="n"/>
      <c r="B426" s="98" t="n"/>
      <c r="C426" s="98" t="n"/>
      <c r="D426" s="98" t="n"/>
      <c r="E426" s="148" t="n"/>
      <c r="F426" s="98" t="n"/>
    </row>
    <row r="427">
      <c r="A427" s="147" t="n"/>
      <c r="B427" s="98" t="n"/>
      <c r="C427" s="98" t="n"/>
      <c r="D427" s="98" t="n"/>
      <c r="E427" s="148" t="n"/>
      <c r="F427" s="98" t="n"/>
    </row>
    <row r="428">
      <c r="A428" s="147" t="n"/>
      <c r="B428" s="98" t="n"/>
      <c r="C428" s="98" t="n"/>
      <c r="D428" s="98" t="n"/>
      <c r="E428" s="148" t="n"/>
      <c r="F428" s="98" t="n"/>
    </row>
    <row r="429">
      <c r="A429" s="147" t="n"/>
      <c r="B429" s="98" t="n"/>
      <c r="C429" s="98" t="n"/>
      <c r="D429" s="98" t="n"/>
      <c r="E429" s="148" t="n"/>
      <c r="F429" s="98" t="n"/>
    </row>
    <row r="430">
      <c r="A430" s="147" t="n"/>
      <c r="B430" s="98" t="n"/>
      <c r="C430" s="98" t="n"/>
      <c r="D430" s="98" t="n"/>
      <c r="E430" s="148" t="n"/>
      <c r="F430" s="98" t="n"/>
    </row>
    <row r="431">
      <c r="A431" s="147" t="n"/>
      <c r="B431" s="98" t="n"/>
      <c r="C431" s="98" t="n"/>
      <c r="D431" s="98" t="n"/>
      <c r="E431" s="148" t="n"/>
      <c r="F431" s="98" t="n"/>
    </row>
    <row r="432">
      <c r="A432" s="147" t="n"/>
      <c r="B432" s="98" t="n"/>
      <c r="C432" s="98" t="n"/>
      <c r="D432" s="98" t="n"/>
      <c r="E432" s="148" t="n"/>
      <c r="F432" s="98" t="n"/>
    </row>
    <row r="433">
      <c r="A433" s="147" t="n"/>
      <c r="B433" s="98" t="n"/>
      <c r="C433" s="98" t="n"/>
      <c r="D433" s="98" t="n"/>
      <c r="E433" s="148" t="n"/>
      <c r="F433" s="98" t="n"/>
    </row>
    <row r="434">
      <c r="A434" s="147" t="n"/>
      <c r="B434" s="98" t="n"/>
      <c r="C434" s="98" t="n"/>
      <c r="D434" s="98" t="n"/>
      <c r="E434" s="148" t="n"/>
      <c r="F434" s="98" t="n"/>
    </row>
    <row r="435">
      <c r="A435" s="147" t="n"/>
      <c r="B435" s="98" t="n"/>
      <c r="C435" s="98" t="n"/>
      <c r="D435" s="98" t="n"/>
      <c r="E435" s="148" t="n"/>
      <c r="F435" s="98" t="n"/>
    </row>
    <row r="436">
      <c r="A436" s="147" t="n"/>
      <c r="B436" s="98" t="n"/>
      <c r="C436" s="98" t="n"/>
      <c r="D436" s="98" t="n"/>
      <c r="E436" s="148" t="n"/>
      <c r="F436" s="98" t="n"/>
    </row>
    <row r="437">
      <c r="A437" s="147" t="n"/>
      <c r="B437" s="98" t="n"/>
      <c r="C437" s="98" t="n"/>
      <c r="D437" s="98" t="n"/>
      <c r="E437" s="148" t="n"/>
      <c r="F437" s="98" t="n"/>
    </row>
    <row r="438">
      <c r="A438" s="147" t="n"/>
      <c r="B438" s="98" t="n"/>
      <c r="C438" s="98" t="n"/>
      <c r="D438" s="98" t="n"/>
      <c r="E438" s="148" t="n"/>
      <c r="F438" s="98" t="n"/>
    </row>
    <row r="439">
      <c r="A439" s="147" t="n"/>
      <c r="B439" s="98" t="n"/>
      <c r="C439" s="98" t="n"/>
      <c r="D439" s="98" t="n"/>
      <c r="E439" s="148" t="n"/>
      <c r="F439" s="98" t="n"/>
    </row>
    <row r="440">
      <c r="A440" s="147" t="n"/>
      <c r="B440" s="98" t="n"/>
      <c r="C440" s="98" t="n"/>
      <c r="D440" s="98" t="n"/>
      <c r="E440" s="148" t="n"/>
      <c r="F440" s="98" t="n"/>
    </row>
    <row r="441">
      <c r="A441" s="147" t="n"/>
      <c r="B441" s="98" t="n"/>
      <c r="C441" s="98" t="n"/>
      <c r="D441" s="98" t="n"/>
      <c r="E441" s="148" t="n"/>
      <c r="F441" s="98" t="n"/>
    </row>
    <row r="442">
      <c r="A442" s="147" t="n"/>
      <c r="B442" s="98" t="n"/>
      <c r="C442" s="98" t="n"/>
      <c r="D442" s="98" t="n"/>
      <c r="E442" s="148" t="n"/>
      <c r="F442" s="98" t="n"/>
    </row>
    <row r="443">
      <c r="A443" s="147" t="n"/>
      <c r="B443" s="98" t="n"/>
      <c r="C443" s="98" t="n"/>
      <c r="D443" s="98" t="n"/>
      <c r="E443" s="148" t="n"/>
      <c r="F443" s="98" t="n"/>
    </row>
    <row r="444">
      <c r="A444" s="147" t="n"/>
      <c r="B444" s="98" t="n"/>
      <c r="C444" s="98" t="n"/>
      <c r="D444" s="98" t="n"/>
      <c r="E444" s="148" t="n"/>
      <c r="F444" s="98" t="n"/>
    </row>
    <row r="445">
      <c r="A445" s="147" t="n"/>
      <c r="B445" s="98" t="n"/>
      <c r="C445" s="98" t="n"/>
      <c r="D445" s="98" t="n"/>
      <c r="E445" s="148" t="n"/>
      <c r="F445" s="98" t="n"/>
    </row>
    <row r="446">
      <c r="A446" s="147" t="n"/>
      <c r="B446" s="98" t="n"/>
      <c r="C446" s="98" t="n"/>
      <c r="D446" s="98" t="n"/>
      <c r="E446" s="148" t="n"/>
      <c r="F446" s="98" t="n"/>
    </row>
    <row r="447">
      <c r="A447" s="147" t="n"/>
      <c r="B447" s="98" t="n"/>
      <c r="C447" s="98" t="n"/>
      <c r="D447" s="98" t="n"/>
      <c r="E447" s="148" t="n"/>
      <c r="F447" s="98" t="n"/>
    </row>
    <row r="448">
      <c r="A448" s="147" t="n"/>
      <c r="B448" s="98" t="n"/>
      <c r="C448" s="98" t="n"/>
      <c r="D448" s="98" t="n"/>
      <c r="E448" s="148" t="n"/>
      <c r="F448" s="98" t="n"/>
    </row>
    <row r="449">
      <c r="A449" s="147" t="n"/>
      <c r="B449" s="98" t="n"/>
      <c r="C449" s="98" t="n"/>
      <c r="D449" s="98" t="n"/>
      <c r="E449" s="148" t="n"/>
      <c r="F449" s="98" t="n"/>
    </row>
    <row r="450">
      <c r="A450" s="147" t="n"/>
      <c r="B450" s="98" t="n"/>
      <c r="C450" s="98" t="n"/>
      <c r="D450" s="98" t="n"/>
      <c r="E450" s="148" t="n"/>
      <c r="F450" s="98" t="n"/>
    </row>
    <row r="451">
      <c r="A451" s="147" t="n"/>
      <c r="B451" s="98" t="n"/>
      <c r="C451" s="98" t="n"/>
      <c r="D451" s="98" t="n"/>
      <c r="E451" s="148" t="n"/>
      <c r="F451" s="98" t="n"/>
    </row>
    <row r="452">
      <c r="A452" s="147" t="n"/>
      <c r="B452" s="98" t="n"/>
      <c r="C452" s="98" t="n"/>
      <c r="D452" s="98" t="n"/>
      <c r="E452" s="148" t="n"/>
      <c r="F452" s="98" t="n"/>
    </row>
    <row r="453">
      <c r="A453" s="147" t="n"/>
      <c r="B453" s="98" t="n"/>
      <c r="C453" s="98" t="n"/>
      <c r="D453" s="98" t="n"/>
      <c r="E453" s="148" t="n"/>
      <c r="F453" s="98" t="n"/>
    </row>
    <row r="454">
      <c r="A454" s="147" t="n"/>
      <c r="B454" s="98" t="n"/>
      <c r="C454" s="98" t="n"/>
      <c r="D454" s="98" t="n"/>
      <c r="E454" s="148" t="n"/>
      <c r="F454" s="98" t="n"/>
    </row>
    <row r="455">
      <c r="A455" s="147" t="n"/>
      <c r="B455" s="98" t="n"/>
      <c r="C455" s="98" t="n"/>
      <c r="D455" s="98" t="n"/>
      <c r="E455" s="148" t="n"/>
      <c r="F455" s="98" t="n"/>
    </row>
    <row r="456">
      <c r="A456" s="147" t="n"/>
      <c r="B456" s="98" t="n"/>
      <c r="C456" s="98" t="n"/>
      <c r="D456" s="98" t="n"/>
      <c r="E456" s="148" t="n"/>
      <c r="F456" s="98" t="n"/>
    </row>
    <row r="457">
      <c r="A457" s="147" t="n"/>
      <c r="B457" s="98" t="n"/>
      <c r="C457" s="98" t="n"/>
      <c r="D457" s="98" t="n"/>
      <c r="E457" s="148" t="n"/>
      <c r="F457" s="98" t="n"/>
    </row>
    <row r="458">
      <c r="A458" s="147" t="n"/>
      <c r="B458" s="98" t="n"/>
      <c r="C458" s="98" t="n"/>
      <c r="D458" s="98" t="n"/>
      <c r="E458" s="148" t="n"/>
      <c r="F458" s="98" t="n"/>
    </row>
    <row r="459">
      <c r="A459" s="147" t="n"/>
      <c r="B459" s="98" t="n"/>
      <c r="C459" s="98" t="n"/>
      <c r="D459" s="98" t="n"/>
      <c r="E459" s="148" t="n"/>
      <c r="F459" s="98" t="n"/>
    </row>
    <row r="460">
      <c r="A460" s="147" t="n"/>
      <c r="B460" s="98" t="n"/>
      <c r="C460" s="98" t="n"/>
      <c r="D460" s="98" t="n"/>
      <c r="E460" s="148" t="n"/>
      <c r="F460" s="98" t="n"/>
    </row>
    <row r="461">
      <c r="A461" s="147" t="n"/>
      <c r="B461" s="98" t="n"/>
      <c r="C461" s="98" t="n"/>
      <c r="D461" s="98" t="n"/>
      <c r="E461" s="148" t="n"/>
      <c r="F461" s="98" t="n"/>
    </row>
    <row r="462">
      <c r="A462" s="147" t="n"/>
      <c r="B462" s="98" t="n"/>
      <c r="C462" s="98" t="n"/>
      <c r="D462" s="98" t="n"/>
      <c r="E462" s="148" t="n"/>
      <c r="F462" s="98" t="n"/>
    </row>
    <row r="463">
      <c r="A463" s="147" t="n"/>
      <c r="B463" s="98" t="n"/>
      <c r="C463" s="98" t="n"/>
      <c r="D463" s="98" t="n"/>
      <c r="E463" s="148" t="n"/>
      <c r="F463" s="98" t="n"/>
    </row>
    <row r="464">
      <c r="A464" s="147" t="n"/>
      <c r="B464" s="98" t="n"/>
      <c r="C464" s="98" t="n"/>
      <c r="D464" s="98" t="n"/>
      <c r="E464" s="148" t="n"/>
      <c r="F464" s="98" t="n"/>
    </row>
    <row r="465">
      <c r="A465" s="147" t="n"/>
      <c r="B465" s="98" t="n"/>
      <c r="C465" s="98" t="n"/>
      <c r="D465" s="98" t="n"/>
      <c r="E465" s="148" t="n"/>
      <c r="F465" s="98" t="n"/>
    </row>
    <row r="466">
      <c r="A466" s="147" t="n"/>
      <c r="B466" s="98" t="n"/>
      <c r="C466" s="98" t="n"/>
      <c r="D466" s="98" t="n"/>
      <c r="E466" s="148" t="n"/>
      <c r="F466" s="98" t="n"/>
    </row>
    <row r="467">
      <c r="A467" s="147" t="n"/>
      <c r="B467" s="98" t="n"/>
      <c r="C467" s="98" t="n"/>
      <c r="D467" s="98" t="n"/>
      <c r="E467" s="148" t="n"/>
      <c r="F467" s="98" t="n"/>
    </row>
    <row r="468">
      <c r="A468" s="147" t="n"/>
      <c r="B468" s="98" t="n"/>
      <c r="C468" s="98" t="n"/>
      <c r="D468" s="98" t="n"/>
      <c r="E468" s="148" t="n"/>
      <c r="F468" s="98" t="n"/>
    </row>
    <row r="469">
      <c r="A469" s="147" t="n"/>
      <c r="B469" s="98" t="n"/>
      <c r="C469" s="98" t="n"/>
      <c r="D469" s="98" t="n"/>
      <c r="E469" s="148" t="n"/>
      <c r="F469" s="98" t="n"/>
    </row>
    <row r="470">
      <c r="A470" s="147" t="n"/>
      <c r="B470" s="98" t="n"/>
      <c r="C470" s="98" t="n"/>
      <c r="D470" s="98" t="n"/>
      <c r="E470" s="148" t="n"/>
      <c r="F470" s="98" t="n"/>
    </row>
    <row r="471">
      <c r="A471" s="147" t="n"/>
      <c r="B471" s="98" t="n"/>
      <c r="C471" s="98" t="n"/>
      <c r="D471" s="98" t="n"/>
      <c r="E471" s="148" t="n"/>
      <c r="F471" s="98" t="n"/>
    </row>
    <row r="472">
      <c r="A472" s="147" t="n"/>
      <c r="B472" s="98" t="n"/>
      <c r="C472" s="98" t="n"/>
      <c r="D472" s="98" t="n"/>
      <c r="E472" s="148" t="n"/>
      <c r="F472" s="98" t="n"/>
    </row>
    <row r="473">
      <c r="A473" s="147" t="n"/>
      <c r="B473" s="98" t="n"/>
      <c r="C473" s="98" t="n"/>
      <c r="D473" s="98" t="n"/>
      <c r="E473" s="148" t="n"/>
      <c r="F473" s="98" t="n"/>
    </row>
    <row r="474">
      <c r="A474" s="147" t="n"/>
      <c r="B474" s="98" t="n"/>
      <c r="C474" s="98" t="n"/>
      <c r="D474" s="98" t="n"/>
      <c r="E474" s="148" t="n"/>
      <c r="F474" s="98" t="n"/>
    </row>
    <row r="475">
      <c r="A475" s="147" t="n"/>
      <c r="B475" s="98" t="n"/>
      <c r="C475" s="98" t="n"/>
      <c r="D475" s="98" t="n"/>
      <c r="E475" s="148" t="n"/>
      <c r="F475" s="98" t="n"/>
    </row>
    <row r="476">
      <c r="A476" s="147" t="n"/>
      <c r="B476" s="98" t="n"/>
      <c r="C476" s="98" t="n"/>
      <c r="D476" s="98" t="n"/>
      <c r="E476" s="148" t="n"/>
      <c r="F476" s="98" t="n"/>
    </row>
    <row r="477">
      <c r="A477" s="147" t="n"/>
      <c r="B477" s="98" t="n"/>
      <c r="C477" s="98" t="n"/>
      <c r="D477" s="98" t="n"/>
      <c r="E477" s="148" t="n"/>
      <c r="F477" s="98" t="n"/>
    </row>
    <row r="478">
      <c r="A478" s="147" t="n"/>
      <c r="B478" s="98" t="n"/>
      <c r="C478" s="98" t="n"/>
      <c r="D478" s="98" t="n"/>
      <c r="E478" s="148" t="n"/>
      <c r="F478" s="98" t="n"/>
    </row>
    <row r="479">
      <c r="A479" s="147" t="n"/>
      <c r="B479" s="98" t="n"/>
      <c r="C479" s="98" t="n"/>
      <c r="D479" s="98" t="n"/>
      <c r="E479" s="148" t="n"/>
      <c r="F479" s="98" t="n"/>
    </row>
    <row r="480">
      <c r="A480" s="147" t="n"/>
      <c r="B480" s="98" t="n"/>
      <c r="C480" s="98" t="n"/>
      <c r="D480" s="98" t="n"/>
      <c r="E480" s="148" t="n"/>
      <c r="F480" s="98" t="n"/>
    </row>
    <row r="481">
      <c r="A481" s="147" t="n"/>
      <c r="B481" s="98" t="n"/>
      <c r="C481" s="98" t="n"/>
      <c r="D481" s="98" t="n"/>
      <c r="E481" s="148" t="n"/>
      <c r="F481" s="98" t="n"/>
    </row>
    <row r="482">
      <c r="A482" s="147" t="n"/>
      <c r="B482" s="98" t="n"/>
      <c r="C482" s="98" t="n"/>
      <c r="D482" s="98" t="n"/>
      <c r="E482" s="148" t="n"/>
      <c r="F482" s="98" t="n"/>
    </row>
    <row r="483">
      <c r="A483" s="147" t="n"/>
      <c r="B483" s="98" t="n"/>
      <c r="C483" s="98" t="n"/>
      <c r="D483" s="98" t="n"/>
      <c r="E483" s="148" t="n"/>
      <c r="F483" s="98" t="n"/>
    </row>
    <row r="484">
      <c r="A484" s="147" t="n"/>
      <c r="B484" s="98" t="n"/>
      <c r="C484" s="98" t="n"/>
      <c r="D484" s="98" t="n"/>
      <c r="E484" s="148" t="n"/>
      <c r="F484" s="98" t="n"/>
    </row>
    <row r="485">
      <c r="A485" s="147" t="n"/>
      <c r="B485" s="98" t="n"/>
      <c r="C485" s="98" t="n"/>
      <c r="D485" s="98" t="n"/>
      <c r="E485" s="148" t="n"/>
      <c r="F485" s="98" t="n"/>
    </row>
    <row r="486">
      <c r="A486" s="147" t="n"/>
      <c r="B486" s="98" t="n"/>
      <c r="C486" s="98" t="n"/>
      <c r="D486" s="98" t="n"/>
      <c r="E486" s="148" t="n"/>
      <c r="F486" s="98" t="n"/>
    </row>
    <row r="487">
      <c r="A487" s="147" t="n"/>
      <c r="B487" s="98" t="n"/>
      <c r="C487" s="98" t="n"/>
      <c r="D487" s="98" t="n"/>
      <c r="E487" s="148" t="n"/>
      <c r="F487" s="98" t="n"/>
    </row>
    <row r="488">
      <c r="A488" s="147" t="n"/>
      <c r="B488" s="98" t="n"/>
      <c r="C488" s="98" t="n"/>
      <c r="D488" s="98" t="n"/>
      <c r="E488" s="148" t="n"/>
      <c r="F488" s="98" t="n"/>
    </row>
    <row r="489">
      <c r="A489" s="147" t="n"/>
      <c r="B489" s="98" t="n"/>
      <c r="C489" s="98" t="n"/>
      <c r="D489" s="98" t="n"/>
      <c r="E489" s="148" t="n"/>
      <c r="F489" s="98" t="n"/>
    </row>
    <row r="490">
      <c r="A490" s="147" t="n"/>
      <c r="B490" s="98" t="n"/>
      <c r="C490" s="98" t="n"/>
      <c r="D490" s="98" t="n"/>
      <c r="E490" s="148" t="n"/>
      <c r="F490" s="98" t="n"/>
    </row>
    <row r="491">
      <c r="A491" s="147" t="n"/>
      <c r="B491" s="98" t="n"/>
      <c r="C491" s="98" t="n"/>
      <c r="D491" s="98" t="n"/>
      <c r="E491" s="148" t="n"/>
      <c r="F491" s="98" t="n"/>
    </row>
    <row r="492">
      <c r="A492" s="147" t="n"/>
      <c r="B492" s="98" t="n"/>
      <c r="C492" s="98" t="n"/>
      <c r="D492" s="98" t="n"/>
      <c r="E492" s="148" t="n"/>
      <c r="F492" s="98" t="n"/>
    </row>
    <row r="493">
      <c r="A493" s="147" t="n"/>
      <c r="B493" s="98" t="n"/>
      <c r="C493" s="98" t="n"/>
      <c r="D493" s="98" t="n"/>
      <c r="E493" s="148" t="n"/>
      <c r="F493" s="98" t="n"/>
    </row>
    <row r="494">
      <c r="A494" s="147" t="n"/>
      <c r="B494" s="98" t="n"/>
      <c r="C494" s="98" t="n"/>
      <c r="D494" s="98" t="n"/>
      <c r="E494" s="148" t="n"/>
      <c r="F494" s="98" t="n"/>
    </row>
    <row r="495">
      <c r="A495" s="147" t="n"/>
      <c r="B495" s="98" t="n"/>
      <c r="C495" s="98" t="n"/>
      <c r="D495" s="98" t="n"/>
      <c r="E495" s="148" t="n"/>
      <c r="F495" s="98" t="n"/>
    </row>
    <row r="496">
      <c r="A496" s="147" t="n"/>
      <c r="B496" s="98" t="n"/>
      <c r="C496" s="98" t="n"/>
      <c r="D496" s="98" t="n"/>
      <c r="E496" s="148" t="n"/>
      <c r="F496" s="98" t="n"/>
    </row>
    <row r="497">
      <c r="A497" s="147" t="n"/>
      <c r="B497" s="98" t="n"/>
      <c r="C497" s="98" t="n"/>
      <c r="D497" s="98" t="n"/>
      <c r="E497" s="148" t="n"/>
      <c r="F497" s="98" t="n"/>
    </row>
    <row r="498">
      <c r="A498" s="147" t="n"/>
      <c r="B498" s="98" t="n"/>
      <c r="C498" s="98" t="n"/>
      <c r="D498" s="98" t="n"/>
      <c r="E498" s="148" t="n"/>
      <c r="F498" s="98" t="n"/>
    </row>
    <row r="499">
      <c r="A499" s="147" t="n"/>
      <c r="B499" s="98" t="n"/>
      <c r="C499" s="98" t="n"/>
      <c r="D499" s="98" t="n"/>
      <c r="E499" s="148" t="n"/>
      <c r="F499" s="98" t="n"/>
    </row>
    <row r="500">
      <c r="A500" s="147" t="n"/>
      <c r="B500" s="98" t="n"/>
      <c r="C500" s="98" t="n"/>
      <c r="D500" s="98" t="n"/>
      <c r="E500" s="148" t="n"/>
      <c r="F500" s="98" t="n"/>
    </row>
    <row r="501">
      <c r="A501" s="147" t="n"/>
      <c r="B501" s="98" t="n"/>
      <c r="C501" s="98" t="n"/>
      <c r="D501" s="98" t="n"/>
      <c r="E501" s="148" t="n"/>
      <c r="F501" s="98" t="n"/>
    </row>
    <row r="502">
      <c r="A502" s="147" t="n"/>
      <c r="B502" s="98" t="n"/>
      <c r="C502" s="98" t="n"/>
      <c r="D502" s="98" t="n"/>
      <c r="E502" s="148" t="n"/>
      <c r="F502" s="98" t="n"/>
    </row>
    <row r="503">
      <c r="A503" s="147" t="n"/>
      <c r="B503" s="98" t="n"/>
      <c r="C503" s="98" t="n"/>
      <c r="D503" s="98" t="n"/>
      <c r="E503" s="148" t="n"/>
      <c r="F503" s="98" t="n"/>
    </row>
    <row r="504">
      <c r="A504" s="147" t="n"/>
      <c r="B504" s="98" t="n"/>
      <c r="C504" s="98" t="n"/>
      <c r="D504" s="98" t="n"/>
      <c r="E504" s="148" t="n"/>
      <c r="F504" s="98" t="n"/>
    </row>
    <row r="505">
      <c r="A505" s="147" t="n"/>
      <c r="B505" s="98" t="n"/>
      <c r="C505" s="98" t="n"/>
      <c r="D505" s="98" t="n"/>
      <c r="E505" s="148" t="n"/>
      <c r="F505" s="98" t="n"/>
    </row>
    <row r="506">
      <c r="A506" s="147" t="n"/>
      <c r="B506" s="98" t="n"/>
      <c r="C506" s="98" t="n"/>
      <c r="D506" s="98" t="n"/>
      <c r="E506" s="148" t="n"/>
      <c r="F506" s="98" t="n"/>
    </row>
    <row r="507">
      <c r="A507" s="147" t="n"/>
      <c r="B507" s="98" t="n"/>
      <c r="C507" s="98" t="n"/>
      <c r="D507" s="98" t="n"/>
      <c r="E507" s="148" t="n"/>
      <c r="F507" s="98" t="n"/>
    </row>
    <row r="508">
      <c r="A508" s="147" t="n"/>
      <c r="B508" s="98" t="n"/>
      <c r="C508" s="98" t="n"/>
      <c r="D508" s="98" t="n"/>
      <c r="E508" s="148" t="n"/>
      <c r="F508" s="98" t="n"/>
    </row>
    <row r="509">
      <c r="A509" s="147" t="n"/>
      <c r="B509" s="98" t="n"/>
      <c r="C509" s="98" t="n"/>
      <c r="D509" s="98" t="n"/>
      <c r="E509" s="148" t="n"/>
      <c r="F509" s="98" t="n"/>
    </row>
    <row r="510">
      <c r="A510" s="147" t="n"/>
      <c r="B510" s="98" t="n"/>
      <c r="C510" s="98" t="n"/>
      <c r="D510" s="98" t="n"/>
      <c r="E510" s="148" t="n"/>
      <c r="F510" s="98" t="n"/>
    </row>
    <row r="511">
      <c r="A511" s="147" t="n"/>
      <c r="B511" s="98" t="n"/>
      <c r="C511" s="98" t="n"/>
      <c r="D511" s="98" t="n"/>
      <c r="E511" s="148" t="n"/>
      <c r="F511" s="98" t="n"/>
    </row>
    <row r="512">
      <c r="A512" s="147" t="n"/>
      <c r="B512" s="98" t="n"/>
      <c r="C512" s="98" t="n"/>
      <c r="D512" s="98" t="n"/>
      <c r="E512" s="148" t="n"/>
      <c r="F512" s="98" t="n"/>
    </row>
    <row r="513">
      <c r="A513" s="147" t="n"/>
      <c r="B513" s="98" t="n"/>
      <c r="C513" s="98" t="n"/>
      <c r="D513" s="98" t="n"/>
      <c r="E513" s="148" t="n"/>
      <c r="F513" s="98" t="n"/>
    </row>
    <row r="514">
      <c r="A514" s="147" t="n"/>
      <c r="B514" s="98" t="n"/>
      <c r="C514" s="98" t="n"/>
      <c r="D514" s="98" t="n"/>
      <c r="E514" s="148" t="n"/>
      <c r="F514" s="98" t="n"/>
    </row>
    <row r="515">
      <c r="A515" s="147" t="n"/>
      <c r="B515" s="98" t="n"/>
      <c r="C515" s="98" t="n"/>
      <c r="D515" s="98" t="n"/>
      <c r="E515" s="148" t="n"/>
      <c r="F515" s="98" t="n"/>
    </row>
    <row r="516">
      <c r="A516" s="147" t="n"/>
      <c r="B516" s="98" t="n"/>
      <c r="C516" s="98" t="n"/>
      <c r="D516" s="98" t="n"/>
      <c r="E516" s="148" t="n"/>
      <c r="F516" s="98" t="n"/>
    </row>
    <row r="517">
      <c r="A517" s="147" t="n"/>
      <c r="B517" s="98" t="n"/>
      <c r="C517" s="98" t="n"/>
      <c r="D517" s="98" t="n"/>
      <c r="E517" s="148" t="n"/>
      <c r="F517" s="98" t="n"/>
    </row>
    <row r="518">
      <c r="A518" s="147" t="n"/>
      <c r="B518" s="98" t="n"/>
      <c r="C518" s="98" t="n"/>
      <c r="D518" s="98" t="n"/>
      <c r="E518" s="148" t="n"/>
      <c r="F518" s="98" t="n"/>
    </row>
    <row r="519">
      <c r="A519" s="147" t="n"/>
      <c r="B519" s="98" t="n"/>
      <c r="C519" s="98" t="n"/>
      <c r="D519" s="98" t="n"/>
      <c r="E519" s="148" t="n"/>
      <c r="F519" s="98" t="n"/>
    </row>
    <row r="520">
      <c r="A520" s="147" t="n"/>
      <c r="B520" s="98" t="n"/>
      <c r="C520" s="98" t="n"/>
      <c r="D520" s="98" t="n"/>
      <c r="E520" s="148" t="n"/>
      <c r="F520" s="98" t="n"/>
    </row>
    <row r="521">
      <c r="A521" s="147" t="n"/>
      <c r="B521" s="98" t="n"/>
      <c r="C521" s="98" t="n"/>
      <c r="D521" s="98" t="n"/>
      <c r="E521" s="148" t="n"/>
      <c r="F521" s="98" t="n"/>
    </row>
    <row r="522">
      <c r="A522" s="147" t="n"/>
      <c r="B522" s="98" t="n"/>
      <c r="C522" s="98" t="n"/>
      <c r="D522" s="98" t="n"/>
      <c r="E522" s="148" t="n"/>
      <c r="F522" s="98" t="n"/>
    </row>
    <row r="523">
      <c r="A523" s="147" t="n"/>
      <c r="B523" s="98" t="n"/>
      <c r="C523" s="98" t="n"/>
      <c r="D523" s="98" t="n"/>
      <c r="E523" s="148" t="n"/>
      <c r="F523" s="98" t="n"/>
    </row>
    <row r="524">
      <c r="A524" s="147" t="n"/>
      <c r="B524" s="98" t="n"/>
      <c r="C524" s="98" t="n"/>
      <c r="D524" s="98" t="n"/>
      <c r="E524" s="148" t="n"/>
      <c r="F524" s="98" t="n"/>
    </row>
    <row r="525">
      <c r="A525" s="147" t="n"/>
      <c r="B525" s="98" t="n"/>
      <c r="C525" s="98" t="n"/>
      <c r="D525" s="98" t="n"/>
      <c r="E525" s="148" t="n"/>
      <c r="F525" s="98" t="n"/>
    </row>
    <row r="526">
      <c r="A526" s="147" t="n"/>
      <c r="B526" s="98" t="n"/>
      <c r="C526" s="98" t="n"/>
      <c r="D526" s="98" t="n"/>
      <c r="E526" s="148" t="n"/>
      <c r="F526" s="98" t="n"/>
    </row>
    <row r="527">
      <c r="A527" s="147" t="n"/>
      <c r="B527" s="98" t="n"/>
      <c r="C527" s="98" t="n"/>
      <c r="D527" s="98" t="n"/>
      <c r="E527" s="148" t="n"/>
      <c r="F527" s="98" t="n"/>
    </row>
    <row r="528">
      <c r="A528" s="147" t="n"/>
      <c r="B528" s="98" t="n"/>
      <c r="C528" s="98" t="n"/>
      <c r="D528" s="98" t="n"/>
      <c r="E528" s="148" t="n"/>
      <c r="F528" s="98" t="n"/>
    </row>
    <row r="529">
      <c r="A529" s="147" t="n"/>
      <c r="B529" s="98" t="n"/>
      <c r="C529" s="98" t="n"/>
      <c r="D529" s="98" t="n"/>
      <c r="E529" s="148" t="n"/>
      <c r="F529" s="98" t="n"/>
    </row>
    <row r="530">
      <c r="A530" s="147" t="n"/>
      <c r="B530" s="98" t="n"/>
      <c r="C530" s="98" t="n"/>
      <c r="D530" s="98" t="n"/>
      <c r="E530" s="148" t="n"/>
      <c r="F530" s="98" t="n"/>
    </row>
    <row r="531">
      <c r="A531" s="147" t="n"/>
      <c r="B531" s="98" t="n"/>
      <c r="C531" s="98" t="n"/>
      <c r="D531" s="98" t="n"/>
      <c r="E531" s="148" t="n"/>
      <c r="F531" s="98" t="n"/>
    </row>
    <row r="532">
      <c r="A532" s="147" t="n"/>
      <c r="B532" s="98" t="n"/>
      <c r="C532" s="98" t="n"/>
      <c r="D532" s="98" t="n"/>
      <c r="E532" s="148" t="n"/>
      <c r="F532" s="98" t="n"/>
    </row>
    <row r="533">
      <c r="A533" s="147" t="n"/>
      <c r="B533" s="98" t="n"/>
      <c r="C533" s="98" t="n"/>
      <c r="D533" s="98" t="n"/>
      <c r="E533" s="148" t="n"/>
      <c r="F533" s="98" t="n"/>
    </row>
    <row r="534">
      <c r="A534" s="147" t="n"/>
      <c r="B534" s="98" t="n"/>
      <c r="C534" s="98" t="n"/>
      <c r="D534" s="98" t="n"/>
      <c r="E534" s="148" t="n"/>
      <c r="F534" s="98" t="n"/>
    </row>
    <row r="535">
      <c r="A535" s="147" t="n"/>
      <c r="B535" s="98" t="n"/>
      <c r="C535" s="98" t="n"/>
      <c r="D535" s="98" t="n"/>
      <c r="E535" s="148" t="n"/>
      <c r="F535" s="98" t="n"/>
    </row>
    <row r="536">
      <c r="A536" s="147" t="n"/>
      <c r="B536" s="98" t="n"/>
      <c r="C536" s="98" t="n"/>
      <c r="D536" s="98" t="n"/>
      <c r="E536" s="148" t="n"/>
      <c r="F536" s="98" t="n"/>
    </row>
    <row r="537">
      <c r="A537" s="147" t="n"/>
      <c r="B537" s="98" t="n"/>
      <c r="C537" s="98" t="n"/>
      <c r="D537" s="98" t="n"/>
      <c r="E537" s="148" t="n"/>
      <c r="F537" s="98" t="n"/>
    </row>
    <row r="538">
      <c r="A538" s="147" t="n"/>
      <c r="B538" s="98" t="n"/>
      <c r="C538" s="98" t="n"/>
      <c r="D538" s="98" t="n"/>
      <c r="E538" s="148" t="n"/>
      <c r="F538" s="98" t="n"/>
    </row>
    <row r="539">
      <c r="A539" s="147" t="n"/>
      <c r="B539" s="98" t="n"/>
      <c r="C539" s="98" t="n"/>
      <c r="D539" s="98" t="n"/>
      <c r="E539" s="148" t="n"/>
      <c r="F539" s="98" t="n"/>
    </row>
    <row r="540">
      <c r="A540" s="147" t="n"/>
      <c r="B540" s="98" t="n"/>
      <c r="C540" s="98" t="n"/>
      <c r="D540" s="98" t="n"/>
      <c r="E540" s="148" t="n"/>
      <c r="F540" s="98" t="n"/>
    </row>
    <row r="541">
      <c r="A541" s="147" t="n"/>
      <c r="B541" s="98" t="n"/>
      <c r="C541" s="98" t="n"/>
      <c r="D541" s="98" t="n"/>
      <c r="E541" s="148" t="n"/>
      <c r="F541" s="98" t="n"/>
    </row>
    <row r="542">
      <c r="A542" s="147" t="n"/>
      <c r="B542" s="98" t="n"/>
      <c r="C542" s="98" t="n"/>
      <c r="D542" s="98" t="n"/>
      <c r="E542" s="148" t="n"/>
      <c r="F542" s="98" t="n"/>
    </row>
    <row r="543">
      <c r="A543" s="147" t="n"/>
      <c r="B543" s="98" t="n"/>
      <c r="C543" s="98" t="n"/>
      <c r="D543" s="98" t="n"/>
      <c r="E543" s="148" t="n"/>
      <c r="F543" s="98" t="n"/>
    </row>
    <row r="544">
      <c r="A544" s="147" t="n"/>
      <c r="B544" s="98" t="n"/>
      <c r="C544" s="98" t="n"/>
      <c r="D544" s="98" t="n"/>
      <c r="E544" s="148" t="n"/>
      <c r="F544" s="98" t="n"/>
    </row>
    <row r="545">
      <c r="A545" s="147" t="n"/>
      <c r="B545" s="98" t="n"/>
      <c r="C545" s="98" t="n"/>
      <c r="D545" s="98" t="n"/>
      <c r="E545" s="148" t="n"/>
      <c r="F545" s="98" t="n"/>
    </row>
    <row r="546">
      <c r="A546" s="147" t="n"/>
      <c r="B546" s="98" t="n"/>
      <c r="C546" s="98" t="n"/>
      <c r="D546" s="98" t="n"/>
      <c r="E546" s="148" t="n"/>
      <c r="F546" s="98" t="n"/>
    </row>
    <row r="547">
      <c r="A547" s="147" t="n"/>
      <c r="B547" s="98" t="n"/>
      <c r="C547" s="98" t="n"/>
      <c r="D547" s="98" t="n"/>
      <c r="E547" s="148" t="n"/>
      <c r="F547" s="98" t="n"/>
    </row>
    <row r="548">
      <c r="A548" s="147" t="n"/>
      <c r="B548" s="98" t="n"/>
      <c r="C548" s="98" t="n"/>
      <c r="D548" s="98" t="n"/>
      <c r="E548" s="148" t="n"/>
      <c r="F548" s="98" t="n"/>
    </row>
    <row r="549">
      <c r="A549" s="147" t="n"/>
      <c r="B549" s="98" t="n"/>
      <c r="C549" s="98" t="n"/>
      <c r="D549" s="98" t="n"/>
      <c r="E549" s="148" t="n"/>
      <c r="F549" s="98" t="n"/>
    </row>
    <row r="550">
      <c r="A550" s="147" t="n"/>
      <c r="B550" s="98" t="n"/>
      <c r="C550" s="98" t="n"/>
      <c r="D550" s="98" t="n"/>
      <c r="E550" s="148" t="n"/>
      <c r="F550" s="98" t="n"/>
    </row>
    <row r="551">
      <c r="A551" s="147" t="n"/>
      <c r="B551" s="98" t="n"/>
      <c r="C551" s="98" t="n"/>
      <c r="D551" s="98" t="n"/>
      <c r="E551" s="148" t="n"/>
      <c r="F551" s="98" t="n"/>
    </row>
    <row r="552">
      <c r="A552" s="147" t="n"/>
      <c r="B552" s="98" t="n"/>
      <c r="C552" s="98" t="n"/>
      <c r="D552" s="98" t="n"/>
      <c r="E552" s="148" t="n"/>
      <c r="F552" s="98" t="n"/>
    </row>
    <row r="553">
      <c r="A553" s="147" t="n"/>
      <c r="B553" s="98" t="n"/>
      <c r="C553" s="98" t="n"/>
      <c r="D553" s="98" t="n"/>
      <c r="E553" s="148" t="n"/>
      <c r="F553" s="98" t="n"/>
    </row>
    <row r="554">
      <c r="A554" s="147" t="n"/>
      <c r="B554" s="98" t="n"/>
      <c r="C554" s="98" t="n"/>
      <c r="D554" s="98" t="n"/>
      <c r="E554" s="148" t="n"/>
      <c r="F554" s="98" t="n"/>
    </row>
    <row r="555">
      <c r="A555" s="147" t="n"/>
      <c r="B555" s="98" t="n"/>
      <c r="C555" s="98" t="n"/>
      <c r="D555" s="98" t="n"/>
      <c r="E555" s="148" t="n"/>
      <c r="F555" s="98" t="n"/>
    </row>
    <row r="556">
      <c r="A556" s="147" t="n"/>
      <c r="B556" s="98" t="n"/>
      <c r="C556" s="98" t="n"/>
      <c r="D556" s="98" t="n"/>
      <c r="E556" s="148" t="n"/>
      <c r="F556" s="98" t="n"/>
    </row>
    <row r="557">
      <c r="A557" s="147" t="n"/>
      <c r="B557" s="98" t="n"/>
      <c r="C557" s="98" t="n"/>
      <c r="D557" s="98" t="n"/>
      <c r="E557" s="148" t="n"/>
      <c r="F557" s="98" t="n"/>
    </row>
    <row r="558">
      <c r="A558" s="147" t="n"/>
      <c r="B558" s="98" t="n"/>
      <c r="C558" s="98" t="n"/>
      <c r="D558" s="98" t="n"/>
      <c r="E558" s="148" t="n"/>
      <c r="F558" s="98" t="n"/>
    </row>
    <row r="559">
      <c r="A559" s="147" t="n"/>
      <c r="B559" s="98" t="n"/>
      <c r="C559" s="98" t="n"/>
      <c r="D559" s="98" t="n"/>
      <c r="E559" s="148" t="n"/>
      <c r="F559" s="98" t="n"/>
    </row>
    <row r="560">
      <c r="A560" s="147" t="n"/>
      <c r="B560" s="98" t="n"/>
      <c r="C560" s="98" t="n"/>
      <c r="D560" s="98" t="n"/>
      <c r="E560" s="148" t="n"/>
      <c r="F560" s="98" t="n"/>
    </row>
    <row r="561">
      <c r="A561" s="147" t="n"/>
      <c r="B561" s="98" t="n"/>
      <c r="C561" s="98" t="n"/>
      <c r="D561" s="98" t="n"/>
      <c r="E561" s="148" t="n"/>
      <c r="F561" s="98" t="n"/>
    </row>
    <row r="562">
      <c r="A562" s="147" t="n"/>
      <c r="B562" s="98" t="n"/>
      <c r="C562" s="98" t="n"/>
      <c r="D562" s="98" t="n"/>
      <c r="E562" s="148" t="n"/>
      <c r="F562" s="98" t="n"/>
    </row>
    <row r="563">
      <c r="A563" s="147" t="n"/>
      <c r="B563" s="98" t="n"/>
      <c r="C563" s="98" t="n"/>
      <c r="D563" s="98" t="n"/>
      <c r="E563" s="148" t="n"/>
      <c r="F563" s="98" t="n"/>
    </row>
    <row r="564">
      <c r="A564" s="147" t="n"/>
      <c r="B564" s="98" t="n"/>
      <c r="C564" s="98" t="n"/>
      <c r="D564" s="98" t="n"/>
      <c r="E564" s="148" t="n"/>
      <c r="F564" s="98" t="n"/>
    </row>
    <row r="565">
      <c r="A565" s="147" t="n"/>
      <c r="B565" s="98" t="n"/>
      <c r="C565" s="98" t="n"/>
      <c r="D565" s="98" t="n"/>
      <c r="E565" s="148" t="n"/>
      <c r="F565" s="98" t="n"/>
    </row>
    <row r="566">
      <c r="A566" s="147" t="n"/>
      <c r="B566" s="98" t="n"/>
      <c r="C566" s="98" t="n"/>
      <c r="D566" s="98" t="n"/>
      <c r="E566" s="148" t="n"/>
      <c r="F566" s="98" t="n"/>
    </row>
    <row r="567">
      <c r="A567" s="147" t="n"/>
      <c r="B567" s="98" t="n"/>
      <c r="C567" s="98" t="n"/>
      <c r="D567" s="98" t="n"/>
      <c r="E567" s="148" t="n"/>
      <c r="F567" s="98" t="n"/>
    </row>
    <row r="568">
      <c r="A568" s="147" t="n"/>
      <c r="B568" s="98" t="n"/>
      <c r="C568" s="98" t="n"/>
      <c r="D568" s="98" t="n"/>
      <c r="E568" s="148" t="n"/>
      <c r="F568" s="98" t="n"/>
    </row>
    <row r="569">
      <c r="A569" s="147" t="n"/>
      <c r="B569" s="98" t="n"/>
      <c r="C569" s="98" t="n"/>
      <c r="D569" s="98" t="n"/>
      <c r="E569" s="148" t="n"/>
      <c r="F569" s="98" t="n"/>
    </row>
    <row r="570">
      <c r="A570" s="147" t="n"/>
      <c r="B570" s="98" t="n"/>
      <c r="C570" s="98" t="n"/>
      <c r="D570" s="98" t="n"/>
      <c r="E570" s="148" t="n"/>
      <c r="F570" s="98" t="n"/>
    </row>
    <row r="571">
      <c r="A571" s="147" t="n"/>
      <c r="B571" s="98" t="n"/>
      <c r="C571" s="98" t="n"/>
      <c r="D571" s="98" t="n"/>
      <c r="E571" s="148" t="n"/>
      <c r="F571" s="98" t="n"/>
    </row>
    <row r="572">
      <c r="A572" s="147" t="n"/>
      <c r="B572" s="98" t="n"/>
      <c r="C572" s="98" t="n"/>
      <c r="D572" s="98" t="n"/>
      <c r="E572" s="148" t="n"/>
      <c r="F572" s="98" t="n"/>
    </row>
    <row r="573">
      <c r="A573" s="147" t="n"/>
      <c r="B573" s="98" t="n"/>
      <c r="C573" s="98" t="n"/>
      <c r="D573" s="98" t="n"/>
      <c r="E573" s="148" t="n"/>
      <c r="F573" s="98" t="n"/>
    </row>
    <row r="574">
      <c r="A574" s="147" t="n"/>
      <c r="B574" s="98" t="n"/>
      <c r="C574" s="98" t="n"/>
      <c r="D574" s="98" t="n"/>
      <c r="E574" s="148" t="n"/>
      <c r="F574" s="98" t="n"/>
    </row>
    <row r="575">
      <c r="A575" s="147" t="n"/>
      <c r="B575" s="98" t="n"/>
      <c r="C575" s="98" t="n"/>
      <c r="D575" s="98" t="n"/>
      <c r="E575" s="148" t="n"/>
      <c r="F575" s="98" t="n"/>
    </row>
    <row r="576">
      <c r="A576" s="147" t="n"/>
      <c r="B576" s="98" t="n"/>
      <c r="C576" s="98" t="n"/>
      <c r="D576" s="98" t="n"/>
      <c r="E576" s="148" t="n"/>
      <c r="F576" s="98" t="n"/>
    </row>
    <row r="577">
      <c r="A577" s="147" t="n"/>
      <c r="B577" s="98" t="n"/>
      <c r="C577" s="98" t="n"/>
      <c r="D577" s="98" t="n"/>
      <c r="E577" s="148" t="n"/>
      <c r="F577" s="98" t="n"/>
    </row>
    <row r="578">
      <c r="A578" s="147" t="n"/>
      <c r="B578" s="98" t="n"/>
      <c r="C578" s="98" t="n"/>
      <c r="D578" s="98" t="n"/>
      <c r="E578" s="148" t="n"/>
      <c r="F578" s="98" t="n"/>
    </row>
    <row r="579">
      <c r="A579" s="147" t="n"/>
      <c r="B579" s="98" t="n"/>
      <c r="C579" s="98" t="n"/>
      <c r="D579" s="98" t="n"/>
      <c r="E579" s="148" t="n"/>
      <c r="F579" s="98" t="n"/>
    </row>
    <row r="580">
      <c r="A580" s="147" t="n"/>
      <c r="B580" s="98" t="n"/>
      <c r="C580" s="98" t="n"/>
      <c r="D580" s="98" t="n"/>
      <c r="E580" s="148" t="n"/>
      <c r="F580" s="98" t="n"/>
    </row>
    <row r="581">
      <c r="A581" s="147" t="n"/>
      <c r="B581" s="98" t="n"/>
      <c r="C581" s="98" t="n"/>
      <c r="D581" s="98" t="n"/>
      <c r="E581" s="148" t="n"/>
      <c r="F581" s="98" t="n"/>
    </row>
    <row r="582">
      <c r="A582" s="147" t="n"/>
      <c r="B582" s="98" t="n"/>
      <c r="C582" s="98" t="n"/>
      <c r="D582" s="98" t="n"/>
      <c r="E582" s="148" t="n"/>
      <c r="F582" s="98" t="n"/>
    </row>
    <row r="583">
      <c r="A583" s="147" t="n"/>
      <c r="B583" s="98" t="n"/>
      <c r="C583" s="98" t="n"/>
      <c r="D583" s="98" t="n"/>
      <c r="E583" s="148" t="n"/>
      <c r="F583" s="98" t="n"/>
    </row>
    <row r="584">
      <c r="A584" s="147" t="n"/>
      <c r="B584" s="98" t="n"/>
      <c r="C584" s="98" t="n"/>
      <c r="D584" s="98" t="n"/>
      <c r="E584" s="148" t="n"/>
      <c r="F584" s="98" t="n"/>
    </row>
    <row r="585">
      <c r="A585" s="147" t="n"/>
      <c r="B585" s="98" t="n"/>
      <c r="C585" s="98" t="n"/>
      <c r="D585" s="98" t="n"/>
      <c r="E585" s="148" t="n"/>
      <c r="F585" s="98" t="n"/>
    </row>
    <row r="586">
      <c r="A586" s="147" t="n"/>
      <c r="B586" s="98" t="n"/>
      <c r="C586" s="98" t="n"/>
      <c r="D586" s="98" t="n"/>
      <c r="E586" s="148" t="n"/>
      <c r="F586" s="98" t="n"/>
    </row>
    <row r="587">
      <c r="A587" s="147" t="n"/>
      <c r="B587" s="98" t="n"/>
      <c r="C587" s="98" t="n"/>
      <c r="D587" s="98" t="n"/>
      <c r="E587" s="148" t="n"/>
      <c r="F587" s="98" t="n"/>
    </row>
    <row r="588">
      <c r="A588" s="147" t="n"/>
      <c r="B588" s="98" t="n"/>
      <c r="C588" s="98" t="n"/>
      <c r="D588" s="98" t="n"/>
      <c r="E588" s="148" t="n"/>
      <c r="F588" s="98" t="n"/>
    </row>
    <row r="589">
      <c r="A589" s="147" t="n"/>
      <c r="B589" s="98" t="n"/>
      <c r="C589" s="98" t="n"/>
      <c r="D589" s="98" t="n"/>
      <c r="E589" s="148" t="n"/>
      <c r="F589" s="98" t="n"/>
    </row>
    <row r="590">
      <c r="A590" s="147" t="n"/>
      <c r="B590" s="98" t="n"/>
      <c r="C590" s="98" t="n"/>
      <c r="D590" s="98" t="n"/>
      <c r="E590" s="148" t="n"/>
      <c r="F590" s="98" t="n"/>
    </row>
    <row r="591">
      <c r="A591" s="147" t="n"/>
      <c r="B591" s="98" t="n"/>
      <c r="C591" s="98" t="n"/>
      <c r="D591" s="98" t="n"/>
      <c r="E591" s="148" t="n"/>
      <c r="F591" s="98" t="n"/>
    </row>
    <row r="592">
      <c r="A592" s="147" t="n"/>
      <c r="B592" s="98" t="n"/>
      <c r="C592" s="98" t="n"/>
      <c r="D592" s="98" t="n"/>
      <c r="E592" s="148" t="n"/>
      <c r="F592" s="98" t="n"/>
    </row>
    <row r="593">
      <c r="A593" s="147" t="n"/>
      <c r="B593" s="98" t="n"/>
      <c r="C593" s="98" t="n"/>
      <c r="D593" s="98" t="n"/>
      <c r="E593" s="148" t="n"/>
      <c r="F593" s="98" t="n"/>
    </row>
    <row r="594">
      <c r="A594" s="147" t="n"/>
      <c r="B594" s="98" t="n"/>
      <c r="C594" s="98" t="n"/>
      <c r="D594" s="98" t="n"/>
      <c r="E594" s="148" t="n"/>
      <c r="F594" s="98" t="n"/>
    </row>
    <row r="595">
      <c r="A595" s="147" t="n"/>
      <c r="B595" s="98" t="n"/>
      <c r="C595" s="98" t="n"/>
      <c r="D595" s="98" t="n"/>
      <c r="E595" s="148" t="n"/>
      <c r="F595" s="98" t="n"/>
    </row>
    <row r="596">
      <c r="A596" s="147" t="n"/>
      <c r="B596" s="98" t="n"/>
      <c r="C596" s="98" t="n"/>
      <c r="D596" s="98" t="n"/>
      <c r="E596" s="148" t="n"/>
      <c r="F596" s="98" t="n"/>
    </row>
    <row r="597">
      <c r="A597" s="147" t="n"/>
      <c r="B597" s="98" t="n"/>
      <c r="C597" s="98" t="n"/>
      <c r="D597" s="98" t="n"/>
      <c r="E597" s="148" t="n"/>
      <c r="F597" s="98" t="n"/>
    </row>
    <row r="598">
      <c r="A598" s="147" t="n"/>
      <c r="B598" s="98" t="n"/>
      <c r="C598" s="98" t="n"/>
      <c r="D598" s="98" t="n"/>
      <c r="E598" s="148" t="n"/>
      <c r="F598" s="98" t="n"/>
    </row>
    <row r="599">
      <c r="A599" s="147" t="n"/>
      <c r="B599" s="98" t="n"/>
      <c r="C599" s="98" t="n"/>
      <c r="D599" s="98" t="n"/>
      <c r="E599" s="148" t="n"/>
      <c r="F599" s="98" t="n"/>
    </row>
    <row r="600">
      <c r="A600" s="147" t="n"/>
      <c r="B600" s="98" t="n"/>
      <c r="C600" s="98" t="n"/>
      <c r="D600" s="98" t="n"/>
      <c r="E600" s="148" t="n"/>
      <c r="F600" s="98" t="n"/>
    </row>
    <row r="601">
      <c r="A601" s="147" t="n"/>
      <c r="B601" s="98" t="n"/>
      <c r="C601" s="98" t="n"/>
      <c r="D601" s="98" t="n"/>
      <c r="E601" s="148" t="n"/>
      <c r="F601" s="98" t="n"/>
    </row>
    <row r="602">
      <c r="A602" s="147" t="n"/>
      <c r="B602" s="98" t="n"/>
      <c r="C602" s="98" t="n"/>
      <c r="D602" s="98" t="n"/>
      <c r="E602" s="148" t="n"/>
      <c r="F602" s="98" t="n"/>
    </row>
    <row r="603">
      <c r="A603" s="147" t="n"/>
      <c r="B603" s="98" t="n"/>
      <c r="C603" s="98" t="n"/>
      <c r="D603" s="98" t="n"/>
      <c r="E603" s="148" t="n"/>
      <c r="F603" s="98" t="n"/>
    </row>
    <row r="604">
      <c r="A604" s="147" t="n"/>
      <c r="B604" s="98" t="n"/>
      <c r="C604" s="98" t="n"/>
      <c r="D604" s="98" t="n"/>
      <c r="E604" s="148" t="n"/>
      <c r="F604" s="98" t="n"/>
    </row>
    <row r="605">
      <c r="A605" s="147" t="n"/>
      <c r="B605" s="98" t="n"/>
      <c r="C605" s="98" t="n"/>
      <c r="D605" s="98" t="n"/>
      <c r="E605" s="148" t="n"/>
      <c r="F605" s="98" t="n"/>
    </row>
    <row r="606">
      <c r="A606" s="147" t="n"/>
      <c r="B606" s="98" t="n"/>
      <c r="C606" s="98" t="n"/>
      <c r="D606" s="98" t="n"/>
      <c r="E606" s="148" t="n"/>
      <c r="F606" s="98" t="n"/>
    </row>
    <row r="607">
      <c r="A607" s="147" t="n"/>
      <c r="B607" s="98" t="n"/>
      <c r="C607" s="98" t="n"/>
      <c r="D607" s="98" t="n"/>
      <c r="E607" s="148" t="n"/>
      <c r="F607" s="98" t="n"/>
    </row>
    <row r="608">
      <c r="A608" s="147" t="n"/>
      <c r="B608" s="98" t="n"/>
      <c r="C608" s="98" t="n"/>
      <c r="D608" s="98" t="n"/>
      <c r="E608" s="148" t="n"/>
      <c r="F608" s="98" t="n"/>
    </row>
    <row r="609">
      <c r="A609" s="147" t="n"/>
      <c r="B609" s="98" t="n"/>
      <c r="C609" s="98" t="n"/>
      <c r="D609" s="98" t="n"/>
      <c r="E609" s="148" t="n"/>
      <c r="F609" s="98" t="n"/>
    </row>
    <row r="610">
      <c r="A610" s="147" t="n"/>
      <c r="B610" s="98" t="n"/>
      <c r="C610" s="98" t="n"/>
      <c r="D610" s="98" t="n"/>
      <c r="E610" s="148" t="n"/>
      <c r="F610" s="98" t="n"/>
    </row>
    <row r="611">
      <c r="A611" s="147" t="n"/>
      <c r="B611" s="98" t="n"/>
      <c r="C611" s="98" t="n"/>
      <c r="D611" s="98" t="n"/>
      <c r="E611" s="148" t="n"/>
      <c r="F611" s="98" t="n"/>
    </row>
    <row r="612">
      <c r="A612" s="147" t="n"/>
      <c r="B612" s="98" t="n"/>
      <c r="C612" s="98" t="n"/>
      <c r="D612" s="98" t="n"/>
      <c r="E612" s="148" t="n"/>
      <c r="F612" s="98" t="n"/>
    </row>
    <row r="613">
      <c r="A613" s="147" t="n"/>
      <c r="B613" s="98" t="n"/>
      <c r="C613" s="98" t="n"/>
      <c r="D613" s="98" t="n"/>
      <c r="E613" s="148" t="n"/>
      <c r="F613" s="98" t="n"/>
    </row>
    <row r="614">
      <c r="A614" s="147" t="n"/>
      <c r="B614" s="98" t="n"/>
      <c r="C614" s="98" t="n"/>
      <c r="D614" s="98" t="n"/>
      <c r="E614" s="148" t="n"/>
      <c r="F614" s="98" t="n"/>
    </row>
    <row r="615">
      <c r="A615" s="147" t="n"/>
      <c r="B615" s="98" t="n"/>
      <c r="C615" s="98" t="n"/>
      <c r="D615" s="98" t="n"/>
      <c r="E615" s="148" t="n"/>
      <c r="F615" s="98" t="n"/>
    </row>
    <row r="616">
      <c r="A616" s="147" t="n"/>
      <c r="B616" s="98" t="n"/>
      <c r="C616" s="98" t="n"/>
      <c r="D616" s="98" t="n"/>
      <c r="E616" s="148" t="n"/>
      <c r="F616" s="98" t="n"/>
    </row>
    <row r="617">
      <c r="A617" s="147" t="n"/>
      <c r="B617" s="98" t="n"/>
      <c r="C617" s="98" t="n"/>
      <c r="D617" s="98" t="n"/>
      <c r="E617" s="148" t="n"/>
      <c r="F617" s="98" t="n"/>
    </row>
    <row r="618">
      <c r="A618" s="147" t="n"/>
      <c r="B618" s="98" t="n"/>
      <c r="C618" s="98" t="n"/>
      <c r="D618" s="98" t="n"/>
      <c r="E618" s="148" t="n"/>
      <c r="F618" s="98" t="n"/>
    </row>
    <row r="619">
      <c r="A619" s="147" t="n"/>
      <c r="B619" s="98" t="n"/>
      <c r="C619" s="98" t="n"/>
      <c r="D619" s="98" t="n"/>
      <c r="E619" s="148" t="n"/>
      <c r="F619" s="98" t="n"/>
    </row>
    <row r="620">
      <c r="A620" s="147" t="n"/>
      <c r="B620" s="98" t="n"/>
      <c r="C620" s="98" t="n"/>
      <c r="D620" s="98" t="n"/>
      <c r="E620" s="148" t="n"/>
      <c r="F620" s="98" t="n"/>
    </row>
    <row r="621">
      <c r="A621" s="147" t="n"/>
      <c r="B621" s="98" t="n"/>
      <c r="C621" s="98" t="n"/>
      <c r="D621" s="98" t="n"/>
      <c r="E621" s="148" t="n"/>
      <c r="F621" s="98" t="n"/>
    </row>
    <row r="622">
      <c r="A622" s="147" t="n"/>
      <c r="B622" s="98" t="n"/>
      <c r="C622" s="98" t="n"/>
      <c r="D622" s="98" t="n"/>
      <c r="E622" s="148" t="n"/>
      <c r="F622" s="98" t="n"/>
    </row>
    <row r="623">
      <c r="A623" s="147" t="n"/>
      <c r="B623" s="98" t="n"/>
      <c r="C623" s="98" t="n"/>
      <c r="D623" s="98" t="n"/>
      <c r="E623" s="148" t="n"/>
      <c r="F623" s="98" t="n"/>
    </row>
    <row r="624">
      <c r="A624" s="147" t="n"/>
      <c r="B624" s="98" t="n"/>
      <c r="C624" s="98" t="n"/>
      <c r="D624" s="98" t="n"/>
      <c r="E624" s="148" t="n"/>
      <c r="F624" s="98" t="n"/>
    </row>
    <row r="625">
      <c r="A625" s="147" t="n"/>
      <c r="B625" s="98" t="n"/>
      <c r="C625" s="98" t="n"/>
      <c r="D625" s="98" t="n"/>
      <c r="E625" s="148" t="n"/>
      <c r="F625" s="98" t="n"/>
    </row>
    <row r="626">
      <c r="A626" s="147" t="n"/>
      <c r="B626" s="98" t="n"/>
      <c r="C626" s="98" t="n"/>
      <c r="D626" s="98" t="n"/>
      <c r="E626" s="148" t="n"/>
      <c r="F626" s="98" t="n"/>
    </row>
    <row r="627">
      <c r="A627" s="147" t="n"/>
      <c r="B627" s="98" t="n"/>
      <c r="C627" s="98" t="n"/>
      <c r="D627" s="98" t="n"/>
      <c r="E627" s="148" t="n"/>
      <c r="F627" s="98" t="n"/>
    </row>
    <row r="628">
      <c r="A628" s="147" t="n"/>
      <c r="B628" s="98" t="n"/>
      <c r="C628" s="98" t="n"/>
      <c r="D628" s="98" t="n"/>
      <c r="E628" s="148" t="n"/>
      <c r="F628" s="98" t="n"/>
    </row>
    <row r="629">
      <c r="A629" s="147" t="n"/>
      <c r="B629" s="98" t="n"/>
      <c r="C629" s="98" t="n"/>
      <c r="D629" s="98" t="n"/>
      <c r="E629" s="148" t="n"/>
      <c r="F629" s="98" t="n"/>
    </row>
    <row r="630">
      <c r="A630" s="147" t="n"/>
      <c r="B630" s="98" t="n"/>
      <c r="C630" s="98" t="n"/>
      <c r="D630" s="98" t="n"/>
      <c r="E630" s="148" t="n"/>
      <c r="F630" s="98" t="n"/>
    </row>
    <row r="631">
      <c r="A631" s="147" t="n"/>
      <c r="B631" s="98" t="n"/>
      <c r="C631" s="98" t="n"/>
      <c r="D631" s="98" t="n"/>
      <c r="E631" s="148" t="n"/>
      <c r="F631" s="98" t="n"/>
    </row>
    <row r="632">
      <c r="A632" s="147" t="n"/>
      <c r="B632" s="98" t="n"/>
      <c r="C632" s="98" t="n"/>
      <c r="D632" s="98" t="n"/>
      <c r="E632" s="148" t="n"/>
      <c r="F632" s="98" t="n"/>
    </row>
    <row r="633">
      <c r="A633" s="147" t="n"/>
      <c r="B633" s="98" t="n"/>
      <c r="C633" s="98" t="n"/>
      <c r="D633" s="98" t="n"/>
      <c r="E633" s="148" t="n"/>
      <c r="F633" s="98" t="n"/>
    </row>
    <row r="634">
      <c r="A634" s="147" t="n"/>
      <c r="B634" s="98" t="n"/>
      <c r="C634" s="98" t="n"/>
      <c r="D634" s="98" t="n"/>
      <c r="E634" s="148" t="n"/>
      <c r="F634" s="98" t="n"/>
    </row>
    <row r="635">
      <c r="A635" s="147" t="n"/>
      <c r="B635" s="98" t="n"/>
      <c r="C635" s="98" t="n"/>
      <c r="D635" s="98" t="n"/>
      <c r="E635" s="148" t="n"/>
      <c r="F635" s="98" t="n"/>
    </row>
    <row r="636">
      <c r="A636" s="147" t="n"/>
      <c r="B636" s="98" t="n"/>
      <c r="C636" s="98" t="n"/>
      <c r="D636" s="98" t="n"/>
      <c r="E636" s="148" t="n"/>
      <c r="F636" s="98" t="n"/>
    </row>
    <row r="637">
      <c r="A637" s="147" t="n"/>
      <c r="B637" s="98" t="n"/>
      <c r="C637" s="98" t="n"/>
      <c r="D637" s="98" t="n"/>
      <c r="E637" s="148" t="n"/>
      <c r="F637" s="98" t="n"/>
    </row>
    <row r="638">
      <c r="A638" s="147" t="n"/>
      <c r="B638" s="98" t="n"/>
      <c r="C638" s="98" t="n"/>
      <c r="D638" s="98" t="n"/>
      <c r="E638" s="148" t="n"/>
      <c r="F638" s="98" t="n"/>
    </row>
    <row r="639">
      <c r="A639" s="147" t="n"/>
      <c r="B639" s="98" t="n"/>
      <c r="C639" s="98" t="n"/>
      <c r="D639" s="98" t="n"/>
      <c r="E639" s="148" t="n"/>
      <c r="F639" s="98" t="n"/>
    </row>
    <row r="640">
      <c r="A640" s="147" t="n"/>
      <c r="B640" s="98" t="n"/>
      <c r="C640" s="98" t="n"/>
      <c r="D640" s="98" t="n"/>
      <c r="E640" s="148" t="n"/>
      <c r="F640" s="98" t="n"/>
    </row>
    <row r="641">
      <c r="A641" s="147" t="n"/>
      <c r="B641" s="98" t="n"/>
      <c r="C641" s="98" t="n"/>
      <c r="D641" s="98" t="n"/>
      <c r="E641" s="148" t="n"/>
      <c r="F641" s="98" t="n"/>
    </row>
    <row r="642">
      <c r="A642" s="147" t="n"/>
      <c r="B642" s="98" t="n"/>
      <c r="C642" s="98" t="n"/>
      <c r="D642" s="98" t="n"/>
      <c r="E642" s="148" t="n"/>
      <c r="F642" s="98" t="n"/>
    </row>
    <row r="643">
      <c r="A643" s="147" t="n"/>
      <c r="B643" s="98" t="n"/>
      <c r="C643" s="98" t="n"/>
      <c r="D643" s="98" t="n"/>
      <c r="E643" s="148" t="n"/>
      <c r="F643" s="98" t="n"/>
    </row>
    <row r="644">
      <c r="A644" s="147" t="n"/>
      <c r="B644" s="98" t="n"/>
      <c r="C644" s="98" t="n"/>
      <c r="D644" s="98" t="n"/>
      <c r="E644" s="148" t="n"/>
      <c r="F644" s="98" t="n"/>
    </row>
    <row r="645">
      <c r="A645" s="147" t="n"/>
      <c r="B645" s="98" t="n"/>
      <c r="C645" s="98" t="n"/>
      <c r="D645" s="98" t="n"/>
      <c r="E645" s="148" t="n"/>
      <c r="F645" s="98" t="n"/>
    </row>
    <row r="646">
      <c r="A646" s="147" t="n"/>
      <c r="B646" s="98" t="n"/>
      <c r="C646" s="98" t="n"/>
      <c r="D646" s="98" t="n"/>
      <c r="E646" s="148" t="n"/>
      <c r="F646" s="98" t="n"/>
    </row>
    <row r="647">
      <c r="A647" s="147" t="n"/>
      <c r="B647" s="98" t="n"/>
      <c r="C647" s="98" t="n"/>
      <c r="D647" s="98" t="n"/>
      <c r="E647" s="148" t="n"/>
      <c r="F647" s="98" t="n"/>
    </row>
    <row r="648">
      <c r="A648" s="147" t="n"/>
      <c r="B648" s="98" t="n"/>
      <c r="C648" s="98" t="n"/>
      <c r="D648" s="98" t="n"/>
      <c r="E648" s="148" t="n"/>
      <c r="F648" s="98" t="n"/>
    </row>
    <row r="649">
      <c r="A649" s="147" t="n"/>
      <c r="B649" s="98" t="n"/>
      <c r="C649" s="98" t="n"/>
      <c r="D649" s="98" t="n"/>
      <c r="E649" s="148" t="n"/>
      <c r="F649" s="98" t="n"/>
    </row>
    <row r="650">
      <c r="A650" s="147" t="n"/>
      <c r="B650" s="98" t="n"/>
      <c r="C650" s="98" t="n"/>
      <c r="D650" s="98" t="n"/>
      <c r="E650" s="148" t="n"/>
      <c r="F650" s="98" t="n"/>
    </row>
    <row r="651">
      <c r="A651" s="147" t="n"/>
      <c r="B651" s="98" t="n"/>
      <c r="C651" s="98" t="n"/>
      <c r="D651" s="98" t="n"/>
      <c r="E651" s="148" t="n"/>
      <c r="F651" s="98" t="n"/>
    </row>
    <row r="652">
      <c r="A652" s="147" t="n"/>
      <c r="B652" s="98" t="n"/>
      <c r="C652" s="98" t="n"/>
      <c r="D652" s="98" t="n"/>
      <c r="E652" s="148" t="n"/>
      <c r="F652" s="98" t="n"/>
    </row>
    <row r="653">
      <c r="A653" s="147" t="n"/>
      <c r="B653" s="98" t="n"/>
      <c r="C653" s="98" t="n"/>
      <c r="D653" s="98" t="n"/>
      <c r="E653" s="148" t="n"/>
      <c r="F653" s="98" t="n"/>
    </row>
    <row r="654">
      <c r="A654" s="147" t="n"/>
      <c r="B654" s="98" t="n"/>
      <c r="C654" s="98" t="n"/>
      <c r="D654" s="98" t="n"/>
      <c r="E654" s="148" t="n"/>
      <c r="F654" s="98" t="n"/>
    </row>
    <row r="655">
      <c r="A655" s="147" t="n"/>
      <c r="B655" s="98" t="n"/>
      <c r="C655" s="98" t="n"/>
      <c r="D655" s="98" t="n"/>
      <c r="E655" s="148" t="n"/>
      <c r="F655" s="98" t="n"/>
    </row>
    <row r="656">
      <c r="A656" s="147" t="n"/>
      <c r="B656" s="98" t="n"/>
      <c r="C656" s="98" t="n"/>
      <c r="D656" s="98" t="n"/>
      <c r="E656" s="148" t="n"/>
      <c r="F656" s="98" t="n"/>
    </row>
    <row r="657">
      <c r="A657" s="147" t="n"/>
      <c r="B657" s="98" t="n"/>
      <c r="C657" s="98" t="n"/>
      <c r="D657" s="98" t="n"/>
      <c r="E657" s="148" t="n"/>
      <c r="F657" s="98" t="n"/>
    </row>
    <row r="658">
      <c r="A658" s="147" t="n"/>
      <c r="B658" s="98" t="n"/>
      <c r="C658" s="98" t="n"/>
      <c r="D658" s="98" t="n"/>
      <c r="E658" s="148" t="n"/>
      <c r="F658" s="98" t="n"/>
    </row>
    <row r="659">
      <c r="A659" s="147" t="n"/>
      <c r="B659" s="98" t="n"/>
      <c r="C659" s="98" t="n"/>
      <c r="D659" s="98" t="n"/>
      <c r="E659" s="148" t="n"/>
      <c r="F659" s="98" t="n"/>
    </row>
    <row r="660">
      <c r="A660" s="147" t="n"/>
      <c r="B660" s="98" t="n"/>
      <c r="C660" s="98" t="n"/>
      <c r="D660" s="98" t="n"/>
      <c r="E660" s="148" t="n"/>
      <c r="F660" s="98" t="n"/>
    </row>
    <row r="661">
      <c r="A661" s="147" t="n"/>
      <c r="B661" s="98" t="n"/>
      <c r="C661" s="98" t="n"/>
      <c r="D661" s="98" t="n"/>
      <c r="E661" s="148" t="n"/>
      <c r="F661" s="98" t="n"/>
    </row>
    <row r="662">
      <c r="A662" s="147" t="n"/>
      <c r="B662" s="98" t="n"/>
      <c r="C662" s="98" t="n"/>
      <c r="D662" s="98" t="n"/>
      <c r="E662" s="148" t="n"/>
      <c r="F662" s="98" t="n"/>
    </row>
    <row r="663">
      <c r="A663" s="147" t="n"/>
      <c r="B663" s="98" t="n"/>
      <c r="C663" s="98" t="n"/>
      <c r="D663" s="98" t="n"/>
      <c r="E663" s="148" t="n"/>
      <c r="F663" s="98" t="n"/>
    </row>
    <row r="664">
      <c r="A664" s="147" t="n"/>
      <c r="B664" s="98" t="n"/>
      <c r="C664" s="98" t="n"/>
      <c r="D664" s="98" t="n"/>
      <c r="E664" s="148" t="n"/>
      <c r="F664" s="98" t="n"/>
    </row>
    <row r="665">
      <c r="A665" s="147" t="n"/>
      <c r="B665" s="98" t="n"/>
      <c r="C665" s="98" t="n"/>
      <c r="D665" s="98" t="n"/>
      <c r="E665" s="148" t="n"/>
      <c r="F665" s="98" t="n"/>
    </row>
    <row r="666">
      <c r="A666" s="147" t="n"/>
      <c r="B666" s="98" t="n"/>
      <c r="C666" s="98" t="n"/>
      <c r="D666" s="98" t="n"/>
      <c r="E666" s="148" t="n"/>
      <c r="F666" s="98" t="n"/>
    </row>
    <row r="667">
      <c r="A667" s="147" t="n"/>
      <c r="B667" s="98" t="n"/>
      <c r="C667" s="98" t="n"/>
      <c r="D667" s="98" t="n"/>
      <c r="E667" s="148" t="n"/>
      <c r="F667" s="98" t="n"/>
    </row>
    <row r="668">
      <c r="A668" s="147" t="n"/>
      <c r="B668" s="98" t="n"/>
      <c r="C668" s="98" t="n"/>
      <c r="D668" s="98" t="n"/>
      <c r="E668" s="148" t="n"/>
      <c r="F668" s="98" t="n"/>
    </row>
    <row r="669">
      <c r="A669" s="147" t="n"/>
      <c r="B669" s="98" t="n"/>
      <c r="C669" s="98" t="n"/>
      <c r="D669" s="98" t="n"/>
      <c r="E669" s="148" t="n"/>
      <c r="F669" s="98" t="n"/>
    </row>
    <row r="670">
      <c r="A670" s="147" t="n"/>
      <c r="B670" s="98" t="n"/>
      <c r="C670" s="98" t="n"/>
      <c r="D670" s="98" t="n"/>
      <c r="E670" s="148" t="n"/>
      <c r="F670" s="98" t="n"/>
    </row>
    <row r="671">
      <c r="A671" s="147" t="n"/>
      <c r="B671" s="98" t="n"/>
      <c r="C671" s="98" t="n"/>
      <c r="D671" s="98" t="n"/>
      <c r="E671" s="148" t="n"/>
      <c r="F671" s="98" t="n"/>
    </row>
    <row r="672">
      <c r="A672" s="147" t="n"/>
      <c r="B672" s="98" t="n"/>
      <c r="C672" s="98" t="n"/>
      <c r="D672" s="98" t="n"/>
      <c r="E672" s="148" t="n"/>
      <c r="F672" s="98" t="n"/>
    </row>
    <row r="673">
      <c r="A673" s="147" t="n"/>
      <c r="B673" s="98" t="n"/>
      <c r="C673" s="98" t="n"/>
      <c r="D673" s="98" t="n"/>
      <c r="E673" s="148" t="n"/>
      <c r="F673" s="98" t="n"/>
    </row>
    <row r="674">
      <c r="A674" s="147" t="n"/>
      <c r="B674" s="98" t="n"/>
      <c r="C674" s="98" t="n"/>
      <c r="D674" s="98" t="n"/>
      <c r="E674" s="148" t="n"/>
      <c r="F674" s="98" t="n"/>
    </row>
    <row r="675">
      <c r="A675" s="147" t="n"/>
      <c r="B675" s="98" t="n"/>
      <c r="C675" s="98" t="n"/>
      <c r="D675" s="98" t="n"/>
      <c r="E675" s="148" t="n"/>
      <c r="F675" s="98" t="n"/>
    </row>
    <row r="676">
      <c r="A676" s="147" t="n"/>
      <c r="B676" s="98" t="n"/>
      <c r="C676" s="98" t="n"/>
      <c r="D676" s="98" t="n"/>
      <c r="E676" s="148" t="n"/>
      <c r="F676" s="98" t="n"/>
    </row>
    <row r="677">
      <c r="A677" s="147" t="n"/>
      <c r="B677" s="98" t="n"/>
      <c r="C677" s="98" t="n"/>
      <c r="D677" s="98" t="n"/>
      <c r="E677" s="148" t="n"/>
      <c r="F677" s="98" t="n"/>
    </row>
    <row r="678">
      <c r="A678" s="147" t="n"/>
      <c r="B678" s="98" t="n"/>
      <c r="C678" s="98" t="n"/>
      <c r="D678" s="98" t="n"/>
      <c r="E678" s="148" t="n"/>
      <c r="F678" s="98" t="n"/>
    </row>
    <row r="679">
      <c r="A679" s="147" t="n"/>
      <c r="B679" s="98" t="n"/>
      <c r="C679" s="98" t="n"/>
      <c r="D679" s="98" t="n"/>
      <c r="E679" s="148" t="n"/>
      <c r="F679" s="98" t="n"/>
    </row>
    <row r="680">
      <c r="A680" s="147" t="n"/>
      <c r="B680" s="98" t="n"/>
      <c r="C680" s="98" t="n"/>
      <c r="D680" s="98" t="n"/>
      <c r="E680" s="148" t="n"/>
      <c r="F680" s="98" t="n"/>
    </row>
    <row r="681">
      <c r="A681" s="147" t="n"/>
      <c r="B681" s="98" t="n"/>
      <c r="C681" s="98" t="n"/>
      <c r="D681" s="98" t="n"/>
      <c r="E681" s="148" t="n"/>
      <c r="F681" s="98" t="n"/>
    </row>
    <row r="682">
      <c r="A682" s="147" t="n"/>
      <c r="B682" s="98" t="n"/>
      <c r="C682" s="98" t="n"/>
      <c r="D682" s="98" t="n"/>
      <c r="E682" s="148" t="n"/>
      <c r="F682" s="98" t="n"/>
    </row>
    <row r="683">
      <c r="A683" s="147" t="n"/>
      <c r="B683" s="98" t="n"/>
      <c r="C683" s="98" t="n"/>
      <c r="D683" s="98" t="n"/>
      <c r="E683" s="148" t="n"/>
      <c r="F683" s="98" t="n"/>
    </row>
    <row r="684">
      <c r="A684" s="147" t="n"/>
      <c r="B684" s="98" t="n"/>
      <c r="C684" s="98" t="n"/>
      <c r="D684" s="98" t="n"/>
      <c r="E684" s="148" t="n"/>
      <c r="F684" s="98" t="n"/>
    </row>
    <row r="685">
      <c r="A685" s="147" t="n"/>
      <c r="B685" s="98" t="n"/>
      <c r="C685" s="98" t="n"/>
      <c r="D685" s="98" t="n"/>
      <c r="E685" s="148" t="n"/>
      <c r="F685" s="98" t="n"/>
    </row>
    <row r="686">
      <c r="A686" s="147" t="n"/>
      <c r="B686" s="98" t="n"/>
      <c r="C686" s="98" t="n"/>
      <c r="D686" s="98" t="n"/>
      <c r="E686" s="148" t="n"/>
      <c r="F686" s="98" t="n"/>
    </row>
    <row r="687">
      <c r="A687" s="147" t="n"/>
      <c r="B687" s="98" t="n"/>
      <c r="C687" s="98" t="n"/>
      <c r="D687" s="98" t="n"/>
      <c r="E687" s="148" t="n"/>
      <c r="F687" s="98" t="n"/>
    </row>
    <row r="688">
      <c r="A688" s="147" t="n"/>
      <c r="B688" s="98" t="n"/>
      <c r="C688" s="98" t="n"/>
      <c r="D688" s="98" t="n"/>
      <c r="E688" s="148" t="n"/>
      <c r="F688" s="98" t="n"/>
    </row>
    <row r="689">
      <c r="A689" s="147" t="n"/>
      <c r="B689" s="98" t="n"/>
      <c r="C689" s="98" t="n"/>
      <c r="D689" s="98" t="n"/>
      <c r="E689" s="148" t="n"/>
      <c r="F689" s="98" t="n"/>
    </row>
    <row r="690">
      <c r="A690" s="147" t="n"/>
      <c r="B690" s="98" t="n"/>
      <c r="C690" s="98" t="n"/>
      <c r="D690" s="98" t="n"/>
      <c r="E690" s="148" t="n"/>
      <c r="F690" s="98" t="n"/>
    </row>
    <row r="691">
      <c r="A691" s="147" t="n"/>
      <c r="B691" s="98" t="n"/>
      <c r="C691" s="98" t="n"/>
      <c r="D691" s="98" t="n"/>
      <c r="E691" s="148" t="n"/>
      <c r="F691" s="98" t="n"/>
    </row>
    <row r="692">
      <c r="A692" s="147" t="n"/>
      <c r="B692" s="98" t="n"/>
      <c r="C692" s="98" t="n"/>
      <c r="D692" s="98" t="n"/>
      <c r="E692" s="148" t="n"/>
      <c r="F692" s="98" t="n"/>
    </row>
    <row r="693">
      <c r="A693" s="147" t="n"/>
      <c r="B693" s="98" t="n"/>
      <c r="C693" s="98" t="n"/>
      <c r="D693" s="98" t="n"/>
      <c r="E693" s="148" t="n"/>
      <c r="F693" s="98" t="n"/>
    </row>
    <row r="694">
      <c r="A694" s="147" t="n"/>
      <c r="B694" s="98" t="n"/>
      <c r="C694" s="98" t="n"/>
      <c r="D694" s="98" t="n"/>
      <c r="E694" s="148" t="n"/>
      <c r="F694" s="98" t="n"/>
    </row>
    <row r="695">
      <c r="A695" s="147" t="n"/>
      <c r="B695" s="98" t="n"/>
      <c r="C695" s="98" t="n"/>
      <c r="D695" s="98" t="n"/>
      <c r="E695" s="148" t="n"/>
      <c r="F695" s="98" t="n"/>
    </row>
    <row r="696">
      <c r="A696" s="147" t="n"/>
      <c r="B696" s="98" t="n"/>
      <c r="C696" s="98" t="n"/>
      <c r="D696" s="98" t="n"/>
      <c r="E696" s="148" t="n"/>
      <c r="F696" s="98" t="n"/>
    </row>
    <row r="697">
      <c r="A697" s="147" t="n"/>
      <c r="B697" s="98" t="n"/>
      <c r="C697" s="98" t="n"/>
      <c r="D697" s="98" t="n"/>
      <c r="E697" s="148" t="n"/>
      <c r="F697" s="98" t="n"/>
    </row>
    <row r="698">
      <c r="A698" s="147" t="n"/>
      <c r="B698" s="98" t="n"/>
      <c r="C698" s="98" t="n"/>
      <c r="D698" s="98" t="n"/>
      <c r="E698" s="148" t="n"/>
      <c r="F698" s="98" t="n"/>
    </row>
    <row r="699">
      <c r="A699" s="147" t="n"/>
      <c r="B699" s="98" t="n"/>
      <c r="C699" s="98" t="n"/>
      <c r="D699" s="98" t="n"/>
      <c r="E699" s="148" t="n"/>
      <c r="F699" s="98" t="n"/>
    </row>
    <row r="700">
      <c r="A700" s="147" t="n"/>
      <c r="B700" s="98" t="n"/>
      <c r="C700" s="98" t="n"/>
      <c r="D700" s="98" t="n"/>
      <c r="E700" s="148" t="n"/>
      <c r="F700" s="98" t="n"/>
    </row>
    <row r="701">
      <c r="A701" s="147" t="n"/>
      <c r="B701" s="98" t="n"/>
      <c r="C701" s="98" t="n"/>
      <c r="D701" s="98" t="n"/>
      <c r="E701" s="148" t="n"/>
      <c r="F701" s="98" t="n"/>
    </row>
    <row r="702">
      <c r="A702" s="147" t="n"/>
      <c r="B702" s="98" t="n"/>
      <c r="C702" s="98" t="n"/>
      <c r="D702" s="98" t="n"/>
      <c r="E702" s="148" t="n"/>
      <c r="F702" s="98" t="n"/>
    </row>
    <row r="703">
      <c r="A703" s="147" t="n"/>
      <c r="B703" s="98" t="n"/>
      <c r="C703" s="98" t="n"/>
      <c r="D703" s="98" t="n"/>
      <c r="E703" s="148" t="n"/>
      <c r="F703" s="98" t="n"/>
    </row>
    <row r="704">
      <c r="A704" s="147" t="n"/>
      <c r="B704" s="98" t="n"/>
      <c r="C704" s="98" t="n"/>
      <c r="D704" s="98" t="n"/>
      <c r="E704" s="148" t="n"/>
      <c r="F704" s="98" t="n"/>
    </row>
    <row r="705">
      <c r="A705" s="147" t="n"/>
      <c r="B705" s="98" t="n"/>
      <c r="C705" s="98" t="n"/>
      <c r="D705" s="98" t="n"/>
      <c r="E705" s="148" t="n"/>
      <c r="F705" s="98" t="n"/>
    </row>
    <row r="706">
      <c r="A706" s="147" t="n"/>
      <c r="B706" s="98" t="n"/>
      <c r="C706" s="98" t="n"/>
      <c r="D706" s="98" t="n"/>
      <c r="E706" s="148" t="n"/>
      <c r="F706" s="98" t="n"/>
    </row>
    <row r="707">
      <c r="A707" s="147" t="n"/>
      <c r="B707" s="98" t="n"/>
      <c r="C707" s="98" t="n"/>
      <c r="D707" s="98" t="n"/>
      <c r="E707" s="148" t="n"/>
      <c r="F707" s="98" t="n"/>
    </row>
    <row r="708">
      <c r="A708" s="147" t="n"/>
      <c r="B708" s="98" t="n"/>
      <c r="C708" s="98" t="n"/>
      <c r="D708" s="98" t="n"/>
      <c r="E708" s="148" t="n"/>
      <c r="F708" s="98" t="n"/>
    </row>
    <row r="709">
      <c r="A709" s="147" t="n"/>
      <c r="B709" s="98" t="n"/>
      <c r="C709" s="98" t="n"/>
      <c r="D709" s="98" t="n"/>
      <c r="E709" s="148" t="n"/>
      <c r="F709" s="98" t="n"/>
    </row>
    <row r="710">
      <c r="A710" s="147" t="n"/>
      <c r="B710" s="98" t="n"/>
      <c r="C710" s="98" t="n"/>
      <c r="D710" s="98" t="n"/>
      <c r="E710" s="148" t="n"/>
      <c r="F710" s="98" t="n"/>
    </row>
    <row r="711">
      <c r="A711" s="147" t="n"/>
      <c r="B711" s="98" t="n"/>
      <c r="C711" s="98" t="n"/>
      <c r="D711" s="98" t="n"/>
      <c r="E711" s="148" t="n"/>
      <c r="F711" s="98" t="n"/>
    </row>
    <row r="712">
      <c r="A712" s="147" t="n"/>
      <c r="B712" s="98" t="n"/>
      <c r="C712" s="98" t="n"/>
      <c r="D712" s="98" t="n"/>
      <c r="E712" s="148" t="n"/>
      <c r="F712" s="98" t="n"/>
    </row>
    <row r="713">
      <c r="A713" s="147" t="n"/>
      <c r="B713" s="98" t="n"/>
      <c r="C713" s="98" t="n"/>
      <c r="D713" s="98" t="n"/>
      <c r="E713" s="148" t="n"/>
      <c r="F713" s="98" t="n"/>
    </row>
    <row r="714">
      <c r="A714" s="147" t="n"/>
      <c r="B714" s="98" t="n"/>
      <c r="C714" s="98" t="n"/>
      <c r="D714" s="98" t="n"/>
      <c r="E714" s="148" t="n"/>
      <c r="F714" s="98" t="n"/>
    </row>
    <row r="715">
      <c r="A715" s="147" t="n"/>
      <c r="B715" s="98" t="n"/>
      <c r="C715" s="98" t="n"/>
      <c r="D715" s="98" t="n"/>
      <c r="E715" s="148" t="n"/>
      <c r="F715" s="98" t="n"/>
    </row>
    <row r="716">
      <c r="A716" s="147" t="n"/>
      <c r="B716" s="98" t="n"/>
      <c r="C716" s="98" t="n"/>
      <c r="D716" s="98" t="n"/>
      <c r="E716" s="148" t="n"/>
      <c r="F716" s="98" t="n"/>
    </row>
    <row r="717">
      <c r="A717" s="147" t="n"/>
      <c r="B717" s="98" t="n"/>
      <c r="C717" s="98" t="n"/>
      <c r="D717" s="98" t="n"/>
      <c r="E717" s="148" t="n"/>
      <c r="F717" s="98" t="n"/>
    </row>
    <row r="718">
      <c r="A718" s="147" t="n"/>
      <c r="B718" s="98" t="n"/>
      <c r="C718" s="98" t="n"/>
      <c r="D718" s="98" t="n"/>
      <c r="E718" s="148" t="n"/>
      <c r="F718" s="98" t="n"/>
    </row>
    <row r="719">
      <c r="A719" s="147" t="n"/>
      <c r="B719" s="98" t="n"/>
      <c r="C719" s="98" t="n"/>
      <c r="D719" s="98" t="n"/>
      <c r="E719" s="148" t="n"/>
      <c r="F719" s="98" t="n"/>
    </row>
    <row r="720">
      <c r="A720" s="147" t="n"/>
      <c r="B720" s="98" t="n"/>
      <c r="C720" s="98" t="n"/>
      <c r="D720" s="98" t="n"/>
      <c r="E720" s="148" t="n"/>
      <c r="F720" s="98" t="n"/>
    </row>
    <row r="721">
      <c r="A721" s="147" t="n"/>
      <c r="B721" s="98" t="n"/>
      <c r="C721" s="98" t="n"/>
      <c r="D721" s="98" t="n"/>
      <c r="E721" s="148" t="n"/>
      <c r="F721" s="98" t="n"/>
    </row>
    <row r="722">
      <c r="A722" s="147" t="n"/>
      <c r="B722" s="98" t="n"/>
      <c r="C722" s="98" t="n"/>
      <c r="D722" s="98" t="n"/>
      <c r="E722" s="148" t="n"/>
      <c r="F722" s="98" t="n"/>
    </row>
    <row r="723">
      <c r="A723" s="147" t="n"/>
      <c r="B723" s="98" t="n"/>
      <c r="C723" s="98" t="n"/>
      <c r="D723" s="98" t="n"/>
      <c r="E723" s="148" t="n"/>
      <c r="F723" s="98" t="n"/>
    </row>
    <row r="724">
      <c r="A724" s="147" t="n"/>
      <c r="B724" s="98" t="n"/>
      <c r="C724" s="98" t="n"/>
      <c r="D724" s="98" t="n"/>
      <c r="E724" s="148" t="n"/>
      <c r="F724" s="98" t="n"/>
    </row>
    <row r="725">
      <c r="A725" s="147" t="n"/>
      <c r="B725" s="98" t="n"/>
      <c r="C725" s="98" t="n"/>
      <c r="D725" s="98" t="n"/>
      <c r="E725" s="148" t="n"/>
      <c r="F725" s="98" t="n"/>
    </row>
    <row r="726">
      <c r="A726" s="147" t="n"/>
      <c r="B726" s="98" t="n"/>
      <c r="C726" s="98" t="n"/>
      <c r="D726" s="98" t="n"/>
      <c r="E726" s="148" t="n"/>
      <c r="F726" s="98" t="n"/>
    </row>
    <row r="727">
      <c r="A727" s="147" t="n"/>
      <c r="B727" s="98" t="n"/>
      <c r="C727" s="98" t="n"/>
      <c r="D727" s="98" t="n"/>
      <c r="E727" s="148" t="n"/>
      <c r="F727" s="98" t="n"/>
    </row>
    <row r="728">
      <c r="A728" s="147" t="n"/>
      <c r="B728" s="98" t="n"/>
      <c r="C728" s="98" t="n"/>
      <c r="D728" s="98" t="n"/>
      <c r="E728" s="148" t="n"/>
      <c r="F728" s="98" t="n"/>
    </row>
    <row r="729">
      <c r="A729" s="147" t="n"/>
      <c r="B729" s="98" t="n"/>
      <c r="C729" s="98" t="n"/>
      <c r="D729" s="98" t="n"/>
      <c r="E729" s="148" t="n"/>
      <c r="F729" s="98" t="n"/>
    </row>
    <row r="730">
      <c r="A730" s="147" t="n"/>
      <c r="B730" s="98" t="n"/>
      <c r="C730" s="98" t="n"/>
      <c r="D730" s="98" t="n"/>
      <c r="E730" s="148" t="n"/>
      <c r="F730" s="98" t="n"/>
    </row>
    <row r="731">
      <c r="A731" s="147" t="n"/>
      <c r="B731" s="98" t="n"/>
      <c r="C731" s="98" t="n"/>
      <c r="D731" s="98" t="n"/>
      <c r="E731" s="148" t="n"/>
      <c r="F731" s="98" t="n"/>
    </row>
    <row r="732">
      <c r="A732" s="147" t="n"/>
      <c r="B732" s="98" t="n"/>
      <c r="C732" s="98" t="n"/>
      <c r="D732" s="98" t="n"/>
      <c r="E732" s="148" t="n"/>
      <c r="F732" s="98" t="n"/>
    </row>
    <row r="733">
      <c r="A733" s="147" t="n"/>
      <c r="B733" s="98" t="n"/>
      <c r="C733" s="98" t="n"/>
      <c r="D733" s="98" t="n"/>
      <c r="E733" s="148" t="n"/>
      <c r="F733" s="98" t="n"/>
    </row>
    <row r="734">
      <c r="A734" s="147" t="n"/>
      <c r="B734" s="98" t="n"/>
      <c r="C734" s="98" t="n"/>
      <c r="D734" s="98" t="n"/>
      <c r="E734" s="148" t="n"/>
      <c r="F734" s="98" t="n"/>
    </row>
    <row r="735">
      <c r="A735" s="147" t="n"/>
      <c r="B735" s="98" t="n"/>
      <c r="C735" s="98" t="n"/>
      <c r="D735" s="98" t="n"/>
      <c r="E735" s="148" t="n"/>
      <c r="F735" s="98" t="n"/>
    </row>
    <row r="736">
      <c r="A736" s="147" t="n"/>
      <c r="B736" s="98" t="n"/>
      <c r="C736" s="98" t="n"/>
      <c r="D736" s="98" t="n"/>
      <c r="E736" s="148" t="n"/>
      <c r="F736" s="98" t="n"/>
    </row>
    <row r="737">
      <c r="A737" s="147" t="n"/>
      <c r="B737" s="98" t="n"/>
      <c r="C737" s="98" t="n"/>
      <c r="D737" s="98" t="n"/>
      <c r="E737" s="148" t="n"/>
      <c r="F737" s="98" t="n"/>
    </row>
    <row r="738">
      <c r="A738" s="147" t="n"/>
      <c r="B738" s="98" t="n"/>
      <c r="C738" s="98" t="n"/>
      <c r="D738" s="98" t="n"/>
      <c r="E738" s="148" t="n"/>
      <c r="F738" s="98" t="n"/>
    </row>
    <row r="739">
      <c r="A739" s="147" t="n"/>
      <c r="B739" s="98" t="n"/>
      <c r="C739" s="98" t="n"/>
      <c r="D739" s="98" t="n"/>
      <c r="E739" s="148" t="n"/>
      <c r="F739" s="98" t="n"/>
    </row>
    <row r="740">
      <c r="A740" s="147" t="n"/>
      <c r="B740" s="98" t="n"/>
      <c r="C740" s="98" t="n"/>
      <c r="D740" s="98" t="n"/>
      <c r="E740" s="148" t="n"/>
      <c r="F740" s="98" t="n"/>
    </row>
    <row r="741">
      <c r="A741" s="147" t="n"/>
      <c r="B741" s="98" t="n"/>
      <c r="C741" s="98" t="n"/>
      <c r="D741" s="98" t="n"/>
      <c r="E741" s="148" t="n"/>
      <c r="F741" s="98" t="n"/>
    </row>
    <row r="742">
      <c r="A742" s="147" t="n"/>
      <c r="B742" s="98" t="n"/>
      <c r="C742" s="98" t="n"/>
      <c r="D742" s="98" t="n"/>
      <c r="E742" s="148" t="n"/>
      <c r="F742" s="98" t="n"/>
    </row>
    <row r="743">
      <c r="A743" s="147" t="n"/>
      <c r="B743" s="98" t="n"/>
      <c r="C743" s="98" t="n"/>
      <c r="D743" s="98" t="n"/>
      <c r="E743" s="148" t="n"/>
      <c r="F743" s="98" t="n"/>
    </row>
    <row r="744">
      <c r="A744" s="147" t="n"/>
      <c r="B744" s="98" t="n"/>
      <c r="C744" s="98" t="n"/>
      <c r="D744" s="98" t="n"/>
      <c r="E744" s="148" t="n"/>
      <c r="F744" s="98" t="n"/>
    </row>
    <row r="745">
      <c r="A745" s="147" t="n"/>
      <c r="B745" s="98" t="n"/>
      <c r="C745" s="98" t="n"/>
      <c r="D745" s="98" t="n"/>
      <c r="E745" s="148" t="n"/>
      <c r="F745" s="98" t="n"/>
    </row>
    <row r="746">
      <c r="A746" s="147" t="n"/>
      <c r="B746" s="98" t="n"/>
      <c r="C746" s="98" t="n"/>
      <c r="D746" s="98" t="n"/>
      <c r="E746" s="148" t="n"/>
      <c r="F746" s="98" t="n"/>
    </row>
    <row r="747">
      <c r="A747" s="147" t="n"/>
      <c r="B747" s="98" t="n"/>
      <c r="C747" s="98" t="n"/>
      <c r="D747" s="98" t="n"/>
      <c r="E747" s="148" t="n"/>
      <c r="F747" s="98" t="n"/>
    </row>
    <row r="748">
      <c r="A748" s="147" t="n"/>
      <c r="B748" s="98" t="n"/>
      <c r="C748" s="98" t="n"/>
      <c r="D748" s="98" t="n"/>
      <c r="E748" s="148" t="n"/>
      <c r="F748" s="98" t="n"/>
    </row>
    <row r="749">
      <c r="A749" s="147" t="n"/>
      <c r="B749" s="98" t="n"/>
      <c r="C749" s="98" t="n"/>
      <c r="D749" s="98" t="n"/>
      <c r="E749" s="148" t="n"/>
      <c r="F749" s="98" t="n"/>
    </row>
    <row r="750">
      <c r="A750" s="147" t="n"/>
      <c r="B750" s="98" t="n"/>
      <c r="C750" s="98" t="n"/>
      <c r="D750" s="98" t="n"/>
      <c r="E750" s="148" t="n"/>
      <c r="F750" s="98" t="n"/>
    </row>
    <row r="751">
      <c r="A751" s="147" t="n"/>
      <c r="B751" s="98" t="n"/>
      <c r="C751" s="98" t="n"/>
      <c r="D751" s="98" t="n"/>
      <c r="E751" s="148" t="n"/>
      <c r="F751" s="98" t="n"/>
    </row>
    <row r="752">
      <c r="A752" s="147" t="n"/>
      <c r="B752" s="98" t="n"/>
      <c r="C752" s="98" t="n"/>
      <c r="D752" s="98" t="n"/>
      <c r="E752" s="148" t="n"/>
      <c r="F752" s="98" t="n"/>
    </row>
    <row r="753">
      <c r="A753" s="147" t="n"/>
      <c r="B753" s="98" t="n"/>
      <c r="C753" s="98" t="n"/>
      <c r="D753" s="98" t="n"/>
      <c r="E753" s="148" t="n"/>
      <c r="F753" s="98" t="n"/>
    </row>
    <row r="754">
      <c r="A754" s="147" t="n"/>
      <c r="B754" s="98" t="n"/>
      <c r="C754" s="98" t="n"/>
      <c r="D754" s="98" t="n"/>
      <c r="E754" s="148" t="n"/>
      <c r="F754" s="98" t="n"/>
    </row>
    <row r="755">
      <c r="A755" s="147" t="n"/>
      <c r="B755" s="98" t="n"/>
      <c r="C755" s="98" t="n"/>
      <c r="D755" s="98" t="n"/>
      <c r="E755" s="148" t="n"/>
      <c r="F755" s="98" t="n"/>
    </row>
    <row r="756">
      <c r="A756" s="147" t="n"/>
      <c r="B756" s="98" t="n"/>
      <c r="C756" s="98" t="n"/>
      <c r="D756" s="98" t="n"/>
      <c r="E756" s="148" t="n"/>
      <c r="F756" s="98" t="n"/>
    </row>
    <row r="757">
      <c r="A757" s="147" t="n"/>
      <c r="B757" s="98" t="n"/>
      <c r="C757" s="98" t="n"/>
      <c r="D757" s="98" t="n"/>
      <c r="E757" s="148" t="n"/>
      <c r="F757" s="98" t="n"/>
    </row>
    <row r="758">
      <c r="A758" s="147" t="n"/>
      <c r="B758" s="98" t="n"/>
      <c r="C758" s="98" t="n"/>
      <c r="D758" s="98" t="n"/>
      <c r="E758" s="148" t="n"/>
      <c r="F758" s="98" t="n"/>
    </row>
    <row r="759">
      <c r="A759" s="147" t="n"/>
      <c r="B759" s="98" t="n"/>
      <c r="C759" s="98" t="n"/>
      <c r="D759" s="98" t="n"/>
      <c r="E759" s="148" t="n"/>
      <c r="F759" s="98" t="n"/>
    </row>
    <row r="760">
      <c r="A760" s="147" t="n"/>
      <c r="B760" s="98" t="n"/>
      <c r="C760" s="98" t="n"/>
      <c r="D760" s="98" t="n"/>
      <c r="E760" s="148" t="n"/>
      <c r="F760" s="98" t="n"/>
    </row>
    <row r="761">
      <c r="A761" s="147" t="n"/>
      <c r="B761" s="98" t="n"/>
      <c r="C761" s="98" t="n"/>
      <c r="D761" s="98" t="n"/>
      <c r="E761" s="148" t="n"/>
      <c r="F761" s="98" t="n"/>
    </row>
    <row r="762">
      <c r="A762" s="147" t="n"/>
      <c r="B762" s="98" t="n"/>
      <c r="C762" s="98" t="n"/>
      <c r="D762" s="98" t="n"/>
      <c r="E762" s="148" t="n"/>
      <c r="F762" s="98" t="n"/>
    </row>
    <row r="763">
      <c r="A763" s="147" t="n"/>
      <c r="B763" s="98" t="n"/>
      <c r="C763" s="98" t="n"/>
      <c r="D763" s="98" t="n"/>
      <c r="E763" s="148" t="n"/>
      <c r="F763" s="98" t="n"/>
    </row>
    <row r="764">
      <c r="A764" s="147" t="n"/>
      <c r="B764" s="98" t="n"/>
      <c r="C764" s="98" t="n"/>
      <c r="D764" s="98" t="n"/>
      <c r="E764" s="148" t="n"/>
      <c r="F764" s="98" t="n"/>
    </row>
    <row r="765">
      <c r="A765" s="147" t="n"/>
      <c r="B765" s="98" t="n"/>
      <c r="C765" s="98" t="n"/>
      <c r="D765" s="98" t="n"/>
      <c r="E765" s="148" t="n"/>
      <c r="F765" s="98" t="n"/>
    </row>
    <row r="766">
      <c r="A766" s="147" t="n"/>
      <c r="B766" s="98" t="n"/>
      <c r="C766" s="98" t="n"/>
      <c r="D766" s="98" t="n"/>
      <c r="E766" s="148" t="n"/>
      <c r="F766" s="98" t="n"/>
    </row>
    <row r="767">
      <c r="A767" s="147" t="n"/>
      <c r="B767" s="98" t="n"/>
      <c r="C767" s="98" t="n"/>
      <c r="D767" s="98" t="n"/>
      <c r="E767" s="148" t="n"/>
      <c r="F767" s="98" t="n"/>
    </row>
    <row r="768">
      <c r="A768" s="147" t="n"/>
      <c r="B768" s="98" t="n"/>
      <c r="C768" s="98" t="n"/>
      <c r="D768" s="98" t="n"/>
      <c r="E768" s="148" t="n"/>
      <c r="F768" s="98" t="n"/>
    </row>
    <row r="769">
      <c r="A769" s="147" t="n"/>
      <c r="B769" s="98" t="n"/>
      <c r="C769" s="98" t="n"/>
      <c r="D769" s="98" t="n"/>
      <c r="E769" s="148" t="n"/>
      <c r="F769" s="98" t="n"/>
    </row>
    <row r="770">
      <c r="A770" s="147" t="n"/>
      <c r="B770" s="98" t="n"/>
      <c r="C770" s="98" t="n"/>
      <c r="D770" s="98" t="n"/>
      <c r="E770" s="148" t="n"/>
      <c r="F770" s="98" t="n"/>
    </row>
    <row r="771">
      <c r="A771" s="147" t="n"/>
      <c r="B771" s="98" t="n"/>
      <c r="C771" s="98" t="n"/>
      <c r="D771" s="98" t="n"/>
      <c r="E771" s="148" t="n"/>
      <c r="F771" s="98" t="n"/>
    </row>
    <row r="772">
      <c r="A772" s="147" t="n"/>
      <c r="B772" s="98" t="n"/>
      <c r="C772" s="98" t="n"/>
      <c r="D772" s="98" t="n"/>
      <c r="E772" s="148" t="n"/>
      <c r="F772" s="98" t="n"/>
    </row>
    <row r="773">
      <c r="A773" s="147" t="n"/>
      <c r="B773" s="98" t="n"/>
      <c r="C773" s="98" t="n"/>
      <c r="D773" s="98" t="n"/>
      <c r="E773" s="148" t="n"/>
      <c r="F773" s="98" t="n"/>
    </row>
    <row r="774">
      <c r="A774" s="147" t="n"/>
      <c r="B774" s="98" t="n"/>
      <c r="C774" s="98" t="n"/>
      <c r="D774" s="98" t="n"/>
      <c r="E774" s="148" t="n"/>
      <c r="F774" s="98" t="n"/>
    </row>
    <row r="775">
      <c r="A775" s="147" t="n"/>
      <c r="B775" s="98" t="n"/>
      <c r="C775" s="98" t="n"/>
      <c r="D775" s="98" t="n"/>
      <c r="E775" s="148" t="n"/>
      <c r="F775" s="98" t="n"/>
    </row>
    <row r="776">
      <c r="A776" s="147" t="n"/>
      <c r="B776" s="98" t="n"/>
      <c r="C776" s="98" t="n"/>
      <c r="D776" s="98" t="n"/>
      <c r="E776" s="148" t="n"/>
      <c r="F776" s="98" t="n"/>
    </row>
    <row r="777">
      <c r="A777" s="147" t="n"/>
      <c r="B777" s="98" t="n"/>
      <c r="C777" s="98" t="n"/>
      <c r="D777" s="98" t="n"/>
      <c r="E777" s="148" t="n"/>
      <c r="F777" s="98" t="n"/>
    </row>
    <row r="778">
      <c r="A778" s="147" t="n"/>
      <c r="B778" s="98" t="n"/>
      <c r="C778" s="98" t="n"/>
      <c r="D778" s="98" t="n"/>
      <c r="E778" s="148" t="n"/>
      <c r="F778" s="98" t="n"/>
    </row>
    <row r="779">
      <c r="A779" s="147" t="n"/>
      <c r="B779" s="98" t="n"/>
      <c r="C779" s="98" t="n"/>
      <c r="D779" s="98" t="n"/>
      <c r="E779" s="148" t="n"/>
      <c r="F779" s="98" t="n"/>
    </row>
    <row r="780">
      <c r="A780" s="147" t="n"/>
      <c r="B780" s="98" t="n"/>
      <c r="C780" s="98" t="n"/>
      <c r="D780" s="98" t="n"/>
      <c r="E780" s="148" t="n"/>
      <c r="F780" s="98" t="n"/>
    </row>
    <row r="781">
      <c r="A781" s="147" t="n"/>
      <c r="B781" s="98" t="n"/>
      <c r="C781" s="98" t="n"/>
      <c r="D781" s="98" t="n"/>
      <c r="E781" s="148" t="n"/>
      <c r="F781" s="98" t="n"/>
    </row>
    <row r="782">
      <c r="A782" s="147" t="n"/>
      <c r="B782" s="98" t="n"/>
      <c r="C782" s="98" t="n"/>
      <c r="D782" s="98" t="n"/>
      <c r="E782" s="148" t="n"/>
      <c r="F782" s="98" t="n"/>
    </row>
    <row r="783">
      <c r="A783" s="147" t="n"/>
      <c r="B783" s="98" t="n"/>
      <c r="C783" s="98" t="n"/>
      <c r="D783" s="98" t="n"/>
      <c r="E783" s="148" t="n"/>
      <c r="F783" s="98" t="n"/>
    </row>
    <row r="784">
      <c r="A784" s="147" t="n"/>
      <c r="B784" s="98" t="n"/>
      <c r="C784" s="98" t="n"/>
      <c r="D784" s="98" t="n"/>
      <c r="E784" s="148" t="n"/>
      <c r="F784" s="98" t="n"/>
    </row>
    <row r="785">
      <c r="A785" s="147" t="n"/>
      <c r="B785" s="98" t="n"/>
      <c r="C785" s="98" t="n"/>
      <c r="D785" s="98" t="n"/>
      <c r="E785" s="148" t="n"/>
      <c r="F785" s="98" t="n"/>
    </row>
    <row r="786">
      <c r="A786" s="147" t="n"/>
      <c r="B786" s="98" t="n"/>
      <c r="C786" s="98" t="n"/>
      <c r="D786" s="98" t="n"/>
      <c r="E786" s="148" t="n"/>
      <c r="F786" s="98" t="n"/>
    </row>
    <row r="787">
      <c r="A787" s="147" t="n"/>
      <c r="B787" s="98" t="n"/>
      <c r="C787" s="98" t="n"/>
      <c r="D787" s="98" t="n"/>
      <c r="E787" s="148" t="n"/>
      <c r="F787" s="98" t="n"/>
    </row>
    <row r="788">
      <c r="A788" s="147" t="n"/>
      <c r="B788" s="98" t="n"/>
      <c r="C788" s="98" t="n"/>
      <c r="D788" s="98" t="n"/>
      <c r="E788" s="148" t="n"/>
      <c r="F788" s="98" t="n"/>
    </row>
    <row r="789">
      <c r="A789" s="147" t="n"/>
      <c r="B789" s="98" t="n"/>
      <c r="C789" s="98" t="n"/>
      <c r="D789" s="98" t="n"/>
      <c r="E789" s="148" t="n"/>
      <c r="F789" s="98" t="n"/>
    </row>
    <row r="790">
      <c r="A790" s="147" t="n"/>
      <c r="B790" s="98" t="n"/>
      <c r="C790" s="98" t="n"/>
      <c r="D790" s="98" t="n"/>
      <c r="E790" s="148" t="n"/>
      <c r="F790" s="98" t="n"/>
    </row>
    <row r="791">
      <c r="A791" s="147" t="n"/>
      <c r="B791" s="98" t="n"/>
      <c r="C791" s="98" t="n"/>
      <c r="D791" s="98" t="n"/>
      <c r="E791" s="148" t="n"/>
      <c r="F791" s="98" t="n"/>
    </row>
    <row r="792">
      <c r="A792" s="147" t="n"/>
      <c r="B792" s="98" t="n"/>
      <c r="C792" s="98" t="n"/>
      <c r="D792" s="98" t="n"/>
      <c r="E792" s="148" t="n"/>
      <c r="F792" s="98" t="n"/>
    </row>
    <row r="793">
      <c r="A793" s="147" t="n"/>
      <c r="B793" s="98" t="n"/>
      <c r="C793" s="98" t="n"/>
      <c r="D793" s="98" t="n"/>
      <c r="E793" s="148" t="n"/>
      <c r="F793" s="98" t="n"/>
    </row>
    <row r="794">
      <c r="A794" s="147" t="n"/>
      <c r="B794" s="98" t="n"/>
      <c r="C794" s="98" t="n"/>
      <c r="D794" s="98" t="n"/>
      <c r="E794" s="148" t="n"/>
      <c r="F794" s="98" t="n"/>
    </row>
    <row r="795">
      <c r="A795" s="147" t="n"/>
      <c r="B795" s="98" t="n"/>
      <c r="C795" s="98" t="n"/>
      <c r="D795" s="98" t="n"/>
      <c r="E795" s="148" t="n"/>
      <c r="F795" s="98" t="n"/>
    </row>
    <row r="796">
      <c r="A796" s="147" t="n"/>
      <c r="B796" s="98" t="n"/>
      <c r="C796" s="98" t="n"/>
      <c r="D796" s="98" t="n"/>
      <c r="E796" s="148" t="n"/>
      <c r="F796" s="98" t="n"/>
    </row>
    <row r="797">
      <c r="A797" s="147" t="n"/>
      <c r="B797" s="98" t="n"/>
      <c r="C797" s="98" t="n"/>
      <c r="D797" s="98" t="n"/>
      <c r="E797" s="148" t="n"/>
      <c r="F797" s="98" t="n"/>
    </row>
    <row r="798">
      <c r="A798" s="147" t="n"/>
      <c r="B798" s="98" t="n"/>
      <c r="C798" s="98" t="n"/>
      <c r="D798" s="98" t="n"/>
      <c r="E798" s="148" t="n"/>
      <c r="F798" s="98" t="n"/>
    </row>
    <row r="799">
      <c r="A799" s="147" t="n"/>
      <c r="B799" s="98" t="n"/>
      <c r="C799" s="98" t="n"/>
      <c r="D799" s="98" t="n"/>
      <c r="E799" s="148" t="n"/>
      <c r="F799" s="98" t="n"/>
    </row>
    <row r="800">
      <c r="A800" s="147" t="n"/>
      <c r="B800" s="98" t="n"/>
      <c r="C800" s="98" t="n"/>
      <c r="D800" s="98" t="n"/>
      <c r="E800" s="148" t="n"/>
      <c r="F800" s="98" t="n"/>
    </row>
    <row r="801">
      <c r="A801" s="147" t="n"/>
      <c r="B801" s="98" t="n"/>
      <c r="C801" s="98" t="n"/>
      <c r="D801" s="98" t="n"/>
      <c r="E801" s="148" t="n"/>
      <c r="F801" s="98" t="n"/>
    </row>
    <row r="802">
      <c r="A802" s="147" t="n"/>
      <c r="B802" s="98" t="n"/>
      <c r="C802" s="98" t="n"/>
      <c r="D802" s="98" t="n"/>
      <c r="E802" s="148" t="n"/>
      <c r="F802" s="98" t="n"/>
    </row>
    <row r="803">
      <c r="A803" s="147" t="n"/>
      <c r="B803" s="98" t="n"/>
      <c r="C803" s="98" t="n"/>
      <c r="D803" s="98" t="n"/>
      <c r="E803" s="148" t="n"/>
      <c r="F803" s="98" t="n"/>
    </row>
    <row r="804">
      <c r="A804" s="147" t="n"/>
      <c r="B804" s="98" t="n"/>
      <c r="C804" s="98" t="n"/>
      <c r="D804" s="98" t="n"/>
      <c r="E804" s="148" t="n"/>
      <c r="F804" s="98" t="n"/>
    </row>
    <row r="805">
      <c r="A805" s="147" t="n"/>
      <c r="B805" s="98" t="n"/>
      <c r="C805" s="98" t="n"/>
      <c r="D805" s="98" t="n"/>
      <c r="E805" s="148" t="n"/>
      <c r="F805" s="98" t="n"/>
    </row>
    <row r="806">
      <c r="A806" s="147" t="n"/>
      <c r="B806" s="98" t="n"/>
      <c r="C806" s="98" t="n"/>
      <c r="D806" s="98" t="n"/>
      <c r="E806" s="148" t="n"/>
      <c r="F806" s="98" t="n"/>
    </row>
    <row r="807">
      <c r="A807" s="147" t="n"/>
      <c r="B807" s="98" t="n"/>
      <c r="C807" s="98" t="n"/>
      <c r="D807" s="98" t="n"/>
      <c r="E807" s="148" t="n"/>
      <c r="F807" s="98" t="n"/>
    </row>
    <row r="808">
      <c r="A808" s="147" t="n"/>
      <c r="B808" s="98" t="n"/>
      <c r="C808" s="98" t="n"/>
      <c r="D808" s="98" t="n"/>
      <c r="E808" s="148" t="n"/>
      <c r="F808" s="98" t="n"/>
    </row>
    <row r="809">
      <c r="A809" s="147" t="n"/>
      <c r="B809" s="98" t="n"/>
      <c r="C809" s="98" t="n"/>
      <c r="D809" s="98" t="n"/>
      <c r="E809" s="148" t="n"/>
      <c r="F809" s="98" t="n"/>
    </row>
    <row r="810">
      <c r="A810" s="147" t="n"/>
      <c r="B810" s="98" t="n"/>
      <c r="C810" s="98" t="n"/>
      <c r="D810" s="98" t="n"/>
      <c r="E810" s="148" t="n"/>
      <c r="F810" s="98" t="n"/>
    </row>
    <row r="811">
      <c r="A811" s="147" t="n"/>
      <c r="B811" s="98" t="n"/>
      <c r="C811" s="98" t="n"/>
      <c r="D811" s="98" t="n"/>
      <c r="E811" s="148" t="n"/>
      <c r="F811" s="98" t="n"/>
    </row>
    <row r="812">
      <c r="A812" s="147" t="n"/>
      <c r="B812" s="98" t="n"/>
      <c r="C812" s="98" t="n"/>
      <c r="D812" s="98" t="n"/>
      <c r="E812" s="148" t="n"/>
      <c r="F812" s="98" t="n"/>
    </row>
    <row r="813">
      <c r="A813" s="147" t="n"/>
      <c r="B813" s="98" t="n"/>
      <c r="C813" s="98" t="n"/>
      <c r="D813" s="98" t="n"/>
      <c r="E813" s="148" t="n"/>
      <c r="F813" s="98" t="n"/>
    </row>
    <row r="814">
      <c r="A814" s="147" t="n"/>
      <c r="B814" s="98" t="n"/>
      <c r="C814" s="98" t="n"/>
      <c r="D814" s="98" t="n"/>
      <c r="E814" s="148" t="n"/>
      <c r="F814" s="98" t="n"/>
    </row>
    <row r="815">
      <c r="A815" s="147" t="n"/>
      <c r="B815" s="98" t="n"/>
      <c r="C815" s="98" t="n"/>
      <c r="D815" s="98" t="n"/>
      <c r="E815" s="148" t="n"/>
      <c r="F815" s="98" t="n"/>
    </row>
    <row r="816">
      <c r="A816" s="147" t="n"/>
      <c r="B816" s="98" t="n"/>
      <c r="C816" s="98" t="n"/>
      <c r="D816" s="98" t="n"/>
      <c r="E816" s="148" t="n"/>
      <c r="F816" s="98" t="n"/>
    </row>
    <row r="817">
      <c r="A817" s="147" t="n"/>
      <c r="B817" s="98" t="n"/>
      <c r="C817" s="98" t="n"/>
      <c r="D817" s="98" t="n"/>
      <c r="E817" s="148" t="n"/>
      <c r="F817" s="98" t="n"/>
    </row>
    <row r="818">
      <c r="A818" s="147" t="n"/>
      <c r="B818" s="98" t="n"/>
      <c r="C818" s="98" t="n"/>
      <c r="D818" s="98" t="n"/>
      <c r="E818" s="148" t="n"/>
      <c r="F818" s="98" t="n"/>
    </row>
    <row r="819">
      <c r="A819" s="147" t="n"/>
      <c r="B819" s="98" t="n"/>
      <c r="C819" s="98" t="n"/>
      <c r="D819" s="98" t="n"/>
      <c r="E819" s="148" t="n"/>
      <c r="F819" s="98" t="n"/>
    </row>
    <row r="820">
      <c r="A820" s="147" t="n"/>
      <c r="B820" s="98" t="n"/>
      <c r="C820" s="98" t="n"/>
      <c r="D820" s="98" t="n"/>
      <c r="E820" s="148" t="n"/>
      <c r="F820" s="98" t="n"/>
    </row>
    <row r="821">
      <c r="A821" s="147" t="n"/>
      <c r="B821" s="98" t="n"/>
      <c r="C821" s="98" t="n"/>
      <c r="D821" s="98" t="n"/>
      <c r="E821" s="148" t="n"/>
      <c r="F821" s="98" t="n"/>
    </row>
    <row r="822">
      <c r="A822" s="147" t="n"/>
      <c r="B822" s="98" t="n"/>
      <c r="C822" s="98" t="n"/>
      <c r="D822" s="98" t="n"/>
      <c r="E822" s="148" t="n"/>
      <c r="F822" s="98" t="n"/>
    </row>
    <row r="823">
      <c r="A823" s="147" t="n"/>
      <c r="B823" s="98" t="n"/>
      <c r="C823" s="98" t="n"/>
      <c r="D823" s="98" t="n"/>
      <c r="E823" s="148" t="n"/>
      <c r="F823" s="98" t="n"/>
    </row>
    <row r="824">
      <c r="A824" s="147" t="n"/>
      <c r="B824" s="98" t="n"/>
      <c r="C824" s="98" t="n"/>
      <c r="D824" s="98" t="n"/>
      <c r="E824" s="148" t="n"/>
      <c r="F824" s="98" t="n"/>
    </row>
    <row r="825">
      <c r="A825" s="147" t="n"/>
      <c r="B825" s="98" t="n"/>
      <c r="C825" s="98" t="n"/>
      <c r="D825" s="98" t="n"/>
      <c r="E825" s="148" t="n"/>
      <c r="F825" s="98" t="n"/>
    </row>
    <row r="826">
      <c r="A826" s="147" t="n"/>
      <c r="B826" s="98" t="n"/>
      <c r="C826" s="98" t="n"/>
      <c r="D826" s="98" t="n"/>
      <c r="E826" s="148" t="n"/>
      <c r="F826" s="98" t="n"/>
    </row>
    <row r="827">
      <c r="A827" s="147" t="n"/>
      <c r="B827" s="98" t="n"/>
      <c r="C827" s="98" t="n"/>
      <c r="D827" s="98" t="n"/>
      <c r="E827" s="148" t="n"/>
      <c r="F827" s="98" t="n"/>
    </row>
    <row r="828">
      <c r="A828" s="147" t="n"/>
      <c r="B828" s="98" t="n"/>
      <c r="C828" s="98" t="n"/>
      <c r="D828" s="98" t="n"/>
      <c r="E828" s="148" t="n"/>
      <c r="F828" s="98" t="n"/>
    </row>
    <row r="829">
      <c r="A829" s="147" t="n"/>
      <c r="B829" s="98" t="n"/>
      <c r="C829" s="98" t="n"/>
      <c r="D829" s="98" t="n"/>
      <c r="E829" s="148" t="n"/>
      <c r="F829" s="98" t="n"/>
    </row>
    <row r="830">
      <c r="A830" s="147" t="n"/>
      <c r="B830" s="98" t="n"/>
      <c r="C830" s="98" t="n"/>
      <c r="D830" s="98" t="n"/>
      <c r="E830" s="148" t="n"/>
      <c r="F830" s="98" t="n"/>
    </row>
    <row r="831">
      <c r="A831" s="147" t="n"/>
      <c r="B831" s="98" t="n"/>
      <c r="C831" s="98" t="n"/>
      <c r="D831" s="98" t="n"/>
      <c r="E831" s="148" t="n"/>
      <c r="F831" s="98" t="n"/>
    </row>
    <row r="832">
      <c r="A832" s="147" t="n"/>
      <c r="B832" s="98" t="n"/>
      <c r="C832" s="98" t="n"/>
      <c r="D832" s="98" t="n"/>
      <c r="E832" s="148" t="n"/>
      <c r="F832" s="98" t="n"/>
    </row>
    <row r="833">
      <c r="A833" s="147" t="n"/>
      <c r="B833" s="98" t="n"/>
      <c r="C833" s="98" t="n"/>
      <c r="D833" s="98" t="n"/>
      <c r="E833" s="148" t="n"/>
      <c r="F833" s="98" t="n"/>
    </row>
    <row r="834">
      <c r="A834" s="147" t="n"/>
      <c r="B834" s="98" t="n"/>
      <c r="C834" s="98" t="n"/>
      <c r="D834" s="98" t="n"/>
      <c r="E834" s="148" t="n"/>
      <c r="F834" s="98" t="n"/>
    </row>
    <row r="835">
      <c r="A835" s="147" t="n"/>
      <c r="B835" s="98" t="n"/>
      <c r="C835" s="98" t="n"/>
      <c r="D835" s="98" t="n"/>
      <c r="E835" s="148" t="n"/>
      <c r="F835" s="98" t="n"/>
    </row>
    <row r="836">
      <c r="A836" s="147" t="n"/>
      <c r="B836" s="98" t="n"/>
      <c r="C836" s="98" t="n"/>
      <c r="D836" s="98" t="n"/>
      <c r="E836" s="148" t="n"/>
      <c r="F836" s="98" t="n"/>
    </row>
    <row r="837">
      <c r="A837" s="147" t="n"/>
      <c r="B837" s="98" t="n"/>
      <c r="C837" s="98" t="n"/>
      <c r="D837" s="98" t="n"/>
      <c r="E837" s="148" t="n"/>
      <c r="F837" s="98" t="n"/>
    </row>
    <row r="838">
      <c r="A838" s="147" t="n"/>
      <c r="B838" s="98" t="n"/>
      <c r="C838" s="98" t="n"/>
      <c r="D838" s="98" t="n"/>
      <c r="E838" s="148" t="n"/>
      <c r="F838" s="98" t="n"/>
    </row>
    <row r="839">
      <c r="A839" s="147" t="n"/>
      <c r="B839" s="98" t="n"/>
      <c r="C839" s="98" t="n"/>
      <c r="D839" s="98" t="n"/>
      <c r="E839" s="148" t="n"/>
      <c r="F839" s="98" t="n"/>
    </row>
    <row r="840">
      <c r="A840" s="147" t="n"/>
      <c r="B840" s="98" t="n"/>
      <c r="C840" s="98" t="n"/>
      <c r="D840" s="98" t="n"/>
      <c r="E840" s="148" t="n"/>
      <c r="F840" s="98" t="n"/>
    </row>
    <row r="841">
      <c r="A841" s="147" t="n"/>
      <c r="B841" s="98" t="n"/>
      <c r="C841" s="98" t="n"/>
      <c r="D841" s="98" t="n"/>
      <c r="E841" s="148" t="n"/>
      <c r="F841" s="98" t="n"/>
    </row>
    <row r="842">
      <c r="A842" s="147" t="n"/>
      <c r="B842" s="98" t="n"/>
      <c r="C842" s="98" t="n"/>
      <c r="D842" s="98" t="n"/>
      <c r="E842" s="148" t="n"/>
      <c r="F842" s="98" t="n"/>
    </row>
    <row r="843">
      <c r="A843" s="147" t="n"/>
      <c r="B843" s="98" t="n"/>
      <c r="C843" s="98" t="n"/>
      <c r="D843" s="98" t="n"/>
      <c r="E843" s="148" t="n"/>
      <c r="F843" s="98" t="n"/>
    </row>
    <row r="844">
      <c r="A844" s="147" t="n"/>
      <c r="B844" s="98" t="n"/>
      <c r="C844" s="98" t="n"/>
      <c r="D844" s="98" t="n"/>
      <c r="E844" s="148" t="n"/>
      <c r="F844" s="98" t="n"/>
    </row>
    <row r="845">
      <c r="A845" s="147" t="n"/>
      <c r="B845" s="98" t="n"/>
      <c r="C845" s="98" t="n"/>
      <c r="D845" s="98" t="n"/>
      <c r="E845" s="148" t="n"/>
      <c r="F845" s="98" t="n"/>
    </row>
    <row r="846">
      <c r="A846" s="147" t="n"/>
      <c r="B846" s="98" t="n"/>
      <c r="C846" s="98" t="n"/>
      <c r="D846" s="98" t="n"/>
      <c r="E846" s="148" t="n"/>
      <c r="F846" s="98" t="n"/>
    </row>
    <row r="847">
      <c r="A847" s="147" t="n"/>
      <c r="B847" s="98" t="n"/>
      <c r="C847" s="98" t="n"/>
      <c r="D847" s="98" t="n"/>
      <c r="E847" s="148" t="n"/>
      <c r="F847" s="98" t="n"/>
    </row>
    <row r="848">
      <c r="A848" s="147" t="n"/>
      <c r="B848" s="98" t="n"/>
      <c r="C848" s="98" t="n"/>
      <c r="D848" s="98" t="n"/>
      <c r="E848" s="148" t="n"/>
      <c r="F848" s="98" t="n"/>
    </row>
    <row r="849">
      <c r="A849" s="147" t="n"/>
      <c r="B849" s="98" t="n"/>
      <c r="C849" s="98" t="n"/>
      <c r="D849" s="98" t="n"/>
      <c r="E849" s="148" t="n"/>
      <c r="F849" s="98" t="n"/>
    </row>
    <row r="850">
      <c r="A850" s="147" t="n"/>
      <c r="B850" s="98" t="n"/>
      <c r="C850" s="98" t="n"/>
      <c r="D850" s="98" t="n"/>
      <c r="E850" s="148" t="n"/>
      <c r="F850" s="98" t="n"/>
    </row>
    <row r="851">
      <c r="A851" s="147" t="n"/>
      <c r="B851" s="98" t="n"/>
      <c r="C851" s="98" t="n"/>
      <c r="D851" s="98" t="n"/>
      <c r="E851" s="148" t="n"/>
      <c r="F851" s="98" t="n"/>
    </row>
    <row r="852">
      <c r="A852" s="147" t="n"/>
      <c r="B852" s="98" t="n"/>
      <c r="C852" s="98" t="n"/>
      <c r="D852" s="98" t="n"/>
      <c r="E852" s="148" t="n"/>
      <c r="F852" s="98" t="n"/>
    </row>
    <row r="853">
      <c r="A853" s="147" t="n"/>
      <c r="B853" s="98" t="n"/>
      <c r="C853" s="98" t="n"/>
      <c r="D853" s="98" t="n"/>
      <c r="E853" s="148" t="n"/>
      <c r="F853" s="98" t="n"/>
    </row>
    <row r="854">
      <c r="A854" s="147" t="n"/>
      <c r="B854" s="98" t="n"/>
      <c r="C854" s="98" t="n"/>
      <c r="D854" s="98" t="n"/>
      <c r="E854" s="148" t="n"/>
      <c r="F854" s="98" t="n"/>
    </row>
    <row r="855">
      <c r="A855" s="147" t="n"/>
      <c r="B855" s="98" t="n"/>
      <c r="C855" s="98" t="n"/>
      <c r="D855" s="98" t="n"/>
      <c r="E855" s="148" t="n"/>
      <c r="F855" s="98" t="n"/>
    </row>
    <row r="856">
      <c r="A856" s="147" t="n"/>
      <c r="B856" s="98" t="n"/>
      <c r="C856" s="98" t="n"/>
      <c r="D856" s="98" t="n"/>
      <c r="E856" s="148" t="n"/>
      <c r="F856" s="98" t="n"/>
    </row>
    <row r="857">
      <c r="A857" s="147" t="n"/>
      <c r="B857" s="98" t="n"/>
      <c r="C857" s="98" t="n"/>
      <c r="D857" s="98" t="n"/>
      <c r="E857" s="148" t="n"/>
      <c r="F857" s="98" t="n"/>
    </row>
    <row r="858">
      <c r="A858" s="147" t="n"/>
      <c r="B858" s="98" t="n"/>
      <c r="C858" s="98" t="n"/>
      <c r="D858" s="98" t="n"/>
      <c r="E858" s="148" t="n"/>
      <c r="F858" s="98" t="n"/>
    </row>
    <row r="859">
      <c r="A859" s="147" t="n"/>
      <c r="B859" s="98" t="n"/>
      <c r="C859" s="98" t="n"/>
      <c r="D859" s="98" t="n"/>
      <c r="E859" s="148" t="n"/>
      <c r="F859" s="98" t="n"/>
    </row>
    <row r="860">
      <c r="A860" s="147" t="n"/>
      <c r="B860" s="98" t="n"/>
      <c r="C860" s="98" t="n"/>
      <c r="D860" s="98" t="n"/>
      <c r="E860" s="148" t="n"/>
      <c r="F860" s="98" t="n"/>
    </row>
    <row r="861">
      <c r="A861" s="147" t="n"/>
      <c r="B861" s="98" t="n"/>
      <c r="C861" s="98" t="n"/>
      <c r="D861" s="98" t="n"/>
      <c r="E861" s="148" t="n"/>
      <c r="F861" s="98" t="n"/>
    </row>
    <row r="862">
      <c r="A862" s="147" t="n"/>
      <c r="B862" s="98" t="n"/>
      <c r="C862" s="98" t="n"/>
      <c r="D862" s="98" t="n"/>
      <c r="E862" s="148" t="n"/>
      <c r="F862" s="98" t="n"/>
    </row>
    <row r="863">
      <c r="A863" s="147" t="n"/>
      <c r="B863" s="98" t="n"/>
      <c r="C863" s="98" t="n"/>
      <c r="D863" s="98" t="n"/>
      <c r="E863" s="148" t="n"/>
      <c r="F863" s="98" t="n"/>
    </row>
    <row r="864">
      <c r="A864" s="147" t="n"/>
      <c r="B864" s="98" t="n"/>
      <c r="C864" s="98" t="n"/>
      <c r="D864" s="98" t="n"/>
      <c r="E864" s="148" t="n"/>
      <c r="F864" s="98" t="n"/>
    </row>
    <row r="865">
      <c r="A865" s="147" t="n"/>
      <c r="B865" s="98" t="n"/>
      <c r="C865" s="98" t="n"/>
      <c r="D865" s="98" t="n"/>
      <c r="E865" s="148" t="n"/>
      <c r="F865" s="98" t="n"/>
    </row>
    <row r="866">
      <c r="A866" s="147" t="n"/>
      <c r="B866" s="98" t="n"/>
      <c r="C866" s="98" t="n"/>
      <c r="D866" s="98" t="n"/>
      <c r="E866" s="148" t="n"/>
      <c r="F866" s="98" t="n"/>
    </row>
    <row r="867">
      <c r="A867" s="147" t="n"/>
      <c r="B867" s="98" t="n"/>
      <c r="C867" s="98" t="n"/>
      <c r="D867" s="98" t="n"/>
      <c r="E867" s="148" t="n"/>
      <c r="F867" s="98" t="n"/>
    </row>
    <row r="868">
      <c r="A868" s="147" t="n"/>
      <c r="B868" s="98" t="n"/>
      <c r="C868" s="98" t="n"/>
      <c r="D868" s="98" t="n"/>
      <c r="E868" s="148" t="n"/>
      <c r="F868" s="98" t="n"/>
    </row>
    <row r="869">
      <c r="A869" s="147" t="n"/>
      <c r="B869" s="98" t="n"/>
      <c r="C869" s="98" t="n"/>
      <c r="D869" s="98" t="n"/>
      <c r="E869" s="148" t="n"/>
      <c r="F869" s="98" t="n"/>
    </row>
    <row r="870">
      <c r="A870" s="147" t="n"/>
      <c r="B870" s="98" t="n"/>
      <c r="C870" s="98" t="n"/>
      <c r="D870" s="98" t="n"/>
      <c r="E870" s="148" t="n"/>
      <c r="F870" s="98" t="n"/>
    </row>
    <row r="871">
      <c r="A871" s="147" t="n"/>
      <c r="B871" s="98" t="n"/>
      <c r="C871" s="98" t="n"/>
      <c r="D871" s="98" t="n"/>
      <c r="E871" s="148" t="n"/>
      <c r="F871" s="98" t="n"/>
    </row>
    <row r="872">
      <c r="A872" s="147" t="n"/>
      <c r="B872" s="98" t="n"/>
      <c r="C872" s="98" t="n"/>
      <c r="D872" s="98" t="n"/>
      <c r="E872" s="148" t="n"/>
      <c r="F872" s="98" t="n"/>
    </row>
    <row r="873">
      <c r="A873" s="147" t="n"/>
      <c r="B873" s="98" t="n"/>
      <c r="C873" s="98" t="n"/>
      <c r="D873" s="98" t="n"/>
      <c r="E873" s="148" t="n"/>
      <c r="F873" s="98" t="n"/>
    </row>
    <row r="874">
      <c r="A874" s="147" t="n"/>
      <c r="B874" s="98" t="n"/>
      <c r="C874" s="98" t="n"/>
      <c r="D874" s="98" t="n"/>
      <c r="E874" s="148" t="n"/>
      <c r="F874" s="98" t="n"/>
    </row>
    <row r="875">
      <c r="A875" s="147" t="n"/>
      <c r="B875" s="98" t="n"/>
      <c r="C875" s="98" t="n"/>
      <c r="D875" s="98" t="n"/>
      <c r="E875" s="148" t="n"/>
      <c r="F875" s="98" t="n"/>
    </row>
    <row r="876">
      <c r="A876" s="147" t="n"/>
      <c r="B876" s="98" t="n"/>
      <c r="C876" s="98" t="n"/>
      <c r="D876" s="98" t="n"/>
      <c r="E876" s="148" t="n"/>
      <c r="F876" s="98" t="n"/>
    </row>
    <row r="877">
      <c r="A877" s="147" t="n"/>
      <c r="B877" s="98" t="n"/>
      <c r="C877" s="98" t="n"/>
      <c r="D877" s="98" t="n"/>
      <c r="E877" s="148" t="n"/>
      <c r="F877" s="98" t="n"/>
    </row>
    <row r="878">
      <c r="A878" s="147" t="n"/>
      <c r="B878" s="98" t="n"/>
      <c r="C878" s="98" t="n"/>
      <c r="D878" s="98" t="n"/>
      <c r="E878" s="148" t="n"/>
      <c r="F878" s="98" t="n"/>
    </row>
    <row r="879">
      <c r="A879" s="147" t="n"/>
      <c r="B879" s="98" t="n"/>
      <c r="C879" s="98" t="n"/>
      <c r="D879" s="98" t="n"/>
      <c r="E879" s="148" t="n"/>
      <c r="F879" s="98" t="n"/>
    </row>
    <row r="880">
      <c r="A880" s="147" t="n"/>
      <c r="B880" s="98" t="n"/>
      <c r="C880" s="98" t="n"/>
      <c r="D880" s="98" t="n"/>
      <c r="E880" s="148" t="n"/>
      <c r="F880" s="98" t="n"/>
    </row>
    <row r="881">
      <c r="A881" s="147" t="n"/>
      <c r="B881" s="98" t="n"/>
      <c r="C881" s="98" t="n"/>
      <c r="D881" s="98" t="n"/>
      <c r="E881" s="148" t="n"/>
      <c r="F881" s="98" t="n"/>
    </row>
    <row r="882">
      <c r="A882" s="147" t="n"/>
      <c r="B882" s="98" t="n"/>
      <c r="C882" s="98" t="n"/>
      <c r="D882" s="98" t="n"/>
      <c r="E882" s="148" t="n"/>
      <c r="F882" s="98" t="n"/>
    </row>
    <row r="883">
      <c r="A883" s="147" t="n"/>
      <c r="B883" s="98" t="n"/>
      <c r="C883" s="98" t="n"/>
      <c r="D883" s="98" t="n"/>
      <c r="E883" s="148" t="n"/>
      <c r="F883" s="98" t="n"/>
    </row>
    <row r="884">
      <c r="A884" s="147" t="n"/>
      <c r="B884" s="98" t="n"/>
      <c r="C884" s="98" t="n"/>
      <c r="D884" s="98" t="n"/>
      <c r="E884" s="148" t="n"/>
      <c r="F884" s="98" t="n"/>
    </row>
    <row r="885">
      <c r="A885" s="147" t="n"/>
      <c r="B885" s="98" t="n"/>
      <c r="C885" s="98" t="n"/>
      <c r="D885" s="98" t="n"/>
      <c r="E885" s="148" t="n"/>
      <c r="F885" s="98" t="n"/>
    </row>
    <row r="886">
      <c r="A886" s="147" t="n"/>
      <c r="B886" s="98" t="n"/>
      <c r="C886" s="98" t="n"/>
      <c r="D886" s="98" t="n"/>
      <c r="E886" s="148" t="n"/>
      <c r="F886" s="98" t="n"/>
    </row>
    <row r="887">
      <c r="A887" s="147" t="n"/>
      <c r="B887" s="98" t="n"/>
      <c r="C887" s="98" t="n"/>
      <c r="D887" s="98" t="n"/>
      <c r="E887" s="148" t="n"/>
      <c r="F887" s="98" t="n"/>
    </row>
    <row r="888">
      <c r="A888" s="147" t="n"/>
      <c r="B888" s="98" t="n"/>
      <c r="C888" s="98" t="n"/>
      <c r="D888" s="98" t="n"/>
      <c r="E888" s="148" t="n"/>
      <c r="F888" s="98" t="n"/>
    </row>
    <row r="889">
      <c r="A889" s="147" t="n"/>
      <c r="B889" s="98" t="n"/>
      <c r="C889" s="98" t="n"/>
      <c r="D889" s="98" t="n"/>
      <c r="E889" s="148" t="n"/>
      <c r="F889" s="98" t="n"/>
    </row>
    <row r="890">
      <c r="A890" s="147" t="n"/>
      <c r="B890" s="98" t="n"/>
      <c r="C890" s="98" t="n"/>
      <c r="D890" s="98" t="n"/>
      <c r="E890" s="148" t="n"/>
      <c r="F890" s="98" t="n"/>
    </row>
    <row r="891">
      <c r="A891" s="147" t="n"/>
      <c r="B891" s="98" t="n"/>
      <c r="C891" s="98" t="n"/>
      <c r="D891" s="98" t="n"/>
      <c r="E891" s="148" t="n"/>
      <c r="F891" s="98" t="n"/>
    </row>
    <row r="892">
      <c r="A892" s="147" t="n"/>
      <c r="B892" s="98" t="n"/>
      <c r="C892" s="98" t="n"/>
      <c r="D892" s="98" t="n"/>
      <c r="E892" s="148" t="n"/>
      <c r="F892" s="98" t="n"/>
    </row>
    <row r="893">
      <c r="A893" s="147" t="n"/>
      <c r="B893" s="98" t="n"/>
      <c r="C893" s="98" t="n"/>
      <c r="D893" s="98" t="n"/>
      <c r="E893" s="148" t="n"/>
      <c r="F893" s="98" t="n"/>
    </row>
    <row r="894">
      <c r="A894" s="147" t="n"/>
      <c r="B894" s="98" t="n"/>
      <c r="C894" s="98" t="n"/>
      <c r="D894" s="98" t="n"/>
      <c r="E894" s="148" t="n"/>
      <c r="F894" s="98" t="n"/>
    </row>
    <row r="895">
      <c r="A895" s="147" t="n"/>
      <c r="B895" s="98" t="n"/>
      <c r="C895" s="98" t="n"/>
      <c r="D895" s="98" t="n"/>
      <c r="E895" s="148" t="n"/>
      <c r="F895" s="98" t="n"/>
    </row>
    <row r="896">
      <c r="A896" s="147" t="n"/>
      <c r="B896" s="98" t="n"/>
      <c r="C896" s="98" t="n"/>
      <c r="D896" s="98" t="n"/>
      <c r="E896" s="148" t="n"/>
      <c r="F896" s="98" t="n"/>
    </row>
    <row r="897">
      <c r="A897" s="147" t="n"/>
      <c r="B897" s="98" t="n"/>
      <c r="C897" s="98" t="n"/>
      <c r="D897" s="98" t="n"/>
      <c r="E897" s="148" t="n"/>
      <c r="F897" s="98" t="n"/>
    </row>
    <row r="898">
      <c r="A898" s="147" t="n"/>
      <c r="B898" s="98" t="n"/>
      <c r="C898" s="98" t="n"/>
      <c r="D898" s="98" t="n"/>
      <c r="E898" s="148" t="n"/>
      <c r="F898" s="98" t="n"/>
    </row>
    <row r="899">
      <c r="A899" s="147" t="n"/>
      <c r="B899" s="98" t="n"/>
      <c r="C899" s="98" t="n"/>
      <c r="D899" s="98" t="n"/>
      <c r="E899" s="148" t="n"/>
      <c r="F899" s="98" t="n"/>
    </row>
    <row r="900">
      <c r="A900" s="147" t="n"/>
      <c r="B900" s="98" t="n"/>
      <c r="C900" s="98" t="n"/>
      <c r="D900" s="98" t="n"/>
      <c r="E900" s="148" t="n"/>
      <c r="F900" s="98" t="n"/>
    </row>
    <row r="901">
      <c r="A901" s="147" t="n"/>
      <c r="B901" s="98" t="n"/>
      <c r="C901" s="98" t="n"/>
      <c r="D901" s="98" t="n"/>
      <c r="E901" s="148" t="n"/>
      <c r="F901" s="98" t="n"/>
    </row>
    <row r="902">
      <c r="A902" s="147" t="n"/>
      <c r="B902" s="98" t="n"/>
      <c r="C902" s="98" t="n"/>
      <c r="D902" s="98" t="n"/>
      <c r="E902" s="148" t="n"/>
      <c r="F902" s="98" t="n"/>
    </row>
    <row r="903">
      <c r="A903" s="147" t="n"/>
      <c r="B903" s="98" t="n"/>
      <c r="C903" s="98" t="n"/>
      <c r="D903" s="98" t="n"/>
      <c r="E903" s="148" t="n"/>
      <c r="F903" s="98" t="n"/>
    </row>
    <row r="904">
      <c r="A904" s="147" t="n"/>
      <c r="B904" s="98" t="n"/>
      <c r="C904" s="98" t="n"/>
      <c r="D904" s="98" t="n"/>
      <c r="E904" s="148" t="n"/>
      <c r="F904" s="98" t="n"/>
    </row>
    <row r="905">
      <c r="A905" s="147" t="n"/>
      <c r="B905" s="98" t="n"/>
      <c r="C905" s="98" t="n"/>
      <c r="D905" s="98" t="n"/>
      <c r="E905" s="148" t="n"/>
      <c r="F905" s="98" t="n"/>
    </row>
    <row r="906">
      <c r="A906" s="147" t="n"/>
      <c r="B906" s="98" t="n"/>
      <c r="C906" s="98" t="n"/>
      <c r="D906" s="98" t="n"/>
      <c r="E906" s="148" t="n"/>
      <c r="F906" s="98" t="n"/>
    </row>
    <row r="907">
      <c r="A907" s="147" t="n"/>
      <c r="B907" s="98" t="n"/>
      <c r="C907" s="98" t="n"/>
      <c r="D907" s="98" t="n"/>
      <c r="E907" s="148" t="n"/>
      <c r="F907" s="98" t="n"/>
    </row>
    <row r="908">
      <c r="A908" s="147" t="n"/>
      <c r="B908" s="98" t="n"/>
      <c r="C908" s="98" t="n"/>
      <c r="D908" s="98" t="n"/>
      <c r="E908" s="148" t="n"/>
      <c r="F908" s="98" t="n"/>
    </row>
    <row r="909">
      <c r="A909" s="147" t="n"/>
      <c r="B909" s="98" t="n"/>
      <c r="C909" s="98" t="n"/>
      <c r="D909" s="98" t="n"/>
      <c r="E909" s="148" t="n"/>
      <c r="F909" s="98" t="n"/>
    </row>
    <row r="910">
      <c r="A910" s="147" t="n"/>
      <c r="B910" s="98" t="n"/>
      <c r="C910" s="98" t="n"/>
      <c r="D910" s="98" t="n"/>
      <c r="E910" s="148" t="n"/>
      <c r="F910" s="98" t="n"/>
    </row>
    <row r="911">
      <c r="A911" s="147" t="n"/>
      <c r="B911" s="98" t="n"/>
      <c r="C911" s="98" t="n"/>
      <c r="D911" s="98" t="n"/>
      <c r="E911" s="148" t="n"/>
      <c r="F911" s="98" t="n"/>
    </row>
    <row r="912">
      <c r="A912" s="147" t="n"/>
      <c r="B912" s="98" t="n"/>
      <c r="C912" s="98" t="n"/>
      <c r="D912" s="98" t="n"/>
      <c r="E912" s="148" t="n"/>
      <c r="F912" s="98" t="n"/>
    </row>
    <row r="913">
      <c r="A913" s="147" t="n"/>
      <c r="B913" s="98" t="n"/>
      <c r="C913" s="98" t="n"/>
      <c r="D913" s="98" t="n"/>
      <c r="E913" s="148" t="n"/>
      <c r="F913" s="98" t="n"/>
    </row>
    <row r="914">
      <c r="A914" s="147" t="n"/>
      <c r="B914" s="98" t="n"/>
      <c r="C914" s="98" t="n"/>
      <c r="D914" s="98" t="n"/>
      <c r="E914" s="148" t="n"/>
      <c r="F914" s="98" t="n"/>
    </row>
    <row r="915">
      <c r="A915" s="147" t="n"/>
      <c r="B915" s="98" t="n"/>
      <c r="C915" s="98" t="n"/>
      <c r="D915" s="98" t="n"/>
      <c r="E915" s="148" t="n"/>
      <c r="F915" s="98" t="n"/>
    </row>
    <row r="916">
      <c r="A916" s="147" t="n"/>
      <c r="B916" s="98" t="n"/>
      <c r="C916" s="98" t="n"/>
      <c r="D916" s="98" t="n"/>
      <c r="E916" s="148" t="n"/>
      <c r="F916" s="98" t="n"/>
    </row>
    <row r="917">
      <c r="A917" s="147" t="n"/>
      <c r="B917" s="98" t="n"/>
      <c r="C917" s="98" t="n"/>
      <c r="D917" s="98" t="n"/>
      <c r="E917" s="148" t="n"/>
      <c r="F917" s="98" t="n"/>
    </row>
    <row r="918">
      <c r="A918" s="147" t="n"/>
      <c r="B918" s="98" t="n"/>
      <c r="C918" s="98" t="n"/>
      <c r="D918" s="98" t="n"/>
      <c r="E918" s="148" t="n"/>
      <c r="F918" s="98" t="n"/>
    </row>
    <row r="919">
      <c r="A919" s="147" t="n"/>
      <c r="B919" s="98" t="n"/>
      <c r="C919" s="98" t="n"/>
      <c r="D919" s="98" t="n"/>
      <c r="E919" s="148" t="n"/>
      <c r="F919" s="98" t="n"/>
    </row>
    <row r="920">
      <c r="A920" s="147" t="n"/>
      <c r="B920" s="98" t="n"/>
      <c r="C920" s="98" t="n"/>
      <c r="D920" s="98" t="n"/>
      <c r="E920" s="148" t="n"/>
      <c r="F920" s="98" t="n"/>
    </row>
    <row r="921">
      <c r="A921" s="147" t="n"/>
      <c r="B921" s="98" t="n"/>
      <c r="C921" s="98" t="n"/>
      <c r="D921" s="98" t="n"/>
      <c r="E921" s="148" t="n"/>
      <c r="F921" s="98" t="n"/>
    </row>
    <row r="922">
      <c r="A922" s="147" t="n"/>
      <c r="B922" s="98" t="n"/>
      <c r="C922" s="98" t="n"/>
      <c r="D922" s="98" t="n"/>
      <c r="E922" s="148" t="n"/>
      <c r="F922" s="98" t="n"/>
    </row>
    <row r="923">
      <c r="A923" s="147" t="n"/>
      <c r="B923" s="98" t="n"/>
      <c r="C923" s="98" t="n"/>
      <c r="D923" s="98" t="n"/>
      <c r="E923" s="148" t="n"/>
      <c r="F923" s="98" t="n"/>
    </row>
    <row r="924">
      <c r="A924" s="147" t="n"/>
      <c r="B924" s="98" t="n"/>
      <c r="C924" s="98" t="n"/>
      <c r="D924" s="98" t="n"/>
      <c r="E924" s="148" t="n"/>
      <c r="F924" s="98" t="n"/>
    </row>
    <row r="925">
      <c r="A925" s="147" t="n"/>
      <c r="B925" s="98" t="n"/>
      <c r="C925" s="98" t="n"/>
      <c r="D925" s="98" t="n"/>
      <c r="E925" s="148" t="n"/>
      <c r="F925" s="98" t="n"/>
    </row>
    <row r="926">
      <c r="A926" s="147" t="n"/>
      <c r="B926" s="98" t="n"/>
      <c r="C926" s="98" t="n"/>
      <c r="D926" s="98" t="n"/>
      <c r="E926" s="148" t="n"/>
      <c r="F926" s="98" t="n"/>
    </row>
    <row r="927">
      <c r="A927" s="147" t="n"/>
      <c r="B927" s="98" t="n"/>
      <c r="C927" s="98" t="n"/>
      <c r="D927" s="98" t="n"/>
      <c r="E927" s="148" t="n"/>
      <c r="F927" s="98" t="n"/>
    </row>
    <row r="928">
      <c r="A928" s="147" t="n"/>
      <c r="B928" s="98" t="n"/>
      <c r="C928" s="98" t="n"/>
      <c r="D928" s="98" t="n"/>
      <c r="E928" s="148" t="n"/>
      <c r="F928" s="98" t="n"/>
    </row>
    <row r="929">
      <c r="A929" s="147" t="n"/>
      <c r="B929" s="98" t="n"/>
      <c r="C929" s="98" t="n"/>
      <c r="D929" s="98" t="n"/>
      <c r="E929" s="148" t="n"/>
      <c r="F929" s="98" t="n"/>
    </row>
    <row r="930">
      <c r="A930" s="147" t="n"/>
      <c r="B930" s="98" t="n"/>
      <c r="C930" s="98" t="n"/>
      <c r="D930" s="98" t="n"/>
      <c r="E930" s="148" t="n"/>
      <c r="F930" s="98" t="n"/>
    </row>
    <row r="931">
      <c r="A931" s="147" t="n"/>
      <c r="B931" s="98" t="n"/>
      <c r="C931" s="98" t="n"/>
      <c r="D931" s="98" t="n"/>
      <c r="E931" s="148" t="n"/>
      <c r="F931" s="98" t="n"/>
    </row>
    <row r="932">
      <c r="A932" s="147" t="n"/>
      <c r="B932" s="98" t="n"/>
      <c r="C932" s="98" t="n"/>
      <c r="D932" s="98" t="n"/>
      <c r="E932" s="148" t="n"/>
      <c r="F932" s="98" t="n"/>
    </row>
    <row r="933">
      <c r="A933" s="147" t="n"/>
      <c r="B933" s="98" t="n"/>
      <c r="C933" s="98" t="n"/>
      <c r="D933" s="98" t="n"/>
      <c r="E933" s="148" t="n"/>
      <c r="F933" s="98" t="n"/>
    </row>
    <row r="934">
      <c r="A934" s="147" t="n"/>
      <c r="B934" s="98" t="n"/>
      <c r="C934" s="98" t="n"/>
      <c r="D934" s="98" t="n"/>
      <c r="E934" s="148" t="n"/>
      <c r="F934" s="98" t="n"/>
    </row>
    <row r="935">
      <c r="A935" s="147" t="n"/>
      <c r="B935" s="98" t="n"/>
      <c r="C935" s="98" t="n"/>
      <c r="D935" s="98" t="n"/>
      <c r="E935" s="148" t="n"/>
      <c r="F935" s="98" t="n"/>
    </row>
    <row r="936">
      <c r="A936" s="147" t="n"/>
      <c r="B936" s="98" t="n"/>
      <c r="C936" s="98" t="n"/>
      <c r="D936" s="98" t="n"/>
      <c r="E936" s="148" t="n"/>
      <c r="F936" s="98" t="n"/>
    </row>
    <row r="937">
      <c r="A937" s="147" t="n"/>
      <c r="B937" s="98" t="n"/>
      <c r="C937" s="98" t="n"/>
      <c r="D937" s="98" t="n"/>
      <c r="E937" s="148" t="n"/>
      <c r="F937" s="98" t="n"/>
    </row>
    <row r="938">
      <c r="A938" s="147" t="n"/>
      <c r="B938" s="98" t="n"/>
      <c r="C938" s="98" t="n"/>
      <c r="D938" s="98" t="n"/>
      <c r="E938" s="148" t="n"/>
      <c r="F938" s="98" t="n"/>
    </row>
    <row r="939">
      <c r="A939" s="147" t="n"/>
      <c r="B939" s="98" t="n"/>
      <c r="C939" s="98" t="n"/>
      <c r="D939" s="98" t="n"/>
      <c r="E939" s="148" t="n"/>
      <c r="F939" s="98" t="n"/>
    </row>
    <row r="940">
      <c r="A940" s="147" t="n"/>
      <c r="B940" s="98" t="n"/>
      <c r="C940" s="98" t="n"/>
      <c r="D940" s="98" t="n"/>
      <c r="E940" s="148" t="n"/>
      <c r="F940" s="98" t="n"/>
    </row>
    <row r="941">
      <c r="A941" s="147" t="n"/>
      <c r="B941" s="98" t="n"/>
      <c r="C941" s="98" t="n"/>
      <c r="D941" s="98" t="n"/>
      <c r="E941" s="148" t="n"/>
      <c r="F941" s="98" t="n"/>
    </row>
    <row r="942">
      <c r="A942" s="147" t="n"/>
      <c r="B942" s="98" t="n"/>
      <c r="C942" s="98" t="n"/>
      <c r="D942" s="98" t="n"/>
      <c r="E942" s="148" t="n"/>
      <c r="F942" s="98" t="n"/>
    </row>
    <row r="943">
      <c r="A943" s="147" t="n"/>
      <c r="B943" s="98" t="n"/>
      <c r="C943" s="98" t="n"/>
      <c r="D943" s="98" t="n"/>
      <c r="E943" s="148" t="n"/>
      <c r="F943" s="98" t="n"/>
    </row>
    <row r="944">
      <c r="A944" s="147" t="n"/>
      <c r="B944" s="98" t="n"/>
      <c r="C944" s="98" t="n"/>
      <c r="D944" s="98" t="n"/>
      <c r="E944" s="148" t="n"/>
      <c r="F944" s="98" t="n"/>
    </row>
    <row r="945">
      <c r="A945" s="147" t="n"/>
      <c r="B945" s="98" t="n"/>
      <c r="C945" s="98" t="n"/>
      <c r="D945" s="98" t="n"/>
      <c r="E945" s="148" t="n"/>
      <c r="F945" s="98" t="n"/>
    </row>
    <row r="946">
      <c r="A946" s="147" t="n"/>
      <c r="B946" s="98" t="n"/>
      <c r="C946" s="98" t="n"/>
      <c r="D946" s="98" t="n"/>
      <c r="E946" s="148" t="n"/>
      <c r="F946" s="98" t="n"/>
    </row>
    <row r="947">
      <c r="A947" s="147" t="n"/>
      <c r="B947" s="98" t="n"/>
      <c r="C947" s="98" t="n"/>
      <c r="D947" s="98" t="n"/>
      <c r="E947" s="148" t="n"/>
      <c r="F947" s="98" t="n"/>
    </row>
    <row r="948">
      <c r="A948" s="147" t="n"/>
      <c r="B948" s="98" t="n"/>
      <c r="C948" s="98" t="n"/>
      <c r="D948" s="98" t="n"/>
      <c r="E948" s="148" t="n"/>
      <c r="F948" s="98" t="n"/>
    </row>
    <row r="949">
      <c r="A949" s="147" t="n"/>
      <c r="B949" s="98" t="n"/>
      <c r="C949" s="98" t="n"/>
      <c r="D949" s="98" t="n"/>
      <c r="E949" s="148" t="n"/>
      <c r="F949" s="98" t="n"/>
    </row>
    <row r="950">
      <c r="A950" s="147" t="n"/>
      <c r="B950" s="98" t="n"/>
      <c r="C950" s="98" t="n"/>
      <c r="D950" s="98" t="n"/>
      <c r="E950" s="148" t="n"/>
      <c r="F950" s="98" t="n"/>
    </row>
    <row r="951">
      <c r="A951" s="147" t="n"/>
      <c r="B951" s="98" t="n"/>
      <c r="C951" s="98" t="n"/>
      <c r="D951" s="98" t="n"/>
      <c r="E951" s="148" t="n"/>
      <c r="F951" s="98" t="n"/>
    </row>
    <row r="952">
      <c r="A952" s="147" t="n"/>
      <c r="B952" s="98" t="n"/>
      <c r="C952" s="98" t="n"/>
      <c r="D952" s="98" t="n"/>
      <c r="E952" s="148" t="n"/>
      <c r="F952" s="98" t="n"/>
    </row>
    <row r="953">
      <c r="A953" s="147" t="n"/>
      <c r="B953" s="98" t="n"/>
      <c r="C953" s="98" t="n"/>
      <c r="D953" s="98" t="n"/>
      <c r="E953" s="148" t="n"/>
      <c r="F953" s="98" t="n"/>
    </row>
    <row r="954">
      <c r="A954" s="147" t="n"/>
      <c r="B954" s="98" t="n"/>
      <c r="C954" s="98" t="n"/>
      <c r="D954" s="98" t="n"/>
      <c r="E954" s="148" t="n"/>
      <c r="F954" s="98" t="n"/>
    </row>
    <row r="955">
      <c r="A955" s="147" t="n"/>
      <c r="B955" s="98" t="n"/>
      <c r="C955" s="98" t="n"/>
      <c r="D955" s="98" t="n"/>
      <c r="E955" s="148" t="n"/>
      <c r="F955" s="98" t="n"/>
    </row>
    <row r="956">
      <c r="A956" s="147" t="n"/>
      <c r="B956" s="98" t="n"/>
      <c r="C956" s="98" t="n"/>
      <c r="D956" s="98" t="n"/>
      <c r="E956" s="148" t="n"/>
      <c r="F956" s="98" t="n"/>
    </row>
    <row r="957">
      <c r="A957" s="147" t="n"/>
      <c r="B957" s="98" t="n"/>
      <c r="C957" s="98" t="n"/>
      <c r="D957" s="98" t="n"/>
      <c r="E957" s="148" t="n"/>
      <c r="F957" s="98" t="n"/>
    </row>
    <row r="958">
      <c r="A958" s="147" t="n"/>
      <c r="B958" s="98" t="n"/>
      <c r="C958" s="98" t="n"/>
      <c r="D958" s="98" t="n"/>
      <c r="E958" s="148" t="n"/>
      <c r="F958" s="98" t="n"/>
    </row>
    <row r="959">
      <c r="A959" s="147" t="n"/>
      <c r="B959" s="98" t="n"/>
      <c r="C959" s="98" t="n"/>
      <c r="D959" s="98" t="n"/>
      <c r="E959" s="148" t="n"/>
      <c r="F959" s="98" t="n"/>
    </row>
    <row r="960">
      <c r="A960" s="147" t="n"/>
      <c r="B960" s="98" t="n"/>
      <c r="C960" s="98" t="n"/>
      <c r="D960" s="98" t="n"/>
      <c r="E960" s="148" t="n"/>
      <c r="F960" s="98" t="n"/>
    </row>
    <row r="961">
      <c r="A961" s="147" t="n"/>
      <c r="B961" s="98" t="n"/>
      <c r="C961" s="98" t="n"/>
      <c r="D961" s="98" t="n"/>
      <c r="E961" s="148" t="n"/>
      <c r="F961" s="98" t="n"/>
    </row>
    <row r="962">
      <c r="A962" s="147" t="n"/>
      <c r="B962" s="98" t="n"/>
      <c r="C962" s="98" t="n"/>
      <c r="D962" s="98" t="n"/>
      <c r="E962" s="148" t="n"/>
      <c r="F962" s="98" t="n"/>
    </row>
    <row r="963">
      <c r="A963" s="147" t="n"/>
      <c r="B963" s="98" t="n"/>
      <c r="C963" s="98" t="n"/>
      <c r="D963" s="98" t="n"/>
      <c r="E963" s="148" t="n"/>
      <c r="F963" s="98" t="n"/>
    </row>
    <row r="964">
      <c r="A964" s="147" t="n"/>
      <c r="B964" s="98" t="n"/>
      <c r="C964" s="98" t="n"/>
      <c r="D964" s="98" t="n"/>
      <c r="E964" s="148" t="n"/>
      <c r="F964" s="98" t="n"/>
    </row>
    <row r="965">
      <c r="A965" s="147" t="n"/>
      <c r="B965" s="98" t="n"/>
      <c r="C965" s="98" t="n"/>
      <c r="D965" s="98" t="n"/>
      <c r="E965" s="148" t="n"/>
      <c r="F965" s="98" t="n"/>
    </row>
    <row r="966">
      <c r="A966" s="147" t="n"/>
      <c r="B966" s="98" t="n"/>
      <c r="C966" s="98" t="n"/>
      <c r="D966" s="98" t="n"/>
      <c r="E966" s="148" t="n"/>
      <c r="F966" s="98" t="n"/>
    </row>
    <row r="967">
      <c r="A967" s="147" t="n"/>
      <c r="B967" s="98" t="n"/>
      <c r="C967" s="98" t="n"/>
      <c r="D967" s="98" t="n"/>
      <c r="E967" s="148" t="n"/>
      <c r="F967" s="98" t="n"/>
    </row>
    <row r="968">
      <c r="A968" s="147" t="n"/>
      <c r="B968" s="98" t="n"/>
      <c r="C968" s="98" t="n"/>
      <c r="D968" s="98" t="n"/>
      <c r="E968" s="148" t="n"/>
      <c r="F968" s="98" t="n"/>
    </row>
    <row r="969">
      <c r="A969" s="147" t="n"/>
      <c r="B969" s="98" t="n"/>
      <c r="C969" s="98" t="n"/>
      <c r="D969" s="98" t="n"/>
      <c r="E969" s="148" t="n"/>
      <c r="F969" s="98" t="n"/>
    </row>
    <row r="970">
      <c r="A970" s="147" t="n"/>
      <c r="B970" s="98" t="n"/>
      <c r="C970" s="98" t="n"/>
      <c r="D970" s="98" t="n"/>
      <c r="E970" s="148" t="n"/>
      <c r="F970" s="98" t="n"/>
    </row>
    <row r="971">
      <c r="A971" s="147" t="n"/>
      <c r="B971" s="98" t="n"/>
      <c r="C971" s="98" t="n"/>
      <c r="D971" s="98" t="n"/>
      <c r="E971" s="148" t="n"/>
      <c r="F971" s="98" t="n"/>
    </row>
    <row r="972">
      <c r="A972" s="147" t="n"/>
      <c r="B972" s="98" t="n"/>
      <c r="C972" s="98" t="n"/>
      <c r="D972" s="98" t="n"/>
      <c r="E972" s="148" t="n"/>
      <c r="F972" s="98" t="n"/>
    </row>
    <row r="973">
      <c r="A973" s="147" t="n"/>
      <c r="B973" s="98" t="n"/>
      <c r="C973" s="98" t="n"/>
      <c r="D973" s="98" t="n"/>
      <c r="E973" s="148" t="n"/>
      <c r="F973" s="98" t="n"/>
    </row>
    <row r="974">
      <c r="A974" s="147" t="n"/>
      <c r="B974" s="98" t="n"/>
      <c r="C974" s="98" t="n"/>
      <c r="D974" s="98" t="n"/>
      <c r="E974" s="148" t="n"/>
      <c r="F974" s="98" t="n"/>
    </row>
    <row r="975">
      <c r="A975" s="147" t="n"/>
      <c r="B975" s="98" t="n"/>
      <c r="C975" s="98" t="n"/>
      <c r="D975" s="98" t="n"/>
      <c r="E975" s="148" t="n"/>
      <c r="F975" s="98" t="n"/>
    </row>
    <row r="976">
      <c r="A976" s="147" t="n"/>
      <c r="B976" s="98" t="n"/>
      <c r="C976" s="98" t="n"/>
      <c r="D976" s="98" t="n"/>
      <c r="E976" s="148" t="n"/>
      <c r="F976" s="98" t="n"/>
    </row>
    <row r="977">
      <c r="A977" s="147" t="n"/>
      <c r="B977" s="98" t="n"/>
      <c r="C977" s="98" t="n"/>
      <c r="D977" s="98" t="n"/>
      <c r="E977" s="148" t="n"/>
      <c r="F977" s="98" t="n"/>
    </row>
    <row r="978">
      <c r="A978" s="147" t="n"/>
      <c r="B978" s="98" t="n"/>
      <c r="C978" s="98" t="n"/>
      <c r="D978" s="98" t="n"/>
      <c r="E978" s="148" t="n"/>
      <c r="F978" s="98" t="n"/>
    </row>
    <row r="979">
      <c r="A979" s="147" t="n"/>
      <c r="B979" s="98" t="n"/>
      <c r="C979" s="98" t="n"/>
      <c r="D979" s="98" t="n"/>
      <c r="E979" s="148" t="n"/>
      <c r="F979" s="98" t="n"/>
    </row>
    <row r="980">
      <c r="A980" s="147" t="n"/>
      <c r="B980" s="98" t="n"/>
      <c r="C980" s="98" t="n"/>
      <c r="D980" s="98" t="n"/>
      <c r="E980" s="148" t="n"/>
      <c r="F980" s="98" t="n"/>
    </row>
    <row r="981">
      <c r="A981" s="147" t="n"/>
      <c r="B981" s="98" t="n"/>
      <c r="C981" s="98" t="n"/>
      <c r="D981" s="98" t="n"/>
      <c r="E981" s="148" t="n"/>
      <c r="F981" s="98" t="n"/>
    </row>
    <row r="982">
      <c r="A982" s="147" t="n"/>
      <c r="B982" s="98" t="n"/>
      <c r="C982" s="98" t="n"/>
      <c r="D982" s="98" t="n"/>
      <c r="E982" s="148" t="n"/>
      <c r="F982" s="98" t="n"/>
    </row>
    <row r="983">
      <c r="A983" s="147" t="n"/>
      <c r="B983" s="98" t="n"/>
      <c r="C983" s="98" t="n"/>
      <c r="D983" s="98" t="n"/>
      <c r="E983" s="148" t="n"/>
      <c r="F983" s="98" t="n"/>
    </row>
    <row r="984">
      <c r="A984" s="147" t="n"/>
      <c r="B984" s="98" t="n"/>
      <c r="C984" s="98" t="n"/>
      <c r="D984" s="98" t="n"/>
      <c r="E984" s="148" t="n"/>
      <c r="F984" s="98" t="n"/>
    </row>
    <row r="985">
      <c r="A985" s="147" t="n"/>
      <c r="B985" s="98" t="n"/>
      <c r="C985" s="98" t="n"/>
      <c r="D985" s="98" t="n"/>
      <c r="E985" s="148" t="n"/>
      <c r="F985" s="98" t="n"/>
    </row>
    <row r="986">
      <c r="A986" s="147" t="n"/>
      <c r="B986" s="98" t="n"/>
      <c r="C986" s="98" t="n"/>
      <c r="D986" s="98" t="n"/>
      <c r="E986" s="148" t="n"/>
      <c r="F986" s="98" t="n"/>
    </row>
    <row r="987">
      <c r="A987" s="147" t="n"/>
      <c r="B987" s="98" t="n"/>
      <c r="C987" s="98" t="n"/>
      <c r="D987" s="98" t="n"/>
      <c r="E987" s="148" t="n"/>
      <c r="F987" s="98" t="n"/>
    </row>
    <row r="988">
      <c r="A988" s="147" t="n"/>
      <c r="B988" s="98" t="n"/>
      <c r="C988" s="98" t="n"/>
      <c r="D988" s="98" t="n"/>
      <c r="E988" s="148" t="n"/>
      <c r="F988" s="98" t="n"/>
    </row>
    <row r="989">
      <c r="A989" s="147" t="n"/>
      <c r="B989" s="98" t="n"/>
      <c r="C989" s="98" t="n"/>
      <c r="D989" s="98" t="n"/>
      <c r="E989" s="148" t="n"/>
      <c r="F989" s="98" t="n"/>
    </row>
    <row r="990">
      <c r="A990" s="147" t="n"/>
      <c r="B990" s="98" t="n"/>
      <c r="C990" s="98" t="n"/>
      <c r="D990" s="98" t="n"/>
      <c r="E990" s="148" t="n"/>
      <c r="F990" s="98" t="n"/>
    </row>
    <row r="991">
      <c r="A991" s="147" t="n"/>
      <c r="B991" s="98" t="n"/>
      <c r="C991" s="98" t="n"/>
      <c r="D991" s="98" t="n"/>
      <c r="E991" s="148" t="n"/>
      <c r="F991" s="98" t="n"/>
    </row>
    <row r="992">
      <c r="A992" s="147" t="n"/>
      <c r="B992" s="98" t="n"/>
      <c r="C992" s="98" t="n"/>
      <c r="D992" s="98" t="n"/>
      <c r="E992" s="148" t="n"/>
      <c r="F992" s="98" t="n"/>
    </row>
    <row r="993">
      <c r="A993" s="147" t="n"/>
      <c r="B993" s="98" t="n"/>
      <c r="C993" s="98" t="n"/>
      <c r="D993" s="98" t="n"/>
      <c r="E993" s="148" t="n"/>
      <c r="F993" s="98" t="n"/>
    </row>
    <row r="994">
      <c r="A994" s="147" t="n"/>
      <c r="B994" s="98" t="n"/>
      <c r="C994" s="98" t="n"/>
      <c r="D994" s="98" t="n"/>
      <c r="E994" s="148" t="n"/>
      <c r="F994" s="98" t="n"/>
    </row>
    <row r="995">
      <c r="A995" s="147" t="n"/>
      <c r="B995" s="98" t="n"/>
      <c r="C995" s="98" t="n"/>
      <c r="D995" s="98" t="n"/>
      <c r="E995" s="148" t="n"/>
      <c r="F995" s="98" t="n"/>
    </row>
    <row r="996">
      <c r="A996" s="147" t="n"/>
      <c r="B996" s="98" t="n"/>
      <c r="C996" s="98" t="n"/>
      <c r="D996" s="98" t="n"/>
      <c r="E996" s="148" t="n"/>
      <c r="F996" s="98" t="n"/>
    </row>
    <row r="997">
      <c r="A997" s="147" t="n"/>
      <c r="B997" s="98" t="n"/>
      <c r="C997" s="98" t="n"/>
      <c r="D997" s="98" t="n"/>
      <c r="E997" s="148" t="n"/>
      <c r="F997" s="98" t="n"/>
    </row>
    <row r="998">
      <c r="A998" s="147" t="n"/>
      <c r="B998" s="98" t="n"/>
      <c r="C998" s="98" t="n"/>
      <c r="D998" s="98" t="n"/>
      <c r="E998" s="148" t="n"/>
      <c r="F998" s="98" t="n"/>
    </row>
    <row r="999">
      <c r="A999" s="147" t="n"/>
      <c r="B999" s="98" t="n"/>
      <c r="C999" s="98" t="n"/>
      <c r="D999" s="98" t="n"/>
      <c r="E999" s="148" t="n"/>
      <c r="F999" s="98" t="n"/>
    </row>
    <row r="1000">
      <c r="A1000" s="147" t="n"/>
      <c r="B1000" s="98" t="n"/>
      <c r="C1000" s="98" t="n"/>
      <c r="D1000" s="98" t="n"/>
      <c r="E1000" s="148" t="n"/>
      <c r="F1000" s="98" t="n"/>
    </row>
    <row r="1001">
      <c r="A1001" s="147" t="n"/>
      <c r="B1001" s="98" t="n"/>
      <c r="C1001" s="98" t="n"/>
      <c r="D1001" s="98" t="n"/>
      <c r="E1001" s="148" t="n"/>
      <c r="F1001" s="98" t="n"/>
    </row>
    <row r="1002">
      <c r="A1002" s="147" t="n"/>
      <c r="B1002" s="98" t="n"/>
      <c r="C1002" s="98" t="n"/>
      <c r="D1002" s="98" t="n"/>
      <c r="E1002" s="148" t="n"/>
      <c r="F1002" s="98" t="n"/>
    </row>
    <row r="1003">
      <c r="A1003" s="147" t="n"/>
      <c r="B1003" s="98" t="n"/>
      <c r="C1003" s="98" t="n"/>
      <c r="D1003" s="98" t="n"/>
      <c r="E1003" s="148" t="n"/>
      <c r="F1003" s="98" t="n"/>
    </row>
    <row r="1004">
      <c r="A1004" s="147" t="n"/>
      <c r="B1004" s="98" t="n"/>
      <c r="C1004" s="98" t="n"/>
      <c r="D1004" s="98" t="n"/>
      <c r="E1004" s="148" t="n"/>
      <c r="F1004" s="98"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8" t="n"/>
      <c r="B9" s="98" t="n"/>
      <c r="C9" s="98" t="n"/>
      <c r="D9" s="98" t="n"/>
      <c r="E9" s="98" t="n"/>
      <c r="F9" s="98" t="n"/>
      <c r="G9" s="98" t="n"/>
      <c r="H9" s="98" t="n"/>
      <c r="I9" s="98" t="n"/>
      <c r="J9" s="98" t="n"/>
      <c r="K9" s="98" t="n"/>
      <c r="L9" s="98" t="n"/>
      <c r="M9" s="98" t="n"/>
      <c r="N9" s="98" t="n"/>
      <c r="O9" s="98" t="n"/>
      <c r="P9" s="98" t="n"/>
      <c r="Q9" s="98" t="n"/>
      <c r="R9" s="98" t="n"/>
      <c r="S9" s="98" t="n"/>
      <c r="T9" s="98" t="n"/>
      <c r="U9" s="98" t="n"/>
      <c r="V9" s="98" t="n"/>
      <c r="W9" s="98" t="n"/>
      <c r="X9" s="98" t="n"/>
      <c r="Y9" s="98" t="n"/>
      <c r="Z9" s="98" t="n"/>
      <c r="AA9" s="98" t="n"/>
      <c r="AB9" s="98" t="n"/>
      <c r="AC9" s="98" t="n"/>
      <c r="AD9" s="98" t="n"/>
      <c r="AF9" s="10" t="inlineStr">
        <is>
          <t>date</t>
        </is>
      </c>
      <c r="AG9" s="10" t="inlineStr">
        <is>
          <t>drop_id</t>
        </is>
      </c>
      <c r="AH9" s="10" t="inlineStr">
        <is>
          <t>activity</t>
        </is>
      </c>
      <c r="AI9" s="10" t="inlineStr">
        <is>
          <t>hours</t>
        </is>
      </c>
      <c r="AK9" s="8" t="inlineStr">
        <is>
          <t>Checks</t>
        </is>
      </c>
    </row>
    <row r="10">
      <c r="AF10" s="107">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112">
        <f>IF(OR(AF10="",$D$5=""),0,IFERROR(IF(ISNUMBER(INDEX($A10:$AD10,1,$D$5)),INDEX($A10:$AD10,1,$D$5),TIMEVALUE(INDEX($A10:$AD10,1,$D$5)))*Inputs!$C$22,0))</f>
        <v/>
      </c>
      <c r="AK10" s="29" t="inlineStr">
        <is>
          <t>Rows with a date but zero hours</t>
        </is>
      </c>
      <c r="AL10" s="20">
        <f>COUNTIFS(Toggl_Import!$AF$10:$AF$509,"&gt;0",Toggl_Import!$AI$10:$AI$509,0)</f>
        <v/>
      </c>
    </row>
    <row r="11">
      <c r="AF11" s="107">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112">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07">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112">
        <f>IF(OR(AF12="",$D$5=""),0,IFERROR(IF(ISNUMBER(INDEX($A12:$AD12,1,$D$5)),INDEX($A12:$AD12,1,$D$5),TIMEVALUE(INDEX($A12:$AD12,1,$D$5)))*Inputs!$C$22,0))</f>
        <v/>
      </c>
      <c r="AK12" s="29" t="inlineStr">
        <is>
          <t>Total Toggl hours read</t>
        </is>
      </c>
      <c r="AL12" s="112">
        <f>SUM(Toggl_Import!$AI$10:$AI$509)</f>
        <v/>
      </c>
    </row>
    <row r="13">
      <c r="AF13" s="107">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112">
        <f>IF(OR(AF13="",$D$5=""),0,IFERROR(IF(ISNUMBER(INDEX($A13:$AD13,1,$D$5)),INDEX($A13:$AD13,1,$D$5),TIMEVALUE(INDEX($A13:$AD13,1,$D$5)))*Inputs!$C$22,0))</f>
        <v/>
      </c>
    </row>
    <row r="14">
      <c r="AF14" s="107">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112">
        <f>IF(OR(AF14="",$D$5=""),0,IFERROR(IF(ISNUMBER(INDEX($A14:$AD14,1,$D$5)),INDEX($A14:$AD14,1,$D$5),TIMEVALUE(INDEX($A14:$AD14,1,$D$5)))*Inputs!$C$22,0))</f>
        <v/>
      </c>
    </row>
    <row r="15">
      <c r="AF15" s="107">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112">
        <f>IF(OR(AF15="",$D$5=""),0,IFERROR(IF(ISNUMBER(INDEX($A15:$AD15,1,$D$5)),INDEX($A15:$AD15,1,$D$5),TIMEVALUE(INDEX($A15:$AD15,1,$D$5)))*Inputs!$C$22,0))</f>
        <v/>
      </c>
    </row>
    <row r="16">
      <c r="AF16" s="107">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112">
        <f>IF(OR(AF16="",$D$5=""),0,IFERROR(IF(ISNUMBER(INDEX($A16:$AD16,1,$D$5)),INDEX($A16:$AD16,1,$D$5),TIMEVALUE(INDEX($A16:$AD16,1,$D$5)))*Inputs!$C$22,0))</f>
        <v/>
      </c>
    </row>
    <row r="17">
      <c r="AF17" s="107">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112">
        <f>IF(OR(AF17="",$D$5=""),0,IFERROR(IF(ISNUMBER(INDEX($A17:$AD17,1,$D$5)),INDEX($A17:$AD17,1,$D$5),TIMEVALUE(INDEX($A17:$AD17,1,$D$5)))*Inputs!$C$22,0))</f>
        <v/>
      </c>
    </row>
    <row r="18">
      <c r="AF18" s="107">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112">
        <f>IF(OR(AF18="",$D$5=""),0,IFERROR(IF(ISNUMBER(INDEX($A18:$AD18,1,$D$5)),INDEX($A18:$AD18,1,$D$5),TIMEVALUE(INDEX($A18:$AD18,1,$D$5)))*Inputs!$C$22,0))</f>
        <v/>
      </c>
    </row>
    <row r="19">
      <c r="AF19" s="107">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112">
        <f>IF(OR(AF19="",$D$5=""),0,IFERROR(IF(ISNUMBER(INDEX($A19:$AD19,1,$D$5)),INDEX($A19:$AD19,1,$D$5),TIMEVALUE(INDEX($A19:$AD19,1,$D$5)))*Inputs!$C$22,0))</f>
        <v/>
      </c>
    </row>
    <row r="20">
      <c r="AF20" s="107">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112">
        <f>IF(OR(AF20="",$D$5=""),0,IFERROR(IF(ISNUMBER(INDEX($A20:$AD20,1,$D$5)),INDEX($A20:$AD20,1,$D$5),TIMEVALUE(INDEX($A20:$AD20,1,$D$5)))*Inputs!$C$22,0))</f>
        <v/>
      </c>
    </row>
    <row r="21">
      <c r="AF21" s="107">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112">
        <f>IF(OR(AF21="",$D$5=""),0,IFERROR(IF(ISNUMBER(INDEX($A21:$AD21,1,$D$5)),INDEX($A21:$AD21,1,$D$5),TIMEVALUE(INDEX($A21:$AD21,1,$D$5)))*Inputs!$C$22,0))</f>
        <v/>
      </c>
    </row>
    <row r="22">
      <c r="AF22" s="107">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112">
        <f>IF(OR(AF22="",$D$5=""),0,IFERROR(IF(ISNUMBER(INDEX($A22:$AD22,1,$D$5)),INDEX($A22:$AD22,1,$D$5),TIMEVALUE(INDEX($A22:$AD22,1,$D$5)))*Inputs!$C$22,0))</f>
        <v/>
      </c>
    </row>
    <row r="23">
      <c r="AF23" s="107">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112">
        <f>IF(OR(AF23="",$D$5=""),0,IFERROR(IF(ISNUMBER(INDEX($A23:$AD23,1,$D$5)),INDEX($A23:$AD23,1,$D$5),TIMEVALUE(INDEX($A23:$AD23,1,$D$5)))*Inputs!$C$22,0))</f>
        <v/>
      </c>
    </row>
    <row r="24">
      <c r="AF24" s="107">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112">
        <f>IF(OR(AF24="",$D$5=""),0,IFERROR(IF(ISNUMBER(INDEX($A24:$AD24,1,$D$5)),INDEX($A24:$AD24,1,$D$5),TIMEVALUE(INDEX($A24:$AD24,1,$D$5)))*Inputs!$C$22,0))</f>
        <v/>
      </c>
    </row>
    <row r="25">
      <c r="AF25" s="107">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112">
        <f>IF(OR(AF25="",$D$5=""),0,IFERROR(IF(ISNUMBER(INDEX($A25:$AD25,1,$D$5)),INDEX($A25:$AD25,1,$D$5),TIMEVALUE(INDEX($A25:$AD25,1,$D$5)))*Inputs!$C$22,0))</f>
        <v/>
      </c>
    </row>
    <row r="26">
      <c r="AF26" s="107">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112">
        <f>IF(OR(AF26="",$D$5=""),0,IFERROR(IF(ISNUMBER(INDEX($A26:$AD26,1,$D$5)),INDEX($A26:$AD26,1,$D$5),TIMEVALUE(INDEX($A26:$AD26,1,$D$5)))*Inputs!$C$22,0))</f>
        <v/>
      </c>
    </row>
    <row r="27">
      <c r="AF27" s="107">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112">
        <f>IF(OR(AF27="",$D$5=""),0,IFERROR(IF(ISNUMBER(INDEX($A27:$AD27,1,$D$5)),INDEX($A27:$AD27,1,$D$5),TIMEVALUE(INDEX($A27:$AD27,1,$D$5)))*Inputs!$C$22,0))</f>
        <v/>
      </c>
    </row>
    <row r="28">
      <c r="AF28" s="107">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112">
        <f>IF(OR(AF28="",$D$5=""),0,IFERROR(IF(ISNUMBER(INDEX($A28:$AD28,1,$D$5)),INDEX($A28:$AD28,1,$D$5),TIMEVALUE(INDEX($A28:$AD28,1,$D$5)))*Inputs!$C$22,0))</f>
        <v/>
      </c>
    </row>
    <row r="29">
      <c r="AF29" s="107">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112">
        <f>IF(OR(AF29="",$D$5=""),0,IFERROR(IF(ISNUMBER(INDEX($A29:$AD29,1,$D$5)),INDEX($A29:$AD29,1,$D$5),TIMEVALUE(INDEX($A29:$AD29,1,$D$5)))*Inputs!$C$22,0))</f>
        <v/>
      </c>
    </row>
    <row r="30">
      <c r="AF30" s="107">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112">
        <f>IF(OR(AF30="",$D$5=""),0,IFERROR(IF(ISNUMBER(INDEX($A30:$AD30,1,$D$5)),INDEX($A30:$AD30,1,$D$5),TIMEVALUE(INDEX($A30:$AD30,1,$D$5)))*Inputs!$C$22,0))</f>
        <v/>
      </c>
    </row>
    <row r="31">
      <c r="AF31" s="107">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112">
        <f>IF(OR(AF31="",$D$5=""),0,IFERROR(IF(ISNUMBER(INDEX($A31:$AD31,1,$D$5)),INDEX($A31:$AD31,1,$D$5),TIMEVALUE(INDEX($A31:$AD31,1,$D$5)))*Inputs!$C$22,0))</f>
        <v/>
      </c>
    </row>
    <row r="32">
      <c r="AF32" s="107">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112">
        <f>IF(OR(AF32="",$D$5=""),0,IFERROR(IF(ISNUMBER(INDEX($A32:$AD32,1,$D$5)),INDEX($A32:$AD32,1,$D$5),TIMEVALUE(INDEX($A32:$AD32,1,$D$5)))*Inputs!$C$22,0))</f>
        <v/>
      </c>
    </row>
    <row r="33">
      <c r="AF33" s="107">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112">
        <f>IF(OR(AF33="",$D$5=""),0,IFERROR(IF(ISNUMBER(INDEX($A33:$AD33,1,$D$5)),INDEX($A33:$AD33,1,$D$5),TIMEVALUE(INDEX($A33:$AD33,1,$D$5)))*Inputs!$C$22,0))</f>
        <v/>
      </c>
    </row>
    <row r="34">
      <c r="AF34" s="107">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112">
        <f>IF(OR(AF34="",$D$5=""),0,IFERROR(IF(ISNUMBER(INDEX($A34:$AD34,1,$D$5)),INDEX($A34:$AD34,1,$D$5),TIMEVALUE(INDEX($A34:$AD34,1,$D$5)))*Inputs!$C$22,0))</f>
        <v/>
      </c>
    </row>
    <row r="35">
      <c r="AF35" s="107">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112">
        <f>IF(OR(AF35="",$D$5=""),0,IFERROR(IF(ISNUMBER(INDEX($A35:$AD35,1,$D$5)),INDEX($A35:$AD35,1,$D$5),TIMEVALUE(INDEX($A35:$AD35,1,$D$5)))*Inputs!$C$22,0))</f>
        <v/>
      </c>
    </row>
    <row r="36">
      <c r="AF36" s="107">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112">
        <f>IF(OR(AF36="",$D$5=""),0,IFERROR(IF(ISNUMBER(INDEX($A36:$AD36,1,$D$5)),INDEX($A36:$AD36,1,$D$5),TIMEVALUE(INDEX($A36:$AD36,1,$D$5)))*Inputs!$C$22,0))</f>
        <v/>
      </c>
    </row>
    <row r="37">
      <c r="AF37" s="107">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112">
        <f>IF(OR(AF37="",$D$5=""),0,IFERROR(IF(ISNUMBER(INDEX($A37:$AD37,1,$D$5)),INDEX($A37:$AD37,1,$D$5),TIMEVALUE(INDEX($A37:$AD37,1,$D$5)))*Inputs!$C$22,0))</f>
        <v/>
      </c>
    </row>
    <row r="38">
      <c r="AF38" s="107">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112">
        <f>IF(OR(AF38="",$D$5=""),0,IFERROR(IF(ISNUMBER(INDEX($A38:$AD38,1,$D$5)),INDEX($A38:$AD38,1,$D$5),TIMEVALUE(INDEX($A38:$AD38,1,$D$5)))*Inputs!$C$22,0))</f>
        <v/>
      </c>
    </row>
    <row r="39">
      <c r="AF39" s="107">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112">
        <f>IF(OR(AF39="",$D$5=""),0,IFERROR(IF(ISNUMBER(INDEX($A39:$AD39,1,$D$5)),INDEX($A39:$AD39,1,$D$5),TIMEVALUE(INDEX($A39:$AD39,1,$D$5)))*Inputs!$C$22,0))</f>
        <v/>
      </c>
    </row>
    <row r="40">
      <c r="AF40" s="107">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112">
        <f>IF(OR(AF40="",$D$5=""),0,IFERROR(IF(ISNUMBER(INDEX($A40:$AD40,1,$D$5)),INDEX($A40:$AD40,1,$D$5),TIMEVALUE(INDEX($A40:$AD40,1,$D$5)))*Inputs!$C$22,0))</f>
        <v/>
      </c>
    </row>
    <row r="41">
      <c r="AF41" s="107">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112">
        <f>IF(OR(AF41="",$D$5=""),0,IFERROR(IF(ISNUMBER(INDEX($A41:$AD41,1,$D$5)),INDEX($A41:$AD41,1,$D$5),TIMEVALUE(INDEX($A41:$AD41,1,$D$5)))*Inputs!$C$22,0))</f>
        <v/>
      </c>
    </row>
    <row r="42">
      <c r="AF42" s="107">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112">
        <f>IF(OR(AF42="",$D$5=""),0,IFERROR(IF(ISNUMBER(INDEX($A42:$AD42,1,$D$5)),INDEX($A42:$AD42,1,$D$5),TIMEVALUE(INDEX($A42:$AD42,1,$D$5)))*Inputs!$C$22,0))</f>
        <v/>
      </c>
    </row>
    <row r="43">
      <c r="AF43" s="107">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112">
        <f>IF(OR(AF43="",$D$5=""),0,IFERROR(IF(ISNUMBER(INDEX($A43:$AD43,1,$D$5)),INDEX($A43:$AD43,1,$D$5),TIMEVALUE(INDEX($A43:$AD43,1,$D$5)))*Inputs!$C$22,0))</f>
        <v/>
      </c>
    </row>
    <row r="44">
      <c r="AF44" s="107">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112">
        <f>IF(OR(AF44="",$D$5=""),0,IFERROR(IF(ISNUMBER(INDEX($A44:$AD44,1,$D$5)),INDEX($A44:$AD44,1,$D$5),TIMEVALUE(INDEX($A44:$AD44,1,$D$5)))*Inputs!$C$22,0))</f>
        <v/>
      </c>
    </row>
    <row r="45">
      <c r="AF45" s="107">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112">
        <f>IF(OR(AF45="",$D$5=""),0,IFERROR(IF(ISNUMBER(INDEX($A45:$AD45,1,$D$5)),INDEX($A45:$AD45,1,$D$5),TIMEVALUE(INDEX($A45:$AD45,1,$D$5)))*Inputs!$C$22,0))</f>
        <v/>
      </c>
    </row>
    <row r="46">
      <c r="AF46" s="107">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112">
        <f>IF(OR(AF46="",$D$5=""),0,IFERROR(IF(ISNUMBER(INDEX($A46:$AD46,1,$D$5)),INDEX($A46:$AD46,1,$D$5),TIMEVALUE(INDEX($A46:$AD46,1,$D$5)))*Inputs!$C$22,0))</f>
        <v/>
      </c>
    </row>
    <row r="47">
      <c r="AF47" s="107">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112">
        <f>IF(OR(AF47="",$D$5=""),0,IFERROR(IF(ISNUMBER(INDEX($A47:$AD47,1,$D$5)),INDEX($A47:$AD47,1,$D$5),TIMEVALUE(INDEX($A47:$AD47,1,$D$5)))*Inputs!$C$22,0))</f>
        <v/>
      </c>
    </row>
    <row r="48">
      <c r="AF48" s="107">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112">
        <f>IF(OR(AF48="",$D$5=""),0,IFERROR(IF(ISNUMBER(INDEX($A48:$AD48,1,$D$5)),INDEX($A48:$AD48,1,$D$5),TIMEVALUE(INDEX($A48:$AD48,1,$D$5)))*Inputs!$C$22,0))</f>
        <v/>
      </c>
    </row>
    <row r="49">
      <c r="AF49" s="107">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112">
        <f>IF(OR(AF49="",$D$5=""),0,IFERROR(IF(ISNUMBER(INDEX($A49:$AD49,1,$D$5)),INDEX($A49:$AD49,1,$D$5),TIMEVALUE(INDEX($A49:$AD49,1,$D$5)))*Inputs!$C$22,0))</f>
        <v/>
      </c>
    </row>
    <row r="50">
      <c r="AF50" s="107">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112">
        <f>IF(OR(AF50="",$D$5=""),0,IFERROR(IF(ISNUMBER(INDEX($A50:$AD50,1,$D$5)),INDEX($A50:$AD50,1,$D$5),TIMEVALUE(INDEX($A50:$AD50,1,$D$5)))*Inputs!$C$22,0))</f>
        <v/>
      </c>
    </row>
    <row r="51">
      <c r="AF51" s="107">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112">
        <f>IF(OR(AF51="",$D$5=""),0,IFERROR(IF(ISNUMBER(INDEX($A51:$AD51,1,$D$5)),INDEX($A51:$AD51,1,$D$5),TIMEVALUE(INDEX($A51:$AD51,1,$D$5)))*Inputs!$C$22,0))</f>
        <v/>
      </c>
    </row>
    <row r="52">
      <c r="AF52" s="107">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112">
        <f>IF(OR(AF52="",$D$5=""),0,IFERROR(IF(ISNUMBER(INDEX($A52:$AD52,1,$D$5)),INDEX($A52:$AD52,1,$D$5),TIMEVALUE(INDEX($A52:$AD52,1,$D$5)))*Inputs!$C$22,0))</f>
        <v/>
      </c>
    </row>
    <row r="53">
      <c r="AF53" s="107">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112">
        <f>IF(OR(AF53="",$D$5=""),0,IFERROR(IF(ISNUMBER(INDEX($A53:$AD53,1,$D$5)),INDEX($A53:$AD53,1,$D$5),TIMEVALUE(INDEX($A53:$AD53,1,$D$5)))*Inputs!$C$22,0))</f>
        <v/>
      </c>
    </row>
    <row r="54">
      <c r="AF54" s="107">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112">
        <f>IF(OR(AF54="",$D$5=""),0,IFERROR(IF(ISNUMBER(INDEX($A54:$AD54,1,$D$5)),INDEX($A54:$AD54,1,$D$5),TIMEVALUE(INDEX($A54:$AD54,1,$D$5)))*Inputs!$C$22,0))</f>
        <v/>
      </c>
    </row>
    <row r="55">
      <c r="AF55" s="107">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112">
        <f>IF(OR(AF55="",$D$5=""),0,IFERROR(IF(ISNUMBER(INDEX($A55:$AD55,1,$D$5)),INDEX($A55:$AD55,1,$D$5),TIMEVALUE(INDEX($A55:$AD55,1,$D$5)))*Inputs!$C$22,0))</f>
        <v/>
      </c>
    </row>
    <row r="56">
      <c r="AF56" s="107">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112">
        <f>IF(OR(AF56="",$D$5=""),0,IFERROR(IF(ISNUMBER(INDEX($A56:$AD56,1,$D$5)),INDEX($A56:$AD56,1,$D$5),TIMEVALUE(INDEX($A56:$AD56,1,$D$5)))*Inputs!$C$22,0))</f>
        <v/>
      </c>
    </row>
    <row r="57">
      <c r="AF57" s="107">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112">
        <f>IF(OR(AF57="",$D$5=""),0,IFERROR(IF(ISNUMBER(INDEX($A57:$AD57,1,$D$5)),INDEX($A57:$AD57,1,$D$5),TIMEVALUE(INDEX($A57:$AD57,1,$D$5)))*Inputs!$C$22,0))</f>
        <v/>
      </c>
    </row>
    <row r="58">
      <c r="AF58" s="107">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112">
        <f>IF(OR(AF58="",$D$5=""),0,IFERROR(IF(ISNUMBER(INDEX($A58:$AD58,1,$D$5)),INDEX($A58:$AD58,1,$D$5),TIMEVALUE(INDEX($A58:$AD58,1,$D$5)))*Inputs!$C$22,0))</f>
        <v/>
      </c>
    </row>
    <row r="59">
      <c r="AF59" s="107">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112">
        <f>IF(OR(AF59="",$D$5=""),0,IFERROR(IF(ISNUMBER(INDEX($A59:$AD59,1,$D$5)),INDEX($A59:$AD59,1,$D$5),TIMEVALUE(INDEX($A59:$AD59,1,$D$5)))*Inputs!$C$22,0))</f>
        <v/>
      </c>
    </row>
    <row r="60">
      <c r="AF60" s="107">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112">
        <f>IF(OR(AF60="",$D$5=""),0,IFERROR(IF(ISNUMBER(INDEX($A60:$AD60,1,$D$5)),INDEX($A60:$AD60,1,$D$5),TIMEVALUE(INDEX($A60:$AD60,1,$D$5)))*Inputs!$C$22,0))</f>
        <v/>
      </c>
    </row>
    <row r="61">
      <c r="AF61" s="107">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112">
        <f>IF(OR(AF61="",$D$5=""),0,IFERROR(IF(ISNUMBER(INDEX($A61:$AD61,1,$D$5)),INDEX($A61:$AD61,1,$D$5),TIMEVALUE(INDEX($A61:$AD61,1,$D$5)))*Inputs!$C$22,0))</f>
        <v/>
      </c>
    </row>
    <row r="62">
      <c r="AF62" s="107">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112">
        <f>IF(OR(AF62="",$D$5=""),0,IFERROR(IF(ISNUMBER(INDEX($A62:$AD62,1,$D$5)),INDEX($A62:$AD62,1,$D$5),TIMEVALUE(INDEX($A62:$AD62,1,$D$5)))*Inputs!$C$22,0))</f>
        <v/>
      </c>
    </row>
    <row r="63">
      <c r="AF63" s="107">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112">
        <f>IF(OR(AF63="",$D$5=""),0,IFERROR(IF(ISNUMBER(INDEX($A63:$AD63,1,$D$5)),INDEX($A63:$AD63,1,$D$5),TIMEVALUE(INDEX($A63:$AD63,1,$D$5)))*Inputs!$C$22,0))</f>
        <v/>
      </c>
    </row>
    <row r="64">
      <c r="AF64" s="107">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112">
        <f>IF(OR(AF64="",$D$5=""),0,IFERROR(IF(ISNUMBER(INDEX($A64:$AD64,1,$D$5)),INDEX($A64:$AD64,1,$D$5),TIMEVALUE(INDEX($A64:$AD64,1,$D$5)))*Inputs!$C$22,0))</f>
        <v/>
      </c>
    </row>
    <row r="65">
      <c r="AF65" s="107">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112">
        <f>IF(OR(AF65="",$D$5=""),0,IFERROR(IF(ISNUMBER(INDEX($A65:$AD65,1,$D$5)),INDEX($A65:$AD65,1,$D$5),TIMEVALUE(INDEX($A65:$AD65,1,$D$5)))*Inputs!$C$22,0))</f>
        <v/>
      </c>
    </row>
    <row r="66">
      <c r="AF66" s="107">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112">
        <f>IF(OR(AF66="",$D$5=""),0,IFERROR(IF(ISNUMBER(INDEX($A66:$AD66,1,$D$5)),INDEX($A66:$AD66,1,$D$5),TIMEVALUE(INDEX($A66:$AD66,1,$D$5)))*Inputs!$C$22,0))</f>
        <v/>
      </c>
    </row>
    <row r="67">
      <c r="AF67" s="107">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112">
        <f>IF(OR(AF67="",$D$5=""),0,IFERROR(IF(ISNUMBER(INDEX($A67:$AD67,1,$D$5)),INDEX($A67:$AD67,1,$D$5),TIMEVALUE(INDEX($A67:$AD67,1,$D$5)))*Inputs!$C$22,0))</f>
        <v/>
      </c>
    </row>
    <row r="68">
      <c r="AF68" s="107">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112">
        <f>IF(OR(AF68="",$D$5=""),0,IFERROR(IF(ISNUMBER(INDEX($A68:$AD68,1,$D$5)),INDEX($A68:$AD68,1,$D$5),TIMEVALUE(INDEX($A68:$AD68,1,$D$5)))*Inputs!$C$22,0))</f>
        <v/>
      </c>
    </row>
    <row r="69">
      <c r="AF69" s="107">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112">
        <f>IF(OR(AF69="",$D$5=""),0,IFERROR(IF(ISNUMBER(INDEX($A69:$AD69,1,$D$5)),INDEX($A69:$AD69,1,$D$5),TIMEVALUE(INDEX($A69:$AD69,1,$D$5)))*Inputs!$C$22,0))</f>
        <v/>
      </c>
    </row>
    <row r="70">
      <c r="AF70" s="107">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112">
        <f>IF(OR(AF70="",$D$5=""),0,IFERROR(IF(ISNUMBER(INDEX($A70:$AD70,1,$D$5)),INDEX($A70:$AD70,1,$D$5),TIMEVALUE(INDEX($A70:$AD70,1,$D$5)))*Inputs!$C$22,0))</f>
        <v/>
      </c>
    </row>
    <row r="71">
      <c r="AF71" s="107">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112">
        <f>IF(OR(AF71="",$D$5=""),0,IFERROR(IF(ISNUMBER(INDEX($A71:$AD71,1,$D$5)),INDEX($A71:$AD71,1,$D$5),TIMEVALUE(INDEX($A71:$AD71,1,$D$5)))*Inputs!$C$22,0))</f>
        <v/>
      </c>
    </row>
    <row r="72">
      <c r="AF72" s="107">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112">
        <f>IF(OR(AF72="",$D$5=""),0,IFERROR(IF(ISNUMBER(INDEX($A72:$AD72,1,$D$5)),INDEX($A72:$AD72,1,$D$5),TIMEVALUE(INDEX($A72:$AD72,1,$D$5)))*Inputs!$C$22,0))</f>
        <v/>
      </c>
    </row>
    <row r="73">
      <c r="AF73" s="107">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112">
        <f>IF(OR(AF73="",$D$5=""),0,IFERROR(IF(ISNUMBER(INDEX($A73:$AD73,1,$D$5)),INDEX($A73:$AD73,1,$D$5),TIMEVALUE(INDEX($A73:$AD73,1,$D$5)))*Inputs!$C$22,0))</f>
        <v/>
      </c>
    </row>
    <row r="74">
      <c r="AF74" s="107">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112">
        <f>IF(OR(AF74="",$D$5=""),0,IFERROR(IF(ISNUMBER(INDEX($A74:$AD74,1,$D$5)),INDEX($A74:$AD74,1,$D$5),TIMEVALUE(INDEX($A74:$AD74,1,$D$5)))*Inputs!$C$22,0))</f>
        <v/>
      </c>
    </row>
    <row r="75">
      <c r="AF75" s="107">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112">
        <f>IF(OR(AF75="",$D$5=""),0,IFERROR(IF(ISNUMBER(INDEX($A75:$AD75,1,$D$5)),INDEX($A75:$AD75,1,$D$5),TIMEVALUE(INDEX($A75:$AD75,1,$D$5)))*Inputs!$C$22,0))</f>
        <v/>
      </c>
    </row>
    <row r="76">
      <c r="AF76" s="107">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112">
        <f>IF(OR(AF76="",$D$5=""),0,IFERROR(IF(ISNUMBER(INDEX($A76:$AD76,1,$D$5)),INDEX($A76:$AD76,1,$D$5),TIMEVALUE(INDEX($A76:$AD76,1,$D$5)))*Inputs!$C$22,0))</f>
        <v/>
      </c>
    </row>
    <row r="77">
      <c r="AF77" s="107">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112">
        <f>IF(OR(AF77="",$D$5=""),0,IFERROR(IF(ISNUMBER(INDEX($A77:$AD77,1,$D$5)),INDEX($A77:$AD77,1,$D$5),TIMEVALUE(INDEX($A77:$AD77,1,$D$5)))*Inputs!$C$22,0))</f>
        <v/>
      </c>
    </row>
    <row r="78">
      <c r="AF78" s="107">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112">
        <f>IF(OR(AF78="",$D$5=""),0,IFERROR(IF(ISNUMBER(INDEX($A78:$AD78,1,$D$5)),INDEX($A78:$AD78,1,$D$5),TIMEVALUE(INDEX($A78:$AD78,1,$D$5)))*Inputs!$C$22,0))</f>
        <v/>
      </c>
    </row>
    <row r="79">
      <c r="AF79" s="107">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112">
        <f>IF(OR(AF79="",$D$5=""),0,IFERROR(IF(ISNUMBER(INDEX($A79:$AD79,1,$D$5)),INDEX($A79:$AD79,1,$D$5),TIMEVALUE(INDEX($A79:$AD79,1,$D$5)))*Inputs!$C$22,0))</f>
        <v/>
      </c>
    </row>
    <row r="80">
      <c r="AF80" s="107">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112">
        <f>IF(OR(AF80="",$D$5=""),0,IFERROR(IF(ISNUMBER(INDEX($A80:$AD80,1,$D$5)),INDEX($A80:$AD80,1,$D$5),TIMEVALUE(INDEX($A80:$AD80,1,$D$5)))*Inputs!$C$22,0))</f>
        <v/>
      </c>
    </row>
    <row r="81">
      <c r="AF81" s="107">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112">
        <f>IF(OR(AF81="",$D$5=""),0,IFERROR(IF(ISNUMBER(INDEX($A81:$AD81,1,$D$5)),INDEX($A81:$AD81,1,$D$5),TIMEVALUE(INDEX($A81:$AD81,1,$D$5)))*Inputs!$C$22,0))</f>
        <v/>
      </c>
    </row>
    <row r="82">
      <c r="AF82" s="107">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112">
        <f>IF(OR(AF82="",$D$5=""),0,IFERROR(IF(ISNUMBER(INDEX($A82:$AD82,1,$D$5)),INDEX($A82:$AD82,1,$D$5),TIMEVALUE(INDEX($A82:$AD82,1,$D$5)))*Inputs!$C$22,0))</f>
        <v/>
      </c>
    </row>
    <row r="83">
      <c r="AF83" s="107">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112">
        <f>IF(OR(AF83="",$D$5=""),0,IFERROR(IF(ISNUMBER(INDEX($A83:$AD83,1,$D$5)),INDEX($A83:$AD83,1,$D$5),TIMEVALUE(INDEX($A83:$AD83,1,$D$5)))*Inputs!$C$22,0))</f>
        <v/>
      </c>
    </row>
    <row r="84">
      <c r="AF84" s="107">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112">
        <f>IF(OR(AF84="",$D$5=""),0,IFERROR(IF(ISNUMBER(INDEX($A84:$AD84,1,$D$5)),INDEX($A84:$AD84,1,$D$5),TIMEVALUE(INDEX($A84:$AD84,1,$D$5)))*Inputs!$C$22,0))</f>
        <v/>
      </c>
    </row>
    <row r="85">
      <c r="AF85" s="107">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112">
        <f>IF(OR(AF85="",$D$5=""),0,IFERROR(IF(ISNUMBER(INDEX($A85:$AD85,1,$D$5)),INDEX($A85:$AD85,1,$D$5),TIMEVALUE(INDEX($A85:$AD85,1,$D$5)))*Inputs!$C$22,0))</f>
        <v/>
      </c>
    </row>
    <row r="86">
      <c r="AF86" s="107">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112">
        <f>IF(OR(AF86="",$D$5=""),0,IFERROR(IF(ISNUMBER(INDEX($A86:$AD86,1,$D$5)),INDEX($A86:$AD86,1,$D$5),TIMEVALUE(INDEX($A86:$AD86,1,$D$5)))*Inputs!$C$22,0))</f>
        <v/>
      </c>
    </row>
    <row r="87">
      <c r="AF87" s="107">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112">
        <f>IF(OR(AF87="",$D$5=""),0,IFERROR(IF(ISNUMBER(INDEX($A87:$AD87,1,$D$5)),INDEX($A87:$AD87,1,$D$5),TIMEVALUE(INDEX($A87:$AD87,1,$D$5)))*Inputs!$C$22,0))</f>
        <v/>
      </c>
    </row>
    <row r="88">
      <c r="AF88" s="107">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112">
        <f>IF(OR(AF88="",$D$5=""),0,IFERROR(IF(ISNUMBER(INDEX($A88:$AD88,1,$D$5)),INDEX($A88:$AD88,1,$D$5),TIMEVALUE(INDEX($A88:$AD88,1,$D$5)))*Inputs!$C$22,0))</f>
        <v/>
      </c>
    </row>
    <row r="89">
      <c r="AF89" s="107">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112">
        <f>IF(OR(AF89="",$D$5=""),0,IFERROR(IF(ISNUMBER(INDEX($A89:$AD89,1,$D$5)),INDEX($A89:$AD89,1,$D$5),TIMEVALUE(INDEX($A89:$AD89,1,$D$5)))*Inputs!$C$22,0))</f>
        <v/>
      </c>
    </row>
    <row r="90">
      <c r="AF90" s="107">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112">
        <f>IF(OR(AF90="",$D$5=""),0,IFERROR(IF(ISNUMBER(INDEX($A90:$AD90,1,$D$5)),INDEX($A90:$AD90,1,$D$5),TIMEVALUE(INDEX($A90:$AD90,1,$D$5)))*Inputs!$C$22,0))</f>
        <v/>
      </c>
    </row>
    <row r="91">
      <c r="AF91" s="107">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112">
        <f>IF(OR(AF91="",$D$5=""),0,IFERROR(IF(ISNUMBER(INDEX($A91:$AD91,1,$D$5)),INDEX($A91:$AD91,1,$D$5),TIMEVALUE(INDEX($A91:$AD91,1,$D$5)))*Inputs!$C$22,0))</f>
        <v/>
      </c>
    </row>
    <row r="92">
      <c r="AF92" s="107">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112">
        <f>IF(OR(AF92="",$D$5=""),0,IFERROR(IF(ISNUMBER(INDEX($A92:$AD92,1,$D$5)),INDEX($A92:$AD92,1,$D$5),TIMEVALUE(INDEX($A92:$AD92,1,$D$5)))*Inputs!$C$22,0))</f>
        <v/>
      </c>
    </row>
    <row r="93">
      <c r="AF93" s="107">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112">
        <f>IF(OR(AF93="",$D$5=""),0,IFERROR(IF(ISNUMBER(INDEX($A93:$AD93,1,$D$5)),INDEX($A93:$AD93,1,$D$5),TIMEVALUE(INDEX($A93:$AD93,1,$D$5)))*Inputs!$C$22,0))</f>
        <v/>
      </c>
    </row>
    <row r="94">
      <c r="AF94" s="107">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112">
        <f>IF(OR(AF94="",$D$5=""),0,IFERROR(IF(ISNUMBER(INDEX($A94:$AD94,1,$D$5)),INDEX($A94:$AD94,1,$D$5),TIMEVALUE(INDEX($A94:$AD94,1,$D$5)))*Inputs!$C$22,0))</f>
        <v/>
      </c>
    </row>
    <row r="95">
      <c r="AF95" s="107">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112">
        <f>IF(OR(AF95="",$D$5=""),0,IFERROR(IF(ISNUMBER(INDEX($A95:$AD95,1,$D$5)),INDEX($A95:$AD95,1,$D$5),TIMEVALUE(INDEX($A95:$AD95,1,$D$5)))*Inputs!$C$22,0))</f>
        <v/>
      </c>
    </row>
    <row r="96">
      <c r="AF96" s="107">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112">
        <f>IF(OR(AF96="",$D$5=""),0,IFERROR(IF(ISNUMBER(INDEX($A96:$AD96,1,$D$5)),INDEX($A96:$AD96,1,$D$5),TIMEVALUE(INDEX($A96:$AD96,1,$D$5)))*Inputs!$C$22,0))</f>
        <v/>
      </c>
    </row>
    <row r="97">
      <c r="AF97" s="107">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112">
        <f>IF(OR(AF97="",$D$5=""),0,IFERROR(IF(ISNUMBER(INDEX($A97:$AD97,1,$D$5)),INDEX($A97:$AD97,1,$D$5),TIMEVALUE(INDEX($A97:$AD97,1,$D$5)))*Inputs!$C$22,0))</f>
        <v/>
      </c>
    </row>
    <row r="98">
      <c r="AF98" s="107">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112">
        <f>IF(OR(AF98="",$D$5=""),0,IFERROR(IF(ISNUMBER(INDEX($A98:$AD98,1,$D$5)),INDEX($A98:$AD98,1,$D$5),TIMEVALUE(INDEX($A98:$AD98,1,$D$5)))*Inputs!$C$22,0))</f>
        <v/>
      </c>
    </row>
    <row r="99">
      <c r="AF99" s="107">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112">
        <f>IF(OR(AF99="",$D$5=""),0,IFERROR(IF(ISNUMBER(INDEX($A99:$AD99,1,$D$5)),INDEX($A99:$AD99,1,$D$5),TIMEVALUE(INDEX($A99:$AD99,1,$D$5)))*Inputs!$C$22,0))</f>
        <v/>
      </c>
    </row>
    <row r="100">
      <c r="AF100" s="107">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112">
        <f>IF(OR(AF100="",$D$5=""),0,IFERROR(IF(ISNUMBER(INDEX($A100:$AD100,1,$D$5)),INDEX($A100:$AD100,1,$D$5),TIMEVALUE(INDEX($A100:$AD100,1,$D$5)))*Inputs!$C$22,0))</f>
        <v/>
      </c>
    </row>
    <row r="101">
      <c r="AF101" s="107">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112">
        <f>IF(OR(AF101="",$D$5=""),0,IFERROR(IF(ISNUMBER(INDEX($A101:$AD101,1,$D$5)),INDEX($A101:$AD101,1,$D$5),TIMEVALUE(INDEX($A101:$AD101,1,$D$5)))*Inputs!$C$22,0))</f>
        <v/>
      </c>
    </row>
    <row r="102">
      <c r="AF102" s="107">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112">
        <f>IF(OR(AF102="",$D$5=""),0,IFERROR(IF(ISNUMBER(INDEX($A102:$AD102,1,$D$5)),INDEX($A102:$AD102,1,$D$5),TIMEVALUE(INDEX($A102:$AD102,1,$D$5)))*Inputs!$C$22,0))</f>
        <v/>
      </c>
    </row>
    <row r="103">
      <c r="AF103" s="107">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112">
        <f>IF(OR(AF103="",$D$5=""),0,IFERROR(IF(ISNUMBER(INDEX($A103:$AD103,1,$D$5)),INDEX($A103:$AD103,1,$D$5),TIMEVALUE(INDEX($A103:$AD103,1,$D$5)))*Inputs!$C$22,0))</f>
        <v/>
      </c>
    </row>
    <row r="104">
      <c r="AF104" s="107">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112">
        <f>IF(OR(AF104="",$D$5=""),0,IFERROR(IF(ISNUMBER(INDEX($A104:$AD104,1,$D$5)),INDEX($A104:$AD104,1,$D$5),TIMEVALUE(INDEX($A104:$AD104,1,$D$5)))*Inputs!$C$22,0))</f>
        <v/>
      </c>
    </row>
    <row r="105">
      <c r="AF105" s="107">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112">
        <f>IF(OR(AF105="",$D$5=""),0,IFERROR(IF(ISNUMBER(INDEX($A105:$AD105,1,$D$5)),INDEX($A105:$AD105,1,$D$5),TIMEVALUE(INDEX($A105:$AD105,1,$D$5)))*Inputs!$C$22,0))</f>
        <v/>
      </c>
    </row>
    <row r="106">
      <c r="AF106" s="107">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112">
        <f>IF(OR(AF106="",$D$5=""),0,IFERROR(IF(ISNUMBER(INDEX($A106:$AD106,1,$D$5)),INDEX($A106:$AD106,1,$D$5),TIMEVALUE(INDEX($A106:$AD106,1,$D$5)))*Inputs!$C$22,0))</f>
        <v/>
      </c>
    </row>
    <row r="107">
      <c r="AF107" s="107">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112">
        <f>IF(OR(AF107="",$D$5=""),0,IFERROR(IF(ISNUMBER(INDEX($A107:$AD107,1,$D$5)),INDEX($A107:$AD107,1,$D$5),TIMEVALUE(INDEX($A107:$AD107,1,$D$5)))*Inputs!$C$22,0))</f>
        <v/>
      </c>
    </row>
    <row r="108">
      <c r="AF108" s="107">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112">
        <f>IF(OR(AF108="",$D$5=""),0,IFERROR(IF(ISNUMBER(INDEX($A108:$AD108,1,$D$5)),INDEX($A108:$AD108,1,$D$5),TIMEVALUE(INDEX($A108:$AD108,1,$D$5)))*Inputs!$C$22,0))</f>
        <v/>
      </c>
    </row>
    <row r="109">
      <c r="AF109" s="107">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112">
        <f>IF(OR(AF109="",$D$5=""),0,IFERROR(IF(ISNUMBER(INDEX($A109:$AD109,1,$D$5)),INDEX($A109:$AD109,1,$D$5),TIMEVALUE(INDEX($A109:$AD109,1,$D$5)))*Inputs!$C$22,0))</f>
        <v/>
      </c>
    </row>
    <row r="110">
      <c r="AF110" s="107">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112">
        <f>IF(OR(AF110="",$D$5=""),0,IFERROR(IF(ISNUMBER(INDEX($A110:$AD110,1,$D$5)),INDEX($A110:$AD110,1,$D$5),TIMEVALUE(INDEX($A110:$AD110,1,$D$5)))*Inputs!$C$22,0))</f>
        <v/>
      </c>
    </row>
    <row r="111">
      <c r="AF111" s="107">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112">
        <f>IF(OR(AF111="",$D$5=""),0,IFERROR(IF(ISNUMBER(INDEX($A111:$AD111,1,$D$5)),INDEX($A111:$AD111,1,$D$5),TIMEVALUE(INDEX($A111:$AD111,1,$D$5)))*Inputs!$C$22,0))</f>
        <v/>
      </c>
    </row>
    <row r="112">
      <c r="AF112" s="107">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112">
        <f>IF(OR(AF112="",$D$5=""),0,IFERROR(IF(ISNUMBER(INDEX($A112:$AD112,1,$D$5)),INDEX($A112:$AD112,1,$D$5),TIMEVALUE(INDEX($A112:$AD112,1,$D$5)))*Inputs!$C$22,0))</f>
        <v/>
      </c>
    </row>
    <row r="113">
      <c r="AF113" s="107">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112">
        <f>IF(OR(AF113="",$D$5=""),0,IFERROR(IF(ISNUMBER(INDEX($A113:$AD113,1,$D$5)),INDEX($A113:$AD113,1,$D$5),TIMEVALUE(INDEX($A113:$AD113,1,$D$5)))*Inputs!$C$22,0))</f>
        <v/>
      </c>
    </row>
    <row r="114">
      <c r="AF114" s="107">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112">
        <f>IF(OR(AF114="",$D$5=""),0,IFERROR(IF(ISNUMBER(INDEX($A114:$AD114,1,$D$5)),INDEX($A114:$AD114,1,$D$5),TIMEVALUE(INDEX($A114:$AD114,1,$D$5)))*Inputs!$C$22,0))</f>
        <v/>
      </c>
    </row>
    <row r="115">
      <c r="AF115" s="107">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112">
        <f>IF(OR(AF115="",$D$5=""),0,IFERROR(IF(ISNUMBER(INDEX($A115:$AD115,1,$D$5)),INDEX($A115:$AD115,1,$D$5),TIMEVALUE(INDEX($A115:$AD115,1,$D$5)))*Inputs!$C$22,0))</f>
        <v/>
      </c>
    </row>
    <row r="116">
      <c r="AF116" s="107">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112">
        <f>IF(OR(AF116="",$D$5=""),0,IFERROR(IF(ISNUMBER(INDEX($A116:$AD116,1,$D$5)),INDEX($A116:$AD116,1,$D$5),TIMEVALUE(INDEX($A116:$AD116,1,$D$5)))*Inputs!$C$22,0))</f>
        <v/>
      </c>
    </row>
    <row r="117">
      <c r="AF117" s="107">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112">
        <f>IF(OR(AF117="",$D$5=""),0,IFERROR(IF(ISNUMBER(INDEX($A117:$AD117,1,$D$5)),INDEX($A117:$AD117,1,$D$5),TIMEVALUE(INDEX($A117:$AD117,1,$D$5)))*Inputs!$C$22,0))</f>
        <v/>
      </c>
    </row>
    <row r="118">
      <c r="AF118" s="107">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112">
        <f>IF(OR(AF118="",$D$5=""),0,IFERROR(IF(ISNUMBER(INDEX($A118:$AD118,1,$D$5)),INDEX($A118:$AD118,1,$D$5),TIMEVALUE(INDEX($A118:$AD118,1,$D$5)))*Inputs!$C$22,0))</f>
        <v/>
      </c>
    </row>
    <row r="119">
      <c r="AF119" s="107">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112">
        <f>IF(OR(AF119="",$D$5=""),0,IFERROR(IF(ISNUMBER(INDEX($A119:$AD119,1,$D$5)),INDEX($A119:$AD119,1,$D$5),TIMEVALUE(INDEX($A119:$AD119,1,$D$5)))*Inputs!$C$22,0))</f>
        <v/>
      </c>
    </row>
    <row r="120">
      <c r="AF120" s="107">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112">
        <f>IF(OR(AF120="",$D$5=""),0,IFERROR(IF(ISNUMBER(INDEX($A120:$AD120,1,$D$5)),INDEX($A120:$AD120,1,$D$5),TIMEVALUE(INDEX($A120:$AD120,1,$D$5)))*Inputs!$C$22,0))</f>
        <v/>
      </c>
    </row>
    <row r="121">
      <c r="AF121" s="107">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112">
        <f>IF(OR(AF121="",$D$5=""),0,IFERROR(IF(ISNUMBER(INDEX($A121:$AD121,1,$D$5)),INDEX($A121:$AD121,1,$D$5),TIMEVALUE(INDEX($A121:$AD121,1,$D$5)))*Inputs!$C$22,0))</f>
        <v/>
      </c>
    </row>
    <row r="122">
      <c r="AF122" s="107">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112">
        <f>IF(OR(AF122="",$D$5=""),0,IFERROR(IF(ISNUMBER(INDEX($A122:$AD122,1,$D$5)),INDEX($A122:$AD122,1,$D$5),TIMEVALUE(INDEX($A122:$AD122,1,$D$5)))*Inputs!$C$22,0))</f>
        <v/>
      </c>
    </row>
    <row r="123">
      <c r="AF123" s="107">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112">
        <f>IF(OR(AF123="",$D$5=""),0,IFERROR(IF(ISNUMBER(INDEX($A123:$AD123,1,$D$5)),INDEX($A123:$AD123,1,$D$5),TIMEVALUE(INDEX($A123:$AD123,1,$D$5)))*Inputs!$C$22,0))</f>
        <v/>
      </c>
    </row>
    <row r="124">
      <c r="AF124" s="107">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112">
        <f>IF(OR(AF124="",$D$5=""),0,IFERROR(IF(ISNUMBER(INDEX($A124:$AD124,1,$D$5)),INDEX($A124:$AD124,1,$D$5),TIMEVALUE(INDEX($A124:$AD124,1,$D$5)))*Inputs!$C$22,0))</f>
        <v/>
      </c>
    </row>
    <row r="125">
      <c r="AF125" s="107">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112">
        <f>IF(OR(AF125="",$D$5=""),0,IFERROR(IF(ISNUMBER(INDEX($A125:$AD125,1,$D$5)),INDEX($A125:$AD125,1,$D$5),TIMEVALUE(INDEX($A125:$AD125,1,$D$5)))*Inputs!$C$22,0))</f>
        <v/>
      </c>
    </row>
    <row r="126">
      <c r="AF126" s="107">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112">
        <f>IF(OR(AF126="",$D$5=""),0,IFERROR(IF(ISNUMBER(INDEX($A126:$AD126,1,$D$5)),INDEX($A126:$AD126,1,$D$5),TIMEVALUE(INDEX($A126:$AD126,1,$D$5)))*Inputs!$C$22,0))</f>
        <v/>
      </c>
    </row>
    <row r="127">
      <c r="AF127" s="107">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112">
        <f>IF(OR(AF127="",$D$5=""),0,IFERROR(IF(ISNUMBER(INDEX($A127:$AD127,1,$D$5)),INDEX($A127:$AD127,1,$D$5),TIMEVALUE(INDEX($A127:$AD127,1,$D$5)))*Inputs!$C$22,0))</f>
        <v/>
      </c>
    </row>
    <row r="128">
      <c r="AF128" s="107">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112">
        <f>IF(OR(AF128="",$D$5=""),0,IFERROR(IF(ISNUMBER(INDEX($A128:$AD128,1,$D$5)),INDEX($A128:$AD128,1,$D$5),TIMEVALUE(INDEX($A128:$AD128,1,$D$5)))*Inputs!$C$22,0))</f>
        <v/>
      </c>
    </row>
    <row r="129">
      <c r="AF129" s="107">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112">
        <f>IF(OR(AF129="",$D$5=""),0,IFERROR(IF(ISNUMBER(INDEX($A129:$AD129,1,$D$5)),INDEX($A129:$AD129,1,$D$5),TIMEVALUE(INDEX($A129:$AD129,1,$D$5)))*Inputs!$C$22,0))</f>
        <v/>
      </c>
    </row>
    <row r="130">
      <c r="AF130" s="107">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112">
        <f>IF(OR(AF130="",$D$5=""),0,IFERROR(IF(ISNUMBER(INDEX($A130:$AD130,1,$D$5)),INDEX($A130:$AD130,1,$D$5),TIMEVALUE(INDEX($A130:$AD130,1,$D$5)))*Inputs!$C$22,0))</f>
        <v/>
      </c>
    </row>
    <row r="131">
      <c r="AF131" s="107">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112">
        <f>IF(OR(AF131="",$D$5=""),0,IFERROR(IF(ISNUMBER(INDEX($A131:$AD131,1,$D$5)),INDEX($A131:$AD131,1,$D$5),TIMEVALUE(INDEX($A131:$AD131,1,$D$5)))*Inputs!$C$22,0))</f>
        <v/>
      </c>
    </row>
    <row r="132">
      <c r="AF132" s="107">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112">
        <f>IF(OR(AF132="",$D$5=""),0,IFERROR(IF(ISNUMBER(INDEX($A132:$AD132,1,$D$5)),INDEX($A132:$AD132,1,$D$5),TIMEVALUE(INDEX($A132:$AD132,1,$D$5)))*Inputs!$C$22,0))</f>
        <v/>
      </c>
    </row>
    <row r="133">
      <c r="AF133" s="107">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112">
        <f>IF(OR(AF133="",$D$5=""),0,IFERROR(IF(ISNUMBER(INDEX($A133:$AD133,1,$D$5)),INDEX($A133:$AD133,1,$D$5),TIMEVALUE(INDEX($A133:$AD133,1,$D$5)))*Inputs!$C$22,0))</f>
        <v/>
      </c>
    </row>
    <row r="134">
      <c r="AF134" s="107">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112">
        <f>IF(OR(AF134="",$D$5=""),0,IFERROR(IF(ISNUMBER(INDEX($A134:$AD134,1,$D$5)),INDEX($A134:$AD134,1,$D$5),TIMEVALUE(INDEX($A134:$AD134,1,$D$5)))*Inputs!$C$22,0))</f>
        <v/>
      </c>
    </row>
    <row r="135">
      <c r="AF135" s="107">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112">
        <f>IF(OR(AF135="",$D$5=""),0,IFERROR(IF(ISNUMBER(INDEX($A135:$AD135,1,$D$5)),INDEX($A135:$AD135,1,$D$5),TIMEVALUE(INDEX($A135:$AD135,1,$D$5)))*Inputs!$C$22,0))</f>
        <v/>
      </c>
    </row>
    <row r="136">
      <c r="AF136" s="107">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112">
        <f>IF(OR(AF136="",$D$5=""),0,IFERROR(IF(ISNUMBER(INDEX($A136:$AD136,1,$D$5)),INDEX($A136:$AD136,1,$D$5),TIMEVALUE(INDEX($A136:$AD136,1,$D$5)))*Inputs!$C$22,0))</f>
        <v/>
      </c>
    </row>
    <row r="137">
      <c r="AF137" s="107">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112">
        <f>IF(OR(AF137="",$D$5=""),0,IFERROR(IF(ISNUMBER(INDEX($A137:$AD137,1,$D$5)),INDEX($A137:$AD137,1,$D$5),TIMEVALUE(INDEX($A137:$AD137,1,$D$5)))*Inputs!$C$22,0))</f>
        <v/>
      </c>
    </row>
    <row r="138">
      <c r="AF138" s="107">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112">
        <f>IF(OR(AF138="",$D$5=""),0,IFERROR(IF(ISNUMBER(INDEX($A138:$AD138,1,$D$5)),INDEX($A138:$AD138,1,$D$5),TIMEVALUE(INDEX($A138:$AD138,1,$D$5)))*Inputs!$C$22,0))</f>
        <v/>
      </c>
    </row>
    <row r="139">
      <c r="AF139" s="107">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112">
        <f>IF(OR(AF139="",$D$5=""),0,IFERROR(IF(ISNUMBER(INDEX($A139:$AD139,1,$D$5)),INDEX($A139:$AD139,1,$D$5),TIMEVALUE(INDEX($A139:$AD139,1,$D$5)))*Inputs!$C$22,0))</f>
        <v/>
      </c>
    </row>
    <row r="140">
      <c r="AF140" s="107">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112">
        <f>IF(OR(AF140="",$D$5=""),0,IFERROR(IF(ISNUMBER(INDEX($A140:$AD140,1,$D$5)),INDEX($A140:$AD140,1,$D$5),TIMEVALUE(INDEX($A140:$AD140,1,$D$5)))*Inputs!$C$22,0))</f>
        <v/>
      </c>
    </row>
    <row r="141">
      <c r="AF141" s="107">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112">
        <f>IF(OR(AF141="",$D$5=""),0,IFERROR(IF(ISNUMBER(INDEX($A141:$AD141,1,$D$5)),INDEX($A141:$AD141,1,$D$5),TIMEVALUE(INDEX($A141:$AD141,1,$D$5)))*Inputs!$C$22,0))</f>
        <v/>
      </c>
    </row>
    <row r="142">
      <c r="AF142" s="107">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112">
        <f>IF(OR(AF142="",$D$5=""),0,IFERROR(IF(ISNUMBER(INDEX($A142:$AD142,1,$D$5)),INDEX($A142:$AD142,1,$D$5),TIMEVALUE(INDEX($A142:$AD142,1,$D$5)))*Inputs!$C$22,0))</f>
        <v/>
      </c>
    </row>
    <row r="143">
      <c r="AF143" s="107">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112">
        <f>IF(OR(AF143="",$D$5=""),0,IFERROR(IF(ISNUMBER(INDEX($A143:$AD143,1,$D$5)),INDEX($A143:$AD143,1,$D$5),TIMEVALUE(INDEX($A143:$AD143,1,$D$5)))*Inputs!$C$22,0))</f>
        <v/>
      </c>
    </row>
    <row r="144">
      <c r="AF144" s="107">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112">
        <f>IF(OR(AF144="",$D$5=""),0,IFERROR(IF(ISNUMBER(INDEX($A144:$AD144,1,$D$5)),INDEX($A144:$AD144,1,$D$5),TIMEVALUE(INDEX($A144:$AD144,1,$D$5)))*Inputs!$C$22,0))</f>
        <v/>
      </c>
    </row>
    <row r="145">
      <c r="AF145" s="107">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112">
        <f>IF(OR(AF145="",$D$5=""),0,IFERROR(IF(ISNUMBER(INDEX($A145:$AD145,1,$D$5)),INDEX($A145:$AD145,1,$D$5),TIMEVALUE(INDEX($A145:$AD145,1,$D$5)))*Inputs!$C$22,0))</f>
        <v/>
      </c>
    </row>
    <row r="146">
      <c r="AF146" s="107">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112">
        <f>IF(OR(AF146="",$D$5=""),0,IFERROR(IF(ISNUMBER(INDEX($A146:$AD146,1,$D$5)),INDEX($A146:$AD146,1,$D$5),TIMEVALUE(INDEX($A146:$AD146,1,$D$5)))*Inputs!$C$22,0))</f>
        <v/>
      </c>
    </row>
    <row r="147">
      <c r="AF147" s="107">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112">
        <f>IF(OR(AF147="",$D$5=""),0,IFERROR(IF(ISNUMBER(INDEX($A147:$AD147,1,$D$5)),INDEX($A147:$AD147,1,$D$5),TIMEVALUE(INDEX($A147:$AD147,1,$D$5)))*Inputs!$C$22,0))</f>
        <v/>
      </c>
    </row>
    <row r="148">
      <c r="AF148" s="107">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112">
        <f>IF(OR(AF148="",$D$5=""),0,IFERROR(IF(ISNUMBER(INDEX($A148:$AD148,1,$D$5)),INDEX($A148:$AD148,1,$D$5),TIMEVALUE(INDEX($A148:$AD148,1,$D$5)))*Inputs!$C$22,0))</f>
        <v/>
      </c>
    </row>
    <row r="149">
      <c r="AF149" s="107">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112">
        <f>IF(OR(AF149="",$D$5=""),0,IFERROR(IF(ISNUMBER(INDEX($A149:$AD149,1,$D$5)),INDEX($A149:$AD149,1,$D$5),TIMEVALUE(INDEX($A149:$AD149,1,$D$5)))*Inputs!$C$22,0))</f>
        <v/>
      </c>
    </row>
    <row r="150">
      <c r="AF150" s="107">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112">
        <f>IF(OR(AF150="",$D$5=""),0,IFERROR(IF(ISNUMBER(INDEX($A150:$AD150,1,$D$5)),INDEX($A150:$AD150,1,$D$5),TIMEVALUE(INDEX($A150:$AD150,1,$D$5)))*Inputs!$C$22,0))</f>
        <v/>
      </c>
    </row>
    <row r="151">
      <c r="AF151" s="107">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112">
        <f>IF(OR(AF151="",$D$5=""),0,IFERROR(IF(ISNUMBER(INDEX($A151:$AD151,1,$D$5)),INDEX($A151:$AD151,1,$D$5),TIMEVALUE(INDEX($A151:$AD151,1,$D$5)))*Inputs!$C$22,0))</f>
        <v/>
      </c>
    </row>
    <row r="152">
      <c r="AF152" s="107">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112">
        <f>IF(OR(AF152="",$D$5=""),0,IFERROR(IF(ISNUMBER(INDEX($A152:$AD152,1,$D$5)),INDEX($A152:$AD152,1,$D$5),TIMEVALUE(INDEX($A152:$AD152,1,$D$5)))*Inputs!$C$22,0))</f>
        <v/>
      </c>
    </row>
    <row r="153">
      <c r="AF153" s="107">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112">
        <f>IF(OR(AF153="",$D$5=""),0,IFERROR(IF(ISNUMBER(INDEX($A153:$AD153,1,$D$5)),INDEX($A153:$AD153,1,$D$5),TIMEVALUE(INDEX($A153:$AD153,1,$D$5)))*Inputs!$C$22,0))</f>
        <v/>
      </c>
    </row>
    <row r="154">
      <c r="AF154" s="107">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112">
        <f>IF(OR(AF154="",$D$5=""),0,IFERROR(IF(ISNUMBER(INDEX($A154:$AD154,1,$D$5)),INDEX($A154:$AD154,1,$D$5),TIMEVALUE(INDEX($A154:$AD154,1,$D$5)))*Inputs!$C$22,0))</f>
        <v/>
      </c>
    </row>
    <row r="155">
      <c r="AF155" s="107">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112">
        <f>IF(OR(AF155="",$D$5=""),0,IFERROR(IF(ISNUMBER(INDEX($A155:$AD155,1,$D$5)),INDEX($A155:$AD155,1,$D$5),TIMEVALUE(INDEX($A155:$AD155,1,$D$5)))*Inputs!$C$22,0))</f>
        <v/>
      </c>
    </row>
    <row r="156">
      <c r="AF156" s="107">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112">
        <f>IF(OR(AF156="",$D$5=""),0,IFERROR(IF(ISNUMBER(INDEX($A156:$AD156,1,$D$5)),INDEX($A156:$AD156,1,$D$5),TIMEVALUE(INDEX($A156:$AD156,1,$D$5)))*Inputs!$C$22,0))</f>
        <v/>
      </c>
    </row>
    <row r="157">
      <c r="AF157" s="107">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112">
        <f>IF(OR(AF157="",$D$5=""),0,IFERROR(IF(ISNUMBER(INDEX($A157:$AD157,1,$D$5)),INDEX($A157:$AD157,1,$D$5),TIMEVALUE(INDEX($A157:$AD157,1,$D$5)))*Inputs!$C$22,0))</f>
        <v/>
      </c>
    </row>
    <row r="158">
      <c r="AF158" s="107">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112">
        <f>IF(OR(AF158="",$D$5=""),0,IFERROR(IF(ISNUMBER(INDEX($A158:$AD158,1,$D$5)),INDEX($A158:$AD158,1,$D$5),TIMEVALUE(INDEX($A158:$AD158,1,$D$5)))*Inputs!$C$22,0))</f>
        <v/>
      </c>
    </row>
    <row r="159">
      <c r="AF159" s="107">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112">
        <f>IF(OR(AF159="",$D$5=""),0,IFERROR(IF(ISNUMBER(INDEX($A159:$AD159,1,$D$5)),INDEX($A159:$AD159,1,$D$5),TIMEVALUE(INDEX($A159:$AD159,1,$D$5)))*Inputs!$C$22,0))</f>
        <v/>
      </c>
    </row>
    <row r="160">
      <c r="AF160" s="107">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112">
        <f>IF(OR(AF160="",$D$5=""),0,IFERROR(IF(ISNUMBER(INDEX($A160:$AD160,1,$D$5)),INDEX($A160:$AD160,1,$D$5),TIMEVALUE(INDEX($A160:$AD160,1,$D$5)))*Inputs!$C$22,0))</f>
        <v/>
      </c>
    </row>
    <row r="161">
      <c r="AF161" s="107">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112">
        <f>IF(OR(AF161="",$D$5=""),0,IFERROR(IF(ISNUMBER(INDEX($A161:$AD161,1,$D$5)),INDEX($A161:$AD161,1,$D$5),TIMEVALUE(INDEX($A161:$AD161,1,$D$5)))*Inputs!$C$22,0))</f>
        <v/>
      </c>
    </row>
    <row r="162">
      <c r="AF162" s="107">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112">
        <f>IF(OR(AF162="",$D$5=""),0,IFERROR(IF(ISNUMBER(INDEX($A162:$AD162,1,$D$5)),INDEX($A162:$AD162,1,$D$5),TIMEVALUE(INDEX($A162:$AD162,1,$D$5)))*Inputs!$C$22,0))</f>
        <v/>
      </c>
    </row>
    <row r="163">
      <c r="AF163" s="107">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112">
        <f>IF(OR(AF163="",$D$5=""),0,IFERROR(IF(ISNUMBER(INDEX($A163:$AD163,1,$D$5)),INDEX($A163:$AD163,1,$D$5),TIMEVALUE(INDEX($A163:$AD163,1,$D$5)))*Inputs!$C$22,0))</f>
        <v/>
      </c>
    </row>
    <row r="164">
      <c r="AF164" s="107">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112">
        <f>IF(OR(AF164="",$D$5=""),0,IFERROR(IF(ISNUMBER(INDEX($A164:$AD164,1,$D$5)),INDEX($A164:$AD164,1,$D$5),TIMEVALUE(INDEX($A164:$AD164,1,$D$5)))*Inputs!$C$22,0))</f>
        <v/>
      </c>
    </row>
    <row r="165">
      <c r="AF165" s="107">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112">
        <f>IF(OR(AF165="",$D$5=""),0,IFERROR(IF(ISNUMBER(INDEX($A165:$AD165,1,$D$5)),INDEX($A165:$AD165,1,$D$5),TIMEVALUE(INDEX($A165:$AD165,1,$D$5)))*Inputs!$C$22,0))</f>
        <v/>
      </c>
    </row>
    <row r="166">
      <c r="AF166" s="107">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112">
        <f>IF(OR(AF166="",$D$5=""),0,IFERROR(IF(ISNUMBER(INDEX($A166:$AD166,1,$D$5)),INDEX($A166:$AD166,1,$D$5),TIMEVALUE(INDEX($A166:$AD166,1,$D$5)))*Inputs!$C$22,0))</f>
        <v/>
      </c>
    </row>
    <row r="167">
      <c r="AF167" s="107">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112">
        <f>IF(OR(AF167="",$D$5=""),0,IFERROR(IF(ISNUMBER(INDEX($A167:$AD167,1,$D$5)),INDEX($A167:$AD167,1,$D$5),TIMEVALUE(INDEX($A167:$AD167,1,$D$5)))*Inputs!$C$22,0))</f>
        <v/>
      </c>
    </row>
    <row r="168">
      <c r="AF168" s="107">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112">
        <f>IF(OR(AF168="",$D$5=""),0,IFERROR(IF(ISNUMBER(INDEX($A168:$AD168,1,$D$5)),INDEX($A168:$AD168,1,$D$5),TIMEVALUE(INDEX($A168:$AD168,1,$D$5)))*Inputs!$C$22,0))</f>
        <v/>
      </c>
    </row>
    <row r="169">
      <c r="AF169" s="107">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112">
        <f>IF(OR(AF169="",$D$5=""),0,IFERROR(IF(ISNUMBER(INDEX($A169:$AD169,1,$D$5)),INDEX($A169:$AD169,1,$D$5),TIMEVALUE(INDEX($A169:$AD169,1,$D$5)))*Inputs!$C$22,0))</f>
        <v/>
      </c>
    </row>
    <row r="170">
      <c r="AF170" s="107">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112">
        <f>IF(OR(AF170="",$D$5=""),0,IFERROR(IF(ISNUMBER(INDEX($A170:$AD170,1,$D$5)),INDEX($A170:$AD170,1,$D$5),TIMEVALUE(INDEX($A170:$AD170,1,$D$5)))*Inputs!$C$22,0))</f>
        <v/>
      </c>
    </row>
    <row r="171">
      <c r="AF171" s="107">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112">
        <f>IF(OR(AF171="",$D$5=""),0,IFERROR(IF(ISNUMBER(INDEX($A171:$AD171,1,$D$5)),INDEX($A171:$AD171,1,$D$5),TIMEVALUE(INDEX($A171:$AD171,1,$D$5)))*Inputs!$C$22,0))</f>
        <v/>
      </c>
    </row>
    <row r="172">
      <c r="AF172" s="107">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112">
        <f>IF(OR(AF172="",$D$5=""),0,IFERROR(IF(ISNUMBER(INDEX($A172:$AD172,1,$D$5)),INDEX($A172:$AD172,1,$D$5),TIMEVALUE(INDEX($A172:$AD172,1,$D$5)))*Inputs!$C$22,0))</f>
        <v/>
      </c>
    </row>
    <row r="173">
      <c r="AF173" s="107">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112">
        <f>IF(OR(AF173="",$D$5=""),0,IFERROR(IF(ISNUMBER(INDEX($A173:$AD173,1,$D$5)),INDEX($A173:$AD173,1,$D$5),TIMEVALUE(INDEX($A173:$AD173,1,$D$5)))*Inputs!$C$22,0))</f>
        <v/>
      </c>
    </row>
    <row r="174">
      <c r="AF174" s="107">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112">
        <f>IF(OR(AF174="",$D$5=""),0,IFERROR(IF(ISNUMBER(INDEX($A174:$AD174,1,$D$5)),INDEX($A174:$AD174,1,$D$5),TIMEVALUE(INDEX($A174:$AD174,1,$D$5)))*Inputs!$C$22,0))</f>
        <v/>
      </c>
    </row>
    <row r="175">
      <c r="AF175" s="107">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112">
        <f>IF(OR(AF175="",$D$5=""),0,IFERROR(IF(ISNUMBER(INDEX($A175:$AD175,1,$D$5)),INDEX($A175:$AD175,1,$D$5),TIMEVALUE(INDEX($A175:$AD175,1,$D$5)))*Inputs!$C$22,0))</f>
        <v/>
      </c>
    </row>
    <row r="176">
      <c r="AF176" s="107">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112">
        <f>IF(OR(AF176="",$D$5=""),0,IFERROR(IF(ISNUMBER(INDEX($A176:$AD176,1,$D$5)),INDEX($A176:$AD176,1,$D$5),TIMEVALUE(INDEX($A176:$AD176,1,$D$5)))*Inputs!$C$22,0))</f>
        <v/>
      </c>
    </row>
    <row r="177">
      <c r="AF177" s="107">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112">
        <f>IF(OR(AF177="",$D$5=""),0,IFERROR(IF(ISNUMBER(INDEX($A177:$AD177,1,$D$5)),INDEX($A177:$AD177,1,$D$5),TIMEVALUE(INDEX($A177:$AD177,1,$D$5)))*Inputs!$C$22,0))</f>
        <v/>
      </c>
    </row>
    <row r="178">
      <c r="AF178" s="107">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112">
        <f>IF(OR(AF178="",$D$5=""),0,IFERROR(IF(ISNUMBER(INDEX($A178:$AD178,1,$D$5)),INDEX($A178:$AD178,1,$D$5),TIMEVALUE(INDEX($A178:$AD178,1,$D$5)))*Inputs!$C$22,0))</f>
        <v/>
      </c>
    </row>
    <row r="179">
      <c r="AF179" s="107">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112">
        <f>IF(OR(AF179="",$D$5=""),0,IFERROR(IF(ISNUMBER(INDEX($A179:$AD179,1,$D$5)),INDEX($A179:$AD179,1,$D$5),TIMEVALUE(INDEX($A179:$AD179,1,$D$5)))*Inputs!$C$22,0))</f>
        <v/>
      </c>
    </row>
    <row r="180">
      <c r="AF180" s="107">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112">
        <f>IF(OR(AF180="",$D$5=""),0,IFERROR(IF(ISNUMBER(INDEX($A180:$AD180,1,$D$5)),INDEX($A180:$AD180,1,$D$5),TIMEVALUE(INDEX($A180:$AD180,1,$D$5)))*Inputs!$C$22,0))</f>
        <v/>
      </c>
    </row>
    <row r="181">
      <c r="AF181" s="107">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112">
        <f>IF(OR(AF181="",$D$5=""),0,IFERROR(IF(ISNUMBER(INDEX($A181:$AD181,1,$D$5)),INDEX($A181:$AD181,1,$D$5),TIMEVALUE(INDEX($A181:$AD181,1,$D$5)))*Inputs!$C$22,0))</f>
        <v/>
      </c>
    </row>
    <row r="182">
      <c r="AF182" s="107">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112">
        <f>IF(OR(AF182="",$D$5=""),0,IFERROR(IF(ISNUMBER(INDEX($A182:$AD182,1,$D$5)),INDEX($A182:$AD182,1,$D$5),TIMEVALUE(INDEX($A182:$AD182,1,$D$5)))*Inputs!$C$22,0))</f>
        <v/>
      </c>
    </row>
    <row r="183">
      <c r="AF183" s="107">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112">
        <f>IF(OR(AF183="",$D$5=""),0,IFERROR(IF(ISNUMBER(INDEX($A183:$AD183,1,$D$5)),INDEX($A183:$AD183,1,$D$5),TIMEVALUE(INDEX($A183:$AD183,1,$D$5)))*Inputs!$C$22,0))</f>
        <v/>
      </c>
    </row>
    <row r="184">
      <c r="AF184" s="107">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112">
        <f>IF(OR(AF184="",$D$5=""),0,IFERROR(IF(ISNUMBER(INDEX($A184:$AD184,1,$D$5)),INDEX($A184:$AD184,1,$D$5),TIMEVALUE(INDEX($A184:$AD184,1,$D$5)))*Inputs!$C$22,0))</f>
        <v/>
      </c>
    </row>
    <row r="185">
      <c r="AF185" s="107">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112">
        <f>IF(OR(AF185="",$D$5=""),0,IFERROR(IF(ISNUMBER(INDEX($A185:$AD185,1,$D$5)),INDEX($A185:$AD185,1,$D$5),TIMEVALUE(INDEX($A185:$AD185,1,$D$5)))*Inputs!$C$22,0))</f>
        <v/>
      </c>
    </row>
    <row r="186">
      <c r="AF186" s="107">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112">
        <f>IF(OR(AF186="",$D$5=""),0,IFERROR(IF(ISNUMBER(INDEX($A186:$AD186,1,$D$5)),INDEX($A186:$AD186,1,$D$5),TIMEVALUE(INDEX($A186:$AD186,1,$D$5)))*Inputs!$C$22,0))</f>
        <v/>
      </c>
    </row>
    <row r="187">
      <c r="AF187" s="107">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112">
        <f>IF(OR(AF187="",$D$5=""),0,IFERROR(IF(ISNUMBER(INDEX($A187:$AD187,1,$D$5)),INDEX($A187:$AD187,1,$D$5),TIMEVALUE(INDEX($A187:$AD187,1,$D$5)))*Inputs!$C$22,0))</f>
        <v/>
      </c>
    </row>
    <row r="188">
      <c r="AF188" s="107">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112">
        <f>IF(OR(AF188="",$D$5=""),0,IFERROR(IF(ISNUMBER(INDEX($A188:$AD188,1,$D$5)),INDEX($A188:$AD188,1,$D$5),TIMEVALUE(INDEX($A188:$AD188,1,$D$5)))*Inputs!$C$22,0))</f>
        <v/>
      </c>
    </row>
    <row r="189">
      <c r="AF189" s="107">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112">
        <f>IF(OR(AF189="",$D$5=""),0,IFERROR(IF(ISNUMBER(INDEX($A189:$AD189,1,$D$5)),INDEX($A189:$AD189,1,$D$5),TIMEVALUE(INDEX($A189:$AD189,1,$D$5)))*Inputs!$C$22,0))</f>
        <v/>
      </c>
    </row>
    <row r="190">
      <c r="AF190" s="107">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112">
        <f>IF(OR(AF190="",$D$5=""),0,IFERROR(IF(ISNUMBER(INDEX($A190:$AD190,1,$D$5)),INDEX($A190:$AD190,1,$D$5),TIMEVALUE(INDEX($A190:$AD190,1,$D$5)))*Inputs!$C$22,0))</f>
        <v/>
      </c>
    </row>
    <row r="191">
      <c r="AF191" s="107">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112">
        <f>IF(OR(AF191="",$D$5=""),0,IFERROR(IF(ISNUMBER(INDEX($A191:$AD191,1,$D$5)),INDEX($A191:$AD191,1,$D$5),TIMEVALUE(INDEX($A191:$AD191,1,$D$5)))*Inputs!$C$22,0))</f>
        <v/>
      </c>
    </row>
    <row r="192">
      <c r="AF192" s="107">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112">
        <f>IF(OR(AF192="",$D$5=""),0,IFERROR(IF(ISNUMBER(INDEX($A192:$AD192,1,$D$5)),INDEX($A192:$AD192,1,$D$5),TIMEVALUE(INDEX($A192:$AD192,1,$D$5)))*Inputs!$C$22,0))</f>
        <v/>
      </c>
    </row>
    <row r="193">
      <c r="AF193" s="107">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112">
        <f>IF(OR(AF193="",$D$5=""),0,IFERROR(IF(ISNUMBER(INDEX($A193:$AD193,1,$D$5)),INDEX($A193:$AD193,1,$D$5),TIMEVALUE(INDEX($A193:$AD193,1,$D$5)))*Inputs!$C$22,0))</f>
        <v/>
      </c>
    </row>
    <row r="194">
      <c r="AF194" s="107">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112">
        <f>IF(OR(AF194="",$D$5=""),0,IFERROR(IF(ISNUMBER(INDEX($A194:$AD194,1,$D$5)),INDEX($A194:$AD194,1,$D$5),TIMEVALUE(INDEX($A194:$AD194,1,$D$5)))*Inputs!$C$22,0))</f>
        <v/>
      </c>
    </row>
    <row r="195">
      <c r="AF195" s="107">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112">
        <f>IF(OR(AF195="",$D$5=""),0,IFERROR(IF(ISNUMBER(INDEX($A195:$AD195,1,$D$5)),INDEX($A195:$AD195,1,$D$5),TIMEVALUE(INDEX($A195:$AD195,1,$D$5)))*Inputs!$C$22,0))</f>
        <v/>
      </c>
    </row>
    <row r="196">
      <c r="AF196" s="107">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112">
        <f>IF(OR(AF196="",$D$5=""),0,IFERROR(IF(ISNUMBER(INDEX($A196:$AD196,1,$D$5)),INDEX($A196:$AD196,1,$D$5),TIMEVALUE(INDEX($A196:$AD196,1,$D$5)))*Inputs!$C$22,0))</f>
        <v/>
      </c>
    </row>
    <row r="197">
      <c r="AF197" s="107">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112">
        <f>IF(OR(AF197="",$D$5=""),0,IFERROR(IF(ISNUMBER(INDEX($A197:$AD197,1,$D$5)),INDEX($A197:$AD197,1,$D$5),TIMEVALUE(INDEX($A197:$AD197,1,$D$5)))*Inputs!$C$22,0))</f>
        <v/>
      </c>
    </row>
    <row r="198">
      <c r="AF198" s="107">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112">
        <f>IF(OR(AF198="",$D$5=""),0,IFERROR(IF(ISNUMBER(INDEX($A198:$AD198,1,$D$5)),INDEX($A198:$AD198,1,$D$5),TIMEVALUE(INDEX($A198:$AD198,1,$D$5)))*Inputs!$C$22,0))</f>
        <v/>
      </c>
    </row>
    <row r="199">
      <c r="AF199" s="107">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112">
        <f>IF(OR(AF199="",$D$5=""),0,IFERROR(IF(ISNUMBER(INDEX($A199:$AD199,1,$D$5)),INDEX($A199:$AD199,1,$D$5),TIMEVALUE(INDEX($A199:$AD199,1,$D$5)))*Inputs!$C$22,0))</f>
        <v/>
      </c>
    </row>
    <row r="200">
      <c r="AF200" s="107">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112">
        <f>IF(OR(AF200="",$D$5=""),0,IFERROR(IF(ISNUMBER(INDEX($A200:$AD200,1,$D$5)),INDEX($A200:$AD200,1,$D$5),TIMEVALUE(INDEX($A200:$AD200,1,$D$5)))*Inputs!$C$22,0))</f>
        <v/>
      </c>
    </row>
    <row r="201">
      <c r="AF201" s="107">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112">
        <f>IF(OR(AF201="",$D$5=""),0,IFERROR(IF(ISNUMBER(INDEX($A201:$AD201,1,$D$5)),INDEX($A201:$AD201,1,$D$5),TIMEVALUE(INDEX($A201:$AD201,1,$D$5)))*Inputs!$C$22,0))</f>
        <v/>
      </c>
    </row>
    <row r="202">
      <c r="AF202" s="107">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112">
        <f>IF(OR(AF202="",$D$5=""),0,IFERROR(IF(ISNUMBER(INDEX($A202:$AD202,1,$D$5)),INDEX($A202:$AD202,1,$D$5),TIMEVALUE(INDEX($A202:$AD202,1,$D$5)))*Inputs!$C$22,0))</f>
        <v/>
      </c>
    </row>
    <row r="203">
      <c r="AF203" s="107">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112">
        <f>IF(OR(AF203="",$D$5=""),0,IFERROR(IF(ISNUMBER(INDEX($A203:$AD203,1,$D$5)),INDEX($A203:$AD203,1,$D$5),TIMEVALUE(INDEX($A203:$AD203,1,$D$5)))*Inputs!$C$22,0))</f>
        <v/>
      </c>
    </row>
    <row r="204">
      <c r="AF204" s="107">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112">
        <f>IF(OR(AF204="",$D$5=""),0,IFERROR(IF(ISNUMBER(INDEX($A204:$AD204,1,$D$5)),INDEX($A204:$AD204,1,$D$5),TIMEVALUE(INDEX($A204:$AD204,1,$D$5)))*Inputs!$C$22,0))</f>
        <v/>
      </c>
    </row>
    <row r="205">
      <c r="AF205" s="107">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112">
        <f>IF(OR(AF205="",$D$5=""),0,IFERROR(IF(ISNUMBER(INDEX($A205:$AD205,1,$D$5)),INDEX($A205:$AD205,1,$D$5),TIMEVALUE(INDEX($A205:$AD205,1,$D$5)))*Inputs!$C$22,0))</f>
        <v/>
      </c>
    </row>
    <row r="206">
      <c r="AF206" s="107">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112">
        <f>IF(OR(AF206="",$D$5=""),0,IFERROR(IF(ISNUMBER(INDEX($A206:$AD206,1,$D$5)),INDEX($A206:$AD206,1,$D$5),TIMEVALUE(INDEX($A206:$AD206,1,$D$5)))*Inputs!$C$22,0))</f>
        <v/>
      </c>
    </row>
    <row r="207">
      <c r="AF207" s="107">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112">
        <f>IF(OR(AF207="",$D$5=""),0,IFERROR(IF(ISNUMBER(INDEX($A207:$AD207,1,$D$5)),INDEX($A207:$AD207,1,$D$5),TIMEVALUE(INDEX($A207:$AD207,1,$D$5)))*Inputs!$C$22,0))</f>
        <v/>
      </c>
    </row>
    <row r="208">
      <c r="AF208" s="107">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112">
        <f>IF(OR(AF208="",$D$5=""),0,IFERROR(IF(ISNUMBER(INDEX($A208:$AD208,1,$D$5)),INDEX($A208:$AD208,1,$D$5),TIMEVALUE(INDEX($A208:$AD208,1,$D$5)))*Inputs!$C$22,0))</f>
        <v/>
      </c>
    </row>
    <row r="209">
      <c r="AF209" s="107">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112">
        <f>IF(OR(AF209="",$D$5=""),0,IFERROR(IF(ISNUMBER(INDEX($A209:$AD209,1,$D$5)),INDEX($A209:$AD209,1,$D$5),TIMEVALUE(INDEX($A209:$AD209,1,$D$5)))*Inputs!$C$22,0))</f>
        <v/>
      </c>
    </row>
    <row r="210">
      <c r="AF210" s="107">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112">
        <f>IF(OR(AF210="",$D$5=""),0,IFERROR(IF(ISNUMBER(INDEX($A210:$AD210,1,$D$5)),INDEX($A210:$AD210,1,$D$5),TIMEVALUE(INDEX($A210:$AD210,1,$D$5)))*Inputs!$C$22,0))</f>
        <v/>
      </c>
    </row>
    <row r="211">
      <c r="AF211" s="107">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112">
        <f>IF(OR(AF211="",$D$5=""),0,IFERROR(IF(ISNUMBER(INDEX($A211:$AD211,1,$D$5)),INDEX($A211:$AD211,1,$D$5),TIMEVALUE(INDEX($A211:$AD211,1,$D$5)))*Inputs!$C$22,0))</f>
        <v/>
      </c>
    </row>
    <row r="212">
      <c r="AF212" s="107">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112">
        <f>IF(OR(AF212="",$D$5=""),0,IFERROR(IF(ISNUMBER(INDEX($A212:$AD212,1,$D$5)),INDEX($A212:$AD212,1,$D$5),TIMEVALUE(INDEX($A212:$AD212,1,$D$5)))*Inputs!$C$22,0))</f>
        <v/>
      </c>
    </row>
    <row r="213">
      <c r="AF213" s="107">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112">
        <f>IF(OR(AF213="",$D$5=""),0,IFERROR(IF(ISNUMBER(INDEX($A213:$AD213,1,$D$5)),INDEX($A213:$AD213,1,$D$5),TIMEVALUE(INDEX($A213:$AD213,1,$D$5)))*Inputs!$C$22,0))</f>
        <v/>
      </c>
    </row>
    <row r="214">
      <c r="AF214" s="107">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112">
        <f>IF(OR(AF214="",$D$5=""),0,IFERROR(IF(ISNUMBER(INDEX($A214:$AD214,1,$D$5)),INDEX($A214:$AD214,1,$D$5),TIMEVALUE(INDEX($A214:$AD214,1,$D$5)))*Inputs!$C$22,0))</f>
        <v/>
      </c>
    </row>
    <row r="215">
      <c r="AF215" s="107">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112">
        <f>IF(OR(AF215="",$D$5=""),0,IFERROR(IF(ISNUMBER(INDEX($A215:$AD215,1,$D$5)),INDEX($A215:$AD215,1,$D$5),TIMEVALUE(INDEX($A215:$AD215,1,$D$5)))*Inputs!$C$22,0))</f>
        <v/>
      </c>
    </row>
    <row r="216">
      <c r="AF216" s="107">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112">
        <f>IF(OR(AF216="",$D$5=""),0,IFERROR(IF(ISNUMBER(INDEX($A216:$AD216,1,$D$5)),INDEX($A216:$AD216,1,$D$5),TIMEVALUE(INDEX($A216:$AD216,1,$D$5)))*Inputs!$C$22,0))</f>
        <v/>
      </c>
    </row>
    <row r="217">
      <c r="AF217" s="107">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112">
        <f>IF(OR(AF217="",$D$5=""),0,IFERROR(IF(ISNUMBER(INDEX($A217:$AD217,1,$D$5)),INDEX($A217:$AD217,1,$D$5),TIMEVALUE(INDEX($A217:$AD217,1,$D$5)))*Inputs!$C$22,0))</f>
        <v/>
      </c>
    </row>
    <row r="218">
      <c r="AF218" s="107">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112">
        <f>IF(OR(AF218="",$D$5=""),0,IFERROR(IF(ISNUMBER(INDEX($A218:$AD218,1,$D$5)),INDEX($A218:$AD218,1,$D$5),TIMEVALUE(INDEX($A218:$AD218,1,$D$5)))*Inputs!$C$22,0))</f>
        <v/>
      </c>
    </row>
    <row r="219">
      <c r="AF219" s="107">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112">
        <f>IF(OR(AF219="",$D$5=""),0,IFERROR(IF(ISNUMBER(INDEX($A219:$AD219,1,$D$5)),INDEX($A219:$AD219,1,$D$5),TIMEVALUE(INDEX($A219:$AD219,1,$D$5)))*Inputs!$C$22,0))</f>
        <v/>
      </c>
    </row>
    <row r="220">
      <c r="AF220" s="107">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112">
        <f>IF(OR(AF220="",$D$5=""),0,IFERROR(IF(ISNUMBER(INDEX($A220:$AD220,1,$D$5)),INDEX($A220:$AD220,1,$D$5),TIMEVALUE(INDEX($A220:$AD220,1,$D$5)))*Inputs!$C$22,0))</f>
        <v/>
      </c>
    </row>
    <row r="221">
      <c r="AF221" s="107">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112">
        <f>IF(OR(AF221="",$D$5=""),0,IFERROR(IF(ISNUMBER(INDEX($A221:$AD221,1,$D$5)),INDEX($A221:$AD221,1,$D$5),TIMEVALUE(INDEX($A221:$AD221,1,$D$5)))*Inputs!$C$22,0))</f>
        <v/>
      </c>
    </row>
    <row r="222">
      <c r="AF222" s="107">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112">
        <f>IF(OR(AF222="",$D$5=""),0,IFERROR(IF(ISNUMBER(INDEX($A222:$AD222,1,$D$5)),INDEX($A222:$AD222,1,$D$5),TIMEVALUE(INDEX($A222:$AD222,1,$D$5)))*Inputs!$C$22,0))</f>
        <v/>
      </c>
    </row>
    <row r="223">
      <c r="AF223" s="107">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112">
        <f>IF(OR(AF223="",$D$5=""),0,IFERROR(IF(ISNUMBER(INDEX($A223:$AD223,1,$D$5)),INDEX($A223:$AD223,1,$D$5),TIMEVALUE(INDEX($A223:$AD223,1,$D$5)))*Inputs!$C$22,0))</f>
        <v/>
      </c>
    </row>
    <row r="224">
      <c r="AF224" s="107">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112">
        <f>IF(OR(AF224="",$D$5=""),0,IFERROR(IF(ISNUMBER(INDEX($A224:$AD224,1,$D$5)),INDEX($A224:$AD224,1,$D$5),TIMEVALUE(INDEX($A224:$AD224,1,$D$5)))*Inputs!$C$22,0))</f>
        <v/>
      </c>
    </row>
    <row r="225">
      <c r="AF225" s="107">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112">
        <f>IF(OR(AF225="",$D$5=""),0,IFERROR(IF(ISNUMBER(INDEX($A225:$AD225,1,$D$5)),INDEX($A225:$AD225,1,$D$5),TIMEVALUE(INDEX($A225:$AD225,1,$D$5)))*Inputs!$C$22,0))</f>
        <v/>
      </c>
    </row>
    <row r="226">
      <c r="AF226" s="107">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112">
        <f>IF(OR(AF226="",$D$5=""),0,IFERROR(IF(ISNUMBER(INDEX($A226:$AD226,1,$D$5)),INDEX($A226:$AD226,1,$D$5),TIMEVALUE(INDEX($A226:$AD226,1,$D$5)))*Inputs!$C$22,0))</f>
        <v/>
      </c>
    </row>
    <row r="227">
      <c r="AF227" s="107">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112">
        <f>IF(OR(AF227="",$D$5=""),0,IFERROR(IF(ISNUMBER(INDEX($A227:$AD227,1,$D$5)),INDEX($A227:$AD227,1,$D$5),TIMEVALUE(INDEX($A227:$AD227,1,$D$5)))*Inputs!$C$22,0))</f>
        <v/>
      </c>
    </row>
    <row r="228">
      <c r="AF228" s="107">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112">
        <f>IF(OR(AF228="",$D$5=""),0,IFERROR(IF(ISNUMBER(INDEX($A228:$AD228,1,$D$5)),INDEX($A228:$AD228,1,$D$5),TIMEVALUE(INDEX($A228:$AD228,1,$D$5)))*Inputs!$C$22,0))</f>
        <v/>
      </c>
    </row>
    <row r="229">
      <c r="AF229" s="107">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112">
        <f>IF(OR(AF229="",$D$5=""),0,IFERROR(IF(ISNUMBER(INDEX($A229:$AD229,1,$D$5)),INDEX($A229:$AD229,1,$D$5),TIMEVALUE(INDEX($A229:$AD229,1,$D$5)))*Inputs!$C$22,0))</f>
        <v/>
      </c>
    </row>
    <row r="230">
      <c r="AF230" s="107">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112">
        <f>IF(OR(AF230="",$D$5=""),0,IFERROR(IF(ISNUMBER(INDEX($A230:$AD230,1,$D$5)),INDEX($A230:$AD230,1,$D$5),TIMEVALUE(INDEX($A230:$AD230,1,$D$5)))*Inputs!$C$22,0))</f>
        <v/>
      </c>
    </row>
    <row r="231">
      <c r="AF231" s="107">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112">
        <f>IF(OR(AF231="",$D$5=""),0,IFERROR(IF(ISNUMBER(INDEX($A231:$AD231,1,$D$5)),INDEX($A231:$AD231,1,$D$5),TIMEVALUE(INDEX($A231:$AD231,1,$D$5)))*Inputs!$C$22,0))</f>
        <v/>
      </c>
    </row>
    <row r="232">
      <c r="AF232" s="107">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112">
        <f>IF(OR(AF232="",$D$5=""),0,IFERROR(IF(ISNUMBER(INDEX($A232:$AD232,1,$D$5)),INDEX($A232:$AD232,1,$D$5),TIMEVALUE(INDEX($A232:$AD232,1,$D$5)))*Inputs!$C$22,0))</f>
        <v/>
      </c>
    </row>
    <row r="233">
      <c r="AF233" s="107">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112">
        <f>IF(OR(AF233="",$D$5=""),0,IFERROR(IF(ISNUMBER(INDEX($A233:$AD233,1,$D$5)),INDEX($A233:$AD233,1,$D$5),TIMEVALUE(INDEX($A233:$AD233,1,$D$5)))*Inputs!$C$22,0))</f>
        <v/>
      </c>
    </row>
    <row r="234">
      <c r="AF234" s="107">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112">
        <f>IF(OR(AF234="",$D$5=""),0,IFERROR(IF(ISNUMBER(INDEX($A234:$AD234,1,$D$5)),INDEX($A234:$AD234,1,$D$5),TIMEVALUE(INDEX($A234:$AD234,1,$D$5)))*Inputs!$C$22,0))</f>
        <v/>
      </c>
    </row>
    <row r="235">
      <c r="AF235" s="107">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112">
        <f>IF(OR(AF235="",$D$5=""),0,IFERROR(IF(ISNUMBER(INDEX($A235:$AD235,1,$D$5)),INDEX($A235:$AD235,1,$D$5),TIMEVALUE(INDEX($A235:$AD235,1,$D$5)))*Inputs!$C$22,0))</f>
        <v/>
      </c>
    </row>
    <row r="236">
      <c r="AF236" s="107">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112">
        <f>IF(OR(AF236="",$D$5=""),0,IFERROR(IF(ISNUMBER(INDEX($A236:$AD236,1,$D$5)),INDEX($A236:$AD236,1,$D$5),TIMEVALUE(INDEX($A236:$AD236,1,$D$5)))*Inputs!$C$22,0))</f>
        <v/>
      </c>
    </row>
    <row r="237">
      <c r="AF237" s="107">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112">
        <f>IF(OR(AF237="",$D$5=""),0,IFERROR(IF(ISNUMBER(INDEX($A237:$AD237,1,$D$5)),INDEX($A237:$AD237,1,$D$5),TIMEVALUE(INDEX($A237:$AD237,1,$D$5)))*Inputs!$C$22,0))</f>
        <v/>
      </c>
    </row>
    <row r="238">
      <c r="AF238" s="107">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112">
        <f>IF(OR(AF238="",$D$5=""),0,IFERROR(IF(ISNUMBER(INDEX($A238:$AD238,1,$D$5)),INDEX($A238:$AD238,1,$D$5),TIMEVALUE(INDEX($A238:$AD238,1,$D$5)))*Inputs!$C$22,0))</f>
        <v/>
      </c>
    </row>
    <row r="239">
      <c r="AF239" s="107">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112">
        <f>IF(OR(AF239="",$D$5=""),0,IFERROR(IF(ISNUMBER(INDEX($A239:$AD239,1,$D$5)),INDEX($A239:$AD239,1,$D$5),TIMEVALUE(INDEX($A239:$AD239,1,$D$5)))*Inputs!$C$22,0))</f>
        <v/>
      </c>
    </row>
    <row r="240">
      <c r="AF240" s="107">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112">
        <f>IF(OR(AF240="",$D$5=""),0,IFERROR(IF(ISNUMBER(INDEX($A240:$AD240,1,$D$5)),INDEX($A240:$AD240,1,$D$5),TIMEVALUE(INDEX($A240:$AD240,1,$D$5)))*Inputs!$C$22,0))</f>
        <v/>
      </c>
    </row>
    <row r="241">
      <c r="AF241" s="107">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112">
        <f>IF(OR(AF241="",$D$5=""),0,IFERROR(IF(ISNUMBER(INDEX($A241:$AD241,1,$D$5)),INDEX($A241:$AD241,1,$D$5),TIMEVALUE(INDEX($A241:$AD241,1,$D$5)))*Inputs!$C$22,0))</f>
        <v/>
      </c>
    </row>
    <row r="242">
      <c r="AF242" s="107">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112">
        <f>IF(OR(AF242="",$D$5=""),0,IFERROR(IF(ISNUMBER(INDEX($A242:$AD242,1,$D$5)),INDEX($A242:$AD242,1,$D$5),TIMEVALUE(INDEX($A242:$AD242,1,$D$5)))*Inputs!$C$22,0))</f>
        <v/>
      </c>
    </row>
    <row r="243">
      <c r="AF243" s="107">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112">
        <f>IF(OR(AF243="",$D$5=""),0,IFERROR(IF(ISNUMBER(INDEX($A243:$AD243,1,$D$5)),INDEX($A243:$AD243,1,$D$5),TIMEVALUE(INDEX($A243:$AD243,1,$D$5)))*Inputs!$C$22,0))</f>
        <v/>
      </c>
    </row>
    <row r="244">
      <c r="AF244" s="107">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112">
        <f>IF(OR(AF244="",$D$5=""),0,IFERROR(IF(ISNUMBER(INDEX($A244:$AD244,1,$D$5)),INDEX($A244:$AD244,1,$D$5),TIMEVALUE(INDEX($A244:$AD244,1,$D$5)))*Inputs!$C$22,0))</f>
        <v/>
      </c>
    </row>
    <row r="245">
      <c r="AF245" s="107">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112">
        <f>IF(OR(AF245="",$D$5=""),0,IFERROR(IF(ISNUMBER(INDEX($A245:$AD245,1,$D$5)),INDEX($A245:$AD245,1,$D$5),TIMEVALUE(INDEX($A245:$AD245,1,$D$5)))*Inputs!$C$22,0))</f>
        <v/>
      </c>
    </row>
    <row r="246">
      <c r="AF246" s="107">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112">
        <f>IF(OR(AF246="",$D$5=""),0,IFERROR(IF(ISNUMBER(INDEX($A246:$AD246,1,$D$5)),INDEX($A246:$AD246,1,$D$5),TIMEVALUE(INDEX($A246:$AD246,1,$D$5)))*Inputs!$C$22,0))</f>
        <v/>
      </c>
    </row>
    <row r="247">
      <c r="AF247" s="107">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112">
        <f>IF(OR(AF247="",$D$5=""),0,IFERROR(IF(ISNUMBER(INDEX($A247:$AD247,1,$D$5)),INDEX($A247:$AD247,1,$D$5),TIMEVALUE(INDEX($A247:$AD247,1,$D$5)))*Inputs!$C$22,0))</f>
        <v/>
      </c>
    </row>
    <row r="248">
      <c r="AF248" s="107">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112">
        <f>IF(OR(AF248="",$D$5=""),0,IFERROR(IF(ISNUMBER(INDEX($A248:$AD248,1,$D$5)),INDEX($A248:$AD248,1,$D$5),TIMEVALUE(INDEX($A248:$AD248,1,$D$5)))*Inputs!$C$22,0))</f>
        <v/>
      </c>
    </row>
    <row r="249">
      <c r="AF249" s="107">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112">
        <f>IF(OR(AF249="",$D$5=""),0,IFERROR(IF(ISNUMBER(INDEX($A249:$AD249,1,$D$5)),INDEX($A249:$AD249,1,$D$5),TIMEVALUE(INDEX($A249:$AD249,1,$D$5)))*Inputs!$C$22,0))</f>
        <v/>
      </c>
    </row>
    <row r="250">
      <c r="AF250" s="107">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112">
        <f>IF(OR(AF250="",$D$5=""),0,IFERROR(IF(ISNUMBER(INDEX($A250:$AD250,1,$D$5)),INDEX($A250:$AD250,1,$D$5),TIMEVALUE(INDEX($A250:$AD250,1,$D$5)))*Inputs!$C$22,0))</f>
        <v/>
      </c>
    </row>
    <row r="251">
      <c r="AF251" s="107">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112">
        <f>IF(OR(AF251="",$D$5=""),0,IFERROR(IF(ISNUMBER(INDEX($A251:$AD251,1,$D$5)),INDEX($A251:$AD251,1,$D$5),TIMEVALUE(INDEX($A251:$AD251,1,$D$5)))*Inputs!$C$22,0))</f>
        <v/>
      </c>
    </row>
    <row r="252">
      <c r="AF252" s="107">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112">
        <f>IF(OR(AF252="",$D$5=""),0,IFERROR(IF(ISNUMBER(INDEX($A252:$AD252,1,$D$5)),INDEX($A252:$AD252,1,$D$5),TIMEVALUE(INDEX($A252:$AD252,1,$D$5)))*Inputs!$C$22,0))</f>
        <v/>
      </c>
    </row>
    <row r="253">
      <c r="AF253" s="107">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112">
        <f>IF(OR(AF253="",$D$5=""),0,IFERROR(IF(ISNUMBER(INDEX($A253:$AD253,1,$D$5)),INDEX($A253:$AD253,1,$D$5),TIMEVALUE(INDEX($A253:$AD253,1,$D$5)))*Inputs!$C$22,0))</f>
        <v/>
      </c>
    </row>
    <row r="254">
      <c r="AF254" s="107">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112">
        <f>IF(OR(AF254="",$D$5=""),0,IFERROR(IF(ISNUMBER(INDEX($A254:$AD254,1,$D$5)),INDEX($A254:$AD254,1,$D$5),TIMEVALUE(INDEX($A254:$AD254,1,$D$5)))*Inputs!$C$22,0))</f>
        <v/>
      </c>
    </row>
    <row r="255">
      <c r="AF255" s="107">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112">
        <f>IF(OR(AF255="",$D$5=""),0,IFERROR(IF(ISNUMBER(INDEX($A255:$AD255,1,$D$5)),INDEX($A255:$AD255,1,$D$5),TIMEVALUE(INDEX($A255:$AD255,1,$D$5)))*Inputs!$C$22,0))</f>
        <v/>
      </c>
    </row>
    <row r="256">
      <c r="AF256" s="107">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112">
        <f>IF(OR(AF256="",$D$5=""),0,IFERROR(IF(ISNUMBER(INDEX($A256:$AD256,1,$D$5)),INDEX($A256:$AD256,1,$D$5),TIMEVALUE(INDEX($A256:$AD256,1,$D$5)))*Inputs!$C$22,0))</f>
        <v/>
      </c>
    </row>
    <row r="257">
      <c r="AF257" s="107">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112">
        <f>IF(OR(AF257="",$D$5=""),0,IFERROR(IF(ISNUMBER(INDEX($A257:$AD257,1,$D$5)),INDEX($A257:$AD257,1,$D$5),TIMEVALUE(INDEX($A257:$AD257,1,$D$5)))*Inputs!$C$22,0))</f>
        <v/>
      </c>
    </row>
    <row r="258">
      <c r="AF258" s="107">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112">
        <f>IF(OR(AF258="",$D$5=""),0,IFERROR(IF(ISNUMBER(INDEX($A258:$AD258,1,$D$5)),INDEX($A258:$AD258,1,$D$5),TIMEVALUE(INDEX($A258:$AD258,1,$D$5)))*Inputs!$C$22,0))</f>
        <v/>
      </c>
    </row>
    <row r="259">
      <c r="AF259" s="107">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112">
        <f>IF(OR(AF259="",$D$5=""),0,IFERROR(IF(ISNUMBER(INDEX($A259:$AD259,1,$D$5)),INDEX($A259:$AD259,1,$D$5),TIMEVALUE(INDEX($A259:$AD259,1,$D$5)))*Inputs!$C$22,0))</f>
        <v/>
      </c>
    </row>
    <row r="260">
      <c r="AF260" s="107">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112">
        <f>IF(OR(AF260="",$D$5=""),0,IFERROR(IF(ISNUMBER(INDEX($A260:$AD260,1,$D$5)),INDEX($A260:$AD260,1,$D$5),TIMEVALUE(INDEX($A260:$AD260,1,$D$5)))*Inputs!$C$22,0))</f>
        <v/>
      </c>
    </row>
    <row r="261">
      <c r="AF261" s="107">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112">
        <f>IF(OR(AF261="",$D$5=""),0,IFERROR(IF(ISNUMBER(INDEX($A261:$AD261,1,$D$5)),INDEX($A261:$AD261,1,$D$5),TIMEVALUE(INDEX($A261:$AD261,1,$D$5)))*Inputs!$C$22,0))</f>
        <v/>
      </c>
    </row>
    <row r="262">
      <c r="AF262" s="107">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112">
        <f>IF(OR(AF262="",$D$5=""),0,IFERROR(IF(ISNUMBER(INDEX($A262:$AD262,1,$D$5)),INDEX($A262:$AD262,1,$D$5),TIMEVALUE(INDEX($A262:$AD262,1,$D$5)))*Inputs!$C$22,0))</f>
        <v/>
      </c>
    </row>
    <row r="263">
      <c r="AF263" s="107">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112">
        <f>IF(OR(AF263="",$D$5=""),0,IFERROR(IF(ISNUMBER(INDEX($A263:$AD263,1,$D$5)),INDEX($A263:$AD263,1,$D$5),TIMEVALUE(INDEX($A263:$AD263,1,$D$5)))*Inputs!$C$22,0))</f>
        <v/>
      </c>
    </row>
    <row r="264">
      <c r="AF264" s="107">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112">
        <f>IF(OR(AF264="",$D$5=""),0,IFERROR(IF(ISNUMBER(INDEX($A264:$AD264,1,$D$5)),INDEX($A264:$AD264,1,$D$5),TIMEVALUE(INDEX($A264:$AD264,1,$D$5)))*Inputs!$C$22,0))</f>
        <v/>
      </c>
    </row>
    <row r="265">
      <c r="AF265" s="107">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112">
        <f>IF(OR(AF265="",$D$5=""),0,IFERROR(IF(ISNUMBER(INDEX($A265:$AD265,1,$D$5)),INDEX($A265:$AD265,1,$D$5),TIMEVALUE(INDEX($A265:$AD265,1,$D$5)))*Inputs!$C$22,0))</f>
        <v/>
      </c>
    </row>
    <row r="266">
      <c r="AF266" s="107">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112">
        <f>IF(OR(AF266="",$D$5=""),0,IFERROR(IF(ISNUMBER(INDEX($A266:$AD266,1,$D$5)),INDEX($A266:$AD266,1,$D$5),TIMEVALUE(INDEX($A266:$AD266,1,$D$5)))*Inputs!$C$22,0))</f>
        <v/>
      </c>
    </row>
    <row r="267">
      <c r="AF267" s="107">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112">
        <f>IF(OR(AF267="",$D$5=""),0,IFERROR(IF(ISNUMBER(INDEX($A267:$AD267,1,$D$5)),INDEX($A267:$AD267,1,$D$5),TIMEVALUE(INDEX($A267:$AD267,1,$D$5)))*Inputs!$C$22,0))</f>
        <v/>
      </c>
    </row>
    <row r="268">
      <c r="AF268" s="107">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112">
        <f>IF(OR(AF268="",$D$5=""),0,IFERROR(IF(ISNUMBER(INDEX($A268:$AD268,1,$D$5)),INDEX($A268:$AD268,1,$D$5),TIMEVALUE(INDEX($A268:$AD268,1,$D$5)))*Inputs!$C$22,0))</f>
        <v/>
      </c>
    </row>
    <row r="269">
      <c r="AF269" s="107">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112">
        <f>IF(OR(AF269="",$D$5=""),0,IFERROR(IF(ISNUMBER(INDEX($A269:$AD269,1,$D$5)),INDEX($A269:$AD269,1,$D$5),TIMEVALUE(INDEX($A269:$AD269,1,$D$5)))*Inputs!$C$22,0))</f>
        <v/>
      </c>
    </row>
    <row r="270">
      <c r="AF270" s="107">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112">
        <f>IF(OR(AF270="",$D$5=""),0,IFERROR(IF(ISNUMBER(INDEX($A270:$AD270,1,$D$5)),INDEX($A270:$AD270,1,$D$5),TIMEVALUE(INDEX($A270:$AD270,1,$D$5)))*Inputs!$C$22,0))</f>
        <v/>
      </c>
    </row>
    <row r="271">
      <c r="AF271" s="107">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112">
        <f>IF(OR(AF271="",$D$5=""),0,IFERROR(IF(ISNUMBER(INDEX($A271:$AD271,1,$D$5)),INDEX($A271:$AD271,1,$D$5),TIMEVALUE(INDEX($A271:$AD271,1,$D$5)))*Inputs!$C$22,0))</f>
        <v/>
      </c>
    </row>
    <row r="272">
      <c r="AF272" s="107">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112">
        <f>IF(OR(AF272="",$D$5=""),0,IFERROR(IF(ISNUMBER(INDEX($A272:$AD272,1,$D$5)),INDEX($A272:$AD272,1,$D$5),TIMEVALUE(INDEX($A272:$AD272,1,$D$5)))*Inputs!$C$22,0))</f>
        <v/>
      </c>
    </row>
    <row r="273">
      <c r="AF273" s="107">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112">
        <f>IF(OR(AF273="",$D$5=""),0,IFERROR(IF(ISNUMBER(INDEX($A273:$AD273,1,$D$5)),INDEX($A273:$AD273,1,$D$5),TIMEVALUE(INDEX($A273:$AD273,1,$D$5)))*Inputs!$C$22,0))</f>
        <v/>
      </c>
    </row>
    <row r="274">
      <c r="AF274" s="107">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112">
        <f>IF(OR(AF274="",$D$5=""),0,IFERROR(IF(ISNUMBER(INDEX($A274:$AD274,1,$D$5)),INDEX($A274:$AD274,1,$D$5),TIMEVALUE(INDEX($A274:$AD274,1,$D$5)))*Inputs!$C$22,0))</f>
        <v/>
      </c>
    </row>
    <row r="275">
      <c r="AF275" s="107">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112">
        <f>IF(OR(AF275="",$D$5=""),0,IFERROR(IF(ISNUMBER(INDEX($A275:$AD275,1,$D$5)),INDEX($A275:$AD275,1,$D$5),TIMEVALUE(INDEX($A275:$AD275,1,$D$5)))*Inputs!$C$22,0))</f>
        <v/>
      </c>
    </row>
    <row r="276">
      <c r="AF276" s="107">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112">
        <f>IF(OR(AF276="",$D$5=""),0,IFERROR(IF(ISNUMBER(INDEX($A276:$AD276,1,$D$5)),INDEX($A276:$AD276,1,$D$5),TIMEVALUE(INDEX($A276:$AD276,1,$D$5)))*Inputs!$C$22,0))</f>
        <v/>
      </c>
    </row>
    <row r="277">
      <c r="AF277" s="107">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112">
        <f>IF(OR(AF277="",$D$5=""),0,IFERROR(IF(ISNUMBER(INDEX($A277:$AD277,1,$D$5)),INDEX($A277:$AD277,1,$D$5),TIMEVALUE(INDEX($A277:$AD277,1,$D$5)))*Inputs!$C$22,0))</f>
        <v/>
      </c>
    </row>
    <row r="278">
      <c r="AF278" s="107">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112">
        <f>IF(OR(AF278="",$D$5=""),0,IFERROR(IF(ISNUMBER(INDEX($A278:$AD278,1,$D$5)),INDEX($A278:$AD278,1,$D$5),TIMEVALUE(INDEX($A278:$AD278,1,$D$5)))*Inputs!$C$22,0))</f>
        <v/>
      </c>
    </row>
    <row r="279">
      <c r="AF279" s="107">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112">
        <f>IF(OR(AF279="",$D$5=""),0,IFERROR(IF(ISNUMBER(INDEX($A279:$AD279,1,$D$5)),INDEX($A279:$AD279,1,$D$5),TIMEVALUE(INDEX($A279:$AD279,1,$D$5)))*Inputs!$C$22,0))</f>
        <v/>
      </c>
    </row>
    <row r="280">
      <c r="AF280" s="107">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112">
        <f>IF(OR(AF280="",$D$5=""),0,IFERROR(IF(ISNUMBER(INDEX($A280:$AD280,1,$D$5)),INDEX($A280:$AD280,1,$D$5),TIMEVALUE(INDEX($A280:$AD280,1,$D$5)))*Inputs!$C$22,0))</f>
        <v/>
      </c>
    </row>
    <row r="281">
      <c r="AF281" s="107">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112">
        <f>IF(OR(AF281="",$D$5=""),0,IFERROR(IF(ISNUMBER(INDEX($A281:$AD281,1,$D$5)),INDEX($A281:$AD281,1,$D$5),TIMEVALUE(INDEX($A281:$AD281,1,$D$5)))*Inputs!$C$22,0))</f>
        <v/>
      </c>
    </row>
    <row r="282">
      <c r="AF282" s="107">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112">
        <f>IF(OR(AF282="",$D$5=""),0,IFERROR(IF(ISNUMBER(INDEX($A282:$AD282,1,$D$5)),INDEX($A282:$AD282,1,$D$5),TIMEVALUE(INDEX($A282:$AD282,1,$D$5)))*Inputs!$C$22,0))</f>
        <v/>
      </c>
    </row>
    <row r="283">
      <c r="AF283" s="107">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112">
        <f>IF(OR(AF283="",$D$5=""),0,IFERROR(IF(ISNUMBER(INDEX($A283:$AD283,1,$D$5)),INDEX($A283:$AD283,1,$D$5),TIMEVALUE(INDEX($A283:$AD283,1,$D$5)))*Inputs!$C$22,0))</f>
        <v/>
      </c>
    </row>
    <row r="284">
      <c r="AF284" s="107">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112">
        <f>IF(OR(AF284="",$D$5=""),0,IFERROR(IF(ISNUMBER(INDEX($A284:$AD284,1,$D$5)),INDEX($A284:$AD284,1,$D$5),TIMEVALUE(INDEX($A284:$AD284,1,$D$5)))*Inputs!$C$22,0))</f>
        <v/>
      </c>
    </row>
    <row r="285">
      <c r="AF285" s="107">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112">
        <f>IF(OR(AF285="",$D$5=""),0,IFERROR(IF(ISNUMBER(INDEX($A285:$AD285,1,$D$5)),INDEX($A285:$AD285,1,$D$5),TIMEVALUE(INDEX($A285:$AD285,1,$D$5)))*Inputs!$C$22,0))</f>
        <v/>
      </c>
    </row>
    <row r="286">
      <c r="AF286" s="107">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112">
        <f>IF(OR(AF286="",$D$5=""),0,IFERROR(IF(ISNUMBER(INDEX($A286:$AD286,1,$D$5)),INDEX($A286:$AD286,1,$D$5),TIMEVALUE(INDEX($A286:$AD286,1,$D$5)))*Inputs!$C$22,0))</f>
        <v/>
      </c>
    </row>
    <row r="287">
      <c r="AF287" s="107">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112">
        <f>IF(OR(AF287="",$D$5=""),0,IFERROR(IF(ISNUMBER(INDEX($A287:$AD287,1,$D$5)),INDEX($A287:$AD287,1,$D$5),TIMEVALUE(INDEX($A287:$AD287,1,$D$5)))*Inputs!$C$22,0))</f>
        <v/>
      </c>
    </row>
    <row r="288">
      <c r="AF288" s="107">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112">
        <f>IF(OR(AF288="",$D$5=""),0,IFERROR(IF(ISNUMBER(INDEX($A288:$AD288,1,$D$5)),INDEX($A288:$AD288,1,$D$5),TIMEVALUE(INDEX($A288:$AD288,1,$D$5)))*Inputs!$C$22,0))</f>
        <v/>
      </c>
    </row>
    <row r="289">
      <c r="AF289" s="107">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112">
        <f>IF(OR(AF289="",$D$5=""),0,IFERROR(IF(ISNUMBER(INDEX($A289:$AD289,1,$D$5)),INDEX($A289:$AD289,1,$D$5),TIMEVALUE(INDEX($A289:$AD289,1,$D$5)))*Inputs!$C$22,0))</f>
        <v/>
      </c>
    </row>
    <row r="290">
      <c r="AF290" s="107">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112">
        <f>IF(OR(AF290="",$D$5=""),0,IFERROR(IF(ISNUMBER(INDEX($A290:$AD290,1,$D$5)),INDEX($A290:$AD290,1,$D$5),TIMEVALUE(INDEX($A290:$AD290,1,$D$5)))*Inputs!$C$22,0))</f>
        <v/>
      </c>
    </row>
    <row r="291">
      <c r="AF291" s="107">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112">
        <f>IF(OR(AF291="",$D$5=""),0,IFERROR(IF(ISNUMBER(INDEX($A291:$AD291,1,$D$5)),INDEX($A291:$AD291,1,$D$5),TIMEVALUE(INDEX($A291:$AD291,1,$D$5)))*Inputs!$C$22,0))</f>
        <v/>
      </c>
    </row>
    <row r="292">
      <c r="AF292" s="107">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112">
        <f>IF(OR(AF292="",$D$5=""),0,IFERROR(IF(ISNUMBER(INDEX($A292:$AD292,1,$D$5)),INDEX($A292:$AD292,1,$D$5),TIMEVALUE(INDEX($A292:$AD292,1,$D$5)))*Inputs!$C$22,0))</f>
        <v/>
      </c>
    </row>
    <row r="293">
      <c r="AF293" s="107">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112">
        <f>IF(OR(AF293="",$D$5=""),0,IFERROR(IF(ISNUMBER(INDEX($A293:$AD293,1,$D$5)),INDEX($A293:$AD293,1,$D$5),TIMEVALUE(INDEX($A293:$AD293,1,$D$5)))*Inputs!$C$22,0))</f>
        <v/>
      </c>
    </row>
    <row r="294">
      <c r="AF294" s="107">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112">
        <f>IF(OR(AF294="",$D$5=""),0,IFERROR(IF(ISNUMBER(INDEX($A294:$AD294,1,$D$5)),INDEX($A294:$AD294,1,$D$5),TIMEVALUE(INDEX($A294:$AD294,1,$D$5)))*Inputs!$C$22,0))</f>
        <v/>
      </c>
    </row>
    <row r="295">
      <c r="AF295" s="107">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112">
        <f>IF(OR(AF295="",$D$5=""),0,IFERROR(IF(ISNUMBER(INDEX($A295:$AD295,1,$D$5)),INDEX($A295:$AD295,1,$D$5),TIMEVALUE(INDEX($A295:$AD295,1,$D$5)))*Inputs!$C$22,0))</f>
        <v/>
      </c>
    </row>
    <row r="296">
      <c r="AF296" s="107">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112">
        <f>IF(OR(AF296="",$D$5=""),0,IFERROR(IF(ISNUMBER(INDEX($A296:$AD296,1,$D$5)),INDEX($A296:$AD296,1,$D$5),TIMEVALUE(INDEX($A296:$AD296,1,$D$5)))*Inputs!$C$22,0))</f>
        <v/>
      </c>
    </row>
    <row r="297">
      <c r="AF297" s="107">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112">
        <f>IF(OR(AF297="",$D$5=""),0,IFERROR(IF(ISNUMBER(INDEX($A297:$AD297,1,$D$5)),INDEX($A297:$AD297,1,$D$5),TIMEVALUE(INDEX($A297:$AD297,1,$D$5)))*Inputs!$C$22,0))</f>
        <v/>
      </c>
    </row>
    <row r="298">
      <c r="AF298" s="107">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112">
        <f>IF(OR(AF298="",$D$5=""),0,IFERROR(IF(ISNUMBER(INDEX($A298:$AD298,1,$D$5)),INDEX($A298:$AD298,1,$D$5),TIMEVALUE(INDEX($A298:$AD298,1,$D$5)))*Inputs!$C$22,0))</f>
        <v/>
      </c>
    </row>
    <row r="299">
      <c r="AF299" s="107">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112">
        <f>IF(OR(AF299="",$D$5=""),0,IFERROR(IF(ISNUMBER(INDEX($A299:$AD299,1,$D$5)),INDEX($A299:$AD299,1,$D$5),TIMEVALUE(INDEX($A299:$AD299,1,$D$5)))*Inputs!$C$22,0))</f>
        <v/>
      </c>
    </row>
    <row r="300">
      <c r="AF300" s="107">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112">
        <f>IF(OR(AF300="",$D$5=""),0,IFERROR(IF(ISNUMBER(INDEX($A300:$AD300,1,$D$5)),INDEX($A300:$AD300,1,$D$5),TIMEVALUE(INDEX($A300:$AD300,1,$D$5)))*Inputs!$C$22,0))</f>
        <v/>
      </c>
    </row>
    <row r="301">
      <c r="AF301" s="107">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112">
        <f>IF(OR(AF301="",$D$5=""),0,IFERROR(IF(ISNUMBER(INDEX($A301:$AD301,1,$D$5)),INDEX($A301:$AD301,1,$D$5),TIMEVALUE(INDEX($A301:$AD301,1,$D$5)))*Inputs!$C$22,0))</f>
        <v/>
      </c>
    </row>
    <row r="302">
      <c r="AF302" s="107">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112">
        <f>IF(OR(AF302="",$D$5=""),0,IFERROR(IF(ISNUMBER(INDEX($A302:$AD302,1,$D$5)),INDEX($A302:$AD302,1,$D$5),TIMEVALUE(INDEX($A302:$AD302,1,$D$5)))*Inputs!$C$22,0))</f>
        <v/>
      </c>
    </row>
    <row r="303">
      <c r="AF303" s="107">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112">
        <f>IF(OR(AF303="",$D$5=""),0,IFERROR(IF(ISNUMBER(INDEX($A303:$AD303,1,$D$5)),INDEX($A303:$AD303,1,$D$5),TIMEVALUE(INDEX($A303:$AD303,1,$D$5)))*Inputs!$C$22,0))</f>
        <v/>
      </c>
    </row>
    <row r="304">
      <c r="AF304" s="107">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112">
        <f>IF(OR(AF304="",$D$5=""),0,IFERROR(IF(ISNUMBER(INDEX($A304:$AD304,1,$D$5)),INDEX($A304:$AD304,1,$D$5),TIMEVALUE(INDEX($A304:$AD304,1,$D$5)))*Inputs!$C$22,0))</f>
        <v/>
      </c>
    </row>
    <row r="305">
      <c r="AF305" s="107">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112">
        <f>IF(OR(AF305="",$D$5=""),0,IFERROR(IF(ISNUMBER(INDEX($A305:$AD305,1,$D$5)),INDEX($A305:$AD305,1,$D$5),TIMEVALUE(INDEX($A305:$AD305,1,$D$5)))*Inputs!$C$22,0))</f>
        <v/>
      </c>
    </row>
    <row r="306">
      <c r="AF306" s="107">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112">
        <f>IF(OR(AF306="",$D$5=""),0,IFERROR(IF(ISNUMBER(INDEX($A306:$AD306,1,$D$5)),INDEX($A306:$AD306,1,$D$5),TIMEVALUE(INDEX($A306:$AD306,1,$D$5)))*Inputs!$C$22,0))</f>
        <v/>
      </c>
    </row>
    <row r="307">
      <c r="AF307" s="107">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112">
        <f>IF(OR(AF307="",$D$5=""),0,IFERROR(IF(ISNUMBER(INDEX($A307:$AD307,1,$D$5)),INDEX($A307:$AD307,1,$D$5),TIMEVALUE(INDEX($A307:$AD307,1,$D$5)))*Inputs!$C$22,0))</f>
        <v/>
      </c>
    </row>
    <row r="308">
      <c r="AF308" s="107">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112">
        <f>IF(OR(AF308="",$D$5=""),0,IFERROR(IF(ISNUMBER(INDEX($A308:$AD308,1,$D$5)),INDEX($A308:$AD308,1,$D$5),TIMEVALUE(INDEX($A308:$AD308,1,$D$5)))*Inputs!$C$22,0))</f>
        <v/>
      </c>
    </row>
    <row r="309">
      <c r="AF309" s="107">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112">
        <f>IF(OR(AF309="",$D$5=""),0,IFERROR(IF(ISNUMBER(INDEX($A309:$AD309,1,$D$5)),INDEX($A309:$AD309,1,$D$5),TIMEVALUE(INDEX($A309:$AD309,1,$D$5)))*Inputs!$C$22,0))</f>
        <v/>
      </c>
    </row>
    <row r="310">
      <c r="AF310" s="107">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112">
        <f>IF(OR(AF310="",$D$5=""),0,IFERROR(IF(ISNUMBER(INDEX($A310:$AD310,1,$D$5)),INDEX($A310:$AD310,1,$D$5),TIMEVALUE(INDEX($A310:$AD310,1,$D$5)))*Inputs!$C$22,0))</f>
        <v/>
      </c>
    </row>
    <row r="311">
      <c r="AF311" s="107">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112">
        <f>IF(OR(AF311="",$D$5=""),0,IFERROR(IF(ISNUMBER(INDEX($A311:$AD311,1,$D$5)),INDEX($A311:$AD311,1,$D$5),TIMEVALUE(INDEX($A311:$AD311,1,$D$5)))*Inputs!$C$22,0))</f>
        <v/>
      </c>
    </row>
    <row r="312">
      <c r="AF312" s="107">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112">
        <f>IF(OR(AF312="",$D$5=""),0,IFERROR(IF(ISNUMBER(INDEX($A312:$AD312,1,$D$5)),INDEX($A312:$AD312,1,$D$5),TIMEVALUE(INDEX($A312:$AD312,1,$D$5)))*Inputs!$C$22,0))</f>
        <v/>
      </c>
    </row>
    <row r="313">
      <c r="AF313" s="107">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112">
        <f>IF(OR(AF313="",$D$5=""),0,IFERROR(IF(ISNUMBER(INDEX($A313:$AD313,1,$D$5)),INDEX($A313:$AD313,1,$D$5),TIMEVALUE(INDEX($A313:$AD313,1,$D$5)))*Inputs!$C$22,0))</f>
        <v/>
      </c>
    </row>
    <row r="314">
      <c r="AF314" s="107">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112">
        <f>IF(OR(AF314="",$D$5=""),0,IFERROR(IF(ISNUMBER(INDEX($A314:$AD314,1,$D$5)),INDEX($A314:$AD314,1,$D$5),TIMEVALUE(INDEX($A314:$AD314,1,$D$5)))*Inputs!$C$22,0))</f>
        <v/>
      </c>
    </row>
    <row r="315">
      <c r="AF315" s="107">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112">
        <f>IF(OR(AF315="",$D$5=""),0,IFERROR(IF(ISNUMBER(INDEX($A315:$AD315,1,$D$5)),INDEX($A315:$AD315,1,$D$5),TIMEVALUE(INDEX($A315:$AD315,1,$D$5)))*Inputs!$C$22,0))</f>
        <v/>
      </c>
    </row>
    <row r="316">
      <c r="AF316" s="107">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112">
        <f>IF(OR(AF316="",$D$5=""),0,IFERROR(IF(ISNUMBER(INDEX($A316:$AD316,1,$D$5)),INDEX($A316:$AD316,1,$D$5),TIMEVALUE(INDEX($A316:$AD316,1,$D$5)))*Inputs!$C$22,0))</f>
        <v/>
      </c>
    </row>
    <row r="317">
      <c r="AF317" s="107">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112">
        <f>IF(OR(AF317="",$D$5=""),0,IFERROR(IF(ISNUMBER(INDEX($A317:$AD317,1,$D$5)),INDEX($A317:$AD317,1,$D$5),TIMEVALUE(INDEX($A317:$AD317,1,$D$5)))*Inputs!$C$22,0))</f>
        <v/>
      </c>
    </row>
    <row r="318">
      <c r="AF318" s="107">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112">
        <f>IF(OR(AF318="",$D$5=""),0,IFERROR(IF(ISNUMBER(INDEX($A318:$AD318,1,$D$5)),INDEX($A318:$AD318,1,$D$5),TIMEVALUE(INDEX($A318:$AD318,1,$D$5)))*Inputs!$C$22,0))</f>
        <v/>
      </c>
    </row>
    <row r="319">
      <c r="AF319" s="107">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112">
        <f>IF(OR(AF319="",$D$5=""),0,IFERROR(IF(ISNUMBER(INDEX($A319:$AD319,1,$D$5)),INDEX($A319:$AD319,1,$D$5),TIMEVALUE(INDEX($A319:$AD319,1,$D$5)))*Inputs!$C$22,0))</f>
        <v/>
      </c>
    </row>
    <row r="320">
      <c r="AF320" s="107">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112">
        <f>IF(OR(AF320="",$D$5=""),0,IFERROR(IF(ISNUMBER(INDEX($A320:$AD320,1,$D$5)),INDEX($A320:$AD320,1,$D$5),TIMEVALUE(INDEX($A320:$AD320,1,$D$5)))*Inputs!$C$22,0))</f>
        <v/>
      </c>
    </row>
    <row r="321">
      <c r="AF321" s="107">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112">
        <f>IF(OR(AF321="",$D$5=""),0,IFERROR(IF(ISNUMBER(INDEX($A321:$AD321,1,$D$5)),INDEX($A321:$AD321,1,$D$5),TIMEVALUE(INDEX($A321:$AD321,1,$D$5)))*Inputs!$C$22,0))</f>
        <v/>
      </c>
    </row>
    <row r="322">
      <c r="AF322" s="107">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112">
        <f>IF(OR(AF322="",$D$5=""),0,IFERROR(IF(ISNUMBER(INDEX($A322:$AD322,1,$D$5)),INDEX($A322:$AD322,1,$D$5),TIMEVALUE(INDEX($A322:$AD322,1,$D$5)))*Inputs!$C$22,0))</f>
        <v/>
      </c>
    </row>
    <row r="323">
      <c r="AF323" s="107">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112">
        <f>IF(OR(AF323="",$D$5=""),0,IFERROR(IF(ISNUMBER(INDEX($A323:$AD323,1,$D$5)),INDEX($A323:$AD323,1,$D$5),TIMEVALUE(INDEX($A323:$AD323,1,$D$5)))*Inputs!$C$22,0))</f>
        <v/>
      </c>
    </row>
    <row r="324">
      <c r="AF324" s="107">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112">
        <f>IF(OR(AF324="",$D$5=""),0,IFERROR(IF(ISNUMBER(INDEX($A324:$AD324,1,$D$5)),INDEX($A324:$AD324,1,$D$5),TIMEVALUE(INDEX($A324:$AD324,1,$D$5)))*Inputs!$C$22,0))</f>
        <v/>
      </c>
    </row>
    <row r="325">
      <c r="AF325" s="107">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112">
        <f>IF(OR(AF325="",$D$5=""),0,IFERROR(IF(ISNUMBER(INDEX($A325:$AD325,1,$D$5)),INDEX($A325:$AD325,1,$D$5),TIMEVALUE(INDEX($A325:$AD325,1,$D$5)))*Inputs!$C$22,0))</f>
        <v/>
      </c>
    </row>
    <row r="326">
      <c r="AF326" s="107">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112">
        <f>IF(OR(AF326="",$D$5=""),0,IFERROR(IF(ISNUMBER(INDEX($A326:$AD326,1,$D$5)),INDEX($A326:$AD326,1,$D$5),TIMEVALUE(INDEX($A326:$AD326,1,$D$5)))*Inputs!$C$22,0))</f>
        <v/>
      </c>
    </row>
    <row r="327">
      <c r="AF327" s="107">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112">
        <f>IF(OR(AF327="",$D$5=""),0,IFERROR(IF(ISNUMBER(INDEX($A327:$AD327,1,$D$5)),INDEX($A327:$AD327,1,$D$5),TIMEVALUE(INDEX($A327:$AD327,1,$D$5)))*Inputs!$C$22,0))</f>
        <v/>
      </c>
    </row>
    <row r="328">
      <c r="AF328" s="107">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112">
        <f>IF(OR(AF328="",$D$5=""),0,IFERROR(IF(ISNUMBER(INDEX($A328:$AD328,1,$D$5)),INDEX($A328:$AD328,1,$D$5),TIMEVALUE(INDEX($A328:$AD328,1,$D$5)))*Inputs!$C$22,0))</f>
        <v/>
      </c>
    </row>
    <row r="329">
      <c r="AF329" s="107">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112">
        <f>IF(OR(AF329="",$D$5=""),0,IFERROR(IF(ISNUMBER(INDEX($A329:$AD329,1,$D$5)),INDEX($A329:$AD329,1,$D$5),TIMEVALUE(INDEX($A329:$AD329,1,$D$5)))*Inputs!$C$22,0))</f>
        <v/>
      </c>
    </row>
    <row r="330">
      <c r="AF330" s="107">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112">
        <f>IF(OR(AF330="",$D$5=""),0,IFERROR(IF(ISNUMBER(INDEX($A330:$AD330,1,$D$5)),INDEX($A330:$AD330,1,$D$5),TIMEVALUE(INDEX($A330:$AD330,1,$D$5)))*Inputs!$C$22,0))</f>
        <v/>
      </c>
    </row>
    <row r="331">
      <c r="AF331" s="107">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112">
        <f>IF(OR(AF331="",$D$5=""),0,IFERROR(IF(ISNUMBER(INDEX($A331:$AD331,1,$D$5)),INDEX($A331:$AD331,1,$D$5),TIMEVALUE(INDEX($A331:$AD331,1,$D$5)))*Inputs!$C$22,0))</f>
        <v/>
      </c>
    </row>
    <row r="332">
      <c r="AF332" s="107">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112">
        <f>IF(OR(AF332="",$D$5=""),0,IFERROR(IF(ISNUMBER(INDEX($A332:$AD332,1,$D$5)),INDEX($A332:$AD332,1,$D$5),TIMEVALUE(INDEX($A332:$AD332,1,$D$5)))*Inputs!$C$22,0))</f>
        <v/>
      </c>
    </row>
    <row r="333">
      <c r="AF333" s="107">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112">
        <f>IF(OR(AF333="",$D$5=""),0,IFERROR(IF(ISNUMBER(INDEX($A333:$AD333,1,$D$5)),INDEX($A333:$AD333,1,$D$5),TIMEVALUE(INDEX($A333:$AD333,1,$D$5)))*Inputs!$C$22,0))</f>
        <v/>
      </c>
    </row>
    <row r="334">
      <c r="AF334" s="107">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112">
        <f>IF(OR(AF334="",$D$5=""),0,IFERROR(IF(ISNUMBER(INDEX($A334:$AD334,1,$D$5)),INDEX($A334:$AD334,1,$D$5),TIMEVALUE(INDEX($A334:$AD334,1,$D$5)))*Inputs!$C$22,0))</f>
        <v/>
      </c>
    </row>
    <row r="335">
      <c r="AF335" s="107">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112">
        <f>IF(OR(AF335="",$D$5=""),0,IFERROR(IF(ISNUMBER(INDEX($A335:$AD335,1,$D$5)),INDEX($A335:$AD335,1,$D$5),TIMEVALUE(INDEX($A335:$AD335,1,$D$5)))*Inputs!$C$22,0))</f>
        <v/>
      </c>
    </row>
    <row r="336">
      <c r="AF336" s="107">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112">
        <f>IF(OR(AF336="",$D$5=""),0,IFERROR(IF(ISNUMBER(INDEX($A336:$AD336,1,$D$5)),INDEX($A336:$AD336,1,$D$5),TIMEVALUE(INDEX($A336:$AD336,1,$D$5)))*Inputs!$C$22,0))</f>
        <v/>
      </c>
    </row>
    <row r="337">
      <c r="AF337" s="107">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112">
        <f>IF(OR(AF337="",$D$5=""),0,IFERROR(IF(ISNUMBER(INDEX($A337:$AD337,1,$D$5)),INDEX($A337:$AD337,1,$D$5),TIMEVALUE(INDEX($A337:$AD337,1,$D$5)))*Inputs!$C$22,0))</f>
        <v/>
      </c>
    </row>
    <row r="338">
      <c r="AF338" s="107">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112">
        <f>IF(OR(AF338="",$D$5=""),0,IFERROR(IF(ISNUMBER(INDEX($A338:$AD338,1,$D$5)),INDEX($A338:$AD338,1,$D$5),TIMEVALUE(INDEX($A338:$AD338,1,$D$5)))*Inputs!$C$22,0))</f>
        <v/>
      </c>
    </row>
    <row r="339">
      <c r="AF339" s="107">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112">
        <f>IF(OR(AF339="",$D$5=""),0,IFERROR(IF(ISNUMBER(INDEX($A339:$AD339,1,$D$5)),INDEX($A339:$AD339,1,$D$5),TIMEVALUE(INDEX($A339:$AD339,1,$D$5)))*Inputs!$C$22,0))</f>
        <v/>
      </c>
    </row>
    <row r="340">
      <c r="AF340" s="107">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112">
        <f>IF(OR(AF340="",$D$5=""),0,IFERROR(IF(ISNUMBER(INDEX($A340:$AD340,1,$D$5)),INDEX($A340:$AD340,1,$D$5),TIMEVALUE(INDEX($A340:$AD340,1,$D$5)))*Inputs!$C$22,0))</f>
        <v/>
      </c>
    </row>
    <row r="341">
      <c r="AF341" s="107">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112">
        <f>IF(OR(AF341="",$D$5=""),0,IFERROR(IF(ISNUMBER(INDEX($A341:$AD341,1,$D$5)),INDEX($A341:$AD341,1,$D$5),TIMEVALUE(INDEX($A341:$AD341,1,$D$5)))*Inputs!$C$22,0))</f>
        <v/>
      </c>
    </row>
    <row r="342">
      <c r="AF342" s="107">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112">
        <f>IF(OR(AF342="",$D$5=""),0,IFERROR(IF(ISNUMBER(INDEX($A342:$AD342,1,$D$5)),INDEX($A342:$AD342,1,$D$5),TIMEVALUE(INDEX($A342:$AD342,1,$D$5)))*Inputs!$C$22,0))</f>
        <v/>
      </c>
    </row>
    <row r="343">
      <c r="AF343" s="107">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112">
        <f>IF(OR(AF343="",$D$5=""),0,IFERROR(IF(ISNUMBER(INDEX($A343:$AD343,1,$D$5)),INDEX($A343:$AD343,1,$D$5),TIMEVALUE(INDEX($A343:$AD343,1,$D$5)))*Inputs!$C$22,0))</f>
        <v/>
      </c>
    </row>
    <row r="344">
      <c r="AF344" s="107">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112">
        <f>IF(OR(AF344="",$D$5=""),0,IFERROR(IF(ISNUMBER(INDEX($A344:$AD344,1,$D$5)),INDEX($A344:$AD344,1,$D$5),TIMEVALUE(INDEX($A344:$AD344,1,$D$5)))*Inputs!$C$22,0))</f>
        <v/>
      </c>
    </row>
    <row r="345">
      <c r="AF345" s="107">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112">
        <f>IF(OR(AF345="",$D$5=""),0,IFERROR(IF(ISNUMBER(INDEX($A345:$AD345,1,$D$5)),INDEX($A345:$AD345,1,$D$5),TIMEVALUE(INDEX($A345:$AD345,1,$D$5)))*Inputs!$C$22,0))</f>
        <v/>
      </c>
    </row>
    <row r="346">
      <c r="AF346" s="107">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112">
        <f>IF(OR(AF346="",$D$5=""),0,IFERROR(IF(ISNUMBER(INDEX($A346:$AD346,1,$D$5)),INDEX($A346:$AD346,1,$D$5),TIMEVALUE(INDEX($A346:$AD346,1,$D$5)))*Inputs!$C$22,0))</f>
        <v/>
      </c>
    </row>
    <row r="347">
      <c r="AF347" s="107">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112">
        <f>IF(OR(AF347="",$D$5=""),0,IFERROR(IF(ISNUMBER(INDEX($A347:$AD347,1,$D$5)),INDEX($A347:$AD347,1,$D$5),TIMEVALUE(INDEX($A347:$AD347,1,$D$5)))*Inputs!$C$22,0))</f>
        <v/>
      </c>
    </row>
    <row r="348">
      <c r="AF348" s="107">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112">
        <f>IF(OR(AF348="",$D$5=""),0,IFERROR(IF(ISNUMBER(INDEX($A348:$AD348,1,$D$5)),INDEX($A348:$AD348,1,$D$5),TIMEVALUE(INDEX($A348:$AD348,1,$D$5)))*Inputs!$C$22,0))</f>
        <v/>
      </c>
    </row>
    <row r="349">
      <c r="AF349" s="107">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112">
        <f>IF(OR(AF349="",$D$5=""),0,IFERROR(IF(ISNUMBER(INDEX($A349:$AD349,1,$D$5)),INDEX($A349:$AD349,1,$D$5),TIMEVALUE(INDEX($A349:$AD349,1,$D$5)))*Inputs!$C$22,0))</f>
        <v/>
      </c>
    </row>
    <row r="350">
      <c r="AF350" s="107">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112">
        <f>IF(OR(AF350="",$D$5=""),0,IFERROR(IF(ISNUMBER(INDEX($A350:$AD350,1,$D$5)),INDEX($A350:$AD350,1,$D$5),TIMEVALUE(INDEX($A350:$AD350,1,$D$5)))*Inputs!$C$22,0))</f>
        <v/>
      </c>
    </row>
    <row r="351">
      <c r="AF351" s="107">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112">
        <f>IF(OR(AF351="",$D$5=""),0,IFERROR(IF(ISNUMBER(INDEX($A351:$AD351,1,$D$5)),INDEX($A351:$AD351,1,$D$5),TIMEVALUE(INDEX($A351:$AD351,1,$D$5)))*Inputs!$C$22,0))</f>
        <v/>
      </c>
    </row>
    <row r="352">
      <c r="AF352" s="107">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112">
        <f>IF(OR(AF352="",$D$5=""),0,IFERROR(IF(ISNUMBER(INDEX($A352:$AD352,1,$D$5)),INDEX($A352:$AD352,1,$D$5),TIMEVALUE(INDEX($A352:$AD352,1,$D$5)))*Inputs!$C$22,0))</f>
        <v/>
      </c>
    </row>
    <row r="353">
      <c r="AF353" s="107">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112">
        <f>IF(OR(AF353="",$D$5=""),0,IFERROR(IF(ISNUMBER(INDEX($A353:$AD353,1,$D$5)),INDEX($A353:$AD353,1,$D$5),TIMEVALUE(INDEX($A353:$AD353,1,$D$5)))*Inputs!$C$22,0))</f>
        <v/>
      </c>
    </row>
    <row r="354">
      <c r="AF354" s="107">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112">
        <f>IF(OR(AF354="",$D$5=""),0,IFERROR(IF(ISNUMBER(INDEX($A354:$AD354,1,$D$5)),INDEX($A354:$AD354,1,$D$5),TIMEVALUE(INDEX($A354:$AD354,1,$D$5)))*Inputs!$C$22,0))</f>
        <v/>
      </c>
    </row>
    <row r="355">
      <c r="AF355" s="107">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112">
        <f>IF(OR(AF355="",$D$5=""),0,IFERROR(IF(ISNUMBER(INDEX($A355:$AD355,1,$D$5)),INDEX($A355:$AD355,1,$D$5),TIMEVALUE(INDEX($A355:$AD355,1,$D$5)))*Inputs!$C$22,0))</f>
        <v/>
      </c>
    </row>
    <row r="356">
      <c r="AF356" s="107">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112">
        <f>IF(OR(AF356="",$D$5=""),0,IFERROR(IF(ISNUMBER(INDEX($A356:$AD356,1,$D$5)),INDEX($A356:$AD356,1,$D$5),TIMEVALUE(INDEX($A356:$AD356,1,$D$5)))*Inputs!$C$22,0))</f>
        <v/>
      </c>
    </row>
    <row r="357">
      <c r="AF357" s="107">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112">
        <f>IF(OR(AF357="",$D$5=""),0,IFERROR(IF(ISNUMBER(INDEX($A357:$AD357,1,$D$5)),INDEX($A357:$AD357,1,$D$5),TIMEVALUE(INDEX($A357:$AD357,1,$D$5)))*Inputs!$C$22,0))</f>
        <v/>
      </c>
    </row>
    <row r="358">
      <c r="AF358" s="107">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112">
        <f>IF(OR(AF358="",$D$5=""),0,IFERROR(IF(ISNUMBER(INDEX($A358:$AD358,1,$D$5)),INDEX($A358:$AD358,1,$D$5),TIMEVALUE(INDEX($A358:$AD358,1,$D$5)))*Inputs!$C$22,0))</f>
        <v/>
      </c>
    </row>
    <row r="359">
      <c r="AF359" s="107">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112">
        <f>IF(OR(AF359="",$D$5=""),0,IFERROR(IF(ISNUMBER(INDEX($A359:$AD359,1,$D$5)),INDEX($A359:$AD359,1,$D$5),TIMEVALUE(INDEX($A359:$AD359,1,$D$5)))*Inputs!$C$22,0))</f>
        <v/>
      </c>
    </row>
    <row r="360">
      <c r="AF360" s="107">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112">
        <f>IF(OR(AF360="",$D$5=""),0,IFERROR(IF(ISNUMBER(INDEX($A360:$AD360,1,$D$5)),INDEX($A360:$AD360,1,$D$5),TIMEVALUE(INDEX($A360:$AD360,1,$D$5)))*Inputs!$C$22,0))</f>
        <v/>
      </c>
    </row>
    <row r="361">
      <c r="AF361" s="107">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112">
        <f>IF(OR(AF361="",$D$5=""),0,IFERROR(IF(ISNUMBER(INDEX($A361:$AD361,1,$D$5)),INDEX($A361:$AD361,1,$D$5),TIMEVALUE(INDEX($A361:$AD361,1,$D$5)))*Inputs!$C$22,0))</f>
        <v/>
      </c>
    </row>
    <row r="362">
      <c r="AF362" s="107">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112">
        <f>IF(OR(AF362="",$D$5=""),0,IFERROR(IF(ISNUMBER(INDEX($A362:$AD362,1,$D$5)),INDEX($A362:$AD362,1,$D$5),TIMEVALUE(INDEX($A362:$AD362,1,$D$5)))*Inputs!$C$22,0))</f>
        <v/>
      </c>
    </row>
    <row r="363">
      <c r="AF363" s="107">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112">
        <f>IF(OR(AF363="",$D$5=""),0,IFERROR(IF(ISNUMBER(INDEX($A363:$AD363,1,$D$5)),INDEX($A363:$AD363,1,$D$5),TIMEVALUE(INDEX($A363:$AD363,1,$D$5)))*Inputs!$C$22,0))</f>
        <v/>
      </c>
    </row>
    <row r="364">
      <c r="AF364" s="107">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112">
        <f>IF(OR(AF364="",$D$5=""),0,IFERROR(IF(ISNUMBER(INDEX($A364:$AD364,1,$D$5)),INDEX($A364:$AD364,1,$D$5),TIMEVALUE(INDEX($A364:$AD364,1,$D$5)))*Inputs!$C$22,0))</f>
        <v/>
      </c>
    </row>
    <row r="365">
      <c r="AF365" s="107">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112">
        <f>IF(OR(AF365="",$D$5=""),0,IFERROR(IF(ISNUMBER(INDEX($A365:$AD365,1,$D$5)),INDEX($A365:$AD365,1,$D$5),TIMEVALUE(INDEX($A365:$AD365,1,$D$5)))*Inputs!$C$22,0))</f>
        <v/>
      </c>
    </row>
    <row r="366">
      <c r="AF366" s="107">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112">
        <f>IF(OR(AF366="",$D$5=""),0,IFERROR(IF(ISNUMBER(INDEX($A366:$AD366,1,$D$5)),INDEX($A366:$AD366,1,$D$5),TIMEVALUE(INDEX($A366:$AD366,1,$D$5)))*Inputs!$C$22,0))</f>
        <v/>
      </c>
    </row>
    <row r="367">
      <c r="AF367" s="107">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112">
        <f>IF(OR(AF367="",$D$5=""),0,IFERROR(IF(ISNUMBER(INDEX($A367:$AD367,1,$D$5)),INDEX($A367:$AD367,1,$D$5),TIMEVALUE(INDEX($A367:$AD367,1,$D$5)))*Inputs!$C$22,0))</f>
        <v/>
      </c>
    </row>
    <row r="368">
      <c r="AF368" s="107">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112">
        <f>IF(OR(AF368="",$D$5=""),0,IFERROR(IF(ISNUMBER(INDEX($A368:$AD368,1,$D$5)),INDEX($A368:$AD368,1,$D$5),TIMEVALUE(INDEX($A368:$AD368,1,$D$5)))*Inputs!$C$22,0))</f>
        <v/>
      </c>
    </row>
    <row r="369">
      <c r="AF369" s="107">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112">
        <f>IF(OR(AF369="",$D$5=""),0,IFERROR(IF(ISNUMBER(INDEX($A369:$AD369,1,$D$5)),INDEX($A369:$AD369,1,$D$5),TIMEVALUE(INDEX($A369:$AD369,1,$D$5)))*Inputs!$C$22,0))</f>
        <v/>
      </c>
    </row>
    <row r="370">
      <c r="AF370" s="107">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112">
        <f>IF(OR(AF370="",$D$5=""),0,IFERROR(IF(ISNUMBER(INDEX($A370:$AD370,1,$D$5)),INDEX($A370:$AD370,1,$D$5),TIMEVALUE(INDEX($A370:$AD370,1,$D$5)))*Inputs!$C$22,0))</f>
        <v/>
      </c>
    </row>
    <row r="371">
      <c r="AF371" s="107">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112">
        <f>IF(OR(AF371="",$D$5=""),0,IFERROR(IF(ISNUMBER(INDEX($A371:$AD371,1,$D$5)),INDEX($A371:$AD371,1,$D$5),TIMEVALUE(INDEX($A371:$AD371,1,$D$5)))*Inputs!$C$22,0))</f>
        <v/>
      </c>
    </row>
    <row r="372">
      <c r="AF372" s="107">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112">
        <f>IF(OR(AF372="",$D$5=""),0,IFERROR(IF(ISNUMBER(INDEX($A372:$AD372,1,$D$5)),INDEX($A372:$AD372,1,$D$5),TIMEVALUE(INDEX($A372:$AD372,1,$D$5)))*Inputs!$C$22,0))</f>
        <v/>
      </c>
    </row>
    <row r="373">
      <c r="AF373" s="107">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112">
        <f>IF(OR(AF373="",$D$5=""),0,IFERROR(IF(ISNUMBER(INDEX($A373:$AD373,1,$D$5)),INDEX($A373:$AD373,1,$D$5),TIMEVALUE(INDEX($A373:$AD373,1,$D$5)))*Inputs!$C$22,0))</f>
        <v/>
      </c>
    </row>
    <row r="374">
      <c r="AF374" s="107">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112">
        <f>IF(OR(AF374="",$D$5=""),0,IFERROR(IF(ISNUMBER(INDEX($A374:$AD374,1,$D$5)),INDEX($A374:$AD374,1,$D$5),TIMEVALUE(INDEX($A374:$AD374,1,$D$5)))*Inputs!$C$22,0))</f>
        <v/>
      </c>
    </row>
    <row r="375">
      <c r="AF375" s="107">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112">
        <f>IF(OR(AF375="",$D$5=""),0,IFERROR(IF(ISNUMBER(INDEX($A375:$AD375,1,$D$5)),INDEX($A375:$AD375,1,$D$5),TIMEVALUE(INDEX($A375:$AD375,1,$D$5)))*Inputs!$C$22,0))</f>
        <v/>
      </c>
    </row>
    <row r="376">
      <c r="AF376" s="107">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112">
        <f>IF(OR(AF376="",$D$5=""),0,IFERROR(IF(ISNUMBER(INDEX($A376:$AD376,1,$D$5)),INDEX($A376:$AD376,1,$D$5),TIMEVALUE(INDEX($A376:$AD376,1,$D$5)))*Inputs!$C$22,0))</f>
        <v/>
      </c>
    </row>
    <row r="377">
      <c r="AF377" s="107">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112">
        <f>IF(OR(AF377="",$D$5=""),0,IFERROR(IF(ISNUMBER(INDEX($A377:$AD377,1,$D$5)),INDEX($A377:$AD377,1,$D$5),TIMEVALUE(INDEX($A377:$AD377,1,$D$5)))*Inputs!$C$22,0))</f>
        <v/>
      </c>
    </row>
    <row r="378">
      <c r="AF378" s="107">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112">
        <f>IF(OR(AF378="",$D$5=""),0,IFERROR(IF(ISNUMBER(INDEX($A378:$AD378,1,$D$5)),INDEX($A378:$AD378,1,$D$5),TIMEVALUE(INDEX($A378:$AD378,1,$D$5)))*Inputs!$C$22,0))</f>
        <v/>
      </c>
    </row>
    <row r="379">
      <c r="AF379" s="107">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112">
        <f>IF(OR(AF379="",$D$5=""),0,IFERROR(IF(ISNUMBER(INDEX($A379:$AD379,1,$D$5)),INDEX($A379:$AD379,1,$D$5),TIMEVALUE(INDEX($A379:$AD379,1,$D$5)))*Inputs!$C$22,0))</f>
        <v/>
      </c>
    </row>
    <row r="380">
      <c r="AF380" s="107">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112">
        <f>IF(OR(AF380="",$D$5=""),0,IFERROR(IF(ISNUMBER(INDEX($A380:$AD380,1,$D$5)),INDEX($A380:$AD380,1,$D$5),TIMEVALUE(INDEX($A380:$AD380,1,$D$5)))*Inputs!$C$22,0))</f>
        <v/>
      </c>
    </row>
    <row r="381">
      <c r="AF381" s="107">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112">
        <f>IF(OR(AF381="",$D$5=""),0,IFERROR(IF(ISNUMBER(INDEX($A381:$AD381,1,$D$5)),INDEX($A381:$AD381,1,$D$5),TIMEVALUE(INDEX($A381:$AD381,1,$D$5)))*Inputs!$C$22,0))</f>
        <v/>
      </c>
    </row>
    <row r="382">
      <c r="AF382" s="107">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112">
        <f>IF(OR(AF382="",$D$5=""),0,IFERROR(IF(ISNUMBER(INDEX($A382:$AD382,1,$D$5)),INDEX($A382:$AD382,1,$D$5),TIMEVALUE(INDEX($A382:$AD382,1,$D$5)))*Inputs!$C$22,0))</f>
        <v/>
      </c>
    </row>
    <row r="383">
      <c r="AF383" s="107">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112">
        <f>IF(OR(AF383="",$D$5=""),0,IFERROR(IF(ISNUMBER(INDEX($A383:$AD383,1,$D$5)),INDEX($A383:$AD383,1,$D$5),TIMEVALUE(INDEX($A383:$AD383,1,$D$5)))*Inputs!$C$22,0))</f>
        <v/>
      </c>
    </row>
    <row r="384">
      <c r="AF384" s="107">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112">
        <f>IF(OR(AF384="",$D$5=""),0,IFERROR(IF(ISNUMBER(INDEX($A384:$AD384,1,$D$5)),INDEX($A384:$AD384,1,$D$5),TIMEVALUE(INDEX($A384:$AD384,1,$D$5)))*Inputs!$C$22,0))</f>
        <v/>
      </c>
    </row>
    <row r="385">
      <c r="AF385" s="107">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112">
        <f>IF(OR(AF385="",$D$5=""),0,IFERROR(IF(ISNUMBER(INDEX($A385:$AD385,1,$D$5)),INDEX($A385:$AD385,1,$D$5),TIMEVALUE(INDEX($A385:$AD385,1,$D$5)))*Inputs!$C$22,0))</f>
        <v/>
      </c>
    </row>
    <row r="386">
      <c r="AF386" s="107">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112">
        <f>IF(OR(AF386="",$D$5=""),0,IFERROR(IF(ISNUMBER(INDEX($A386:$AD386,1,$D$5)),INDEX($A386:$AD386,1,$D$5),TIMEVALUE(INDEX($A386:$AD386,1,$D$5)))*Inputs!$C$22,0))</f>
        <v/>
      </c>
    </row>
    <row r="387">
      <c r="AF387" s="107">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112">
        <f>IF(OR(AF387="",$D$5=""),0,IFERROR(IF(ISNUMBER(INDEX($A387:$AD387,1,$D$5)),INDEX($A387:$AD387,1,$D$5),TIMEVALUE(INDEX($A387:$AD387,1,$D$5)))*Inputs!$C$22,0))</f>
        <v/>
      </c>
    </row>
    <row r="388">
      <c r="AF388" s="107">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112">
        <f>IF(OR(AF388="",$D$5=""),0,IFERROR(IF(ISNUMBER(INDEX($A388:$AD388,1,$D$5)),INDEX($A388:$AD388,1,$D$5),TIMEVALUE(INDEX($A388:$AD388,1,$D$5)))*Inputs!$C$22,0))</f>
        <v/>
      </c>
    </row>
    <row r="389">
      <c r="AF389" s="107">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112">
        <f>IF(OR(AF389="",$D$5=""),0,IFERROR(IF(ISNUMBER(INDEX($A389:$AD389,1,$D$5)),INDEX($A389:$AD389,1,$D$5),TIMEVALUE(INDEX($A389:$AD389,1,$D$5)))*Inputs!$C$22,0))</f>
        <v/>
      </c>
    </row>
    <row r="390">
      <c r="AF390" s="107">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112">
        <f>IF(OR(AF390="",$D$5=""),0,IFERROR(IF(ISNUMBER(INDEX($A390:$AD390,1,$D$5)),INDEX($A390:$AD390,1,$D$5),TIMEVALUE(INDEX($A390:$AD390,1,$D$5)))*Inputs!$C$22,0))</f>
        <v/>
      </c>
    </row>
    <row r="391">
      <c r="AF391" s="107">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112">
        <f>IF(OR(AF391="",$D$5=""),0,IFERROR(IF(ISNUMBER(INDEX($A391:$AD391,1,$D$5)),INDEX($A391:$AD391,1,$D$5),TIMEVALUE(INDEX($A391:$AD391,1,$D$5)))*Inputs!$C$22,0))</f>
        <v/>
      </c>
    </row>
    <row r="392">
      <c r="AF392" s="107">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112">
        <f>IF(OR(AF392="",$D$5=""),0,IFERROR(IF(ISNUMBER(INDEX($A392:$AD392,1,$D$5)),INDEX($A392:$AD392,1,$D$5),TIMEVALUE(INDEX($A392:$AD392,1,$D$5)))*Inputs!$C$22,0))</f>
        <v/>
      </c>
    </row>
    <row r="393">
      <c r="AF393" s="107">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112">
        <f>IF(OR(AF393="",$D$5=""),0,IFERROR(IF(ISNUMBER(INDEX($A393:$AD393,1,$D$5)),INDEX($A393:$AD393,1,$D$5),TIMEVALUE(INDEX($A393:$AD393,1,$D$5)))*Inputs!$C$22,0))</f>
        <v/>
      </c>
    </row>
    <row r="394">
      <c r="AF394" s="107">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112">
        <f>IF(OR(AF394="",$D$5=""),0,IFERROR(IF(ISNUMBER(INDEX($A394:$AD394,1,$D$5)),INDEX($A394:$AD394,1,$D$5),TIMEVALUE(INDEX($A394:$AD394,1,$D$5)))*Inputs!$C$22,0))</f>
        <v/>
      </c>
    </row>
    <row r="395">
      <c r="AF395" s="107">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112">
        <f>IF(OR(AF395="",$D$5=""),0,IFERROR(IF(ISNUMBER(INDEX($A395:$AD395,1,$D$5)),INDEX($A395:$AD395,1,$D$5),TIMEVALUE(INDEX($A395:$AD395,1,$D$5)))*Inputs!$C$22,0))</f>
        <v/>
      </c>
    </row>
    <row r="396">
      <c r="AF396" s="107">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112">
        <f>IF(OR(AF396="",$D$5=""),0,IFERROR(IF(ISNUMBER(INDEX($A396:$AD396,1,$D$5)),INDEX($A396:$AD396,1,$D$5),TIMEVALUE(INDEX($A396:$AD396,1,$D$5)))*Inputs!$C$22,0))</f>
        <v/>
      </c>
    </row>
    <row r="397">
      <c r="AF397" s="107">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112">
        <f>IF(OR(AF397="",$D$5=""),0,IFERROR(IF(ISNUMBER(INDEX($A397:$AD397,1,$D$5)),INDEX($A397:$AD397,1,$D$5),TIMEVALUE(INDEX($A397:$AD397,1,$D$5)))*Inputs!$C$22,0))</f>
        <v/>
      </c>
    </row>
    <row r="398">
      <c r="AF398" s="107">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112">
        <f>IF(OR(AF398="",$D$5=""),0,IFERROR(IF(ISNUMBER(INDEX($A398:$AD398,1,$D$5)),INDEX($A398:$AD398,1,$D$5),TIMEVALUE(INDEX($A398:$AD398,1,$D$5)))*Inputs!$C$22,0))</f>
        <v/>
      </c>
    </row>
    <row r="399">
      <c r="AF399" s="107">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112">
        <f>IF(OR(AF399="",$D$5=""),0,IFERROR(IF(ISNUMBER(INDEX($A399:$AD399,1,$D$5)),INDEX($A399:$AD399,1,$D$5),TIMEVALUE(INDEX($A399:$AD399,1,$D$5)))*Inputs!$C$22,0))</f>
        <v/>
      </c>
    </row>
    <row r="400">
      <c r="AF400" s="107">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112">
        <f>IF(OR(AF400="",$D$5=""),0,IFERROR(IF(ISNUMBER(INDEX($A400:$AD400,1,$D$5)),INDEX($A400:$AD400,1,$D$5),TIMEVALUE(INDEX($A400:$AD400,1,$D$5)))*Inputs!$C$22,0))</f>
        <v/>
      </c>
    </row>
    <row r="401">
      <c r="AF401" s="107">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112">
        <f>IF(OR(AF401="",$D$5=""),0,IFERROR(IF(ISNUMBER(INDEX($A401:$AD401,1,$D$5)),INDEX($A401:$AD401,1,$D$5),TIMEVALUE(INDEX($A401:$AD401,1,$D$5)))*Inputs!$C$22,0))</f>
        <v/>
      </c>
    </row>
    <row r="402">
      <c r="AF402" s="107">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112">
        <f>IF(OR(AF402="",$D$5=""),0,IFERROR(IF(ISNUMBER(INDEX($A402:$AD402,1,$D$5)),INDEX($A402:$AD402,1,$D$5),TIMEVALUE(INDEX($A402:$AD402,1,$D$5)))*Inputs!$C$22,0))</f>
        <v/>
      </c>
    </row>
    <row r="403">
      <c r="AF403" s="107">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112">
        <f>IF(OR(AF403="",$D$5=""),0,IFERROR(IF(ISNUMBER(INDEX($A403:$AD403,1,$D$5)),INDEX($A403:$AD403,1,$D$5),TIMEVALUE(INDEX($A403:$AD403,1,$D$5)))*Inputs!$C$22,0))</f>
        <v/>
      </c>
    </row>
    <row r="404">
      <c r="AF404" s="107">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112">
        <f>IF(OR(AF404="",$D$5=""),0,IFERROR(IF(ISNUMBER(INDEX($A404:$AD404,1,$D$5)),INDEX($A404:$AD404,1,$D$5),TIMEVALUE(INDEX($A404:$AD404,1,$D$5)))*Inputs!$C$22,0))</f>
        <v/>
      </c>
    </row>
    <row r="405">
      <c r="AF405" s="107">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112">
        <f>IF(OR(AF405="",$D$5=""),0,IFERROR(IF(ISNUMBER(INDEX($A405:$AD405,1,$D$5)),INDEX($A405:$AD405,1,$D$5),TIMEVALUE(INDEX($A405:$AD405,1,$D$5)))*Inputs!$C$22,0))</f>
        <v/>
      </c>
    </row>
    <row r="406">
      <c r="AF406" s="107">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112">
        <f>IF(OR(AF406="",$D$5=""),0,IFERROR(IF(ISNUMBER(INDEX($A406:$AD406,1,$D$5)),INDEX($A406:$AD406,1,$D$5),TIMEVALUE(INDEX($A406:$AD406,1,$D$5)))*Inputs!$C$22,0))</f>
        <v/>
      </c>
    </row>
    <row r="407">
      <c r="AF407" s="107">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112">
        <f>IF(OR(AF407="",$D$5=""),0,IFERROR(IF(ISNUMBER(INDEX($A407:$AD407,1,$D$5)),INDEX($A407:$AD407,1,$D$5),TIMEVALUE(INDEX($A407:$AD407,1,$D$5)))*Inputs!$C$22,0))</f>
        <v/>
      </c>
    </row>
    <row r="408">
      <c r="AF408" s="107">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112">
        <f>IF(OR(AF408="",$D$5=""),0,IFERROR(IF(ISNUMBER(INDEX($A408:$AD408,1,$D$5)),INDEX($A408:$AD408,1,$D$5),TIMEVALUE(INDEX($A408:$AD408,1,$D$5)))*Inputs!$C$22,0))</f>
        <v/>
      </c>
    </row>
    <row r="409">
      <c r="AF409" s="107">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112">
        <f>IF(OR(AF409="",$D$5=""),0,IFERROR(IF(ISNUMBER(INDEX($A409:$AD409,1,$D$5)),INDEX($A409:$AD409,1,$D$5),TIMEVALUE(INDEX($A409:$AD409,1,$D$5)))*Inputs!$C$22,0))</f>
        <v/>
      </c>
    </row>
    <row r="410">
      <c r="AF410" s="107">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112">
        <f>IF(OR(AF410="",$D$5=""),0,IFERROR(IF(ISNUMBER(INDEX($A410:$AD410,1,$D$5)),INDEX($A410:$AD410,1,$D$5),TIMEVALUE(INDEX($A410:$AD410,1,$D$5)))*Inputs!$C$22,0))</f>
        <v/>
      </c>
    </row>
    <row r="411">
      <c r="AF411" s="107">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112">
        <f>IF(OR(AF411="",$D$5=""),0,IFERROR(IF(ISNUMBER(INDEX($A411:$AD411,1,$D$5)),INDEX($A411:$AD411,1,$D$5),TIMEVALUE(INDEX($A411:$AD411,1,$D$5)))*Inputs!$C$22,0))</f>
        <v/>
      </c>
    </row>
    <row r="412">
      <c r="AF412" s="107">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112">
        <f>IF(OR(AF412="",$D$5=""),0,IFERROR(IF(ISNUMBER(INDEX($A412:$AD412,1,$D$5)),INDEX($A412:$AD412,1,$D$5),TIMEVALUE(INDEX($A412:$AD412,1,$D$5)))*Inputs!$C$22,0))</f>
        <v/>
      </c>
    </row>
    <row r="413">
      <c r="AF413" s="107">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112">
        <f>IF(OR(AF413="",$D$5=""),0,IFERROR(IF(ISNUMBER(INDEX($A413:$AD413,1,$D$5)),INDEX($A413:$AD413,1,$D$5),TIMEVALUE(INDEX($A413:$AD413,1,$D$5)))*Inputs!$C$22,0))</f>
        <v/>
      </c>
    </row>
    <row r="414">
      <c r="AF414" s="107">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112">
        <f>IF(OR(AF414="",$D$5=""),0,IFERROR(IF(ISNUMBER(INDEX($A414:$AD414,1,$D$5)),INDEX($A414:$AD414,1,$D$5),TIMEVALUE(INDEX($A414:$AD414,1,$D$5)))*Inputs!$C$22,0))</f>
        <v/>
      </c>
    </row>
    <row r="415">
      <c r="AF415" s="107">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112">
        <f>IF(OR(AF415="",$D$5=""),0,IFERROR(IF(ISNUMBER(INDEX($A415:$AD415,1,$D$5)),INDEX($A415:$AD415,1,$D$5),TIMEVALUE(INDEX($A415:$AD415,1,$D$5)))*Inputs!$C$22,0))</f>
        <v/>
      </c>
    </row>
    <row r="416">
      <c r="AF416" s="107">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112">
        <f>IF(OR(AF416="",$D$5=""),0,IFERROR(IF(ISNUMBER(INDEX($A416:$AD416,1,$D$5)),INDEX($A416:$AD416,1,$D$5),TIMEVALUE(INDEX($A416:$AD416,1,$D$5)))*Inputs!$C$22,0))</f>
        <v/>
      </c>
    </row>
    <row r="417">
      <c r="AF417" s="107">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112">
        <f>IF(OR(AF417="",$D$5=""),0,IFERROR(IF(ISNUMBER(INDEX($A417:$AD417,1,$D$5)),INDEX($A417:$AD417,1,$D$5),TIMEVALUE(INDEX($A417:$AD417,1,$D$5)))*Inputs!$C$22,0))</f>
        <v/>
      </c>
    </row>
    <row r="418">
      <c r="AF418" s="107">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112">
        <f>IF(OR(AF418="",$D$5=""),0,IFERROR(IF(ISNUMBER(INDEX($A418:$AD418,1,$D$5)),INDEX($A418:$AD418,1,$D$5),TIMEVALUE(INDEX($A418:$AD418,1,$D$5)))*Inputs!$C$22,0))</f>
        <v/>
      </c>
    </row>
    <row r="419">
      <c r="AF419" s="107">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112">
        <f>IF(OR(AF419="",$D$5=""),0,IFERROR(IF(ISNUMBER(INDEX($A419:$AD419,1,$D$5)),INDEX($A419:$AD419,1,$D$5),TIMEVALUE(INDEX($A419:$AD419,1,$D$5)))*Inputs!$C$22,0))</f>
        <v/>
      </c>
    </row>
    <row r="420">
      <c r="AF420" s="107">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112">
        <f>IF(OR(AF420="",$D$5=""),0,IFERROR(IF(ISNUMBER(INDEX($A420:$AD420,1,$D$5)),INDEX($A420:$AD420,1,$D$5),TIMEVALUE(INDEX($A420:$AD420,1,$D$5)))*Inputs!$C$22,0))</f>
        <v/>
      </c>
    </row>
    <row r="421">
      <c r="AF421" s="107">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112">
        <f>IF(OR(AF421="",$D$5=""),0,IFERROR(IF(ISNUMBER(INDEX($A421:$AD421,1,$D$5)),INDEX($A421:$AD421,1,$D$5),TIMEVALUE(INDEX($A421:$AD421,1,$D$5)))*Inputs!$C$22,0))</f>
        <v/>
      </c>
    </row>
    <row r="422">
      <c r="AF422" s="107">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112">
        <f>IF(OR(AF422="",$D$5=""),0,IFERROR(IF(ISNUMBER(INDEX($A422:$AD422,1,$D$5)),INDEX($A422:$AD422,1,$D$5),TIMEVALUE(INDEX($A422:$AD422,1,$D$5)))*Inputs!$C$22,0))</f>
        <v/>
      </c>
    </row>
    <row r="423">
      <c r="AF423" s="107">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112">
        <f>IF(OR(AF423="",$D$5=""),0,IFERROR(IF(ISNUMBER(INDEX($A423:$AD423,1,$D$5)),INDEX($A423:$AD423,1,$D$5),TIMEVALUE(INDEX($A423:$AD423,1,$D$5)))*Inputs!$C$22,0))</f>
        <v/>
      </c>
    </row>
    <row r="424">
      <c r="AF424" s="107">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112">
        <f>IF(OR(AF424="",$D$5=""),0,IFERROR(IF(ISNUMBER(INDEX($A424:$AD424,1,$D$5)),INDEX($A424:$AD424,1,$D$5),TIMEVALUE(INDEX($A424:$AD424,1,$D$5)))*Inputs!$C$22,0))</f>
        <v/>
      </c>
    </row>
    <row r="425">
      <c r="AF425" s="107">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112">
        <f>IF(OR(AF425="",$D$5=""),0,IFERROR(IF(ISNUMBER(INDEX($A425:$AD425,1,$D$5)),INDEX($A425:$AD425,1,$D$5),TIMEVALUE(INDEX($A425:$AD425,1,$D$5)))*Inputs!$C$22,0))</f>
        <v/>
      </c>
    </row>
    <row r="426">
      <c r="AF426" s="107">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112">
        <f>IF(OR(AF426="",$D$5=""),0,IFERROR(IF(ISNUMBER(INDEX($A426:$AD426,1,$D$5)),INDEX($A426:$AD426,1,$D$5),TIMEVALUE(INDEX($A426:$AD426,1,$D$5)))*Inputs!$C$22,0))</f>
        <v/>
      </c>
    </row>
    <row r="427">
      <c r="AF427" s="107">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112">
        <f>IF(OR(AF427="",$D$5=""),0,IFERROR(IF(ISNUMBER(INDEX($A427:$AD427,1,$D$5)),INDEX($A427:$AD427,1,$D$5),TIMEVALUE(INDEX($A427:$AD427,1,$D$5)))*Inputs!$C$22,0))</f>
        <v/>
      </c>
    </row>
    <row r="428">
      <c r="AF428" s="107">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112">
        <f>IF(OR(AF428="",$D$5=""),0,IFERROR(IF(ISNUMBER(INDEX($A428:$AD428,1,$D$5)),INDEX($A428:$AD428,1,$D$5),TIMEVALUE(INDEX($A428:$AD428,1,$D$5)))*Inputs!$C$22,0))</f>
        <v/>
      </c>
    </row>
    <row r="429">
      <c r="AF429" s="107">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112">
        <f>IF(OR(AF429="",$D$5=""),0,IFERROR(IF(ISNUMBER(INDEX($A429:$AD429,1,$D$5)),INDEX($A429:$AD429,1,$D$5),TIMEVALUE(INDEX($A429:$AD429,1,$D$5)))*Inputs!$C$22,0))</f>
        <v/>
      </c>
    </row>
    <row r="430">
      <c r="AF430" s="107">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112">
        <f>IF(OR(AF430="",$D$5=""),0,IFERROR(IF(ISNUMBER(INDEX($A430:$AD430,1,$D$5)),INDEX($A430:$AD430,1,$D$5),TIMEVALUE(INDEX($A430:$AD430,1,$D$5)))*Inputs!$C$22,0))</f>
        <v/>
      </c>
    </row>
    <row r="431">
      <c r="AF431" s="107">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112">
        <f>IF(OR(AF431="",$D$5=""),0,IFERROR(IF(ISNUMBER(INDEX($A431:$AD431,1,$D$5)),INDEX($A431:$AD431,1,$D$5),TIMEVALUE(INDEX($A431:$AD431,1,$D$5)))*Inputs!$C$22,0))</f>
        <v/>
      </c>
    </row>
    <row r="432">
      <c r="AF432" s="107">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112">
        <f>IF(OR(AF432="",$D$5=""),0,IFERROR(IF(ISNUMBER(INDEX($A432:$AD432,1,$D$5)),INDEX($A432:$AD432,1,$D$5),TIMEVALUE(INDEX($A432:$AD432,1,$D$5)))*Inputs!$C$22,0))</f>
        <v/>
      </c>
    </row>
    <row r="433">
      <c r="AF433" s="107">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112">
        <f>IF(OR(AF433="",$D$5=""),0,IFERROR(IF(ISNUMBER(INDEX($A433:$AD433,1,$D$5)),INDEX($A433:$AD433,1,$D$5),TIMEVALUE(INDEX($A433:$AD433,1,$D$5)))*Inputs!$C$22,0))</f>
        <v/>
      </c>
    </row>
    <row r="434">
      <c r="AF434" s="107">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112">
        <f>IF(OR(AF434="",$D$5=""),0,IFERROR(IF(ISNUMBER(INDEX($A434:$AD434,1,$D$5)),INDEX($A434:$AD434,1,$D$5),TIMEVALUE(INDEX($A434:$AD434,1,$D$5)))*Inputs!$C$22,0))</f>
        <v/>
      </c>
    </row>
    <row r="435">
      <c r="AF435" s="107">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112">
        <f>IF(OR(AF435="",$D$5=""),0,IFERROR(IF(ISNUMBER(INDEX($A435:$AD435,1,$D$5)),INDEX($A435:$AD435,1,$D$5),TIMEVALUE(INDEX($A435:$AD435,1,$D$5)))*Inputs!$C$22,0))</f>
        <v/>
      </c>
    </row>
    <row r="436">
      <c r="AF436" s="107">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112">
        <f>IF(OR(AF436="",$D$5=""),0,IFERROR(IF(ISNUMBER(INDEX($A436:$AD436,1,$D$5)),INDEX($A436:$AD436,1,$D$5),TIMEVALUE(INDEX($A436:$AD436,1,$D$5)))*Inputs!$C$22,0))</f>
        <v/>
      </c>
    </row>
    <row r="437">
      <c r="AF437" s="107">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112">
        <f>IF(OR(AF437="",$D$5=""),0,IFERROR(IF(ISNUMBER(INDEX($A437:$AD437,1,$D$5)),INDEX($A437:$AD437,1,$D$5),TIMEVALUE(INDEX($A437:$AD437,1,$D$5)))*Inputs!$C$22,0))</f>
        <v/>
      </c>
    </row>
    <row r="438">
      <c r="AF438" s="107">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112">
        <f>IF(OR(AF438="",$D$5=""),0,IFERROR(IF(ISNUMBER(INDEX($A438:$AD438,1,$D$5)),INDEX($A438:$AD438,1,$D$5),TIMEVALUE(INDEX($A438:$AD438,1,$D$5)))*Inputs!$C$22,0))</f>
        <v/>
      </c>
    </row>
    <row r="439">
      <c r="AF439" s="107">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112">
        <f>IF(OR(AF439="",$D$5=""),0,IFERROR(IF(ISNUMBER(INDEX($A439:$AD439,1,$D$5)),INDEX($A439:$AD439,1,$D$5),TIMEVALUE(INDEX($A439:$AD439,1,$D$5)))*Inputs!$C$22,0))</f>
        <v/>
      </c>
    </row>
    <row r="440">
      <c r="AF440" s="107">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112">
        <f>IF(OR(AF440="",$D$5=""),0,IFERROR(IF(ISNUMBER(INDEX($A440:$AD440,1,$D$5)),INDEX($A440:$AD440,1,$D$5),TIMEVALUE(INDEX($A440:$AD440,1,$D$5)))*Inputs!$C$22,0))</f>
        <v/>
      </c>
    </row>
    <row r="441">
      <c r="AF441" s="107">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112">
        <f>IF(OR(AF441="",$D$5=""),0,IFERROR(IF(ISNUMBER(INDEX($A441:$AD441,1,$D$5)),INDEX($A441:$AD441,1,$D$5),TIMEVALUE(INDEX($A441:$AD441,1,$D$5)))*Inputs!$C$22,0))</f>
        <v/>
      </c>
    </row>
    <row r="442">
      <c r="AF442" s="107">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112">
        <f>IF(OR(AF442="",$D$5=""),0,IFERROR(IF(ISNUMBER(INDEX($A442:$AD442,1,$D$5)),INDEX($A442:$AD442,1,$D$5),TIMEVALUE(INDEX($A442:$AD442,1,$D$5)))*Inputs!$C$22,0))</f>
        <v/>
      </c>
    </row>
    <row r="443">
      <c r="AF443" s="107">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112">
        <f>IF(OR(AF443="",$D$5=""),0,IFERROR(IF(ISNUMBER(INDEX($A443:$AD443,1,$D$5)),INDEX($A443:$AD443,1,$D$5),TIMEVALUE(INDEX($A443:$AD443,1,$D$5)))*Inputs!$C$22,0))</f>
        <v/>
      </c>
    </row>
    <row r="444">
      <c r="AF444" s="107">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112">
        <f>IF(OR(AF444="",$D$5=""),0,IFERROR(IF(ISNUMBER(INDEX($A444:$AD444,1,$D$5)),INDEX($A444:$AD444,1,$D$5),TIMEVALUE(INDEX($A444:$AD444,1,$D$5)))*Inputs!$C$22,0))</f>
        <v/>
      </c>
    </row>
    <row r="445">
      <c r="AF445" s="107">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112">
        <f>IF(OR(AF445="",$D$5=""),0,IFERROR(IF(ISNUMBER(INDEX($A445:$AD445,1,$D$5)),INDEX($A445:$AD445,1,$D$5),TIMEVALUE(INDEX($A445:$AD445,1,$D$5)))*Inputs!$C$22,0))</f>
        <v/>
      </c>
    </row>
    <row r="446">
      <c r="AF446" s="107">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112">
        <f>IF(OR(AF446="",$D$5=""),0,IFERROR(IF(ISNUMBER(INDEX($A446:$AD446,1,$D$5)),INDEX($A446:$AD446,1,$D$5),TIMEVALUE(INDEX($A446:$AD446,1,$D$5)))*Inputs!$C$22,0))</f>
        <v/>
      </c>
    </row>
    <row r="447">
      <c r="AF447" s="107">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112">
        <f>IF(OR(AF447="",$D$5=""),0,IFERROR(IF(ISNUMBER(INDEX($A447:$AD447,1,$D$5)),INDEX($A447:$AD447,1,$D$5),TIMEVALUE(INDEX($A447:$AD447,1,$D$5)))*Inputs!$C$22,0))</f>
        <v/>
      </c>
    </row>
    <row r="448">
      <c r="AF448" s="107">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112">
        <f>IF(OR(AF448="",$D$5=""),0,IFERROR(IF(ISNUMBER(INDEX($A448:$AD448,1,$D$5)),INDEX($A448:$AD448,1,$D$5),TIMEVALUE(INDEX($A448:$AD448,1,$D$5)))*Inputs!$C$22,0))</f>
        <v/>
      </c>
    </row>
    <row r="449">
      <c r="AF449" s="107">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112">
        <f>IF(OR(AF449="",$D$5=""),0,IFERROR(IF(ISNUMBER(INDEX($A449:$AD449,1,$D$5)),INDEX($A449:$AD449,1,$D$5),TIMEVALUE(INDEX($A449:$AD449,1,$D$5)))*Inputs!$C$22,0))</f>
        <v/>
      </c>
    </row>
    <row r="450">
      <c r="AF450" s="107">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112">
        <f>IF(OR(AF450="",$D$5=""),0,IFERROR(IF(ISNUMBER(INDEX($A450:$AD450,1,$D$5)),INDEX($A450:$AD450,1,$D$5),TIMEVALUE(INDEX($A450:$AD450,1,$D$5)))*Inputs!$C$22,0))</f>
        <v/>
      </c>
    </row>
    <row r="451">
      <c r="AF451" s="107">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112">
        <f>IF(OR(AF451="",$D$5=""),0,IFERROR(IF(ISNUMBER(INDEX($A451:$AD451,1,$D$5)),INDEX($A451:$AD451,1,$D$5),TIMEVALUE(INDEX($A451:$AD451,1,$D$5)))*Inputs!$C$22,0))</f>
        <v/>
      </c>
    </row>
    <row r="452">
      <c r="AF452" s="107">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112">
        <f>IF(OR(AF452="",$D$5=""),0,IFERROR(IF(ISNUMBER(INDEX($A452:$AD452,1,$D$5)),INDEX($A452:$AD452,1,$D$5),TIMEVALUE(INDEX($A452:$AD452,1,$D$5)))*Inputs!$C$22,0))</f>
        <v/>
      </c>
    </row>
    <row r="453">
      <c r="AF453" s="107">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112">
        <f>IF(OR(AF453="",$D$5=""),0,IFERROR(IF(ISNUMBER(INDEX($A453:$AD453,1,$D$5)),INDEX($A453:$AD453,1,$D$5),TIMEVALUE(INDEX($A453:$AD453,1,$D$5)))*Inputs!$C$22,0))</f>
        <v/>
      </c>
    </row>
    <row r="454">
      <c r="AF454" s="107">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112">
        <f>IF(OR(AF454="",$D$5=""),0,IFERROR(IF(ISNUMBER(INDEX($A454:$AD454,1,$D$5)),INDEX($A454:$AD454,1,$D$5),TIMEVALUE(INDEX($A454:$AD454,1,$D$5)))*Inputs!$C$22,0))</f>
        <v/>
      </c>
    </row>
    <row r="455">
      <c r="AF455" s="107">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112">
        <f>IF(OR(AF455="",$D$5=""),0,IFERROR(IF(ISNUMBER(INDEX($A455:$AD455,1,$D$5)),INDEX($A455:$AD455,1,$D$5),TIMEVALUE(INDEX($A455:$AD455,1,$D$5)))*Inputs!$C$22,0))</f>
        <v/>
      </c>
    </row>
    <row r="456">
      <c r="AF456" s="107">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112">
        <f>IF(OR(AF456="",$D$5=""),0,IFERROR(IF(ISNUMBER(INDEX($A456:$AD456,1,$D$5)),INDEX($A456:$AD456,1,$D$5),TIMEVALUE(INDEX($A456:$AD456,1,$D$5)))*Inputs!$C$22,0))</f>
        <v/>
      </c>
    </row>
    <row r="457">
      <c r="AF457" s="107">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112">
        <f>IF(OR(AF457="",$D$5=""),0,IFERROR(IF(ISNUMBER(INDEX($A457:$AD457,1,$D$5)),INDEX($A457:$AD457,1,$D$5),TIMEVALUE(INDEX($A457:$AD457,1,$D$5)))*Inputs!$C$22,0))</f>
        <v/>
      </c>
    </row>
    <row r="458">
      <c r="AF458" s="107">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112">
        <f>IF(OR(AF458="",$D$5=""),0,IFERROR(IF(ISNUMBER(INDEX($A458:$AD458,1,$D$5)),INDEX($A458:$AD458,1,$D$5),TIMEVALUE(INDEX($A458:$AD458,1,$D$5)))*Inputs!$C$22,0))</f>
        <v/>
      </c>
    </row>
    <row r="459">
      <c r="AF459" s="107">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112">
        <f>IF(OR(AF459="",$D$5=""),0,IFERROR(IF(ISNUMBER(INDEX($A459:$AD459,1,$D$5)),INDEX($A459:$AD459,1,$D$5),TIMEVALUE(INDEX($A459:$AD459,1,$D$5)))*Inputs!$C$22,0))</f>
        <v/>
      </c>
    </row>
    <row r="460">
      <c r="AF460" s="107">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112">
        <f>IF(OR(AF460="",$D$5=""),0,IFERROR(IF(ISNUMBER(INDEX($A460:$AD460,1,$D$5)),INDEX($A460:$AD460,1,$D$5),TIMEVALUE(INDEX($A460:$AD460,1,$D$5)))*Inputs!$C$22,0))</f>
        <v/>
      </c>
    </row>
    <row r="461">
      <c r="AF461" s="107">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112">
        <f>IF(OR(AF461="",$D$5=""),0,IFERROR(IF(ISNUMBER(INDEX($A461:$AD461,1,$D$5)),INDEX($A461:$AD461,1,$D$5),TIMEVALUE(INDEX($A461:$AD461,1,$D$5)))*Inputs!$C$22,0))</f>
        <v/>
      </c>
    </row>
    <row r="462">
      <c r="AF462" s="107">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112">
        <f>IF(OR(AF462="",$D$5=""),0,IFERROR(IF(ISNUMBER(INDEX($A462:$AD462,1,$D$5)),INDEX($A462:$AD462,1,$D$5),TIMEVALUE(INDEX($A462:$AD462,1,$D$5)))*Inputs!$C$22,0))</f>
        <v/>
      </c>
    </row>
    <row r="463">
      <c r="AF463" s="107">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112">
        <f>IF(OR(AF463="",$D$5=""),0,IFERROR(IF(ISNUMBER(INDEX($A463:$AD463,1,$D$5)),INDEX($A463:$AD463,1,$D$5),TIMEVALUE(INDEX($A463:$AD463,1,$D$5)))*Inputs!$C$22,0))</f>
        <v/>
      </c>
    </row>
    <row r="464">
      <c r="AF464" s="107">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112">
        <f>IF(OR(AF464="",$D$5=""),0,IFERROR(IF(ISNUMBER(INDEX($A464:$AD464,1,$D$5)),INDEX($A464:$AD464,1,$D$5),TIMEVALUE(INDEX($A464:$AD464,1,$D$5)))*Inputs!$C$22,0))</f>
        <v/>
      </c>
    </row>
    <row r="465">
      <c r="AF465" s="107">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112">
        <f>IF(OR(AF465="",$D$5=""),0,IFERROR(IF(ISNUMBER(INDEX($A465:$AD465,1,$D$5)),INDEX($A465:$AD465,1,$D$5),TIMEVALUE(INDEX($A465:$AD465,1,$D$5)))*Inputs!$C$22,0))</f>
        <v/>
      </c>
    </row>
    <row r="466">
      <c r="AF466" s="107">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112">
        <f>IF(OR(AF466="",$D$5=""),0,IFERROR(IF(ISNUMBER(INDEX($A466:$AD466,1,$D$5)),INDEX($A466:$AD466,1,$D$5),TIMEVALUE(INDEX($A466:$AD466,1,$D$5)))*Inputs!$C$22,0))</f>
        <v/>
      </c>
    </row>
    <row r="467">
      <c r="AF467" s="107">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112">
        <f>IF(OR(AF467="",$D$5=""),0,IFERROR(IF(ISNUMBER(INDEX($A467:$AD467,1,$D$5)),INDEX($A467:$AD467,1,$D$5),TIMEVALUE(INDEX($A467:$AD467,1,$D$5)))*Inputs!$C$22,0))</f>
        <v/>
      </c>
    </row>
    <row r="468">
      <c r="AF468" s="107">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112">
        <f>IF(OR(AF468="",$D$5=""),0,IFERROR(IF(ISNUMBER(INDEX($A468:$AD468,1,$D$5)),INDEX($A468:$AD468,1,$D$5),TIMEVALUE(INDEX($A468:$AD468,1,$D$5)))*Inputs!$C$22,0))</f>
        <v/>
      </c>
    </row>
    <row r="469">
      <c r="AF469" s="107">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112">
        <f>IF(OR(AF469="",$D$5=""),0,IFERROR(IF(ISNUMBER(INDEX($A469:$AD469,1,$D$5)),INDEX($A469:$AD469,1,$D$5),TIMEVALUE(INDEX($A469:$AD469,1,$D$5)))*Inputs!$C$22,0))</f>
        <v/>
      </c>
    </row>
    <row r="470">
      <c r="AF470" s="107">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112">
        <f>IF(OR(AF470="",$D$5=""),0,IFERROR(IF(ISNUMBER(INDEX($A470:$AD470,1,$D$5)),INDEX($A470:$AD470,1,$D$5),TIMEVALUE(INDEX($A470:$AD470,1,$D$5)))*Inputs!$C$22,0))</f>
        <v/>
      </c>
    </row>
    <row r="471">
      <c r="AF471" s="107">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112">
        <f>IF(OR(AF471="",$D$5=""),0,IFERROR(IF(ISNUMBER(INDEX($A471:$AD471,1,$D$5)),INDEX($A471:$AD471,1,$D$5),TIMEVALUE(INDEX($A471:$AD471,1,$D$5)))*Inputs!$C$22,0))</f>
        <v/>
      </c>
    </row>
    <row r="472">
      <c r="AF472" s="107">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112">
        <f>IF(OR(AF472="",$D$5=""),0,IFERROR(IF(ISNUMBER(INDEX($A472:$AD472,1,$D$5)),INDEX($A472:$AD472,1,$D$5),TIMEVALUE(INDEX($A472:$AD472,1,$D$5)))*Inputs!$C$22,0))</f>
        <v/>
      </c>
    </row>
    <row r="473">
      <c r="AF473" s="107">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112">
        <f>IF(OR(AF473="",$D$5=""),0,IFERROR(IF(ISNUMBER(INDEX($A473:$AD473,1,$D$5)),INDEX($A473:$AD473,1,$D$5),TIMEVALUE(INDEX($A473:$AD473,1,$D$5)))*Inputs!$C$22,0))</f>
        <v/>
      </c>
    </row>
    <row r="474">
      <c r="AF474" s="107">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112">
        <f>IF(OR(AF474="",$D$5=""),0,IFERROR(IF(ISNUMBER(INDEX($A474:$AD474,1,$D$5)),INDEX($A474:$AD474,1,$D$5),TIMEVALUE(INDEX($A474:$AD474,1,$D$5)))*Inputs!$C$22,0))</f>
        <v/>
      </c>
    </row>
    <row r="475">
      <c r="AF475" s="107">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112">
        <f>IF(OR(AF475="",$D$5=""),0,IFERROR(IF(ISNUMBER(INDEX($A475:$AD475,1,$D$5)),INDEX($A475:$AD475,1,$D$5),TIMEVALUE(INDEX($A475:$AD475,1,$D$5)))*Inputs!$C$22,0))</f>
        <v/>
      </c>
    </row>
    <row r="476">
      <c r="AF476" s="107">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112">
        <f>IF(OR(AF476="",$D$5=""),0,IFERROR(IF(ISNUMBER(INDEX($A476:$AD476,1,$D$5)),INDEX($A476:$AD476,1,$D$5),TIMEVALUE(INDEX($A476:$AD476,1,$D$5)))*Inputs!$C$22,0))</f>
        <v/>
      </c>
    </row>
    <row r="477">
      <c r="AF477" s="107">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112">
        <f>IF(OR(AF477="",$D$5=""),0,IFERROR(IF(ISNUMBER(INDEX($A477:$AD477,1,$D$5)),INDEX($A477:$AD477,1,$D$5),TIMEVALUE(INDEX($A477:$AD477,1,$D$5)))*Inputs!$C$22,0))</f>
        <v/>
      </c>
    </row>
    <row r="478">
      <c r="AF478" s="107">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112">
        <f>IF(OR(AF478="",$D$5=""),0,IFERROR(IF(ISNUMBER(INDEX($A478:$AD478,1,$D$5)),INDEX($A478:$AD478,1,$D$5),TIMEVALUE(INDEX($A478:$AD478,1,$D$5)))*Inputs!$C$22,0))</f>
        <v/>
      </c>
    </row>
    <row r="479">
      <c r="AF479" s="107">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112">
        <f>IF(OR(AF479="",$D$5=""),0,IFERROR(IF(ISNUMBER(INDEX($A479:$AD479,1,$D$5)),INDEX($A479:$AD479,1,$D$5),TIMEVALUE(INDEX($A479:$AD479,1,$D$5)))*Inputs!$C$22,0))</f>
        <v/>
      </c>
    </row>
    <row r="480">
      <c r="AF480" s="107">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112">
        <f>IF(OR(AF480="",$D$5=""),0,IFERROR(IF(ISNUMBER(INDEX($A480:$AD480,1,$D$5)),INDEX($A480:$AD480,1,$D$5),TIMEVALUE(INDEX($A480:$AD480,1,$D$5)))*Inputs!$C$22,0))</f>
        <v/>
      </c>
    </row>
    <row r="481">
      <c r="AF481" s="107">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112">
        <f>IF(OR(AF481="",$D$5=""),0,IFERROR(IF(ISNUMBER(INDEX($A481:$AD481,1,$D$5)),INDEX($A481:$AD481,1,$D$5),TIMEVALUE(INDEX($A481:$AD481,1,$D$5)))*Inputs!$C$22,0))</f>
        <v/>
      </c>
    </row>
    <row r="482">
      <c r="AF482" s="107">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112">
        <f>IF(OR(AF482="",$D$5=""),0,IFERROR(IF(ISNUMBER(INDEX($A482:$AD482,1,$D$5)),INDEX($A482:$AD482,1,$D$5),TIMEVALUE(INDEX($A482:$AD482,1,$D$5)))*Inputs!$C$22,0))</f>
        <v/>
      </c>
    </row>
    <row r="483">
      <c r="AF483" s="107">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112">
        <f>IF(OR(AF483="",$D$5=""),0,IFERROR(IF(ISNUMBER(INDEX($A483:$AD483,1,$D$5)),INDEX($A483:$AD483,1,$D$5),TIMEVALUE(INDEX($A483:$AD483,1,$D$5)))*Inputs!$C$22,0))</f>
        <v/>
      </c>
    </row>
    <row r="484">
      <c r="AF484" s="107">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112">
        <f>IF(OR(AF484="",$D$5=""),0,IFERROR(IF(ISNUMBER(INDEX($A484:$AD484,1,$D$5)),INDEX($A484:$AD484,1,$D$5),TIMEVALUE(INDEX($A484:$AD484,1,$D$5)))*Inputs!$C$22,0))</f>
        <v/>
      </c>
    </row>
    <row r="485">
      <c r="AF485" s="107">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112">
        <f>IF(OR(AF485="",$D$5=""),0,IFERROR(IF(ISNUMBER(INDEX($A485:$AD485,1,$D$5)),INDEX($A485:$AD485,1,$D$5),TIMEVALUE(INDEX($A485:$AD485,1,$D$5)))*Inputs!$C$22,0))</f>
        <v/>
      </c>
    </row>
    <row r="486">
      <c r="AF486" s="107">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112">
        <f>IF(OR(AF486="",$D$5=""),0,IFERROR(IF(ISNUMBER(INDEX($A486:$AD486,1,$D$5)),INDEX($A486:$AD486,1,$D$5),TIMEVALUE(INDEX($A486:$AD486,1,$D$5)))*Inputs!$C$22,0))</f>
        <v/>
      </c>
    </row>
    <row r="487">
      <c r="AF487" s="107">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112">
        <f>IF(OR(AF487="",$D$5=""),0,IFERROR(IF(ISNUMBER(INDEX($A487:$AD487,1,$D$5)),INDEX($A487:$AD487,1,$D$5),TIMEVALUE(INDEX($A487:$AD487,1,$D$5)))*Inputs!$C$22,0))</f>
        <v/>
      </c>
    </row>
    <row r="488">
      <c r="AF488" s="107">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112">
        <f>IF(OR(AF488="",$D$5=""),0,IFERROR(IF(ISNUMBER(INDEX($A488:$AD488,1,$D$5)),INDEX($A488:$AD488,1,$D$5),TIMEVALUE(INDEX($A488:$AD488,1,$D$5)))*Inputs!$C$22,0))</f>
        <v/>
      </c>
    </row>
    <row r="489">
      <c r="AF489" s="107">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112">
        <f>IF(OR(AF489="",$D$5=""),0,IFERROR(IF(ISNUMBER(INDEX($A489:$AD489,1,$D$5)),INDEX($A489:$AD489,1,$D$5),TIMEVALUE(INDEX($A489:$AD489,1,$D$5)))*Inputs!$C$22,0))</f>
        <v/>
      </c>
    </row>
    <row r="490">
      <c r="AF490" s="107">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112">
        <f>IF(OR(AF490="",$D$5=""),0,IFERROR(IF(ISNUMBER(INDEX($A490:$AD490,1,$D$5)),INDEX($A490:$AD490,1,$D$5),TIMEVALUE(INDEX($A490:$AD490,1,$D$5)))*Inputs!$C$22,0))</f>
        <v/>
      </c>
    </row>
    <row r="491">
      <c r="AF491" s="107">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112">
        <f>IF(OR(AF491="",$D$5=""),0,IFERROR(IF(ISNUMBER(INDEX($A491:$AD491,1,$D$5)),INDEX($A491:$AD491,1,$D$5),TIMEVALUE(INDEX($A491:$AD491,1,$D$5)))*Inputs!$C$22,0))</f>
        <v/>
      </c>
    </row>
    <row r="492">
      <c r="AF492" s="107">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112">
        <f>IF(OR(AF492="",$D$5=""),0,IFERROR(IF(ISNUMBER(INDEX($A492:$AD492,1,$D$5)),INDEX($A492:$AD492,1,$D$5),TIMEVALUE(INDEX($A492:$AD492,1,$D$5)))*Inputs!$C$22,0))</f>
        <v/>
      </c>
    </row>
    <row r="493">
      <c r="AF493" s="107">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112">
        <f>IF(OR(AF493="",$D$5=""),0,IFERROR(IF(ISNUMBER(INDEX($A493:$AD493,1,$D$5)),INDEX($A493:$AD493,1,$D$5),TIMEVALUE(INDEX($A493:$AD493,1,$D$5)))*Inputs!$C$22,0))</f>
        <v/>
      </c>
    </row>
    <row r="494">
      <c r="AF494" s="107">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112">
        <f>IF(OR(AF494="",$D$5=""),0,IFERROR(IF(ISNUMBER(INDEX($A494:$AD494,1,$D$5)),INDEX($A494:$AD494,1,$D$5),TIMEVALUE(INDEX($A494:$AD494,1,$D$5)))*Inputs!$C$22,0))</f>
        <v/>
      </c>
    </row>
    <row r="495">
      <c r="AF495" s="107">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112">
        <f>IF(OR(AF495="",$D$5=""),0,IFERROR(IF(ISNUMBER(INDEX($A495:$AD495,1,$D$5)),INDEX($A495:$AD495,1,$D$5),TIMEVALUE(INDEX($A495:$AD495,1,$D$5)))*Inputs!$C$22,0))</f>
        <v/>
      </c>
    </row>
    <row r="496">
      <c r="AF496" s="107">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112">
        <f>IF(OR(AF496="",$D$5=""),0,IFERROR(IF(ISNUMBER(INDEX($A496:$AD496,1,$D$5)),INDEX($A496:$AD496,1,$D$5),TIMEVALUE(INDEX($A496:$AD496,1,$D$5)))*Inputs!$C$22,0))</f>
        <v/>
      </c>
    </row>
    <row r="497">
      <c r="AF497" s="107">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112">
        <f>IF(OR(AF497="",$D$5=""),0,IFERROR(IF(ISNUMBER(INDEX($A497:$AD497,1,$D$5)),INDEX($A497:$AD497,1,$D$5),TIMEVALUE(INDEX($A497:$AD497,1,$D$5)))*Inputs!$C$22,0))</f>
        <v/>
      </c>
    </row>
    <row r="498">
      <c r="AF498" s="107">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112">
        <f>IF(OR(AF498="",$D$5=""),0,IFERROR(IF(ISNUMBER(INDEX($A498:$AD498,1,$D$5)),INDEX($A498:$AD498,1,$D$5),TIMEVALUE(INDEX($A498:$AD498,1,$D$5)))*Inputs!$C$22,0))</f>
        <v/>
      </c>
    </row>
    <row r="499">
      <c r="AF499" s="107">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112">
        <f>IF(OR(AF499="",$D$5=""),0,IFERROR(IF(ISNUMBER(INDEX($A499:$AD499,1,$D$5)),INDEX($A499:$AD499,1,$D$5),TIMEVALUE(INDEX($A499:$AD499,1,$D$5)))*Inputs!$C$22,0))</f>
        <v/>
      </c>
    </row>
    <row r="500">
      <c r="AF500" s="107">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112">
        <f>IF(OR(AF500="",$D$5=""),0,IFERROR(IF(ISNUMBER(INDEX($A500:$AD500,1,$D$5)),INDEX($A500:$AD500,1,$D$5),TIMEVALUE(INDEX($A500:$AD500,1,$D$5)))*Inputs!$C$22,0))</f>
        <v/>
      </c>
    </row>
    <row r="501">
      <c r="AF501" s="107">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112">
        <f>IF(OR(AF501="",$D$5=""),0,IFERROR(IF(ISNUMBER(INDEX($A501:$AD501,1,$D$5)),INDEX($A501:$AD501,1,$D$5),TIMEVALUE(INDEX($A501:$AD501,1,$D$5)))*Inputs!$C$22,0))</f>
        <v/>
      </c>
    </row>
    <row r="502">
      <c r="AF502" s="107">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112">
        <f>IF(OR(AF502="",$D$5=""),0,IFERROR(IF(ISNUMBER(INDEX($A502:$AD502,1,$D$5)),INDEX($A502:$AD502,1,$D$5),TIMEVALUE(INDEX($A502:$AD502,1,$D$5)))*Inputs!$C$22,0))</f>
        <v/>
      </c>
    </row>
    <row r="503">
      <c r="AF503" s="107">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112">
        <f>IF(OR(AF503="",$D$5=""),0,IFERROR(IF(ISNUMBER(INDEX($A503:$AD503,1,$D$5)),INDEX($A503:$AD503,1,$D$5),TIMEVALUE(INDEX($A503:$AD503,1,$D$5)))*Inputs!$C$22,0))</f>
        <v/>
      </c>
    </row>
    <row r="504">
      <c r="AF504" s="107">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112">
        <f>IF(OR(AF504="",$D$5=""),0,IFERROR(IF(ISNUMBER(INDEX($A504:$AD504,1,$D$5)),INDEX($A504:$AD504,1,$D$5),TIMEVALUE(INDEX($A504:$AD504,1,$D$5)))*Inputs!$C$22,0))</f>
        <v/>
      </c>
    </row>
    <row r="505">
      <c r="AF505" s="107">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112">
        <f>IF(OR(AF505="",$D$5=""),0,IFERROR(IF(ISNUMBER(INDEX($A505:$AD505,1,$D$5)),INDEX($A505:$AD505,1,$D$5),TIMEVALUE(INDEX($A505:$AD505,1,$D$5)))*Inputs!$C$22,0))</f>
        <v/>
      </c>
    </row>
    <row r="506">
      <c r="AF506" s="107">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112">
        <f>IF(OR(AF506="",$D$5=""),0,IFERROR(IF(ISNUMBER(INDEX($A506:$AD506,1,$D$5)),INDEX($A506:$AD506,1,$D$5),TIMEVALUE(INDEX($A506:$AD506,1,$D$5)))*Inputs!$C$22,0))</f>
        <v/>
      </c>
    </row>
    <row r="507">
      <c r="AF507" s="107">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112">
        <f>IF(OR(AF507="",$D$5=""),0,IFERROR(IF(ISNUMBER(INDEX($A507:$AD507,1,$D$5)),INDEX($A507:$AD507,1,$D$5),TIMEVALUE(INDEX($A507:$AD507,1,$D$5)))*Inputs!$C$22,0))</f>
        <v/>
      </c>
    </row>
    <row r="508">
      <c r="AF508" s="107">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112">
        <f>IF(OR(AF508="",$D$5=""),0,IFERROR(IF(ISNUMBER(INDEX($A508:$AD508,1,$D$5)),INDEX($A508:$AD508,1,$D$5),TIMEVALUE(INDEX($A508:$AD508,1,$D$5)))*Inputs!$C$22,0))</f>
        <v/>
      </c>
    </row>
    <row r="509">
      <c r="AF509" s="107">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112">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9"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147" t="n"/>
      <c r="B5" s="98" t="n"/>
      <c r="C5" s="98" t="n"/>
      <c r="D5" s="98" t="n"/>
      <c r="E5" s="98" t="n"/>
      <c r="F5" s="98" t="n"/>
      <c r="G5" s="98" t="n"/>
      <c r="H5" s="98" t="n"/>
      <c r="I5" s="98"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07">
        <f>Inputs!$C$11</f>
        <v/>
      </c>
    </row>
    <row r="6">
      <c r="A6" s="147" t="n"/>
      <c r="B6" s="98" t="n"/>
      <c r="C6" s="98" t="n"/>
      <c r="D6" s="98" t="n"/>
      <c r="E6" s="98" t="n"/>
      <c r="F6" s="98" t="n"/>
      <c r="G6" s="98" t="n"/>
      <c r="H6" s="98" t="n"/>
      <c r="I6" s="98"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07">
        <f>Inputs!$C$11</f>
        <v/>
      </c>
    </row>
    <row r="7">
      <c r="A7" s="147" t="n"/>
      <c r="B7" s="98" t="n"/>
      <c r="C7" s="98" t="n"/>
      <c r="D7" s="98" t="n"/>
      <c r="E7" s="98" t="n"/>
      <c r="F7" s="98" t="n"/>
      <c r="G7" s="98" t="n"/>
      <c r="H7" s="98" t="n"/>
      <c r="I7" s="98"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07">
        <f>Inputs!$C$11</f>
        <v/>
      </c>
    </row>
    <row r="8">
      <c r="A8" s="147" t="n"/>
      <c r="B8" s="98" t="n"/>
      <c r="C8" s="98" t="n"/>
      <c r="D8" s="98" t="n"/>
      <c r="E8" s="98" t="n"/>
      <c r="F8" s="98" t="n"/>
      <c r="G8" s="98" t="n"/>
      <c r="H8" s="98" t="n"/>
      <c r="I8" s="98"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07">
        <f>Inputs!$C$11</f>
        <v/>
      </c>
    </row>
    <row r="9">
      <c r="A9" s="147" t="n"/>
      <c r="B9" s="98" t="n"/>
      <c r="C9" s="98" t="n"/>
      <c r="D9" s="98" t="n"/>
      <c r="E9" s="98" t="n"/>
      <c r="F9" s="98" t="n"/>
      <c r="G9" s="98" t="n"/>
      <c r="H9" s="98" t="n"/>
      <c r="I9" s="98"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07">
        <f>Inputs!$C$12</f>
        <v/>
      </c>
    </row>
    <row r="10">
      <c r="A10" s="147" t="n"/>
      <c r="B10" s="98" t="n"/>
      <c r="C10" s="98" t="n"/>
      <c r="D10" s="98" t="n"/>
      <c r="E10" s="98" t="n"/>
      <c r="F10" s="98" t="n"/>
      <c r="G10" s="98" t="n"/>
      <c r="H10" s="98" t="n"/>
      <c r="I10" s="98"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07">
        <f>Inputs!$C$12</f>
        <v/>
      </c>
    </row>
    <row r="11">
      <c r="A11" s="147" t="n"/>
      <c r="B11" s="98" t="n"/>
      <c r="C11" s="98" t="n"/>
      <c r="D11" s="98" t="n"/>
      <c r="E11" s="98" t="n"/>
      <c r="F11" s="98" t="n"/>
      <c r="G11" s="98" t="n"/>
      <c r="H11" s="98" t="n"/>
      <c r="I11" s="98"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07">
        <f>Inputs!$C$12</f>
        <v/>
      </c>
    </row>
    <row r="12">
      <c r="A12" s="147" t="n"/>
      <c r="B12" s="98" t="n"/>
      <c r="C12" s="98" t="n"/>
      <c r="D12" s="98" t="n"/>
      <c r="E12" s="98" t="n"/>
      <c r="F12" s="98" t="n"/>
      <c r="G12" s="98" t="n"/>
      <c r="H12" s="98" t="n"/>
      <c r="I12" s="98"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07">
        <f>Inputs!$C$14</f>
        <v/>
      </c>
    </row>
    <row r="13">
      <c r="A13" s="147" t="n"/>
      <c r="B13" s="98" t="n"/>
      <c r="C13" s="98" t="n"/>
      <c r="D13" s="98" t="n"/>
      <c r="E13" s="98" t="n"/>
      <c r="F13" s="98" t="n"/>
      <c r="G13" s="98" t="n"/>
      <c r="H13" s="98" t="n"/>
      <c r="I13" s="98"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07">
        <f>Inputs!$C$17</f>
        <v/>
      </c>
    </row>
    <row r="14">
      <c r="A14" s="147" t="n"/>
      <c r="B14" s="98" t="n"/>
      <c r="C14" s="98" t="n"/>
      <c r="D14" s="98" t="n"/>
      <c r="E14" s="98" t="n"/>
      <c r="F14" s="98" t="n"/>
      <c r="G14" s="98" t="n"/>
      <c r="H14" s="98" t="n"/>
      <c r="I14" s="98"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07">
        <f>Inputs!$C$17</f>
        <v/>
      </c>
    </row>
    <row r="15">
      <c r="A15" s="147" t="n"/>
      <c r="B15" s="98" t="n"/>
      <c r="C15" s="98" t="n"/>
      <c r="D15" s="98" t="n"/>
      <c r="E15" s="98" t="n"/>
      <c r="F15" s="98" t="n"/>
      <c r="G15" s="98" t="n"/>
      <c r="H15" s="98" t="n"/>
      <c r="I15" s="98"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07">
        <f>Inputs!$C$17</f>
        <v/>
      </c>
    </row>
    <row r="16">
      <c r="A16" s="147" t="n"/>
      <c r="B16" s="98" t="n"/>
      <c r="C16" s="98" t="n"/>
      <c r="D16" s="98" t="n"/>
      <c r="E16" s="98" t="n"/>
      <c r="F16" s="98" t="n"/>
      <c r="G16" s="98" t="n"/>
      <c r="H16" s="98" t="n"/>
      <c r="I16" s="98"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07">
        <f>Inputs!$C$17</f>
        <v/>
      </c>
    </row>
    <row r="17">
      <c r="A17" s="147" t="n"/>
      <c r="B17" s="98" t="n"/>
      <c r="C17" s="98" t="n"/>
      <c r="D17" s="98" t="n"/>
      <c r="E17" s="98" t="n"/>
      <c r="F17" s="98" t="n"/>
      <c r="G17" s="98" t="n"/>
      <c r="H17" s="98" t="n"/>
      <c r="I17" s="98"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07">
        <f>Inputs!$C$17</f>
        <v/>
      </c>
    </row>
    <row r="18">
      <c r="A18" s="147" t="n"/>
      <c r="B18" s="98" t="n"/>
      <c r="C18" s="98" t="n"/>
      <c r="D18" s="98" t="n"/>
      <c r="E18" s="98" t="n"/>
      <c r="F18" s="98" t="n"/>
      <c r="G18" s="98" t="n"/>
      <c r="H18" s="98" t="n"/>
      <c r="I18" s="98"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07">
        <f>Inputs!$C$17</f>
        <v/>
      </c>
    </row>
    <row r="19">
      <c r="A19" s="147" t="n"/>
      <c r="B19" s="98" t="n"/>
      <c r="C19" s="98" t="n"/>
      <c r="D19" s="98" t="n"/>
      <c r="E19" s="98" t="n"/>
      <c r="F19" s="98" t="n"/>
      <c r="G19" s="98" t="n"/>
      <c r="H19" s="98" t="n"/>
      <c r="I19" s="98"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113">
        <f>IF(COUNT(Pipeline!$AB$5:$AB$1004)&gt;0,MEDIAN(Pipeline!$AB$5:$AB$1004),"")</f>
        <v/>
      </c>
      <c r="AI19" s="107" t="inlineStr"/>
    </row>
    <row r="20">
      <c r="A20" s="147" t="n"/>
      <c r="B20" s="98" t="n"/>
      <c r="C20" s="98" t="n"/>
      <c r="D20" s="98" t="n"/>
      <c r="E20" s="98" t="n"/>
      <c r="F20" s="98" t="n"/>
      <c r="G20" s="98" t="n"/>
      <c r="H20" s="98" t="n"/>
      <c r="I20" s="98"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113">
        <f>IF(COUNT(Pipeline!$AC$5:$AC$1004)&gt;0,MEDIAN(Pipeline!$AC$5:$AC$1004),"")</f>
        <v/>
      </c>
      <c r="AI20" s="107" t="inlineStr"/>
    </row>
    <row r="21">
      <c r="A21" s="147" t="n"/>
      <c r="B21" s="98" t="n"/>
      <c r="C21" s="98" t="n"/>
      <c r="D21" s="98" t="n"/>
      <c r="E21" s="98" t="n"/>
      <c r="F21" s="98" t="n"/>
      <c r="G21" s="98" t="n"/>
      <c r="H21" s="98" t="n"/>
      <c r="I21" s="98"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113">
        <f>IF(COUNT(Pipeline!$AD$5:$AD$1004)&gt;0,MEDIAN(Pipeline!$AD$5:$AD$1004),"")</f>
        <v/>
      </c>
      <c r="AI21" s="107" t="inlineStr"/>
    </row>
    <row r="22">
      <c r="A22" s="147" t="n"/>
      <c r="B22" s="98" t="n"/>
      <c r="C22" s="98" t="n"/>
      <c r="D22" s="98" t="n"/>
      <c r="E22" s="98" t="n"/>
      <c r="F22" s="98" t="n"/>
      <c r="G22" s="98" t="n"/>
      <c r="H22" s="98" t="n"/>
      <c r="I22" s="98"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07" t="inlineStr"/>
    </row>
    <row r="23">
      <c r="A23" s="147" t="n"/>
      <c r="B23" s="98" t="n"/>
      <c r="C23" s="98" t="n"/>
      <c r="D23" s="98" t="n"/>
      <c r="E23" s="98" t="n"/>
      <c r="F23" s="98" t="n"/>
      <c r="G23" s="98" t="n"/>
      <c r="H23" s="98" t="n"/>
      <c r="I23" s="98"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07" t="inlineStr"/>
    </row>
    <row r="24">
      <c r="A24" s="147" t="n"/>
      <c r="B24" s="98" t="n"/>
      <c r="C24" s="98" t="n"/>
      <c r="D24" s="98" t="n"/>
      <c r="E24" s="98" t="n"/>
      <c r="F24" s="98" t="n"/>
      <c r="G24" s="98" t="n"/>
      <c r="H24" s="98" t="n"/>
      <c r="I24" s="98"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147" t="n"/>
      <c r="B25" s="98" t="n"/>
      <c r="C25" s="98" t="n"/>
      <c r="D25" s="98" t="n"/>
      <c r="E25" s="98" t="n"/>
      <c r="F25" s="98" t="n"/>
      <c r="G25" s="98" t="n"/>
      <c r="H25" s="98" t="n"/>
      <c r="I25" s="98"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147" t="n"/>
      <c r="B26" s="98" t="n"/>
      <c r="C26" s="98" t="n"/>
      <c r="D26" s="98" t="n"/>
      <c r="E26" s="98" t="n"/>
      <c r="F26" s="98" t="n"/>
      <c r="G26" s="98" t="n"/>
      <c r="H26" s="98" t="n"/>
      <c r="I26" s="98"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147" t="n"/>
      <c r="B27" s="98" t="n"/>
      <c r="C27" s="98" t="n"/>
      <c r="D27" s="98" t="n"/>
      <c r="E27" s="98" t="n"/>
      <c r="F27" s="98" t="n"/>
      <c r="G27" s="98" t="n"/>
      <c r="H27" s="98" t="n"/>
      <c r="I27" s="98"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147" t="n"/>
      <c r="B28" s="98" t="n"/>
      <c r="C28" s="98" t="n"/>
      <c r="D28" s="98" t="n"/>
      <c r="E28" s="98" t="n"/>
      <c r="F28" s="98" t="n"/>
      <c r="G28" s="98" t="n"/>
      <c r="H28" s="98" t="n"/>
      <c r="I28" s="98"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147" t="n"/>
      <c r="B29" s="98" t="n"/>
      <c r="C29" s="98" t="n"/>
      <c r="D29" s="98" t="n"/>
      <c r="E29" s="98" t="n"/>
      <c r="F29" s="98" t="n"/>
      <c r="G29" s="98" t="n"/>
      <c r="H29" s="98" t="n"/>
      <c r="I29" s="98"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147" t="n"/>
      <c r="B30" s="98" t="n"/>
      <c r="C30" s="98" t="n"/>
      <c r="D30" s="98" t="n"/>
      <c r="E30" s="98" t="n"/>
      <c r="F30" s="98" t="n"/>
      <c r="G30" s="98" t="n"/>
      <c r="H30" s="98" t="n"/>
      <c r="I30" s="98"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147" t="n"/>
      <c r="B31" s="98" t="n"/>
      <c r="C31" s="98" t="n"/>
      <c r="D31" s="98" t="n"/>
      <c r="E31" s="98" t="n"/>
      <c r="F31" s="98" t="n"/>
      <c r="G31" s="98" t="n"/>
      <c r="H31" s="98" t="n"/>
      <c r="I31" s="98"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147" t="n"/>
      <c r="B32" s="98" t="n"/>
      <c r="C32" s="98" t="n"/>
      <c r="D32" s="98" t="n"/>
      <c r="E32" s="98" t="n"/>
      <c r="F32" s="98" t="n"/>
      <c r="G32" s="98" t="n"/>
      <c r="H32" s="98" t="n"/>
      <c r="I32" s="98"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147" t="n"/>
      <c r="B33" s="98" t="n"/>
      <c r="C33" s="98" t="n"/>
      <c r="D33" s="98" t="n"/>
      <c r="E33" s="98" t="n"/>
      <c r="F33" s="98" t="n"/>
      <c r="G33" s="98" t="n"/>
      <c r="H33" s="98" t="n"/>
      <c r="I33" s="98"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147" t="n"/>
      <c r="B34" s="98" t="n"/>
      <c r="C34" s="98" t="n"/>
      <c r="D34" s="98" t="n"/>
      <c r="E34" s="98" t="n"/>
      <c r="F34" s="98" t="n"/>
      <c r="G34" s="98" t="n"/>
      <c r="H34" s="98" t="n"/>
      <c r="I34" s="98"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147" t="n"/>
      <c r="B35" s="98" t="n"/>
      <c r="C35" s="98" t="n"/>
      <c r="D35" s="98" t="n"/>
      <c r="E35" s="98" t="n"/>
      <c r="F35" s="98" t="n"/>
      <c r="G35" s="98" t="n"/>
      <c r="H35" s="98" t="n"/>
      <c r="I35" s="98"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147" t="n"/>
      <c r="B36" s="98" t="n"/>
      <c r="C36" s="98" t="n"/>
      <c r="D36" s="98" t="n"/>
      <c r="E36" s="98" t="n"/>
      <c r="F36" s="98" t="n"/>
      <c r="G36" s="98" t="n"/>
      <c r="H36" s="98" t="n"/>
      <c r="I36" s="98"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147" t="n"/>
      <c r="B37" s="98" t="n"/>
      <c r="C37" s="98" t="n"/>
      <c r="D37" s="98" t="n"/>
      <c r="E37" s="98" t="n"/>
      <c r="F37" s="98" t="n"/>
      <c r="G37" s="98" t="n"/>
      <c r="H37" s="98" t="n"/>
      <c r="I37" s="98"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147" t="n"/>
      <c r="B38" s="98" t="n"/>
      <c r="C38" s="98" t="n"/>
      <c r="D38" s="98" t="n"/>
      <c r="E38" s="98" t="n"/>
      <c r="F38" s="98" t="n"/>
      <c r="G38" s="98" t="n"/>
      <c r="H38" s="98" t="n"/>
      <c r="I38" s="98"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147" t="n"/>
      <c r="B39" s="98" t="n"/>
      <c r="C39" s="98" t="n"/>
      <c r="D39" s="98" t="n"/>
      <c r="E39" s="98" t="n"/>
      <c r="F39" s="98" t="n"/>
      <c r="G39" s="98" t="n"/>
      <c r="H39" s="98" t="n"/>
      <c r="I39" s="98"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147" t="n"/>
      <c r="B40" s="98" t="n"/>
      <c r="C40" s="98" t="n"/>
      <c r="D40" s="98" t="n"/>
      <c r="E40" s="98" t="n"/>
      <c r="F40" s="98" t="n"/>
      <c r="G40" s="98" t="n"/>
      <c r="H40" s="98" t="n"/>
      <c r="I40" s="98"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147" t="n"/>
      <c r="B41" s="98" t="n"/>
      <c r="C41" s="98" t="n"/>
      <c r="D41" s="98" t="n"/>
      <c r="E41" s="98" t="n"/>
      <c r="F41" s="98" t="n"/>
      <c r="G41" s="98" t="n"/>
      <c r="H41" s="98" t="n"/>
      <c r="I41" s="98"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147" t="n"/>
      <c r="B42" s="98" t="n"/>
      <c r="C42" s="98" t="n"/>
      <c r="D42" s="98" t="n"/>
      <c r="E42" s="98" t="n"/>
      <c r="F42" s="98" t="n"/>
      <c r="G42" s="98" t="n"/>
      <c r="H42" s="98" t="n"/>
      <c r="I42" s="98"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147" t="n"/>
      <c r="B43" s="98" t="n"/>
      <c r="C43" s="98" t="n"/>
      <c r="D43" s="98" t="n"/>
      <c r="E43" s="98" t="n"/>
      <c r="F43" s="98" t="n"/>
      <c r="G43" s="98" t="n"/>
      <c r="H43" s="98" t="n"/>
      <c r="I43" s="98"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147" t="n"/>
      <c r="B44" s="98" t="n"/>
      <c r="C44" s="98" t="n"/>
      <c r="D44" s="98" t="n"/>
      <c r="E44" s="98" t="n"/>
      <c r="F44" s="98" t="n"/>
      <c r="G44" s="98" t="n"/>
      <c r="H44" s="98" t="n"/>
      <c r="I44" s="98"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147" t="n"/>
      <c r="B45" s="98" t="n"/>
      <c r="C45" s="98" t="n"/>
      <c r="D45" s="98" t="n"/>
      <c r="E45" s="98" t="n"/>
      <c r="F45" s="98" t="n"/>
      <c r="G45" s="98" t="n"/>
      <c r="H45" s="98" t="n"/>
      <c r="I45" s="98"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147" t="n"/>
      <c r="B46" s="98" t="n"/>
      <c r="C46" s="98" t="n"/>
      <c r="D46" s="98" t="n"/>
      <c r="E46" s="98" t="n"/>
      <c r="F46" s="98" t="n"/>
      <c r="G46" s="98" t="n"/>
      <c r="H46" s="98" t="n"/>
      <c r="I46" s="98"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147" t="n"/>
      <c r="B47" s="98" t="n"/>
      <c r="C47" s="98" t="n"/>
      <c r="D47" s="98" t="n"/>
      <c r="E47" s="98" t="n"/>
      <c r="F47" s="98" t="n"/>
      <c r="G47" s="98" t="n"/>
      <c r="H47" s="98" t="n"/>
      <c r="I47" s="98"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147" t="n"/>
      <c r="B48" s="98" t="n"/>
      <c r="C48" s="98" t="n"/>
      <c r="D48" s="98" t="n"/>
      <c r="E48" s="98" t="n"/>
      <c r="F48" s="98" t="n"/>
      <c r="G48" s="98" t="n"/>
      <c r="H48" s="98" t="n"/>
      <c r="I48" s="98"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147" t="n"/>
      <c r="B49" s="98" t="n"/>
      <c r="C49" s="98" t="n"/>
      <c r="D49" s="98" t="n"/>
      <c r="E49" s="98" t="n"/>
      <c r="F49" s="98" t="n"/>
      <c r="G49" s="98" t="n"/>
      <c r="H49" s="98" t="n"/>
      <c r="I49" s="98"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147" t="n"/>
      <c r="B50" s="98" t="n"/>
      <c r="C50" s="98" t="n"/>
      <c r="D50" s="98" t="n"/>
      <c r="E50" s="98" t="n"/>
      <c r="F50" s="98" t="n"/>
      <c r="G50" s="98" t="n"/>
      <c r="H50" s="98" t="n"/>
      <c r="I50" s="98"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147" t="n"/>
      <c r="B51" s="98" t="n"/>
      <c r="C51" s="98" t="n"/>
      <c r="D51" s="98" t="n"/>
      <c r="E51" s="98" t="n"/>
      <c r="F51" s="98" t="n"/>
      <c r="G51" s="98" t="n"/>
      <c r="H51" s="98" t="n"/>
      <c r="I51" s="98"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147" t="n"/>
      <c r="B52" s="98" t="n"/>
      <c r="C52" s="98" t="n"/>
      <c r="D52" s="98" t="n"/>
      <c r="E52" s="98" t="n"/>
      <c r="F52" s="98" t="n"/>
      <c r="G52" s="98" t="n"/>
      <c r="H52" s="98" t="n"/>
      <c r="I52" s="98"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147" t="n"/>
      <c r="B53" s="98" t="n"/>
      <c r="C53" s="98" t="n"/>
      <c r="D53" s="98" t="n"/>
      <c r="E53" s="98" t="n"/>
      <c r="F53" s="98" t="n"/>
      <c r="G53" s="98" t="n"/>
      <c r="H53" s="98" t="n"/>
      <c r="I53" s="98"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147" t="n"/>
      <c r="B54" s="98" t="n"/>
      <c r="C54" s="98" t="n"/>
      <c r="D54" s="98" t="n"/>
      <c r="E54" s="98" t="n"/>
      <c r="F54" s="98" t="n"/>
      <c r="G54" s="98" t="n"/>
      <c r="H54" s="98" t="n"/>
      <c r="I54" s="98"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147" t="n"/>
      <c r="B55" s="98" t="n"/>
      <c r="C55" s="98" t="n"/>
      <c r="D55" s="98" t="n"/>
      <c r="E55" s="98" t="n"/>
      <c r="F55" s="98" t="n"/>
      <c r="G55" s="98" t="n"/>
      <c r="H55" s="98" t="n"/>
      <c r="I55" s="98"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147" t="n"/>
      <c r="B56" s="98" t="n"/>
      <c r="C56" s="98" t="n"/>
      <c r="D56" s="98" t="n"/>
      <c r="E56" s="98" t="n"/>
      <c r="F56" s="98" t="n"/>
      <c r="G56" s="98" t="n"/>
      <c r="H56" s="98" t="n"/>
      <c r="I56" s="98"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147" t="n"/>
      <c r="B57" s="98" t="n"/>
      <c r="C57" s="98" t="n"/>
      <c r="D57" s="98" t="n"/>
      <c r="E57" s="98" t="n"/>
      <c r="F57" s="98" t="n"/>
      <c r="G57" s="98" t="n"/>
      <c r="H57" s="98" t="n"/>
      <c r="I57" s="98"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147" t="n"/>
      <c r="B58" s="98" t="n"/>
      <c r="C58" s="98" t="n"/>
      <c r="D58" s="98" t="n"/>
      <c r="E58" s="98" t="n"/>
      <c r="F58" s="98" t="n"/>
      <c r="G58" s="98" t="n"/>
      <c r="H58" s="98" t="n"/>
      <c r="I58" s="98"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147" t="n"/>
      <c r="B59" s="98" t="n"/>
      <c r="C59" s="98" t="n"/>
      <c r="D59" s="98" t="n"/>
      <c r="E59" s="98" t="n"/>
      <c r="F59" s="98" t="n"/>
      <c r="G59" s="98" t="n"/>
      <c r="H59" s="98" t="n"/>
      <c r="I59" s="98"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147" t="n"/>
      <c r="B60" s="98" t="n"/>
      <c r="C60" s="98" t="n"/>
      <c r="D60" s="98" t="n"/>
      <c r="E60" s="98" t="n"/>
      <c r="F60" s="98" t="n"/>
      <c r="G60" s="98" t="n"/>
      <c r="H60" s="98" t="n"/>
      <c r="I60" s="98"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147" t="n"/>
      <c r="B61" s="98" t="n"/>
      <c r="C61" s="98" t="n"/>
      <c r="D61" s="98" t="n"/>
      <c r="E61" s="98" t="n"/>
      <c r="F61" s="98" t="n"/>
      <c r="G61" s="98" t="n"/>
      <c r="H61" s="98" t="n"/>
      <c r="I61" s="98"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147" t="n"/>
      <c r="B62" s="98" t="n"/>
      <c r="C62" s="98" t="n"/>
      <c r="D62" s="98" t="n"/>
      <c r="E62" s="98" t="n"/>
      <c r="F62" s="98" t="n"/>
      <c r="G62" s="98" t="n"/>
      <c r="H62" s="98" t="n"/>
      <c r="I62" s="98"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147" t="n"/>
      <c r="B63" s="98" t="n"/>
      <c r="C63" s="98" t="n"/>
      <c r="D63" s="98" t="n"/>
      <c r="E63" s="98" t="n"/>
      <c r="F63" s="98" t="n"/>
      <c r="G63" s="98" t="n"/>
      <c r="H63" s="98" t="n"/>
      <c r="I63" s="98"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147" t="n"/>
      <c r="B64" s="98" t="n"/>
      <c r="C64" s="98" t="n"/>
      <c r="D64" s="98" t="n"/>
      <c r="E64" s="98" t="n"/>
      <c r="F64" s="98" t="n"/>
      <c r="G64" s="98" t="n"/>
      <c r="H64" s="98" t="n"/>
      <c r="I64" s="98"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147" t="n"/>
      <c r="B65" s="98" t="n"/>
      <c r="C65" s="98" t="n"/>
      <c r="D65" s="98" t="n"/>
      <c r="E65" s="98" t="n"/>
      <c r="F65" s="98" t="n"/>
      <c r="G65" s="98" t="n"/>
      <c r="H65" s="98" t="n"/>
      <c r="I65" s="98"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147" t="n"/>
      <c r="B66" s="98" t="n"/>
      <c r="C66" s="98" t="n"/>
      <c r="D66" s="98" t="n"/>
      <c r="E66" s="98" t="n"/>
      <c r="F66" s="98" t="n"/>
      <c r="G66" s="98" t="n"/>
      <c r="H66" s="98" t="n"/>
      <c r="I66" s="98"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147" t="n"/>
      <c r="B67" s="98" t="n"/>
      <c r="C67" s="98" t="n"/>
      <c r="D67" s="98" t="n"/>
      <c r="E67" s="98" t="n"/>
      <c r="F67" s="98" t="n"/>
      <c r="G67" s="98" t="n"/>
      <c r="H67" s="98" t="n"/>
      <c r="I67" s="98"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147" t="n"/>
      <c r="B68" s="98" t="n"/>
      <c r="C68" s="98" t="n"/>
      <c r="D68" s="98" t="n"/>
      <c r="E68" s="98" t="n"/>
      <c r="F68" s="98" t="n"/>
      <c r="G68" s="98" t="n"/>
      <c r="H68" s="98" t="n"/>
      <c r="I68" s="98"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147" t="n"/>
      <c r="B69" s="98" t="n"/>
      <c r="C69" s="98" t="n"/>
      <c r="D69" s="98" t="n"/>
      <c r="E69" s="98" t="n"/>
      <c r="F69" s="98" t="n"/>
      <c r="G69" s="98" t="n"/>
      <c r="H69" s="98" t="n"/>
      <c r="I69" s="98"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147" t="n"/>
      <c r="B70" s="98" t="n"/>
      <c r="C70" s="98" t="n"/>
      <c r="D70" s="98" t="n"/>
      <c r="E70" s="98" t="n"/>
      <c r="F70" s="98" t="n"/>
      <c r="G70" s="98" t="n"/>
      <c r="H70" s="98" t="n"/>
      <c r="I70" s="98"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147" t="n"/>
      <c r="B71" s="98" t="n"/>
      <c r="C71" s="98" t="n"/>
      <c r="D71" s="98" t="n"/>
      <c r="E71" s="98" t="n"/>
      <c r="F71" s="98" t="n"/>
      <c r="G71" s="98" t="n"/>
      <c r="H71" s="98" t="n"/>
      <c r="I71" s="98"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147" t="n"/>
      <c r="B72" s="98" t="n"/>
      <c r="C72" s="98" t="n"/>
      <c r="D72" s="98" t="n"/>
      <c r="E72" s="98" t="n"/>
      <c r="F72" s="98" t="n"/>
      <c r="G72" s="98" t="n"/>
      <c r="H72" s="98" t="n"/>
      <c r="I72" s="98"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147" t="n"/>
      <c r="B73" s="98" t="n"/>
      <c r="C73" s="98" t="n"/>
      <c r="D73" s="98" t="n"/>
      <c r="E73" s="98" t="n"/>
      <c r="F73" s="98" t="n"/>
      <c r="G73" s="98" t="n"/>
      <c r="H73" s="98" t="n"/>
      <c r="I73" s="98"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147" t="n"/>
      <c r="B74" s="98" t="n"/>
      <c r="C74" s="98" t="n"/>
      <c r="D74" s="98" t="n"/>
      <c r="E74" s="98" t="n"/>
      <c r="F74" s="98" t="n"/>
      <c r="G74" s="98" t="n"/>
      <c r="H74" s="98" t="n"/>
      <c r="I74" s="98"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147" t="n"/>
      <c r="B75" s="98" t="n"/>
      <c r="C75" s="98" t="n"/>
      <c r="D75" s="98" t="n"/>
      <c r="E75" s="98" t="n"/>
      <c r="F75" s="98" t="n"/>
      <c r="G75" s="98" t="n"/>
      <c r="H75" s="98" t="n"/>
      <c r="I75" s="98"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147" t="n"/>
      <c r="B76" s="98" t="n"/>
      <c r="C76" s="98" t="n"/>
      <c r="D76" s="98" t="n"/>
      <c r="E76" s="98" t="n"/>
      <c r="F76" s="98" t="n"/>
      <c r="G76" s="98" t="n"/>
      <c r="H76" s="98" t="n"/>
      <c r="I76" s="98"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147" t="n"/>
      <c r="B77" s="98" t="n"/>
      <c r="C77" s="98" t="n"/>
      <c r="D77" s="98" t="n"/>
      <c r="E77" s="98" t="n"/>
      <c r="F77" s="98" t="n"/>
      <c r="G77" s="98" t="n"/>
      <c r="H77" s="98" t="n"/>
      <c r="I77" s="98"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147" t="n"/>
      <c r="B78" s="98" t="n"/>
      <c r="C78" s="98" t="n"/>
      <c r="D78" s="98" t="n"/>
      <c r="E78" s="98" t="n"/>
      <c r="F78" s="98" t="n"/>
      <c r="G78" s="98" t="n"/>
      <c r="H78" s="98" t="n"/>
      <c r="I78" s="98"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147" t="n"/>
      <c r="B79" s="98" t="n"/>
      <c r="C79" s="98" t="n"/>
      <c r="D79" s="98" t="n"/>
      <c r="E79" s="98" t="n"/>
      <c r="F79" s="98" t="n"/>
      <c r="G79" s="98" t="n"/>
      <c r="H79" s="98" t="n"/>
      <c r="I79" s="98"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147" t="n"/>
      <c r="B80" s="98" t="n"/>
      <c r="C80" s="98" t="n"/>
      <c r="D80" s="98" t="n"/>
      <c r="E80" s="98" t="n"/>
      <c r="F80" s="98" t="n"/>
      <c r="G80" s="98" t="n"/>
      <c r="H80" s="98" t="n"/>
      <c r="I80" s="98"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147" t="n"/>
      <c r="B81" s="98" t="n"/>
      <c r="C81" s="98" t="n"/>
      <c r="D81" s="98" t="n"/>
      <c r="E81" s="98" t="n"/>
      <c r="F81" s="98" t="n"/>
      <c r="G81" s="98" t="n"/>
      <c r="H81" s="98" t="n"/>
      <c r="I81" s="98"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147" t="n"/>
      <c r="B82" s="98" t="n"/>
      <c r="C82" s="98" t="n"/>
      <c r="D82" s="98" t="n"/>
      <c r="E82" s="98" t="n"/>
      <c r="F82" s="98" t="n"/>
      <c r="G82" s="98" t="n"/>
      <c r="H82" s="98" t="n"/>
      <c r="I82" s="98"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147" t="n"/>
      <c r="B83" s="98" t="n"/>
      <c r="C83" s="98" t="n"/>
      <c r="D83" s="98" t="n"/>
      <c r="E83" s="98" t="n"/>
      <c r="F83" s="98" t="n"/>
      <c r="G83" s="98" t="n"/>
      <c r="H83" s="98" t="n"/>
      <c r="I83" s="98"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147" t="n"/>
      <c r="B84" s="98" t="n"/>
      <c r="C84" s="98" t="n"/>
      <c r="D84" s="98" t="n"/>
      <c r="E84" s="98" t="n"/>
      <c r="F84" s="98" t="n"/>
      <c r="G84" s="98" t="n"/>
      <c r="H84" s="98" t="n"/>
      <c r="I84" s="98"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147" t="n"/>
      <c r="B85" s="98" t="n"/>
      <c r="C85" s="98" t="n"/>
      <c r="D85" s="98" t="n"/>
      <c r="E85" s="98" t="n"/>
      <c r="F85" s="98" t="n"/>
      <c r="G85" s="98" t="n"/>
      <c r="H85" s="98" t="n"/>
      <c r="I85" s="98"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147" t="n"/>
      <c r="B86" s="98" t="n"/>
      <c r="C86" s="98" t="n"/>
      <c r="D86" s="98" t="n"/>
      <c r="E86" s="98" t="n"/>
      <c r="F86" s="98" t="n"/>
      <c r="G86" s="98" t="n"/>
      <c r="H86" s="98" t="n"/>
      <c r="I86" s="98"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147" t="n"/>
      <c r="B87" s="98" t="n"/>
      <c r="C87" s="98" t="n"/>
      <c r="D87" s="98" t="n"/>
      <c r="E87" s="98" t="n"/>
      <c r="F87" s="98" t="n"/>
      <c r="G87" s="98" t="n"/>
      <c r="H87" s="98" t="n"/>
      <c r="I87" s="98"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147" t="n"/>
      <c r="B88" s="98" t="n"/>
      <c r="C88" s="98" t="n"/>
      <c r="D88" s="98" t="n"/>
      <c r="E88" s="98" t="n"/>
      <c r="F88" s="98" t="n"/>
      <c r="G88" s="98" t="n"/>
      <c r="H88" s="98" t="n"/>
      <c r="I88" s="98"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147" t="n"/>
      <c r="B89" s="98" t="n"/>
      <c r="C89" s="98" t="n"/>
      <c r="D89" s="98" t="n"/>
      <c r="E89" s="98" t="n"/>
      <c r="F89" s="98" t="n"/>
      <c r="G89" s="98" t="n"/>
      <c r="H89" s="98" t="n"/>
      <c r="I89" s="98"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147" t="n"/>
      <c r="B90" s="98" t="n"/>
      <c r="C90" s="98" t="n"/>
      <c r="D90" s="98" t="n"/>
      <c r="E90" s="98" t="n"/>
      <c r="F90" s="98" t="n"/>
      <c r="G90" s="98" t="n"/>
      <c r="H90" s="98" t="n"/>
      <c r="I90" s="98"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147" t="n"/>
      <c r="B91" s="98" t="n"/>
      <c r="C91" s="98" t="n"/>
      <c r="D91" s="98" t="n"/>
      <c r="E91" s="98" t="n"/>
      <c r="F91" s="98" t="n"/>
      <c r="G91" s="98" t="n"/>
      <c r="H91" s="98" t="n"/>
      <c r="I91" s="98"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147" t="n"/>
      <c r="B92" s="98" t="n"/>
      <c r="C92" s="98" t="n"/>
      <c r="D92" s="98" t="n"/>
      <c r="E92" s="98" t="n"/>
      <c r="F92" s="98" t="n"/>
      <c r="G92" s="98" t="n"/>
      <c r="H92" s="98" t="n"/>
      <c r="I92" s="98"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147" t="n"/>
      <c r="B93" s="98" t="n"/>
      <c r="C93" s="98" t="n"/>
      <c r="D93" s="98" t="n"/>
      <c r="E93" s="98" t="n"/>
      <c r="F93" s="98" t="n"/>
      <c r="G93" s="98" t="n"/>
      <c r="H93" s="98" t="n"/>
      <c r="I93" s="98"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147" t="n"/>
      <c r="B94" s="98" t="n"/>
      <c r="C94" s="98" t="n"/>
      <c r="D94" s="98" t="n"/>
      <c r="E94" s="98" t="n"/>
      <c r="F94" s="98" t="n"/>
      <c r="G94" s="98" t="n"/>
      <c r="H94" s="98" t="n"/>
      <c r="I94" s="98"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147" t="n"/>
      <c r="B95" s="98" t="n"/>
      <c r="C95" s="98" t="n"/>
      <c r="D95" s="98" t="n"/>
      <c r="E95" s="98" t="n"/>
      <c r="F95" s="98" t="n"/>
      <c r="G95" s="98" t="n"/>
      <c r="H95" s="98" t="n"/>
      <c r="I95" s="98"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147" t="n"/>
      <c r="B96" s="98" t="n"/>
      <c r="C96" s="98" t="n"/>
      <c r="D96" s="98" t="n"/>
      <c r="E96" s="98" t="n"/>
      <c r="F96" s="98" t="n"/>
      <c r="G96" s="98" t="n"/>
      <c r="H96" s="98" t="n"/>
      <c r="I96" s="98"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147" t="n"/>
      <c r="B97" s="98" t="n"/>
      <c r="C97" s="98" t="n"/>
      <c r="D97" s="98" t="n"/>
      <c r="E97" s="98" t="n"/>
      <c r="F97" s="98" t="n"/>
      <c r="G97" s="98" t="n"/>
      <c r="H97" s="98" t="n"/>
      <c r="I97" s="98"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147" t="n"/>
      <c r="B98" s="98" t="n"/>
      <c r="C98" s="98" t="n"/>
      <c r="D98" s="98" t="n"/>
      <c r="E98" s="98" t="n"/>
      <c r="F98" s="98" t="n"/>
      <c r="G98" s="98" t="n"/>
      <c r="H98" s="98" t="n"/>
      <c r="I98" s="98"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147" t="n"/>
      <c r="B99" s="98" t="n"/>
      <c r="C99" s="98" t="n"/>
      <c r="D99" s="98" t="n"/>
      <c r="E99" s="98" t="n"/>
      <c r="F99" s="98" t="n"/>
      <c r="G99" s="98" t="n"/>
      <c r="H99" s="98" t="n"/>
      <c r="I99" s="98"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147" t="n"/>
      <c r="B100" s="98" t="n"/>
      <c r="C100" s="98" t="n"/>
      <c r="D100" s="98" t="n"/>
      <c r="E100" s="98" t="n"/>
      <c r="F100" s="98" t="n"/>
      <c r="G100" s="98" t="n"/>
      <c r="H100" s="98" t="n"/>
      <c r="I100" s="98"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147" t="n"/>
      <c r="B101" s="98" t="n"/>
      <c r="C101" s="98" t="n"/>
      <c r="D101" s="98" t="n"/>
      <c r="E101" s="98" t="n"/>
      <c r="F101" s="98" t="n"/>
      <c r="G101" s="98" t="n"/>
      <c r="H101" s="98" t="n"/>
      <c r="I101" s="98"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147" t="n"/>
      <c r="B102" s="98" t="n"/>
      <c r="C102" s="98" t="n"/>
      <c r="D102" s="98" t="n"/>
      <c r="E102" s="98" t="n"/>
      <c r="F102" s="98" t="n"/>
      <c r="G102" s="98" t="n"/>
      <c r="H102" s="98" t="n"/>
      <c r="I102" s="98"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147" t="n"/>
      <c r="B103" s="98" t="n"/>
      <c r="C103" s="98" t="n"/>
      <c r="D103" s="98" t="n"/>
      <c r="E103" s="98" t="n"/>
      <c r="F103" s="98" t="n"/>
      <c r="G103" s="98" t="n"/>
      <c r="H103" s="98" t="n"/>
      <c r="I103" s="98"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147" t="n"/>
      <c r="B104" s="98" t="n"/>
      <c r="C104" s="98" t="n"/>
      <c r="D104" s="98" t="n"/>
      <c r="E104" s="98" t="n"/>
      <c r="F104" s="98" t="n"/>
      <c r="G104" s="98" t="n"/>
      <c r="H104" s="98" t="n"/>
      <c r="I104" s="98"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147" t="n"/>
      <c r="B105" s="98" t="n"/>
      <c r="C105" s="98" t="n"/>
      <c r="D105" s="98" t="n"/>
      <c r="E105" s="98" t="n"/>
      <c r="F105" s="98" t="n"/>
      <c r="G105" s="98" t="n"/>
      <c r="H105" s="98" t="n"/>
      <c r="I105" s="98"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147" t="n"/>
      <c r="B106" s="98" t="n"/>
      <c r="C106" s="98" t="n"/>
      <c r="D106" s="98" t="n"/>
      <c r="E106" s="98" t="n"/>
      <c r="F106" s="98" t="n"/>
      <c r="G106" s="98" t="n"/>
      <c r="H106" s="98" t="n"/>
      <c r="I106" s="98"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147" t="n"/>
      <c r="B107" s="98" t="n"/>
      <c r="C107" s="98" t="n"/>
      <c r="D107" s="98" t="n"/>
      <c r="E107" s="98" t="n"/>
      <c r="F107" s="98" t="n"/>
      <c r="G107" s="98" t="n"/>
      <c r="H107" s="98" t="n"/>
      <c r="I107" s="98"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147" t="n"/>
      <c r="B108" s="98" t="n"/>
      <c r="C108" s="98" t="n"/>
      <c r="D108" s="98" t="n"/>
      <c r="E108" s="98" t="n"/>
      <c r="F108" s="98" t="n"/>
      <c r="G108" s="98" t="n"/>
      <c r="H108" s="98" t="n"/>
      <c r="I108" s="98"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147" t="n"/>
      <c r="B109" s="98" t="n"/>
      <c r="C109" s="98" t="n"/>
      <c r="D109" s="98" t="n"/>
      <c r="E109" s="98" t="n"/>
      <c r="F109" s="98" t="n"/>
      <c r="G109" s="98" t="n"/>
      <c r="H109" s="98" t="n"/>
      <c r="I109" s="98"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147" t="n"/>
      <c r="B110" s="98" t="n"/>
      <c r="C110" s="98" t="n"/>
      <c r="D110" s="98" t="n"/>
      <c r="E110" s="98" t="n"/>
      <c r="F110" s="98" t="n"/>
      <c r="G110" s="98" t="n"/>
      <c r="H110" s="98" t="n"/>
      <c r="I110" s="98"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147" t="n"/>
      <c r="B111" s="98" t="n"/>
      <c r="C111" s="98" t="n"/>
      <c r="D111" s="98" t="n"/>
      <c r="E111" s="98" t="n"/>
      <c r="F111" s="98" t="n"/>
      <c r="G111" s="98" t="n"/>
      <c r="H111" s="98" t="n"/>
      <c r="I111" s="98"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147" t="n"/>
      <c r="B112" s="98" t="n"/>
      <c r="C112" s="98" t="n"/>
      <c r="D112" s="98" t="n"/>
      <c r="E112" s="98" t="n"/>
      <c r="F112" s="98" t="n"/>
      <c r="G112" s="98" t="n"/>
      <c r="H112" s="98" t="n"/>
      <c r="I112" s="98"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147" t="n"/>
      <c r="B113" s="98" t="n"/>
      <c r="C113" s="98" t="n"/>
      <c r="D113" s="98" t="n"/>
      <c r="E113" s="98" t="n"/>
      <c r="F113" s="98" t="n"/>
      <c r="G113" s="98" t="n"/>
      <c r="H113" s="98" t="n"/>
      <c r="I113" s="98"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147" t="n"/>
      <c r="B114" s="98" t="n"/>
      <c r="C114" s="98" t="n"/>
      <c r="D114" s="98" t="n"/>
      <c r="E114" s="98" t="n"/>
      <c r="F114" s="98" t="n"/>
      <c r="G114" s="98" t="n"/>
      <c r="H114" s="98" t="n"/>
      <c r="I114" s="98"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147" t="n"/>
      <c r="B115" s="98" t="n"/>
      <c r="C115" s="98" t="n"/>
      <c r="D115" s="98" t="n"/>
      <c r="E115" s="98" t="n"/>
      <c r="F115" s="98" t="n"/>
      <c r="G115" s="98" t="n"/>
      <c r="H115" s="98" t="n"/>
      <c r="I115" s="98"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147" t="n"/>
      <c r="B116" s="98" t="n"/>
      <c r="C116" s="98" t="n"/>
      <c r="D116" s="98" t="n"/>
      <c r="E116" s="98" t="n"/>
      <c r="F116" s="98" t="n"/>
      <c r="G116" s="98" t="n"/>
      <c r="H116" s="98" t="n"/>
      <c r="I116" s="98"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147" t="n"/>
      <c r="B117" s="98" t="n"/>
      <c r="C117" s="98" t="n"/>
      <c r="D117" s="98" t="n"/>
      <c r="E117" s="98" t="n"/>
      <c r="F117" s="98" t="n"/>
      <c r="G117" s="98" t="n"/>
      <c r="H117" s="98" t="n"/>
      <c r="I117" s="98"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147" t="n"/>
      <c r="B118" s="98" t="n"/>
      <c r="C118" s="98" t="n"/>
      <c r="D118" s="98" t="n"/>
      <c r="E118" s="98" t="n"/>
      <c r="F118" s="98" t="n"/>
      <c r="G118" s="98" t="n"/>
      <c r="H118" s="98" t="n"/>
      <c r="I118" s="98"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147" t="n"/>
      <c r="B119" s="98" t="n"/>
      <c r="C119" s="98" t="n"/>
      <c r="D119" s="98" t="n"/>
      <c r="E119" s="98" t="n"/>
      <c r="F119" s="98" t="n"/>
      <c r="G119" s="98" t="n"/>
      <c r="H119" s="98" t="n"/>
      <c r="I119" s="98"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147" t="n"/>
      <c r="B120" s="98" t="n"/>
      <c r="C120" s="98" t="n"/>
      <c r="D120" s="98" t="n"/>
      <c r="E120" s="98" t="n"/>
      <c r="F120" s="98" t="n"/>
      <c r="G120" s="98" t="n"/>
      <c r="H120" s="98" t="n"/>
      <c r="I120" s="98"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147" t="n"/>
      <c r="B121" s="98" t="n"/>
      <c r="C121" s="98" t="n"/>
      <c r="D121" s="98" t="n"/>
      <c r="E121" s="98" t="n"/>
      <c r="F121" s="98" t="n"/>
      <c r="G121" s="98" t="n"/>
      <c r="H121" s="98" t="n"/>
      <c r="I121" s="98"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147" t="n"/>
      <c r="B122" s="98" t="n"/>
      <c r="C122" s="98" t="n"/>
      <c r="D122" s="98" t="n"/>
      <c r="E122" s="98" t="n"/>
      <c r="F122" s="98" t="n"/>
      <c r="G122" s="98" t="n"/>
      <c r="H122" s="98" t="n"/>
      <c r="I122" s="98"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147" t="n"/>
      <c r="B123" s="98" t="n"/>
      <c r="C123" s="98" t="n"/>
      <c r="D123" s="98" t="n"/>
      <c r="E123" s="98" t="n"/>
      <c r="F123" s="98" t="n"/>
      <c r="G123" s="98" t="n"/>
      <c r="H123" s="98" t="n"/>
      <c r="I123" s="98"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147" t="n"/>
      <c r="B124" s="98" t="n"/>
      <c r="C124" s="98" t="n"/>
      <c r="D124" s="98" t="n"/>
      <c r="E124" s="98" t="n"/>
      <c r="F124" s="98" t="n"/>
      <c r="G124" s="98" t="n"/>
      <c r="H124" s="98" t="n"/>
      <c r="I124" s="98"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147" t="n"/>
      <c r="B125" s="98" t="n"/>
      <c r="C125" s="98" t="n"/>
      <c r="D125" s="98" t="n"/>
      <c r="E125" s="98" t="n"/>
      <c r="F125" s="98" t="n"/>
      <c r="G125" s="98" t="n"/>
      <c r="H125" s="98" t="n"/>
      <c r="I125" s="98"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147" t="n"/>
      <c r="B126" s="98" t="n"/>
      <c r="C126" s="98" t="n"/>
      <c r="D126" s="98" t="n"/>
      <c r="E126" s="98" t="n"/>
      <c r="F126" s="98" t="n"/>
      <c r="G126" s="98" t="n"/>
      <c r="H126" s="98" t="n"/>
      <c r="I126" s="98"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147" t="n"/>
      <c r="B127" s="98" t="n"/>
      <c r="C127" s="98" t="n"/>
      <c r="D127" s="98" t="n"/>
      <c r="E127" s="98" t="n"/>
      <c r="F127" s="98" t="n"/>
      <c r="G127" s="98" t="n"/>
      <c r="H127" s="98" t="n"/>
      <c r="I127" s="98"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147" t="n"/>
      <c r="B128" s="98" t="n"/>
      <c r="C128" s="98" t="n"/>
      <c r="D128" s="98" t="n"/>
      <c r="E128" s="98" t="n"/>
      <c r="F128" s="98" t="n"/>
      <c r="G128" s="98" t="n"/>
      <c r="H128" s="98" t="n"/>
      <c r="I128" s="98"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147" t="n"/>
      <c r="B129" s="98" t="n"/>
      <c r="C129" s="98" t="n"/>
      <c r="D129" s="98" t="n"/>
      <c r="E129" s="98" t="n"/>
      <c r="F129" s="98" t="n"/>
      <c r="G129" s="98" t="n"/>
      <c r="H129" s="98" t="n"/>
      <c r="I129" s="98"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147" t="n"/>
      <c r="B130" s="98" t="n"/>
      <c r="C130" s="98" t="n"/>
      <c r="D130" s="98" t="n"/>
      <c r="E130" s="98" t="n"/>
      <c r="F130" s="98" t="n"/>
      <c r="G130" s="98" t="n"/>
      <c r="H130" s="98" t="n"/>
      <c r="I130" s="98"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147" t="n"/>
      <c r="B131" s="98" t="n"/>
      <c r="C131" s="98" t="n"/>
      <c r="D131" s="98" t="n"/>
      <c r="E131" s="98" t="n"/>
      <c r="F131" s="98" t="n"/>
      <c r="G131" s="98" t="n"/>
      <c r="H131" s="98" t="n"/>
      <c r="I131" s="98"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147" t="n"/>
      <c r="B132" s="98" t="n"/>
      <c r="C132" s="98" t="n"/>
      <c r="D132" s="98" t="n"/>
      <c r="E132" s="98" t="n"/>
      <c r="F132" s="98" t="n"/>
      <c r="G132" s="98" t="n"/>
      <c r="H132" s="98" t="n"/>
      <c r="I132" s="98"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147" t="n"/>
      <c r="B133" s="98" t="n"/>
      <c r="C133" s="98" t="n"/>
      <c r="D133" s="98" t="n"/>
      <c r="E133" s="98" t="n"/>
      <c r="F133" s="98" t="n"/>
      <c r="G133" s="98" t="n"/>
      <c r="H133" s="98" t="n"/>
      <c r="I133" s="98"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147" t="n"/>
      <c r="B134" s="98" t="n"/>
      <c r="C134" s="98" t="n"/>
      <c r="D134" s="98" t="n"/>
      <c r="E134" s="98" t="n"/>
      <c r="F134" s="98" t="n"/>
      <c r="G134" s="98" t="n"/>
      <c r="H134" s="98" t="n"/>
      <c r="I134" s="98"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147" t="n"/>
      <c r="B135" s="98" t="n"/>
      <c r="C135" s="98" t="n"/>
      <c r="D135" s="98" t="n"/>
      <c r="E135" s="98" t="n"/>
      <c r="F135" s="98" t="n"/>
      <c r="G135" s="98" t="n"/>
      <c r="H135" s="98" t="n"/>
      <c r="I135" s="98"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147" t="n"/>
      <c r="B136" s="98" t="n"/>
      <c r="C136" s="98" t="n"/>
      <c r="D136" s="98" t="n"/>
      <c r="E136" s="98" t="n"/>
      <c r="F136" s="98" t="n"/>
      <c r="G136" s="98" t="n"/>
      <c r="H136" s="98" t="n"/>
      <c r="I136" s="98"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147" t="n"/>
      <c r="B137" s="98" t="n"/>
      <c r="C137" s="98" t="n"/>
      <c r="D137" s="98" t="n"/>
      <c r="E137" s="98" t="n"/>
      <c r="F137" s="98" t="n"/>
      <c r="G137" s="98" t="n"/>
      <c r="H137" s="98" t="n"/>
      <c r="I137" s="98"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147" t="n"/>
      <c r="B138" s="98" t="n"/>
      <c r="C138" s="98" t="n"/>
      <c r="D138" s="98" t="n"/>
      <c r="E138" s="98" t="n"/>
      <c r="F138" s="98" t="n"/>
      <c r="G138" s="98" t="n"/>
      <c r="H138" s="98" t="n"/>
      <c r="I138" s="98"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147" t="n"/>
      <c r="B139" s="98" t="n"/>
      <c r="C139" s="98" t="n"/>
      <c r="D139" s="98" t="n"/>
      <c r="E139" s="98" t="n"/>
      <c r="F139" s="98" t="n"/>
      <c r="G139" s="98" t="n"/>
      <c r="H139" s="98" t="n"/>
      <c r="I139" s="98"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147" t="n"/>
      <c r="B140" s="98" t="n"/>
      <c r="C140" s="98" t="n"/>
      <c r="D140" s="98" t="n"/>
      <c r="E140" s="98" t="n"/>
      <c r="F140" s="98" t="n"/>
      <c r="G140" s="98" t="n"/>
      <c r="H140" s="98" t="n"/>
      <c r="I140" s="98"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147" t="n"/>
      <c r="B141" s="98" t="n"/>
      <c r="C141" s="98" t="n"/>
      <c r="D141" s="98" t="n"/>
      <c r="E141" s="98" t="n"/>
      <c r="F141" s="98" t="n"/>
      <c r="G141" s="98" t="n"/>
      <c r="H141" s="98" t="n"/>
      <c r="I141" s="98"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147" t="n"/>
      <c r="B142" s="98" t="n"/>
      <c r="C142" s="98" t="n"/>
      <c r="D142" s="98" t="n"/>
      <c r="E142" s="98" t="n"/>
      <c r="F142" s="98" t="n"/>
      <c r="G142" s="98" t="n"/>
      <c r="H142" s="98" t="n"/>
      <c r="I142" s="98"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147" t="n"/>
      <c r="B143" s="98" t="n"/>
      <c r="C143" s="98" t="n"/>
      <c r="D143" s="98" t="n"/>
      <c r="E143" s="98" t="n"/>
      <c r="F143" s="98" t="n"/>
      <c r="G143" s="98" t="n"/>
      <c r="H143" s="98" t="n"/>
      <c r="I143" s="98"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147" t="n"/>
      <c r="B144" s="98" t="n"/>
      <c r="C144" s="98" t="n"/>
      <c r="D144" s="98" t="n"/>
      <c r="E144" s="98" t="n"/>
      <c r="F144" s="98" t="n"/>
      <c r="G144" s="98" t="n"/>
      <c r="H144" s="98" t="n"/>
      <c r="I144" s="98"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147" t="n"/>
      <c r="B145" s="98" t="n"/>
      <c r="C145" s="98" t="n"/>
      <c r="D145" s="98" t="n"/>
      <c r="E145" s="98" t="n"/>
      <c r="F145" s="98" t="n"/>
      <c r="G145" s="98" t="n"/>
      <c r="H145" s="98" t="n"/>
      <c r="I145" s="98"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147" t="n"/>
      <c r="B146" s="98" t="n"/>
      <c r="C146" s="98" t="n"/>
      <c r="D146" s="98" t="n"/>
      <c r="E146" s="98" t="n"/>
      <c r="F146" s="98" t="n"/>
      <c r="G146" s="98" t="n"/>
      <c r="H146" s="98" t="n"/>
      <c r="I146" s="98"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147" t="n"/>
      <c r="B147" s="98" t="n"/>
      <c r="C147" s="98" t="n"/>
      <c r="D147" s="98" t="n"/>
      <c r="E147" s="98" t="n"/>
      <c r="F147" s="98" t="n"/>
      <c r="G147" s="98" t="n"/>
      <c r="H147" s="98" t="n"/>
      <c r="I147" s="98"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147" t="n"/>
      <c r="B148" s="98" t="n"/>
      <c r="C148" s="98" t="n"/>
      <c r="D148" s="98" t="n"/>
      <c r="E148" s="98" t="n"/>
      <c r="F148" s="98" t="n"/>
      <c r="G148" s="98" t="n"/>
      <c r="H148" s="98" t="n"/>
      <c r="I148" s="98"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147" t="n"/>
      <c r="B149" s="98" t="n"/>
      <c r="C149" s="98" t="n"/>
      <c r="D149" s="98" t="n"/>
      <c r="E149" s="98" t="n"/>
      <c r="F149" s="98" t="n"/>
      <c r="G149" s="98" t="n"/>
      <c r="H149" s="98" t="n"/>
      <c r="I149" s="98"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147" t="n"/>
      <c r="B150" s="98" t="n"/>
      <c r="C150" s="98" t="n"/>
      <c r="D150" s="98" t="n"/>
      <c r="E150" s="98" t="n"/>
      <c r="F150" s="98" t="n"/>
      <c r="G150" s="98" t="n"/>
      <c r="H150" s="98" t="n"/>
      <c r="I150" s="98"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147" t="n"/>
      <c r="B151" s="98" t="n"/>
      <c r="C151" s="98" t="n"/>
      <c r="D151" s="98" t="n"/>
      <c r="E151" s="98" t="n"/>
      <c r="F151" s="98" t="n"/>
      <c r="G151" s="98" t="n"/>
      <c r="H151" s="98" t="n"/>
      <c r="I151" s="98"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147" t="n"/>
      <c r="B152" s="98" t="n"/>
      <c r="C152" s="98" t="n"/>
      <c r="D152" s="98" t="n"/>
      <c r="E152" s="98" t="n"/>
      <c r="F152" s="98" t="n"/>
      <c r="G152" s="98" t="n"/>
      <c r="H152" s="98" t="n"/>
      <c r="I152" s="98"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147" t="n"/>
      <c r="B153" s="98" t="n"/>
      <c r="C153" s="98" t="n"/>
      <c r="D153" s="98" t="n"/>
      <c r="E153" s="98" t="n"/>
      <c r="F153" s="98" t="n"/>
      <c r="G153" s="98" t="n"/>
      <c r="H153" s="98" t="n"/>
      <c r="I153" s="98"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147" t="n"/>
      <c r="B154" s="98" t="n"/>
      <c r="C154" s="98" t="n"/>
      <c r="D154" s="98" t="n"/>
      <c r="E154" s="98" t="n"/>
      <c r="F154" s="98" t="n"/>
      <c r="G154" s="98" t="n"/>
      <c r="H154" s="98" t="n"/>
      <c r="I154" s="98"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147" t="n"/>
      <c r="B155" s="98" t="n"/>
      <c r="C155" s="98" t="n"/>
      <c r="D155" s="98" t="n"/>
      <c r="E155" s="98" t="n"/>
      <c r="F155" s="98" t="n"/>
      <c r="G155" s="98" t="n"/>
      <c r="H155" s="98" t="n"/>
      <c r="I155" s="98"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147" t="n"/>
      <c r="B156" s="98" t="n"/>
      <c r="C156" s="98" t="n"/>
      <c r="D156" s="98" t="n"/>
      <c r="E156" s="98" t="n"/>
      <c r="F156" s="98" t="n"/>
      <c r="G156" s="98" t="n"/>
      <c r="H156" s="98" t="n"/>
      <c r="I156" s="98"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147" t="n"/>
      <c r="B157" s="98" t="n"/>
      <c r="C157" s="98" t="n"/>
      <c r="D157" s="98" t="n"/>
      <c r="E157" s="98" t="n"/>
      <c r="F157" s="98" t="n"/>
      <c r="G157" s="98" t="n"/>
      <c r="H157" s="98" t="n"/>
      <c r="I157" s="98"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147" t="n"/>
      <c r="B158" s="98" t="n"/>
      <c r="C158" s="98" t="n"/>
      <c r="D158" s="98" t="n"/>
      <c r="E158" s="98" t="n"/>
      <c r="F158" s="98" t="n"/>
      <c r="G158" s="98" t="n"/>
      <c r="H158" s="98" t="n"/>
      <c r="I158" s="98"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147" t="n"/>
      <c r="B159" s="98" t="n"/>
      <c r="C159" s="98" t="n"/>
      <c r="D159" s="98" t="n"/>
      <c r="E159" s="98" t="n"/>
      <c r="F159" s="98" t="n"/>
      <c r="G159" s="98" t="n"/>
      <c r="H159" s="98" t="n"/>
      <c r="I159" s="98"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147" t="n"/>
      <c r="B160" s="98" t="n"/>
      <c r="C160" s="98" t="n"/>
      <c r="D160" s="98" t="n"/>
      <c r="E160" s="98" t="n"/>
      <c r="F160" s="98" t="n"/>
      <c r="G160" s="98" t="n"/>
      <c r="H160" s="98" t="n"/>
      <c r="I160" s="98"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147" t="n"/>
      <c r="B161" s="98" t="n"/>
      <c r="C161" s="98" t="n"/>
      <c r="D161" s="98" t="n"/>
      <c r="E161" s="98" t="n"/>
      <c r="F161" s="98" t="n"/>
      <c r="G161" s="98" t="n"/>
      <c r="H161" s="98" t="n"/>
      <c r="I161" s="98"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147" t="n"/>
      <c r="B162" s="98" t="n"/>
      <c r="C162" s="98" t="n"/>
      <c r="D162" s="98" t="n"/>
      <c r="E162" s="98" t="n"/>
      <c r="F162" s="98" t="n"/>
      <c r="G162" s="98" t="n"/>
      <c r="H162" s="98" t="n"/>
      <c r="I162" s="98"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147" t="n"/>
      <c r="B163" s="98" t="n"/>
      <c r="C163" s="98" t="n"/>
      <c r="D163" s="98" t="n"/>
      <c r="E163" s="98" t="n"/>
      <c r="F163" s="98" t="n"/>
      <c r="G163" s="98" t="n"/>
      <c r="H163" s="98" t="n"/>
      <c r="I163" s="98"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147" t="n"/>
      <c r="B164" s="98" t="n"/>
      <c r="C164" s="98" t="n"/>
      <c r="D164" s="98" t="n"/>
      <c r="E164" s="98" t="n"/>
      <c r="F164" s="98" t="n"/>
      <c r="G164" s="98" t="n"/>
      <c r="H164" s="98" t="n"/>
      <c r="I164" s="98"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147" t="n"/>
      <c r="B165" s="98" t="n"/>
      <c r="C165" s="98" t="n"/>
      <c r="D165" s="98" t="n"/>
      <c r="E165" s="98" t="n"/>
      <c r="F165" s="98" t="n"/>
      <c r="G165" s="98" t="n"/>
      <c r="H165" s="98" t="n"/>
      <c r="I165" s="98"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147" t="n"/>
      <c r="B166" s="98" t="n"/>
      <c r="C166" s="98" t="n"/>
      <c r="D166" s="98" t="n"/>
      <c r="E166" s="98" t="n"/>
      <c r="F166" s="98" t="n"/>
      <c r="G166" s="98" t="n"/>
      <c r="H166" s="98" t="n"/>
      <c r="I166" s="98"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147" t="n"/>
      <c r="B167" s="98" t="n"/>
      <c r="C167" s="98" t="n"/>
      <c r="D167" s="98" t="n"/>
      <c r="E167" s="98" t="n"/>
      <c r="F167" s="98" t="n"/>
      <c r="G167" s="98" t="n"/>
      <c r="H167" s="98" t="n"/>
      <c r="I167" s="98"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147" t="n"/>
      <c r="B168" s="98" t="n"/>
      <c r="C168" s="98" t="n"/>
      <c r="D168" s="98" t="n"/>
      <c r="E168" s="98" t="n"/>
      <c r="F168" s="98" t="n"/>
      <c r="G168" s="98" t="n"/>
      <c r="H168" s="98" t="n"/>
      <c r="I168" s="98"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147" t="n"/>
      <c r="B169" s="98" t="n"/>
      <c r="C169" s="98" t="n"/>
      <c r="D169" s="98" t="n"/>
      <c r="E169" s="98" t="n"/>
      <c r="F169" s="98" t="n"/>
      <c r="G169" s="98" t="n"/>
      <c r="H169" s="98" t="n"/>
      <c r="I169" s="98"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147" t="n"/>
      <c r="B170" s="98" t="n"/>
      <c r="C170" s="98" t="n"/>
      <c r="D170" s="98" t="n"/>
      <c r="E170" s="98" t="n"/>
      <c r="F170" s="98" t="n"/>
      <c r="G170" s="98" t="n"/>
      <c r="H170" s="98" t="n"/>
      <c r="I170" s="98"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147" t="n"/>
      <c r="B171" s="98" t="n"/>
      <c r="C171" s="98" t="n"/>
      <c r="D171" s="98" t="n"/>
      <c r="E171" s="98" t="n"/>
      <c r="F171" s="98" t="n"/>
      <c r="G171" s="98" t="n"/>
      <c r="H171" s="98" t="n"/>
      <c r="I171" s="98"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147" t="n"/>
      <c r="B172" s="98" t="n"/>
      <c r="C172" s="98" t="n"/>
      <c r="D172" s="98" t="n"/>
      <c r="E172" s="98" t="n"/>
      <c r="F172" s="98" t="n"/>
      <c r="G172" s="98" t="n"/>
      <c r="H172" s="98" t="n"/>
      <c r="I172" s="98"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147" t="n"/>
      <c r="B173" s="98" t="n"/>
      <c r="C173" s="98" t="n"/>
      <c r="D173" s="98" t="n"/>
      <c r="E173" s="98" t="n"/>
      <c r="F173" s="98" t="n"/>
      <c r="G173" s="98" t="n"/>
      <c r="H173" s="98" t="n"/>
      <c r="I173" s="98"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147" t="n"/>
      <c r="B174" s="98" t="n"/>
      <c r="C174" s="98" t="n"/>
      <c r="D174" s="98" t="n"/>
      <c r="E174" s="98" t="n"/>
      <c r="F174" s="98" t="n"/>
      <c r="G174" s="98" t="n"/>
      <c r="H174" s="98" t="n"/>
      <c r="I174" s="98"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147" t="n"/>
      <c r="B175" s="98" t="n"/>
      <c r="C175" s="98" t="n"/>
      <c r="D175" s="98" t="n"/>
      <c r="E175" s="98" t="n"/>
      <c r="F175" s="98" t="n"/>
      <c r="G175" s="98" t="n"/>
      <c r="H175" s="98" t="n"/>
      <c r="I175" s="98"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147" t="n"/>
      <c r="B176" s="98" t="n"/>
      <c r="C176" s="98" t="n"/>
      <c r="D176" s="98" t="n"/>
      <c r="E176" s="98" t="n"/>
      <c r="F176" s="98" t="n"/>
      <c r="G176" s="98" t="n"/>
      <c r="H176" s="98" t="n"/>
      <c r="I176" s="98"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147" t="n"/>
      <c r="B177" s="98" t="n"/>
      <c r="C177" s="98" t="n"/>
      <c r="D177" s="98" t="n"/>
      <c r="E177" s="98" t="n"/>
      <c r="F177" s="98" t="n"/>
      <c r="G177" s="98" t="n"/>
      <c r="H177" s="98" t="n"/>
      <c r="I177" s="98"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147" t="n"/>
      <c r="B178" s="98" t="n"/>
      <c r="C178" s="98" t="n"/>
      <c r="D178" s="98" t="n"/>
      <c r="E178" s="98" t="n"/>
      <c r="F178" s="98" t="n"/>
      <c r="G178" s="98" t="n"/>
      <c r="H178" s="98" t="n"/>
      <c r="I178" s="98"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147" t="n"/>
      <c r="B179" s="98" t="n"/>
      <c r="C179" s="98" t="n"/>
      <c r="D179" s="98" t="n"/>
      <c r="E179" s="98" t="n"/>
      <c r="F179" s="98" t="n"/>
      <c r="G179" s="98" t="n"/>
      <c r="H179" s="98" t="n"/>
      <c r="I179" s="98"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147" t="n"/>
      <c r="B180" s="98" t="n"/>
      <c r="C180" s="98" t="n"/>
      <c r="D180" s="98" t="n"/>
      <c r="E180" s="98" t="n"/>
      <c r="F180" s="98" t="n"/>
      <c r="G180" s="98" t="n"/>
      <c r="H180" s="98" t="n"/>
      <c r="I180" s="98"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147" t="n"/>
      <c r="B181" s="98" t="n"/>
      <c r="C181" s="98" t="n"/>
      <c r="D181" s="98" t="n"/>
      <c r="E181" s="98" t="n"/>
      <c r="F181" s="98" t="n"/>
      <c r="G181" s="98" t="n"/>
      <c r="H181" s="98" t="n"/>
      <c r="I181" s="98"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147" t="n"/>
      <c r="B182" s="98" t="n"/>
      <c r="C182" s="98" t="n"/>
      <c r="D182" s="98" t="n"/>
      <c r="E182" s="98" t="n"/>
      <c r="F182" s="98" t="n"/>
      <c r="G182" s="98" t="n"/>
      <c r="H182" s="98" t="n"/>
      <c r="I182" s="98"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147" t="n"/>
      <c r="B183" s="98" t="n"/>
      <c r="C183" s="98" t="n"/>
      <c r="D183" s="98" t="n"/>
      <c r="E183" s="98" t="n"/>
      <c r="F183" s="98" t="n"/>
      <c r="G183" s="98" t="n"/>
      <c r="H183" s="98" t="n"/>
      <c r="I183" s="98"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147" t="n"/>
      <c r="B184" s="98" t="n"/>
      <c r="C184" s="98" t="n"/>
      <c r="D184" s="98" t="n"/>
      <c r="E184" s="98" t="n"/>
      <c r="F184" s="98" t="n"/>
      <c r="G184" s="98" t="n"/>
      <c r="H184" s="98" t="n"/>
      <c r="I184" s="98"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147" t="n"/>
      <c r="B185" s="98" t="n"/>
      <c r="C185" s="98" t="n"/>
      <c r="D185" s="98" t="n"/>
      <c r="E185" s="98" t="n"/>
      <c r="F185" s="98" t="n"/>
      <c r="G185" s="98" t="n"/>
      <c r="H185" s="98" t="n"/>
      <c r="I185" s="98"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147" t="n"/>
      <c r="B186" s="98" t="n"/>
      <c r="C186" s="98" t="n"/>
      <c r="D186" s="98" t="n"/>
      <c r="E186" s="98" t="n"/>
      <c r="F186" s="98" t="n"/>
      <c r="G186" s="98" t="n"/>
      <c r="H186" s="98" t="n"/>
      <c r="I186" s="98"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147" t="n"/>
      <c r="B187" s="98" t="n"/>
      <c r="C187" s="98" t="n"/>
      <c r="D187" s="98" t="n"/>
      <c r="E187" s="98" t="n"/>
      <c r="F187" s="98" t="n"/>
      <c r="G187" s="98" t="n"/>
      <c r="H187" s="98" t="n"/>
      <c r="I187" s="98"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147" t="n"/>
      <c r="B188" s="98" t="n"/>
      <c r="C188" s="98" t="n"/>
      <c r="D188" s="98" t="n"/>
      <c r="E188" s="98" t="n"/>
      <c r="F188" s="98" t="n"/>
      <c r="G188" s="98" t="n"/>
      <c r="H188" s="98" t="n"/>
      <c r="I188" s="98"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147" t="n"/>
      <c r="B189" s="98" t="n"/>
      <c r="C189" s="98" t="n"/>
      <c r="D189" s="98" t="n"/>
      <c r="E189" s="98" t="n"/>
      <c r="F189" s="98" t="n"/>
      <c r="G189" s="98" t="n"/>
      <c r="H189" s="98" t="n"/>
      <c r="I189" s="98"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147" t="n"/>
      <c r="B190" s="98" t="n"/>
      <c r="C190" s="98" t="n"/>
      <c r="D190" s="98" t="n"/>
      <c r="E190" s="98" t="n"/>
      <c r="F190" s="98" t="n"/>
      <c r="G190" s="98" t="n"/>
      <c r="H190" s="98" t="n"/>
      <c r="I190" s="98"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147" t="n"/>
      <c r="B191" s="98" t="n"/>
      <c r="C191" s="98" t="n"/>
      <c r="D191" s="98" t="n"/>
      <c r="E191" s="98" t="n"/>
      <c r="F191" s="98" t="n"/>
      <c r="G191" s="98" t="n"/>
      <c r="H191" s="98" t="n"/>
      <c r="I191" s="98"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147" t="n"/>
      <c r="B192" s="98" t="n"/>
      <c r="C192" s="98" t="n"/>
      <c r="D192" s="98" t="n"/>
      <c r="E192" s="98" t="n"/>
      <c r="F192" s="98" t="n"/>
      <c r="G192" s="98" t="n"/>
      <c r="H192" s="98" t="n"/>
      <c r="I192" s="98"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147" t="n"/>
      <c r="B193" s="98" t="n"/>
      <c r="C193" s="98" t="n"/>
      <c r="D193" s="98" t="n"/>
      <c r="E193" s="98" t="n"/>
      <c r="F193" s="98" t="n"/>
      <c r="G193" s="98" t="n"/>
      <c r="H193" s="98" t="n"/>
      <c r="I193" s="98"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147" t="n"/>
      <c r="B194" s="98" t="n"/>
      <c r="C194" s="98" t="n"/>
      <c r="D194" s="98" t="n"/>
      <c r="E194" s="98" t="n"/>
      <c r="F194" s="98" t="n"/>
      <c r="G194" s="98" t="n"/>
      <c r="H194" s="98" t="n"/>
      <c r="I194" s="98"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147" t="n"/>
      <c r="B195" s="98" t="n"/>
      <c r="C195" s="98" t="n"/>
      <c r="D195" s="98" t="n"/>
      <c r="E195" s="98" t="n"/>
      <c r="F195" s="98" t="n"/>
      <c r="G195" s="98" t="n"/>
      <c r="H195" s="98" t="n"/>
      <c r="I195" s="98"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147" t="n"/>
      <c r="B196" s="98" t="n"/>
      <c r="C196" s="98" t="n"/>
      <c r="D196" s="98" t="n"/>
      <c r="E196" s="98" t="n"/>
      <c r="F196" s="98" t="n"/>
      <c r="G196" s="98" t="n"/>
      <c r="H196" s="98" t="n"/>
      <c r="I196" s="98"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147" t="n"/>
      <c r="B197" s="98" t="n"/>
      <c r="C197" s="98" t="n"/>
      <c r="D197" s="98" t="n"/>
      <c r="E197" s="98" t="n"/>
      <c r="F197" s="98" t="n"/>
      <c r="G197" s="98" t="n"/>
      <c r="H197" s="98" t="n"/>
      <c r="I197" s="98"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147" t="n"/>
      <c r="B198" s="98" t="n"/>
      <c r="C198" s="98" t="n"/>
      <c r="D198" s="98" t="n"/>
      <c r="E198" s="98" t="n"/>
      <c r="F198" s="98" t="n"/>
      <c r="G198" s="98" t="n"/>
      <c r="H198" s="98" t="n"/>
      <c r="I198" s="98"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147" t="n"/>
      <c r="B199" s="98" t="n"/>
      <c r="C199" s="98" t="n"/>
      <c r="D199" s="98" t="n"/>
      <c r="E199" s="98" t="n"/>
      <c r="F199" s="98" t="n"/>
      <c r="G199" s="98" t="n"/>
      <c r="H199" s="98" t="n"/>
      <c r="I199" s="98"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147" t="n"/>
      <c r="B200" s="98" t="n"/>
      <c r="C200" s="98" t="n"/>
      <c r="D200" s="98" t="n"/>
      <c r="E200" s="98" t="n"/>
      <c r="F200" s="98" t="n"/>
      <c r="G200" s="98" t="n"/>
      <c r="H200" s="98" t="n"/>
      <c r="I200" s="98"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147" t="n"/>
      <c r="B201" s="98" t="n"/>
      <c r="C201" s="98" t="n"/>
      <c r="D201" s="98" t="n"/>
      <c r="E201" s="98" t="n"/>
      <c r="F201" s="98" t="n"/>
      <c r="G201" s="98" t="n"/>
      <c r="H201" s="98" t="n"/>
      <c r="I201" s="98"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147" t="n"/>
      <c r="B202" s="98" t="n"/>
      <c r="C202" s="98" t="n"/>
      <c r="D202" s="98" t="n"/>
      <c r="E202" s="98" t="n"/>
      <c r="F202" s="98" t="n"/>
      <c r="G202" s="98" t="n"/>
      <c r="H202" s="98" t="n"/>
      <c r="I202" s="98"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147" t="n"/>
      <c r="B203" s="98" t="n"/>
      <c r="C203" s="98" t="n"/>
      <c r="D203" s="98" t="n"/>
      <c r="E203" s="98" t="n"/>
      <c r="F203" s="98" t="n"/>
      <c r="G203" s="98" t="n"/>
      <c r="H203" s="98" t="n"/>
      <c r="I203" s="98"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147" t="n"/>
      <c r="B204" s="98" t="n"/>
      <c r="C204" s="98" t="n"/>
      <c r="D204" s="98" t="n"/>
      <c r="E204" s="98" t="n"/>
      <c r="F204" s="98" t="n"/>
      <c r="G204" s="98" t="n"/>
      <c r="H204" s="98" t="n"/>
      <c r="I204" s="98"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147" t="n"/>
      <c r="B205" s="98" t="n"/>
      <c r="C205" s="98" t="n"/>
      <c r="D205" s="98" t="n"/>
      <c r="E205" s="98" t="n"/>
      <c r="F205" s="98" t="n"/>
      <c r="G205" s="98" t="n"/>
      <c r="H205" s="98" t="n"/>
      <c r="I205" s="98"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147" t="n"/>
      <c r="B206" s="98" t="n"/>
      <c r="C206" s="98" t="n"/>
      <c r="D206" s="98" t="n"/>
      <c r="E206" s="98" t="n"/>
      <c r="F206" s="98" t="n"/>
      <c r="G206" s="98" t="n"/>
      <c r="H206" s="98" t="n"/>
      <c r="I206" s="98"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147" t="n"/>
      <c r="B207" s="98" t="n"/>
      <c r="C207" s="98" t="n"/>
      <c r="D207" s="98" t="n"/>
      <c r="E207" s="98" t="n"/>
      <c r="F207" s="98" t="n"/>
      <c r="G207" s="98" t="n"/>
      <c r="H207" s="98" t="n"/>
      <c r="I207" s="98"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147" t="n"/>
      <c r="B208" s="98" t="n"/>
      <c r="C208" s="98" t="n"/>
      <c r="D208" s="98" t="n"/>
      <c r="E208" s="98" t="n"/>
      <c r="F208" s="98" t="n"/>
      <c r="G208" s="98" t="n"/>
      <c r="H208" s="98" t="n"/>
      <c r="I208" s="98"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147" t="n"/>
      <c r="B209" s="98" t="n"/>
      <c r="C209" s="98" t="n"/>
      <c r="D209" s="98" t="n"/>
      <c r="E209" s="98" t="n"/>
      <c r="F209" s="98" t="n"/>
      <c r="G209" s="98" t="n"/>
      <c r="H209" s="98" t="n"/>
      <c r="I209" s="98"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147" t="n"/>
      <c r="B210" s="98" t="n"/>
      <c r="C210" s="98" t="n"/>
      <c r="D210" s="98" t="n"/>
      <c r="E210" s="98" t="n"/>
      <c r="F210" s="98" t="n"/>
      <c r="G210" s="98" t="n"/>
      <c r="H210" s="98" t="n"/>
      <c r="I210" s="98"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147" t="n"/>
      <c r="B211" s="98" t="n"/>
      <c r="C211" s="98" t="n"/>
      <c r="D211" s="98" t="n"/>
      <c r="E211" s="98" t="n"/>
      <c r="F211" s="98" t="n"/>
      <c r="G211" s="98" t="n"/>
      <c r="H211" s="98" t="n"/>
      <c r="I211" s="98"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147" t="n"/>
      <c r="B212" s="98" t="n"/>
      <c r="C212" s="98" t="n"/>
      <c r="D212" s="98" t="n"/>
      <c r="E212" s="98" t="n"/>
      <c r="F212" s="98" t="n"/>
      <c r="G212" s="98" t="n"/>
      <c r="H212" s="98" t="n"/>
      <c r="I212" s="98"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147" t="n"/>
      <c r="B213" s="98" t="n"/>
      <c r="C213" s="98" t="n"/>
      <c r="D213" s="98" t="n"/>
      <c r="E213" s="98" t="n"/>
      <c r="F213" s="98" t="n"/>
      <c r="G213" s="98" t="n"/>
      <c r="H213" s="98" t="n"/>
      <c r="I213" s="98"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147" t="n"/>
      <c r="B214" s="98" t="n"/>
      <c r="C214" s="98" t="n"/>
      <c r="D214" s="98" t="n"/>
      <c r="E214" s="98" t="n"/>
      <c r="F214" s="98" t="n"/>
      <c r="G214" s="98" t="n"/>
      <c r="H214" s="98" t="n"/>
      <c r="I214" s="98"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147" t="n"/>
      <c r="B215" s="98" t="n"/>
      <c r="C215" s="98" t="n"/>
      <c r="D215" s="98" t="n"/>
      <c r="E215" s="98" t="n"/>
      <c r="F215" s="98" t="n"/>
      <c r="G215" s="98" t="n"/>
      <c r="H215" s="98" t="n"/>
      <c r="I215" s="98"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147" t="n"/>
      <c r="B216" s="98" t="n"/>
      <c r="C216" s="98" t="n"/>
      <c r="D216" s="98" t="n"/>
      <c r="E216" s="98" t="n"/>
      <c r="F216" s="98" t="n"/>
      <c r="G216" s="98" t="n"/>
      <c r="H216" s="98" t="n"/>
      <c r="I216" s="98"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147" t="n"/>
      <c r="B217" s="98" t="n"/>
      <c r="C217" s="98" t="n"/>
      <c r="D217" s="98" t="n"/>
      <c r="E217" s="98" t="n"/>
      <c r="F217" s="98" t="n"/>
      <c r="G217" s="98" t="n"/>
      <c r="H217" s="98" t="n"/>
      <c r="I217" s="98"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147" t="n"/>
      <c r="B218" s="98" t="n"/>
      <c r="C218" s="98" t="n"/>
      <c r="D218" s="98" t="n"/>
      <c r="E218" s="98" t="n"/>
      <c r="F218" s="98" t="n"/>
      <c r="G218" s="98" t="n"/>
      <c r="H218" s="98" t="n"/>
      <c r="I218" s="98"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147" t="n"/>
      <c r="B219" s="98" t="n"/>
      <c r="C219" s="98" t="n"/>
      <c r="D219" s="98" t="n"/>
      <c r="E219" s="98" t="n"/>
      <c r="F219" s="98" t="n"/>
      <c r="G219" s="98" t="n"/>
      <c r="H219" s="98" t="n"/>
      <c r="I219" s="98"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147" t="n"/>
      <c r="B220" s="98" t="n"/>
      <c r="C220" s="98" t="n"/>
      <c r="D220" s="98" t="n"/>
      <c r="E220" s="98" t="n"/>
      <c r="F220" s="98" t="n"/>
      <c r="G220" s="98" t="n"/>
      <c r="H220" s="98" t="n"/>
      <c r="I220" s="98"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147" t="n"/>
      <c r="B221" s="98" t="n"/>
      <c r="C221" s="98" t="n"/>
      <c r="D221" s="98" t="n"/>
      <c r="E221" s="98" t="n"/>
      <c r="F221" s="98" t="n"/>
      <c r="G221" s="98" t="n"/>
      <c r="H221" s="98" t="n"/>
      <c r="I221" s="98"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147" t="n"/>
      <c r="B222" s="98" t="n"/>
      <c r="C222" s="98" t="n"/>
      <c r="D222" s="98" t="n"/>
      <c r="E222" s="98" t="n"/>
      <c r="F222" s="98" t="n"/>
      <c r="G222" s="98" t="n"/>
      <c r="H222" s="98" t="n"/>
      <c r="I222" s="98"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147" t="n"/>
      <c r="B223" s="98" t="n"/>
      <c r="C223" s="98" t="n"/>
      <c r="D223" s="98" t="n"/>
      <c r="E223" s="98" t="n"/>
      <c r="F223" s="98" t="n"/>
      <c r="G223" s="98" t="n"/>
      <c r="H223" s="98" t="n"/>
      <c r="I223" s="98"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147" t="n"/>
      <c r="B224" s="98" t="n"/>
      <c r="C224" s="98" t="n"/>
      <c r="D224" s="98" t="n"/>
      <c r="E224" s="98" t="n"/>
      <c r="F224" s="98" t="n"/>
      <c r="G224" s="98" t="n"/>
      <c r="H224" s="98" t="n"/>
      <c r="I224" s="98"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147" t="n"/>
      <c r="B225" s="98" t="n"/>
      <c r="C225" s="98" t="n"/>
      <c r="D225" s="98" t="n"/>
      <c r="E225" s="98" t="n"/>
      <c r="F225" s="98" t="n"/>
      <c r="G225" s="98" t="n"/>
      <c r="H225" s="98" t="n"/>
      <c r="I225" s="98"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147" t="n"/>
      <c r="B226" s="98" t="n"/>
      <c r="C226" s="98" t="n"/>
      <c r="D226" s="98" t="n"/>
      <c r="E226" s="98" t="n"/>
      <c r="F226" s="98" t="n"/>
      <c r="G226" s="98" t="n"/>
      <c r="H226" s="98" t="n"/>
      <c r="I226" s="98"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147" t="n"/>
      <c r="B227" s="98" t="n"/>
      <c r="C227" s="98" t="n"/>
      <c r="D227" s="98" t="n"/>
      <c r="E227" s="98" t="n"/>
      <c r="F227" s="98" t="n"/>
      <c r="G227" s="98" t="n"/>
      <c r="H227" s="98" t="n"/>
      <c r="I227" s="98"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147" t="n"/>
      <c r="B228" s="98" t="n"/>
      <c r="C228" s="98" t="n"/>
      <c r="D228" s="98" t="n"/>
      <c r="E228" s="98" t="n"/>
      <c r="F228" s="98" t="n"/>
      <c r="G228" s="98" t="n"/>
      <c r="H228" s="98" t="n"/>
      <c r="I228" s="98"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147" t="n"/>
      <c r="B229" s="98" t="n"/>
      <c r="C229" s="98" t="n"/>
      <c r="D229" s="98" t="n"/>
      <c r="E229" s="98" t="n"/>
      <c r="F229" s="98" t="n"/>
      <c r="G229" s="98" t="n"/>
      <c r="H229" s="98" t="n"/>
      <c r="I229" s="98"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147" t="n"/>
      <c r="B230" s="98" t="n"/>
      <c r="C230" s="98" t="n"/>
      <c r="D230" s="98" t="n"/>
      <c r="E230" s="98" t="n"/>
      <c r="F230" s="98" t="n"/>
      <c r="G230" s="98" t="n"/>
      <c r="H230" s="98" t="n"/>
      <c r="I230" s="98"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147" t="n"/>
      <c r="B231" s="98" t="n"/>
      <c r="C231" s="98" t="n"/>
      <c r="D231" s="98" t="n"/>
      <c r="E231" s="98" t="n"/>
      <c r="F231" s="98" t="n"/>
      <c r="G231" s="98" t="n"/>
      <c r="H231" s="98" t="n"/>
      <c r="I231" s="98"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147" t="n"/>
      <c r="B232" s="98" t="n"/>
      <c r="C232" s="98" t="n"/>
      <c r="D232" s="98" t="n"/>
      <c r="E232" s="98" t="n"/>
      <c r="F232" s="98" t="n"/>
      <c r="G232" s="98" t="n"/>
      <c r="H232" s="98" t="n"/>
      <c r="I232" s="98"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147" t="n"/>
      <c r="B233" s="98" t="n"/>
      <c r="C233" s="98" t="n"/>
      <c r="D233" s="98" t="n"/>
      <c r="E233" s="98" t="n"/>
      <c r="F233" s="98" t="n"/>
      <c r="G233" s="98" t="n"/>
      <c r="H233" s="98" t="n"/>
      <c r="I233" s="98"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147" t="n"/>
      <c r="B234" s="98" t="n"/>
      <c r="C234" s="98" t="n"/>
      <c r="D234" s="98" t="n"/>
      <c r="E234" s="98" t="n"/>
      <c r="F234" s="98" t="n"/>
      <c r="G234" s="98" t="n"/>
      <c r="H234" s="98" t="n"/>
      <c r="I234" s="98"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147" t="n"/>
      <c r="B235" s="98" t="n"/>
      <c r="C235" s="98" t="n"/>
      <c r="D235" s="98" t="n"/>
      <c r="E235" s="98" t="n"/>
      <c r="F235" s="98" t="n"/>
      <c r="G235" s="98" t="n"/>
      <c r="H235" s="98" t="n"/>
      <c r="I235" s="98"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147" t="n"/>
      <c r="B236" s="98" t="n"/>
      <c r="C236" s="98" t="n"/>
      <c r="D236" s="98" t="n"/>
      <c r="E236" s="98" t="n"/>
      <c r="F236" s="98" t="n"/>
      <c r="G236" s="98" t="n"/>
      <c r="H236" s="98" t="n"/>
      <c r="I236" s="98"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147" t="n"/>
      <c r="B237" s="98" t="n"/>
      <c r="C237" s="98" t="n"/>
      <c r="D237" s="98" t="n"/>
      <c r="E237" s="98" t="n"/>
      <c r="F237" s="98" t="n"/>
      <c r="G237" s="98" t="n"/>
      <c r="H237" s="98" t="n"/>
      <c r="I237" s="98"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147" t="n"/>
      <c r="B238" s="98" t="n"/>
      <c r="C238" s="98" t="n"/>
      <c r="D238" s="98" t="n"/>
      <c r="E238" s="98" t="n"/>
      <c r="F238" s="98" t="n"/>
      <c r="G238" s="98" t="n"/>
      <c r="H238" s="98" t="n"/>
      <c r="I238" s="98"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147" t="n"/>
      <c r="B239" s="98" t="n"/>
      <c r="C239" s="98" t="n"/>
      <c r="D239" s="98" t="n"/>
      <c r="E239" s="98" t="n"/>
      <c r="F239" s="98" t="n"/>
      <c r="G239" s="98" t="n"/>
      <c r="H239" s="98" t="n"/>
      <c r="I239" s="98"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147" t="n"/>
      <c r="B240" s="98" t="n"/>
      <c r="C240" s="98" t="n"/>
      <c r="D240" s="98" t="n"/>
      <c r="E240" s="98" t="n"/>
      <c r="F240" s="98" t="n"/>
      <c r="G240" s="98" t="n"/>
      <c r="H240" s="98" t="n"/>
      <c r="I240" s="98"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147" t="n"/>
      <c r="B241" s="98" t="n"/>
      <c r="C241" s="98" t="n"/>
      <c r="D241" s="98" t="n"/>
      <c r="E241" s="98" t="n"/>
      <c r="F241" s="98" t="n"/>
      <c r="G241" s="98" t="n"/>
      <c r="H241" s="98" t="n"/>
      <c r="I241" s="98"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147" t="n"/>
      <c r="B242" s="98" t="n"/>
      <c r="C242" s="98" t="n"/>
      <c r="D242" s="98" t="n"/>
      <c r="E242" s="98" t="n"/>
      <c r="F242" s="98" t="n"/>
      <c r="G242" s="98" t="n"/>
      <c r="H242" s="98" t="n"/>
      <c r="I242" s="98"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147" t="n"/>
      <c r="B243" s="98" t="n"/>
      <c r="C243" s="98" t="n"/>
      <c r="D243" s="98" t="n"/>
      <c r="E243" s="98" t="n"/>
      <c r="F243" s="98" t="n"/>
      <c r="G243" s="98" t="n"/>
      <c r="H243" s="98" t="n"/>
      <c r="I243" s="98"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147" t="n"/>
      <c r="B244" s="98" t="n"/>
      <c r="C244" s="98" t="n"/>
      <c r="D244" s="98" t="n"/>
      <c r="E244" s="98" t="n"/>
      <c r="F244" s="98" t="n"/>
      <c r="G244" s="98" t="n"/>
      <c r="H244" s="98" t="n"/>
      <c r="I244" s="98"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147" t="n"/>
      <c r="B245" s="98" t="n"/>
      <c r="C245" s="98" t="n"/>
      <c r="D245" s="98" t="n"/>
      <c r="E245" s="98" t="n"/>
      <c r="F245" s="98" t="n"/>
      <c r="G245" s="98" t="n"/>
      <c r="H245" s="98" t="n"/>
      <c r="I245" s="98"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147" t="n"/>
      <c r="B246" s="98" t="n"/>
      <c r="C246" s="98" t="n"/>
      <c r="D246" s="98" t="n"/>
      <c r="E246" s="98" t="n"/>
      <c r="F246" s="98" t="n"/>
      <c r="G246" s="98" t="n"/>
      <c r="H246" s="98" t="n"/>
      <c r="I246" s="98"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147" t="n"/>
      <c r="B247" s="98" t="n"/>
      <c r="C247" s="98" t="n"/>
      <c r="D247" s="98" t="n"/>
      <c r="E247" s="98" t="n"/>
      <c r="F247" s="98" t="n"/>
      <c r="G247" s="98" t="n"/>
      <c r="H247" s="98" t="n"/>
      <c r="I247" s="98"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147" t="n"/>
      <c r="B248" s="98" t="n"/>
      <c r="C248" s="98" t="n"/>
      <c r="D248" s="98" t="n"/>
      <c r="E248" s="98" t="n"/>
      <c r="F248" s="98" t="n"/>
      <c r="G248" s="98" t="n"/>
      <c r="H248" s="98" t="n"/>
      <c r="I248" s="98"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147" t="n"/>
      <c r="B249" s="98" t="n"/>
      <c r="C249" s="98" t="n"/>
      <c r="D249" s="98" t="n"/>
      <c r="E249" s="98" t="n"/>
      <c r="F249" s="98" t="n"/>
      <c r="G249" s="98" t="n"/>
      <c r="H249" s="98" t="n"/>
      <c r="I249" s="98"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147" t="n"/>
      <c r="B250" s="98" t="n"/>
      <c r="C250" s="98" t="n"/>
      <c r="D250" s="98" t="n"/>
      <c r="E250" s="98" t="n"/>
      <c r="F250" s="98" t="n"/>
      <c r="G250" s="98" t="n"/>
      <c r="H250" s="98" t="n"/>
      <c r="I250" s="98"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147" t="n"/>
      <c r="B251" s="98" t="n"/>
      <c r="C251" s="98" t="n"/>
      <c r="D251" s="98" t="n"/>
      <c r="E251" s="98" t="n"/>
      <c r="F251" s="98" t="n"/>
      <c r="G251" s="98" t="n"/>
      <c r="H251" s="98" t="n"/>
      <c r="I251" s="98"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147" t="n"/>
      <c r="B252" s="98" t="n"/>
      <c r="C252" s="98" t="n"/>
      <c r="D252" s="98" t="n"/>
      <c r="E252" s="98" t="n"/>
      <c r="F252" s="98" t="n"/>
      <c r="G252" s="98" t="n"/>
      <c r="H252" s="98" t="n"/>
      <c r="I252" s="98"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147" t="n"/>
      <c r="B253" s="98" t="n"/>
      <c r="C253" s="98" t="n"/>
      <c r="D253" s="98" t="n"/>
      <c r="E253" s="98" t="n"/>
      <c r="F253" s="98" t="n"/>
      <c r="G253" s="98" t="n"/>
      <c r="H253" s="98" t="n"/>
      <c r="I253" s="98"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147" t="n"/>
      <c r="B254" s="98" t="n"/>
      <c r="C254" s="98" t="n"/>
      <c r="D254" s="98" t="n"/>
      <c r="E254" s="98" t="n"/>
      <c r="F254" s="98" t="n"/>
      <c r="G254" s="98" t="n"/>
      <c r="H254" s="98" t="n"/>
      <c r="I254" s="98"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147" t="n"/>
      <c r="B255" s="98" t="n"/>
      <c r="C255" s="98" t="n"/>
      <c r="D255" s="98" t="n"/>
      <c r="E255" s="98" t="n"/>
      <c r="F255" s="98" t="n"/>
      <c r="G255" s="98" t="n"/>
      <c r="H255" s="98" t="n"/>
      <c r="I255" s="98"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147" t="n"/>
      <c r="B256" s="98" t="n"/>
      <c r="C256" s="98" t="n"/>
      <c r="D256" s="98" t="n"/>
      <c r="E256" s="98" t="n"/>
      <c r="F256" s="98" t="n"/>
      <c r="G256" s="98" t="n"/>
      <c r="H256" s="98" t="n"/>
      <c r="I256" s="98"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147" t="n"/>
      <c r="B257" s="98" t="n"/>
      <c r="C257" s="98" t="n"/>
      <c r="D257" s="98" t="n"/>
      <c r="E257" s="98" t="n"/>
      <c r="F257" s="98" t="n"/>
      <c r="G257" s="98" t="n"/>
      <c r="H257" s="98" t="n"/>
      <c r="I257" s="98"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147" t="n"/>
      <c r="B258" s="98" t="n"/>
      <c r="C258" s="98" t="n"/>
      <c r="D258" s="98" t="n"/>
      <c r="E258" s="98" t="n"/>
      <c r="F258" s="98" t="n"/>
      <c r="G258" s="98" t="n"/>
      <c r="H258" s="98" t="n"/>
      <c r="I258" s="98"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147" t="n"/>
      <c r="B259" s="98" t="n"/>
      <c r="C259" s="98" t="n"/>
      <c r="D259" s="98" t="n"/>
      <c r="E259" s="98" t="n"/>
      <c r="F259" s="98" t="n"/>
      <c r="G259" s="98" t="n"/>
      <c r="H259" s="98" t="n"/>
      <c r="I259" s="98"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147" t="n"/>
      <c r="B260" s="98" t="n"/>
      <c r="C260" s="98" t="n"/>
      <c r="D260" s="98" t="n"/>
      <c r="E260" s="98" t="n"/>
      <c r="F260" s="98" t="n"/>
      <c r="G260" s="98" t="n"/>
      <c r="H260" s="98" t="n"/>
      <c r="I260" s="98"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147" t="n"/>
      <c r="B261" s="98" t="n"/>
      <c r="C261" s="98" t="n"/>
      <c r="D261" s="98" t="n"/>
      <c r="E261" s="98" t="n"/>
      <c r="F261" s="98" t="n"/>
      <c r="G261" s="98" t="n"/>
      <c r="H261" s="98" t="n"/>
      <c r="I261" s="98"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147" t="n"/>
      <c r="B262" s="98" t="n"/>
      <c r="C262" s="98" t="n"/>
      <c r="D262" s="98" t="n"/>
      <c r="E262" s="98" t="n"/>
      <c r="F262" s="98" t="n"/>
      <c r="G262" s="98" t="n"/>
      <c r="H262" s="98" t="n"/>
      <c r="I262" s="98"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147" t="n"/>
      <c r="B263" s="98" t="n"/>
      <c r="C263" s="98" t="n"/>
      <c r="D263" s="98" t="n"/>
      <c r="E263" s="98" t="n"/>
      <c r="F263" s="98" t="n"/>
      <c r="G263" s="98" t="n"/>
      <c r="H263" s="98" t="n"/>
      <c r="I263" s="98"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147" t="n"/>
      <c r="B264" s="98" t="n"/>
      <c r="C264" s="98" t="n"/>
      <c r="D264" s="98" t="n"/>
      <c r="E264" s="98" t="n"/>
      <c r="F264" s="98" t="n"/>
      <c r="G264" s="98" t="n"/>
      <c r="H264" s="98" t="n"/>
      <c r="I264" s="98"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147" t="n"/>
      <c r="B265" s="98" t="n"/>
      <c r="C265" s="98" t="n"/>
      <c r="D265" s="98" t="n"/>
      <c r="E265" s="98" t="n"/>
      <c r="F265" s="98" t="n"/>
      <c r="G265" s="98" t="n"/>
      <c r="H265" s="98" t="n"/>
      <c r="I265" s="98"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147" t="n"/>
      <c r="B266" s="98" t="n"/>
      <c r="C266" s="98" t="n"/>
      <c r="D266" s="98" t="n"/>
      <c r="E266" s="98" t="n"/>
      <c r="F266" s="98" t="n"/>
      <c r="G266" s="98" t="n"/>
      <c r="H266" s="98" t="n"/>
      <c r="I266" s="98"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147" t="n"/>
      <c r="B267" s="98" t="n"/>
      <c r="C267" s="98" t="n"/>
      <c r="D267" s="98" t="n"/>
      <c r="E267" s="98" t="n"/>
      <c r="F267" s="98" t="n"/>
      <c r="G267" s="98" t="n"/>
      <c r="H267" s="98" t="n"/>
      <c r="I267" s="98"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147" t="n"/>
      <c r="B268" s="98" t="n"/>
      <c r="C268" s="98" t="n"/>
      <c r="D268" s="98" t="n"/>
      <c r="E268" s="98" t="n"/>
      <c r="F268" s="98" t="n"/>
      <c r="G268" s="98" t="n"/>
      <c r="H268" s="98" t="n"/>
      <c r="I268" s="98"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147" t="n"/>
      <c r="B269" s="98" t="n"/>
      <c r="C269" s="98" t="n"/>
      <c r="D269" s="98" t="n"/>
      <c r="E269" s="98" t="n"/>
      <c r="F269" s="98" t="n"/>
      <c r="G269" s="98" t="n"/>
      <c r="H269" s="98" t="n"/>
      <c r="I269" s="98"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147" t="n"/>
      <c r="B270" s="98" t="n"/>
      <c r="C270" s="98" t="n"/>
      <c r="D270" s="98" t="n"/>
      <c r="E270" s="98" t="n"/>
      <c r="F270" s="98" t="n"/>
      <c r="G270" s="98" t="n"/>
      <c r="H270" s="98" t="n"/>
      <c r="I270" s="98"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147" t="n"/>
      <c r="B271" s="98" t="n"/>
      <c r="C271" s="98" t="n"/>
      <c r="D271" s="98" t="n"/>
      <c r="E271" s="98" t="n"/>
      <c r="F271" s="98" t="n"/>
      <c r="G271" s="98" t="n"/>
      <c r="H271" s="98" t="n"/>
      <c r="I271" s="98"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147" t="n"/>
      <c r="B272" s="98" t="n"/>
      <c r="C272" s="98" t="n"/>
      <c r="D272" s="98" t="n"/>
      <c r="E272" s="98" t="n"/>
      <c r="F272" s="98" t="n"/>
      <c r="G272" s="98" t="n"/>
      <c r="H272" s="98" t="n"/>
      <c r="I272" s="98"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147" t="n"/>
      <c r="B273" s="98" t="n"/>
      <c r="C273" s="98" t="n"/>
      <c r="D273" s="98" t="n"/>
      <c r="E273" s="98" t="n"/>
      <c r="F273" s="98" t="n"/>
      <c r="G273" s="98" t="n"/>
      <c r="H273" s="98" t="n"/>
      <c r="I273" s="98"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147" t="n"/>
      <c r="B274" s="98" t="n"/>
      <c r="C274" s="98" t="n"/>
      <c r="D274" s="98" t="n"/>
      <c r="E274" s="98" t="n"/>
      <c r="F274" s="98" t="n"/>
      <c r="G274" s="98" t="n"/>
      <c r="H274" s="98" t="n"/>
      <c r="I274" s="98"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147" t="n"/>
      <c r="B275" s="98" t="n"/>
      <c r="C275" s="98" t="n"/>
      <c r="D275" s="98" t="n"/>
      <c r="E275" s="98" t="n"/>
      <c r="F275" s="98" t="n"/>
      <c r="G275" s="98" t="n"/>
      <c r="H275" s="98" t="n"/>
      <c r="I275" s="98"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147" t="n"/>
      <c r="B276" s="98" t="n"/>
      <c r="C276" s="98" t="n"/>
      <c r="D276" s="98" t="n"/>
      <c r="E276" s="98" t="n"/>
      <c r="F276" s="98" t="n"/>
      <c r="G276" s="98" t="n"/>
      <c r="H276" s="98" t="n"/>
      <c r="I276" s="98"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147" t="n"/>
      <c r="B277" s="98" t="n"/>
      <c r="C277" s="98" t="n"/>
      <c r="D277" s="98" t="n"/>
      <c r="E277" s="98" t="n"/>
      <c r="F277" s="98" t="n"/>
      <c r="G277" s="98" t="n"/>
      <c r="H277" s="98" t="n"/>
      <c r="I277" s="98"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147" t="n"/>
      <c r="B278" s="98" t="n"/>
      <c r="C278" s="98" t="n"/>
      <c r="D278" s="98" t="n"/>
      <c r="E278" s="98" t="n"/>
      <c r="F278" s="98" t="n"/>
      <c r="G278" s="98" t="n"/>
      <c r="H278" s="98" t="n"/>
      <c r="I278" s="98"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147" t="n"/>
      <c r="B279" s="98" t="n"/>
      <c r="C279" s="98" t="n"/>
      <c r="D279" s="98" t="n"/>
      <c r="E279" s="98" t="n"/>
      <c r="F279" s="98" t="n"/>
      <c r="G279" s="98" t="n"/>
      <c r="H279" s="98" t="n"/>
      <c r="I279" s="98"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147" t="n"/>
      <c r="B280" s="98" t="n"/>
      <c r="C280" s="98" t="n"/>
      <c r="D280" s="98" t="n"/>
      <c r="E280" s="98" t="n"/>
      <c r="F280" s="98" t="n"/>
      <c r="G280" s="98" t="n"/>
      <c r="H280" s="98" t="n"/>
      <c r="I280" s="98"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147" t="n"/>
      <c r="B281" s="98" t="n"/>
      <c r="C281" s="98" t="n"/>
      <c r="D281" s="98" t="n"/>
      <c r="E281" s="98" t="n"/>
      <c r="F281" s="98" t="n"/>
      <c r="G281" s="98" t="n"/>
      <c r="H281" s="98" t="n"/>
      <c r="I281" s="98"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147" t="n"/>
      <c r="B282" s="98" t="n"/>
      <c r="C282" s="98" t="n"/>
      <c r="D282" s="98" t="n"/>
      <c r="E282" s="98" t="n"/>
      <c r="F282" s="98" t="n"/>
      <c r="G282" s="98" t="n"/>
      <c r="H282" s="98" t="n"/>
      <c r="I282" s="98"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147" t="n"/>
      <c r="B283" s="98" t="n"/>
      <c r="C283" s="98" t="n"/>
      <c r="D283" s="98" t="n"/>
      <c r="E283" s="98" t="n"/>
      <c r="F283" s="98" t="n"/>
      <c r="G283" s="98" t="n"/>
      <c r="H283" s="98" t="n"/>
      <c r="I283" s="98"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147" t="n"/>
      <c r="B284" s="98" t="n"/>
      <c r="C284" s="98" t="n"/>
      <c r="D284" s="98" t="n"/>
      <c r="E284" s="98" t="n"/>
      <c r="F284" s="98" t="n"/>
      <c r="G284" s="98" t="n"/>
      <c r="H284" s="98" t="n"/>
      <c r="I284" s="98"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147" t="n"/>
      <c r="B285" s="98" t="n"/>
      <c r="C285" s="98" t="n"/>
      <c r="D285" s="98" t="n"/>
      <c r="E285" s="98" t="n"/>
      <c r="F285" s="98" t="n"/>
      <c r="G285" s="98" t="n"/>
      <c r="H285" s="98" t="n"/>
      <c r="I285" s="98"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147" t="n"/>
      <c r="B286" s="98" t="n"/>
      <c r="C286" s="98" t="n"/>
      <c r="D286" s="98" t="n"/>
      <c r="E286" s="98" t="n"/>
      <c r="F286" s="98" t="n"/>
      <c r="G286" s="98" t="n"/>
      <c r="H286" s="98" t="n"/>
      <c r="I286" s="98"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147" t="n"/>
      <c r="B287" s="98" t="n"/>
      <c r="C287" s="98" t="n"/>
      <c r="D287" s="98" t="n"/>
      <c r="E287" s="98" t="n"/>
      <c r="F287" s="98" t="n"/>
      <c r="G287" s="98" t="n"/>
      <c r="H287" s="98" t="n"/>
      <c r="I287" s="98"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147" t="n"/>
      <c r="B288" s="98" t="n"/>
      <c r="C288" s="98" t="n"/>
      <c r="D288" s="98" t="n"/>
      <c r="E288" s="98" t="n"/>
      <c r="F288" s="98" t="n"/>
      <c r="G288" s="98" t="n"/>
      <c r="H288" s="98" t="n"/>
      <c r="I288" s="98"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147" t="n"/>
      <c r="B289" s="98" t="n"/>
      <c r="C289" s="98" t="n"/>
      <c r="D289" s="98" t="n"/>
      <c r="E289" s="98" t="n"/>
      <c r="F289" s="98" t="n"/>
      <c r="G289" s="98" t="n"/>
      <c r="H289" s="98" t="n"/>
      <c r="I289" s="98"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147" t="n"/>
      <c r="B290" s="98" t="n"/>
      <c r="C290" s="98" t="n"/>
      <c r="D290" s="98" t="n"/>
      <c r="E290" s="98" t="n"/>
      <c r="F290" s="98" t="n"/>
      <c r="G290" s="98" t="n"/>
      <c r="H290" s="98" t="n"/>
      <c r="I290" s="98"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147" t="n"/>
      <c r="B291" s="98" t="n"/>
      <c r="C291" s="98" t="n"/>
      <c r="D291" s="98" t="n"/>
      <c r="E291" s="98" t="n"/>
      <c r="F291" s="98" t="n"/>
      <c r="G291" s="98" t="n"/>
      <c r="H291" s="98" t="n"/>
      <c r="I291" s="98"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147" t="n"/>
      <c r="B292" s="98" t="n"/>
      <c r="C292" s="98" t="n"/>
      <c r="D292" s="98" t="n"/>
      <c r="E292" s="98" t="n"/>
      <c r="F292" s="98" t="n"/>
      <c r="G292" s="98" t="n"/>
      <c r="H292" s="98" t="n"/>
      <c r="I292" s="98"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147" t="n"/>
      <c r="B293" s="98" t="n"/>
      <c r="C293" s="98" t="n"/>
      <c r="D293" s="98" t="n"/>
      <c r="E293" s="98" t="n"/>
      <c r="F293" s="98" t="n"/>
      <c r="G293" s="98" t="n"/>
      <c r="H293" s="98" t="n"/>
      <c r="I293" s="98"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147" t="n"/>
      <c r="B294" s="98" t="n"/>
      <c r="C294" s="98" t="n"/>
      <c r="D294" s="98" t="n"/>
      <c r="E294" s="98" t="n"/>
      <c r="F294" s="98" t="n"/>
      <c r="G294" s="98" t="n"/>
      <c r="H294" s="98" t="n"/>
      <c r="I294" s="98"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147" t="n"/>
      <c r="B295" s="98" t="n"/>
      <c r="C295" s="98" t="n"/>
      <c r="D295" s="98" t="n"/>
      <c r="E295" s="98" t="n"/>
      <c r="F295" s="98" t="n"/>
      <c r="G295" s="98" t="n"/>
      <c r="H295" s="98" t="n"/>
      <c r="I295" s="98"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147" t="n"/>
      <c r="B296" s="98" t="n"/>
      <c r="C296" s="98" t="n"/>
      <c r="D296" s="98" t="n"/>
      <c r="E296" s="98" t="n"/>
      <c r="F296" s="98" t="n"/>
      <c r="G296" s="98" t="n"/>
      <c r="H296" s="98" t="n"/>
      <c r="I296" s="98"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147" t="n"/>
      <c r="B297" s="98" t="n"/>
      <c r="C297" s="98" t="n"/>
      <c r="D297" s="98" t="n"/>
      <c r="E297" s="98" t="n"/>
      <c r="F297" s="98" t="n"/>
      <c r="G297" s="98" t="n"/>
      <c r="H297" s="98" t="n"/>
      <c r="I297" s="98"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147" t="n"/>
      <c r="B298" s="98" t="n"/>
      <c r="C298" s="98" t="n"/>
      <c r="D298" s="98" t="n"/>
      <c r="E298" s="98" t="n"/>
      <c r="F298" s="98" t="n"/>
      <c r="G298" s="98" t="n"/>
      <c r="H298" s="98" t="n"/>
      <c r="I298" s="98"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147" t="n"/>
      <c r="B299" s="98" t="n"/>
      <c r="C299" s="98" t="n"/>
      <c r="D299" s="98" t="n"/>
      <c r="E299" s="98" t="n"/>
      <c r="F299" s="98" t="n"/>
      <c r="G299" s="98" t="n"/>
      <c r="H299" s="98" t="n"/>
      <c r="I299" s="98"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147" t="n"/>
      <c r="B300" s="98" t="n"/>
      <c r="C300" s="98" t="n"/>
      <c r="D300" s="98" t="n"/>
      <c r="E300" s="98" t="n"/>
      <c r="F300" s="98" t="n"/>
      <c r="G300" s="98" t="n"/>
      <c r="H300" s="98" t="n"/>
      <c r="I300" s="98"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147" t="n"/>
      <c r="B301" s="98" t="n"/>
      <c r="C301" s="98" t="n"/>
      <c r="D301" s="98" t="n"/>
      <c r="E301" s="98" t="n"/>
      <c r="F301" s="98" t="n"/>
      <c r="G301" s="98" t="n"/>
      <c r="H301" s="98" t="n"/>
      <c r="I301" s="98"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147" t="n"/>
      <c r="B302" s="98" t="n"/>
      <c r="C302" s="98" t="n"/>
      <c r="D302" s="98" t="n"/>
      <c r="E302" s="98" t="n"/>
      <c r="F302" s="98" t="n"/>
      <c r="G302" s="98" t="n"/>
      <c r="H302" s="98" t="n"/>
      <c r="I302" s="98"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147" t="n"/>
      <c r="B303" s="98" t="n"/>
      <c r="C303" s="98" t="n"/>
      <c r="D303" s="98" t="n"/>
      <c r="E303" s="98" t="n"/>
      <c r="F303" s="98" t="n"/>
      <c r="G303" s="98" t="n"/>
      <c r="H303" s="98" t="n"/>
      <c r="I303" s="98"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147" t="n"/>
      <c r="B304" s="98" t="n"/>
      <c r="C304" s="98" t="n"/>
      <c r="D304" s="98" t="n"/>
      <c r="E304" s="98" t="n"/>
      <c r="F304" s="98" t="n"/>
      <c r="G304" s="98" t="n"/>
      <c r="H304" s="98" t="n"/>
      <c r="I304" s="98"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147" t="n"/>
      <c r="B305" s="98" t="n"/>
      <c r="C305" s="98" t="n"/>
      <c r="D305" s="98" t="n"/>
      <c r="E305" s="98" t="n"/>
      <c r="F305" s="98" t="n"/>
      <c r="G305" s="98" t="n"/>
      <c r="H305" s="98" t="n"/>
      <c r="I305" s="98"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147" t="n"/>
      <c r="B306" s="98" t="n"/>
      <c r="C306" s="98" t="n"/>
      <c r="D306" s="98" t="n"/>
      <c r="E306" s="98" t="n"/>
      <c r="F306" s="98" t="n"/>
      <c r="G306" s="98" t="n"/>
      <c r="H306" s="98" t="n"/>
      <c r="I306" s="98"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147" t="n"/>
      <c r="B307" s="98" t="n"/>
      <c r="C307" s="98" t="n"/>
      <c r="D307" s="98" t="n"/>
      <c r="E307" s="98" t="n"/>
      <c r="F307" s="98" t="n"/>
      <c r="G307" s="98" t="n"/>
      <c r="H307" s="98" t="n"/>
      <c r="I307" s="98"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147" t="n"/>
      <c r="B308" s="98" t="n"/>
      <c r="C308" s="98" t="n"/>
      <c r="D308" s="98" t="n"/>
      <c r="E308" s="98" t="n"/>
      <c r="F308" s="98" t="n"/>
      <c r="G308" s="98" t="n"/>
      <c r="H308" s="98" t="n"/>
      <c r="I308" s="98"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147" t="n"/>
      <c r="B309" s="98" t="n"/>
      <c r="C309" s="98" t="n"/>
      <c r="D309" s="98" t="n"/>
      <c r="E309" s="98" t="n"/>
      <c r="F309" s="98" t="n"/>
      <c r="G309" s="98" t="n"/>
      <c r="H309" s="98" t="n"/>
      <c r="I309" s="98"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147" t="n"/>
      <c r="B310" s="98" t="n"/>
      <c r="C310" s="98" t="n"/>
      <c r="D310" s="98" t="n"/>
      <c r="E310" s="98" t="n"/>
      <c r="F310" s="98" t="n"/>
      <c r="G310" s="98" t="n"/>
      <c r="H310" s="98" t="n"/>
      <c r="I310" s="98"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147" t="n"/>
      <c r="B311" s="98" t="n"/>
      <c r="C311" s="98" t="n"/>
      <c r="D311" s="98" t="n"/>
      <c r="E311" s="98" t="n"/>
      <c r="F311" s="98" t="n"/>
      <c r="G311" s="98" t="n"/>
      <c r="H311" s="98" t="n"/>
      <c r="I311" s="98"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147" t="n"/>
      <c r="B312" s="98" t="n"/>
      <c r="C312" s="98" t="n"/>
      <c r="D312" s="98" t="n"/>
      <c r="E312" s="98" t="n"/>
      <c r="F312" s="98" t="n"/>
      <c r="G312" s="98" t="n"/>
      <c r="H312" s="98" t="n"/>
      <c r="I312" s="98"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147" t="n"/>
      <c r="B313" s="98" t="n"/>
      <c r="C313" s="98" t="n"/>
      <c r="D313" s="98" t="n"/>
      <c r="E313" s="98" t="n"/>
      <c r="F313" s="98" t="n"/>
      <c r="G313" s="98" t="n"/>
      <c r="H313" s="98" t="n"/>
      <c r="I313" s="98"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147" t="n"/>
      <c r="B314" s="98" t="n"/>
      <c r="C314" s="98" t="n"/>
      <c r="D314" s="98" t="n"/>
      <c r="E314" s="98" t="n"/>
      <c r="F314" s="98" t="n"/>
      <c r="G314" s="98" t="n"/>
      <c r="H314" s="98" t="n"/>
      <c r="I314" s="98"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147" t="n"/>
      <c r="B315" s="98" t="n"/>
      <c r="C315" s="98" t="n"/>
      <c r="D315" s="98" t="n"/>
      <c r="E315" s="98" t="n"/>
      <c r="F315" s="98" t="n"/>
      <c r="G315" s="98" t="n"/>
      <c r="H315" s="98" t="n"/>
      <c r="I315" s="98"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147" t="n"/>
      <c r="B316" s="98" t="n"/>
      <c r="C316" s="98" t="n"/>
      <c r="D316" s="98" t="n"/>
      <c r="E316" s="98" t="n"/>
      <c r="F316" s="98" t="n"/>
      <c r="G316" s="98" t="n"/>
      <c r="H316" s="98" t="n"/>
      <c r="I316" s="98"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147" t="n"/>
      <c r="B317" s="98" t="n"/>
      <c r="C317" s="98" t="n"/>
      <c r="D317" s="98" t="n"/>
      <c r="E317" s="98" t="n"/>
      <c r="F317" s="98" t="n"/>
      <c r="G317" s="98" t="n"/>
      <c r="H317" s="98" t="n"/>
      <c r="I317" s="98"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147" t="n"/>
      <c r="B318" s="98" t="n"/>
      <c r="C318" s="98" t="n"/>
      <c r="D318" s="98" t="n"/>
      <c r="E318" s="98" t="n"/>
      <c r="F318" s="98" t="n"/>
      <c r="G318" s="98" t="n"/>
      <c r="H318" s="98" t="n"/>
      <c r="I318" s="98"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147" t="n"/>
      <c r="B319" s="98" t="n"/>
      <c r="C319" s="98" t="n"/>
      <c r="D319" s="98" t="n"/>
      <c r="E319" s="98" t="n"/>
      <c r="F319" s="98" t="n"/>
      <c r="G319" s="98" t="n"/>
      <c r="H319" s="98" t="n"/>
      <c r="I319" s="98"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147" t="n"/>
      <c r="B320" s="98" t="n"/>
      <c r="C320" s="98" t="n"/>
      <c r="D320" s="98" t="n"/>
      <c r="E320" s="98" t="n"/>
      <c r="F320" s="98" t="n"/>
      <c r="G320" s="98" t="n"/>
      <c r="H320" s="98" t="n"/>
      <c r="I320" s="98"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147" t="n"/>
      <c r="B321" s="98" t="n"/>
      <c r="C321" s="98" t="n"/>
      <c r="D321" s="98" t="n"/>
      <c r="E321" s="98" t="n"/>
      <c r="F321" s="98" t="n"/>
      <c r="G321" s="98" t="n"/>
      <c r="H321" s="98" t="n"/>
      <c r="I321" s="98"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147" t="n"/>
      <c r="B322" s="98" t="n"/>
      <c r="C322" s="98" t="n"/>
      <c r="D322" s="98" t="n"/>
      <c r="E322" s="98" t="n"/>
      <c r="F322" s="98" t="n"/>
      <c r="G322" s="98" t="n"/>
      <c r="H322" s="98" t="n"/>
      <c r="I322" s="98"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147" t="n"/>
      <c r="B323" s="98" t="n"/>
      <c r="C323" s="98" t="n"/>
      <c r="D323" s="98" t="n"/>
      <c r="E323" s="98" t="n"/>
      <c r="F323" s="98" t="n"/>
      <c r="G323" s="98" t="n"/>
      <c r="H323" s="98" t="n"/>
      <c r="I323" s="98"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147" t="n"/>
      <c r="B324" s="98" t="n"/>
      <c r="C324" s="98" t="n"/>
      <c r="D324" s="98" t="n"/>
      <c r="E324" s="98" t="n"/>
      <c r="F324" s="98" t="n"/>
      <c r="G324" s="98" t="n"/>
      <c r="H324" s="98" t="n"/>
      <c r="I324" s="98"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147" t="n"/>
      <c r="B325" s="98" t="n"/>
      <c r="C325" s="98" t="n"/>
      <c r="D325" s="98" t="n"/>
      <c r="E325" s="98" t="n"/>
      <c r="F325" s="98" t="n"/>
      <c r="G325" s="98" t="n"/>
      <c r="H325" s="98" t="n"/>
      <c r="I325" s="98"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147" t="n"/>
      <c r="B326" s="98" t="n"/>
      <c r="C326" s="98" t="n"/>
      <c r="D326" s="98" t="n"/>
      <c r="E326" s="98" t="n"/>
      <c r="F326" s="98" t="n"/>
      <c r="G326" s="98" t="n"/>
      <c r="H326" s="98" t="n"/>
      <c r="I326" s="98"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147" t="n"/>
      <c r="B327" s="98" t="n"/>
      <c r="C327" s="98" t="n"/>
      <c r="D327" s="98" t="n"/>
      <c r="E327" s="98" t="n"/>
      <c r="F327" s="98" t="n"/>
      <c r="G327" s="98" t="n"/>
      <c r="H327" s="98" t="n"/>
      <c r="I327" s="98"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147" t="n"/>
      <c r="B328" s="98" t="n"/>
      <c r="C328" s="98" t="n"/>
      <c r="D328" s="98" t="n"/>
      <c r="E328" s="98" t="n"/>
      <c r="F328" s="98" t="n"/>
      <c r="G328" s="98" t="n"/>
      <c r="H328" s="98" t="n"/>
      <c r="I328" s="98"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147" t="n"/>
      <c r="B329" s="98" t="n"/>
      <c r="C329" s="98" t="n"/>
      <c r="D329" s="98" t="n"/>
      <c r="E329" s="98" t="n"/>
      <c r="F329" s="98" t="n"/>
      <c r="G329" s="98" t="n"/>
      <c r="H329" s="98" t="n"/>
      <c r="I329" s="98"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147" t="n"/>
      <c r="B330" s="98" t="n"/>
      <c r="C330" s="98" t="n"/>
      <c r="D330" s="98" t="n"/>
      <c r="E330" s="98" t="n"/>
      <c r="F330" s="98" t="n"/>
      <c r="G330" s="98" t="n"/>
      <c r="H330" s="98" t="n"/>
      <c r="I330" s="98"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147" t="n"/>
      <c r="B331" s="98" t="n"/>
      <c r="C331" s="98" t="n"/>
      <c r="D331" s="98" t="n"/>
      <c r="E331" s="98" t="n"/>
      <c r="F331" s="98" t="n"/>
      <c r="G331" s="98" t="n"/>
      <c r="H331" s="98" t="n"/>
      <c r="I331" s="98"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147" t="n"/>
      <c r="B332" s="98" t="n"/>
      <c r="C332" s="98" t="n"/>
      <c r="D332" s="98" t="n"/>
      <c r="E332" s="98" t="n"/>
      <c r="F332" s="98" t="n"/>
      <c r="G332" s="98" t="n"/>
      <c r="H332" s="98" t="n"/>
      <c r="I332" s="98"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147" t="n"/>
      <c r="B333" s="98" t="n"/>
      <c r="C333" s="98" t="n"/>
      <c r="D333" s="98" t="n"/>
      <c r="E333" s="98" t="n"/>
      <c r="F333" s="98" t="n"/>
      <c r="G333" s="98" t="n"/>
      <c r="H333" s="98" t="n"/>
      <c r="I333" s="98"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147" t="n"/>
      <c r="B334" s="98" t="n"/>
      <c r="C334" s="98" t="n"/>
      <c r="D334" s="98" t="n"/>
      <c r="E334" s="98" t="n"/>
      <c r="F334" s="98" t="n"/>
      <c r="G334" s="98" t="n"/>
      <c r="H334" s="98" t="n"/>
      <c r="I334" s="98"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147" t="n"/>
      <c r="B335" s="98" t="n"/>
      <c r="C335" s="98" t="n"/>
      <c r="D335" s="98" t="n"/>
      <c r="E335" s="98" t="n"/>
      <c r="F335" s="98" t="n"/>
      <c r="G335" s="98" t="n"/>
      <c r="H335" s="98" t="n"/>
      <c r="I335" s="98"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147" t="n"/>
      <c r="B336" s="98" t="n"/>
      <c r="C336" s="98" t="n"/>
      <c r="D336" s="98" t="n"/>
      <c r="E336" s="98" t="n"/>
      <c r="F336" s="98" t="n"/>
      <c r="G336" s="98" t="n"/>
      <c r="H336" s="98" t="n"/>
      <c r="I336" s="98"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147" t="n"/>
      <c r="B337" s="98" t="n"/>
      <c r="C337" s="98" t="n"/>
      <c r="D337" s="98" t="n"/>
      <c r="E337" s="98" t="n"/>
      <c r="F337" s="98" t="n"/>
      <c r="G337" s="98" t="n"/>
      <c r="H337" s="98" t="n"/>
      <c r="I337" s="98"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147" t="n"/>
      <c r="B338" s="98" t="n"/>
      <c r="C338" s="98" t="n"/>
      <c r="D338" s="98" t="n"/>
      <c r="E338" s="98" t="n"/>
      <c r="F338" s="98" t="n"/>
      <c r="G338" s="98" t="n"/>
      <c r="H338" s="98" t="n"/>
      <c r="I338" s="98"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147" t="n"/>
      <c r="B339" s="98" t="n"/>
      <c r="C339" s="98" t="n"/>
      <c r="D339" s="98" t="n"/>
      <c r="E339" s="98" t="n"/>
      <c r="F339" s="98" t="n"/>
      <c r="G339" s="98" t="n"/>
      <c r="H339" s="98" t="n"/>
      <c r="I339" s="98"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147" t="n"/>
      <c r="B340" s="98" t="n"/>
      <c r="C340" s="98" t="n"/>
      <c r="D340" s="98" t="n"/>
      <c r="E340" s="98" t="n"/>
      <c r="F340" s="98" t="n"/>
      <c r="G340" s="98" t="n"/>
      <c r="H340" s="98" t="n"/>
      <c r="I340" s="98"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147" t="n"/>
      <c r="B341" s="98" t="n"/>
      <c r="C341" s="98" t="n"/>
      <c r="D341" s="98" t="n"/>
      <c r="E341" s="98" t="n"/>
      <c r="F341" s="98" t="n"/>
      <c r="G341" s="98" t="n"/>
      <c r="H341" s="98" t="n"/>
      <c r="I341" s="98"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147" t="n"/>
      <c r="B342" s="98" t="n"/>
      <c r="C342" s="98" t="n"/>
      <c r="D342" s="98" t="n"/>
      <c r="E342" s="98" t="n"/>
      <c r="F342" s="98" t="n"/>
      <c r="G342" s="98" t="n"/>
      <c r="H342" s="98" t="n"/>
      <c r="I342" s="98"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147" t="n"/>
      <c r="B343" s="98" t="n"/>
      <c r="C343" s="98" t="n"/>
      <c r="D343" s="98" t="n"/>
      <c r="E343" s="98" t="n"/>
      <c r="F343" s="98" t="n"/>
      <c r="G343" s="98" t="n"/>
      <c r="H343" s="98" t="n"/>
      <c r="I343" s="98"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147" t="n"/>
      <c r="B344" s="98" t="n"/>
      <c r="C344" s="98" t="n"/>
      <c r="D344" s="98" t="n"/>
      <c r="E344" s="98" t="n"/>
      <c r="F344" s="98" t="n"/>
      <c r="G344" s="98" t="n"/>
      <c r="H344" s="98" t="n"/>
      <c r="I344" s="98"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147" t="n"/>
      <c r="B345" s="98" t="n"/>
      <c r="C345" s="98" t="n"/>
      <c r="D345" s="98" t="n"/>
      <c r="E345" s="98" t="n"/>
      <c r="F345" s="98" t="n"/>
      <c r="G345" s="98" t="n"/>
      <c r="H345" s="98" t="n"/>
      <c r="I345" s="98"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147" t="n"/>
      <c r="B346" s="98" t="n"/>
      <c r="C346" s="98" t="n"/>
      <c r="D346" s="98" t="n"/>
      <c r="E346" s="98" t="n"/>
      <c r="F346" s="98" t="n"/>
      <c r="G346" s="98" t="n"/>
      <c r="H346" s="98" t="n"/>
      <c r="I346" s="98"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147" t="n"/>
      <c r="B347" s="98" t="n"/>
      <c r="C347" s="98" t="n"/>
      <c r="D347" s="98" t="n"/>
      <c r="E347" s="98" t="n"/>
      <c r="F347" s="98" t="n"/>
      <c r="G347" s="98" t="n"/>
      <c r="H347" s="98" t="n"/>
      <c r="I347" s="98"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147" t="n"/>
      <c r="B348" s="98" t="n"/>
      <c r="C348" s="98" t="n"/>
      <c r="D348" s="98" t="n"/>
      <c r="E348" s="98" t="n"/>
      <c r="F348" s="98" t="n"/>
      <c r="G348" s="98" t="n"/>
      <c r="H348" s="98" t="n"/>
      <c r="I348" s="98"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147" t="n"/>
      <c r="B349" s="98" t="n"/>
      <c r="C349" s="98" t="n"/>
      <c r="D349" s="98" t="n"/>
      <c r="E349" s="98" t="n"/>
      <c r="F349" s="98" t="n"/>
      <c r="G349" s="98" t="n"/>
      <c r="H349" s="98" t="n"/>
      <c r="I349" s="98"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147" t="n"/>
      <c r="B350" s="98" t="n"/>
      <c r="C350" s="98" t="n"/>
      <c r="D350" s="98" t="n"/>
      <c r="E350" s="98" t="n"/>
      <c r="F350" s="98" t="n"/>
      <c r="G350" s="98" t="n"/>
      <c r="H350" s="98" t="n"/>
      <c r="I350" s="98"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147" t="n"/>
      <c r="B351" s="98" t="n"/>
      <c r="C351" s="98" t="n"/>
      <c r="D351" s="98" t="n"/>
      <c r="E351" s="98" t="n"/>
      <c r="F351" s="98" t="n"/>
      <c r="G351" s="98" t="n"/>
      <c r="H351" s="98" t="n"/>
      <c r="I351" s="98"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147" t="n"/>
      <c r="B352" s="98" t="n"/>
      <c r="C352" s="98" t="n"/>
      <c r="D352" s="98" t="n"/>
      <c r="E352" s="98" t="n"/>
      <c r="F352" s="98" t="n"/>
      <c r="G352" s="98" t="n"/>
      <c r="H352" s="98" t="n"/>
      <c r="I352" s="98"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147" t="n"/>
      <c r="B353" s="98" t="n"/>
      <c r="C353" s="98" t="n"/>
      <c r="D353" s="98" t="n"/>
      <c r="E353" s="98" t="n"/>
      <c r="F353" s="98" t="n"/>
      <c r="G353" s="98" t="n"/>
      <c r="H353" s="98" t="n"/>
      <c r="I353" s="98"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147" t="n"/>
      <c r="B354" s="98" t="n"/>
      <c r="C354" s="98" t="n"/>
      <c r="D354" s="98" t="n"/>
      <c r="E354" s="98" t="n"/>
      <c r="F354" s="98" t="n"/>
      <c r="G354" s="98" t="n"/>
      <c r="H354" s="98" t="n"/>
      <c r="I354" s="98"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147" t="n"/>
      <c r="B355" s="98" t="n"/>
      <c r="C355" s="98" t="n"/>
      <c r="D355" s="98" t="n"/>
      <c r="E355" s="98" t="n"/>
      <c r="F355" s="98" t="n"/>
      <c r="G355" s="98" t="n"/>
      <c r="H355" s="98" t="n"/>
      <c r="I355" s="98"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147" t="n"/>
      <c r="B356" s="98" t="n"/>
      <c r="C356" s="98" t="n"/>
      <c r="D356" s="98" t="n"/>
      <c r="E356" s="98" t="n"/>
      <c r="F356" s="98" t="n"/>
      <c r="G356" s="98" t="n"/>
      <c r="H356" s="98" t="n"/>
      <c r="I356" s="98"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147" t="n"/>
      <c r="B357" s="98" t="n"/>
      <c r="C357" s="98" t="n"/>
      <c r="D357" s="98" t="n"/>
      <c r="E357" s="98" t="n"/>
      <c r="F357" s="98" t="n"/>
      <c r="G357" s="98" t="n"/>
      <c r="H357" s="98" t="n"/>
      <c r="I357" s="98"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147" t="n"/>
      <c r="B358" s="98" t="n"/>
      <c r="C358" s="98" t="n"/>
      <c r="D358" s="98" t="n"/>
      <c r="E358" s="98" t="n"/>
      <c r="F358" s="98" t="n"/>
      <c r="G358" s="98" t="n"/>
      <c r="H358" s="98" t="n"/>
      <c r="I358" s="98"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147" t="n"/>
      <c r="B359" s="98" t="n"/>
      <c r="C359" s="98" t="n"/>
      <c r="D359" s="98" t="n"/>
      <c r="E359" s="98" t="n"/>
      <c r="F359" s="98" t="n"/>
      <c r="G359" s="98" t="n"/>
      <c r="H359" s="98" t="n"/>
      <c r="I359" s="98"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147" t="n"/>
      <c r="B360" s="98" t="n"/>
      <c r="C360" s="98" t="n"/>
      <c r="D360" s="98" t="n"/>
      <c r="E360" s="98" t="n"/>
      <c r="F360" s="98" t="n"/>
      <c r="G360" s="98" t="n"/>
      <c r="H360" s="98" t="n"/>
      <c r="I360" s="98"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147" t="n"/>
      <c r="B361" s="98" t="n"/>
      <c r="C361" s="98" t="n"/>
      <c r="D361" s="98" t="n"/>
      <c r="E361" s="98" t="n"/>
      <c r="F361" s="98" t="n"/>
      <c r="G361" s="98" t="n"/>
      <c r="H361" s="98" t="n"/>
      <c r="I361" s="98"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147" t="n"/>
      <c r="B362" s="98" t="n"/>
      <c r="C362" s="98" t="n"/>
      <c r="D362" s="98" t="n"/>
      <c r="E362" s="98" t="n"/>
      <c r="F362" s="98" t="n"/>
      <c r="G362" s="98" t="n"/>
      <c r="H362" s="98" t="n"/>
      <c r="I362" s="98"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147" t="n"/>
      <c r="B363" s="98" t="n"/>
      <c r="C363" s="98" t="n"/>
      <c r="D363" s="98" t="n"/>
      <c r="E363" s="98" t="n"/>
      <c r="F363" s="98" t="n"/>
      <c r="G363" s="98" t="n"/>
      <c r="H363" s="98" t="n"/>
      <c r="I363" s="98"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147" t="n"/>
      <c r="B364" s="98" t="n"/>
      <c r="C364" s="98" t="n"/>
      <c r="D364" s="98" t="n"/>
      <c r="E364" s="98" t="n"/>
      <c r="F364" s="98" t="n"/>
      <c r="G364" s="98" t="n"/>
      <c r="H364" s="98" t="n"/>
      <c r="I364" s="98"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147" t="n"/>
      <c r="B365" s="98" t="n"/>
      <c r="C365" s="98" t="n"/>
      <c r="D365" s="98" t="n"/>
      <c r="E365" s="98" t="n"/>
      <c r="F365" s="98" t="n"/>
      <c r="G365" s="98" t="n"/>
      <c r="H365" s="98" t="n"/>
      <c r="I365" s="98"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147" t="n"/>
      <c r="B366" s="98" t="n"/>
      <c r="C366" s="98" t="n"/>
      <c r="D366" s="98" t="n"/>
      <c r="E366" s="98" t="n"/>
      <c r="F366" s="98" t="n"/>
      <c r="G366" s="98" t="n"/>
      <c r="H366" s="98" t="n"/>
      <c r="I366" s="98"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147" t="n"/>
      <c r="B367" s="98" t="n"/>
      <c r="C367" s="98" t="n"/>
      <c r="D367" s="98" t="n"/>
      <c r="E367" s="98" t="n"/>
      <c r="F367" s="98" t="n"/>
      <c r="G367" s="98" t="n"/>
      <c r="H367" s="98" t="n"/>
      <c r="I367" s="98"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147" t="n"/>
      <c r="B368" s="98" t="n"/>
      <c r="C368" s="98" t="n"/>
      <c r="D368" s="98" t="n"/>
      <c r="E368" s="98" t="n"/>
      <c r="F368" s="98" t="n"/>
      <c r="G368" s="98" t="n"/>
      <c r="H368" s="98" t="n"/>
      <c r="I368" s="98"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147" t="n"/>
      <c r="B369" s="98" t="n"/>
      <c r="C369" s="98" t="n"/>
      <c r="D369" s="98" t="n"/>
      <c r="E369" s="98" t="n"/>
      <c r="F369" s="98" t="n"/>
      <c r="G369" s="98" t="n"/>
      <c r="H369" s="98" t="n"/>
      <c r="I369" s="98"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147" t="n"/>
      <c r="B370" s="98" t="n"/>
      <c r="C370" s="98" t="n"/>
      <c r="D370" s="98" t="n"/>
      <c r="E370" s="98" t="n"/>
      <c r="F370" s="98" t="n"/>
      <c r="G370" s="98" t="n"/>
      <c r="H370" s="98" t="n"/>
      <c r="I370" s="98"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147" t="n"/>
      <c r="B371" s="98" t="n"/>
      <c r="C371" s="98" t="n"/>
      <c r="D371" s="98" t="n"/>
      <c r="E371" s="98" t="n"/>
      <c r="F371" s="98" t="n"/>
      <c r="G371" s="98" t="n"/>
      <c r="H371" s="98" t="n"/>
      <c r="I371" s="98"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147" t="n"/>
      <c r="B372" s="98" t="n"/>
      <c r="C372" s="98" t="n"/>
      <c r="D372" s="98" t="n"/>
      <c r="E372" s="98" t="n"/>
      <c r="F372" s="98" t="n"/>
      <c r="G372" s="98" t="n"/>
      <c r="H372" s="98" t="n"/>
      <c r="I372" s="98"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147" t="n"/>
      <c r="B373" s="98" t="n"/>
      <c r="C373" s="98" t="n"/>
      <c r="D373" s="98" t="n"/>
      <c r="E373" s="98" t="n"/>
      <c r="F373" s="98" t="n"/>
      <c r="G373" s="98" t="n"/>
      <c r="H373" s="98" t="n"/>
      <c r="I373" s="98"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147" t="n"/>
      <c r="B374" s="98" t="n"/>
      <c r="C374" s="98" t="n"/>
      <c r="D374" s="98" t="n"/>
      <c r="E374" s="98" t="n"/>
      <c r="F374" s="98" t="n"/>
      <c r="G374" s="98" t="n"/>
      <c r="H374" s="98" t="n"/>
      <c r="I374" s="98"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147" t="n"/>
      <c r="B375" s="98" t="n"/>
      <c r="C375" s="98" t="n"/>
      <c r="D375" s="98" t="n"/>
      <c r="E375" s="98" t="n"/>
      <c r="F375" s="98" t="n"/>
      <c r="G375" s="98" t="n"/>
      <c r="H375" s="98" t="n"/>
      <c r="I375" s="98"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147" t="n"/>
      <c r="B376" s="98" t="n"/>
      <c r="C376" s="98" t="n"/>
      <c r="D376" s="98" t="n"/>
      <c r="E376" s="98" t="n"/>
      <c r="F376" s="98" t="n"/>
      <c r="G376" s="98" t="n"/>
      <c r="H376" s="98" t="n"/>
      <c r="I376" s="98"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147" t="n"/>
      <c r="B377" s="98" t="n"/>
      <c r="C377" s="98" t="n"/>
      <c r="D377" s="98" t="n"/>
      <c r="E377" s="98" t="n"/>
      <c r="F377" s="98" t="n"/>
      <c r="G377" s="98" t="n"/>
      <c r="H377" s="98" t="n"/>
      <c r="I377" s="98"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147" t="n"/>
      <c r="B378" s="98" t="n"/>
      <c r="C378" s="98" t="n"/>
      <c r="D378" s="98" t="n"/>
      <c r="E378" s="98" t="n"/>
      <c r="F378" s="98" t="n"/>
      <c r="G378" s="98" t="n"/>
      <c r="H378" s="98" t="n"/>
      <c r="I378" s="98"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147" t="n"/>
      <c r="B379" s="98" t="n"/>
      <c r="C379" s="98" t="n"/>
      <c r="D379" s="98" t="n"/>
      <c r="E379" s="98" t="n"/>
      <c r="F379" s="98" t="n"/>
      <c r="G379" s="98" t="n"/>
      <c r="H379" s="98" t="n"/>
      <c r="I379" s="98"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147" t="n"/>
      <c r="B380" s="98" t="n"/>
      <c r="C380" s="98" t="n"/>
      <c r="D380" s="98" t="n"/>
      <c r="E380" s="98" t="n"/>
      <c r="F380" s="98" t="n"/>
      <c r="G380" s="98" t="n"/>
      <c r="H380" s="98" t="n"/>
      <c r="I380" s="98"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147" t="n"/>
      <c r="B381" s="98" t="n"/>
      <c r="C381" s="98" t="n"/>
      <c r="D381" s="98" t="n"/>
      <c r="E381" s="98" t="n"/>
      <c r="F381" s="98" t="n"/>
      <c r="G381" s="98" t="n"/>
      <c r="H381" s="98" t="n"/>
      <c r="I381" s="98"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147" t="n"/>
      <c r="B382" s="98" t="n"/>
      <c r="C382" s="98" t="n"/>
      <c r="D382" s="98" t="n"/>
      <c r="E382" s="98" t="n"/>
      <c r="F382" s="98" t="n"/>
      <c r="G382" s="98" t="n"/>
      <c r="H382" s="98" t="n"/>
      <c r="I382" s="98"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147" t="n"/>
      <c r="B383" s="98" t="n"/>
      <c r="C383" s="98" t="n"/>
      <c r="D383" s="98" t="n"/>
      <c r="E383" s="98" t="n"/>
      <c r="F383" s="98" t="n"/>
      <c r="G383" s="98" t="n"/>
      <c r="H383" s="98" t="n"/>
      <c r="I383" s="98"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147" t="n"/>
      <c r="B384" s="98" t="n"/>
      <c r="C384" s="98" t="n"/>
      <c r="D384" s="98" t="n"/>
      <c r="E384" s="98" t="n"/>
      <c r="F384" s="98" t="n"/>
      <c r="G384" s="98" t="n"/>
      <c r="H384" s="98" t="n"/>
      <c r="I384" s="98"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147" t="n"/>
      <c r="B385" s="98" t="n"/>
      <c r="C385" s="98" t="n"/>
      <c r="D385" s="98" t="n"/>
      <c r="E385" s="98" t="n"/>
      <c r="F385" s="98" t="n"/>
      <c r="G385" s="98" t="n"/>
      <c r="H385" s="98" t="n"/>
      <c r="I385" s="98"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147" t="n"/>
      <c r="B386" s="98" t="n"/>
      <c r="C386" s="98" t="n"/>
      <c r="D386" s="98" t="n"/>
      <c r="E386" s="98" t="n"/>
      <c r="F386" s="98" t="n"/>
      <c r="G386" s="98" t="n"/>
      <c r="H386" s="98" t="n"/>
      <c r="I386" s="98"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147" t="n"/>
      <c r="B387" s="98" t="n"/>
      <c r="C387" s="98" t="n"/>
      <c r="D387" s="98" t="n"/>
      <c r="E387" s="98" t="n"/>
      <c r="F387" s="98" t="n"/>
      <c r="G387" s="98" t="n"/>
      <c r="H387" s="98" t="n"/>
      <c r="I387" s="98"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147" t="n"/>
      <c r="B388" s="98" t="n"/>
      <c r="C388" s="98" t="n"/>
      <c r="D388" s="98" t="n"/>
      <c r="E388" s="98" t="n"/>
      <c r="F388" s="98" t="n"/>
      <c r="G388" s="98" t="n"/>
      <c r="H388" s="98" t="n"/>
      <c r="I388" s="98"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147" t="n"/>
      <c r="B389" s="98" t="n"/>
      <c r="C389" s="98" t="n"/>
      <c r="D389" s="98" t="n"/>
      <c r="E389" s="98" t="n"/>
      <c r="F389" s="98" t="n"/>
      <c r="G389" s="98" t="n"/>
      <c r="H389" s="98" t="n"/>
      <c r="I389" s="98"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147" t="n"/>
      <c r="B390" s="98" t="n"/>
      <c r="C390" s="98" t="n"/>
      <c r="D390" s="98" t="n"/>
      <c r="E390" s="98" t="n"/>
      <c r="F390" s="98" t="n"/>
      <c r="G390" s="98" t="n"/>
      <c r="H390" s="98" t="n"/>
      <c r="I390" s="98"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147" t="n"/>
      <c r="B391" s="98" t="n"/>
      <c r="C391" s="98" t="n"/>
      <c r="D391" s="98" t="n"/>
      <c r="E391" s="98" t="n"/>
      <c r="F391" s="98" t="n"/>
      <c r="G391" s="98" t="n"/>
      <c r="H391" s="98" t="n"/>
      <c r="I391" s="98"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147" t="n"/>
      <c r="B392" s="98" t="n"/>
      <c r="C392" s="98" t="n"/>
      <c r="D392" s="98" t="n"/>
      <c r="E392" s="98" t="n"/>
      <c r="F392" s="98" t="n"/>
      <c r="G392" s="98" t="n"/>
      <c r="H392" s="98" t="n"/>
      <c r="I392" s="98"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147" t="n"/>
      <c r="B393" s="98" t="n"/>
      <c r="C393" s="98" t="n"/>
      <c r="D393" s="98" t="n"/>
      <c r="E393" s="98" t="n"/>
      <c r="F393" s="98" t="n"/>
      <c r="G393" s="98" t="n"/>
      <c r="H393" s="98" t="n"/>
      <c r="I393" s="98"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147" t="n"/>
      <c r="B394" s="98" t="n"/>
      <c r="C394" s="98" t="n"/>
      <c r="D394" s="98" t="n"/>
      <c r="E394" s="98" t="n"/>
      <c r="F394" s="98" t="n"/>
      <c r="G394" s="98" t="n"/>
      <c r="H394" s="98" t="n"/>
      <c r="I394" s="98"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147" t="n"/>
      <c r="B395" s="98" t="n"/>
      <c r="C395" s="98" t="n"/>
      <c r="D395" s="98" t="n"/>
      <c r="E395" s="98" t="n"/>
      <c r="F395" s="98" t="n"/>
      <c r="G395" s="98" t="n"/>
      <c r="H395" s="98" t="n"/>
      <c r="I395" s="98"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147" t="n"/>
      <c r="B396" s="98" t="n"/>
      <c r="C396" s="98" t="n"/>
      <c r="D396" s="98" t="n"/>
      <c r="E396" s="98" t="n"/>
      <c r="F396" s="98" t="n"/>
      <c r="G396" s="98" t="n"/>
      <c r="H396" s="98" t="n"/>
      <c r="I396" s="98"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147" t="n"/>
      <c r="B397" s="98" t="n"/>
      <c r="C397" s="98" t="n"/>
      <c r="D397" s="98" t="n"/>
      <c r="E397" s="98" t="n"/>
      <c r="F397" s="98" t="n"/>
      <c r="G397" s="98" t="n"/>
      <c r="H397" s="98" t="n"/>
      <c r="I397" s="98"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147" t="n"/>
      <c r="B398" s="98" t="n"/>
      <c r="C398" s="98" t="n"/>
      <c r="D398" s="98" t="n"/>
      <c r="E398" s="98" t="n"/>
      <c r="F398" s="98" t="n"/>
      <c r="G398" s="98" t="n"/>
      <c r="H398" s="98" t="n"/>
      <c r="I398" s="98"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147" t="n"/>
      <c r="B399" s="98" t="n"/>
      <c r="C399" s="98" t="n"/>
      <c r="D399" s="98" t="n"/>
      <c r="E399" s="98" t="n"/>
      <c r="F399" s="98" t="n"/>
      <c r="G399" s="98" t="n"/>
      <c r="H399" s="98" t="n"/>
      <c r="I399" s="98"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147" t="n"/>
      <c r="B400" s="98" t="n"/>
      <c r="C400" s="98" t="n"/>
      <c r="D400" s="98" t="n"/>
      <c r="E400" s="98" t="n"/>
      <c r="F400" s="98" t="n"/>
      <c r="G400" s="98" t="n"/>
      <c r="H400" s="98" t="n"/>
      <c r="I400" s="98"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147" t="n"/>
      <c r="B401" s="98" t="n"/>
      <c r="C401" s="98" t="n"/>
      <c r="D401" s="98" t="n"/>
      <c r="E401" s="98" t="n"/>
      <c r="F401" s="98" t="n"/>
      <c r="G401" s="98" t="n"/>
      <c r="H401" s="98" t="n"/>
      <c r="I401" s="98"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147" t="n"/>
      <c r="B402" s="98" t="n"/>
      <c r="C402" s="98" t="n"/>
      <c r="D402" s="98" t="n"/>
      <c r="E402" s="98" t="n"/>
      <c r="F402" s="98" t="n"/>
      <c r="G402" s="98" t="n"/>
      <c r="H402" s="98" t="n"/>
      <c r="I402" s="98"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147" t="n"/>
      <c r="B403" s="98" t="n"/>
      <c r="C403" s="98" t="n"/>
      <c r="D403" s="98" t="n"/>
      <c r="E403" s="98" t="n"/>
      <c r="F403" s="98" t="n"/>
      <c r="G403" s="98" t="n"/>
      <c r="H403" s="98" t="n"/>
      <c r="I403" s="98"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147" t="n"/>
      <c r="B404" s="98" t="n"/>
      <c r="C404" s="98" t="n"/>
      <c r="D404" s="98" t="n"/>
      <c r="E404" s="98" t="n"/>
      <c r="F404" s="98" t="n"/>
      <c r="G404" s="98" t="n"/>
      <c r="H404" s="98" t="n"/>
      <c r="I404" s="98"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147" t="n"/>
      <c r="B405" s="98" t="n"/>
      <c r="C405" s="98" t="n"/>
      <c r="D405" s="98" t="n"/>
      <c r="E405" s="98" t="n"/>
      <c r="F405" s="98" t="n"/>
      <c r="G405" s="98" t="n"/>
      <c r="H405" s="98" t="n"/>
      <c r="I405" s="98"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147" t="n"/>
      <c r="B406" s="98" t="n"/>
      <c r="C406" s="98" t="n"/>
      <c r="D406" s="98" t="n"/>
      <c r="E406" s="98" t="n"/>
      <c r="F406" s="98" t="n"/>
      <c r="G406" s="98" t="n"/>
      <c r="H406" s="98" t="n"/>
      <c r="I406" s="98"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147" t="n"/>
      <c r="B407" s="98" t="n"/>
      <c r="C407" s="98" t="n"/>
      <c r="D407" s="98" t="n"/>
      <c r="E407" s="98" t="n"/>
      <c r="F407" s="98" t="n"/>
      <c r="G407" s="98" t="n"/>
      <c r="H407" s="98" t="n"/>
      <c r="I407" s="98"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147" t="n"/>
      <c r="B408" s="98" t="n"/>
      <c r="C408" s="98" t="n"/>
      <c r="D408" s="98" t="n"/>
      <c r="E408" s="98" t="n"/>
      <c r="F408" s="98" t="n"/>
      <c r="G408" s="98" t="n"/>
      <c r="H408" s="98" t="n"/>
      <c r="I408" s="98"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147" t="n"/>
      <c r="B409" s="98" t="n"/>
      <c r="C409" s="98" t="n"/>
      <c r="D409" s="98" t="n"/>
      <c r="E409" s="98" t="n"/>
      <c r="F409" s="98" t="n"/>
      <c r="G409" s="98" t="n"/>
      <c r="H409" s="98" t="n"/>
      <c r="I409" s="98"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147" t="n"/>
      <c r="B410" s="98" t="n"/>
      <c r="C410" s="98" t="n"/>
      <c r="D410" s="98" t="n"/>
      <c r="E410" s="98" t="n"/>
      <c r="F410" s="98" t="n"/>
      <c r="G410" s="98" t="n"/>
      <c r="H410" s="98" t="n"/>
      <c r="I410" s="98"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147" t="n"/>
      <c r="B411" s="98" t="n"/>
      <c r="C411" s="98" t="n"/>
      <c r="D411" s="98" t="n"/>
      <c r="E411" s="98" t="n"/>
      <c r="F411" s="98" t="n"/>
      <c r="G411" s="98" t="n"/>
      <c r="H411" s="98" t="n"/>
      <c r="I411" s="98"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147" t="n"/>
      <c r="B412" s="98" t="n"/>
      <c r="C412" s="98" t="n"/>
      <c r="D412" s="98" t="n"/>
      <c r="E412" s="98" t="n"/>
      <c r="F412" s="98" t="n"/>
      <c r="G412" s="98" t="n"/>
      <c r="H412" s="98" t="n"/>
      <c r="I412" s="98"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147" t="n"/>
      <c r="B413" s="98" t="n"/>
      <c r="C413" s="98" t="n"/>
      <c r="D413" s="98" t="n"/>
      <c r="E413" s="98" t="n"/>
      <c r="F413" s="98" t="n"/>
      <c r="G413" s="98" t="n"/>
      <c r="H413" s="98" t="n"/>
      <c r="I413" s="98"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147" t="n"/>
      <c r="B414" s="98" t="n"/>
      <c r="C414" s="98" t="n"/>
      <c r="D414" s="98" t="n"/>
      <c r="E414" s="98" t="n"/>
      <c r="F414" s="98" t="n"/>
      <c r="G414" s="98" t="n"/>
      <c r="H414" s="98" t="n"/>
      <c r="I414" s="98"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147" t="n"/>
      <c r="B415" s="98" t="n"/>
      <c r="C415" s="98" t="n"/>
      <c r="D415" s="98" t="n"/>
      <c r="E415" s="98" t="n"/>
      <c r="F415" s="98" t="n"/>
      <c r="G415" s="98" t="n"/>
      <c r="H415" s="98" t="n"/>
      <c r="I415" s="98"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147" t="n"/>
      <c r="B416" s="98" t="n"/>
      <c r="C416" s="98" t="n"/>
      <c r="D416" s="98" t="n"/>
      <c r="E416" s="98" t="n"/>
      <c r="F416" s="98" t="n"/>
      <c r="G416" s="98" t="n"/>
      <c r="H416" s="98" t="n"/>
      <c r="I416" s="98"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147" t="n"/>
      <c r="B417" s="98" t="n"/>
      <c r="C417" s="98" t="n"/>
      <c r="D417" s="98" t="n"/>
      <c r="E417" s="98" t="n"/>
      <c r="F417" s="98" t="n"/>
      <c r="G417" s="98" t="n"/>
      <c r="H417" s="98" t="n"/>
      <c r="I417" s="98"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147" t="n"/>
      <c r="B418" s="98" t="n"/>
      <c r="C418" s="98" t="n"/>
      <c r="D418" s="98" t="n"/>
      <c r="E418" s="98" t="n"/>
      <c r="F418" s="98" t="n"/>
      <c r="G418" s="98" t="n"/>
      <c r="H418" s="98" t="n"/>
      <c r="I418" s="98"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147" t="n"/>
      <c r="B419" s="98" t="n"/>
      <c r="C419" s="98" t="n"/>
      <c r="D419" s="98" t="n"/>
      <c r="E419" s="98" t="n"/>
      <c r="F419" s="98" t="n"/>
      <c r="G419" s="98" t="n"/>
      <c r="H419" s="98" t="n"/>
      <c r="I419" s="98"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147" t="n"/>
      <c r="B420" s="98" t="n"/>
      <c r="C420" s="98" t="n"/>
      <c r="D420" s="98" t="n"/>
      <c r="E420" s="98" t="n"/>
      <c r="F420" s="98" t="n"/>
      <c r="G420" s="98" t="n"/>
      <c r="H420" s="98" t="n"/>
      <c r="I420" s="98"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147" t="n"/>
      <c r="B421" s="98" t="n"/>
      <c r="C421" s="98" t="n"/>
      <c r="D421" s="98" t="n"/>
      <c r="E421" s="98" t="n"/>
      <c r="F421" s="98" t="n"/>
      <c r="G421" s="98" t="n"/>
      <c r="H421" s="98" t="n"/>
      <c r="I421" s="98"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147" t="n"/>
      <c r="B422" s="98" t="n"/>
      <c r="C422" s="98" t="n"/>
      <c r="D422" s="98" t="n"/>
      <c r="E422" s="98" t="n"/>
      <c r="F422" s="98" t="n"/>
      <c r="G422" s="98" t="n"/>
      <c r="H422" s="98" t="n"/>
      <c r="I422" s="98"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147" t="n"/>
      <c r="B423" s="98" t="n"/>
      <c r="C423" s="98" t="n"/>
      <c r="D423" s="98" t="n"/>
      <c r="E423" s="98" t="n"/>
      <c r="F423" s="98" t="n"/>
      <c r="G423" s="98" t="n"/>
      <c r="H423" s="98" t="n"/>
      <c r="I423" s="98"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147" t="n"/>
      <c r="B424" s="98" t="n"/>
      <c r="C424" s="98" t="n"/>
      <c r="D424" s="98" t="n"/>
      <c r="E424" s="98" t="n"/>
      <c r="F424" s="98" t="n"/>
      <c r="G424" s="98" t="n"/>
      <c r="H424" s="98" t="n"/>
      <c r="I424" s="98"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147" t="n"/>
      <c r="B425" s="98" t="n"/>
      <c r="C425" s="98" t="n"/>
      <c r="D425" s="98" t="n"/>
      <c r="E425" s="98" t="n"/>
      <c r="F425" s="98" t="n"/>
      <c r="G425" s="98" t="n"/>
      <c r="H425" s="98" t="n"/>
      <c r="I425" s="98"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147" t="n"/>
      <c r="B426" s="98" t="n"/>
      <c r="C426" s="98" t="n"/>
      <c r="D426" s="98" t="n"/>
      <c r="E426" s="98" t="n"/>
      <c r="F426" s="98" t="n"/>
      <c r="G426" s="98" t="n"/>
      <c r="H426" s="98" t="n"/>
      <c r="I426" s="98"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147" t="n"/>
      <c r="B427" s="98" t="n"/>
      <c r="C427" s="98" t="n"/>
      <c r="D427" s="98" t="n"/>
      <c r="E427" s="98" t="n"/>
      <c r="F427" s="98" t="n"/>
      <c r="G427" s="98" t="n"/>
      <c r="H427" s="98" t="n"/>
      <c r="I427" s="98"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147" t="n"/>
      <c r="B428" s="98" t="n"/>
      <c r="C428" s="98" t="n"/>
      <c r="D428" s="98" t="n"/>
      <c r="E428" s="98" t="n"/>
      <c r="F428" s="98" t="n"/>
      <c r="G428" s="98" t="n"/>
      <c r="H428" s="98" t="n"/>
      <c r="I428" s="98"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147" t="n"/>
      <c r="B429" s="98" t="n"/>
      <c r="C429" s="98" t="n"/>
      <c r="D429" s="98" t="n"/>
      <c r="E429" s="98" t="n"/>
      <c r="F429" s="98" t="n"/>
      <c r="G429" s="98" t="n"/>
      <c r="H429" s="98" t="n"/>
      <c r="I429" s="98"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147" t="n"/>
      <c r="B430" s="98" t="n"/>
      <c r="C430" s="98" t="n"/>
      <c r="D430" s="98" t="n"/>
      <c r="E430" s="98" t="n"/>
      <c r="F430" s="98" t="n"/>
      <c r="G430" s="98" t="n"/>
      <c r="H430" s="98" t="n"/>
      <c r="I430" s="98"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147" t="n"/>
      <c r="B431" s="98" t="n"/>
      <c r="C431" s="98" t="n"/>
      <c r="D431" s="98" t="n"/>
      <c r="E431" s="98" t="n"/>
      <c r="F431" s="98" t="n"/>
      <c r="G431" s="98" t="n"/>
      <c r="H431" s="98" t="n"/>
      <c r="I431" s="98"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147" t="n"/>
      <c r="B432" s="98" t="n"/>
      <c r="C432" s="98" t="n"/>
      <c r="D432" s="98" t="n"/>
      <c r="E432" s="98" t="n"/>
      <c r="F432" s="98" t="n"/>
      <c r="G432" s="98" t="n"/>
      <c r="H432" s="98" t="n"/>
      <c r="I432" s="98"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147" t="n"/>
      <c r="B433" s="98" t="n"/>
      <c r="C433" s="98" t="n"/>
      <c r="D433" s="98" t="n"/>
      <c r="E433" s="98" t="n"/>
      <c r="F433" s="98" t="n"/>
      <c r="G433" s="98" t="n"/>
      <c r="H433" s="98" t="n"/>
      <c r="I433" s="98"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147" t="n"/>
      <c r="B434" s="98" t="n"/>
      <c r="C434" s="98" t="n"/>
      <c r="D434" s="98" t="n"/>
      <c r="E434" s="98" t="n"/>
      <c r="F434" s="98" t="n"/>
      <c r="G434" s="98" t="n"/>
      <c r="H434" s="98" t="n"/>
      <c r="I434" s="98"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147" t="n"/>
      <c r="B435" s="98" t="n"/>
      <c r="C435" s="98" t="n"/>
      <c r="D435" s="98" t="n"/>
      <c r="E435" s="98" t="n"/>
      <c r="F435" s="98" t="n"/>
      <c r="G435" s="98" t="n"/>
      <c r="H435" s="98" t="n"/>
      <c r="I435" s="98"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147" t="n"/>
      <c r="B436" s="98" t="n"/>
      <c r="C436" s="98" t="n"/>
      <c r="D436" s="98" t="n"/>
      <c r="E436" s="98" t="n"/>
      <c r="F436" s="98" t="n"/>
      <c r="G436" s="98" t="n"/>
      <c r="H436" s="98" t="n"/>
      <c r="I436" s="98"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147" t="n"/>
      <c r="B437" s="98" t="n"/>
      <c r="C437" s="98" t="n"/>
      <c r="D437" s="98" t="n"/>
      <c r="E437" s="98" t="n"/>
      <c r="F437" s="98" t="n"/>
      <c r="G437" s="98" t="n"/>
      <c r="H437" s="98" t="n"/>
      <c r="I437" s="98"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147" t="n"/>
      <c r="B438" s="98" t="n"/>
      <c r="C438" s="98" t="n"/>
      <c r="D438" s="98" t="n"/>
      <c r="E438" s="98" t="n"/>
      <c r="F438" s="98" t="n"/>
      <c r="G438" s="98" t="n"/>
      <c r="H438" s="98" t="n"/>
      <c r="I438" s="98"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147" t="n"/>
      <c r="B439" s="98" t="n"/>
      <c r="C439" s="98" t="n"/>
      <c r="D439" s="98" t="n"/>
      <c r="E439" s="98" t="n"/>
      <c r="F439" s="98" t="n"/>
      <c r="G439" s="98" t="n"/>
      <c r="H439" s="98" t="n"/>
      <c r="I439" s="98"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147" t="n"/>
      <c r="B440" s="98" t="n"/>
      <c r="C440" s="98" t="n"/>
      <c r="D440" s="98" t="n"/>
      <c r="E440" s="98" t="n"/>
      <c r="F440" s="98" t="n"/>
      <c r="G440" s="98" t="n"/>
      <c r="H440" s="98" t="n"/>
      <c r="I440" s="98"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147" t="n"/>
      <c r="B441" s="98" t="n"/>
      <c r="C441" s="98" t="n"/>
      <c r="D441" s="98" t="n"/>
      <c r="E441" s="98" t="n"/>
      <c r="F441" s="98" t="n"/>
      <c r="G441" s="98" t="n"/>
      <c r="H441" s="98" t="n"/>
      <c r="I441" s="98"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147" t="n"/>
      <c r="B442" s="98" t="n"/>
      <c r="C442" s="98" t="n"/>
      <c r="D442" s="98" t="n"/>
      <c r="E442" s="98" t="n"/>
      <c r="F442" s="98" t="n"/>
      <c r="G442" s="98" t="n"/>
      <c r="H442" s="98" t="n"/>
      <c r="I442" s="98"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147" t="n"/>
      <c r="B443" s="98" t="n"/>
      <c r="C443" s="98" t="n"/>
      <c r="D443" s="98" t="n"/>
      <c r="E443" s="98" t="n"/>
      <c r="F443" s="98" t="n"/>
      <c r="G443" s="98" t="n"/>
      <c r="H443" s="98" t="n"/>
      <c r="I443" s="98"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147" t="n"/>
      <c r="B444" s="98" t="n"/>
      <c r="C444" s="98" t="n"/>
      <c r="D444" s="98" t="n"/>
      <c r="E444" s="98" t="n"/>
      <c r="F444" s="98" t="n"/>
      <c r="G444" s="98" t="n"/>
      <c r="H444" s="98" t="n"/>
      <c r="I444" s="98"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147" t="n"/>
      <c r="B445" s="98" t="n"/>
      <c r="C445" s="98" t="n"/>
      <c r="D445" s="98" t="n"/>
      <c r="E445" s="98" t="n"/>
      <c r="F445" s="98" t="n"/>
      <c r="G445" s="98" t="n"/>
      <c r="H445" s="98" t="n"/>
      <c r="I445" s="98"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147" t="n"/>
      <c r="B446" s="98" t="n"/>
      <c r="C446" s="98" t="n"/>
      <c r="D446" s="98" t="n"/>
      <c r="E446" s="98" t="n"/>
      <c r="F446" s="98" t="n"/>
      <c r="G446" s="98" t="n"/>
      <c r="H446" s="98" t="n"/>
      <c r="I446" s="98"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147" t="n"/>
      <c r="B447" s="98" t="n"/>
      <c r="C447" s="98" t="n"/>
      <c r="D447" s="98" t="n"/>
      <c r="E447" s="98" t="n"/>
      <c r="F447" s="98" t="n"/>
      <c r="G447" s="98" t="n"/>
      <c r="H447" s="98" t="n"/>
      <c r="I447" s="98"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147" t="n"/>
      <c r="B448" s="98" t="n"/>
      <c r="C448" s="98" t="n"/>
      <c r="D448" s="98" t="n"/>
      <c r="E448" s="98" t="n"/>
      <c r="F448" s="98" t="n"/>
      <c r="G448" s="98" t="n"/>
      <c r="H448" s="98" t="n"/>
      <c r="I448" s="98"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147" t="n"/>
      <c r="B449" s="98" t="n"/>
      <c r="C449" s="98" t="n"/>
      <c r="D449" s="98" t="n"/>
      <c r="E449" s="98" t="n"/>
      <c r="F449" s="98" t="n"/>
      <c r="G449" s="98" t="n"/>
      <c r="H449" s="98" t="n"/>
      <c r="I449" s="98"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147" t="n"/>
      <c r="B450" s="98" t="n"/>
      <c r="C450" s="98" t="n"/>
      <c r="D450" s="98" t="n"/>
      <c r="E450" s="98" t="n"/>
      <c r="F450" s="98" t="n"/>
      <c r="G450" s="98" t="n"/>
      <c r="H450" s="98" t="n"/>
      <c r="I450" s="98"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147" t="n"/>
      <c r="B451" s="98" t="n"/>
      <c r="C451" s="98" t="n"/>
      <c r="D451" s="98" t="n"/>
      <c r="E451" s="98" t="n"/>
      <c r="F451" s="98" t="n"/>
      <c r="G451" s="98" t="n"/>
      <c r="H451" s="98" t="n"/>
      <c r="I451" s="98"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147" t="n"/>
      <c r="B452" s="98" t="n"/>
      <c r="C452" s="98" t="n"/>
      <c r="D452" s="98" t="n"/>
      <c r="E452" s="98" t="n"/>
      <c r="F452" s="98" t="n"/>
      <c r="G452" s="98" t="n"/>
      <c r="H452" s="98" t="n"/>
      <c r="I452" s="98"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147" t="n"/>
      <c r="B453" s="98" t="n"/>
      <c r="C453" s="98" t="n"/>
      <c r="D453" s="98" t="n"/>
      <c r="E453" s="98" t="n"/>
      <c r="F453" s="98" t="n"/>
      <c r="G453" s="98" t="n"/>
      <c r="H453" s="98" t="n"/>
      <c r="I453" s="98"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147" t="n"/>
      <c r="B454" s="98" t="n"/>
      <c r="C454" s="98" t="n"/>
      <c r="D454" s="98" t="n"/>
      <c r="E454" s="98" t="n"/>
      <c r="F454" s="98" t="n"/>
      <c r="G454" s="98" t="n"/>
      <c r="H454" s="98" t="n"/>
      <c r="I454" s="98"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147" t="n"/>
      <c r="B455" s="98" t="n"/>
      <c r="C455" s="98" t="n"/>
      <c r="D455" s="98" t="n"/>
      <c r="E455" s="98" t="n"/>
      <c r="F455" s="98" t="n"/>
      <c r="G455" s="98" t="n"/>
      <c r="H455" s="98" t="n"/>
      <c r="I455" s="98"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147" t="n"/>
      <c r="B456" s="98" t="n"/>
      <c r="C456" s="98" t="n"/>
      <c r="D456" s="98" t="n"/>
      <c r="E456" s="98" t="n"/>
      <c r="F456" s="98" t="n"/>
      <c r="G456" s="98" t="n"/>
      <c r="H456" s="98" t="n"/>
      <c r="I456" s="98"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147" t="n"/>
      <c r="B457" s="98" t="n"/>
      <c r="C457" s="98" t="n"/>
      <c r="D457" s="98" t="n"/>
      <c r="E457" s="98" t="n"/>
      <c r="F457" s="98" t="n"/>
      <c r="G457" s="98" t="n"/>
      <c r="H457" s="98" t="n"/>
      <c r="I457" s="98"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147" t="n"/>
      <c r="B458" s="98" t="n"/>
      <c r="C458" s="98" t="n"/>
      <c r="D458" s="98" t="n"/>
      <c r="E458" s="98" t="n"/>
      <c r="F458" s="98" t="n"/>
      <c r="G458" s="98" t="n"/>
      <c r="H458" s="98" t="n"/>
      <c r="I458" s="98"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147" t="n"/>
      <c r="B459" s="98" t="n"/>
      <c r="C459" s="98" t="n"/>
      <c r="D459" s="98" t="n"/>
      <c r="E459" s="98" t="n"/>
      <c r="F459" s="98" t="n"/>
      <c r="G459" s="98" t="n"/>
      <c r="H459" s="98" t="n"/>
      <c r="I459" s="98"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147" t="n"/>
      <c r="B460" s="98" t="n"/>
      <c r="C460" s="98" t="n"/>
      <c r="D460" s="98" t="n"/>
      <c r="E460" s="98" t="n"/>
      <c r="F460" s="98" t="n"/>
      <c r="G460" s="98" t="n"/>
      <c r="H460" s="98" t="n"/>
      <c r="I460" s="98"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147" t="n"/>
      <c r="B461" s="98" t="n"/>
      <c r="C461" s="98" t="n"/>
      <c r="D461" s="98" t="n"/>
      <c r="E461" s="98" t="n"/>
      <c r="F461" s="98" t="n"/>
      <c r="G461" s="98" t="n"/>
      <c r="H461" s="98" t="n"/>
      <c r="I461" s="98"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147" t="n"/>
      <c r="B462" s="98" t="n"/>
      <c r="C462" s="98" t="n"/>
      <c r="D462" s="98" t="n"/>
      <c r="E462" s="98" t="n"/>
      <c r="F462" s="98" t="n"/>
      <c r="G462" s="98" t="n"/>
      <c r="H462" s="98" t="n"/>
      <c r="I462" s="98"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147" t="n"/>
      <c r="B463" s="98" t="n"/>
      <c r="C463" s="98" t="n"/>
      <c r="D463" s="98" t="n"/>
      <c r="E463" s="98" t="n"/>
      <c r="F463" s="98" t="n"/>
      <c r="G463" s="98" t="n"/>
      <c r="H463" s="98" t="n"/>
      <c r="I463" s="98"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147" t="n"/>
      <c r="B464" s="98" t="n"/>
      <c r="C464" s="98" t="n"/>
      <c r="D464" s="98" t="n"/>
      <c r="E464" s="98" t="n"/>
      <c r="F464" s="98" t="n"/>
      <c r="G464" s="98" t="n"/>
      <c r="H464" s="98" t="n"/>
      <c r="I464" s="98"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147" t="n"/>
      <c r="B465" s="98" t="n"/>
      <c r="C465" s="98" t="n"/>
      <c r="D465" s="98" t="n"/>
      <c r="E465" s="98" t="n"/>
      <c r="F465" s="98" t="n"/>
      <c r="G465" s="98" t="n"/>
      <c r="H465" s="98" t="n"/>
      <c r="I465" s="98"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147" t="n"/>
      <c r="B466" s="98" t="n"/>
      <c r="C466" s="98" t="n"/>
      <c r="D466" s="98" t="n"/>
      <c r="E466" s="98" t="n"/>
      <c r="F466" s="98" t="n"/>
      <c r="G466" s="98" t="n"/>
      <c r="H466" s="98" t="n"/>
      <c r="I466" s="98"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147" t="n"/>
      <c r="B467" s="98" t="n"/>
      <c r="C467" s="98" t="n"/>
      <c r="D467" s="98" t="n"/>
      <c r="E467" s="98" t="n"/>
      <c r="F467" s="98" t="n"/>
      <c r="G467" s="98" t="n"/>
      <c r="H467" s="98" t="n"/>
      <c r="I467" s="98"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147" t="n"/>
      <c r="B468" s="98" t="n"/>
      <c r="C468" s="98" t="n"/>
      <c r="D468" s="98" t="n"/>
      <c r="E468" s="98" t="n"/>
      <c r="F468" s="98" t="n"/>
      <c r="G468" s="98" t="n"/>
      <c r="H468" s="98" t="n"/>
      <c r="I468" s="98"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147" t="n"/>
      <c r="B469" s="98" t="n"/>
      <c r="C469" s="98" t="n"/>
      <c r="D469" s="98" t="n"/>
      <c r="E469" s="98" t="n"/>
      <c r="F469" s="98" t="n"/>
      <c r="G469" s="98" t="n"/>
      <c r="H469" s="98" t="n"/>
      <c r="I469" s="98"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147" t="n"/>
      <c r="B470" s="98" t="n"/>
      <c r="C470" s="98" t="n"/>
      <c r="D470" s="98" t="n"/>
      <c r="E470" s="98" t="n"/>
      <c r="F470" s="98" t="n"/>
      <c r="G470" s="98" t="n"/>
      <c r="H470" s="98" t="n"/>
      <c r="I470" s="98"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147" t="n"/>
      <c r="B471" s="98" t="n"/>
      <c r="C471" s="98" t="n"/>
      <c r="D471" s="98" t="n"/>
      <c r="E471" s="98" t="n"/>
      <c r="F471" s="98" t="n"/>
      <c r="G471" s="98" t="n"/>
      <c r="H471" s="98" t="n"/>
      <c r="I471" s="98"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147" t="n"/>
      <c r="B472" s="98" t="n"/>
      <c r="C472" s="98" t="n"/>
      <c r="D472" s="98" t="n"/>
      <c r="E472" s="98" t="n"/>
      <c r="F472" s="98" t="n"/>
      <c r="G472" s="98" t="n"/>
      <c r="H472" s="98" t="n"/>
      <c r="I472" s="98"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147" t="n"/>
      <c r="B473" s="98" t="n"/>
      <c r="C473" s="98" t="n"/>
      <c r="D473" s="98" t="n"/>
      <c r="E473" s="98" t="n"/>
      <c r="F473" s="98" t="n"/>
      <c r="G473" s="98" t="n"/>
      <c r="H473" s="98" t="n"/>
      <c r="I473" s="98"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147" t="n"/>
      <c r="B474" s="98" t="n"/>
      <c r="C474" s="98" t="n"/>
      <c r="D474" s="98" t="n"/>
      <c r="E474" s="98" t="n"/>
      <c r="F474" s="98" t="n"/>
      <c r="G474" s="98" t="n"/>
      <c r="H474" s="98" t="n"/>
      <c r="I474" s="98"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147" t="n"/>
      <c r="B475" s="98" t="n"/>
      <c r="C475" s="98" t="n"/>
      <c r="D475" s="98" t="n"/>
      <c r="E475" s="98" t="n"/>
      <c r="F475" s="98" t="n"/>
      <c r="G475" s="98" t="n"/>
      <c r="H475" s="98" t="n"/>
      <c r="I475" s="98"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147" t="n"/>
      <c r="B476" s="98" t="n"/>
      <c r="C476" s="98" t="n"/>
      <c r="D476" s="98" t="n"/>
      <c r="E476" s="98" t="n"/>
      <c r="F476" s="98" t="n"/>
      <c r="G476" s="98" t="n"/>
      <c r="H476" s="98" t="n"/>
      <c r="I476" s="98"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147" t="n"/>
      <c r="B477" s="98" t="n"/>
      <c r="C477" s="98" t="n"/>
      <c r="D477" s="98" t="n"/>
      <c r="E477" s="98" t="n"/>
      <c r="F477" s="98" t="n"/>
      <c r="G477" s="98" t="n"/>
      <c r="H477" s="98" t="n"/>
      <c r="I477" s="98"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147" t="n"/>
      <c r="B478" s="98" t="n"/>
      <c r="C478" s="98" t="n"/>
      <c r="D478" s="98" t="n"/>
      <c r="E478" s="98" t="n"/>
      <c r="F478" s="98" t="n"/>
      <c r="G478" s="98" t="n"/>
      <c r="H478" s="98" t="n"/>
      <c r="I478" s="98"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147" t="n"/>
      <c r="B479" s="98" t="n"/>
      <c r="C479" s="98" t="n"/>
      <c r="D479" s="98" t="n"/>
      <c r="E479" s="98" t="n"/>
      <c r="F479" s="98" t="n"/>
      <c r="G479" s="98" t="n"/>
      <c r="H479" s="98" t="n"/>
      <c r="I479" s="98"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147" t="n"/>
      <c r="B480" s="98" t="n"/>
      <c r="C480" s="98" t="n"/>
      <c r="D480" s="98" t="n"/>
      <c r="E480" s="98" t="n"/>
      <c r="F480" s="98" t="n"/>
      <c r="G480" s="98" t="n"/>
      <c r="H480" s="98" t="n"/>
      <c r="I480" s="98"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147" t="n"/>
      <c r="B481" s="98" t="n"/>
      <c r="C481" s="98" t="n"/>
      <c r="D481" s="98" t="n"/>
      <c r="E481" s="98" t="n"/>
      <c r="F481" s="98" t="n"/>
      <c r="G481" s="98" t="n"/>
      <c r="H481" s="98" t="n"/>
      <c r="I481" s="98"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147" t="n"/>
      <c r="B482" s="98" t="n"/>
      <c r="C482" s="98" t="n"/>
      <c r="D482" s="98" t="n"/>
      <c r="E482" s="98" t="n"/>
      <c r="F482" s="98" t="n"/>
      <c r="G482" s="98" t="n"/>
      <c r="H482" s="98" t="n"/>
      <c r="I482" s="98"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147" t="n"/>
      <c r="B483" s="98" t="n"/>
      <c r="C483" s="98" t="n"/>
      <c r="D483" s="98" t="n"/>
      <c r="E483" s="98" t="n"/>
      <c r="F483" s="98" t="n"/>
      <c r="G483" s="98" t="n"/>
      <c r="H483" s="98" t="n"/>
      <c r="I483" s="98"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147" t="n"/>
      <c r="B484" s="98" t="n"/>
      <c r="C484" s="98" t="n"/>
      <c r="D484" s="98" t="n"/>
      <c r="E484" s="98" t="n"/>
      <c r="F484" s="98" t="n"/>
      <c r="G484" s="98" t="n"/>
      <c r="H484" s="98" t="n"/>
      <c r="I484" s="98"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147" t="n"/>
      <c r="B485" s="98" t="n"/>
      <c r="C485" s="98" t="n"/>
      <c r="D485" s="98" t="n"/>
      <c r="E485" s="98" t="n"/>
      <c r="F485" s="98" t="n"/>
      <c r="G485" s="98" t="n"/>
      <c r="H485" s="98" t="n"/>
      <c r="I485" s="98"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147" t="n"/>
      <c r="B486" s="98" t="n"/>
      <c r="C486" s="98" t="n"/>
      <c r="D486" s="98" t="n"/>
      <c r="E486" s="98" t="n"/>
      <c r="F486" s="98" t="n"/>
      <c r="G486" s="98" t="n"/>
      <c r="H486" s="98" t="n"/>
      <c r="I486" s="98"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147" t="n"/>
      <c r="B487" s="98" t="n"/>
      <c r="C487" s="98" t="n"/>
      <c r="D487" s="98" t="n"/>
      <c r="E487" s="98" t="n"/>
      <c r="F487" s="98" t="n"/>
      <c r="G487" s="98" t="n"/>
      <c r="H487" s="98" t="n"/>
      <c r="I487" s="98"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147" t="n"/>
      <c r="B488" s="98" t="n"/>
      <c r="C488" s="98" t="n"/>
      <c r="D488" s="98" t="n"/>
      <c r="E488" s="98" t="n"/>
      <c r="F488" s="98" t="n"/>
      <c r="G488" s="98" t="n"/>
      <c r="H488" s="98" t="n"/>
      <c r="I488" s="98"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147" t="n"/>
      <c r="B489" s="98" t="n"/>
      <c r="C489" s="98" t="n"/>
      <c r="D489" s="98" t="n"/>
      <c r="E489" s="98" t="n"/>
      <c r="F489" s="98" t="n"/>
      <c r="G489" s="98" t="n"/>
      <c r="H489" s="98" t="n"/>
      <c r="I489" s="98"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147" t="n"/>
      <c r="B490" s="98" t="n"/>
      <c r="C490" s="98" t="n"/>
      <c r="D490" s="98" t="n"/>
      <c r="E490" s="98" t="n"/>
      <c r="F490" s="98" t="n"/>
      <c r="G490" s="98" t="n"/>
      <c r="H490" s="98" t="n"/>
      <c r="I490" s="98"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147" t="n"/>
      <c r="B491" s="98" t="n"/>
      <c r="C491" s="98" t="n"/>
      <c r="D491" s="98" t="n"/>
      <c r="E491" s="98" t="n"/>
      <c r="F491" s="98" t="n"/>
      <c r="G491" s="98" t="n"/>
      <c r="H491" s="98" t="n"/>
      <c r="I491" s="98"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147" t="n"/>
      <c r="B492" s="98" t="n"/>
      <c r="C492" s="98" t="n"/>
      <c r="D492" s="98" t="n"/>
      <c r="E492" s="98" t="n"/>
      <c r="F492" s="98" t="n"/>
      <c r="G492" s="98" t="n"/>
      <c r="H492" s="98" t="n"/>
      <c r="I492" s="98"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147" t="n"/>
      <c r="B493" s="98" t="n"/>
      <c r="C493" s="98" t="n"/>
      <c r="D493" s="98" t="n"/>
      <c r="E493" s="98" t="n"/>
      <c r="F493" s="98" t="n"/>
      <c r="G493" s="98" t="n"/>
      <c r="H493" s="98" t="n"/>
      <c r="I493" s="98"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147" t="n"/>
      <c r="B494" s="98" t="n"/>
      <c r="C494" s="98" t="n"/>
      <c r="D494" s="98" t="n"/>
      <c r="E494" s="98" t="n"/>
      <c r="F494" s="98" t="n"/>
      <c r="G494" s="98" t="n"/>
      <c r="H494" s="98" t="n"/>
      <c r="I494" s="98"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147" t="n"/>
      <c r="B495" s="98" t="n"/>
      <c r="C495" s="98" t="n"/>
      <c r="D495" s="98" t="n"/>
      <c r="E495" s="98" t="n"/>
      <c r="F495" s="98" t="n"/>
      <c r="G495" s="98" t="n"/>
      <c r="H495" s="98" t="n"/>
      <c r="I495" s="98"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147" t="n"/>
      <c r="B496" s="98" t="n"/>
      <c r="C496" s="98" t="n"/>
      <c r="D496" s="98" t="n"/>
      <c r="E496" s="98" t="n"/>
      <c r="F496" s="98" t="n"/>
      <c r="G496" s="98" t="n"/>
      <c r="H496" s="98" t="n"/>
      <c r="I496" s="98"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147" t="n"/>
      <c r="B497" s="98" t="n"/>
      <c r="C497" s="98" t="n"/>
      <c r="D497" s="98" t="n"/>
      <c r="E497" s="98" t="n"/>
      <c r="F497" s="98" t="n"/>
      <c r="G497" s="98" t="n"/>
      <c r="H497" s="98" t="n"/>
      <c r="I497" s="98"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147" t="n"/>
      <c r="B498" s="98" t="n"/>
      <c r="C498" s="98" t="n"/>
      <c r="D498" s="98" t="n"/>
      <c r="E498" s="98" t="n"/>
      <c r="F498" s="98" t="n"/>
      <c r="G498" s="98" t="n"/>
      <c r="H498" s="98" t="n"/>
      <c r="I498" s="98"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147" t="n"/>
      <c r="B499" s="98" t="n"/>
      <c r="C499" s="98" t="n"/>
      <c r="D499" s="98" t="n"/>
      <c r="E499" s="98" t="n"/>
      <c r="F499" s="98" t="n"/>
      <c r="G499" s="98" t="n"/>
      <c r="H499" s="98" t="n"/>
      <c r="I499" s="98"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147" t="n"/>
      <c r="B500" s="98" t="n"/>
      <c r="C500" s="98" t="n"/>
      <c r="D500" s="98" t="n"/>
      <c r="E500" s="98" t="n"/>
      <c r="F500" s="98" t="n"/>
      <c r="G500" s="98" t="n"/>
      <c r="H500" s="98" t="n"/>
      <c r="I500" s="98"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147" t="n"/>
      <c r="B501" s="98" t="n"/>
      <c r="C501" s="98" t="n"/>
      <c r="D501" s="98" t="n"/>
      <c r="E501" s="98" t="n"/>
      <c r="F501" s="98" t="n"/>
      <c r="G501" s="98" t="n"/>
      <c r="H501" s="98" t="n"/>
      <c r="I501" s="98"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147" t="n"/>
      <c r="B502" s="98" t="n"/>
      <c r="C502" s="98" t="n"/>
      <c r="D502" s="98" t="n"/>
      <c r="E502" s="98" t="n"/>
      <c r="F502" s="98" t="n"/>
      <c r="G502" s="98" t="n"/>
      <c r="H502" s="98" t="n"/>
      <c r="I502" s="98"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147" t="n"/>
      <c r="B503" s="98" t="n"/>
      <c r="C503" s="98" t="n"/>
      <c r="D503" s="98" t="n"/>
      <c r="E503" s="98" t="n"/>
      <c r="F503" s="98" t="n"/>
      <c r="G503" s="98" t="n"/>
      <c r="H503" s="98" t="n"/>
      <c r="I503" s="98"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147" t="n"/>
      <c r="B504" s="98" t="n"/>
      <c r="C504" s="98" t="n"/>
      <c r="D504" s="98" t="n"/>
      <c r="E504" s="98" t="n"/>
      <c r="F504" s="98" t="n"/>
      <c r="G504" s="98" t="n"/>
      <c r="H504" s="98" t="n"/>
      <c r="I504" s="98"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147" t="n"/>
      <c r="B505" s="98" t="n"/>
      <c r="C505" s="98" t="n"/>
      <c r="D505" s="98" t="n"/>
      <c r="E505" s="98" t="n"/>
      <c r="F505" s="98" t="n"/>
      <c r="G505" s="98" t="n"/>
      <c r="H505" s="98" t="n"/>
      <c r="I505" s="98"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147" t="n"/>
      <c r="B506" s="98" t="n"/>
      <c r="C506" s="98" t="n"/>
      <c r="D506" s="98" t="n"/>
      <c r="E506" s="98" t="n"/>
      <c r="F506" s="98" t="n"/>
      <c r="G506" s="98" t="n"/>
      <c r="H506" s="98" t="n"/>
      <c r="I506" s="98"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147" t="n"/>
      <c r="B507" s="98" t="n"/>
      <c r="C507" s="98" t="n"/>
      <c r="D507" s="98" t="n"/>
      <c r="E507" s="98" t="n"/>
      <c r="F507" s="98" t="n"/>
      <c r="G507" s="98" t="n"/>
      <c r="H507" s="98" t="n"/>
      <c r="I507" s="98"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147" t="n"/>
      <c r="B508" s="98" t="n"/>
      <c r="C508" s="98" t="n"/>
      <c r="D508" s="98" t="n"/>
      <c r="E508" s="98" t="n"/>
      <c r="F508" s="98" t="n"/>
      <c r="G508" s="98" t="n"/>
      <c r="H508" s="98" t="n"/>
      <c r="I508" s="98"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147" t="n"/>
      <c r="B509" s="98" t="n"/>
      <c r="C509" s="98" t="n"/>
      <c r="D509" s="98" t="n"/>
      <c r="E509" s="98" t="n"/>
      <c r="F509" s="98" t="n"/>
      <c r="G509" s="98" t="n"/>
      <c r="H509" s="98" t="n"/>
      <c r="I509" s="98"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147" t="n"/>
      <c r="B510" s="98" t="n"/>
      <c r="C510" s="98" t="n"/>
      <c r="D510" s="98" t="n"/>
      <c r="E510" s="98" t="n"/>
      <c r="F510" s="98" t="n"/>
      <c r="G510" s="98" t="n"/>
      <c r="H510" s="98" t="n"/>
      <c r="I510" s="98"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147" t="n"/>
      <c r="B511" s="98" t="n"/>
      <c r="C511" s="98" t="n"/>
      <c r="D511" s="98" t="n"/>
      <c r="E511" s="98" t="n"/>
      <c r="F511" s="98" t="n"/>
      <c r="G511" s="98" t="n"/>
      <c r="H511" s="98" t="n"/>
      <c r="I511" s="98"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147" t="n"/>
      <c r="B512" s="98" t="n"/>
      <c r="C512" s="98" t="n"/>
      <c r="D512" s="98" t="n"/>
      <c r="E512" s="98" t="n"/>
      <c r="F512" s="98" t="n"/>
      <c r="G512" s="98" t="n"/>
      <c r="H512" s="98" t="n"/>
      <c r="I512" s="98"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147" t="n"/>
      <c r="B513" s="98" t="n"/>
      <c r="C513" s="98" t="n"/>
      <c r="D513" s="98" t="n"/>
      <c r="E513" s="98" t="n"/>
      <c r="F513" s="98" t="n"/>
      <c r="G513" s="98" t="n"/>
      <c r="H513" s="98" t="n"/>
      <c r="I513" s="98"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147" t="n"/>
      <c r="B514" s="98" t="n"/>
      <c r="C514" s="98" t="n"/>
      <c r="D514" s="98" t="n"/>
      <c r="E514" s="98" t="n"/>
      <c r="F514" s="98" t="n"/>
      <c r="G514" s="98" t="n"/>
      <c r="H514" s="98" t="n"/>
      <c r="I514" s="98"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147" t="n"/>
      <c r="B515" s="98" t="n"/>
      <c r="C515" s="98" t="n"/>
      <c r="D515" s="98" t="n"/>
      <c r="E515" s="98" t="n"/>
      <c r="F515" s="98" t="n"/>
      <c r="G515" s="98" t="n"/>
      <c r="H515" s="98" t="n"/>
      <c r="I515" s="98"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147" t="n"/>
      <c r="B516" s="98" t="n"/>
      <c r="C516" s="98" t="n"/>
      <c r="D516" s="98" t="n"/>
      <c r="E516" s="98" t="n"/>
      <c r="F516" s="98" t="n"/>
      <c r="G516" s="98" t="n"/>
      <c r="H516" s="98" t="n"/>
      <c r="I516" s="98"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147" t="n"/>
      <c r="B517" s="98" t="n"/>
      <c r="C517" s="98" t="n"/>
      <c r="D517" s="98" t="n"/>
      <c r="E517" s="98" t="n"/>
      <c r="F517" s="98" t="n"/>
      <c r="G517" s="98" t="n"/>
      <c r="H517" s="98" t="n"/>
      <c r="I517" s="98"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147" t="n"/>
      <c r="B518" s="98" t="n"/>
      <c r="C518" s="98" t="n"/>
      <c r="D518" s="98" t="n"/>
      <c r="E518" s="98" t="n"/>
      <c r="F518" s="98" t="n"/>
      <c r="G518" s="98" t="n"/>
      <c r="H518" s="98" t="n"/>
      <c r="I518" s="98"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147" t="n"/>
      <c r="B519" s="98" t="n"/>
      <c r="C519" s="98" t="n"/>
      <c r="D519" s="98" t="n"/>
      <c r="E519" s="98" t="n"/>
      <c r="F519" s="98" t="n"/>
      <c r="G519" s="98" t="n"/>
      <c r="H519" s="98" t="n"/>
      <c r="I519" s="98"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147" t="n"/>
      <c r="B520" s="98" t="n"/>
      <c r="C520" s="98" t="n"/>
      <c r="D520" s="98" t="n"/>
      <c r="E520" s="98" t="n"/>
      <c r="F520" s="98" t="n"/>
      <c r="G520" s="98" t="n"/>
      <c r="H520" s="98" t="n"/>
      <c r="I520" s="98"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147" t="n"/>
      <c r="B521" s="98" t="n"/>
      <c r="C521" s="98" t="n"/>
      <c r="D521" s="98" t="n"/>
      <c r="E521" s="98" t="n"/>
      <c r="F521" s="98" t="n"/>
      <c r="G521" s="98" t="n"/>
      <c r="H521" s="98" t="n"/>
      <c r="I521" s="98"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147" t="n"/>
      <c r="B522" s="98" t="n"/>
      <c r="C522" s="98" t="n"/>
      <c r="D522" s="98" t="n"/>
      <c r="E522" s="98" t="n"/>
      <c r="F522" s="98" t="n"/>
      <c r="G522" s="98" t="n"/>
      <c r="H522" s="98" t="n"/>
      <c r="I522" s="98"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147" t="n"/>
      <c r="B523" s="98" t="n"/>
      <c r="C523" s="98" t="n"/>
      <c r="D523" s="98" t="n"/>
      <c r="E523" s="98" t="n"/>
      <c r="F523" s="98" t="n"/>
      <c r="G523" s="98" t="n"/>
      <c r="H523" s="98" t="n"/>
      <c r="I523" s="98"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147" t="n"/>
      <c r="B524" s="98" t="n"/>
      <c r="C524" s="98" t="n"/>
      <c r="D524" s="98" t="n"/>
      <c r="E524" s="98" t="n"/>
      <c r="F524" s="98" t="n"/>
      <c r="G524" s="98" t="n"/>
      <c r="H524" s="98" t="n"/>
      <c r="I524" s="98"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147" t="n"/>
      <c r="B525" s="98" t="n"/>
      <c r="C525" s="98" t="n"/>
      <c r="D525" s="98" t="n"/>
      <c r="E525" s="98" t="n"/>
      <c r="F525" s="98" t="n"/>
      <c r="G525" s="98" t="n"/>
      <c r="H525" s="98" t="n"/>
      <c r="I525" s="98"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147" t="n"/>
      <c r="B526" s="98" t="n"/>
      <c r="C526" s="98" t="n"/>
      <c r="D526" s="98" t="n"/>
      <c r="E526" s="98" t="n"/>
      <c r="F526" s="98" t="n"/>
      <c r="G526" s="98" t="n"/>
      <c r="H526" s="98" t="n"/>
      <c r="I526" s="98"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147" t="n"/>
      <c r="B527" s="98" t="n"/>
      <c r="C527" s="98" t="n"/>
      <c r="D527" s="98" t="n"/>
      <c r="E527" s="98" t="n"/>
      <c r="F527" s="98" t="n"/>
      <c r="G527" s="98" t="n"/>
      <c r="H527" s="98" t="n"/>
      <c r="I527" s="98"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147" t="n"/>
      <c r="B528" s="98" t="n"/>
      <c r="C528" s="98" t="n"/>
      <c r="D528" s="98" t="n"/>
      <c r="E528" s="98" t="n"/>
      <c r="F528" s="98" t="n"/>
      <c r="G528" s="98" t="n"/>
      <c r="H528" s="98" t="n"/>
      <c r="I528" s="98"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147" t="n"/>
      <c r="B529" s="98" t="n"/>
      <c r="C529" s="98" t="n"/>
      <c r="D529" s="98" t="n"/>
      <c r="E529" s="98" t="n"/>
      <c r="F529" s="98" t="n"/>
      <c r="G529" s="98" t="n"/>
      <c r="H529" s="98" t="n"/>
      <c r="I529" s="98"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147" t="n"/>
      <c r="B530" s="98" t="n"/>
      <c r="C530" s="98" t="n"/>
      <c r="D530" s="98" t="n"/>
      <c r="E530" s="98" t="n"/>
      <c r="F530" s="98" t="n"/>
      <c r="G530" s="98" t="n"/>
      <c r="H530" s="98" t="n"/>
      <c r="I530" s="98"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147" t="n"/>
      <c r="B531" s="98" t="n"/>
      <c r="C531" s="98" t="n"/>
      <c r="D531" s="98" t="n"/>
      <c r="E531" s="98" t="n"/>
      <c r="F531" s="98" t="n"/>
      <c r="G531" s="98" t="n"/>
      <c r="H531" s="98" t="n"/>
      <c r="I531" s="98"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147" t="n"/>
      <c r="B532" s="98" t="n"/>
      <c r="C532" s="98" t="n"/>
      <c r="D532" s="98" t="n"/>
      <c r="E532" s="98" t="n"/>
      <c r="F532" s="98" t="n"/>
      <c r="G532" s="98" t="n"/>
      <c r="H532" s="98" t="n"/>
      <c r="I532" s="98"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147" t="n"/>
      <c r="B533" s="98" t="n"/>
      <c r="C533" s="98" t="n"/>
      <c r="D533" s="98" t="n"/>
      <c r="E533" s="98" t="n"/>
      <c r="F533" s="98" t="n"/>
      <c r="G533" s="98" t="n"/>
      <c r="H533" s="98" t="n"/>
      <c r="I533" s="98"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147" t="n"/>
      <c r="B534" s="98" t="n"/>
      <c r="C534" s="98" t="n"/>
      <c r="D534" s="98" t="n"/>
      <c r="E534" s="98" t="n"/>
      <c r="F534" s="98" t="n"/>
      <c r="G534" s="98" t="n"/>
      <c r="H534" s="98" t="n"/>
      <c r="I534" s="98"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147" t="n"/>
      <c r="B535" s="98" t="n"/>
      <c r="C535" s="98" t="n"/>
      <c r="D535" s="98" t="n"/>
      <c r="E535" s="98" t="n"/>
      <c r="F535" s="98" t="n"/>
      <c r="G535" s="98" t="n"/>
      <c r="H535" s="98" t="n"/>
      <c r="I535" s="98"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147" t="n"/>
      <c r="B536" s="98" t="n"/>
      <c r="C536" s="98" t="n"/>
      <c r="D536" s="98" t="n"/>
      <c r="E536" s="98" t="n"/>
      <c r="F536" s="98" t="n"/>
      <c r="G536" s="98" t="n"/>
      <c r="H536" s="98" t="n"/>
      <c r="I536" s="98"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147" t="n"/>
      <c r="B537" s="98" t="n"/>
      <c r="C537" s="98" t="n"/>
      <c r="D537" s="98" t="n"/>
      <c r="E537" s="98" t="n"/>
      <c r="F537" s="98" t="n"/>
      <c r="G537" s="98" t="n"/>
      <c r="H537" s="98" t="n"/>
      <c r="I537" s="98"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147" t="n"/>
      <c r="B538" s="98" t="n"/>
      <c r="C538" s="98" t="n"/>
      <c r="D538" s="98" t="n"/>
      <c r="E538" s="98" t="n"/>
      <c r="F538" s="98" t="n"/>
      <c r="G538" s="98" t="n"/>
      <c r="H538" s="98" t="n"/>
      <c r="I538" s="98"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147" t="n"/>
      <c r="B539" s="98" t="n"/>
      <c r="C539" s="98" t="n"/>
      <c r="D539" s="98" t="n"/>
      <c r="E539" s="98" t="n"/>
      <c r="F539" s="98" t="n"/>
      <c r="G539" s="98" t="n"/>
      <c r="H539" s="98" t="n"/>
      <c r="I539" s="98"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147" t="n"/>
      <c r="B540" s="98" t="n"/>
      <c r="C540" s="98" t="n"/>
      <c r="D540" s="98" t="n"/>
      <c r="E540" s="98" t="n"/>
      <c r="F540" s="98" t="n"/>
      <c r="G540" s="98" t="n"/>
      <c r="H540" s="98" t="n"/>
      <c r="I540" s="98"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147" t="n"/>
      <c r="B541" s="98" t="n"/>
      <c r="C541" s="98" t="n"/>
      <c r="D541" s="98" t="n"/>
      <c r="E541" s="98" t="n"/>
      <c r="F541" s="98" t="n"/>
      <c r="G541" s="98" t="n"/>
      <c r="H541" s="98" t="n"/>
      <c r="I541" s="98"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147" t="n"/>
      <c r="B542" s="98" t="n"/>
      <c r="C542" s="98" t="n"/>
      <c r="D542" s="98" t="n"/>
      <c r="E542" s="98" t="n"/>
      <c r="F542" s="98" t="n"/>
      <c r="G542" s="98" t="n"/>
      <c r="H542" s="98" t="n"/>
      <c r="I542" s="98"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147" t="n"/>
      <c r="B543" s="98" t="n"/>
      <c r="C543" s="98" t="n"/>
      <c r="D543" s="98" t="n"/>
      <c r="E543" s="98" t="n"/>
      <c r="F543" s="98" t="n"/>
      <c r="G543" s="98" t="n"/>
      <c r="H543" s="98" t="n"/>
      <c r="I543" s="98"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147" t="n"/>
      <c r="B544" s="98" t="n"/>
      <c r="C544" s="98" t="n"/>
      <c r="D544" s="98" t="n"/>
      <c r="E544" s="98" t="n"/>
      <c r="F544" s="98" t="n"/>
      <c r="G544" s="98" t="n"/>
      <c r="H544" s="98" t="n"/>
      <c r="I544" s="98"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147" t="n"/>
      <c r="B545" s="98" t="n"/>
      <c r="C545" s="98" t="n"/>
      <c r="D545" s="98" t="n"/>
      <c r="E545" s="98" t="n"/>
      <c r="F545" s="98" t="n"/>
      <c r="G545" s="98" t="n"/>
      <c r="H545" s="98" t="n"/>
      <c r="I545" s="98"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147" t="n"/>
      <c r="B546" s="98" t="n"/>
      <c r="C546" s="98" t="n"/>
      <c r="D546" s="98" t="n"/>
      <c r="E546" s="98" t="n"/>
      <c r="F546" s="98" t="n"/>
      <c r="G546" s="98" t="n"/>
      <c r="H546" s="98" t="n"/>
      <c r="I546" s="98"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147" t="n"/>
      <c r="B547" s="98" t="n"/>
      <c r="C547" s="98" t="n"/>
      <c r="D547" s="98" t="n"/>
      <c r="E547" s="98" t="n"/>
      <c r="F547" s="98" t="n"/>
      <c r="G547" s="98" t="n"/>
      <c r="H547" s="98" t="n"/>
      <c r="I547" s="98"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147" t="n"/>
      <c r="B548" s="98" t="n"/>
      <c r="C548" s="98" t="n"/>
      <c r="D548" s="98" t="n"/>
      <c r="E548" s="98" t="n"/>
      <c r="F548" s="98" t="n"/>
      <c r="G548" s="98" t="n"/>
      <c r="H548" s="98" t="n"/>
      <c r="I548" s="98"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147" t="n"/>
      <c r="B549" s="98" t="n"/>
      <c r="C549" s="98" t="n"/>
      <c r="D549" s="98" t="n"/>
      <c r="E549" s="98" t="n"/>
      <c r="F549" s="98" t="n"/>
      <c r="G549" s="98" t="n"/>
      <c r="H549" s="98" t="n"/>
      <c r="I549" s="98"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147" t="n"/>
      <c r="B550" s="98" t="n"/>
      <c r="C550" s="98" t="n"/>
      <c r="D550" s="98" t="n"/>
      <c r="E550" s="98" t="n"/>
      <c r="F550" s="98" t="n"/>
      <c r="G550" s="98" t="n"/>
      <c r="H550" s="98" t="n"/>
      <c r="I550" s="98"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147" t="n"/>
      <c r="B551" s="98" t="n"/>
      <c r="C551" s="98" t="n"/>
      <c r="D551" s="98" t="n"/>
      <c r="E551" s="98" t="n"/>
      <c r="F551" s="98" t="n"/>
      <c r="G551" s="98" t="n"/>
      <c r="H551" s="98" t="n"/>
      <c r="I551" s="98"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147" t="n"/>
      <c r="B552" s="98" t="n"/>
      <c r="C552" s="98" t="n"/>
      <c r="D552" s="98" t="n"/>
      <c r="E552" s="98" t="n"/>
      <c r="F552" s="98" t="n"/>
      <c r="G552" s="98" t="n"/>
      <c r="H552" s="98" t="n"/>
      <c r="I552" s="98"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147" t="n"/>
      <c r="B553" s="98" t="n"/>
      <c r="C553" s="98" t="n"/>
      <c r="D553" s="98" t="n"/>
      <c r="E553" s="98" t="n"/>
      <c r="F553" s="98" t="n"/>
      <c r="G553" s="98" t="n"/>
      <c r="H553" s="98" t="n"/>
      <c r="I553" s="98"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147" t="n"/>
      <c r="B554" s="98" t="n"/>
      <c r="C554" s="98" t="n"/>
      <c r="D554" s="98" t="n"/>
      <c r="E554" s="98" t="n"/>
      <c r="F554" s="98" t="n"/>
      <c r="G554" s="98" t="n"/>
      <c r="H554" s="98" t="n"/>
      <c r="I554" s="98"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147" t="n"/>
      <c r="B555" s="98" t="n"/>
      <c r="C555" s="98" t="n"/>
      <c r="D555" s="98" t="n"/>
      <c r="E555" s="98" t="n"/>
      <c r="F555" s="98" t="n"/>
      <c r="G555" s="98" t="n"/>
      <c r="H555" s="98" t="n"/>
      <c r="I555" s="98"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147" t="n"/>
      <c r="B556" s="98" t="n"/>
      <c r="C556" s="98" t="n"/>
      <c r="D556" s="98" t="n"/>
      <c r="E556" s="98" t="n"/>
      <c r="F556" s="98" t="n"/>
      <c r="G556" s="98" t="n"/>
      <c r="H556" s="98" t="n"/>
      <c r="I556" s="98"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147" t="n"/>
      <c r="B557" s="98" t="n"/>
      <c r="C557" s="98" t="n"/>
      <c r="D557" s="98" t="n"/>
      <c r="E557" s="98" t="n"/>
      <c r="F557" s="98" t="n"/>
      <c r="G557" s="98" t="n"/>
      <c r="H557" s="98" t="n"/>
      <c r="I557" s="98"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147" t="n"/>
      <c r="B558" s="98" t="n"/>
      <c r="C558" s="98" t="n"/>
      <c r="D558" s="98" t="n"/>
      <c r="E558" s="98" t="n"/>
      <c r="F558" s="98" t="n"/>
      <c r="G558" s="98" t="n"/>
      <c r="H558" s="98" t="n"/>
      <c r="I558" s="98"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147" t="n"/>
      <c r="B559" s="98" t="n"/>
      <c r="C559" s="98" t="n"/>
      <c r="D559" s="98" t="n"/>
      <c r="E559" s="98" t="n"/>
      <c r="F559" s="98" t="n"/>
      <c r="G559" s="98" t="n"/>
      <c r="H559" s="98" t="n"/>
      <c r="I559" s="98"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147" t="n"/>
      <c r="B560" s="98" t="n"/>
      <c r="C560" s="98" t="n"/>
      <c r="D560" s="98" t="n"/>
      <c r="E560" s="98" t="n"/>
      <c r="F560" s="98" t="n"/>
      <c r="G560" s="98" t="n"/>
      <c r="H560" s="98" t="n"/>
      <c r="I560" s="98"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147" t="n"/>
      <c r="B561" s="98" t="n"/>
      <c r="C561" s="98" t="n"/>
      <c r="D561" s="98" t="n"/>
      <c r="E561" s="98" t="n"/>
      <c r="F561" s="98" t="n"/>
      <c r="G561" s="98" t="n"/>
      <c r="H561" s="98" t="n"/>
      <c r="I561" s="98"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147" t="n"/>
      <c r="B562" s="98" t="n"/>
      <c r="C562" s="98" t="n"/>
      <c r="D562" s="98" t="n"/>
      <c r="E562" s="98" t="n"/>
      <c r="F562" s="98" t="n"/>
      <c r="G562" s="98" t="n"/>
      <c r="H562" s="98" t="n"/>
      <c r="I562" s="98"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147" t="n"/>
      <c r="B563" s="98" t="n"/>
      <c r="C563" s="98" t="n"/>
      <c r="D563" s="98" t="n"/>
      <c r="E563" s="98" t="n"/>
      <c r="F563" s="98" t="n"/>
      <c r="G563" s="98" t="n"/>
      <c r="H563" s="98" t="n"/>
      <c r="I563" s="98"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147" t="n"/>
      <c r="B564" s="98" t="n"/>
      <c r="C564" s="98" t="n"/>
      <c r="D564" s="98" t="n"/>
      <c r="E564" s="98" t="n"/>
      <c r="F564" s="98" t="n"/>
      <c r="G564" s="98" t="n"/>
      <c r="H564" s="98" t="n"/>
      <c r="I564" s="98"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147" t="n"/>
      <c r="B565" s="98" t="n"/>
      <c r="C565" s="98" t="n"/>
      <c r="D565" s="98" t="n"/>
      <c r="E565" s="98" t="n"/>
      <c r="F565" s="98" t="n"/>
      <c r="G565" s="98" t="n"/>
      <c r="H565" s="98" t="n"/>
      <c r="I565" s="98"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147" t="n"/>
      <c r="B566" s="98" t="n"/>
      <c r="C566" s="98" t="n"/>
      <c r="D566" s="98" t="n"/>
      <c r="E566" s="98" t="n"/>
      <c r="F566" s="98" t="n"/>
      <c r="G566" s="98" t="n"/>
      <c r="H566" s="98" t="n"/>
      <c r="I566" s="98"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147" t="n"/>
      <c r="B567" s="98" t="n"/>
      <c r="C567" s="98" t="n"/>
      <c r="D567" s="98" t="n"/>
      <c r="E567" s="98" t="n"/>
      <c r="F567" s="98" t="n"/>
      <c r="G567" s="98" t="n"/>
      <c r="H567" s="98" t="n"/>
      <c r="I567" s="98"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147" t="n"/>
      <c r="B568" s="98" t="n"/>
      <c r="C568" s="98" t="n"/>
      <c r="D568" s="98" t="n"/>
      <c r="E568" s="98" t="n"/>
      <c r="F568" s="98" t="n"/>
      <c r="G568" s="98" t="n"/>
      <c r="H568" s="98" t="n"/>
      <c r="I568" s="98"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147" t="n"/>
      <c r="B569" s="98" t="n"/>
      <c r="C569" s="98" t="n"/>
      <c r="D569" s="98" t="n"/>
      <c r="E569" s="98" t="n"/>
      <c r="F569" s="98" t="n"/>
      <c r="G569" s="98" t="n"/>
      <c r="H569" s="98" t="n"/>
      <c r="I569" s="98"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147" t="n"/>
      <c r="B570" s="98" t="n"/>
      <c r="C570" s="98" t="n"/>
      <c r="D570" s="98" t="n"/>
      <c r="E570" s="98" t="n"/>
      <c r="F570" s="98" t="n"/>
      <c r="G570" s="98" t="n"/>
      <c r="H570" s="98" t="n"/>
      <c r="I570" s="98"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147" t="n"/>
      <c r="B571" s="98" t="n"/>
      <c r="C571" s="98" t="n"/>
      <c r="D571" s="98" t="n"/>
      <c r="E571" s="98" t="n"/>
      <c r="F571" s="98" t="n"/>
      <c r="G571" s="98" t="n"/>
      <c r="H571" s="98" t="n"/>
      <c r="I571" s="98"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147" t="n"/>
      <c r="B572" s="98" t="n"/>
      <c r="C572" s="98" t="n"/>
      <c r="D572" s="98" t="n"/>
      <c r="E572" s="98" t="n"/>
      <c r="F572" s="98" t="n"/>
      <c r="G572" s="98" t="n"/>
      <c r="H572" s="98" t="n"/>
      <c r="I572" s="98"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147" t="n"/>
      <c r="B573" s="98" t="n"/>
      <c r="C573" s="98" t="n"/>
      <c r="D573" s="98" t="n"/>
      <c r="E573" s="98" t="n"/>
      <c r="F573" s="98" t="n"/>
      <c r="G573" s="98" t="n"/>
      <c r="H573" s="98" t="n"/>
      <c r="I573" s="98"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147" t="n"/>
      <c r="B574" s="98" t="n"/>
      <c r="C574" s="98" t="n"/>
      <c r="D574" s="98" t="n"/>
      <c r="E574" s="98" t="n"/>
      <c r="F574" s="98" t="n"/>
      <c r="G574" s="98" t="n"/>
      <c r="H574" s="98" t="n"/>
      <c r="I574" s="98"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147" t="n"/>
      <c r="B575" s="98" t="n"/>
      <c r="C575" s="98" t="n"/>
      <c r="D575" s="98" t="n"/>
      <c r="E575" s="98" t="n"/>
      <c r="F575" s="98" t="n"/>
      <c r="G575" s="98" t="n"/>
      <c r="H575" s="98" t="n"/>
      <c r="I575" s="98"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147" t="n"/>
      <c r="B576" s="98" t="n"/>
      <c r="C576" s="98" t="n"/>
      <c r="D576" s="98" t="n"/>
      <c r="E576" s="98" t="n"/>
      <c r="F576" s="98" t="n"/>
      <c r="G576" s="98" t="n"/>
      <c r="H576" s="98" t="n"/>
      <c r="I576" s="98"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147" t="n"/>
      <c r="B577" s="98" t="n"/>
      <c r="C577" s="98" t="n"/>
      <c r="D577" s="98" t="n"/>
      <c r="E577" s="98" t="n"/>
      <c r="F577" s="98" t="n"/>
      <c r="G577" s="98" t="n"/>
      <c r="H577" s="98" t="n"/>
      <c r="I577" s="98"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147" t="n"/>
      <c r="B578" s="98" t="n"/>
      <c r="C578" s="98" t="n"/>
      <c r="D578" s="98" t="n"/>
      <c r="E578" s="98" t="n"/>
      <c r="F578" s="98" t="n"/>
      <c r="G578" s="98" t="n"/>
      <c r="H578" s="98" t="n"/>
      <c r="I578" s="98"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147" t="n"/>
      <c r="B579" s="98" t="n"/>
      <c r="C579" s="98" t="n"/>
      <c r="D579" s="98" t="n"/>
      <c r="E579" s="98" t="n"/>
      <c r="F579" s="98" t="n"/>
      <c r="G579" s="98" t="n"/>
      <c r="H579" s="98" t="n"/>
      <c r="I579" s="98"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147" t="n"/>
      <c r="B580" s="98" t="n"/>
      <c r="C580" s="98" t="n"/>
      <c r="D580" s="98" t="n"/>
      <c r="E580" s="98" t="n"/>
      <c r="F580" s="98" t="n"/>
      <c r="G580" s="98" t="n"/>
      <c r="H580" s="98" t="n"/>
      <c r="I580" s="98"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147" t="n"/>
      <c r="B581" s="98" t="n"/>
      <c r="C581" s="98" t="n"/>
      <c r="D581" s="98" t="n"/>
      <c r="E581" s="98" t="n"/>
      <c r="F581" s="98" t="n"/>
      <c r="G581" s="98" t="n"/>
      <c r="H581" s="98" t="n"/>
      <c r="I581" s="98"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147" t="n"/>
      <c r="B582" s="98" t="n"/>
      <c r="C582" s="98" t="n"/>
      <c r="D582" s="98" t="n"/>
      <c r="E582" s="98" t="n"/>
      <c r="F582" s="98" t="n"/>
      <c r="G582" s="98" t="n"/>
      <c r="H582" s="98" t="n"/>
      <c r="I582" s="98"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147" t="n"/>
      <c r="B583" s="98" t="n"/>
      <c r="C583" s="98" t="n"/>
      <c r="D583" s="98" t="n"/>
      <c r="E583" s="98" t="n"/>
      <c r="F583" s="98" t="n"/>
      <c r="G583" s="98" t="n"/>
      <c r="H583" s="98" t="n"/>
      <c r="I583" s="98"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147" t="n"/>
      <c r="B584" s="98" t="n"/>
      <c r="C584" s="98" t="n"/>
      <c r="D584" s="98" t="n"/>
      <c r="E584" s="98" t="n"/>
      <c r="F584" s="98" t="n"/>
      <c r="G584" s="98" t="n"/>
      <c r="H584" s="98" t="n"/>
      <c r="I584" s="98"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147" t="n"/>
      <c r="B585" s="98" t="n"/>
      <c r="C585" s="98" t="n"/>
      <c r="D585" s="98" t="n"/>
      <c r="E585" s="98" t="n"/>
      <c r="F585" s="98" t="n"/>
      <c r="G585" s="98" t="n"/>
      <c r="H585" s="98" t="n"/>
      <c r="I585" s="98"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147" t="n"/>
      <c r="B586" s="98" t="n"/>
      <c r="C586" s="98" t="n"/>
      <c r="D586" s="98" t="n"/>
      <c r="E586" s="98" t="n"/>
      <c r="F586" s="98" t="n"/>
      <c r="G586" s="98" t="n"/>
      <c r="H586" s="98" t="n"/>
      <c r="I586" s="98"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147" t="n"/>
      <c r="B587" s="98" t="n"/>
      <c r="C587" s="98" t="n"/>
      <c r="D587" s="98" t="n"/>
      <c r="E587" s="98" t="n"/>
      <c r="F587" s="98" t="n"/>
      <c r="G587" s="98" t="n"/>
      <c r="H587" s="98" t="n"/>
      <c r="I587" s="98"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147" t="n"/>
      <c r="B588" s="98" t="n"/>
      <c r="C588" s="98" t="n"/>
      <c r="D588" s="98" t="n"/>
      <c r="E588" s="98" t="n"/>
      <c r="F588" s="98" t="n"/>
      <c r="G588" s="98" t="n"/>
      <c r="H588" s="98" t="n"/>
      <c r="I588" s="98"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147" t="n"/>
      <c r="B589" s="98" t="n"/>
      <c r="C589" s="98" t="n"/>
      <c r="D589" s="98" t="n"/>
      <c r="E589" s="98" t="n"/>
      <c r="F589" s="98" t="n"/>
      <c r="G589" s="98" t="n"/>
      <c r="H589" s="98" t="n"/>
      <c r="I589" s="98"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147" t="n"/>
      <c r="B590" s="98" t="n"/>
      <c r="C590" s="98" t="n"/>
      <c r="D590" s="98" t="n"/>
      <c r="E590" s="98" t="n"/>
      <c r="F590" s="98" t="n"/>
      <c r="G590" s="98" t="n"/>
      <c r="H590" s="98" t="n"/>
      <c r="I590" s="98"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147" t="n"/>
      <c r="B591" s="98" t="n"/>
      <c r="C591" s="98" t="n"/>
      <c r="D591" s="98" t="n"/>
      <c r="E591" s="98" t="n"/>
      <c r="F591" s="98" t="n"/>
      <c r="G591" s="98" t="n"/>
      <c r="H591" s="98" t="n"/>
      <c r="I591" s="98"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147" t="n"/>
      <c r="B592" s="98" t="n"/>
      <c r="C592" s="98" t="n"/>
      <c r="D592" s="98" t="n"/>
      <c r="E592" s="98" t="n"/>
      <c r="F592" s="98" t="n"/>
      <c r="G592" s="98" t="n"/>
      <c r="H592" s="98" t="n"/>
      <c r="I592" s="98"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147" t="n"/>
      <c r="B593" s="98" t="n"/>
      <c r="C593" s="98" t="n"/>
      <c r="D593" s="98" t="n"/>
      <c r="E593" s="98" t="n"/>
      <c r="F593" s="98" t="n"/>
      <c r="G593" s="98" t="n"/>
      <c r="H593" s="98" t="n"/>
      <c r="I593" s="98"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147" t="n"/>
      <c r="B594" s="98" t="n"/>
      <c r="C594" s="98" t="n"/>
      <c r="D594" s="98" t="n"/>
      <c r="E594" s="98" t="n"/>
      <c r="F594" s="98" t="n"/>
      <c r="G594" s="98" t="n"/>
      <c r="H594" s="98" t="n"/>
      <c r="I594" s="98"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147" t="n"/>
      <c r="B595" s="98" t="n"/>
      <c r="C595" s="98" t="n"/>
      <c r="D595" s="98" t="n"/>
      <c r="E595" s="98" t="n"/>
      <c r="F595" s="98" t="n"/>
      <c r="G595" s="98" t="n"/>
      <c r="H595" s="98" t="n"/>
      <c r="I595" s="98"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147" t="n"/>
      <c r="B596" s="98" t="n"/>
      <c r="C596" s="98" t="n"/>
      <c r="D596" s="98" t="n"/>
      <c r="E596" s="98" t="n"/>
      <c r="F596" s="98" t="n"/>
      <c r="G596" s="98" t="n"/>
      <c r="H596" s="98" t="n"/>
      <c r="I596" s="98"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147" t="n"/>
      <c r="B597" s="98" t="n"/>
      <c r="C597" s="98" t="n"/>
      <c r="D597" s="98" t="n"/>
      <c r="E597" s="98" t="n"/>
      <c r="F597" s="98" t="n"/>
      <c r="G597" s="98" t="n"/>
      <c r="H597" s="98" t="n"/>
      <c r="I597" s="98"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147" t="n"/>
      <c r="B598" s="98" t="n"/>
      <c r="C598" s="98" t="n"/>
      <c r="D598" s="98" t="n"/>
      <c r="E598" s="98" t="n"/>
      <c r="F598" s="98" t="n"/>
      <c r="G598" s="98" t="n"/>
      <c r="H598" s="98" t="n"/>
      <c r="I598" s="98"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147" t="n"/>
      <c r="B599" s="98" t="n"/>
      <c r="C599" s="98" t="n"/>
      <c r="D599" s="98" t="n"/>
      <c r="E599" s="98" t="n"/>
      <c r="F599" s="98" t="n"/>
      <c r="G599" s="98" t="n"/>
      <c r="H599" s="98" t="n"/>
      <c r="I599" s="98"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147" t="n"/>
      <c r="B600" s="98" t="n"/>
      <c r="C600" s="98" t="n"/>
      <c r="D600" s="98" t="n"/>
      <c r="E600" s="98" t="n"/>
      <c r="F600" s="98" t="n"/>
      <c r="G600" s="98" t="n"/>
      <c r="H600" s="98" t="n"/>
      <c r="I600" s="98"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147" t="n"/>
      <c r="B601" s="98" t="n"/>
      <c r="C601" s="98" t="n"/>
      <c r="D601" s="98" t="n"/>
      <c r="E601" s="98" t="n"/>
      <c r="F601" s="98" t="n"/>
      <c r="G601" s="98" t="n"/>
      <c r="H601" s="98" t="n"/>
      <c r="I601" s="98"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147" t="n"/>
      <c r="B602" s="98" t="n"/>
      <c r="C602" s="98" t="n"/>
      <c r="D602" s="98" t="n"/>
      <c r="E602" s="98" t="n"/>
      <c r="F602" s="98" t="n"/>
      <c r="G602" s="98" t="n"/>
      <c r="H602" s="98" t="n"/>
      <c r="I602" s="98"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147" t="n"/>
      <c r="B603" s="98" t="n"/>
      <c r="C603" s="98" t="n"/>
      <c r="D603" s="98" t="n"/>
      <c r="E603" s="98" t="n"/>
      <c r="F603" s="98" t="n"/>
      <c r="G603" s="98" t="n"/>
      <c r="H603" s="98" t="n"/>
      <c r="I603" s="98"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147" t="n"/>
      <c r="B604" s="98" t="n"/>
      <c r="C604" s="98" t="n"/>
      <c r="D604" s="98" t="n"/>
      <c r="E604" s="98" t="n"/>
      <c r="F604" s="98" t="n"/>
      <c r="G604" s="98" t="n"/>
      <c r="H604" s="98" t="n"/>
      <c r="I604" s="98"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147" t="n"/>
      <c r="B605" s="98" t="n"/>
      <c r="C605" s="98" t="n"/>
      <c r="D605" s="98" t="n"/>
      <c r="E605" s="98" t="n"/>
      <c r="F605" s="98" t="n"/>
      <c r="G605" s="98" t="n"/>
      <c r="H605" s="98" t="n"/>
      <c r="I605" s="98"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147" t="n"/>
      <c r="B606" s="98" t="n"/>
      <c r="C606" s="98" t="n"/>
      <c r="D606" s="98" t="n"/>
      <c r="E606" s="98" t="n"/>
      <c r="F606" s="98" t="n"/>
      <c r="G606" s="98" t="n"/>
      <c r="H606" s="98" t="n"/>
      <c r="I606" s="98"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147" t="n"/>
      <c r="B607" s="98" t="n"/>
      <c r="C607" s="98" t="n"/>
      <c r="D607" s="98" t="n"/>
      <c r="E607" s="98" t="n"/>
      <c r="F607" s="98" t="n"/>
      <c r="G607" s="98" t="n"/>
      <c r="H607" s="98" t="n"/>
      <c r="I607" s="98"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147" t="n"/>
      <c r="B608" s="98" t="n"/>
      <c r="C608" s="98" t="n"/>
      <c r="D608" s="98" t="n"/>
      <c r="E608" s="98" t="n"/>
      <c r="F608" s="98" t="n"/>
      <c r="G608" s="98" t="n"/>
      <c r="H608" s="98" t="n"/>
      <c r="I608" s="98"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147" t="n"/>
      <c r="B609" s="98" t="n"/>
      <c r="C609" s="98" t="n"/>
      <c r="D609" s="98" t="n"/>
      <c r="E609" s="98" t="n"/>
      <c r="F609" s="98" t="n"/>
      <c r="G609" s="98" t="n"/>
      <c r="H609" s="98" t="n"/>
      <c r="I609" s="98"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147" t="n"/>
      <c r="B610" s="98" t="n"/>
      <c r="C610" s="98" t="n"/>
      <c r="D610" s="98" t="n"/>
      <c r="E610" s="98" t="n"/>
      <c r="F610" s="98" t="n"/>
      <c r="G610" s="98" t="n"/>
      <c r="H610" s="98" t="n"/>
      <c r="I610" s="98"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147" t="n"/>
      <c r="B611" s="98" t="n"/>
      <c r="C611" s="98" t="n"/>
      <c r="D611" s="98" t="n"/>
      <c r="E611" s="98" t="n"/>
      <c r="F611" s="98" t="n"/>
      <c r="G611" s="98" t="n"/>
      <c r="H611" s="98" t="n"/>
      <c r="I611" s="98"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147" t="n"/>
      <c r="B612" s="98" t="n"/>
      <c r="C612" s="98" t="n"/>
      <c r="D612" s="98" t="n"/>
      <c r="E612" s="98" t="n"/>
      <c r="F612" s="98" t="n"/>
      <c r="G612" s="98" t="n"/>
      <c r="H612" s="98" t="n"/>
      <c r="I612" s="98"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147" t="n"/>
      <c r="B613" s="98" t="n"/>
      <c r="C613" s="98" t="n"/>
      <c r="D613" s="98" t="n"/>
      <c r="E613" s="98" t="n"/>
      <c r="F613" s="98" t="n"/>
      <c r="G613" s="98" t="n"/>
      <c r="H613" s="98" t="n"/>
      <c r="I613" s="98"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147" t="n"/>
      <c r="B614" s="98" t="n"/>
      <c r="C614" s="98" t="n"/>
      <c r="D614" s="98" t="n"/>
      <c r="E614" s="98" t="n"/>
      <c r="F614" s="98" t="n"/>
      <c r="G614" s="98" t="n"/>
      <c r="H614" s="98" t="n"/>
      <c r="I614" s="98"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147" t="n"/>
      <c r="B615" s="98" t="n"/>
      <c r="C615" s="98" t="n"/>
      <c r="D615" s="98" t="n"/>
      <c r="E615" s="98" t="n"/>
      <c r="F615" s="98" t="n"/>
      <c r="G615" s="98" t="n"/>
      <c r="H615" s="98" t="n"/>
      <c r="I615" s="98"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147" t="n"/>
      <c r="B616" s="98" t="n"/>
      <c r="C616" s="98" t="n"/>
      <c r="D616" s="98" t="n"/>
      <c r="E616" s="98" t="n"/>
      <c r="F616" s="98" t="n"/>
      <c r="G616" s="98" t="n"/>
      <c r="H616" s="98" t="n"/>
      <c r="I616" s="98"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147" t="n"/>
      <c r="B617" s="98" t="n"/>
      <c r="C617" s="98" t="n"/>
      <c r="D617" s="98" t="n"/>
      <c r="E617" s="98" t="n"/>
      <c r="F617" s="98" t="n"/>
      <c r="G617" s="98" t="n"/>
      <c r="H617" s="98" t="n"/>
      <c r="I617" s="98"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147" t="n"/>
      <c r="B618" s="98" t="n"/>
      <c r="C618" s="98" t="n"/>
      <c r="D618" s="98" t="n"/>
      <c r="E618" s="98" t="n"/>
      <c r="F618" s="98" t="n"/>
      <c r="G618" s="98" t="n"/>
      <c r="H618" s="98" t="n"/>
      <c r="I618" s="98"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147" t="n"/>
      <c r="B619" s="98" t="n"/>
      <c r="C619" s="98" t="n"/>
      <c r="D619" s="98" t="n"/>
      <c r="E619" s="98" t="n"/>
      <c r="F619" s="98" t="n"/>
      <c r="G619" s="98" t="n"/>
      <c r="H619" s="98" t="n"/>
      <c r="I619" s="98"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147" t="n"/>
      <c r="B620" s="98" t="n"/>
      <c r="C620" s="98" t="n"/>
      <c r="D620" s="98" t="n"/>
      <c r="E620" s="98" t="n"/>
      <c r="F620" s="98" t="n"/>
      <c r="G620" s="98" t="n"/>
      <c r="H620" s="98" t="n"/>
      <c r="I620" s="98"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147" t="n"/>
      <c r="B621" s="98" t="n"/>
      <c r="C621" s="98" t="n"/>
      <c r="D621" s="98" t="n"/>
      <c r="E621" s="98" t="n"/>
      <c r="F621" s="98" t="n"/>
      <c r="G621" s="98" t="n"/>
      <c r="H621" s="98" t="n"/>
      <c r="I621" s="98"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147" t="n"/>
      <c r="B622" s="98" t="n"/>
      <c r="C622" s="98" t="n"/>
      <c r="D622" s="98" t="n"/>
      <c r="E622" s="98" t="n"/>
      <c r="F622" s="98" t="n"/>
      <c r="G622" s="98" t="n"/>
      <c r="H622" s="98" t="n"/>
      <c r="I622" s="98"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147" t="n"/>
      <c r="B623" s="98" t="n"/>
      <c r="C623" s="98" t="n"/>
      <c r="D623" s="98" t="n"/>
      <c r="E623" s="98" t="n"/>
      <c r="F623" s="98" t="n"/>
      <c r="G623" s="98" t="n"/>
      <c r="H623" s="98" t="n"/>
      <c r="I623" s="98"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147" t="n"/>
      <c r="B624" s="98" t="n"/>
      <c r="C624" s="98" t="n"/>
      <c r="D624" s="98" t="n"/>
      <c r="E624" s="98" t="n"/>
      <c r="F624" s="98" t="n"/>
      <c r="G624" s="98" t="n"/>
      <c r="H624" s="98" t="n"/>
      <c r="I624" s="98"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147" t="n"/>
      <c r="B625" s="98" t="n"/>
      <c r="C625" s="98" t="n"/>
      <c r="D625" s="98" t="n"/>
      <c r="E625" s="98" t="n"/>
      <c r="F625" s="98" t="n"/>
      <c r="G625" s="98" t="n"/>
      <c r="H625" s="98" t="n"/>
      <c r="I625" s="98"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147" t="n"/>
      <c r="B626" s="98" t="n"/>
      <c r="C626" s="98" t="n"/>
      <c r="D626" s="98" t="n"/>
      <c r="E626" s="98" t="n"/>
      <c r="F626" s="98" t="n"/>
      <c r="G626" s="98" t="n"/>
      <c r="H626" s="98" t="n"/>
      <c r="I626" s="98"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147" t="n"/>
      <c r="B627" s="98" t="n"/>
      <c r="C627" s="98" t="n"/>
      <c r="D627" s="98" t="n"/>
      <c r="E627" s="98" t="n"/>
      <c r="F627" s="98" t="n"/>
      <c r="G627" s="98" t="n"/>
      <c r="H627" s="98" t="n"/>
      <c r="I627" s="98"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147" t="n"/>
      <c r="B628" s="98" t="n"/>
      <c r="C628" s="98" t="n"/>
      <c r="D628" s="98" t="n"/>
      <c r="E628" s="98" t="n"/>
      <c r="F628" s="98" t="n"/>
      <c r="G628" s="98" t="n"/>
      <c r="H628" s="98" t="n"/>
      <c r="I628" s="98"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147" t="n"/>
      <c r="B629" s="98" t="n"/>
      <c r="C629" s="98" t="n"/>
      <c r="D629" s="98" t="n"/>
      <c r="E629" s="98" t="n"/>
      <c r="F629" s="98" t="n"/>
      <c r="G629" s="98" t="n"/>
      <c r="H629" s="98" t="n"/>
      <c r="I629" s="98"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147" t="n"/>
      <c r="B630" s="98" t="n"/>
      <c r="C630" s="98" t="n"/>
      <c r="D630" s="98" t="n"/>
      <c r="E630" s="98" t="n"/>
      <c r="F630" s="98" t="n"/>
      <c r="G630" s="98" t="n"/>
      <c r="H630" s="98" t="n"/>
      <c r="I630" s="98"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147" t="n"/>
      <c r="B631" s="98" t="n"/>
      <c r="C631" s="98" t="n"/>
      <c r="D631" s="98" t="n"/>
      <c r="E631" s="98" t="n"/>
      <c r="F631" s="98" t="n"/>
      <c r="G631" s="98" t="n"/>
      <c r="H631" s="98" t="n"/>
      <c r="I631" s="98"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147" t="n"/>
      <c r="B632" s="98" t="n"/>
      <c r="C632" s="98" t="n"/>
      <c r="D632" s="98" t="n"/>
      <c r="E632" s="98" t="n"/>
      <c r="F632" s="98" t="n"/>
      <c r="G632" s="98" t="n"/>
      <c r="H632" s="98" t="n"/>
      <c r="I632" s="98"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147" t="n"/>
      <c r="B633" s="98" t="n"/>
      <c r="C633" s="98" t="n"/>
      <c r="D633" s="98" t="n"/>
      <c r="E633" s="98" t="n"/>
      <c r="F633" s="98" t="n"/>
      <c r="G633" s="98" t="n"/>
      <c r="H633" s="98" t="n"/>
      <c r="I633" s="98"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147" t="n"/>
      <c r="B634" s="98" t="n"/>
      <c r="C634" s="98" t="n"/>
      <c r="D634" s="98" t="n"/>
      <c r="E634" s="98" t="n"/>
      <c r="F634" s="98" t="n"/>
      <c r="G634" s="98" t="n"/>
      <c r="H634" s="98" t="n"/>
      <c r="I634" s="98"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147" t="n"/>
      <c r="B635" s="98" t="n"/>
      <c r="C635" s="98" t="n"/>
      <c r="D635" s="98" t="n"/>
      <c r="E635" s="98" t="n"/>
      <c r="F635" s="98" t="n"/>
      <c r="G635" s="98" t="n"/>
      <c r="H635" s="98" t="n"/>
      <c r="I635" s="98"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147" t="n"/>
      <c r="B636" s="98" t="n"/>
      <c r="C636" s="98" t="n"/>
      <c r="D636" s="98" t="n"/>
      <c r="E636" s="98" t="n"/>
      <c r="F636" s="98" t="n"/>
      <c r="G636" s="98" t="n"/>
      <c r="H636" s="98" t="n"/>
      <c r="I636" s="98"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147" t="n"/>
      <c r="B637" s="98" t="n"/>
      <c r="C637" s="98" t="n"/>
      <c r="D637" s="98" t="n"/>
      <c r="E637" s="98" t="n"/>
      <c r="F637" s="98" t="n"/>
      <c r="G637" s="98" t="n"/>
      <c r="H637" s="98" t="n"/>
      <c r="I637" s="98"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147" t="n"/>
      <c r="B638" s="98" t="n"/>
      <c r="C638" s="98" t="n"/>
      <c r="D638" s="98" t="n"/>
      <c r="E638" s="98" t="n"/>
      <c r="F638" s="98" t="n"/>
      <c r="G638" s="98" t="n"/>
      <c r="H638" s="98" t="n"/>
      <c r="I638" s="98"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147" t="n"/>
      <c r="B639" s="98" t="n"/>
      <c r="C639" s="98" t="n"/>
      <c r="D639" s="98" t="n"/>
      <c r="E639" s="98" t="n"/>
      <c r="F639" s="98" t="n"/>
      <c r="G639" s="98" t="n"/>
      <c r="H639" s="98" t="n"/>
      <c r="I639" s="98"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147" t="n"/>
      <c r="B640" s="98" t="n"/>
      <c r="C640" s="98" t="n"/>
      <c r="D640" s="98" t="n"/>
      <c r="E640" s="98" t="n"/>
      <c r="F640" s="98" t="n"/>
      <c r="G640" s="98" t="n"/>
      <c r="H640" s="98" t="n"/>
      <c r="I640" s="98"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147" t="n"/>
      <c r="B641" s="98" t="n"/>
      <c r="C641" s="98" t="n"/>
      <c r="D641" s="98" t="n"/>
      <c r="E641" s="98" t="n"/>
      <c r="F641" s="98" t="n"/>
      <c r="G641" s="98" t="n"/>
      <c r="H641" s="98" t="n"/>
      <c r="I641" s="98"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147" t="n"/>
      <c r="B642" s="98" t="n"/>
      <c r="C642" s="98" t="n"/>
      <c r="D642" s="98" t="n"/>
      <c r="E642" s="98" t="n"/>
      <c r="F642" s="98" t="n"/>
      <c r="G642" s="98" t="n"/>
      <c r="H642" s="98" t="n"/>
      <c r="I642" s="98"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147" t="n"/>
      <c r="B643" s="98" t="n"/>
      <c r="C643" s="98" t="n"/>
      <c r="D643" s="98" t="n"/>
      <c r="E643" s="98" t="n"/>
      <c r="F643" s="98" t="n"/>
      <c r="G643" s="98" t="n"/>
      <c r="H643" s="98" t="n"/>
      <c r="I643" s="98"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147" t="n"/>
      <c r="B644" s="98" t="n"/>
      <c r="C644" s="98" t="n"/>
      <c r="D644" s="98" t="n"/>
      <c r="E644" s="98" t="n"/>
      <c r="F644" s="98" t="n"/>
      <c r="G644" s="98" t="n"/>
      <c r="H644" s="98" t="n"/>
      <c r="I644" s="98"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147" t="n"/>
      <c r="B645" s="98" t="n"/>
      <c r="C645" s="98" t="n"/>
      <c r="D645" s="98" t="n"/>
      <c r="E645" s="98" t="n"/>
      <c r="F645" s="98" t="n"/>
      <c r="G645" s="98" t="n"/>
      <c r="H645" s="98" t="n"/>
      <c r="I645" s="98"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147" t="n"/>
      <c r="B646" s="98" t="n"/>
      <c r="C646" s="98" t="n"/>
      <c r="D646" s="98" t="n"/>
      <c r="E646" s="98" t="n"/>
      <c r="F646" s="98" t="n"/>
      <c r="G646" s="98" t="n"/>
      <c r="H646" s="98" t="n"/>
      <c r="I646" s="98"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147" t="n"/>
      <c r="B647" s="98" t="n"/>
      <c r="C647" s="98" t="n"/>
      <c r="D647" s="98" t="n"/>
      <c r="E647" s="98" t="n"/>
      <c r="F647" s="98" t="n"/>
      <c r="G647" s="98" t="n"/>
      <c r="H647" s="98" t="n"/>
      <c r="I647" s="98"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147" t="n"/>
      <c r="B648" s="98" t="n"/>
      <c r="C648" s="98" t="n"/>
      <c r="D648" s="98" t="n"/>
      <c r="E648" s="98" t="n"/>
      <c r="F648" s="98" t="n"/>
      <c r="G648" s="98" t="n"/>
      <c r="H648" s="98" t="n"/>
      <c r="I648" s="98"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147" t="n"/>
      <c r="B649" s="98" t="n"/>
      <c r="C649" s="98" t="n"/>
      <c r="D649" s="98" t="n"/>
      <c r="E649" s="98" t="n"/>
      <c r="F649" s="98" t="n"/>
      <c r="G649" s="98" t="n"/>
      <c r="H649" s="98" t="n"/>
      <c r="I649" s="98"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147" t="n"/>
      <c r="B650" s="98" t="n"/>
      <c r="C650" s="98" t="n"/>
      <c r="D650" s="98" t="n"/>
      <c r="E650" s="98" t="n"/>
      <c r="F650" s="98" t="n"/>
      <c r="G650" s="98" t="n"/>
      <c r="H650" s="98" t="n"/>
      <c r="I650" s="98"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147" t="n"/>
      <c r="B651" s="98" t="n"/>
      <c r="C651" s="98" t="n"/>
      <c r="D651" s="98" t="n"/>
      <c r="E651" s="98" t="n"/>
      <c r="F651" s="98" t="n"/>
      <c r="G651" s="98" t="n"/>
      <c r="H651" s="98" t="n"/>
      <c r="I651" s="98"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147" t="n"/>
      <c r="B652" s="98" t="n"/>
      <c r="C652" s="98" t="n"/>
      <c r="D652" s="98" t="n"/>
      <c r="E652" s="98" t="n"/>
      <c r="F652" s="98" t="n"/>
      <c r="G652" s="98" t="n"/>
      <c r="H652" s="98" t="n"/>
      <c r="I652" s="98"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147" t="n"/>
      <c r="B653" s="98" t="n"/>
      <c r="C653" s="98" t="n"/>
      <c r="D653" s="98" t="n"/>
      <c r="E653" s="98" t="n"/>
      <c r="F653" s="98" t="n"/>
      <c r="G653" s="98" t="n"/>
      <c r="H653" s="98" t="n"/>
      <c r="I653" s="98"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147" t="n"/>
      <c r="B654" s="98" t="n"/>
      <c r="C654" s="98" t="n"/>
      <c r="D654" s="98" t="n"/>
      <c r="E654" s="98" t="n"/>
      <c r="F654" s="98" t="n"/>
      <c r="G654" s="98" t="n"/>
      <c r="H654" s="98" t="n"/>
      <c r="I654" s="98"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147" t="n"/>
      <c r="B655" s="98" t="n"/>
      <c r="C655" s="98" t="n"/>
      <c r="D655" s="98" t="n"/>
      <c r="E655" s="98" t="n"/>
      <c r="F655" s="98" t="n"/>
      <c r="G655" s="98" t="n"/>
      <c r="H655" s="98" t="n"/>
      <c r="I655" s="98"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147" t="n"/>
      <c r="B656" s="98" t="n"/>
      <c r="C656" s="98" t="n"/>
      <c r="D656" s="98" t="n"/>
      <c r="E656" s="98" t="n"/>
      <c r="F656" s="98" t="n"/>
      <c r="G656" s="98" t="n"/>
      <c r="H656" s="98" t="n"/>
      <c r="I656" s="98"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147" t="n"/>
      <c r="B657" s="98" t="n"/>
      <c r="C657" s="98" t="n"/>
      <c r="D657" s="98" t="n"/>
      <c r="E657" s="98" t="n"/>
      <c r="F657" s="98" t="n"/>
      <c r="G657" s="98" t="n"/>
      <c r="H657" s="98" t="n"/>
      <c r="I657" s="98"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147" t="n"/>
      <c r="B658" s="98" t="n"/>
      <c r="C658" s="98" t="n"/>
      <c r="D658" s="98" t="n"/>
      <c r="E658" s="98" t="n"/>
      <c r="F658" s="98" t="n"/>
      <c r="G658" s="98" t="n"/>
      <c r="H658" s="98" t="n"/>
      <c r="I658" s="98"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147" t="n"/>
      <c r="B659" s="98" t="n"/>
      <c r="C659" s="98" t="n"/>
      <c r="D659" s="98" t="n"/>
      <c r="E659" s="98" t="n"/>
      <c r="F659" s="98" t="n"/>
      <c r="G659" s="98" t="n"/>
      <c r="H659" s="98" t="n"/>
      <c r="I659" s="98"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147" t="n"/>
      <c r="B660" s="98" t="n"/>
      <c r="C660" s="98" t="n"/>
      <c r="D660" s="98" t="n"/>
      <c r="E660" s="98" t="n"/>
      <c r="F660" s="98" t="n"/>
      <c r="G660" s="98" t="n"/>
      <c r="H660" s="98" t="n"/>
      <c r="I660" s="98"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147" t="n"/>
      <c r="B661" s="98" t="n"/>
      <c r="C661" s="98" t="n"/>
      <c r="D661" s="98" t="n"/>
      <c r="E661" s="98" t="n"/>
      <c r="F661" s="98" t="n"/>
      <c r="G661" s="98" t="n"/>
      <c r="H661" s="98" t="n"/>
      <c r="I661" s="98"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147" t="n"/>
      <c r="B662" s="98" t="n"/>
      <c r="C662" s="98" t="n"/>
      <c r="D662" s="98" t="n"/>
      <c r="E662" s="98" t="n"/>
      <c r="F662" s="98" t="n"/>
      <c r="G662" s="98" t="n"/>
      <c r="H662" s="98" t="n"/>
      <c r="I662" s="98"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147" t="n"/>
      <c r="B663" s="98" t="n"/>
      <c r="C663" s="98" t="n"/>
      <c r="D663" s="98" t="n"/>
      <c r="E663" s="98" t="n"/>
      <c r="F663" s="98" t="n"/>
      <c r="G663" s="98" t="n"/>
      <c r="H663" s="98" t="n"/>
      <c r="I663" s="98"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147" t="n"/>
      <c r="B664" s="98" t="n"/>
      <c r="C664" s="98" t="n"/>
      <c r="D664" s="98" t="n"/>
      <c r="E664" s="98" t="n"/>
      <c r="F664" s="98" t="n"/>
      <c r="G664" s="98" t="n"/>
      <c r="H664" s="98" t="n"/>
      <c r="I664" s="98"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147" t="n"/>
      <c r="B665" s="98" t="n"/>
      <c r="C665" s="98" t="n"/>
      <c r="D665" s="98" t="n"/>
      <c r="E665" s="98" t="n"/>
      <c r="F665" s="98" t="n"/>
      <c r="G665" s="98" t="n"/>
      <c r="H665" s="98" t="n"/>
      <c r="I665" s="98"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147" t="n"/>
      <c r="B666" s="98" t="n"/>
      <c r="C666" s="98" t="n"/>
      <c r="D666" s="98" t="n"/>
      <c r="E666" s="98" t="n"/>
      <c r="F666" s="98" t="n"/>
      <c r="G666" s="98" t="n"/>
      <c r="H666" s="98" t="n"/>
      <c r="I666" s="98"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147" t="n"/>
      <c r="B667" s="98" t="n"/>
      <c r="C667" s="98" t="n"/>
      <c r="D667" s="98" t="n"/>
      <c r="E667" s="98" t="n"/>
      <c r="F667" s="98" t="n"/>
      <c r="G667" s="98" t="n"/>
      <c r="H667" s="98" t="n"/>
      <c r="I667" s="98"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147" t="n"/>
      <c r="B668" s="98" t="n"/>
      <c r="C668" s="98" t="n"/>
      <c r="D668" s="98" t="n"/>
      <c r="E668" s="98" t="n"/>
      <c r="F668" s="98" t="n"/>
      <c r="G668" s="98" t="n"/>
      <c r="H668" s="98" t="n"/>
      <c r="I668" s="98"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147" t="n"/>
      <c r="B669" s="98" t="n"/>
      <c r="C669" s="98" t="n"/>
      <c r="D669" s="98" t="n"/>
      <c r="E669" s="98" t="n"/>
      <c r="F669" s="98" t="n"/>
      <c r="G669" s="98" t="n"/>
      <c r="H669" s="98" t="n"/>
      <c r="I669" s="98"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147" t="n"/>
      <c r="B670" s="98" t="n"/>
      <c r="C670" s="98" t="n"/>
      <c r="D670" s="98" t="n"/>
      <c r="E670" s="98" t="n"/>
      <c r="F670" s="98" t="n"/>
      <c r="G670" s="98" t="n"/>
      <c r="H670" s="98" t="n"/>
      <c r="I670" s="98"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147" t="n"/>
      <c r="B671" s="98" t="n"/>
      <c r="C671" s="98" t="n"/>
      <c r="D671" s="98" t="n"/>
      <c r="E671" s="98" t="n"/>
      <c r="F671" s="98" t="n"/>
      <c r="G671" s="98" t="n"/>
      <c r="H671" s="98" t="n"/>
      <c r="I671" s="98"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147" t="n"/>
      <c r="B672" s="98" t="n"/>
      <c r="C672" s="98" t="n"/>
      <c r="D672" s="98" t="n"/>
      <c r="E672" s="98" t="n"/>
      <c r="F672" s="98" t="n"/>
      <c r="G672" s="98" t="n"/>
      <c r="H672" s="98" t="n"/>
      <c r="I672" s="98"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147" t="n"/>
      <c r="B673" s="98" t="n"/>
      <c r="C673" s="98" t="n"/>
      <c r="D673" s="98" t="n"/>
      <c r="E673" s="98" t="n"/>
      <c r="F673" s="98" t="n"/>
      <c r="G673" s="98" t="n"/>
      <c r="H673" s="98" t="n"/>
      <c r="I673" s="98"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147" t="n"/>
      <c r="B674" s="98" t="n"/>
      <c r="C674" s="98" t="n"/>
      <c r="D674" s="98" t="n"/>
      <c r="E674" s="98" t="n"/>
      <c r="F674" s="98" t="n"/>
      <c r="G674" s="98" t="n"/>
      <c r="H674" s="98" t="n"/>
      <c r="I674" s="98"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147" t="n"/>
      <c r="B675" s="98" t="n"/>
      <c r="C675" s="98" t="n"/>
      <c r="D675" s="98" t="n"/>
      <c r="E675" s="98" t="n"/>
      <c r="F675" s="98" t="n"/>
      <c r="G675" s="98" t="n"/>
      <c r="H675" s="98" t="n"/>
      <c r="I675" s="98"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147" t="n"/>
      <c r="B676" s="98" t="n"/>
      <c r="C676" s="98" t="n"/>
      <c r="D676" s="98" t="n"/>
      <c r="E676" s="98" t="n"/>
      <c r="F676" s="98" t="n"/>
      <c r="G676" s="98" t="n"/>
      <c r="H676" s="98" t="n"/>
      <c r="I676" s="98"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147" t="n"/>
      <c r="B677" s="98" t="n"/>
      <c r="C677" s="98" t="n"/>
      <c r="D677" s="98" t="n"/>
      <c r="E677" s="98" t="n"/>
      <c r="F677" s="98" t="n"/>
      <c r="G677" s="98" t="n"/>
      <c r="H677" s="98" t="n"/>
      <c r="I677" s="98"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147" t="n"/>
      <c r="B678" s="98" t="n"/>
      <c r="C678" s="98" t="n"/>
      <c r="D678" s="98" t="n"/>
      <c r="E678" s="98" t="n"/>
      <c r="F678" s="98" t="n"/>
      <c r="G678" s="98" t="n"/>
      <c r="H678" s="98" t="n"/>
      <c r="I678" s="98"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147" t="n"/>
      <c r="B679" s="98" t="n"/>
      <c r="C679" s="98" t="n"/>
      <c r="D679" s="98" t="n"/>
      <c r="E679" s="98" t="n"/>
      <c r="F679" s="98" t="n"/>
      <c r="G679" s="98" t="n"/>
      <c r="H679" s="98" t="n"/>
      <c r="I679" s="98"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147" t="n"/>
      <c r="B680" s="98" t="n"/>
      <c r="C680" s="98" t="n"/>
      <c r="D680" s="98" t="n"/>
      <c r="E680" s="98" t="n"/>
      <c r="F680" s="98" t="n"/>
      <c r="G680" s="98" t="n"/>
      <c r="H680" s="98" t="n"/>
      <c r="I680" s="98"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147" t="n"/>
      <c r="B681" s="98" t="n"/>
      <c r="C681" s="98" t="n"/>
      <c r="D681" s="98" t="n"/>
      <c r="E681" s="98" t="n"/>
      <c r="F681" s="98" t="n"/>
      <c r="G681" s="98" t="n"/>
      <c r="H681" s="98" t="n"/>
      <c r="I681" s="98"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147" t="n"/>
      <c r="B682" s="98" t="n"/>
      <c r="C682" s="98" t="n"/>
      <c r="D682" s="98" t="n"/>
      <c r="E682" s="98" t="n"/>
      <c r="F682" s="98" t="n"/>
      <c r="G682" s="98" t="n"/>
      <c r="H682" s="98" t="n"/>
      <c r="I682" s="98"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147" t="n"/>
      <c r="B683" s="98" t="n"/>
      <c r="C683" s="98" t="n"/>
      <c r="D683" s="98" t="n"/>
      <c r="E683" s="98" t="n"/>
      <c r="F683" s="98" t="n"/>
      <c r="G683" s="98" t="n"/>
      <c r="H683" s="98" t="n"/>
      <c r="I683" s="98"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147" t="n"/>
      <c r="B684" s="98" t="n"/>
      <c r="C684" s="98" t="n"/>
      <c r="D684" s="98" t="n"/>
      <c r="E684" s="98" t="n"/>
      <c r="F684" s="98" t="n"/>
      <c r="G684" s="98" t="n"/>
      <c r="H684" s="98" t="n"/>
      <c r="I684" s="98"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147" t="n"/>
      <c r="B685" s="98" t="n"/>
      <c r="C685" s="98" t="n"/>
      <c r="D685" s="98" t="n"/>
      <c r="E685" s="98" t="n"/>
      <c r="F685" s="98" t="n"/>
      <c r="G685" s="98" t="n"/>
      <c r="H685" s="98" t="n"/>
      <c r="I685" s="98"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147" t="n"/>
      <c r="B686" s="98" t="n"/>
      <c r="C686" s="98" t="n"/>
      <c r="D686" s="98" t="n"/>
      <c r="E686" s="98" t="n"/>
      <c r="F686" s="98" t="n"/>
      <c r="G686" s="98" t="n"/>
      <c r="H686" s="98" t="n"/>
      <c r="I686" s="98"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147" t="n"/>
      <c r="B687" s="98" t="n"/>
      <c r="C687" s="98" t="n"/>
      <c r="D687" s="98" t="n"/>
      <c r="E687" s="98" t="n"/>
      <c r="F687" s="98" t="n"/>
      <c r="G687" s="98" t="n"/>
      <c r="H687" s="98" t="n"/>
      <c r="I687" s="98"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147" t="n"/>
      <c r="B688" s="98" t="n"/>
      <c r="C688" s="98" t="n"/>
      <c r="D688" s="98" t="n"/>
      <c r="E688" s="98" t="n"/>
      <c r="F688" s="98" t="n"/>
      <c r="G688" s="98" t="n"/>
      <c r="H688" s="98" t="n"/>
      <c r="I688" s="98"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147" t="n"/>
      <c r="B689" s="98" t="n"/>
      <c r="C689" s="98" t="n"/>
      <c r="D689" s="98" t="n"/>
      <c r="E689" s="98" t="n"/>
      <c r="F689" s="98" t="n"/>
      <c r="G689" s="98" t="n"/>
      <c r="H689" s="98" t="n"/>
      <c r="I689" s="98"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147" t="n"/>
      <c r="B690" s="98" t="n"/>
      <c r="C690" s="98" t="n"/>
      <c r="D690" s="98" t="n"/>
      <c r="E690" s="98" t="n"/>
      <c r="F690" s="98" t="n"/>
      <c r="G690" s="98" t="n"/>
      <c r="H690" s="98" t="n"/>
      <c r="I690" s="98"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147" t="n"/>
      <c r="B691" s="98" t="n"/>
      <c r="C691" s="98" t="n"/>
      <c r="D691" s="98" t="n"/>
      <c r="E691" s="98" t="n"/>
      <c r="F691" s="98" t="n"/>
      <c r="G691" s="98" t="n"/>
      <c r="H691" s="98" t="n"/>
      <c r="I691" s="98"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147" t="n"/>
      <c r="B692" s="98" t="n"/>
      <c r="C692" s="98" t="n"/>
      <c r="D692" s="98" t="n"/>
      <c r="E692" s="98" t="n"/>
      <c r="F692" s="98" t="n"/>
      <c r="G692" s="98" t="n"/>
      <c r="H692" s="98" t="n"/>
      <c r="I692" s="98"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147" t="n"/>
      <c r="B693" s="98" t="n"/>
      <c r="C693" s="98" t="n"/>
      <c r="D693" s="98" t="n"/>
      <c r="E693" s="98" t="n"/>
      <c r="F693" s="98" t="n"/>
      <c r="G693" s="98" t="n"/>
      <c r="H693" s="98" t="n"/>
      <c r="I693" s="98"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147" t="n"/>
      <c r="B694" s="98" t="n"/>
      <c r="C694" s="98" t="n"/>
      <c r="D694" s="98" t="n"/>
      <c r="E694" s="98" t="n"/>
      <c r="F694" s="98" t="n"/>
      <c r="G694" s="98" t="n"/>
      <c r="H694" s="98" t="n"/>
      <c r="I694" s="98"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147" t="n"/>
      <c r="B695" s="98" t="n"/>
      <c r="C695" s="98" t="n"/>
      <c r="D695" s="98" t="n"/>
      <c r="E695" s="98" t="n"/>
      <c r="F695" s="98" t="n"/>
      <c r="G695" s="98" t="n"/>
      <c r="H695" s="98" t="n"/>
      <c r="I695" s="98"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147" t="n"/>
      <c r="B696" s="98" t="n"/>
      <c r="C696" s="98" t="n"/>
      <c r="D696" s="98" t="n"/>
      <c r="E696" s="98" t="n"/>
      <c r="F696" s="98" t="n"/>
      <c r="G696" s="98" t="n"/>
      <c r="H696" s="98" t="n"/>
      <c r="I696" s="98"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147" t="n"/>
      <c r="B697" s="98" t="n"/>
      <c r="C697" s="98" t="n"/>
      <c r="D697" s="98" t="n"/>
      <c r="E697" s="98" t="n"/>
      <c r="F697" s="98" t="n"/>
      <c r="G697" s="98" t="n"/>
      <c r="H697" s="98" t="n"/>
      <c r="I697" s="98"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147" t="n"/>
      <c r="B698" s="98" t="n"/>
      <c r="C698" s="98" t="n"/>
      <c r="D698" s="98" t="n"/>
      <c r="E698" s="98" t="n"/>
      <c r="F698" s="98" t="n"/>
      <c r="G698" s="98" t="n"/>
      <c r="H698" s="98" t="n"/>
      <c r="I698" s="98"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147" t="n"/>
      <c r="B699" s="98" t="n"/>
      <c r="C699" s="98" t="n"/>
      <c r="D699" s="98" t="n"/>
      <c r="E699" s="98" t="n"/>
      <c r="F699" s="98" t="n"/>
      <c r="G699" s="98" t="n"/>
      <c r="H699" s="98" t="n"/>
      <c r="I699" s="98"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147" t="n"/>
      <c r="B700" s="98" t="n"/>
      <c r="C700" s="98" t="n"/>
      <c r="D700" s="98" t="n"/>
      <c r="E700" s="98" t="n"/>
      <c r="F700" s="98" t="n"/>
      <c r="G700" s="98" t="n"/>
      <c r="H700" s="98" t="n"/>
      <c r="I700" s="98"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147" t="n"/>
      <c r="B701" s="98" t="n"/>
      <c r="C701" s="98" t="n"/>
      <c r="D701" s="98" t="n"/>
      <c r="E701" s="98" t="n"/>
      <c r="F701" s="98" t="n"/>
      <c r="G701" s="98" t="n"/>
      <c r="H701" s="98" t="n"/>
      <c r="I701" s="98"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147" t="n"/>
      <c r="B702" s="98" t="n"/>
      <c r="C702" s="98" t="n"/>
      <c r="D702" s="98" t="n"/>
      <c r="E702" s="98" t="n"/>
      <c r="F702" s="98" t="n"/>
      <c r="G702" s="98" t="n"/>
      <c r="H702" s="98" t="n"/>
      <c r="I702" s="98"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147" t="n"/>
      <c r="B703" s="98" t="n"/>
      <c r="C703" s="98" t="n"/>
      <c r="D703" s="98" t="n"/>
      <c r="E703" s="98" t="n"/>
      <c r="F703" s="98" t="n"/>
      <c r="G703" s="98" t="n"/>
      <c r="H703" s="98" t="n"/>
      <c r="I703" s="98"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147" t="n"/>
      <c r="B704" s="98" t="n"/>
      <c r="C704" s="98" t="n"/>
      <c r="D704" s="98" t="n"/>
      <c r="E704" s="98" t="n"/>
      <c r="F704" s="98" t="n"/>
      <c r="G704" s="98" t="n"/>
      <c r="H704" s="98" t="n"/>
      <c r="I704" s="98"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147" t="n"/>
      <c r="B705" s="98" t="n"/>
      <c r="C705" s="98" t="n"/>
      <c r="D705" s="98" t="n"/>
      <c r="E705" s="98" t="n"/>
      <c r="F705" s="98" t="n"/>
      <c r="G705" s="98" t="n"/>
      <c r="H705" s="98" t="n"/>
      <c r="I705" s="98"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147" t="n"/>
      <c r="B706" s="98" t="n"/>
      <c r="C706" s="98" t="n"/>
      <c r="D706" s="98" t="n"/>
      <c r="E706" s="98" t="n"/>
      <c r="F706" s="98" t="n"/>
      <c r="G706" s="98" t="n"/>
      <c r="H706" s="98" t="n"/>
      <c r="I706" s="98"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147" t="n"/>
      <c r="B707" s="98" t="n"/>
      <c r="C707" s="98" t="n"/>
      <c r="D707" s="98" t="n"/>
      <c r="E707" s="98" t="n"/>
      <c r="F707" s="98" t="n"/>
      <c r="G707" s="98" t="n"/>
      <c r="H707" s="98" t="n"/>
      <c r="I707" s="98"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147" t="n"/>
      <c r="B708" s="98" t="n"/>
      <c r="C708" s="98" t="n"/>
      <c r="D708" s="98" t="n"/>
      <c r="E708" s="98" t="n"/>
      <c r="F708" s="98" t="n"/>
      <c r="G708" s="98" t="n"/>
      <c r="H708" s="98" t="n"/>
      <c r="I708" s="98"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147" t="n"/>
      <c r="B709" s="98" t="n"/>
      <c r="C709" s="98" t="n"/>
      <c r="D709" s="98" t="n"/>
      <c r="E709" s="98" t="n"/>
      <c r="F709" s="98" t="n"/>
      <c r="G709" s="98" t="n"/>
      <c r="H709" s="98" t="n"/>
      <c r="I709" s="98"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147" t="n"/>
      <c r="B710" s="98" t="n"/>
      <c r="C710" s="98" t="n"/>
      <c r="D710" s="98" t="n"/>
      <c r="E710" s="98" t="n"/>
      <c r="F710" s="98" t="n"/>
      <c r="G710" s="98" t="n"/>
      <c r="H710" s="98" t="n"/>
      <c r="I710" s="98"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147" t="n"/>
      <c r="B711" s="98" t="n"/>
      <c r="C711" s="98" t="n"/>
      <c r="D711" s="98" t="n"/>
      <c r="E711" s="98" t="n"/>
      <c r="F711" s="98" t="n"/>
      <c r="G711" s="98" t="n"/>
      <c r="H711" s="98" t="n"/>
      <c r="I711" s="98"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147" t="n"/>
      <c r="B712" s="98" t="n"/>
      <c r="C712" s="98" t="n"/>
      <c r="D712" s="98" t="n"/>
      <c r="E712" s="98" t="n"/>
      <c r="F712" s="98" t="n"/>
      <c r="G712" s="98" t="n"/>
      <c r="H712" s="98" t="n"/>
      <c r="I712" s="98"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147" t="n"/>
      <c r="B713" s="98" t="n"/>
      <c r="C713" s="98" t="n"/>
      <c r="D713" s="98" t="n"/>
      <c r="E713" s="98" t="n"/>
      <c r="F713" s="98" t="n"/>
      <c r="G713" s="98" t="n"/>
      <c r="H713" s="98" t="n"/>
      <c r="I713" s="98"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147" t="n"/>
      <c r="B714" s="98" t="n"/>
      <c r="C714" s="98" t="n"/>
      <c r="D714" s="98" t="n"/>
      <c r="E714" s="98" t="n"/>
      <c r="F714" s="98" t="n"/>
      <c r="G714" s="98" t="n"/>
      <c r="H714" s="98" t="n"/>
      <c r="I714" s="98"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147" t="n"/>
      <c r="B715" s="98" t="n"/>
      <c r="C715" s="98" t="n"/>
      <c r="D715" s="98" t="n"/>
      <c r="E715" s="98" t="n"/>
      <c r="F715" s="98" t="n"/>
      <c r="G715" s="98" t="n"/>
      <c r="H715" s="98" t="n"/>
      <c r="I715" s="98"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147" t="n"/>
      <c r="B716" s="98" t="n"/>
      <c r="C716" s="98" t="n"/>
      <c r="D716" s="98" t="n"/>
      <c r="E716" s="98" t="n"/>
      <c r="F716" s="98" t="n"/>
      <c r="G716" s="98" t="n"/>
      <c r="H716" s="98" t="n"/>
      <c r="I716" s="98"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147" t="n"/>
      <c r="B717" s="98" t="n"/>
      <c r="C717" s="98" t="n"/>
      <c r="D717" s="98" t="n"/>
      <c r="E717" s="98" t="n"/>
      <c r="F717" s="98" t="n"/>
      <c r="G717" s="98" t="n"/>
      <c r="H717" s="98" t="n"/>
      <c r="I717" s="98"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147" t="n"/>
      <c r="B718" s="98" t="n"/>
      <c r="C718" s="98" t="n"/>
      <c r="D718" s="98" t="n"/>
      <c r="E718" s="98" t="n"/>
      <c r="F718" s="98" t="n"/>
      <c r="G718" s="98" t="n"/>
      <c r="H718" s="98" t="n"/>
      <c r="I718" s="98"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147" t="n"/>
      <c r="B719" s="98" t="n"/>
      <c r="C719" s="98" t="n"/>
      <c r="D719" s="98" t="n"/>
      <c r="E719" s="98" t="n"/>
      <c r="F719" s="98" t="n"/>
      <c r="G719" s="98" t="n"/>
      <c r="H719" s="98" t="n"/>
      <c r="I719" s="98"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147" t="n"/>
      <c r="B720" s="98" t="n"/>
      <c r="C720" s="98" t="n"/>
      <c r="D720" s="98" t="n"/>
      <c r="E720" s="98" t="n"/>
      <c r="F720" s="98" t="n"/>
      <c r="G720" s="98" t="n"/>
      <c r="H720" s="98" t="n"/>
      <c r="I720" s="98"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147" t="n"/>
      <c r="B721" s="98" t="n"/>
      <c r="C721" s="98" t="n"/>
      <c r="D721" s="98" t="n"/>
      <c r="E721" s="98" t="n"/>
      <c r="F721" s="98" t="n"/>
      <c r="G721" s="98" t="n"/>
      <c r="H721" s="98" t="n"/>
      <c r="I721" s="98"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147" t="n"/>
      <c r="B722" s="98" t="n"/>
      <c r="C722" s="98" t="n"/>
      <c r="D722" s="98" t="n"/>
      <c r="E722" s="98" t="n"/>
      <c r="F722" s="98" t="n"/>
      <c r="G722" s="98" t="n"/>
      <c r="H722" s="98" t="n"/>
      <c r="I722" s="98"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147" t="n"/>
      <c r="B723" s="98" t="n"/>
      <c r="C723" s="98" t="n"/>
      <c r="D723" s="98" t="n"/>
      <c r="E723" s="98" t="n"/>
      <c r="F723" s="98" t="n"/>
      <c r="G723" s="98" t="n"/>
      <c r="H723" s="98" t="n"/>
      <c r="I723" s="98"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147" t="n"/>
      <c r="B724" s="98" t="n"/>
      <c r="C724" s="98" t="n"/>
      <c r="D724" s="98" t="n"/>
      <c r="E724" s="98" t="n"/>
      <c r="F724" s="98" t="n"/>
      <c r="G724" s="98" t="n"/>
      <c r="H724" s="98" t="n"/>
      <c r="I724" s="98"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147" t="n"/>
      <c r="B725" s="98" t="n"/>
      <c r="C725" s="98" t="n"/>
      <c r="D725" s="98" t="n"/>
      <c r="E725" s="98" t="n"/>
      <c r="F725" s="98" t="n"/>
      <c r="G725" s="98" t="n"/>
      <c r="H725" s="98" t="n"/>
      <c r="I725" s="98"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147" t="n"/>
      <c r="B726" s="98" t="n"/>
      <c r="C726" s="98" t="n"/>
      <c r="D726" s="98" t="n"/>
      <c r="E726" s="98" t="n"/>
      <c r="F726" s="98" t="n"/>
      <c r="G726" s="98" t="n"/>
      <c r="H726" s="98" t="n"/>
      <c r="I726" s="98"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147" t="n"/>
      <c r="B727" s="98" t="n"/>
      <c r="C727" s="98" t="n"/>
      <c r="D727" s="98" t="n"/>
      <c r="E727" s="98" t="n"/>
      <c r="F727" s="98" t="n"/>
      <c r="G727" s="98" t="n"/>
      <c r="H727" s="98" t="n"/>
      <c r="I727" s="98"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147" t="n"/>
      <c r="B728" s="98" t="n"/>
      <c r="C728" s="98" t="n"/>
      <c r="D728" s="98" t="n"/>
      <c r="E728" s="98" t="n"/>
      <c r="F728" s="98" t="n"/>
      <c r="G728" s="98" t="n"/>
      <c r="H728" s="98" t="n"/>
      <c r="I728" s="98"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147" t="n"/>
      <c r="B729" s="98" t="n"/>
      <c r="C729" s="98" t="n"/>
      <c r="D729" s="98" t="n"/>
      <c r="E729" s="98" t="n"/>
      <c r="F729" s="98" t="n"/>
      <c r="G729" s="98" t="n"/>
      <c r="H729" s="98" t="n"/>
      <c r="I729" s="98"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147" t="n"/>
      <c r="B730" s="98" t="n"/>
      <c r="C730" s="98" t="n"/>
      <c r="D730" s="98" t="n"/>
      <c r="E730" s="98" t="n"/>
      <c r="F730" s="98" t="n"/>
      <c r="G730" s="98" t="n"/>
      <c r="H730" s="98" t="n"/>
      <c r="I730" s="98"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147" t="n"/>
      <c r="B731" s="98" t="n"/>
      <c r="C731" s="98" t="n"/>
      <c r="D731" s="98" t="n"/>
      <c r="E731" s="98" t="n"/>
      <c r="F731" s="98" t="n"/>
      <c r="G731" s="98" t="n"/>
      <c r="H731" s="98" t="n"/>
      <c r="I731" s="98"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147" t="n"/>
      <c r="B732" s="98" t="n"/>
      <c r="C732" s="98" t="n"/>
      <c r="D732" s="98" t="n"/>
      <c r="E732" s="98" t="n"/>
      <c r="F732" s="98" t="n"/>
      <c r="G732" s="98" t="n"/>
      <c r="H732" s="98" t="n"/>
      <c r="I732" s="98"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147" t="n"/>
      <c r="B733" s="98" t="n"/>
      <c r="C733" s="98" t="n"/>
      <c r="D733" s="98" t="n"/>
      <c r="E733" s="98" t="n"/>
      <c r="F733" s="98" t="n"/>
      <c r="G733" s="98" t="n"/>
      <c r="H733" s="98" t="n"/>
      <c r="I733" s="98"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147" t="n"/>
      <c r="B734" s="98" t="n"/>
      <c r="C734" s="98" t="n"/>
      <c r="D734" s="98" t="n"/>
      <c r="E734" s="98" t="n"/>
      <c r="F734" s="98" t="n"/>
      <c r="G734" s="98" t="n"/>
      <c r="H734" s="98" t="n"/>
      <c r="I734" s="98"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147" t="n"/>
      <c r="B735" s="98" t="n"/>
      <c r="C735" s="98" t="n"/>
      <c r="D735" s="98" t="n"/>
      <c r="E735" s="98" t="n"/>
      <c r="F735" s="98" t="n"/>
      <c r="G735" s="98" t="n"/>
      <c r="H735" s="98" t="n"/>
      <c r="I735" s="98"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147" t="n"/>
      <c r="B736" s="98" t="n"/>
      <c r="C736" s="98" t="n"/>
      <c r="D736" s="98" t="n"/>
      <c r="E736" s="98" t="n"/>
      <c r="F736" s="98" t="n"/>
      <c r="G736" s="98" t="n"/>
      <c r="H736" s="98" t="n"/>
      <c r="I736" s="98"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147" t="n"/>
      <c r="B737" s="98" t="n"/>
      <c r="C737" s="98" t="n"/>
      <c r="D737" s="98" t="n"/>
      <c r="E737" s="98" t="n"/>
      <c r="F737" s="98" t="n"/>
      <c r="G737" s="98" t="n"/>
      <c r="H737" s="98" t="n"/>
      <c r="I737" s="98"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147" t="n"/>
      <c r="B738" s="98" t="n"/>
      <c r="C738" s="98" t="n"/>
      <c r="D738" s="98" t="n"/>
      <c r="E738" s="98" t="n"/>
      <c r="F738" s="98" t="n"/>
      <c r="G738" s="98" t="n"/>
      <c r="H738" s="98" t="n"/>
      <c r="I738" s="98"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147" t="n"/>
      <c r="B739" s="98" t="n"/>
      <c r="C739" s="98" t="n"/>
      <c r="D739" s="98" t="n"/>
      <c r="E739" s="98" t="n"/>
      <c r="F739" s="98" t="n"/>
      <c r="G739" s="98" t="n"/>
      <c r="H739" s="98" t="n"/>
      <c r="I739" s="98"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147" t="n"/>
      <c r="B740" s="98" t="n"/>
      <c r="C740" s="98" t="n"/>
      <c r="D740" s="98" t="n"/>
      <c r="E740" s="98" t="n"/>
      <c r="F740" s="98" t="n"/>
      <c r="G740" s="98" t="n"/>
      <c r="H740" s="98" t="n"/>
      <c r="I740" s="98"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147" t="n"/>
      <c r="B741" s="98" t="n"/>
      <c r="C741" s="98" t="n"/>
      <c r="D741" s="98" t="n"/>
      <c r="E741" s="98" t="n"/>
      <c r="F741" s="98" t="n"/>
      <c r="G741" s="98" t="n"/>
      <c r="H741" s="98" t="n"/>
      <c r="I741" s="98"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147" t="n"/>
      <c r="B742" s="98" t="n"/>
      <c r="C742" s="98" t="n"/>
      <c r="D742" s="98" t="n"/>
      <c r="E742" s="98" t="n"/>
      <c r="F742" s="98" t="n"/>
      <c r="G742" s="98" t="n"/>
      <c r="H742" s="98" t="n"/>
      <c r="I742" s="98"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147" t="n"/>
      <c r="B743" s="98" t="n"/>
      <c r="C743" s="98" t="n"/>
      <c r="D743" s="98" t="n"/>
      <c r="E743" s="98" t="n"/>
      <c r="F743" s="98" t="n"/>
      <c r="G743" s="98" t="n"/>
      <c r="H743" s="98" t="n"/>
      <c r="I743" s="98"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147" t="n"/>
      <c r="B744" s="98" t="n"/>
      <c r="C744" s="98" t="n"/>
      <c r="D744" s="98" t="n"/>
      <c r="E744" s="98" t="n"/>
      <c r="F744" s="98" t="n"/>
      <c r="G744" s="98" t="n"/>
      <c r="H744" s="98" t="n"/>
      <c r="I744" s="98"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147" t="n"/>
      <c r="B745" s="98" t="n"/>
      <c r="C745" s="98" t="n"/>
      <c r="D745" s="98" t="n"/>
      <c r="E745" s="98" t="n"/>
      <c r="F745" s="98" t="n"/>
      <c r="G745" s="98" t="n"/>
      <c r="H745" s="98" t="n"/>
      <c r="I745" s="98"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147" t="n"/>
      <c r="B746" s="98" t="n"/>
      <c r="C746" s="98" t="n"/>
      <c r="D746" s="98" t="n"/>
      <c r="E746" s="98" t="n"/>
      <c r="F746" s="98" t="n"/>
      <c r="G746" s="98" t="n"/>
      <c r="H746" s="98" t="n"/>
      <c r="I746" s="98"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147" t="n"/>
      <c r="B747" s="98" t="n"/>
      <c r="C747" s="98" t="n"/>
      <c r="D747" s="98" t="n"/>
      <c r="E747" s="98" t="n"/>
      <c r="F747" s="98" t="n"/>
      <c r="G747" s="98" t="n"/>
      <c r="H747" s="98" t="n"/>
      <c r="I747" s="98"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147" t="n"/>
      <c r="B748" s="98" t="n"/>
      <c r="C748" s="98" t="n"/>
      <c r="D748" s="98" t="n"/>
      <c r="E748" s="98" t="n"/>
      <c r="F748" s="98" t="n"/>
      <c r="G748" s="98" t="n"/>
      <c r="H748" s="98" t="n"/>
      <c r="I748" s="98"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147" t="n"/>
      <c r="B749" s="98" t="n"/>
      <c r="C749" s="98" t="n"/>
      <c r="D749" s="98" t="n"/>
      <c r="E749" s="98" t="n"/>
      <c r="F749" s="98" t="n"/>
      <c r="G749" s="98" t="n"/>
      <c r="H749" s="98" t="n"/>
      <c r="I749" s="98"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147" t="n"/>
      <c r="B750" s="98" t="n"/>
      <c r="C750" s="98" t="n"/>
      <c r="D750" s="98" t="n"/>
      <c r="E750" s="98" t="n"/>
      <c r="F750" s="98" t="n"/>
      <c r="G750" s="98" t="n"/>
      <c r="H750" s="98" t="n"/>
      <c r="I750" s="98"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147" t="n"/>
      <c r="B751" s="98" t="n"/>
      <c r="C751" s="98" t="n"/>
      <c r="D751" s="98" t="n"/>
      <c r="E751" s="98" t="n"/>
      <c r="F751" s="98" t="n"/>
      <c r="G751" s="98" t="n"/>
      <c r="H751" s="98" t="n"/>
      <c r="I751" s="98"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147" t="n"/>
      <c r="B752" s="98" t="n"/>
      <c r="C752" s="98" t="n"/>
      <c r="D752" s="98" t="n"/>
      <c r="E752" s="98" t="n"/>
      <c r="F752" s="98" t="n"/>
      <c r="G752" s="98" t="n"/>
      <c r="H752" s="98" t="n"/>
      <c r="I752" s="98"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147" t="n"/>
      <c r="B753" s="98" t="n"/>
      <c r="C753" s="98" t="n"/>
      <c r="D753" s="98" t="n"/>
      <c r="E753" s="98" t="n"/>
      <c r="F753" s="98" t="n"/>
      <c r="G753" s="98" t="n"/>
      <c r="H753" s="98" t="n"/>
      <c r="I753" s="98"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147" t="n"/>
      <c r="B754" s="98" t="n"/>
      <c r="C754" s="98" t="n"/>
      <c r="D754" s="98" t="n"/>
      <c r="E754" s="98" t="n"/>
      <c r="F754" s="98" t="n"/>
      <c r="G754" s="98" t="n"/>
      <c r="H754" s="98" t="n"/>
      <c r="I754" s="98"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147" t="n"/>
      <c r="B755" s="98" t="n"/>
      <c r="C755" s="98" t="n"/>
      <c r="D755" s="98" t="n"/>
      <c r="E755" s="98" t="n"/>
      <c r="F755" s="98" t="n"/>
      <c r="G755" s="98" t="n"/>
      <c r="H755" s="98" t="n"/>
      <c r="I755" s="98"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147" t="n"/>
      <c r="B756" s="98" t="n"/>
      <c r="C756" s="98" t="n"/>
      <c r="D756" s="98" t="n"/>
      <c r="E756" s="98" t="n"/>
      <c r="F756" s="98" t="n"/>
      <c r="G756" s="98" t="n"/>
      <c r="H756" s="98" t="n"/>
      <c r="I756" s="98"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147" t="n"/>
      <c r="B757" s="98" t="n"/>
      <c r="C757" s="98" t="n"/>
      <c r="D757" s="98" t="n"/>
      <c r="E757" s="98" t="n"/>
      <c r="F757" s="98" t="n"/>
      <c r="G757" s="98" t="n"/>
      <c r="H757" s="98" t="n"/>
      <c r="I757" s="98"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147" t="n"/>
      <c r="B758" s="98" t="n"/>
      <c r="C758" s="98" t="n"/>
      <c r="D758" s="98" t="n"/>
      <c r="E758" s="98" t="n"/>
      <c r="F758" s="98" t="n"/>
      <c r="G758" s="98" t="n"/>
      <c r="H758" s="98" t="n"/>
      <c r="I758" s="98"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147" t="n"/>
      <c r="B759" s="98" t="n"/>
      <c r="C759" s="98" t="n"/>
      <c r="D759" s="98" t="n"/>
      <c r="E759" s="98" t="n"/>
      <c r="F759" s="98" t="n"/>
      <c r="G759" s="98" t="n"/>
      <c r="H759" s="98" t="n"/>
      <c r="I759" s="98"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147" t="n"/>
      <c r="B760" s="98" t="n"/>
      <c r="C760" s="98" t="n"/>
      <c r="D760" s="98" t="n"/>
      <c r="E760" s="98" t="n"/>
      <c r="F760" s="98" t="n"/>
      <c r="G760" s="98" t="n"/>
      <c r="H760" s="98" t="n"/>
      <c r="I760" s="98"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147" t="n"/>
      <c r="B761" s="98" t="n"/>
      <c r="C761" s="98" t="n"/>
      <c r="D761" s="98" t="n"/>
      <c r="E761" s="98" t="n"/>
      <c r="F761" s="98" t="n"/>
      <c r="G761" s="98" t="n"/>
      <c r="H761" s="98" t="n"/>
      <c r="I761" s="98"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147" t="n"/>
      <c r="B762" s="98" t="n"/>
      <c r="C762" s="98" t="n"/>
      <c r="D762" s="98" t="n"/>
      <c r="E762" s="98" t="n"/>
      <c r="F762" s="98" t="n"/>
      <c r="G762" s="98" t="n"/>
      <c r="H762" s="98" t="n"/>
      <c r="I762" s="98"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147" t="n"/>
      <c r="B763" s="98" t="n"/>
      <c r="C763" s="98" t="n"/>
      <c r="D763" s="98" t="n"/>
      <c r="E763" s="98" t="n"/>
      <c r="F763" s="98" t="n"/>
      <c r="G763" s="98" t="n"/>
      <c r="H763" s="98" t="n"/>
      <c r="I763" s="98"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147" t="n"/>
      <c r="B764" s="98" t="n"/>
      <c r="C764" s="98" t="n"/>
      <c r="D764" s="98" t="n"/>
      <c r="E764" s="98" t="n"/>
      <c r="F764" s="98" t="n"/>
      <c r="G764" s="98" t="n"/>
      <c r="H764" s="98" t="n"/>
      <c r="I764" s="98"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147" t="n"/>
      <c r="B765" s="98" t="n"/>
      <c r="C765" s="98" t="n"/>
      <c r="D765" s="98" t="n"/>
      <c r="E765" s="98" t="n"/>
      <c r="F765" s="98" t="n"/>
      <c r="G765" s="98" t="n"/>
      <c r="H765" s="98" t="n"/>
      <c r="I765" s="98"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147" t="n"/>
      <c r="B766" s="98" t="n"/>
      <c r="C766" s="98" t="n"/>
      <c r="D766" s="98" t="n"/>
      <c r="E766" s="98" t="n"/>
      <c r="F766" s="98" t="n"/>
      <c r="G766" s="98" t="n"/>
      <c r="H766" s="98" t="n"/>
      <c r="I766" s="98"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147" t="n"/>
      <c r="B767" s="98" t="n"/>
      <c r="C767" s="98" t="n"/>
      <c r="D767" s="98" t="n"/>
      <c r="E767" s="98" t="n"/>
      <c r="F767" s="98" t="n"/>
      <c r="G767" s="98" t="n"/>
      <c r="H767" s="98" t="n"/>
      <c r="I767" s="98"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147" t="n"/>
      <c r="B768" s="98" t="n"/>
      <c r="C768" s="98" t="n"/>
      <c r="D768" s="98" t="n"/>
      <c r="E768" s="98" t="n"/>
      <c r="F768" s="98" t="n"/>
      <c r="G768" s="98" t="n"/>
      <c r="H768" s="98" t="n"/>
      <c r="I768" s="98"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147" t="n"/>
      <c r="B769" s="98" t="n"/>
      <c r="C769" s="98" t="n"/>
      <c r="D769" s="98" t="n"/>
      <c r="E769" s="98" t="n"/>
      <c r="F769" s="98" t="n"/>
      <c r="G769" s="98" t="n"/>
      <c r="H769" s="98" t="n"/>
      <c r="I769" s="98"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147" t="n"/>
      <c r="B770" s="98" t="n"/>
      <c r="C770" s="98" t="n"/>
      <c r="D770" s="98" t="n"/>
      <c r="E770" s="98" t="n"/>
      <c r="F770" s="98" t="n"/>
      <c r="G770" s="98" t="n"/>
      <c r="H770" s="98" t="n"/>
      <c r="I770" s="98"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147" t="n"/>
      <c r="B771" s="98" t="n"/>
      <c r="C771" s="98" t="n"/>
      <c r="D771" s="98" t="n"/>
      <c r="E771" s="98" t="n"/>
      <c r="F771" s="98" t="n"/>
      <c r="G771" s="98" t="n"/>
      <c r="H771" s="98" t="n"/>
      <c r="I771" s="98"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147" t="n"/>
      <c r="B772" s="98" t="n"/>
      <c r="C772" s="98" t="n"/>
      <c r="D772" s="98" t="n"/>
      <c r="E772" s="98" t="n"/>
      <c r="F772" s="98" t="n"/>
      <c r="G772" s="98" t="n"/>
      <c r="H772" s="98" t="n"/>
      <c r="I772" s="98"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147" t="n"/>
      <c r="B773" s="98" t="n"/>
      <c r="C773" s="98" t="n"/>
      <c r="D773" s="98" t="n"/>
      <c r="E773" s="98" t="n"/>
      <c r="F773" s="98" t="n"/>
      <c r="G773" s="98" t="n"/>
      <c r="H773" s="98" t="n"/>
      <c r="I773" s="98"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147" t="n"/>
      <c r="B774" s="98" t="n"/>
      <c r="C774" s="98" t="n"/>
      <c r="D774" s="98" t="n"/>
      <c r="E774" s="98" t="n"/>
      <c r="F774" s="98" t="n"/>
      <c r="G774" s="98" t="n"/>
      <c r="H774" s="98" t="n"/>
      <c r="I774" s="98"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147" t="n"/>
      <c r="B775" s="98" t="n"/>
      <c r="C775" s="98" t="n"/>
      <c r="D775" s="98" t="n"/>
      <c r="E775" s="98" t="n"/>
      <c r="F775" s="98" t="n"/>
      <c r="G775" s="98" t="n"/>
      <c r="H775" s="98" t="n"/>
      <c r="I775" s="98"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147" t="n"/>
      <c r="B776" s="98" t="n"/>
      <c r="C776" s="98" t="n"/>
      <c r="D776" s="98" t="n"/>
      <c r="E776" s="98" t="n"/>
      <c r="F776" s="98" t="n"/>
      <c r="G776" s="98" t="n"/>
      <c r="H776" s="98" t="n"/>
      <c r="I776" s="98"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147" t="n"/>
      <c r="B777" s="98" t="n"/>
      <c r="C777" s="98" t="n"/>
      <c r="D777" s="98" t="n"/>
      <c r="E777" s="98" t="n"/>
      <c r="F777" s="98" t="n"/>
      <c r="G777" s="98" t="n"/>
      <c r="H777" s="98" t="n"/>
      <c r="I777" s="98"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147" t="n"/>
      <c r="B778" s="98" t="n"/>
      <c r="C778" s="98" t="n"/>
      <c r="D778" s="98" t="n"/>
      <c r="E778" s="98" t="n"/>
      <c r="F778" s="98" t="n"/>
      <c r="G778" s="98" t="n"/>
      <c r="H778" s="98" t="n"/>
      <c r="I778" s="98"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147" t="n"/>
      <c r="B779" s="98" t="n"/>
      <c r="C779" s="98" t="n"/>
      <c r="D779" s="98" t="n"/>
      <c r="E779" s="98" t="n"/>
      <c r="F779" s="98" t="n"/>
      <c r="G779" s="98" t="n"/>
      <c r="H779" s="98" t="n"/>
      <c r="I779" s="98"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147" t="n"/>
      <c r="B780" s="98" t="n"/>
      <c r="C780" s="98" t="n"/>
      <c r="D780" s="98" t="n"/>
      <c r="E780" s="98" t="n"/>
      <c r="F780" s="98" t="n"/>
      <c r="G780" s="98" t="n"/>
      <c r="H780" s="98" t="n"/>
      <c r="I780" s="98"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147" t="n"/>
      <c r="B781" s="98" t="n"/>
      <c r="C781" s="98" t="n"/>
      <c r="D781" s="98" t="n"/>
      <c r="E781" s="98" t="n"/>
      <c r="F781" s="98" t="n"/>
      <c r="G781" s="98" t="n"/>
      <c r="H781" s="98" t="n"/>
      <c r="I781" s="98"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147" t="n"/>
      <c r="B782" s="98" t="n"/>
      <c r="C782" s="98" t="n"/>
      <c r="D782" s="98" t="n"/>
      <c r="E782" s="98" t="n"/>
      <c r="F782" s="98" t="n"/>
      <c r="G782" s="98" t="n"/>
      <c r="H782" s="98" t="n"/>
      <c r="I782" s="98"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147" t="n"/>
      <c r="B783" s="98" t="n"/>
      <c r="C783" s="98" t="n"/>
      <c r="D783" s="98" t="n"/>
      <c r="E783" s="98" t="n"/>
      <c r="F783" s="98" t="n"/>
      <c r="G783" s="98" t="n"/>
      <c r="H783" s="98" t="n"/>
      <c r="I783" s="98"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147" t="n"/>
      <c r="B784" s="98" t="n"/>
      <c r="C784" s="98" t="n"/>
      <c r="D784" s="98" t="n"/>
      <c r="E784" s="98" t="n"/>
      <c r="F784" s="98" t="n"/>
      <c r="G784" s="98" t="n"/>
      <c r="H784" s="98" t="n"/>
      <c r="I784" s="98"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147" t="n"/>
      <c r="B785" s="98" t="n"/>
      <c r="C785" s="98" t="n"/>
      <c r="D785" s="98" t="n"/>
      <c r="E785" s="98" t="n"/>
      <c r="F785" s="98" t="n"/>
      <c r="G785" s="98" t="n"/>
      <c r="H785" s="98" t="n"/>
      <c r="I785" s="98"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147" t="n"/>
      <c r="B786" s="98" t="n"/>
      <c r="C786" s="98" t="n"/>
      <c r="D786" s="98" t="n"/>
      <c r="E786" s="98" t="n"/>
      <c r="F786" s="98" t="n"/>
      <c r="G786" s="98" t="n"/>
      <c r="H786" s="98" t="n"/>
      <c r="I786" s="98"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147" t="n"/>
      <c r="B787" s="98" t="n"/>
      <c r="C787" s="98" t="n"/>
      <c r="D787" s="98" t="n"/>
      <c r="E787" s="98" t="n"/>
      <c r="F787" s="98" t="n"/>
      <c r="G787" s="98" t="n"/>
      <c r="H787" s="98" t="n"/>
      <c r="I787" s="98"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147" t="n"/>
      <c r="B788" s="98" t="n"/>
      <c r="C788" s="98" t="n"/>
      <c r="D788" s="98" t="n"/>
      <c r="E788" s="98" t="n"/>
      <c r="F788" s="98" t="n"/>
      <c r="G788" s="98" t="n"/>
      <c r="H788" s="98" t="n"/>
      <c r="I788" s="98"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147" t="n"/>
      <c r="B789" s="98" t="n"/>
      <c r="C789" s="98" t="n"/>
      <c r="D789" s="98" t="n"/>
      <c r="E789" s="98" t="n"/>
      <c r="F789" s="98" t="n"/>
      <c r="G789" s="98" t="n"/>
      <c r="H789" s="98" t="n"/>
      <c r="I789" s="98"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147" t="n"/>
      <c r="B790" s="98" t="n"/>
      <c r="C790" s="98" t="n"/>
      <c r="D790" s="98" t="n"/>
      <c r="E790" s="98" t="n"/>
      <c r="F790" s="98" t="n"/>
      <c r="G790" s="98" t="n"/>
      <c r="H790" s="98" t="n"/>
      <c r="I790" s="98"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147" t="n"/>
      <c r="B791" s="98" t="n"/>
      <c r="C791" s="98" t="n"/>
      <c r="D791" s="98" t="n"/>
      <c r="E791" s="98" t="n"/>
      <c r="F791" s="98" t="n"/>
      <c r="G791" s="98" t="n"/>
      <c r="H791" s="98" t="n"/>
      <c r="I791" s="98"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147" t="n"/>
      <c r="B792" s="98" t="n"/>
      <c r="C792" s="98" t="n"/>
      <c r="D792" s="98" t="n"/>
      <c r="E792" s="98" t="n"/>
      <c r="F792" s="98" t="n"/>
      <c r="G792" s="98" t="n"/>
      <c r="H792" s="98" t="n"/>
      <c r="I792" s="98"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147" t="n"/>
      <c r="B793" s="98" t="n"/>
      <c r="C793" s="98" t="n"/>
      <c r="D793" s="98" t="n"/>
      <c r="E793" s="98" t="n"/>
      <c r="F793" s="98" t="n"/>
      <c r="G793" s="98" t="n"/>
      <c r="H793" s="98" t="n"/>
      <c r="I793" s="98"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147" t="n"/>
      <c r="B794" s="98" t="n"/>
      <c r="C794" s="98" t="n"/>
      <c r="D794" s="98" t="n"/>
      <c r="E794" s="98" t="n"/>
      <c r="F794" s="98" t="n"/>
      <c r="G794" s="98" t="n"/>
      <c r="H794" s="98" t="n"/>
      <c r="I794" s="98"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147" t="n"/>
      <c r="B795" s="98" t="n"/>
      <c r="C795" s="98" t="n"/>
      <c r="D795" s="98" t="n"/>
      <c r="E795" s="98" t="n"/>
      <c r="F795" s="98" t="n"/>
      <c r="G795" s="98" t="n"/>
      <c r="H795" s="98" t="n"/>
      <c r="I795" s="98"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147" t="n"/>
      <c r="B796" s="98" t="n"/>
      <c r="C796" s="98" t="n"/>
      <c r="D796" s="98" t="n"/>
      <c r="E796" s="98" t="n"/>
      <c r="F796" s="98" t="n"/>
      <c r="G796" s="98" t="n"/>
      <c r="H796" s="98" t="n"/>
      <c r="I796" s="98"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147" t="n"/>
      <c r="B797" s="98" t="n"/>
      <c r="C797" s="98" t="n"/>
      <c r="D797" s="98" t="n"/>
      <c r="E797" s="98" t="n"/>
      <c r="F797" s="98" t="n"/>
      <c r="G797" s="98" t="n"/>
      <c r="H797" s="98" t="n"/>
      <c r="I797" s="98"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147" t="n"/>
      <c r="B798" s="98" t="n"/>
      <c r="C798" s="98" t="n"/>
      <c r="D798" s="98" t="n"/>
      <c r="E798" s="98" t="n"/>
      <c r="F798" s="98" t="n"/>
      <c r="G798" s="98" t="n"/>
      <c r="H798" s="98" t="n"/>
      <c r="I798" s="98"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147" t="n"/>
      <c r="B799" s="98" t="n"/>
      <c r="C799" s="98" t="n"/>
      <c r="D799" s="98" t="n"/>
      <c r="E799" s="98" t="n"/>
      <c r="F799" s="98" t="n"/>
      <c r="G799" s="98" t="n"/>
      <c r="H799" s="98" t="n"/>
      <c r="I799" s="98"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147" t="n"/>
      <c r="B800" s="98" t="n"/>
      <c r="C800" s="98" t="n"/>
      <c r="D800" s="98" t="n"/>
      <c r="E800" s="98" t="n"/>
      <c r="F800" s="98" t="n"/>
      <c r="G800" s="98" t="n"/>
      <c r="H800" s="98" t="n"/>
      <c r="I800" s="98"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147" t="n"/>
      <c r="B801" s="98" t="n"/>
      <c r="C801" s="98" t="n"/>
      <c r="D801" s="98" t="n"/>
      <c r="E801" s="98" t="n"/>
      <c r="F801" s="98" t="n"/>
      <c r="G801" s="98" t="n"/>
      <c r="H801" s="98" t="n"/>
      <c r="I801" s="98"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147" t="n"/>
      <c r="B802" s="98" t="n"/>
      <c r="C802" s="98" t="n"/>
      <c r="D802" s="98" t="n"/>
      <c r="E802" s="98" t="n"/>
      <c r="F802" s="98" t="n"/>
      <c r="G802" s="98" t="n"/>
      <c r="H802" s="98" t="n"/>
      <c r="I802" s="98"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147" t="n"/>
      <c r="B803" s="98" t="n"/>
      <c r="C803" s="98" t="n"/>
      <c r="D803" s="98" t="n"/>
      <c r="E803" s="98" t="n"/>
      <c r="F803" s="98" t="n"/>
      <c r="G803" s="98" t="n"/>
      <c r="H803" s="98" t="n"/>
      <c r="I803" s="98"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147" t="n"/>
      <c r="B804" s="98" t="n"/>
      <c r="C804" s="98" t="n"/>
      <c r="D804" s="98" t="n"/>
      <c r="E804" s="98" t="n"/>
      <c r="F804" s="98" t="n"/>
      <c r="G804" s="98" t="n"/>
      <c r="H804" s="98" t="n"/>
      <c r="I804" s="98"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147" t="n"/>
      <c r="B805" s="98" t="n"/>
      <c r="C805" s="98" t="n"/>
      <c r="D805" s="98" t="n"/>
      <c r="E805" s="98" t="n"/>
      <c r="F805" s="98" t="n"/>
      <c r="G805" s="98" t="n"/>
      <c r="H805" s="98" t="n"/>
      <c r="I805" s="98"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147" t="n"/>
      <c r="B806" s="98" t="n"/>
      <c r="C806" s="98" t="n"/>
      <c r="D806" s="98" t="n"/>
      <c r="E806" s="98" t="n"/>
      <c r="F806" s="98" t="n"/>
      <c r="G806" s="98" t="n"/>
      <c r="H806" s="98" t="n"/>
      <c r="I806" s="98"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147" t="n"/>
      <c r="B807" s="98" t="n"/>
      <c r="C807" s="98" t="n"/>
      <c r="D807" s="98" t="n"/>
      <c r="E807" s="98" t="n"/>
      <c r="F807" s="98" t="n"/>
      <c r="G807" s="98" t="n"/>
      <c r="H807" s="98" t="n"/>
      <c r="I807" s="98"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147" t="n"/>
      <c r="B808" s="98" t="n"/>
      <c r="C808" s="98" t="n"/>
      <c r="D808" s="98" t="n"/>
      <c r="E808" s="98" t="n"/>
      <c r="F808" s="98" t="n"/>
      <c r="G808" s="98" t="n"/>
      <c r="H808" s="98" t="n"/>
      <c r="I808" s="98"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147" t="n"/>
      <c r="B809" s="98" t="n"/>
      <c r="C809" s="98" t="n"/>
      <c r="D809" s="98" t="n"/>
      <c r="E809" s="98" t="n"/>
      <c r="F809" s="98" t="n"/>
      <c r="G809" s="98" t="n"/>
      <c r="H809" s="98" t="n"/>
      <c r="I809" s="98"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147" t="n"/>
      <c r="B810" s="98" t="n"/>
      <c r="C810" s="98" t="n"/>
      <c r="D810" s="98" t="n"/>
      <c r="E810" s="98" t="n"/>
      <c r="F810" s="98" t="n"/>
      <c r="G810" s="98" t="n"/>
      <c r="H810" s="98" t="n"/>
      <c r="I810" s="98"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147" t="n"/>
      <c r="B811" s="98" t="n"/>
      <c r="C811" s="98" t="n"/>
      <c r="D811" s="98" t="n"/>
      <c r="E811" s="98" t="n"/>
      <c r="F811" s="98" t="n"/>
      <c r="G811" s="98" t="n"/>
      <c r="H811" s="98" t="n"/>
      <c r="I811" s="98"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147" t="n"/>
      <c r="B812" s="98" t="n"/>
      <c r="C812" s="98" t="n"/>
      <c r="D812" s="98" t="n"/>
      <c r="E812" s="98" t="n"/>
      <c r="F812" s="98" t="n"/>
      <c r="G812" s="98" t="n"/>
      <c r="H812" s="98" t="n"/>
      <c r="I812" s="98"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147" t="n"/>
      <c r="B813" s="98" t="n"/>
      <c r="C813" s="98" t="n"/>
      <c r="D813" s="98" t="n"/>
      <c r="E813" s="98" t="n"/>
      <c r="F813" s="98" t="n"/>
      <c r="G813" s="98" t="n"/>
      <c r="H813" s="98" t="n"/>
      <c r="I813" s="98"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147" t="n"/>
      <c r="B814" s="98" t="n"/>
      <c r="C814" s="98" t="n"/>
      <c r="D814" s="98" t="n"/>
      <c r="E814" s="98" t="n"/>
      <c r="F814" s="98" t="n"/>
      <c r="G814" s="98" t="n"/>
      <c r="H814" s="98" t="n"/>
      <c r="I814" s="98"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147" t="n"/>
      <c r="B815" s="98" t="n"/>
      <c r="C815" s="98" t="n"/>
      <c r="D815" s="98" t="n"/>
      <c r="E815" s="98" t="n"/>
      <c r="F815" s="98" t="n"/>
      <c r="G815" s="98" t="n"/>
      <c r="H815" s="98" t="n"/>
      <c r="I815" s="98"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147" t="n"/>
      <c r="B816" s="98" t="n"/>
      <c r="C816" s="98" t="n"/>
      <c r="D816" s="98" t="n"/>
      <c r="E816" s="98" t="n"/>
      <c r="F816" s="98" t="n"/>
      <c r="G816" s="98" t="n"/>
      <c r="H816" s="98" t="n"/>
      <c r="I816" s="98"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147" t="n"/>
      <c r="B817" s="98" t="n"/>
      <c r="C817" s="98" t="n"/>
      <c r="D817" s="98" t="n"/>
      <c r="E817" s="98" t="n"/>
      <c r="F817" s="98" t="n"/>
      <c r="G817" s="98" t="n"/>
      <c r="H817" s="98" t="n"/>
      <c r="I817" s="98"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147" t="n"/>
      <c r="B818" s="98" t="n"/>
      <c r="C818" s="98" t="n"/>
      <c r="D818" s="98" t="n"/>
      <c r="E818" s="98" t="n"/>
      <c r="F818" s="98" t="n"/>
      <c r="G818" s="98" t="n"/>
      <c r="H818" s="98" t="n"/>
      <c r="I818" s="98"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147" t="n"/>
      <c r="B819" s="98" t="n"/>
      <c r="C819" s="98" t="n"/>
      <c r="D819" s="98" t="n"/>
      <c r="E819" s="98" t="n"/>
      <c r="F819" s="98" t="n"/>
      <c r="G819" s="98" t="n"/>
      <c r="H819" s="98" t="n"/>
      <c r="I819" s="98"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147" t="n"/>
      <c r="B820" s="98" t="n"/>
      <c r="C820" s="98" t="n"/>
      <c r="D820" s="98" t="n"/>
      <c r="E820" s="98" t="n"/>
      <c r="F820" s="98" t="n"/>
      <c r="G820" s="98" t="n"/>
      <c r="H820" s="98" t="n"/>
      <c r="I820" s="98"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147" t="n"/>
      <c r="B821" s="98" t="n"/>
      <c r="C821" s="98" t="n"/>
      <c r="D821" s="98" t="n"/>
      <c r="E821" s="98" t="n"/>
      <c r="F821" s="98" t="n"/>
      <c r="G821" s="98" t="n"/>
      <c r="H821" s="98" t="n"/>
      <c r="I821" s="98"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147" t="n"/>
      <c r="B822" s="98" t="n"/>
      <c r="C822" s="98" t="n"/>
      <c r="D822" s="98" t="n"/>
      <c r="E822" s="98" t="n"/>
      <c r="F822" s="98" t="n"/>
      <c r="G822" s="98" t="n"/>
      <c r="H822" s="98" t="n"/>
      <c r="I822" s="98"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147" t="n"/>
      <c r="B823" s="98" t="n"/>
      <c r="C823" s="98" t="n"/>
      <c r="D823" s="98" t="n"/>
      <c r="E823" s="98" t="n"/>
      <c r="F823" s="98" t="n"/>
      <c r="G823" s="98" t="n"/>
      <c r="H823" s="98" t="n"/>
      <c r="I823" s="98"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147" t="n"/>
      <c r="B824" s="98" t="n"/>
      <c r="C824" s="98" t="n"/>
      <c r="D824" s="98" t="n"/>
      <c r="E824" s="98" t="n"/>
      <c r="F824" s="98" t="n"/>
      <c r="G824" s="98" t="n"/>
      <c r="H824" s="98" t="n"/>
      <c r="I824" s="98"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147" t="n"/>
      <c r="B825" s="98" t="n"/>
      <c r="C825" s="98" t="n"/>
      <c r="D825" s="98" t="n"/>
      <c r="E825" s="98" t="n"/>
      <c r="F825" s="98" t="n"/>
      <c r="G825" s="98" t="n"/>
      <c r="H825" s="98" t="n"/>
      <c r="I825" s="98"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147" t="n"/>
      <c r="B826" s="98" t="n"/>
      <c r="C826" s="98" t="n"/>
      <c r="D826" s="98" t="n"/>
      <c r="E826" s="98" t="n"/>
      <c r="F826" s="98" t="n"/>
      <c r="G826" s="98" t="n"/>
      <c r="H826" s="98" t="n"/>
      <c r="I826" s="98"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147" t="n"/>
      <c r="B827" s="98" t="n"/>
      <c r="C827" s="98" t="n"/>
      <c r="D827" s="98" t="n"/>
      <c r="E827" s="98" t="n"/>
      <c r="F827" s="98" t="n"/>
      <c r="G827" s="98" t="n"/>
      <c r="H827" s="98" t="n"/>
      <c r="I827" s="98"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147" t="n"/>
      <c r="B828" s="98" t="n"/>
      <c r="C828" s="98" t="n"/>
      <c r="D828" s="98" t="n"/>
      <c r="E828" s="98" t="n"/>
      <c r="F828" s="98" t="n"/>
      <c r="G828" s="98" t="n"/>
      <c r="H828" s="98" t="n"/>
      <c r="I828" s="98"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147" t="n"/>
      <c r="B829" s="98" t="n"/>
      <c r="C829" s="98" t="n"/>
      <c r="D829" s="98" t="n"/>
      <c r="E829" s="98" t="n"/>
      <c r="F829" s="98" t="n"/>
      <c r="G829" s="98" t="n"/>
      <c r="H829" s="98" t="n"/>
      <c r="I829" s="98"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147" t="n"/>
      <c r="B830" s="98" t="n"/>
      <c r="C830" s="98" t="n"/>
      <c r="D830" s="98" t="n"/>
      <c r="E830" s="98" t="n"/>
      <c r="F830" s="98" t="n"/>
      <c r="G830" s="98" t="n"/>
      <c r="H830" s="98" t="n"/>
      <c r="I830" s="98"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147" t="n"/>
      <c r="B831" s="98" t="n"/>
      <c r="C831" s="98" t="n"/>
      <c r="D831" s="98" t="n"/>
      <c r="E831" s="98" t="n"/>
      <c r="F831" s="98" t="n"/>
      <c r="G831" s="98" t="n"/>
      <c r="H831" s="98" t="n"/>
      <c r="I831" s="98"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147" t="n"/>
      <c r="B832" s="98" t="n"/>
      <c r="C832" s="98" t="n"/>
      <c r="D832" s="98" t="n"/>
      <c r="E832" s="98" t="n"/>
      <c r="F832" s="98" t="n"/>
      <c r="G832" s="98" t="n"/>
      <c r="H832" s="98" t="n"/>
      <c r="I832" s="98"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147" t="n"/>
      <c r="B833" s="98" t="n"/>
      <c r="C833" s="98" t="n"/>
      <c r="D833" s="98" t="n"/>
      <c r="E833" s="98" t="n"/>
      <c r="F833" s="98" t="n"/>
      <c r="G833" s="98" t="n"/>
      <c r="H833" s="98" t="n"/>
      <c r="I833" s="98"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147" t="n"/>
      <c r="B834" s="98" t="n"/>
      <c r="C834" s="98" t="n"/>
      <c r="D834" s="98" t="n"/>
      <c r="E834" s="98" t="n"/>
      <c r="F834" s="98" t="n"/>
      <c r="G834" s="98" t="n"/>
      <c r="H834" s="98" t="n"/>
      <c r="I834" s="98"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147" t="n"/>
      <c r="B835" s="98" t="n"/>
      <c r="C835" s="98" t="n"/>
      <c r="D835" s="98" t="n"/>
      <c r="E835" s="98" t="n"/>
      <c r="F835" s="98" t="n"/>
      <c r="G835" s="98" t="n"/>
      <c r="H835" s="98" t="n"/>
      <c r="I835" s="98"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147" t="n"/>
      <c r="B836" s="98" t="n"/>
      <c r="C836" s="98" t="n"/>
      <c r="D836" s="98" t="n"/>
      <c r="E836" s="98" t="n"/>
      <c r="F836" s="98" t="n"/>
      <c r="G836" s="98" t="n"/>
      <c r="H836" s="98" t="n"/>
      <c r="I836" s="98"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147" t="n"/>
      <c r="B837" s="98" t="n"/>
      <c r="C837" s="98" t="n"/>
      <c r="D837" s="98" t="n"/>
      <c r="E837" s="98" t="n"/>
      <c r="F837" s="98" t="n"/>
      <c r="G837" s="98" t="n"/>
      <c r="H837" s="98" t="n"/>
      <c r="I837" s="98"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147" t="n"/>
      <c r="B838" s="98" t="n"/>
      <c r="C838" s="98" t="n"/>
      <c r="D838" s="98" t="n"/>
      <c r="E838" s="98" t="n"/>
      <c r="F838" s="98" t="n"/>
      <c r="G838" s="98" t="n"/>
      <c r="H838" s="98" t="n"/>
      <c r="I838" s="98"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147" t="n"/>
      <c r="B839" s="98" t="n"/>
      <c r="C839" s="98" t="n"/>
      <c r="D839" s="98" t="n"/>
      <c r="E839" s="98" t="n"/>
      <c r="F839" s="98" t="n"/>
      <c r="G839" s="98" t="n"/>
      <c r="H839" s="98" t="n"/>
      <c r="I839" s="98"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147" t="n"/>
      <c r="B840" s="98" t="n"/>
      <c r="C840" s="98" t="n"/>
      <c r="D840" s="98" t="n"/>
      <c r="E840" s="98" t="n"/>
      <c r="F840" s="98" t="n"/>
      <c r="G840" s="98" t="n"/>
      <c r="H840" s="98" t="n"/>
      <c r="I840" s="98"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147" t="n"/>
      <c r="B841" s="98" t="n"/>
      <c r="C841" s="98" t="n"/>
      <c r="D841" s="98" t="n"/>
      <c r="E841" s="98" t="n"/>
      <c r="F841" s="98" t="n"/>
      <c r="G841" s="98" t="n"/>
      <c r="H841" s="98" t="n"/>
      <c r="I841" s="98"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147" t="n"/>
      <c r="B842" s="98" t="n"/>
      <c r="C842" s="98" t="n"/>
      <c r="D842" s="98" t="n"/>
      <c r="E842" s="98" t="n"/>
      <c r="F842" s="98" t="n"/>
      <c r="G842" s="98" t="n"/>
      <c r="H842" s="98" t="n"/>
      <c r="I842" s="98"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147" t="n"/>
      <c r="B843" s="98" t="n"/>
      <c r="C843" s="98" t="n"/>
      <c r="D843" s="98" t="n"/>
      <c r="E843" s="98" t="n"/>
      <c r="F843" s="98" t="n"/>
      <c r="G843" s="98" t="n"/>
      <c r="H843" s="98" t="n"/>
      <c r="I843" s="98"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147" t="n"/>
      <c r="B844" s="98" t="n"/>
      <c r="C844" s="98" t="n"/>
      <c r="D844" s="98" t="n"/>
      <c r="E844" s="98" t="n"/>
      <c r="F844" s="98" t="n"/>
      <c r="G844" s="98" t="n"/>
      <c r="H844" s="98" t="n"/>
      <c r="I844" s="98"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147" t="n"/>
      <c r="B845" s="98" t="n"/>
      <c r="C845" s="98" t="n"/>
      <c r="D845" s="98" t="n"/>
      <c r="E845" s="98" t="n"/>
      <c r="F845" s="98" t="n"/>
      <c r="G845" s="98" t="n"/>
      <c r="H845" s="98" t="n"/>
      <c r="I845" s="98"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147" t="n"/>
      <c r="B846" s="98" t="n"/>
      <c r="C846" s="98" t="n"/>
      <c r="D846" s="98" t="n"/>
      <c r="E846" s="98" t="n"/>
      <c r="F846" s="98" t="n"/>
      <c r="G846" s="98" t="n"/>
      <c r="H846" s="98" t="n"/>
      <c r="I846" s="98"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147" t="n"/>
      <c r="B847" s="98" t="n"/>
      <c r="C847" s="98" t="n"/>
      <c r="D847" s="98" t="n"/>
      <c r="E847" s="98" t="n"/>
      <c r="F847" s="98" t="n"/>
      <c r="G847" s="98" t="n"/>
      <c r="H847" s="98" t="n"/>
      <c r="I847" s="98"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147" t="n"/>
      <c r="B848" s="98" t="n"/>
      <c r="C848" s="98" t="n"/>
      <c r="D848" s="98" t="n"/>
      <c r="E848" s="98" t="n"/>
      <c r="F848" s="98" t="n"/>
      <c r="G848" s="98" t="n"/>
      <c r="H848" s="98" t="n"/>
      <c r="I848" s="98"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147" t="n"/>
      <c r="B849" s="98" t="n"/>
      <c r="C849" s="98" t="n"/>
      <c r="D849" s="98" t="n"/>
      <c r="E849" s="98" t="n"/>
      <c r="F849" s="98" t="n"/>
      <c r="G849" s="98" t="n"/>
      <c r="H849" s="98" t="n"/>
      <c r="I849" s="98"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147" t="n"/>
      <c r="B850" s="98" t="n"/>
      <c r="C850" s="98" t="n"/>
      <c r="D850" s="98" t="n"/>
      <c r="E850" s="98" t="n"/>
      <c r="F850" s="98" t="n"/>
      <c r="G850" s="98" t="n"/>
      <c r="H850" s="98" t="n"/>
      <c r="I850" s="98"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147" t="n"/>
      <c r="B851" s="98" t="n"/>
      <c r="C851" s="98" t="n"/>
      <c r="D851" s="98" t="n"/>
      <c r="E851" s="98" t="n"/>
      <c r="F851" s="98" t="n"/>
      <c r="G851" s="98" t="n"/>
      <c r="H851" s="98" t="n"/>
      <c r="I851" s="98"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147" t="n"/>
      <c r="B852" s="98" t="n"/>
      <c r="C852" s="98" t="n"/>
      <c r="D852" s="98" t="n"/>
      <c r="E852" s="98" t="n"/>
      <c r="F852" s="98" t="n"/>
      <c r="G852" s="98" t="n"/>
      <c r="H852" s="98" t="n"/>
      <c r="I852" s="98"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147" t="n"/>
      <c r="B853" s="98" t="n"/>
      <c r="C853" s="98" t="n"/>
      <c r="D853" s="98" t="n"/>
      <c r="E853" s="98" t="n"/>
      <c r="F853" s="98" t="n"/>
      <c r="G853" s="98" t="n"/>
      <c r="H853" s="98" t="n"/>
      <c r="I853" s="98"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147" t="n"/>
      <c r="B854" s="98" t="n"/>
      <c r="C854" s="98" t="n"/>
      <c r="D854" s="98" t="n"/>
      <c r="E854" s="98" t="n"/>
      <c r="F854" s="98" t="n"/>
      <c r="G854" s="98" t="n"/>
      <c r="H854" s="98" t="n"/>
      <c r="I854" s="98"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147" t="n"/>
      <c r="B855" s="98" t="n"/>
      <c r="C855" s="98" t="n"/>
      <c r="D855" s="98" t="n"/>
      <c r="E855" s="98" t="n"/>
      <c r="F855" s="98" t="n"/>
      <c r="G855" s="98" t="n"/>
      <c r="H855" s="98" t="n"/>
      <c r="I855" s="98"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147" t="n"/>
      <c r="B856" s="98" t="n"/>
      <c r="C856" s="98" t="n"/>
      <c r="D856" s="98" t="n"/>
      <c r="E856" s="98" t="n"/>
      <c r="F856" s="98" t="n"/>
      <c r="G856" s="98" t="n"/>
      <c r="H856" s="98" t="n"/>
      <c r="I856" s="98"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147" t="n"/>
      <c r="B857" s="98" t="n"/>
      <c r="C857" s="98" t="n"/>
      <c r="D857" s="98" t="n"/>
      <c r="E857" s="98" t="n"/>
      <c r="F857" s="98" t="n"/>
      <c r="G857" s="98" t="n"/>
      <c r="H857" s="98" t="n"/>
      <c r="I857" s="98"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147" t="n"/>
      <c r="B858" s="98" t="n"/>
      <c r="C858" s="98" t="n"/>
      <c r="D858" s="98" t="n"/>
      <c r="E858" s="98" t="n"/>
      <c r="F858" s="98" t="n"/>
      <c r="G858" s="98" t="n"/>
      <c r="H858" s="98" t="n"/>
      <c r="I858" s="98"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147" t="n"/>
      <c r="B859" s="98" t="n"/>
      <c r="C859" s="98" t="n"/>
      <c r="D859" s="98" t="n"/>
      <c r="E859" s="98" t="n"/>
      <c r="F859" s="98" t="n"/>
      <c r="G859" s="98" t="n"/>
      <c r="H859" s="98" t="n"/>
      <c r="I859" s="98"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147" t="n"/>
      <c r="B860" s="98" t="n"/>
      <c r="C860" s="98" t="n"/>
      <c r="D860" s="98" t="n"/>
      <c r="E860" s="98" t="n"/>
      <c r="F860" s="98" t="n"/>
      <c r="G860" s="98" t="n"/>
      <c r="H860" s="98" t="n"/>
      <c r="I860" s="98"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147" t="n"/>
      <c r="B861" s="98" t="n"/>
      <c r="C861" s="98" t="n"/>
      <c r="D861" s="98" t="n"/>
      <c r="E861" s="98" t="n"/>
      <c r="F861" s="98" t="n"/>
      <c r="G861" s="98" t="n"/>
      <c r="H861" s="98" t="n"/>
      <c r="I861" s="98"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147" t="n"/>
      <c r="B862" s="98" t="n"/>
      <c r="C862" s="98" t="n"/>
      <c r="D862" s="98" t="n"/>
      <c r="E862" s="98" t="n"/>
      <c r="F862" s="98" t="n"/>
      <c r="G862" s="98" t="n"/>
      <c r="H862" s="98" t="n"/>
      <c r="I862" s="98"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147" t="n"/>
      <c r="B863" s="98" t="n"/>
      <c r="C863" s="98" t="n"/>
      <c r="D863" s="98" t="n"/>
      <c r="E863" s="98" t="n"/>
      <c r="F863" s="98" t="n"/>
      <c r="G863" s="98" t="n"/>
      <c r="H863" s="98" t="n"/>
      <c r="I863" s="98"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147" t="n"/>
      <c r="B864" s="98" t="n"/>
      <c r="C864" s="98" t="n"/>
      <c r="D864" s="98" t="n"/>
      <c r="E864" s="98" t="n"/>
      <c r="F864" s="98" t="n"/>
      <c r="G864" s="98" t="n"/>
      <c r="H864" s="98" t="n"/>
      <c r="I864" s="98"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147" t="n"/>
      <c r="B865" s="98" t="n"/>
      <c r="C865" s="98" t="n"/>
      <c r="D865" s="98" t="n"/>
      <c r="E865" s="98" t="n"/>
      <c r="F865" s="98" t="n"/>
      <c r="G865" s="98" t="n"/>
      <c r="H865" s="98" t="n"/>
      <c r="I865" s="98"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147" t="n"/>
      <c r="B866" s="98" t="n"/>
      <c r="C866" s="98" t="n"/>
      <c r="D866" s="98" t="n"/>
      <c r="E866" s="98" t="n"/>
      <c r="F866" s="98" t="n"/>
      <c r="G866" s="98" t="n"/>
      <c r="H866" s="98" t="n"/>
      <c r="I866" s="98"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147" t="n"/>
      <c r="B867" s="98" t="n"/>
      <c r="C867" s="98" t="n"/>
      <c r="D867" s="98" t="n"/>
      <c r="E867" s="98" t="n"/>
      <c r="F867" s="98" t="n"/>
      <c r="G867" s="98" t="n"/>
      <c r="H867" s="98" t="n"/>
      <c r="I867" s="98"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147" t="n"/>
      <c r="B868" s="98" t="n"/>
      <c r="C868" s="98" t="n"/>
      <c r="D868" s="98" t="n"/>
      <c r="E868" s="98" t="n"/>
      <c r="F868" s="98" t="n"/>
      <c r="G868" s="98" t="n"/>
      <c r="H868" s="98" t="n"/>
      <c r="I868" s="98"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147" t="n"/>
      <c r="B869" s="98" t="n"/>
      <c r="C869" s="98" t="n"/>
      <c r="D869" s="98" t="n"/>
      <c r="E869" s="98" t="n"/>
      <c r="F869" s="98" t="n"/>
      <c r="G869" s="98" t="n"/>
      <c r="H869" s="98" t="n"/>
      <c r="I869" s="98"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147" t="n"/>
      <c r="B870" s="98" t="n"/>
      <c r="C870" s="98" t="n"/>
      <c r="D870" s="98" t="n"/>
      <c r="E870" s="98" t="n"/>
      <c r="F870" s="98" t="n"/>
      <c r="G870" s="98" t="n"/>
      <c r="H870" s="98" t="n"/>
      <c r="I870" s="98"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147" t="n"/>
      <c r="B871" s="98" t="n"/>
      <c r="C871" s="98" t="n"/>
      <c r="D871" s="98" t="n"/>
      <c r="E871" s="98" t="n"/>
      <c r="F871" s="98" t="n"/>
      <c r="G871" s="98" t="n"/>
      <c r="H871" s="98" t="n"/>
      <c r="I871" s="98"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147" t="n"/>
      <c r="B872" s="98" t="n"/>
      <c r="C872" s="98" t="n"/>
      <c r="D872" s="98" t="n"/>
      <c r="E872" s="98" t="n"/>
      <c r="F872" s="98" t="n"/>
      <c r="G872" s="98" t="n"/>
      <c r="H872" s="98" t="n"/>
      <c r="I872" s="98"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147" t="n"/>
      <c r="B873" s="98" t="n"/>
      <c r="C873" s="98" t="n"/>
      <c r="D873" s="98" t="n"/>
      <c r="E873" s="98" t="n"/>
      <c r="F873" s="98" t="n"/>
      <c r="G873" s="98" t="n"/>
      <c r="H873" s="98" t="n"/>
      <c r="I873" s="98"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147" t="n"/>
      <c r="B874" s="98" t="n"/>
      <c r="C874" s="98" t="n"/>
      <c r="D874" s="98" t="n"/>
      <c r="E874" s="98" t="n"/>
      <c r="F874" s="98" t="n"/>
      <c r="G874" s="98" t="n"/>
      <c r="H874" s="98" t="n"/>
      <c r="I874" s="98"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147" t="n"/>
      <c r="B875" s="98" t="n"/>
      <c r="C875" s="98" t="n"/>
      <c r="D875" s="98" t="n"/>
      <c r="E875" s="98" t="n"/>
      <c r="F875" s="98" t="n"/>
      <c r="G875" s="98" t="n"/>
      <c r="H875" s="98" t="n"/>
      <c r="I875" s="98"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147" t="n"/>
      <c r="B876" s="98" t="n"/>
      <c r="C876" s="98" t="n"/>
      <c r="D876" s="98" t="n"/>
      <c r="E876" s="98" t="n"/>
      <c r="F876" s="98" t="n"/>
      <c r="G876" s="98" t="n"/>
      <c r="H876" s="98" t="n"/>
      <c r="I876" s="98"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147" t="n"/>
      <c r="B877" s="98" t="n"/>
      <c r="C877" s="98" t="n"/>
      <c r="D877" s="98" t="n"/>
      <c r="E877" s="98" t="n"/>
      <c r="F877" s="98" t="n"/>
      <c r="G877" s="98" t="n"/>
      <c r="H877" s="98" t="n"/>
      <c r="I877" s="98"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147" t="n"/>
      <c r="B878" s="98" t="n"/>
      <c r="C878" s="98" t="n"/>
      <c r="D878" s="98" t="n"/>
      <c r="E878" s="98" t="n"/>
      <c r="F878" s="98" t="n"/>
      <c r="G878" s="98" t="n"/>
      <c r="H878" s="98" t="n"/>
      <c r="I878" s="98"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147" t="n"/>
      <c r="B879" s="98" t="n"/>
      <c r="C879" s="98" t="n"/>
      <c r="D879" s="98" t="n"/>
      <c r="E879" s="98" t="n"/>
      <c r="F879" s="98" t="n"/>
      <c r="G879" s="98" t="n"/>
      <c r="H879" s="98" t="n"/>
      <c r="I879" s="98"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147" t="n"/>
      <c r="B880" s="98" t="n"/>
      <c r="C880" s="98" t="n"/>
      <c r="D880" s="98" t="n"/>
      <c r="E880" s="98" t="n"/>
      <c r="F880" s="98" t="n"/>
      <c r="G880" s="98" t="n"/>
      <c r="H880" s="98" t="n"/>
      <c r="I880" s="98"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147" t="n"/>
      <c r="B881" s="98" t="n"/>
      <c r="C881" s="98" t="n"/>
      <c r="D881" s="98" t="n"/>
      <c r="E881" s="98" t="n"/>
      <c r="F881" s="98" t="n"/>
      <c r="G881" s="98" t="n"/>
      <c r="H881" s="98" t="n"/>
      <c r="I881" s="98"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147" t="n"/>
      <c r="B882" s="98" t="n"/>
      <c r="C882" s="98" t="n"/>
      <c r="D882" s="98" t="n"/>
      <c r="E882" s="98" t="n"/>
      <c r="F882" s="98" t="n"/>
      <c r="G882" s="98" t="n"/>
      <c r="H882" s="98" t="n"/>
      <c r="I882" s="98"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147" t="n"/>
      <c r="B883" s="98" t="n"/>
      <c r="C883" s="98" t="n"/>
      <c r="D883" s="98" t="n"/>
      <c r="E883" s="98" t="n"/>
      <c r="F883" s="98" t="n"/>
      <c r="G883" s="98" t="n"/>
      <c r="H883" s="98" t="n"/>
      <c r="I883" s="98"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147" t="n"/>
      <c r="B884" s="98" t="n"/>
      <c r="C884" s="98" t="n"/>
      <c r="D884" s="98" t="n"/>
      <c r="E884" s="98" t="n"/>
      <c r="F884" s="98" t="n"/>
      <c r="G884" s="98" t="n"/>
      <c r="H884" s="98" t="n"/>
      <c r="I884" s="98"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147" t="n"/>
      <c r="B885" s="98" t="n"/>
      <c r="C885" s="98" t="n"/>
      <c r="D885" s="98" t="n"/>
      <c r="E885" s="98" t="n"/>
      <c r="F885" s="98" t="n"/>
      <c r="G885" s="98" t="n"/>
      <c r="H885" s="98" t="n"/>
      <c r="I885" s="98"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147" t="n"/>
      <c r="B886" s="98" t="n"/>
      <c r="C886" s="98" t="n"/>
      <c r="D886" s="98" t="n"/>
      <c r="E886" s="98" t="n"/>
      <c r="F886" s="98" t="n"/>
      <c r="G886" s="98" t="n"/>
      <c r="H886" s="98" t="n"/>
      <c r="I886" s="98"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147" t="n"/>
      <c r="B887" s="98" t="n"/>
      <c r="C887" s="98" t="n"/>
      <c r="D887" s="98" t="n"/>
      <c r="E887" s="98" t="n"/>
      <c r="F887" s="98" t="n"/>
      <c r="G887" s="98" t="n"/>
      <c r="H887" s="98" t="n"/>
      <c r="I887" s="98"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147" t="n"/>
      <c r="B888" s="98" t="n"/>
      <c r="C888" s="98" t="n"/>
      <c r="D888" s="98" t="n"/>
      <c r="E888" s="98" t="n"/>
      <c r="F888" s="98" t="n"/>
      <c r="G888" s="98" t="n"/>
      <c r="H888" s="98" t="n"/>
      <c r="I888" s="98"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147" t="n"/>
      <c r="B889" s="98" t="n"/>
      <c r="C889" s="98" t="n"/>
      <c r="D889" s="98" t="n"/>
      <c r="E889" s="98" t="n"/>
      <c r="F889" s="98" t="n"/>
      <c r="G889" s="98" t="n"/>
      <c r="H889" s="98" t="n"/>
      <c r="I889" s="98"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147" t="n"/>
      <c r="B890" s="98" t="n"/>
      <c r="C890" s="98" t="n"/>
      <c r="D890" s="98" t="n"/>
      <c r="E890" s="98" t="n"/>
      <c r="F890" s="98" t="n"/>
      <c r="G890" s="98" t="n"/>
      <c r="H890" s="98" t="n"/>
      <c r="I890" s="98"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147" t="n"/>
      <c r="B891" s="98" t="n"/>
      <c r="C891" s="98" t="n"/>
      <c r="D891" s="98" t="n"/>
      <c r="E891" s="98" t="n"/>
      <c r="F891" s="98" t="n"/>
      <c r="G891" s="98" t="n"/>
      <c r="H891" s="98" t="n"/>
      <c r="I891" s="98"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147" t="n"/>
      <c r="B892" s="98" t="n"/>
      <c r="C892" s="98" t="n"/>
      <c r="D892" s="98" t="n"/>
      <c r="E892" s="98" t="n"/>
      <c r="F892" s="98" t="n"/>
      <c r="G892" s="98" t="n"/>
      <c r="H892" s="98" t="n"/>
      <c r="I892" s="98"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147" t="n"/>
      <c r="B893" s="98" t="n"/>
      <c r="C893" s="98" t="n"/>
      <c r="D893" s="98" t="n"/>
      <c r="E893" s="98" t="n"/>
      <c r="F893" s="98" t="n"/>
      <c r="G893" s="98" t="n"/>
      <c r="H893" s="98" t="n"/>
      <c r="I893" s="98"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147" t="n"/>
      <c r="B894" s="98" t="n"/>
      <c r="C894" s="98" t="n"/>
      <c r="D894" s="98" t="n"/>
      <c r="E894" s="98" t="n"/>
      <c r="F894" s="98" t="n"/>
      <c r="G894" s="98" t="n"/>
      <c r="H894" s="98" t="n"/>
      <c r="I894" s="98"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147" t="n"/>
      <c r="B895" s="98" t="n"/>
      <c r="C895" s="98" t="n"/>
      <c r="D895" s="98" t="n"/>
      <c r="E895" s="98" t="n"/>
      <c r="F895" s="98" t="n"/>
      <c r="G895" s="98" t="n"/>
      <c r="H895" s="98" t="n"/>
      <c r="I895" s="98"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147" t="n"/>
      <c r="B896" s="98" t="n"/>
      <c r="C896" s="98" t="n"/>
      <c r="D896" s="98" t="n"/>
      <c r="E896" s="98" t="n"/>
      <c r="F896" s="98" t="n"/>
      <c r="G896" s="98" t="n"/>
      <c r="H896" s="98" t="n"/>
      <c r="I896" s="98"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147" t="n"/>
      <c r="B897" s="98" t="n"/>
      <c r="C897" s="98" t="n"/>
      <c r="D897" s="98" t="n"/>
      <c r="E897" s="98" t="n"/>
      <c r="F897" s="98" t="n"/>
      <c r="G897" s="98" t="n"/>
      <c r="H897" s="98" t="n"/>
      <c r="I897" s="98"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147" t="n"/>
      <c r="B898" s="98" t="n"/>
      <c r="C898" s="98" t="n"/>
      <c r="D898" s="98" t="n"/>
      <c r="E898" s="98" t="n"/>
      <c r="F898" s="98" t="n"/>
      <c r="G898" s="98" t="n"/>
      <c r="H898" s="98" t="n"/>
      <c r="I898" s="98"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147" t="n"/>
      <c r="B899" s="98" t="n"/>
      <c r="C899" s="98" t="n"/>
      <c r="D899" s="98" t="n"/>
      <c r="E899" s="98" t="n"/>
      <c r="F899" s="98" t="n"/>
      <c r="G899" s="98" t="n"/>
      <c r="H899" s="98" t="n"/>
      <c r="I899" s="98"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147" t="n"/>
      <c r="B900" s="98" t="n"/>
      <c r="C900" s="98" t="n"/>
      <c r="D900" s="98" t="n"/>
      <c r="E900" s="98" t="n"/>
      <c r="F900" s="98" t="n"/>
      <c r="G900" s="98" t="n"/>
      <c r="H900" s="98" t="n"/>
      <c r="I900" s="98"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147" t="n"/>
      <c r="B901" s="98" t="n"/>
      <c r="C901" s="98" t="n"/>
      <c r="D901" s="98" t="n"/>
      <c r="E901" s="98" t="n"/>
      <c r="F901" s="98" t="n"/>
      <c r="G901" s="98" t="n"/>
      <c r="H901" s="98" t="n"/>
      <c r="I901" s="98"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147" t="n"/>
      <c r="B902" s="98" t="n"/>
      <c r="C902" s="98" t="n"/>
      <c r="D902" s="98" t="n"/>
      <c r="E902" s="98" t="n"/>
      <c r="F902" s="98" t="n"/>
      <c r="G902" s="98" t="n"/>
      <c r="H902" s="98" t="n"/>
      <c r="I902" s="98"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147" t="n"/>
      <c r="B903" s="98" t="n"/>
      <c r="C903" s="98" t="n"/>
      <c r="D903" s="98" t="n"/>
      <c r="E903" s="98" t="n"/>
      <c r="F903" s="98" t="n"/>
      <c r="G903" s="98" t="n"/>
      <c r="H903" s="98" t="n"/>
      <c r="I903" s="98"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147" t="n"/>
      <c r="B904" s="98" t="n"/>
      <c r="C904" s="98" t="n"/>
      <c r="D904" s="98" t="n"/>
      <c r="E904" s="98" t="n"/>
      <c r="F904" s="98" t="n"/>
      <c r="G904" s="98" t="n"/>
      <c r="H904" s="98" t="n"/>
      <c r="I904" s="98"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147" t="n"/>
      <c r="B905" s="98" t="n"/>
      <c r="C905" s="98" t="n"/>
      <c r="D905" s="98" t="n"/>
      <c r="E905" s="98" t="n"/>
      <c r="F905" s="98" t="n"/>
      <c r="G905" s="98" t="n"/>
      <c r="H905" s="98" t="n"/>
      <c r="I905" s="98"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147" t="n"/>
      <c r="B906" s="98" t="n"/>
      <c r="C906" s="98" t="n"/>
      <c r="D906" s="98" t="n"/>
      <c r="E906" s="98" t="n"/>
      <c r="F906" s="98" t="n"/>
      <c r="G906" s="98" t="n"/>
      <c r="H906" s="98" t="n"/>
      <c r="I906" s="98"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147" t="n"/>
      <c r="B907" s="98" t="n"/>
      <c r="C907" s="98" t="n"/>
      <c r="D907" s="98" t="n"/>
      <c r="E907" s="98" t="n"/>
      <c r="F907" s="98" t="n"/>
      <c r="G907" s="98" t="n"/>
      <c r="H907" s="98" t="n"/>
      <c r="I907" s="98"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147" t="n"/>
      <c r="B908" s="98" t="n"/>
      <c r="C908" s="98" t="n"/>
      <c r="D908" s="98" t="n"/>
      <c r="E908" s="98" t="n"/>
      <c r="F908" s="98" t="n"/>
      <c r="G908" s="98" t="n"/>
      <c r="H908" s="98" t="n"/>
      <c r="I908" s="98"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147" t="n"/>
      <c r="B909" s="98" t="n"/>
      <c r="C909" s="98" t="n"/>
      <c r="D909" s="98" t="n"/>
      <c r="E909" s="98" t="n"/>
      <c r="F909" s="98" t="n"/>
      <c r="G909" s="98" t="n"/>
      <c r="H909" s="98" t="n"/>
      <c r="I909" s="98"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147" t="n"/>
      <c r="B910" s="98" t="n"/>
      <c r="C910" s="98" t="n"/>
      <c r="D910" s="98" t="n"/>
      <c r="E910" s="98" t="n"/>
      <c r="F910" s="98" t="n"/>
      <c r="G910" s="98" t="n"/>
      <c r="H910" s="98" t="n"/>
      <c r="I910" s="98"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147" t="n"/>
      <c r="B911" s="98" t="n"/>
      <c r="C911" s="98" t="n"/>
      <c r="D911" s="98" t="n"/>
      <c r="E911" s="98" t="n"/>
      <c r="F911" s="98" t="n"/>
      <c r="G911" s="98" t="n"/>
      <c r="H911" s="98" t="n"/>
      <c r="I911" s="98"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147" t="n"/>
      <c r="B912" s="98" t="n"/>
      <c r="C912" s="98" t="n"/>
      <c r="D912" s="98" t="n"/>
      <c r="E912" s="98" t="n"/>
      <c r="F912" s="98" t="n"/>
      <c r="G912" s="98" t="n"/>
      <c r="H912" s="98" t="n"/>
      <c r="I912" s="98"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147" t="n"/>
      <c r="B913" s="98" t="n"/>
      <c r="C913" s="98" t="n"/>
      <c r="D913" s="98" t="n"/>
      <c r="E913" s="98" t="n"/>
      <c r="F913" s="98" t="n"/>
      <c r="G913" s="98" t="n"/>
      <c r="H913" s="98" t="n"/>
      <c r="I913" s="98"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147" t="n"/>
      <c r="B914" s="98" t="n"/>
      <c r="C914" s="98" t="n"/>
      <c r="D914" s="98" t="n"/>
      <c r="E914" s="98" t="n"/>
      <c r="F914" s="98" t="n"/>
      <c r="G914" s="98" t="n"/>
      <c r="H914" s="98" t="n"/>
      <c r="I914" s="98"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147" t="n"/>
      <c r="B915" s="98" t="n"/>
      <c r="C915" s="98" t="n"/>
      <c r="D915" s="98" t="n"/>
      <c r="E915" s="98" t="n"/>
      <c r="F915" s="98" t="n"/>
      <c r="G915" s="98" t="n"/>
      <c r="H915" s="98" t="n"/>
      <c r="I915" s="98"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147" t="n"/>
      <c r="B916" s="98" t="n"/>
      <c r="C916" s="98" t="n"/>
      <c r="D916" s="98" t="n"/>
      <c r="E916" s="98" t="n"/>
      <c r="F916" s="98" t="n"/>
      <c r="G916" s="98" t="n"/>
      <c r="H916" s="98" t="n"/>
      <c r="I916" s="98"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147" t="n"/>
      <c r="B917" s="98" t="n"/>
      <c r="C917" s="98" t="n"/>
      <c r="D917" s="98" t="n"/>
      <c r="E917" s="98" t="n"/>
      <c r="F917" s="98" t="n"/>
      <c r="G917" s="98" t="n"/>
      <c r="H917" s="98" t="n"/>
      <c r="I917" s="98"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147" t="n"/>
      <c r="B918" s="98" t="n"/>
      <c r="C918" s="98" t="n"/>
      <c r="D918" s="98" t="n"/>
      <c r="E918" s="98" t="n"/>
      <c r="F918" s="98" t="n"/>
      <c r="G918" s="98" t="n"/>
      <c r="H918" s="98" t="n"/>
      <c r="I918" s="98"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147" t="n"/>
      <c r="B919" s="98" t="n"/>
      <c r="C919" s="98" t="n"/>
      <c r="D919" s="98" t="n"/>
      <c r="E919" s="98" t="n"/>
      <c r="F919" s="98" t="n"/>
      <c r="G919" s="98" t="n"/>
      <c r="H919" s="98" t="n"/>
      <c r="I919" s="98"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147" t="n"/>
      <c r="B920" s="98" t="n"/>
      <c r="C920" s="98" t="n"/>
      <c r="D920" s="98" t="n"/>
      <c r="E920" s="98" t="n"/>
      <c r="F920" s="98" t="n"/>
      <c r="G920" s="98" t="n"/>
      <c r="H920" s="98" t="n"/>
      <c r="I920" s="98"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147" t="n"/>
      <c r="B921" s="98" t="n"/>
      <c r="C921" s="98" t="n"/>
      <c r="D921" s="98" t="n"/>
      <c r="E921" s="98" t="n"/>
      <c r="F921" s="98" t="n"/>
      <c r="G921" s="98" t="n"/>
      <c r="H921" s="98" t="n"/>
      <c r="I921" s="98"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147" t="n"/>
      <c r="B922" s="98" t="n"/>
      <c r="C922" s="98" t="n"/>
      <c r="D922" s="98" t="n"/>
      <c r="E922" s="98" t="n"/>
      <c r="F922" s="98" t="n"/>
      <c r="G922" s="98" t="n"/>
      <c r="H922" s="98" t="n"/>
      <c r="I922" s="98"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147" t="n"/>
      <c r="B923" s="98" t="n"/>
      <c r="C923" s="98" t="n"/>
      <c r="D923" s="98" t="n"/>
      <c r="E923" s="98" t="n"/>
      <c r="F923" s="98" t="n"/>
      <c r="G923" s="98" t="n"/>
      <c r="H923" s="98" t="n"/>
      <c r="I923" s="98"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147" t="n"/>
      <c r="B924" s="98" t="n"/>
      <c r="C924" s="98" t="n"/>
      <c r="D924" s="98" t="n"/>
      <c r="E924" s="98" t="n"/>
      <c r="F924" s="98" t="n"/>
      <c r="G924" s="98" t="n"/>
      <c r="H924" s="98" t="n"/>
      <c r="I924" s="98"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147" t="n"/>
      <c r="B925" s="98" t="n"/>
      <c r="C925" s="98" t="n"/>
      <c r="D925" s="98" t="n"/>
      <c r="E925" s="98" t="n"/>
      <c r="F925" s="98" t="n"/>
      <c r="G925" s="98" t="n"/>
      <c r="H925" s="98" t="n"/>
      <c r="I925" s="98"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147" t="n"/>
      <c r="B926" s="98" t="n"/>
      <c r="C926" s="98" t="n"/>
      <c r="D926" s="98" t="n"/>
      <c r="E926" s="98" t="n"/>
      <c r="F926" s="98" t="n"/>
      <c r="G926" s="98" t="n"/>
      <c r="H926" s="98" t="n"/>
      <c r="I926" s="98"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147" t="n"/>
      <c r="B927" s="98" t="n"/>
      <c r="C927" s="98" t="n"/>
      <c r="D927" s="98" t="n"/>
      <c r="E927" s="98" t="n"/>
      <c r="F927" s="98" t="n"/>
      <c r="G927" s="98" t="n"/>
      <c r="H927" s="98" t="n"/>
      <c r="I927" s="98"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147" t="n"/>
      <c r="B928" s="98" t="n"/>
      <c r="C928" s="98" t="n"/>
      <c r="D928" s="98" t="n"/>
      <c r="E928" s="98" t="n"/>
      <c r="F928" s="98" t="n"/>
      <c r="G928" s="98" t="n"/>
      <c r="H928" s="98" t="n"/>
      <c r="I928" s="98"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147" t="n"/>
      <c r="B929" s="98" t="n"/>
      <c r="C929" s="98" t="n"/>
      <c r="D929" s="98" t="n"/>
      <c r="E929" s="98" t="n"/>
      <c r="F929" s="98" t="n"/>
      <c r="G929" s="98" t="n"/>
      <c r="H929" s="98" t="n"/>
      <c r="I929" s="98"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147" t="n"/>
      <c r="B930" s="98" t="n"/>
      <c r="C930" s="98" t="n"/>
      <c r="D930" s="98" t="n"/>
      <c r="E930" s="98" t="n"/>
      <c r="F930" s="98" t="n"/>
      <c r="G930" s="98" t="n"/>
      <c r="H930" s="98" t="n"/>
      <c r="I930" s="98"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147" t="n"/>
      <c r="B931" s="98" t="n"/>
      <c r="C931" s="98" t="n"/>
      <c r="D931" s="98" t="n"/>
      <c r="E931" s="98" t="n"/>
      <c r="F931" s="98" t="n"/>
      <c r="G931" s="98" t="n"/>
      <c r="H931" s="98" t="n"/>
      <c r="I931" s="98"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147" t="n"/>
      <c r="B932" s="98" t="n"/>
      <c r="C932" s="98" t="n"/>
      <c r="D932" s="98" t="n"/>
      <c r="E932" s="98" t="n"/>
      <c r="F932" s="98" t="n"/>
      <c r="G932" s="98" t="n"/>
      <c r="H932" s="98" t="n"/>
      <c r="I932" s="98"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147" t="n"/>
      <c r="B933" s="98" t="n"/>
      <c r="C933" s="98" t="n"/>
      <c r="D933" s="98" t="n"/>
      <c r="E933" s="98" t="n"/>
      <c r="F933" s="98" t="n"/>
      <c r="G933" s="98" t="n"/>
      <c r="H933" s="98" t="n"/>
      <c r="I933" s="98"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147" t="n"/>
      <c r="B934" s="98" t="n"/>
      <c r="C934" s="98" t="n"/>
      <c r="D934" s="98" t="n"/>
      <c r="E934" s="98" t="n"/>
      <c r="F934" s="98" t="n"/>
      <c r="G934" s="98" t="n"/>
      <c r="H934" s="98" t="n"/>
      <c r="I934" s="98"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147" t="n"/>
      <c r="B935" s="98" t="n"/>
      <c r="C935" s="98" t="n"/>
      <c r="D935" s="98" t="n"/>
      <c r="E935" s="98" t="n"/>
      <c r="F935" s="98" t="n"/>
      <c r="G935" s="98" t="n"/>
      <c r="H935" s="98" t="n"/>
      <c r="I935" s="98"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147" t="n"/>
      <c r="B936" s="98" t="n"/>
      <c r="C936" s="98" t="n"/>
      <c r="D936" s="98" t="n"/>
      <c r="E936" s="98" t="n"/>
      <c r="F936" s="98" t="n"/>
      <c r="G936" s="98" t="n"/>
      <c r="H936" s="98" t="n"/>
      <c r="I936" s="98"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147" t="n"/>
      <c r="B937" s="98" t="n"/>
      <c r="C937" s="98" t="n"/>
      <c r="D937" s="98" t="n"/>
      <c r="E937" s="98" t="n"/>
      <c r="F937" s="98" t="n"/>
      <c r="G937" s="98" t="n"/>
      <c r="H937" s="98" t="n"/>
      <c r="I937" s="98"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147" t="n"/>
      <c r="B938" s="98" t="n"/>
      <c r="C938" s="98" t="n"/>
      <c r="D938" s="98" t="n"/>
      <c r="E938" s="98" t="n"/>
      <c r="F938" s="98" t="n"/>
      <c r="G938" s="98" t="n"/>
      <c r="H938" s="98" t="n"/>
      <c r="I938" s="98"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147" t="n"/>
      <c r="B939" s="98" t="n"/>
      <c r="C939" s="98" t="n"/>
      <c r="D939" s="98" t="n"/>
      <c r="E939" s="98" t="n"/>
      <c r="F939" s="98" t="n"/>
      <c r="G939" s="98" t="n"/>
      <c r="H939" s="98" t="n"/>
      <c r="I939" s="98"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147" t="n"/>
      <c r="B940" s="98" t="n"/>
      <c r="C940" s="98" t="n"/>
      <c r="D940" s="98" t="n"/>
      <c r="E940" s="98" t="n"/>
      <c r="F940" s="98" t="n"/>
      <c r="G940" s="98" t="n"/>
      <c r="H940" s="98" t="n"/>
      <c r="I940" s="98"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147" t="n"/>
      <c r="B941" s="98" t="n"/>
      <c r="C941" s="98" t="n"/>
      <c r="D941" s="98" t="n"/>
      <c r="E941" s="98" t="n"/>
      <c r="F941" s="98" t="n"/>
      <c r="G941" s="98" t="n"/>
      <c r="H941" s="98" t="n"/>
      <c r="I941" s="98"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147" t="n"/>
      <c r="B942" s="98" t="n"/>
      <c r="C942" s="98" t="n"/>
      <c r="D942" s="98" t="n"/>
      <c r="E942" s="98" t="n"/>
      <c r="F942" s="98" t="n"/>
      <c r="G942" s="98" t="n"/>
      <c r="H942" s="98" t="n"/>
      <c r="I942" s="98"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147" t="n"/>
      <c r="B943" s="98" t="n"/>
      <c r="C943" s="98" t="n"/>
      <c r="D943" s="98" t="n"/>
      <c r="E943" s="98" t="n"/>
      <c r="F943" s="98" t="n"/>
      <c r="G943" s="98" t="n"/>
      <c r="H943" s="98" t="n"/>
      <c r="I943" s="98"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147" t="n"/>
      <c r="B944" s="98" t="n"/>
      <c r="C944" s="98" t="n"/>
      <c r="D944" s="98" t="n"/>
      <c r="E944" s="98" t="n"/>
      <c r="F944" s="98" t="n"/>
      <c r="G944" s="98" t="n"/>
      <c r="H944" s="98" t="n"/>
      <c r="I944" s="98"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147" t="n"/>
      <c r="B945" s="98" t="n"/>
      <c r="C945" s="98" t="n"/>
      <c r="D945" s="98" t="n"/>
      <c r="E945" s="98" t="n"/>
      <c r="F945" s="98" t="n"/>
      <c r="G945" s="98" t="n"/>
      <c r="H945" s="98" t="n"/>
      <c r="I945" s="98"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147" t="n"/>
      <c r="B946" s="98" t="n"/>
      <c r="C946" s="98" t="n"/>
      <c r="D946" s="98" t="n"/>
      <c r="E946" s="98" t="n"/>
      <c r="F946" s="98" t="n"/>
      <c r="G946" s="98" t="n"/>
      <c r="H946" s="98" t="n"/>
      <c r="I946" s="98"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147" t="n"/>
      <c r="B947" s="98" t="n"/>
      <c r="C947" s="98" t="n"/>
      <c r="D947" s="98" t="n"/>
      <c r="E947" s="98" t="n"/>
      <c r="F947" s="98" t="n"/>
      <c r="G947" s="98" t="n"/>
      <c r="H947" s="98" t="n"/>
      <c r="I947" s="98"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147" t="n"/>
      <c r="B948" s="98" t="n"/>
      <c r="C948" s="98" t="n"/>
      <c r="D948" s="98" t="n"/>
      <c r="E948" s="98" t="n"/>
      <c r="F948" s="98" t="n"/>
      <c r="G948" s="98" t="n"/>
      <c r="H948" s="98" t="n"/>
      <c r="I948" s="98"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147" t="n"/>
      <c r="B949" s="98" t="n"/>
      <c r="C949" s="98" t="n"/>
      <c r="D949" s="98" t="n"/>
      <c r="E949" s="98" t="n"/>
      <c r="F949" s="98" t="n"/>
      <c r="G949" s="98" t="n"/>
      <c r="H949" s="98" t="n"/>
      <c r="I949" s="98"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147" t="n"/>
      <c r="B950" s="98" t="n"/>
      <c r="C950" s="98" t="n"/>
      <c r="D950" s="98" t="n"/>
      <c r="E950" s="98" t="n"/>
      <c r="F950" s="98" t="n"/>
      <c r="G950" s="98" t="n"/>
      <c r="H950" s="98" t="n"/>
      <c r="I950" s="98"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147" t="n"/>
      <c r="B951" s="98" t="n"/>
      <c r="C951" s="98" t="n"/>
      <c r="D951" s="98" t="n"/>
      <c r="E951" s="98" t="n"/>
      <c r="F951" s="98" t="n"/>
      <c r="G951" s="98" t="n"/>
      <c r="H951" s="98" t="n"/>
      <c r="I951" s="98"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147" t="n"/>
      <c r="B952" s="98" t="n"/>
      <c r="C952" s="98" t="n"/>
      <c r="D952" s="98" t="n"/>
      <c r="E952" s="98" t="n"/>
      <c r="F952" s="98" t="n"/>
      <c r="G952" s="98" t="n"/>
      <c r="H952" s="98" t="n"/>
      <c r="I952" s="98"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147" t="n"/>
      <c r="B953" s="98" t="n"/>
      <c r="C953" s="98" t="n"/>
      <c r="D953" s="98" t="n"/>
      <c r="E953" s="98" t="n"/>
      <c r="F953" s="98" t="n"/>
      <c r="G953" s="98" t="n"/>
      <c r="H953" s="98" t="n"/>
      <c r="I953" s="98"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147" t="n"/>
      <c r="B954" s="98" t="n"/>
      <c r="C954" s="98" t="n"/>
      <c r="D954" s="98" t="n"/>
      <c r="E954" s="98" t="n"/>
      <c r="F954" s="98" t="n"/>
      <c r="G954" s="98" t="n"/>
      <c r="H954" s="98" t="n"/>
      <c r="I954" s="98"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147" t="n"/>
      <c r="B955" s="98" t="n"/>
      <c r="C955" s="98" t="n"/>
      <c r="D955" s="98" t="n"/>
      <c r="E955" s="98" t="n"/>
      <c r="F955" s="98" t="n"/>
      <c r="G955" s="98" t="n"/>
      <c r="H955" s="98" t="n"/>
      <c r="I955" s="98"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147" t="n"/>
      <c r="B956" s="98" t="n"/>
      <c r="C956" s="98" t="n"/>
      <c r="D956" s="98" t="n"/>
      <c r="E956" s="98" t="n"/>
      <c r="F956" s="98" t="n"/>
      <c r="G956" s="98" t="n"/>
      <c r="H956" s="98" t="n"/>
      <c r="I956" s="98"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147" t="n"/>
      <c r="B957" s="98" t="n"/>
      <c r="C957" s="98" t="n"/>
      <c r="D957" s="98" t="n"/>
      <c r="E957" s="98" t="n"/>
      <c r="F957" s="98" t="n"/>
      <c r="G957" s="98" t="n"/>
      <c r="H957" s="98" t="n"/>
      <c r="I957" s="98"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147" t="n"/>
      <c r="B958" s="98" t="n"/>
      <c r="C958" s="98" t="n"/>
      <c r="D958" s="98" t="n"/>
      <c r="E958" s="98" t="n"/>
      <c r="F958" s="98" t="n"/>
      <c r="G958" s="98" t="n"/>
      <c r="H958" s="98" t="n"/>
      <c r="I958" s="98"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147" t="n"/>
      <c r="B959" s="98" t="n"/>
      <c r="C959" s="98" t="n"/>
      <c r="D959" s="98" t="n"/>
      <c r="E959" s="98" t="n"/>
      <c r="F959" s="98" t="n"/>
      <c r="G959" s="98" t="n"/>
      <c r="H959" s="98" t="n"/>
      <c r="I959" s="98"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147" t="n"/>
      <c r="B960" s="98" t="n"/>
      <c r="C960" s="98" t="n"/>
      <c r="D960" s="98" t="n"/>
      <c r="E960" s="98" t="n"/>
      <c r="F960" s="98" t="n"/>
      <c r="G960" s="98" t="n"/>
      <c r="H960" s="98" t="n"/>
      <c r="I960" s="98"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147" t="n"/>
      <c r="B961" s="98" t="n"/>
      <c r="C961" s="98" t="n"/>
      <c r="D961" s="98" t="n"/>
      <c r="E961" s="98" t="n"/>
      <c r="F961" s="98" t="n"/>
      <c r="G961" s="98" t="n"/>
      <c r="H961" s="98" t="n"/>
      <c r="I961" s="98"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147" t="n"/>
      <c r="B962" s="98" t="n"/>
      <c r="C962" s="98" t="n"/>
      <c r="D962" s="98" t="n"/>
      <c r="E962" s="98" t="n"/>
      <c r="F962" s="98" t="n"/>
      <c r="G962" s="98" t="n"/>
      <c r="H962" s="98" t="n"/>
      <c r="I962" s="98"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147" t="n"/>
      <c r="B963" s="98" t="n"/>
      <c r="C963" s="98" t="n"/>
      <c r="D963" s="98" t="n"/>
      <c r="E963" s="98" t="n"/>
      <c r="F963" s="98" t="n"/>
      <c r="G963" s="98" t="n"/>
      <c r="H963" s="98" t="n"/>
      <c r="I963" s="98"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147" t="n"/>
      <c r="B964" s="98" t="n"/>
      <c r="C964" s="98" t="n"/>
      <c r="D964" s="98" t="n"/>
      <c r="E964" s="98" t="n"/>
      <c r="F964" s="98" t="n"/>
      <c r="G964" s="98" t="n"/>
      <c r="H964" s="98" t="n"/>
      <c r="I964" s="98"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147" t="n"/>
      <c r="B965" s="98" t="n"/>
      <c r="C965" s="98" t="n"/>
      <c r="D965" s="98" t="n"/>
      <c r="E965" s="98" t="n"/>
      <c r="F965" s="98" t="n"/>
      <c r="G965" s="98" t="n"/>
      <c r="H965" s="98" t="n"/>
      <c r="I965" s="98"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147" t="n"/>
      <c r="B966" s="98" t="n"/>
      <c r="C966" s="98" t="n"/>
      <c r="D966" s="98" t="n"/>
      <c r="E966" s="98" t="n"/>
      <c r="F966" s="98" t="n"/>
      <c r="G966" s="98" t="n"/>
      <c r="H966" s="98" t="n"/>
      <c r="I966" s="98"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147" t="n"/>
      <c r="B967" s="98" t="n"/>
      <c r="C967" s="98" t="n"/>
      <c r="D967" s="98" t="n"/>
      <c r="E967" s="98" t="n"/>
      <c r="F967" s="98" t="n"/>
      <c r="G967" s="98" t="n"/>
      <c r="H967" s="98" t="n"/>
      <c r="I967" s="98"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147" t="n"/>
      <c r="B968" s="98" t="n"/>
      <c r="C968" s="98" t="n"/>
      <c r="D968" s="98" t="n"/>
      <c r="E968" s="98" t="n"/>
      <c r="F968" s="98" t="n"/>
      <c r="G968" s="98" t="n"/>
      <c r="H968" s="98" t="n"/>
      <c r="I968" s="98"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147" t="n"/>
      <c r="B969" s="98" t="n"/>
      <c r="C969" s="98" t="n"/>
      <c r="D969" s="98" t="n"/>
      <c r="E969" s="98" t="n"/>
      <c r="F969" s="98" t="n"/>
      <c r="G969" s="98" t="n"/>
      <c r="H969" s="98" t="n"/>
      <c r="I969" s="98"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147" t="n"/>
      <c r="B970" s="98" t="n"/>
      <c r="C970" s="98" t="n"/>
      <c r="D970" s="98" t="n"/>
      <c r="E970" s="98" t="n"/>
      <c r="F970" s="98" t="n"/>
      <c r="G970" s="98" t="n"/>
      <c r="H970" s="98" t="n"/>
      <c r="I970" s="98"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147" t="n"/>
      <c r="B971" s="98" t="n"/>
      <c r="C971" s="98" t="n"/>
      <c r="D971" s="98" t="n"/>
      <c r="E971" s="98" t="n"/>
      <c r="F971" s="98" t="n"/>
      <c r="G971" s="98" t="n"/>
      <c r="H971" s="98" t="n"/>
      <c r="I971" s="98"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147" t="n"/>
      <c r="B972" s="98" t="n"/>
      <c r="C972" s="98" t="n"/>
      <c r="D972" s="98" t="n"/>
      <c r="E972" s="98" t="n"/>
      <c r="F972" s="98" t="n"/>
      <c r="G972" s="98" t="n"/>
      <c r="H972" s="98" t="n"/>
      <c r="I972" s="98"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147" t="n"/>
      <c r="B973" s="98" t="n"/>
      <c r="C973" s="98" t="n"/>
      <c r="D973" s="98" t="n"/>
      <c r="E973" s="98" t="n"/>
      <c r="F973" s="98" t="n"/>
      <c r="G973" s="98" t="n"/>
      <c r="H973" s="98" t="n"/>
      <c r="I973" s="98"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147" t="n"/>
      <c r="B974" s="98" t="n"/>
      <c r="C974" s="98" t="n"/>
      <c r="D974" s="98" t="n"/>
      <c r="E974" s="98" t="n"/>
      <c r="F974" s="98" t="n"/>
      <c r="G974" s="98" t="n"/>
      <c r="H974" s="98" t="n"/>
      <c r="I974" s="98"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147" t="n"/>
      <c r="B975" s="98" t="n"/>
      <c r="C975" s="98" t="n"/>
      <c r="D975" s="98" t="n"/>
      <c r="E975" s="98" t="n"/>
      <c r="F975" s="98" t="n"/>
      <c r="G975" s="98" t="n"/>
      <c r="H975" s="98" t="n"/>
      <c r="I975" s="98"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147" t="n"/>
      <c r="B976" s="98" t="n"/>
      <c r="C976" s="98" t="n"/>
      <c r="D976" s="98" t="n"/>
      <c r="E976" s="98" t="n"/>
      <c r="F976" s="98" t="n"/>
      <c r="G976" s="98" t="n"/>
      <c r="H976" s="98" t="n"/>
      <c r="I976" s="98"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147" t="n"/>
      <c r="B977" s="98" t="n"/>
      <c r="C977" s="98" t="n"/>
      <c r="D977" s="98" t="n"/>
      <c r="E977" s="98" t="n"/>
      <c r="F977" s="98" t="n"/>
      <c r="G977" s="98" t="n"/>
      <c r="H977" s="98" t="n"/>
      <c r="I977" s="98"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147" t="n"/>
      <c r="B978" s="98" t="n"/>
      <c r="C978" s="98" t="n"/>
      <c r="D978" s="98" t="n"/>
      <c r="E978" s="98" t="n"/>
      <c r="F978" s="98" t="n"/>
      <c r="G978" s="98" t="n"/>
      <c r="H978" s="98" t="n"/>
      <c r="I978" s="98"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147" t="n"/>
      <c r="B979" s="98" t="n"/>
      <c r="C979" s="98" t="n"/>
      <c r="D979" s="98" t="n"/>
      <c r="E979" s="98" t="n"/>
      <c r="F979" s="98" t="n"/>
      <c r="G979" s="98" t="n"/>
      <c r="H979" s="98" t="n"/>
      <c r="I979" s="98"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147" t="n"/>
      <c r="B980" s="98" t="n"/>
      <c r="C980" s="98" t="n"/>
      <c r="D980" s="98" t="n"/>
      <c r="E980" s="98" t="n"/>
      <c r="F980" s="98" t="n"/>
      <c r="G980" s="98" t="n"/>
      <c r="H980" s="98" t="n"/>
      <c r="I980" s="98"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147" t="n"/>
      <c r="B981" s="98" t="n"/>
      <c r="C981" s="98" t="n"/>
      <c r="D981" s="98" t="n"/>
      <c r="E981" s="98" t="n"/>
      <c r="F981" s="98" t="n"/>
      <c r="G981" s="98" t="n"/>
      <c r="H981" s="98" t="n"/>
      <c r="I981" s="98"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147" t="n"/>
      <c r="B982" s="98" t="n"/>
      <c r="C982" s="98" t="n"/>
      <c r="D982" s="98" t="n"/>
      <c r="E982" s="98" t="n"/>
      <c r="F982" s="98" t="n"/>
      <c r="G982" s="98" t="n"/>
      <c r="H982" s="98" t="n"/>
      <c r="I982" s="98"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147" t="n"/>
      <c r="B983" s="98" t="n"/>
      <c r="C983" s="98" t="n"/>
      <c r="D983" s="98" t="n"/>
      <c r="E983" s="98" t="n"/>
      <c r="F983" s="98" t="n"/>
      <c r="G983" s="98" t="n"/>
      <c r="H983" s="98" t="n"/>
      <c r="I983" s="98"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147" t="n"/>
      <c r="B984" s="98" t="n"/>
      <c r="C984" s="98" t="n"/>
      <c r="D984" s="98" t="n"/>
      <c r="E984" s="98" t="n"/>
      <c r="F984" s="98" t="n"/>
      <c r="G984" s="98" t="n"/>
      <c r="H984" s="98" t="n"/>
      <c r="I984" s="98"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147" t="n"/>
      <c r="B985" s="98" t="n"/>
      <c r="C985" s="98" t="n"/>
      <c r="D985" s="98" t="n"/>
      <c r="E985" s="98" t="n"/>
      <c r="F985" s="98" t="n"/>
      <c r="G985" s="98" t="n"/>
      <c r="H985" s="98" t="n"/>
      <c r="I985" s="98"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147" t="n"/>
      <c r="B986" s="98" t="n"/>
      <c r="C986" s="98" t="n"/>
      <c r="D986" s="98" t="n"/>
      <c r="E986" s="98" t="n"/>
      <c r="F986" s="98" t="n"/>
      <c r="G986" s="98" t="n"/>
      <c r="H986" s="98" t="n"/>
      <c r="I986" s="98"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147" t="n"/>
      <c r="B987" s="98" t="n"/>
      <c r="C987" s="98" t="n"/>
      <c r="D987" s="98" t="n"/>
      <c r="E987" s="98" t="n"/>
      <c r="F987" s="98" t="n"/>
      <c r="G987" s="98" t="n"/>
      <c r="H987" s="98" t="n"/>
      <c r="I987" s="98"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147" t="n"/>
      <c r="B988" s="98" t="n"/>
      <c r="C988" s="98" t="n"/>
      <c r="D988" s="98" t="n"/>
      <c r="E988" s="98" t="n"/>
      <c r="F988" s="98" t="n"/>
      <c r="G988" s="98" t="n"/>
      <c r="H988" s="98" t="n"/>
      <c r="I988" s="98"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147" t="n"/>
      <c r="B989" s="98" t="n"/>
      <c r="C989" s="98" t="n"/>
      <c r="D989" s="98" t="n"/>
      <c r="E989" s="98" t="n"/>
      <c r="F989" s="98" t="n"/>
      <c r="G989" s="98" t="n"/>
      <c r="H989" s="98" t="n"/>
      <c r="I989" s="98"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147" t="n"/>
      <c r="B990" s="98" t="n"/>
      <c r="C990" s="98" t="n"/>
      <c r="D990" s="98" t="n"/>
      <c r="E990" s="98" t="n"/>
      <c r="F990" s="98" t="n"/>
      <c r="G990" s="98" t="n"/>
      <c r="H990" s="98" t="n"/>
      <c r="I990" s="98"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147" t="n"/>
      <c r="B991" s="98" t="n"/>
      <c r="C991" s="98" t="n"/>
      <c r="D991" s="98" t="n"/>
      <c r="E991" s="98" t="n"/>
      <c r="F991" s="98" t="n"/>
      <c r="G991" s="98" t="n"/>
      <c r="H991" s="98" t="n"/>
      <c r="I991" s="98"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147" t="n"/>
      <c r="B992" s="98" t="n"/>
      <c r="C992" s="98" t="n"/>
      <c r="D992" s="98" t="n"/>
      <c r="E992" s="98" t="n"/>
      <c r="F992" s="98" t="n"/>
      <c r="G992" s="98" t="n"/>
      <c r="H992" s="98" t="n"/>
      <c r="I992" s="98"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147" t="n"/>
      <c r="B993" s="98" t="n"/>
      <c r="C993" s="98" t="n"/>
      <c r="D993" s="98" t="n"/>
      <c r="E993" s="98" t="n"/>
      <c r="F993" s="98" t="n"/>
      <c r="G993" s="98" t="n"/>
      <c r="H993" s="98" t="n"/>
      <c r="I993" s="98"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147" t="n"/>
      <c r="B994" s="98" t="n"/>
      <c r="C994" s="98" t="n"/>
      <c r="D994" s="98" t="n"/>
      <c r="E994" s="98" t="n"/>
      <c r="F994" s="98" t="n"/>
      <c r="G994" s="98" t="n"/>
      <c r="H994" s="98" t="n"/>
      <c r="I994" s="98"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147" t="n"/>
      <c r="B995" s="98" t="n"/>
      <c r="C995" s="98" t="n"/>
      <c r="D995" s="98" t="n"/>
      <c r="E995" s="98" t="n"/>
      <c r="F995" s="98" t="n"/>
      <c r="G995" s="98" t="n"/>
      <c r="H995" s="98" t="n"/>
      <c r="I995" s="98"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147" t="n"/>
      <c r="B996" s="98" t="n"/>
      <c r="C996" s="98" t="n"/>
      <c r="D996" s="98" t="n"/>
      <c r="E996" s="98" t="n"/>
      <c r="F996" s="98" t="n"/>
      <c r="G996" s="98" t="n"/>
      <c r="H996" s="98" t="n"/>
      <c r="I996" s="98"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147" t="n"/>
      <c r="B997" s="98" t="n"/>
      <c r="C997" s="98" t="n"/>
      <c r="D997" s="98" t="n"/>
      <c r="E997" s="98" t="n"/>
      <c r="F997" s="98" t="n"/>
      <c r="G997" s="98" t="n"/>
      <c r="H997" s="98" t="n"/>
      <c r="I997" s="98"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147" t="n"/>
      <c r="B998" s="98" t="n"/>
      <c r="C998" s="98" t="n"/>
      <c r="D998" s="98" t="n"/>
      <c r="E998" s="98" t="n"/>
      <c r="F998" s="98" t="n"/>
      <c r="G998" s="98" t="n"/>
      <c r="H998" s="98" t="n"/>
      <c r="I998" s="98"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147" t="n"/>
      <c r="B999" s="98" t="n"/>
      <c r="C999" s="98" t="n"/>
      <c r="D999" s="98" t="n"/>
      <c r="E999" s="98" t="n"/>
      <c r="F999" s="98" t="n"/>
      <c r="G999" s="98" t="n"/>
      <c r="H999" s="98" t="n"/>
      <c r="I999" s="98"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147" t="n"/>
      <c r="B1000" s="98" t="n"/>
      <c r="C1000" s="98" t="n"/>
      <c r="D1000" s="98" t="n"/>
      <c r="E1000" s="98" t="n"/>
      <c r="F1000" s="98" t="n"/>
      <c r="G1000" s="98" t="n"/>
      <c r="H1000" s="98" t="n"/>
      <c r="I1000" s="98"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147" t="n"/>
      <c r="B1001" s="98" t="n"/>
      <c r="C1001" s="98" t="n"/>
      <c r="D1001" s="98" t="n"/>
      <c r="E1001" s="98" t="n"/>
      <c r="F1001" s="98" t="n"/>
      <c r="G1001" s="98" t="n"/>
      <c r="H1001" s="98" t="n"/>
      <c r="I1001" s="98"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147" t="n"/>
      <c r="B1002" s="98" t="n"/>
      <c r="C1002" s="98" t="n"/>
      <c r="D1002" s="98" t="n"/>
      <c r="E1002" s="98" t="n"/>
      <c r="F1002" s="98" t="n"/>
      <c r="G1002" s="98" t="n"/>
      <c r="H1002" s="98" t="n"/>
      <c r="I1002" s="98"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147" t="n"/>
      <c r="B1003" s="98" t="n"/>
      <c r="C1003" s="98" t="n"/>
      <c r="D1003" s="98" t="n"/>
      <c r="E1003" s="98" t="n"/>
      <c r="F1003" s="98" t="n"/>
      <c r="G1003" s="98" t="n"/>
      <c r="H1003" s="98" t="n"/>
      <c r="I1003" s="98"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147" t="n"/>
      <c r="B1004" s="98" t="n"/>
      <c r="C1004" s="98" t="n"/>
      <c r="D1004" s="98" t="n"/>
      <c r="E1004" s="98" t="n"/>
      <c r="F1004" s="98" t="n"/>
      <c r="G1004" s="98" t="n"/>
      <c r="H1004" s="98" t="n"/>
      <c r="I1004" s="98"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R204"/>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 width="13" customWidth="1" min="43" max="43"/>
    <col width="13" customWidth="1" min="44" max="44"/>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c r="AQ4" s="10" t="inlineStr">
        <is>
          <t>brand's first Y or N renewal answer (1/0)</t>
        </is>
      </c>
      <c r="AR4" s="10" t="inlineStr">
        <is>
          <t>brand's first Y renewal answer (1/0)</t>
        </is>
      </c>
    </row>
    <row r="5">
      <c r="A5" s="98" t="n"/>
      <c r="B5" s="98" t="n"/>
      <c r="C5" s="147" t="n"/>
      <c r="D5" s="98" t="n"/>
      <c r="E5" s="98" t="n"/>
      <c r="F5" s="98" t="n"/>
      <c r="G5" s="98" t="n"/>
      <c r="H5" s="98" t="n"/>
      <c r="I5" s="98" t="n"/>
      <c r="J5" s="98" t="n"/>
      <c r="K5" s="98" t="n"/>
      <c r="L5" s="98" t="n"/>
      <c r="M5" s="98" t="n"/>
      <c r="N5" s="98" t="n"/>
      <c r="O5" s="98" t="n"/>
      <c r="P5" s="98" t="n"/>
      <c r="Q5" s="98" t="n"/>
      <c r="R5" s="149" t="n"/>
      <c r="S5" s="147" t="n"/>
      <c r="T5" s="149" t="n"/>
      <c r="U5" s="147" t="n"/>
      <c r="V5" s="98" t="n"/>
      <c r="W5" s="98" t="n"/>
      <c r="X5" s="149" t="n"/>
      <c r="Y5" s="147" t="n"/>
      <c r="Z5" s="98" t="n"/>
      <c r="AL5" s="29">
        <f>IF(B5="","",IFERROR(INDEX(Schedule!$N$7:$N$18,MATCH(B5,Schedule!$A$7:$A$18,0)),"not in schedule"))</f>
        <v/>
      </c>
      <c r="AM5" s="108">
        <f>IF(B5="","",N(R5)-N(X5))</f>
        <v/>
      </c>
      <c r="AN5" s="144">
        <f>IF(B5="","",IF(Z5&lt;&gt;"",Z5,IF(N(G5)&gt;0,N(N5)/G5,"")))</f>
        <v/>
      </c>
      <c r="AO5" s="107">
        <f>IF(OR(B5="",C5=""),"",WORKDAY(C5,Inputs!$C$132,Lists!$N$4:$N$30))</f>
        <v/>
      </c>
      <c r="AP5" s="29">
        <f>IF(B5="","",IF(U5="","missing",IF(U5&gt;AO5,"Y","N")))</f>
        <v/>
      </c>
      <c r="AQ5" s="29">
        <f>IF(OR(W5="Y",W5="N"),IF(F5="",1,IF(COUNTIFS(F$5:F5,F5,W$5:W5,"Y")+COUNTIFS(F$5:F5,F5,W$5:W5,"N")=1,1,0)),0)</f>
        <v/>
      </c>
      <c r="AR5" s="29">
        <f>IF(W5="Y",IF(F5="",1,IF(COUNTIFS(F$5:F5,F5,W$5:W5,"Y")=1,1,0)),0)</f>
        <v/>
      </c>
    </row>
    <row r="6">
      <c r="A6" s="98" t="n"/>
      <c r="B6" s="98" t="n"/>
      <c r="C6" s="147" t="n"/>
      <c r="D6" s="98" t="n"/>
      <c r="E6" s="98" t="n"/>
      <c r="F6" s="98" t="n"/>
      <c r="G6" s="98" t="n"/>
      <c r="H6" s="98" t="n"/>
      <c r="I6" s="98" t="n"/>
      <c r="J6" s="98" t="n"/>
      <c r="K6" s="98" t="n"/>
      <c r="L6" s="98" t="n"/>
      <c r="M6" s="98" t="n"/>
      <c r="N6" s="98" t="n"/>
      <c r="O6" s="98" t="n"/>
      <c r="P6" s="98" t="n"/>
      <c r="Q6" s="98" t="n"/>
      <c r="R6" s="149" t="n"/>
      <c r="S6" s="147" t="n"/>
      <c r="T6" s="149" t="n"/>
      <c r="U6" s="147" t="n"/>
      <c r="V6" s="98" t="n"/>
      <c r="W6" s="98" t="n"/>
      <c r="X6" s="149" t="n"/>
      <c r="Y6" s="147" t="n"/>
      <c r="Z6" s="98" t="n"/>
      <c r="AL6" s="29">
        <f>IF(B6="","",IFERROR(INDEX(Schedule!$N$7:$N$18,MATCH(B6,Schedule!$A$7:$A$18,0)),"not in schedule"))</f>
        <v/>
      </c>
      <c r="AM6" s="108">
        <f>IF(B6="","",N(R6)-N(X6))</f>
        <v/>
      </c>
      <c r="AN6" s="144">
        <f>IF(B6="","",IF(Z6&lt;&gt;"",Z6,IF(N(G6)&gt;0,N(N6)/G6,"")))</f>
        <v/>
      </c>
      <c r="AO6" s="107">
        <f>IF(OR(B6="",C6=""),"",WORKDAY(C6,Inputs!$C$132,Lists!$N$4:$N$30))</f>
        <v/>
      </c>
      <c r="AP6" s="29">
        <f>IF(B6="","",IF(U6="","missing",IF(U6&gt;AO6,"Y","N")))</f>
        <v/>
      </c>
      <c r="AQ6" s="29">
        <f>IF(OR(W6="Y",W6="N"),IF(F6="",1,IF(COUNTIFS(F$5:F6,F6,W$5:W6,"Y")+COUNTIFS(F$5:F6,F6,W$5:W6,"N")=1,1,0)),0)</f>
        <v/>
      </c>
      <c r="AR6" s="29">
        <f>IF(W6="Y",IF(F6="",1,IF(COUNTIFS(F$5:F6,F6,W$5:W6,"Y")=1,1,0)),0)</f>
        <v/>
      </c>
    </row>
    <row r="7">
      <c r="A7" s="98" t="n"/>
      <c r="B7" s="98" t="n"/>
      <c r="C7" s="147" t="n"/>
      <c r="D7" s="98" t="n"/>
      <c r="E7" s="98" t="n"/>
      <c r="F7" s="98" t="n"/>
      <c r="G7" s="98" t="n"/>
      <c r="H7" s="98" t="n"/>
      <c r="I7" s="98" t="n"/>
      <c r="J7" s="98" t="n"/>
      <c r="K7" s="98" t="n"/>
      <c r="L7" s="98" t="n"/>
      <c r="M7" s="98" t="n"/>
      <c r="N7" s="98" t="n"/>
      <c r="O7" s="98" t="n"/>
      <c r="P7" s="98" t="n"/>
      <c r="Q7" s="98" t="n"/>
      <c r="R7" s="149" t="n"/>
      <c r="S7" s="147" t="n"/>
      <c r="T7" s="149" t="n"/>
      <c r="U7" s="147" t="n"/>
      <c r="V7" s="98" t="n"/>
      <c r="W7" s="98" t="n"/>
      <c r="X7" s="149" t="n"/>
      <c r="Y7" s="147" t="n"/>
      <c r="Z7" s="98" t="n"/>
      <c r="AL7" s="29">
        <f>IF(B7="","",IFERROR(INDEX(Schedule!$N$7:$N$18,MATCH(B7,Schedule!$A$7:$A$18,0)),"not in schedule"))</f>
        <v/>
      </c>
      <c r="AM7" s="108">
        <f>IF(B7="","",N(R7)-N(X7))</f>
        <v/>
      </c>
      <c r="AN7" s="144">
        <f>IF(B7="","",IF(Z7&lt;&gt;"",Z7,IF(N(G7)&gt;0,N(N7)/G7,"")))</f>
        <v/>
      </c>
      <c r="AO7" s="107">
        <f>IF(OR(B7="",C7=""),"",WORKDAY(C7,Inputs!$C$132,Lists!$N$4:$N$30))</f>
        <v/>
      </c>
      <c r="AP7" s="29">
        <f>IF(B7="","",IF(U7="","missing",IF(U7&gt;AO7,"Y","N")))</f>
        <v/>
      </c>
      <c r="AQ7" s="29">
        <f>IF(OR(W7="Y",W7="N"),IF(F7="",1,IF(COUNTIFS(F$5:F7,F7,W$5:W7,"Y")+COUNTIFS(F$5:F7,F7,W$5:W7,"N")=1,1,0)),0)</f>
        <v/>
      </c>
      <c r="AR7" s="29">
        <f>IF(W7="Y",IF(F7="",1,IF(COUNTIFS(F$5:F7,F7,W$5:W7,"Y")=1,1,0)),0)</f>
        <v/>
      </c>
    </row>
    <row r="8">
      <c r="A8" s="98" t="n"/>
      <c r="B8" s="98" t="n"/>
      <c r="C8" s="147" t="n"/>
      <c r="D8" s="98" t="n"/>
      <c r="E8" s="98" t="n"/>
      <c r="F8" s="98" t="n"/>
      <c r="G8" s="98" t="n"/>
      <c r="H8" s="98" t="n"/>
      <c r="I8" s="98" t="n"/>
      <c r="J8" s="98" t="n"/>
      <c r="K8" s="98" t="n"/>
      <c r="L8" s="98" t="n"/>
      <c r="M8" s="98" t="n"/>
      <c r="N8" s="98" t="n"/>
      <c r="O8" s="98" t="n"/>
      <c r="P8" s="98" t="n"/>
      <c r="Q8" s="98" t="n"/>
      <c r="R8" s="149" t="n"/>
      <c r="S8" s="147" t="n"/>
      <c r="T8" s="149" t="n"/>
      <c r="U8" s="147" t="n"/>
      <c r="V8" s="98" t="n"/>
      <c r="W8" s="98" t="n"/>
      <c r="X8" s="149" t="n"/>
      <c r="Y8" s="147" t="n"/>
      <c r="Z8" s="98" t="n"/>
      <c r="AL8" s="29">
        <f>IF(B8="","",IFERROR(INDEX(Schedule!$N$7:$N$18,MATCH(B8,Schedule!$A$7:$A$18,0)),"not in schedule"))</f>
        <v/>
      </c>
      <c r="AM8" s="108">
        <f>IF(B8="","",N(R8)-N(X8))</f>
        <v/>
      </c>
      <c r="AN8" s="144">
        <f>IF(B8="","",IF(Z8&lt;&gt;"",Z8,IF(N(G8)&gt;0,N(N8)/G8,"")))</f>
        <v/>
      </c>
      <c r="AO8" s="107">
        <f>IF(OR(B8="",C8=""),"",WORKDAY(C8,Inputs!$C$132,Lists!$N$4:$N$30))</f>
        <v/>
      </c>
      <c r="AP8" s="29">
        <f>IF(B8="","",IF(U8="","missing",IF(U8&gt;AO8,"Y","N")))</f>
        <v/>
      </c>
      <c r="AQ8" s="29">
        <f>IF(OR(W8="Y",W8="N"),IF(F8="",1,IF(COUNTIFS(F$5:F8,F8,W$5:W8,"Y")+COUNTIFS(F$5:F8,F8,W$5:W8,"N")=1,1,0)),0)</f>
        <v/>
      </c>
      <c r="AR8" s="29">
        <f>IF(W8="Y",IF(F8="",1,IF(COUNTIFS(F$5:F8,F8,W$5:W8,"Y")=1,1,0)),0)</f>
        <v/>
      </c>
    </row>
    <row r="9">
      <c r="A9" s="98" t="n"/>
      <c r="B9" s="98" t="n"/>
      <c r="C9" s="147" t="n"/>
      <c r="D9" s="98" t="n"/>
      <c r="E9" s="98" t="n"/>
      <c r="F9" s="98" t="n"/>
      <c r="G9" s="98" t="n"/>
      <c r="H9" s="98" t="n"/>
      <c r="I9" s="98" t="n"/>
      <c r="J9" s="98" t="n"/>
      <c r="K9" s="98" t="n"/>
      <c r="L9" s="98" t="n"/>
      <c r="M9" s="98" t="n"/>
      <c r="N9" s="98" t="n"/>
      <c r="O9" s="98" t="n"/>
      <c r="P9" s="98" t="n"/>
      <c r="Q9" s="98" t="n"/>
      <c r="R9" s="149" t="n"/>
      <c r="S9" s="147" t="n"/>
      <c r="T9" s="149" t="n"/>
      <c r="U9" s="147" t="n"/>
      <c r="V9" s="98" t="n"/>
      <c r="W9" s="98" t="n"/>
      <c r="X9" s="149" t="n"/>
      <c r="Y9" s="147" t="n"/>
      <c r="Z9" s="98" t="n"/>
      <c r="AL9" s="29">
        <f>IF(B9="","",IFERROR(INDEX(Schedule!$N$7:$N$18,MATCH(B9,Schedule!$A$7:$A$18,0)),"not in schedule"))</f>
        <v/>
      </c>
      <c r="AM9" s="108">
        <f>IF(B9="","",N(R9)-N(X9))</f>
        <v/>
      </c>
      <c r="AN9" s="144">
        <f>IF(B9="","",IF(Z9&lt;&gt;"",Z9,IF(N(G9)&gt;0,N(N9)/G9,"")))</f>
        <v/>
      </c>
      <c r="AO9" s="107">
        <f>IF(OR(B9="",C9=""),"",WORKDAY(C9,Inputs!$C$132,Lists!$N$4:$N$30))</f>
        <v/>
      </c>
      <c r="AP9" s="29">
        <f>IF(B9="","",IF(U9="","missing",IF(U9&gt;AO9,"Y","N")))</f>
        <v/>
      </c>
      <c r="AQ9" s="29">
        <f>IF(OR(W9="Y",W9="N"),IF(F9="",1,IF(COUNTIFS(F$5:F9,F9,W$5:W9,"Y")+COUNTIFS(F$5:F9,F9,W$5:W9,"N")=1,1,0)),0)</f>
        <v/>
      </c>
      <c r="AR9" s="29">
        <f>IF(W9="Y",IF(F9="",1,IF(COUNTIFS(F$5:F9,F9,W$5:W9,"Y")=1,1,0)),0)</f>
        <v/>
      </c>
    </row>
    <row r="10">
      <c r="A10" s="98" t="n"/>
      <c r="B10" s="98" t="n"/>
      <c r="C10" s="147" t="n"/>
      <c r="D10" s="98" t="n"/>
      <c r="E10" s="98" t="n"/>
      <c r="F10" s="98" t="n"/>
      <c r="G10" s="98" t="n"/>
      <c r="H10" s="98" t="n"/>
      <c r="I10" s="98" t="n"/>
      <c r="J10" s="98" t="n"/>
      <c r="K10" s="98" t="n"/>
      <c r="L10" s="98" t="n"/>
      <c r="M10" s="98" t="n"/>
      <c r="N10" s="98" t="n"/>
      <c r="O10" s="98" t="n"/>
      <c r="P10" s="98" t="n"/>
      <c r="Q10" s="98" t="n"/>
      <c r="R10" s="149" t="n"/>
      <c r="S10" s="147" t="n"/>
      <c r="T10" s="149" t="n"/>
      <c r="U10" s="147" t="n"/>
      <c r="V10" s="98" t="n"/>
      <c r="W10" s="98" t="n"/>
      <c r="X10" s="149" t="n"/>
      <c r="Y10" s="147" t="n"/>
      <c r="Z10" s="98" t="n"/>
      <c r="AL10" s="29">
        <f>IF(B10="","",IFERROR(INDEX(Schedule!$N$7:$N$18,MATCH(B10,Schedule!$A$7:$A$18,0)),"not in schedule"))</f>
        <v/>
      </c>
      <c r="AM10" s="108">
        <f>IF(B10="","",N(R10)-N(X10))</f>
        <v/>
      </c>
      <c r="AN10" s="144">
        <f>IF(B10="","",IF(Z10&lt;&gt;"",Z10,IF(N(G10)&gt;0,N(N10)/G10,"")))</f>
        <v/>
      </c>
      <c r="AO10" s="107">
        <f>IF(OR(B10="",C10=""),"",WORKDAY(C10,Inputs!$C$132,Lists!$N$4:$N$30))</f>
        <v/>
      </c>
      <c r="AP10" s="29">
        <f>IF(B10="","",IF(U10="","missing",IF(U10&gt;AO10,"Y","N")))</f>
        <v/>
      </c>
      <c r="AQ10" s="29">
        <f>IF(OR(W10="Y",W10="N"),IF(F10="",1,IF(COUNTIFS(F$5:F10,F10,W$5:W10,"Y")+COUNTIFS(F$5:F10,F10,W$5:W10,"N")=1,1,0)),0)</f>
        <v/>
      </c>
      <c r="AR10" s="29">
        <f>IF(W10="Y",IF(F10="",1,IF(COUNTIFS(F$5:F10,F10,W$5:W10,"Y")=1,1,0)),0)</f>
        <v/>
      </c>
    </row>
    <row r="11">
      <c r="A11" s="98" t="n"/>
      <c r="B11" s="98" t="n"/>
      <c r="C11" s="147" t="n"/>
      <c r="D11" s="98" t="n"/>
      <c r="E11" s="98" t="n"/>
      <c r="F11" s="98" t="n"/>
      <c r="G11" s="98" t="n"/>
      <c r="H11" s="98" t="n"/>
      <c r="I11" s="98" t="n"/>
      <c r="J11" s="98" t="n"/>
      <c r="K11" s="98" t="n"/>
      <c r="L11" s="98" t="n"/>
      <c r="M11" s="98" t="n"/>
      <c r="N11" s="98" t="n"/>
      <c r="O11" s="98" t="n"/>
      <c r="P11" s="98" t="n"/>
      <c r="Q11" s="98" t="n"/>
      <c r="R11" s="149" t="n"/>
      <c r="S11" s="147" t="n"/>
      <c r="T11" s="149" t="n"/>
      <c r="U11" s="147" t="n"/>
      <c r="V11" s="98" t="n"/>
      <c r="W11" s="98" t="n"/>
      <c r="X11" s="149" t="n"/>
      <c r="Y11" s="147" t="n"/>
      <c r="Z11" s="98" t="n"/>
      <c r="AL11" s="29">
        <f>IF(B11="","",IFERROR(INDEX(Schedule!$N$7:$N$18,MATCH(B11,Schedule!$A$7:$A$18,0)),"not in schedule"))</f>
        <v/>
      </c>
      <c r="AM11" s="108">
        <f>IF(B11="","",N(R11)-N(X11))</f>
        <v/>
      </c>
      <c r="AN11" s="144">
        <f>IF(B11="","",IF(Z11&lt;&gt;"",Z11,IF(N(G11)&gt;0,N(N11)/G11,"")))</f>
        <v/>
      </c>
      <c r="AO11" s="107">
        <f>IF(OR(B11="",C11=""),"",WORKDAY(C11,Inputs!$C$132,Lists!$N$4:$N$30))</f>
        <v/>
      </c>
      <c r="AP11" s="29">
        <f>IF(B11="","",IF(U11="","missing",IF(U11&gt;AO11,"Y","N")))</f>
        <v/>
      </c>
      <c r="AQ11" s="29">
        <f>IF(OR(W11="Y",W11="N"),IF(F11="",1,IF(COUNTIFS(F$5:F11,F11,W$5:W11,"Y")+COUNTIFS(F$5:F11,F11,W$5:W11,"N")=1,1,0)),0)</f>
        <v/>
      </c>
      <c r="AR11" s="29">
        <f>IF(W11="Y",IF(F11="",1,IF(COUNTIFS(F$5:F11,F11,W$5:W11,"Y")=1,1,0)),0)</f>
        <v/>
      </c>
    </row>
    <row r="12">
      <c r="A12" s="98" t="n"/>
      <c r="B12" s="98" t="n"/>
      <c r="C12" s="147" t="n"/>
      <c r="D12" s="98" t="n"/>
      <c r="E12" s="98" t="n"/>
      <c r="F12" s="98" t="n"/>
      <c r="G12" s="98" t="n"/>
      <c r="H12" s="98" t="n"/>
      <c r="I12" s="98" t="n"/>
      <c r="J12" s="98" t="n"/>
      <c r="K12" s="98" t="n"/>
      <c r="L12" s="98" t="n"/>
      <c r="M12" s="98" t="n"/>
      <c r="N12" s="98" t="n"/>
      <c r="O12" s="98" t="n"/>
      <c r="P12" s="98" t="n"/>
      <c r="Q12" s="98" t="n"/>
      <c r="R12" s="149" t="n"/>
      <c r="S12" s="147" t="n"/>
      <c r="T12" s="149" t="n"/>
      <c r="U12" s="147" t="n"/>
      <c r="V12" s="98" t="n"/>
      <c r="W12" s="98" t="n"/>
      <c r="X12" s="149" t="n"/>
      <c r="Y12" s="147" t="n"/>
      <c r="Z12" s="98" t="n"/>
      <c r="AL12" s="29">
        <f>IF(B12="","",IFERROR(INDEX(Schedule!$N$7:$N$18,MATCH(B12,Schedule!$A$7:$A$18,0)),"not in schedule"))</f>
        <v/>
      </c>
      <c r="AM12" s="108">
        <f>IF(B12="","",N(R12)-N(X12))</f>
        <v/>
      </c>
      <c r="AN12" s="144">
        <f>IF(B12="","",IF(Z12&lt;&gt;"",Z12,IF(N(G12)&gt;0,N(N12)/G12,"")))</f>
        <v/>
      </c>
      <c r="AO12" s="107">
        <f>IF(OR(B12="",C12=""),"",WORKDAY(C12,Inputs!$C$132,Lists!$N$4:$N$30))</f>
        <v/>
      </c>
      <c r="AP12" s="29">
        <f>IF(B12="","",IF(U12="","missing",IF(U12&gt;AO12,"Y","N")))</f>
        <v/>
      </c>
      <c r="AQ12" s="29">
        <f>IF(OR(W12="Y",W12="N"),IF(F12="",1,IF(COUNTIFS(F$5:F12,F12,W$5:W12,"Y")+COUNTIFS(F$5:F12,F12,W$5:W12,"N")=1,1,0)),0)</f>
        <v/>
      </c>
      <c r="AR12" s="29">
        <f>IF(W12="Y",IF(F12="",1,IF(COUNTIFS(F$5:F12,F12,W$5:W12,"Y")=1,1,0)),0)</f>
        <v/>
      </c>
    </row>
    <row r="13">
      <c r="A13" s="98" t="n"/>
      <c r="B13" s="98" t="n"/>
      <c r="C13" s="147" t="n"/>
      <c r="D13" s="98" t="n"/>
      <c r="E13" s="98" t="n"/>
      <c r="F13" s="98" t="n"/>
      <c r="G13" s="98" t="n"/>
      <c r="H13" s="98" t="n"/>
      <c r="I13" s="98" t="n"/>
      <c r="J13" s="98" t="n"/>
      <c r="K13" s="98" t="n"/>
      <c r="L13" s="98" t="n"/>
      <c r="M13" s="98" t="n"/>
      <c r="N13" s="98" t="n"/>
      <c r="O13" s="98" t="n"/>
      <c r="P13" s="98" t="n"/>
      <c r="Q13" s="98" t="n"/>
      <c r="R13" s="149" t="n"/>
      <c r="S13" s="147" t="n"/>
      <c r="T13" s="149" t="n"/>
      <c r="U13" s="147" t="n"/>
      <c r="V13" s="98" t="n"/>
      <c r="W13" s="98" t="n"/>
      <c r="X13" s="149" t="n"/>
      <c r="Y13" s="147" t="n"/>
      <c r="Z13" s="98" t="n"/>
      <c r="AL13" s="29">
        <f>IF(B13="","",IFERROR(INDEX(Schedule!$N$7:$N$18,MATCH(B13,Schedule!$A$7:$A$18,0)),"not in schedule"))</f>
        <v/>
      </c>
      <c r="AM13" s="108">
        <f>IF(B13="","",N(R13)-N(X13))</f>
        <v/>
      </c>
      <c r="AN13" s="144">
        <f>IF(B13="","",IF(Z13&lt;&gt;"",Z13,IF(N(G13)&gt;0,N(N13)/G13,"")))</f>
        <v/>
      </c>
      <c r="AO13" s="107">
        <f>IF(OR(B13="",C13=""),"",WORKDAY(C13,Inputs!$C$132,Lists!$N$4:$N$30))</f>
        <v/>
      </c>
      <c r="AP13" s="29">
        <f>IF(B13="","",IF(U13="","missing",IF(U13&gt;AO13,"Y","N")))</f>
        <v/>
      </c>
      <c r="AQ13" s="29">
        <f>IF(OR(W13="Y",W13="N"),IF(F13="",1,IF(COUNTIFS(F$5:F13,F13,W$5:W13,"Y")+COUNTIFS(F$5:F13,F13,W$5:W13,"N")=1,1,0)),0)</f>
        <v/>
      </c>
      <c r="AR13" s="29">
        <f>IF(W13="Y",IF(F13="",1,IF(COUNTIFS(F$5:F13,F13,W$5:W13,"Y")=1,1,0)),0)</f>
        <v/>
      </c>
    </row>
    <row r="14">
      <c r="A14" s="98" t="n"/>
      <c r="B14" s="98" t="n"/>
      <c r="C14" s="147" t="n"/>
      <c r="D14" s="98" t="n"/>
      <c r="E14" s="98" t="n"/>
      <c r="F14" s="98" t="n"/>
      <c r="G14" s="98" t="n"/>
      <c r="H14" s="98" t="n"/>
      <c r="I14" s="98" t="n"/>
      <c r="J14" s="98" t="n"/>
      <c r="K14" s="98" t="n"/>
      <c r="L14" s="98" t="n"/>
      <c r="M14" s="98" t="n"/>
      <c r="N14" s="98" t="n"/>
      <c r="O14" s="98" t="n"/>
      <c r="P14" s="98" t="n"/>
      <c r="Q14" s="98" t="n"/>
      <c r="R14" s="149" t="n"/>
      <c r="S14" s="147" t="n"/>
      <c r="T14" s="149" t="n"/>
      <c r="U14" s="147" t="n"/>
      <c r="V14" s="98" t="n"/>
      <c r="W14" s="98" t="n"/>
      <c r="X14" s="149" t="n"/>
      <c r="Y14" s="147" t="n"/>
      <c r="Z14" s="98" t="n"/>
      <c r="AL14" s="29">
        <f>IF(B14="","",IFERROR(INDEX(Schedule!$N$7:$N$18,MATCH(B14,Schedule!$A$7:$A$18,0)),"not in schedule"))</f>
        <v/>
      </c>
      <c r="AM14" s="108">
        <f>IF(B14="","",N(R14)-N(X14))</f>
        <v/>
      </c>
      <c r="AN14" s="144">
        <f>IF(B14="","",IF(Z14&lt;&gt;"",Z14,IF(N(G14)&gt;0,N(N14)/G14,"")))</f>
        <v/>
      </c>
      <c r="AO14" s="107">
        <f>IF(OR(B14="",C14=""),"",WORKDAY(C14,Inputs!$C$132,Lists!$N$4:$N$30))</f>
        <v/>
      </c>
      <c r="AP14" s="29">
        <f>IF(B14="","",IF(U14="","missing",IF(U14&gt;AO14,"Y","N")))</f>
        <v/>
      </c>
      <c r="AQ14" s="29">
        <f>IF(OR(W14="Y",W14="N"),IF(F14="",1,IF(COUNTIFS(F$5:F14,F14,W$5:W14,"Y")+COUNTIFS(F$5:F14,F14,W$5:W14,"N")=1,1,0)),0)</f>
        <v/>
      </c>
      <c r="AR14" s="29">
        <f>IF(W14="Y",IF(F14="",1,IF(COUNTIFS(F$5:F14,F14,W$5:W14,"Y")=1,1,0)),0)</f>
        <v/>
      </c>
    </row>
    <row r="15">
      <c r="A15" s="98" t="n"/>
      <c r="B15" s="98" t="n"/>
      <c r="C15" s="147" t="n"/>
      <c r="D15" s="98" t="n"/>
      <c r="E15" s="98" t="n"/>
      <c r="F15" s="98" t="n"/>
      <c r="G15" s="98" t="n"/>
      <c r="H15" s="98" t="n"/>
      <c r="I15" s="98" t="n"/>
      <c r="J15" s="98" t="n"/>
      <c r="K15" s="98" t="n"/>
      <c r="L15" s="98" t="n"/>
      <c r="M15" s="98" t="n"/>
      <c r="N15" s="98" t="n"/>
      <c r="O15" s="98" t="n"/>
      <c r="P15" s="98" t="n"/>
      <c r="Q15" s="98" t="n"/>
      <c r="R15" s="149" t="n"/>
      <c r="S15" s="147" t="n"/>
      <c r="T15" s="149" t="n"/>
      <c r="U15" s="147" t="n"/>
      <c r="V15" s="98" t="n"/>
      <c r="W15" s="98" t="n"/>
      <c r="X15" s="149" t="n"/>
      <c r="Y15" s="147" t="n"/>
      <c r="Z15" s="98" t="n"/>
      <c r="AL15" s="29">
        <f>IF(B15="","",IFERROR(INDEX(Schedule!$N$7:$N$18,MATCH(B15,Schedule!$A$7:$A$18,0)),"not in schedule"))</f>
        <v/>
      </c>
      <c r="AM15" s="108">
        <f>IF(B15="","",N(R15)-N(X15))</f>
        <v/>
      </c>
      <c r="AN15" s="144">
        <f>IF(B15="","",IF(Z15&lt;&gt;"",Z15,IF(N(G15)&gt;0,N(N15)/G15,"")))</f>
        <v/>
      </c>
      <c r="AO15" s="107">
        <f>IF(OR(B15="",C15=""),"",WORKDAY(C15,Inputs!$C$132,Lists!$N$4:$N$30))</f>
        <v/>
      </c>
      <c r="AP15" s="29">
        <f>IF(B15="","",IF(U15="","missing",IF(U15&gt;AO15,"Y","N")))</f>
        <v/>
      </c>
      <c r="AQ15" s="29">
        <f>IF(OR(W15="Y",W15="N"),IF(F15="",1,IF(COUNTIFS(F$5:F15,F15,W$5:W15,"Y")+COUNTIFS(F$5:F15,F15,W$5:W15,"N")=1,1,0)),0)</f>
        <v/>
      </c>
      <c r="AR15" s="29">
        <f>IF(W15="Y",IF(F15="",1,IF(COUNTIFS(F$5:F15,F15,W$5:W15,"Y")=1,1,0)),0)</f>
        <v/>
      </c>
    </row>
    <row r="16">
      <c r="A16" s="98" t="n"/>
      <c r="B16" s="98" t="n"/>
      <c r="C16" s="147" t="n"/>
      <c r="D16" s="98" t="n"/>
      <c r="E16" s="98" t="n"/>
      <c r="F16" s="98" t="n"/>
      <c r="G16" s="98" t="n"/>
      <c r="H16" s="98" t="n"/>
      <c r="I16" s="98" t="n"/>
      <c r="J16" s="98" t="n"/>
      <c r="K16" s="98" t="n"/>
      <c r="L16" s="98" t="n"/>
      <c r="M16" s="98" t="n"/>
      <c r="N16" s="98" t="n"/>
      <c r="O16" s="98" t="n"/>
      <c r="P16" s="98" t="n"/>
      <c r="Q16" s="98" t="n"/>
      <c r="R16" s="149" t="n"/>
      <c r="S16" s="147" t="n"/>
      <c r="T16" s="149" t="n"/>
      <c r="U16" s="147" t="n"/>
      <c r="V16" s="98" t="n"/>
      <c r="W16" s="98" t="n"/>
      <c r="X16" s="149" t="n"/>
      <c r="Y16" s="147" t="n"/>
      <c r="Z16" s="98" t="n"/>
      <c r="AL16" s="29">
        <f>IF(B16="","",IFERROR(INDEX(Schedule!$N$7:$N$18,MATCH(B16,Schedule!$A$7:$A$18,0)),"not in schedule"))</f>
        <v/>
      </c>
      <c r="AM16" s="108">
        <f>IF(B16="","",N(R16)-N(X16))</f>
        <v/>
      </c>
      <c r="AN16" s="144">
        <f>IF(B16="","",IF(Z16&lt;&gt;"",Z16,IF(N(G16)&gt;0,N(N16)/G16,"")))</f>
        <v/>
      </c>
      <c r="AO16" s="107">
        <f>IF(OR(B16="",C16=""),"",WORKDAY(C16,Inputs!$C$132,Lists!$N$4:$N$30))</f>
        <v/>
      </c>
      <c r="AP16" s="29">
        <f>IF(B16="","",IF(U16="","missing",IF(U16&gt;AO16,"Y","N")))</f>
        <v/>
      </c>
      <c r="AQ16" s="29">
        <f>IF(OR(W16="Y",W16="N"),IF(F16="",1,IF(COUNTIFS(F$5:F16,F16,W$5:W16,"Y")+COUNTIFS(F$5:F16,F16,W$5:W16,"N")=1,1,0)),0)</f>
        <v/>
      </c>
      <c r="AR16" s="29">
        <f>IF(W16="Y",IF(F16="",1,IF(COUNTIFS(F$5:F16,F16,W$5:W16,"Y")=1,1,0)),0)</f>
        <v/>
      </c>
    </row>
    <row r="17">
      <c r="A17" s="98" t="n"/>
      <c r="B17" s="98" t="n"/>
      <c r="C17" s="147" t="n"/>
      <c r="D17" s="98" t="n"/>
      <c r="E17" s="98" t="n"/>
      <c r="F17" s="98" t="n"/>
      <c r="G17" s="98" t="n"/>
      <c r="H17" s="98" t="n"/>
      <c r="I17" s="98" t="n"/>
      <c r="J17" s="98" t="n"/>
      <c r="K17" s="98" t="n"/>
      <c r="L17" s="98" t="n"/>
      <c r="M17" s="98" t="n"/>
      <c r="N17" s="98" t="n"/>
      <c r="O17" s="98" t="n"/>
      <c r="P17" s="98" t="n"/>
      <c r="Q17" s="98" t="n"/>
      <c r="R17" s="149" t="n"/>
      <c r="S17" s="147" t="n"/>
      <c r="T17" s="149" t="n"/>
      <c r="U17" s="147" t="n"/>
      <c r="V17" s="98" t="n"/>
      <c r="W17" s="98" t="n"/>
      <c r="X17" s="149" t="n"/>
      <c r="Y17" s="147" t="n"/>
      <c r="Z17" s="98" t="n"/>
      <c r="AL17" s="29">
        <f>IF(B17="","",IFERROR(INDEX(Schedule!$N$7:$N$18,MATCH(B17,Schedule!$A$7:$A$18,0)),"not in schedule"))</f>
        <v/>
      </c>
      <c r="AM17" s="108">
        <f>IF(B17="","",N(R17)-N(X17))</f>
        <v/>
      </c>
      <c r="AN17" s="144">
        <f>IF(B17="","",IF(Z17&lt;&gt;"",Z17,IF(N(G17)&gt;0,N(N17)/G17,"")))</f>
        <v/>
      </c>
      <c r="AO17" s="107">
        <f>IF(OR(B17="",C17=""),"",WORKDAY(C17,Inputs!$C$132,Lists!$N$4:$N$30))</f>
        <v/>
      </c>
      <c r="AP17" s="29">
        <f>IF(B17="","",IF(U17="","missing",IF(U17&gt;AO17,"Y","N")))</f>
        <v/>
      </c>
      <c r="AQ17" s="29">
        <f>IF(OR(W17="Y",W17="N"),IF(F17="",1,IF(COUNTIFS(F$5:F17,F17,W$5:W17,"Y")+COUNTIFS(F$5:F17,F17,W$5:W17,"N")=1,1,0)),0)</f>
        <v/>
      </c>
      <c r="AR17" s="29">
        <f>IF(W17="Y",IF(F17="",1,IF(COUNTIFS(F$5:F17,F17,W$5:W17,"Y")=1,1,0)),0)</f>
        <v/>
      </c>
    </row>
    <row r="18">
      <c r="A18" s="98" t="n"/>
      <c r="B18" s="98" t="n"/>
      <c r="C18" s="147" t="n"/>
      <c r="D18" s="98" t="n"/>
      <c r="E18" s="98" t="n"/>
      <c r="F18" s="98" t="n"/>
      <c r="G18" s="98" t="n"/>
      <c r="H18" s="98" t="n"/>
      <c r="I18" s="98" t="n"/>
      <c r="J18" s="98" t="n"/>
      <c r="K18" s="98" t="n"/>
      <c r="L18" s="98" t="n"/>
      <c r="M18" s="98" t="n"/>
      <c r="N18" s="98" t="n"/>
      <c r="O18" s="98" t="n"/>
      <c r="P18" s="98" t="n"/>
      <c r="Q18" s="98" t="n"/>
      <c r="R18" s="149" t="n"/>
      <c r="S18" s="147" t="n"/>
      <c r="T18" s="149" t="n"/>
      <c r="U18" s="147" t="n"/>
      <c r="V18" s="98" t="n"/>
      <c r="W18" s="98" t="n"/>
      <c r="X18" s="149" t="n"/>
      <c r="Y18" s="147" t="n"/>
      <c r="Z18" s="98" t="n"/>
      <c r="AL18" s="29">
        <f>IF(B18="","",IFERROR(INDEX(Schedule!$N$7:$N$18,MATCH(B18,Schedule!$A$7:$A$18,0)),"not in schedule"))</f>
        <v/>
      </c>
      <c r="AM18" s="108">
        <f>IF(B18="","",N(R18)-N(X18))</f>
        <v/>
      </c>
      <c r="AN18" s="144">
        <f>IF(B18="","",IF(Z18&lt;&gt;"",Z18,IF(N(G18)&gt;0,N(N18)/G18,"")))</f>
        <v/>
      </c>
      <c r="AO18" s="107">
        <f>IF(OR(B18="",C18=""),"",WORKDAY(C18,Inputs!$C$132,Lists!$N$4:$N$30))</f>
        <v/>
      </c>
      <c r="AP18" s="29">
        <f>IF(B18="","",IF(U18="","missing",IF(U18&gt;AO18,"Y","N")))</f>
        <v/>
      </c>
      <c r="AQ18" s="29">
        <f>IF(OR(W18="Y",W18="N"),IF(F18="",1,IF(COUNTIFS(F$5:F18,F18,W$5:W18,"Y")+COUNTIFS(F$5:F18,F18,W$5:W18,"N")=1,1,0)),0)</f>
        <v/>
      </c>
      <c r="AR18" s="29">
        <f>IF(W18="Y",IF(F18="",1,IF(COUNTIFS(F$5:F18,F18,W$5:W18,"Y")=1,1,0)),0)</f>
        <v/>
      </c>
    </row>
    <row r="19">
      <c r="A19" s="98" t="n"/>
      <c r="B19" s="98" t="n"/>
      <c r="C19" s="147" t="n"/>
      <c r="D19" s="98" t="n"/>
      <c r="E19" s="98" t="n"/>
      <c r="F19" s="98" t="n"/>
      <c r="G19" s="98" t="n"/>
      <c r="H19" s="98" t="n"/>
      <c r="I19" s="98" t="n"/>
      <c r="J19" s="98" t="n"/>
      <c r="K19" s="98" t="n"/>
      <c r="L19" s="98" t="n"/>
      <c r="M19" s="98" t="n"/>
      <c r="N19" s="98" t="n"/>
      <c r="O19" s="98" t="n"/>
      <c r="P19" s="98" t="n"/>
      <c r="Q19" s="98" t="n"/>
      <c r="R19" s="149" t="n"/>
      <c r="S19" s="147" t="n"/>
      <c r="T19" s="149" t="n"/>
      <c r="U19" s="147" t="n"/>
      <c r="V19" s="98" t="n"/>
      <c r="W19" s="98" t="n"/>
      <c r="X19" s="149" t="n"/>
      <c r="Y19" s="147" t="n"/>
      <c r="Z19" s="98" t="n"/>
      <c r="AL19" s="29">
        <f>IF(B19="","",IFERROR(INDEX(Schedule!$N$7:$N$18,MATCH(B19,Schedule!$A$7:$A$18,0)),"not in schedule"))</f>
        <v/>
      </c>
      <c r="AM19" s="108">
        <f>IF(B19="","",N(R19)-N(X19))</f>
        <v/>
      </c>
      <c r="AN19" s="144">
        <f>IF(B19="","",IF(Z19&lt;&gt;"",Z19,IF(N(G19)&gt;0,N(N19)/G19,"")))</f>
        <v/>
      </c>
      <c r="AO19" s="107">
        <f>IF(OR(B19="",C19=""),"",WORKDAY(C19,Inputs!$C$132,Lists!$N$4:$N$30))</f>
        <v/>
      </c>
      <c r="AP19" s="29">
        <f>IF(B19="","",IF(U19="","missing",IF(U19&gt;AO19,"Y","N")))</f>
        <v/>
      </c>
      <c r="AQ19" s="29">
        <f>IF(OR(W19="Y",W19="N"),IF(F19="",1,IF(COUNTIFS(F$5:F19,F19,W$5:W19,"Y")+COUNTIFS(F$5:F19,F19,W$5:W19,"N")=1,1,0)),0)</f>
        <v/>
      </c>
      <c r="AR19" s="29">
        <f>IF(W19="Y",IF(F19="",1,IF(COUNTIFS(F$5:F19,F19,W$5:W19,"Y")=1,1,0)),0)</f>
        <v/>
      </c>
    </row>
    <row r="20">
      <c r="A20" s="98" t="n"/>
      <c r="B20" s="98" t="n"/>
      <c r="C20" s="147" t="n"/>
      <c r="D20" s="98" t="n"/>
      <c r="E20" s="98" t="n"/>
      <c r="F20" s="98" t="n"/>
      <c r="G20" s="98" t="n"/>
      <c r="H20" s="98" t="n"/>
      <c r="I20" s="98" t="n"/>
      <c r="J20" s="98" t="n"/>
      <c r="K20" s="98" t="n"/>
      <c r="L20" s="98" t="n"/>
      <c r="M20" s="98" t="n"/>
      <c r="N20" s="98" t="n"/>
      <c r="O20" s="98" t="n"/>
      <c r="P20" s="98" t="n"/>
      <c r="Q20" s="98" t="n"/>
      <c r="R20" s="149" t="n"/>
      <c r="S20" s="147" t="n"/>
      <c r="T20" s="149" t="n"/>
      <c r="U20" s="147" t="n"/>
      <c r="V20" s="98" t="n"/>
      <c r="W20" s="98" t="n"/>
      <c r="X20" s="149" t="n"/>
      <c r="Y20" s="147" t="n"/>
      <c r="Z20" s="98" t="n"/>
      <c r="AL20" s="29">
        <f>IF(B20="","",IFERROR(INDEX(Schedule!$N$7:$N$18,MATCH(B20,Schedule!$A$7:$A$18,0)),"not in schedule"))</f>
        <v/>
      </c>
      <c r="AM20" s="108">
        <f>IF(B20="","",N(R20)-N(X20))</f>
        <v/>
      </c>
      <c r="AN20" s="144">
        <f>IF(B20="","",IF(Z20&lt;&gt;"",Z20,IF(N(G20)&gt;0,N(N20)/G20,"")))</f>
        <v/>
      </c>
      <c r="AO20" s="107">
        <f>IF(OR(B20="",C20=""),"",WORKDAY(C20,Inputs!$C$132,Lists!$N$4:$N$30))</f>
        <v/>
      </c>
      <c r="AP20" s="29">
        <f>IF(B20="","",IF(U20="","missing",IF(U20&gt;AO20,"Y","N")))</f>
        <v/>
      </c>
      <c r="AQ20" s="29">
        <f>IF(OR(W20="Y",W20="N"),IF(F20="",1,IF(COUNTIFS(F$5:F20,F20,W$5:W20,"Y")+COUNTIFS(F$5:F20,F20,W$5:W20,"N")=1,1,0)),0)</f>
        <v/>
      </c>
      <c r="AR20" s="29">
        <f>IF(W20="Y",IF(F20="",1,IF(COUNTIFS(F$5:F20,F20,W$5:W20,"Y")=1,1,0)),0)</f>
        <v/>
      </c>
    </row>
    <row r="21">
      <c r="A21" s="98" t="n"/>
      <c r="B21" s="98" t="n"/>
      <c r="C21" s="147" t="n"/>
      <c r="D21" s="98" t="n"/>
      <c r="E21" s="98" t="n"/>
      <c r="F21" s="98" t="n"/>
      <c r="G21" s="98" t="n"/>
      <c r="H21" s="98" t="n"/>
      <c r="I21" s="98" t="n"/>
      <c r="J21" s="98" t="n"/>
      <c r="K21" s="98" t="n"/>
      <c r="L21" s="98" t="n"/>
      <c r="M21" s="98" t="n"/>
      <c r="N21" s="98" t="n"/>
      <c r="O21" s="98" t="n"/>
      <c r="P21" s="98" t="n"/>
      <c r="Q21" s="98" t="n"/>
      <c r="R21" s="149" t="n"/>
      <c r="S21" s="147" t="n"/>
      <c r="T21" s="149" t="n"/>
      <c r="U21" s="147" t="n"/>
      <c r="V21" s="98" t="n"/>
      <c r="W21" s="98" t="n"/>
      <c r="X21" s="149" t="n"/>
      <c r="Y21" s="147" t="n"/>
      <c r="Z21" s="98" t="n"/>
      <c r="AL21" s="29">
        <f>IF(B21="","",IFERROR(INDEX(Schedule!$N$7:$N$18,MATCH(B21,Schedule!$A$7:$A$18,0)),"not in schedule"))</f>
        <v/>
      </c>
      <c r="AM21" s="108">
        <f>IF(B21="","",N(R21)-N(X21))</f>
        <v/>
      </c>
      <c r="AN21" s="144">
        <f>IF(B21="","",IF(Z21&lt;&gt;"",Z21,IF(N(G21)&gt;0,N(N21)/G21,"")))</f>
        <v/>
      </c>
      <c r="AO21" s="107">
        <f>IF(OR(B21="",C21=""),"",WORKDAY(C21,Inputs!$C$132,Lists!$N$4:$N$30))</f>
        <v/>
      </c>
      <c r="AP21" s="29">
        <f>IF(B21="","",IF(U21="","missing",IF(U21&gt;AO21,"Y","N")))</f>
        <v/>
      </c>
      <c r="AQ21" s="29">
        <f>IF(OR(W21="Y",W21="N"),IF(F21="",1,IF(COUNTIFS(F$5:F21,F21,W$5:W21,"Y")+COUNTIFS(F$5:F21,F21,W$5:W21,"N")=1,1,0)),0)</f>
        <v/>
      </c>
      <c r="AR21" s="29">
        <f>IF(W21="Y",IF(F21="",1,IF(COUNTIFS(F$5:F21,F21,W$5:W21,"Y")=1,1,0)),0)</f>
        <v/>
      </c>
    </row>
    <row r="22">
      <c r="A22" s="98" t="n"/>
      <c r="B22" s="98" t="n"/>
      <c r="C22" s="147" t="n"/>
      <c r="D22" s="98" t="n"/>
      <c r="E22" s="98" t="n"/>
      <c r="F22" s="98" t="n"/>
      <c r="G22" s="98" t="n"/>
      <c r="H22" s="98" t="n"/>
      <c r="I22" s="98" t="n"/>
      <c r="J22" s="98" t="n"/>
      <c r="K22" s="98" t="n"/>
      <c r="L22" s="98" t="n"/>
      <c r="M22" s="98" t="n"/>
      <c r="N22" s="98" t="n"/>
      <c r="O22" s="98" t="n"/>
      <c r="P22" s="98" t="n"/>
      <c r="Q22" s="98" t="n"/>
      <c r="R22" s="149" t="n"/>
      <c r="S22" s="147" t="n"/>
      <c r="T22" s="149" t="n"/>
      <c r="U22" s="147" t="n"/>
      <c r="V22" s="98" t="n"/>
      <c r="W22" s="98" t="n"/>
      <c r="X22" s="149" t="n"/>
      <c r="Y22" s="147" t="n"/>
      <c r="Z22" s="98" t="n"/>
      <c r="AL22" s="29">
        <f>IF(B22="","",IFERROR(INDEX(Schedule!$N$7:$N$18,MATCH(B22,Schedule!$A$7:$A$18,0)),"not in schedule"))</f>
        <v/>
      </c>
      <c r="AM22" s="108">
        <f>IF(B22="","",N(R22)-N(X22))</f>
        <v/>
      </c>
      <c r="AN22" s="144">
        <f>IF(B22="","",IF(Z22&lt;&gt;"",Z22,IF(N(G22)&gt;0,N(N22)/G22,"")))</f>
        <v/>
      </c>
      <c r="AO22" s="107">
        <f>IF(OR(B22="",C22=""),"",WORKDAY(C22,Inputs!$C$132,Lists!$N$4:$N$30))</f>
        <v/>
      </c>
      <c r="AP22" s="29">
        <f>IF(B22="","",IF(U22="","missing",IF(U22&gt;AO22,"Y","N")))</f>
        <v/>
      </c>
      <c r="AQ22" s="29">
        <f>IF(OR(W22="Y",W22="N"),IF(F22="",1,IF(COUNTIFS(F$5:F22,F22,W$5:W22,"Y")+COUNTIFS(F$5:F22,F22,W$5:W22,"N")=1,1,0)),0)</f>
        <v/>
      </c>
      <c r="AR22" s="29">
        <f>IF(W22="Y",IF(F22="",1,IF(COUNTIFS(F$5:F22,F22,W$5:W22,"Y")=1,1,0)),0)</f>
        <v/>
      </c>
    </row>
    <row r="23">
      <c r="A23" s="98" t="n"/>
      <c r="B23" s="98" t="n"/>
      <c r="C23" s="147" t="n"/>
      <c r="D23" s="98" t="n"/>
      <c r="E23" s="98" t="n"/>
      <c r="F23" s="98" t="n"/>
      <c r="G23" s="98" t="n"/>
      <c r="H23" s="98" t="n"/>
      <c r="I23" s="98" t="n"/>
      <c r="J23" s="98" t="n"/>
      <c r="K23" s="98" t="n"/>
      <c r="L23" s="98" t="n"/>
      <c r="M23" s="98" t="n"/>
      <c r="N23" s="98" t="n"/>
      <c r="O23" s="98" t="n"/>
      <c r="P23" s="98" t="n"/>
      <c r="Q23" s="98" t="n"/>
      <c r="R23" s="149" t="n"/>
      <c r="S23" s="147" t="n"/>
      <c r="T23" s="149" t="n"/>
      <c r="U23" s="147" t="n"/>
      <c r="V23" s="98" t="n"/>
      <c r="W23" s="98" t="n"/>
      <c r="X23" s="149" t="n"/>
      <c r="Y23" s="147" t="n"/>
      <c r="Z23" s="98" t="n"/>
      <c r="AL23" s="29">
        <f>IF(B23="","",IFERROR(INDEX(Schedule!$N$7:$N$18,MATCH(B23,Schedule!$A$7:$A$18,0)),"not in schedule"))</f>
        <v/>
      </c>
      <c r="AM23" s="108">
        <f>IF(B23="","",N(R23)-N(X23))</f>
        <v/>
      </c>
      <c r="AN23" s="144">
        <f>IF(B23="","",IF(Z23&lt;&gt;"",Z23,IF(N(G23)&gt;0,N(N23)/G23,"")))</f>
        <v/>
      </c>
      <c r="AO23" s="107">
        <f>IF(OR(B23="",C23=""),"",WORKDAY(C23,Inputs!$C$132,Lists!$N$4:$N$30))</f>
        <v/>
      </c>
      <c r="AP23" s="29">
        <f>IF(B23="","",IF(U23="","missing",IF(U23&gt;AO23,"Y","N")))</f>
        <v/>
      </c>
      <c r="AQ23" s="29">
        <f>IF(OR(W23="Y",W23="N"),IF(F23="",1,IF(COUNTIFS(F$5:F23,F23,W$5:W23,"Y")+COUNTIFS(F$5:F23,F23,W$5:W23,"N")=1,1,0)),0)</f>
        <v/>
      </c>
      <c r="AR23" s="29">
        <f>IF(W23="Y",IF(F23="",1,IF(COUNTIFS(F$5:F23,F23,W$5:W23,"Y")=1,1,0)),0)</f>
        <v/>
      </c>
    </row>
    <row r="24">
      <c r="A24" s="98" t="n"/>
      <c r="B24" s="98" t="n"/>
      <c r="C24" s="147" t="n"/>
      <c r="D24" s="98" t="n"/>
      <c r="E24" s="98" t="n"/>
      <c r="F24" s="98" t="n"/>
      <c r="G24" s="98" t="n"/>
      <c r="H24" s="98" t="n"/>
      <c r="I24" s="98" t="n"/>
      <c r="J24" s="98" t="n"/>
      <c r="K24" s="98" t="n"/>
      <c r="L24" s="98" t="n"/>
      <c r="M24" s="98" t="n"/>
      <c r="N24" s="98" t="n"/>
      <c r="O24" s="98" t="n"/>
      <c r="P24" s="98" t="n"/>
      <c r="Q24" s="98" t="n"/>
      <c r="R24" s="149" t="n"/>
      <c r="S24" s="147" t="n"/>
      <c r="T24" s="149" t="n"/>
      <c r="U24" s="147" t="n"/>
      <c r="V24" s="98" t="n"/>
      <c r="W24" s="98" t="n"/>
      <c r="X24" s="149" t="n"/>
      <c r="Y24" s="147" t="n"/>
      <c r="Z24" s="98" t="n"/>
      <c r="AL24" s="29">
        <f>IF(B24="","",IFERROR(INDEX(Schedule!$N$7:$N$18,MATCH(B24,Schedule!$A$7:$A$18,0)),"not in schedule"))</f>
        <v/>
      </c>
      <c r="AM24" s="108">
        <f>IF(B24="","",N(R24)-N(X24))</f>
        <v/>
      </c>
      <c r="AN24" s="144">
        <f>IF(B24="","",IF(Z24&lt;&gt;"",Z24,IF(N(G24)&gt;0,N(N24)/G24,"")))</f>
        <v/>
      </c>
      <c r="AO24" s="107">
        <f>IF(OR(B24="",C24=""),"",WORKDAY(C24,Inputs!$C$132,Lists!$N$4:$N$30))</f>
        <v/>
      </c>
      <c r="AP24" s="29">
        <f>IF(B24="","",IF(U24="","missing",IF(U24&gt;AO24,"Y","N")))</f>
        <v/>
      </c>
      <c r="AQ24" s="29">
        <f>IF(OR(W24="Y",W24="N"),IF(F24="",1,IF(COUNTIFS(F$5:F24,F24,W$5:W24,"Y")+COUNTIFS(F$5:F24,F24,W$5:W24,"N")=1,1,0)),0)</f>
        <v/>
      </c>
      <c r="AR24" s="29">
        <f>IF(W24="Y",IF(F24="",1,IF(COUNTIFS(F$5:F24,F24,W$5:W24,"Y")=1,1,0)),0)</f>
        <v/>
      </c>
    </row>
    <row r="25">
      <c r="A25" s="98" t="n"/>
      <c r="B25" s="98" t="n"/>
      <c r="C25" s="147" t="n"/>
      <c r="D25" s="98" t="n"/>
      <c r="E25" s="98" t="n"/>
      <c r="F25" s="98" t="n"/>
      <c r="G25" s="98" t="n"/>
      <c r="H25" s="98" t="n"/>
      <c r="I25" s="98" t="n"/>
      <c r="J25" s="98" t="n"/>
      <c r="K25" s="98" t="n"/>
      <c r="L25" s="98" t="n"/>
      <c r="M25" s="98" t="n"/>
      <c r="N25" s="98" t="n"/>
      <c r="O25" s="98" t="n"/>
      <c r="P25" s="98" t="n"/>
      <c r="Q25" s="98" t="n"/>
      <c r="R25" s="149" t="n"/>
      <c r="S25" s="147" t="n"/>
      <c r="T25" s="149" t="n"/>
      <c r="U25" s="147" t="n"/>
      <c r="V25" s="98" t="n"/>
      <c r="W25" s="98" t="n"/>
      <c r="X25" s="149" t="n"/>
      <c r="Y25" s="147" t="n"/>
      <c r="Z25" s="98" t="n"/>
      <c r="AL25" s="29">
        <f>IF(B25="","",IFERROR(INDEX(Schedule!$N$7:$N$18,MATCH(B25,Schedule!$A$7:$A$18,0)),"not in schedule"))</f>
        <v/>
      </c>
      <c r="AM25" s="108">
        <f>IF(B25="","",N(R25)-N(X25))</f>
        <v/>
      </c>
      <c r="AN25" s="144">
        <f>IF(B25="","",IF(Z25&lt;&gt;"",Z25,IF(N(G25)&gt;0,N(N25)/G25,"")))</f>
        <v/>
      </c>
      <c r="AO25" s="107">
        <f>IF(OR(B25="",C25=""),"",WORKDAY(C25,Inputs!$C$132,Lists!$N$4:$N$30))</f>
        <v/>
      </c>
      <c r="AP25" s="29">
        <f>IF(B25="","",IF(U25="","missing",IF(U25&gt;AO25,"Y","N")))</f>
        <v/>
      </c>
      <c r="AQ25" s="29">
        <f>IF(OR(W25="Y",W25="N"),IF(F25="",1,IF(COUNTIFS(F$5:F25,F25,W$5:W25,"Y")+COUNTIFS(F$5:F25,F25,W$5:W25,"N")=1,1,0)),0)</f>
        <v/>
      </c>
      <c r="AR25" s="29">
        <f>IF(W25="Y",IF(F25="",1,IF(COUNTIFS(F$5:F25,F25,W$5:W25,"Y")=1,1,0)),0)</f>
        <v/>
      </c>
    </row>
    <row r="26">
      <c r="A26" s="98" t="n"/>
      <c r="B26" s="98" t="n"/>
      <c r="C26" s="147" t="n"/>
      <c r="D26" s="98" t="n"/>
      <c r="E26" s="98" t="n"/>
      <c r="F26" s="98" t="n"/>
      <c r="G26" s="98" t="n"/>
      <c r="H26" s="98" t="n"/>
      <c r="I26" s="98" t="n"/>
      <c r="J26" s="98" t="n"/>
      <c r="K26" s="98" t="n"/>
      <c r="L26" s="98" t="n"/>
      <c r="M26" s="98" t="n"/>
      <c r="N26" s="98" t="n"/>
      <c r="O26" s="98" t="n"/>
      <c r="P26" s="98" t="n"/>
      <c r="Q26" s="98" t="n"/>
      <c r="R26" s="149" t="n"/>
      <c r="S26" s="147" t="n"/>
      <c r="T26" s="149" t="n"/>
      <c r="U26" s="147" t="n"/>
      <c r="V26" s="98" t="n"/>
      <c r="W26" s="98" t="n"/>
      <c r="X26" s="149" t="n"/>
      <c r="Y26" s="147" t="n"/>
      <c r="Z26" s="98" t="n"/>
      <c r="AL26" s="29">
        <f>IF(B26="","",IFERROR(INDEX(Schedule!$N$7:$N$18,MATCH(B26,Schedule!$A$7:$A$18,0)),"not in schedule"))</f>
        <v/>
      </c>
      <c r="AM26" s="108">
        <f>IF(B26="","",N(R26)-N(X26))</f>
        <v/>
      </c>
      <c r="AN26" s="144">
        <f>IF(B26="","",IF(Z26&lt;&gt;"",Z26,IF(N(G26)&gt;0,N(N26)/G26,"")))</f>
        <v/>
      </c>
      <c r="AO26" s="107">
        <f>IF(OR(B26="",C26=""),"",WORKDAY(C26,Inputs!$C$132,Lists!$N$4:$N$30))</f>
        <v/>
      </c>
      <c r="AP26" s="29">
        <f>IF(B26="","",IF(U26="","missing",IF(U26&gt;AO26,"Y","N")))</f>
        <v/>
      </c>
      <c r="AQ26" s="29">
        <f>IF(OR(W26="Y",W26="N"),IF(F26="",1,IF(COUNTIFS(F$5:F26,F26,W$5:W26,"Y")+COUNTIFS(F$5:F26,F26,W$5:W26,"N")=1,1,0)),0)</f>
        <v/>
      </c>
      <c r="AR26" s="29">
        <f>IF(W26="Y",IF(F26="",1,IF(COUNTIFS(F$5:F26,F26,W$5:W26,"Y")=1,1,0)),0)</f>
        <v/>
      </c>
    </row>
    <row r="27">
      <c r="A27" s="98" t="n"/>
      <c r="B27" s="98" t="n"/>
      <c r="C27" s="147" t="n"/>
      <c r="D27" s="98" t="n"/>
      <c r="E27" s="98" t="n"/>
      <c r="F27" s="98" t="n"/>
      <c r="G27" s="98" t="n"/>
      <c r="H27" s="98" t="n"/>
      <c r="I27" s="98" t="n"/>
      <c r="J27" s="98" t="n"/>
      <c r="K27" s="98" t="n"/>
      <c r="L27" s="98" t="n"/>
      <c r="M27" s="98" t="n"/>
      <c r="N27" s="98" t="n"/>
      <c r="O27" s="98" t="n"/>
      <c r="P27" s="98" t="n"/>
      <c r="Q27" s="98" t="n"/>
      <c r="R27" s="149" t="n"/>
      <c r="S27" s="147" t="n"/>
      <c r="T27" s="149" t="n"/>
      <c r="U27" s="147" t="n"/>
      <c r="V27" s="98" t="n"/>
      <c r="W27" s="98" t="n"/>
      <c r="X27" s="149" t="n"/>
      <c r="Y27" s="147" t="n"/>
      <c r="Z27" s="98" t="n"/>
      <c r="AL27" s="29">
        <f>IF(B27="","",IFERROR(INDEX(Schedule!$N$7:$N$18,MATCH(B27,Schedule!$A$7:$A$18,0)),"not in schedule"))</f>
        <v/>
      </c>
      <c r="AM27" s="108">
        <f>IF(B27="","",N(R27)-N(X27))</f>
        <v/>
      </c>
      <c r="AN27" s="144">
        <f>IF(B27="","",IF(Z27&lt;&gt;"",Z27,IF(N(G27)&gt;0,N(N27)/G27,"")))</f>
        <v/>
      </c>
      <c r="AO27" s="107">
        <f>IF(OR(B27="",C27=""),"",WORKDAY(C27,Inputs!$C$132,Lists!$N$4:$N$30))</f>
        <v/>
      </c>
      <c r="AP27" s="29">
        <f>IF(B27="","",IF(U27="","missing",IF(U27&gt;AO27,"Y","N")))</f>
        <v/>
      </c>
      <c r="AQ27" s="29">
        <f>IF(OR(W27="Y",W27="N"),IF(F27="",1,IF(COUNTIFS(F$5:F27,F27,W$5:W27,"Y")+COUNTIFS(F$5:F27,F27,W$5:W27,"N")=1,1,0)),0)</f>
        <v/>
      </c>
      <c r="AR27" s="29">
        <f>IF(W27="Y",IF(F27="",1,IF(COUNTIFS(F$5:F27,F27,W$5:W27,"Y")=1,1,0)),0)</f>
        <v/>
      </c>
    </row>
    <row r="28">
      <c r="A28" s="98" t="n"/>
      <c r="B28" s="98" t="n"/>
      <c r="C28" s="147" t="n"/>
      <c r="D28" s="98" t="n"/>
      <c r="E28" s="98" t="n"/>
      <c r="F28" s="98" t="n"/>
      <c r="G28" s="98" t="n"/>
      <c r="H28" s="98" t="n"/>
      <c r="I28" s="98" t="n"/>
      <c r="J28" s="98" t="n"/>
      <c r="K28" s="98" t="n"/>
      <c r="L28" s="98" t="n"/>
      <c r="M28" s="98" t="n"/>
      <c r="N28" s="98" t="n"/>
      <c r="O28" s="98" t="n"/>
      <c r="P28" s="98" t="n"/>
      <c r="Q28" s="98" t="n"/>
      <c r="R28" s="149" t="n"/>
      <c r="S28" s="147" t="n"/>
      <c r="T28" s="149" t="n"/>
      <c r="U28" s="147" t="n"/>
      <c r="V28" s="98" t="n"/>
      <c r="W28" s="98" t="n"/>
      <c r="X28" s="149" t="n"/>
      <c r="Y28" s="147" t="n"/>
      <c r="Z28" s="98" t="n"/>
      <c r="AL28" s="29">
        <f>IF(B28="","",IFERROR(INDEX(Schedule!$N$7:$N$18,MATCH(B28,Schedule!$A$7:$A$18,0)),"not in schedule"))</f>
        <v/>
      </c>
      <c r="AM28" s="108">
        <f>IF(B28="","",N(R28)-N(X28))</f>
        <v/>
      </c>
      <c r="AN28" s="144">
        <f>IF(B28="","",IF(Z28&lt;&gt;"",Z28,IF(N(G28)&gt;0,N(N28)/G28,"")))</f>
        <v/>
      </c>
      <c r="AO28" s="107">
        <f>IF(OR(B28="",C28=""),"",WORKDAY(C28,Inputs!$C$132,Lists!$N$4:$N$30))</f>
        <v/>
      </c>
      <c r="AP28" s="29">
        <f>IF(B28="","",IF(U28="","missing",IF(U28&gt;AO28,"Y","N")))</f>
        <v/>
      </c>
      <c r="AQ28" s="29">
        <f>IF(OR(W28="Y",W28="N"),IF(F28="",1,IF(COUNTIFS(F$5:F28,F28,W$5:W28,"Y")+COUNTIFS(F$5:F28,F28,W$5:W28,"N")=1,1,0)),0)</f>
        <v/>
      </c>
      <c r="AR28" s="29">
        <f>IF(W28="Y",IF(F28="",1,IF(COUNTIFS(F$5:F28,F28,W$5:W28,"Y")=1,1,0)),0)</f>
        <v/>
      </c>
    </row>
    <row r="29">
      <c r="A29" s="98" t="n"/>
      <c r="B29" s="98" t="n"/>
      <c r="C29" s="147" t="n"/>
      <c r="D29" s="98" t="n"/>
      <c r="E29" s="98" t="n"/>
      <c r="F29" s="98" t="n"/>
      <c r="G29" s="98" t="n"/>
      <c r="H29" s="98" t="n"/>
      <c r="I29" s="98" t="n"/>
      <c r="J29" s="98" t="n"/>
      <c r="K29" s="98" t="n"/>
      <c r="L29" s="98" t="n"/>
      <c r="M29" s="98" t="n"/>
      <c r="N29" s="98" t="n"/>
      <c r="O29" s="98" t="n"/>
      <c r="P29" s="98" t="n"/>
      <c r="Q29" s="98" t="n"/>
      <c r="R29" s="149" t="n"/>
      <c r="S29" s="147" t="n"/>
      <c r="T29" s="149" t="n"/>
      <c r="U29" s="147" t="n"/>
      <c r="V29" s="98" t="n"/>
      <c r="W29" s="98" t="n"/>
      <c r="X29" s="149" t="n"/>
      <c r="Y29" s="147" t="n"/>
      <c r="Z29" s="98" t="n"/>
      <c r="AL29" s="29">
        <f>IF(B29="","",IFERROR(INDEX(Schedule!$N$7:$N$18,MATCH(B29,Schedule!$A$7:$A$18,0)),"not in schedule"))</f>
        <v/>
      </c>
      <c r="AM29" s="108">
        <f>IF(B29="","",N(R29)-N(X29))</f>
        <v/>
      </c>
      <c r="AN29" s="144">
        <f>IF(B29="","",IF(Z29&lt;&gt;"",Z29,IF(N(G29)&gt;0,N(N29)/G29,"")))</f>
        <v/>
      </c>
      <c r="AO29" s="107">
        <f>IF(OR(B29="",C29=""),"",WORKDAY(C29,Inputs!$C$132,Lists!$N$4:$N$30))</f>
        <v/>
      </c>
      <c r="AP29" s="29">
        <f>IF(B29="","",IF(U29="","missing",IF(U29&gt;AO29,"Y","N")))</f>
        <v/>
      </c>
      <c r="AQ29" s="29">
        <f>IF(OR(W29="Y",W29="N"),IF(F29="",1,IF(COUNTIFS(F$5:F29,F29,W$5:W29,"Y")+COUNTIFS(F$5:F29,F29,W$5:W29,"N")=1,1,0)),0)</f>
        <v/>
      </c>
      <c r="AR29" s="29">
        <f>IF(W29="Y",IF(F29="",1,IF(COUNTIFS(F$5:F29,F29,W$5:W29,"Y")=1,1,0)),0)</f>
        <v/>
      </c>
    </row>
    <row r="30">
      <c r="A30" s="98" t="n"/>
      <c r="B30" s="98" t="n"/>
      <c r="C30" s="147" t="n"/>
      <c r="D30" s="98" t="n"/>
      <c r="E30" s="98" t="n"/>
      <c r="F30" s="98" t="n"/>
      <c r="G30" s="98" t="n"/>
      <c r="H30" s="98" t="n"/>
      <c r="I30" s="98" t="n"/>
      <c r="J30" s="98" t="n"/>
      <c r="K30" s="98" t="n"/>
      <c r="L30" s="98" t="n"/>
      <c r="M30" s="98" t="n"/>
      <c r="N30" s="98" t="n"/>
      <c r="O30" s="98" t="n"/>
      <c r="P30" s="98" t="n"/>
      <c r="Q30" s="98" t="n"/>
      <c r="R30" s="149" t="n"/>
      <c r="S30" s="147" t="n"/>
      <c r="T30" s="149" t="n"/>
      <c r="U30" s="147" t="n"/>
      <c r="V30" s="98" t="n"/>
      <c r="W30" s="98" t="n"/>
      <c r="X30" s="149" t="n"/>
      <c r="Y30" s="147" t="n"/>
      <c r="Z30" s="98" t="n"/>
      <c r="AL30" s="29">
        <f>IF(B30="","",IFERROR(INDEX(Schedule!$N$7:$N$18,MATCH(B30,Schedule!$A$7:$A$18,0)),"not in schedule"))</f>
        <v/>
      </c>
      <c r="AM30" s="108">
        <f>IF(B30="","",N(R30)-N(X30))</f>
        <v/>
      </c>
      <c r="AN30" s="144">
        <f>IF(B30="","",IF(Z30&lt;&gt;"",Z30,IF(N(G30)&gt;0,N(N30)/G30,"")))</f>
        <v/>
      </c>
      <c r="AO30" s="107">
        <f>IF(OR(B30="",C30=""),"",WORKDAY(C30,Inputs!$C$132,Lists!$N$4:$N$30))</f>
        <v/>
      </c>
      <c r="AP30" s="29">
        <f>IF(B30="","",IF(U30="","missing",IF(U30&gt;AO30,"Y","N")))</f>
        <v/>
      </c>
      <c r="AQ30" s="29">
        <f>IF(OR(W30="Y",W30="N"),IF(F30="",1,IF(COUNTIFS(F$5:F30,F30,W$5:W30,"Y")+COUNTIFS(F$5:F30,F30,W$5:W30,"N")=1,1,0)),0)</f>
        <v/>
      </c>
      <c r="AR30" s="29">
        <f>IF(W30="Y",IF(F30="",1,IF(COUNTIFS(F$5:F30,F30,W$5:W30,"Y")=1,1,0)),0)</f>
        <v/>
      </c>
    </row>
    <row r="31">
      <c r="A31" s="98" t="n"/>
      <c r="B31" s="98" t="n"/>
      <c r="C31" s="147" t="n"/>
      <c r="D31" s="98" t="n"/>
      <c r="E31" s="98" t="n"/>
      <c r="F31" s="98" t="n"/>
      <c r="G31" s="98" t="n"/>
      <c r="H31" s="98" t="n"/>
      <c r="I31" s="98" t="n"/>
      <c r="J31" s="98" t="n"/>
      <c r="K31" s="98" t="n"/>
      <c r="L31" s="98" t="n"/>
      <c r="M31" s="98" t="n"/>
      <c r="N31" s="98" t="n"/>
      <c r="O31" s="98" t="n"/>
      <c r="P31" s="98" t="n"/>
      <c r="Q31" s="98" t="n"/>
      <c r="R31" s="149" t="n"/>
      <c r="S31" s="147" t="n"/>
      <c r="T31" s="149" t="n"/>
      <c r="U31" s="147" t="n"/>
      <c r="V31" s="98" t="n"/>
      <c r="W31" s="98" t="n"/>
      <c r="X31" s="149" t="n"/>
      <c r="Y31" s="147" t="n"/>
      <c r="Z31" s="98" t="n"/>
      <c r="AL31" s="29">
        <f>IF(B31="","",IFERROR(INDEX(Schedule!$N$7:$N$18,MATCH(B31,Schedule!$A$7:$A$18,0)),"not in schedule"))</f>
        <v/>
      </c>
      <c r="AM31" s="108">
        <f>IF(B31="","",N(R31)-N(X31))</f>
        <v/>
      </c>
      <c r="AN31" s="144">
        <f>IF(B31="","",IF(Z31&lt;&gt;"",Z31,IF(N(G31)&gt;0,N(N31)/G31,"")))</f>
        <v/>
      </c>
      <c r="AO31" s="107">
        <f>IF(OR(B31="",C31=""),"",WORKDAY(C31,Inputs!$C$132,Lists!$N$4:$N$30))</f>
        <v/>
      </c>
      <c r="AP31" s="29">
        <f>IF(B31="","",IF(U31="","missing",IF(U31&gt;AO31,"Y","N")))</f>
        <v/>
      </c>
      <c r="AQ31" s="29">
        <f>IF(OR(W31="Y",W31="N"),IF(F31="",1,IF(COUNTIFS(F$5:F31,F31,W$5:W31,"Y")+COUNTIFS(F$5:F31,F31,W$5:W31,"N")=1,1,0)),0)</f>
        <v/>
      </c>
      <c r="AR31" s="29">
        <f>IF(W31="Y",IF(F31="",1,IF(COUNTIFS(F$5:F31,F31,W$5:W31,"Y")=1,1,0)),0)</f>
        <v/>
      </c>
    </row>
    <row r="32">
      <c r="A32" s="98" t="n"/>
      <c r="B32" s="98" t="n"/>
      <c r="C32" s="147" t="n"/>
      <c r="D32" s="98" t="n"/>
      <c r="E32" s="98" t="n"/>
      <c r="F32" s="98" t="n"/>
      <c r="G32" s="98" t="n"/>
      <c r="H32" s="98" t="n"/>
      <c r="I32" s="98" t="n"/>
      <c r="J32" s="98" t="n"/>
      <c r="K32" s="98" t="n"/>
      <c r="L32" s="98" t="n"/>
      <c r="M32" s="98" t="n"/>
      <c r="N32" s="98" t="n"/>
      <c r="O32" s="98" t="n"/>
      <c r="P32" s="98" t="n"/>
      <c r="Q32" s="98" t="n"/>
      <c r="R32" s="149" t="n"/>
      <c r="S32" s="147" t="n"/>
      <c r="T32" s="149" t="n"/>
      <c r="U32" s="147" t="n"/>
      <c r="V32" s="98" t="n"/>
      <c r="W32" s="98" t="n"/>
      <c r="X32" s="149" t="n"/>
      <c r="Y32" s="147" t="n"/>
      <c r="Z32" s="98" t="n"/>
      <c r="AL32" s="29">
        <f>IF(B32="","",IFERROR(INDEX(Schedule!$N$7:$N$18,MATCH(B32,Schedule!$A$7:$A$18,0)),"not in schedule"))</f>
        <v/>
      </c>
      <c r="AM32" s="108">
        <f>IF(B32="","",N(R32)-N(X32))</f>
        <v/>
      </c>
      <c r="AN32" s="144">
        <f>IF(B32="","",IF(Z32&lt;&gt;"",Z32,IF(N(G32)&gt;0,N(N32)/G32,"")))</f>
        <v/>
      </c>
      <c r="AO32" s="107">
        <f>IF(OR(B32="",C32=""),"",WORKDAY(C32,Inputs!$C$132,Lists!$N$4:$N$30))</f>
        <v/>
      </c>
      <c r="AP32" s="29">
        <f>IF(B32="","",IF(U32="","missing",IF(U32&gt;AO32,"Y","N")))</f>
        <v/>
      </c>
      <c r="AQ32" s="29">
        <f>IF(OR(W32="Y",W32="N"),IF(F32="",1,IF(COUNTIFS(F$5:F32,F32,W$5:W32,"Y")+COUNTIFS(F$5:F32,F32,W$5:W32,"N")=1,1,0)),0)</f>
        <v/>
      </c>
      <c r="AR32" s="29">
        <f>IF(W32="Y",IF(F32="",1,IF(COUNTIFS(F$5:F32,F32,W$5:W32,"Y")=1,1,0)),0)</f>
        <v/>
      </c>
    </row>
    <row r="33">
      <c r="A33" s="98" t="n"/>
      <c r="B33" s="98" t="n"/>
      <c r="C33" s="147" t="n"/>
      <c r="D33" s="98" t="n"/>
      <c r="E33" s="98" t="n"/>
      <c r="F33" s="98" t="n"/>
      <c r="G33" s="98" t="n"/>
      <c r="H33" s="98" t="n"/>
      <c r="I33" s="98" t="n"/>
      <c r="J33" s="98" t="n"/>
      <c r="K33" s="98" t="n"/>
      <c r="L33" s="98" t="n"/>
      <c r="M33" s="98" t="n"/>
      <c r="N33" s="98" t="n"/>
      <c r="O33" s="98" t="n"/>
      <c r="P33" s="98" t="n"/>
      <c r="Q33" s="98" t="n"/>
      <c r="R33" s="149" t="n"/>
      <c r="S33" s="147" t="n"/>
      <c r="T33" s="149" t="n"/>
      <c r="U33" s="147" t="n"/>
      <c r="V33" s="98" t="n"/>
      <c r="W33" s="98" t="n"/>
      <c r="X33" s="149" t="n"/>
      <c r="Y33" s="147" t="n"/>
      <c r="Z33" s="98" t="n"/>
      <c r="AL33" s="29">
        <f>IF(B33="","",IFERROR(INDEX(Schedule!$N$7:$N$18,MATCH(B33,Schedule!$A$7:$A$18,0)),"not in schedule"))</f>
        <v/>
      </c>
      <c r="AM33" s="108">
        <f>IF(B33="","",N(R33)-N(X33))</f>
        <v/>
      </c>
      <c r="AN33" s="144">
        <f>IF(B33="","",IF(Z33&lt;&gt;"",Z33,IF(N(G33)&gt;0,N(N33)/G33,"")))</f>
        <v/>
      </c>
      <c r="AO33" s="107">
        <f>IF(OR(B33="",C33=""),"",WORKDAY(C33,Inputs!$C$132,Lists!$N$4:$N$30))</f>
        <v/>
      </c>
      <c r="AP33" s="29">
        <f>IF(B33="","",IF(U33="","missing",IF(U33&gt;AO33,"Y","N")))</f>
        <v/>
      </c>
      <c r="AQ33" s="29">
        <f>IF(OR(W33="Y",W33="N"),IF(F33="",1,IF(COUNTIFS(F$5:F33,F33,W$5:W33,"Y")+COUNTIFS(F$5:F33,F33,W$5:W33,"N")=1,1,0)),0)</f>
        <v/>
      </c>
      <c r="AR33" s="29">
        <f>IF(W33="Y",IF(F33="",1,IF(COUNTIFS(F$5:F33,F33,W$5:W33,"Y")=1,1,0)),0)</f>
        <v/>
      </c>
    </row>
    <row r="34">
      <c r="A34" s="98" t="n"/>
      <c r="B34" s="98" t="n"/>
      <c r="C34" s="147" t="n"/>
      <c r="D34" s="98" t="n"/>
      <c r="E34" s="98" t="n"/>
      <c r="F34" s="98" t="n"/>
      <c r="G34" s="98" t="n"/>
      <c r="H34" s="98" t="n"/>
      <c r="I34" s="98" t="n"/>
      <c r="J34" s="98" t="n"/>
      <c r="K34" s="98" t="n"/>
      <c r="L34" s="98" t="n"/>
      <c r="M34" s="98" t="n"/>
      <c r="N34" s="98" t="n"/>
      <c r="O34" s="98" t="n"/>
      <c r="P34" s="98" t="n"/>
      <c r="Q34" s="98" t="n"/>
      <c r="R34" s="149" t="n"/>
      <c r="S34" s="147" t="n"/>
      <c r="T34" s="149" t="n"/>
      <c r="U34" s="147" t="n"/>
      <c r="V34" s="98" t="n"/>
      <c r="W34" s="98" t="n"/>
      <c r="X34" s="149" t="n"/>
      <c r="Y34" s="147" t="n"/>
      <c r="Z34" s="98" t="n"/>
      <c r="AL34" s="29">
        <f>IF(B34="","",IFERROR(INDEX(Schedule!$N$7:$N$18,MATCH(B34,Schedule!$A$7:$A$18,0)),"not in schedule"))</f>
        <v/>
      </c>
      <c r="AM34" s="108">
        <f>IF(B34="","",N(R34)-N(X34))</f>
        <v/>
      </c>
      <c r="AN34" s="144">
        <f>IF(B34="","",IF(Z34&lt;&gt;"",Z34,IF(N(G34)&gt;0,N(N34)/G34,"")))</f>
        <v/>
      </c>
      <c r="AO34" s="107">
        <f>IF(OR(B34="",C34=""),"",WORKDAY(C34,Inputs!$C$132,Lists!$N$4:$N$30))</f>
        <v/>
      </c>
      <c r="AP34" s="29">
        <f>IF(B34="","",IF(U34="","missing",IF(U34&gt;AO34,"Y","N")))</f>
        <v/>
      </c>
      <c r="AQ34" s="29">
        <f>IF(OR(W34="Y",W34="N"),IF(F34="",1,IF(COUNTIFS(F$5:F34,F34,W$5:W34,"Y")+COUNTIFS(F$5:F34,F34,W$5:W34,"N")=1,1,0)),0)</f>
        <v/>
      </c>
      <c r="AR34" s="29">
        <f>IF(W34="Y",IF(F34="",1,IF(COUNTIFS(F$5:F34,F34,W$5:W34,"Y")=1,1,0)),0)</f>
        <v/>
      </c>
    </row>
    <row r="35">
      <c r="A35" s="98" t="n"/>
      <c r="B35" s="98" t="n"/>
      <c r="C35" s="147" t="n"/>
      <c r="D35" s="98" t="n"/>
      <c r="E35" s="98" t="n"/>
      <c r="F35" s="98" t="n"/>
      <c r="G35" s="98" t="n"/>
      <c r="H35" s="98" t="n"/>
      <c r="I35" s="98" t="n"/>
      <c r="J35" s="98" t="n"/>
      <c r="K35" s="98" t="n"/>
      <c r="L35" s="98" t="n"/>
      <c r="M35" s="98" t="n"/>
      <c r="N35" s="98" t="n"/>
      <c r="O35" s="98" t="n"/>
      <c r="P35" s="98" t="n"/>
      <c r="Q35" s="98" t="n"/>
      <c r="R35" s="149" t="n"/>
      <c r="S35" s="147" t="n"/>
      <c r="T35" s="149" t="n"/>
      <c r="U35" s="147" t="n"/>
      <c r="V35" s="98" t="n"/>
      <c r="W35" s="98" t="n"/>
      <c r="X35" s="149" t="n"/>
      <c r="Y35" s="147" t="n"/>
      <c r="Z35" s="98" t="n"/>
      <c r="AL35" s="29">
        <f>IF(B35="","",IFERROR(INDEX(Schedule!$N$7:$N$18,MATCH(B35,Schedule!$A$7:$A$18,0)),"not in schedule"))</f>
        <v/>
      </c>
      <c r="AM35" s="108">
        <f>IF(B35="","",N(R35)-N(X35))</f>
        <v/>
      </c>
      <c r="AN35" s="144">
        <f>IF(B35="","",IF(Z35&lt;&gt;"",Z35,IF(N(G35)&gt;0,N(N35)/G35,"")))</f>
        <v/>
      </c>
      <c r="AO35" s="107">
        <f>IF(OR(B35="",C35=""),"",WORKDAY(C35,Inputs!$C$132,Lists!$N$4:$N$30))</f>
        <v/>
      </c>
      <c r="AP35" s="29">
        <f>IF(B35="","",IF(U35="","missing",IF(U35&gt;AO35,"Y","N")))</f>
        <v/>
      </c>
      <c r="AQ35" s="29">
        <f>IF(OR(W35="Y",W35="N"),IF(F35="",1,IF(COUNTIFS(F$5:F35,F35,W$5:W35,"Y")+COUNTIFS(F$5:F35,F35,W$5:W35,"N")=1,1,0)),0)</f>
        <v/>
      </c>
      <c r="AR35" s="29">
        <f>IF(W35="Y",IF(F35="",1,IF(COUNTIFS(F$5:F35,F35,W$5:W35,"Y")=1,1,0)),0)</f>
        <v/>
      </c>
    </row>
    <row r="36">
      <c r="A36" s="98" t="n"/>
      <c r="B36" s="98" t="n"/>
      <c r="C36" s="147" t="n"/>
      <c r="D36" s="98" t="n"/>
      <c r="E36" s="98" t="n"/>
      <c r="F36" s="98" t="n"/>
      <c r="G36" s="98" t="n"/>
      <c r="H36" s="98" t="n"/>
      <c r="I36" s="98" t="n"/>
      <c r="J36" s="98" t="n"/>
      <c r="K36" s="98" t="n"/>
      <c r="L36" s="98" t="n"/>
      <c r="M36" s="98" t="n"/>
      <c r="N36" s="98" t="n"/>
      <c r="O36" s="98" t="n"/>
      <c r="P36" s="98" t="n"/>
      <c r="Q36" s="98" t="n"/>
      <c r="R36" s="149" t="n"/>
      <c r="S36" s="147" t="n"/>
      <c r="T36" s="149" t="n"/>
      <c r="U36" s="147" t="n"/>
      <c r="V36" s="98" t="n"/>
      <c r="W36" s="98" t="n"/>
      <c r="X36" s="149" t="n"/>
      <c r="Y36" s="147" t="n"/>
      <c r="Z36" s="98" t="n"/>
      <c r="AL36" s="29">
        <f>IF(B36="","",IFERROR(INDEX(Schedule!$N$7:$N$18,MATCH(B36,Schedule!$A$7:$A$18,0)),"not in schedule"))</f>
        <v/>
      </c>
      <c r="AM36" s="108">
        <f>IF(B36="","",N(R36)-N(X36))</f>
        <v/>
      </c>
      <c r="AN36" s="144">
        <f>IF(B36="","",IF(Z36&lt;&gt;"",Z36,IF(N(G36)&gt;0,N(N36)/G36,"")))</f>
        <v/>
      </c>
      <c r="AO36" s="107">
        <f>IF(OR(B36="",C36=""),"",WORKDAY(C36,Inputs!$C$132,Lists!$N$4:$N$30))</f>
        <v/>
      </c>
      <c r="AP36" s="29">
        <f>IF(B36="","",IF(U36="","missing",IF(U36&gt;AO36,"Y","N")))</f>
        <v/>
      </c>
      <c r="AQ36" s="29">
        <f>IF(OR(W36="Y",W36="N"),IF(F36="",1,IF(COUNTIFS(F$5:F36,F36,W$5:W36,"Y")+COUNTIFS(F$5:F36,F36,W$5:W36,"N")=1,1,0)),0)</f>
        <v/>
      </c>
      <c r="AR36" s="29">
        <f>IF(W36="Y",IF(F36="",1,IF(COUNTIFS(F$5:F36,F36,W$5:W36,"Y")=1,1,0)),0)</f>
        <v/>
      </c>
    </row>
    <row r="37">
      <c r="A37" s="98" t="n"/>
      <c r="B37" s="98" t="n"/>
      <c r="C37" s="147" t="n"/>
      <c r="D37" s="98" t="n"/>
      <c r="E37" s="98" t="n"/>
      <c r="F37" s="98" t="n"/>
      <c r="G37" s="98" t="n"/>
      <c r="H37" s="98" t="n"/>
      <c r="I37" s="98" t="n"/>
      <c r="J37" s="98" t="n"/>
      <c r="K37" s="98" t="n"/>
      <c r="L37" s="98" t="n"/>
      <c r="M37" s="98" t="n"/>
      <c r="N37" s="98" t="n"/>
      <c r="O37" s="98" t="n"/>
      <c r="P37" s="98" t="n"/>
      <c r="Q37" s="98" t="n"/>
      <c r="R37" s="149" t="n"/>
      <c r="S37" s="147" t="n"/>
      <c r="T37" s="149" t="n"/>
      <c r="U37" s="147" t="n"/>
      <c r="V37" s="98" t="n"/>
      <c r="W37" s="98" t="n"/>
      <c r="X37" s="149" t="n"/>
      <c r="Y37" s="147" t="n"/>
      <c r="Z37" s="98" t="n"/>
      <c r="AL37" s="29">
        <f>IF(B37="","",IFERROR(INDEX(Schedule!$N$7:$N$18,MATCH(B37,Schedule!$A$7:$A$18,0)),"not in schedule"))</f>
        <v/>
      </c>
      <c r="AM37" s="108">
        <f>IF(B37="","",N(R37)-N(X37))</f>
        <v/>
      </c>
      <c r="AN37" s="144">
        <f>IF(B37="","",IF(Z37&lt;&gt;"",Z37,IF(N(G37)&gt;0,N(N37)/G37,"")))</f>
        <v/>
      </c>
      <c r="AO37" s="107">
        <f>IF(OR(B37="",C37=""),"",WORKDAY(C37,Inputs!$C$132,Lists!$N$4:$N$30))</f>
        <v/>
      </c>
      <c r="AP37" s="29">
        <f>IF(B37="","",IF(U37="","missing",IF(U37&gt;AO37,"Y","N")))</f>
        <v/>
      </c>
      <c r="AQ37" s="29">
        <f>IF(OR(W37="Y",W37="N"),IF(F37="",1,IF(COUNTIFS(F$5:F37,F37,W$5:W37,"Y")+COUNTIFS(F$5:F37,F37,W$5:W37,"N")=1,1,0)),0)</f>
        <v/>
      </c>
      <c r="AR37" s="29">
        <f>IF(W37="Y",IF(F37="",1,IF(COUNTIFS(F$5:F37,F37,W$5:W37,"Y")=1,1,0)),0)</f>
        <v/>
      </c>
    </row>
    <row r="38">
      <c r="A38" s="98" t="n"/>
      <c r="B38" s="98" t="n"/>
      <c r="C38" s="147" t="n"/>
      <c r="D38" s="98" t="n"/>
      <c r="E38" s="98" t="n"/>
      <c r="F38" s="98" t="n"/>
      <c r="G38" s="98" t="n"/>
      <c r="H38" s="98" t="n"/>
      <c r="I38" s="98" t="n"/>
      <c r="J38" s="98" t="n"/>
      <c r="K38" s="98" t="n"/>
      <c r="L38" s="98" t="n"/>
      <c r="M38" s="98" t="n"/>
      <c r="N38" s="98" t="n"/>
      <c r="O38" s="98" t="n"/>
      <c r="P38" s="98" t="n"/>
      <c r="Q38" s="98" t="n"/>
      <c r="R38" s="149" t="n"/>
      <c r="S38" s="147" t="n"/>
      <c r="T38" s="149" t="n"/>
      <c r="U38" s="147" t="n"/>
      <c r="V38" s="98" t="n"/>
      <c r="W38" s="98" t="n"/>
      <c r="X38" s="149" t="n"/>
      <c r="Y38" s="147" t="n"/>
      <c r="Z38" s="98" t="n"/>
      <c r="AL38" s="29">
        <f>IF(B38="","",IFERROR(INDEX(Schedule!$N$7:$N$18,MATCH(B38,Schedule!$A$7:$A$18,0)),"not in schedule"))</f>
        <v/>
      </c>
      <c r="AM38" s="108">
        <f>IF(B38="","",N(R38)-N(X38))</f>
        <v/>
      </c>
      <c r="AN38" s="144">
        <f>IF(B38="","",IF(Z38&lt;&gt;"",Z38,IF(N(G38)&gt;0,N(N38)/G38,"")))</f>
        <v/>
      </c>
      <c r="AO38" s="107">
        <f>IF(OR(B38="",C38=""),"",WORKDAY(C38,Inputs!$C$132,Lists!$N$4:$N$30))</f>
        <v/>
      </c>
      <c r="AP38" s="29">
        <f>IF(B38="","",IF(U38="","missing",IF(U38&gt;AO38,"Y","N")))</f>
        <v/>
      </c>
      <c r="AQ38" s="29">
        <f>IF(OR(W38="Y",W38="N"),IF(F38="",1,IF(COUNTIFS(F$5:F38,F38,W$5:W38,"Y")+COUNTIFS(F$5:F38,F38,W$5:W38,"N")=1,1,0)),0)</f>
        <v/>
      </c>
      <c r="AR38" s="29">
        <f>IF(W38="Y",IF(F38="",1,IF(COUNTIFS(F$5:F38,F38,W$5:W38,"Y")=1,1,0)),0)</f>
        <v/>
      </c>
    </row>
    <row r="39">
      <c r="A39" s="98" t="n"/>
      <c r="B39" s="98" t="n"/>
      <c r="C39" s="147" t="n"/>
      <c r="D39" s="98" t="n"/>
      <c r="E39" s="98" t="n"/>
      <c r="F39" s="98" t="n"/>
      <c r="G39" s="98" t="n"/>
      <c r="H39" s="98" t="n"/>
      <c r="I39" s="98" t="n"/>
      <c r="J39" s="98" t="n"/>
      <c r="K39" s="98" t="n"/>
      <c r="L39" s="98" t="n"/>
      <c r="M39" s="98" t="n"/>
      <c r="N39" s="98" t="n"/>
      <c r="O39" s="98" t="n"/>
      <c r="P39" s="98" t="n"/>
      <c r="Q39" s="98" t="n"/>
      <c r="R39" s="149" t="n"/>
      <c r="S39" s="147" t="n"/>
      <c r="T39" s="149" t="n"/>
      <c r="U39" s="147" t="n"/>
      <c r="V39" s="98" t="n"/>
      <c r="W39" s="98" t="n"/>
      <c r="X39" s="149" t="n"/>
      <c r="Y39" s="147" t="n"/>
      <c r="Z39" s="98" t="n"/>
      <c r="AL39" s="29">
        <f>IF(B39="","",IFERROR(INDEX(Schedule!$N$7:$N$18,MATCH(B39,Schedule!$A$7:$A$18,0)),"not in schedule"))</f>
        <v/>
      </c>
      <c r="AM39" s="108">
        <f>IF(B39="","",N(R39)-N(X39))</f>
        <v/>
      </c>
      <c r="AN39" s="144">
        <f>IF(B39="","",IF(Z39&lt;&gt;"",Z39,IF(N(G39)&gt;0,N(N39)/G39,"")))</f>
        <v/>
      </c>
      <c r="AO39" s="107">
        <f>IF(OR(B39="",C39=""),"",WORKDAY(C39,Inputs!$C$132,Lists!$N$4:$N$30))</f>
        <v/>
      </c>
      <c r="AP39" s="29">
        <f>IF(B39="","",IF(U39="","missing",IF(U39&gt;AO39,"Y","N")))</f>
        <v/>
      </c>
      <c r="AQ39" s="29">
        <f>IF(OR(W39="Y",W39="N"),IF(F39="",1,IF(COUNTIFS(F$5:F39,F39,W$5:W39,"Y")+COUNTIFS(F$5:F39,F39,W$5:W39,"N")=1,1,0)),0)</f>
        <v/>
      </c>
      <c r="AR39" s="29">
        <f>IF(W39="Y",IF(F39="",1,IF(COUNTIFS(F$5:F39,F39,W$5:W39,"Y")=1,1,0)),0)</f>
        <v/>
      </c>
    </row>
    <row r="40">
      <c r="A40" s="98" t="n"/>
      <c r="B40" s="98" t="n"/>
      <c r="C40" s="147" t="n"/>
      <c r="D40" s="98" t="n"/>
      <c r="E40" s="98" t="n"/>
      <c r="F40" s="98" t="n"/>
      <c r="G40" s="98" t="n"/>
      <c r="H40" s="98" t="n"/>
      <c r="I40" s="98" t="n"/>
      <c r="J40" s="98" t="n"/>
      <c r="K40" s="98" t="n"/>
      <c r="L40" s="98" t="n"/>
      <c r="M40" s="98" t="n"/>
      <c r="N40" s="98" t="n"/>
      <c r="O40" s="98" t="n"/>
      <c r="P40" s="98" t="n"/>
      <c r="Q40" s="98" t="n"/>
      <c r="R40" s="149" t="n"/>
      <c r="S40" s="147" t="n"/>
      <c r="T40" s="149" t="n"/>
      <c r="U40" s="147" t="n"/>
      <c r="V40" s="98" t="n"/>
      <c r="W40" s="98" t="n"/>
      <c r="X40" s="149" t="n"/>
      <c r="Y40" s="147" t="n"/>
      <c r="Z40" s="98" t="n"/>
      <c r="AL40" s="29">
        <f>IF(B40="","",IFERROR(INDEX(Schedule!$N$7:$N$18,MATCH(B40,Schedule!$A$7:$A$18,0)),"not in schedule"))</f>
        <v/>
      </c>
      <c r="AM40" s="108">
        <f>IF(B40="","",N(R40)-N(X40))</f>
        <v/>
      </c>
      <c r="AN40" s="144">
        <f>IF(B40="","",IF(Z40&lt;&gt;"",Z40,IF(N(G40)&gt;0,N(N40)/G40,"")))</f>
        <v/>
      </c>
      <c r="AO40" s="107">
        <f>IF(OR(B40="",C40=""),"",WORKDAY(C40,Inputs!$C$132,Lists!$N$4:$N$30))</f>
        <v/>
      </c>
      <c r="AP40" s="29">
        <f>IF(B40="","",IF(U40="","missing",IF(U40&gt;AO40,"Y","N")))</f>
        <v/>
      </c>
      <c r="AQ40" s="29">
        <f>IF(OR(W40="Y",W40="N"),IF(F40="",1,IF(COUNTIFS(F$5:F40,F40,W$5:W40,"Y")+COUNTIFS(F$5:F40,F40,W$5:W40,"N")=1,1,0)),0)</f>
        <v/>
      </c>
      <c r="AR40" s="29">
        <f>IF(W40="Y",IF(F40="",1,IF(COUNTIFS(F$5:F40,F40,W$5:W40,"Y")=1,1,0)),0)</f>
        <v/>
      </c>
    </row>
    <row r="41">
      <c r="A41" s="98" t="n"/>
      <c r="B41" s="98" t="n"/>
      <c r="C41" s="147" t="n"/>
      <c r="D41" s="98" t="n"/>
      <c r="E41" s="98" t="n"/>
      <c r="F41" s="98" t="n"/>
      <c r="G41" s="98" t="n"/>
      <c r="H41" s="98" t="n"/>
      <c r="I41" s="98" t="n"/>
      <c r="J41" s="98" t="n"/>
      <c r="K41" s="98" t="n"/>
      <c r="L41" s="98" t="n"/>
      <c r="M41" s="98" t="n"/>
      <c r="N41" s="98" t="n"/>
      <c r="O41" s="98" t="n"/>
      <c r="P41" s="98" t="n"/>
      <c r="Q41" s="98" t="n"/>
      <c r="R41" s="149" t="n"/>
      <c r="S41" s="147" t="n"/>
      <c r="T41" s="149" t="n"/>
      <c r="U41" s="147" t="n"/>
      <c r="V41" s="98" t="n"/>
      <c r="W41" s="98" t="n"/>
      <c r="X41" s="149" t="n"/>
      <c r="Y41" s="147" t="n"/>
      <c r="Z41" s="98" t="n"/>
      <c r="AL41" s="29">
        <f>IF(B41="","",IFERROR(INDEX(Schedule!$N$7:$N$18,MATCH(B41,Schedule!$A$7:$A$18,0)),"not in schedule"))</f>
        <v/>
      </c>
      <c r="AM41" s="108">
        <f>IF(B41="","",N(R41)-N(X41))</f>
        <v/>
      </c>
      <c r="AN41" s="144">
        <f>IF(B41="","",IF(Z41&lt;&gt;"",Z41,IF(N(G41)&gt;0,N(N41)/G41,"")))</f>
        <v/>
      </c>
      <c r="AO41" s="107">
        <f>IF(OR(B41="",C41=""),"",WORKDAY(C41,Inputs!$C$132,Lists!$N$4:$N$30))</f>
        <v/>
      </c>
      <c r="AP41" s="29">
        <f>IF(B41="","",IF(U41="","missing",IF(U41&gt;AO41,"Y","N")))</f>
        <v/>
      </c>
      <c r="AQ41" s="29">
        <f>IF(OR(W41="Y",W41="N"),IF(F41="",1,IF(COUNTIFS(F$5:F41,F41,W$5:W41,"Y")+COUNTIFS(F$5:F41,F41,W$5:W41,"N")=1,1,0)),0)</f>
        <v/>
      </c>
      <c r="AR41" s="29">
        <f>IF(W41="Y",IF(F41="",1,IF(COUNTIFS(F$5:F41,F41,W$5:W41,"Y")=1,1,0)),0)</f>
        <v/>
      </c>
    </row>
    <row r="42">
      <c r="A42" s="98" t="n"/>
      <c r="B42" s="98" t="n"/>
      <c r="C42" s="147" t="n"/>
      <c r="D42" s="98" t="n"/>
      <c r="E42" s="98" t="n"/>
      <c r="F42" s="98" t="n"/>
      <c r="G42" s="98" t="n"/>
      <c r="H42" s="98" t="n"/>
      <c r="I42" s="98" t="n"/>
      <c r="J42" s="98" t="n"/>
      <c r="K42" s="98" t="n"/>
      <c r="L42" s="98" t="n"/>
      <c r="M42" s="98" t="n"/>
      <c r="N42" s="98" t="n"/>
      <c r="O42" s="98" t="n"/>
      <c r="P42" s="98" t="n"/>
      <c r="Q42" s="98" t="n"/>
      <c r="R42" s="149" t="n"/>
      <c r="S42" s="147" t="n"/>
      <c r="T42" s="149" t="n"/>
      <c r="U42" s="147" t="n"/>
      <c r="V42" s="98" t="n"/>
      <c r="W42" s="98" t="n"/>
      <c r="X42" s="149" t="n"/>
      <c r="Y42" s="147" t="n"/>
      <c r="Z42" s="98" t="n"/>
      <c r="AL42" s="29">
        <f>IF(B42="","",IFERROR(INDEX(Schedule!$N$7:$N$18,MATCH(B42,Schedule!$A$7:$A$18,0)),"not in schedule"))</f>
        <v/>
      </c>
      <c r="AM42" s="108">
        <f>IF(B42="","",N(R42)-N(X42))</f>
        <v/>
      </c>
      <c r="AN42" s="144">
        <f>IF(B42="","",IF(Z42&lt;&gt;"",Z42,IF(N(G42)&gt;0,N(N42)/G42,"")))</f>
        <v/>
      </c>
      <c r="AO42" s="107">
        <f>IF(OR(B42="",C42=""),"",WORKDAY(C42,Inputs!$C$132,Lists!$N$4:$N$30))</f>
        <v/>
      </c>
      <c r="AP42" s="29">
        <f>IF(B42="","",IF(U42="","missing",IF(U42&gt;AO42,"Y","N")))</f>
        <v/>
      </c>
      <c r="AQ42" s="29">
        <f>IF(OR(W42="Y",W42="N"),IF(F42="",1,IF(COUNTIFS(F$5:F42,F42,W$5:W42,"Y")+COUNTIFS(F$5:F42,F42,W$5:W42,"N")=1,1,0)),0)</f>
        <v/>
      </c>
      <c r="AR42" s="29">
        <f>IF(W42="Y",IF(F42="",1,IF(COUNTIFS(F$5:F42,F42,W$5:W42,"Y")=1,1,0)),0)</f>
        <v/>
      </c>
    </row>
    <row r="43">
      <c r="A43" s="98" t="n"/>
      <c r="B43" s="98" t="n"/>
      <c r="C43" s="147" t="n"/>
      <c r="D43" s="98" t="n"/>
      <c r="E43" s="98" t="n"/>
      <c r="F43" s="98" t="n"/>
      <c r="G43" s="98" t="n"/>
      <c r="H43" s="98" t="n"/>
      <c r="I43" s="98" t="n"/>
      <c r="J43" s="98" t="n"/>
      <c r="K43" s="98" t="n"/>
      <c r="L43" s="98" t="n"/>
      <c r="M43" s="98" t="n"/>
      <c r="N43" s="98" t="n"/>
      <c r="O43" s="98" t="n"/>
      <c r="P43" s="98" t="n"/>
      <c r="Q43" s="98" t="n"/>
      <c r="R43" s="149" t="n"/>
      <c r="S43" s="147" t="n"/>
      <c r="T43" s="149" t="n"/>
      <c r="U43" s="147" t="n"/>
      <c r="V43" s="98" t="n"/>
      <c r="W43" s="98" t="n"/>
      <c r="X43" s="149" t="n"/>
      <c r="Y43" s="147" t="n"/>
      <c r="Z43" s="98" t="n"/>
      <c r="AL43" s="29">
        <f>IF(B43="","",IFERROR(INDEX(Schedule!$N$7:$N$18,MATCH(B43,Schedule!$A$7:$A$18,0)),"not in schedule"))</f>
        <v/>
      </c>
      <c r="AM43" s="108">
        <f>IF(B43="","",N(R43)-N(X43))</f>
        <v/>
      </c>
      <c r="AN43" s="144">
        <f>IF(B43="","",IF(Z43&lt;&gt;"",Z43,IF(N(G43)&gt;0,N(N43)/G43,"")))</f>
        <v/>
      </c>
      <c r="AO43" s="107">
        <f>IF(OR(B43="",C43=""),"",WORKDAY(C43,Inputs!$C$132,Lists!$N$4:$N$30))</f>
        <v/>
      </c>
      <c r="AP43" s="29">
        <f>IF(B43="","",IF(U43="","missing",IF(U43&gt;AO43,"Y","N")))</f>
        <v/>
      </c>
      <c r="AQ43" s="29">
        <f>IF(OR(W43="Y",W43="N"),IF(F43="",1,IF(COUNTIFS(F$5:F43,F43,W$5:W43,"Y")+COUNTIFS(F$5:F43,F43,W$5:W43,"N")=1,1,0)),0)</f>
        <v/>
      </c>
      <c r="AR43" s="29">
        <f>IF(W43="Y",IF(F43="",1,IF(COUNTIFS(F$5:F43,F43,W$5:W43,"Y")=1,1,0)),0)</f>
        <v/>
      </c>
    </row>
    <row r="44">
      <c r="A44" s="98" t="n"/>
      <c r="B44" s="98" t="n"/>
      <c r="C44" s="147" t="n"/>
      <c r="D44" s="98" t="n"/>
      <c r="E44" s="98" t="n"/>
      <c r="F44" s="98" t="n"/>
      <c r="G44" s="98" t="n"/>
      <c r="H44" s="98" t="n"/>
      <c r="I44" s="98" t="n"/>
      <c r="J44" s="98" t="n"/>
      <c r="K44" s="98" t="n"/>
      <c r="L44" s="98" t="n"/>
      <c r="M44" s="98" t="n"/>
      <c r="N44" s="98" t="n"/>
      <c r="O44" s="98" t="n"/>
      <c r="P44" s="98" t="n"/>
      <c r="Q44" s="98" t="n"/>
      <c r="R44" s="149" t="n"/>
      <c r="S44" s="147" t="n"/>
      <c r="T44" s="149" t="n"/>
      <c r="U44" s="147" t="n"/>
      <c r="V44" s="98" t="n"/>
      <c r="W44" s="98" t="n"/>
      <c r="X44" s="149" t="n"/>
      <c r="Y44" s="147" t="n"/>
      <c r="Z44" s="98" t="n"/>
      <c r="AL44" s="29">
        <f>IF(B44="","",IFERROR(INDEX(Schedule!$N$7:$N$18,MATCH(B44,Schedule!$A$7:$A$18,0)),"not in schedule"))</f>
        <v/>
      </c>
      <c r="AM44" s="108">
        <f>IF(B44="","",N(R44)-N(X44))</f>
        <v/>
      </c>
      <c r="AN44" s="144">
        <f>IF(B44="","",IF(Z44&lt;&gt;"",Z44,IF(N(G44)&gt;0,N(N44)/G44,"")))</f>
        <v/>
      </c>
      <c r="AO44" s="107">
        <f>IF(OR(B44="",C44=""),"",WORKDAY(C44,Inputs!$C$132,Lists!$N$4:$N$30))</f>
        <v/>
      </c>
      <c r="AP44" s="29">
        <f>IF(B44="","",IF(U44="","missing",IF(U44&gt;AO44,"Y","N")))</f>
        <v/>
      </c>
      <c r="AQ44" s="29">
        <f>IF(OR(W44="Y",W44="N"),IF(F44="",1,IF(COUNTIFS(F$5:F44,F44,W$5:W44,"Y")+COUNTIFS(F$5:F44,F44,W$5:W44,"N")=1,1,0)),0)</f>
        <v/>
      </c>
      <c r="AR44" s="29">
        <f>IF(W44="Y",IF(F44="",1,IF(COUNTIFS(F$5:F44,F44,W$5:W44,"Y")=1,1,0)),0)</f>
        <v/>
      </c>
    </row>
    <row r="45">
      <c r="A45" s="98" t="n"/>
      <c r="B45" s="98" t="n"/>
      <c r="C45" s="147" t="n"/>
      <c r="D45" s="98" t="n"/>
      <c r="E45" s="98" t="n"/>
      <c r="F45" s="98" t="n"/>
      <c r="G45" s="98" t="n"/>
      <c r="H45" s="98" t="n"/>
      <c r="I45" s="98" t="n"/>
      <c r="J45" s="98" t="n"/>
      <c r="K45" s="98" t="n"/>
      <c r="L45" s="98" t="n"/>
      <c r="M45" s="98" t="n"/>
      <c r="N45" s="98" t="n"/>
      <c r="O45" s="98" t="n"/>
      <c r="P45" s="98" t="n"/>
      <c r="Q45" s="98" t="n"/>
      <c r="R45" s="149" t="n"/>
      <c r="S45" s="147" t="n"/>
      <c r="T45" s="149" t="n"/>
      <c r="U45" s="147" t="n"/>
      <c r="V45" s="98" t="n"/>
      <c r="W45" s="98" t="n"/>
      <c r="X45" s="149" t="n"/>
      <c r="Y45" s="147" t="n"/>
      <c r="Z45" s="98" t="n"/>
      <c r="AL45" s="29">
        <f>IF(B45="","",IFERROR(INDEX(Schedule!$N$7:$N$18,MATCH(B45,Schedule!$A$7:$A$18,0)),"not in schedule"))</f>
        <v/>
      </c>
      <c r="AM45" s="108">
        <f>IF(B45="","",N(R45)-N(X45))</f>
        <v/>
      </c>
      <c r="AN45" s="144">
        <f>IF(B45="","",IF(Z45&lt;&gt;"",Z45,IF(N(G45)&gt;0,N(N45)/G45,"")))</f>
        <v/>
      </c>
      <c r="AO45" s="107">
        <f>IF(OR(B45="",C45=""),"",WORKDAY(C45,Inputs!$C$132,Lists!$N$4:$N$30))</f>
        <v/>
      </c>
      <c r="AP45" s="29">
        <f>IF(B45="","",IF(U45="","missing",IF(U45&gt;AO45,"Y","N")))</f>
        <v/>
      </c>
      <c r="AQ45" s="29">
        <f>IF(OR(W45="Y",W45="N"),IF(F45="",1,IF(COUNTIFS(F$5:F45,F45,W$5:W45,"Y")+COUNTIFS(F$5:F45,F45,W$5:W45,"N")=1,1,0)),0)</f>
        <v/>
      </c>
      <c r="AR45" s="29">
        <f>IF(W45="Y",IF(F45="",1,IF(COUNTIFS(F$5:F45,F45,W$5:W45,"Y")=1,1,0)),0)</f>
        <v/>
      </c>
    </row>
    <row r="46">
      <c r="A46" s="98" t="n"/>
      <c r="B46" s="98" t="n"/>
      <c r="C46" s="147" t="n"/>
      <c r="D46" s="98" t="n"/>
      <c r="E46" s="98" t="n"/>
      <c r="F46" s="98" t="n"/>
      <c r="G46" s="98" t="n"/>
      <c r="H46" s="98" t="n"/>
      <c r="I46" s="98" t="n"/>
      <c r="J46" s="98" t="n"/>
      <c r="K46" s="98" t="n"/>
      <c r="L46" s="98" t="n"/>
      <c r="M46" s="98" t="n"/>
      <c r="N46" s="98" t="n"/>
      <c r="O46" s="98" t="n"/>
      <c r="P46" s="98" t="n"/>
      <c r="Q46" s="98" t="n"/>
      <c r="R46" s="149" t="n"/>
      <c r="S46" s="147" t="n"/>
      <c r="T46" s="149" t="n"/>
      <c r="U46" s="147" t="n"/>
      <c r="V46" s="98" t="n"/>
      <c r="W46" s="98" t="n"/>
      <c r="X46" s="149" t="n"/>
      <c r="Y46" s="147" t="n"/>
      <c r="Z46" s="98" t="n"/>
      <c r="AL46" s="29">
        <f>IF(B46="","",IFERROR(INDEX(Schedule!$N$7:$N$18,MATCH(B46,Schedule!$A$7:$A$18,0)),"not in schedule"))</f>
        <v/>
      </c>
      <c r="AM46" s="108">
        <f>IF(B46="","",N(R46)-N(X46))</f>
        <v/>
      </c>
      <c r="AN46" s="144">
        <f>IF(B46="","",IF(Z46&lt;&gt;"",Z46,IF(N(G46)&gt;0,N(N46)/G46,"")))</f>
        <v/>
      </c>
      <c r="AO46" s="107">
        <f>IF(OR(B46="",C46=""),"",WORKDAY(C46,Inputs!$C$132,Lists!$N$4:$N$30))</f>
        <v/>
      </c>
      <c r="AP46" s="29">
        <f>IF(B46="","",IF(U46="","missing",IF(U46&gt;AO46,"Y","N")))</f>
        <v/>
      </c>
      <c r="AQ46" s="29">
        <f>IF(OR(W46="Y",W46="N"),IF(F46="",1,IF(COUNTIFS(F$5:F46,F46,W$5:W46,"Y")+COUNTIFS(F$5:F46,F46,W$5:W46,"N")=1,1,0)),0)</f>
        <v/>
      </c>
      <c r="AR46" s="29">
        <f>IF(W46="Y",IF(F46="",1,IF(COUNTIFS(F$5:F46,F46,W$5:W46,"Y")=1,1,0)),0)</f>
        <v/>
      </c>
    </row>
    <row r="47">
      <c r="A47" s="98" t="n"/>
      <c r="B47" s="98" t="n"/>
      <c r="C47" s="147" t="n"/>
      <c r="D47" s="98" t="n"/>
      <c r="E47" s="98" t="n"/>
      <c r="F47" s="98" t="n"/>
      <c r="G47" s="98" t="n"/>
      <c r="H47" s="98" t="n"/>
      <c r="I47" s="98" t="n"/>
      <c r="J47" s="98" t="n"/>
      <c r="K47" s="98" t="n"/>
      <c r="L47" s="98" t="n"/>
      <c r="M47" s="98" t="n"/>
      <c r="N47" s="98" t="n"/>
      <c r="O47" s="98" t="n"/>
      <c r="P47" s="98" t="n"/>
      <c r="Q47" s="98" t="n"/>
      <c r="R47" s="149" t="n"/>
      <c r="S47" s="147" t="n"/>
      <c r="T47" s="149" t="n"/>
      <c r="U47" s="147" t="n"/>
      <c r="V47" s="98" t="n"/>
      <c r="W47" s="98" t="n"/>
      <c r="X47" s="149" t="n"/>
      <c r="Y47" s="147" t="n"/>
      <c r="Z47" s="98" t="n"/>
      <c r="AL47" s="29">
        <f>IF(B47="","",IFERROR(INDEX(Schedule!$N$7:$N$18,MATCH(B47,Schedule!$A$7:$A$18,0)),"not in schedule"))</f>
        <v/>
      </c>
      <c r="AM47" s="108">
        <f>IF(B47="","",N(R47)-N(X47))</f>
        <v/>
      </c>
      <c r="AN47" s="144">
        <f>IF(B47="","",IF(Z47&lt;&gt;"",Z47,IF(N(G47)&gt;0,N(N47)/G47,"")))</f>
        <v/>
      </c>
      <c r="AO47" s="107">
        <f>IF(OR(B47="",C47=""),"",WORKDAY(C47,Inputs!$C$132,Lists!$N$4:$N$30))</f>
        <v/>
      </c>
      <c r="AP47" s="29">
        <f>IF(B47="","",IF(U47="","missing",IF(U47&gt;AO47,"Y","N")))</f>
        <v/>
      </c>
      <c r="AQ47" s="29">
        <f>IF(OR(W47="Y",W47="N"),IF(F47="",1,IF(COUNTIFS(F$5:F47,F47,W$5:W47,"Y")+COUNTIFS(F$5:F47,F47,W$5:W47,"N")=1,1,0)),0)</f>
        <v/>
      </c>
      <c r="AR47" s="29">
        <f>IF(W47="Y",IF(F47="",1,IF(COUNTIFS(F$5:F47,F47,W$5:W47,"Y")=1,1,0)),0)</f>
        <v/>
      </c>
    </row>
    <row r="48">
      <c r="A48" s="98" t="n"/>
      <c r="B48" s="98" t="n"/>
      <c r="C48" s="147" t="n"/>
      <c r="D48" s="98" t="n"/>
      <c r="E48" s="98" t="n"/>
      <c r="F48" s="98" t="n"/>
      <c r="G48" s="98" t="n"/>
      <c r="H48" s="98" t="n"/>
      <c r="I48" s="98" t="n"/>
      <c r="J48" s="98" t="n"/>
      <c r="K48" s="98" t="n"/>
      <c r="L48" s="98" t="n"/>
      <c r="M48" s="98" t="n"/>
      <c r="N48" s="98" t="n"/>
      <c r="O48" s="98" t="n"/>
      <c r="P48" s="98" t="n"/>
      <c r="Q48" s="98" t="n"/>
      <c r="R48" s="149" t="n"/>
      <c r="S48" s="147" t="n"/>
      <c r="T48" s="149" t="n"/>
      <c r="U48" s="147" t="n"/>
      <c r="V48" s="98" t="n"/>
      <c r="W48" s="98" t="n"/>
      <c r="X48" s="149" t="n"/>
      <c r="Y48" s="147" t="n"/>
      <c r="Z48" s="98" t="n"/>
      <c r="AL48" s="29">
        <f>IF(B48="","",IFERROR(INDEX(Schedule!$N$7:$N$18,MATCH(B48,Schedule!$A$7:$A$18,0)),"not in schedule"))</f>
        <v/>
      </c>
      <c r="AM48" s="108">
        <f>IF(B48="","",N(R48)-N(X48))</f>
        <v/>
      </c>
      <c r="AN48" s="144">
        <f>IF(B48="","",IF(Z48&lt;&gt;"",Z48,IF(N(G48)&gt;0,N(N48)/G48,"")))</f>
        <v/>
      </c>
      <c r="AO48" s="107">
        <f>IF(OR(B48="",C48=""),"",WORKDAY(C48,Inputs!$C$132,Lists!$N$4:$N$30))</f>
        <v/>
      </c>
      <c r="AP48" s="29">
        <f>IF(B48="","",IF(U48="","missing",IF(U48&gt;AO48,"Y","N")))</f>
        <v/>
      </c>
      <c r="AQ48" s="29">
        <f>IF(OR(W48="Y",W48="N"),IF(F48="",1,IF(COUNTIFS(F$5:F48,F48,W$5:W48,"Y")+COUNTIFS(F$5:F48,F48,W$5:W48,"N")=1,1,0)),0)</f>
        <v/>
      </c>
      <c r="AR48" s="29">
        <f>IF(W48="Y",IF(F48="",1,IF(COUNTIFS(F$5:F48,F48,W$5:W48,"Y")=1,1,0)),0)</f>
        <v/>
      </c>
    </row>
    <row r="49">
      <c r="A49" s="98" t="n"/>
      <c r="B49" s="98" t="n"/>
      <c r="C49" s="147" t="n"/>
      <c r="D49" s="98" t="n"/>
      <c r="E49" s="98" t="n"/>
      <c r="F49" s="98" t="n"/>
      <c r="G49" s="98" t="n"/>
      <c r="H49" s="98" t="n"/>
      <c r="I49" s="98" t="n"/>
      <c r="J49" s="98" t="n"/>
      <c r="K49" s="98" t="n"/>
      <c r="L49" s="98" t="n"/>
      <c r="M49" s="98" t="n"/>
      <c r="N49" s="98" t="n"/>
      <c r="O49" s="98" t="n"/>
      <c r="P49" s="98" t="n"/>
      <c r="Q49" s="98" t="n"/>
      <c r="R49" s="149" t="n"/>
      <c r="S49" s="147" t="n"/>
      <c r="T49" s="149" t="n"/>
      <c r="U49" s="147" t="n"/>
      <c r="V49" s="98" t="n"/>
      <c r="W49" s="98" t="n"/>
      <c r="X49" s="149" t="n"/>
      <c r="Y49" s="147" t="n"/>
      <c r="Z49" s="98" t="n"/>
      <c r="AL49" s="29">
        <f>IF(B49="","",IFERROR(INDEX(Schedule!$N$7:$N$18,MATCH(B49,Schedule!$A$7:$A$18,0)),"not in schedule"))</f>
        <v/>
      </c>
      <c r="AM49" s="108">
        <f>IF(B49="","",N(R49)-N(X49))</f>
        <v/>
      </c>
      <c r="AN49" s="144">
        <f>IF(B49="","",IF(Z49&lt;&gt;"",Z49,IF(N(G49)&gt;0,N(N49)/G49,"")))</f>
        <v/>
      </c>
      <c r="AO49" s="107">
        <f>IF(OR(B49="",C49=""),"",WORKDAY(C49,Inputs!$C$132,Lists!$N$4:$N$30))</f>
        <v/>
      </c>
      <c r="AP49" s="29">
        <f>IF(B49="","",IF(U49="","missing",IF(U49&gt;AO49,"Y","N")))</f>
        <v/>
      </c>
      <c r="AQ49" s="29">
        <f>IF(OR(W49="Y",W49="N"),IF(F49="",1,IF(COUNTIFS(F$5:F49,F49,W$5:W49,"Y")+COUNTIFS(F$5:F49,F49,W$5:W49,"N")=1,1,0)),0)</f>
        <v/>
      </c>
      <c r="AR49" s="29">
        <f>IF(W49="Y",IF(F49="",1,IF(COUNTIFS(F$5:F49,F49,W$5:W49,"Y")=1,1,0)),0)</f>
        <v/>
      </c>
    </row>
    <row r="50">
      <c r="A50" s="98" t="n"/>
      <c r="B50" s="98" t="n"/>
      <c r="C50" s="147" t="n"/>
      <c r="D50" s="98" t="n"/>
      <c r="E50" s="98" t="n"/>
      <c r="F50" s="98" t="n"/>
      <c r="G50" s="98" t="n"/>
      <c r="H50" s="98" t="n"/>
      <c r="I50" s="98" t="n"/>
      <c r="J50" s="98" t="n"/>
      <c r="K50" s="98" t="n"/>
      <c r="L50" s="98" t="n"/>
      <c r="M50" s="98" t="n"/>
      <c r="N50" s="98" t="n"/>
      <c r="O50" s="98" t="n"/>
      <c r="P50" s="98" t="n"/>
      <c r="Q50" s="98" t="n"/>
      <c r="R50" s="149" t="n"/>
      <c r="S50" s="147" t="n"/>
      <c r="T50" s="149" t="n"/>
      <c r="U50" s="147" t="n"/>
      <c r="V50" s="98" t="n"/>
      <c r="W50" s="98" t="n"/>
      <c r="X50" s="149" t="n"/>
      <c r="Y50" s="147" t="n"/>
      <c r="Z50" s="98" t="n"/>
      <c r="AL50" s="29">
        <f>IF(B50="","",IFERROR(INDEX(Schedule!$N$7:$N$18,MATCH(B50,Schedule!$A$7:$A$18,0)),"not in schedule"))</f>
        <v/>
      </c>
      <c r="AM50" s="108">
        <f>IF(B50="","",N(R50)-N(X50))</f>
        <v/>
      </c>
      <c r="AN50" s="144">
        <f>IF(B50="","",IF(Z50&lt;&gt;"",Z50,IF(N(G50)&gt;0,N(N50)/G50,"")))</f>
        <v/>
      </c>
      <c r="AO50" s="107">
        <f>IF(OR(B50="",C50=""),"",WORKDAY(C50,Inputs!$C$132,Lists!$N$4:$N$30))</f>
        <v/>
      </c>
      <c r="AP50" s="29">
        <f>IF(B50="","",IF(U50="","missing",IF(U50&gt;AO50,"Y","N")))</f>
        <v/>
      </c>
      <c r="AQ50" s="29">
        <f>IF(OR(W50="Y",W50="N"),IF(F50="",1,IF(COUNTIFS(F$5:F50,F50,W$5:W50,"Y")+COUNTIFS(F$5:F50,F50,W$5:W50,"N")=1,1,0)),0)</f>
        <v/>
      </c>
      <c r="AR50" s="29">
        <f>IF(W50="Y",IF(F50="",1,IF(COUNTIFS(F$5:F50,F50,W$5:W50,"Y")=1,1,0)),0)</f>
        <v/>
      </c>
    </row>
    <row r="51">
      <c r="A51" s="98" t="n"/>
      <c r="B51" s="98" t="n"/>
      <c r="C51" s="147" t="n"/>
      <c r="D51" s="98" t="n"/>
      <c r="E51" s="98" t="n"/>
      <c r="F51" s="98" t="n"/>
      <c r="G51" s="98" t="n"/>
      <c r="H51" s="98" t="n"/>
      <c r="I51" s="98" t="n"/>
      <c r="J51" s="98" t="n"/>
      <c r="K51" s="98" t="n"/>
      <c r="L51" s="98" t="n"/>
      <c r="M51" s="98" t="n"/>
      <c r="N51" s="98" t="n"/>
      <c r="O51" s="98" t="n"/>
      <c r="P51" s="98" t="n"/>
      <c r="Q51" s="98" t="n"/>
      <c r="R51" s="149" t="n"/>
      <c r="S51" s="147" t="n"/>
      <c r="T51" s="149" t="n"/>
      <c r="U51" s="147" t="n"/>
      <c r="V51" s="98" t="n"/>
      <c r="W51" s="98" t="n"/>
      <c r="X51" s="149" t="n"/>
      <c r="Y51" s="147" t="n"/>
      <c r="Z51" s="98" t="n"/>
      <c r="AL51" s="29">
        <f>IF(B51="","",IFERROR(INDEX(Schedule!$N$7:$N$18,MATCH(B51,Schedule!$A$7:$A$18,0)),"not in schedule"))</f>
        <v/>
      </c>
      <c r="AM51" s="108">
        <f>IF(B51="","",N(R51)-N(X51))</f>
        <v/>
      </c>
      <c r="AN51" s="144">
        <f>IF(B51="","",IF(Z51&lt;&gt;"",Z51,IF(N(G51)&gt;0,N(N51)/G51,"")))</f>
        <v/>
      </c>
      <c r="AO51" s="107">
        <f>IF(OR(B51="",C51=""),"",WORKDAY(C51,Inputs!$C$132,Lists!$N$4:$N$30))</f>
        <v/>
      </c>
      <c r="AP51" s="29">
        <f>IF(B51="","",IF(U51="","missing",IF(U51&gt;AO51,"Y","N")))</f>
        <v/>
      </c>
      <c r="AQ51" s="29">
        <f>IF(OR(W51="Y",W51="N"),IF(F51="",1,IF(COUNTIFS(F$5:F51,F51,W$5:W51,"Y")+COUNTIFS(F$5:F51,F51,W$5:W51,"N")=1,1,0)),0)</f>
        <v/>
      </c>
      <c r="AR51" s="29">
        <f>IF(W51="Y",IF(F51="",1,IF(COUNTIFS(F$5:F51,F51,W$5:W51,"Y")=1,1,0)),0)</f>
        <v/>
      </c>
    </row>
    <row r="52">
      <c r="A52" s="98" t="n"/>
      <c r="B52" s="98" t="n"/>
      <c r="C52" s="147" t="n"/>
      <c r="D52" s="98" t="n"/>
      <c r="E52" s="98" t="n"/>
      <c r="F52" s="98" t="n"/>
      <c r="G52" s="98" t="n"/>
      <c r="H52" s="98" t="n"/>
      <c r="I52" s="98" t="n"/>
      <c r="J52" s="98" t="n"/>
      <c r="K52" s="98" t="n"/>
      <c r="L52" s="98" t="n"/>
      <c r="M52" s="98" t="n"/>
      <c r="N52" s="98" t="n"/>
      <c r="O52" s="98" t="n"/>
      <c r="P52" s="98" t="n"/>
      <c r="Q52" s="98" t="n"/>
      <c r="R52" s="149" t="n"/>
      <c r="S52" s="147" t="n"/>
      <c r="T52" s="149" t="n"/>
      <c r="U52" s="147" t="n"/>
      <c r="V52" s="98" t="n"/>
      <c r="W52" s="98" t="n"/>
      <c r="X52" s="149" t="n"/>
      <c r="Y52" s="147" t="n"/>
      <c r="Z52" s="98" t="n"/>
      <c r="AL52" s="29">
        <f>IF(B52="","",IFERROR(INDEX(Schedule!$N$7:$N$18,MATCH(B52,Schedule!$A$7:$A$18,0)),"not in schedule"))</f>
        <v/>
      </c>
      <c r="AM52" s="108">
        <f>IF(B52="","",N(R52)-N(X52))</f>
        <v/>
      </c>
      <c r="AN52" s="144">
        <f>IF(B52="","",IF(Z52&lt;&gt;"",Z52,IF(N(G52)&gt;0,N(N52)/G52,"")))</f>
        <v/>
      </c>
      <c r="AO52" s="107">
        <f>IF(OR(B52="",C52=""),"",WORKDAY(C52,Inputs!$C$132,Lists!$N$4:$N$30))</f>
        <v/>
      </c>
      <c r="AP52" s="29">
        <f>IF(B52="","",IF(U52="","missing",IF(U52&gt;AO52,"Y","N")))</f>
        <v/>
      </c>
      <c r="AQ52" s="29">
        <f>IF(OR(W52="Y",W52="N"),IF(F52="",1,IF(COUNTIFS(F$5:F52,F52,W$5:W52,"Y")+COUNTIFS(F$5:F52,F52,W$5:W52,"N")=1,1,0)),0)</f>
        <v/>
      </c>
      <c r="AR52" s="29">
        <f>IF(W52="Y",IF(F52="",1,IF(COUNTIFS(F$5:F52,F52,W$5:W52,"Y")=1,1,0)),0)</f>
        <v/>
      </c>
    </row>
    <row r="53">
      <c r="A53" s="98" t="n"/>
      <c r="B53" s="98" t="n"/>
      <c r="C53" s="147" t="n"/>
      <c r="D53" s="98" t="n"/>
      <c r="E53" s="98" t="n"/>
      <c r="F53" s="98" t="n"/>
      <c r="G53" s="98" t="n"/>
      <c r="H53" s="98" t="n"/>
      <c r="I53" s="98" t="n"/>
      <c r="J53" s="98" t="n"/>
      <c r="K53" s="98" t="n"/>
      <c r="L53" s="98" t="n"/>
      <c r="M53" s="98" t="n"/>
      <c r="N53" s="98" t="n"/>
      <c r="O53" s="98" t="n"/>
      <c r="P53" s="98" t="n"/>
      <c r="Q53" s="98" t="n"/>
      <c r="R53" s="149" t="n"/>
      <c r="S53" s="147" t="n"/>
      <c r="T53" s="149" t="n"/>
      <c r="U53" s="147" t="n"/>
      <c r="V53" s="98" t="n"/>
      <c r="W53" s="98" t="n"/>
      <c r="X53" s="149" t="n"/>
      <c r="Y53" s="147" t="n"/>
      <c r="Z53" s="98" t="n"/>
      <c r="AL53" s="29">
        <f>IF(B53="","",IFERROR(INDEX(Schedule!$N$7:$N$18,MATCH(B53,Schedule!$A$7:$A$18,0)),"not in schedule"))</f>
        <v/>
      </c>
      <c r="AM53" s="108">
        <f>IF(B53="","",N(R53)-N(X53))</f>
        <v/>
      </c>
      <c r="AN53" s="144">
        <f>IF(B53="","",IF(Z53&lt;&gt;"",Z53,IF(N(G53)&gt;0,N(N53)/G53,"")))</f>
        <v/>
      </c>
      <c r="AO53" s="107">
        <f>IF(OR(B53="",C53=""),"",WORKDAY(C53,Inputs!$C$132,Lists!$N$4:$N$30))</f>
        <v/>
      </c>
      <c r="AP53" s="29">
        <f>IF(B53="","",IF(U53="","missing",IF(U53&gt;AO53,"Y","N")))</f>
        <v/>
      </c>
      <c r="AQ53" s="29">
        <f>IF(OR(W53="Y",W53="N"),IF(F53="",1,IF(COUNTIFS(F$5:F53,F53,W$5:W53,"Y")+COUNTIFS(F$5:F53,F53,W$5:W53,"N")=1,1,0)),0)</f>
        <v/>
      </c>
      <c r="AR53" s="29">
        <f>IF(W53="Y",IF(F53="",1,IF(COUNTIFS(F$5:F53,F53,W$5:W53,"Y")=1,1,0)),0)</f>
        <v/>
      </c>
    </row>
    <row r="54">
      <c r="A54" s="98" t="n"/>
      <c r="B54" s="98" t="n"/>
      <c r="C54" s="147" t="n"/>
      <c r="D54" s="98" t="n"/>
      <c r="E54" s="98" t="n"/>
      <c r="F54" s="98" t="n"/>
      <c r="G54" s="98" t="n"/>
      <c r="H54" s="98" t="n"/>
      <c r="I54" s="98" t="n"/>
      <c r="J54" s="98" t="n"/>
      <c r="K54" s="98" t="n"/>
      <c r="L54" s="98" t="n"/>
      <c r="M54" s="98" t="n"/>
      <c r="N54" s="98" t="n"/>
      <c r="O54" s="98" t="n"/>
      <c r="P54" s="98" t="n"/>
      <c r="Q54" s="98" t="n"/>
      <c r="R54" s="149" t="n"/>
      <c r="S54" s="147" t="n"/>
      <c r="T54" s="149" t="n"/>
      <c r="U54" s="147" t="n"/>
      <c r="V54" s="98" t="n"/>
      <c r="W54" s="98" t="n"/>
      <c r="X54" s="149" t="n"/>
      <c r="Y54" s="147" t="n"/>
      <c r="Z54" s="98" t="n"/>
      <c r="AL54" s="29">
        <f>IF(B54="","",IFERROR(INDEX(Schedule!$N$7:$N$18,MATCH(B54,Schedule!$A$7:$A$18,0)),"not in schedule"))</f>
        <v/>
      </c>
      <c r="AM54" s="108">
        <f>IF(B54="","",N(R54)-N(X54))</f>
        <v/>
      </c>
      <c r="AN54" s="144">
        <f>IF(B54="","",IF(Z54&lt;&gt;"",Z54,IF(N(G54)&gt;0,N(N54)/G54,"")))</f>
        <v/>
      </c>
      <c r="AO54" s="107">
        <f>IF(OR(B54="",C54=""),"",WORKDAY(C54,Inputs!$C$132,Lists!$N$4:$N$30))</f>
        <v/>
      </c>
      <c r="AP54" s="29">
        <f>IF(B54="","",IF(U54="","missing",IF(U54&gt;AO54,"Y","N")))</f>
        <v/>
      </c>
      <c r="AQ54" s="29">
        <f>IF(OR(W54="Y",W54="N"),IF(F54="",1,IF(COUNTIFS(F$5:F54,F54,W$5:W54,"Y")+COUNTIFS(F$5:F54,F54,W$5:W54,"N")=1,1,0)),0)</f>
        <v/>
      </c>
      <c r="AR54" s="29">
        <f>IF(W54="Y",IF(F54="",1,IF(COUNTIFS(F$5:F54,F54,W$5:W54,"Y")=1,1,0)),0)</f>
        <v/>
      </c>
    </row>
    <row r="55">
      <c r="A55" s="98" t="n"/>
      <c r="B55" s="98" t="n"/>
      <c r="C55" s="147" t="n"/>
      <c r="D55" s="98" t="n"/>
      <c r="E55" s="98" t="n"/>
      <c r="F55" s="98" t="n"/>
      <c r="G55" s="98" t="n"/>
      <c r="H55" s="98" t="n"/>
      <c r="I55" s="98" t="n"/>
      <c r="J55" s="98" t="n"/>
      <c r="K55" s="98" t="n"/>
      <c r="L55" s="98" t="n"/>
      <c r="M55" s="98" t="n"/>
      <c r="N55" s="98" t="n"/>
      <c r="O55" s="98" t="n"/>
      <c r="P55" s="98" t="n"/>
      <c r="Q55" s="98" t="n"/>
      <c r="R55" s="149" t="n"/>
      <c r="S55" s="147" t="n"/>
      <c r="T55" s="149" t="n"/>
      <c r="U55" s="147" t="n"/>
      <c r="V55" s="98" t="n"/>
      <c r="W55" s="98" t="n"/>
      <c r="X55" s="149" t="n"/>
      <c r="Y55" s="147" t="n"/>
      <c r="Z55" s="98" t="n"/>
      <c r="AL55" s="29">
        <f>IF(B55="","",IFERROR(INDEX(Schedule!$N$7:$N$18,MATCH(B55,Schedule!$A$7:$A$18,0)),"not in schedule"))</f>
        <v/>
      </c>
      <c r="AM55" s="108">
        <f>IF(B55="","",N(R55)-N(X55))</f>
        <v/>
      </c>
      <c r="AN55" s="144">
        <f>IF(B55="","",IF(Z55&lt;&gt;"",Z55,IF(N(G55)&gt;0,N(N55)/G55,"")))</f>
        <v/>
      </c>
      <c r="AO55" s="107">
        <f>IF(OR(B55="",C55=""),"",WORKDAY(C55,Inputs!$C$132,Lists!$N$4:$N$30))</f>
        <v/>
      </c>
      <c r="AP55" s="29">
        <f>IF(B55="","",IF(U55="","missing",IF(U55&gt;AO55,"Y","N")))</f>
        <v/>
      </c>
      <c r="AQ55" s="29">
        <f>IF(OR(W55="Y",W55="N"),IF(F55="",1,IF(COUNTIFS(F$5:F55,F55,W$5:W55,"Y")+COUNTIFS(F$5:F55,F55,W$5:W55,"N")=1,1,0)),0)</f>
        <v/>
      </c>
      <c r="AR55" s="29">
        <f>IF(W55="Y",IF(F55="",1,IF(COUNTIFS(F$5:F55,F55,W$5:W55,"Y")=1,1,0)),0)</f>
        <v/>
      </c>
    </row>
    <row r="56">
      <c r="A56" s="98" t="n"/>
      <c r="B56" s="98" t="n"/>
      <c r="C56" s="147" t="n"/>
      <c r="D56" s="98" t="n"/>
      <c r="E56" s="98" t="n"/>
      <c r="F56" s="98" t="n"/>
      <c r="G56" s="98" t="n"/>
      <c r="H56" s="98" t="n"/>
      <c r="I56" s="98" t="n"/>
      <c r="J56" s="98" t="n"/>
      <c r="K56" s="98" t="n"/>
      <c r="L56" s="98" t="n"/>
      <c r="M56" s="98" t="n"/>
      <c r="N56" s="98" t="n"/>
      <c r="O56" s="98" t="n"/>
      <c r="P56" s="98" t="n"/>
      <c r="Q56" s="98" t="n"/>
      <c r="R56" s="149" t="n"/>
      <c r="S56" s="147" t="n"/>
      <c r="T56" s="149" t="n"/>
      <c r="U56" s="147" t="n"/>
      <c r="V56" s="98" t="n"/>
      <c r="W56" s="98" t="n"/>
      <c r="X56" s="149" t="n"/>
      <c r="Y56" s="147" t="n"/>
      <c r="Z56" s="98" t="n"/>
      <c r="AL56" s="29">
        <f>IF(B56="","",IFERROR(INDEX(Schedule!$N$7:$N$18,MATCH(B56,Schedule!$A$7:$A$18,0)),"not in schedule"))</f>
        <v/>
      </c>
      <c r="AM56" s="108">
        <f>IF(B56="","",N(R56)-N(X56))</f>
        <v/>
      </c>
      <c r="AN56" s="144">
        <f>IF(B56="","",IF(Z56&lt;&gt;"",Z56,IF(N(G56)&gt;0,N(N56)/G56,"")))</f>
        <v/>
      </c>
      <c r="AO56" s="107">
        <f>IF(OR(B56="",C56=""),"",WORKDAY(C56,Inputs!$C$132,Lists!$N$4:$N$30))</f>
        <v/>
      </c>
      <c r="AP56" s="29">
        <f>IF(B56="","",IF(U56="","missing",IF(U56&gt;AO56,"Y","N")))</f>
        <v/>
      </c>
      <c r="AQ56" s="29">
        <f>IF(OR(W56="Y",W56="N"),IF(F56="",1,IF(COUNTIFS(F$5:F56,F56,W$5:W56,"Y")+COUNTIFS(F$5:F56,F56,W$5:W56,"N")=1,1,0)),0)</f>
        <v/>
      </c>
      <c r="AR56" s="29">
        <f>IF(W56="Y",IF(F56="",1,IF(COUNTIFS(F$5:F56,F56,W$5:W56,"Y")=1,1,0)),0)</f>
        <v/>
      </c>
    </row>
    <row r="57">
      <c r="A57" s="98" t="n"/>
      <c r="B57" s="98" t="n"/>
      <c r="C57" s="147" t="n"/>
      <c r="D57" s="98" t="n"/>
      <c r="E57" s="98" t="n"/>
      <c r="F57" s="98" t="n"/>
      <c r="G57" s="98" t="n"/>
      <c r="H57" s="98" t="n"/>
      <c r="I57" s="98" t="n"/>
      <c r="J57" s="98" t="n"/>
      <c r="K57" s="98" t="n"/>
      <c r="L57" s="98" t="n"/>
      <c r="M57" s="98" t="n"/>
      <c r="N57" s="98" t="n"/>
      <c r="O57" s="98" t="n"/>
      <c r="P57" s="98" t="n"/>
      <c r="Q57" s="98" t="n"/>
      <c r="R57" s="149" t="n"/>
      <c r="S57" s="147" t="n"/>
      <c r="T57" s="149" t="n"/>
      <c r="U57" s="147" t="n"/>
      <c r="V57" s="98" t="n"/>
      <c r="W57" s="98" t="n"/>
      <c r="X57" s="149" t="n"/>
      <c r="Y57" s="147" t="n"/>
      <c r="Z57" s="98" t="n"/>
      <c r="AL57" s="29">
        <f>IF(B57="","",IFERROR(INDEX(Schedule!$N$7:$N$18,MATCH(B57,Schedule!$A$7:$A$18,0)),"not in schedule"))</f>
        <v/>
      </c>
      <c r="AM57" s="108">
        <f>IF(B57="","",N(R57)-N(X57))</f>
        <v/>
      </c>
      <c r="AN57" s="144">
        <f>IF(B57="","",IF(Z57&lt;&gt;"",Z57,IF(N(G57)&gt;0,N(N57)/G57,"")))</f>
        <v/>
      </c>
      <c r="AO57" s="107">
        <f>IF(OR(B57="",C57=""),"",WORKDAY(C57,Inputs!$C$132,Lists!$N$4:$N$30))</f>
        <v/>
      </c>
      <c r="AP57" s="29">
        <f>IF(B57="","",IF(U57="","missing",IF(U57&gt;AO57,"Y","N")))</f>
        <v/>
      </c>
      <c r="AQ57" s="29">
        <f>IF(OR(W57="Y",W57="N"),IF(F57="",1,IF(COUNTIFS(F$5:F57,F57,W$5:W57,"Y")+COUNTIFS(F$5:F57,F57,W$5:W57,"N")=1,1,0)),0)</f>
        <v/>
      </c>
      <c r="AR57" s="29">
        <f>IF(W57="Y",IF(F57="",1,IF(COUNTIFS(F$5:F57,F57,W$5:W57,"Y")=1,1,0)),0)</f>
        <v/>
      </c>
    </row>
    <row r="58">
      <c r="A58" s="98" t="n"/>
      <c r="B58" s="98" t="n"/>
      <c r="C58" s="147" t="n"/>
      <c r="D58" s="98" t="n"/>
      <c r="E58" s="98" t="n"/>
      <c r="F58" s="98" t="n"/>
      <c r="G58" s="98" t="n"/>
      <c r="H58" s="98" t="n"/>
      <c r="I58" s="98" t="n"/>
      <c r="J58" s="98" t="n"/>
      <c r="K58" s="98" t="n"/>
      <c r="L58" s="98" t="n"/>
      <c r="M58" s="98" t="n"/>
      <c r="N58" s="98" t="n"/>
      <c r="O58" s="98" t="n"/>
      <c r="P58" s="98" t="n"/>
      <c r="Q58" s="98" t="n"/>
      <c r="R58" s="149" t="n"/>
      <c r="S58" s="147" t="n"/>
      <c r="T58" s="149" t="n"/>
      <c r="U58" s="147" t="n"/>
      <c r="V58" s="98" t="n"/>
      <c r="W58" s="98" t="n"/>
      <c r="X58" s="149" t="n"/>
      <c r="Y58" s="147" t="n"/>
      <c r="Z58" s="98" t="n"/>
      <c r="AL58" s="29">
        <f>IF(B58="","",IFERROR(INDEX(Schedule!$N$7:$N$18,MATCH(B58,Schedule!$A$7:$A$18,0)),"not in schedule"))</f>
        <v/>
      </c>
      <c r="AM58" s="108">
        <f>IF(B58="","",N(R58)-N(X58))</f>
        <v/>
      </c>
      <c r="AN58" s="144">
        <f>IF(B58="","",IF(Z58&lt;&gt;"",Z58,IF(N(G58)&gt;0,N(N58)/G58,"")))</f>
        <v/>
      </c>
      <c r="AO58" s="107">
        <f>IF(OR(B58="",C58=""),"",WORKDAY(C58,Inputs!$C$132,Lists!$N$4:$N$30))</f>
        <v/>
      </c>
      <c r="AP58" s="29">
        <f>IF(B58="","",IF(U58="","missing",IF(U58&gt;AO58,"Y","N")))</f>
        <v/>
      </c>
      <c r="AQ58" s="29">
        <f>IF(OR(W58="Y",W58="N"),IF(F58="",1,IF(COUNTIFS(F$5:F58,F58,W$5:W58,"Y")+COUNTIFS(F$5:F58,F58,W$5:W58,"N")=1,1,0)),0)</f>
        <v/>
      </c>
      <c r="AR58" s="29">
        <f>IF(W58="Y",IF(F58="",1,IF(COUNTIFS(F$5:F58,F58,W$5:W58,"Y")=1,1,0)),0)</f>
        <v/>
      </c>
    </row>
    <row r="59">
      <c r="A59" s="98" t="n"/>
      <c r="B59" s="98" t="n"/>
      <c r="C59" s="147" t="n"/>
      <c r="D59" s="98" t="n"/>
      <c r="E59" s="98" t="n"/>
      <c r="F59" s="98" t="n"/>
      <c r="G59" s="98" t="n"/>
      <c r="H59" s="98" t="n"/>
      <c r="I59" s="98" t="n"/>
      <c r="J59" s="98" t="n"/>
      <c r="K59" s="98" t="n"/>
      <c r="L59" s="98" t="n"/>
      <c r="M59" s="98" t="n"/>
      <c r="N59" s="98" t="n"/>
      <c r="O59" s="98" t="n"/>
      <c r="P59" s="98" t="n"/>
      <c r="Q59" s="98" t="n"/>
      <c r="R59" s="149" t="n"/>
      <c r="S59" s="147" t="n"/>
      <c r="T59" s="149" t="n"/>
      <c r="U59" s="147" t="n"/>
      <c r="V59" s="98" t="n"/>
      <c r="W59" s="98" t="n"/>
      <c r="X59" s="149" t="n"/>
      <c r="Y59" s="147" t="n"/>
      <c r="Z59" s="98" t="n"/>
      <c r="AL59" s="29">
        <f>IF(B59="","",IFERROR(INDEX(Schedule!$N$7:$N$18,MATCH(B59,Schedule!$A$7:$A$18,0)),"not in schedule"))</f>
        <v/>
      </c>
      <c r="AM59" s="108">
        <f>IF(B59="","",N(R59)-N(X59))</f>
        <v/>
      </c>
      <c r="AN59" s="144">
        <f>IF(B59="","",IF(Z59&lt;&gt;"",Z59,IF(N(G59)&gt;0,N(N59)/G59,"")))</f>
        <v/>
      </c>
      <c r="AO59" s="107">
        <f>IF(OR(B59="",C59=""),"",WORKDAY(C59,Inputs!$C$132,Lists!$N$4:$N$30))</f>
        <v/>
      </c>
      <c r="AP59" s="29">
        <f>IF(B59="","",IF(U59="","missing",IF(U59&gt;AO59,"Y","N")))</f>
        <v/>
      </c>
      <c r="AQ59" s="29">
        <f>IF(OR(W59="Y",W59="N"),IF(F59="",1,IF(COUNTIFS(F$5:F59,F59,W$5:W59,"Y")+COUNTIFS(F$5:F59,F59,W$5:W59,"N")=1,1,0)),0)</f>
        <v/>
      </c>
      <c r="AR59" s="29">
        <f>IF(W59="Y",IF(F59="",1,IF(COUNTIFS(F$5:F59,F59,W$5:W59,"Y")=1,1,0)),0)</f>
        <v/>
      </c>
    </row>
    <row r="60">
      <c r="A60" s="98" t="n"/>
      <c r="B60" s="98" t="n"/>
      <c r="C60" s="147" t="n"/>
      <c r="D60" s="98" t="n"/>
      <c r="E60" s="98" t="n"/>
      <c r="F60" s="98" t="n"/>
      <c r="G60" s="98" t="n"/>
      <c r="H60" s="98" t="n"/>
      <c r="I60" s="98" t="n"/>
      <c r="J60" s="98" t="n"/>
      <c r="K60" s="98" t="n"/>
      <c r="L60" s="98" t="n"/>
      <c r="M60" s="98" t="n"/>
      <c r="N60" s="98" t="n"/>
      <c r="O60" s="98" t="n"/>
      <c r="P60" s="98" t="n"/>
      <c r="Q60" s="98" t="n"/>
      <c r="R60" s="149" t="n"/>
      <c r="S60" s="147" t="n"/>
      <c r="T60" s="149" t="n"/>
      <c r="U60" s="147" t="n"/>
      <c r="V60" s="98" t="n"/>
      <c r="W60" s="98" t="n"/>
      <c r="X60" s="149" t="n"/>
      <c r="Y60" s="147" t="n"/>
      <c r="Z60" s="98" t="n"/>
      <c r="AL60" s="29">
        <f>IF(B60="","",IFERROR(INDEX(Schedule!$N$7:$N$18,MATCH(B60,Schedule!$A$7:$A$18,0)),"not in schedule"))</f>
        <v/>
      </c>
      <c r="AM60" s="108">
        <f>IF(B60="","",N(R60)-N(X60))</f>
        <v/>
      </c>
      <c r="AN60" s="144">
        <f>IF(B60="","",IF(Z60&lt;&gt;"",Z60,IF(N(G60)&gt;0,N(N60)/G60,"")))</f>
        <v/>
      </c>
      <c r="AO60" s="107">
        <f>IF(OR(B60="",C60=""),"",WORKDAY(C60,Inputs!$C$132,Lists!$N$4:$N$30))</f>
        <v/>
      </c>
      <c r="AP60" s="29">
        <f>IF(B60="","",IF(U60="","missing",IF(U60&gt;AO60,"Y","N")))</f>
        <v/>
      </c>
      <c r="AQ60" s="29">
        <f>IF(OR(W60="Y",W60="N"),IF(F60="",1,IF(COUNTIFS(F$5:F60,F60,W$5:W60,"Y")+COUNTIFS(F$5:F60,F60,W$5:W60,"N")=1,1,0)),0)</f>
        <v/>
      </c>
      <c r="AR60" s="29">
        <f>IF(W60="Y",IF(F60="",1,IF(COUNTIFS(F$5:F60,F60,W$5:W60,"Y")=1,1,0)),0)</f>
        <v/>
      </c>
    </row>
    <row r="61">
      <c r="A61" s="98" t="n"/>
      <c r="B61" s="98" t="n"/>
      <c r="C61" s="147" t="n"/>
      <c r="D61" s="98" t="n"/>
      <c r="E61" s="98" t="n"/>
      <c r="F61" s="98" t="n"/>
      <c r="G61" s="98" t="n"/>
      <c r="H61" s="98" t="n"/>
      <c r="I61" s="98" t="n"/>
      <c r="J61" s="98" t="n"/>
      <c r="K61" s="98" t="n"/>
      <c r="L61" s="98" t="n"/>
      <c r="M61" s="98" t="n"/>
      <c r="N61" s="98" t="n"/>
      <c r="O61" s="98" t="n"/>
      <c r="P61" s="98" t="n"/>
      <c r="Q61" s="98" t="n"/>
      <c r="R61" s="149" t="n"/>
      <c r="S61" s="147" t="n"/>
      <c r="T61" s="149" t="n"/>
      <c r="U61" s="147" t="n"/>
      <c r="V61" s="98" t="n"/>
      <c r="W61" s="98" t="n"/>
      <c r="X61" s="149" t="n"/>
      <c r="Y61" s="147" t="n"/>
      <c r="Z61" s="98" t="n"/>
      <c r="AL61" s="29">
        <f>IF(B61="","",IFERROR(INDEX(Schedule!$N$7:$N$18,MATCH(B61,Schedule!$A$7:$A$18,0)),"not in schedule"))</f>
        <v/>
      </c>
      <c r="AM61" s="108">
        <f>IF(B61="","",N(R61)-N(X61))</f>
        <v/>
      </c>
      <c r="AN61" s="144">
        <f>IF(B61="","",IF(Z61&lt;&gt;"",Z61,IF(N(G61)&gt;0,N(N61)/G61,"")))</f>
        <v/>
      </c>
      <c r="AO61" s="107">
        <f>IF(OR(B61="",C61=""),"",WORKDAY(C61,Inputs!$C$132,Lists!$N$4:$N$30))</f>
        <v/>
      </c>
      <c r="AP61" s="29">
        <f>IF(B61="","",IF(U61="","missing",IF(U61&gt;AO61,"Y","N")))</f>
        <v/>
      </c>
      <c r="AQ61" s="29">
        <f>IF(OR(W61="Y",W61="N"),IF(F61="",1,IF(COUNTIFS(F$5:F61,F61,W$5:W61,"Y")+COUNTIFS(F$5:F61,F61,W$5:W61,"N")=1,1,0)),0)</f>
        <v/>
      </c>
      <c r="AR61" s="29">
        <f>IF(W61="Y",IF(F61="",1,IF(COUNTIFS(F$5:F61,F61,W$5:W61,"Y")=1,1,0)),0)</f>
        <v/>
      </c>
    </row>
    <row r="62">
      <c r="A62" s="98" t="n"/>
      <c r="B62" s="98" t="n"/>
      <c r="C62" s="147" t="n"/>
      <c r="D62" s="98" t="n"/>
      <c r="E62" s="98" t="n"/>
      <c r="F62" s="98" t="n"/>
      <c r="G62" s="98" t="n"/>
      <c r="H62" s="98" t="n"/>
      <c r="I62" s="98" t="n"/>
      <c r="J62" s="98" t="n"/>
      <c r="K62" s="98" t="n"/>
      <c r="L62" s="98" t="n"/>
      <c r="M62" s="98" t="n"/>
      <c r="N62" s="98" t="n"/>
      <c r="O62" s="98" t="n"/>
      <c r="P62" s="98" t="n"/>
      <c r="Q62" s="98" t="n"/>
      <c r="R62" s="149" t="n"/>
      <c r="S62" s="147" t="n"/>
      <c r="T62" s="149" t="n"/>
      <c r="U62" s="147" t="n"/>
      <c r="V62" s="98" t="n"/>
      <c r="W62" s="98" t="n"/>
      <c r="X62" s="149" t="n"/>
      <c r="Y62" s="147" t="n"/>
      <c r="Z62" s="98" t="n"/>
      <c r="AL62" s="29">
        <f>IF(B62="","",IFERROR(INDEX(Schedule!$N$7:$N$18,MATCH(B62,Schedule!$A$7:$A$18,0)),"not in schedule"))</f>
        <v/>
      </c>
      <c r="AM62" s="108">
        <f>IF(B62="","",N(R62)-N(X62))</f>
        <v/>
      </c>
      <c r="AN62" s="144">
        <f>IF(B62="","",IF(Z62&lt;&gt;"",Z62,IF(N(G62)&gt;0,N(N62)/G62,"")))</f>
        <v/>
      </c>
      <c r="AO62" s="107">
        <f>IF(OR(B62="",C62=""),"",WORKDAY(C62,Inputs!$C$132,Lists!$N$4:$N$30))</f>
        <v/>
      </c>
      <c r="AP62" s="29">
        <f>IF(B62="","",IF(U62="","missing",IF(U62&gt;AO62,"Y","N")))</f>
        <v/>
      </c>
      <c r="AQ62" s="29">
        <f>IF(OR(W62="Y",W62="N"),IF(F62="",1,IF(COUNTIFS(F$5:F62,F62,W$5:W62,"Y")+COUNTIFS(F$5:F62,F62,W$5:W62,"N")=1,1,0)),0)</f>
        <v/>
      </c>
      <c r="AR62" s="29">
        <f>IF(W62="Y",IF(F62="",1,IF(COUNTIFS(F$5:F62,F62,W$5:W62,"Y")=1,1,0)),0)</f>
        <v/>
      </c>
    </row>
    <row r="63">
      <c r="A63" s="98" t="n"/>
      <c r="B63" s="98" t="n"/>
      <c r="C63" s="147" t="n"/>
      <c r="D63" s="98" t="n"/>
      <c r="E63" s="98" t="n"/>
      <c r="F63" s="98" t="n"/>
      <c r="G63" s="98" t="n"/>
      <c r="H63" s="98" t="n"/>
      <c r="I63" s="98" t="n"/>
      <c r="J63" s="98" t="n"/>
      <c r="K63" s="98" t="n"/>
      <c r="L63" s="98" t="n"/>
      <c r="M63" s="98" t="n"/>
      <c r="N63" s="98" t="n"/>
      <c r="O63" s="98" t="n"/>
      <c r="P63" s="98" t="n"/>
      <c r="Q63" s="98" t="n"/>
      <c r="R63" s="149" t="n"/>
      <c r="S63" s="147" t="n"/>
      <c r="T63" s="149" t="n"/>
      <c r="U63" s="147" t="n"/>
      <c r="V63" s="98" t="n"/>
      <c r="W63" s="98" t="n"/>
      <c r="X63" s="149" t="n"/>
      <c r="Y63" s="147" t="n"/>
      <c r="Z63" s="98" t="n"/>
      <c r="AL63" s="29">
        <f>IF(B63="","",IFERROR(INDEX(Schedule!$N$7:$N$18,MATCH(B63,Schedule!$A$7:$A$18,0)),"not in schedule"))</f>
        <v/>
      </c>
      <c r="AM63" s="108">
        <f>IF(B63="","",N(R63)-N(X63))</f>
        <v/>
      </c>
      <c r="AN63" s="144">
        <f>IF(B63="","",IF(Z63&lt;&gt;"",Z63,IF(N(G63)&gt;0,N(N63)/G63,"")))</f>
        <v/>
      </c>
      <c r="AO63" s="107">
        <f>IF(OR(B63="",C63=""),"",WORKDAY(C63,Inputs!$C$132,Lists!$N$4:$N$30))</f>
        <v/>
      </c>
      <c r="AP63" s="29">
        <f>IF(B63="","",IF(U63="","missing",IF(U63&gt;AO63,"Y","N")))</f>
        <v/>
      </c>
      <c r="AQ63" s="29">
        <f>IF(OR(W63="Y",W63="N"),IF(F63="",1,IF(COUNTIFS(F$5:F63,F63,W$5:W63,"Y")+COUNTIFS(F$5:F63,F63,W$5:W63,"N")=1,1,0)),0)</f>
        <v/>
      </c>
      <c r="AR63" s="29">
        <f>IF(W63="Y",IF(F63="",1,IF(COUNTIFS(F$5:F63,F63,W$5:W63,"Y")=1,1,0)),0)</f>
        <v/>
      </c>
    </row>
    <row r="64">
      <c r="A64" s="98" t="n"/>
      <c r="B64" s="98" t="n"/>
      <c r="C64" s="147" t="n"/>
      <c r="D64" s="98" t="n"/>
      <c r="E64" s="98" t="n"/>
      <c r="F64" s="98" t="n"/>
      <c r="G64" s="98" t="n"/>
      <c r="H64" s="98" t="n"/>
      <c r="I64" s="98" t="n"/>
      <c r="J64" s="98" t="n"/>
      <c r="K64" s="98" t="n"/>
      <c r="L64" s="98" t="n"/>
      <c r="M64" s="98" t="n"/>
      <c r="N64" s="98" t="n"/>
      <c r="O64" s="98" t="n"/>
      <c r="P64" s="98" t="n"/>
      <c r="Q64" s="98" t="n"/>
      <c r="R64" s="149" t="n"/>
      <c r="S64" s="147" t="n"/>
      <c r="T64" s="149" t="n"/>
      <c r="U64" s="147" t="n"/>
      <c r="V64" s="98" t="n"/>
      <c r="W64" s="98" t="n"/>
      <c r="X64" s="149" t="n"/>
      <c r="Y64" s="147" t="n"/>
      <c r="Z64" s="98" t="n"/>
      <c r="AL64" s="29">
        <f>IF(B64="","",IFERROR(INDEX(Schedule!$N$7:$N$18,MATCH(B64,Schedule!$A$7:$A$18,0)),"not in schedule"))</f>
        <v/>
      </c>
      <c r="AM64" s="108">
        <f>IF(B64="","",N(R64)-N(X64))</f>
        <v/>
      </c>
      <c r="AN64" s="144">
        <f>IF(B64="","",IF(Z64&lt;&gt;"",Z64,IF(N(G64)&gt;0,N(N64)/G64,"")))</f>
        <v/>
      </c>
      <c r="AO64" s="107">
        <f>IF(OR(B64="",C64=""),"",WORKDAY(C64,Inputs!$C$132,Lists!$N$4:$N$30))</f>
        <v/>
      </c>
      <c r="AP64" s="29">
        <f>IF(B64="","",IF(U64="","missing",IF(U64&gt;AO64,"Y","N")))</f>
        <v/>
      </c>
      <c r="AQ64" s="29">
        <f>IF(OR(W64="Y",W64="N"),IF(F64="",1,IF(COUNTIFS(F$5:F64,F64,W$5:W64,"Y")+COUNTIFS(F$5:F64,F64,W$5:W64,"N")=1,1,0)),0)</f>
        <v/>
      </c>
      <c r="AR64" s="29">
        <f>IF(W64="Y",IF(F64="",1,IF(COUNTIFS(F$5:F64,F64,W$5:W64,"Y")=1,1,0)),0)</f>
        <v/>
      </c>
    </row>
    <row r="65">
      <c r="A65" s="98" t="n"/>
      <c r="B65" s="98" t="n"/>
      <c r="C65" s="147" t="n"/>
      <c r="D65" s="98" t="n"/>
      <c r="E65" s="98" t="n"/>
      <c r="F65" s="98" t="n"/>
      <c r="G65" s="98" t="n"/>
      <c r="H65" s="98" t="n"/>
      <c r="I65" s="98" t="n"/>
      <c r="J65" s="98" t="n"/>
      <c r="K65" s="98" t="n"/>
      <c r="L65" s="98" t="n"/>
      <c r="M65" s="98" t="n"/>
      <c r="N65" s="98" t="n"/>
      <c r="O65" s="98" t="n"/>
      <c r="P65" s="98" t="n"/>
      <c r="Q65" s="98" t="n"/>
      <c r="R65" s="149" t="n"/>
      <c r="S65" s="147" t="n"/>
      <c r="T65" s="149" t="n"/>
      <c r="U65" s="147" t="n"/>
      <c r="V65" s="98" t="n"/>
      <c r="W65" s="98" t="n"/>
      <c r="X65" s="149" t="n"/>
      <c r="Y65" s="147" t="n"/>
      <c r="Z65" s="98" t="n"/>
      <c r="AL65" s="29">
        <f>IF(B65="","",IFERROR(INDEX(Schedule!$N$7:$N$18,MATCH(B65,Schedule!$A$7:$A$18,0)),"not in schedule"))</f>
        <v/>
      </c>
      <c r="AM65" s="108">
        <f>IF(B65="","",N(R65)-N(X65))</f>
        <v/>
      </c>
      <c r="AN65" s="144">
        <f>IF(B65="","",IF(Z65&lt;&gt;"",Z65,IF(N(G65)&gt;0,N(N65)/G65,"")))</f>
        <v/>
      </c>
      <c r="AO65" s="107">
        <f>IF(OR(B65="",C65=""),"",WORKDAY(C65,Inputs!$C$132,Lists!$N$4:$N$30))</f>
        <v/>
      </c>
      <c r="AP65" s="29">
        <f>IF(B65="","",IF(U65="","missing",IF(U65&gt;AO65,"Y","N")))</f>
        <v/>
      </c>
      <c r="AQ65" s="29">
        <f>IF(OR(W65="Y",W65="N"),IF(F65="",1,IF(COUNTIFS(F$5:F65,F65,W$5:W65,"Y")+COUNTIFS(F$5:F65,F65,W$5:W65,"N")=1,1,0)),0)</f>
        <v/>
      </c>
      <c r="AR65" s="29">
        <f>IF(W65="Y",IF(F65="",1,IF(COUNTIFS(F$5:F65,F65,W$5:W65,"Y")=1,1,0)),0)</f>
        <v/>
      </c>
    </row>
    <row r="66">
      <c r="A66" s="98" t="n"/>
      <c r="B66" s="98" t="n"/>
      <c r="C66" s="147" t="n"/>
      <c r="D66" s="98" t="n"/>
      <c r="E66" s="98" t="n"/>
      <c r="F66" s="98" t="n"/>
      <c r="G66" s="98" t="n"/>
      <c r="H66" s="98" t="n"/>
      <c r="I66" s="98" t="n"/>
      <c r="J66" s="98" t="n"/>
      <c r="K66" s="98" t="n"/>
      <c r="L66" s="98" t="n"/>
      <c r="M66" s="98" t="n"/>
      <c r="N66" s="98" t="n"/>
      <c r="O66" s="98" t="n"/>
      <c r="P66" s="98" t="n"/>
      <c r="Q66" s="98" t="n"/>
      <c r="R66" s="149" t="n"/>
      <c r="S66" s="147" t="n"/>
      <c r="T66" s="149" t="n"/>
      <c r="U66" s="147" t="n"/>
      <c r="V66" s="98" t="n"/>
      <c r="W66" s="98" t="n"/>
      <c r="X66" s="149" t="n"/>
      <c r="Y66" s="147" t="n"/>
      <c r="Z66" s="98" t="n"/>
      <c r="AL66" s="29">
        <f>IF(B66="","",IFERROR(INDEX(Schedule!$N$7:$N$18,MATCH(B66,Schedule!$A$7:$A$18,0)),"not in schedule"))</f>
        <v/>
      </c>
      <c r="AM66" s="108">
        <f>IF(B66="","",N(R66)-N(X66))</f>
        <v/>
      </c>
      <c r="AN66" s="144">
        <f>IF(B66="","",IF(Z66&lt;&gt;"",Z66,IF(N(G66)&gt;0,N(N66)/G66,"")))</f>
        <v/>
      </c>
      <c r="AO66" s="107">
        <f>IF(OR(B66="",C66=""),"",WORKDAY(C66,Inputs!$C$132,Lists!$N$4:$N$30))</f>
        <v/>
      </c>
      <c r="AP66" s="29">
        <f>IF(B66="","",IF(U66="","missing",IF(U66&gt;AO66,"Y","N")))</f>
        <v/>
      </c>
      <c r="AQ66" s="29">
        <f>IF(OR(W66="Y",W66="N"),IF(F66="",1,IF(COUNTIFS(F$5:F66,F66,W$5:W66,"Y")+COUNTIFS(F$5:F66,F66,W$5:W66,"N")=1,1,0)),0)</f>
        <v/>
      </c>
      <c r="AR66" s="29">
        <f>IF(W66="Y",IF(F66="",1,IF(COUNTIFS(F$5:F66,F66,W$5:W66,"Y")=1,1,0)),0)</f>
        <v/>
      </c>
    </row>
    <row r="67">
      <c r="A67" s="98" t="n"/>
      <c r="B67" s="98" t="n"/>
      <c r="C67" s="147" t="n"/>
      <c r="D67" s="98" t="n"/>
      <c r="E67" s="98" t="n"/>
      <c r="F67" s="98" t="n"/>
      <c r="G67" s="98" t="n"/>
      <c r="H67" s="98" t="n"/>
      <c r="I67" s="98" t="n"/>
      <c r="J67" s="98" t="n"/>
      <c r="K67" s="98" t="n"/>
      <c r="L67" s="98" t="n"/>
      <c r="M67" s="98" t="n"/>
      <c r="N67" s="98" t="n"/>
      <c r="O67" s="98" t="n"/>
      <c r="P67" s="98" t="n"/>
      <c r="Q67" s="98" t="n"/>
      <c r="R67" s="149" t="n"/>
      <c r="S67" s="147" t="n"/>
      <c r="T67" s="149" t="n"/>
      <c r="U67" s="147" t="n"/>
      <c r="V67" s="98" t="n"/>
      <c r="W67" s="98" t="n"/>
      <c r="X67" s="149" t="n"/>
      <c r="Y67" s="147" t="n"/>
      <c r="Z67" s="98" t="n"/>
      <c r="AL67" s="29">
        <f>IF(B67="","",IFERROR(INDEX(Schedule!$N$7:$N$18,MATCH(B67,Schedule!$A$7:$A$18,0)),"not in schedule"))</f>
        <v/>
      </c>
      <c r="AM67" s="108">
        <f>IF(B67="","",N(R67)-N(X67))</f>
        <v/>
      </c>
      <c r="AN67" s="144">
        <f>IF(B67="","",IF(Z67&lt;&gt;"",Z67,IF(N(G67)&gt;0,N(N67)/G67,"")))</f>
        <v/>
      </c>
      <c r="AO67" s="107">
        <f>IF(OR(B67="",C67=""),"",WORKDAY(C67,Inputs!$C$132,Lists!$N$4:$N$30))</f>
        <v/>
      </c>
      <c r="AP67" s="29">
        <f>IF(B67="","",IF(U67="","missing",IF(U67&gt;AO67,"Y","N")))</f>
        <v/>
      </c>
      <c r="AQ67" s="29">
        <f>IF(OR(W67="Y",W67="N"),IF(F67="",1,IF(COUNTIFS(F$5:F67,F67,W$5:W67,"Y")+COUNTIFS(F$5:F67,F67,W$5:W67,"N")=1,1,0)),0)</f>
        <v/>
      </c>
      <c r="AR67" s="29">
        <f>IF(W67="Y",IF(F67="",1,IF(COUNTIFS(F$5:F67,F67,W$5:W67,"Y")=1,1,0)),0)</f>
        <v/>
      </c>
    </row>
    <row r="68">
      <c r="A68" s="98" t="n"/>
      <c r="B68" s="98" t="n"/>
      <c r="C68" s="147" t="n"/>
      <c r="D68" s="98" t="n"/>
      <c r="E68" s="98" t="n"/>
      <c r="F68" s="98" t="n"/>
      <c r="G68" s="98" t="n"/>
      <c r="H68" s="98" t="n"/>
      <c r="I68" s="98" t="n"/>
      <c r="J68" s="98" t="n"/>
      <c r="K68" s="98" t="n"/>
      <c r="L68" s="98" t="n"/>
      <c r="M68" s="98" t="n"/>
      <c r="N68" s="98" t="n"/>
      <c r="O68" s="98" t="n"/>
      <c r="P68" s="98" t="n"/>
      <c r="Q68" s="98" t="n"/>
      <c r="R68" s="149" t="n"/>
      <c r="S68" s="147" t="n"/>
      <c r="T68" s="149" t="n"/>
      <c r="U68" s="147" t="n"/>
      <c r="V68" s="98" t="n"/>
      <c r="W68" s="98" t="n"/>
      <c r="X68" s="149" t="n"/>
      <c r="Y68" s="147" t="n"/>
      <c r="Z68" s="98" t="n"/>
      <c r="AL68" s="29">
        <f>IF(B68="","",IFERROR(INDEX(Schedule!$N$7:$N$18,MATCH(B68,Schedule!$A$7:$A$18,0)),"not in schedule"))</f>
        <v/>
      </c>
      <c r="AM68" s="108">
        <f>IF(B68="","",N(R68)-N(X68))</f>
        <v/>
      </c>
      <c r="AN68" s="144">
        <f>IF(B68="","",IF(Z68&lt;&gt;"",Z68,IF(N(G68)&gt;0,N(N68)/G68,"")))</f>
        <v/>
      </c>
      <c r="AO68" s="107">
        <f>IF(OR(B68="",C68=""),"",WORKDAY(C68,Inputs!$C$132,Lists!$N$4:$N$30))</f>
        <v/>
      </c>
      <c r="AP68" s="29">
        <f>IF(B68="","",IF(U68="","missing",IF(U68&gt;AO68,"Y","N")))</f>
        <v/>
      </c>
      <c r="AQ68" s="29">
        <f>IF(OR(W68="Y",W68="N"),IF(F68="",1,IF(COUNTIFS(F$5:F68,F68,W$5:W68,"Y")+COUNTIFS(F$5:F68,F68,W$5:W68,"N")=1,1,0)),0)</f>
        <v/>
      </c>
      <c r="AR68" s="29">
        <f>IF(W68="Y",IF(F68="",1,IF(COUNTIFS(F$5:F68,F68,W$5:W68,"Y")=1,1,0)),0)</f>
        <v/>
      </c>
    </row>
    <row r="69">
      <c r="A69" s="98" t="n"/>
      <c r="B69" s="98" t="n"/>
      <c r="C69" s="147" t="n"/>
      <c r="D69" s="98" t="n"/>
      <c r="E69" s="98" t="n"/>
      <c r="F69" s="98" t="n"/>
      <c r="G69" s="98" t="n"/>
      <c r="H69" s="98" t="n"/>
      <c r="I69" s="98" t="n"/>
      <c r="J69" s="98" t="n"/>
      <c r="K69" s="98" t="n"/>
      <c r="L69" s="98" t="n"/>
      <c r="M69" s="98" t="n"/>
      <c r="N69" s="98" t="n"/>
      <c r="O69" s="98" t="n"/>
      <c r="P69" s="98" t="n"/>
      <c r="Q69" s="98" t="n"/>
      <c r="R69" s="149" t="n"/>
      <c r="S69" s="147" t="n"/>
      <c r="T69" s="149" t="n"/>
      <c r="U69" s="147" t="n"/>
      <c r="V69" s="98" t="n"/>
      <c r="W69" s="98" t="n"/>
      <c r="X69" s="149" t="n"/>
      <c r="Y69" s="147" t="n"/>
      <c r="Z69" s="98" t="n"/>
      <c r="AL69" s="29">
        <f>IF(B69="","",IFERROR(INDEX(Schedule!$N$7:$N$18,MATCH(B69,Schedule!$A$7:$A$18,0)),"not in schedule"))</f>
        <v/>
      </c>
      <c r="AM69" s="108">
        <f>IF(B69="","",N(R69)-N(X69))</f>
        <v/>
      </c>
      <c r="AN69" s="144">
        <f>IF(B69="","",IF(Z69&lt;&gt;"",Z69,IF(N(G69)&gt;0,N(N69)/G69,"")))</f>
        <v/>
      </c>
      <c r="AO69" s="107">
        <f>IF(OR(B69="",C69=""),"",WORKDAY(C69,Inputs!$C$132,Lists!$N$4:$N$30))</f>
        <v/>
      </c>
      <c r="AP69" s="29">
        <f>IF(B69="","",IF(U69="","missing",IF(U69&gt;AO69,"Y","N")))</f>
        <v/>
      </c>
      <c r="AQ69" s="29">
        <f>IF(OR(W69="Y",W69="N"),IF(F69="",1,IF(COUNTIFS(F$5:F69,F69,W$5:W69,"Y")+COUNTIFS(F$5:F69,F69,W$5:W69,"N")=1,1,0)),0)</f>
        <v/>
      </c>
      <c r="AR69" s="29">
        <f>IF(W69="Y",IF(F69="",1,IF(COUNTIFS(F$5:F69,F69,W$5:W69,"Y")=1,1,0)),0)</f>
        <v/>
      </c>
    </row>
    <row r="70">
      <c r="A70" s="98" t="n"/>
      <c r="B70" s="98" t="n"/>
      <c r="C70" s="147" t="n"/>
      <c r="D70" s="98" t="n"/>
      <c r="E70" s="98" t="n"/>
      <c r="F70" s="98" t="n"/>
      <c r="G70" s="98" t="n"/>
      <c r="H70" s="98" t="n"/>
      <c r="I70" s="98" t="n"/>
      <c r="J70" s="98" t="n"/>
      <c r="K70" s="98" t="n"/>
      <c r="L70" s="98" t="n"/>
      <c r="M70" s="98" t="n"/>
      <c r="N70" s="98" t="n"/>
      <c r="O70" s="98" t="n"/>
      <c r="P70" s="98" t="n"/>
      <c r="Q70" s="98" t="n"/>
      <c r="R70" s="149" t="n"/>
      <c r="S70" s="147" t="n"/>
      <c r="T70" s="149" t="n"/>
      <c r="U70" s="147" t="n"/>
      <c r="V70" s="98" t="n"/>
      <c r="W70" s="98" t="n"/>
      <c r="X70" s="149" t="n"/>
      <c r="Y70" s="147" t="n"/>
      <c r="Z70" s="98" t="n"/>
      <c r="AL70" s="29">
        <f>IF(B70="","",IFERROR(INDEX(Schedule!$N$7:$N$18,MATCH(B70,Schedule!$A$7:$A$18,0)),"not in schedule"))</f>
        <v/>
      </c>
      <c r="AM70" s="108">
        <f>IF(B70="","",N(R70)-N(X70))</f>
        <v/>
      </c>
      <c r="AN70" s="144">
        <f>IF(B70="","",IF(Z70&lt;&gt;"",Z70,IF(N(G70)&gt;0,N(N70)/G70,"")))</f>
        <v/>
      </c>
      <c r="AO70" s="107">
        <f>IF(OR(B70="",C70=""),"",WORKDAY(C70,Inputs!$C$132,Lists!$N$4:$N$30))</f>
        <v/>
      </c>
      <c r="AP70" s="29">
        <f>IF(B70="","",IF(U70="","missing",IF(U70&gt;AO70,"Y","N")))</f>
        <v/>
      </c>
      <c r="AQ70" s="29">
        <f>IF(OR(W70="Y",W70="N"),IF(F70="",1,IF(COUNTIFS(F$5:F70,F70,W$5:W70,"Y")+COUNTIFS(F$5:F70,F70,W$5:W70,"N")=1,1,0)),0)</f>
        <v/>
      </c>
      <c r="AR70" s="29">
        <f>IF(W70="Y",IF(F70="",1,IF(COUNTIFS(F$5:F70,F70,W$5:W70,"Y")=1,1,0)),0)</f>
        <v/>
      </c>
    </row>
    <row r="71">
      <c r="A71" s="98" t="n"/>
      <c r="B71" s="98" t="n"/>
      <c r="C71" s="147" t="n"/>
      <c r="D71" s="98" t="n"/>
      <c r="E71" s="98" t="n"/>
      <c r="F71" s="98" t="n"/>
      <c r="G71" s="98" t="n"/>
      <c r="H71" s="98" t="n"/>
      <c r="I71" s="98" t="n"/>
      <c r="J71" s="98" t="n"/>
      <c r="K71" s="98" t="n"/>
      <c r="L71" s="98" t="n"/>
      <c r="M71" s="98" t="n"/>
      <c r="N71" s="98" t="n"/>
      <c r="O71" s="98" t="n"/>
      <c r="P71" s="98" t="n"/>
      <c r="Q71" s="98" t="n"/>
      <c r="R71" s="149" t="n"/>
      <c r="S71" s="147" t="n"/>
      <c r="T71" s="149" t="n"/>
      <c r="U71" s="147" t="n"/>
      <c r="V71" s="98" t="n"/>
      <c r="W71" s="98" t="n"/>
      <c r="X71" s="149" t="n"/>
      <c r="Y71" s="147" t="n"/>
      <c r="Z71" s="98" t="n"/>
      <c r="AL71" s="29">
        <f>IF(B71="","",IFERROR(INDEX(Schedule!$N$7:$N$18,MATCH(B71,Schedule!$A$7:$A$18,0)),"not in schedule"))</f>
        <v/>
      </c>
      <c r="AM71" s="108">
        <f>IF(B71="","",N(R71)-N(X71))</f>
        <v/>
      </c>
      <c r="AN71" s="144">
        <f>IF(B71="","",IF(Z71&lt;&gt;"",Z71,IF(N(G71)&gt;0,N(N71)/G71,"")))</f>
        <v/>
      </c>
      <c r="AO71" s="107">
        <f>IF(OR(B71="",C71=""),"",WORKDAY(C71,Inputs!$C$132,Lists!$N$4:$N$30))</f>
        <v/>
      </c>
      <c r="AP71" s="29">
        <f>IF(B71="","",IF(U71="","missing",IF(U71&gt;AO71,"Y","N")))</f>
        <v/>
      </c>
      <c r="AQ71" s="29">
        <f>IF(OR(W71="Y",W71="N"),IF(F71="",1,IF(COUNTIFS(F$5:F71,F71,W$5:W71,"Y")+COUNTIFS(F$5:F71,F71,W$5:W71,"N")=1,1,0)),0)</f>
        <v/>
      </c>
      <c r="AR71" s="29">
        <f>IF(W71="Y",IF(F71="",1,IF(COUNTIFS(F$5:F71,F71,W$5:W71,"Y")=1,1,0)),0)</f>
        <v/>
      </c>
    </row>
    <row r="72">
      <c r="A72" s="98" t="n"/>
      <c r="B72" s="98" t="n"/>
      <c r="C72" s="147" t="n"/>
      <c r="D72" s="98" t="n"/>
      <c r="E72" s="98" t="n"/>
      <c r="F72" s="98" t="n"/>
      <c r="G72" s="98" t="n"/>
      <c r="H72" s="98" t="n"/>
      <c r="I72" s="98" t="n"/>
      <c r="J72" s="98" t="n"/>
      <c r="K72" s="98" t="n"/>
      <c r="L72" s="98" t="n"/>
      <c r="M72" s="98" t="n"/>
      <c r="N72" s="98" t="n"/>
      <c r="O72" s="98" t="n"/>
      <c r="P72" s="98" t="n"/>
      <c r="Q72" s="98" t="n"/>
      <c r="R72" s="149" t="n"/>
      <c r="S72" s="147" t="n"/>
      <c r="T72" s="149" t="n"/>
      <c r="U72" s="147" t="n"/>
      <c r="V72" s="98" t="n"/>
      <c r="W72" s="98" t="n"/>
      <c r="X72" s="149" t="n"/>
      <c r="Y72" s="147" t="n"/>
      <c r="Z72" s="98" t="n"/>
      <c r="AL72" s="29">
        <f>IF(B72="","",IFERROR(INDEX(Schedule!$N$7:$N$18,MATCH(B72,Schedule!$A$7:$A$18,0)),"not in schedule"))</f>
        <v/>
      </c>
      <c r="AM72" s="108">
        <f>IF(B72="","",N(R72)-N(X72))</f>
        <v/>
      </c>
      <c r="AN72" s="144">
        <f>IF(B72="","",IF(Z72&lt;&gt;"",Z72,IF(N(G72)&gt;0,N(N72)/G72,"")))</f>
        <v/>
      </c>
      <c r="AO72" s="107">
        <f>IF(OR(B72="",C72=""),"",WORKDAY(C72,Inputs!$C$132,Lists!$N$4:$N$30))</f>
        <v/>
      </c>
      <c r="AP72" s="29">
        <f>IF(B72="","",IF(U72="","missing",IF(U72&gt;AO72,"Y","N")))</f>
        <v/>
      </c>
      <c r="AQ72" s="29">
        <f>IF(OR(W72="Y",W72="N"),IF(F72="",1,IF(COUNTIFS(F$5:F72,F72,W$5:W72,"Y")+COUNTIFS(F$5:F72,F72,W$5:W72,"N")=1,1,0)),0)</f>
        <v/>
      </c>
      <c r="AR72" s="29">
        <f>IF(W72="Y",IF(F72="",1,IF(COUNTIFS(F$5:F72,F72,W$5:W72,"Y")=1,1,0)),0)</f>
        <v/>
      </c>
    </row>
    <row r="73">
      <c r="A73" s="98" t="n"/>
      <c r="B73" s="98" t="n"/>
      <c r="C73" s="147" t="n"/>
      <c r="D73" s="98" t="n"/>
      <c r="E73" s="98" t="n"/>
      <c r="F73" s="98" t="n"/>
      <c r="G73" s="98" t="n"/>
      <c r="H73" s="98" t="n"/>
      <c r="I73" s="98" t="n"/>
      <c r="J73" s="98" t="n"/>
      <c r="K73" s="98" t="n"/>
      <c r="L73" s="98" t="n"/>
      <c r="M73" s="98" t="n"/>
      <c r="N73" s="98" t="n"/>
      <c r="O73" s="98" t="n"/>
      <c r="P73" s="98" t="n"/>
      <c r="Q73" s="98" t="n"/>
      <c r="R73" s="149" t="n"/>
      <c r="S73" s="147" t="n"/>
      <c r="T73" s="149" t="n"/>
      <c r="U73" s="147" t="n"/>
      <c r="V73" s="98" t="n"/>
      <c r="W73" s="98" t="n"/>
      <c r="X73" s="149" t="n"/>
      <c r="Y73" s="147" t="n"/>
      <c r="Z73" s="98" t="n"/>
      <c r="AL73" s="29">
        <f>IF(B73="","",IFERROR(INDEX(Schedule!$N$7:$N$18,MATCH(B73,Schedule!$A$7:$A$18,0)),"not in schedule"))</f>
        <v/>
      </c>
      <c r="AM73" s="108">
        <f>IF(B73="","",N(R73)-N(X73))</f>
        <v/>
      </c>
      <c r="AN73" s="144">
        <f>IF(B73="","",IF(Z73&lt;&gt;"",Z73,IF(N(G73)&gt;0,N(N73)/G73,"")))</f>
        <v/>
      </c>
      <c r="AO73" s="107">
        <f>IF(OR(B73="",C73=""),"",WORKDAY(C73,Inputs!$C$132,Lists!$N$4:$N$30))</f>
        <v/>
      </c>
      <c r="AP73" s="29">
        <f>IF(B73="","",IF(U73="","missing",IF(U73&gt;AO73,"Y","N")))</f>
        <v/>
      </c>
      <c r="AQ73" s="29">
        <f>IF(OR(W73="Y",W73="N"),IF(F73="",1,IF(COUNTIFS(F$5:F73,F73,W$5:W73,"Y")+COUNTIFS(F$5:F73,F73,W$5:W73,"N")=1,1,0)),0)</f>
        <v/>
      </c>
      <c r="AR73" s="29">
        <f>IF(W73="Y",IF(F73="",1,IF(COUNTIFS(F$5:F73,F73,W$5:W73,"Y")=1,1,0)),0)</f>
        <v/>
      </c>
    </row>
    <row r="74">
      <c r="A74" s="98" t="n"/>
      <c r="B74" s="98" t="n"/>
      <c r="C74" s="147" t="n"/>
      <c r="D74" s="98" t="n"/>
      <c r="E74" s="98" t="n"/>
      <c r="F74" s="98" t="n"/>
      <c r="G74" s="98" t="n"/>
      <c r="H74" s="98" t="n"/>
      <c r="I74" s="98" t="n"/>
      <c r="J74" s="98" t="n"/>
      <c r="K74" s="98" t="n"/>
      <c r="L74" s="98" t="n"/>
      <c r="M74" s="98" t="n"/>
      <c r="N74" s="98" t="n"/>
      <c r="O74" s="98" t="n"/>
      <c r="P74" s="98" t="n"/>
      <c r="Q74" s="98" t="n"/>
      <c r="R74" s="149" t="n"/>
      <c r="S74" s="147" t="n"/>
      <c r="T74" s="149" t="n"/>
      <c r="U74" s="147" t="n"/>
      <c r="V74" s="98" t="n"/>
      <c r="W74" s="98" t="n"/>
      <c r="X74" s="149" t="n"/>
      <c r="Y74" s="147" t="n"/>
      <c r="Z74" s="98" t="n"/>
      <c r="AL74" s="29">
        <f>IF(B74="","",IFERROR(INDEX(Schedule!$N$7:$N$18,MATCH(B74,Schedule!$A$7:$A$18,0)),"not in schedule"))</f>
        <v/>
      </c>
      <c r="AM74" s="108">
        <f>IF(B74="","",N(R74)-N(X74))</f>
        <v/>
      </c>
      <c r="AN74" s="144">
        <f>IF(B74="","",IF(Z74&lt;&gt;"",Z74,IF(N(G74)&gt;0,N(N74)/G74,"")))</f>
        <v/>
      </c>
      <c r="AO74" s="107">
        <f>IF(OR(B74="",C74=""),"",WORKDAY(C74,Inputs!$C$132,Lists!$N$4:$N$30))</f>
        <v/>
      </c>
      <c r="AP74" s="29">
        <f>IF(B74="","",IF(U74="","missing",IF(U74&gt;AO74,"Y","N")))</f>
        <v/>
      </c>
      <c r="AQ74" s="29">
        <f>IF(OR(W74="Y",W74="N"),IF(F74="",1,IF(COUNTIFS(F$5:F74,F74,W$5:W74,"Y")+COUNTIFS(F$5:F74,F74,W$5:W74,"N")=1,1,0)),0)</f>
        <v/>
      </c>
      <c r="AR74" s="29">
        <f>IF(W74="Y",IF(F74="",1,IF(COUNTIFS(F$5:F74,F74,W$5:W74,"Y")=1,1,0)),0)</f>
        <v/>
      </c>
    </row>
    <row r="75">
      <c r="A75" s="98" t="n"/>
      <c r="B75" s="98" t="n"/>
      <c r="C75" s="147" t="n"/>
      <c r="D75" s="98" t="n"/>
      <c r="E75" s="98" t="n"/>
      <c r="F75" s="98" t="n"/>
      <c r="G75" s="98" t="n"/>
      <c r="H75" s="98" t="n"/>
      <c r="I75" s="98" t="n"/>
      <c r="J75" s="98" t="n"/>
      <c r="K75" s="98" t="n"/>
      <c r="L75" s="98" t="n"/>
      <c r="M75" s="98" t="n"/>
      <c r="N75" s="98" t="n"/>
      <c r="O75" s="98" t="n"/>
      <c r="P75" s="98" t="n"/>
      <c r="Q75" s="98" t="n"/>
      <c r="R75" s="149" t="n"/>
      <c r="S75" s="147" t="n"/>
      <c r="T75" s="149" t="n"/>
      <c r="U75" s="147" t="n"/>
      <c r="V75" s="98" t="n"/>
      <c r="W75" s="98" t="n"/>
      <c r="X75" s="149" t="n"/>
      <c r="Y75" s="147" t="n"/>
      <c r="Z75" s="98" t="n"/>
      <c r="AL75" s="29">
        <f>IF(B75="","",IFERROR(INDEX(Schedule!$N$7:$N$18,MATCH(B75,Schedule!$A$7:$A$18,0)),"not in schedule"))</f>
        <v/>
      </c>
      <c r="AM75" s="108">
        <f>IF(B75="","",N(R75)-N(X75))</f>
        <v/>
      </c>
      <c r="AN75" s="144">
        <f>IF(B75="","",IF(Z75&lt;&gt;"",Z75,IF(N(G75)&gt;0,N(N75)/G75,"")))</f>
        <v/>
      </c>
      <c r="AO75" s="107">
        <f>IF(OR(B75="",C75=""),"",WORKDAY(C75,Inputs!$C$132,Lists!$N$4:$N$30))</f>
        <v/>
      </c>
      <c r="AP75" s="29">
        <f>IF(B75="","",IF(U75="","missing",IF(U75&gt;AO75,"Y","N")))</f>
        <v/>
      </c>
      <c r="AQ75" s="29">
        <f>IF(OR(W75="Y",W75="N"),IF(F75="",1,IF(COUNTIFS(F$5:F75,F75,W$5:W75,"Y")+COUNTIFS(F$5:F75,F75,W$5:W75,"N")=1,1,0)),0)</f>
        <v/>
      </c>
      <c r="AR75" s="29">
        <f>IF(W75="Y",IF(F75="",1,IF(COUNTIFS(F$5:F75,F75,W$5:W75,"Y")=1,1,0)),0)</f>
        <v/>
      </c>
    </row>
    <row r="76">
      <c r="A76" s="98" t="n"/>
      <c r="B76" s="98" t="n"/>
      <c r="C76" s="147" t="n"/>
      <c r="D76" s="98" t="n"/>
      <c r="E76" s="98" t="n"/>
      <c r="F76" s="98" t="n"/>
      <c r="G76" s="98" t="n"/>
      <c r="H76" s="98" t="n"/>
      <c r="I76" s="98" t="n"/>
      <c r="J76" s="98" t="n"/>
      <c r="K76" s="98" t="n"/>
      <c r="L76" s="98" t="n"/>
      <c r="M76" s="98" t="n"/>
      <c r="N76" s="98" t="n"/>
      <c r="O76" s="98" t="n"/>
      <c r="P76" s="98" t="n"/>
      <c r="Q76" s="98" t="n"/>
      <c r="R76" s="149" t="n"/>
      <c r="S76" s="147" t="n"/>
      <c r="T76" s="149" t="n"/>
      <c r="U76" s="147" t="n"/>
      <c r="V76" s="98" t="n"/>
      <c r="W76" s="98" t="n"/>
      <c r="X76" s="149" t="n"/>
      <c r="Y76" s="147" t="n"/>
      <c r="Z76" s="98" t="n"/>
      <c r="AL76" s="29">
        <f>IF(B76="","",IFERROR(INDEX(Schedule!$N$7:$N$18,MATCH(B76,Schedule!$A$7:$A$18,0)),"not in schedule"))</f>
        <v/>
      </c>
      <c r="AM76" s="108">
        <f>IF(B76="","",N(R76)-N(X76))</f>
        <v/>
      </c>
      <c r="AN76" s="144">
        <f>IF(B76="","",IF(Z76&lt;&gt;"",Z76,IF(N(G76)&gt;0,N(N76)/G76,"")))</f>
        <v/>
      </c>
      <c r="AO76" s="107">
        <f>IF(OR(B76="",C76=""),"",WORKDAY(C76,Inputs!$C$132,Lists!$N$4:$N$30))</f>
        <v/>
      </c>
      <c r="AP76" s="29">
        <f>IF(B76="","",IF(U76="","missing",IF(U76&gt;AO76,"Y","N")))</f>
        <v/>
      </c>
      <c r="AQ76" s="29">
        <f>IF(OR(W76="Y",W76="N"),IF(F76="",1,IF(COUNTIFS(F$5:F76,F76,W$5:W76,"Y")+COUNTIFS(F$5:F76,F76,W$5:W76,"N")=1,1,0)),0)</f>
        <v/>
      </c>
      <c r="AR76" s="29">
        <f>IF(W76="Y",IF(F76="",1,IF(COUNTIFS(F$5:F76,F76,W$5:W76,"Y")=1,1,0)),0)</f>
        <v/>
      </c>
    </row>
    <row r="77">
      <c r="A77" s="98" t="n"/>
      <c r="B77" s="98" t="n"/>
      <c r="C77" s="147" t="n"/>
      <c r="D77" s="98" t="n"/>
      <c r="E77" s="98" t="n"/>
      <c r="F77" s="98" t="n"/>
      <c r="G77" s="98" t="n"/>
      <c r="H77" s="98" t="n"/>
      <c r="I77" s="98" t="n"/>
      <c r="J77" s="98" t="n"/>
      <c r="K77" s="98" t="n"/>
      <c r="L77" s="98" t="n"/>
      <c r="M77" s="98" t="n"/>
      <c r="N77" s="98" t="n"/>
      <c r="O77" s="98" t="n"/>
      <c r="P77" s="98" t="n"/>
      <c r="Q77" s="98" t="n"/>
      <c r="R77" s="149" t="n"/>
      <c r="S77" s="147" t="n"/>
      <c r="T77" s="149" t="n"/>
      <c r="U77" s="147" t="n"/>
      <c r="V77" s="98" t="n"/>
      <c r="W77" s="98" t="n"/>
      <c r="X77" s="149" t="n"/>
      <c r="Y77" s="147" t="n"/>
      <c r="Z77" s="98" t="n"/>
      <c r="AL77" s="29">
        <f>IF(B77="","",IFERROR(INDEX(Schedule!$N$7:$N$18,MATCH(B77,Schedule!$A$7:$A$18,0)),"not in schedule"))</f>
        <v/>
      </c>
      <c r="AM77" s="108">
        <f>IF(B77="","",N(R77)-N(X77))</f>
        <v/>
      </c>
      <c r="AN77" s="144">
        <f>IF(B77="","",IF(Z77&lt;&gt;"",Z77,IF(N(G77)&gt;0,N(N77)/G77,"")))</f>
        <v/>
      </c>
      <c r="AO77" s="107">
        <f>IF(OR(B77="",C77=""),"",WORKDAY(C77,Inputs!$C$132,Lists!$N$4:$N$30))</f>
        <v/>
      </c>
      <c r="AP77" s="29">
        <f>IF(B77="","",IF(U77="","missing",IF(U77&gt;AO77,"Y","N")))</f>
        <v/>
      </c>
      <c r="AQ77" s="29">
        <f>IF(OR(W77="Y",W77="N"),IF(F77="",1,IF(COUNTIFS(F$5:F77,F77,W$5:W77,"Y")+COUNTIFS(F$5:F77,F77,W$5:W77,"N")=1,1,0)),0)</f>
        <v/>
      </c>
      <c r="AR77" s="29">
        <f>IF(W77="Y",IF(F77="",1,IF(COUNTIFS(F$5:F77,F77,W$5:W77,"Y")=1,1,0)),0)</f>
        <v/>
      </c>
    </row>
    <row r="78">
      <c r="A78" s="98" t="n"/>
      <c r="B78" s="98" t="n"/>
      <c r="C78" s="147" t="n"/>
      <c r="D78" s="98" t="n"/>
      <c r="E78" s="98" t="n"/>
      <c r="F78" s="98" t="n"/>
      <c r="G78" s="98" t="n"/>
      <c r="H78" s="98" t="n"/>
      <c r="I78" s="98" t="n"/>
      <c r="J78" s="98" t="n"/>
      <c r="K78" s="98" t="n"/>
      <c r="L78" s="98" t="n"/>
      <c r="M78" s="98" t="n"/>
      <c r="N78" s="98" t="n"/>
      <c r="O78" s="98" t="n"/>
      <c r="P78" s="98" t="n"/>
      <c r="Q78" s="98" t="n"/>
      <c r="R78" s="149" t="n"/>
      <c r="S78" s="147" t="n"/>
      <c r="T78" s="149" t="n"/>
      <c r="U78" s="147" t="n"/>
      <c r="V78" s="98" t="n"/>
      <c r="W78" s="98" t="n"/>
      <c r="X78" s="149" t="n"/>
      <c r="Y78" s="147" t="n"/>
      <c r="Z78" s="98" t="n"/>
      <c r="AL78" s="29">
        <f>IF(B78="","",IFERROR(INDEX(Schedule!$N$7:$N$18,MATCH(B78,Schedule!$A$7:$A$18,0)),"not in schedule"))</f>
        <v/>
      </c>
      <c r="AM78" s="108">
        <f>IF(B78="","",N(R78)-N(X78))</f>
        <v/>
      </c>
      <c r="AN78" s="144">
        <f>IF(B78="","",IF(Z78&lt;&gt;"",Z78,IF(N(G78)&gt;0,N(N78)/G78,"")))</f>
        <v/>
      </c>
      <c r="AO78" s="107">
        <f>IF(OR(B78="",C78=""),"",WORKDAY(C78,Inputs!$C$132,Lists!$N$4:$N$30))</f>
        <v/>
      </c>
      <c r="AP78" s="29">
        <f>IF(B78="","",IF(U78="","missing",IF(U78&gt;AO78,"Y","N")))</f>
        <v/>
      </c>
      <c r="AQ78" s="29">
        <f>IF(OR(W78="Y",W78="N"),IF(F78="",1,IF(COUNTIFS(F$5:F78,F78,W$5:W78,"Y")+COUNTIFS(F$5:F78,F78,W$5:W78,"N")=1,1,0)),0)</f>
        <v/>
      </c>
      <c r="AR78" s="29">
        <f>IF(W78="Y",IF(F78="",1,IF(COUNTIFS(F$5:F78,F78,W$5:W78,"Y")=1,1,0)),0)</f>
        <v/>
      </c>
    </row>
    <row r="79">
      <c r="A79" s="98" t="n"/>
      <c r="B79" s="98" t="n"/>
      <c r="C79" s="147" t="n"/>
      <c r="D79" s="98" t="n"/>
      <c r="E79" s="98" t="n"/>
      <c r="F79" s="98" t="n"/>
      <c r="G79" s="98" t="n"/>
      <c r="H79" s="98" t="n"/>
      <c r="I79" s="98" t="n"/>
      <c r="J79" s="98" t="n"/>
      <c r="K79" s="98" t="n"/>
      <c r="L79" s="98" t="n"/>
      <c r="M79" s="98" t="n"/>
      <c r="N79" s="98" t="n"/>
      <c r="O79" s="98" t="n"/>
      <c r="P79" s="98" t="n"/>
      <c r="Q79" s="98" t="n"/>
      <c r="R79" s="149" t="n"/>
      <c r="S79" s="147" t="n"/>
      <c r="T79" s="149" t="n"/>
      <c r="U79" s="147" t="n"/>
      <c r="V79" s="98" t="n"/>
      <c r="W79" s="98" t="n"/>
      <c r="X79" s="149" t="n"/>
      <c r="Y79" s="147" t="n"/>
      <c r="Z79" s="98" t="n"/>
      <c r="AL79" s="29">
        <f>IF(B79="","",IFERROR(INDEX(Schedule!$N$7:$N$18,MATCH(B79,Schedule!$A$7:$A$18,0)),"not in schedule"))</f>
        <v/>
      </c>
      <c r="AM79" s="108">
        <f>IF(B79="","",N(R79)-N(X79))</f>
        <v/>
      </c>
      <c r="AN79" s="144">
        <f>IF(B79="","",IF(Z79&lt;&gt;"",Z79,IF(N(G79)&gt;0,N(N79)/G79,"")))</f>
        <v/>
      </c>
      <c r="AO79" s="107">
        <f>IF(OR(B79="",C79=""),"",WORKDAY(C79,Inputs!$C$132,Lists!$N$4:$N$30))</f>
        <v/>
      </c>
      <c r="AP79" s="29">
        <f>IF(B79="","",IF(U79="","missing",IF(U79&gt;AO79,"Y","N")))</f>
        <v/>
      </c>
      <c r="AQ79" s="29">
        <f>IF(OR(W79="Y",W79="N"),IF(F79="",1,IF(COUNTIFS(F$5:F79,F79,W$5:W79,"Y")+COUNTIFS(F$5:F79,F79,W$5:W79,"N")=1,1,0)),0)</f>
        <v/>
      </c>
      <c r="AR79" s="29">
        <f>IF(W79="Y",IF(F79="",1,IF(COUNTIFS(F$5:F79,F79,W$5:W79,"Y")=1,1,0)),0)</f>
        <v/>
      </c>
    </row>
    <row r="80">
      <c r="A80" s="98" t="n"/>
      <c r="B80" s="98" t="n"/>
      <c r="C80" s="147" t="n"/>
      <c r="D80" s="98" t="n"/>
      <c r="E80" s="98" t="n"/>
      <c r="F80" s="98" t="n"/>
      <c r="G80" s="98" t="n"/>
      <c r="H80" s="98" t="n"/>
      <c r="I80" s="98" t="n"/>
      <c r="J80" s="98" t="n"/>
      <c r="K80" s="98" t="n"/>
      <c r="L80" s="98" t="n"/>
      <c r="M80" s="98" t="n"/>
      <c r="N80" s="98" t="n"/>
      <c r="O80" s="98" t="n"/>
      <c r="P80" s="98" t="n"/>
      <c r="Q80" s="98" t="n"/>
      <c r="R80" s="149" t="n"/>
      <c r="S80" s="147" t="n"/>
      <c r="T80" s="149" t="n"/>
      <c r="U80" s="147" t="n"/>
      <c r="V80" s="98" t="n"/>
      <c r="W80" s="98" t="n"/>
      <c r="X80" s="149" t="n"/>
      <c r="Y80" s="147" t="n"/>
      <c r="Z80" s="98" t="n"/>
      <c r="AL80" s="29">
        <f>IF(B80="","",IFERROR(INDEX(Schedule!$N$7:$N$18,MATCH(B80,Schedule!$A$7:$A$18,0)),"not in schedule"))</f>
        <v/>
      </c>
      <c r="AM80" s="108">
        <f>IF(B80="","",N(R80)-N(X80))</f>
        <v/>
      </c>
      <c r="AN80" s="144">
        <f>IF(B80="","",IF(Z80&lt;&gt;"",Z80,IF(N(G80)&gt;0,N(N80)/G80,"")))</f>
        <v/>
      </c>
      <c r="AO80" s="107">
        <f>IF(OR(B80="",C80=""),"",WORKDAY(C80,Inputs!$C$132,Lists!$N$4:$N$30))</f>
        <v/>
      </c>
      <c r="AP80" s="29">
        <f>IF(B80="","",IF(U80="","missing",IF(U80&gt;AO80,"Y","N")))</f>
        <v/>
      </c>
      <c r="AQ80" s="29">
        <f>IF(OR(W80="Y",W80="N"),IF(F80="",1,IF(COUNTIFS(F$5:F80,F80,W$5:W80,"Y")+COUNTIFS(F$5:F80,F80,W$5:W80,"N")=1,1,0)),0)</f>
        <v/>
      </c>
      <c r="AR80" s="29">
        <f>IF(W80="Y",IF(F80="",1,IF(COUNTIFS(F$5:F80,F80,W$5:W80,"Y")=1,1,0)),0)</f>
        <v/>
      </c>
    </row>
    <row r="81">
      <c r="A81" s="98" t="n"/>
      <c r="B81" s="98" t="n"/>
      <c r="C81" s="147" t="n"/>
      <c r="D81" s="98" t="n"/>
      <c r="E81" s="98" t="n"/>
      <c r="F81" s="98" t="n"/>
      <c r="G81" s="98" t="n"/>
      <c r="H81" s="98" t="n"/>
      <c r="I81" s="98" t="n"/>
      <c r="J81" s="98" t="n"/>
      <c r="K81" s="98" t="n"/>
      <c r="L81" s="98" t="n"/>
      <c r="M81" s="98" t="n"/>
      <c r="N81" s="98" t="n"/>
      <c r="O81" s="98" t="n"/>
      <c r="P81" s="98" t="n"/>
      <c r="Q81" s="98" t="n"/>
      <c r="R81" s="149" t="n"/>
      <c r="S81" s="147" t="n"/>
      <c r="T81" s="149" t="n"/>
      <c r="U81" s="147" t="n"/>
      <c r="V81" s="98" t="n"/>
      <c r="W81" s="98" t="n"/>
      <c r="X81" s="149" t="n"/>
      <c r="Y81" s="147" t="n"/>
      <c r="Z81" s="98" t="n"/>
      <c r="AL81" s="29">
        <f>IF(B81="","",IFERROR(INDEX(Schedule!$N$7:$N$18,MATCH(B81,Schedule!$A$7:$A$18,0)),"not in schedule"))</f>
        <v/>
      </c>
      <c r="AM81" s="108">
        <f>IF(B81="","",N(R81)-N(X81))</f>
        <v/>
      </c>
      <c r="AN81" s="144">
        <f>IF(B81="","",IF(Z81&lt;&gt;"",Z81,IF(N(G81)&gt;0,N(N81)/G81,"")))</f>
        <v/>
      </c>
      <c r="AO81" s="107">
        <f>IF(OR(B81="",C81=""),"",WORKDAY(C81,Inputs!$C$132,Lists!$N$4:$N$30))</f>
        <v/>
      </c>
      <c r="AP81" s="29">
        <f>IF(B81="","",IF(U81="","missing",IF(U81&gt;AO81,"Y","N")))</f>
        <v/>
      </c>
      <c r="AQ81" s="29">
        <f>IF(OR(W81="Y",W81="N"),IF(F81="",1,IF(COUNTIFS(F$5:F81,F81,W$5:W81,"Y")+COUNTIFS(F$5:F81,F81,W$5:W81,"N")=1,1,0)),0)</f>
        <v/>
      </c>
      <c r="AR81" s="29">
        <f>IF(W81="Y",IF(F81="",1,IF(COUNTIFS(F$5:F81,F81,W$5:W81,"Y")=1,1,0)),0)</f>
        <v/>
      </c>
    </row>
    <row r="82">
      <c r="A82" s="98" t="n"/>
      <c r="B82" s="98" t="n"/>
      <c r="C82" s="147" t="n"/>
      <c r="D82" s="98" t="n"/>
      <c r="E82" s="98" t="n"/>
      <c r="F82" s="98" t="n"/>
      <c r="G82" s="98" t="n"/>
      <c r="H82" s="98" t="n"/>
      <c r="I82" s="98" t="n"/>
      <c r="J82" s="98" t="n"/>
      <c r="K82" s="98" t="n"/>
      <c r="L82" s="98" t="n"/>
      <c r="M82" s="98" t="n"/>
      <c r="N82" s="98" t="n"/>
      <c r="O82" s="98" t="n"/>
      <c r="P82" s="98" t="n"/>
      <c r="Q82" s="98" t="n"/>
      <c r="R82" s="149" t="n"/>
      <c r="S82" s="147" t="n"/>
      <c r="T82" s="149" t="n"/>
      <c r="U82" s="147" t="n"/>
      <c r="V82" s="98" t="n"/>
      <c r="W82" s="98" t="n"/>
      <c r="X82" s="149" t="n"/>
      <c r="Y82" s="147" t="n"/>
      <c r="Z82" s="98" t="n"/>
      <c r="AL82" s="29">
        <f>IF(B82="","",IFERROR(INDEX(Schedule!$N$7:$N$18,MATCH(B82,Schedule!$A$7:$A$18,0)),"not in schedule"))</f>
        <v/>
      </c>
      <c r="AM82" s="108">
        <f>IF(B82="","",N(R82)-N(X82))</f>
        <v/>
      </c>
      <c r="AN82" s="144">
        <f>IF(B82="","",IF(Z82&lt;&gt;"",Z82,IF(N(G82)&gt;0,N(N82)/G82,"")))</f>
        <v/>
      </c>
      <c r="AO82" s="107">
        <f>IF(OR(B82="",C82=""),"",WORKDAY(C82,Inputs!$C$132,Lists!$N$4:$N$30))</f>
        <v/>
      </c>
      <c r="AP82" s="29">
        <f>IF(B82="","",IF(U82="","missing",IF(U82&gt;AO82,"Y","N")))</f>
        <v/>
      </c>
      <c r="AQ82" s="29">
        <f>IF(OR(W82="Y",W82="N"),IF(F82="",1,IF(COUNTIFS(F$5:F82,F82,W$5:W82,"Y")+COUNTIFS(F$5:F82,F82,W$5:W82,"N")=1,1,0)),0)</f>
        <v/>
      </c>
      <c r="AR82" s="29">
        <f>IF(W82="Y",IF(F82="",1,IF(COUNTIFS(F$5:F82,F82,W$5:W82,"Y")=1,1,0)),0)</f>
        <v/>
      </c>
    </row>
    <row r="83">
      <c r="A83" s="98" t="n"/>
      <c r="B83" s="98" t="n"/>
      <c r="C83" s="147" t="n"/>
      <c r="D83" s="98" t="n"/>
      <c r="E83" s="98" t="n"/>
      <c r="F83" s="98" t="n"/>
      <c r="G83" s="98" t="n"/>
      <c r="H83" s="98" t="n"/>
      <c r="I83" s="98" t="n"/>
      <c r="J83" s="98" t="n"/>
      <c r="K83" s="98" t="n"/>
      <c r="L83" s="98" t="n"/>
      <c r="M83" s="98" t="n"/>
      <c r="N83" s="98" t="n"/>
      <c r="O83" s="98" t="n"/>
      <c r="P83" s="98" t="n"/>
      <c r="Q83" s="98" t="n"/>
      <c r="R83" s="149" t="n"/>
      <c r="S83" s="147" t="n"/>
      <c r="T83" s="149" t="n"/>
      <c r="U83" s="147" t="n"/>
      <c r="V83" s="98" t="n"/>
      <c r="W83" s="98" t="n"/>
      <c r="X83" s="149" t="n"/>
      <c r="Y83" s="147" t="n"/>
      <c r="Z83" s="98" t="n"/>
      <c r="AL83" s="29">
        <f>IF(B83="","",IFERROR(INDEX(Schedule!$N$7:$N$18,MATCH(B83,Schedule!$A$7:$A$18,0)),"not in schedule"))</f>
        <v/>
      </c>
      <c r="AM83" s="108">
        <f>IF(B83="","",N(R83)-N(X83))</f>
        <v/>
      </c>
      <c r="AN83" s="144">
        <f>IF(B83="","",IF(Z83&lt;&gt;"",Z83,IF(N(G83)&gt;0,N(N83)/G83,"")))</f>
        <v/>
      </c>
      <c r="AO83" s="107">
        <f>IF(OR(B83="",C83=""),"",WORKDAY(C83,Inputs!$C$132,Lists!$N$4:$N$30))</f>
        <v/>
      </c>
      <c r="AP83" s="29">
        <f>IF(B83="","",IF(U83="","missing",IF(U83&gt;AO83,"Y","N")))</f>
        <v/>
      </c>
      <c r="AQ83" s="29">
        <f>IF(OR(W83="Y",W83="N"),IF(F83="",1,IF(COUNTIFS(F$5:F83,F83,W$5:W83,"Y")+COUNTIFS(F$5:F83,F83,W$5:W83,"N")=1,1,0)),0)</f>
        <v/>
      </c>
      <c r="AR83" s="29">
        <f>IF(W83="Y",IF(F83="",1,IF(COUNTIFS(F$5:F83,F83,W$5:W83,"Y")=1,1,0)),0)</f>
        <v/>
      </c>
    </row>
    <row r="84">
      <c r="A84" s="98" t="n"/>
      <c r="B84" s="98" t="n"/>
      <c r="C84" s="147" t="n"/>
      <c r="D84" s="98" t="n"/>
      <c r="E84" s="98" t="n"/>
      <c r="F84" s="98" t="n"/>
      <c r="G84" s="98" t="n"/>
      <c r="H84" s="98" t="n"/>
      <c r="I84" s="98" t="n"/>
      <c r="J84" s="98" t="n"/>
      <c r="K84" s="98" t="n"/>
      <c r="L84" s="98" t="n"/>
      <c r="M84" s="98" t="n"/>
      <c r="N84" s="98" t="n"/>
      <c r="O84" s="98" t="n"/>
      <c r="P84" s="98" t="n"/>
      <c r="Q84" s="98" t="n"/>
      <c r="R84" s="149" t="n"/>
      <c r="S84" s="147" t="n"/>
      <c r="T84" s="149" t="n"/>
      <c r="U84" s="147" t="n"/>
      <c r="V84" s="98" t="n"/>
      <c r="W84" s="98" t="n"/>
      <c r="X84" s="149" t="n"/>
      <c r="Y84" s="147" t="n"/>
      <c r="Z84" s="98" t="n"/>
      <c r="AL84" s="29">
        <f>IF(B84="","",IFERROR(INDEX(Schedule!$N$7:$N$18,MATCH(B84,Schedule!$A$7:$A$18,0)),"not in schedule"))</f>
        <v/>
      </c>
      <c r="AM84" s="108">
        <f>IF(B84="","",N(R84)-N(X84))</f>
        <v/>
      </c>
      <c r="AN84" s="144">
        <f>IF(B84="","",IF(Z84&lt;&gt;"",Z84,IF(N(G84)&gt;0,N(N84)/G84,"")))</f>
        <v/>
      </c>
      <c r="AO84" s="107">
        <f>IF(OR(B84="",C84=""),"",WORKDAY(C84,Inputs!$C$132,Lists!$N$4:$N$30))</f>
        <v/>
      </c>
      <c r="AP84" s="29">
        <f>IF(B84="","",IF(U84="","missing",IF(U84&gt;AO84,"Y","N")))</f>
        <v/>
      </c>
      <c r="AQ84" s="29">
        <f>IF(OR(W84="Y",W84="N"),IF(F84="",1,IF(COUNTIFS(F$5:F84,F84,W$5:W84,"Y")+COUNTIFS(F$5:F84,F84,W$5:W84,"N")=1,1,0)),0)</f>
        <v/>
      </c>
      <c r="AR84" s="29">
        <f>IF(W84="Y",IF(F84="",1,IF(COUNTIFS(F$5:F84,F84,W$5:W84,"Y")=1,1,0)),0)</f>
        <v/>
      </c>
    </row>
    <row r="85">
      <c r="A85" s="98" t="n"/>
      <c r="B85" s="98" t="n"/>
      <c r="C85" s="147" t="n"/>
      <c r="D85" s="98" t="n"/>
      <c r="E85" s="98" t="n"/>
      <c r="F85" s="98" t="n"/>
      <c r="G85" s="98" t="n"/>
      <c r="H85" s="98" t="n"/>
      <c r="I85" s="98" t="n"/>
      <c r="J85" s="98" t="n"/>
      <c r="K85" s="98" t="n"/>
      <c r="L85" s="98" t="n"/>
      <c r="M85" s="98" t="n"/>
      <c r="N85" s="98" t="n"/>
      <c r="O85" s="98" t="n"/>
      <c r="P85" s="98" t="n"/>
      <c r="Q85" s="98" t="n"/>
      <c r="R85" s="149" t="n"/>
      <c r="S85" s="147" t="n"/>
      <c r="T85" s="149" t="n"/>
      <c r="U85" s="147" t="n"/>
      <c r="V85" s="98" t="n"/>
      <c r="W85" s="98" t="n"/>
      <c r="X85" s="149" t="n"/>
      <c r="Y85" s="147" t="n"/>
      <c r="Z85" s="98" t="n"/>
      <c r="AL85" s="29">
        <f>IF(B85="","",IFERROR(INDEX(Schedule!$N$7:$N$18,MATCH(B85,Schedule!$A$7:$A$18,0)),"not in schedule"))</f>
        <v/>
      </c>
      <c r="AM85" s="108">
        <f>IF(B85="","",N(R85)-N(X85))</f>
        <v/>
      </c>
      <c r="AN85" s="144">
        <f>IF(B85="","",IF(Z85&lt;&gt;"",Z85,IF(N(G85)&gt;0,N(N85)/G85,"")))</f>
        <v/>
      </c>
      <c r="AO85" s="107">
        <f>IF(OR(B85="",C85=""),"",WORKDAY(C85,Inputs!$C$132,Lists!$N$4:$N$30))</f>
        <v/>
      </c>
      <c r="AP85" s="29">
        <f>IF(B85="","",IF(U85="","missing",IF(U85&gt;AO85,"Y","N")))</f>
        <v/>
      </c>
      <c r="AQ85" s="29">
        <f>IF(OR(W85="Y",W85="N"),IF(F85="",1,IF(COUNTIFS(F$5:F85,F85,W$5:W85,"Y")+COUNTIFS(F$5:F85,F85,W$5:W85,"N")=1,1,0)),0)</f>
        <v/>
      </c>
      <c r="AR85" s="29">
        <f>IF(W85="Y",IF(F85="",1,IF(COUNTIFS(F$5:F85,F85,W$5:W85,"Y")=1,1,0)),0)</f>
        <v/>
      </c>
    </row>
    <row r="86">
      <c r="A86" s="98" t="n"/>
      <c r="B86" s="98" t="n"/>
      <c r="C86" s="147" t="n"/>
      <c r="D86" s="98" t="n"/>
      <c r="E86" s="98" t="n"/>
      <c r="F86" s="98" t="n"/>
      <c r="G86" s="98" t="n"/>
      <c r="H86" s="98" t="n"/>
      <c r="I86" s="98" t="n"/>
      <c r="J86" s="98" t="n"/>
      <c r="K86" s="98" t="n"/>
      <c r="L86" s="98" t="n"/>
      <c r="M86" s="98" t="n"/>
      <c r="N86" s="98" t="n"/>
      <c r="O86" s="98" t="n"/>
      <c r="P86" s="98" t="n"/>
      <c r="Q86" s="98" t="n"/>
      <c r="R86" s="149" t="n"/>
      <c r="S86" s="147" t="n"/>
      <c r="T86" s="149" t="n"/>
      <c r="U86" s="147" t="n"/>
      <c r="V86" s="98" t="n"/>
      <c r="W86" s="98" t="n"/>
      <c r="X86" s="149" t="n"/>
      <c r="Y86" s="147" t="n"/>
      <c r="Z86" s="98" t="n"/>
      <c r="AL86" s="29">
        <f>IF(B86="","",IFERROR(INDEX(Schedule!$N$7:$N$18,MATCH(B86,Schedule!$A$7:$A$18,0)),"not in schedule"))</f>
        <v/>
      </c>
      <c r="AM86" s="108">
        <f>IF(B86="","",N(R86)-N(X86))</f>
        <v/>
      </c>
      <c r="AN86" s="144">
        <f>IF(B86="","",IF(Z86&lt;&gt;"",Z86,IF(N(G86)&gt;0,N(N86)/G86,"")))</f>
        <v/>
      </c>
      <c r="AO86" s="107">
        <f>IF(OR(B86="",C86=""),"",WORKDAY(C86,Inputs!$C$132,Lists!$N$4:$N$30))</f>
        <v/>
      </c>
      <c r="AP86" s="29">
        <f>IF(B86="","",IF(U86="","missing",IF(U86&gt;AO86,"Y","N")))</f>
        <v/>
      </c>
      <c r="AQ86" s="29">
        <f>IF(OR(W86="Y",W86="N"),IF(F86="",1,IF(COUNTIFS(F$5:F86,F86,W$5:W86,"Y")+COUNTIFS(F$5:F86,F86,W$5:W86,"N")=1,1,0)),0)</f>
        <v/>
      </c>
      <c r="AR86" s="29">
        <f>IF(W86="Y",IF(F86="",1,IF(COUNTIFS(F$5:F86,F86,W$5:W86,"Y")=1,1,0)),0)</f>
        <v/>
      </c>
    </row>
    <row r="87">
      <c r="A87" s="98" t="n"/>
      <c r="B87" s="98" t="n"/>
      <c r="C87" s="147" t="n"/>
      <c r="D87" s="98" t="n"/>
      <c r="E87" s="98" t="n"/>
      <c r="F87" s="98" t="n"/>
      <c r="G87" s="98" t="n"/>
      <c r="H87" s="98" t="n"/>
      <c r="I87" s="98" t="n"/>
      <c r="J87" s="98" t="n"/>
      <c r="K87" s="98" t="n"/>
      <c r="L87" s="98" t="n"/>
      <c r="M87" s="98" t="n"/>
      <c r="N87" s="98" t="n"/>
      <c r="O87" s="98" t="n"/>
      <c r="P87" s="98" t="n"/>
      <c r="Q87" s="98" t="n"/>
      <c r="R87" s="149" t="n"/>
      <c r="S87" s="147" t="n"/>
      <c r="T87" s="149" t="n"/>
      <c r="U87" s="147" t="n"/>
      <c r="V87" s="98" t="n"/>
      <c r="W87" s="98" t="n"/>
      <c r="X87" s="149" t="n"/>
      <c r="Y87" s="147" t="n"/>
      <c r="Z87" s="98" t="n"/>
      <c r="AL87" s="29">
        <f>IF(B87="","",IFERROR(INDEX(Schedule!$N$7:$N$18,MATCH(B87,Schedule!$A$7:$A$18,0)),"not in schedule"))</f>
        <v/>
      </c>
      <c r="AM87" s="108">
        <f>IF(B87="","",N(R87)-N(X87))</f>
        <v/>
      </c>
      <c r="AN87" s="144">
        <f>IF(B87="","",IF(Z87&lt;&gt;"",Z87,IF(N(G87)&gt;0,N(N87)/G87,"")))</f>
        <v/>
      </c>
      <c r="AO87" s="107">
        <f>IF(OR(B87="",C87=""),"",WORKDAY(C87,Inputs!$C$132,Lists!$N$4:$N$30))</f>
        <v/>
      </c>
      <c r="AP87" s="29">
        <f>IF(B87="","",IF(U87="","missing",IF(U87&gt;AO87,"Y","N")))</f>
        <v/>
      </c>
      <c r="AQ87" s="29">
        <f>IF(OR(W87="Y",W87="N"),IF(F87="",1,IF(COUNTIFS(F$5:F87,F87,W$5:W87,"Y")+COUNTIFS(F$5:F87,F87,W$5:W87,"N")=1,1,0)),0)</f>
        <v/>
      </c>
      <c r="AR87" s="29">
        <f>IF(W87="Y",IF(F87="",1,IF(COUNTIFS(F$5:F87,F87,W$5:W87,"Y")=1,1,0)),0)</f>
        <v/>
      </c>
    </row>
    <row r="88">
      <c r="A88" s="98" t="n"/>
      <c r="B88" s="98" t="n"/>
      <c r="C88" s="147" t="n"/>
      <c r="D88" s="98" t="n"/>
      <c r="E88" s="98" t="n"/>
      <c r="F88" s="98" t="n"/>
      <c r="G88" s="98" t="n"/>
      <c r="H88" s="98" t="n"/>
      <c r="I88" s="98" t="n"/>
      <c r="J88" s="98" t="n"/>
      <c r="K88" s="98" t="n"/>
      <c r="L88" s="98" t="n"/>
      <c r="M88" s="98" t="n"/>
      <c r="N88" s="98" t="n"/>
      <c r="O88" s="98" t="n"/>
      <c r="P88" s="98" t="n"/>
      <c r="Q88" s="98" t="n"/>
      <c r="R88" s="149" t="n"/>
      <c r="S88" s="147" t="n"/>
      <c r="T88" s="149" t="n"/>
      <c r="U88" s="147" t="n"/>
      <c r="V88" s="98" t="n"/>
      <c r="W88" s="98" t="n"/>
      <c r="X88" s="149" t="n"/>
      <c r="Y88" s="147" t="n"/>
      <c r="Z88" s="98" t="n"/>
      <c r="AL88" s="29">
        <f>IF(B88="","",IFERROR(INDEX(Schedule!$N$7:$N$18,MATCH(B88,Schedule!$A$7:$A$18,0)),"not in schedule"))</f>
        <v/>
      </c>
      <c r="AM88" s="108">
        <f>IF(B88="","",N(R88)-N(X88))</f>
        <v/>
      </c>
      <c r="AN88" s="144">
        <f>IF(B88="","",IF(Z88&lt;&gt;"",Z88,IF(N(G88)&gt;0,N(N88)/G88,"")))</f>
        <v/>
      </c>
      <c r="AO88" s="107">
        <f>IF(OR(B88="",C88=""),"",WORKDAY(C88,Inputs!$C$132,Lists!$N$4:$N$30))</f>
        <v/>
      </c>
      <c r="AP88" s="29">
        <f>IF(B88="","",IF(U88="","missing",IF(U88&gt;AO88,"Y","N")))</f>
        <v/>
      </c>
      <c r="AQ88" s="29">
        <f>IF(OR(W88="Y",W88="N"),IF(F88="",1,IF(COUNTIFS(F$5:F88,F88,W$5:W88,"Y")+COUNTIFS(F$5:F88,F88,W$5:W88,"N")=1,1,0)),0)</f>
        <v/>
      </c>
      <c r="AR88" s="29">
        <f>IF(W88="Y",IF(F88="",1,IF(COUNTIFS(F$5:F88,F88,W$5:W88,"Y")=1,1,0)),0)</f>
        <v/>
      </c>
    </row>
    <row r="89">
      <c r="A89" s="98" t="n"/>
      <c r="B89" s="98" t="n"/>
      <c r="C89" s="147" t="n"/>
      <c r="D89" s="98" t="n"/>
      <c r="E89" s="98" t="n"/>
      <c r="F89" s="98" t="n"/>
      <c r="G89" s="98" t="n"/>
      <c r="H89" s="98" t="n"/>
      <c r="I89" s="98" t="n"/>
      <c r="J89" s="98" t="n"/>
      <c r="K89" s="98" t="n"/>
      <c r="L89" s="98" t="n"/>
      <c r="M89" s="98" t="n"/>
      <c r="N89" s="98" t="n"/>
      <c r="O89" s="98" t="n"/>
      <c r="P89" s="98" t="n"/>
      <c r="Q89" s="98" t="n"/>
      <c r="R89" s="149" t="n"/>
      <c r="S89" s="147" t="n"/>
      <c r="T89" s="149" t="n"/>
      <c r="U89" s="147" t="n"/>
      <c r="V89" s="98" t="n"/>
      <c r="W89" s="98" t="n"/>
      <c r="X89" s="149" t="n"/>
      <c r="Y89" s="147" t="n"/>
      <c r="Z89" s="98" t="n"/>
      <c r="AL89" s="29">
        <f>IF(B89="","",IFERROR(INDEX(Schedule!$N$7:$N$18,MATCH(B89,Schedule!$A$7:$A$18,0)),"not in schedule"))</f>
        <v/>
      </c>
      <c r="AM89" s="108">
        <f>IF(B89="","",N(R89)-N(X89))</f>
        <v/>
      </c>
      <c r="AN89" s="144">
        <f>IF(B89="","",IF(Z89&lt;&gt;"",Z89,IF(N(G89)&gt;0,N(N89)/G89,"")))</f>
        <v/>
      </c>
      <c r="AO89" s="107">
        <f>IF(OR(B89="",C89=""),"",WORKDAY(C89,Inputs!$C$132,Lists!$N$4:$N$30))</f>
        <v/>
      </c>
      <c r="AP89" s="29">
        <f>IF(B89="","",IF(U89="","missing",IF(U89&gt;AO89,"Y","N")))</f>
        <v/>
      </c>
      <c r="AQ89" s="29">
        <f>IF(OR(W89="Y",W89="N"),IF(F89="",1,IF(COUNTIFS(F$5:F89,F89,W$5:W89,"Y")+COUNTIFS(F$5:F89,F89,W$5:W89,"N")=1,1,0)),0)</f>
        <v/>
      </c>
      <c r="AR89" s="29">
        <f>IF(W89="Y",IF(F89="",1,IF(COUNTIFS(F$5:F89,F89,W$5:W89,"Y")=1,1,0)),0)</f>
        <v/>
      </c>
    </row>
    <row r="90">
      <c r="A90" s="98" t="n"/>
      <c r="B90" s="98" t="n"/>
      <c r="C90" s="147" t="n"/>
      <c r="D90" s="98" t="n"/>
      <c r="E90" s="98" t="n"/>
      <c r="F90" s="98" t="n"/>
      <c r="G90" s="98" t="n"/>
      <c r="H90" s="98" t="n"/>
      <c r="I90" s="98" t="n"/>
      <c r="J90" s="98" t="n"/>
      <c r="K90" s="98" t="n"/>
      <c r="L90" s="98" t="n"/>
      <c r="M90" s="98" t="n"/>
      <c r="N90" s="98" t="n"/>
      <c r="O90" s="98" t="n"/>
      <c r="P90" s="98" t="n"/>
      <c r="Q90" s="98" t="n"/>
      <c r="R90" s="149" t="n"/>
      <c r="S90" s="147" t="n"/>
      <c r="T90" s="149" t="n"/>
      <c r="U90" s="147" t="n"/>
      <c r="V90" s="98" t="n"/>
      <c r="W90" s="98" t="n"/>
      <c r="X90" s="149" t="n"/>
      <c r="Y90" s="147" t="n"/>
      <c r="Z90" s="98" t="n"/>
      <c r="AL90" s="29">
        <f>IF(B90="","",IFERROR(INDEX(Schedule!$N$7:$N$18,MATCH(B90,Schedule!$A$7:$A$18,0)),"not in schedule"))</f>
        <v/>
      </c>
      <c r="AM90" s="108">
        <f>IF(B90="","",N(R90)-N(X90))</f>
        <v/>
      </c>
      <c r="AN90" s="144">
        <f>IF(B90="","",IF(Z90&lt;&gt;"",Z90,IF(N(G90)&gt;0,N(N90)/G90,"")))</f>
        <v/>
      </c>
      <c r="AO90" s="107">
        <f>IF(OR(B90="",C90=""),"",WORKDAY(C90,Inputs!$C$132,Lists!$N$4:$N$30))</f>
        <v/>
      </c>
      <c r="AP90" s="29">
        <f>IF(B90="","",IF(U90="","missing",IF(U90&gt;AO90,"Y","N")))</f>
        <v/>
      </c>
      <c r="AQ90" s="29">
        <f>IF(OR(W90="Y",W90="N"),IF(F90="",1,IF(COUNTIFS(F$5:F90,F90,W$5:W90,"Y")+COUNTIFS(F$5:F90,F90,W$5:W90,"N")=1,1,0)),0)</f>
        <v/>
      </c>
      <c r="AR90" s="29">
        <f>IF(W90="Y",IF(F90="",1,IF(COUNTIFS(F$5:F90,F90,W$5:W90,"Y")=1,1,0)),0)</f>
        <v/>
      </c>
    </row>
    <row r="91">
      <c r="A91" s="98" t="n"/>
      <c r="B91" s="98" t="n"/>
      <c r="C91" s="147" t="n"/>
      <c r="D91" s="98" t="n"/>
      <c r="E91" s="98" t="n"/>
      <c r="F91" s="98" t="n"/>
      <c r="G91" s="98" t="n"/>
      <c r="H91" s="98" t="n"/>
      <c r="I91" s="98" t="n"/>
      <c r="J91" s="98" t="n"/>
      <c r="K91" s="98" t="n"/>
      <c r="L91" s="98" t="n"/>
      <c r="M91" s="98" t="n"/>
      <c r="N91" s="98" t="n"/>
      <c r="O91" s="98" t="n"/>
      <c r="P91" s="98" t="n"/>
      <c r="Q91" s="98" t="n"/>
      <c r="R91" s="149" t="n"/>
      <c r="S91" s="147" t="n"/>
      <c r="T91" s="149" t="n"/>
      <c r="U91" s="147" t="n"/>
      <c r="V91" s="98" t="n"/>
      <c r="W91" s="98" t="n"/>
      <c r="X91" s="149" t="n"/>
      <c r="Y91" s="147" t="n"/>
      <c r="Z91" s="98" t="n"/>
      <c r="AL91" s="29">
        <f>IF(B91="","",IFERROR(INDEX(Schedule!$N$7:$N$18,MATCH(B91,Schedule!$A$7:$A$18,0)),"not in schedule"))</f>
        <v/>
      </c>
      <c r="AM91" s="108">
        <f>IF(B91="","",N(R91)-N(X91))</f>
        <v/>
      </c>
      <c r="AN91" s="144">
        <f>IF(B91="","",IF(Z91&lt;&gt;"",Z91,IF(N(G91)&gt;0,N(N91)/G91,"")))</f>
        <v/>
      </c>
      <c r="AO91" s="107">
        <f>IF(OR(B91="",C91=""),"",WORKDAY(C91,Inputs!$C$132,Lists!$N$4:$N$30))</f>
        <v/>
      </c>
      <c r="AP91" s="29">
        <f>IF(B91="","",IF(U91="","missing",IF(U91&gt;AO91,"Y","N")))</f>
        <v/>
      </c>
      <c r="AQ91" s="29">
        <f>IF(OR(W91="Y",W91="N"),IF(F91="",1,IF(COUNTIFS(F$5:F91,F91,W$5:W91,"Y")+COUNTIFS(F$5:F91,F91,W$5:W91,"N")=1,1,0)),0)</f>
        <v/>
      </c>
      <c r="AR91" s="29">
        <f>IF(W91="Y",IF(F91="",1,IF(COUNTIFS(F$5:F91,F91,W$5:W91,"Y")=1,1,0)),0)</f>
        <v/>
      </c>
    </row>
    <row r="92">
      <c r="A92" s="98" t="n"/>
      <c r="B92" s="98" t="n"/>
      <c r="C92" s="147" t="n"/>
      <c r="D92" s="98" t="n"/>
      <c r="E92" s="98" t="n"/>
      <c r="F92" s="98" t="n"/>
      <c r="G92" s="98" t="n"/>
      <c r="H92" s="98" t="n"/>
      <c r="I92" s="98" t="n"/>
      <c r="J92" s="98" t="n"/>
      <c r="K92" s="98" t="n"/>
      <c r="L92" s="98" t="n"/>
      <c r="M92" s="98" t="n"/>
      <c r="N92" s="98" t="n"/>
      <c r="O92" s="98" t="n"/>
      <c r="P92" s="98" t="n"/>
      <c r="Q92" s="98" t="n"/>
      <c r="R92" s="149" t="n"/>
      <c r="S92" s="147" t="n"/>
      <c r="T92" s="149" t="n"/>
      <c r="U92" s="147" t="n"/>
      <c r="V92" s="98" t="n"/>
      <c r="W92" s="98" t="n"/>
      <c r="X92" s="149" t="n"/>
      <c r="Y92" s="147" t="n"/>
      <c r="Z92" s="98" t="n"/>
      <c r="AL92" s="29">
        <f>IF(B92="","",IFERROR(INDEX(Schedule!$N$7:$N$18,MATCH(B92,Schedule!$A$7:$A$18,0)),"not in schedule"))</f>
        <v/>
      </c>
      <c r="AM92" s="108">
        <f>IF(B92="","",N(R92)-N(X92))</f>
        <v/>
      </c>
      <c r="AN92" s="144">
        <f>IF(B92="","",IF(Z92&lt;&gt;"",Z92,IF(N(G92)&gt;0,N(N92)/G92,"")))</f>
        <v/>
      </c>
      <c r="AO92" s="107">
        <f>IF(OR(B92="",C92=""),"",WORKDAY(C92,Inputs!$C$132,Lists!$N$4:$N$30))</f>
        <v/>
      </c>
      <c r="AP92" s="29">
        <f>IF(B92="","",IF(U92="","missing",IF(U92&gt;AO92,"Y","N")))</f>
        <v/>
      </c>
      <c r="AQ92" s="29">
        <f>IF(OR(W92="Y",W92="N"),IF(F92="",1,IF(COUNTIFS(F$5:F92,F92,W$5:W92,"Y")+COUNTIFS(F$5:F92,F92,W$5:W92,"N")=1,1,0)),0)</f>
        <v/>
      </c>
      <c r="AR92" s="29">
        <f>IF(W92="Y",IF(F92="",1,IF(COUNTIFS(F$5:F92,F92,W$5:W92,"Y")=1,1,0)),0)</f>
        <v/>
      </c>
    </row>
    <row r="93">
      <c r="A93" s="98" t="n"/>
      <c r="B93" s="98" t="n"/>
      <c r="C93" s="147" t="n"/>
      <c r="D93" s="98" t="n"/>
      <c r="E93" s="98" t="n"/>
      <c r="F93" s="98" t="n"/>
      <c r="G93" s="98" t="n"/>
      <c r="H93" s="98" t="n"/>
      <c r="I93" s="98" t="n"/>
      <c r="J93" s="98" t="n"/>
      <c r="K93" s="98" t="n"/>
      <c r="L93" s="98" t="n"/>
      <c r="M93" s="98" t="n"/>
      <c r="N93" s="98" t="n"/>
      <c r="O93" s="98" t="n"/>
      <c r="P93" s="98" t="n"/>
      <c r="Q93" s="98" t="n"/>
      <c r="R93" s="149" t="n"/>
      <c r="S93" s="147" t="n"/>
      <c r="T93" s="149" t="n"/>
      <c r="U93" s="147" t="n"/>
      <c r="V93" s="98" t="n"/>
      <c r="W93" s="98" t="n"/>
      <c r="X93" s="149" t="n"/>
      <c r="Y93" s="147" t="n"/>
      <c r="Z93" s="98" t="n"/>
      <c r="AL93" s="29">
        <f>IF(B93="","",IFERROR(INDEX(Schedule!$N$7:$N$18,MATCH(B93,Schedule!$A$7:$A$18,0)),"not in schedule"))</f>
        <v/>
      </c>
      <c r="AM93" s="108">
        <f>IF(B93="","",N(R93)-N(X93))</f>
        <v/>
      </c>
      <c r="AN93" s="144">
        <f>IF(B93="","",IF(Z93&lt;&gt;"",Z93,IF(N(G93)&gt;0,N(N93)/G93,"")))</f>
        <v/>
      </c>
      <c r="AO93" s="107">
        <f>IF(OR(B93="",C93=""),"",WORKDAY(C93,Inputs!$C$132,Lists!$N$4:$N$30))</f>
        <v/>
      </c>
      <c r="AP93" s="29">
        <f>IF(B93="","",IF(U93="","missing",IF(U93&gt;AO93,"Y","N")))</f>
        <v/>
      </c>
      <c r="AQ93" s="29">
        <f>IF(OR(W93="Y",W93="N"),IF(F93="",1,IF(COUNTIFS(F$5:F93,F93,W$5:W93,"Y")+COUNTIFS(F$5:F93,F93,W$5:W93,"N")=1,1,0)),0)</f>
        <v/>
      </c>
      <c r="AR93" s="29">
        <f>IF(W93="Y",IF(F93="",1,IF(COUNTIFS(F$5:F93,F93,W$5:W93,"Y")=1,1,0)),0)</f>
        <v/>
      </c>
    </row>
    <row r="94">
      <c r="A94" s="98" t="n"/>
      <c r="B94" s="98" t="n"/>
      <c r="C94" s="147" t="n"/>
      <c r="D94" s="98" t="n"/>
      <c r="E94" s="98" t="n"/>
      <c r="F94" s="98" t="n"/>
      <c r="G94" s="98" t="n"/>
      <c r="H94" s="98" t="n"/>
      <c r="I94" s="98" t="n"/>
      <c r="J94" s="98" t="n"/>
      <c r="K94" s="98" t="n"/>
      <c r="L94" s="98" t="n"/>
      <c r="M94" s="98" t="n"/>
      <c r="N94" s="98" t="n"/>
      <c r="O94" s="98" t="n"/>
      <c r="P94" s="98" t="n"/>
      <c r="Q94" s="98" t="n"/>
      <c r="R94" s="149" t="n"/>
      <c r="S94" s="147" t="n"/>
      <c r="T94" s="149" t="n"/>
      <c r="U94" s="147" t="n"/>
      <c r="V94" s="98" t="n"/>
      <c r="W94" s="98" t="n"/>
      <c r="X94" s="149" t="n"/>
      <c r="Y94" s="147" t="n"/>
      <c r="Z94" s="98" t="n"/>
      <c r="AL94" s="29">
        <f>IF(B94="","",IFERROR(INDEX(Schedule!$N$7:$N$18,MATCH(B94,Schedule!$A$7:$A$18,0)),"not in schedule"))</f>
        <v/>
      </c>
      <c r="AM94" s="108">
        <f>IF(B94="","",N(R94)-N(X94))</f>
        <v/>
      </c>
      <c r="AN94" s="144">
        <f>IF(B94="","",IF(Z94&lt;&gt;"",Z94,IF(N(G94)&gt;0,N(N94)/G94,"")))</f>
        <v/>
      </c>
      <c r="AO94" s="107">
        <f>IF(OR(B94="",C94=""),"",WORKDAY(C94,Inputs!$C$132,Lists!$N$4:$N$30))</f>
        <v/>
      </c>
      <c r="AP94" s="29">
        <f>IF(B94="","",IF(U94="","missing",IF(U94&gt;AO94,"Y","N")))</f>
        <v/>
      </c>
      <c r="AQ94" s="29">
        <f>IF(OR(W94="Y",W94="N"),IF(F94="",1,IF(COUNTIFS(F$5:F94,F94,W$5:W94,"Y")+COUNTIFS(F$5:F94,F94,W$5:W94,"N")=1,1,0)),0)</f>
        <v/>
      </c>
      <c r="AR94" s="29">
        <f>IF(W94="Y",IF(F94="",1,IF(COUNTIFS(F$5:F94,F94,W$5:W94,"Y")=1,1,0)),0)</f>
        <v/>
      </c>
    </row>
    <row r="95">
      <c r="A95" s="98" t="n"/>
      <c r="B95" s="98" t="n"/>
      <c r="C95" s="147" t="n"/>
      <c r="D95" s="98" t="n"/>
      <c r="E95" s="98" t="n"/>
      <c r="F95" s="98" t="n"/>
      <c r="G95" s="98" t="n"/>
      <c r="H95" s="98" t="n"/>
      <c r="I95" s="98" t="n"/>
      <c r="J95" s="98" t="n"/>
      <c r="K95" s="98" t="n"/>
      <c r="L95" s="98" t="n"/>
      <c r="M95" s="98" t="n"/>
      <c r="N95" s="98" t="n"/>
      <c r="O95" s="98" t="n"/>
      <c r="P95" s="98" t="n"/>
      <c r="Q95" s="98" t="n"/>
      <c r="R95" s="149" t="n"/>
      <c r="S95" s="147" t="n"/>
      <c r="T95" s="149" t="n"/>
      <c r="U95" s="147" t="n"/>
      <c r="V95" s="98" t="n"/>
      <c r="W95" s="98" t="n"/>
      <c r="X95" s="149" t="n"/>
      <c r="Y95" s="147" t="n"/>
      <c r="Z95" s="98" t="n"/>
      <c r="AL95" s="29">
        <f>IF(B95="","",IFERROR(INDEX(Schedule!$N$7:$N$18,MATCH(B95,Schedule!$A$7:$A$18,0)),"not in schedule"))</f>
        <v/>
      </c>
      <c r="AM95" s="108">
        <f>IF(B95="","",N(R95)-N(X95))</f>
        <v/>
      </c>
      <c r="AN95" s="144">
        <f>IF(B95="","",IF(Z95&lt;&gt;"",Z95,IF(N(G95)&gt;0,N(N95)/G95,"")))</f>
        <v/>
      </c>
      <c r="AO95" s="107">
        <f>IF(OR(B95="",C95=""),"",WORKDAY(C95,Inputs!$C$132,Lists!$N$4:$N$30))</f>
        <v/>
      </c>
      <c r="AP95" s="29">
        <f>IF(B95="","",IF(U95="","missing",IF(U95&gt;AO95,"Y","N")))</f>
        <v/>
      </c>
      <c r="AQ95" s="29">
        <f>IF(OR(W95="Y",W95="N"),IF(F95="",1,IF(COUNTIFS(F$5:F95,F95,W$5:W95,"Y")+COUNTIFS(F$5:F95,F95,W$5:W95,"N")=1,1,0)),0)</f>
        <v/>
      </c>
      <c r="AR95" s="29">
        <f>IF(W95="Y",IF(F95="",1,IF(COUNTIFS(F$5:F95,F95,W$5:W95,"Y")=1,1,0)),0)</f>
        <v/>
      </c>
    </row>
    <row r="96">
      <c r="A96" s="98" t="n"/>
      <c r="B96" s="98" t="n"/>
      <c r="C96" s="147" t="n"/>
      <c r="D96" s="98" t="n"/>
      <c r="E96" s="98" t="n"/>
      <c r="F96" s="98" t="n"/>
      <c r="G96" s="98" t="n"/>
      <c r="H96" s="98" t="n"/>
      <c r="I96" s="98" t="n"/>
      <c r="J96" s="98" t="n"/>
      <c r="K96" s="98" t="n"/>
      <c r="L96" s="98" t="n"/>
      <c r="M96" s="98" t="n"/>
      <c r="N96" s="98" t="n"/>
      <c r="O96" s="98" t="n"/>
      <c r="P96" s="98" t="n"/>
      <c r="Q96" s="98" t="n"/>
      <c r="R96" s="149" t="n"/>
      <c r="S96" s="147" t="n"/>
      <c r="T96" s="149" t="n"/>
      <c r="U96" s="147" t="n"/>
      <c r="V96" s="98" t="n"/>
      <c r="W96" s="98" t="n"/>
      <c r="X96" s="149" t="n"/>
      <c r="Y96" s="147" t="n"/>
      <c r="Z96" s="98" t="n"/>
      <c r="AL96" s="29">
        <f>IF(B96="","",IFERROR(INDEX(Schedule!$N$7:$N$18,MATCH(B96,Schedule!$A$7:$A$18,0)),"not in schedule"))</f>
        <v/>
      </c>
      <c r="AM96" s="108">
        <f>IF(B96="","",N(R96)-N(X96))</f>
        <v/>
      </c>
      <c r="AN96" s="144">
        <f>IF(B96="","",IF(Z96&lt;&gt;"",Z96,IF(N(G96)&gt;0,N(N96)/G96,"")))</f>
        <v/>
      </c>
      <c r="AO96" s="107">
        <f>IF(OR(B96="",C96=""),"",WORKDAY(C96,Inputs!$C$132,Lists!$N$4:$N$30))</f>
        <v/>
      </c>
      <c r="AP96" s="29">
        <f>IF(B96="","",IF(U96="","missing",IF(U96&gt;AO96,"Y","N")))</f>
        <v/>
      </c>
      <c r="AQ96" s="29">
        <f>IF(OR(W96="Y",W96="N"),IF(F96="",1,IF(COUNTIFS(F$5:F96,F96,W$5:W96,"Y")+COUNTIFS(F$5:F96,F96,W$5:W96,"N")=1,1,0)),0)</f>
        <v/>
      </c>
      <c r="AR96" s="29">
        <f>IF(W96="Y",IF(F96="",1,IF(COUNTIFS(F$5:F96,F96,W$5:W96,"Y")=1,1,0)),0)</f>
        <v/>
      </c>
    </row>
    <row r="97">
      <c r="A97" s="98" t="n"/>
      <c r="B97" s="98" t="n"/>
      <c r="C97" s="147" t="n"/>
      <c r="D97" s="98" t="n"/>
      <c r="E97" s="98" t="n"/>
      <c r="F97" s="98" t="n"/>
      <c r="G97" s="98" t="n"/>
      <c r="H97" s="98" t="n"/>
      <c r="I97" s="98" t="n"/>
      <c r="J97" s="98" t="n"/>
      <c r="K97" s="98" t="n"/>
      <c r="L97" s="98" t="n"/>
      <c r="M97" s="98" t="n"/>
      <c r="N97" s="98" t="n"/>
      <c r="O97" s="98" t="n"/>
      <c r="P97" s="98" t="n"/>
      <c r="Q97" s="98" t="n"/>
      <c r="R97" s="149" t="n"/>
      <c r="S97" s="147" t="n"/>
      <c r="T97" s="149" t="n"/>
      <c r="U97" s="147" t="n"/>
      <c r="V97" s="98" t="n"/>
      <c r="W97" s="98" t="n"/>
      <c r="X97" s="149" t="n"/>
      <c r="Y97" s="147" t="n"/>
      <c r="Z97" s="98" t="n"/>
      <c r="AL97" s="29">
        <f>IF(B97="","",IFERROR(INDEX(Schedule!$N$7:$N$18,MATCH(B97,Schedule!$A$7:$A$18,0)),"not in schedule"))</f>
        <v/>
      </c>
      <c r="AM97" s="108">
        <f>IF(B97="","",N(R97)-N(X97))</f>
        <v/>
      </c>
      <c r="AN97" s="144">
        <f>IF(B97="","",IF(Z97&lt;&gt;"",Z97,IF(N(G97)&gt;0,N(N97)/G97,"")))</f>
        <v/>
      </c>
      <c r="AO97" s="107">
        <f>IF(OR(B97="",C97=""),"",WORKDAY(C97,Inputs!$C$132,Lists!$N$4:$N$30))</f>
        <v/>
      </c>
      <c r="AP97" s="29">
        <f>IF(B97="","",IF(U97="","missing",IF(U97&gt;AO97,"Y","N")))</f>
        <v/>
      </c>
      <c r="AQ97" s="29">
        <f>IF(OR(W97="Y",W97="N"),IF(F97="",1,IF(COUNTIFS(F$5:F97,F97,W$5:W97,"Y")+COUNTIFS(F$5:F97,F97,W$5:W97,"N")=1,1,0)),0)</f>
        <v/>
      </c>
      <c r="AR97" s="29">
        <f>IF(W97="Y",IF(F97="",1,IF(COUNTIFS(F$5:F97,F97,W$5:W97,"Y")=1,1,0)),0)</f>
        <v/>
      </c>
    </row>
    <row r="98">
      <c r="A98" s="98" t="n"/>
      <c r="B98" s="98" t="n"/>
      <c r="C98" s="147" t="n"/>
      <c r="D98" s="98" t="n"/>
      <c r="E98" s="98" t="n"/>
      <c r="F98" s="98" t="n"/>
      <c r="G98" s="98" t="n"/>
      <c r="H98" s="98" t="n"/>
      <c r="I98" s="98" t="n"/>
      <c r="J98" s="98" t="n"/>
      <c r="K98" s="98" t="n"/>
      <c r="L98" s="98" t="n"/>
      <c r="M98" s="98" t="n"/>
      <c r="N98" s="98" t="n"/>
      <c r="O98" s="98" t="n"/>
      <c r="P98" s="98" t="n"/>
      <c r="Q98" s="98" t="n"/>
      <c r="R98" s="149" t="n"/>
      <c r="S98" s="147" t="n"/>
      <c r="T98" s="149" t="n"/>
      <c r="U98" s="147" t="n"/>
      <c r="V98" s="98" t="n"/>
      <c r="W98" s="98" t="n"/>
      <c r="X98" s="149" t="n"/>
      <c r="Y98" s="147" t="n"/>
      <c r="Z98" s="98" t="n"/>
      <c r="AL98" s="29">
        <f>IF(B98="","",IFERROR(INDEX(Schedule!$N$7:$N$18,MATCH(B98,Schedule!$A$7:$A$18,0)),"not in schedule"))</f>
        <v/>
      </c>
      <c r="AM98" s="108">
        <f>IF(B98="","",N(R98)-N(X98))</f>
        <v/>
      </c>
      <c r="AN98" s="144">
        <f>IF(B98="","",IF(Z98&lt;&gt;"",Z98,IF(N(G98)&gt;0,N(N98)/G98,"")))</f>
        <v/>
      </c>
      <c r="AO98" s="107">
        <f>IF(OR(B98="",C98=""),"",WORKDAY(C98,Inputs!$C$132,Lists!$N$4:$N$30))</f>
        <v/>
      </c>
      <c r="AP98" s="29">
        <f>IF(B98="","",IF(U98="","missing",IF(U98&gt;AO98,"Y","N")))</f>
        <v/>
      </c>
      <c r="AQ98" s="29">
        <f>IF(OR(W98="Y",W98="N"),IF(F98="",1,IF(COUNTIFS(F$5:F98,F98,W$5:W98,"Y")+COUNTIFS(F$5:F98,F98,W$5:W98,"N")=1,1,0)),0)</f>
        <v/>
      </c>
      <c r="AR98" s="29">
        <f>IF(W98="Y",IF(F98="",1,IF(COUNTIFS(F$5:F98,F98,W$5:W98,"Y")=1,1,0)),0)</f>
        <v/>
      </c>
    </row>
    <row r="99">
      <c r="A99" s="98" t="n"/>
      <c r="B99" s="98" t="n"/>
      <c r="C99" s="147" t="n"/>
      <c r="D99" s="98" t="n"/>
      <c r="E99" s="98" t="n"/>
      <c r="F99" s="98" t="n"/>
      <c r="G99" s="98" t="n"/>
      <c r="H99" s="98" t="n"/>
      <c r="I99" s="98" t="n"/>
      <c r="J99" s="98" t="n"/>
      <c r="K99" s="98" t="n"/>
      <c r="L99" s="98" t="n"/>
      <c r="M99" s="98" t="n"/>
      <c r="N99" s="98" t="n"/>
      <c r="O99" s="98" t="n"/>
      <c r="P99" s="98" t="n"/>
      <c r="Q99" s="98" t="n"/>
      <c r="R99" s="149" t="n"/>
      <c r="S99" s="147" t="n"/>
      <c r="T99" s="149" t="n"/>
      <c r="U99" s="147" t="n"/>
      <c r="V99" s="98" t="n"/>
      <c r="W99" s="98" t="n"/>
      <c r="X99" s="149" t="n"/>
      <c r="Y99" s="147" t="n"/>
      <c r="Z99" s="98" t="n"/>
      <c r="AL99" s="29">
        <f>IF(B99="","",IFERROR(INDEX(Schedule!$N$7:$N$18,MATCH(B99,Schedule!$A$7:$A$18,0)),"not in schedule"))</f>
        <v/>
      </c>
      <c r="AM99" s="108">
        <f>IF(B99="","",N(R99)-N(X99))</f>
        <v/>
      </c>
      <c r="AN99" s="144">
        <f>IF(B99="","",IF(Z99&lt;&gt;"",Z99,IF(N(G99)&gt;0,N(N99)/G99,"")))</f>
        <v/>
      </c>
      <c r="AO99" s="107">
        <f>IF(OR(B99="",C99=""),"",WORKDAY(C99,Inputs!$C$132,Lists!$N$4:$N$30))</f>
        <v/>
      </c>
      <c r="AP99" s="29">
        <f>IF(B99="","",IF(U99="","missing",IF(U99&gt;AO99,"Y","N")))</f>
        <v/>
      </c>
      <c r="AQ99" s="29">
        <f>IF(OR(W99="Y",W99="N"),IF(F99="",1,IF(COUNTIFS(F$5:F99,F99,W$5:W99,"Y")+COUNTIFS(F$5:F99,F99,W$5:W99,"N")=1,1,0)),0)</f>
        <v/>
      </c>
      <c r="AR99" s="29">
        <f>IF(W99="Y",IF(F99="",1,IF(COUNTIFS(F$5:F99,F99,W$5:W99,"Y")=1,1,0)),0)</f>
        <v/>
      </c>
    </row>
    <row r="100">
      <c r="A100" s="98" t="n"/>
      <c r="B100" s="98" t="n"/>
      <c r="C100" s="147" t="n"/>
      <c r="D100" s="98" t="n"/>
      <c r="E100" s="98" t="n"/>
      <c r="F100" s="98" t="n"/>
      <c r="G100" s="98" t="n"/>
      <c r="H100" s="98" t="n"/>
      <c r="I100" s="98" t="n"/>
      <c r="J100" s="98" t="n"/>
      <c r="K100" s="98" t="n"/>
      <c r="L100" s="98" t="n"/>
      <c r="M100" s="98" t="n"/>
      <c r="N100" s="98" t="n"/>
      <c r="O100" s="98" t="n"/>
      <c r="P100" s="98" t="n"/>
      <c r="Q100" s="98" t="n"/>
      <c r="R100" s="149" t="n"/>
      <c r="S100" s="147" t="n"/>
      <c r="T100" s="149" t="n"/>
      <c r="U100" s="147" t="n"/>
      <c r="V100" s="98" t="n"/>
      <c r="W100" s="98" t="n"/>
      <c r="X100" s="149" t="n"/>
      <c r="Y100" s="147" t="n"/>
      <c r="Z100" s="98" t="n"/>
      <c r="AL100" s="29">
        <f>IF(B100="","",IFERROR(INDEX(Schedule!$N$7:$N$18,MATCH(B100,Schedule!$A$7:$A$18,0)),"not in schedule"))</f>
        <v/>
      </c>
      <c r="AM100" s="108">
        <f>IF(B100="","",N(R100)-N(X100))</f>
        <v/>
      </c>
      <c r="AN100" s="144">
        <f>IF(B100="","",IF(Z100&lt;&gt;"",Z100,IF(N(G100)&gt;0,N(N100)/G100,"")))</f>
        <v/>
      </c>
      <c r="AO100" s="107">
        <f>IF(OR(B100="",C100=""),"",WORKDAY(C100,Inputs!$C$132,Lists!$N$4:$N$30))</f>
        <v/>
      </c>
      <c r="AP100" s="29">
        <f>IF(B100="","",IF(U100="","missing",IF(U100&gt;AO100,"Y","N")))</f>
        <v/>
      </c>
      <c r="AQ100" s="29">
        <f>IF(OR(W100="Y",W100="N"),IF(F100="",1,IF(COUNTIFS(F$5:F100,F100,W$5:W100,"Y")+COUNTIFS(F$5:F100,F100,W$5:W100,"N")=1,1,0)),0)</f>
        <v/>
      </c>
      <c r="AR100" s="29">
        <f>IF(W100="Y",IF(F100="",1,IF(COUNTIFS(F$5:F100,F100,W$5:W100,"Y")=1,1,0)),0)</f>
        <v/>
      </c>
    </row>
    <row r="101">
      <c r="A101" s="98" t="n"/>
      <c r="B101" s="98" t="n"/>
      <c r="C101" s="147" t="n"/>
      <c r="D101" s="98" t="n"/>
      <c r="E101" s="98" t="n"/>
      <c r="F101" s="98" t="n"/>
      <c r="G101" s="98" t="n"/>
      <c r="H101" s="98" t="n"/>
      <c r="I101" s="98" t="n"/>
      <c r="J101" s="98" t="n"/>
      <c r="K101" s="98" t="n"/>
      <c r="L101" s="98" t="n"/>
      <c r="M101" s="98" t="n"/>
      <c r="N101" s="98" t="n"/>
      <c r="O101" s="98" t="n"/>
      <c r="P101" s="98" t="n"/>
      <c r="Q101" s="98" t="n"/>
      <c r="R101" s="149" t="n"/>
      <c r="S101" s="147" t="n"/>
      <c r="T101" s="149" t="n"/>
      <c r="U101" s="147" t="n"/>
      <c r="V101" s="98" t="n"/>
      <c r="W101" s="98" t="n"/>
      <c r="X101" s="149" t="n"/>
      <c r="Y101" s="147" t="n"/>
      <c r="Z101" s="98" t="n"/>
      <c r="AL101" s="29">
        <f>IF(B101="","",IFERROR(INDEX(Schedule!$N$7:$N$18,MATCH(B101,Schedule!$A$7:$A$18,0)),"not in schedule"))</f>
        <v/>
      </c>
      <c r="AM101" s="108">
        <f>IF(B101="","",N(R101)-N(X101))</f>
        <v/>
      </c>
      <c r="AN101" s="144">
        <f>IF(B101="","",IF(Z101&lt;&gt;"",Z101,IF(N(G101)&gt;0,N(N101)/G101,"")))</f>
        <v/>
      </c>
      <c r="AO101" s="107">
        <f>IF(OR(B101="",C101=""),"",WORKDAY(C101,Inputs!$C$132,Lists!$N$4:$N$30))</f>
        <v/>
      </c>
      <c r="AP101" s="29">
        <f>IF(B101="","",IF(U101="","missing",IF(U101&gt;AO101,"Y","N")))</f>
        <v/>
      </c>
      <c r="AQ101" s="29">
        <f>IF(OR(W101="Y",W101="N"),IF(F101="",1,IF(COUNTIFS(F$5:F101,F101,W$5:W101,"Y")+COUNTIFS(F$5:F101,F101,W$5:W101,"N")=1,1,0)),0)</f>
        <v/>
      </c>
      <c r="AR101" s="29">
        <f>IF(W101="Y",IF(F101="",1,IF(COUNTIFS(F$5:F101,F101,W$5:W101,"Y")=1,1,0)),0)</f>
        <v/>
      </c>
    </row>
    <row r="102">
      <c r="A102" s="98" t="n"/>
      <c r="B102" s="98" t="n"/>
      <c r="C102" s="147" t="n"/>
      <c r="D102" s="98" t="n"/>
      <c r="E102" s="98" t="n"/>
      <c r="F102" s="98" t="n"/>
      <c r="G102" s="98" t="n"/>
      <c r="H102" s="98" t="n"/>
      <c r="I102" s="98" t="n"/>
      <c r="J102" s="98" t="n"/>
      <c r="K102" s="98" t="n"/>
      <c r="L102" s="98" t="n"/>
      <c r="M102" s="98" t="n"/>
      <c r="N102" s="98" t="n"/>
      <c r="O102" s="98" t="n"/>
      <c r="P102" s="98" t="n"/>
      <c r="Q102" s="98" t="n"/>
      <c r="R102" s="149" t="n"/>
      <c r="S102" s="147" t="n"/>
      <c r="T102" s="149" t="n"/>
      <c r="U102" s="147" t="n"/>
      <c r="V102" s="98" t="n"/>
      <c r="W102" s="98" t="n"/>
      <c r="X102" s="149" t="n"/>
      <c r="Y102" s="147" t="n"/>
      <c r="Z102" s="98" t="n"/>
      <c r="AL102" s="29">
        <f>IF(B102="","",IFERROR(INDEX(Schedule!$N$7:$N$18,MATCH(B102,Schedule!$A$7:$A$18,0)),"not in schedule"))</f>
        <v/>
      </c>
      <c r="AM102" s="108">
        <f>IF(B102="","",N(R102)-N(X102))</f>
        <v/>
      </c>
      <c r="AN102" s="144">
        <f>IF(B102="","",IF(Z102&lt;&gt;"",Z102,IF(N(G102)&gt;0,N(N102)/G102,"")))</f>
        <v/>
      </c>
      <c r="AO102" s="107">
        <f>IF(OR(B102="",C102=""),"",WORKDAY(C102,Inputs!$C$132,Lists!$N$4:$N$30))</f>
        <v/>
      </c>
      <c r="AP102" s="29">
        <f>IF(B102="","",IF(U102="","missing",IF(U102&gt;AO102,"Y","N")))</f>
        <v/>
      </c>
      <c r="AQ102" s="29">
        <f>IF(OR(W102="Y",W102="N"),IF(F102="",1,IF(COUNTIFS(F$5:F102,F102,W$5:W102,"Y")+COUNTIFS(F$5:F102,F102,W$5:W102,"N")=1,1,0)),0)</f>
        <v/>
      </c>
      <c r="AR102" s="29">
        <f>IF(W102="Y",IF(F102="",1,IF(COUNTIFS(F$5:F102,F102,W$5:W102,"Y")=1,1,0)),0)</f>
        <v/>
      </c>
    </row>
    <row r="103">
      <c r="A103" s="98" t="n"/>
      <c r="B103" s="98" t="n"/>
      <c r="C103" s="147" t="n"/>
      <c r="D103" s="98" t="n"/>
      <c r="E103" s="98" t="n"/>
      <c r="F103" s="98" t="n"/>
      <c r="G103" s="98" t="n"/>
      <c r="H103" s="98" t="n"/>
      <c r="I103" s="98" t="n"/>
      <c r="J103" s="98" t="n"/>
      <c r="K103" s="98" t="n"/>
      <c r="L103" s="98" t="n"/>
      <c r="M103" s="98" t="n"/>
      <c r="N103" s="98" t="n"/>
      <c r="O103" s="98" t="n"/>
      <c r="P103" s="98" t="n"/>
      <c r="Q103" s="98" t="n"/>
      <c r="R103" s="149" t="n"/>
      <c r="S103" s="147" t="n"/>
      <c r="T103" s="149" t="n"/>
      <c r="U103" s="147" t="n"/>
      <c r="V103" s="98" t="n"/>
      <c r="W103" s="98" t="n"/>
      <c r="X103" s="149" t="n"/>
      <c r="Y103" s="147" t="n"/>
      <c r="Z103" s="98" t="n"/>
      <c r="AL103" s="29">
        <f>IF(B103="","",IFERROR(INDEX(Schedule!$N$7:$N$18,MATCH(B103,Schedule!$A$7:$A$18,0)),"not in schedule"))</f>
        <v/>
      </c>
      <c r="AM103" s="108">
        <f>IF(B103="","",N(R103)-N(X103))</f>
        <v/>
      </c>
      <c r="AN103" s="144">
        <f>IF(B103="","",IF(Z103&lt;&gt;"",Z103,IF(N(G103)&gt;0,N(N103)/G103,"")))</f>
        <v/>
      </c>
      <c r="AO103" s="107">
        <f>IF(OR(B103="",C103=""),"",WORKDAY(C103,Inputs!$C$132,Lists!$N$4:$N$30))</f>
        <v/>
      </c>
      <c r="AP103" s="29">
        <f>IF(B103="","",IF(U103="","missing",IF(U103&gt;AO103,"Y","N")))</f>
        <v/>
      </c>
      <c r="AQ103" s="29">
        <f>IF(OR(W103="Y",W103="N"),IF(F103="",1,IF(COUNTIFS(F$5:F103,F103,W$5:W103,"Y")+COUNTIFS(F$5:F103,F103,W$5:W103,"N")=1,1,0)),0)</f>
        <v/>
      </c>
      <c r="AR103" s="29">
        <f>IF(W103="Y",IF(F103="",1,IF(COUNTIFS(F$5:F103,F103,W$5:W103,"Y")=1,1,0)),0)</f>
        <v/>
      </c>
    </row>
    <row r="104">
      <c r="A104" s="98" t="n"/>
      <c r="B104" s="98" t="n"/>
      <c r="C104" s="147" t="n"/>
      <c r="D104" s="98" t="n"/>
      <c r="E104" s="98" t="n"/>
      <c r="F104" s="98" t="n"/>
      <c r="G104" s="98" t="n"/>
      <c r="H104" s="98" t="n"/>
      <c r="I104" s="98" t="n"/>
      <c r="J104" s="98" t="n"/>
      <c r="K104" s="98" t="n"/>
      <c r="L104" s="98" t="n"/>
      <c r="M104" s="98" t="n"/>
      <c r="N104" s="98" t="n"/>
      <c r="O104" s="98" t="n"/>
      <c r="P104" s="98" t="n"/>
      <c r="Q104" s="98" t="n"/>
      <c r="R104" s="149" t="n"/>
      <c r="S104" s="147" t="n"/>
      <c r="T104" s="149" t="n"/>
      <c r="U104" s="147" t="n"/>
      <c r="V104" s="98" t="n"/>
      <c r="W104" s="98" t="n"/>
      <c r="X104" s="149" t="n"/>
      <c r="Y104" s="147" t="n"/>
      <c r="Z104" s="98" t="n"/>
      <c r="AL104" s="29">
        <f>IF(B104="","",IFERROR(INDEX(Schedule!$N$7:$N$18,MATCH(B104,Schedule!$A$7:$A$18,0)),"not in schedule"))</f>
        <v/>
      </c>
      <c r="AM104" s="108">
        <f>IF(B104="","",N(R104)-N(X104))</f>
        <v/>
      </c>
      <c r="AN104" s="144">
        <f>IF(B104="","",IF(Z104&lt;&gt;"",Z104,IF(N(G104)&gt;0,N(N104)/G104,"")))</f>
        <v/>
      </c>
      <c r="AO104" s="107">
        <f>IF(OR(B104="",C104=""),"",WORKDAY(C104,Inputs!$C$132,Lists!$N$4:$N$30))</f>
        <v/>
      </c>
      <c r="AP104" s="29">
        <f>IF(B104="","",IF(U104="","missing",IF(U104&gt;AO104,"Y","N")))</f>
        <v/>
      </c>
      <c r="AQ104" s="29">
        <f>IF(OR(W104="Y",W104="N"),IF(F104="",1,IF(COUNTIFS(F$5:F104,F104,W$5:W104,"Y")+COUNTIFS(F$5:F104,F104,W$5:W104,"N")=1,1,0)),0)</f>
        <v/>
      </c>
      <c r="AR104" s="29">
        <f>IF(W104="Y",IF(F104="",1,IF(COUNTIFS(F$5:F104,F104,W$5:W104,"Y")=1,1,0)),0)</f>
        <v/>
      </c>
    </row>
    <row r="105">
      <c r="A105" s="98" t="n"/>
      <c r="B105" s="98" t="n"/>
      <c r="C105" s="147" t="n"/>
      <c r="D105" s="98" t="n"/>
      <c r="E105" s="98" t="n"/>
      <c r="F105" s="98" t="n"/>
      <c r="G105" s="98" t="n"/>
      <c r="H105" s="98" t="n"/>
      <c r="I105" s="98" t="n"/>
      <c r="J105" s="98" t="n"/>
      <c r="K105" s="98" t="n"/>
      <c r="L105" s="98" t="n"/>
      <c r="M105" s="98" t="n"/>
      <c r="N105" s="98" t="n"/>
      <c r="O105" s="98" t="n"/>
      <c r="P105" s="98" t="n"/>
      <c r="Q105" s="98" t="n"/>
      <c r="R105" s="149" t="n"/>
      <c r="S105" s="147" t="n"/>
      <c r="T105" s="149" t="n"/>
      <c r="U105" s="147" t="n"/>
      <c r="V105" s="98" t="n"/>
      <c r="W105" s="98" t="n"/>
      <c r="X105" s="149" t="n"/>
      <c r="Y105" s="147" t="n"/>
      <c r="Z105" s="98" t="n"/>
      <c r="AL105" s="29">
        <f>IF(B105="","",IFERROR(INDEX(Schedule!$N$7:$N$18,MATCH(B105,Schedule!$A$7:$A$18,0)),"not in schedule"))</f>
        <v/>
      </c>
      <c r="AM105" s="108">
        <f>IF(B105="","",N(R105)-N(X105))</f>
        <v/>
      </c>
      <c r="AN105" s="144">
        <f>IF(B105="","",IF(Z105&lt;&gt;"",Z105,IF(N(G105)&gt;0,N(N105)/G105,"")))</f>
        <v/>
      </c>
      <c r="AO105" s="107">
        <f>IF(OR(B105="",C105=""),"",WORKDAY(C105,Inputs!$C$132,Lists!$N$4:$N$30))</f>
        <v/>
      </c>
      <c r="AP105" s="29">
        <f>IF(B105="","",IF(U105="","missing",IF(U105&gt;AO105,"Y","N")))</f>
        <v/>
      </c>
      <c r="AQ105" s="29">
        <f>IF(OR(W105="Y",W105="N"),IF(F105="",1,IF(COUNTIFS(F$5:F105,F105,W$5:W105,"Y")+COUNTIFS(F$5:F105,F105,W$5:W105,"N")=1,1,0)),0)</f>
        <v/>
      </c>
      <c r="AR105" s="29">
        <f>IF(W105="Y",IF(F105="",1,IF(COUNTIFS(F$5:F105,F105,W$5:W105,"Y")=1,1,0)),0)</f>
        <v/>
      </c>
    </row>
    <row r="106">
      <c r="A106" s="98" t="n"/>
      <c r="B106" s="98" t="n"/>
      <c r="C106" s="147" t="n"/>
      <c r="D106" s="98" t="n"/>
      <c r="E106" s="98" t="n"/>
      <c r="F106" s="98" t="n"/>
      <c r="G106" s="98" t="n"/>
      <c r="H106" s="98" t="n"/>
      <c r="I106" s="98" t="n"/>
      <c r="J106" s="98" t="n"/>
      <c r="K106" s="98" t="n"/>
      <c r="L106" s="98" t="n"/>
      <c r="M106" s="98" t="n"/>
      <c r="N106" s="98" t="n"/>
      <c r="O106" s="98" t="n"/>
      <c r="P106" s="98" t="n"/>
      <c r="Q106" s="98" t="n"/>
      <c r="R106" s="149" t="n"/>
      <c r="S106" s="147" t="n"/>
      <c r="T106" s="149" t="n"/>
      <c r="U106" s="147" t="n"/>
      <c r="V106" s="98" t="n"/>
      <c r="W106" s="98" t="n"/>
      <c r="X106" s="149" t="n"/>
      <c r="Y106" s="147" t="n"/>
      <c r="Z106" s="98" t="n"/>
      <c r="AL106" s="29">
        <f>IF(B106="","",IFERROR(INDEX(Schedule!$N$7:$N$18,MATCH(B106,Schedule!$A$7:$A$18,0)),"not in schedule"))</f>
        <v/>
      </c>
      <c r="AM106" s="108">
        <f>IF(B106="","",N(R106)-N(X106))</f>
        <v/>
      </c>
      <c r="AN106" s="144">
        <f>IF(B106="","",IF(Z106&lt;&gt;"",Z106,IF(N(G106)&gt;0,N(N106)/G106,"")))</f>
        <v/>
      </c>
      <c r="AO106" s="107">
        <f>IF(OR(B106="",C106=""),"",WORKDAY(C106,Inputs!$C$132,Lists!$N$4:$N$30))</f>
        <v/>
      </c>
      <c r="AP106" s="29">
        <f>IF(B106="","",IF(U106="","missing",IF(U106&gt;AO106,"Y","N")))</f>
        <v/>
      </c>
      <c r="AQ106" s="29">
        <f>IF(OR(W106="Y",W106="N"),IF(F106="",1,IF(COUNTIFS(F$5:F106,F106,W$5:W106,"Y")+COUNTIFS(F$5:F106,F106,W$5:W106,"N")=1,1,0)),0)</f>
        <v/>
      </c>
      <c r="AR106" s="29">
        <f>IF(W106="Y",IF(F106="",1,IF(COUNTIFS(F$5:F106,F106,W$5:W106,"Y")=1,1,0)),0)</f>
        <v/>
      </c>
    </row>
    <row r="107">
      <c r="A107" s="98" t="n"/>
      <c r="B107" s="98" t="n"/>
      <c r="C107" s="147" t="n"/>
      <c r="D107" s="98" t="n"/>
      <c r="E107" s="98" t="n"/>
      <c r="F107" s="98" t="n"/>
      <c r="G107" s="98" t="n"/>
      <c r="H107" s="98" t="n"/>
      <c r="I107" s="98" t="n"/>
      <c r="J107" s="98" t="n"/>
      <c r="K107" s="98" t="n"/>
      <c r="L107" s="98" t="n"/>
      <c r="M107" s="98" t="n"/>
      <c r="N107" s="98" t="n"/>
      <c r="O107" s="98" t="n"/>
      <c r="P107" s="98" t="n"/>
      <c r="Q107" s="98" t="n"/>
      <c r="R107" s="149" t="n"/>
      <c r="S107" s="147" t="n"/>
      <c r="T107" s="149" t="n"/>
      <c r="U107" s="147" t="n"/>
      <c r="V107" s="98" t="n"/>
      <c r="W107" s="98" t="n"/>
      <c r="X107" s="149" t="n"/>
      <c r="Y107" s="147" t="n"/>
      <c r="Z107" s="98" t="n"/>
      <c r="AL107" s="29">
        <f>IF(B107="","",IFERROR(INDEX(Schedule!$N$7:$N$18,MATCH(B107,Schedule!$A$7:$A$18,0)),"not in schedule"))</f>
        <v/>
      </c>
      <c r="AM107" s="108">
        <f>IF(B107="","",N(R107)-N(X107))</f>
        <v/>
      </c>
      <c r="AN107" s="144">
        <f>IF(B107="","",IF(Z107&lt;&gt;"",Z107,IF(N(G107)&gt;0,N(N107)/G107,"")))</f>
        <v/>
      </c>
      <c r="AO107" s="107">
        <f>IF(OR(B107="",C107=""),"",WORKDAY(C107,Inputs!$C$132,Lists!$N$4:$N$30))</f>
        <v/>
      </c>
      <c r="AP107" s="29">
        <f>IF(B107="","",IF(U107="","missing",IF(U107&gt;AO107,"Y","N")))</f>
        <v/>
      </c>
      <c r="AQ107" s="29">
        <f>IF(OR(W107="Y",W107="N"),IF(F107="",1,IF(COUNTIFS(F$5:F107,F107,W$5:W107,"Y")+COUNTIFS(F$5:F107,F107,W$5:W107,"N")=1,1,0)),0)</f>
        <v/>
      </c>
      <c r="AR107" s="29">
        <f>IF(W107="Y",IF(F107="",1,IF(COUNTIFS(F$5:F107,F107,W$5:W107,"Y")=1,1,0)),0)</f>
        <v/>
      </c>
    </row>
    <row r="108">
      <c r="A108" s="98" t="n"/>
      <c r="B108" s="98" t="n"/>
      <c r="C108" s="147" t="n"/>
      <c r="D108" s="98" t="n"/>
      <c r="E108" s="98" t="n"/>
      <c r="F108" s="98" t="n"/>
      <c r="G108" s="98" t="n"/>
      <c r="H108" s="98" t="n"/>
      <c r="I108" s="98" t="n"/>
      <c r="J108" s="98" t="n"/>
      <c r="K108" s="98" t="n"/>
      <c r="L108" s="98" t="n"/>
      <c r="M108" s="98" t="n"/>
      <c r="N108" s="98" t="n"/>
      <c r="O108" s="98" t="n"/>
      <c r="P108" s="98" t="n"/>
      <c r="Q108" s="98" t="n"/>
      <c r="R108" s="149" t="n"/>
      <c r="S108" s="147" t="n"/>
      <c r="T108" s="149" t="n"/>
      <c r="U108" s="147" t="n"/>
      <c r="V108" s="98" t="n"/>
      <c r="W108" s="98" t="n"/>
      <c r="X108" s="149" t="n"/>
      <c r="Y108" s="147" t="n"/>
      <c r="Z108" s="98" t="n"/>
      <c r="AL108" s="29">
        <f>IF(B108="","",IFERROR(INDEX(Schedule!$N$7:$N$18,MATCH(B108,Schedule!$A$7:$A$18,0)),"not in schedule"))</f>
        <v/>
      </c>
      <c r="AM108" s="108">
        <f>IF(B108="","",N(R108)-N(X108))</f>
        <v/>
      </c>
      <c r="AN108" s="144">
        <f>IF(B108="","",IF(Z108&lt;&gt;"",Z108,IF(N(G108)&gt;0,N(N108)/G108,"")))</f>
        <v/>
      </c>
      <c r="AO108" s="107">
        <f>IF(OR(B108="",C108=""),"",WORKDAY(C108,Inputs!$C$132,Lists!$N$4:$N$30))</f>
        <v/>
      </c>
      <c r="AP108" s="29">
        <f>IF(B108="","",IF(U108="","missing",IF(U108&gt;AO108,"Y","N")))</f>
        <v/>
      </c>
      <c r="AQ108" s="29">
        <f>IF(OR(W108="Y",W108="N"),IF(F108="",1,IF(COUNTIFS(F$5:F108,F108,W$5:W108,"Y")+COUNTIFS(F$5:F108,F108,W$5:W108,"N")=1,1,0)),0)</f>
        <v/>
      </c>
      <c r="AR108" s="29">
        <f>IF(W108="Y",IF(F108="",1,IF(COUNTIFS(F$5:F108,F108,W$5:W108,"Y")=1,1,0)),0)</f>
        <v/>
      </c>
    </row>
    <row r="109">
      <c r="A109" s="98" t="n"/>
      <c r="B109" s="98" t="n"/>
      <c r="C109" s="147" t="n"/>
      <c r="D109" s="98" t="n"/>
      <c r="E109" s="98" t="n"/>
      <c r="F109" s="98" t="n"/>
      <c r="G109" s="98" t="n"/>
      <c r="H109" s="98" t="n"/>
      <c r="I109" s="98" t="n"/>
      <c r="J109" s="98" t="n"/>
      <c r="K109" s="98" t="n"/>
      <c r="L109" s="98" t="n"/>
      <c r="M109" s="98" t="n"/>
      <c r="N109" s="98" t="n"/>
      <c r="O109" s="98" t="n"/>
      <c r="P109" s="98" t="n"/>
      <c r="Q109" s="98" t="n"/>
      <c r="R109" s="149" t="n"/>
      <c r="S109" s="147" t="n"/>
      <c r="T109" s="149" t="n"/>
      <c r="U109" s="147" t="n"/>
      <c r="V109" s="98" t="n"/>
      <c r="W109" s="98" t="n"/>
      <c r="X109" s="149" t="n"/>
      <c r="Y109" s="147" t="n"/>
      <c r="Z109" s="98" t="n"/>
      <c r="AL109" s="29">
        <f>IF(B109="","",IFERROR(INDEX(Schedule!$N$7:$N$18,MATCH(B109,Schedule!$A$7:$A$18,0)),"not in schedule"))</f>
        <v/>
      </c>
      <c r="AM109" s="108">
        <f>IF(B109="","",N(R109)-N(X109))</f>
        <v/>
      </c>
      <c r="AN109" s="144">
        <f>IF(B109="","",IF(Z109&lt;&gt;"",Z109,IF(N(G109)&gt;0,N(N109)/G109,"")))</f>
        <v/>
      </c>
      <c r="AO109" s="107">
        <f>IF(OR(B109="",C109=""),"",WORKDAY(C109,Inputs!$C$132,Lists!$N$4:$N$30))</f>
        <v/>
      </c>
      <c r="AP109" s="29">
        <f>IF(B109="","",IF(U109="","missing",IF(U109&gt;AO109,"Y","N")))</f>
        <v/>
      </c>
      <c r="AQ109" s="29">
        <f>IF(OR(W109="Y",W109="N"),IF(F109="",1,IF(COUNTIFS(F$5:F109,F109,W$5:W109,"Y")+COUNTIFS(F$5:F109,F109,W$5:W109,"N")=1,1,0)),0)</f>
        <v/>
      </c>
      <c r="AR109" s="29">
        <f>IF(W109="Y",IF(F109="",1,IF(COUNTIFS(F$5:F109,F109,W$5:W109,"Y")=1,1,0)),0)</f>
        <v/>
      </c>
    </row>
    <row r="110">
      <c r="A110" s="98" t="n"/>
      <c r="B110" s="98" t="n"/>
      <c r="C110" s="147" t="n"/>
      <c r="D110" s="98" t="n"/>
      <c r="E110" s="98" t="n"/>
      <c r="F110" s="98" t="n"/>
      <c r="G110" s="98" t="n"/>
      <c r="H110" s="98" t="n"/>
      <c r="I110" s="98" t="n"/>
      <c r="J110" s="98" t="n"/>
      <c r="K110" s="98" t="n"/>
      <c r="L110" s="98" t="n"/>
      <c r="M110" s="98" t="n"/>
      <c r="N110" s="98" t="n"/>
      <c r="O110" s="98" t="n"/>
      <c r="P110" s="98" t="n"/>
      <c r="Q110" s="98" t="n"/>
      <c r="R110" s="149" t="n"/>
      <c r="S110" s="147" t="n"/>
      <c r="T110" s="149" t="n"/>
      <c r="U110" s="147" t="n"/>
      <c r="V110" s="98" t="n"/>
      <c r="W110" s="98" t="n"/>
      <c r="X110" s="149" t="n"/>
      <c r="Y110" s="147" t="n"/>
      <c r="Z110" s="98" t="n"/>
      <c r="AL110" s="29">
        <f>IF(B110="","",IFERROR(INDEX(Schedule!$N$7:$N$18,MATCH(B110,Schedule!$A$7:$A$18,0)),"not in schedule"))</f>
        <v/>
      </c>
      <c r="AM110" s="108">
        <f>IF(B110="","",N(R110)-N(X110))</f>
        <v/>
      </c>
      <c r="AN110" s="144">
        <f>IF(B110="","",IF(Z110&lt;&gt;"",Z110,IF(N(G110)&gt;0,N(N110)/G110,"")))</f>
        <v/>
      </c>
      <c r="AO110" s="107">
        <f>IF(OR(B110="",C110=""),"",WORKDAY(C110,Inputs!$C$132,Lists!$N$4:$N$30))</f>
        <v/>
      </c>
      <c r="AP110" s="29">
        <f>IF(B110="","",IF(U110="","missing",IF(U110&gt;AO110,"Y","N")))</f>
        <v/>
      </c>
      <c r="AQ110" s="29">
        <f>IF(OR(W110="Y",W110="N"),IF(F110="",1,IF(COUNTIFS(F$5:F110,F110,W$5:W110,"Y")+COUNTIFS(F$5:F110,F110,W$5:W110,"N")=1,1,0)),0)</f>
        <v/>
      </c>
      <c r="AR110" s="29">
        <f>IF(W110="Y",IF(F110="",1,IF(COUNTIFS(F$5:F110,F110,W$5:W110,"Y")=1,1,0)),0)</f>
        <v/>
      </c>
    </row>
    <row r="111">
      <c r="A111" s="98" t="n"/>
      <c r="B111" s="98" t="n"/>
      <c r="C111" s="147" t="n"/>
      <c r="D111" s="98" t="n"/>
      <c r="E111" s="98" t="n"/>
      <c r="F111" s="98" t="n"/>
      <c r="G111" s="98" t="n"/>
      <c r="H111" s="98" t="n"/>
      <c r="I111" s="98" t="n"/>
      <c r="J111" s="98" t="n"/>
      <c r="K111" s="98" t="n"/>
      <c r="L111" s="98" t="n"/>
      <c r="M111" s="98" t="n"/>
      <c r="N111" s="98" t="n"/>
      <c r="O111" s="98" t="n"/>
      <c r="P111" s="98" t="n"/>
      <c r="Q111" s="98" t="n"/>
      <c r="R111" s="149" t="n"/>
      <c r="S111" s="147" t="n"/>
      <c r="T111" s="149" t="n"/>
      <c r="U111" s="147" t="n"/>
      <c r="V111" s="98" t="n"/>
      <c r="W111" s="98" t="n"/>
      <c r="X111" s="149" t="n"/>
      <c r="Y111" s="147" t="n"/>
      <c r="Z111" s="98" t="n"/>
      <c r="AL111" s="29">
        <f>IF(B111="","",IFERROR(INDEX(Schedule!$N$7:$N$18,MATCH(B111,Schedule!$A$7:$A$18,0)),"not in schedule"))</f>
        <v/>
      </c>
      <c r="AM111" s="108">
        <f>IF(B111="","",N(R111)-N(X111))</f>
        <v/>
      </c>
      <c r="AN111" s="144">
        <f>IF(B111="","",IF(Z111&lt;&gt;"",Z111,IF(N(G111)&gt;0,N(N111)/G111,"")))</f>
        <v/>
      </c>
      <c r="AO111" s="107">
        <f>IF(OR(B111="",C111=""),"",WORKDAY(C111,Inputs!$C$132,Lists!$N$4:$N$30))</f>
        <v/>
      </c>
      <c r="AP111" s="29">
        <f>IF(B111="","",IF(U111="","missing",IF(U111&gt;AO111,"Y","N")))</f>
        <v/>
      </c>
      <c r="AQ111" s="29">
        <f>IF(OR(W111="Y",W111="N"),IF(F111="",1,IF(COUNTIFS(F$5:F111,F111,W$5:W111,"Y")+COUNTIFS(F$5:F111,F111,W$5:W111,"N")=1,1,0)),0)</f>
        <v/>
      </c>
      <c r="AR111" s="29">
        <f>IF(W111="Y",IF(F111="",1,IF(COUNTIFS(F$5:F111,F111,W$5:W111,"Y")=1,1,0)),0)</f>
        <v/>
      </c>
    </row>
    <row r="112">
      <c r="A112" s="98" t="n"/>
      <c r="B112" s="98" t="n"/>
      <c r="C112" s="147" t="n"/>
      <c r="D112" s="98" t="n"/>
      <c r="E112" s="98" t="n"/>
      <c r="F112" s="98" t="n"/>
      <c r="G112" s="98" t="n"/>
      <c r="H112" s="98" t="n"/>
      <c r="I112" s="98" t="n"/>
      <c r="J112" s="98" t="n"/>
      <c r="K112" s="98" t="n"/>
      <c r="L112" s="98" t="n"/>
      <c r="M112" s="98" t="n"/>
      <c r="N112" s="98" t="n"/>
      <c r="O112" s="98" t="n"/>
      <c r="P112" s="98" t="n"/>
      <c r="Q112" s="98" t="n"/>
      <c r="R112" s="149" t="n"/>
      <c r="S112" s="147" t="n"/>
      <c r="T112" s="149" t="n"/>
      <c r="U112" s="147" t="n"/>
      <c r="V112" s="98" t="n"/>
      <c r="W112" s="98" t="n"/>
      <c r="X112" s="149" t="n"/>
      <c r="Y112" s="147" t="n"/>
      <c r="Z112" s="98" t="n"/>
      <c r="AL112" s="29">
        <f>IF(B112="","",IFERROR(INDEX(Schedule!$N$7:$N$18,MATCH(B112,Schedule!$A$7:$A$18,0)),"not in schedule"))</f>
        <v/>
      </c>
      <c r="AM112" s="108">
        <f>IF(B112="","",N(R112)-N(X112))</f>
        <v/>
      </c>
      <c r="AN112" s="144">
        <f>IF(B112="","",IF(Z112&lt;&gt;"",Z112,IF(N(G112)&gt;0,N(N112)/G112,"")))</f>
        <v/>
      </c>
      <c r="AO112" s="107">
        <f>IF(OR(B112="",C112=""),"",WORKDAY(C112,Inputs!$C$132,Lists!$N$4:$N$30))</f>
        <v/>
      </c>
      <c r="AP112" s="29">
        <f>IF(B112="","",IF(U112="","missing",IF(U112&gt;AO112,"Y","N")))</f>
        <v/>
      </c>
      <c r="AQ112" s="29">
        <f>IF(OR(W112="Y",W112="N"),IF(F112="",1,IF(COUNTIFS(F$5:F112,F112,W$5:W112,"Y")+COUNTIFS(F$5:F112,F112,W$5:W112,"N")=1,1,0)),0)</f>
        <v/>
      </c>
      <c r="AR112" s="29">
        <f>IF(W112="Y",IF(F112="",1,IF(COUNTIFS(F$5:F112,F112,W$5:W112,"Y")=1,1,0)),0)</f>
        <v/>
      </c>
    </row>
    <row r="113">
      <c r="A113" s="98" t="n"/>
      <c r="B113" s="98" t="n"/>
      <c r="C113" s="147" t="n"/>
      <c r="D113" s="98" t="n"/>
      <c r="E113" s="98" t="n"/>
      <c r="F113" s="98" t="n"/>
      <c r="G113" s="98" t="n"/>
      <c r="H113" s="98" t="n"/>
      <c r="I113" s="98" t="n"/>
      <c r="J113" s="98" t="n"/>
      <c r="K113" s="98" t="n"/>
      <c r="L113" s="98" t="n"/>
      <c r="M113" s="98" t="n"/>
      <c r="N113" s="98" t="n"/>
      <c r="O113" s="98" t="n"/>
      <c r="P113" s="98" t="n"/>
      <c r="Q113" s="98" t="n"/>
      <c r="R113" s="149" t="n"/>
      <c r="S113" s="147" t="n"/>
      <c r="T113" s="149" t="n"/>
      <c r="U113" s="147" t="n"/>
      <c r="V113" s="98" t="n"/>
      <c r="W113" s="98" t="n"/>
      <c r="X113" s="149" t="n"/>
      <c r="Y113" s="147" t="n"/>
      <c r="Z113" s="98" t="n"/>
      <c r="AL113" s="29">
        <f>IF(B113="","",IFERROR(INDEX(Schedule!$N$7:$N$18,MATCH(B113,Schedule!$A$7:$A$18,0)),"not in schedule"))</f>
        <v/>
      </c>
      <c r="AM113" s="108">
        <f>IF(B113="","",N(R113)-N(X113))</f>
        <v/>
      </c>
      <c r="AN113" s="144">
        <f>IF(B113="","",IF(Z113&lt;&gt;"",Z113,IF(N(G113)&gt;0,N(N113)/G113,"")))</f>
        <v/>
      </c>
      <c r="AO113" s="107">
        <f>IF(OR(B113="",C113=""),"",WORKDAY(C113,Inputs!$C$132,Lists!$N$4:$N$30))</f>
        <v/>
      </c>
      <c r="AP113" s="29">
        <f>IF(B113="","",IF(U113="","missing",IF(U113&gt;AO113,"Y","N")))</f>
        <v/>
      </c>
      <c r="AQ113" s="29">
        <f>IF(OR(W113="Y",W113="N"),IF(F113="",1,IF(COUNTIFS(F$5:F113,F113,W$5:W113,"Y")+COUNTIFS(F$5:F113,F113,W$5:W113,"N")=1,1,0)),0)</f>
        <v/>
      </c>
      <c r="AR113" s="29">
        <f>IF(W113="Y",IF(F113="",1,IF(COUNTIFS(F$5:F113,F113,W$5:W113,"Y")=1,1,0)),0)</f>
        <v/>
      </c>
    </row>
    <row r="114">
      <c r="A114" s="98" t="n"/>
      <c r="B114" s="98" t="n"/>
      <c r="C114" s="147" t="n"/>
      <c r="D114" s="98" t="n"/>
      <c r="E114" s="98" t="n"/>
      <c r="F114" s="98" t="n"/>
      <c r="G114" s="98" t="n"/>
      <c r="H114" s="98" t="n"/>
      <c r="I114" s="98" t="n"/>
      <c r="J114" s="98" t="n"/>
      <c r="K114" s="98" t="n"/>
      <c r="L114" s="98" t="n"/>
      <c r="M114" s="98" t="n"/>
      <c r="N114" s="98" t="n"/>
      <c r="O114" s="98" t="n"/>
      <c r="P114" s="98" t="n"/>
      <c r="Q114" s="98" t="n"/>
      <c r="R114" s="149" t="n"/>
      <c r="S114" s="147" t="n"/>
      <c r="T114" s="149" t="n"/>
      <c r="U114" s="147" t="n"/>
      <c r="V114" s="98" t="n"/>
      <c r="W114" s="98" t="n"/>
      <c r="X114" s="149" t="n"/>
      <c r="Y114" s="147" t="n"/>
      <c r="Z114" s="98" t="n"/>
      <c r="AL114" s="29">
        <f>IF(B114="","",IFERROR(INDEX(Schedule!$N$7:$N$18,MATCH(B114,Schedule!$A$7:$A$18,0)),"not in schedule"))</f>
        <v/>
      </c>
      <c r="AM114" s="108">
        <f>IF(B114="","",N(R114)-N(X114))</f>
        <v/>
      </c>
      <c r="AN114" s="144">
        <f>IF(B114="","",IF(Z114&lt;&gt;"",Z114,IF(N(G114)&gt;0,N(N114)/G114,"")))</f>
        <v/>
      </c>
      <c r="AO114" s="107">
        <f>IF(OR(B114="",C114=""),"",WORKDAY(C114,Inputs!$C$132,Lists!$N$4:$N$30))</f>
        <v/>
      </c>
      <c r="AP114" s="29">
        <f>IF(B114="","",IF(U114="","missing",IF(U114&gt;AO114,"Y","N")))</f>
        <v/>
      </c>
      <c r="AQ114" s="29">
        <f>IF(OR(W114="Y",W114="N"),IF(F114="",1,IF(COUNTIFS(F$5:F114,F114,W$5:W114,"Y")+COUNTIFS(F$5:F114,F114,W$5:W114,"N")=1,1,0)),0)</f>
        <v/>
      </c>
      <c r="AR114" s="29">
        <f>IF(W114="Y",IF(F114="",1,IF(COUNTIFS(F$5:F114,F114,W$5:W114,"Y")=1,1,0)),0)</f>
        <v/>
      </c>
    </row>
    <row r="115">
      <c r="A115" s="98" t="n"/>
      <c r="B115" s="98" t="n"/>
      <c r="C115" s="147" t="n"/>
      <c r="D115" s="98" t="n"/>
      <c r="E115" s="98" t="n"/>
      <c r="F115" s="98" t="n"/>
      <c r="G115" s="98" t="n"/>
      <c r="H115" s="98" t="n"/>
      <c r="I115" s="98" t="n"/>
      <c r="J115" s="98" t="n"/>
      <c r="K115" s="98" t="n"/>
      <c r="L115" s="98" t="n"/>
      <c r="M115" s="98" t="n"/>
      <c r="N115" s="98" t="n"/>
      <c r="O115" s="98" t="n"/>
      <c r="P115" s="98" t="n"/>
      <c r="Q115" s="98" t="n"/>
      <c r="R115" s="149" t="n"/>
      <c r="S115" s="147" t="n"/>
      <c r="T115" s="149" t="n"/>
      <c r="U115" s="147" t="n"/>
      <c r="V115" s="98" t="n"/>
      <c r="W115" s="98" t="n"/>
      <c r="X115" s="149" t="n"/>
      <c r="Y115" s="147" t="n"/>
      <c r="Z115" s="98" t="n"/>
      <c r="AL115" s="29">
        <f>IF(B115="","",IFERROR(INDEX(Schedule!$N$7:$N$18,MATCH(B115,Schedule!$A$7:$A$18,0)),"not in schedule"))</f>
        <v/>
      </c>
      <c r="AM115" s="108">
        <f>IF(B115="","",N(R115)-N(X115))</f>
        <v/>
      </c>
      <c r="AN115" s="144">
        <f>IF(B115="","",IF(Z115&lt;&gt;"",Z115,IF(N(G115)&gt;0,N(N115)/G115,"")))</f>
        <v/>
      </c>
      <c r="AO115" s="107">
        <f>IF(OR(B115="",C115=""),"",WORKDAY(C115,Inputs!$C$132,Lists!$N$4:$N$30))</f>
        <v/>
      </c>
      <c r="AP115" s="29">
        <f>IF(B115="","",IF(U115="","missing",IF(U115&gt;AO115,"Y","N")))</f>
        <v/>
      </c>
      <c r="AQ115" s="29">
        <f>IF(OR(W115="Y",W115="N"),IF(F115="",1,IF(COUNTIFS(F$5:F115,F115,W$5:W115,"Y")+COUNTIFS(F$5:F115,F115,W$5:W115,"N")=1,1,0)),0)</f>
        <v/>
      </c>
      <c r="AR115" s="29">
        <f>IF(W115="Y",IF(F115="",1,IF(COUNTIFS(F$5:F115,F115,W$5:W115,"Y")=1,1,0)),0)</f>
        <v/>
      </c>
    </row>
    <row r="116">
      <c r="A116" s="98" t="n"/>
      <c r="B116" s="98" t="n"/>
      <c r="C116" s="147" t="n"/>
      <c r="D116" s="98" t="n"/>
      <c r="E116" s="98" t="n"/>
      <c r="F116" s="98" t="n"/>
      <c r="G116" s="98" t="n"/>
      <c r="H116" s="98" t="n"/>
      <c r="I116" s="98" t="n"/>
      <c r="J116" s="98" t="n"/>
      <c r="K116" s="98" t="n"/>
      <c r="L116" s="98" t="n"/>
      <c r="M116" s="98" t="n"/>
      <c r="N116" s="98" t="n"/>
      <c r="O116" s="98" t="n"/>
      <c r="P116" s="98" t="n"/>
      <c r="Q116" s="98" t="n"/>
      <c r="R116" s="149" t="n"/>
      <c r="S116" s="147" t="n"/>
      <c r="T116" s="149" t="n"/>
      <c r="U116" s="147" t="n"/>
      <c r="V116" s="98" t="n"/>
      <c r="W116" s="98" t="n"/>
      <c r="X116" s="149" t="n"/>
      <c r="Y116" s="147" t="n"/>
      <c r="Z116" s="98" t="n"/>
      <c r="AL116" s="29">
        <f>IF(B116="","",IFERROR(INDEX(Schedule!$N$7:$N$18,MATCH(B116,Schedule!$A$7:$A$18,0)),"not in schedule"))</f>
        <v/>
      </c>
      <c r="AM116" s="108">
        <f>IF(B116="","",N(R116)-N(X116))</f>
        <v/>
      </c>
      <c r="AN116" s="144">
        <f>IF(B116="","",IF(Z116&lt;&gt;"",Z116,IF(N(G116)&gt;0,N(N116)/G116,"")))</f>
        <v/>
      </c>
      <c r="AO116" s="107">
        <f>IF(OR(B116="",C116=""),"",WORKDAY(C116,Inputs!$C$132,Lists!$N$4:$N$30))</f>
        <v/>
      </c>
      <c r="AP116" s="29">
        <f>IF(B116="","",IF(U116="","missing",IF(U116&gt;AO116,"Y","N")))</f>
        <v/>
      </c>
      <c r="AQ116" s="29">
        <f>IF(OR(W116="Y",W116="N"),IF(F116="",1,IF(COUNTIFS(F$5:F116,F116,W$5:W116,"Y")+COUNTIFS(F$5:F116,F116,W$5:W116,"N")=1,1,0)),0)</f>
        <v/>
      </c>
      <c r="AR116" s="29">
        <f>IF(W116="Y",IF(F116="",1,IF(COUNTIFS(F$5:F116,F116,W$5:W116,"Y")=1,1,0)),0)</f>
        <v/>
      </c>
    </row>
    <row r="117">
      <c r="A117" s="98" t="n"/>
      <c r="B117" s="98" t="n"/>
      <c r="C117" s="147" t="n"/>
      <c r="D117" s="98" t="n"/>
      <c r="E117" s="98" t="n"/>
      <c r="F117" s="98" t="n"/>
      <c r="G117" s="98" t="n"/>
      <c r="H117" s="98" t="n"/>
      <c r="I117" s="98" t="n"/>
      <c r="J117" s="98" t="n"/>
      <c r="K117" s="98" t="n"/>
      <c r="L117" s="98" t="n"/>
      <c r="M117" s="98" t="n"/>
      <c r="N117" s="98" t="n"/>
      <c r="O117" s="98" t="n"/>
      <c r="P117" s="98" t="n"/>
      <c r="Q117" s="98" t="n"/>
      <c r="R117" s="149" t="n"/>
      <c r="S117" s="147" t="n"/>
      <c r="T117" s="149" t="n"/>
      <c r="U117" s="147" t="n"/>
      <c r="V117" s="98" t="n"/>
      <c r="W117" s="98" t="n"/>
      <c r="X117" s="149" t="n"/>
      <c r="Y117" s="147" t="n"/>
      <c r="Z117" s="98" t="n"/>
      <c r="AL117" s="29">
        <f>IF(B117="","",IFERROR(INDEX(Schedule!$N$7:$N$18,MATCH(B117,Schedule!$A$7:$A$18,0)),"not in schedule"))</f>
        <v/>
      </c>
      <c r="AM117" s="108">
        <f>IF(B117="","",N(R117)-N(X117))</f>
        <v/>
      </c>
      <c r="AN117" s="144">
        <f>IF(B117="","",IF(Z117&lt;&gt;"",Z117,IF(N(G117)&gt;0,N(N117)/G117,"")))</f>
        <v/>
      </c>
      <c r="AO117" s="107">
        <f>IF(OR(B117="",C117=""),"",WORKDAY(C117,Inputs!$C$132,Lists!$N$4:$N$30))</f>
        <v/>
      </c>
      <c r="AP117" s="29">
        <f>IF(B117="","",IF(U117="","missing",IF(U117&gt;AO117,"Y","N")))</f>
        <v/>
      </c>
      <c r="AQ117" s="29">
        <f>IF(OR(W117="Y",W117="N"),IF(F117="",1,IF(COUNTIFS(F$5:F117,F117,W$5:W117,"Y")+COUNTIFS(F$5:F117,F117,W$5:W117,"N")=1,1,0)),0)</f>
        <v/>
      </c>
      <c r="AR117" s="29">
        <f>IF(W117="Y",IF(F117="",1,IF(COUNTIFS(F$5:F117,F117,W$5:W117,"Y")=1,1,0)),0)</f>
        <v/>
      </c>
    </row>
    <row r="118">
      <c r="A118" s="98" t="n"/>
      <c r="B118" s="98" t="n"/>
      <c r="C118" s="147" t="n"/>
      <c r="D118" s="98" t="n"/>
      <c r="E118" s="98" t="n"/>
      <c r="F118" s="98" t="n"/>
      <c r="G118" s="98" t="n"/>
      <c r="H118" s="98" t="n"/>
      <c r="I118" s="98" t="n"/>
      <c r="J118" s="98" t="n"/>
      <c r="K118" s="98" t="n"/>
      <c r="L118" s="98" t="n"/>
      <c r="M118" s="98" t="n"/>
      <c r="N118" s="98" t="n"/>
      <c r="O118" s="98" t="n"/>
      <c r="P118" s="98" t="n"/>
      <c r="Q118" s="98" t="n"/>
      <c r="R118" s="149" t="n"/>
      <c r="S118" s="147" t="n"/>
      <c r="T118" s="149" t="n"/>
      <c r="U118" s="147" t="n"/>
      <c r="V118" s="98" t="n"/>
      <c r="W118" s="98" t="n"/>
      <c r="X118" s="149" t="n"/>
      <c r="Y118" s="147" t="n"/>
      <c r="Z118" s="98" t="n"/>
      <c r="AL118" s="29">
        <f>IF(B118="","",IFERROR(INDEX(Schedule!$N$7:$N$18,MATCH(B118,Schedule!$A$7:$A$18,0)),"not in schedule"))</f>
        <v/>
      </c>
      <c r="AM118" s="108">
        <f>IF(B118="","",N(R118)-N(X118))</f>
        <v/>
      </c>
      <c r="AN118" s="144">
        <f>IF(B118="","",IF(Z118&lt;&gt;"",Z118,IF(N(G118)&gt;0,N(N118)/G118,"")))</f>
        <v/>
      </c>
      <c r="AO118" s="107">
        <f>IF(OR(B118="",C118=""),"",WORKDAY(C118,Inputs!$C$132,Lists!$N$4:$N$30))</f>
        <v/>
      </c>
      <c r="AP118" s="29">
        <f>IF(B118="","",IF(U118="","missing",IF(U118&gt;AO118,"Y","N")))</f>
        <v/>
      </c>
      <c r="AQ118" s="29">
        <f>IF(OR(W118="Y",W118="N"),IF(F118="",1,IF(COUNTIFS(F$5:F118,F118,W$5:W118,"Y")+COUNTIFS(F$5:F118,F118,W$5:W118,"N")=1,1,0)),0)</f>
        <v/>
      </c>
      <c r="AR118" s="29">
        <f>IF(W118="Y",IF(F118="",1,IF(COUNTIFS(F$5:F118,F118,W$5:W118,"Y")=1,1,0)),0)</f>
        <v/>
      </c>
    </row>
    <row r="119">
      <c r="A119" s="98" t="n"/>
      <c r="B119" s="98" t="n"/>
      <c r="C119" s="147" t="n"/>
      <c r="D119" s="98" t="n"/>
      <c r="E119" s="98" t="n"/>
      <c r="F119" s="98" t="n"/>
      <c r="G119" s="98" t="n"/>
      <c r="H119" s="98" t="n"/>
      <c r="I119" s="98" t="n"/>
      <c r="J119" s="98" t="n"/>
      <c r="K119" s="98" t="n"/>
      <c r="L119" s="98" t="n"/>
      <c r="M119" s="98" t="n"/>
      <c r="N119" s="98" t="n"/>
      <c r="O119" s="98" t="n"/>
      <c r="P119" s="98" t="n"/>
      <c r="Q119" s="98" t="n"/>
      <c r="R119" s="149" t="n"/>
      <c r="S119" s="147" t="n"/>
      <c r="T119" s="149" t="n"/>
      <c r="U119" s="147" t="n"/>
      <c r="V119" s="98" t="n"/>
      <c r="W119" s="98" t="n"/>
      <c r="X119" s="149" t="n"/>
      <c r="Y119" s="147" t="n"/>
      <c r="Z119" s="98" t="n"/>
      <c r="AL119" s="29">
        <f>IF(B119="","",IFERROR(INDEX(Schedule!$N$7:$N$18,MATCH(B119,Schedule!$A$7:$A$18,0)),"not in schedule"))</f>
        <v/>
      </c>
      <c r="AM119" s="108">
        <f>IF(B119="","",N(R119)-N(X119))</f>
        <v/>
      </c>
      <c r="AN119" s="144">
        <f>IF(B119="","",IF(Z119&lt;&gt;"",Z119,IF(N(G119)&gt;0,N(N119)/G119,"")))</f>
        <v/>
      </c>
      <c r="AO119" s="107">
        <f>IF(OR(B119="",C119=""),"",WORKDAY(C119,Inputs!$C$132,Lists!$N$4:$N$30))</f>
        <v/>
      </c>
      <c r="AP119" s="29">
        <f>IF(B119="","",IF(U119="","missing",IF(U119&gt;AO119,"Y","N")))</f>
        <v/>
      </c>
      <c r="AQ119" s="29">
        <f>IF(OR(W119="Y",W119="N"),IF(F119="",1,IF(COUNTIFS(F$5:F119,F119,W$5:W119,"Y")+COUNTIFS(F$5:F119,F119,W$5:W119,"N")=1,1,0)),0)</f>
        <v/>
      </c>
      <c r="AR119" s="29">
        <f>IF(W119="Y",IF(F119="",1,IF(COUNTIFS(F$5:F119,F119,W$5:W119,"Y")=1,1,0)),0)</f>
        <v/>
      </c>
    </row>
    <row r="120">
      <c r="A120" s="98" t="n"/>
      <c r="B120" s="98" t="n"/>
      <c r="C120" s="147" t="n"/>
      <c r="D120" s="98" t="n"/>
      <c r="E120" s="98" t="n"/>
      <c r="F120" s="98" t="n"/>
      <c r="G120" s="98" t="n"/>
      <c r="H120" s="98" t="n"/>
      <c r="I120" s="98" t="n"/>
      <c r="J120" s="98" t="n"/>
      <c r="K120" s="98" t="n"/>
      <c r="L120" s="98" t="n"/>
      <c r="M120" s="98" t="n"/>
      <c r="N120" s="98" t="n"/>
      <c r="O120" s="98" t="n"/>
      <c r="P120" s="98" t="n"/>
      <c r="Q120" s="98" t="n"/>
      <c r="R120" s="149" t="n"/>
      <c r="S120" s="147" t="n"/>
      <c r="T120" s="149" t="n"/>
      <c r="U120" s="147" t="n"/>
      <c r="V120" s="98" t="n"/>
      <c r="W120" s="98" t="n"/>
      <c r="X120" s="149" t="n"/>
      <c r="Y120" s="147" t="n"/>
      <c r="Z120" s="98" t="n"/>
      <c r="AL120" s="29">
        <f>IF(B120="","",IFERROR(INDEX(Schedule!$N$7:$N$18,MATCH(B120,Schedule!$A$7:$A$18,0)),"not in schedule"))</f>
        <v/>
      </c>
      <c r="AM120" s="108">
        <f>IF(B120="","",N(R120)-N(X120))</f>
        <v/>
      </c>
      <c r="AN120" s="144">
        <f>IF(B120="","",IF(Z120&lt;&gt;"",Z120,IF(N(G120)&gt;0,N(N120)/G120,"")))</f>
        <v/>
      </c>
      <c r="AO120" s="107">
        <f>IF(OR(B120="",C120=""),"",WORKDAY(C120,Inputs!$C$132,Lists!$N$4:$N$30))</f>
        <v/>
      </c>
      <c r="AP120" s="29">
        <f>IF(B120="","",IF(U120="","missing",IF(U120&gt;AO120,"Y","N")))</f>
        <v/>
      </c>
      <c r="AQ120" s="29">
        <f>IF(OR(W120="Y",W120="N"),IF(F120="",1,IF(COUNTIFS(F$5:F120,F120,W$5:W120,"Y")+COUNTIFS(F$5:F120,F120,W$5:W120,"N")=1,1,0)),0)</f>
        <v/>
      </c>
      <c r="AR120" s="29">
        <f>IF(W120="Y",IF(F120="",1,IF(COUNTIFS(F$5:F120,F120,W$5:W120,"Y")=1,1,0)),0)</f>
        <v/>
      </c>
    </row>
    <row r="121">
      <c r="A121" s="98" t="n"/>
      <c r="B121" s="98" t="n"/>
      <c r="C121" s="147" t="n"/>
      <c r="D121" s="98" t="n"/>
      <c r="E121" s="98" t="n"/>
      <c r="F121" s="98" t="n"/>
      <c r="G121" s="98" t="n"/>
      <c r="H121" s="98" t="n"/>
      <c r="I121" s="98" t="n"/>
      <c r="J121" s="98" t="n"/>
      <c r="K121" s="98" t="n"/>
      <c r="L121" s="98" t="n"/>
      <c r="M121" s="98" t="n"/>
      <c r="N121" s="98" t="n"/>
      <c r="O121" s="98" t="n"/>
      <c r="P121" s="98" t="n"/>
      <c r="Q121" s="98" t="n"/>
      <c r="R121" s="149" t="n"/>
      <c r="S121" s="147" t="n"/>
      <c r="T121" s="149" t="n"/>
      <c r="U121" s="147" t="n"/>
      <c r="V121" s="98" t="n"/>
      <c r="W121" s="98" t="n"/>
      <c r="X121" s="149" t="n"/>
      <c r="Y121" s="147" t="n"/>
      <c r="Z121" s="98" t="n"/>
      <c r="AL121" s="29">
        <f>IF(B121="","",IFERROR(INDEX(Schedule!$N$7:$N$18,MATCH(B121,Schedule!$A$7:$A$18,0)),"not in schedule"))</f>
        <v/>
      </c>
      <c r="AM121" s="108">
        <f>IF(B121="","",N(R121)-N(X121))</f>
        <v/>
      </c>
      <c r="AN121" s="144">
        <f>IF(B121="","",IF(Z121&lt;&gt;"",Z121,IF(N(G121)&gt;0,N(N121)/G121,"")))</f>
        <v/>
      </c>
      <c r="AO121" s="107">
        <f>IF(OR(B121="",C121=""),"",WORKDAY(C121,Inputs!$C$132,Lists!$N$4:$N$30))</f>
        <v/>
      </c>
      <c r="AP121" s="29">
        <f>IF(B121="","",IF(U121="","missing",IF(U121&gt;AO121,"Y","N")))</f>
        <v/>
      </c>
      <c r="AQ121" s="29">
        <f>IF(OR(W121="Y",W121="N"),IF(F121="",1,IF(COUNTIFS(F$5:F121,F121,W$5:W121,"Y")+COUNTIFS(F$5:F121,F121,W$5:W121,"N")=1,1,0)),0)</f>
        <v/>
      </c>
      <c r="AR121" s="29">
        <f>IF(W121="Y",IF(F121="",1,IF(COUNTIFS(F$5:F121,F121,W$5:W121,"Y")=1,1,0)),0)</f>
        <v/>
      </c>
    </row>
    <row r="122">
      <c r="A122" s="98" t="n"/>
      <c r="B122" s="98" t="n"/>
      <c r="C122" s="147" t="n"/>
      <c r="D122" s="98" t="n"/>
      <c r="E122" s="98" t="n"/>
      <c r="F122" s="98" t="n"/>
      <c r="G122" s="98" t="n"/>
      <c r="H122" s="98" t="n"/>
      <c r="I122" s="98" t="n"/>
      <c r="J122" s="98" t="n"/>
      <c r="K122" s="98" t="n"/>
      <c r="L122" s="98" t="n"/>
      <c r="M122" s="98" t="n"/>
      <c r="N122" s="98" t="n"/>
      <c r="O122" s="98" t="n"/>
      <c r="P122" s="98" t="n"/>
      <c r="Q122" s="98" t="n"/>
      <c r="R122" s="149" t="n"/>
      <c r="S122" s="147" t="n"/>
      <c r="T122" s="149" t="n"/>
      <c r="U122" s="147" t="n"/>
      <c r="V122" s="98" t="n"/>
      <c r="W122" s="98" t="n"/>
      <c r="X122" s="149" t="n"/>
      <c r="Y122" s="147" t="n"/>
      <c r="Z122" s="98" t="n"/>
      <c r="AL122" s="29">
        <f>IF(B122="","",IFERROR(INDEX(Schedule!$N$7:$N$18,MATCH(B122,Schedule!$A$7:$A$18,0)),"not in schedule"))</f>
        <v/>
      </c>
      <c r="AM122" s="108">
        <f>IF(B122="","",N(R122)-N(X122))</f>
        <v/>
      </c>
      <c r="AN122" s="144">
        <f>IF(B122="","",IF(Z122&lt;&gt;"",Z122,IF(N(G122)&gt;0,N(N122)/G122,"")))</f>
        <v/>
      </c>
      <c r="AO122" s="107">
        <f>IF(OR(B122="",C122=""),"",WORKDAY(C122,Inputs!$C$132,Lists!$N$4:$N$30))</f>
        <v/>
      </c>
      <c r="AP122" s="29">
        <f>IF(B122="","",IF(U122="","missing",IF(U122&gt;AO122,"Y","N")))</f>
        <v/>
      </c>
      <c r="AQ122" s="29">
        <f>IF(OR(W122="Y",W122="N"),IF(F122="",1,IF(COUNTIFS(F$5:F122,F122,W$5:W122,"Y")+COUNTIFS(F$5:F122,F122,W$5:W122,"N")=1,1,0)),0)</f>
        <v/>
      </c>
      <c r="AR122" s="29">
        <f>IF(W122="Y",IF(F122="",1,IF(COUNTIFS(F$5:F122,F122,W$5:W122,"Y")=1,1,0)),0)</f>
        <v/>
      </c>
    </row>
    <row r="123">
      <c r="A123" s="98" t="n"/>
      <c r="B123" s="98" t="n"/>
      <c r="C123" s="147" t="n"/>
      <c r="D123" s="98" t="n"/>
      <c r="E123" s="98" t="n"/>
      <c r="F123" s="98" t="n"/>
      <c r="G123" s="98" t="n"/>
      <c r="H123" s="98" t="n"/>
      <c r="I123" s="98" t="n"/>
      <c r="J123" s="98" t="n"/>
      <c r="K123" s="98" t="n"/>
      <c r="L123" s="98" t="n"/>
      <c r="M123" s="98" t="n"/>
      <c r="N123" s="98" t="n"/>
      <c r="O123" s="98" t="n"/>
      <c r="P123" s="98" t="n"/>
      <c r="Q123" s="98" t="n"/>
      <c r="R123" s="149" t="n"/>
      <c r="S123" s="147" t="n"/>
      <c r="T123" s="149" t="n"/>
      <c r="U123" s="147" t="n"/>
      <c r="V123" s="98" t="n"/>
      <c r="W123" s="98" t="n"/>
      <c r="X123" s="149" t="n"/>
      <c r="Y123" s="147" t="n"/>
      <c r="Z123" s="98" t="n"/>
      <c r="AL123" s="29">
        <f>IF(B123="","",IFERROR(INDEX(Schedule!$N$7:$N$18,MATCH(B123,Schedule!$A$7:$A$18,0)),"not in schedule"))</f>
        <v/>
      </c>
      <c r="AM123" s="108">
        <f>IF(B123="","",N(R123)-N(X123))</f>
        <v/>
      </c>
      <c r="AN123" s="144">
        <f>IF(B123="","",IF(Z123&lt;&gt;"",Z123,IF(N(G123)&gt;0,N(N123)/G123,"")))</f>
        <v/>
      </c>
      <c r="AO123" s="107">
        <f>IF(OR(B123="",C123=""),"",WORKDAY(C123,Inputs!$C$132,Lists!$N$4:$N$30))</f>
        <v/>
      </c>
      <c r="AP123" s="29">
        <f>IF(B123="","",IF(U123="","missing",IF(U123&gt;AO123,"Y","N")))</f>
        <v/>
      </c>
      <c r="AQ123" s="29">
        <f>IF(OR(W123="Y",W123="N"),IF(F123="",1,IF(COUNTIFS(F$5:F123,F123,W$5:W123,"Y")+COUNTIFS(F$5:F123,F123,W$5:W123,"N")=1,1,0)),0)</f>
        <v/>
      </c>
      <c r="AR123" s="29">
        <f>IF(W123="Y",IF(F123="",1,IF(COUNTIFS(F$5:F123,F123,W$5:W123,"Y")=1,1,0)),0)</f>
        <v/>
      </c>
    </row>
    <row r="124">
      <c r="A124" s="98" t="n"/>
      <c r="B124" s="98" t="n"/>
      <c r="C124" s="147" t="n"/>
      <c r="D124" s="98" t="n"/>
      <c r="E124" s="98" t="n"/>
      <c r="F124" s="98" t="n"/>
      <c r="G124" s="98" t="n"/>
      <c r="H124" s="98" t="n"/>
      <c r="I124" s="98" t="n"/>
      <c r="J124" s="98" t="n"/>
      <c r="K124" s="98" t="n"/>
      <c r="L124" s="98" t="n"/>
      <c r="M124" s="98" t="n"/>
      <c r="N124" s="98" t="n"/>
      <c r="O124" s="98" t="n"/>
      <c r="P124" s="98" t="n"/>
      <c r="Q124" s="98" t="n"/>
      <c r="R124" s="149" t="n"/>
      <c r="S124" s="147" t="n"/>
      <c r="T124" s="149" t="n"/>
      <c r="U124" s="147" t="n"/>
      <c r="V124" s="98" t="n"/>
      <c r="W124" s="98" t="n"/>
      <c r="X124" s="149" t="n"/>
      <c r="Y124" s="147" t="n"/>
      <c r="Z124" s="98" t="n"/>
      <c r="AL124" s="29">
        <f>IF(B124="","",IFERROR(INDEX(Schedule!$N$7:$N$18,MATCH(B124,Schedule!$A$7:$A$18,0)),"not in schedule"))</f>
        <v/>
      </c>
      <c r="AM124" s="108">
        <f>IF(B124="","",N(R124)-N(X124))</f>
        <v/>
      </c>
      <c r="AN124" s="144">
        <f>IF(B124="","",IF(Z124&lt;&gt;"",Z124,IF(N(G124)&gt;0,N(N124)/G124,"")))</f>
        <v/>
      </c>
      <c r="AO124" s="107">
        <f>IF(OR(B124="",C124=""),"",WORKDAY(C124,Inputs!$C$132,Lists!$N$4:$N$30))</f>
        <v/>
      </c>
      <c r="AP124" s="29">
        <f>IF(B124="","",IF(U124="","missing",IF(U124&gt;AO124,"Y","N")))</f>
        <v/>
      </c>
      <c r="AQ124" s="29">
        <f>IF(OR(W124="Y",W124="N"),IF(F124="",1,IF(COUNTIFS(F$5:F124,F124,W$5:W124,"Y")+COUNTIFS(F$5:F124,F124,W$5:W124,"N")=1,1,0)),0)</f>
        <v/>
      </c>
      <c r="AR124" s="29">
        <f>IF(W124="Y",IF(F124="",1,IF(COUNTIFS(F$5:F124,F124,W$5:W124,"Y")=1,1,0)),0)</f>
        <v/>
      </c>
    </row>
    <row r="125">
      <c r="A125" s="98" t="n"/>
      <c r="B125" s="98" t="n"/>
      <c r="C125" s="147" t="n"/>
      <c r="D125" s="98" t="n"/>
      <c r="E125" s="98" t="n"/>
      <c r="F125" s="98" t="n"/>
      <c r="G125" s="98" t="n"/>
      <c r="H125" s="98" t="n"/>
      <c r="I125" s="98" t="n"/>
      <c r="J125" s="98" t="n"/>
      <c r="K125" s="98" t="n"/>
      <c r="L125" s="98" t="n"/>
      <c r="M125" s="98" t="n"/>
      <c r="N125" s="98" t="n"/>
      <c r="O125" s="98" t="n"/>
      <c r="P125" s="98" t="n"/>
      <c r="Q125" s="98" t="n"/>
      <c r="R125" s="149" t="n"/>
      <c r="S125" s="147" t="n"/>
      <c r="T125" s="149" t="n"/>
      <c r="U125" s="147" t="n"/>
      <c r="V125" s="98" t="n"/>
      <c r="W125" s="98" t="n"/>
      <c r="X125" s="149" t="n"/>
      <c r="Y125" s="147" t="n"/>
      <c r="Z125" s="98" t="n"/>
      <c r="AL125" s="29">
        <f>IF(B125="","",IFERROR(INDEX(Schedule!$N$7:$N$18,MATCH(B125,Schedule!$A$7:$A$18,0)),"not in schedule"))</f>
        <v/>
      </c>
      <c r="AM125" s="108">
        <f>IF(B125="","",N(R125)-N(X125))</f>
        <v/>
      </c>
      <c r="AN125" s="144">
        <f>IF(B125="","",IF(Z125&lt;&gt;"",Z125,IF(N(G125)&gt;0,N(N125)/G125,"")))</f>
        <v/>
      </c>
      <c r="AO125" s="107">
        <f>IF(OR(B125="",C125=""),"",WORKDAY(C125,Inputs!$C$132,Lists!$N$4:$N$30))</f>
        <v/>
      </c>
      <c r="AP125" s="29">
        <f>IF(B125="","",IF(U125="","missing",IF(U125&gt;AO125,"Y","N")))</f>
        <v/>
      </c>
      <c r="AQ125" s="29">
        <f>IF(OR(W125="Y",W125="N"),IF(F125="",1,IF(COUNTIFS(F$5:F125,F125,W$5:W125,"Y")+COUNTIFS(F$5:F125,F125,W$5:W125,"N")=1,1,0)),0)</f>
        <v/>
      </c>
      <c r="AR125" s="29">
        <f>IF(W125="Y",IF(F125="",1,IF(COUNTIFS(F$5:F125,F125,W$5:W125,"Y")=1,1,0)),0)</f>
        <v/>
      </c>
    </row>
    <row r="126">
      <c r="A126" s="98" t="n"/>
      <c r="B126" s="98" t="n"/>
      <c r="C126" s="147" t="n"/>
      <c r="D126" s="98" t="n"/>
      <c r="E126" s="98" t="n"/>
      <c r="F126" s="98" t="n"/>
      <c r="G126" s="98" t="n"/>
      <c r="H126" s="98" t="n"/>
      <c r="I126" s="98" t="n"/>
      <c r="J126" s="98" t="n"/>
      <c r="K126" s="98" t="n"/>
      <c r="L126" s="98" t="n"/>
      <c r="M126" s="98" t="n"/>
      <c r="N126" s="98" t="n"/>
      <c r="O126" s="98" t="n"/>
      <c r="P126" s="98" t="n"/>
      <c r="Q126" s="98" t="n"/>
      <c r="R126" s="149" t="n"/>
      <c r="S126" s="147" t="n"/>
      <c r="T126" s="149" t="n"/>
      <c r="U126" s="147" t="n"/>
      <c r="V126" s="98" t="n"/>
      <c r="W126" s="98" t="n"/>
      <c r="X126" s="149" t="n"/>
      <c r="Y126" s="147" t="n"/>
      <c r="Z126" s="98" t="n"/>
      <c r="AL126" s="29">
        <f>IF(B126="","",IFERROR(INDEX(Schedule!$N$7:$N$18,MATCH(B126,Schedule!$A$7:$A$18,0)),"not in schedule"))</f>
        <v/>
      </c>
      <c r="AM126" s="108">
        <f>IF(B126="","",N(R126)-N(X126))</f>
        <v/>
      </c>
      <c r="AN126" s="144">
        <f>IF(B126="","",IF(Z126&lt;&gt;"",Z126,IF(N(G126)&gt;0,N(N126)/G126,"")))</f>
        <v/>
      </c>
      <c r="AO126" s="107">
        <f>IF(OR(B126="",C126=""),"",WORKDAY(C126,Inputs!$C$132,Lists!$N$4:$N$30))</f>
        <v/>
      </c>
      <c r="AP126" s="29">
        <f>IF(B126="","",IF(U126="","missing",IF(U126&gt;AO126,"Y","N")))</f>
        <v/>
      </c>
      <c r="AQ126" s="29">
        <f>IF(OR(W126="Y",W126="N"),IF(F126="",1,IF(COUNTIFS(F$5:F126,F126,W$5:W126,"Y")+COUNTIFS(F$5:F126,F126,W$5:W126,"N")=1,1,0)),0)</f>
        <v/>
      </c>
      <c r="AR126" s="29">
        <f>IF(W126="Y",IF(F126="",1,IF(COUNTIFS(F$5:F126,F126,W$5:W126,"Y")=1,1,0)),0)</f>
        <v/>
      </c>
    </row>
    <row r="127">
      <c r="A127" s="98" t="n"/>
      <c r="B127" s="98" t="n"/>
      <c r="C127" s="147" t="n"/>
      <c r="D127" s="98" t="n"/>
      <c r="E127" s="98" t="n"/>
      <c r="F127" s="98" t="n"/>
      <c r="G127" s="98" t="n"/>
      <c r="H127" s="98" t="n"/>
      <c r="I127" s="98" t="n"/>
      <c r="J127" s="98" t="n"/>
      <c r="K127" s="98" t="n"/>
      <c r="L127" s="98" t="n"/>
      <c r="M127" s="98" t="n"/>
      <c r="N127" s="98" t="n"/>
      <c r="O127" s="98" t="n"/>
      <c r="P127" s="98" t="n"/>
      <c r="Q127" s="98" t="n"/>
      <c r="R127" s="149" t="n"/>
      <c r="S127" s="147" t="n"/>
      <c r="T127" s="149" t="n"/>
      <c r="U127" s="147" t="n"/>
      <c r="V127" s="98" t="n"/>
      <c r="W127" s="98" t="n"/>
      <c r="X127" s="149" t="n"/>
      <c r="Y127" s="147" t="n"/>
      <c r="Z127" s="98" t="n"/>
      <c r="AL127" s="29">
        <f>IF(B127="","",IFERROR(INDEX(Schedule!$N$7:$N$18,MATCH(B127,Schedule!$A$7:$A$18,0)),"not in schedule"))</f>
        <v/>
      </c>
      <c r="AM127" s="108">
        <f>IF(B127="","",N(R127)-N(X127))</f>
        <v/>
      </c>
      <c r="AN127" s="144">
        <f>IF(B127="","",IF(Z127&lt;&gt;"",Z127,IF(N(G127)&gt;0,N(N127)/G127,"")))</f>
        <v/>
      </c>
      <c r="AO127" s="107">
        <f>IF(OR(B127="",C127=""),"",WORKDAY(C127,Inputs!$C$132,Lists!$N$4:$N$30))</f>
        <v/>
      </c>
      <c r="AP127" s="29">
        <f>IF(B127="","",IF(U127="","missing",IF(U127&gt;AO127,"Y","N")))</f>
        <v/>
      </c>
      <c r="AQ127" s="29">
        <f>IF(OR(W127="Y",W127="N"),IF(F127="",1,IF(COUNTIFS(F$5:F127,F127,W$5:W127,"Y")+COUNTIFS(F$5:F127,F127,W$5:W127,"N")=1,1,0)),0)</f>
        <v/>
      </c>
      <c r="AR127" s="29">
        <f>IF(W127="Y",IF(F127="",1,IF(COUNTIFS(F$5:F127,F127,W$5:W127,"Y")=1,1,0)),0)</f>
        <v/>
      </c>
    </row>
    <row r="128">
      <c r="A128" s="98" t="n"/>
      <c r="B128" s="98" t="n"/>
      <c r="C128" s="147" t="n"/>
      <c r="D128" s="98" t="n"/>
      <c r="E128" s="98" t="n"/>
      <c r="F128" s="98" t="n"/>
      <c r="G128" s="98" t="n"/>
      <c r="H128" s="98" t="n"/>
      <c r="I128" s="98" t="n"/>
      <c r="J128" s="98" t="n"/>
      <c r="K128" s="98" t="n"/>
      <c r="L128" s="98" t="n"/>
      <c r="M128" s="98" t="n"/>
      <c r="N128" s="98" t="n"/>
      <c r="O128" s="98" t="n"/>
      <c r="P128" s="98" t="n"/>
      <c r="Q128" s="98" t="n"/>
      <c r="R128" s="149" t="n"/>
      <c r="S128" s="147" t="n"/>
      <c r="T128" s="149" t="n"/>
      <c r="U128" s="147" t="n"/>
      <c r="V128" s="98" t="n"/>
      <c r="W128" s="98" t="n"/>
      <c r="X128" s="149" t="n"/>
      <c r="Y128" s="147" t="n"/>
      <c r="Z128" s="98" t="n"/>
      <c r="AL128" s="29">
        <f>IF(B128="","",IFERROR(INDEX(Schedule!$N$7:$N$18,MATCH(B128,Schedule!$A$7:$A$18,0)),"not in schedule"))</f>
        <v/>
      </c>
      <c r="AM128" s="108">
        <f>IF(B128="","",N(R128)-N(X128))</f>
        <v/>
      </c>
      <c r="AN128" s="144">
        <f>IF(B128="","",IF(Z128&lt;&gt;"",Z128,IF(N(G128)&gt;0,N(N128)/G128,"")))</f>
        <v/>
      </c>
      <c r="AO128" s="107">
        <f>IF(OR(B128="",C128=""),"",WORKDAY(C128,Inputs!$C$132,Lists!$N$4:$N$30))</f>
        <v/>
      </c>
      <c r="AP128" s="29">
        <f>IF(B128="","",IF(U128="","missing",IF(U128&gt;AO128,"Y","N")))</f>
        <v/>
      </c>
      <c r="AQ128" s="29">
        <f>IF(OR(W128="Y",W128="N"),IF(F128="",1,IF(COUNTIFS(F$5:F128,F128,W$5:W128,"Y")+COUNTIFS(F$5:F128,F128,W$5:W128,"N")=1,1,0)),0)</f>
        <v/>
      </c>
      <c r="AR128" s="29">
        <f>IF(W128="Y",IF(F128="",1,IF(COUNTIFS(F$5:F128,F128,W$5:W128,"Y")=1,1,0)),0)</f>
        <v/>
      </c>
    </row>
    <row r="129">
      <c r="A129" s="98" t="n"/>
      <c r="B129" s="98" t="n"/>
      <c r="C129" s="147" t="n"/>
      <c r="D129" s="98" t="n"/>
      <c r="E129" s="98" t="n"/>
      <c r="F129" s="98" t="n"/>
      <c r="G129" s="98" t="n"/>
      <c r="H129" s="98" t="n"/>
      <c r="I129" s="98" t="n"/>
      <c r="J129" s="98" t="n"/>
      <c r="K129" s="98" t="n"/>
      <c r="L129" s="98" t="n"/>
      <c r="M129" s="98" t="n"/>
      <c r="N129" s="98" t="n"/>
      <c r="O129" s="98" t="n"/>
      <c r="P129" s="98" t="n"/>
      <c r="Q129" s="98" t="n"/>
      <c r="R129" s="149" t="n"/>
      <c r="S129" s="147" t="n"/>
      <c r="T129" s="149" t="n"/>
      <c r="U129" s="147" t="n"/>
      <c r="V129" s="98" t="n"/>
      <c r="W129" s="98" t="n"/>
      <c r="X129" s="149" t="n"/>
      <c r="Y129" s="147" t="n"/>
      <c r="Z129" s="98" t="n"/>
      <c r="AL129" s="29">
        <f>IF(B129="","",IFERROR(INDEX(Schedule!$N$7:$N$18,MATCH(B129,Schedule!$A$7:$A$18,0)),"not in schedule"))</f>
        <v/>
      </c>
      <c r="AM129" s="108">
        <f>IF(B129="","",N(R129)-N(X129))</f>
        <v/>
      </c>
      <c r="AN129" s="144">
        <f>IF(B129="","",IF(Z129&lt;&gt;"",Z129,IF(N(G129)&gt;0,N(N129)/G129,"")))</f>
        <v/>
      </c>
      <c r="AO129" s="107">
        <f>IF(OR(B129="",C129=""),"",WORKDAY(C129,Inputs!$C$132,Lists!$N$4:$N$30))</f>
        <v/>
      </c>
      <c r="AP129" s="29">
        <f>IF(B129="","",IF(U129="","missing",IF(U129&gt;AO129,"Y","N")))</f>
        <v/>
      </c>
      <c r="AQ129" s="29">
        <f>IF(OR(W129="Y",W129="N"),IF(F129="",1,IF(COUNTIFS(F$5:F129,F129,W$5:W129,"Y")+COUNTIFS(F$5:F129,F129,W$5:W129,"N")=1,1,0)),0)</f>
        <v/>
      </c>
      <c r="AR129" s="29">
        <f>IF(W129="Y",IF(F129="",1,IF(COUNTIFS(F$5:F129,F129,W$5:W129,"Y")=1,1,0)),0)</f>
        <v/>
      </c>
    </row>
    <row r="130">
      <c r="A130" s="98" t="n"/>
      <c r="B130" s="98" t="n"/>
      <c r="C130" s="147" t="n"/>
      <c r="D130" s="98" t="n"/>
      <c r="E130" s="98" t="n"/>
      <c r="F130" s="98" t="n"/>
      <c r="G130" s="98" t="n"/>
      <c r="H130" s="98" t="n"/>
      <c r="I130" s="98" t="n"/>
      <c r="J130" s="98" t="n"/>
      <c r="K130" s="98" t="n"/>
      <c r="L130" s="98" t="n"/>
      <c r="M130" s="98" t="n"/>
      <c r="N130" s="98" t="n"/>
      <c r="O130" s="98" t="n"/>
      <c r="P130" s="98" t="n"/>
      <c r="Q130" s="98" t="n"/>
      <c r="R130" s="149" t="n"/>
      <c r="S130" s="147" t="n"/>
      <c r="T130" s="149" t="n"/>
      <c r="U130" s="147" t="n"/>
      <c r="V130" s="98" t="n"/>
      <c r="W130" s="98" t="n"/>
      <c r="X130" s="149" t="n"/>
      <c r="Y130" s="147" t="n"/>
      <c r="Z130" s="98" t="n"/>
      <c r="AL130" s="29">
        <f>IF(B130="","",IFERROR(INDEX(Schedule!$N$7:$N$18,MATCH(B130,Schedule!$A$7:$A$18,0)),"not in schedule"))</f>
        <v/>
      </c>
      <c r="AM130" s="108">
        <f>IF(B130="","",N(R130)-N(X130))</f>
        <v/>
      </c>
      <c r="AN130" s="144">
        <f>IF(B130="","",IF(Z130&lt;&gt;"",Z130,IF(N(G130)&gt;0,N(N130)/G130,"")))</f>
        <v/>
      </c>
      <c r="AO130" s="107">
        <f>IF(OR(B130="",C130=""),"",WORKDAY(C130,Inputs!$C$132,Lists!$N$4:$N$30))</f>
        <v/>
      </c>
      <c r="AP130" s="29">
        <f>IF(B130="","",IF(U130="","missing",IF(U130&gt;AO130,"Y","N")))</f>
        <v/>
      </c>
      <c r="AQ130" s="29">
        <f>IF(OR(W130="Y",W130="N"),IF(F130="",1,IF(COUNTIFS(F$5:F130,F130,W$5:W130,"Y")+COUNTIFS(F$5:F130,F130,W$5:W130,"N")=1,1,0)),0)</f>
        <v/>
      </c>
      <c r="AR130" s="29">
        <f>IF(W130="Y",IF(F130="",1,IF(COUNTIFS(F$5:F130,F130,W$5:W130,"Y")=1,1,0)),0)</f>
        <v/>
      </c>
    </row>
    <row r="131">
      <c r="A131" s="98" t="n"/>
      <c r="B131" s="98" t="n"/>
      <c r="C131" s="147" t="n"/>
      <c r="D131" s="98" t="n"/>
      <c r="E131" s="98" t="n"/>
      <c r="F131" s="98" t="n"/>
      <c r="G131" s="98" t="n"/>
      <c r="H131" s="98" t="n"/>
      <c r="I131" s="98" t="n"/>
      <c r="J131" s="98" t="n"/>
      <c r="K131" s="98" t="n"/>
      <c r="L131" s="98" t="n"/>
      <c r="M131" s="98" t="n"/>
      <c r="N131" s="98" t="n"/>
      <c r="O131" s="98" t="n"/>
      <c r="P131" s="98" t="n"/>
      <c r="Q131" s="98" t="n"/>
      <c r="R131" s="149" t="n"/>
      <c r="S131" s="147" t="n"/>
      <c r="T131" s="149" t="n"/>
      <c r="U131" s="147" t="n"/>
      <c r="V131" s="98" t="n"/>
      <c r="W131" s="98" t="n"/>
      <c r="X131" s="149" t="n"/>
      <c r="Y131" s="147" t="n"/>
      <c r="Z131" s="98" t="n"/>
      <c r="AL131" s="29">
        <f>IF(B131="","",IFERROR(INDEX(Schedule!$N$7:$N$18,MATCH(B131,Schedule!$A$7:$A$18,0)),"not in schedule"))</f>
        <v/>
      </c>
      <c r="AM131" s="108">
        <f>IF(B131="","",N(R131)-N(X131))</f>
        <v/>
      </c>
      <c r="AN131" s="144">
        <f>IF(B131="","",IF(Z131&lt;&gt;"",Z131,IF(N(G131)&gt;0,N(N131)/G131,"")))</f>
        <v/>
      </c>
      <c r="AO131" s="107">
        <f>IF(OR(B131="",C131=""),"",WORKDAY(C131,Inputs!$C$132,Lists!$N$4:$N$30))</f>
        <v/>
      </c>
      <c r="AP131" s="29">
        <f>IF(B131="","",IF(U131="","missing",IF(U131&gt;AO131,"Y","N")))</f>
        <v/>
      </c>
      <c r="AQ131" s="29">
        <f>IF(OR(W131="Y",W131="N"),IF(F131="",1,IF(COUNTIFS(F$5:F131,F131,W$5:W131,"Y")+COUNTIFS(F$5:F131,F131,W$5:W131,"N")=1,1,0)),0)</f>
        <v/>
      </c>
      <c r="AR131" s="29">
        <f>IF(W131="Y",IF(F131="",1,IF(COUNTIFS(F$5:F131,F131,W$5:W131,"Y")=1,1,0)),0)</f>
        <v/>
      </c>
    </row>
    <row r="132">
      <c r="A132" s="98" t="n"/>
      <c r="B132" s="98" t="n"/>
      <c r="C132" s="147" t="n"/>
      <c r="D132" s="98" t="n"/>
      <c r="E132" s="98" t="n"/>
      <c r="F132" s="98" t="n"/>
      <c r="G132" s="98" t="n"/>
      <c r="H132" s="98" t="n"/>
      <c r="I132" s="98" t="n"/>
      <c r="J132" s="98" t="n"/>
      <c r="K132" s="98" t="n"/>
      <c r="L132" s="98" t="n"/>
      <c r="M132" s="98" t="n"/>
      <c r="N132" s="98" t="n"/>
      <c r="O132" s="98" t="n"/>
      <c r="P132" s="98" t="n"/>
      <c r="Q132" s="98" t="n"/>
      <c r="R132" s="149" t="n"/>
      <c r="S132" s="147" t="n"/>
      <c r="T132" s="149" t="n"/>
      <c r="U132" s="147" t="n"/>
      <c r="V132" s="98" t="n"/>
      <c r="W132" s="98" t="n"/>
      <c r="X132" s="149" t="n"/>
      <c r="Y132" s="147" t="n"/>
      <c r="Z132" s="98" t="n"/>
      <c r="AL132" s="29">
        <f>IF(B132="","",IFERROR(INDEX(Schedule!$N$7:$N$18,MATCH(B132,Schedule!$A$7:$A$18,0)),"not in schedule"))</f>
        <v/>
      </c>
      <c r="AM132" s="108">
        <f>IF(B132="","",N(R132)-N(X132))</f>
        <v/>
      </c>
      <c r="AN132" s="144">
        <f>IF(B132="","",IF(Z132&lt;&gt;"",Z132,IF(N(G132)&gt;0,N(N132)/G132,"")))</f>
        <v/>
      </c>
      <c r="AO132" s="107">
        <f>IF(OR(B132="",C132=""),"",WORKDAY(C132,Inputs!$C$132,Lists!$N$4:$N$30))</f>
        <v/>
      </c>
      <c r="AP132" s="29">
        <f>IF(B132="","",IF(U132="","missing",IF(U132&gt;AO132,"Y","N")))</f>
        <v/>
      </c>
      <c r="AQ132" s="29">
        <f>IF(OR(W132="Y",W132="N"),IF(F132="",1,IF(COUNTIFS(F$5:F132,F132,W$5:W132,"Y")+COUNTIFS(F$5:F132,F132,W$5:W132,"N")=1,1,0)),0)</f>
        <v/>
      </c>
      <c r="AR132" s="29">
        <f>IF(W132="Y",IF(F132="",1,IF(COUNTIFS(F$5:F132,F132,W$5:W132,"Y")=1,1,0)),0)</f>
        <v/>
      </c>
    </row>
    <row r="133">
      <c r="A133" s="98" t="n"/>
      <c r="B133" s="98" t="n"/>
      <c r="C133" s="147" t="n"/>
      <c r="D133" s="98" t="n"/>
      <c r="E133" s="98" t="n"/>
      <c r="F133" s="98" t="n"/>
      <c r="G133" s="98" t="n"/>
      <c r="H133" s="98" t="n"/>
      <c r="I133" s="98" t="n"/>
      <c r="J133" s="98" t="n"/>
      <c r="K133" s="98" t="n"/>
      <c r="L133" s="98" t="n"/>
      <c r="M133" s="98" t="n"/>
      <c r="N133" s="98" t="n"/>
      <c r="O133" s="98" t="n"/>
      <c r="P133" s="98" t="n"/>
      <c r="Q133" s="98" t="n"/>
      <c r="R133" s="149" t="n"/>
      <c r="S133" s="147" t="n"/>
      <c r="T133" s="149" t="n"/>
      <c r="U133" s="147" t="n"/>
      <c r="V133" s="98" t="n"/>
      <c r="W133" s="98" t="n"/>
      <c r="X133" s="149" t="n"/>
      <c r="Y133" s="147" t="n"/>
      <c r="Z133" s="98" t="n"/>
      <c r="AL133" s="29">
        <f>IF(B133="","",IFERROR(INDEX(Schedule!$N$7:$N$18,MATCH(B133,Schedule!$A$7:$A$18,0)),"not in schedule"))</f>
        <v/>
      </c>
      <c r="AM133" s="108">
        <f>IF(B133="","",N(R133)-N(X133))</f>
        <v/>
      </c>
      <c r="AN133" s="144">
        <f>IF(B133="","",IF(Z133&lt;&gt;"",Z133,IF(N(G133)&gt;0,N(N133)/G133,"")))</f>
        <v/>
      </c>
      <c r="AO133" s="107">
        <f>IF(OR(B133="",C133=""),"",WORKDAY(C133,Inputs!$C$132,Lists!$N$4:$N$30))</f>
        <v/>
      </c>
      <c r="AP133" s="29">
        <f>IF(B133="","",IF(U133="","missing",IF(U133&gt;AO133,"Y","N")))</f>
        <v/>
      </c>
      <c r="AQ133" s="29">
        <f>IF(OR(W133="Y",W133="N"),IF(F133="",1,IF(COUNTIFS(F$5:F133,F133,W$5:W133,"Y")+COUNTIFS(F$5:F133,F133,W$5:W133,"N")=1,1,0)),0)</f>
        <v/>
      </c>
      <c r="AR133" s="29">
        <f>IF(W133="Y",IF(F133="",1,IF(COUNTIFS(F$5:F133,F133,W$5:W133,"Y")=1,1,0)),0)</f>
        <v/>
      </c>
    </row>
    <row r="134">
      <c r="A134" s="98" t="n"/>
      <c r="B134" s="98" t="n"/>
      <c r="C134" s="147" t="n"/>
      <c r="D134" s="98" t="n"/>
      <c r="E134" s="98" t="n"/>
      <c r="F134" s="98" t="n"/>
      <c r="G134" s="98" t="n"/>
      <c r="H134" s="98" t="n"/>
      <c r="I134" s="98" t="n"/>
      <c r="J134" s="98" t="n"/>
      <c r="K134" s="98" t="n"/>
      <c r="L134" s="98" t="n"/>
      <c r="M134" s="98" t="n"/>
      <c r="N134" s="98" t="n"/>
      <c r="O134" s="98" t="n"/>
      <c r="P134" s="98" t="n"/>
      <c r="Q134" s="98" t="n"/>
      <c r="R134" s="149" t="n"/>
      <c r="S134" s="147" t="n"/>
      <c r="T134" s="149" t="n"/>
      <c r="U134" s="147" t="n"/>
      <c r="V134" s="98" t="n"/>
      <c r="W134" s="98" t="n"/>
      <c r="X134" s="149" t="n"/>
      <c r="Y134" s="147" t="n"/>
      <c r="Z134" s="98" t="n"/>
      <c r="AL134" s="29">
        <f>IF(B134="","",IFERROR(INDEX(Schedule!$N$7:$N$18,MATCH(B134,Schedule!$A$7:$A$18,0)),"not in schedule"))</f>
        <v/>
      </c>
      <c r="AM134" s="108">
        <f>IF(B134="","",N(R134)-N(X134))</f>
        <v/>
      </c>
      <c r="AN134" s="144">
        <f>IF(B134="","",IF(Z134&lt;&gt;"",Z134,IF(N(G134)&gt;0,N(N134)/G134,"")))</f>
        <v/>
      </c>
      <c r="AO134" s="107">
        <f>IF(OR(B134="",C134=""),"",WORKDAY(C134,Inputs!$C$132,Lists!$N$4:$N$30))</f>
        <v/>
      </c>
      <c r="AP134" s="29">
        <f>IF(B134="","",IF(U134="","missing",IF(U134&gt;AO134,"Y","N")))</f>
        <v/>
      </c>
      <c r="AQ134" s="29">
        <f>IF(OR(W134="Y",W134="N"),IF(F134="",1,IF(COUNTIFS(F$5:F134,F134,W$5:W134,"Y")+COUNTIFS(F$5:F134,F134,W$5:W134,"N")=1,1,0)),0)</f>
        <v/>
      </c>
      <c r="AR134" s="29">
        <f>IF(W134="Y",IF(F134="",1,IF(COUNTIFS(F$5:F134,F134,W$5:W134,"Y")=1,1,0)),0)</f>
        <v/>
      </c>
    </row>
    <row r="135">
      <c r="A135" s="98" t="n"/>
      <c r="B135" s="98" t="n"/>
      <c r="C135" s="147" t="n"/>
      <c r="D135" s="98" t="n"/>
      <c r="E135" s="98" t="n"/>
      <c r="F135" s="98" t="n"/>
      <c r="G135" s="98" t="n"/>
      <c r="H135" s="98" t="n"/>
      <c r="I135" s="98" t="n"/>
      <c r="J135" s="98" t="n"/>
      <c r="K135" s="98" t="n"/>
      <c r="L135" s="98" t="n"/>
      <c r="M135" s="98" t="n"/>
      <c r="N135" s="98" t="n"/>
      <c r="O135" s="98" t="n"/>
      <c r="P135" s="98" t="n"/>
      <c r="Q135" s="98" t="n"/>
      <c r="R135" s="149" t="n"/>
      <c r="S135" s="147" t="n"/>
      <c r="T135" s="149" t="n"/>
      <c r="U135" s="147" t="n"/>
      <c r="V135" s="98" t="n"/>
      <c r="W135" s="98" t="n"/>
      <c r="X135" s="149" t="n"/>
      <c r="Y135" s="147" t="n"/>
      <c r="Z135" s="98" t="n"/>
      <c r="AL135" s="29">
        <f>IF(B135="","",IFERROR(INDEX(Schedule!$N$7:$N$18,MATCH(B135,Schedule!$A$7:$A$18,0)),"not in schedule"))</f>
        <v/>
      </c>
      <c r="AM135" s="108">
        <f>IF(B135="","",N(R135)-N(X135))</f>
        <v/>
      </c>
      <c r="AN135" s="144">
        <f>IF(B135="","",IF(Z135&lt;&gt;"",Z135,IF(N(G135)&gt;0,N(N135)/G135,"")))</f>
        <v/>
      </c>
      <c r="AO135" s="107">
        <f>IF(OR(B135="",C135=""),"",WORKDAY(C135,Inputs!$C$132,Lists!$N$4:$N$30))</f>
        <v/>
      </c>
      <c r="AP135" s="29">
        <f>IF(B135="","",IF(U135="","missing",IF(U135&gt;AO135,"Y","N")))</f>
        <v/>
      </c>
      <c r="AQ135" s="29">
        <f>IF(OR(W135="Y",W135="N"),IF(F135="",1,IF(COUNTIFS(F$5:F135,F135,W$5:W135,"Y")+COUNTIFS(F$5:F135,F135,W$5:W135,"N")=1,1,0)),0)</f>
        <v/>
      </c>
      <c r="AR135" s="29">
        <f>IF(W135="Y",IF(F135="",1,IF(COUNTIFS(F$5:F135,F135,W$5:W135,"Y")=1,1,0)),0)</f>
        <v/>
      </c>
    </row>
    <row r="136">
      <c r="A136" s="98" t="n"/>
      <c r="B136" s="98" t="n"/>
      <c r="C136" s="147" t="n"/>
      <c r="D136" s="98" t="n"/>
      <c r="E136" s="98" t="n"/>
      <c r="F136" s="98" t="n"/>
      <c r="G136" s="98" t="n"/>
      <c r="H136" s="98" t="n"/>
      <c r="I136" s="98" t="n"/>
      <c r="J136" s="98" t="n"/>
      <c r="K136" s="98" t="n"/>
      <c r="L136" s="98" t="n"/>
      <c r="M136" s="98" t="n"/>
      <c r="N136" s="98" t="n"/>
      <c r="O136" s="98" t="n"/>
      <c r="P136" s="98" t="n"/>
      <c r="Q136" s="98" t="n"/>
      <c r="R136" s="149" t="n"/>
      <c r="S136" s="147" t="n"/>
      <c r="T136" s="149" t="n"/>
      <c r="U136" s="147" t="n"/>
      <c r="V136" s="98" t="n"/>
      <c r="W136" s="98" t="n"/>
      <c r="X136" s="149" t="n"/>
      <c r="Y136" s="147" t="n"/>
      <c r="Z136" s="98" t="n"/>
      <c r="AL136" s="29">
        <f>IF(B136="","",IFERROR(INDEX(Schedule!$N$7:$N$18,MATCH(B136,Schedule!$A$7:$A$18,0)),"not in schedule"))</f>
        <v/>
      </c>
      <c r="AM136" s="108">
        <f>IF(B136="","",N(R136)-N(X136))</f>
        <v/>
      </c>
      <c r="AN136" s="144">
        <f>IF(B136="","",IF(Z136&lt;&gt;"",Z136,IF(N(G136)&gt;0,N(N136)/G136,"")))</f>
        <v/>
      </c>
      <c r="AO136" s="107">
        <f>IF(OR(B136="",C136=""),"",WORKDAY(C136,Inputs!$C$132,Lists!$N$4:$N$30))</f>
        <v/>
      </c>
      <c r="AP136" s="29">
        <f>IF(B136="","",IF(U136="","missing",IF(U136&gt;AO136,"Y","N")))</f>
        <v/>
      </c>
      <c r="AQ136" s="29">
        <f>IF(OR(W136="Y",W136="N"),IF(F136="",1,IF(COUNTIFS(F$5:F136,F136,W$5:W136,"Y")+COUNTIFS(F$5:F136,F136,W$5:W136,"N")=1,1,0)),0)</f>
        <v/>
      </c>
      <c r="AR136" s="29">
        <f>IF(W136="Y",IF(F136="",1,IF(COUNTIFS(F$5:F136,F136,W$5:W136,"Y")=1,1,0)),0)</f>
        <v/>
      </c>
    </row>
    <row r="137">
      <c r="A137" s="98" t="n"/>
      <c r="B137" s="98" t="n"/>
      <c r="C137" s="147" t="n"/>
      <c r="D137" s="98" t="n"/>
      <c r="E137" s="98" t="n"/>
      <c r="F137" s="98" t="n"/>
      <c r="G137" s="98" t="n"/>
      <c r="H137" s="98" t="n"/>
      <c r="I137" s="98" t="n"/>
      <c r="J137" s="98" t="n"/>
      <c r="K137" s="98" t="n"/>
      <c r="L137" s="98" t="n"/>
      <c r="M137" s="98" t="n"/>
      <c r="N137" s="98" t="n"/>
      <c r="O137" s="98" t="n"/>
      <c r="P137" s="98" t="n"/>
      <c r="Q137" s="98" t="n"/>
      <c r="R137" s="149" t="n"/>
      <c r="S137" s="147" t="n"/>
      <c r="T137" s="149" t="n"/>
      <c r="U137" s="147" t="n"/>
      <c r="V137" s="98" t="n"/>
      <c r="W137" s="98" t="n"/>
      <c r="X137" s="149" t="n"/>
      <c r="Y137" s="147" t="n"/>
      <c r="Z137" s="98" t="n"/>
      <c r="AL137" s="29">
        <f>IF(B137="","",IFERROR(INDEX(Schedule!$N$7:$N$18,MATCH(B137,Schedule!$A$7:$A$18,0)),"not in schedule"))</f>
        <v/>
      </c>
      <c r="AM137" s="108">
        <f>IF(B137="","",N(R137)-N(X137))</f>
        <v/>
      </c>
      <c r="AN137" s="144">
        <f>IF(B137="","",IF(Z137&lt;&gt;"",Z137,IF(N(G137)&gt;0,N(N137)/G137,"")))</f>
        <v/>
      </c>
      <c r="AO137" s="107">
        <f>IF(OR(B137="",C137=""),"",WORKDAY(C137,Inputs!$C$132,Lists!$N$4:$N$30))</f>
        <v/>
      </c>
      <c r="AP137" s="29">
        <f>IF(B137="","",IF(U137="","missing",IF(U137&gt;AO137,"Y","N")))</f>
        <v/>
      </c>
      <c r="AQ137" s="29">
        <f>IF(OR(W137="Y",W137="N"),IF(F137="",1,IF(COUNTIFS(F$5:F137,F137,W$5:W137,"Y")+COUNTIFS(F$5:F137,F137,W$5:W137,"N")=1,1,0)),0)</f>
        <v/>
      </c>
      <c r="AR137" s="29">
        <f>IF(W137="Y",IF(F137="",1,IF(COUNTIFS(F$5:F137,F137,W$5:W137,"Y")=1,1,0)),0)</f>
        <v/>
      </c>
    </row>
    <row r="138">
      <c r="A138" s="98" t="n"/>
      <c r="B138" s="98" t="n"/>
      <c r="C138" s="147" t="n"/>
      <c r="D138" s="98" t="n"/>
      <c r="E138" s="98" t="n"/>
      <c r="F138" s="98" t="n"/>
      <c r="G138" s="98" t="n"/>
      <c r="H138" s="98" t="n"/>
      <c r="I138" s="98" t="n"/>
      <c r="J138" s="98" t="n"/>
      <c r="K138" s="98" t="n"/>
      <c r="L138" s="98" t="n"/>
      <c r="M138" s="98" t="n"/>
      <c r="N138" s="98" t="n"/>
      <c r="O138" s="98" t="n"/>
      <c r="P138" s="98" t="n"/>
      <c r="Q138" s="98" t="n"/>
      <c r="R138" s="149" t="n"/>
      <c r="S138" s="147" t="n"/>
      <c r="T138" s="149" t="n"/>
      <c r="U138" s="147" t="n"/>
      <c r="V138" s="98" t="n"/>
      <c r="W138" s="98" t="n"/>
      <c r="X138" s="149" t="n"/>
      <c r="Y138" s="147" t="n"/>
      <c r="Z138" s="98" t="n"/>
      <c r="AL138" s="29">
        <f>IF(B138="","",IFERROR(INDEX(Schedule!$N$7:$N$18,MATCH(B138,Schedule!$A$7:$A$18,0)),"not in schedule"))</f>
        <v/>
      </c>
      <c r="AM138" s="108">
        <f>IF(B138="","",N(R138)-N(X138))</f>
        <v/>
      </c>
      <c r="AN138" s="144">
        <f>IF(B138="","",IF(Z138&lt;&gt;"",Z138,IF(N(G138)&gt;0,N(N138)/G138,"")))</f>
        <v/>
      </c>
      <c r="AO138" s="107">
        <f>IF(OR(B138="",C138=""),"",WORKDAY(C138,Inputs!$C$132,Lists!$N$4:$N$30))</f>
        <v/>
      </c>
      <c r="AP138" s="29">
        <f>IF(B138="","",IF(U138="","missing",IF(U138&gt;AO138,"Y","N")))</f>
        <v/>
      </c>
      <c r="AQ138" s="29">
        <f>IF(OR(W138="Y",W138="N"),IF(F138="",1,IF(COUNTIFS(F$5:F138,F138,W$5:W138,"Y")+COUNTIFS(F$5:F138,F138,W$5:W138,"N")=1,1,0)),0)</f>
        <v/>
      </c>
      <c r="AR138" s="29">
        <f>IF(W138="Y",IF(F138="",1,IF(COUNTIFS(F$5:F138,F138,W$5:W138,"Y")=1,1,0)),0)</f>
        <v/>
      </c>
    </row>
    <row r="139">
      <c r="A139" s="98" t="n"/>
      <c r="B139" s="98" t="n"/>
      <c r="C139" s="147" t="n"/>
      <c r="D139" s="98" t="n"/>
      <c r="E139" s="98" t="n"/>
      <c r="F139" s="98" t="n"/>
      <c r="G139" s="98" t="n"/>
      <c r="H139" s="98" t="n"/>
      <c r="I139" s="98" t="n"/>
      <c r="J139" s="98" t="n"/>
      <c r="K139" s="98" t="n"/>
      <c r="L139" s="98" t="n"/>
      <c r="M139" s="98" t="n"/>
      <c r="N139" s="98" t="n"/>
      <c r="O139" s="98" t="n"/>
      <c r="P139" s="98" t="n"/>
      <c r="Q139" s="98" t="n"/>
      <c r="R139" s="149" t="n"/>
      <c r="S139" s="147" t="n"/>
      <c r="T139" s="149" t="n"/>
      <c r="U139" s="147" t="n"/>
      <c r="V139" s="98" t="n"/>
      <c r="W139" s="98" t="n"/>
      <c r="X139" s="149" t="n"/>
      <c r="Y139" s="147" t="n"/>
      <c r="Z139" s="98" t="n"/>
      <c r="AL139" s="29">
        <f>IF(B139="","",IFERROR(INDEX(Schedule!$N$7:$N$18,MATCH(B139,Schedule!$A$7:$A$18,0)),"not in schedule"))</f>
        <v/>
      </c>
      <c r="AM139" s="108">
        <f>IF(B139="","",N(R139)-N(X139))</f>
        <v/>
      </c>
      <c r="AN139" s="144">
        <f>IF(B139="","",IF(Z139&lt;&gt;"",Z139,IF(N(G139)&gt;0,N(N139)/G139,"")))</f>
        <v/>
      </c>
      <c r="AO139" s="107">
        <f>IF(OR(B139="",C139=""),"",WORKDAY(C139,Inputs!$C$132,Lists!$N$4:$N$30))</f>
        <v/>
      </c>
      <c r="AP139" s="29">
        <f>IF(B139="","",IF(U139="","missing",IF(U139&gt;AO139,"Y","N")))</f>
        <v/>
      </c>
      <c r="AQ139" s="29">
        <f>IF(OR(W139="Y",W139="N"),IF(F139="",1,IF(COUNTIFS(F$5:F139,F139,W$5:W139,"Y")+COUNTIFS(F$5:F139,F139,W$5:W139,"N")=1,1,0)),0)</f>
        <v/>
      </c>
      <c r="AR139" s="29">
        <f>IF(W139="Y",IF(F139="",1,IF(COUNTIFS(F$5:F139,F139,W$5:W139,"Y")=1,1,0)),0)</f>
        <v/>
      </c>
    </row>
    <row r="140">
      <c r="A140" s="98" t="n"/>
      <c r="B140" s="98" t="n"/>
      <c r="C140" s="147" t="n"/>
      <c r="D140" s="98" t="n"/>
      <c r="E140" s="98" t="n"/>
      <c r="F140" s="98" t="n"/>
      <c r="G140" s="98" t="n"/>
      <c r="H140" s="98" t="n"/>
      <c r="I140" s="98" t="n"/>
      <c r="J140" s="98" t="n"/>
      <c r="K140" s="98" t="n"/>
      <c r="L140" s="98" t="n"/>
      <c r="M140" s="98" t="n"/>
      <c r="N140" s="98" t="n"/>
      <c r="O140" s="98" t="n"/>
      <c r="P140" s="98" t="n"/>
      <c r="Q140" s="98" t="n"/>
      <c r="R140" s="149" t="n"/>
      <c r="S140" s="147" t="n"/>
      <c r="T140" s="149" t="n"/>
      <c r="U140" s="147" t="n"/>
      <c r="V140" s="98" t="n"/>
      <c r="W140" s="98" t="n"/>
      <c r="X140" s="149" t="n"/>
      <c r="Y140" s="147" t="n"/>
      <c r="Z140" s="98" t="n"/>
      <c r="AL140" s="29">
        <f>IF(B140="","",IFERROR(INDEX(Schedule!$N$7:$N$18,MATCH(B140,Schedule!$A$7:$A$18,0)),"not in schedule"))</f>
        <v/>
      </c>
      <c r="AM140" s="108">
        <f>IF(B140="","",N(R140)-N(X140))</f>
        <v/>
      </c>
      <c r="AN140" s="144">
        <f>IF(B140="","",IF(Z140&lt;&gt;"",Z140,IF(N(G140)&gt;0,N(N140)/G140,"")))</f>
        <v/>
      </c>
      <c r="AO140" s="107">
        <f>IF(OR(B140="",C140=""),"",WORKDAY(C140,Inputs!$C$132,Lists!$N$4:$N$30))</f>
        <v/>
      </c>
      <c r="AP140" s="29">
        <f>IF(B140="","",IF(U140="","missing",IF(U140&gt;AO140,"Y","N")))</f>
        <v/>
      </c>
      <c r="AQ140" s="29">
        <f>IF(OR(W140="Y",W140="N"),IF(F140="",1,IF(COUNTIFS(F$5:F140,F140,W$5:W140,"Y")+COUNTIFS(F$5:F140,F140,W$5:W140,"N")=1,1,0)),0)</f>
        <v/>
      </c>
      <c r="AR140" s="29">
        <f>IF(W140="Y",IF(F140="",1,IF(COUNTIFS(F$5:F140,F140,W$5:W140,"Y")=1,1,0)),0)</f>
        <v/>
      </c>
    </row>
    <row r="141">
      <c r="A141" s="98" t="n"/>
      <c r="B141" s="98" t="n"/>
      <c r="C141" s="147" t="n"/>
      <c r="D141" s="98" t="n"/>
      <c r="E141" s="98" t="n"/>
      <c r="F141" s="98" t="n"/>
      <c r="G141" s="98" t="n"/>
      <c r="H141" s="98" t="n"/>
      <c r="I141" s="98" t="n"/>
      <c r="J141" s="98" t="n"/>
      <c r="K141" s="98" t="n"/>
      <c r="L141" s="98" t="n"/>
      <c r="M141" s="98" t="n"/>
      <c r="N141" s="98" t="n"/>
      <c r="O141" s="98" t="n"/>
      <c r="P141" s="98" t="n"/>
      <c r="Q141" s="98" t="n"/>
      <c r="R141" s="149" t="n"/>
      <c r="S141" s="147" t="n"/>
      <c r="T141" s="149" t="n"/>
      <c r="U141" s="147" t="n"/>
      <c r="V141" s="98" t="n"/>
      <c r="W141" s="98" t="n"/>
      <c r="X141" s="149" t="n"/>
      <c r="Y141" s="147" t="n"/>
      <c r="Z141" s="98" t="n"/>
      <c r="AL141" s="29">
        <f>IF(B141="","",IFERROR(INDEX(Schedule!$N$7:$N$18,MATCH(B141,Schedule!$A$7:$A$18,0)),"not in schedule"))</f>
        <v/>
      </c>
      <c r="AM141" s="108">
        <f>IF(B141="","",N(R141)-N(X141))</f>
        <v/>
      </c>
      <c r="AN141" s="144">
        <f>IF(B141="","",IF(Z141&lt;&gt;"",Z141,IF(N(G141)&gt;0,N(N141)/G141,"")))</f>
        <v/>
      </c>
      <c r="AO141" s="107">
        <f>IF(OR(B141="",C141=""),"",WORKDAY(C141,Inputs!$C$132,Lists!$N$4:$N$30))</f>
        <v/>
      </c>
      <c r="AP141" s="29">
        <f>IF(B141="","",IF(U141="","missing",IF(U141&gt;AO141,"Y","N")))</f>
        <v/>
      </c>
      <c r="AQ141" s="29">
        <f>IF(OR(W141="Y",W141="N"),IF(F141="",1,IF(COUNTIFS(F$5:F141,F141,W$5:W141,"Y")+COUNTIFS(F$5:F141,F141,W$5:W141,"N")=1,1,0)),0)</f>
        <v/>
      </c>
      <c r="AR141" s="29">
        <f>IF(W141="Y",IF(F141="",1,IF(COUNTIFS(F$5:F141,F141,W$5:W141,"Y")=1,1,0)),0)</f>
        <v/>
      </c>
    </row>
    <row r="142">
      <c r="A142" s="98" t="n"/>
      <c r="B142" s="98" t="n"/>
      <c r="C142" s="147" t="n"/>
      <c r="D142" s="98" t="n"/>
      <c r="E142" s="98" t="n"/>
      <c r="F142" s="98" t="n"/>
      <c r="G142" s="98" t="n"/>
      <c r="H142" s="98" t="n"/>
      <c r="I142" s="98" t="n"/>
      <c r="J142" s="98" t="n"/>
      <c r="K142" s="98" t="n"/>
      <c r="L142" s="98" t="n"/>
      <c r="M142" s="98" t="n"/>
      <c r="N142" s="98" t="n"/>
      <c r="O142" s="98" t="n"/>
      <c r="P142" s="98" t="n"/>
      <c r="Q142" s="98" t="n"/>
      <c r="R142" s="149" t="n"/>
      <c r="S142" s="147" t="n"/>
      <c r="T142" s="149" t="n"/>
      <c r="U142" s="147" t="n"/>
      <c r="V142" s="98" t="n"/>
      <c r="W142" s="98" t="n"/>
      <c r="X142" s="149" t="n"/>
      <c r="Y142" s="147" t="n"/>
      <c r="Z142" s="98" t="n"/>
      <c r="AL142" s="29">
        <f>IF(B142="","",IFERROR(INDEX(Schedule!$N$7:$N$18,MATCH(B142,Schedule!$A$7:$A$18,0)),"not in schedule"))</f>
        <v/>
      </c>
      <c r="AM142" s="108">
        <f>IF(B142="","",N(R142)-N(X142))</f>
        <v/>
      </c>
      <c r="AN142" s="144">
        <f>IF(B142="","",IF(Z142&lt;&gt;"",Z142,IF(N(G142)&gt;0,N(N142)/G142,"")))</f>
        <v/>
      </c>
      <c r="AO142" s="107">
        <f>IF(OR(B142="",C142=""),"",WORKDAY(C142,Inputs!$C$132,Lists!$N$4:$N$30))</f>
        <v/>
      </c>
      <c r="AP142" s="29">
        <f>IF(B142="","",IF(U142="","missing",IF(U142&gt;AO142,"Y","N")))</f>
        <v/>
      </c>
      <c r="AQ142" s="29">
        <f>IF(OR(W142="Y",W142="N"),IF(F142="",1,IF(COUNTIFS(F$5:F142,F142,W$5:W142,"Y")+COUNTIFS(F$5:F142,F142,W$5:W142,"N")=1,1,0)),0)</f>
        <v/>
      </c>
      <c r="AR142" s="29">
        <f>IF(W142="Y",IF(F142="",1,IF(COUNTIFS(F$5:F142,F142,W$5:W142,"Y")=1,1,0)),0)</f>
        <v/>
      </c>
    </row>
    <row r="143">
      <c r="A143" s="98" t="n"/>
      <c r="B143" s="98" t="n"/>
      <c r="C143" s="147" t="n"/>
      <c r="D143" s="98" t="n"/>
      <c r="E143" s="98" t="n"/>
      <c r="F143" s="98" t="n"/>
      <c r="G143" s="98" t="n"/>
      <c r="H143" s="98" t="n"/>
      <c r="I143" s="98" t="n"/>
      <c r="J143" s="98" t="n"/>
      <c r="K143" s="98" t="n"/>
      <c r="L143" s="98" t="n"/>
      <c r="M143" s="98" t="n"/>
      <c r="N143" s="98" t="n"/>
      <c r="O143" s="98" t="n"/>
      <c r="P143" s="98" t="n"/>
      <c r="Q143" s="98" t="n"/>
      <c r="R143" s="149" t="n"/>
      <c r="S143" s="147" t="n"/>
      <c r="T143" s="149" t="n"/>
      <c r="U143" s="147" t="n"/>
      <c r="V143" s="98" t="n"/>
      <c r="W143" s="98" t="n"/>
      <c r="X143" s="149" t="n"/>
      <c r="Y143" s="147" t="n"/>
      <c r="Z143" s="98" t="n"/>
      <c r="AL143" s="29">
        <f>IF(B143="","",IFERROR(INDEX(Schedule!$N$7:$N$18,MATCH(B143,Schedule!$A$7:$A$18,0)),"not in schedule"))</f>
        <v/>
      </c>
      <c r="AM143" s="108">
        <f>IF(B143="","",N(R143)-N(X143))</f>
        <v/>
      </c>
      <c r="AN143" s="144">
        <f>IF(B143="","",IF(Z143&lt;&gt;"",Z143,IF(N(G143)&gt;0,N(N143)/G143,"")))</f>
        <v/>
      </c>
      <c r="AO143" s="107">
        <f>IF(OR(B143="",C143=""),"",WORKDAY(C143,Inputs!$C$132,Lists!$N$4:$N$30))</f>
        <v/>
      </c>
      <c r="AP143" s="29">
        <f>IF(B143="","",IF(U143="","missing",IF(U143&gt;AO143,"Y","N")))</f>
        <v/>
      </c>
      <c r="AQ143" s="29">
        <f>IF(OR(W143="Y",W143="N"),IF(F143="",1,IF(COUNTIFS(F$5:F143,F143,W$5:W143,"Y")+COUNTIFS(F$5:F143,F143,W$5:W143,"N")=1,1,0)),0)</f>
        <v/>
      </c>
      <c r="AR143" s="29">
        <f>IF(W143="Y",IF(F143="",1,IF(COUNTIFS(F$5:F143,F143,W$5:W143,"Y")=1,1,0)),0)</f>
        <v/>
      </c>
    </row>
    <row r="144">
      <c r="A144" s="98" t="n"/>
      <c r="B144" s="98" t="n"/>
      <c r="C144" s="147" t="n"/>
      <c r="D144" s="98" t="n"/>
      <c r="E144" s="98" t="n"/>
      <c r="F144" s="98" t="n"/>
      <c r="G144" s="98" t="n"/>
      <c r="H144" s="98" t="n"/>
      <c r="I144" s="98" t="n"/>
      <c r="J144" s="98" t="n"/>
      <c r="K144" s="98" t="n"/>
      <c r="L144" s="98" t="n"/>
      <c r="M144" s="98" t="n"/>
      <c r="N144" s="98" t="n"/>
      <c r="O144" s="98" t="n"/>
      <c r="P144" s="98" t="n"/>
      <c r="Q144" s="98" t="n"/>
      <c r="R144" s="149" t="n"/>
      <c r="S144" s="147" t="n"/>
      <c r="T144" s="149" t="n"/>
      <c r="U144" s="147" t="n"/>
      <c r="V144" s="98" t="n"/>
      <c r="W144" s="98" t="n"/>
      <c r="X144" s="149" t="n"/>
      <c r="Y144" s="147" t="n"/>
      <c r="Z144" s="98" t="n"/>
      <c r="AL144" s="29">
        <f>IF(B144="","",IFERROR(INDEX(Schedule!$N$7:$N$18,MATCH(B144,Schedule!$A$7:$A$18,0)),"not in schedule"))</f>
        <v/>
      </c>
      <c r="AM144" s="108">
        <f>IF(B144="","",N(R144)-N(X144))</f>
        <v/>
      </c>
      <c r="AN144" s="144">
        <f>IF(B144="","",IF(Z144&lt;&gt;"",Z144,IF(N(G144)&gt;0,N(N144)/G144,"")))</f>
        <v/>
      </c>
      <c r="AO144" s="107">
        <f>IF(OR(B144="",C144=""),"",WORKDAY(C144,Inputs!$C$132,Lists!$N$4:$N$30))</f>
        <v/>
      </c>
      <c r="AP144" s="29">
        <f>IF(B144="","",IF(U144="","missing",IF(U144&gt;AO144,"Y","N")))</f>
        <v/>
      </c>
      <c r="AQ144" s="29">
        <f>IF(OR(W144="Y",W144="N"),IF(F144="",1,IF(COUNTIFS(F$5:F144,F144,W$5:W144,"Y")+COUNTIFS(F$5:F144,F144,W$5:W144,"N")=1,1,0)),0)</f>
        <v/>
      </c>
      <c r="AR144" s="29">
        <f>IF(W144="Y",IF(F144="",1,IF(COUNTIFS(F$5:F144,F144,W$5:W144,"Y")=1,1,0)),0)</f>
        <v/>
      </c>
    </row>
    <row r="145">
      <c r="A145" s="98" t="n"/>
      <c r="B145" s="98" t="n"/>
      <c r="C145" s="147" t="n"/>
      <c r="D145" s="98" t="n"/>
      <c r="E145" s="98" t="n"/>
      <c r="F145" s="98" t="n"/>
      <c r="G145" s="98" t="n"/>
      <c r="H145" s="98" t="n"/>
      <c r="I145" s="98" t="n"/>
      <c r="J145" s="98" t="n"/>
      <c r="K145" s="98" t="n"/>
      <c r="L145" s="98" t="n"/>
      <c r="M145" s="98" t="n"/>
      <c r="N145" s="98" t="n"/>
      <c r="O145" s="98" t="n"/>
      <c r="P145" s="98" t="n"/>
      <c r="Q145" s="98" t="n"/>
      <c r="R145" s="149" t="n"/>
      <c r="S145" s="147" t="n"/>
      <c r="T145" s="149" t="n"/>
      <c r="U145" s="147" t="n"/>
      <c r="V145" s="98" t="n"/>
      <c r="W145" s="98" t="n"/>
      <c r="X145" s="149" t="n"/>
      <c r="Y145" s="147" t="n"/>
      <c r="Z145" s="98" t="n"/>
      <c r="AL145" s="29">
        <f>IF(B145="","",IFERROR(INDEX(Schedule!$N$7:$N$18,MATCH(B145,Schedule!$A$7:$A$18,0)),"not in schedule"))</f>
        <v/>
      </c>
      <c r="AM145" s="108">
        <f>IF(B145="","",N(R145)-N(X145))</f>
        <v/>
      </c>
      <c r="AN145" s="144">
        <f>IF(B145="","",IF(Z145&lt;&gt;"",Z145,IF(N(G145)&gt;0,N(N145)/G145,"")))</f>
        <v/>
      </c>
      <c r="AO145" s="107">
        <f>IF(OR(B145="",C145=""),"",WORKDAY(C145,Inputs!$C$132,Lists!$N$4:$N$30))</f>
        <v/>
      </c>
      <c r="AP145" s="29">
        <f>IF(B145="","",IF(U145="","missing",IF(U145&gt;AO145,"Y","N")))</f>
        <v/>
      </c>
      <c r="AQ145" s="29">
        <f>IF(OR(W145="Y",W145="N"),IF(F145="",1,IF(COUNTIFS(F$5:F145,F145,W$5:W145,"Y")+COUNTIFS(F$5:F145,F145,W$5:W145,"N")=1,1,0)),0)</f>
        <v/>
      </c>
      <c r="AR145" s="29">
        <f>IF(W145="Y",IF(F145="",1,IF(COUNTIFS(F$5:F145,F145,W$5:W145,"Y")=1,1,0)),0)</f>
        <v/>
      </c>
    </row>
    <row r="146">
      <c r="A146" s="98" t="n"/>
      <c r="B146" s="98" t="n"/>
      <c r="C146" s="147" t="n"/>
      <c r="D146" s="98" t="n"/>
      <c r="E146" s="98" t="n"/>
      <c r="F146" s="98" t="n"/>
      <c r="G146" s="98" t="n"/>
      <c r="H146" s="98" t="n"/>
      <c r="I146" s="98" t="n"/>
      <c r="J146" s="98" t="n"/>
      <c r="K146" s="98" t="n"/>
      <c r="L146" s="98" t="n"/>
      <c r="M146" s="98" t="n"/>
      <c r="N146" s="98" t="n"/>
      <c r="O146" s="98" t="n"/>
      <c r="P146" s="98" t="n"/>
      <c r="Q146" s="98" t="n"/>
      <c r="R146" s="149" t="n"/>
      <c r="S146" s="147" t="n"/>
      <c r="T146" s="149" t="n"/>
      <c r="U146" s="147" t="n"/>
      <c r="V146" s="98" t="n"/>
      <c r="W146" s="98" t="n"/>
      <c r="X146" s="149" t="n"/>
      <c r="Y146" s="147" t="n"/>
      <c r="Z146" s="98" t="n"/>
      <c r="AL146" s="29">
        <f>IF(B146="","",IFERROR(INDEX(Schedule!$N$7:$N$18,MATCH(B146,Schedule!$A$7:$A$18,0)),"not in schedule"))</f>
        <v/>
      </c>
      <c r="AM146" s="108">
        <f>IF(B146="","",N(R146)-N(X146))</f>
        <v/>
      </c>
      <c r="AN146" s="144">
        <f>IF(B146="","",IF(Z146&lt;&gt;"",Z146,IF(N(G146)&gt;0,N(N146)/G146,"")))</f>
        <v/>
      </c>
      <c r="AO146" s="107">
        <f>IF(OR(B146="",C146=""),"",WORKDAY(C146,Inputs!$C$132,Lists!$N$4:$N$30))</f>
        <v/>
      </c>
      <c r="AP146" s="29">
        <f>IF(B146="","",IF(U146="","missing",IF(U146&gt;AO146,"Y","N")))</f>
        <v/>
      </c>
      <c r="AQ146" s="29">
        <f>IF(OR(W146="Y",W146="N"),IF(F146="",1,IF(COUNTIFS(F$5:F146,F146,W$5:W146,"Y")+COUNTIFS(F$5:F146,F146,W$5:W146,"N")=1,1,0)),0)</f>
        <v/>
      </c>
      <c r="AR146" s="29">
        <f>IF(W146="Y",IF(F146="",1,IF(COUNTIFS(F$5:F146,F146,W$5:W146,"Y")=1,1,0)),0)</f>
        <v/>
      </c>
    </row>
    <row r="147">
      <c r="A147" s="98" t="n"/>
      <c r="B147" s="98" t="n"/>
      <c r="C147" s="147" t="n"/>
      <c r="D147" s="98" t="n"/>
      <c r="E147" s="98" t="n"/>
      <c r="F147" s="98" t="n"/>
      <c r="G147" s="98" t="n"/>
      <c r="H147" s="98" t="n"/>
      <c r="I147" s="98" t="n"/>
      <c r="J147" s="98" t="n"/>
      <c r="K147" s="98" t="n"/>
      <c r="L147" s="98" t="n"/>
      <c r="M147" s="98" t="n"/>
      <c r="N147" s="98" t="n"/>
      <c r="O147" s="98" t="n"/>
      <c r="P147" s="98" t="n"/>
      <c r="Q147" s="98" t="n"/>
      <c r="R147" s="149" t="n"/>
      <c r="S147" s="147" t="n"/>
      <c r="T147" s="149" t="n"/>
      <c r="U147" s="147" t="n"/>
      <c r="V147" s="98" t="n"/>
      <c r="W147" s="98" t="n"/>
      <c r="X147" s="149" t="n"/>
      <c r="Y147" s="147" t="n"/>
      <c r="Z147" s="98" t="n"/>
      <c r="AL147" s="29">
        <f>IF(B147="","",IFERROR(INDEX(Schedule!$N$7:$N$18,MATCH(B147,Schedule!$A$7:$A$18,0)),"not in schedule"))</f>
        <v/>
      </c>
      <c r="AM147" s="108">
        <f>IF(B147="","",N(R147)-N(X147))</f>
        <v/>
      </c>
      <c r="AN147" s="144">
        <f>IF(B147="","",IF(Z147&lt;&gt;"",Z147,IF(N(G147)&gt;0,N(N147)/G147,"")))</f>
        <v/>
      </c>
      <c r="AO147" s="107">
        <f>IF(OR(B147="",C147=""),"",WORKDAY(C147,Inputs!$C$132,Lists!$N$4:$N$30))</f>
        <v/>
      </c>
      <c r="AP147" s="29">
        <f>IF(B147="","",IF(U147="","missing",IF(U147&gt;AO147,"Y","N")))</f>
        <v/>
      </c>
      <c r="AQ147" s="29">
        <f>IF(OR(W147="Y",W147="N"),IF(F147="",1,IF(COUNTIFS(F$5:F147,F147,W$5:W147,"Y")+COUNTIFS(F$5:F147,F147,W$5:W147,"N")=1,1,0)),0)</f>
        <v/>
      </c>
      <c r="AR147" s="29">
        <f>IF(W147="Y",IF(F147="",1,IF(COUNTIFS(F$5:F147,F147,W$5:W147,"Y")=1,1,0)),0)</f>
        <v/>
      </c>
    </row>
    <row r="148">
      <c r="A148" s="98" t="n"/>
      <c r="B148" s="98" t="n"/>
      <c r="C148" s="147" t="n"/>
      <c r="D148" s="98" t="n"/>
      <c r="E148" s="98" t="n"/>
      <c r="F148" s="98" t="n"/>
      <c r="G148" s="98" t="n"/>
      <c r="H148" s="98" t="n"/>
      <c r="I148" s="98" t="n"/>
      <c r="J148" s="98" t="n"/>
      <c r="K148" s="98" t="n"/>
      <c r="L148" s="98" t="n"/>
      <c r="M148" s="98" t="n"/>
      <c r="N148" s="98" t="n"/>
      <c r="O148" s="98" t="n"/>
      <c r="P148" s="98" t="n"/>
      <c r="Q148" s="98" t="n"/>
      <c r="R148" s="149" t="n"/>
      <c r="S148" s="147" t="n"/>
      <c r="T148" s="149" t="n"/>
      <c r="U148" s="147" t="n"/>
      <c r="V148" s="98" t="n"/>
      <c r="W148" s="98" t="n"/>
      <c r="X148" s="149" t="n"/>
      <c r="Y148" s="147" t="n"/>
      <c r="Z148" s="98" t="n"/>
      <c r="AL148" s="29">
        <f>IF(B148="","",IFERROR(INDEX(Schedule!$N$7:$N$18,MATCH(B148,Schedule!$A$7:$A$18,0)),"not in schedule"))</f>
        <v/>
      </c>
      <c r="AM148" s="108">
        <f>IF(B148="","",N(R148)-N(X148))</f>
        <v/>
      </c>
      <c r="AN148" s="144">
        <f>IF(B148="","",IF(Z148&lt;&gt;"",Z148,IF(N(G148)&gt;0,N(N148)/G148,"")))</f>
        <v/>
      </c>
      <c r="AO148" s="107">
        <f>IF(OR(B148="",C148=""),"",WORKDAY(C148,Inputs!$C$132,Lists!$N$4:$N$30))</f>
        <v/>
      </c>
      <c r="AP148" s="29">
        <f>IF(B148="","",IF(U148="","missing",IF(U148&gt;AO148,"Y","N")))</f>
        <v/>
      </c>
      <c r="AQ148" s="29">
        <f>IF(OR(W148="Y",W148="N"),IF(F148="",1,IF(COUNTIFS(F$5:F148,F148,W$5:W148,"Y")+COUNTIFS(F$5:F148,F148,W$5:W148,"N")=1,1,0)),0)</f>
        <v/>
      </c>
      <c r="AR148" s="29">
        <f>IF(W148="Y",IF(F148="",1,IF(COUNTIFS(F$5:F148,F148,W$5:W148,"Y")=1,1,0)),0)</f>
        <v/>
      </c>
    </row>
    <row r="149">
      <c r="A149" s="98" t="n"/>
      <c r="B149" s="98" t="n"/>
      <c r="C149" s="147" t="n"/>
      <c r="D149" s="98" t="n"/>
      <c r="E149" s="98" t="n"/>
      <c r="F149" s="98" t="n"/>
      <c r="G149" s="98" t="n"/>
      <c r="H149" s="98" t="n"/>
      <c r="I149" s="98" t="n"/>
      <c r="J149" s="98" t="n"/>
      <c r="K149" s="98" t="n"/>
      <c r="L149" s="98" t="n"/>
      <c r="M149" s="98" t="n"/>
      <c r="N149" s="98" t="n"/>
      <c r="O149" s="98" t="n"/>
      <c r="P149" s="98" t="n"/>
      <c r="Q149" s="98" t="n"/>
      <c r="R149" s="149" t="n"/>
      <c r="S149" s="147" t="n"/>
      <c r="T149" s="149" t="n"/>
      <c r="U149" s="147" t="n"/>
      <c r="V149" s="98" t="n"/>
      <c r="W149" s="98" t="n"/>
      <c r="X149" s="149" t="n"/>
      <c r="Y149" s="147" t="n"/>
      <c r="Z149" s="98" t="n"/>
      <c r="AL149" s="29">
        <f>IF(B149="","",IFERROR(INDEX(Schedule!$N$7:$N$18,MATCH(B149,Schedule!$A$7:$A$18,0)),"not in schedule"))</f>
        <v/>
      </c>
      <c r="AM149" s="108">
        <f>IF(B149="","",N(R149)-N(X149))</f>
        <v/>
      </c>
      <c r="AN149" s="144">
        <f>IF(B149="","",IF(Z149&lt;&gt;"",Z149,IF(N(G149)&gt;0,N(N149)/G149,"")))</f>
        <v/>
      </c>
      <c r="AO149" s="107">
        <f>IF(OR(B149="",C149=""),"",WORKDAY(C149,Inputs!$C$132,Lists!$N$4:$N$30))</f>
        <v/>
      </c>
      <c r="AP149" s="29">
        <f>IF(B149="","",IF(U149="","missing",IF(U149&gt;AO149,"Y","N")))</f>
        <v/>
      </c>
      <c r="AQ149" s="29">
        <f>IF(OR(W149="Y",W149="N"),IF(F149="",1,IF(COUNTIFS(F$5:F149,F149,W$5:W149,"Y")+COUNTIFS(F$5:F149,F149,W$5:W149,"N")=1,1,0)),0)</f>
        <v/>
      </c>
      <c r="AR149" s="29">
        <f>IF(W149="Y",IF(F149="",1,IF(COUNTIFS(F$5:F149,F149,W$5:W149,"Y")=1,1,0)),0)</f>
        <v/>
      </c>
    </row>
    <row r="150">
      <c r="A150" s="98" t="n"/>
      <c r="B150" s="98" t="n"/>
      <c r="C150" s="147" t="n"/>
      <c r="D150" s="98" t="n"/>
      <c r="E150" s="98" t="n"/>
      <c r="F150" s="98" t="n"/>
      <c r="G150" s="98" t="n"/>
      <c r="H150" s="98" t="n"/>
      <c r="I150" s="98" t="n"/>
      <c r="J150" s="98" t="n"/>
      <c r="K150" s="98" t="n"/>
      <c r="L150" s="98" t="n"/>
      <c r="M150" s="98" t="n"/>
      <c r="N150" s="98" t="n"/>
      <c r="O150" s="98" t="n"/>
      <c r="P150" s="98" t="n"/>
      <c r="Q150" s="98" t="n"/>
      <c r="R150" s="149" t="n"/>
      <c r="S150" s="147" t="n"/>
      <c r="T150" s="149" t="n"/>
      <c r="U150" s="147" t="n"/>
      <c r="V150" s="98" t="n"/>
      <c r="W150" s="98" t="n"/>
      <c r="X150" s="149" t="n"/>
      <c r="Y150" s="147" t="n"/>
      <c r="Z150" s="98" t="n"/>
      <c r="AL150" s="29">
        <f>IF(B150="","",IFERROR(INDEX(Schedule!$N$7:$N$18,MATCH(B150,Schedule!$A$7:$A$18,0)),"not in schedule"))</f>
        <v/>
      </c>
      <c r="AM150" s="108">
        <f>IF(B150="","",N(R150)-N(X150))</f>
        <v/>
      </c>
      <c r="AN150" s="144">
        <f>IF(B150="","",IF(Z150&lt;&gt;"",Z150,IF(N(G150)&gt;0,N(N150)/G150,"")))</f>
        <v/>
      </c>
      <c r="AO150" s="107">
        <f>IF(OR(B150="",C150=""),"",WORKDAY(C150,Inputs!$C$132,Lists!$N$4:$N$30))</f>
        <v/>
      </c>
      <c r="AP150" s="29">
        <f>IF(B150="","",IF(U150="","missing",IF(U150&gt;AO150,"Y","N")))</f>
        <v/>
      </c>
      <c r="AQ150" s="29">
        <f>IF(OR(W150="Y",W150="N"),IF(F150="",1,IF(COUNTIFS(F$5:F150,F150,W$5:W150,"Y")+COUNTIFS(F$5:F150,F150,W$5:W150,"N")=1,1,0)),0)</f>
        <v/>
      </c>
      <c r="AR150" s="29">
        <f>IF(W150="Y",IF(F150="",1,IF(COUNTIFS(F$5:F150,F150,W$5:W150,"Y")=1,1,0)),0)</f>
        <v/>
      </c>
    </row>
    <row r="151">
      <c r="A151" s="98" t="n"/>
      <c r="B151" s="98" t="n"/>
      <c r="C151" s="147" t="n"/>
      <c r="D151" s="98" t="n"/>
      <c r="E151" s="98" t="n"/>
      <c r="F151" s="98" t="n"/>
      <c r="G151" s="98" t="n"/>
      <c r="H151" s="98" t="n"/>
      <c r="I151" s="98" t="n"/>
      <c r="J151" s="98" t="n"/>
      <c r="K151" s="98" t="n"/>
      <c r="L151" s="98" t="n"/>
      <c r="M151" s="98" t="n"/>
      <c r="N151" s="98" t="n"/>
      <c r="O151" s="98" t="n"/>
      <c r="P151" s="98" t="n"/>
      <c r="Q151" s="98" t="n"/>
      <c r="R151" s="149" t="n"/>
      <c r="S151" s="147" t="n"/>
      <c r="T151" s="149" t="n"/>
      <c r="U151" s="147" t="n"/>
      <c r="V151" s="98" t="n"/>
      <c r="W151" s="98" t="n"/>
      <c r="X151" s="149" t="n"/>
      <c r="Y151" s="147" t="n"/>
      <c r="Z151" s="98" t="n"/>
      <c r="AL151" s="29">
        <f>IF(B151="","",IFERROR(INDEX(Schedule!$N$7:$N$18,MATCH(B151,Schedule!$A$7:$A$18,0)),"not in schedule"))</f>
        <v/>
      </c>
      <c r="AM151" s="108">
        <f>IF(B151="","",N(R151)-N(X151))</f>
        <v/>
      </c>
      <c r="AN151" s="144">
        <f>IF(B151="","",IF(Z151&lt;&gt;"",Z151,IF(N(G151)&gt;0,N(N151)/G151,"")))</f>
        <v/>
      </c>
      <c r="AO151" s="107">
        <f>IF(OR(B151="",C151=""),"",WORKDAY(C151,Inputs!$C$132,Lists!$N$4:$N$30))</f>
        <v/>
      </c>
      <c r="AP151" s="29">
        <f>IF(B151="","",IF(U151="","missing",IF(U151&gt;AO151,"Y","N")))</f>
        <v/>
      </c>
      <c r="AQ151" s="29">
        <f>IF(OR(W151="Y",W151="N"),IF(F151="",1,IF(COUNTIFS(F$5:F151,F151,W$5:W151,"Y")+COUNTIFS(F$5:F151,F151,W$5:W151,"N")=1,1,0)),0)</f>
        <v/>
      </c>
      <c r="AR151" s="29">
        <f>IF(W151="Y",IF(F151="",1,IF(COUNTIFS(F$5:F151,F151,W$5:W151,"Y")=1,1,0)),0)</f>
        <v/>
      </c>
    </row>
    <row r="152">
      <c r="A152" s="98" t="n"/>
      <c r="B152" s="98" t="n"/>
      <c r="C152" s="147" t="n"/>
      <c r="D152" s="98" t="n"/>
      <c r="E152" s="98" t="n"/>
      <c r="F152" s="98" t="n"/>
      <c r="G152" s="98" t="n"/>
      <c r="H152" s="98" t="n"/>
      <c r="I152" s="98" t="n"/>
      <c r="J152" s="98" t="n"/>
      <c r="K152" s="98" t="n"/>
      <c r="L152" s="98" t="n"/>
      <c r="M152" s="98" t="n"/>
      <c r="N152" s="98" t="n"/>
      <c r="O152" s="98" t="n"/>
      <c r="P152" s="98" t="n"/>
      <c r="Q152" s="98" t="n"/>
      <c r="R152" s="149" t="n"/>
      <c r="S152" s="147" t="n"/>
      <c r="T152" s="149" t="n"/>
      <c r="U152" s="147" t="n"/>
      <c r="V152" s="98" t="n"/>
      <c r="W152" s="98" t="n"/>
      <c r="X152" s="149" t="n"/>
      <c r="Y152" s="147" t="n"/>
      <c r="Z152" s="98" t="n"/>
      <c r="AL152" s="29">
        <f>IF(B152="","",IFERROR(INDEX(Schedule!$N$7:$N$18,MATCH(B152,Schedule!$A$7:$A$18,0)),"not in schedule"))</f>
        <v/>
      </c>
      <c r="AM152" s="108">
        <f>IF(B152="","",N(R152)-N(X152))</f>
        <v/>
      </c>
      <c r="AN152" s="144">
        <f>IF(B152="","",IF(Z152&lt;&gt;"",Z152,IF(N(G152)&gt;0,N(N152)/G152,"")))</f>
        <v/>
      </c>
      <c r="AO152" s="107">
        <f>IF(OR(B152="",C152=""),"",WORKDAY(C152,Inputs!$C$132,Lists!$N$4:$N$30))</f>
        <v/>
      </c>
      <c r="AP152" s="29">
        <f>IF(B152="","",IF(U152="","missing",IF(U152&gt;AO152,"Y","N")))</f>
        <v/>
      </c>
      <c r="AQ152" s="29">
        <f>IF(OR(W152="Y",W152="N"),IF(F152="",1,IF(COUNTIFS(F$5:F152,F152,W$5:W152,"Y")+COUNTIFS(F$5:F152,F152,W$5:W152,"N")=1,1,0)),0)</f>
        <v/>
      </c>
      <c r="AR152" s="29">
        <f>IF(W152="Y",IF(F152="",1,IF(COUNTIFS(F$5:F152,F152,W$5:W152,"Y")=1,1,0)),0)</f>
        <v/>
      </c>
    </row>
    <row r="153">
      <c r="A153" s="98" t="n"/>
      <c r="B153" s="98" t="n"/>
      <c r="C153" s="147" t="n"/>
      <c r="D153" s="98" t="n"/>
      <c r="E153" s="98" t="n"/>
      <c r="F153" s="98" t="n"/>
      <c r="G153" s="98" t="n"/>
      <c r="H153" s="98" t="n"/>
      <c r="I153" s="98" t="n"/>
      <c r="J153" s="98" t="n"/>
      <c r="K153" s="98" t="n"/>
      <c r="L153" s="98" t="n"/>
      <c r="M153" s="98" t="n"/>
      <c r="N153" s="98" t="n"/>
      <c r="O153" s="98" t="n"/>
      <c r="P153" s="98" t="n"/>
      <c r="Q153" s="98" t="n"/>
      <c r="R153" s="149" t="n"/>
      <c r="S153" s="147" t="n"/>
      <c r="T153" s="149" t="n"/>
      <c r="U153" s="147" t="n"/>
      <c r="V153" s="98" t="n"/>
      <c r="W153" s="98" t="n"/>
      <c r="X153" s="149" t="n"/>
      <c r="Y153" s="147" t="n"/>
      <c r="Z153" s="98" t="n"/>
      <c r="AL153" s="29">
        <f>IF(B153="","",IFERROR(INDEX(Schedule!$N$7:$N$18,MATCH(B153,Schedule!$A$7:$A$18,0)),"not in schedule"))</f>
        <v/>
      </c>
      <c r="AM153" s="108">
        <f>IF(B153="","",N(R153)-N(X153))</f>
        <v/>
      </c>
      <c r="AN153" s="144">
        <f>IF(B153="","",IF(Z153&lt;&gt;"",Z153,IF(N(G153)&gt;0,N(N153)/G153,"")))</f>
        <v/>
      </c>
      <c r="AO153" s="107">
        <f>IF(OR(B153="",C153=""),"",WORKDAY(C153,Inputs!$C$132,Lists!$N$4:$N$30))</f>
        <v/>
      </c>
      <c r="AP153" s="29">
        <f>IF(B153="","",IF(U153="","missing",IF(U153&gt;AO153,"Y","N")))</f>
        <v/>
      </c>
      <c r="AQ153" s="29">
        <f>IF(OR(W153="Y",W153="N"),IF(F153="",1,IF(COUNTIFS(F$5:F153,F153,W$5:W153,"Y")+COUNTIFS(F$5:F153,F153,W$5:W153,"N")=1,1,0)),0)</f>
        <v/>
      </c>
      <c r="AR153" s="29">
        <f>IF(W153="Y",IF(F153="",1,IF(COUNTIFS(F$5:F153,F153,W$5:W153,"Y")=1,1,0)),0)</f>
        <v/>
      </c>
    </row>
    <row r="154">
      <c r="A154" s="98" t="n"/>
      <c r="B154" s="98" t="n"/>
      <c r="C154" s="147" t="n"/>
      <c r="D154" s="98" t="n"/>
      <c r="E154" s="98" t="n"/>
      <c r="F154" s="98" t="n"/>
      <c r="G154" s="98" t="n"/>
      <c r="H154" s="98" t="n"/>
      <c r="I154" s="98" t="n"/>
      <c r="J154" s="98" t="n"/>
      <c r="K154" s="98" t="n"/>
      <c r="L154" s="98" t="n"/>
      <c r="M154" s="98" t="n"/>
      <c r="N154" s="98" t="n"/>
      <c r="O154" s="98" t="n"/>
      <c r="P154" s="98" t="n"/>
      <c r="Q154" s="98" t="n"/>
      <c r="R154" s="149" t="n"/>
      <c r="S154" s="147" t="n"/>
      <c r="T154" s="149" t="n"/>
      <c r="U154" s="147" t="n"/>
      <c r="V154" s="98" t="n"/>
      <c r="W154" s="98" t="n"/>
      <c r="X154" s="149" t="n"/>
      <c r="Y154" s="147" t="n"/>
      <c r="Z154" s="98" t="n"/>
      <c r="AL154" s="29">
        <f>IF(B154="","",IFERROR(INDEX(Schedule!$N$7:$N$18,MATCH(B154,Schedule!$A$7:$A$18,0)),"not in schedule"))</f>
        <v/>
      </c>
      <c r="AM154" s="108">
        <f>IF(B154="","",N(R154)-N(X154))</f>
        <v/>
      </c>
      <c r="AN154" s="144">
        <f>IF(B154="","",IF(Z154&lt;&gt;"",Z154,IF(N(G154)&gt;0,N(N154)/G154,"")))</f>
        <v/>
      </c>
      <c r="AO154" s="107">
        <f>IF(OR(B154="",C154=""),"",WORKDAY(C154,Inputs!$C$132,Lists!$N$4:$N$30))</f>
        <v/>
      </c>
      <c r="AP154" s="29">
        <f>IF(B154="","",IF(U154="","missing",IF(U154&gt;AO154,"Y","N")))</f>
        <v/>
      </c>
      <c r="AQ154" s="29">
        <f>IF(OR(W154="Y",W154="N"),IF(F154="",1,IF(COUNTIFS(F$5:F154,F154,W$5:W154,"Y")+COUNTIFS(F$5:F154,F154,W$5:W154,"N")=1,1,0)),0)</f>
        <v/>
      </c>
      <c r="AR154" s="29">
        <f>IF(W154="Y",IF(F154="",1,IF(COUNTIFS(F$5:F154,F154,W$5:W154,"Y")=1,1,0)),0)</f>
        <v/>
      </c>
    </row>
    <row r="155">
      <c r="A155" s="98" t="n"/>
      <c r="B155" s="98" t="n"/>
      <c r="C155" s="147" t="n"/>
      <c r="D155" s="98" t="n"/>
      <c r="E155" s="98" t="n"/>
      <c r="F155" s="98" t="n"/>
      <c r="G155" s="98" t="n"/>
      <c r="H155" s="98" t="n"/>
      <c r="I155" s="98" t="n"/>
      <c r="J155" s="98" t="n"/>
      <c r="K155" s="98" t="n"/>
      <c r="L155" s="98" t="n"/>
      <c r="M155" s="98" t="n"/>
      <c r="N155" s="98" t="n"/>
      <c r="O155" s="98" t="n"/>
      <c r="P155" s="98" t="n"/>
      <c r="Q155" s="98" t="n"/>
      <c r="R155" s="149" t="n"/>
      <c r="S155" s="147" t="n"/>
      <c r="T155" s="149" t="n"/>
      <c r="U155" s="147" t="n"/>
      <c r="V155" s="98" t="n"/>
      <c r="W155" s="98" t="n"/>
      <c r="X155" s="149" t="n"/>
      <c r="Y155" s="147" t="n"/>
      <c r="Z155" s="98" t="n"/>
      <c r="AL155" s="29">
        <f>IF(B155="","",IFERROR(INDEX(Schedule!$N$7:$N$18,MATCH(B155,Schedule!$A$7:$A$18,0)),"not in schedule"))</f>
        <v/>
      </c>
      <c r="AM155" s="108">
        <f>IF(B155="","",N(R155)-N(X155))</f>
        <v/>
      </c>
      <c r="AN155" s="144">
        <f>IF(B155="","",IF(Z155&lt;&gt;"",Z155,IF(N(G155)&gt;0,N(N155)/G155,"")))</f>
        <v/>
      </c>
      <c r="AO155" s="107">
        <f>IF(OR(B155="",C155=""),"",WORKDAY(C155,Inputs!$C$132,Lists!$N$4:$N$30))</f>
        <v/>
      </c>
      <c r="AP155" s="29">
        <f>IF(B155="","",IF(U155="","missing",IF(U155&gt;AO155,"Y","N")))</f>
        <v/>
      </c>
      <c r="AQ155" s="29">
        <f>IF(OR(W155="Y",W155="N"),IF(F155="",1,IF(COUNTIFS(F$5:F155,F155,W$5:W155,"Y")+COUNTIFS(F$5:F155,F155,W$5:W155,"N")=1,1,0)),0)</f>
        <v/>
      </c>
      <c r="AR155" s="29">
        <f>IF(W155="Y",IF(F155="",1,IF(COUNTIFS(F$5:F155,F155,W$5:W155,"Y")=1,1,0)),0)</f>
        <v/>
      </c>
    </row>
    <row r="156">
      <c r="A156" s="98" t="n"/>
      <c r="B156" s="98" t="n"/>
      <c r="C156" s="147" t="n"/>
      <c r="D156" s="98" t="n"/>
      <c r="E156" s="98" t="n"/>
      <c r="F156" s="98" t="n"/>
      <c r="G156" s="98" t="n"/>
      <c r="H156" s="98" t="n"/>
      <c r="I156" s="98" t="n"/>
      <c r="J156" s="98" t="n"/>
      <c r="K156" s="98" t="n"/>
      <c r="L156" s="98" t="n"/>
      <c r="M156" s="98" t="n"/>
      <c r="N156" s="98" t="n"/>
      <c r="O156" s="98" t="n"/>
      <c r="P156" s="98" t="n"/>
      <c r="Q156" s="98" t="n"/>
      <c r="R156" s="149" t="n"/>
      <c r="S156" s="147" t="n"/>
      <c r="T156" s="149" t="n"/>
      <c r="U156" s="147" t="n"/>
      <c r="V156" s="98" t="n"/>
      <c r="W156" s="98" t="n"/>
      <c r="X156" s="149" t="n"/>
      <c r="Y156" s="147" t="n"/>
      <c r="Z156" s="98" t="n"/>
      <c r="AL156" s="29">
        <f>IF(B156="","",IFERROR(INDEX(Schedule!$N$7:$N$18,MATCH(B156,Schedule!$A$7:$A$18,0)),"not in schedule"))</f>
        <v/>
      </c>
      <c r="AM156" s="108">
        <f>IF(B156="","",N(R156)-N(X156))</f>
        <v/>
      </c>
      <c r="AN156" s="144">
        <f>IF(B156="","",IF(Z156&lt;&gt;"",Z156,IF(N(G156)&gt;0,N(N156)/G156,"")))</f>
        <v/>
      </c>
      <c r="AO156" s="107">
        <f>IF(OR(B156="",C156=""),"",WORKDAY(C156,Inputs!$C$132,Lists!$N$4:$N$30))</f>
        <v/>
      </c>
      <c r="AP156" s="29">
        <f>IF(B156="","",IF(U156="","missing",IF(U156&gt;AO156,"Y","N")))</f>
        <v/>
      </c>
      <c r="AQ156" s="29">
        <f>IF(OR(W156="Y",W156="N"),IF(F156="",1,IF(COUNTIFS(F$5:F156,F156,W$5:W156,"Y")+COUNTIFS(F$5:F156,F156,W$5:W156,"N")=1,1,0)),0)</f>
        <v/>
      </c>
      <c r="AR156" s="29">
        <f>IF(W156="Y",IF(F156="",1,IF(COUNTIFS(F$5:F156,F156,W$5:W156,"Y")=1,1,0)),0)</f>
        <v/>
      </c>
    </row>
    <row r="157">
      <c r="A157" s="98" t="n"/>
      <c r="B157" s="98" t="n"/>
      <c r="C157" s="147" t="n"/>
      <c r="D157" s="98" t="n"/>
      <c r="E157" s="98" t="n"/>
      <c r="F157" s="98" t="n"/>
      <c r="G157" s="98" t="n"/>
      <c r="H157" s="98" t="n"/>
      <c r="I157" s="98" t="n"/>
      <c r="J157" s="98" t="n"/>
      <c r="K157" s="98" t="n"/>
      <c r="L157" s="98" t="n"/>
      <c r="M157" s="98" t="n"/>
      <c r="N157" s="98" t="n"/>
      <c r="O157" s="98" t="n"/>
      <c r="P157" s="98" t="n"/>
      <c r="Q157" s="98" t="n"/>
      <c r="R157" s="149" t="n"/>
      <c r="S157" s="147" t="n"/>
      <c r="T157" s="149" t="n"/>
      <c r="U157" s="147" t="n"/>
      <c r="V157" s="98" t="n"/>
      <c r="W157" s="98" t="n"/>
      <c r="X157" s="149" t="n"/>
      <c r="Y157" s="147" t="n"/>
      <c r="Z157" s="98" t="n"/>
      <c r="AL157" s="29">
        <f>IF(B157="","",IFERROR(INDEX(Schedule!$N$7:$N$18,MATCH(B157,Schedule!$A$7:$A$18,0)),"not in schedule"))</f>
        <v/>
      </c>
      <c r="AM157" s="108">
        <f>IF(B157="","",N(R157)-N(X157))</f>
        <v/>
      </c>
      <c r="AN157" s="144">
        <f>IF(B157="","",IF(Z157&lt;&gt;"",Z157,IF(N(G157)&gt;0,N(N157)/G157,"")))</f>
        <v/>
      </c>
      <c r="AO157" s="107">
        <f>IF(OR(B157="",C157=""),"",WORKDAY(C157,Inputs!$C$132,Lists!$N$4:$N$30))</f>
        <v/>
      </c>
      <c r="AP157" s="29">
        <f>IF(B157="","",IF(U157="","missing",IF(U157&gt;AO157,"Y","N")))</f>
        <v/>
      </c>
      <c r="AQ157" s="29">
        <f>IF(OR(W157="Y",W157="N"),IF(F157="",1,IF(COUNTIFS(F$5:F157,F157,W$5:W157,"Y")+COUNTIFS(F$5:F157,F157,W$5:W157,"N")=1,1,0)),0)</f>
        <v/>
      </c>
      <c r="AR157" s="29">
        <f>IF(W157="Y",IF(F157="",1,IF(COUNTIFS(F$5:F157,F157,W$5:W157,"Y")=1,1,0)),0)</f>
        <v/>
      </c>
    </row>
    <row r="158">
      <c r="A158" s="98" t="n"/>
      <c r="B158" s="98" t="n"/>
      <c r="C158" s="147" t="n"/>
      <c r="D158" s="98" t="n"/>
      <c r="E158" s="98" t="n"/>
      <c r="F158" s="98" t="n"/>
      <c r="G158" s="98" t="n"/>
      <c r="H158" s="98" t="n"/>
      <c r="I158" s="98" t="n"/>
      <c r="J158" s="98" t="n"/>
      <c r="K158" s="98" t="n"/>
      <c r="L158" s="98" t="n"/>
      <c r="M158" s="98" t="n"/>
      <c r="N158" s="98" t="n"/>
      <c r="O158" s="98" t="n"/>
      <c r="P158" s="98" t="n"/>
      <c r="Q158" s="98" t="n"/>
      <c r="R158" s="149" t="n"/>
      <c r="S158" s="147" t="n"/>
      <c r="T158" s="149" t="n"/>
      <c r="U158" s="147" t="n"/>
      <c r="V158" s="98" t="n"/>
      <c r="W158" s="98" t="n"/>
      <c r="X158" s="149" t="n"/>
      <c r="Y158" s="147" t="n"/>
      <c r="Z158" s="98" t="n"/>
      <c r="AL158" s="29">
        <f>IF(B158="","",IFERROR(INDEX(Schedule!$N$7:$N$18,MATCH(B158,Schedule!$A$7:$A$18,0)),"not in schedule"))</f>
        <v/>
      </c>
      <c r="AM158" s="108">
        <f>IF(B158="","",N(R158)-N(X158))</f>
        <v/>
      </c>
      <c r="AN158" s="144">
        <f>IF(B158="","",IF(Z158&lt;&gt;"",Z158,IF(N(G158)&gt;0,N(N158)/G158,"")))</f>
        <v/>
      </c>
      <c r="AO158" s="107">
        <f>IF(OR(B158="",C158=""),"",WORKDAY(C158,Inputs!$C$132,Lists!$N$4:$N$30))</f>
        <v/>
      </c>
      <c r="AP158" s="29">
        <f>IF(B158="","",IF(U158="","missing",IF(U158&gt;AO158,"Y","N")))</f>
        <v/>
      </c>
      <c r="AQ158" s="29">
        <f>IF(OR(W158="Y",W158="N"),IF(F158="",1,IF(COUNTIFS(F$5:F158,F158,W$5:W158,"Y")+COUNTIFS(F$5:F158,F158,W$5:W158,"N")=1,1,0)),0)</f>
        <v/>
      </c>
      <c r="AR158" s="29">
        <f>IF(W158="Y",IF(F158="",1,IF(COUNTIFS(F$5:F158,F158,W$5:W158,"Y")=1,1,0)),0)</f>
        <v/>
      </c>
    </row>
    <row r="159">
      <c r="A159" s="98" t="n"/>
      <c r="B159" s="98" t="n"/>
      <c r="C159" s="147" t="n"/>
      <c r="D159" s="98" t="n"/>
      <c r="E159" s="98" t="n"/>
      <c r="F159" s="98" t="n"/>
      <c r="G159" s="98" t="n"/>
      <c r="H159" s="98" t="n"/>
      <c r="I159" s="98" t="n"/>
      <c r="J159" s="98" t="n"/>
      <c r="K159" s="98" t="n"/>
      <c r="L159" s="98" t="n"/>
      <c r="M159" s="98" t="n"/>
      <c r="N159" s="98" t="n"/>
      <c r="O159" s="98" t="n"/>
      <c r="P159" s="98" t="n"/>
      <c r="Q159" s="98" t="n"/>
      <c r="R159" s="149" t="n"/>
      <c r="S159" s="147" t="n"/>
      <c r="T159" s="149" t="n"/>
      <c r="U159" s="147" t="n"/>
      <c r="V159" s="98" t="n"/>
      <c r="W159" s="98" t="n"/>
      <c r="X159" s="149" t="n"/>
      <c r="Y159" s="147" t="n"/>
      <c r="Z159" s="98" t="n"/>
      <c r="AL159" s="29">
        <f>IF(B159="","",IFERROR(INDEX(Schedule!$N$7:$N$18,MATCH(B159,Schedule!$A$7:$A$18,0)),"not in schedule"))</f>
        <v/>
      </c>
      <c r="AM159" s="108">
        <f>IF(B159="","",N(R159)-N(X159))</f>
        <v/>
      </c>
      <c r="AN159" s="144">
        <f>IF(B159="","",IF(Z159&lt;&gt;"",Z159,IF(N(G159)&gt;0,N(N159)/G159,"")))</f>
        <v/>
      </c>
      <c r="AO159" s="107">
        <f>IF(OR(B159="",C159=""),"",WORKDAY(C159,Inputs!$C$132,Lists!$N$4:$N$30))</f>
        <v/>
      </c>
      <c r="AP159" s="29">
        <f>IF(B159="","",IF(U159="","missing",IF(U159&gt;AO159,"Y","N")))</f>
        <v/>
      </c>
      <c r="AQ159" s="29">
        <f>IF(OR(W159="Y",W159="N"),IF(F159="",1,IF(COUNTIFS(F$5:F159,F159,W$5:W159,"Y")+COUNTIFS(F$5:F159,F159,W$5:W159,"N")=1,1,0)),0)</f>
        <v/>
      </c>
      <c r="AR159" s="29">
        <f>IF(W159="Y",IF(F159="",1,IF(COUNTIFS(F$5:F159,F159,W$5:W159,"Y")=1,1,0)),0)</f>
        <v/>
      </c>
    </row>
    <row r="160">
      <c r="A160" s="98" t="n"/>
      <c r="B160" s="98" t="n"/>
      <c r="C160" s="147" t="n"/>
      <c r="D160" s="98" t="n"/>
      <c r="E160" s="98" t="n"/>
      <c r="F160" s="98" t="n"/>
      <c r="G160" s="98" t="n"/>
      <c r="H160" s="98" t="n"/>
      <c r="I160" s="98" t="n"/>
      <c r="J160" s="98" t="n"/>
      <c r="K160" s="98" t="n"/>
      <c r="L160" s="98" t="n"/>
      <c r="M160" s="98" t="n"/>
      <c r="N160" s="98" t="n"/>
      <c r="O160" s="98" t="n"/>
      <c r="P160" s="98" t="n"/>
      <c r="Q160" s="98" t="n"/>
      <c r="R160" s="149" t="n"/>
      <c r="S160" s="147" t="n"/>
      <c r="T160" s="149" t="n"/>
      <c r="U160" s="147" t="n"/>
      <c r="V160" s="98" t="n"/>
      <c r="W160" s="98" t="n"/>
      <c r="X160" s="149" t="n"/>
      <c r="Y160" s="147" t="n"/>
      <c r="Z160" s="98" t="n"/>
      <c r="AL160" s="29">
        <f>IF(B160="","",IFERROR(INDEX(Schedule!$N$7:$N$18,MATCH(B160,Schedule!$A$7:$A$18,0)),"not in schedule"))</f>
        <v/>
      </c>
      <c r="AM160" s="108">
        <f>IF(B160="","",N(R160)-N(X160))</f>
        <v/>
      </c>
      <c r="AN160" s="144">
        <f>IF(B160="","",IF(Z160&lt;&gt;"",Z160,IF(N(G160)&gt;0,N(N160)/G160,"")))</f>
        <v/>
      </c>
      <c r="AO160" s="107">
        <f>IF(OR(B160="",C160=""),"",WORKDAY(C160,Inputs!$C$132,Lists!$N$4:$N$30))</f>
        <v/>
      </c>
      <c r="AP160" s="29">
        <f>IF(B160="","",IF(U160="","missing",IF(U160&gt;AO160,"Y","N")))</f>
        <v/>
      </c>
      <c r="AQ160" s="29">
        <f>IF(OR(W160="Y",W160="N"),IF(F160="",1,IF(COUNTIFS(F$5:F160,F160,W$5:W160,"Y")+COUNTIFS(F$5:F160,F160,W$5:W160,"N")=1,1,0)),0)</f>
        <v/>
      </c>
      <c r="AR160" s="29">
        <f>IF(W160="Y",IF(F160="",1,IF(COUNTIFS(F$5:F160,F160,W$5:W160,"Y")=1,1,0)),0)</f>
        <v/>
      </c>
    </row>
    <row r="161">
      <c r="A161" s="98" t="n"/>
      <c r="B161" s="98" t="n"/>
      <c r="C161" s="147" t="n"/>
      <c r="D161" s="98" t="n"/>
      <c r="E161" s="98" t="n"/>
      <c r="F161" s="98" t="n"/>
      <c r="G161" s="98" t="n"/>
      <c r="H161" s="98" t="n"/>
      <c r="I161" s="98" t="n"/>
      <c r="J161" s="98" t="n"/>
      <c r="K161" s="98" t="n"/>
      <c r="L161" s="98" t="n"/>
      <c r="M161" s="98" t="n"/>
      <c r="N161" s="98" t="n"/>
      <c r="O161" s="98" t="n"/>
      <c r="P161" s="98" t="n"/>
      <c r="Q161" s="98" t="n"/>
      <c r="R161" s="149" t="n"/>
      <c r="S161" s="147" t="n"/>
      <c r="T161" s="149" t="n"/>
      <c r="U161" s="147" t="n"/>
      <c r="V161" s="98" t="n"/>
      <c r="W161" s="98" t="n"/>
      <c r="X161" s="149" t="n"/>
      <c r="Y161" s="147" t="n"/>
      <c r="Z161" s="98" t="n"/>
      <c r="AL161" s="29">
        <f>IF(B161="","",IFERROR(INDEX(Schedule!$N$7:$N$18,MATCH(B161,Schedule!$A$7:$A$18,0)),"not in schedule"))</f>
        <v/>
      </c>
      <c r="AM161" s="108">
        <f>IF(B161="","",N(R161)-N(X161))</f>
        <v/>
      </c>
      <c r="AN161" s="144">
        <f>IF(B161="","",IF(Z161&lt;&gt;"",Z161,IF(N(G161)&gt;0,N(N161)/G161,"")))</f>
        <v/>
      </c>
      <c r="AO161" s="107">
        <f>IF(OR(B161="",C161=""),"",WORKDAY(C161,Inputs!$C$132,Lists!$N$4:$N$30))</f>
        <v/>
      </c>
      <c r="AP161" s="29">
        <f>IF(B161="","",IF(U161="","missing",IF(U161&gt;AO161,"Y","N")))</f>
        <v/>
      </c>
      <c r="AQ161" s="29">
        <f>IF(OR(W161="Y",W161="N"),IF(F161="",1,IF(COUNTIFS(F$5:F161,F161,W$5:W161,"Y")+COUNTIFS(F$5:F161,F161,W$5:W161,"N")=1,1,0)),0)</f>
        <v/>
      </c>
      <c r="AR161" s="29">
        <f>IF(W161="Y",IF(F161="",1,IF(COUNTIFS(F$5:F161,F161,W$5:W161,"Y")=1,1,0)),0)</f>
        <v/>
      </c>
    </row>
    <row r="162">
      <c r="A162" s="98" t="n"/>
      <c r="B162" s="98" t="n"/>
      <c r="C162" s="147" t="n"/>
      <c r="D162" s="98" t="n"/>
      <c r="E162" s="98" t="n"/>
      <c r="F162" s="98" t="n"/>
      <c r="G162" s="98" t="n"/>
      <c r="H162" s="98" t="n"/>
      <c r="I162" s="98" t="n"/>
      <c r="J162" s="98" t="n"/>
      <c r="K162" s="98" t="n"/>
      <c r="L162" s="98" t="n"/>
      <c r="M162" s="98" t="n"/>
      <c r="N162" s="98" t="n"/>
      <c r="O162" s="98" t="n"/>
      <c r="P162" s="98" t="n"/>
      <c r="Q162" s="98" t="n"/>
      <c r="R162" s="149" t="n"/>
      <c r="S162" s="147" t="n"/>
      <c r="T162" s="149" t="n"/>
      <c r="U162" s="147" t="n"/>
      <c r="V162" s="98" t="n"/>
      <c r="W162" s="98" t="n"/>
      <c r="X162" s="149" t="n"/>
      <c r="Y162" s="147" t="n"/>
      <c r="Z162" s="98" t="n"/>
      <c r="AL162" s="29">
        <f>IF(B162="","",IFERROR(INDEX(Schedule!$N$7:$N$18,MATCH(B162,Schedule!$A$7:$A$18,0)),"not in schedule"))</f>
        <v/>
      </c>
      <c r="AM162" s="108">
        <f>IF(B162="","",N(R162)-N(X162))</f>
        <v/>
      </c>
      <c r="AN162" s="144">
        <f>IF(B162="","",IF(Z162&lt;&gt;"",Z162,IF(N(G162)&gt;0,N(N162)/G162,"")))</f>
        <v/>
      </c>
      <c r="AO162" s="107">
        <f>IF(OR(B162="",C162=""),"",WORKDAY(C162,Inputs!$C$132,Lists!$N$4:$N$30))</f>
        <v/>
      </c>
      <c r="AP162" s="29">
        <f>IF(B162="","",IF(U162="","missing",IF(U162&gt;AO162,"Y","N")))</f>
        <v/>
      </c>
      <c r="AQ162" s="29">
        <f>IF(OR(W162="Y",W162="N"),IF(F162="",1,IF(COUNTIFS(F$5:F162,F162,W$5:W162,"Y")+COUNTIFS(F$5:F162,F162,W$5:W162,"N")=1,1,0)),0)</f>
        <v/>
      </c>
      <c r="AR162" s="29">
        <f>IF(W162="Y",IF(F162="",1,IF(COUNTIFS(F$5:F162,F162,W$5:W162,"Y")=1,1,0)),0)</f>
        <v/>
      </c>
    </row>
    <row r="163">
      <c r="A163" s="98" t="n"/>
      <c r="B163" s="98" t="n"/>
      <c r="C163" s="147" t="n"/>
      <c r="D163" s="98" t="n"/>
      <c r="E163" s="98" t="n"/>
      <c r="F163" s="98" t="n"/>
      <c r="G163" s="98" t="n"/>
      <c r="H163" s="98" t="n"/>
      <c r="I163" s="98" t="n"/>
      <c r="J163" s="98" t="n"/>
      <c r="K163" s="98" t="n"/>
      <c r="L163" s="98" t="n"/>
      <c r="M163" s="98" t="n"/>
      <c r="N163" s="98" t="n"/>
      <c r="O163" s="98" t="n"/>
      <c r="P163" s="98" t="n"/>
      <c r="Q163" s="98" t="n"/>
      <c r="R163" s="149" t="n"/>
      <c r="S163" s="147" t="n"/>
      <c r="T163" s="149" t="n"/>
      <c r="U163" s="147" t="n"/>
      <c r="V163" s="98" t="n"/>
      <c r="W163" s="98" t="n"/>
      <c r="X163" s="149" t="n"/>
      <c r="Y163" s="147" t="n"/>
      <c r="Z163" s="98" t="n"/>
      <c r="AL163" s="29">
        <f>IF(B163="","",IFERROR(INDEX(Schedule!$N$7:$N$18,MATCH(B163,Schedule!$A$7:$A$18,0)),"not in schedule"))</f>
        <v/>
      </c>
      <c r="AM163" s="108">
        <f>IF(B163="","",N(R163)-N(X163))</f>
        <v/>
      </c>
      <c r="AN163" s="144">
        <f>IF(B163="","",IF(Z163&lt;&gt;"",Z163,IF(N(G163)&gt;0,N(N163)/G163,"")))</f>
        <v/>
      </c>
      <c r="AO163" s="107">
        <f>IF(OR(B163="",C163=""),"",WORKDAY(C163,Inputs!$C$132,Lists!$N$4:$N$30))</f>
        <v/>
      </c>
      <c r="AP163" s="29">
        <f>IF(B163="","",IF(U163="","missing",IF(U163&gt;AO163,"Y","N")))</f>
        <v/>
      </c>
      <c r="AQ163" s="29">
        <f>IF(OR(W163="Y",W163="N"),IF(F163="",1,IF(COUNTIFS(F$5:F163,F163,W$5:W163,"Y")+COUNTIFS(F$5:F163,F163,W$5:W163,"N")=1,1,0)),0)</f>
        <v/>
      </c>
      <c r="AR163" s="29">
        <f>IF(W163="Y",IF(F163="",1,IF(COUNTIFS(F$5:F163,F163,W$5:W163,"Y")=1,1,0)),0)</f>
        <v/>
      </c>
    </row>
    <row r="164">
      <c r="A164" s="98" t="n"/>
      <c r="B164" s="98" t="n"/>
      <c r="C164" s="147" t="n"/>
      <c r="D164" s="98" t="n"/>
      <c r="E164" s="98" t="n"/>
      <c r="F164" s="98" t="n"/>
      <c r="G164" s="98" t="n"/>
      <c r="H164" s="98" t="n"/>
      <c r="I164" s="98" t="n"/>
      <c r="J164" s="98" t="n"/>
      <c r="K164" s="98" t="n"/>
      <c r="L164" s="98" t="n"/>
      <c r="M164" s="98" t="n"/>
      <c r="N164" s="98" t="n"/>
      <c r="O164" s="98" t="n"/>
      <c r="P164" s="98" t="n"/>
      <c r="Q164" s="98" t="n"/>
      <c r="R164" s="149" t="n"/>
      <c r="S164" s="147" t="n"/>
      <c r="T164" s="149" t="n"/>
      <c r="U164" s="147" t="n"/>
      <c r="V164" s="98" t="n"/>
      <c r="W164" s="98" t="n"/>
      <c r="X164" s="149" t="n"/>
      <c r="Y164" s="147" t="n"/>
      <c r="Z164" s="98" t="n"/>
      <c r="AL164" s="29">
        <f>IF(B164="","",IFERROR(INDEX(Schedule!$N$7:$N$18,MATCH(B164,Schedule!$A$7:$A$18,0)),"not in schedule"))</f>
        <v/>
      </c>
      <c r="AM164" s="108">
        <f>IF(B164="","",N(R164)-N(X164))</f>
        <v/>
      </c>
      <c r="AN164" s="144">
        <f>IF(B164="","",IF(Z164&lt;&gt;"",Z164,IF(N(G164)&gt;0,N(N164)/G164,"")))</f>
        <v/>
      </c>
      <c r="AO164" s="107">
        <f>IF(OR(B164="",C164=""),"",WORKDAY(C164,Inputs!$C$132,Lists!$N$4:$N$30))</f>
        <v/>
      </c>
      <c r="AP164" s="29">
        <f>IF(B164="","",IF(U164="","missing",IF(U164&gt;AO164,"Y","N")))</f>
        <v/>
      </c>
      <c r="AQ164" s="29">
        <f>IF(OR(W164="Y",W164="N"),IF(F164="",1,IF(COUNTIFS(F$5:F164,F164,W$5:W164,"Y")+COUNTIFS(F$5:F164,F164,W$5:W164,"N")=1,1,0)),0)</f>
        <v/>
      </c>
      <c r="AR164" s="29">
        <f>IF(W164="Y",IF(F164="",1,IF(COUNTIFS(F$5:F164,F164,W$5:W164,"Y")=1,1,0)),0)</f>
        <v/>
      </c>
    </row>
    <row r="165">
      <c r="A165" s="98" t="n"/>
      <c r="B165" s="98" t="n"/>
      <c r="C165" s="147" t="n"/>
      <c r="D165" s="98" t="n"/>
      <c r="E165" s="98" t="n"/>
      <c r="F165" s="98" t="n"/>
      <c r="G165" s="98" t="n"/>
      <c r="H165" s="98" t="n"/>
      <c r="I165" s="98" t="n"/>
      <c r="J165" s="98" t="n"/>
      <c r="K165" s="98" t="n"/>
      <c r="L165" s="98" t="n"/>
      <c r="M165" s="98" t="n"/>
      <c r="N165" s="98" t="n"/>
      <c r="O165" s="98" t="n"/>
      <c r="P165" s="98" t="n"/>
      <c r="Q165" s="98" t="n"/>
      <c r="R165" s="149" t="n"/>
      <c r="S165" s="147" t="n"/>
      <c r="T165" s="149" t="n"/>
      <c r="U165" s="147" t="n"/>
      <c r="V165" s="98" t="n"/>
      <c r="W165" s="98" t="n"/>
      <c r="X165" s="149" t="n"/>
      <c r="Y165" s="147" t="n"/>
      <c r="Z165" s="98" t="n"/>
      <c r="AL165" s="29">
        <f>IF(B165="","",IFERROR(INDEX(Schedule!$N$7:$N$18,MATCH(B165,Schedule!$A$7:$A$18,0)),"not in schedule"))</f>
        <v/>
      </c>
      <c r="AM165" s="108">
        <f>IF(B165="","",N(R165)-N(X165))</f>
        <v/>
      </c>
      <c r="AN165" s="144">
        <f>IF(B165="","",IF(Z165&lt;&gt;"",Z165,IF(N(G165)&gt;0,N(N165)/G165,"")))</f>
        <v/>
      </c>
      <c r="AO165" s="107">
        <f>IF(OR(B165="",C165=""),"",WORKDAY(C165,Inputs!$C$132,Lists!$N$4:$N$30))</f>
        <v/>
      </c>
      <c r="AP165" s="29">
        <f>IF(B165="","",IF(U165="","missing",IF(U165&gt;AO165,"Y","N")))</f>
        <v/>
      </c>
      <c r="AQ165" s="29">
        <f>IF(OR(W165="Y",W165="N"),IF(F165="",1,IF(COUNTIFS(F$5:F165,F165,W$5:W165,"Y")+COUNTIFS(F$5:F165,F165,W$5:W165,"N")=1,1,0)),0)</f>
        <v/>
      </c>
      <c r="AR165" s="29">
        <f>IF(W165="Y",IF(F165="",1,IF(COUNTIFS(F$5:F165,F165,W$5:W165,"Y")=1,1,0)),0)</f>
        <v/>
      </c>
    </row>
    <row r="166">
      <c r="A166" s="98" t="n"/>
      <c r="B166" s="98" t="n"/>
      <c r="C166" s="147" t="n"/>
      <c r="D166" s="98" t="n"/>
      <c r="E166" s="98" t="n"/>
      <c r="F166" s="98" t="n"/>
      <c r="G166" s="98" t="n"/>
      <c r="H166" s="98" t="n"/>
      <c r="I166" s="98" t="n"/>
      <c r="J166" s="98" t="n"/>
      <c r="K166" s="98" t="n"/>
      <c r="L166" s="98" t="n"/>
      <c r="M166" s="98" t="n"/>
      <c r="N166" s="98" t="n"/>
      <c r="O166" s="98" t="n"/>
      <c r="P166" s="98" t="n"/>
      <c r="Q166" s="98" t="n"/>
      <c r="R166" s="149" t="n"/>
      <c r="S166" s="147" t="n"/>
      <c r="T166" s="149" t="n"/>
      <c r="U166" s="147" t="n"/>
      <c r="V166" s="98" t="n"/>
      <c r="W166" s="98" t="n"/>
      <c r="X166" s="149" t="n"/>
      <c r="Y166" s="147" t="n"/>
      <c r="Z166" s="98" t="n"/>
      <c r="AL166" s="29">
        <f>IF(B166="","",IFERROR(INDEX(Schedule!$N$7:$N$18,MATCH(B166,Schedule!$A$7:$A$18,0)),"not in schedule"))</f>
        <v/>
      </c>
      <c r="AM166" s="108">
        <f>IF(B166="","",N(R166)-N(X166))</f>
        <v/>
      </c>
      <c r="AN166" s="144">
        <f>IF(B166="","",IF(Z166&lt;&gt;"",Z166,IF(N(G166)&gt;0,N(N166)/G166,"")))</f>
        <v/>
      </c>
      <c r="AO166" s="107">
        <f>IF(OR(B166="",C166=""),"",WORKDAY(C166,Inputs!$C$132,Lists!$N$4:$N$30))</f>
        <v/>
      </c>
      <c r="AP166" s="29">
        <f>IF(B166="","",IF(U166="","missing",IF(U166&gt;AO166,"Y","N")))</f>
        <v/>
      </c>
      <c r="AQ166" s="29">
        <f>IF(OR(W166="Y",W166="N"),IF(F166="",1,IF(COUNTIFS(F$5:F166,F166,W$5:W166,"Y")+COUNTIFS(F$5:F166,F166,W$5:W166,"N")=1,1,0)),0)</f>
        <v/>
      </c>
      <c r="AR166" s="29">
        <f>IF(W166="Y",IF(F166="",1,IF(COUNTIFS(F$5:F166,F166,W$5:W166,"Y")=1,1,0)),0)</f>
        <v/>
      </c>
    </row>
    <row r="167">
      <c r="A167" s="98" t="n"/>
      <c r="B167" s="98" t="n"/>
      <c r="C167" s="147" t="n"/>
      <c r="D167" s="98" t="n"/>
      <c r="E167" s="98" t="n"/>
      <c r="F167" s="98" t="n"/>
      <c r="G167" s="98" t="n"/>
      <c r="H167" s="98" t="n"/>
      <c r="I167" s="98" t="n"/>
      <c r="J167" s="98" t="n"/>
      <c r="K167" s="98" t="n"/>
      <c r="L167" s="98" t="n"/>
      <c r="M167" s="98" t="n"/>
      <c r="N167" s="98" t="n"/>
      <c r="O167" s="98" t="n"/>
      <c r="P167" s="98" t="n"/>
      <c r="Q167" s="98" t="n"/>
      <c r="R167" s="149" t="n"/>
      <c r="S167" s="147" t="n"/>
      <c r="T167" s="149" t="n"/>
      <c r="U167" s="147" t="n"/>
      <c r="V167" s="98" t="n"/>
      <c r="W167" s="98" t="n"/>
      <c r="X167" s="149" t="n"/>
      <c r="Y167" s="147" t="n"/>
      <c r="Z167" s="98" t="n"/>
      <c r="AL167" s="29">
        <f>IF(B167="","",IFERROR(INDEX(Schedule!$N$7:$N$18,MATCH(B167,Schedule!$A$7:$A$18,0)),"not in schedule"))</f>
        <v/>
      </c>
      <c r="AM167" s="108">
        <f>IF(B167="","",N(R167)-N(X167))</f>
        <v/>
      </c>
      <c r="AN167" s="144">
        <f>IF(B167="","",IF(Z167&lt;&gt;"",Z167,IF(N(G167)&gt;0,N(N167)/G167,"")))</f>
        <v/>
      </c>
      <c r="AO167" s="107">
        <f>IF(OR(B167="",C167=""),"",WORKDAY(C167,Inputs!$C$132,Lists!$N$4:$N$30))</f>
        <v/>
      </c>
      <c r="AP167" s="29">
        <f>IF(B167="","",IF(U167="","missing",IF(U167&gt;AO167,"Y","N")))</f>
        <v/>
      </c>
      <c r="AQ167" s="29">
        <f>IF(OR(W167="Y",W167="N"),IF(F167="",1,IF(COUNTIFS(F$5:F167,F167,W$5:W167,"Y")+COUNTIFS(F$5:F167,F167,W$5:W167,"N")=1,1,0)),0)</f>
        <v/>
      </c>
      <c r="AR167" s="29">
        <f>IF(W167="Y",IF(F167="",1,IF(COUNTIFS(F$5:F167,F167,W$5:W167,"Y")=1,1,0)),0)</f>
        <v/>
      </c>
    </row>
    <row r="168">
      <c r="A168" s="98" t="n"/>
      <c r="B168" s="98" t="n"/>
      <c r="C168" s="147" t="n"/>
      <c r="D168" s="98" t="n"/>
      <c r="E168" s="98" t="n"/>
      <c r="F168" s="98" t="n"/>
      <c r="G168" s="98" t="n"/>
      <c r="H168" s="98" t="n"/>
      <c r="I168" s="98" t="n"/>
      <c r="J168" s="98" t="n"/>
      <c r="K168" s="98" t="n"/>
      <c r="L168" s="98" t="n"/>
      <c r="M168" s="98" t="n"/>
      <c r="N168" s="98" t="n"/>
      <c r="O168" s="98" t="n"/>
      <c r="P168" s="98" t="n"/>
      <c r="Q168" s="98" t="n"/>
      <c r="R168" s="149" t="n"/>
      <c r="S168" s="147" t="n"/>
      <c r="T168" s="149" t="n"/>
      <c r="U168" s="147" t="n"/>
      <c r="V168" s="98" t="n"/>
      <c r="W168" s="98" t="n"/>
      <c r="X168" s="149" t="n"/>
      <c r="Y168" s="147" t="n"/>
      <c r="Z168" s="98" t="n"/>
      <c r="AL168" s="29">
        <f>IF(B168="","",IFERROR(INDEX(Schedule!$N$7:$N$18,MATCH(B168,Schedule!$A$7:$A$18,0)),"not in schedule"))</f>
        <v/>
      </c>
      <c r="AM168" s="108">
        <f>IF(B168="","",N(R168)-N(X168))</f>
        <v/>
      </c>
      <c r="AN168" s="144">
        <f>IF(B168="","",IF(Z168&lt;&gt;"",Z168,IF(N(G168)&gt;0,N(N168)/G168,"")))</f>
        <v/>
      </c>
      <c r="AO168" s="107">
        <f>IF(OR(B168="",C168=""),"",WORKDAY(C168,Inputs!$C$132,Lists!$N$4:$N$30))</f>
        <v/>
      </c>
      <c r="AP168" s="29">
        <f>IF(B168="","",IF(U168="","missing",IF(U168&gt;AO168,"Y","N")))</f>
        <v/>
      </c>
      <c r="AQ168" s="29">
        <f>IF(OR(W168="Y",W168="N"),IF(F168="",1,IF(COUNTIFS(F$5:F168,F168,W$5:W168,"Y")+COUNTIFS(F$5:F168,F168,W$5:W168,"N")=1,1,0)),0)</f>
        <v/>
      </c>
      <c r="AR168" s="29">
        <f>IF(W168="Y",IF(F168="",1,IF(COUNTIFS(F$5:F168,F168,W$5:W168,"Y")=1,1,0)),0)</f>
        <v/>
      </c>
    </row>
    <row r="169">
      <c r="A169" s="98" t="n"/>
      <c r="B169" s="98" t="n"/>
      <c r="C169" s="147" t="n"/>
      <c r="D169" s="98" t="n"/>
      <c r="E169" s="98" t="n"/>
      <c r="F169" s="98" t="n"/>
      <c r="G169" s="98" t="n"/>
      <c r="H169" s="98" t="n"/>
      <c r="I169" s="98" t="n"/>
      <c r="J169" s="98" t="n"/>
      <c r="K169" s="98" t="n"/>
      <c r="L169" s="98" t="n"/>
      <c r="M169" s="98" t="n"/>
      <c r="N169" s="98" t="n"/>
      <c r="O169" s="98" t="n"/>
      <c r="P169" s="98" t="n"/>
      <c r="Q169" s="98" t="n"/>
      <c r="R169" s="149" t="n"/>
      <c r="S169" s="147" t="n"/>
      <c r="T169" s="149" t="n"/>
      <c r="U169" s="147" t="n"/>
      <c r="V169" s="98" t="n"/>
      <c r="W169" s="98" t="n"/>
      <c r="X169" s="149" t="n"/>
      <c r="Y169" s="147" t="n"/>
      <c r="Z169" s="98" t="n"/>
      <c r="AL169" s="29">
        <f>IF(B169="","",IFERROR(INDEX(Schedule!$N$7:$N$18,MATCH(B169,Schedule!$A$7:$A$18,0)),"not in schedule"))</f>
        <v/>
      </c>
      <c r="AM169" s="108">
        <f>IF(B169="","",N(R169)-N(X169))</f>
        <v/>
      </c>
      <c r="AN169" s="144">
        <f>IF(B169="","",IF(Z169&lt;&gt;"",Z169,IF(N(G169)&gt;0,N(N169)/G169,"")))</f>
        <v/>
      </c>
      <c r="AO169" s="107">
        <f>IF(OR(B169="",C169=""),"",WORKDAY(C169,Inputs!$C$132,Lists!$N$4:$N$30))</f>
        <v/>
      </c>
      <c r="AP169" s="29">
        <f>IF(B169="","",IF(U169="","missing",IF(U169&gt;AO169,"Y","N")))</f>
        <v/>
      </c>
      <c r="AQ169" s="29">
        <f>IF(OR(W169="Y",W169="N"),IF(F169="",1,IF(COUNTIFS(F$5:F169,F169,W$5:W169,"Y")+COUNTIFS(F$5:F169,F169,W$5:W169,"N")=1,1,0)),0)</f>
        <v/>
      </c>
      <c r="AR169" s="29">
        <f>IF(W169="Y",IF(F169="",1,IF(COUNTIFS(F$5:F169,F169,W$5:W169,"Y")=1,1,0)),0)</f>
        <v/>
      </c>
    </row>
    <row r="170">
      <c r="A170" s="98" t="n"/>
      <c r="B170" s="98" t="n"/>
      <c r="C170" s="147" t="n"/>
      <c r="D170" s="98" t="n"/>
      <c r="E170" s="98" t="n"/>
      <c r="F170" s="98" t="n"/>
      <c r="G170" s="98" t="n"/>
      <c r="H170" s="98" t="n"/>
      <c r="I170" s="98" t="n"/>
      <c r="J170" s="98" t="n"/>
      <c r="K170" s="98" t="n"/>
      <c r="L170" s="98" t="n"/>
      <c r="M170" s="98" t="n"/>
      <c r="N170" s="98" t="n"/>
      <c r="O170" s="98" t="n"/>
      <c r="P170" s="98" t="n"/>
      <c r="Q170" s="98" t="n"/>
      <c r="R170" s="149" t="n"/>
      <c r="S170" s="147" t="n"/>
      <c r="T170" s="149" t="n"/>
      <c r="U170" s="147" t="n"/>
      <c r="V170" s="98" t="n"/>
      <c r="W170" s="98" t="n"/>
      <c r="X170" s="149" t="n"/>
      <c r="Y170" s="147" t="n"/>
      <c r="Z170" s="98" t="n"/>
      <c r="AL170" s="29">
        <f>IF(B170="","",IFERROR(INDEX(Schedule!$N$7:$N$18,MATCH(B170,Schedule!$A$7:$A$18,0)),"not in schedule"))</f>
        <v/>
      </c>
      <c r="AM170" s="108">
        <f>IF(B170="","",N(R170)-N(X170))</f>
        <v/>
      </c>
      <c r="AN170" s="144">
        <f>IF(B170="","",IF(Z170&lt;&gt;"",Z170,IF(N(G170)&gt;0,N(N170)/G170,"")))</f>
        <v/>
      </c>
      <c r="AO170" s="107">
        <f>IF(OR(B170="",C170=""),"",WORKDAY(C170,Inputs!$C$132,Lists!$N$4:$N$30))</f>
        <v/>
      </c>
      <c r="AP170" s="29">
        <f>IF(B170="","",IF(U170="","missing",IF(U170&gt;AO170,"Y","N")))</f>
        <v/>
      </c>
      <c r="AQ170" s="29">
        <f>IF(OR(W170="Y",W170="N"),IF(F170="",1,IF(COUNTIFS(F$5:F170,F170,W$5:W170,"Y")+COUNTIFS(F$5:F170,F170,W$5:W170,"N")=1,1,0)),0)</f>
        <v/>
      </c>
      <c r="AR170" s="29">
        <f>IF(W170="Y",IF(F170="",1,IF(COUNTIFS(F$5:F170,F170,W$5:W170,"Y")=1,1,0)),0)</f>
        <v/>
      </c>
    </row>
    <row r="171">
      <c r="A171" s="98" t="n"/>
      <c r="B171" s="98" t="n"/>
      <c r="C171" s="147" t="n"/>
      <c r="D171" s="98" t="n"/>
      <c r="E171" s="98" t="n"/>
      <c r="F171" s="98" t="n"/>
      <c r="G171" s="98" t="n"/>
      <c r="H171" s="98" t="n"/>
      <c r="I171" s="98" t="n"/>
      <c r="J171" s="98" t="n"/>
      <c r="K171" s="98" t="n"/>
      <c r="L171" s="98" t="n"/>
      <c r="M171" s="98" t="n"/>
      <c r="N171" s="98" t="n"/>
      <c r="O171" s="98" t="n"/>
      <c r="P171" s="98" t="n"/>
      <c r="Q171" s="98" t="n"/>
      <c r="R171" s="149" t="n"/>
      <c r="S171" s="147" t="n"/>
      <c r="T171" s="149" t="n"/>
      <c r="U171" s="147" t="n"/>
      <c r="V171" s="98" t="n"/>
      <c r="W171" s="98" t="n"/>
      <c r="X171" s="149" t="n"/>
      <c r="Y171" s="147" t="n"/>
      <c r="Z171" s="98" t="n"/>
      <c r="AL171" s="29">
        <f>IF(B171="","",IFERROR(INDEX(Schedule!$N$7:$N$18,MATCH(B171,Schedule!$A$7:$A$18,0)),"not in schedule"))</f>
        <v/>
      </c>
      <c r="AM171" s="108">
        <f>IF(B171="","",N(R171)-N(X171))</f>
        <v/>
      </c>
      <c r="AN171" s="144">
        <f>IF(B171="","",IF(Z171&lt;&gt;"",Z171,IF(N(G171)&gt;0,N(N171)/G171,"")))</f>
        <v/>
      </c>
      <c r="AO171" s="107">
        <f>IF(OR(B171="",C171=""),"",WORKDAY(C171,Inputs!$C$132,Lists!$N$4:$N$30))</f>
        <v/>
      </c>
      <c r="AP171" s="29">
        <f>IF(B171="","",IF(U171="","missing",IF(U171&gt;AO171,"Y","N")))</f>
        <v/>
      </c>
      <c r="AQ171" s="29">
        <f>IF(OR(W171="Y",W171="N"),IF(F171="",1,IF(COUNTIFS(F$5:F171,F171,W$5:W171,"Y")+COUNTIFS(F$5:F171,F171,W$5:W171,"N")=1,1,0)),0)</f>
        <v/>
      </c>
      <c r="AR171" s="29">
        <f>IF(W171="Y",IF(F171="",1,IF(COUNTIFS(F$5:F171,F171,W$5:W171,"Y")=1,1,0)),0)</f>
        <v/>
      </c>
    </row>
    <row r="172">
      <c r="A172" s="98" t="n"/>
      <c r="B172" s="98" t="n"/>
      <c r="C172" s="147" t="n"/>
      <c r="D172" s="98" t="n"/>
      <c r="E172" s="98" t="n"/>
      <c r="F172" s="98" t="n"/>
      <c r="G172" s="98" t="n"/>
      <c r="H172" s="98" t="n"/>
      <c r="I172" s="98" t="n"/>
      <c r="J172" s="98" t="n"/>
      <c r="K172" s="98" t="n"/>
      <c r="L172" s="98" t="n"/>
      <c r="M172" s="98" t="n"/>
      <c r="N172" s="98" t="n"/>
      <c r="O172" s="98" t="n"/>
      <c r="P172" s="98" t="n"/>
      <c r="Q172" s="98" t="n"/>
      <c r="R172" s="149" t="n"/>
      <c r="S172" s="147" t="n"/>
      <c r="T172" s="149" t="n"/>
      <c r="U172" s="147" t="n"/>
      <c r="V172" s="98" t="n"/>
      <c r="W172" s="98" t="n"/>
      <c r="X172" s="149" t="n"/>
      <c r="Y172" s="147" t="n"/>
      <c r="Z172" s="98" t="n"/>
      <c r="AL172" s="29">
        <f>IF(B172="","",IFERROR(INDEX(Schedule!$N$7:$N$18,MATCH(B172,Schedule!$A$7:$A$18,0)),"not in schedule"))</f>
        <v/>
      </c>
      <c r="AM172" s="108">
        <f>IF(B172="","",N(R172)-N(X172))</f>
        <v/>
      </c>
      <c r="AN172" s="144">
        <f>IF(B172="","",IF(Z172&lt;&gt;"",Z172,IF(N(G172)&gt;0,N(N172)/G172,"")))</f>
        <v/>
      </c>
      <c r="AO172" s="107">
        <f>IF(OR(B172="",C172=""),"",WORKDAY(C172,Inputs!$C$132,Lists!$N$4:$N$30))</f>
        <v/>
      </c>
      <c r="AP172" s="29">
        <f>IF(B172="","",IF(U172="","missing",IF(U172&gt;AO172,"Y","N")))</f>
        <v/>
      </c>
      <c r="AQ172" s="29">
        <f>IF(OR(W172="Y",W172="N"),IF(F172="",1,IF(COUNTIFS(F$5:F172,F172,W$5:W172,"Y")+COUNTIFS(F$5:F172,F172,W$5:W172,"N")=1,1,0)),0)</f>
        <v/>
      </c>
      <c r="AR172" s="29">
        <f>IF(W172="Y",IF(F172="",1,IF(COUNTIFS(F$5:F172,F172,W$5:W172,"Y")=1,1,0)),0)</f>
        <v/>
      </c>
    </row>
    <row r="173">
      <c r="A173" s="98" t="n"/>
      <c r="B173" s="98" t="n"/>
      <c r="C173" s="147" t="n"/>
      <c r="D173" s="98" t="n"/>
      <c r="E173" s="98" t="n"/>
      <c r="F173" s="98" t="n"/>
      <c r="G173" s="98" t="n"/>
      <c r="H173" s="98" t="n"/>
      <c r="I173" s="98" t="n"/>
      <c r="J173" s="98" t="n"/>
      <c r="K173" s="98" t="n"/>
      <c r="L173" s="98" t="n"/>
      <c r="M173" s="98" t="n"/>
      <c r="N173" s="98" t="n"/>
      <c r="O173" s="98" t="n"/>
      <c r="P173" s="98" t="n"/>
      <c r="Q173" s="98" t="n"/>
      <c r="R173" s="149" t="n"/>
      <c r="S173" s="147" t="n"/>
      <c r="T173" s="149" t="n"/>
      <c r="U173" s="147" t="n"/>
      <c r="V173" s="98" t="n"/>
      <c r="W173" s="98" t="n"/>
      <c r="X173" s="149" t="n"/>
      <c r="Y173" s="147" t="n"/>
      <c r="Z173" s="98" t="n"/>
      <c r="AL173" s="29">
        <f>IF(B173="","",IFERROR(INDEX(Schedule!$N$7:$N$18,MATCH(B173,Schedule!$A$7:$A$18,0)),"not in schedule"))</f>
        <v/>
      </c>
      <c r="AM173" s="108">
        <f>IF(B173="","",N(R173)-N(X173))</f>
        <v/>
      </c>
      <c r="AN173" s="144">
        <f>IF(B173="","",IF(Z173&lt;&gt;"",Z173,IF(N(G173)&gt;0,N(N173)/G173,"")))</f>
        <v/>
      </c>
      <c r="AO173" s="107">
        <f>IF(OR(B173="",C173=""),"",WORKDAY(C173,Inputs!$C$132,Lists!$N$4:$N$30))</f>
        <v/>
      </c>
      <c r="AP173" s="29">
        <f>IF(B173="","",IF(U173="","missing",IF(U173&gt;AO173,"Y","N")))</f>
        <v/>
      </c>
      <c r="AQ173" s="29">
        <f>IF(OR(W173="Y",W173="N"),IF(F173="",1,IF(COUNTIFS(F$5:F173,F173,W$5:W173,"Y")+COUNTIFS(F$5:F173,F173,W$5:W173,"N")=1,1,0)),0)</f>
        <v/>
      </c>
      <c r="AR173" s="29">
        <f>IF(W173="Y",IF(F173="",1,IF(COUNTIFS(F$5:F173,F173,W$5:W173,"Y")=1,1,0)),0)</f>
        <v/>
      </c>
    </row>
    <row r="174">
      <c r="A174" s="98" t="n"/>
      <c r="B174" s="98" t="n"/>
      <c r="C174" s="147" t="n"/>
      <c r="D174" s="98" t="n"/>
      <c r="E174" s="98" t="n"/>
      <c r="F174" s="98" t="n"/>
      <c r="G174" s="98" t="n"/>
      <c r="H174" s="98" t="n"/>
      <c r="I174" s="98" t="n"/>
      <c r="J174" s="98" t="n"/>
      <c r="K174" s="98" t="n"/>
      <c r="L174" s="98" t="n"/>
      <c r="M174" s="98" t="n"/>
      <c r="N174" s="98" t="n"/>
      <c r="O174" s="98" t="n"/>
      <c r="P174" s="98" t="n"/>
      <c r="Q174" s="98" t="n"/>
      <c r="R174" s="149" t="n"/>
      <c r="S174" s="147" t="n"/>
      <c r="T174" s="149" t="n"/>
      <c r="U174" s="147" t="n"/>
      <c r="V174" s="98" t="n"/>
      <c r="W174" s="98" t="n"/>
      <c r="X174" s="149" t="n"/>
      <c r="Y174" s="147" t="n"/>
      <c r="Z174" s="98" t="n"/>
      <c r="AL174" s="29">
        <f>IF(B174="","",IFERROR(INDEX(Schedule!$N$7:$N$18,MATCH(B174,Schedule!$A$7:$A$18,0)),"not in schedule"))</f>
        <v/>
      </c>
      <c r="AM174" s="108">
        <f>IF(B174="","",N(R174)-N(X174))</f>
        <v/>
      </c>
      <c r="AN174" s="144">
        <f>IF(B174="","",IF(Z174&lt;&gt;"",Z174,IF(N(G174)&gt;0,N(N174)/G174,"")))</f>
        <v/>
      </c>
      <c r="AO174" s="107">
        <f>IF(OR(B174="",C174=""),"",WORKDAY(C174,Inputs!$C$132,Lists!$N$4:$N$30))</f>
        <v/>
      </c>
      <c r="AP174" s="29">
        <f>IF(B174="","",IF(U174="","missing",IF(U174&gt;AO174,"Y","N")))</f>
        <v/>
      </c>
      <c r="AQ174" s="29">
        <f>IF(OR(W174="Y",W174="N"),IF(F174="",1,IF(COUNTIFS(F$5:F174,F174,W$5:W174,"Y")+COUNTIFS(F$5:F174,F174,W$5:W174,"N")=1,1,0)),0)</f>
        <v/>
      </c>
      <c r="AR174" s="29">
        <f>IF(W174="Y",IF(F174="",1,IF(COUNTIFS(F$5:F174,F174,W$5:W174,"Y")=1,1,0)),0)</f>
        <v/>
      </c>
    </row>
    <row r="175">
      <c r="A175" s="98" t="n"/>
      <c r="B175" s="98" t="n"/>
      <c r="C175" s="147" t="n"/>
      <c r="D175" s="98" t="n"/>
      <c r="E175" s="98" t="n"/>
      <c r="F175" s="98" t="n"/>
      <c r="G175" s="98" t="n"/>
      <c r="H175" s="98" t="n"/>
      <c r="I175" s="98" t="n"/>
      <c r="J175" s="98" t="n"/>
      <c r="K175" s="98" t="n"/>
      <c r="L175" s="98" t="n"/>
      <c r="M175" s="98" t="n"/>
      <c r="N175" s="98" t="n"/>
      <c r="O175" s="98" t="n"/>
      <c r="P175" s="98" t="n"/>
      <c r="Q175" s="98" t="n"/>
      <c r="R175" s="149" t="n"/>
      <c r="S175" s="147" t="n"/>
      <c r="T175" s="149" t="n"/>
      <c r="U175" s="147" t="n"/>
      <c r="V175" s="98" t="n"/>
      <c r="W175" s="98" t="n"/>
      <c r="X175" s="149" t="n"/>
      <c r="Y175" s="147" t="n"/>
      <c r="Z175" s="98" t="n"/>
      <c r="AL175" s="29">
        <f>IF(B175="","",IFERROR(INDEX(Schedule!$N$7:$N$18,MATCH(B175,Schedule!$A$7:$A$18,0)),"not in schedule"))</f>
        <v/>
      </c>
      <c r="AM175" s="108">
        <f>IF(B175="","",N(R175)-N(X175))</f>
        <v/>
      </c>
      <c r="AN175" s="144">
        <f>IF(B175="","",IF(Z175&lt;&gt;"",Z175,IF(N(G175)&gt;0,N(N175)/G175,"")))</f>
        <v/>
      </c>
      <c r="AO175" s="107">
        <f>IF(OR(B175="",C175=""),"",WORKDAY(C175,Inputs!$C$132,Lists!$N$4:$N$30))</f>
        <v/>
      </c>
      <c r="AP175" s="29">
        <f>IF(B175="","",IF(U175="","missing",IF(U175&gt;AO175,"Y","N")))</f>
        <v/>
      </c>
      <c r="AQ175" s="29">
        <f>IF(OR(W175="Y",W175="N"),IF(F175="",1,IF(COUNTIFS(F$5:F175,F175,W$5:W175,"Y")+COUNTIFS(F$5:F175,F175,W$5:W175,"N")=1,1,0)),0)</f>
        <v/>
      </c>
      <c r="AR175" s="29">
        <f>IF(W175="Y",IF(F175="",1,IF(COUNTIFS(F$5:F175,F175,W$5:W175,"Y")=1,1,0)),0)</f>
        <v/>
      </c>
    </row>
    <row r="176">
      <c r="A176" s="98" t="n"/>
      <c r="B176" s="98" t="n"/>
      <c r="C176" s="147" t="n"/>
      <c r="D176" s="98" t="n"/>
      <c r="E176" s="98" t="n"/>
      <c r="F176" s="98" t="n"/>
      <c r="G176" s="98" t="n"/>
      <c r="H176" s="98" t="n"/>
      <c r="I176" s="98" t="n"/>
      <c r="J176" s="98" t="n"/>
      <c r="K176" s="98" t="n"/>
      <c r="L176" s="98" t="n"/>
      <c r="M176" s="98" t="n"/>
      <c r="N176" s="98" t="n"/>
      <c r="O176" s="98" t="n"/>
      <c r="P176" s="98" t="n"/>
      <c r="Q176" s="98" t="n"/>
      <c r="R176" s="149" t="n"/>
      <c r="S176" s="147" t="n"/>
      <c r="T176" s="149" t="n"/>
      <c r="U176" s="147" t="n"/>
      <c r="V176" s="98" t="n"/>
      <c r="W176" s="98" t="n"/>
      <c r="X176" s="149" t="n"/>
      <c r="Y176" s="147" t="n"/>
      <c r="Z176" s="98" t="n"/>
      <c r="AL176" s="29">
        <f>IF(B176="","",IFERROR(INDEX(Schedule!$N$7:$N$18,MATCH(B176,Schedule!$A$7:$A$18,0)),"not in schedule"))</f>
        <v/>
      </c>
      <c r="AM176" s="108">
        <f>IF(B176="","",N(R176)-N(X176))</f>
        <v/>
      </c>
      <c r="AN176" s="144">
        <f>IF(B176="","",IF(Z176&lt;&gt;"",Z176,IF(N(G176)&gt;0,N(N176)/G176,"")))</f>
        <v/>
      </c>
      <c r="AO176" s="107">
        <f>IF(OR(B176="",C176=""),"",WORKDAY(C176,Inputs!$C$132,Lists!$N$4:$N$30))</f>
        <v/>
      </c>
      <c r="AP176" s="29">
        <f>IF(B176="","",IF(U176="","missing",IF(U176&gt;AO176,"Y","N")))</f>
        <v/>
      </c>
      <c r="AQ176" s="29">
        <f>IF(OR(W176="Y",W176="N"),IF(F176="",1,IF(COUNTIFS(F$5:F176,F176,W$5:W176,"Y")+COUNTIFS(F$5:F176,F176,W$5:W176,"N")=1,1,0)),0)</f>
        <v/>
      </c>
      <c r="AR176" s="29">
        <f>IF(W176="Y",IF(F176="",1,IF(COUNTIFS(F$5:F176,F176,W$5:W176,"Y")=1,1,0)),0)</f>
        <v/>
      </c>
    </row>
    <row r="177">
      <c r="A177" s="98" t="n"/>
      <c r="B177" s="98" t="n"/>
      <c r="C177" s="147" t="n"/>
      <c r="D177" s="98" t="n"/>
      <c r="E177" s="98" t="n"/>
      <c r="F177" s="98" t="n"/>
      <c r="G177" s="98" t="n"/>
      <c r="H177" s="98" t="n"/>
      <c r="I177" s="98" t="n"/>
      <c r="J177" s="98" t="n"/>
      <c r="K177" s="98" t="n"/>
      <c r="L177" s="98" t="n"/>
      <c r="M177" s="98" t="n"/>
      <c r="N177" s="98" t="n"/>
      <c r="O177" s="98" t="n"/>
      <c r="P177" s="98" t="n"/>
      <c r="Q177" s="98" t="n"/>
      <c r="R177" s="149" t="n"/>
      <c r="S177" s="147" t="n"/>
      <c r="T177" s="149" t="n"/>
      <c r="U177" s="147" t="n"/>
      <c r="V177" s="98" t="n"/>
      <c r="W177" s="98" t="n"/>
      <c r="X177" s="149" t="n"/>
      <c r="Y177" s="147" t="n"/>
      <c r="Z177" s="98" t="n"/>
      <c r="AL177" s="29">
        <f>IF(B177="","",IFERROR(INDEX(Schedule!$N$7:$N$18,MATCH(B177,Schedule!$A$7:$A$18,0)),"not in schedule"))</f>
        <v/>
      </c>
      <c r="AM177" s="108">
        <f>IF(B177="","",N(R177)-N(X177))</f>
        <v/>
      </c>
      <c r="AN177" s="144">
        <f>IF(B177="","",IF(Z177&lt;&gt;"",Z177,IF(N(G177)&gt;0,N(N177)/G177,"")))</f>
        <v/>
      </c>
      <c r="AO177" s="107">
        <f>IF(OR(B177="",C177=""),"",WORKDAY(C177,Inputs!$C$132,Lists!$N$4:$N$30))</f>
        <v/>
      </c>
      <c r="AP177" s="29">
        <f>IF(B177="","",IF(U177="","missing",IF(U177&gt;AO177,"Y","N")))</f>
        <v/>
      </c>
      <c r="AQ177" s="29">
        <f>IF(OR(W177="Y",W177="N"),IF(F177="",1,IF(COUNTIFS(F$5:F177,F177,W$5:W177,"Y")+COUNTIFS(F$5:F177,F177,W$5:W177,"N")=1,1,0)),0)</f>
        <v/>
      </c>
      <c r="AR177" s="29">
        <f>IF(W177="Y",IF(F177="",1,IF(COUNTIFS(F$5:F177,F177,W$5:W177,"Y")=1,1,0)),0)</f>
        <v/>
      </c>
    </row>
    <row r="178">
      <c r="A178" s="98" t="n"/>
      <c r="B178" s="98" t="n"/>
      <c r="C178" s="147" t="n"/>
      <c r="D178" s="98" t="n"/>
      <c r="E178" s="98" t="n"/>
      <c r="F178" s="98" t="n"/>
      <c r="G178" s="98" t="n"/>
      <c r="H178" s="98" t="n"/>
      <c r="I178" s="98" t="n"/>
      <c r="J178" s="98" t="n"/>
      <c r="K178" s="98" t="n"/>
      <c r="L178" s="98" t="n"/>
      <c r="M178" s="98" t="n"/>
      <c r="N178" s="98" t="n"/>
      <c r="O178" s="98" t="n"/>
      <c r="P178" s="98" t="n"/>
      <c r="Q178" s="98" t="n"/>
      <c r="R178" s="149" t="n"/>
      <c r="S178" s="147" t="n"/>
      <c r="T178" s="149" t="n"/>
      <c r="U178" s="147" t="n"/>
      <c r="V178" s="98" t="n"/>
      <c r="W178" s="98" t="n"/>
      <c r="X178" s="149" t="n"/>
      <c r="Y178" s="147" t="n"/>
      <c r="Z178" s="98" t="n"/>
      <c r="AL178" s="29">
        <f>IF(B178="","",IFERROR(INDEX(Schedule!$N$7:$N$18,MATCH(B178,Schedule!$A$7:$A$18,0)),"not in schedule"))</f>
        <v/>
      </c>
      <c r="AM178" s="108">
        <f>IF(B178="","",N(R178)-N(X178))</f>
        <v/>
      </c>
      <c r="AN178" s="144">
        <f>IF(B178="","",IF(Z178&lt;&gt;"",Z178,IF(N(G178)&gt;0,N(N178)/G178,"")))</f>
        <v/>
      </c>
      <c r="AO178" s="107">
        <f>IF(OR(B178="",C178=""),"",WORKDAY(C178,Inputs!$C$132,Lists!$N$4:$N$30))</f>
        <v/>
      </c>
      <c r="AP178" s="29">
        <f>IF(B178="","",IF(U178="","missing",IF(U178&gt;AO178,"Y","N")))</f>
        <v/>
      </c>
      <c r="AQ178" s="29">
        <f>IF(OR(W178="Y",W178="N"),IF(F178="",1,IF(COUNTIFS(F$5:F178,F178,W$5:W178,"Y")+COUNTIFS(F$5:F178,F178,W$5:W178,"N")=1,1,0)),0)</f>
        <v/>
      </c>
      <c r="AR178" s="29">
        <f>IF(W178="Y",IF(F178="",1,IF(COUNTIFS(F$5:F178,F178,W$5:W178,"Y")=1,1,0)),0)</f>
        <v/>
      </c>
    </row>
    <row r="179">
      <c r="A179" s="98" t="n"/>
      <c r="B179" s="98" t="n"/>
      <c r="C179" s="147" t="n"/>
      <c r="D179" s="98" t="n"/>
      <c r="E179" s="98" t="n"/>
      <c r="F179" s="98" t="n"/>
      <c r="G179" s="98" t="n"/>
      <c r="H179" s="98" t="n"/>
      <c r="I179" s="98" t="n"/>
      <c r="J179" s="98" t="n"/>
      <c r="K179" s="98" t="n"/>
      <c r="L179" s="98" t="n"/>
      <c r="M179" s="98" t="n"/>
      <c r="N179" s="98" t="n"/>
      <c r="O179" s="98" t="n"/>
      <c r="P179" s="98" t="n"/>
      <c r="Q179" s="98" t="n"/>
      <c r="R179" s="149" t="n"/>
      <c r="S179" s="147" t="n"/>
      <c r="T179" s="149" t="n"/>
      <c r="U179" s="147" t="n"/>
      <c r="V179" s="98" t="n"/>
      <c r="W179" s="98" t="n"/>
      <c r="X179" s="149" t="n"/>
      <c r="Y179" s="147" t="n"/>
      <c r="Z179" s="98" t="n"/>
      <c r="AL179" s="29">
        <f>IF(B179="","",IFERROR(INDEX(Schedule!$N$7:$N$18,MATCH(B179,Schedule!$A$7:$A$18,0)),"not in schedule"))</f>
        <v/>
      </c>
      <c r="AM179" s="108">
        <f>IF(B179="","",N(R179)-N(X179))</f>
        <v/>
      </c>
      <c r="AN179" s="144">
        <f>IF(B179="","",IF(Z179&lt;&gt;"",Z179,IF(N(G179)&gt;0,N(N179)/G179,"")))</f>
        <v/>
      </c>
      <c r="AO179" s="107">
        <f>IF(OR(B179="",C179=""),"",WORKDAY(C179,Inputs!$C$132,Lists!$N$4:$N$30))</f>
        <v/>
      </c>
      <c r="AP179" s="29">
        <f>IF(B179="","",IF(U179="","missing",IF(U179&gt;AO179,"Y","N")))</f>
        <v/>
      </c>
      <c r="AQ179" s="29">
        <f>IF(OR(W179="Y",W179="N"),IF(F179="",1,IF(COUNTIFS(F$5:F179,F179,W$5:W179,"Y")+COUNTIFS(F$5:F179,F179,W$5:W179,"N")=1,1,0)),0)</f>
        <v/>
      </c>
      <c r="AR179" s="29">
        <f>IF(W179="Y",IF(F179="",1,IF(COUNTIFS(F$5:F179,F179,W$5:W179,"Y")=1,1,0)),0)</f>
        <v/>
      </c>
    </row>
    <row r="180">
      <c r="A180" s="98" t="n"/>
      <c r="B180" s="98" t="n"/>
      <c r="C180" s="147" t="n"/>
      <c r="D180" s="98" t="n"/>
      <c r="E180" s="98" t="n"/>
      <c r="F180" s="98" t="n"/>
      <c r="G180" s="98" t="n"/>
      <c r="H180" s="98" t="n"/>
      <c r="I180" s="98" t="n"/>
      <c r="J180" s="98" t="n"/>
      <c r="K180" s="98" t="n"/>
      <c r="L180" s="98" t="n"/>
      <c r="M180" s="98" t="n"/>
      <c r="N180" s="98" t="n"/>
      <c r="O180" s="98" t="n"/>
      <c r="P180" s="98" t="n"/>
      <c r="Q180" s="98" t="n"/>
      <c r="R180" s="149" t="n"/>
      <c r="S180" s="147" t="n"/>
      <c r="T180" s="149" t="n"/>
      <c r="U180" s="147" t="n"/>
      <c r="V180" s="98" t="n"/>
      <c r="W180" s="98" t="n"/>
      <c r="X180" s="149" t="n"/>
      <c r="Y180" s="147" t="n"/>
      <c r="Z180" s="98" t="n"/>
      <c r="AL180" s="29">
        <f>IF(B180="","",IFERROR(INDEX(Schedule!$N$7:$N$18,MATCH(B180,Schedule!$A$7:$A$18,0)),"not in schedule"))</f>
        <v/>
      </c>
      <c r="AM180" s="108">
        <f>IF(B180="","",N(R180)-N(X180))</f>
        <v/>
      </c>
      <c r="AN180" s="144">
        <f>IF(B180="","",IF(Z180&lt;&gt;"",Z180,IF(N(G180)&gt;0,N(N180)/G180,"")))</f>
        <v/>
      </c>
      <c r="AO180" s="107">
        <f>IF(OR(B180="",C180=""),"",WORKDAY(C180,Inputs!$C$132,Lists!$N$4:$N$30))</f>
        <v/>
      </c>
      <c r="AP180" s="29">
        <f>IF(B180="","",IF(U180="","missing",IF(U180&gt;AO180,"Y","N")))</f>
        <v/>
      </c>
      <c r="AQ180" s="29">
        <f>IF(OR(W180="Y",W180="N"),IF(F180="",1,IF(COUNTIFS(F$5:F180,F180,W$5:W180,"Y")+COUNTIFS(F$5:F180,F180,W$5:W180,"N")=1,1,0)),0)</f>
        <v/>
      </c>
      <c r="AR180" s="29">
        <f>IF(W180="Y",IF(F180="",1,IF(COUNTIFS(F$5:F180,F180,W$5:W180,"Y")=1,1,0)),0)</f>
        <v/>
      </c>
    </row>
    <row r="181">
      <c r="A181" s="98" t="n"/>
      <c r="B181" s="98" t="n"/>
      <c r="C181" s="147" t="n"/>
      <c r="D181" s="98" t="n"/>
      <c r="E181" s="98" t="n"/>
      <c r="F181" s="98" t="n"/>
      <c r="G181" s="98" t="n"/>
      <c r="H181" s="98" t="n"/>
      <c r="I181" s="98" t="n"/>
      <c r="J181" s="98" t="n"/>
      <c r="K181" s="98" t="n"/>
      <c r="L181" s="98" t="n"/>
      <c r="M181" s="98" t="n"/>
      <c r="N181" s="98" t="n"/>
      <c r="O181" s="98" t="n"/>
      <c r="P181" s="98" t="n"/>
      <c r="Q181" s="98" t="n"/>
      <c r="R181" s="149" t="n"/>
      <c r="S181" s="147" t="n"/>
      <c r="T181" s="149" t="n"/>
      <c r="U181" s="147" t="n"/>
      <c r="V181" s="98" t="n"/>
      <c r="W181" s="98" t="n"/>
      <c r="X181" s="149" t="n"/>
      <c r="Y181" s="147" t="n"/>
      <c r="Z181" s="98" t="n"/>
      <c r="AL181" s="29">
        <f>IF(B181="","",IFERROR(INDEX(Schedule!$N$7:$N$18,MATCH(B181,Schedule!$A$7:$A$18,0)),"not in schedule"))</f>
        <v/>
      </c>
      <c r="AM181" s="108">
        <f>IF(B181="","",N(R181)-N(X181))</f>
        <v/>
      </c>
      <c r="AN181" s="144">
        <f>IF(B181="","",IF(Z181&lt;&gt;"",Z181,IF(N(G181)&gt;0,N(N181)/G181,"")))</f>
        <v/>
      </c>
      <c r="AO181" s="107">
        <f>IF(OR(B181="",C181=""),"",WORKDAY(C181,Inputs!$C$132,Lists!$N$4:$N$30))</f>
        <v/>
      </c>
      <c r="AP181" s="29">
        <f>IF(B181="","",IF(U181="","missing",IF(U181&gt;AO181,"Y","N")))</f>
        <v/>
      </c>
      <c r="AQ181" s="29">
        <f>IF(OR(W181="Y",W181="N"),IF(F181="",1,IF(COUNTIFS(F$5:F181,F181,W$5:W181,"Y")+COUNTIFS(F$5:F181,F181,W$5:W181,"N")=1,1,0)),0)</f>
        <v/>
      </c>
      <c r="AR181" s="29">
        <f>IF(W181="Y",IF(F181="",1,IF(COUNTIFS(F$5:F181,F181,W$5:W181,"Y")=1,1,0)),0)</f>
        <v/>
      </c>
    </row>
    <row r="182">
      <c r="A182" s="98" t="n"/>
      <c r="B182" s="98" t="n"/>
      <c r="C182" s="147" t="n"/>
      <c r="D182" s="98" t="n"/>
      <c r="E182" s="98" t="n"/>
      <c r="F182" s="98" t="n"/>
      <c r="G182" s="98" t="n"/>
      <c r="H182" s="98" t="n"/>
      <c r="I182" s="98" t="n"/>
      <c r="J182" s="98" t="n"/>
      <c r="K182" s="98" t="n"/>
      <c r="L182" s="98" t="n"/>
      <c r="M182" s="98" t="n"/>
      <c r="N182" s="98" t="n"/>
      <c r="O182" s="98" t="n"/>
      <c r="P182" s="98" t="n"/>
      <c r="Q182" s="98" t="n"/>
      <c r="R182" s="149" t="n"/>
      <c r="S182" s="147" t="n"/>
      <c r="T182" s="149" t="n"/>
      <c r="U182" s="147" t="n"/>
      <c r="V182" s="98" t="n"/>
      <c r="W182" s="98" t="n"/>
      <c r="X182" s="149" t="n"/>
      <c r="Y182" s="147" t="n"/>
      <c r="Z182" s="98" t="n"/>
      <c r="AL182" s="29">
        <f>IF(B182="","",IFERROR(INDEX(Schedule!$N$7:$N$18,MATCH(B182,Schedule!$A$7:$A$18,0)),"not in schedule"))</f>
        <v/>
      </c>
      <c r="AM182" s="108">
        <f>IF(B182="","",N(R182)-N(X182))</f>
        <v/>
      </c>
      <c r="AN182" s="144">
        <f>IF(B182="","",IF(Z182&lt;&gt;"",Z182,IF(N(G182)&gt;0,N(N182)/G182,"")))</f>
        <v/>
      </c>
      <c r="AO182" s="107">
        <f>IF(OR(B182="",C182=""),"",WORKDAY(C182,Inputs!$C$132,Lists!$N$4:$N$30))</f>
        <v/>
      </c>
      <c r="AP182" s="29">
        <f>IF(B182="","",IF(U182="","missing",IF(U182&gt;AO182,"Y","N")))</f>
        <v/>
      </c>
      <c r="AQ182" s="29">
        <f>IF(OR(W182="Y",W182="N"),IF(F182="",1,IF(COUNTIFS(F$5:F182,F182,W$5:W182,"Y")+COUNTIFS(F$5:F182,F182,W$5:W182,"N")=1,1,0)),0)</f>
        <v/>
      </c>
      <c r="AR182" s="29">
        <f>IF(W182="Y",IF(F182="",1,IF(COUNTIFS(F$5:F182,F182,W$5:W182,"Y")=1,1,0)),0)</f>
        <v/>
      </c>
    </row>
    <row r="183">
      <c r="A183" s="98" t="n"/>
      <c r="B183" s="98" t="n"/>
      <c r="C183" s="147" t="n"/>
      <c r="D183" s="98" t="n"/>
      <c r="E183" s="98" t="n"/>
      <c r="F183" s="98" t="n"/>
      <c r="G183" s="98" t="n"/>
      <c r="H183" s="98" t="n"/>
      <c r="I183" s="98" t="n"/>
      <c r="J183" s="98" t="n"/>
      <c r="K183" s="98" t="n"/>
      <c r="L183" s="98" t="n"/>
      <c r="M183" s="98" t="n"/>
      <c r="N183" s="98" t="n"/>
      <c r="O183" s="98" t="n"/>
      <c r="P183" s="98" t="n"/>
      <c r="Q183" s="98" t="n"/>
      <c r="R183" s="149" t="n"/>
      <c r="S183" s="147" t="n"/>
      <c r="T183" s="149" t="n"/>
      <c r="U183" s="147" t="n"/>
      <c r="V183" s="98" t="n"/>
      <c r="W183" s="98" t="n"/>
      <c r="X183" s="149" t="n"/>
      <c r="Y183" s="147" t="n"/>
      <c r="Z183" s="98" t="n"/>
      <c r="AL183" s="29">
        <f>IF(B183="","",IFERROR(INDEX(Schedule!$N$7:$N$18,MATCH(B183,Schedule!$A$7:$A$18,0)),"not in schedule"))</f>
        <v/>
      </c>
      <c r="AM183" s="108">
        <f>IF(B183="","",N(R183)-N(X183))</f>
        <v/>
      </c>
      <c r="AN183" s="144">
        <f>IF(B183="","",IF(Z183&lt;&gt;"",Z183,IF(N(G183)&gt;0,N(N183)/G183,"")))</f>
        <v/>
      </c>
      <c r="AO183" s="107">
        <f>IF(OR(B183="",C183=""),"",WORKDAY(C183,Inputs!$C$132,Lists!$N$4:$N$30))</f>
        <v/>
      </c>
      <c r="AP183" s="29">
        <f>IF(B183="","",IF(U183="","missing",IF(U183&gt;AO183,"Y","N")))</f>
        <v/>
      </c>
      <c r="AQ183" s="29">
        <f>IF(OR(W183="Y",W183="N"),IF(F183="",1,IF(COUNTIFS(F$5:F183,F183,W$5:W183,"Y")+COUNTIFS(F$5:F183,F183,W$5:W183,"N")=1,1,0)),0)</f>
        <v/>
      </c>
      <c r="AR183" s="29">
        <f>IF(W183="Y",IF(F183="",1,IF(COUNTIFS(F$5:F183,F183,W$5:W183,"Y")=1,1,0)),0)</f>
        <v/>
      </c>
    </row>
    <row r="184">
      <c r="A184" s="98" t="n"/>
      <c r="B184" s="98" t="n"/>
      <c r="C184" s="147" t="n"/>
      <c r="D184" s="98" t="n"/>
      <c r="E184" s="98" t="n"/>
      <c r="F184" s="98" t="n"/>
      <c r="G184" s="98" t="n"/>
      <c r="H184" s="98" t="n"/>
      <c r="I184" s="98" t="n"/>
      <c r="J184" s="98" t="n"/>
      <c r="K184" s="98" t="n"/>
      <c r="L184" s="98" t="n"/>
      <c r="M184" s="98" t="n"/>
      <c r="N184" s="98" t="n"/>
      <c r="O184" s="98" t="n"/>
      <c r="P184" s="98" t="n"/>
      <c r="Q184" s="98" t="n"/>
      <c r="R184" s="149" t="n"/>
      <c r="S184" s="147" t="n"/>
      <c r="T184" s="149" t="n"/>
      <c r="U184" s="147" t="n"/>
      <c r="V184" s="98" t="n"/>
      <c r="W184" s="98" t="n"/>
      <c r="X184" s="149" t="n"/>
      <c r="Y184" s="147" t="n"/>
      <c r="Z184" s="98" t="n"/>
      <c r="AL184" s="29">
        <f>IF(B184="","",IFERROR(INDEX(Schedule!$N$7:$N$18,MATCH(B184,Schedule!$A$7:$A$18,0)),"not in schedule"))</f>
        <v/>
      </c>
      <c r="AM184" s="108">
        <f>IF(B184="","",N(R184)-N(X184))</f>
        <v/>
      </c>
      <c r="AN184" s="144">
        <f>IF(B184="","",IF(Z184&lt;&gt;"",Z184,IF(N(G184)&gt;0,N(N184)/G184,"")))</f>
        <v/>
      </c>
      <c r="AO184" s="107">
        <f>IF(OR(B184="",C184=""),"",WORKDAY(C184,Inputs!$C$132,Lists!$N$4:$N$30))</f>
        <v/>
      </c>
      <c r="AP184" s="29">
        <f>IF(B184="","",IF(U184="","missing",IF(U184&gt;AO184,"Y","N")))</f>
        <v/>
      </c>
      <c r="AQ184" s="29">
        <f>IF(OR(W184="Y",W184="N"),IF(F184="",1,IF(COUNTIFS(F$5:F184,F184,W$5:W184,"Y")+COUNTIFS(F$5:F184,F184,W$5:W184,"N")=1,1,0)),0)</f>
        <v/>
      </c>
      <c r="AR184" s="29">
        <f>IF(W184="Y",IF(F184="",1,IF(COUNTIFS(F$5:F184,F184,W$5:W184,"Y")=1,1,0)),0)</f>
        <v/>
      </c>
    </row>
    <row r="185">
      <c r="A185" s="98" t="n"/>
      <c r="B185" s="98" t="n"/>
      <c r="C185" s="147" t="n"/>
      <c r="D185" s="98" t="n"/>
      <c r="E185" s="98" t="n"/>
      <c r="F185" s="98" t="n"/>
      <c r="G185" s="98" t="n"/>
      <c r="H185" s="98" t="n"/>
      <c r="I185" s="98" t="n"/>
      <c r="J185" s="98" t="n"/>
      <c r="K185" s="98" t="n"/>
      <c r="L185" s="98" t="n"/>
      <c r="M185" s="98" t="n"/>
      <c r="N185" s="98" t="n"/>
      <c r="O185" s="98" t="n"/>
      <c r="P185" s="98" t="n"/>
      <c r="Q185" s="98" t="n"/>
      <c r="R185" s="149" t="n"/>
      <c r="S185" s="147" t="n"/>
      <c r="T185" s="149" t="n"/>
      <c r="U185" s="147" t="n"/>
      <c r="V185" s="98" t="n"/>
      <c r="W185" s="98" t="n"/>
      <c r="X185" s="149" t="n"/>
      <c r="Y185" s="147" t="n"/>
      <c r="Z185" s="98" t="n"/>
      <c r="AL185" s="29">
        <f>IF(B185="","",IFERROR(INDEX(Schedule!$N$7:$N$18,MATCH(B185,Schedule!$A$7:$A$18,0)),"not in schedule"))</f>
        <v/>
      </c>
      <c r="AM185" s="108">
        <f>IF(B185="","",N(R185)-N(X185))</f>
        <v/>
      </c>
      <c r="AN185" s="144">
        <f>IF(B185="","",IF(Z185&lt;&gt;"",Z185,IF(N(G185)&gt;0,N(N185)/G185,"")))</f>
        <v/>
      </c>
      <c r="AO185" s="107">
        <f>IF(OR(B185="",C185=""),"",WORKDAY(C185,Inputs!$C$132,Lists!$N$4:$N$30))</f>
        <v/>
      </c>
      <c r="AP185" s="29">
        <f>IF(B185="","",IF(U185="","missing",IF(U185&gt;AO185,"Y","N")))</f>
        <v/>
      </c>
      <c r="AQ185" s="29">
        <f>IF(OR(W185="Y",W185="N"),IF(F185="",1,IF(COUNTIFS(F$5:F185,F185,W$5:W185,"Y")+COUNTIFS(F$5:F185,F185,W$5:W185,"N")=1,1,0)),0)</f>
        <v/>
      </c>
      <c r="AR185" s="29">
        <f>IF(W185="Y",IF(F185="",1,IF(COUNTIFS(F$5:F185,F185,W$5:W185,"Y")=1,1,0)),0)</f>
        <v/>
      </c>
    </row>
    <row r="186">
      <c r="A186" s="98" t="n"/>
      <c r="B186" s="98" t="n"/>
      <c r="C186" s="147" t="n"/>
      <c r="D186" s="98" t="n"/>
      <c r="E186" s="98" t="n"/>
      <c r="F186" s="98" t="n"/>
      <c r="G186" s="98" t="n"/>
      <c r="H186" s="98" t="n"/>
      <c r="I186" s="98" t="n"/>
      <c r="J186" s="98" t="n"/>
      <c r="K186" s="98" t="n"/>
      <c r="L186" s="98" t="n"/>
      <c r="M186" s="98" t="n"/>
      <c r="N186" s="98" t="n"/>
      <c r="O186" s="98" t="n"/>
      <c r="P186" s="98" t="n"/>
      <c r="Q186" s="98" t="n"/>
      <c r="R186" s="149" t="n"/>
      <c r="S186" s="147" t="n"/>
      <c r="T186" s="149" t="n"/>
      <c r="U186" s="147" t="n"/>
      <c r="V186" s="98" t="n"/>
      <c r="W186" s="98" t="n"/>
      <c r="X186" s="149" t="n"/>
      <c r="Y186" s="147" t="n"/>
      <c r="Z186" s="98" t="n"/>
      <c r="AL186" s="29">
        <f>IF(B186="","",IFERROR(INDEX(Schedule!$N$7:$N$18,MATCH(B186,Schedule!$A$7:$A$18,0)),"not in schedule"))</f>
        <v/>
      </c>
      <c r="AM186" s="108">
        <f>IF(B186="","",N(R186)-N(X186))</f>
        <v/>
      </c>
      <c r="AN186" s="144">
        <f>IF(B186="","",IF(Z186&lt;&gt;"",Z186,IF(N(G186)&gt;0,N(N186)/G186,"")))</f>
        <v/>
      </c>
      <c r="AO186" s="107">
        <f>IF(OR(B186="",C186=""),"",WORKDAY(C186,Inputs!$C$132,Lists!$N$4:$N$30))</f>
        <v/>
      </c>
      <c r="AP186" s="29">
        <f>IF(B186="","",IF(U186="","missing",IF(U186&gt;AO186,"Y","N")))</f>
        <v/>
      </c>
      <c r="AQ186" s="29">
        <f>IF(OR(W186="Y",W186="N"),IF(F186="",1,IF(COUNTIFS(F$5:F186,F186,W$5:W186,"Y")+COUNTIFS(F$5:F186,F186,W$5:W186,"N")=1,1,0)),0)</f>
        <v/>
      </c>
      <c r="AR186" s="29">
        <f>IF(W186="Y",IF(F186="",1,IF(COUNTIFS(F$5:F186,F186,W$5:W186,"Y")=1,1,0)),0)</f>
        <v/>
      </c>
    </row>
    <row r="187">
      <c r="A187" s="98" t="n"/>
      <c r="B187" s="98" t="n"/>
      <c r="C187" s="147" t="n"/>
      <c r="D187" s="98" t="n"/>
      <c r="E187" s="98" t="n"/>
      <c r="F187" s="98" t="n"/>
      <c r="G187" s="98" t="n"/>
      <c r="H187" s="98" t="n"/>
      <c r="I187" s="98" t="n"/>
      <c r="J187" s="98" t="n"/>
      <c r="K187" s="98" t="n"/>
      <c r="L187" s="98" t="n"/>
      <c r="M187" s="98" t="n"/>
      <c r="N187" s="98" t="n"/>
      <c r="O187" s="98" t="n"/>
      <c r="P187" s="98" t="n"/>
      <c r="Q187" s="98" t="n"/>
      <c r="R187" s="149" t="n"/>
      <c r="S187" s="147" t="n"/>
      <c r="T187" s="149" t="n"/>
      <c r="U187" s="147" t="n"/>
      <c r="V187" s="98" t="n"/>
      <c r="W187" s="98" t="n"/>
      <c r="X187" s="149" t="n"/>
      <c r="Y187" s="147" t="n"/>
      <c r="Z187" s="98" t="n"/>
      <c r="AL187" s="29">
        <f>IF(B187="","",IFERROR(INDEX(Schedule!$N$7:$N$18,MATCH(B187,Schedule!$A$7:$A$18,0)),"not in schedule"))</f>
        <v/>
      </c>
      <c r="AM187" s="108">
        <f>IF(B187="","",N(R187)-N(X187))</f>
        <v/>
      </c>
      <c r="AN187" s="144">
        <f>IF(B187="","",IF(Z187&lt;&gt;"",Z187,IF(N(G187)&gt;0,N(N187)/G187,"")))</f>
        <v/>
      </c>
      <c r="AO187" s="107">
        <f>IF(OR(B187="",C187=""),"",WORKDAY(C187,Inputs!$C$132,Lists!$N$4:$N$30))</f>
        <v/>
      </c>
      <c r="AP187" s="29">
        <f>IF(B187="","",IF(U187="","missing",IF(U187&gt;AO187,"Y","N")))</f>
        <v/>
      </c>
      <c r="AQ187" s="29">
        <f>IF(OR(W187="Y",W187="N"),IF(F187="",1,IF(COUNTIFS(F$5:F187,F187,W$5:W187,"Y")+COUNTIFS(F$5:F187,F187,W$5:W187,"N")=1,1,0)),0)</f>
        <v/>
      </c>
      <c r="AR187" s="29">
        <f>IF(W187="Y",IF(F187="",1,IF(COUNTIFS(F$5:F187,F187,W$5:W187,"Y")=1,1,0)),0)</f>
        <v/>
      </c>
    </row>
    <row r="188">
      <c r="A188" s="98" t="n"/>
      <c r="B188" s="98" t="n"/>
      <c r="C188" s="147" t="n"/>
      <c r="D188" s="98" t="n"/>
      <c r="E188" s="98" t="n"/>
      <c r="F188" s="98" t="n"/>
      <c r="G188" s="98" t="n"/>
      <c r="H188" s="98" t="n"/>
      <c r="I188" s="98" t="n"/>
      <c r="J188" s="98" t="n"/>
      <c r="K188" s="98" t="n"/>
      <c r="L188" s="98" t="n"/>
      <c r="M188" s="98" t="n"/>
      <c r="N188" s="98" t="n"/>
      <c r="O188" s="98" t="n"/>
      <c r="P188" s="98" t="n"/>
      <c r="Q188" s="98" t="n"/>
      <c r="R188" s="149" t="n"/>
      <c r="S188" s="147" t="n"/>
      <c r="T188" s="149" t="n"/>
      <c r="U188" s="147" t="n"/>
      <c r="V188" s="98" t="n"/>
      <c r="W188" s="98" t="n"/>
      <c r="X188" s="149" t="n"/>
      <c r="Y188" s="147" t="n"/>
      <c r="Z188" s="98" t="n"/>
      <c r="AL188" s="29">
        <f>IF(B188="","",IFERROR(INDEX(Schedule!$N$7:$N$18,MATCH(B188,Schedule!$A$7:$A$18,0)),"not in schedule"))</f>
        <v/>
      </c>
      <c r="AM188" s="108">
        <f>IF(B188="","",N(R188)-N(X188))</f>
        <v/>
      </c>
      <c r="AN188" s="144">
        <f>IF(B188="","",IF(Z188&lt;&gt;"",Z188,IF(N(G188)&gt;0,N(N188)/G188,"")))</f>
        <v/>
      </c>
      <c r="AO188" s="107">
        <f>IF(OR(B188="",C188=""),"",WORKDAY(C188,Inputs!$C$132,Lists!$N$4:$N$30))</f>
        <v/>
      </c>
      <c r="AP188" s="29">
        <f>IF(B188="","",IF(U188="","missing",IF(U188&gt;AO188,"Y","N")))</f>
        <v/>
      </c>
      <c r="AQ188" s="29">
        <f>IF(OR(W188="Y",W188="N"),IF(F188="",1,IF(COUNTIFS(F$5:F188,F188,W$5:W188,"Y")+COUNTIFS(F$5:F188,F188,W$5:W188,"N")=1,1,0)),0)</f>
        <v/>
      </c>
      <c r="AR188" s="29">
        <f>IF(W188="Y",IF(F188="",1,IF(COUNTIFS(F$5:F188,F188,W$5:W188,"Y")=1,1,0)),0)</f>
        <v/>
      </c>
    </row>
    <row r="189">
      <c r="A189" s="98" t="n"/>
      <c r="B189" s="98" t="n"/>
      <c r="C189" s="147" t="n"/>
      <c r="D189" s="98" t="n"/>
      <c r="E189" s="98" t="n"/>
      <c r="F189" s="98" t="n"/>
      <c r="G189" s="98" t="n"/>
      <c r="H189" s="98" t="n"/>
      <c r="I189" s="98" t="n"/>
      <c r="J189" s="98" t="n"/>
      <c r="K189" s="98" t="n"/>
      <c r="L189" s="98" t="n"/>
      <c r="M189" s="98" t="n"/>
      <c r="N189" s="98" t="n"/>
      <c r="O189" s="98" t="n"/>
      <c r="P189" s="98" t="n"/>
      <c r="Q189" s="98" t="n"/>
      <c r="R189" s="149" t="n"/>
      <c r="S189" s="147" t="n"/>
      <c r="T189" s="149" t="n"/>
      <c r="U189" s="147" t="n"/>
      <c r="V189" s="98" t="n"/>
      <c r="W189" s="98" t="n"/>
      <c r="X189" s="149" t="n"/>
      <c r="Y189" s="147" t="n"/>
      <c r="Z189" s="98" t="n"/>
      <c r="AL189" s="29">
        <f>IF(B189="","",IFERROR(INDEX(Schedule!$N$7:$N$18,MATCH(B189,Schedule!$A$7:$A$18,0)),"not in schedule"))</f>
        <v/>
      </c>
      <c r="AM189" s="108">
        <f>IF(B189="","",N(R189)-N(X189))</f>
        <v/>
      </c>
      <c r="AN189" s="144">
        <f>IF(B189="","",IF(Z189&lt;&gt;"",Z189,IF(N(G189)&gt;0,N(N189)/G189,"")))</f>
        <v/>
      </c>
      <c r="AO189" s="107">
        <f>IF(OR(B189="",C189=""),"",WORKDAY(C189,Inputs!$C$132,Lists!$N$4:$N$30))</f>
        <v/>
      </c>
      <c r="AP189" s="29">
        <f>IF(B189="","",IF(U189="","missing",IF(U189&gt;AO189,"Y","N")))</f>
        <v/>
      </c>
      <c r="AQ189" s="29">
        <f>IF(OR(W189="Y",W189="N"),IF(F189="",1,IF(COUNTIFS(F$5:F189,F189,W$5:W189,"Y")+COUNTIFS(F$5:F189,F189,W$5:W189,"N")=1,1,0)),0)</f>
        <v/>
      </c>
      <c r="AR189" s="29">
        <f>IF(W189="Y",IF(F189="",1,IF(COUNTIFS(F$5:F189,F189,W$5:W189,"Y")=1,1,0)),0)</f>
        <v/>
      </c>
    </row>
    <row r="190">
      <c r="A190" s="98" t="n"/>
      <c r="B190" s="98" t="n"/>
      <c r="C190" s="147" t="n"/>
      <c r="D190" s="98" t="n"/>
      <c r="E190" s="98" t="n"/>
      <c r="F190" s="98" t="n"/>
      <c r="G190" s="98" t="n"/>
      <c r="H190" s="98" t="n"/>
      <c r="I190" s="98" t="n"/>
      <c r="J190" s="98" t="n"/>
      <c r="K190" s="98" t="n"/>
      <c r="L190" s="98" t="n"/>
      <c r="M190" s="98" t="n"/>
      <c r="N190" s="98" t="n"/>
      <c r="O190" s="98" t="n"/>
      <c r="P190" s="98" t="n"/>
      <c r="Q190" s="98" t="n"/>
      <c r="R190" s="149" t="n"/>
      <c r="S190" s="147" t="n"/>
      <c r="T190" s="149" t="n"/>
      <c r="U190" s="147" t="n"/>
      <c r="V190" s="98" t="n"/>
      <c r="W190" s="98" t="n"/>
      <c r="X190" s="149" t="n"/>
      <c r="Y190" s="147" t="n"/>
      <c r="Z190" s="98" t="n"/>
      <c r="AL190" s="29">
        <f>IF(B190="","",IFERROR(INDEX(Schedule!$N$7:$N$18,MATCH(B190,Schedule!$A$7:$A$18,0)),"not in schedule"))</f>
        <v/>
      </c>
      <c r="AM190" s="108">
        <f>IF(B190="","",N(R190)-N(X190))</f>
        <v/>
      </c>
      <c r="AN190" s="144">
        <f>IF(B190="","",IF(Z190&lt;&gt;"",Z190,IF(N(G190)&gt;0,N(N190)/G190,"")))</f>
        <v/>
      </c>
      <c r="AO190" s="107">
        <f>IF(OR(B190="",C190=""),"",WORKDAY(C190,Inputs!$C$132,Lists!$N$4:$N$30))</f>
        <v/>
      </c>
      <c r="AP190" s="29">
        <f>IF(B190="","",IF(U190="","missing",IF(U190&gt;AO190,"Y","N")))</f>
        <v/>
      </c>
      <c r="AQ190" s="29">
        <f>IF(OR(W190="Y",W190="N"),IF(F190="",1,IF(COUNTIFS(F$5:F190,F190,W$5:W190,"Y")+COUNTIFS(F$5:F190,F190,W$5:W190,"N")=1,1,0)),0)</f>
        <v/>
      </c>
      <c r="AR190" s="29">
        <f>IF(W190="Y",IF(F190="",1,IF(COUNTIFS(F$5:F190,F190,W$5:W190,"Y")=1,1,0)),0)</f>
        <v/>
      </c>
    </row>
    <row r="191">
      <c r="A191" s="98" t="n"/>
      <c r="B191" s="98" t="n"/>
      <c r="C191" s="147" t="n"/>
      <c r="D191" s="98" t="n"/>
      <c r="E191" s="98" t="n"/>
      <c r="F191" s="98" t="n"/>
      <c r="G191" s="98" t="n"/>
      <c r="H191" s="98" t="n"/>
      <c r="I191" s="98" t="n"/>
      <c r="J191" s="98" t="n"/>
      <c r="K191" s="98" t="n"/>
      <c r="L191" s="98" t="n"/>
      <c r="M191" s="98" t="n"/>
      <c r="N191" s="98" t="n"/>
      <c r="O191" s="98" t="n"/>
      <c r="P191" s="98" t="n"/>
      <c r="Q191" s="98" t="n"/>
      <c r="R191" s="149" t="n"/>
      <c r="S191" s="147" t="n"/>
      <c r="T191" s="149" t="n"/>
      <c r="U191" s="147" t="n"/>
      <c r="V191" s="98" t="n"/>
      <c r="W191" s="98" t="n"/>
      <c r="X191" s="149" t="n"/>
      <c r="Y191" s="147" t="n"/>
      <c r="Z191" s="98" t="n"/>
      <c r="AL191" s="29">
        <f>IF(B191="","",IFERROR(INDEX(Schedule!$N$7:$N$18,MATCH(B191,Schedule!$A$7:$A$18,0)),"not in schedule"))</f>
        <v/>
      </c>
      <c r="AM191" s="108">
        <f>IF(B191="","",N(R191)-N(X191))</f>
        <v/>
      </c>
      <c r="AN191" s="144">
        <f>IF(B191="","",IF(Z191&lt;&gt;"",Z191,IF(N(G191)&gt;0,N(N191)/G191,"")))</f>
        <v/>
      </c>
      <c r="AO191" s="107">
        <f>IF(OR(B191="",C191=""),"",WORKDAY(C191,Inputs!$C$132,Lists!$N$4:$N$30))</f>
        <v/>
      </c>
      <c r="AP191" s="29">
        <f>IF(B191="","",IF(U191="","missing",IF(U191&gt;AO191,"Y","N")))</f>
        <v/>
      </c>
      <c r="AQ191" s="29">
        <f>IF(OR(W191="Y",W191="N"),IF(F191="",1,IF(COUNTIFS(F$5:F191,F191,W$5:W191,"Y")+COUNTIFS(F$5:F191,F191,W$5:W191,"N")=1,1,0)),0)</f>
        <v/>
      </c>
      <c r="AR191" s="29">
        <f>IF(W191="Y",IF(F191="",1,IF(COUNTIFS(F$5:F191,F191,W$5:W191,"Y")=1,1,0)),0)</f>
        <v/>
      </c>
    </row>
    <row r="192">
      <c r="A192" s="98" t="n"/>
      <c r="B192" s="98" t="n"/>
      <c r="C192" s="147" t="n"/>
      <c r="D192" s="98" t="n"/>
      <c r="E192" s="98" t="n"/>
      <c r="F192" s="98" t="n"/>
      <c r="G192" s="98" t="n"/>
      <c r="H192" s="98" t="n"/>
      <c r="I192" s="98" t="n"/>
      <c r="J192" s="98" t="n"/>
      <c r="K192" s="98" t="n"/>
      <c r="L192" s="98" t="n"/>
      <c r="M192" s="98" t="n"/>
      <c r="N192" s="98" t="n"/>
      <c r="O192" s="98" t="n"/>
      <c r="P192" s="98" t="n"/>
      <c r="Q192" s="98" t="n"/>
      <c r="R192" s="149" t="n"/>
      <c r="S192" s="147" t="n"/>
      <c r="T192" s="149" t="n"/>
      <c r="U192" s="147" t="n"/>
      <c r="V192" s="98" t="n"/>
      <c r="W192" s="98" t="n"/>
      <c r="X192" s="149" t="n"/>
      <c r="Y192" s="147" t="n"/>
      <c r="Z192" s="98" t="n"/>
      <c r="AL192" s="29">
        <f>IF(B192="","",IFERROR(INDEX(Schedule!$N$7:$N$18,MATCH(B192,Schedule!$A$7:$A$18,0)),"not in schedule"))</f>
        <v/>
      </c>
      <c r="AM192" s="108">
        <f>IF(B192="","",N(R192)-N(X192))</f>
        <v/>
      </c>
      <c r="AN192" s="144">
        <f>IF(B192="","",IF(Z192&lt;&gt;"",Z192,IF(N(G192)&gt;0,N(N192)/G192,"")))</f>
        <v/>
      </c>
      <c r="AO192" s="107">
        <f>IF(OR(B192="",C192=""),"",WORKDAY(C192,Inputs!$C$132,Lists!$N$4:$N$30))</f>
        <v/>
      </c>
      <c r="AP192" s="29">
        <f>IF(B192="","",IF(U192="","missing",IF(U192&gt;AO192,"Y","N")))</f>
        <v/>
      </c>
      <c r="AQ192" s="29">
        <f>IF(OR(W192="Y",W192="N"),IF(F192="",1,IF(COUNTIFS(F$5:F192,F192,W$5:W192,"Y")+COUNTIFS(F$5:F192,F192,W$5:W192,"N")=1,1,0)),0)</f>
        <v/>
      </c>
      <c r="AR192" s="29">
        <f>IF(W192="Y",IF(F192="",1,IF(COUNTIFS(F$5:F192,F192,W$5:W192,"Y")=1,1,0)),0)</f>
        <v/>
      </c>
    </row>
    <row r="193">
      <c r="A193" s="98" t="n"/>
      <c r="B193" s="98" t="n"/>
      <c r="C193" s="147" t="n"/>
      <c r="D193" s="98" t="n"/>
      <c r="E193" s="98" t="n"/>
      <c r="F193" s="98" t="n"/>
      <c r="G193" s="98" t="n"/>
      <c r="H193" s="98" t="n"/>
      <c r="I193" s="98" t="n"/>
      <c r="J193" s="98" t="n"/>
      <c r="K193" s="98" t="n"/>
      <c r="L193" s="98" t="n"/>
      <c r="M193" s="98" t="n"/>
      <c r="N193" s="98" t="n"/>
      <c r="O193" s="98" t="n"/>
      <c r="P193" s="98" t="n"/>
      <c r="Q193" s="98" t="n"/>
      <c r="R193" s="149" t="n"/>
      <c r="S193" s="147" t="n"/>
      <c r="T193" s="149" t="n"/>
      <c r="U193" s="147" t="n"/>
      <c r="V193" s="98" t="n"/>
      <c r="W193" s="98" t="n"/>
      <c r="X193" s="149" t="n"/>
      <c r="Y193" s="147" t="n"/>
      <c r="Z193" s="98" t="n"/>
      <c r="AL193" s="29">
        <f>IF(B193="","",IFERROR(INDEX(Schedule!$N$7:$N$18,MATCH(B193,Schedule!$A$7:$A$18,0)),"not in schedule"))</f>
        <v/>
      </c>
      <c r="AM193" s="108">
        <f>IF(B193="","",N(R193)-N(X193))</f>
        <v/>
      </c>
      <c r="AN193" s="144">
        <f>IF(B193="","",IF(Z193&lt;&gt;"",Z193,IF(N(G193)&gt;0,N(N193)/G193,"")))</f>
        <v/>
      </c>
      <c r="AO193" s="107">
        <f>IF(OR(B193="",C193=""),"",WORKDAY(C193,Inputs!$C$132,Lists!$N$4:$N$30))</f>
        <v/>
      </c>
      <c r="AP193" s="29">
        <f>IF(B193="","",IF(U193="","missing",IF(U193&gt;AO193,"Y","N")))</f>
        <v/>
      </c>
      <c r="AQ193" s="29">
        <f>IF(OR(W193="Y",W193="N"),IF(F193="",1,IF(COUNTIFS(F$5:F193,F193,W$5:W193,"Y")+COUNTIFS(F$5:F193,F193,W$5:W193,"N")=1,1,0)),0)</f>
        <v/>
      </c>
      <c r="AR193" s="29">
        <f>IF(W193="Y",IF(F193="",1,IF(COUNTIFS(F$5:F193,F193,W$5:W193,"Y")=1,1,0)),0)</f>
        <v/>
      </c>
    </row>
    <row r="194">
      <c r="A194" s="98" t="n"/>
      <c r="B194" s="98" t="n"/>
      <c r="C194" s="147" t="n"/>
      <c r="D194" s="98" t="n"/>
      <c r="E194" s="98" t="n"/>
      <c r="F194" s="98" t="n"/>
      <c r="G194" s="98" t="n"/>
      <c r="H194" s="98" t="n"/>
      <c r="I194" s="98" t="n"/>
      <c r="J194" s="98" t="n"/>
      <c r="K194" s="98" t="n"/>
      <c r="L194" s="98" t="n"/>
      <c r="M194" s="98" t="n"/>
      <c r="N194" s="98" t="n"/>
      <c r="O194" s="98" t="n"/>
      <c r="P194" s="98" t="n"/>
      <c r="Q194" s="98" t="n"/>
      <c r="R194" s="149" t="n"/>
      <c r="S194" s="147" t="n"/>
      <c r="T194" s="149" t="n"/>
      <c r="U194" s="147" t="n"/>
      <c r="V194" s="98" t="n"/>
      <c r="W194" s="98" t="n"/>
      <c r="X194" s="149" t="n"/>
      <c r="Y194" s="147" t="n"/>
      <c r="Z194" s="98" t="n"/>
      <c r="AL194" s="29">
        <f>IF(B194="","",IFERROR(INDEX(Schedule!$N$7:$N$18,MATCH(B194,Schedule!$A$7:$A$18,0)),"not in schedule"))</f>
        <v/>
      </c>
      <c r="AM194" s="108">
        <f>IF(B194="","",N(R194)-N(X194))</f>
        <v/>
      </c>
      <c r="AN194" s="144">
        <f>IF(B194="","",IF(Z194&lt;&gt;"",Z194,IF(N(G194)&gt;0,N(N194)/G194,"")))</f>
        <v/>
      </c>
      <c r="AO194" s="107">
        <f>IF(OR(B194="",C194=""),"",WORKDAY(C194,Inputs!$C$132,Lists!$N$4:$N$30))</f>
        <v/>
      </c>
      <c r="AP194" s="29">
        <f>IF(B194="","",IF(U194="","missing",IF(U194&gt;AO194,"Y","N")))</f>
        <v/>
      </c>
      <c r="AQ194" s="29">
        <f>IF(OR(W194="Y",W194="N"),IF(F194="",1,IF(COUNTIFS(F$5:F194,F194,W$5:W194,"Y")+COUNTIFS(F$5:F194,F194,W$5:W194,"N")=1,1,0)),0)</f>
        <v/>
      </c>
      <c r="AR194" s="29">
        <f>IF(W194="Y",IF(F194="",1,IF(COUNTIFS(F$5:F194,F194,W$5:W194,"Y")=1,1,0)),0)</f>
        <v/>
      </c>
    </row>
    <row r="195">
      <c r="A195" s="98" t="n"/>
      <c r="B195" s="98" t="n"/>
      <c r="C195" s="147" t="n"/>
      <c r="D195" s="98" t="n"/>
      <c r="E195" s="98" t="n"/>
      <c r="F195" s="98" t="n"/>
      <c r="G195" s="98" t="n"/>
      <c r="H195" s="98" t="n"/>
      <c r="I195" s="98" t="n"/>
      <c r="J195" s="98" t="n"/>
      <c r="K195" s="98" t="n"/>
      <c r="L195" s="98" t="n"/>
      <c r="M195" s="98" t="n"/>
      <c r="N195" s="98" t="n"/>
      <c r="O195" s="98" t="n"/>
      <c r="P195" s="98" t="n"/>
      <c r="Q195" s="98" t="n"/>
      <c r="R195" s="149" t="n"/>
      <c r="S195" s="147" t="n"/>
      <c r="T195" s="149" t="n"/>
      <c r="U195" s="147" t="n"/>
      <c r="V195" s="98" t="n"/>
      <c r="W195" s="98" t="n"/>
      <c r="X195" s="149" t="n"/>
      <c r="Y195" s="147" t="n"/>
      <c r="Z195" s="98" t="n"/>
      <c r="AL195" s="29">
        <f>IF(B195="","",IFERROR(INDEX(Schedule!$N$7:$N$18,MATCH(B195,Schedule!$A$7:$A$18,0)),"not in schedule"))</f>
        <v/>
      </c>
      <c r="AM195" s="108">
        <f>IF(B195="","",N(R195)-N(X195))</f>
        <v/>
      </c>
      <c r="AN195" s="144">
        <f>IF(B195="","",IF(Z195&lt;&gt;"",Z195,IF(N(G195)&gt;0,N(N195)/G195,"")))</f>
        <v/>
      </c>
      <c r="AO195" s="107">
        <f>IF(OR(B195="",C195=""),"",WORKDAY(C195,Inputs!$C$132,Lists!$N$4:$N$30))</f>
        <v/>
      </c>
      <c r="AP195" s="29">
        <f>IF(B195="","",IF(U195="","missing",IF(U195&gt;AO195,"Y","N")))</f>
        <v/>
      </c>
      <c r="AQ195" s="29">
        <f>IF(OR(W195="Y",W195="N"),IF(F195="",1,IF(COUNTIFS(F$5:F195,F195,W$5:W195,"Y")+COUNTIFS(F$5:F195,F195,W$5:W195,"N")=1,1,0)),0)</f>
        <v/>
      </c>
      <c r="AR195" s="29">
        <f>IF(W195="Y",IF(F195="",1,IF(COUNTIFS(F$5:F195,F195,W$5:W195,"Y")=1,1,0)),0)</f>
        <v/>
      </c>
    </row>
    <row r="196">
      <c r="A196" s="98" t="n"/>
      <c r="B196" s="98" t="n"/>
      <c r="C196" s="147" t="n"/>
      <c r="D196" s="98" t="n"/>
      <c r="E196" s="98" t="n"/>
      <c r="F196" s="98" t="n"/>
      <c r="G196" s="98" t="n"/>
      <c r="H196" s="98" t="n"/>
      <c r="I196" s="98" t="n"/>
      <c r="J196" s="98" t="n"/>
      <c r="K196" s="98" t="n"/>
      <c r="L196" s="98" t="n"/>
      <c r="M196" s="98" t="n"/>
      <c r="N196" s="98" t="n"/>
      <c r="O196" s="98" t="n"/>
      <c r="P196" s="98" t="n"/>
      <c r="Q196" s="98" t="n"/>
      <c r="R196" s="149" t="n"/>
      <c r="S196" s="147" t="n"/>
      <c r="T196" s="149" t="n"/>
      <c r="U196" s="147" t="n"/>
      <c r="V196" s="98" t="n"/>
      <c r="W196" s="98" t="n"/>
      <c r="X196" s="149" t="n"/>
      <c r="Y196" s="147" t="n"/>
      <c r="Z196" s="98" t="n"/>
      <c r="AL196" s="29">
        <f>IF(B196="","",IFERROR(INDEX(Schedule!$N$7:$N$18,MATCH(B196,Schedule!$A$7:$A$18,0)),"not in schedule"))</f>
        <v/>
      </c>
      <c r="AM196" s="108">
        <f>IF(B196="","",N(R196)-N(X196))</f>
        <v/>
      </c>
      <c r="AN196" s="144">
        <f>IF(B196="","",IF(Z196&lt;&gt;"",Z196,IF(N(G196)&gt;0,N(N196)/G196,"")))</f>
        <v/>
      </c>
      <c r="AO196" s="107">
        <f>IF(OR(B196="",C196=""),"",WORKDAY(C196,Inputs!$C$132,Lists!$N$4:$N$30))</f>
        <v/>
      </c>
      <c r="AP196" s="29">
        <f>IF(B196="","",IF(U196="","missing",IF(U196&gt;AO196,"Y","N")))</f>
        <v/>
      </c>
      <c r="AQ196" s="29">
        <f>IF(OR(W196="Y",W196="N"),IF(F196="",1,IF(COUNTIFS(F$5:F196,F196,W$5:W196,"Y")+COUNTIFS(F$5:F196,F196,W$5:W196,"N")=1,1,0)),0)</f>
        <v/>
      </c>
      <c r="AR196" s="29">
        <f>IF(W196="Y",IF(F196="",1,IF(COUNTIFS(F$5:F196,F196,W$5:W196,"Y")=1,1,0)),0)</f>
        <v/>
      </c>
    </row>
    <row r="197">
      <c r="A197" s="98" t="n"/>
      <c r="B197" s="98" t="n"/>
      <c r="C197" s="147" t="n"/>
      <c r="D197" s="98" t="n"/>
      <c r="E197" s="98" t="n"/>
      <c r="F197" s="98" t="n"/>
      <c r="G197" s="98" t="n"/>
      <c r="H197" s="98" t="n"/>
      <c r="I197" s="98" t="n"/>
      <c r="J197" s="98" t="n"/>
      <c r="K197" s="98" t="n"/>
      <c r="L197" s="98" t="n"/>
      <c r="M197" s="98" t="n"/>
      <c r="N197" s="98" t="n"/>
      <c r="O197" s="98" t="n"/>
      <c r="P197" s="98" t="n"/>
      <c r="Q197" s="98" t="n"/>
      <c r="R197" s="149" t="n"/>
      <c r="S197" s="147" t="n"/>
      <c r="T197" s="149" t="n"/>
      <c r="U197" s="147" t="n"/>
      <c r="V197" s="98" t="n"/>
      <c r="W197" s="98" t="n"/>
      <c r="X197" s="149" t="n"/>
      <c r="Y197" s="147" t="n"/>
      <c r="Z197" s="98" t="n"/>
      <c r="AL197" s="29">
        <f>IF(B197="","",IFERROR(INDEX(Schedule!$N$7:$N$18,MATCH(B197,Schedule!$A$7:$A$18,0)),"not in schedule"))</f>
        <v/>
      </c>
      <c r="AM197" s="108">
        <f>IF(B197="","",N(R197)-N(X197))</f>
        <v/>
      </c>
      <c r="AN197" s="144">
        <f>IF(B197="","",IF(Z197&lt;&gt;"",Z197,IF(N(G197)&gt;0,N(N197)/G197,"")))</f>
        <v/>
      </c>
      <c r="AO197" s="107">
        <f>IF(OR(B197="",C197=""),"",WORKDAY(C197,Inputs!$C$132,Lists!$N$4:$N$30))</f>
        <v/>
      </c>
      <c r="AP197" s="29">
        <f>IF(B197="","",IF(U197="","missing",IF(U197&gt;AO197,"Y","N")))</f>
        <v/>
      </c>
      <c r="AQ197" s="29">
        <f>IF(OR(W197="Y",W197="N"),IF(F197="",1,IF(COUNTIFS(F$5:F197,F197,W$5:W197,"Y")+COUNTIFS(F$5:F197,F197,W$5:W197,"N")=1,1,0)),0)</f>
        <v/>
      </c>
      <c r="AR197" s="29">
        <f>IF(W197="Y",IF(F197="",1,IF(COUNTIFS(F$5:F197,F197,W$5:W197,"Y")=1,1,0)),0)</f>
        <v/>
      </c>
    </row>
    <row r="198">
      <c r="A198" s="98" t="n"/>
      <c r="B198" s="98" t="n"/>
      <c r="C198" s="147" t="n"/>
      <c r="D198" s="98" t="n"/>
      <c r="E198" s="98" t="n"/>
      <c r="F198" s="98" t="n"/>
      <c r="G198" s="98" t="n"/>
      <c r="H198" s="98" t="n"/>
      <c r="I198" s="98" t="n"/>
      <c r="J198" s="98" t="n"/>
      <c r="K198" s="98" t="n"/>
      <c r="L198" s="98" t="n"/>
      <c r="M198" s="98" t="n"/>
      <c r="N198" s="98" t="n"/>
      <c r="O198" s="98" t="n"/>
      <c r="P198" s="98" t="n"/>
      <c r="Q198" s="98" t="n"/>
      <c r="R198" s="149" t="n"/>
      <c r="S198" s="147" t="n"/>
      <c r="T198" s="149" t="n"/>
      <c r="U198" s="147" t="n"/>
      <c r="V198" s="98" t="n"/>
      <c r="W198" s="98" t="n"/>
      <c r="X198" s="149" t="n"/>
      <c r="Y198" s="147" t="n"/>
      <c r="Z198" s="98" t="n"/>
      <c r="AL198" s="29">
        <f>IF(B198="","",IFERROR(INDEX(Schedule!$N$7:$N$18,MATCH(B198,Schedule!$A$7:$A$18,0)),"not in schedule"))</f>
        <v/>
      </c>
      <c r="AM198" s="108">
        <f>IF(B198="","",N(R198)-N(X198))</f>
        <v/>
      </c>
      <c r="AN198" s="144">
        <f>IF(B198="","",IF(Z198&lt;&gt;"",Z198,IF(N(G198)&gt;0,N(N198)/G198,"")))</f>
        <v/>
      </c>
      <c r="AO198" s="107">
        <f>IF(OR(B198="",C198=""),"",WORKDAY(C198,Inputs!$C$132,Lists!$N$4:$N$30))</f>
        <v/>
      </c>
      <c r="AP198" s="29">
        <f>IF(B198="","",IF(U198="","missing",IF(U198&gt;AO198,"Y","N")))</f>
        <v/>
      </c>
      <c r="AQ198" s="29">
        <f>IF(OR(W198="Y",W198="N"),IF(F198="",1,IF(COUNTIFS(F$5:F198,F198,W$5:W198,"Y")+COUNTIFS(F$5:F198,F198,W$5:W198,"N")=1,1,0)),0)</f>
        <v/>
      </c>
      <c r="AR198" s="29">
        <f>IF(W198="Y",IF(F198="",1,IF(COUNTIFS(F$5:F198,F198,W$5:W198,"Y")=1,1,0)),0)</f>
        <v/>
      </c>
    </row>
    <row r="199">
      <c r="A199" s="98" t="n"/>
      <c r="B199" s="98" t="n"/>
      <c r="C199" s="147" t="n"/>
      <c r="D199" s="98" t="n"/>
      <c r="E199" s="98" t="n"/>
      <c r="F199" s="98" t="n"/>
      <c r="G199" s="98" t="n"/>
      <c r="H199" s="98" t="n"/>
      <c r="I199" s="98" t="n"/>
      <c r="J199" s="98" t="n"/>
      <c r="K199" s="98" t="n"/>
      <c r="L199" s="98" t="n"/>
      <c r="M199" s="98" t="n"/>
      <c r="N199" s="98" t="n"/>
      <c r="O199" s="98" t="n"/>
      <c r="P199" s="98" t="n"/>
      <c r="Q199" s="98" t="n"/>
      <c r="R199" s="149" t="n"/>
      <c r="S199" s="147" t="n"/>
      <c r="T199" s="149" t="n"/>
      <c r="U199" s="147" t="n"/>
      <c r="V199" s="98" t="n"/>
      <c r="W199" s="98" t="n"/>
      <c r="X199" s="149" t="n"/>
      <c r="Y199" s="147" t="n"/>
      <c r="Z199" s="98" t="n"/>
      <c r="AL199" s="29">
        <f>IF(B199="","",IFERROR(INDEX(Schedule!$N$7:$N$18,MATCH(B199,Schedule!$A$7:$A$18,0)),"not in schedule"))</f>
        <v/>
      </c>
      <c r="AM199" s="108">
        <f>IF(B199="","",N(R199)-N(X199))</f>
        <v/>
      </c>
      <c r="AN199" s="144">
        <f>IF(B199="","",IF(Z199&lt;&gt;"",Z199,IF(N(G199)&gt;0,N(N199)/G199,"")))</f>
        <v/>
      </c>
      <c r="AO199" s="107">
        <f>IF(OR(B199="",C199=""),"",WORKDAY(C199,Inputs!$C$132,Lists!$N$4:$N$30))</f>
        <v/>
      </c>
      <c r="AP199" s="29">
        <f>IF(B199="","",IF(U199="","missing",IF(U199&gt;AO199,"Y","N")))</f>
        <v/>
      </c>
      <c r="AQ199" s="29">
        <f>IF(OR(W199="Y",W199="N"),IF(F199="",1,IF(COUNTIFS(F$5:F199,F199,W$5:W199,"Y")+COUNTIFS(F$5:F199,F199,W$5:W199,"N")=1,1,0)),0)</f>
        <v/>
      </c>
      <c r="AR199" s="29">
        <f>IF(W199="Y",IF(F199="",1,IF(COUNTIFS(F$5:F199,F199,W$5:W199,"Y")=1,1,0)),0)</f>
        <v/>
      </c>
    </row>
    <row r="200">
      <c r="A200" s="98" t="n"/>
      <c r="B200" s="98" t="n"/>
      <c r="C200" s="147" t="n"/>
      <c r="D200" s="98" t="n"/>
      <c r="E200" s="98" t="n"/>
      <c r="F200" s="98" t="n"/>
      <c r="G200" s="98" t="n"/>
      <c r="H200" s="98" t="n"/>
      <c r="I200" s="98" t="n"/>
      <c r="J200" s="98" t="n"/>
      <c r="K200" s="98" t="n"/>
      <c r="L200" s="98" t="n"/>
      <c r="M200" s="98" t="n"/>
      <c r="N200" s="98" t="n"/>
      <c r="O200" s="98" t="n"/>
      <c r="P200" s="98" t="n"/>
      <c r="Q200" s="98" t="n"/>
      <c r="R200" s="149" t="n"/>
      <c r="S200" s="147" t="n"/>
      <c r="T200" s="149" t="n"/>
      <c r="U200" s="147" t="n"/>
      <c r="V200" s="98" t="n"/>
      <c r="W200" s="98" t="n"/>
      <c r="X200" s="149" t="n"/>
      <c r="Y200" s="147" t="n"/>
      <c r="Z200" s="98" t="n"/>
      <c r="AL200" s="29">
        <f>IF(B200="","",IFERROR(INDEX(Schedule!$N$7:$N$18,MATCH(B200,Schedule!$A$7:$A$18,0)),"not in schedule"))</f>
        <v/>
      </c>
      <c r="AM200" s="108">
        <f>IF(B200="","",N(R200)-N(X200))</f>
        <v/>
      </c>
      <c r="AN200" s="144">
        <f>IF(B200="","",IF(Z200&lt;&gt;"",Z200,IF(N(G200)&gt;0,N(N200)/G200,"")))</f>
        <v/>
      </c>
      <c r="AO200" s="107">
        <f>IF(OR(B200="",C200=""),"",WORKDAY(C200,Inputs!$C$132,Lists!$N$4:$N$30))</f>
        <v/>
      </c>
      <c r="AP200" s="29">
        <f>IF(B200="","",IF(U200="","missing",IF(U200&gt;AO200,"Y","N")))</f>
        <v/>
      </c>
      <c r="AQ200" s="29">
        <f>IF(OR(W200="Y",W200="N"),IF(F200="",1,IF(COUNTIFS(F$5:F200,F200,W$5:W200,"Y")+COUNTIFS(F$5:F200,F200,W$5:W200,"N")=1,1,0)),0)</f>
        <v/>
      </c>
      <c r="AR200" s="29">
        <f>IF(W200="Y",IF(F200="",1,IF(COUNTIFS(F$5:F200,F200,W$5:W200,"Y")=1,1,0)),0)</f>
        <v/>
      </c>
    </row>
    <row r="201">
      <c r="A201" s="98" t="n"/>
      <c r="B201" s="98" t="n"/>
      <c r="C201" s="147" t="n"/>
      <c r="D201" s="98" t="n"/>
      <c r="E201" s="98" t="n"/>
      <c r="F201" s="98" t="n"/>
      <c r="G201" s="98" t="n"/>
      <c r="H201" s="98" t="n"/>
      <c r="I201" s="98" t="n"/>
      <c r="J201" s="98" t="n"/>
      <c r="K201" s="98" t="n"/>
      <c r="L201" s="98" t="n"/>
      <c r="M201" s="98" t="n"/>
      <c r="N201" s="98" t="n"/>
      <c r="O201" s="98" t="n"/>
      <c r="P201" s="98" t="n"/>
      <c r="Q201" s="98" t="n"/>
      <c r="R201" s="149" t="n"/>
      <c r="S201" s="147" t="n"/>
      <c r="T201" s="149" t="n"/>
      <c r="U201" s="147" t="n"/>
      <c r="V201" s="98" t="n"/>
      <c r="W201" s="98" t="n"/>
      <c r="X201" s="149" t="n"/>
      <c r="Y201" s="147" t="n"/>
      <c r="Z201" s="98" t="n"/>
      <c r="AL201" s="29">
        <f>IF(B201="","",IFERROR(INDEX(Schedule!$N$7:$N$18,MATCH(B201,Schedule!$A$7:$A$18,0)),"not in schedule"))</f>
        <v/>
      </c>
      <c r="AM201" s="108">
        <f>IF(B201="","",N(R201)-N(X201))</f>
        <v/>
      </c>
      <c r="AN201" s="144">
        <f>IF(B201="","",IF(Z201&lt;&gt;"",Z201,IF(N(G201)&gt;0,N(N201)/G201,"")))</f>
        <v/>
      </c>
      <c r="AO201" s="107">
        <f>IF(OR(B201="",C201=""),"",WORKDAY(C201,Inputs!$C$132,Lists!$N$4:$N$30))</f>
        <v/>
      </c>
      <c r="AP201" s="29">
        <f>IF(B201="","",IF(U201="","missing",IF(U201&gt;AO201,"Y","N")))</f>
        <v/>
      </c>
      <c r="AQ201" s="29">
        <f>IF(OR(W201="Y",W201="N"),IF(F201="",1,IF(COUNTIFS(F$5:F201,F201,W$5:W201,"Y")+COUNTIFS(F$5:F201,F201,W$5:W201,"N")=1,1,0)),0)</f>
        <v/>
      </c>
      <c r="AR201" s="29">
        <f>IF(W201="Y",IF(F201="",1,IF(COUNTIFS(F$5:F201,F201,W$5:W201,"Y")=1,1,0)),0)</f>
        <v/>
      </c>
    </row>
    <row r="202">
      <c r="A202" s="98" t="n"/>
      <c r="B202" s="98" t="n"/>
      <c r="C202" s="147" t="n"/>
      <c r="D202" s="98" t="n"/>
      <c r="E202" s="98" t="n"/>
      <c r="F202" s="98" t="n"/>
      <c r="G202" s="98" t="n"/>
      <c r="H202" s="98" t="n"/>
      <c r="I202" s="98" t="n"/>
      <c r="J202" s="98" t="n"/>
      <c r="K202" s="98" t="n"/>
      <c r="L202" s="98" t="n"/>
      <c r="M202" s="98" t="n"/>
      <c r="N202" s="98" t="n"/>
      <c r="O202" s="98" t="n"/>
      <c r="P202" s="98" t="n"/>
      <c r="Q202" s="98" t="n"/>
      <c r="R202" s="149" t="n"/>
      <c r="S202" s="147" t="n"/>
      <c r="T202" s="149" t="n"/>
      <c r="U202" s="147" t="n"/>
      <c r="V202" s="98" t="n"/>
      <c r="W202" s="98" t="n"/>
      <c r="X202" s="149" t="n"/>
      <c r="Y202" s="147" t="n"/>
      <c r="Z202" s="98" t="n"/>
      <c r="AL202" s="29">
        <f>IF(B202="","",IFERROR(INDEX(Schedule!$N$7:$N$18,MATCH(B202,Schedule!$A$7:$A$18,0)),"not in schedule"))</f>
        <v/>
      </c>
      <c r="AM202" s="108">
        <f>IF(B202="","",N(R202)-N(X202))</f>
        <v/>
      </c>
      <c r="AN202" s="144">
        <f>IF(B202="","",IF(Z202&lt;&gt;"",Z202,IF(N(G202)&gt;0,N(N202)/G202,"")))</f>
        <v/>
      </c>
      <c r="AO202" s="107">
        <f>IF(OR(B202="",C202=""),"",WORKDAY(C202,Inputs!$C$132,Lists!$N$4:$N$30))</f>
        <v/>
      </c>
      <c r="AP202" s="29">
        <f>IF(B202="","",IF(U202="","missing",IF(U202&gt;AO202,"Y","N")))</f>
        <v/>
      </c>
      <c r="AQ202" s="29">
        <f>IF(OR(W202="Y",W202="N"),IF(F202="",1,IF(COUNTIFS(F$5:F202,F202,W$5:W202,"Y")+COUNTIFS(F$5:F202,F202,W$5:W202,"N")=1,1,0)),0)</f>
        <v/>
      </c>
      <c r="AR202" s="29">
        <f>IF(W202="Y",IF(F202="",1,IF(COUNTIFS(F$5:F202,F202,W$5:W202,"Y")=1,1,0)),0)</f>
        <v/>
      </c>
    </row>
    <row r="203">
      <c r="A203" s="98" t="n"/>
      <c r="B203" s="98" t="n"/>
      <c r="C203" s="147" t="n"/>
      <c r="D203" s="98" t="n"/>
      <c r="E203" s="98" t="n"/>
      <c r="F203" s="98" t="n"/>
      <c r="G203" s="98" t="n"/>
      <c r="H203" s="98" t="n"/>
      <c r="I203" s="98" t="n"/>
      <c r="J203" s="98" t="n"/>
      <c r="K203" s="98" t="n"/>
      <c r="L203" s="98" t="n"/>
      <c r="M203" s="98" t="n"/>
      <c r="N203" s="98" t="n"/>
      <c r="O203" s="98" t="n"/>
      <c r="P203" s="98" t="n"/>
      <c r="Q203" s="98" t="n"/>
      <c r="R203" s="149" t="n"/>
      <c r="S203" s="147" t="n"/>
      <c r="T203" s="149" t="n"/>
      <c r="U203" s="147" t="n"/>
      <c r="V203" s="98" t="n"/>
      <c r="W203" s="98" t="n"/>
      <c r="X203" s="149" t="n"/>
      <c r="Y203" s="147" t="n"/>
      <c r="Z203" s="98" t="n"/>
      <c r="AL203" s="29">
        <f>IF(B203="","",IFERROR(INDEX(Schedule!$N$7:$N$18,MATCH(B203,Schedule!$A$7:$A$18,0)),"not in schedule"))</f>
        <v/>
      </c>
      <c r="AM203" s="108">
        <f>IF(B203="","",N(R203)-N(X203))</f>
        <v/>
      </c>
      <c r="AN203" s="144">
        <f>IF(B203="","",IF(Z203&lt;&gt;"",Z203,IF(N(G203)&gt;0,N(N203)/G203,"")))</f>
        <v/>
      </c>
      <c r="AO203" s="107">
        <f>IF(OR(B203="",C203=""),"",WORKDAY(C203,Inputs!$C$132,Lists!$N$4:$N$30))</f>
        <v/>
      </c>
      <c r="AP203" s="29">
        <f>IF(B203="","",IF(U203="","missing",IF(U203&gt;AO203,"Y","N")))</f>
        <v/>
      </c>
      <c r="AQ203" s="29">
        <f>IF(OR(W203="Y",W203="N"),IF(F203="",1,IF(COUNTIFS(F$5:F203,F203,W$5:W203,"Y")+COUNTIFS(F$5:F203,F203,W$5:W203,"N")=1,1,0)),0)</f>
        <v/>
      </c>
      <c r="AR203" s="29">
        <f>IF(W203="Y",IF(F203="",1,IF(COUNTIFS(F$5:F203,F203,W$5:W203,"Y")=1,1,0)),0)</f>
        <v/>
      </c>
    </row>
    <row r="204">
      <c r="A204" s="98" t="n"/>
      <c r="B204" s="98" t="n"/>
      <c r="C204" s="147" t="n"/>
      <c r="D204" s="98" t="n"/>
      <c r="E204" s="98" t="n"/>
      <c r="F204" s="98" t="n"/>
      <c r="G204" s="98" t="n"/>
      <c r="H204" s="98" t="n"/>
      <c r="I204" s="98" t="n"/>
      <c r="J204" s="98" t="n"/>
      <c r="K204" s="98" t="n"/>
      <c r="L204" s="98" t="n"/>
      <c r="M204" s="98" t="n"/>
      <c r="N204" s="98" t="n"/>
      <c r="O204" s="98" t="n"/>
      <c r="P204" s="98" t="n"/>
      <c r="Q204" s="98" t="n"/>
      <c r="R204" s="149" t="n"/>
      <c r="S204" s="147" t="n"/>
      <c r="T204" s="149" t="n"/>
      <c r="U204" s="147" t="n"/>
      <c r="V204" s="98" t="n"/>
      <c r="W204" s="98" t="n"/>
      <c r="X204" s="149" t="n"/>
      <c r="Y204" s="147" t="n"/>
      <c r="Z204" s="98" t="n"/>
      <c r="AL204" s="29">
        <f>IF(B204="","",IFERROR(INDEX(Schedule!$N$7:$N$18,MATCH(B204,Schedule!$A$7:$A$18,0)),"not in schedule"))</f>
        <v/>
      </c>
      <c r="AM204" s="108">
        <f>IF(B204="","",N(R204)-N(X204))</f>
        <v/>
      </c>
      <c r="AN204" s="144">
        <f>IF(B204="","",IF(Z204&lt;&gt;"",Z204,IF(N(G204)&gt;0,N(N204)/G204,"")))</f>
        <v/>
      </c>
      <c r="AO204" s="107">
        <f>IF(OR(B204="",C204=""),"",WORKDAY(C204,Inputs!$C$132,Lists!$N$4:$N$30))</f>
        <v/>
      </c>
      <c r="AP204" s="29">
        <f>IF(B204="","",IF(U204="","missing",IF(U204&gt;AO204,"Y","N")))</f>
        <v/>
      </c>
      <c r="AQ204" s="29">
        <f>IF(OR(W204="Y",W204="N"),IF(F204="",1,IF(COUNTIFS(F$5:F204,F204,W$5:W204,"Y")+COUNTIFS(F$5:F204,F204,W$5:W204,"N")=1,1,0)),0)</f>
        <v/>
      </c>
      <c r="AR204" s="29">
        <f>IF(W204="Y",IF(F204="",1,IF(COUNTIFS(F$5:F204,F204,W$5:W204,"Y")=1,1,0)),0)</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8" t="n"/>
      <c r="B5" s="147" t="n"/>
      <c r="C5" s="98" t="n"/>
      <c r="D5" s="98" t="n"/>
      <c r="E5" s="98" t="n"/>
      <c r="F5" s="149" t="n"/>
      <c r="G5" s="149" t="n"/>
      <c r="H5" s="149" t="n"/>
      <c r="I5" s="98" t="n"/>
      <c r="U5" s="29">
        <f>IF(A5="","",IFERROR(INDEX(Schedule!$N$7:$N$18,MATCH(A5,Schedule!$A$7:$A$18,0)),"not in schedule"))</f>
        <v/>
      </c>
    </row>
    <row r="6">
      <c r="A6" s="98" t="n"/>
      <c r="B6" s="147" t="n"/>
      <c r="C6" s="98" t="n"/>
      <c r="D6" s="98" t="n"/>
      <c r="E6" s="98" t="n"/>
      <c r="F6" s="149" t="n"/>
      <c r="G6" s="149" t="n"/>
      <c r="H6" s="149" t="n"/>
      <c r="I6" s="98" t="n"/>
      <c r="U6" s="29">
        <f>IF(A6="","",IFERROR(INDEX(Schedule!$N$7:$N$18,MATCH(A6,Schedule!$A$7:$A$18,0)),"not in schedule"))</f>
        <v/>
      </c>
    </row>
    <row r="7">
      <c r="A7" s="98" t="n"/>
      <c r="B7" s="147" t="n"/>
      <c r="C7" s="98" t="n"/>
      <c r="D7" s="98" t="n"/>
      <c r="E7" s="98" t="n"/>
      <c r="F7" s="149" t="n"/>
      <c r="G7" s="149" t="n"/>
      <c r="H7" s="149" t="n"/>
      <c r="I7" s="98" t="n"/>
      <c r="U7" s="29">
        <f>IF(A7="","",IFERROR(INDEX(Schedule!$N$7:$N$18,MATCH(A7,Schedule!$A$7:$A$18,0)),"not in schedule"))</f>
        <v/>
      </c>
    </row>
    <row r="8">
      <c r="A8" s="98" t="n"/>
      <c r="B8" s="147" t="n"/>
      <c r="C8" s="98" t="n"/>
      <c r="D8" s="98" t="n"/>
      <c r="E8" s="98" t="n"/>
      <c r="F8" s="149" t="n"/>
      <c r="G8" s="149" t="n"/>
      <c r="H8" s="149" t="n"/>
      <c r="I8" s="98" t="n"/>
      <c r="U8" s="29">
        <f>IF(A8="","",IFERROR(INDEX(Schedule!$N$7:$N$18,MATCH(A8,Schedule!$A$7:$A$18,0)),"not in schedule"))</f>
        <v/>
      </c>
    </row>
    <row r="9">
      <c r="A9" s="98" t="n"/>
      <c r="B9" s="147" t="n"/>
      <c r="C9" s="98" t="n"/>
      <c r="D9" s="98" t="n"/>
      <c r="E9" s="98" t="n"/>
      <c r="F9" s="149" t="n"/>
      <c r="G9" s="149" t="n"/>
      <c r="H9" s="149" t="n"/>
      <c r="I9" s="98" t="n"/>
      <c r="U9" s="29">
        <f>IF(A9="","",IFERROR(INDEX(Schedule!$N$7:$N$18,MATCH(A9,Schedule!$A$7:$A$18,0)),"not in schedule"))</f>
        <v/>
      </c>
    </row>
    <row r="10">
      <c r="A10" s="98" t="n"/>
      <c r="B10" s="147" t="n"/>
      <c r="C10" s="98" t="n"/>
      <c r="D10" s="98" t="n"/>
      <c r="E10" s="98" t="n"/>
      <c r="F10" s="149" t="n"/>
      <c r="G10" s="149" t="n"/>
      <c r="H10" s="149" t="n"/>
      <c r="I10" s="98" t="n"/>
      <c r="U10" s="29">
        <f>IF(A10="","",IFERROR(INDEX(Schedule!$N$7:$N$18,MATCH(A10,Schedule!$A$7:$A$18,0)),"not in schedule"))</f>
        <v/>
      </c>
    </row>
    <row r="11">
      <c r="A11" s="98" t="n"/>
      <c r="B11" s="147" t="n"/>
      <c r="C11" s="98" t="n"/>
      <c r="D11" s="98" t="n"/>
      <c r="E11" s="98" t="n"/>
      <c r="F11" s="149" t="n"/>
      <c r="G11" s="149" t="n"/>
      <c r="H11" s="149" t="n"/>
      <c r="I11" s="98" t="n"/>
      <c r="U11" s="29">
        <f>IF(A11="","",IFERROR(INDEX(Schedule!$N$7:$N$18,MATCH(A11,Schedule!$A$7:$A$18,0)),"not in schedule"))</f>
        <v/>
      </c>
    </row>
    <row r="12">
      <c r="A12" s="98" t="n"/>
      <c r="B12" s="147" t="n"/>
      <c r="C12" s="98" t="n"/>
      <c r="D12" s="98" t="n"/>
      <c r="E12" s="98" t="n"/>
      <c r="F12" s="149" t="n"/>
      <c r="G12" s="149" t="n"/>
      <c r="H12" s="149" t="n"/>
      <c r="I12" s="98" t="n"/>
      <c r="U12" s="29">
        <f>IF(A12="","",IFERROR(INDEX(Schedule!$N$7:$N$18,MATCH(A12,Schedule!$A$7:$A$18,0)),"not in schedule"))</f>
        <v/>
      </c>
    </row>
    <row r="13">
      <c r="A13" s="98" t="n"/>
      <c r="B13" s="147" t="n"/>
      <c r="C13" s="98" t="n"/>
      <c r="D13" s="98" t="n"/>
      <c r="E13" s="98" t="n"/>
      <c r="F13" s="149" t="n"/>
      <c r="G13" s="149" t="n"/>
      <c r="H13" s="149" t="n"/>
      <c r="I13" s="98" t="n"/>
      <c r="U13" s="29">
        <f>IF(A13="","",IFERROR(INDEX(Schedule!$N$7:$N$18,MATCH(A13,Schedule!$A$7:$A$18,0)),"not in schedule"))</f>
        <v/>
      </c>
    </row>
    <row r="14">
      <c r="A14" s="98" t="n"/>
      <c r="B14" s="147" t="n"/>
      <c r="C14" s="98" t="n"/>
      <c r="D14" s="98" t="n"/>
      <c r="E14" s="98" t="n"/>
      <c r="F14" s="149" t="n"/>
      <c r="G14" s="149" t="n"/>
      <c r="H14" s="149" t="n"/>
      <c r="I14" s="98" t="n"/>
      <c r="U14" s="29">
        <f>IF(A14="","",IFERROR(INDEX(Schedule!$N$7:$N$18,MATCH(A14,Schedule!$A$7:$A$18,0)),"not in schedule"))</f>
        <v/>
      </c>
    </row>
    <row r="15">
      <c r="A15" s="98" t="n"/>
      <c r="B15" s="147" t="n"/>
      <c r="C15" s="98" t="n"/>
      <c r="D15" s="98" t="n"/>
      <c r="E15" s="98" t="n"/>
      <c r="F15" s="149" t="n"/>
      <c r="G15" s="149" t="n"/>
      <c r="H15" s="149" t="n"/>
      <c r="I15" s="98" t="n"/>
      <c r="U15" s="29">
        <f>IF(A15="","",IFERROR(INDEX(Schedule!$N$7:$N$18,MATCH(A15,Schedule!$A$7:$A$18,0)),"not in schedule"))</f>
        <v/>
      </c>
    </row>
    <row r="16">
      <c r="A16" s="98" t="n"/>
      <c r="B16" s="147" t="n"/>
      <c r="C16" s="98" t="n"/>
      <c r="D16" s="98" t="n"/>
      <c r="E16" s="98" t="n"/>
      <c r="F16" s="149" t="n"/>
      <c r="G16" s="149" t="n"/>
      <c r="H16" s="149" t="n"/>
      <c r="I16" s="98" t="n"/>
      <c r="U16" s="29">
        <f>IF(A16="","",IFERROR(INDEX(Schedule!$N$7:$N$18,MATCH(A16,Schedule!$A$7:$A$18,0)),"not in schedule"))</f>
        <v/>
      </c>
    </row>
    <row r="17">
      <c r="A17" s="98" t="n"/>
      <c r="B17" s="147" t="n"/>
      <c r="C17" s="98" t="n"/>
      <c r="D17" s="98" t="n"/>
      <c r="E17" s="98" t="n"/>
      <c r="F17" s="149" t="n"/>
      <c r="G17" s="149" t="n"/>
      <c r="H17" s="149" t="n"/>
      <c r="I17" s="98" t="n"/>
      <c r="U17" s="29">
        <f>IF(A17="","",IFERROR(INDEX(Schedule!$N$7:$N$18,MATCH(A17,Schedule!$A$7:$A$18,0)),"not in schedule"))</f>
        <v/>
      </c>
    </row>
    <row r="18">
      <c r="A18" s="98" t="n"/>
      <c r="B18" s="147" t="n"/>
      <c r="C18" s="98" t="n"/>
      <c r="D18" s="98" t="n"/>
      <c r="E18" s="98" t="n"/>
      <c r="F18" s="149" t="n"/>
      <c r="G18" s="149" t="n"/>
      <c r="H18" s="149" t="n"/>
      <c r="I18" s="98" t="n"/>
      <c r="U18" s="29">
        <f>IF(A18="","",IFERROR(INDEX(Schedule!$N$7:$N$18,MATCH(A18,Schedule!$A$7:$A$18,0)),"not in schedule"))</f>
        <v/>
      </c>
    </row>
    <row r="19">
      <c r="A19" s="98" t="n"/>
      <c r="B19" s="147" t="n"/>
      <c r="C19" s="98" t="n"/>
      <c r="D19" s="98" t="n"/>
      <c r="E19" s="98" t="n"/>
      <c r="F19" s="149" t="n"/>
      <c r="G19" s="149" t="n"/>
      <c r="H19" s="149" t="n"/>
      <c r="I19" s="98" t="n"/>
      <c r="U19" s="29">
        <f>IF(A19="","",IFERROR(INDEX(Schedule!$N$7:$N$18,MATCH(A19,Schedule!$A$7:$A$18,0)),"not in schedule"))</f>
        <v/>
      </c>
    </row>
    <row r="20">
      <c r="A20" s="98" t="n"/>
      <c r="B20" s="147" t="n"/>
      <c r="C20" s="98" t="n"/>
      <c r="D20" s="98" t="n"/>
      <c r="E20" s="98" t="n"/>
      <c r="F20" s="149" t="n"/>
      <c r="G20" s="149" t="n"/>
      <c r="H20" s="149" t="n"/>
      <c r="I20" s="98" t="n"/>
      <c r="U20" s="29">
        <f>IF(A20="","",IFERROR(INDEX(Schedule!$N$7:$N$18,MATCH(A20,Schedule!$A$7:$A$18,0)),"not in schedule"))</f>
        <v/>
      </c>
    </row>
    <row r="21">
      <c r="A21" s="98" t="n"/>
      <c r="B21" s="147" t="n"/>
      <c r="C21" s="98" t="n"/>
      <c r="D21" s="98" t="n"/>
      <c r="E21" s="98" t="n"/>
      <c r="F21" s="149" t="n"/>
      <c r="G21" s="149" t="n"/>
      <c r="H21" s="149" t="n"/>
      <c r="I21" s="98" t="n"/>
      <c r="U21" s="29">
        <f>IF(A21="","",IFERROR(INDEX(Schedule!$N$7:$N$18,MATCH(A21,Schedule!$A$7:$A$18,0)),"not in schedule"))</f>
        <v/>
      </c>
    </row>
    <row r="22">
      <c r="A22" s="98" t="n"/>
      <c r="B22" s="147" t="n"/>
      <c r="C22" s="98" t="n"/>
      <c r="D22" s="98" t="n"/>
      <c r="E22" s="98" t="n"/>
      <c r="F22" s="149" t="n"/>
      <c r="G22" s="149" t="n"/>
      <c r="H22" s="149" t="n"/>
      <c r="I22" s="98" t="n"/>
      <c r="U22" s="29">
        <f>IF(A22="","",IFERROR(INDEX(Schedule!$N$7:$N$18,MATCH(A22,Schedule!$A$7:$A$18,0)),"not in schedule"))</f>
        <v/>
      </c>
    </row>
    <row r="23">
      <c r="A23" s="98" t="n"/>
      <c r="B23" s="147" t="n"/>
      <c r="C23" s="98" t="n"/>
      <c r="D23" s="98" t="n"/>
      <c r="E23" s="98" t="n"/>
      <c r="F23" s="149" t="n"/>
      <c r="G23" s="149" t="n"/>
      <c r="H23" s="149" t="n"/>
      <c r="I23" s="98" t="n"/>
      <c r="U23" s="29">
        <f>IF(A23="","",IFERROR(INDEX(Schedule!$N$7:$N$18,MATCH(A23,Schedule!$A$7:$A$18,0)),"not in schedule"))</f>
        <v/>
      </c>
    </row>
    <row r="24">
      <c r="A24" s="98" t="n"/>
      <c r="B24" s="147" t="n"/>
      <c r="C24" s="98" t="n"/>
      <c r="D24" s="98" t="n"/>
      <c r="E24" s="98" t="n"/>
      <c r="F24" s="149" t="n"/>
      <c r="G24" s="149" t="n"/>
      <c r="H24" s="149" t="n"/>
      <c r="I24" s="98" t="n"/>
      <c r="U24" s="29">
        <f>IF(A24="","",IFERROR(INDEX(Schedule!$N$7:$N$18,MATCH(A24,Schedule!$A$7:$A$18,0)),"not in schedule"))</f>
        <v/>
      </c>
    </row>
    <row r="25">
      <c r="A25" s="98" t="n"/>
      <c r="B25" s="147" t="n"/>
      <c r="C25" s="98" t="n"/>
      <c r="D25" s="98" t="n"/>
      <c r="E25" s="98" t="n"/>
      <c r="F25" s="149" t="n"/>
      <c r="G25" s="149" t="n"/>
      <c r="H25" s="149" t="n"/>
      <c r="I25" s="98" t="n"/>
      <c r="U25" s="29">
        <f>IF(A25="","",IFERROR(INDEX(Schedule!$N$7:$N$18,MATCH(A25,Schedule!$A$7:$A$18,0)),"not in schedule"))</f>
        <v/>
      </c>
    </row>
    <row r="26">
      <c r="A26" s="98" t="n"/>
      <c r="B26" s="147" t="n"/>
      <c r="C26" s="98" t="n"/>
      <c r="D26" s="98" t="n"/>
      <c r="E26" s="98" t="n"/>
      <c r="F26" s="149" t="n"/>
      <c r="G26" s="149" t="n"/>
      <c r="H26" s="149" t="n"/>
      <c r="I26" s="98" t="n"/>
      <c r="U26" s="29">
        <f>IF(A26="","",IFERROR(INDEX(Schedule!$N$7:$N$18,MATCH(A26,Schedule!$A$7:$A$18,0)),"not in schedule"))</f>
        <v/>
      </c>
    </row>
    <row r="27">
      <c r="A27" s="98" t="n"/>
      <c r="B27" s="147" t="n"/>
      <c r="C27" s="98" t="n"/>
      <c r="D27" s="98" t="n"/>
      <c r="E27" s="98" t="n"/>
      <c r="F27" s="149" t="n"/>
      <c r="G27" s="149" t="n"/>
      <c r="H27" s="149" t="n"/>
      <c r="I27" s="98" t="n"/>
      <c r="U27" s="29">
        <f>IF(A27="","",IFERROR(INDEX(Schedule!$N$7:$N$18,MATCH(A27,Schedule!$A$7:$A$18,0)),"not in schedule"))</f>
        <v/>
      </c>
    </row>
    <row r="28">
      <c r="A28" s="98" t="n"/>
      <c r="B28" s="147" t="n"/>
      <c r="C28" s="98" t="n"/>
      <c r="D28" s="98" t="n"/>
      <c r="E28" s="98" t="n"/>
      <c r="F28" s="149" t="n"/>
      <c r="G28" s="149" t="n"/>
      <c r="H28" s="149" t="n"/>
      <c r="I28" s="98" t="n"/>
      <c r="U28" s="29">
        <f>IF(A28="","",IFERROR(INDEX(Schedule!$N$7:$N$18,MATCH(A28,Schedule!$A$7:$A$18,0)),"not in schedule"))</f>
        <v/>
      </c>
    </row>
    <row r="29">
      <c r="A29" s="98" t="n"/>
      <c r="B29" s="147" t="n"/>
      <c r="C29" s="98" t="n"/>
      <c r="D29" s="98" t="n"/>
      <c r="E29" s="98" t="n"/>
      <c r="F29" s="149" t="n"/>
      <c r="G29" s="149" t="n"/>
      <c r="H29" s="149" t="n"/>
      <c r="I29" s="98" t="n"/>
      <c r="U29" s="29">
        <f>IF(A29="","",IFERROR(INDEX(Schedule!$N$7:$N$18,MATCH(A29,Schedule!$A$7:$A$18,0)),"not in schedule"))</f>
        <v/>
      </c>
    </row>
    <row r="30">
      <c r="A30" s="98" t="n"/>
      <c r="B30" s="147" t="n"/>
      <c r="C30" s="98" t="n"/>
      <c r="D30" s="98" t="n"/>
      <c r="E30" s="98" t="n"/>
      <c r="F30" s="149" t="n"/>
      <c r="G30" s="149" t="n"/>
      <c r="H30" s="149" t="n"/>
      <c r="I30" s="98" t="n"/>
      <c r="U30" s="29">
        <f>IF(A30="","",IFERROR(INDEX(Schedule!$N$7:$N$18,MATCH(A30,Schedule!$A$7:$A$18,0)),"not in schedule"))</f>
        <v/>
      </c>
    </row>
    <row r="31">
      <c r="A31" s="98" t="n"/>
      <c r="B31" s="147" t="n"/>
      <c r="C31" s="98" t="n"/>
      <c r="D31" s="98" t="n"/>
      <c r="E31" s="98" t="n"/>
      <c r="F31" s="149" t="n"/>
      <c r="G31" s="149" t="n"/>
      <c r="H31" s="149" t="n"/>
      <c r="I31" s="98" t="n"/>
      <c r="U31" s="29">
        <f>IF(A31="","",IFERROR(INDEX(Schedule!$N$7:$N$18,MATCH(A31,Schedule!$A$7:$A$18,0)),"not in schedule"))</f>
        <v/>
      </c>
    </row>
    <row r="32">
      <c r="A32" s="98" t="n"/>
      <c r="B32" s="147" t="n"/>
      <c r="C32" s="98" t="n"/>
      <c r="D32" s="98" t="n"/>
      <c r="E32" s="98" t="n"/>
      <c r="F32" s="149" t="n"/>
      <c r="G32" s="149" t="n"/>
      <c r="H32" s="149" t="n"/>
      <c r="I32" s="98" t="n"/>
      <c r="U32" s="29">
        <f>IF(A32="","",IFERROR(INDEX(Schedule!$N$7:$N$18,MATCH(A32,Schedule!$A$7:$A$18,0)),"not in schedule"))</f>
        <v/>
      </c>
    </row>
    <row r="33">
      <c r="A33" s="98" t="n"/>
      <c r="B33" s="147" t="n"/>
      <c r="C33" s="98" t="n"/>
      <c r="D33" s="98" t="n"/>
      <c r="E33" s="98" t="n"/>
      <c r="F33" s="149" t="n"/>
      <c r="G33" s="149" t="n"/>
      <c r="H33" s="149" t="n"/>
      <c r="I33" s="98" t="n"/>
      <c r="U33" s="29">
        <f>IF(A33="","",IFERROR(INDEX(Schedule!$N$7:$N$18,MATCH(A33,Schedule!$A$7:$A$18,0)),"not in schedule"))</f>
        <v/>
      </c>
    </row>
    <row r="34">
      <c r="A34" s="98" t="n"/>
      <c r="B34" s="147" t="n"/>
      <c r="C34" s="98" t="n"/>
      <c r="D34" s="98" t="n"/>
      <c r="E34" s="98" t="n"/>
      <c r="F34" s="149" t="n"/>
      <c r="G34" s="149" t="n"/>
      <c r="H34" s="149" t="n"/>
      <c r="I34" s="98" t="n"/>
      <c r="U34" s="29">
        <f>IF(A34="","",IFERROR(INDEX(Schedule!$N$7:$N$18,MATCH(A34,Schedule!$A$7:$A$18,0)),"not in schedule"))</f>
        <v/>
      </c>
    </row>
    <row r="35">
      <c r="A35" s="98" t="n"/>
      <c r="B35" s="147" t="n"/>
      <c r="C35" s="98" t="n"/>
      <c r="D35" s="98" t="n"/>
      <c r="E35" s="98" t="n"/>
      <c r="F35" s="149" t="n"/>
      <c r="G35" s="149" t="n"/>
      <c r="H35" s="149" t="n"/>
      <c r="I35" s="98" t="n"/>
      <c r="U35" s="29">
        <f>IF(A35="","",IFERROR(INDEX(Schedule!$N$7:$N$18,MATCH(A35,Schedule!$A$7:$A$18,0)),"not in schedule"))</f>
        <v/>
      </c>
    </row>
    <row r="36">
      <c r="A36" s="98" t="n"/>
      <c r="B36" s="147" t="n"/>
      <c r="C36" s="98" t="n"/>
      <c r="D36" s="98" t="n"/>
      <c r="E36" s="98" t="n"/>
      <c r="F36" s="149" t="n"/>
      <c r="G36" s="149" t="n"/>
      <c r="H36" s="149" t="n"/>
      <c r="I36" s="98" t="n"/>
      <c r="U36" s="29">
        <f>IF(A36="","",IFERROR(INDEX(Schedule!$N$7:$N$18,MATCH(A36,Schedule!$A$7:$A$18,0)),"not in schedule"))</f>
        <v/>
      </c>
    </row>
    <row r="37">
      <c r="A37" s="98" t="n"/>
      <c r="B37" s="147" t="n"/>
      <c r="C37" s="98" t="n"/>
      <c r="D37" s="98" t="n"/>
      <c r="E37" s="98" t="n"/>
      <c r="F37" s="149" t="n"/>
      <c r="G37" s="149" t="n"/>
      <c r="H37" s="149" t="n"/>
      <c r="I37" s="98" t="n"/>
      <c r="U37" s="29">
        <f>IF(A37="","",IFERROR(INDEX(Schedule!$N$7:$N$18,MATCH(A37,Schedule!$A$7:$A$18,0)),"not in schedule"))</f>
        <v/>
      </c>
    </row>
    <row r="38">
      <c r="A38" s="98" t="n"/>
      <c r="B38" s="147" t="n"/>
      <c r="C38" s="98" t="n"/>
      <c r="D38" s="98" t="n"/>
      <c r="E38" s="98" t="n"/>
      <c r="F38" s="149" t="n"/>
      <c r="G38" s="149" t="n"/>
      <c r="H38" s="149" t="n"/>
      <c r="I38" s="98" t="n"/>
      <c r="U38" s="29">
        <f>IF(A38="","",IFERROR(INDEX(Schedule!$N$7:$N$18,MATCH(A38,Schedule!$A$7:$A$18,0)),"not in schedule"))</f>
        <v/>
      </c>
    </row>
    <row r="39">
      <c r="A39" s="98" t="n"/>
      <c r="B39" s="147" t="n"/>
      <c r="C39" s="98" t="n"/>
      <c r="D39" s="98" t="n"/>
      <c r="E39" s="98" t="n"/>
      <c r="F39" s="149" t="n"/>
      <c r="G39" s="149" t="n"/>
      <c r="H39" s="149" t="n"/>
      <c r="I39" s="98" t="n"/>
      <c r="U39" s="29">
        <f>IF(A39="","",IFERROR(INDEX(Schedule!$N$7:$N$18,MATCH(A39,Schedule!$A$7:$A$18,0)),"not in schedule"))</f>
        <v/>
      </c>
    </row>
    <row r="40">
      <c r="A40" s="98" t="n"/>
      <c r="B40" s="147" t="n"/>
      <c r="C40" s="98" t="n"/>
      <c r="D40" s="98" t="n"/>
      <c r="E40" s="98" t="n"/>
      <c r="F40" s="149" t="n"/>
      <c r="G40" s="149" t="n"/>
      <c r="H40" s="149" t="n"/>
      <c r="I40" s="98" t="n"/>
      <c r="U40" s="29">
        <f>IF(A40="","",IFERROR(INDEX(Schedule!$N$7:$N$18,MATCH(A40,Schedule!$A$7:$A$18,0)),"not in schedule"))</f>
        <v/>
      </c>
    </row>
    <row r="41">
      <c r="A41" s="98" t="n"/>
      <c r="B41" s="147" t="n"/>
      <c r="C41" s="98" t="n"/>
      <c r="D41" s="98" t="n"/>
      <c r="E41" s="98" t="n"/>
      <c r="F41" s="149" t="n"/>
      <c r="G41" s="149" t="n"/>
      <c r="H41" s="149" t="n"/>
      <c r="I41" s="98" t="n"/>
      <c r="U41" s="29">
        <f>IF(A41="","",IFERROR(INDEX(Schedule!$N$7:$N$18,MATCH(A41,Schedule!$A$7:$A$18,0)),"not in schedule"))</f>
        <v/>
      </c>
    </row>
    <row r="42">
      <c r="A42" s="98" t="n"/>
      <c r="B42" s="147" t="n"/>
      <c r="C42" s="98" t="n"/>
      <c r="D42" s="98" t="n"/>
      <c r="E42" s="98" t="n"/>
      <c r="F42" s="149" t="n"/>
      <c r="G42" s="149" t="n"/>
      <c r="H42" s="149" t="n"/>
      <c r="I42" s="98" t="n"/>
      <c r="U42" s="29">
        <f>IF(A42="","",IFERROR(INDEX(Schedule!$N$7:$N$18,MATCH(A42,Schedule!$A$7:$A$18,0)),"not in schedule"))</f>
        <v/>
      </c>
    </row>
    <row r="43">
      <c r="A43" s="98" t="n"/>
      <c r="B43" s="147" t="n"/>
      <c r="C43" s="98" t="n"/>
      <c r="D43" s="98" t="n"/>
      <c r="E43" s="98" t="n"/>
      <c r="F43" s="149" t="n"/>
      <c r="G43" s="149" t="n"/>
      <c r="H43" s="149" t="n"/>
      <c r="I43" s="98" t="n"/>
      <c r="U43" s="29">
        <f>IF(A43="","",IFERROR(INDEX(Schedule!$N$7:$N$18,MATCH(A43,Schedule!$A$7:$A$18,0)),"not in schedule"))</f>
        <v/>
      </c>
    </row>
    <row r="44">
      <c r="A44" s="98" t="n"/>
      <c r="B44" s="147" t="n"/>
      <c r="C44" s="98" t="n"/>
      <c r="D44" s="98" t="n"/>
      <c r="E44" s="98" t="n"/>
      <c r="F44" s="149" t="n"/>
      <c r="G44" s="149" t="n"/>
      <c r="H44" s="149" t="n"/>
      <c r="I44" s="98" t="n"/>
      <c r="U44" s="29">
        <f>IF(A44="","",IFERROR(INDEX(Schedule!$N$7:$N$18,MATCH(A44,Schedule!$A$7:$A$18,0)),"not in schedule"))</f>
        <v/>
      </c>
    </row>
    <row r="45">
      <c r="A45" s="98" t="n"/>
      <c r="B45" s="147" t="n"/>
      <c r="C45" s="98" t="n"/>
      <c r="D45" s="98" t="n"/>
      <c r="E45" s="98" t="n"/>
      <c r="F45" s="149" t="n"/>
      <c r="G45" s="149" t="n"/>
      <c r="H45" s="149" t="n"/>
      <c r="I45" s="98" t="n"/>
      <c r="U45" s="29">
        <f>IF(A45="","",IFERROR(INDEX(Schedule!$N$7:$N$18,MATCH(A45,Schedule!$A$7:$A$18,0)),"not in schedule"))</f>
        <v/>
      </c>
    </row>
    <row r="46">
      <c r="A46" s="98" t="n"/>
      <c r="B46" s="147" t="n"/>
      <c r="C46" s="98" t="n"/>
      <c r="D46" s="98" t="n"/>
      <c r="E46" s="98" t="n"/>
      <c r="F46" s="149" t="n"/>
      <c r="G46" s="149" t="n"/>
      <c r="H46" s="149" t="n"/>
      <c r="I46" s="98" t="n"/>
      <c r="U46" s="29">
        <f>IF(A46="","",IFERROR(INDEX(Schedule!$N$7:$N$18,MATCH(A46,Schedule!$A$7:$A$18,0)),"not in schedule"))</f>
        <v/>
      </c>
    </row>
    <row r="47">
      <c r="A47" s="98" t="n"/>
      <c r="B47" s="147" t="n"/>
      <c r="C47" s="98" t="n"/>
      <c r="D47" s="98" t="n"/>
      <c r="E47" s="98" t="n"/>
      <c r="F47" s="149" t="n"/>
      <c r="G47" s="149" t="n"/>
      <c r="H47" s="149" t="n"/>
      <c r="I47" s="98" t="n"/>
      <c r="U47" s="29">
        <f>IF(A47="","",IFERROR(INDEX(Schedule!$N$7:$N$18,MATCH(A47,Schedule!$A$7:$A$18,0)),"not in schedule"))</f>
        <v/>
      </c>
    </row>
    <row r="48">
      <c r="A48" s="98" t="n"/>
      <c r="B48" s="147" t="n"/>
      <c r="C48" s="98" t="n"/>
      <c r="D48" s="98" t="n"/>
      <c r="E48" s="98" t="n"/>
      <c r="F48" s="149" t="n"/>
      <c r="G48" s="149" t="n"/>
      <c r="H48" s="149" t="n"/>
      <c r="I48" s="98" t="n"/>
      <c r="U48" s="29">
        <f>IF(A48="","",IFERROR(INDEX(Schedule!$N$7:$N$18,MATCH(A48,Schedule!$A$7:$A$18,0)),"not in schedule"))</f>
        <v/>
      </c>
    </row>
    <row r="49">
      <c r="A49" s="98" t="n"/>
      <c r="B49" s="147" t="n"/>
      <c r="C49" s="98" t="n"/>
      <c r="D49" s="98" t="n"/>
      <c r="E49" s="98" t="n"/>
      <c r="F49" s="149" t="n"/>
      <c r="G49" s="149" t="n"/>
      <c r="H49" s="149" t="n"/>
      <c r="I49" s="98" t="n"/>
      <c r="U49" s="29">
        <f>IF(A49="","",IFERROR(INDEX(Schedule!$N$7:$N$18,MATCH(A49,Schedule!$A$7:$A$18,0)),"not in schedule"))</f>
        <v/>
      </c>
    </row>
    <row r="50">
      <c r="A50" s="98" t="n"/>
      <c r="B50" s="147" t="n"/>
      <c r="C50" s="98" t="n"/>
      <c r="D50" s="98" t="n"/>
      <c r="E50" s="98" t="n"/>
      <c r="F50" s="149" t="n"/>
      <c r="G50" s="149" t="n"/>
      <c r="H50" s="149" t="n"/>
      <c r="I50" s="98" t="n"/>
      <c r="U50" s="29">
        <f>IF(A50="","",IFERROR(INDEX(Schedule!$N$7:$N$18,MATCH(A50,Schedule!$A$7:$A$18,0)),"not in schedule"))</f>
        <v/>
      </c>
    </row>
    <row r="51">
      <c r="A51" s="98" t="n"/>
      <c r="B51" s="147" t="n"/>
      <c r="C51" s="98" t="n"/>
      <c r="D51" s="98" t="n"/>
      <c r="E51" s="98" t="n"/>
      <c r="F51" s="149" t="n"/>
      <c r="G51" s="149" t="n"/>
      <c r="H51" s="149" t="n"/>
      <c r="I51" s="98" t="n"/>
      <c r="U51" s="29">
        <f>IF(A51="","",IFERROR(INDEX(Schedule!$N$7:$N$18,MATCH(A51,Schedule!$A$7:$A$18,0)),"not in schedule"))</f>
        <v/>
      </c>
    </row>
    <row r="52">
      <c r="A52" s="98" t="n"/>
      <c r="B52" s="147" t="n"/>
      <c r="C52" s="98" t="n"/>
      <c r="D52" s="98" t="n"/>
      <c r="E52" s="98" t="n"/>
      <c r="F52" s="149" t="n"/>
      <c r="G52" s="149" t="n"/>
      <c r="H52" s="149" t="n"/>
      <c r="I52" s="98" t="n"/>
      <c r="U52" s="29">
        <f>IF(A52="","",IFERROR(INDEX(Schedule!$N$7:$N$18,MATCH(A52,Schedule!$A$7:$A$18,0)),"not in schedule"))</f>
        <v/>
      </c>
    </row>
    <row r="53">
      <c r="A53" s="98" t="n"/>
      <c r="B53" s="147" t="n"/>
      <c r="C53" s="98" t="n"/>
      <c r="D53" s="98" t="n"/>
      <c r="E53" s="98" t="n"/>
      <c r="F53" s="149" t="n"/>
      <c r="G53" s="149" t="n"/>
      <c r="H53" s="149" t="n"/>
      <c r="I53" s="98" t="n"/>
      <c r="U53" s="29">
        <f>IF(A53="","",IFERROR(INDEX(Schedule!$N$7:$N$18,MATCH(A53,Schedule!$A$7:$A$18,0)),"not in schedule"))</f>
        <v/>
      </c>
    </row>
    <row r="54">
      <c r="A54" s="98" t="n"/>
      <c r="B54" s="147" t="n"/>
      <c r="C54" s="98" t="n"/>
      <c r="D54" s="98" t="n"/>
      <c r="E54" s="98" t="n"/>
      <c r="F54" s="149" t="n"/>
      <c r="G54" s="149" t="n"/>
      <c r="H54" s="149" t="n"/>
      <c r="I54" s="98" t="n"/>
      <c r="U54" s="29">
        <f>IF(A54="","",IFERROR(INDEX(Schedule!$N$7:$N$18,MATCH(A54,Schedule!$A$7:$A$18,0)),"not in schedule"))</f>
        <v/>
      </c>
    </row>
    <row r="55">
      <c r="A55" s="98" t="n"/>
      <c r="B55" s="147" t="n"/>
      <c r="C55" s="98" t="n"/>
      <c r="D55" s="98" t="n"/>
      <c r="E55" s="98" t="n"/>
      <c r="F55" s="149" t="n"/>
      <c r="G55" s="149" t="n"/>
      <c r="H55" s="149" t="n"/>
      <c r="I55" s="98" t="n"/>
      <c r="U55" s="29">
        <f>IF(A55="","",IFERROR(INDEX(Schedule!$N$7:$N$18,MATCH(A55,Schedule!$A$7:$A$18,0)),"not in schedule"))</f>
        <v/>
      </c>
    </row>
    <row r="56">
      <c r="A56" s="98" t="n"/>
      <c r="B56" s="147" t="n"/>
      <c r="C56" s="98" t="n"/>
      <c r="D56" s="98" t="n"/>
      <c r="E56" s="98" t="n"/>
      <c r="F56" s="149" t="n"/>
      <c r="G56" s="149" t="n"/>
      <c r="H56" s="149" t="n"/>
      <c r="I56" s="98" t="n"/>
      <c r="U56" s="29">
        <f>IF(A56="","",IFERROR(INDEX(Schedule!$N$7:$N$18,MATCH(A56,Schedule!$A$7:$A$18,0)),"not in schedule"))</f>
        <v/>
      </c>
    </row>
    <row r="57">
      <c r="A57" s="98" t="n"/>
      <c r="B57" s="147" t="n"/>
      <c r="C57" s="98" t="n"/>
      <c r="D57" s="98" t="n"/>
      <c r="E57" s="98" t="n"/>
      <c r="F57" s="149" t="n"/>
      <c r="G57" s="149" t="n"/>
      <c r="H57" s="149" t="n"/>
      <c r="I57" s="98" t="n"/>
      <c r="U57" s="29">
        <f>IF(A57="","",IFERROR(INDEX(Schedule!$N$7:$N$18,MATCH(A57,Schedule!$A$7:$A$18,0)),"not in schedule"))</f>
        <v/>
      </c>
    </row>
    <row r="58">
      <c r="A58" s="98" t="n"/>
      <c r="B58" s="147" t="n"/>
      <c r="C58" s="98" t="n"/>
      <c r="D58" s="98" t="n"/>
      <c r="E58" s="98" t="n"/>
      <c r="F58" s="149" t="n"/>
      <c r="G58" s="149" t="n"/>
      <c r="H58" s="149" t="n"/>
      <c r="I58" s="98" t="n"/>
      <c r="U58" s="29">
        <f>IF(A58="","",IFERROR(INDEX(Schedule!$N$7:$N$18,MATCH(A58,Schedule!$A$7:$A$18,0)),"not in schedule"))</f>
        <v/>
      </c>
    </row>
    <row r="59">
      <c r="A59" s="98" t="n"/>
      <c r="B59" s="147" t="n"/>
      <c r="C59" s="98" t="n"/>
      <c r="D59" s="98" t="n"/>
      <c r="E59" s="98" t="n"/>
      <c r="F59" s="149" t="n"/>
      <c r="G59" s="149" t="n"/>
      <c r="H59" s="149" t="n"/>
      <c r="I59" s="98" t="n"/>
      <c r="U59" s="29">
        <f>IF(A59="","",IFERROR(INDEX(Schedule!$N$7:$N$18,MATCH(A59,Schedule!$A$7:$A$18,0)),"not in schedule"))</f>
        <v/>
      </c>
    </row>
    <row r="60">
      <c r="A60" s="98" t="n"/>
      <c r="B60" s="147" t="n"/>
      <c r="C60" s="98" t="n"/>
      <c r="D60" s="98" t="n"/>
      <c r="E60" s="98" t="n"/>
      <c r="F60" s="149" t="n"/>
      <c r="G60" s="149" t="n"/>
      <c r="H60" s="149" t="n"/>
      <c r="I60" s="98" t="n"/>
      <c r="U60" s="29">
        <f>IF(A60="","",IFERROR(INDEX(Schedule!$N$7:$N$18,MATCH(A60,Schedule!$A$7:$A$18,0)),"not in schedule"))</f>
        <v/>
      </c>
    </row>
    <row r="61">
      <c r="A61" s="98" t="n"/>
      <c r="B61" s="147" t="n"/>
      <c r="C61" s="98" t="n"/>
      <c r="D61" s="98" t="n"/>
      <c r="E61" s="98" t="n"/>
      <c r="F61" s="149" t="n"/>
      <c r="G61" s="149" t="n"/>
      <c r="H61" s="149" t="n"/>
      <c r="I61" s="98" t="n"/>
      <c r="U61" s="29">
        <f>IF(A61="","",IFERROR(INDEX(Schedule!$N$7:$N$18,MATCH(A61,Schedule!$A$7:$A$18,0)),"not in schedule"))</f>
        <v/>
      </c>
    </row>
    <row r="62">
      <c r="A62" s="98" t="n"/>
      <c r="B62" s="147" t="n"/>
      <c r="C62" s="98" t="n"/>
      <c r="D62" s="98" t="n"/>
      <c r="E62" s="98" t="n"/>
      <c r="F62" s="149" t="n"/>
      <c r="G62" s="149" t="n"/>
      <c r="H62" s="149" t="n"/>
      <c r="I62" s="98" t="n"/>
      <c r="U62" s="29">
        <f>IF(A62="","",IFERROR(INDEX(Schedule!$N$7:$N$18,MATCH(A62,Schedule!$A$7:$A$18,0)),"not in schedule"))</f>
        <v/>
      </c>
    </row>
    <row r="63">
      <c r="A63" s="98" t="n"/>
      <c r="B63" s="147" t="n"/>
      <c r="C63" s="98" t="n"/>
      <c r="D63" s="98" t="n"/>
      <c r="E63" s="98" t="n"/>
      <c r="F63" s="149" t="n"/>
      <c r="G63" s="149" t="n"/>
      <c r="H63" s="149" t="n"/>
      <c r="I63" s="98" t="n"/>
      <c r="U63" s="29">
        <f>IF(A63="","",IFERROR(INDEX(Schedule!$N$7:$N$18,MATCH(A63,Schedule!$A$7:$A$18,0)),"not in schedule"))</f>
        <v/>
      </c>
    </row>
    <row r="64">
      <c r="A64" s="98" t="n"/>
      <c r="B64" s="147" t="n"/>
      <c r="C64" s="98" t="n"/>
      <c r="D64" s="98" t="n"/>
      <c r="E64" s="98" t="n"/>
      <c r="F64" s="149" t="n"/>
      <c r="G64" s="149" t="n"/>
      <c r="H64" s="149" t="n"/>
      <c r="I64" s="98" t="n"/>
      <c r="U64" s="29">
        <f>IF(A64="","",IFERROR(INDEX(Schedule!$N$7:$N$18,MATCH(A64,Schedule!$A$7:$A$18,0)),"not in schedule"))</f>
        <v/>
      </c>
    </row>
    <row r="65">
      <c r="A65" s="98" t="n"/>
      <c r="B65" s="147" t="n"/>
      <c r="C65" s="98" t="n"/>
      <c r="D65" s="98" t="n"/>
      <c r="E65" s="98" t="n"/>
      <c r="F65" s="149" t="n"/>
      <c r="G65" s="149" t="n"/>
      <c r="H65" s="149" t="n"/>
      <c r="I65" s="98" t="n"/>
      <c r="U65" s="29">
        <f>IF(A65="","",IFERROR(INDEX(Schedule!$N$7:$N$18,MATCH(A65,Schedule!$A$7:$A$18,0)),"not in schedule"))</f>
        <v/>
      </c>
    </row>
    <row r="66">
      <c r="A66" s="98" t="n"/>
      <c r="B66" s="147" t="n"/>
      <c r="C66" s="98" t="n"/>
      <c r="D66" s="98" t="n"/>
      <c r="E66" s="98" t="n"/>
      <c r="F66" s="149" t="n"/>
      <c r="G66" s="149" t="n"/>
      <c r="H66" s="149" t="n"/>
      <c r="I66" s="98" t="n"/>
      <c r="U66" s="29">
        <f>IF(A66="","",IFERROR(INDEX(Schedule!$N$7:$N$18,MATCH(A66,Schedule!$A$7:$A$18,0)),"not in schedule"))</f>
        <v/>
      </c>
    </row>
    <row r="67">
      <c r="A67" s="98" t="n"/>
      <c r="B67" s="147" t="n"/>
      <c r="C67" s="98" t="n"/>
      <c r="D67" s="98" t="n"/>
      <c r="E67" s="98" t="n"/>
      <c r="F67" s="149" t="n"/>
      <c r="G67" s="149" t="n"/>
      <c r="H67" s="149" t="n"/>
      <c r="I67" s="98" t="n"/>
      <c r="U67" s="29">
        <f>IF(A67="","",IFERROR(INDEX(Schedule!$N$7:$N$18,MATCH(A67,Schedule!$A$7:$A$18,0)),"not in schedule"))</f>
        <v/>
      </c>
    </row>
    <row r="68">
      <c r="A68" s="98" t="n"/>
      <c r="B68" s="147" t="n"/>
      <c r="C68" s="98" t="n"/>
      <c r="D68" s="98" t="n"/>
      <c r="E68" s="98" t="n"/>
      <c r="F68" s="149" t="n"/>
      <c r="G68" s="149" t="n"/>
      <c r="H68" s="149" t="n"/>
      <c r="I68" s="98" t="n"/>
      <c r="U68" s="29">
        <f>IF(A68="","",IFERROR(INDEX(Schedule!$N$7:$N$18,MATCH(A68,Schedule!$A$7:$A$18,0)),"not in schedule"))</f>
        <v/>
      </c>
    </row>
    <row r="69">
      <c r="A69" s="98" t="n"/>
      <c r="B69" s="147" t="n"/>
      <c r="C69" s="98" t="n"/>
      <c r="D69" s="98" t="n"/>
      <c r="E69" s="98" t="n"/>
      <c r="F69" s="149" t="n"/>
      <c r="G69" s="149" t="n"/>
      <c r="H69" s="149" t="n"/>
      <c r="I69" s="98" t="n"/>
      <c r="U69" s="29">
        <f>IF(A69="","",IFERROR(INDEX(Schedule!$N$7:$N$18,MATCH(A69,Schedule!$A$7:$A$18,0)),"not in schedule"))</f>
        <v/>
      </c>
    </row>
    <row r="70">
      <c r="A70" s="98" t="n"/>
      <c r="B70" s="147" t="n"/>
      <c r="C70" s="98" t="n"/>
      <c r="D70" s="98" t="n"/>
      <c r="E70" s="98" t="n"/>
      <c r="F70" s="149" t="n"/>
      <c r="G70" s="149" t="n"/>
      <c r="H70" s="149" t="n"/>
      <c r="I70" s="98" t="n"/>
      <c r="U70" s="29">
        <f>IF(A70="","",IFERROR(INDEX(Schedule!$N$7:$N$18,MATCH(A70,Schedule!$A$7:$A$18,0)),"not in schedule"))</f>
        <v/>
      </c>
    </row>
    <row r="71">
      <c r="A71" s="98" t="n"/>
      <c r="B71" s="147" t="n"/>
      <c r="C71" s="98" t="n"/>
      <c r="D71" s="98" t="n"/>
      <c r="E71" s="98" t="n"/>
      <c r="F71" s="149" t="n"/>
      <c r="G71" s="149" t="n"/>
      <c r="H71" s="149" t="n"/>
      <c r="I71" s="98" t="n"/>
      <c r="U71" s="29">
        <f>IF(A71="","",IFERROR(INDEX(Schedule!$N$7:$N$18,MATCH(A71,Schedule!$A$7:$A$18,0)),"not in schedule"))</f>
        <v/>
      </c>
    </row>
    <row r="72">
      <c r="A72" s="98" t="n"/>
      <c r="B72" s="147" t="n"/>
      <c r="C72" s="98" t="n"/>
      <c r="D72" s="98" t="n"/>
      <c r="E72" s="98" t="n"/>
      <c r="F72" s="149" t="n"/>
      <c r="G72" s="149" t="n"/>
      <c r="H72" s="149" t="n"/>
      <c r="I72" s="98" t="n"/>
      <c r="U72" s="29">
        <f>IF(A72="","",IFERROR(INDEX(Schedule!$N$7:$N$18,MATCH(A72,Schedule!$A$7:$A$18,0)),"not in schedule"))</f>
        <v/>
      </c>
    </row>
    <row r="73">
      <c r="A73" s="98" t="n"/>
      <c r="B73" s="147" t="n"/>
      <c r="C73" s="98" t="n"/>
      <c r="D73" s="98" t="n"/>
      <c r="E73" s="98" t="n"/>
      <c r="F73" s="149" t="n"/>
      <c r="G73" s="149" t="n"/>
      <c r="H73" s="149" t="n"/>
      <c r="I73" s="98" t="n"/>
      <c r="U73" s="29">
        <f>IF(A73="","",IFERROR(INDEX(Schedule!$N$7:$N$18,MATCH(A73,Schedule!$A$7:$A$18,0)),"not in schedule"))</f>
        <v/>
      </c>
    </row>
    <row r="74">
      <c r="A74" s="98" t="n"/>
      <c r="B74" s="147" t="n"/>
      <c r="C74" s="98" t="n"/>
      <c r="D74" s="98" t="n"/>
      <c r="E74" s="98" t="n"/>
      <c r="F74" s="149" t="n"/>
      <c r="G74" s="149" t="n"/>
      <c r="H74" s="149" t="n"/>
      <c r="I74" s="98" t="n"/>
      <c r="U74" s="29">
        <f>IF(A74="","",IFERROR(INDEX(Schedule!$N$7:$N$18,MATCH(A74,Schedule!$A$7:$A$18,0)),"not in schedule"))</f>
        <v/>
      </c>
    </row>
    <row r="75">
      <c r="A75" s="98" t="n"/>
      <c r="B75" s="147" t="n"/>
      <c r="C75" s="98" t="n"/>
      <c r="D75" s="98" t="n"/>
      <c r="E75" s="98" t="n"/>
      <c r="F75" s="149" t="n"/>
      <c r="G75" s="149" t="n"/>
      <c r="H75" s="149" t="n"/>
      <c r="I75" s="98" t="n"/>
      <c r="U75" s="29">
        <f>IF(A75="","",IFERROR(INDEX(Schedule!$N$7:$N$18,MATCH(A75,Schedule!$A$7:$A$18,0)),"not in schedule"))</f>
        <v/>
      </c>
    </row>
    <row r="76">
      <c r="A76" s="98" t="n"/>
      <c r="B76" s="147" t="n"/>
      <c r="C76" s="98" t="n"/>
      <c r="D76" s="98" t="n"/>
      <c r="E76" s="98" t="n"/>
      <c r="F76" s="149" t="n"/>
      <c r="G76" s="149" t="n"/>
      <c r="H76" s="149" t="n"/>
      <c r="I76" s="98" t="n"/>
      <c r="U76" s="29">
        <f>IF(A76="","",IFERROR(INDEX(Schedule!$N$7:$N$18,MATCH(A76,Schedule!$A$7:$A$18,0)),"not in schedule"))</f>
        <v/>
      </c>
    </row>
    <row r="77">
      <c r="A77" s="98" t="n"/>
      <c r="B77" s="147" t="n"/>
      <c r="C77" s="98" t="n"/>
      <c r="D77" s="98" t="n"/>
      <c r="E77" s="98" t="n"/>
      <c r="F77" s="149" t="n"/>
      <c r="G77" s="149" t="n"/>
      <c r="H77" s="149" t="n"/>
      <c r="I77" s="98" t="n"/>
      <c r="U77" s="29">
        <f>IF(A77="","",IFERROR(INDEX(Schedule!$N$7:$N$18,MATCH(A77,Schedule!$A$7:$A$18,0)),"not in schedule"))</f>
        <v/>
      </c>
    </row>
    <row r="78">
      <c r="A78" s="98" t="n"/>
      <c r="B78" s="147" t="n"/>
      <c r="C78" s="98" t="n"/>
      <c r="D78" s="98" t="n"/>
      <c r="E78" s="98" t="n"/>
      <c r="F78" s="149" t="n"/>
      <c r="G78" s="149" t="n"/>
      <c r="H78" s="149" t="n"/>
      <c r="I78" s="98" t="n"/>
      <c r="U78" s="29">
        <f>IF(A78="","",IFERROR(INDEX(Schedule!$N$7:$N$18,MATCH(A78,Schedule!$A$7:$A$18,0)),"not in schedule"))</f>
        <v/>
      </c>
    </row>
    <row r="79">
      <c r="A79" s="98" t="n"/>
      <c r="B79" s="147" t="n"/>
      <c r="C79" s="98" t="n"/>
      <c r="D79" s="98" t="n"/>
      <c r="E79" s="98" t="n"/>
      <c r="F79" s="149" t="n"/>
      <c r="G79" s="149" t="n"/>
      <c r="H79" s="149" t="n"/>
      <c r="I79" s="98" t="n"/>
      <c r="U79" s="29">
        <f>IF(A79="","",IFERROR(INDEX(Schedule!$N$7:$N$18,MATCH(A79,Schedule!$A$7:$A$18,0)),"not in schedule"))</f>
        <v/>
      </c>
    </row>
    <row r="80">
      <c r="A80" s="98" t="n"/>
      <c r="B80" s="147" t="n"/>
      <c r="C80" s="98" t="n"/>
      <c r="D80" s="98" t="n"/>
      <c r="E80" s="98" t="n"/>
      <c r="F80" s="149" t="n"/>
      <c r="G80" s="149" t="n"/>
      <c r="H80" s="149" t="n"/>
      <c r="I80" s="98" t="n"/>
      <c r="U80" s="29">
        <f>IF(A80="","",IFERROR(INDEX(Schedule!$N$7:$N$18,MATCH(A80,Schedule!$A$7:$A$18,0)),"not in schedule"))</f>
        <v/>
      </c>
    </row>
    <row r="81">
      <c r="A81" s="98" t="n"/>
      <c r="B81" s="147" t="n"/>
      <c r="C81" s="98" t="n"/>
      <c r="D81" s="98" t="n"/>
      <c r="E81" s="98" t="n"/>
      <c r="F81" s="149" t="n"/>
      <c r="G81" s="149" t="n"/>
      <c r="H81" s="149" t="n"/>
      <c r="I81" s="98" t="n"/>
      <c r="U81" s="29">
        <f>IF(A81="","",IFERROR(INDEX(Schedule!$N$7:$N$18,MATCH(A81,Schedule!$A$7:$A$18,0)),"not in schedule"))</f>
        <v/>
      </c>
    </row>
    <row r="82">
      <c r="A82" s="98" t="n"/>
      <c r="B82" s="147" t="n"/>
      <c r="C82" s="98" t="n"/>
      <c r="D82" s="98" t="n"/>
      <c r="E82" s="98" t="n"/>
      <c r="F82" s="149" t="n"/>
      <c r="G82" s="149" t="n"/>
      <c r="H82" s="149" t="n"/>
      <c r="I82" s="98" t="n"/>
      <c r="U82" s="29">
        <f>IF(A82="","",IFERROR(INDEX(Schedule!$N$7:$N$18,MATCH(A82,Schedule!$A$7:$A$18,0)),"not in schedule"))</f>
        <v/>
      </c>
    </row>
    <row r="83">
      <c r="A83" s="98" t="n"/>
      <c r="B83" s="147" t="n"/>
      <c r="C83" s="98" t="n"/>
      <c r="D83" s="98" t="n"/>
      <c r="E83" s="98" t="n"/>
      <c r="F83" s="149" t="n"/>
      <c r="G83" s="149" t="n"/>
      <c r="H83" s="149" t="n"/>
      <c r="I83" s="98" t="n"/>
      <c r="U83" s="29">
        <f>IF(A83="","",IFERROR(INDEX(Schedule!$N$7:$N$18,MATCH(A83,Schedule!$A$7:$A$18,0)),"not in schedule"))</f>
        <v/>
      </c>
    </row>
    <row r="84">
      <c r="A84" s="98" t="n"/>
      <c r="B84" s="147" t="n"/>
      <c r="C84" s="98" t="n"/>
      <c r="D84" s="98" t="n"/>
      <c r="E84" s="98" t="n"/>
      <c r="F84" s="149" t="n"/>
      <c r="G84" s="149" t="n"/>
      <c r="H84" s="149" t="n"/>
      <c r="I84" s="98" t="n"/>
      <c r="U84" s="29">
        <f>IF(A84="","",IFERROR(INDEX(Schedule!$N$7:$N$18,MATCH(A84,Schedule!$A$7:$A$18,0)),"not in schedule"))</f>
        <v/>
      </c>
    </row>
    <row r="85">
      <c r="A85" s="98" t="n"/>
      <c r="B85" s="147" t="n"/>
      <c r="C85" s="98" t="n"/>
      <c r="D85" s="98" t="n"/>
      <c r="E85" s="98" t="n"/>
      <c r="F85" s="149" t="n"/>
      <c r="G85" s="149" t="n"/>
      <c r="H85" s="149" t="n"/>
      <c r="I85" s="98" t="n"/>
      <c r="U85" s="29">
        <f>IF(A85="","",IFERROR(INDEX(Schedule!$N$7:$N$18,MATCH(A85,Schedule!$A$7:$A$18,0)),"not in schedule"))</f>
        <v/>
      </c>
    </row>
    <row r="86">
      <c r="A86" s="98" t="n"/>
      <c r="B86" s="147" t="n"/>
      <c r="C86" s="98" t="n"/>
      <c r="D86" s="98" t="n"/>
      <c r="E86" s="98" t="n"/>
      <c r="F86" s="149" t="n"/>
      <c r="G86" s="149" t="n"/>
      <c r="H86" s="149" t="n"/>
      <c r="I86" s="98" t="n"/>
      <c r="U86" s="29">
        <f>IF(A86="","",IFERROR(INDEX(Schedule!$N$7:$N$18,MATCH(A86,Schedule!$A$7:$A$18,0)),"not in schedule"))</f>
        <v/>
      </c>
    </row>
    <row r="87">
      <c r="A87" s="98" t="n"/>
      <c r="B87" s="147" t="n"/>
      <c r="C87" s="98" t="n"/>
      <c r="D87" s="98" t="n"/>
      <c r="E87" s="98" t="n"/>
      <c r="F87" s="149" t="n"/>
      <c r="G87" s="149" t="n"/>
      <c r="H87" s="149" t="n"/>
      <c r="I87" s="98" t="n"/>
      <c r="U87" s="29">
        <f>IF(A87="","",IFERROR(INDEX(Schedule!$N$7:$N$18,MATCH(A87,Schedule!$A$7:$A$18,0)),"not in schedule"))</f>
        <v/>
      </c>
    </row>
    <row r="88">
      <c r="A88" s="98" t="n"/>
      <c r="B88" s="147" t="n"/>
      <c r="C88" s="98" t="n"/>
      <c r="D88" s="98" t="n"/>
      <c r="E88" s="98" t="n"/>
      <c r="F88" s="149" t="n"/>
      <c r="G88" s="149" t="n"/>
      <c r="H88" s="149" t="n"/>
      <c r="I88" s="98" t="n"/>
      <c r="U88" s="29">
        <f>IF(A88="","",IFERROR(INDEX(Schedule!$N$7:$N$18,MATCH(A88,Schedule!$A$7:$A$18,0)),"not in schedule"))</f>
        <v/>
      </c>
    </row>
    <row r="89">
      <c r="A89" s="98" t="n"/>
      <c r="B89" s="147" t="n"/>
      <c r="C89" s="98" t="n"/>
      <c r="D89" s="98" t="n"/>
      <c r="E89" s="98" t="n"/>
      <c r="F89" s="149" t="n"/>
      <c r="G89" s="149" t="n"/>
      <c r="H89" s="149" t="n"/>
      <c r="I89" s="98" t="n"/>
      <c r="U89" s="29">
        <f>IF(A89="","",IFERROR(INDEX(Schedule!$N$7:$N$18,MATCH(A89,Schedule!$A$7:$A$18,0)),"not in schedule"))</f>
        <v/>
      </c>
    </row>
    <row r="90">
      <c r="A90" s="98" t="n"/>
      <c r="B90" s="147" t="n"/>
      <c r="C90" s="98" t="n"/>
      <c r="D90" s="98" t="n"/>
      <c r="E90" s="98" t="n"/>
      <c r="F90" s="149" t="n"/>
      <c r="G90" s="149" t="n"/>
      <c r="H90" s="149" t="n"/>
      <c r="I90" s="98" t="n"/>
      <c r="U90" s="29">
        <f>IF(A90="","",IFERROR(INDEX(Schedule!$N$7:$N$18,MATCH(A90,Schedule!$A$7:$A$18,0)),"not in schedule"))</f>
        <v/>
      </c>
    </row>
    <row r="91">
      <c r="A91" s="98" t="n"/>
      <c r="B91" s="147" t="n"/>
      <c r="C91" s="98" t="n"/>
      <c r="D91" s="98" t="n"/>
      <c r="E91" s="98" t="n"/>
      <c r="F91" s="149" t="n"/>
      <c r="G91" s="149" t="n"/>
      <c r="H91" s="149" t="n"/>
      <c r="I91" s="98" t="n"/>
      <c r="U91" s="29">
        <f>IF(A91="","",IFERROR(INDEX(Schedule!$N$7:$N$18,MATCH(A91,Schedule!$A$7:$A$18,0)),"not in schedule"))</f>
        <v/>
      </c>
    </row>
    <row r="92">
      <c r="A92" s="98" t="n"/>
      <c r="B92" s="147" t="n"/>
      <c r="C92" s="98" t="n"/>
      <c r="D92" s="98" t="n"/>
      <c r="E92" s="98" t="n"/>
      <c r="F92" s="149" t="n"/>
      <c r="G92" s="149" t="n"/>
      <c r="H92" s="149" t="n"/>
      <c r="I92" s="98" t="n"/>
      <c r="U92" s="29">
        <f>IF(A92="","",IFERROR(INDEX(Schedule!$N$7:$N$18,MATCH(A92,Schedule!$A$7:$A$18,0)),"not in schedule"))</f>
        <v/>
      </c>
    </row>
    <row r="93">
      <c r="A93" s="98" t="n"/>
      <c r="B93" s="147" t="n"/>
      <c r="C93" s="98" t="n"/>
      <c r="D93" s="98" t="n"/>
      <c r="E93" s="98" t="n"/>
      <c r="F93" s="149" t="n"/>
      <c r="G93" s="149" t="n"/>
      <c r="H93" s="149" t="n"/>
      <c r="I93" s="98" t="n"/>
      <c r="U93" s="29">
        <f>IF(A93="","",IFERROR(INDEX(Schedule!$N$7:$N$18,MATCH(A93,Schedule!$A$7:$A$18,0)),"not in schedule"))</f>
        <v/>
      </c>
    </row>
    <row r="94">
      <c r="A94" s="98" t="n"/>
      <c r="B94" s="147" t="n"/>
      <c r="C94" s="98" t="n"/>
      <c r="D94" s="98" t="n"/>
      <c r="E94" s="98" t="n"/>
      <c r="F94" s="149" t="n"/>
      <c r="G94" s="149" t="n"/>
      <c r="H94" s="149" t="n"/>
      <c r="I94" s="98" t="n"/>
      <c r="U94" s="29">
        <f>IF(A94="","",IFERROR(INDEX(Schedule!$N$7:$N$18,MATCH(A94,Schedule!$A$7:$A$18,0)),"not in schedule"))</f>
        <v/>
      </c>
    </row>
    <row r="95">
      <c r="A95" s="98" t="n"/>
      <c r="B95" s="147" t="n"/>
      <c r="C95" s="98" t="n"/>
      <c r="D95" s="98" t="n"/>
      <c r="E95" s="98" t="n"/>
      <c r="F95" s="149" t="n"/>
      <c r="G95" s="149" t="n"/>
      <c r="H95" s="149" t="n"/>
      <c r="I95" s="98" t="n"/>
      <c r="U95" s="29">
        <f>IF(A95="","",IFERROR(INDEX(Schedule!$N$7:$N$18,MATCH(A95,Schedule!$A$7:$A$18,0)),"not in schedule"))</f>
        <v/>
      </c>
    </row>
    <row r="96">
      <c r="A96" s="98" t="n"/>
      <c r="B96" s="147" t="n"/>
      <c r="C96" s="98" t="n"/>
      <c r="D96" s="98" t="n"/>
      <c r="E96" s="98" t="n"/>
      <c r="F96" s="149" t="n"/>
      <c r="G96" s="149" t="n"/>
      <c r="H96" s="149" t="n"/>
      <c r="I96" s="98" t="n"/>
      <c r="U96" s="29">
        <f>IF(A96="","",IFERROR(INDEX(Schedule!$N$7:$N$18,MATCH(A96,Schedule!$A$7:$A$18,0)),"not in schedule"))</f>
        <v/>
      </c>
    </row>
    <row r="97">
      <c r="A97" s="98" t="n"/>
      <c r="B97" s="147" t="n"/>
      <c r="C97" s="98" t="n"/>
      <c r="D97" s="98" t="n"/>
      <c r="E97" s="98" t="n"/>
      <c r="F97" s="149" t="n"/>
      <c r="G97" s="149" t="n"/>
      <c r="H97" s="149" t="n"/>
      <c r="I97" s="98" t="n"/>
      <c r="U97" s="29">
        <f>IF(A97="","",IFERROR(INDEX(Schedule!$N$7:$N$18,MATCH(A97,Schedule!$A$7:$A$18,0)),"not in schedule"))</f>
        <v/>
      </c>
    </row>
    <row r="98">
      <c r="A98" s="98" t="n"/>
      <c r="B98" s="147" t="n"/>
      <c r="C98" s="98" t="n"/>
      <c r="D98" s="98" t="n"/>
      <c r="E98" s="98" t="n"/>
      <c r="F98" s="149" t="n"/>
      <c r="G98" s="149" t="n"/>
      <c r="H98" s="149" t="n"/>
      <c r="I98" s="98" t="n"/>
      <c r="U98" s="29">
        <f>IF(A98="","",IFERROR(INDEX(Schedule!$N$7:$N$18,MATCH(A98,Schedule!$A$7:$A$18,0)),"not in schedule"))</f>
        <v/>
      </c>
    </row>
    <row r="99">
      <c r="A99" s="98" t="n"/>
      <c r="B99" s="147" t="n"/>
      <c r="C99" s="98" t="n"/>
      <c r="D99" s="98" t="n"/>
      <c r="E99" s="98" t="n"/>
      <c r="F99" s="149" t="n"/>
      <c r="G99" s="149" t="n"/>
      <c r="H99" s="149" t="n"/>
      <c r="I99" s="98" t="n"/>
      <c r="U99" s="29">
        <f>IF(A99="","",IFERROR(INDEX(Schedule!$N$7:$N$18,MATCH(A99,Schedule!$A$7:$A$18,0)),"not in schedule"))</f>
        <v/>
      </c>
    </row>
    <row r="100">
      <c r="A100" s="98" t="n"/>
      <c r="B100" s="147" t="n"/>
      <c r="C100" s="98" t="n"/>
      <c r="D100" s="98" t="n"/>
      <c r="E100" s="98" t="n"/>
      <c r="F100" s="149" t="n"/>
      <c r="G100" s="149" t="n"/>
      <c r="H100" s="149" t="n"/>
      <c r="I100" s="98" t="n"/>
      <c r="U100" s="29">
        <f>IF(A100="","",IFERROR(INDEX(Schedule!$N$7:$N$18,MATCH(A100,Schedule!$A$7:$A$18,0)),"not in schedule"))</f>
        <v/>
      </c>
    </row>
    <row r="101">
      <c r="A101" s="98" t="n"/>
      <c r="B101" s="147" t="n"/>
      <c r="C101" s="98" t="n"/>
      <c r="D101" s="98" t="n"/>
      <c r="E101" s="98" t="n"/>
      <c r="F101" s="149" t="n"/>
      <c r="G101" s="149" t="n"/>
      <c r="H101" s="149" t="n"/>
      <c r="I101" s="98" t="n"/>
      <c r="U101" s="29">
        <f>IF(A101="","",IFERROR(INDEX(Schedule!$N$7:$N$18,MATCH(A101,Schedule!$A$7:$A$18,0)),"not in schedule"))</f>
        <v/>
      </c>
    </row>
    <row r="102">
      <c r="A102" s="98" t="n"/>
      <c r="B102" s="147" t="n"/>
      <c r="C102" s="98" t="n"/>
      <c r="D102" s="98" t="n"/>
      <c r="E102" s="98" t="n"/>
      <c r="F102" s="149" t="n"/>
      <c r="G102" s="149" t="n"/>
      <c r="H102" s="149" t="n"/>
      <c r="I102" s="98" t="n"/>
      <c r="U102" s="29">
        <f>IF(A102="","",IFERROR(INDEX(Schedule!$N$7:$N$18,MATCH(A102,Schedule!$A$7:$A$18,0)),"not in schedule"))</f>
        <v/>
      </c>
    </row>
    <row r="103">
      <c r="A103" s="98" t="n"/>
      <c r="B103" s="147" t="n"/>
      <c r="C103" s="98" t="n"/>
      <c r="D103" s="98" t="n"/>
      <c r="E103" s="98" t="n"/>
      <c r="F103" s="149" t="n"/>
      <c r="G103" s="149" t="n"/>
      <c r="H103" s="149" t="n"/>
      <c r="I103" s="98" t="n"/>
      <c r="U103" s="29">
        <f>IF(A103="","",IFERROR(INDEX(Schedule!$N$7:$N$18,MATCH(A103,Schedule!$A$7:$A$18,0)),"not in schedule"))</f>
        <v/>
      </c>
    </row>
    <row r="104">
      <c r="A104" s="98" t="n"/>
      <c r="B104" s="147" t="n"/>
      <c r="C104" s="98" t="n"/>
      <c r="D104" s="98" t="n"/>
      <c r="E104" s="98" t="n"/>
      <c r="F104" s="149" t="n"/>
      <c r="G104" s="149" t="n"/>
      <c r="H104" s="149" t="n"/>
      <c r="I104" s="98"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Actual figures, except the overhead allocations in column I, which are planning estimates (the same views as the plan). Incremental purchases are not measured; the column says so. No column measures sales lift. A drop with no actual data shows no allocation and a blank contribution.</t>
        </is>
      </c>
    </row>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07">
        <f>Drop_PnL!B7</f>
        <v/>
      </c>
      <c r="C7" s="29">
        <f>Drop_PnL!AZ7</f>
        <v/>
      </c>
      <c r="D7" s="108">
        <f>SUMIFS(Actuals_Campaigns!$R$5:$R$204,Actuals_Campaigns!$B$5:$B$204,A7)</f>
        <v/>
      </c>
      <c r="E7" s="108">
        <f>SUMIFS(Actuals_Campaigns!$T$5:$T$204,Actuals_Campaigns!$B$5:$B$204,A7)</f>
        <v/>
      </c>
      <c r="F7" s="108">
        <f>SUMIFS(Actuals_DropCosts!$F$5:$F$104,Actuals_DropCosts!$A$5:$A$104,A7)</f>
        <v/>
      </c>
      <c r="G7" s="108">
        <f>SUMIFS(Actuals_DropCosts!$G$5:$G$104,Actuals_DropCosts!$A$5:$A$104,A7)</f>
        <v/>
      </c>
      <c r="H7" s="108">
        <f>SUMIFS(Actuals_DropCosts!$H$5:$H$104,Actuals_DropCosts!$A$5:$A$104,A7)</f>
        <v/>
      </c>
      <c r="I7" s="108">
        <f>IF(OR(C7="Y",AF7&gt;0,F7+G7+H7&gt;0),Drop_PnL!AM7,0)</f>
        <v/>
      </c>
      <c r="J7" s="113">
        <f>SUM(E7:I7)</f>
        <v/>
      </c>
      <c r="K7" s="112">
        <f>Hours_Log!R5</f>
        <v/>
      </c>
      <c r="L7" s="112">
        <f>Hours_Log!S5</f>
        <v/>
      </c>
      <c r="M7" s="112">
        <f>Hours_Log!T5</f>
        <v/>
      </c>
      <c r="N7" s="112">
        <f>Hours_Log!U5</f>
        <v/>
      </c>
      <c r="O7" s="112">
        <f>Hours_Log!V5</f>
        <v/>
      </c>
      <c r="P7" s="112">
        <f>Hours_Log!W5</f>
        <v/>
      </c>
      <c r="Q7" s="112">
        <f>Hours_Log!X5</f>
        <v/>
      </c>
      <c r="R7" s="114">
        <f>SUM(K7:Q7)</f>
        <v/>
      </c>
      <c r="S7" s="113">
        <f>IF(AND(NOT(OR(C7="Y",AF7&gt;0,F7+G7+H7&gt;0)),R7=0),"",D7-J7)</f>
        <v/>
      </c>
      <c r="T7" s="110">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08">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07">
        <f>Drop_PnL!B8</f>
        <v/>
      </c>
      <c r="C8" s="29">
        <f>Drop_PnL!AZ8</f>
        <v/>
      </c>
      <c r="D8" s="108">
        <f>SUMIFS(Actuals_Campaigns!$R$5:$R$204,Actuals_Campaigns!$B$5:$B$204,A8)</f>
        <v/>
      </c>
      <c r="E8" s="108">
        <f>SUMIFS(Actuals_Campaigns!$T$5:$T$204,Actuals_Campaigns!$B$5:$B$204,A8)</f>
        <v/>
      </c>
      <c r="F8" s="108">
        <f>SUMIFS(Actuals_DropCosts!$F$5:$F$104,Actuals_DropCosts!$A$5:$A$104,A8)</f>
        <v/>
      </c>
      <c r="G8" s="108">
        <f>SUMIFS(Actuals_DropCosts!$G$5:$G$104,Actuals_DropCosts!$A$5:$A$104,A8)</f>
        <v/>
      </c>
      <c r="H8" s="108">
        <f>SUMIFS(Actuals_DropCosts!$H$5:$H$104,Actuals_DropCosts!$A$5:$A$104,A8)</f>
        <v/>
      </c>
      <c r="I8" s="108">
        <f>IF(OR(C8="Y",AF8&gt;0,F8+G8+H8&gt;0),Drop_PnL!AM8,0)</f>
        <v/>
      </c>
      <c r="J8" s="113">
        <f>SUM(E8:I8)</f>
        <v/>
      </c>
      <c r="K8" s="112">
        <f>Hours_Log!R6</f>
        <v/>
      </c>
      <c r="L8" s="112">
        <f>Hours_Log!S6</f>
        <v/>
      </c>
      <c r="M8" s="112">
        <f>Hours_Log!T6</f>
        <v/>
      </c>
      <c r="N8" s="112">
        <f>Hours_Log!U6</f>
        <v/>
      </c>
      <c r="O8" s="112">
        <f>Hours_Log!V6</f>
        <v/>
      </c>
      <c r="P8" s="112">
        <f>Hours_Log!W6</f>
        <v/>
      </c>
      <c r="Q8" s="112">
        <f>Hours_Log!X6</f>
        <v/>
      </c>
      <c r="R8" s="114">
        <f>SUM(K8:Q8)</f>
        <v/>
      </c>
      <c r="S8" s="113">
        <f>IF(AND(NOT(OR(C8="Y",AF8&gt;0,F8+G8+H8&gt;0)),R8=0),"",D8-J8)</f>
        <v/>
      </c>
      <c r="T8" s="110">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08">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07">
        <f>Drop_PnL!B9</f>
        <v/>
      </c>
      <c r="C9" s="29">
        <f>Drop_PnL!AZ9</f>
        <v/>
      </c>
      <c r="D9" s="108">
        <f>SUMIFS(Actuals_Campaigns!$R$5:$R$204,Actuals_Campaigns!$B$5:$B$204,A9)</f>
        <v/>
      </c>
      <c r="E9" s="108">
        <f>SUMIFS(Actuals_Campaigns!$T$5:$T$204,Actuals_Campaigns!$B$5:$B$204,A9)</f>
        <v/>
      </c>
      <c r="F9" s="108">
        <f>SUMIFS(Actuals_DropCosts!$F$5:$F$104,Actuals_DropCosts!$A$5:$A$104,A9)</f>
        <v/>
      </c>
      <c r="G9" s="108">
        <f>SUMIFS(Actuals_DropCosts!$G$5:$G$104,Actuals_DropCosts!$A$5:$A$104,A9)</f>
        <v/>
      </c>
      <c r="H9" s="108">
        <f>SUMIFS(Actuals_DropCosts!$H$5:$H$104,Actuals_DropCosts!$A$5:$A$104,A9)</f>
        <v/>
      </c>
      <c r="I9" s="108">
        <f>IF(OR(C9="Y",AF9&gt;0,F9+G9+H9&gt;0),Drop_PnL!AM9,0)</f>
        <v/>
      </c>
      <c r="J9" s="113">
        <f>SUM(E9:I9)</f>
        <v/>
      </c>
      <c r="K9" s="112">
        <f>Hours_Log!R7</f>
        <v/>
      </c>
      <c r="L9" s="112">
        <f>Hours_Log!S7</f>
        <v/>
      </c>
      <c r="M9" s="112">
        <f>Hours_Log!T7</f>
        <v/>
      </c>
      <c r="N9" s="112">
        <f>Hours_Log!U7</f>
        <v/>
      </c>
      <c r="O9" s="112">
        <f>Hours_Log!V7</f>
        <v/>
      </c>
      <c r="P9" s="112">
        <f>Hours_Log!W7</f>
        <v/>
      </c>
      <c r="Q9" s="112">
        <f>Hours_Log!X7</f>
        <v/>
      </c>
      <c r="R9" s="114">
        <f>SUM(K9:Q9)</f>
        <v/>
      </c>
      <c r="S9" s="113">
        <f>IF(AND(NOT(OR(C9="Y",AF9&gt;0,F9+G9+H9&gt;0)),R9=0),"",D9-J9)</f>
        <v/>
      </c>
      <c r="T9" s="110">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08">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07">
        <f>Drop_PnL!B10</f>
        <v/>
      </c>
      <c r="C10" s="29">
        <f>Drop_PnL!AZ10</f>
        <v/>
      </c>
      <c r="D10" s="108">
        <f>SUMIFS(Actuals_Campaigns!$R$5:$R$204,Actuals_Campaigns!$B$5:$B$204,A10)</f>
        <v/>
      </c>
      <c r="E10" s="108">
        <f>SUMIFS(Actuals_Campaigns!$T$5:$T$204,Actuals_Campaigns!$B$5:$B$204,A10)</f>
        <v/>
      </c>
      <c r="F10" s="108">
        <f>SUMIFS(Actuals_DropCosts!$F$5:$F$104,Actuals_DropCosts!$A$5:$A$104,A10)</f>
        <v/>
      </c>
      <c r="G10" s="108">
        <f>SUMIFS(Actuals_DropCosts!$G$5:$G$104,Actuals_DropCosts!$A$5:$A$104,A10)</f>
        <v/>
      </c>
      <c r="H10" s="108">
        <f>SUMIFS(Actuals_DropCosts!$H$5:$H$104,Actuals_DropCosts!$A$5:$A$104,A10)</f>
        <v/>
      </c>
      <c r="I10" s="108">
        <f>IF(OR(C10="Y",AF10&gt;0,F10+G10+H10&gt;0),Drop_PnL!AM10,0)</f>
        <v/>
      </c>
      <c r="J10" s="113">
        <f>SUM(E10:I10)</f>
        <v/>
      </c>
      <c r="K10" s="112">
        <f>Hours_Log!R8</f>
        <v/>
      </c>
      <c r="L10" s="112">
        <f>Hours_Log!S8</f>
        <v/>
      </c>
      <c r="M10" s="112">
        <f>Hours_Log!T8</f>
        <v/>
      </c>
      <c r="N10" s="112">
        <f>Hours_Log!U8</f>
        <v/>
      </c>
      <c r="O10" s="112">
        <f>Hours_Log!V8</f>
        <v/>
      </c>
      <c r="P10" s="112">
        <f>Hours_Log!W8</f>
        <v/>
      </c>
      <c r="Q10" s="112">
        <f>Hours_Log!X8</f>
        <v/>
      </c>
      <c r="R10" s="114">
        <f>SUM(K10:Q10)</f>
        <v/>
      </c>
      <c r="S10" s="113">
        <f>IF(AND(NOT(OR(C10="Y",AF10&gt;0,F10+G10+H10&gt;0)),R10=0),"",D10-J10)</f>
        <v/>
      </c>
      <c r="T10" s="110">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08">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07">
        <f>Drop_PnL!B11</f>
        <v/>
      </c>
      <c r="C11" s="29">
        <f>Drop_PnL!AZ11</f>
        <v/>
      </c>
      <c r="D11" s="108">
        <f>SUMIFS(Actuals_Campaigns!$R$5:$R$204,Actuals_Campaigns!$B$5:$B$204,A11)</f>
        <v/>
      </c>
      <c r="E11" s="108">
        <f>SUMIFS(Actuals_Campaigns!$T$5:$T$204,Actuals_Campaigns!$B$5:$B$204,A11)</f>
        <v/>
      </c>
      <c r="F11" s="108">
        <f>SUMIFS(Actuals_DropCosts!$F$5:$F$104,Actuals_DropCosts!$A$5:$A$104,A11)</f>
        <v/>
      </c>
      <c r="G11" s="108">
        <f>SUMIFS(Actuals_DropCosts!$G$5:$G$104,Actuals_DropCosts!$A$5:$A$104,A11)</f>
        <v/>
      </c>
      <c r="H11" s="108">
        <f>SUMIFS(Actuals_DropCosts!$H$5:$H$104,Actuals_DropCosts!$A$5:$A$104,A11)</f>
        <v/>
      </c>
      <c r="I11" s="108">
        <f>IF(OR(C11="Y",AF11&gt;0,F11+G11+H11&gt;0),Drop_PnL!AM11,0)</f>
        <v/>
      </c>
      <c r="J11" s="113">
        <f>SUM(E11:I11)</f>
        <v/>
      </c>
      <c r="K11" s="112">
        <f>Hours_Log!R9</f>
        <v/>
      </c>
      <c r="L11" s="112">
        <f>Hours_Log!S9</f>
        <v/>
      </c>
      <c r="M11" s="112">
        <f>Hours_Log!T9</f>
        <v/>
      </c>
      <c r="N11" s="112">
        <f>Hours_Log!U9</f>
        <v/>
      </c>
      <c r="O11" s="112">
        <f>Hours_Log!V9</f>
        <v/>
      </c>
      <c r="P11" s="112">
        <f>Hours_Log!W9</f>
        <v/>
      </c>
      <c r="Q11" s="112">
        <f>Hours_Log!X9</f>
        <v/>
      </c>
      <c r="R11" s="114">
        <f>SUM(K11:Q11)</f>
        <v/>
      </c>
      <c r="S11" s="113">
        <f>IF(AND(NOT(OR(C11="Y",AF11&gt;0,F11+G11+H11&gt;0)),R11=0),"",D11-J11)</f>
        <v/>
      </c>
      <c r="T11" s="110">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08">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07">
        <f>Drop_PnL!B12</f>
        <v/>
      </c>
      <c r="C12" s="29">
        <f>Drop_PnL!AZ12</f>
        <v/>
      </c>
      <c r="D12" s="108">
        <f>SUMIFS(Actuals_Campaigns!$R$5:$R$204,Actuals_Campaigns!$B$5:$B$204,A12)</f>
        <v/>
      </c>
      <c r="E12" s="108">
        <f>SUMIFS(Actuals_Campaigns!$T$5:$T$204,Actuals_Campaigns!$B$5:$B$204,A12)</f>
        <v/>
      </c>
      <c r="F12" s="108">
        <f>SUMIFS(Actuals_DropCosts!$F$5:$F$104,Actuals_DropCosts!$A$5:$A$104,A12)</f>
        <v/>
      </c>
      <c r="G12" s="108">
        <f>SUMIFS(Actuals_DropCosts!$G$5:$G$104,Actuals_DropCosts!$A$5:$A$104,A12)</f>
        <v/>
      </c>
      <c r="H12" s="108">
        <f>SUMIFS(Actuals_DropCosts!$H$5:$H$104,Actuals_DropCosts!$A$5:$A$104,A12)</f>
        <v/>
      </c>
      <c r="I12" s="108">
        <f>IF(OR(C12="Y",AF12&gt;0,F12+G12+H12&gt;0),Drop_PnL!AM12,0)</f>
        <v/>
      </c>
      <c r="J12" s="113">
        <f>SUM(E12:I12)</f>
        <v/>
      </c>
      <c r="K12" s="112">
        <f>Hours_Log!R10</f>
        <v/>
      </c>
      <c r="L12" s="112">
        <f>Hours_Log!S10</f>
        <v/>
      </c>
      <c r="M12" s="112">
        <f>Hours_Log!T10</f>
        <v/>
      </c>
      <c r="N12" s="112">
        <f>Hours_Log!U10</f>
        <v/>
      </c>
      <c r="O12" s="112">
        <f>Hours_Log!V10</f>
        <v/>
      </c>
      <c r="P12" s="112">
        <f>Hours_Log!W10</f>
        <v/>
      </c>
      <c r="Q12" s="112">
        <f>Hours_Log!X10</f>
        <v/>
      </c>
      <c r="R12" s="114">
        <f>SUM(K12:Q12)</f>
        <v/>
      </c>
      <c r="S12" s="113">
        <f>IF(AND(NOT(OR(C12="Y",AF12&gt;0,F12+G12+H12&gt;0)),R12=0),"",D12-J12)</f>
        <v/>
      </c>
      <c r="T12" s="110">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08">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07">
        <f>Drop_PnL!B13</f>
        <v/>
      </c>
      <c r="C13" s="29">
        <f>Drop_PnL!AZ13</f>
        <v/>
      </c>
      <c r="D13" s="108">
        <f>SUMIFS(Actuals_Campaigns!$R$5:$R$204,Actuals_Campaigns!$B$5:$B$204,A13)</f>
        <v/>
      </c>
      <c r="E13" s="108">
        <f>SUMIFS(Actuals_Campaigns!$T$5:$T$204,Actuals_Campaigns!$B$5:$B$204,A13)</f>
        <v/>
      </c>
      <c r="F13" s="108">
        <f>SUMIFS(Actuals_DropCosts!$F$5:$F$104,Actuals_DropCosts!$A$5:$A$104,A13)</f>
        <v/>
      </c>
      <c r="G13" s="108">
        <f>SUMIFS(Actuals_DropCosts!$G$5:$G$104,Actuals_DropCosts!$A$5:$A$104,A13)</f>
        <v/>
      </c>
      <c r="H13" s="108">
        <f>SUMIFS(Actuals_DropCosts!$H$5:$H$104,Actuals_DropCosts!$A$5:$A$104,A13)</f>
        <v/>
      </c>
      <c r="I13" s="108">
        <f>IF(OR(C13="Y",AF13&gt;0,F13+G13+H13&gt;0),Drop_PnL!AM13,0)</f>
        <v/>
      </c>
      <c r="J13" s="113">
        <f>SUM(E13:I13)</f>
        <v/>
      </c>
      <c r="K13" s="112">
        <f>Hours_Log!R11</f>
        <v/>
      </c>
      <c r="L13" s="112">
        <f>Hours_Log!S11</f>
        <v/>
      </c>
      <c r="M13" s="112">
        <f>Hours_Log!T11</f>
        <v/>
      </c>
      <c r="N13" s="112">
        <f>Hours_Log!U11</f>
        <v/>
      </c>
      <c r="O13" s="112">
        <f>Hours_Log!V11</f>
        <v/>
      </c>
      <c r="P13" s="112">
        <f>Hours_Log!W11</f>
        <v/>
      </c>
      <c r="Q13" s="112">
        <f>Hours_Log!X11</f>
        <v/>
      </c>
      <c r="R13" s="114">
        <f>SUM(K13:Q13)</f>
        <v/>
      </c>
      <c r="S13" s="113">
        <f>IF(AND(NOT(OR(C13="Y",AF13&gt;0,F13+G13+H13&gt;0)),R13=0),"",D13-J13)</f>
        <v/>
      </c>
      <c r="T13" s="110">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08">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07">
        <f>Drop_PnL!B14</f>
        <v/>
      </c>
      <c r="C14" s="29">
        <f>Drop_PnL!AZ14</f>
        <v/>
      </c>
      <c r="D14" s="108">
        <f>SUMIFS(Actuals_Campaigns!$R$5:$R$204,Actuals_Campaigns!$B$5:$B$204,A14)</f>
        <v/>
      </c>
      <c r="E14" s="108">
        <f>SUMIFS(Actuals_Campaigns!$T$5:$T$204,Actuals_Campaigns!$B$5:$B$204,A14)</f>
        <v/>
      </c>
      <c r="F14" s="108">
        <f>SUMIFS(Actuals_DropCosts!$F$5:$F$104,Actuals_DropCosts!$A$5:$A$104,A14)</f>
        <v/>
      </c>
      <c r="G14" s="108">
        <f>SUMIFS(Actuals_DropCosts!$G$5:$G$104,Actuals_DropCosts!$A$5:$A$104,A14)</f>
        <v/>
      </c>
      <c r="H14" s="108">
        <f>SUMIFS(Actuals_DropCosts!$H$5:$H$104,Actuals_DropCosts!$A$5:$A$104,A14)</f>
        <v/>
      </c>
      <c r="I14" s="108">
        <f>IF(OR(C14="Y",AF14&gt;0,F14+G14+H14&gt;0),Drop_PnL!AM14,0)</f>
        <v/>
      </c>
      <c r="J14" s="113">
        <f>SUM(E14:I14)</f>
        <v/>
      </c>
      <c r="K14" s="112">
        <f>Hours_Log!R12</f>
        <v/>
      </c>
      <c r="L14" s="112">
        <f>Hours_Log!S12</f>
        <v/>
      </c>
      <c r="M14" s="112">
        <f>Hours_Log!T12</f>
        <v/>
      </c>
      <c r="N14" s="112">
        <f>Hours_Log!U12</f>
        <v/>
      </c>
      <c r="O14" s="112">
        <f>Hours_Log!V12</f>
        <v/>
      </c>
      <c r="P14" s="112">
        <f>Hours_Log!W12</f>
        <v/>
      </c>
      <c r="Q14" s="112">
        <f>Hours_Log!X12</f>
        <v/>
      </c>
      <c r="R14" s="114">
        <f>SUM(K14:Q14)</f>
        <v/>
      </c>
      <c r="S14" s="113">
        <f>IF(AND(NOT(OR(C14="Y",AF14&gt;0,F14+G14+H14&gt;0)),R14=0),"",D14-J14)</f>
        <v/>
      </c>
      <c r="T14" s="110">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08">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07">
        <f>Drop_PnL!B15</f>
        <v/>
      </c>
      <c r="C15" s="29">
        <f>Drop_PnL!AZ15</f>
        <v/>
      </c>
      <c r="D15" s="108">
        <f>SUMIFS(Actuals_Campaigns!$R$5:$R$204,Actuals_Campaigns!$B$5:$B$204,A15)</f>
        <v/>
      </c>
      <c r="E15" s="108">
        <f>SUMIFS(Actuals_Campaigns!$T$5:$T$204,Actuals_Campaigns!$B$5:$B$204,A15)</f>
        <v/>
      </c>
      <c r="F15" s="108">
        <f>SUMIFS(Actuals_DropCosts!$F$5:$F$104,Actuals_DropCosts!$A$5:$A$104,A15)</f>
        <v/>
      </c>
      <c r="G15" s="108">
        <f>SUMIFS(Actuals_DropCosts!$G$5:$G$104,Actuals_DropCosts!$A$5:$A$104,A15)</f>
        <v/>
      </c>
      <c r="H15" s="108">
        <f>SUMIFS(Actuals_DropCosts!$H$5:$H$104,Actuals_DropCosts!$A$5:$A$104,A15)</f>
        <v/>
      </c>
      <c r="I15" s="108">
        <f>IF(OR(C15="Y",AF15&gt;0,F15+G15+H15&gt;0),Drop_PnL!AM15,0)</f>
        <v/>
      </c>
      <c r="J15" s="113">
        <f>SUM(E15:I15)</f>
        <v/>
      </c>
      <c r="K15" s="112">
        <f>Hours_Log!R13</f>
        <v/>
      </c>
      <c r="L15" s="112">
        <f>Hours_Log!S13</f>
        <v/>
      </c>
      <c r="M15" s="112">
        <f>Hours_Log!T13</f>
        <v/>
      </c>
      <c r="N15" s="112">
        <f>Hours_Log!U13</f>
        <v/>
      </c>
      <c r="O15" s="112">
        <f>Hours_Log!V13</f>
        <v/>
      </c>
      <c r="P15" s="112">
        <f>Hours_Log!W13</f>
        <v/>
      </c>
      <c r="Q15" s="112">
        <f>Hours_Log!X13</f>
        <v/>
      </c>
      <c r="R15" s="114">
        <f>SUM(K15:Q15)</f>
        <v/>
      </c>
      <c r="S15" s="113">
        <f>IF(AND(NOT(OR(C15="Y",AF15&gt;0,F15+G15+H15&gt;0)),R15=0),"",D15-J15)</f>
        <v/>
      </c>
      <c r="T15" s="110">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08">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07">
        <f>Drop_PnL!B16</f>
        <v/>
      </c>
      <c r="C16" s="29">
        <f>Drop_PnL!AZ16</f>
        <v/>
      </c>
      <c r="D16" s="108">
        <f>SUMIFS(Actuals_Campaigns!$R$5:$R$204,Actuals_Campaigns!$B$5:$B$204,A16)</f>
        <v/>
      </c>
      <c r="E16" s="108">
        <f>SUMIFS(Actuals_Campaigns!$T$5:$T$204,Actuals_Campaigns!$B$5:$B$204,A16)</f>
        <v/>
      </c>
      <c r="F16" s="108">
        <f>SUMIFS(Actuals_DropCosts!$F$5:$F$104,Actuals_DropCosts!$A$5:$A$104,A16)</f>
        <v/>
      </c>
      <c r="G16" s="108">
        <f>SUMIFS(Actuals_DropCosts!$G$5:$G$104,Actuals_DropCosts!$A$5:$A$104,A16)</f>
        <v/>
      </c>
      <c r="H16" s="108">
        <f>SUMIFS(Actuals_DropCosts!$H$5:$H$104,Actuals_DropCosts!$A$5:$A$104,A16)</f>
        <v/>
      </c>
      <c r="I16" s="108">
        <f>IF(OR(C16="Y",AF16&gt;0,F16+G16+H16&gt;0),Drop_PnL!AM16,0)</f>
        <v/>
      </c>
      <c r="J16" s="113">
        <f>SUM(E16:I16)</f>
        <v/>
      </c>
      <c r="K16" s="112">
        <f>Hours_Log!R14</f>
        <v/>
      </c>
      <c r="L16" s="112">
        <f>Hours_Log!S14</f>
        <v/>
      </c>
      <c r="M16" s="112">
        <f>Hours_Log!T14</f>
        <v/>
      </c>
      <c r="N16" s="112">
        <f>Hours_Log!U14</f>
        <v/>
      </c>
      <c r="O16" s="112">
        <f>Hours_Log!V14</f>
        <v/>
      </c>
      <c r="P16" s="112">
        <f>Hours_Log!W14</f>
        <v/>
      </c>
      <c r="Q16" s="112">
        <f>Hours_Log!X14</f>
        <v/>
      </c>
      <c r="R16" s="114">
        <f>SUM(K16:Q16)</f>
        <v/>
      </c>
      <c r="S16" s="113">
        <f>IF(AND(NOT(OR(C16="Y",AF16&gt;0,F16+G16+H16&gt;0)),R16=0),"",D16-J16)</f>
        <v/>
      </c>
      <c r="T16" s="110">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08">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07">
        <f>Drop_PnL!B17</f>
        <v/>
      </c>
      <c r="C17" s="29">
        <f>Drop_PnL!AZ17</f>
        <v/>
      </c>
      <c r="D17" s="108">
        <f>SUMIFS(Actuals_Campaigns!$R$5:$R$204,Actuals_Campaigns!$B$5:$B$204,A17)</f>
        <v/>
      </c>
      <c r="E17" s="108">
        <f>SUMIFS(Actuals_Campaigns!$T$5:$T$204,Actuals_Campaigns!$B$5:$B$204,A17)</f>
        <v/>
      </c>
      <c r="F17" s="108">
        <f>SUMIFS(Actuals_DropCosts!$F$5:$F$104,Actuals_DropCosts!$A$5:$A$104,A17)</f>
        <v/>
      </c>
      <c r="G17" s="108">
        <f>SUMIFS(Actuals_DropCosts!$G$5:$G$104,Actuals_DropCosts!$A$5:$A$104,A17)</f>
        <v/>
      </c>
      <c r="H17" s="108">
        <f>SUMIFS(Actuals_DropCosts!$H$5:$H$104,Actuals_DropCosts!$A$5:$A$104,A17)</f>
        <v/>
      </c>
      <c r="I17" s="108">
        <f>IF(OR(C17="Y",AF17&gt;0,F17+G17+H17&gt;0),Drop_PnL!AM17,0)</f>
        <v/>
      </c>
      <c r="J17" s="113">
        <f>SUM(E17:I17)</f>
        <v/>
      </c>
      <c r="K17" s="112">
        <f>Hours_Log!R15</f>
        <v/>
      </c>
      <c r="L17" s="112">
        <f>Hours_Log!S15</f>
        <v/>
      </c>
      <c r="M17" s="112">
        <f>Hours_Log!T15</f>
        <v/>
      </c>
      <c r="N17" s="112">
        <f>Hours_Log!U15</f>
        <v/>
      </c>
      <c r="O17" s="112">
        <f>Hours_Log!V15</f>
        <v/>
      </c>
      <c r="P17" s="112">
        <f>Hours_Log!W15</f>
        <v/>
      </c>
      <c r="Q17" s="112">
        <f>Hours_Log!X15</f>
        <v/>
      </c>
      <c r="R17" s="114">
        <f>SUM(K17:Q17)</f>
        <v/>
      </c>
      <c r="S17" s="113">
        <f>IF(AND(NOT(OR(C17="Y",AF17&gt;0,F17+G17+H17&gt;0)),R17=0),"",D17-J17)</f>
        <v/>
      </c>
      <c r="T17" s="110">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08">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07">
        <f>Drop_PnL!B18</f>
        <v/>
      </c>
      <c r="C18" s="29">
        <f>Drop_PnL!AZ18</f>
        <v/>
      </c>
      <c r="D18" s="108">
        <f>SUMIFS(Actuals_Campaigns!$R$5:$R$204,Actuals_Campaigns!$B$5:$B$204,A18)</f>
        <v/>
      </c>
      <c r="E18" s="108">
        <f>SUMIFS(Actuals_Campaigns!$T$5:$T$204,Actuals_Campaigns!$B$5:$B$204,A18)</f>
        <v/>
      </c>
      <c r="F18" s="108">
        <f>SUMIFS(Actuals_DropCosts!$F$5:$F$104,Actuals_DropCosts!$A$5:$A$104,A18)</f>
        <v/>
      </c>
      <c r="G18" s="108">
        <f>SUMIFS(Actuals_DropCosts!$G$5:$G$104,Actuals_DropCosts!$A$5:$A$104,A18)</f>
        <v/>
      </c>
      <c r="H18" s="108">
        <f>SUMIFS(Actuals_DropCosts!$H$5:$H$104,Actuals_DropCosts!$A$5:$A$104,A18)</f>
        <v/>
      </c>
      <c r="I18" s="108">
        <f>IF(OR(C18="Y",AF18&gt;0,F18+G18+H18&gt;0),Drop_PnL!AM18,0)</f>
        <v/>
      </c>
      <c r="J18" s="113">
        <f>SUM(E18:I18)</f>
        <v/>
      </c>
      <c r="K18" s="112">
        <f>Hours_Log!R16</f>
        <v/>
      </c>
      <c r="L18" s="112">
        <f>Hours_Log!S16</f>
        <v/>
      </c>
      <c r="M18" s="112">
        <f>Hours_Log!T16</f>
        <v/>
      </c>
      <c r="N18" s="112">
        <f>Hours_Log!U16</f>
        <v/>
      </c>
      <c r="O18" s="112">
        <f>Hours_Log!V16</f>
        <v/>
      </c>
      <c r="P18" s="112">
        <f>Hours_Log!W16</f>
        <v/>
      </c>
      <c r="Q18" s="112">
        <f>Hours_Log!X16</f>
        <v/>
      </c>
      <c r="R18" s="114">
        <f>SUM(K18:Q18)</f>
        <v/>
      </c>
      <c r="S18" s="113">
        <f>IF(AND(NOT(OR(C18="Y",AF18&gt;0,F18+G18+H18&gt;0)),R18=0),"",D18-J18)</f>
        <v/>
      </c>
      <c r="T18" s="110">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08">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07">
        <f>EDATE(Inputs!$C$80,B5-1)</f>
        <v/>
      </c>
      <c r="D5" s="108">
        <f>IF(AND(C5&gt;=Inputs!$C$10,C5&lt;=Cash_Flow!$AB$6),Inputs!$C$79,0)</f>
        <v/>
      </c>
      <c r="E5" s="30" t="inlineStr">
        <is>
          <t>monthly from 'Software paid from'</t>
        </is>
      </c>
    </row>
    <row r="6">
      <c r="A6" s="29" t="inlineStr">
        <is>
          <t>software</t>
        </is>
      </c>
      <c r="B6" s="29" t="n">
        <v>2</v>
      </c>
      <c r="C6" s="107">
        <f>EDATE(Inputs!$C$80,B6-1)</f>
        <v/>
      </c>
      <c r="D6" s="108">
        <f>IF(AND(C6&gt;=Inputs!$C$10,C6&lt;=Cash_Flow!$AB$6),Inputs!$C$79,0)</f>
        <v/>
      </c>
      <c r="E6" s="30" t="inlineStr">
        <is>
          <t>monthly from 'Software paid from'</t>
        </is>
      </c>
    </row>
    <row r="7">
      <c r="A7" s="29" t="inlineStr">
        <is>
          <t>software</t>
        </is>
      </c>
      <c r="B7" s="29" t="n">
        <v>3</v>
      </c>
      <c r="C7" s="107">
        <f>EDATE(Inputs!$C$80,B7-1)</f>
        <v/>
      </c>
      <c r="D7" s="108">
        <f>IF(AND(C7&gt;=Inputs!$C$10,C7&lt;=Cash_Flow!$AB$6),Inputs!$C$79,0)</f>
        <v/>
      </c>
      <c r="E7" s="30" t="inlineStr">
        <is>
          <t>monthly from 'Software paid from'</t>
        </is>
      </c>
    </row>
    <row r="8">
      <c r="A8" s="29" t="inlineStr">
        <is>
          <t>software</t>
        </is>
      </c>
      <c r="B8" s="29" t="n">
        <v>4</v>
      </c>
      <c r="C8" s="107">
        <f>EDATE(Inputs!$C$80,B8-1)</f>
        <v/>
      </c>
      <c r="D8" s="108">
        <f>IF(AND(C8&gt;=Inputs!$C$10,C8&lt;=Cash_Flow!$AB$6),Inputs!$C$79,0)</f>
        <v/>
      </c>
      <c r="E8" s="30" t="inlineStr">
        <is>
          <t>monthly from 'Software paid from'</t>
        </is>
      </c>
    </row>
    <row r="9">
      <c r="A9" s="29" t="inlineStr">
        <is>
          <t>software</t>
        </is>
      </c>
      <c r="B9" s="29" t="n">
        <v>5</v>
      </c>
      <c r="C9" s="107">
        <f>EDATE(Inputs!$C$80,B9-1)</f>
        <v/>
      </c>
      <c r="D9" s="108">
        <f>IF(AND(C9&gt;=Inputs!$C$10,C9&lt;=Cash_Flow!$AB$6),Inputs!$C$79,0)</f>
        <v/>
      </c>
      <c r="E9" s="30" t="inlineStr">
        <is>
          <t>monthly from 'Software paid from'</t>
        </is>
      </c>
    </row>
    <row r="10">
      <c r="A10" s="29" t="inlineStr">
        <is>
          <t>software</t>
        </is>
      </c>
      <c r="B10" s="29" t="n">
        <v>6</v>
      </c>
      <c r="C10" s="107">
        <f>EDATE(Inputs!$C$80,B10-1)</f>
        <v/>
      </c>
      <c r="D10" s="108">
        <f>IF(AND(C10&gt;=Inputs!$C$10,C10&lt;=Cash_Flow!$AB$6),Inputs!$C$79,0)</f>
        <v/>
      </c>
      <c r="E10" s="30" t="inlineStr">
        <is>
          <t>monthly from 'Software paid from'</t>
        </is>
      </c>
    </row>
    <row r="11">
      <c r="A11" s="29" t="inlineStr">
        <is>
          <t>software</t>
        </is>
      </c>
      <c r="B11" s="29" t="n">
        <v>7</v>
      </c>
      <c r="C11" s="107">
        <f>EDATE(Inputs!$C$80,B11-1)</f>
        <v/>
      </c>
      <c r="D11" s="108">
        <f>IF(AND(C11&gt;=Inputs!$C$10,C11&lt;=Cash_Flow!$AB$6),Inputs!$C$79,0)</f>
        <v/>
      </c>
      <c r="E11" s="30" t="inlineStr">
        <is>
          <t>monthly from 'Software paid from'</t>
        </is>
      </c>
    </row>
    <row r="12">
      <c r="A12" s="29" t="inlineStr">
        <is>
          <t>software</t>
        </is>
      </c>
      <c r="B12" s="29" t="n">
        <v>8</v>
      </c>
      <c r="C12" s="107">
        <f>EDATE(Inputs!$C$80,B12-1)</f>
        <v/>
      </c>
      <c r="D12" s="108">
        <f>IF(AND(C12&gt;=Inputs!$C$10,C12&lt;=Cash_Flow!$AB$6),Inputs!$C$79,0)</f>
        <v/>
      </c>
      <c r="E12" s="30" t="inlineStr">
        <is>
          <t>monthly from 'Software paid from'</t>
        </is>
      </c>
    </row>
    <row r="13">
      <c r="A13" s="29" t="inlineStr">
        <is>
          <t>software</t>
        </is>
      </c>
      <c r="B13" s="29" t="n">
        <v>9</v>
      </c>
      <c r="C13" s="107">
        <f>EDATE(Inputs!$C$80,B13-1)</f>
        <v/>
      </c>
      <c r="D13" s="108">
        <f>IF(AND(C13&gt;=Inputs!$C$10,C13&lt;=Cash_Flow!$AB$6),Inputs!$C$79,0)</f>
        <v/>
      </c>
      <c r="E13" s="30" t="inlineStr">
        <is>
          <t>monthly from 'Software paid from'</t>
        </is>
      </c>
    </row>
    <row r="14">
      <c r="A14" s="29" t="inlineStr">
        <is>
          <t>software</t>
        </is>
      </c>
      <c r="B14" s="29" t="n">
        <v>10</v>
      </c>
      <c r="C14" s="107">
        <f>EDATE(Inputs!$C$80,B14-1)</f>
        <v/>
      </c>
      <c r="D14" s="108">
        <f>IF(AND(C14&gt;=Inputs!$C$10,C14&lt;=Cash_Flow!$AB$6),Inputs!$C$79,0)</f>
        <v/>
      </c>
      <c r="E14" s="30" t="inlineStr">
        <is>
          <t>monthly from 'Software paid from'</t>
        </is>
      </c>
    </row>
    <row r="15">
      <c r="A15" s="29" t="inlineStr">
        <is>
          <t>software</t>
        </is>
      </c>
      <c r="B15" s="29" t="n">
        <v>11</v>
      </c>
      <c r="C15" s="107">
        <f>EDATE(Inputs!$C$80,B15-1)</f>
        <v/>
      </c>
      <c r="D15" s="108">
        <f>IF(AND(C15&gt;=Inputs!$C$10,C15&lt;=Cash_Flow!$AB$6),Inputs!$C$79,0)</f>
        <v/>
      </c>
      <c r="E15" s="30" t="inlineStr">
        <is>
          <t>monthly from 'Software paid from'</t>
        </is>
      </c>
    </row>
    <row r="16">
      <c r="A16" s="29" t="inlineStr">
        <is>
          <t>software</t>
        </is>
      </c>
      <c r="B16" s="29" t="n">
        <v>12</v>
      </c>
      <c r="C16" s="107">
        <f>EDATE(Inputs!$C$80,B16-1)</f>
        <v/>
      </c>
      <c r="D16" s="108">
        <f>IF(AND(C16&gt;=Inputs!$C$10,C16&lt;=Cash_Flow!$AB$6),Inputs!$C$79,0)</f>
        <v/>
      </c>
      <c r="E16" s="30" t="inlineStr">
        <is>
          <t>monthly from 'Software paid from'</t>
        </is>
      </c>
    </row>
    <row r="17">
      <c r="A17" s="29" t="inlineStr">
        <is>
          <t>storage</t>
        </is>
      </c>
      <c r="B17" s="29" t="n">
        <v>1</v>
      </c>
      <c r="C17" s="107">
        <f>IF(Inputs!$C$77="","",EDATE(Inputs!$C$77,B17-1))</f>
        <v/>
      </c>
      <c r="D17" s="108">
        <f>IF(C17="",0,IF(AND(Inputs!$C$75="unit",C17&lt;=Cash_Flow!$AB$6,OR(Inputs!$C$78="",C17&lt;=Inputs!$C$78)),Inputs!$C$76,0))</f>
        <v/>
      </c>
      <c r="E17" s="30" t="inlineStr">
        <is>
          <t>monthly while Storage = unit, from the rental date to the release date</t>
        </is>
      </c>
    </row>
    <row r="18">
      <c r="A18" s="29" t="inlineStr">
        <is>
          <t>storage</t>
        </is>
      </c>
      <c r="B18" s="29" t="n">
        <v>2</v>
      </c>
      <c r="C18" s="107">
        <f>IF(Inputs!$C$77="","",EDATE(Inputs!$C$77,B18-1))</f>
        <v/>
      </c>
      <c r="D18" s="108">
        <f>IF(C18="",0,IF(AND(Inputs!$C$75="unit",C18&lt;=Cash_Flow!$AB$6,OR(Inputs!$C$78="",C18&lt;=Inputs!$C$78)),Inputs!$C$76,0))</f>
        <v/>
      </c>
      <c r="E18" s="30" t="inlineStr">
        <is>
          <t>monthly while Storage = unit, from the rental date to the release date</t>
        </is>
      </c>
    </row>
    <row r="19">
      <c r="A19" s="29" t="inlineStr">
        <is>
          <t>storage</t>
        </is>
      </c>
      <c r="B19" s="29" t="n">
        <v>3</v>
      </c>
      <c r="C19" s="107">
        <f>IF(Inputs!$C$77="","",EDATE(Inputs!$C$77,B19-1))</f>
        <v/>
      </c>
      <c r="D19" s="108">
        <f>IF(C19="",0,IF(AND(Inputs!$C$75="unit",C19&lt;=Cash_Flow!$AB$6,OR(Inputs!$C$78="",C19&lt;=Inputs!$C$78)),Inputs!$C$76,0))</f>
        <v/>
      </c>
      <c r="E19" s="30" t="inlineStr">
        <is>
          <t>monthly while Storage = unit, from the rental date to the release date</t>
        </is>
      </c>
    </row>
    <row r="20">
      <c r="A20" s="29" t="inlineStr">
        <is>
          <t>storage</t>
        </is>
      </c>
      <c r="B20" s="29" t="n">
        <v>4</v>
      </c>
      <c r="C20" s="107">
        <f>IF(Inputs!$C$77="","",EDATE(Inputs!$C$77,B20-1))</f>
        <v/>
      </c>
      <c r="D20" s="108">
        <f>IF(C20="",0,IF(AND(Inputs!$C$75="unit",C20&lt;=Cash_Flow!$AB$6,OR(Inputs!$C$78="",C20&lt;=Inputs!$C$78)),Inputs!$C$76,0))</f>
        <v/>
      </c>
      <c r="E20" s="30" t="inlineStr">
        <is>
          <t>monthly while Storage = unit, from the rental date to the release date</t>
        </is>
      </c>
    </row>
    <row r="21">
      <c r="A21" s="29" t="inlineStr">
        <is>
          <t>storage</t>
        </is>
      </c>
      <c r="B21" s="29" t="n">
        <v>5</v>
      </c>
      <c r="C21" s="107">
        <f>IF(Inputs!$C$77="","",EDATE(Inputs!$C$77,B21-1))</f>
        <v/>
      </c>
      <c r="D21" s="108">
        <f>IF(C21="",0,IF(AND(Inputs!$C$75="unit",C21&lt;=Cash_Flow!$AB$6,OR(Inputs!$C$78="",C21&lt;=Inputs!$C$78)),Inputs!$C$76,0))</f>
        <v/>
      </c>
      <c r="E21" s="30" t="inlineStr">
        <is>
          <t>monthly while Storage = unit, from the rental date to the release date</t>
        </is>
      </c>
    </row>
    <row r="22">
      <c r="A22" s="29" t="inlineStr">
        <is>
          <t>storage</t>
        </is>
      </c>
      <c r="B22" s="29" t="n">
        <v>6</v>
      </c>
      <c r="C22" s="107">
        <f>IF(Inputs!$C$77="","",EDATE(Inputs!$C$77,B22-1))</f>
        <v/>
      </c>
      <c r="D22" s="108">
        <f>IF(C22="",0,IF(AND(Inputs!$C$75="unit",C22&lt;=Cash_Flow!$AB$6,OR(Inputs!$C$78="",C22&lt;=Inputs!$C$78)),Inputs!$C$76,0))</f>
        <v/>
      </c>
      <c r="E22" s="30" t="inlineStr">
        <is>
          <t>monthly while Storage = unit, from the rental date to the release date</t>
        </is>
      </c>
    </row>
    <row r="23">
      <c r="A23" s="29" t="inlineStr">
        <is>
          <t>storage</t>
        </is>
      </c>
      <c r="B23" s="29" t="n">
        <v>7</v>
      </c>
      <c r="C23" s="107">
        <f>IF(Inputs!$C$77="","",EDATE(Inputs!$C$77,B23-1))</f>
        <v/>
      </c>
      <c r="D23" s="108">
        <f>IF(C23="",0,IF(AND(Inputs!$C$75="unit",C23&lt;=Cash_Flow!$AB$6,OR(Inputs!$C$78="",C23&lt;=Inputs!$C$78)),Inputs!$C$76,0))</f>
        <v/>
      </c>
      <c r="E23" s="30" t="inlineStr">
        <is>
          <t>monthly while Storage = unit, from the rental date to the release date</t>
        </is>
      </c>
    </row>
    <row r="24">
      <c r="A24" s="29" t="inlineStr">
        <is>
          <t>storage</t>
        </is>
      </c>
      <c r="B24" s="29" t="n">
        <v>8</v>
      </c>
      <c r="C24" s="107">
        <f>IF(Inputs!$C$77="","",EDATE(Inputs!$C$77,B24-1))</f>
        <v/>
      </c>
      <c r="D24" s="108">
        <f>IF(C24="",0,IF(AND(Inputs!$C$75="unit",C24&lt;=Cash_Flow!$AB$6,OR(Inputs!$C$78="",C24&lt;=Inputs!$C$78)),Inputs!$C$76,0))</f>
        <v/>
      </c>
      <c r="E24" s="30" t="inlineStr">
        <is>
          <t>monthly while Storage = unit, from the rental date to the release date</t>
        </is>
      </c>
    </row>
    <row r="25">
      <c r="A25" s="29" t="inlineStr">
        <is>
          <t>storage</t>
        </is>
      </c>
      <c r="B25" s="29" t="n">
        <v>9</v>
      </c>
      <c r="C25" s="107">
        <f>IF(Inputs!$C$77="","",EDATE(Inputs!$C$77,B25-1))</f>
        <v/>
      </c>
      <c r="D25" s="108">
        <f>IF(C25="",0,IF(AND(Inputs!$C$75="unit",C25&lt;=Cash_Flow!$AB$6,OR(Inputs!$C$78="",C25&lt;=Inputs!$C$78)),Inputs!$C$76,0))</f>
        <v/>
      </c>
      <c r="E25" s="30" t="inlineStr">
        <is>
          <t>monthly while Storage = unit, from the rental date to the release date</t>
        </is>
      </c>
    </row>
    <row r="26">
      <c r="A26" s="29" t="inlineStr">
        <is>
          <t>storage</t>
        </is>
      </c>
      <c r="B26" s="29" t="n">
        <v>10</v>
      </c>
      <c r="C26" s="107">
        <f>IF(Inputs!$C$77="","",EDATE(Inputs!$C$77,B26-1))</f>
        <v/>
      </c>
      <c r="D26" s="108">
        <f>IF(C26="",0,IF(AND(Inputs!$C$75="unit",C26&lt;=Cash_Flow!$AB$6,OR(Inputs!$C$78="",C26&lt;=Inputs!$C$78)),Inputs!$C$76,0))</f>
        <v/>
      </c>
      <c r="E26" s="30" t="inlineStr">
        <is>
          <t>monthly while Storage = unit, from the rental date to the release date</t>
        </is>
      </c>
    </row>
    <row r="27">
      <c r="A27" s="29" t="inlineStr">
        <is>
          <t>storage</t>
        </is>
      </c>
      <c r="B27" s="29" t="n">
        <v>11</v>
      </c>
      <c r="C27" s="107">
        <f>IF(Inputs!$C$77="","",EDATE(Inputs!$C$77,B27-1))</f>
        <v/>
      </c>
      <c r="D27" s="108">
        <f>IF(C27="",0,IF(AND(Inputs!$C$75="unit",C27&lt;=Cash_Flow!$AB$6,OR(Inputs!$C$78="",C27&lt;=Inputs!$C$78)),Inputs!$C$76,0))</f>
        <v/>
      </c>
      <c r="E27" s="30" t="inlineStr">
        <is>
          <t>monthly while Storage = unit, from the rental date to the release date</t>
        </is>
      </c>
    </row>
    <row r="28">
      <c r="A28" s="29" t="inlineStr">
        <is>
          <t>storage</t>
        </is>
      </c>
      <c r="B28" s="29" t="n">
        <v>12</v>
      </c>
      <c r="C28" s="107">
        <f>IF(Inputs!$C$77="","",EDATE(Inputs!$C$77,B28-1))</f>
        <v/>
      </c>
      <c r="D28" s="108">
        <f>IF(C28="",0,IF(AND(Inputs!$C$75="unit",C28&lt;=Cash_Flow!$AB$6,OR(Inputs!$C$78="",C28&lt;=Inputs!$C$78)),Inputs!$C$76,0))</f>
        <v/>
      </c>
      <c r="E28" s="30" t="inlineStr">
        <is>
          <t>monthly while Storage = unit, from the rental date to the release date</t>
        </is>
      </c>
    </row>
    <row r="29">
      <c r="A29" s="29" t="inlineStr">
        <is>
          <t>insurance</t>
        </is>
      </c>
      <c r="B29" s="29" t="n">
        <v>1</v>
      </c>
      <c r="C29" s="107">
        <f>EDATE(Inputs!$C$83,B29-1)</f>
        <v/>
      </c>
      <c r="D29" s="108">
        <f>IF(AND(Inputs!$C$82="monthly",C29&lt;=Cash_Flow!$AB$6),Inputs!$C$81,0)</f>
        <v/>
      </c>
      <c r="E29" s="30" t="inlineStr">
        <is>
          <t>monthly when billing = monthly</t>
        </is>
      </c>
    </row>
    <row r="30">
      <c r="A30" s="29" t="inlineStr">
        <is>
          <t>insurance</t>
        </is>
      </c>
      <c r="B30" s="29" t="n">
        <v>2</v>
      </c>
      <c r="C30" s="107">
        <f>EDATE(Inputs!$C$83,B30-1)</f>
        <v/>
      </c>
      <c r="D30" s="108">
        <f>IF(AND(Inputs!$C$82="monthly",C30&lt;=Cash_Flow!$AB$6),Inputs!$C$81,0)</f>
        <v/>
      </c>
      <c r="E30" s="30" t="inlineStr">
        <is>
          <t>monthly when billing = monthly</t>
        </is>
      </c>
    </row>
    <row r="31">
      <c r="A31" s="29" t="inlineStr">
        <is>
          <t>insurance</t>
        </is>
      </c>
      <c r="B31" s="29" t="n">
        <v>3</v>
      </c>
      <c r="C31" s="107">
        <f>EDATE(Inputs!$C$83,B31-1)</f>
        <v/>
      </c>
      <c r="D31" s="108">
        <f>IF(AND(Inputs!$C$82="monthly",C31&lt;=Cash_Flow!$AB$6),Inputs!$C$81,0)</f>
        <v/>
      </c>
      <c r="E31" s="30" t="inlineStr">
        <is>
          <t>monthly when billing = monthly</t>
        </is>
      </c>
    </row>
    <row r="32">
      <c r="A32" s="29" t="inlineStr">
        <is>
          <t>insurance</t>
        </is>
      </c>
      <c r="B32" s="29" t="n">
        <v>4</v>
      </c>
      <c r="C32" s="107">
        <f>EDATE(Inputs!$C$83,B32-1)</f>
        <v/>
      </c>
      <c r="D32" s="108">
        <f>IF(AND(Inputs!$C$82="monthly",C32&lt;=Cash_Flow!$AB$6),Inputs!$C$81,0)</f>
        <v/>
      </c>
      <c r="E32" s="30" t="inlineStr">
        <is>
          <t>monthly when billing = monthly</t>
        </is>
      </c>
    </row>
    <row r="33">
      <c r="A33" s="29" t="inlineStr">
        <is>
          <t>insurance</t>
        </is>
      </c>
      <c r="B33" s="29" t="n">
        <v>5</v>
      </c>
      <c r="C33" s="107">
        <f>EDATE(Inputs!$C$83,B33-1)</f>
        <v/>
      </c>
      <c r="D33" s="108">
        <f>IF(AND(Inputs!$C$82="monthly",C33&lt;=Cash_Flow!$AB$6),Inputs!$C$81,0)</f>
        <v/>
      </c>
      <c r="E33" s="30" t="inlineStr">
        <is>
          <t>monthly when billing = monthly</t>
        </is>
      </c>
    </row>
    <row r="34">
      <c r="A34" s="29" t="inlineStr">
        <is>
          <t>insurance</t>
        </is>
      </c>
      <c r="B34" s="29" t="n">
        <v>6</v>
      </c>
      <c r="C34" s="107">
        <f>EDATE(Inputs!$C$83,B34-1)</f>
        <v/>
      </c>
      <c r="D34" s="108">
        <f>IF(AND(Inputs!$C$82="monthly",C34&lt;=Cash_Flow!$AB$6),Inputs!$C$81,0)</f>
        <v/>
      </c>
      <c r="E34" s="30" t="inlineStr">
        <is>
          <t>monthly when billing = monthly</t>
        </is>
      </c>
    </row>
    <row r="35">
      <c r="A35" s="29" t="inlineStr">
        <is>
          <t>insurance</t>
        </is>
      </c>
      <c r="B35" s="29" t="n">
        <v>7</v>
      </c>
      <c r="C35" s="107">
        <f>EDATE(Inputs!$C$83,B35-1)</f>
        <v/>
      </c>
      <c r="D35" s="108">
        <f>IF(AND(Inputs!$C$82="monthly",C35&lt;=Cash_Flow!$AB$6),Inputs!$C$81,0)</f>
        <v/>
      </c>
      <c r="E35" s="30" t="inlineStr">
        <is>
          <t>monthly when billing = monthly</t>
        </is>
      </c>
    </row>
    <row r="36">
      <c r="A36" s="29" t="inlineStr">
        <is>
          <t>insurance</t>
        </is>
      </c>
      <c r="B36" s="29" t="n">
        <v>8</v>
      </c>
      <c r="C36" s="107">
        <f>EDATE(Inputs!$C$83,B36-1)</f>
        <v/>
      </c>
      <c r="D36" s="108">
        <f>IF(AND(Inputs!$C$82="monthly",C36&lt;=Cash_Flow!$AB$6),Inputs!$C$81,0)</f>
        <v/>
      </c>
      <c r="E36" s="30" t="inlineStr">
        <is>
          <t>monthly when billing = monthly</t>
        </is>
      </c>
    </row>
    <row r="37">
      <c r="A37" s="29" t="inlineStr">
        <is>
          <t>insurance</t>
        </is>
      </c>
      <c r="B37" s="29" t="n">
        <v>9</v>
      </c>
      <c r="C37" s="107">
        <f>EDATE(Inputs!$C$83,B37-1)</f>
        <v/>
      </c>
      <c r="D37" s="108">
        <f>IF(AND(Inputs!$C$82="monthly",C37&lt;=Cash_Flow!$AB$6),Inputs!$C$81,0)</f>
        <v/>
      </c>
      <c r="E37" s="30" t="inlineStr">
        <is>
          <t>monthly when billing = monthly</t>
        </is>
      </c>
    </row>
    <row r="38">
      <c r="A38" s="29" t="inlineStr">
        <is>
          <t>insurance</t>
        </is>
      </c>
      <c r="B38" s="29" t="n">
        <v>10</v>
      </c>
      <c r="C38" s="107">
        <f>EDATE(Inputs!$C$83,B38-1)</f>
        <v/>
      </c>
      <c r="D38" s="108">
        <f>IF(AND(Inputs!$C$82="monthly",C38&lt;=Cash_Flow!$AB$6),Inputs!$C$81,0)</f>
        <v/>
      </c>
      <c r="E38" s="30" t="inlineStr">
        <is>
          <t>monthly when billing = monthly</t>
        </is>
      </c>
    </row>
    <row r="39">
      <c r="A39" s="29" t="inlineStr">
        <is>
          <t>insurance</t>
        </is>
      </c>
      <c r="B39" s="29" t="n">
        <v>11</v>
      </c>
      <c r="C39" s="107">
        <f>EDATE(Inputs!$C$83,B39-1)</f>
        <v/>
      </c>
      <c r="D39" s="108">
        <f>IF(AND(Inputs!$C$82="monthly",C39&lt;=Cash_Flow!$AB$6),Inputs!$C$81,0)</f>
        <v/>
      </c>
      <c r="E39" s="30" t="inlineStr">
        <is>
          <t>monthly when billing = monthly</t>
        </is>
      </c>
    </row>
    <row r="40">
      <c r="A40" s="29" t="inlineStr">
        <is>
          <t>insurance</t>
        </is>
      </c>
      <c r="B40" s="29" t="n">
        <v>12</v>
      </c>
      <c r="C40" s="107">
        <f>EDATE(Inputs!$C$83,B40-1)</f>
        <v/>
      </c>
      <c r="D40" s="108">
        <f>IF(AND(Inputs!$C$82="monthly",C40&lt;=Cash_Flow!$AB$6),Inputs!$C$81,0)</f>
        <v/>
      </c>
      <c r="E40" s="30" t="inlineStr">
        <is>
          <t>monthly when billing = monthly</t>
        </is>
      </c>
    </row>
    <row r="41">
      <c r="A41" s="29" t="inlineStr">
        <is>
          <t>insurance</t>
        </is>
      </c>
      <c r="B41" s="29" t="inlineStr">
        <is>
          <t>annual</t>
        </is>
      </c>
      <c r="C41" s="107">
        <f>Inputs!$C$83</f>
        <v/>
      </c>
      <c r="D41" s="108">
        <f>IF(AND(Inputs!$C$82="annual",C41&lt;=Cash_Flow!$AB$6),Inputs!$C$81*Inputs!$C$20,0)</f>
        <v/>
      </c>
      <c r="E41" s="30" t="inlineStr">
        <is>
          <t>one year's premium at bind when billing = annual</t>
        </is>
      </c>
    </row>
    <row r="42">
      <c r="A42" s="29" t="inlineStr">
        <is>
          <t>phone</t>
        </is>
      </c>
      <c r="B42" s="29" t="n">
        <v>1</v>
      </c>
      <c r="C42" s="107">
        <f>EDATE(Inputs!$C$10,B42-1)</f>
        <v/>
      </c>
      <c r="D42" s="108">
        <f>IF(C42&lt;=Cash_Flow!$AB$6,Inputs!$C$84,0)</f>
        <v/>
      </c>
      <c r="E42" s="30" t="inlineStr">
        <is>
          <t>monthly from week 1</t>
        </is>
      </c>
    </row>
    <row r="43">
      <c r="A43" s="29" t="inlineStr">
        <is>
          <t>phone</t>
        </is>
      </c>
      <c r="B43" s="29" t="n">
        <v>2</v>
      </c>
      <c r="C43" s="107">
        <f>EDATE(Inputs!$C$10,B43-1)</f>
        <v/>
      </c>
      <c r="D43" s="108">
        <f>IF(C43&lt;=Cash_Flow!$AB$6,Inputs!$C$84,0)</f>
        <v/>
      </c>
      <c r="E43" s="30" t="inlineStr">
        <is>
          <t>monthly from week 1</t>
        </is>
      </c>
    </row>
    <row r="44">
      <c r="A44" s="29" t="inlineStr">
        <is>
          <t>phone</t>
        </is>
      </c>
      <c r="B44" s="29" t="n">
        <v>3</v>
      </c>
      <c r="C44" s="107">
        <f>EDATE(Inputs!$C$10,B44-1)</f>
        <v/>
      </c>
      <c r="D44" s="108">
        <f>IF(C44&lt;=Cash_Flow!$AB$6,Inputs!$C$84,0)</f>
        <v/>
      </c>
      <c r="E44" s="30" t="inlineStr">
        <is>
          <t>monthly from week 1</t>
        </is>
      </c>
    </row>
    <row r="45">
      <c r="A45" s="29" t="inlineStr">
        <is>
          <t>phone</t>
        </is>
      </c>
      <c r="B45" s="29" t="n">
        <v>4</v>
      </c>
      <c r="C45" s="107">
        <f>EDATE(Inputs!$C$10,B45-1)</f>
        <v/>
      </c>
      <c r="D45" s="108">
        <f>IF(C45&lt;=Cash_Flow!$AB$6,Inputs!$C$84,0)</f>
        <v/>
      </c>
      <c r="E45" s="30" t="inlineStr">
        <is>
          <t>monthly from week 1</t>
        </is>
      </c>
    </row>
    <row r="46">
      <c r="A46" s="29" t="inlineStr">
        <is>
          <t>phone</t>
        </is>
      </c>
      <c r="B46" s="29" t="n">
        <v>5</v>
      </c>
      <c r="C46" s="107">
        <f>EDATE(Inputs!$C$10,B46-1)</f>
        <v/>
      </c>
      <c r="D46" s="108">
        <f>IF(C46&lt;=Cash_Flow!$AB$6,Inputs!$C$84,0)</f>
        <v/>
      </c>
      <c r="E46" s="30" t="inlineStr">
        <is>
          <t>monthly from week 1</t>
        </is>
      </c>
    </row>
    <row r="47">
      <c r="A47" s="29" t="inlineStr">
        <is>
          <t>phone</t>
        </is>
      </c>
      <c r="B47" s="29" t="n">
        <v>6</v>
      </c>
      <c r="C47" s="107">
        <f>EDATE(Inputs!$C$10,B47-1)</f>
        <v/>
      </c>
      <c r="D47" s="108">
        <f>IF(C47&lt;=Cash_Flow!$AB$6,Inputs!$C$84,0)</f>
        <v/>
      </c>
      <c r="E47" s="30" t="inlineStr">
        <is>
          <t>monthly from week 1</t>
        </is>
      </c>
    </row>
    <row r="48">
      <c r="A48" s="29" t="inlineStr">
        <is>
          <t>phone</t>
        </is>
      </c>
      <c r="B48" s="29" t="n">
        <v>7</v>
      </c>
      <c r="C48" s="107">
        <f>EDATE(Inputs!$C$10,B48-1)</f>
        <v/>
      </c>
      <c r="D48" s="108">
        <f>IF(C48&lt;=Cash_Flow!$AB$6,Inputs!$C$84,0)</f>
        <v/>
      </c>
      <c r="E48" s="30" t="inlineStr">
        <is>
          <t>monthly from week 1</t>
        </is>
      </c>
    </row>
    <row r="49">
      <c r="A49" s="29" t="inlineStr">
        <is>
          <t>phone</t>
        </is>
      </c>
      <c r="B49" s="29" t="n">
        <v>8</v>
      </c>
      <c r="C49" s="107">
        <f>EDATE(Inputs!$C$10,B49-1)</f>
        <v/>
      </c>
      <c r="D49" s="108">
        <f>IF(C49&lt;=Cash_Flow!$AB$6,Inputs!$C$84,0)</f>
        <v/>
      </c>
      <c r="E49" s="30" t="inlineStr">
        <is>
          <t>monthly from week 1</t>
        </is>
      </c>
    </row>
    <row r="50">
      <c r="A50" s="29" t="inlineStr">
        <is>
          <t>phone</t>
        </is>
      </c>
      <c r="B50" s="29" t="n">
        <v>9</v>
      </c>
      <c r="C50" s="107">
        <f>EDATE(Inputs!$C$10,B50-1)</f>
        <v/>
      </c>
      <c r="D50" s="108">
        <f>IF(C50&lt;=Cash_Flow!$AB$6,Inputs!$C$84,0)</f>
        <v/>
      </c>
      <c r="E50" s="30" t="inlineStr">
        <is>
          <t>monthly from week 1</t>
        </is>
      </c>
    </row>
    <row r="51">
      <c r="A51" s="29" t="inlineStr">
        <is>
          <t>phone</t>
        </is>
      </c>
      <c r="B51" s="29" t="n">
        <v>10</v>
      </c>
      <c r="C51" s="107">
        <f>EDATE(Inputs!$C$10,B51-1)</f>
        <v/>
      </c>
      <c r="D51" s="108">
        <f>IF(C51&lt;=Cash_Flow!$AB$6,Inputs!$C$84,0)</f>
        <v/>
      </c>
      <c r="E51" s="30" t="inlineStr">
        <is>
          <t>monthly from week 1</t>
        </is>
      </c>
    </row>
    <row r="52">
      <c r="A52" s="29" t="inlineStr">
        <is>
          <t>phone</t>
        </is>
      </c>
      <c r="B52" s="29" t="n">
        <v>11</v>
      </c>
      <c r="C52" s="107">
        <f>EDATE(Inputs!$C$10,B52-1)</f>
        <v/>
      </c>
      <c r="D52" s="108">
        <f>IF(C52&lt;=Cash_Flow!$AB$6,Inputs!$C$84,0)</f>
        <v/>
      </c>
      <c r="E52" s="30" t="inlineStr">
        <is>
          <t>monthly from week 1</t>
        </is>
      </c>
    </row>
    <row r="53">
      <c r="A53" s="29" t="inlineStr">
        <is>
          <t>phone</t>
        </is>
      </c>
      <c r="B53" s="29" t="n">
        <v>12</v>
      </c>
      <c r="C53" s="107">
        <f>EDATE(Inputs!$C$10,B53-1)</f>
        <v/>
      </c>
      <c r="D53" s="108">
        <f>IF(C53&lt;=Cash_Flow!$AB$6,Inputs!$C$84,0)</f>
        <v/>
      </c>
      <c r="E53" s="30" t="inlineStr">
        <is>
          <t>monthly from week 1</t>
        </is>
      </c>
    </row>
    <row r="55">
      <c r="A55" s="8" t="inlineStr">
        <is>
          <t>Total inside the six months</t>
        </is>
      </c>
      <c r="D55" s="113">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8"/>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101"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102">
        <f>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102">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102">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102">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102">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102">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102">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102">
        <f>Sensitivity!$G$9</f>
        <v/>
      </c>
      <c r="E12" s="21">
        <f>IF(ABS(D12)&lt;=$D$3,1,0)</f>
        <v/>
      </c>
      <c r="F12" s="5" t="inlineStr"/>
    </row>
    <row r="13">
      <c r="A13" s="29" t="n">
        <v>9</v>
      </c>
      <c r="B13" s="29" t="inlineStr">
        <is>
          <t>Integrity</t>
        </is>
      </c>
      <c r="C13" s="5" t="inlineStr">
        <is>
          <t>Sensitivity: higher price never lowers contribution per hour</t>
        </is>
      </c>
      <c r="D13" s="102">
        <f>Sensitivity!$C$71</f>
        <v/>
      </c>
      <c r="E13" s="21">
        <f>IF(D13=0,1,0)</f>
        <v/>
      </c>
      <c r="F13" s="5" t="inlineStr"/>
    </row>
    <row r="14">
      <c r="A14" s="29" t="n">
        <v>10</v>
      </c>
      <c r="B14" s="29" t="inlineStr">
        <is>
          <t>Integrity</t>
        </is>
      </c>
      <c r="C14" s="5" t="inlineStr">
        <is>
          <t>Sensitivity: one more brand always raises contribution per hour</t>
        </is>
      </c>
      <c r="D14" s="102">
        <f>Sensitivity!$C$72</f>
        <v/>
      </c>
      <c r="E14" s="21">
        <f>IF(D14=0,1,0)</f>
        <v/>
      </c>
      <c r="F14" s="5" t="inlineStr"/>
    </row>
    <row r="15">
      <c r="A15" s="29" t="n">
        <v>11</v>
      </c>
      <c r="B15" s="29" t="inlineStr">
        <is>
          <t>Integrity</t>
        </is>
      </c>
      <c r="C15" s="5" t="inlineStr">
        <is>
          <t>Sensitivity: higher renewal never lowers a positive contribution per hour</t>
        </is>
      </c>
      <c r="D15" s="102">
        <f>Sensitivity!$C$73</f>
        <v/>
      </c>
      <c r="E15" s="21">
        <f>IF(D15=0,1,0)</f>
        <v/>
      </c>
      <c r="F15" s="5" t="inlineStr"/>
    </row>
    <row r="16">
      <c r="A16" s="29" t="n">
        <v>12</v>
      </c>
      <c r="B16" s="29" t="inlineStr">
        <is>
          <t>Integrity</t>
        </is>
      </c>
      <c r="C16" s="5" t="inlineStr">
        <is>
          <t>Edge: zero brands gives zero revenue, cost and hours, and 'n/a'</t>
        </is>
      </c>
      <c r="D16" s="102">
        <f>ABS(Plan_Check!S14)+ABS(Plan_Check!AA14)+ABS(Plan_Check!AI14)+IF(Plan_Check!AK14="n/a",0,1)</f>
        <v/>
      </c>
      <c r="E16" s="21">
        <f>IF(D16=0,1,0)</f>
        <v/>
      </c>
      <c r="F16" s="5" t="inlineStr"/>
    </row>
    <row r="17">
      <c r="A17" s="29" t="n">
        <v>13</v>
      </c>
      <c r="B17" s="29" t="inlineStr">
        <is>
          <t>Integrity</t>
        </is>
      </c>
      <c r="C17" s="5" t="inlineStr">
        <is>
          <t>Edge: one office gives a finite result</t>
        </is>
      </c>
      <c r="D17" s="102">
        <f>IF(ISNUMBER(Plan_Check!AK15),0,1)</f>
        <v/>
      </c>
      <c r="E17" s="21">
        <f>IF(D17=0,1,0)</f>
        <v/>
      </c>
      <c r="F17" s="5" t="inlineStr"/>
    </row>
    <row r="18">
      <c r="A18" s="29" t="n">
        <v>14</v>
      </c>
      <c r="B18" s="29" t="inlineStr">
        <is>
          <t>Integrity</t>
        </is>
      </c>
      <c r="C18" s="5" t="inlineStr">
        <is>
          <t>Edge: 100% renewal charges renewal hours only</t>
        </is>
      </c>
      <c r="D18" s="102">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102">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102">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102">
        <f>COUNTIF(Schedule!$T$7:$T$18,"check")+COUNTIF(Schedule!$T$7:$T$18,"date missing")</f>
        <v/>
      </c>
      <c r="E21" s="21">
        <f>IF(D21=0,1,0)</f>
        <v/>
      </c>
      <c r="F21" s="5" t="inlineStr">
        <is>
          <t>See Schedule, Row check.</t>
        </is>
      </c>
    </row>
    <row r="22">
      <c r="A22" s="29" t="n">
        <v>18</v>
      </c>
      <c r="B22" s="29" t="inlineStr">
        <is>
          <t>Info</t>
        </is>
      </c>
      <c r="C22" s="5" t="inlineStr">
        <is>
          <t>Drop rows out of date order (information only; not counted)</t>
        </is>
      </c>
      <c r="D22" s="102">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103" t="inlineStr">
        <is>
          <t>info</t>
        </is>
      </c>
      <c r="F22" s="5" t="inlineStr">
        <is>
          <t>Fine: an added drop takes the next spare drop_id, and every total, the cash flow and the Dashboard's next drop read dates, not row order. The Dashboard's drop table lists rows in Schedule order.</t>
        </is>
      </c>
    </row>
    <row r="23">
      <c r="A23" s="29" t="n">
        <v>19</v>
      </c>
      <c r="B23" s="29" t="inlineStr">
        <is>
          <t>Schedule</t>
        </is>
      </c>
      <c r="C23" s="5" t="inlineStr">
        <is>
          <t>Week 1 moved but no gate date and not campaign zero's date moved with it</t>
        </is>
      </c>
      <c r="D23" s="102">
        <f>IF(AND(Inputs!$C$10&amp;""&lt;&gt;Inputs!$J$10&amp;"",Inputs!$C$11&amp;""=Inputs!$J$11&amp;"",Inputs!$C$12&amp;""=Inputs!$J$12&amp;"",Inputs!$C$14&amp;""=Inputs!$J$14&amp;"",Inputs!$C$15&amp;""=Inputs!$J$15&amp;"",Schedule!$E$7&amp;""=Schedule!$AL$7&amp;""),1,0)</f>
        <v/>
      </c>
      <c r="E23" s="21">
        <f>IF(D23=0,1,0)</f>
        <v/>
      </c>
      <c r="F23" s="5" t="inlineStr">
        <is>
          <t>The gate dates on Inputs and the drop dates on Schedule are typed CONTRACTS dates. Move them with week 1, or the gate labels ('end of week 3') no longer hold.</t>
        </is>
      </c>
    </row>
    <row r="24">
      <c r="A24" s="29" t="n">
        <v>20</v>
      </c>
      <c r="B24" s="29" t="inlineStr">
        <is>
          <t>Schedule</t>
        </is>
      </c>
      <c r="C24" s="5" t="inlineStr">
        <is>
          <t>New founding brands beyond the founding cap</t>
        </is>
      </c>
      <c r="D24" s="102">
        <f>MAX(0,SUMPRODUCT((Drop_PnL!D7:D18="founding")*Drop_PnL!O7:O18)-Inputs!$C$46)</f>
        <v/>
      </c>
      <c r="E24" s="21">
        <f>IF(D24=0,1,0)</f>
        <v/>
      </c>
      <c r="F24" s="5" t="inlineStr">
        <is>
          <t>Founding tier: first three brands only.</t>
        </is>
      </c>
    </row>
    <row r="25">
      <c r="A25" s="29" t="n">
        <v>21</v>
      </c>
      <c r="B25" s="29" t="inlineStr">
        <is>
          <t>Schedule</t>
        </is>
      </c>
      <c r="C25" s="5" t="inlineStr">
        <is>
          <t>Founding-rate renewals beyond the two-campaign lock</t>
        </is>
      </c>
      <c r="D25" s="102">
        <f>MAX(0,SUM(Drop_PnL!I7:I18)-Inputs!$C$47*SUMPRODUCT((Drop_PnL!D7:D18="founding")*Drop_PnL!O7:O18))</f>
        <v/>
      </c>
      <c r="E25" s="21">
        <f>IF(D25=0,1,0)</f>
        <v/>
      </c>
      <c r="F25" s="5" t="inlineStr"/>
    </row>
    <row r="26">
      <c r="A26" s="29" t="n">
        <v>22</v>
      </c>
      <c r="B26" s="29" t="inlineStr">
        <is>
          <t>Schedule</t>
        </is>
      </c>
      <c r="C26" s="5" t="inlineStr">
        <is>
          <t>Gate 2 drop exists on Schedule</t>
        </is>
      </c>
      <c r="D26" s="102">
        <f>IF(ISNUMBER(MATCH(Inputs!$C$129,Schedule!$A$7:$A$18,0)),0,1)</f>
        <v/>
      </c>
      <c r="E26" s="21">
        <f>IF(D26=0,1,0)</f>
        <v/>
      </c>
      <c r="F26" s="5" t="inlineStr"/>
    </row>
    <row r="27">
      <c r="A27" s="29" t="n">
        <v>23</v>
      </c>
      <c r="B27" s="29" t="inlineStr">
        <is>
          <t>Data</t>
        </is>
      </c>
      <c r="C27" s="5" t="inlineStr">
        <is>
          <t>Hours_Log: invalid activity keys</t>
        </is>
      </c>
      <c r="D27" s="102">
        <f>Hours_Log!$Z$50</f>
        <v/>
      </c>
      <c r="E27" s="21">
        <f>IF(D27=0,1,0)</f>
        <v/>
      </c>
      <c r="F27" s="5" t="inlineStr"/>
    </row>
    <row r="28">
      <c r="A28" s="29" t="n">
        <v>24</v>
      </c>
      <c r="B28" s="29" t="inlineStr">
        <is>
          <t>Data</t>
        </is>
      </c>
      <c r="C28" s="5" t="inlineStr">
        <is>
          <t>Hours_Log: drop_ids not on Schedule</t>
        </is>
      </c>
      <c r="D28" s="102">
        <f>Hours_Log!$Z$51</f>
        <v/>
      </c>
      <c r="E28" s="21">
        <f>IF(D28=0,1,0)</f>
        <v/>
      </c>
      <c r="F28" s="5" t="inlineStr"/>
    </row>
    <row r="29">
      <c r="A29" s="29" t="n">
        <v>25</v>
      </c>
      <c r="B29" s="29" t="inlineStr">
        <is>
          <t>Data</t>
        </is>
      </c>
      <c r="C29" s="5" t="inlineStr">
        <is>
          <t>Toggl_Import: rows with zero hours or a bad activity</t>
        </is>
      </c>
      <c r="D29" s="102">
        <f>Toggl_Import!$AL$10+Toggl_Import!$AL$11</f>
        <v/>
      </c>
      <c r="E29" s="21">
        <f>IF(D29=0,1,0)</f>
        <v/>
      </c>
      <c r="F29" s="5" t="inlineStr"/>
    </row>
    <row r="30">
      <c r="A30" s="29" t="n">
        <v>26</v>
      </c>
      <c r="B30" s="29" t="inlineStr">
        <is>
          <t>Data</t>
        </is>
      </c>
      <c r="C30" s="5" t="inlineStr">
        <is>
          <t>Pipeline: rows with a bad event or side</t>
        </is>
      </c>
      <c r="D30" s="102">
        <f>Pipeline!$AH$22+Pipeline!$AH$23</f>
        <v/>
      </c>
      <c r="E30" s="21">
        <f>IF(D30=0,1,0)</f>
        <v/>
      </c>
      <c r="F30" s="5" t="inlineStr"/>
    </row>
    <row r="31">
      <c r="A31" s="29" t="n">
        <v>27</v>
      </c>
      <c r="B31" s="29" t="inlineStr">
        <is>
          <t>Data</t>
        </is>
      </c>
      <c r="C31" s="5" t="inlineStr">
        <is>
          <t>Actuals_Campaigns: rows whose drop_id is not on Schedule</t>
        </is>
      </c>
      <c r="D31" s="102">
        <f>COUNTIF(Actuals_Campaigns!$AL$5:$AL$204,"not in schedule")</f>
        <v/>
      </c>
      <c r="E31" s="21">
        <f>IF(D31=0,1,0)</f>
        <v/>
      </c>
      <c r="F31" s="5" t="inlineStr"/>
    </row>
    <row r="32">
      <c r="A32" s="29" t="n">
        <v>28</v>
      </c>
      <c r="B32" s="29" t="inlineStr">
        <is>
          <t>Data</t>
        </is>
      </c>
      <c r="C32" s="5" t="inlineStr">
        <is>
          <t>Actuals_DropCosts: rows whose drop_id is not on Schedule</t>
        </is>
      </c>
      <c r="D32" s="102">
        <f>COUNTIF(Actuals_DropCosts!$U$5:$U$104,"not in schedule")</f>
        <v/>
      </c>
      <c r="E32" s="21">
        <f>IF(D32=0,1,0)</f>
        <v/>
      </c>
      <c r="F32" s="5" t="inlineStr"/>
    </row>
    <row r="33">
      <c r="A33" s="29" t="n">
        <v>29</v>
      </c>
      <c r="B33" s="29" t="inlineStr">
        <is>
          <t>Data</t>
        </is>
      </c>
      <c r="C33" s="5" t="inlineStr">
        <is>
          <t>Actuals_Campaigns: header row differs from HANDOFF, or something is pasted in the blank buffer columns</t>
        </is>
      </c>
      <c r="D33" s="102">
        <f>SUMPRODUCT((Actuals_Campaigns!$A$4:$Z$4&lt;&gt;Lists!$B$34:$AA$34)*1)+COUNTA(Actuals_Campaigns!$AA$4:$AK$204)</f>
        <v/>
      </c>
      <c r="E33" s="21">
        <f>IF(D33=0,1,0)</f>
        <v/>
      </c>
      <c r="F33" s="5" t="inlineStr">
        <is>
          <t>Paste exactly the HANDOFF columns in order; extra fields go in a separate file.</t>
        </is>
      </c>
    </row>
    <row r="34">
      <c r="A34" s="29" t="n">
        <v>30</v>
      </c>
      <c r="B34" s="29" t="inlineStr">
        <is>
          <t>Data</t>
        </is>
      </c>
      <c r="C34" s="5" t="inlineStr">
        <is>
          <t>Actuals_DropCosts: header row differs from HANDOFF, or something is pasted in the blank buffer columns</t>
        </is>
      </c>
      <c r="D34" s="102">
        <f>SUMPRODUCT((Actuals_DropCosts!$A$4:$I$4&lt;&gt;Lists!$B$35:$J$35)*1)+COUNTA(Actuals_DropCosts!$J$4:$T$104)</f>
        <v/>
      </c>
      <c r="E34" s="21">
        <f>IF(D34=0,1,0)</f>
        <v/>
      </c>
      <c r="F34" s="5" t="inlineStr"/>
    </row>
    <row r="35">
      <c r="A35" s="29" t="n">
        <v>31</v>
      </c>
      <c r="B35" s="29" t="inlineStr">
        <is>
          <t>Data</t>
        </is>
      </c>
      <c r="C35" s="5" t="inlineStr">
        <is>
          <t>Hours_Log: header row differs from HANDOFF, or something is pasted in the blank buffer columns</t>
        </is>
      </c>
      <c r="D35" s="102">
        <f>SUMPRODUCT((Hours_Log!$A$4:$F$4&lt;&gt;Lists!$B$36:$G$36)*1)+COUNTA(Hours_Log!$G$4:$P$1004)</f>
        <v/>
      </c>
      <c r="E35" s="21">
        <f>IF(D35=0,1,0)</f>
        <v/>
      </c>
      <c r="F35" s="5" t="inlineStr"/>
    </row>
    <row r="36">
      <c r="A36" s="29" t="n">
        <v>32</v>
      </c>
      <c r="B36" s="29" t="inlineStr">
        <is>
          <t>Data</t>
        </is>
      </c>
      <c r="C36" s="5" t="inlineStr">
        <is>
          <t>Pipeline: header row differs from HANDOFF, or something is pasted in the blank buffer columns</t>
        </is>
      </c>
      <c r="D36" s="102">
        <f>SUMPRODUCT((Pipeline!$A$4:$I$4&lt;&gt;Lists!$B$37:$J$37)*1)+COUNTA(Pipeline!$J$4:$S$1004)</f>
        <v/>
      </c>
      <c r="E36" s="21">
        <f>IF(D36=0,1,0)</f>
        <v/>
      </c>
      <c r="F36" s="5" t="inlineStr"/>
    </row>
    <row r="37">
      <c r="A37" s="29" t="n">
        <v>33</v>
      </c>
      <c r="B37" s="29" t="inlineStr">
        <is>
          <t>Data</t>
        </is>
      </c>
      <c r="C37" s="5" t="inlineStr">
        <is>
          <t>Actuals_Campaigns: dates or numbers stored as text (columns C, G to U, X to Z)</t>
        </is>
      </c>
      <c r="D37" s="102">
        <f>COUNTA(Actuals_Campaigns!$C$5:$C$204)-COUNT(Actuals_Campaigns!$C$5:$C$204)+COUNTA(Actuals_Campaigns!$G$5:$U$204)-COUNT(Actuals_Campaigns!$G$5:$U$204)+COUNTA(Actuals_Campaigns!$X$5:$Z$204)-COUNT(Actuals_Campaigns!$X$5:$Z$204)</f>
        <v/>
      </c>
      <c r="E37" s="21">
        <f>IF(D37=0,1,0)</f>
        <v/>
      </c>
      <c r="F37" s="5" t="inlineStr">
        <is>
          <t>Text drops out of the cash flow and the gates with no error. Fix: README tab, 'Dates and amounts must be real dates and numbers'.</t>
        </is>
      </c>
    </row>
    <row r="38">
      <c r="A38" s="29" t="n">
        <v>34</v>
      </c>
      <c r="B38" s="29" t="inlineStr">
        <is>
          <t>Data</t>
        </is>
      </c>
      <c r="C38" s="5" t="inlineStr">
        <is>
          <t>Actuals_DropCosts: dates or numbers stored as text (columns B, D to H)</t>
        </is>
      </c>
      <c r="D38" s="102">
        <f>COUNTA(Actuals_DropCosts!$B$5:$B$104)-COUNT(Actuals_DropCosts!$B$5:$B$104)+COUNTA(Actuals_DropCosts!$D$5:$H$104)-COUNT(Actuals_DropCosts!$D$5:$H$104)</f>
        <v/>
      </c>
      <c r="E38" s="21">
        <f>IF(D38=0,1,0)</f>
        <v/>
      </c>
      <c r="F38" s="5" t="inlineStr"/>
    </row>
    <row r="39">
      <c r="A39" s="29" t="n">
        <v>35</v>
      </c>
      <c r="B39" s="29" t="inlineStr">
        <is>
          <t>Data</t>
        </is>
      </c>
      <c r="C39" s="5" t="inlineStr">
        <is>
          <t>Hours_Log: dates or hours stored as text (columns A and E)</t>
        </is>
      </c>
      <c r="D39" s="102">
        <f>COUNTA(Hours_Log!$A$5:$A$1004)-COUNT(Hours_Log!$A$5:$A$1004)+COUNTA(Hours_Log!$E$5:$E$1004)-COUNT(Hours_Log!$E$5:$E$1004)</f>
        <v/>
      </c>
      <c r="E39" s="21">
        <f>IF(D39=0,1,0)</f>
        <v/>
      </c>
      <c r="F39" s="5" t="inlineStr"/>
    </row>
    <row r="40">
      <c r="A40" s="29" t="n">
        <v>36</v>
      </c>
      <c r="B40" s="29" t="inlineStr">
        <is>
          <t>Data</t>
        </is>
      </c>
      <c r="C40" s="5" t="inlineStr">
        <is>
          <t>Pipeline: dates or value_number stored as text (columns A and F)</t>
        </is>
      </c>
      <c r="D40" s="102">
        <f>COUNTA(Pipeline!$A$5:$A$1004)-COUNT(Pipeline!$A$5:$A$1004)+COUNTA(Pipeline!$F$5:$F$1004)-COUNT(Pipeline!$F$5:$F$1004)</f>
        <v/>
      </c>
      <c r="E40" s="21">
        <f>IF(D40=0,1,0)</f>
        <v/>
      </c>
      <c r="F40" s="5" t="inlineStr"/>
    </row>
    <row r="41">
      <c r="A41" s="29" t="n">
        <v>37</v>
      </c>
      <c r="B41" s="29" t="inlineStr">
        <is>
          <t>Plan</t>
        </is>
      </c>
      <c r="C41" s="5" t="inlineStr">
        <is>
          <t>Plan scenario rows 1 to 6 reproduce</t>
        </is>
      </c>
      <c r="D41" s="102">
        <f>COUNTIF(Plan_Check!$AX$7:$AX$13,"differs")</f>
        <v/>
      </c>
      <c r="E41" s="21">
        <f>IF(D41=0,1,0)</f>
        <v/>
      </c>
      <c r="F41" s="5" t="inlineStr">
        <is>
          <t>Expected only at plan defaults.</t>
        </is>
      </c>
    </row>
    <row r="42">
      <c r="A42" s="29" t="n">
        <v>38</v>
      </c>
      <c r="B42" s="29" t="inlineStr">
        <is>
          <t>Plan</t>
        </is>
      </c>
      <c r="C42" s="5" t="inlineStr">
        <is>
          <t>Plan hour table reproduces cell by cell</t>
        </is>
      </c>
      <c r="D42" s="102">
        <f>COUNTIF(Plan_Check!$J$22:$J$29,"no")</f>
        <v/>
      </c>
      <c r="E42" s="21">
        <f>IF(D42=0,1,0)</f>
        <v/>
      </c>
      <c r="F42" s="5" t="inlineStr">
        <is>
          <t>Expected only at plan defaults.</t>
        </is>
      </c>
    </row>
    <row r="43">
      <c r="A43" s="29" t="n">
        <v>39</v>
      </c>
      <c r="B43" s="29" t="inlineStr">
        <is>
          <t>Plan</t>
        </is>
      </c>
      <c r="C43" s="5" t="inlineStr">
        <is>
          <t>Reconciliation rows within tolerance (the two documented differences excluded)</t>
        </is>
      </c>
      <c r="D43" s="102">
        <f>COUNTIF(Plan_Check!$G$34:$G$58,"differs: see reason")-COUNTIF(Plan_Check!G43:G43,"differs: see reason")-COUNTIF(Plan_Check!G58:G58,"differs: see reason")</f>
        <v/>
      </c>
      <c r="E43" s="21">
        <f>IF(D43=0,1,0)</f>
        <v/>
      </c>
      <c r="F43" s="5" t="inlineStr">
        <is>
          <t>Row 10 (processing contrast) and row 25 (transport lump) differ by design.</t>
        </is>
      </c>
    </row>
    <row r="45">
      <c r="C45" s="8" t="inlineStr">
        <is>
          <t>Integrity and schedule checks failing</t>
        </is>
      </c>
      <c r="D45" s="21">
        <f>COUNTIFS(B5:B43,"Integrity",E5:E43,0)+COUNTIFS(B5:B43,"Schedule",E5:E43,0)</f>
        <v/>
      </c>
    </row>
    <row r="46">
      <c r="C46" s="8" t="inlineStr">
        <is>
          <t>Data checks failing</t>
        </is>
      </c>
      <c r="D46" s="21">
        <f>COUNTIFS(B5:B43,"Data",E5:E43,0)</f>
        <v/>
      </c>
    </row>
    <row r="47">
      <c r="C47" s="8" t="inlineStr">
        <is>
          <t>Plan-reproduction checks failing</t>
        </is>
      </c>
      <c r="D47" s="21">
        <f>COUNTIFS(B5:B43,"Plan",E5:E43,0)</f>
        <v/>
      </c>
    </row>
    <row r="48">
      <c r="C48" s="8" t="inlineStr">
        <is>
          <t>Checks in total (the information row is not a check)</t>
        </is>
      </c>
      <c r="D48" s="21">
        <f>COUNT(E5:E43)</f>
        <v/>
      </c>
    </row>
  </sheetData>
  <conditionalFormatting sqref="E5:E43">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8" t="inlineStr">
        <is>
          <t>delivery_model</t>
        </is>
      </c>
      <c r="B3" s="88" t="inlineStr">
        <is>
          <t>tier</t>
        </is>
      </c>
      <c r="C3" s="88" t="inlineStr">
        <is>
          <t>activity</t>
        </is>
      </c>
      <c r="D3" s="88" t="inlineStr">
        <is>
          <t>activity label</t>
        </is>
      </c>
      <c r="E3" s="88" t="inlineStr">
        <is>
          <t>yes_no</t>
        </is>
      </c>
      <c r="F3" s="88" t="inlineStr">
        <is>
          <t>scenario</t>
        </is>
      </c>
      <c r="G3" s="88" t="inlineStr">
        <is>
          <t>side</t>
        </is>
      </c>
      <c r="H3" s="88" t="inlineStr">
        <is>
          <t>event</t>
        </is>
      </c>
      <c r="I3" s="88" t="inlineStr">
        <is>
          <t>would_buy_again</t>
        </is>
      </c>
      <c r="J3" s="88" t="inlineStr">
        <is>
          <t>renewed</t>
        </is>
      </c>
      <c r="K3" s="88" t="inlineStr">
        <is>
          <t>storage_choice</t>
        </is>
      </c>
      <c r="L3" s="88" t="inlineStr">
        <is>
          <t>insurance_billing</t>
        </is>
      </c>
      <c r="N3" s="88" t="inlineStr">
        <is>
          <t>us_federal_holiday</t>
        </is>
      </c>
      <c r="O3" s="88" t="inlineStr">
        <is>
          <t>holiday note</t>
        </is>
      </c>
      <c r="Q3" s="88" t="inlineStr">
        <is>
          <t>blackout_start</t>
        </is>
      </c>
      <c r="R3" s="88" t="inlineStr">
        <is>
          <t>blackout_end</t>
        </is>
      </c>
      <c r="S3" s="88" t="inlineStr">
        <is>
          <t>blackout note</t>
        </is>
      </c>
      <c r="U3" s="88" t="inlineStr">
        <is>
          <t>weekday (WEEKDAY, Sunday = 1)</t>
        </is>
      </c>
      <c r="X3" s="88"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07" t="n">
        <v>46337</v>
      </c>
      <c r="O4" s="29" t="inlineStr">
        <is>
          <t>Veterans Day (CONTRACTS s3)</t>
        </is>
      </c>
      <c r="Q4" s="107" t="n">
        <v>46374</v>
      </c>
      <c r="R4" s="107"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07" t="n">
        <v>46352</v>
      </c>
      <c r="O5" s="29" t="inlineStr">
        <is>
          <t>Thanksgiving (CONTRACTS s3)</t>
        </is>
      </c>
      <c r="Q5" s="107" t="n">
        <v>46573</v>
      </c>
      <c r="R5" s="107"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07" t="n">
        <v>46381</v>
      </c>
      <c r="O6" s="29" t="inlineStr">
        <is>
          <t>Christmas (CONTRACTS s3)</t>
        </is>
      </c>
      <c r="Q6" s="107" t="n">
        <v>46617</v>
      </c>
      <c r="R6" s="107" t="n">
        <v>46630</v>
      </c>
      <c r="S6" s="29" t="inlineStr">
        <is>
          <t>Last two weeks of August 2027 (CONTRACTS s3 rule)</t>
        </is>
      </c>
    </row>
    <row r="7">
      <c r="C7" s="29" t="inlineStr">
        <is>
          <t>drop_day</t>
        </is>
      </c>
      <c r="D7" s="29" t="inlineStr">
        <is>
          <t>Drop day</t>
        </is>
      </c>
      <c r="F7" s="29" t="inlineStr">
        <is>
          <t>C</t>
        </is>
      </c>
      <c r="H7" s="29" t="inlineStr">
        <is>
          <t>signed</t>
        </is>
      </c>
      <c r="N7" s="107" t="n">
        <v>46388</v>
      </c>
      <c r="O7" s="29" t="inlineStr">
        <is>
          <t>New Year's Day (CONTRACTS s3)</t>
        </is>
      </c>
      <c r="Q7" s="107" t="n">
        <v>46739</v>
      </c>
      <c r="R7" s="107"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07" t="n">
        <v>46405</v>
      </c>
      <c r="O8" s="29" t="inlineStr">
        <is>
          <t>MLK Day (CONTRACTS s3)</t>
        </is>
      </c>
      <c r="Q8" s="127" t="n"/>
      <c r="R8" s="127" t="n"/>
    </row>
    <row r="9">
      <c r="C9" s="29" t="inlineStr">
        <is>
          <t>reporting_debriefs</t>
        </is>
      </c>
      <c r="D9" s="29" t="inlineStr">
        <is>
          <t>Reporting and debriefs</t>
        </is>
      </c>
      <c r="H9" s="29" t="inlineStr">
        <is>
          <t>budget_probe</t>
        </is>
      </c>
      <c r="N9" s="107" t="n">
        <v>46433</v>
      </c>
      <c r="O9" s="29" t="inlineStr">
        <is>
          <t>Presidents Day (CONTRACTS s3)</t>
        </is>
      </c>
      <c r="Q9" s="127" t="n"/>
      <c r="R9" s="127" t="n"/>
    </row>
    <row r="10">
      <c r="C10" s="29" t="inlineStr">
        <is>
          <t>admin_invoicing</t>
        </is>
      </c>
      <c r="D10" s="29" t="inlineStr">
        <is>
          <t>Admin and invoicing</t>
        </is>
      </c>
      <c r="H10" s="29" t="inlineStr">
        <is>
          <t>renewal_answer</t>
        </is>
      </c>
      <c r="N10" s="107" t="n">
        <v>46538</v>
      </c>
      <c r="O10" s="29" t="inlineStr">
        <is>
          <t>Memorial Day (CONTRACTS s3)</t>
        </is>
      </c>
      <c r="Q10" s="127" t="n"/>
      <c r="R10" s="127" t="n"/>
    </row>
    <row r="11">
      <c r="H11" s="29" t="inlineStr">
        <is>
          <t>opt_out</t>
        </is>
      </c>
      <c r="N11" s="107" t="n">
        <v>46556</v>
      </c>
      <c r="O11" s="29" t="inlineStr">
        <is>
          <t>Juneteenth (observed) (CONTRACTS s3)</t>
        </is>
      </c>
      <c r="Q11" s="127" t="n"/>
      <c r="R11" s="127" t="n"/>
    </row>
    <row r="12">
      <c r="N12" s="107" t="n">
        <v>46573</v>
      </c>
      <c r="O12" s="29" t="inlineStr">
        <is>
          <t>Independence Day (observed) (CONTRACTS s3)</t>
        </is>
      </c>
      <c r="Q12" s="127" t="n"/>
      <c r="R12" s="127" t="n"/>
    </row>
    <row r="13">
      <c r="N13" s="107" t="n">
        <v>46636</v>
      </c>
      <c r="O13" s="29" t="inlineStr">
        <is>
          <t>Labor Day (CONTRACTS s3)</t>
        </is>
      </c>
    </row>
    <row r="14">
      <c r="N14" s="127" t="n"/>
    </row>
    <row r="15">
      <c r="N15" s="127" t="n"/>
    </row>
    <row r="16">
      <c r="N16" s="127" t="n"/>
    </row>
    <row r="17">
      <c r="N17" s="127" t="n"/>
    </row>
    <row r="18">
      <c r="N18" s="127" t="n"/>
    </row>
    <row r="19">
      <c r="N19" s="127" t="n"/>
    </row>
    <row r="20">
      <c r="N20" s="127" t="n"/>
    </row>
    <row r="21">
      <c r="N21" s="127" t="n"/>
    </row>
    <row r="22">
      <c r="N22" s="127" t="n"/>
    </row>
    <row r="23">
      <c r="N23" s="127" t="n"/>
    </row>
    <row r="24">
      <c r="N24" s="127" t="n"/>
    </row>
    <row r="25">
      <c r="N25" s="127" t="n"/>
    </row>
    <row r="26">
      <c r="N26" s="127" t="n"/>
    </row>
    <row r="27">
      <c r="N27" s="127" t="n"/>
    </row>
    <row r="28">
      <c r="N28" s="127" t="n"/>
    </row>
    <row r="29">
      <c r="N29" s="127" t="n"/>
    </row>
    <row r="30">
      <c r="N30" s="127" t="n"/>
    </row>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2026-10-24T03:20:39Z</dcterms:created>
  <dcterms:modified xmlns:dcterms="http://purl.org/dc/terms/" xmlns:xsi="http://www.w3.org/2001/XMLSchema-instance" xsi:type="dcterms:W3CDTF">2026-10-24T10:53:38Z</dcterms:modified>
</cp:coreProperties>
</file>