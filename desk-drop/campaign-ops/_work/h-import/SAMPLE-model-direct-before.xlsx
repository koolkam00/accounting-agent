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Untouched scratch copy, as-of date set only.</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46503</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N</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N</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c r="B5" s="98" t="n"/>
      <c r="C5" s="98" t="n"/>
      <c r="D5" s="98" t="n"/>
      <c r="E5" s="148" t="n"/>
      <c r="F5" s="98" t="n"/>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c r="B6" s="98" t="n"/>
      <c r="C6" s="98" t="n"/>
      <c r="D6" s="98" t="n"/>
      <c r="E6" s="148" t="n"/>
      <c r="F6" s="98" t="n"/>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c r="B7" s="98" t="n"/>
      <c r="C7" s="98" t="n"/>
      <c r="D7" s="98" t="n"/>
      <c r="E7" s="148" t="n"/>
      <c r="F7" s="98" t="n"/>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c r="B8" s="98" t="n"/>
      <c r="C8" s="98" t="n"/>
      <c r="D8" s="98" t="n"/>
      <c r="E8" s="148" t="n"/>
      <c r="F8" s="98" t="n"/>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c r="B9" s="98" t="n"/>
      <c r="C9" s="98" t="n"/>
      <c r="D9" s="98" t="n"/>
      <c r="E9" s="148" t="n"/>
      <c r="F9" s="98" t="n"/>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c r="B10" s="98" t="n"/>
      <c r="C10" s="98" t="n"/>
      <c r="D10" s="98" t="n"/>
      <c r="E10" s="148" t="n"/>
      <c r="F10" s="98" t="n"/>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c r="B11" s="98" t="n"/>
      <c r="C11" s="98" t="n"/>
      <c r="D11" s="98" t="n"/>
      <c r="E11" s="148" t="n"/>
      <c r="F11" s="98" t="n"/>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c r="B12" s="98" t="n"/>
      <c r="C12" s="98" t="n"/>
      <c r="D12" s="98" t="n"/>
      <c r="E12" s="148" t="n"/>
      <c r="F12" s="98" t="n"/>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c r="B13" s="98" t="n"/>
      <c r="C13" s="98" t="n"/>
      <c r="D13" s="98" t="n"/>
      <c r="E13" s="148" t="n"/>
      <c r="F13" s="98" t="n"/>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c r="B14" s="98" t="n"/>
      <c r="C14" s="98" t="n"/>
      <c r="D14" s="98" t="n"/>
      <c r="E14" s="148" t="n"/>
      <c r="F14" s="98" t="n"/>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c r="B15" s="98" t="n"/>
      <c r="C15" s="98" t="n"/>
      <c r="D15" s="98" t="n"/>
      <c r="E15" s="148" t="n"/>
      <c r="F15" s="98" t="n"/>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c r="B16" s="98" t="n"/>
      <c r="C16" s="98" t="n"/>
      <c r="D16" s="98" t="n"/>
      <c r="E16" s="148" t="n"/>
      <c r="F16" s="98" t="n"/>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c r="B17" s="98" t="n"/>
      <c r="C17" s="98" t="n"/>
      <c r="D17" s="98" t="n"/>
      <c r="E17" s="148" t="n"/>
      <c r="F17" s="98" t="n"/>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c r="B18" s="98" t="n"/>
      <c r="C18" s="98" t="n"/>
      <c r="D18" s="98" t="n"/>
      <c r="E18" s="148" t="n"/>
      <c r="F18" s="98" t="n"/>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c r="B19" s="98" t="n"/>
      <c r="C19" s="98" t="n"/>
      <c r="D19" s="98" t="n"/>
      <c r="E19" s="148" t="n"/>
      <c r="F19" s="98" t="n"/>
    </row>
    <row r="20">
      <c r="A20" s="147" t="n"/>
      <c r="B20" s="98" t="n"/>
      <c r="C20" s="98" t="n"/>
      <c r="D20" s="98" t="n"/>
      <c r="E20" s="148" t="n"/>
      <c r="F20" s="98" t="n"/>
      <c r="Q20" s="79" t="inlineStr">
        <is>
          <t>Totals per week (hand log plus Toggl)</t>
        </is>
      </c>
    </row>
    <row r="21" ht="30" customHeight="1">
      <c r="A21" s="147" t="n"/>
      <c r="B21" s="98" t="n"/>
      <c r="C21" s="98" t="n"/>
      <c r="D21" s="98" t="n"/>
      <c r="E21" s="148" t="n"/>
      <c r="F21" s="98" t="n"/>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c r="B22" s="98" t="n"/>
      <c r="C22" s="98" t="n"/>
      <c r="D22" s="98" t="n"/>
      <c r="E22" s="148" t="n"/>
      <c r="F22" s="98" t="n"/>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c r="B23" s="98" t="n"/>
      <c r="C23" s="98" t="n"/>
      <c r="D23" s="98" t="n"/>
      <c r="E23" s="148" t="n"/>
      <c r="F23" s="98" t="n"/>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c r="B24" s="98" t="n"/>
      <c r="C24" s="98" t="n"/>
      <c r="D24" s="98" t="n"/>
      <c r="E24" s="148" t="n"/>
      <c r="F24" s="98" t="n"/>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c r="B25" s="98" t="n"/>
      <c r="C25" s="98" t="n"/>
      <c r="D25" s="98" t="n"/>
      <c r="E25" s="148" t="n"/>
      <c r="F25" s="98" t="n"/>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c r="B26" s="98" t="n"/>
      <c r="C26" s="98" t="n"/>
      <c r="D26" s="98" t="n"/>
      <c r="E26" s="148" t="n"/>
      <c r="F26" s="98" t="n"/>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c r="B27" s="98" t="n"/>
      <c r="C27" s="98" t="n"/>
      <c r="D27" s="98" t="n"/>
      <c r="E27" s="148" t="n"/>
      <c r="F27" s="98" t="n"/>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c r="B28" s="98" t="n"/>
      <c r="C28" s="98" t="n"/>
      <c r="D28" s="98" t="n"/>
      <c r="E28" s="148" t="n"/>
      <c r="F28" s="98" t="n"/>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c r="B29" s="98" t="n"/>
      <c r="C29" s="98" t="n"/>
      <c r="D29" s="98" t="n"/>
      <c r="E29" s="148" t="n"/>
      <c r="F29" s="98" t="n"/>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c r="B30" s="98" t="n"/>
      <c r="C30" s="98" t="n"/>
      <c r="D30" s="98" t="n"/>
      <c r="E30" s="148" t="n"/>
      <c r="F30" s="98" t="n"/>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c r="B31" s="98" t="n"/>
      <c r="C31" s="98" t="n"/>
      <c r="D31" s="98" t="n"/>
      <c r="E31" s="148" t="n"/>
      <c r="F31" s="98" t="n"/>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c r="B32" s="98" t="n"/>
      <c r="C32" s="98" t="n"/>
      <c r="D32" s="98" t="n"/>
      <c r="E32" s="148" t="n"/>
      <c r="F32" s="98" t="n"/>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c r="B33" s="98" t="n"/>
      <c r="C33" s="98" t="n"/>
      <c r="D33" s="98" t="n"/>
      <c r="E33" s="148" t="n"/>
      <c r="F33" s="98" t="n"/>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c r="B34" s="98" t="n"/>
      <c r="C34" s="98" t="n"/>
      <c r="D34" s="98" t="n"/>
      <c r="E34" s="148" t="n"/>
      <c r="F34" s="98" t="n"/>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c r="B35" s="98" t="n"/>
      <c r="C35" s="98" t="n"/>
      <c r="D35" s="98" t="n"/>
      <c r="E35" s="148" t="n"/>
      <c r="F35" s="98" t="n"/>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c r="B36" s="98" t="n"/>
      <c r="C36" s="98" t="n"/>
      <c r="D36" s="98" t="n"/>
      <c r="E36" s="148" t="n"/>
      <c r="F36" s="98" t="n"/>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c r="B37" s="98" t="n"/>
      <c r="C37" s="98" t="n"/>
      <c r="D37" s="98" t="n"/>
      <c r="E37" s="148" t="n"/>
      <c r="F37" s="98" t="n"/>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c r="B38" s="98" t="n"/>
      <c r="C38" s="98" t="n"/>
      <c r="D38" s="98" t="n"/>
      <c r="E38" s="148" t="n"/>
      <c r="F38" s="98" t="n"/>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c r="B39" s="98" t="n"/>
      <c r="C39" s="98" t="n"/>
      <c r="D39" s="98" t="n"/>
      <c r="E39" s="148" t="n"/>
      <c r="F39" s="98" t="n"/>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c r="B40" s="98" t="n"/>
      <c r="C40" s="98" t="n"/>
      <c r="D40" s="98" t="n"/>
      <c r="E40" s="148" t="n"/>
      <c r="F40" s="98" t="n"/>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c r="B41" s="98" t="n"/>
      <c r="C41" s="98" t="n"/>
      <c r="D41" s="98" t="n"/>
      <c r="E41" s="148" t="n"/>
      <c r="F41" s="98" t="n"/>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c r="B42" s="98" t="n"/>
      <c r="C42" s="98" t="n"/>
      <c r="D42" s="98" t="n"/>
      <c r="E42" s="148" t="n"/>
      <c r="F42" s="98" t="n"/>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c r="B43" s="98" t="n"/>
      <c r="C43" s="98" t="n"/>
      <c r="D43" s="98" t="n"/>
      <c r="E43" s="148" t="n"/>
      <c r="F43" s="98" t="n"/>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c r="B44" s="98" t="n"/>
      <c r="C44" s="98" t="n"/>
      <c r="D44" s="98" t="n"/>
      <c r="E44" s="148" t="n"/>
      <c r="F44" s="98" t="n"/>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c r="B45" s="98" t="n"/>
      <c r="C45" s="98" t="n"/>
      <c r="D45" s="98" t="n"/>
      <c r="E45" s="148" t="n"/>
      <c r="F45" s="98" t="n"/>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c r="B46" s="98" t="n"/>
      <c r="C46" s="98" t="n"/>
      <c r="D46" s="98" t="n"/>
      <c r="E46" s="148" t="n"/>
      <c r="F46" s="98" t="n"/>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c r="B47" s="98" t="n"/>
      <c r="C47" s="98" t="n"/>
      <c r="D47" s="98" t="n"/>
      <c r="E47" s="148" t="n"/>
      <c r="F47" s="98" t="n"/>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c r="B48" s="98" t="n"/>
      <c r="C48" s="98" t="n"/>
      <c r="D48" s="98" t="n"/>
      <c r="E48" s="148" t="n"/>
      <c r="F48" s="98" t="n"/>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c r="B49" s="98" t="n"/>
      <c r="C49" s="98" t="n"/>
      <c r="D49" s="98" t="n"/>
      <c r="E49" s="148" t="n"/>
      <c r="F49" s="98" t="n"/>
    </row>
    <row r="50">
      <c r="A50" s="147" t="n"/>
      <c r="B50" s="98" t="n"/>
      <c r="C50" s="98" t="n"/>
      <c r="D50" s="98" t="n"/>
      <c r="E50" s="148" t="n"/>
      <c r="F50" s="98" t="n"/>
      <c r="Q50" s="29" t="inlineStr">
        <is>
          <t>Invalid activity keys in the hand log (should be 0)</t>
        </is>
      </c>
      <c r="Z50" s="21">
        <f>COUNTA(Hours_Log!$D$5:$D$1004)-SUMPRODUCT(COUNTIF(Hours_Log!$D$5:$D$1004,Lists!$C$4:$C$10))</f>
        <v/>
      </c>
    </row>
    <row r="51">
      <c r="A51" s="147" t="n"/>
      <c r="B51" s="98" t="n"/>
      <c r="C51" s="98" t="n"/>
      <c r="D51" s="98" t="n"/>
      <c r="E51" s="148" t="n"/>
      <c r="F51" s="98" t="n"/>
      <c r="Q51" s="29" t="inlineStr">
        <is>
          <t>Rows whose drop_id is not on Schedule (should be 0)</t>
        </is>
      </c>
      <c r="Z51" s="21">
        <f>SUMPRODUCT((Hours_Log!$B$5:$B$1004&lt;&gt;"")*(COUNTIF(Schedule!$A$7:$A$18,Hours_Log!$B$5:$B$1004)=0))</f>
        <v/>
      </c>
    </row>
    <row r="52">
      <c r="A52" s="147" t="n"/>
      <c r="B52" s="98" t="n"/>
      <c r="C52" s="98" t="n"/>
      <c r="D52" s="98" t="n"/>
      <c r="E52" s="148" t="n"/>
      <c r="F52" s="98" t="n"/>
      <c r="Q52" s="29" t="inlineStr">
        <is>
          <t>Hours outside the 26 weeks (dated before week 1 or after week 26)</t>
        </is>
      </c>
      <c r="Z52" s="114">
        <f>Y17-Z48</f>
        <v/>
      </c>
    </row>
    <row r="53">
      <c r="A53" s="147" t="n"/>
      <c r="B53" s="98" t="n"/>
      <c r="C53" s="98" t="n"/>
      <c r="D53" s="98" t="n"/>
      <c r="E53" s="148" t="n"/>
      <c r="F53" s="98" t="n"/>
      <c r="Q53" s="29" t="inlineStr">
        <is>
          <t>Hours inside the 26 weeks not linked to a drop (feeds the Dashboard's six-month all-in rate)</t>
        </is>
      </c>
      <c r="Z53" s="114">
        <f>Z48-AA48</f>
        <v/>
      </c>
    </row>
    <row r="54">
      <c r="A54" s="147" t="n"/>
      <c r="B54" s="98" t="n"/>
      <c r="C54" s="98" t="n"/>
      <c r="D54" s="98" t="n"/>
      <c r="E54" s="148" t="n"/>
      <c r="F54" s="98" t="n"/>
    </row>
    <row r="55">
      <c r="A55" s="147" t="n"/>
      <c r="B55" s="98" t="n"/>
      <c r="C55" s="98" t="n"/>
      <c r="D55" s="98" t="n"/>
      <c r="E55" s="148" t="n"/>
      <c r="F55" s="98" t="n"/>
    </row>
    <row r="56">
      <c r="A56" s="147" t="n"/>
      <c r="B56" s="98" t="n"/>
      <c r="C56" s="98" t="n"/>
      <c r="D56" s="98" t="n"/>
      <c r="E56" s="148" t="n"/>
      <c r="F56" s="98" t="n"/>
    </row>
    <row r="57">
      <c r="A57" s="147" t="n"/>
      <c r="B57" s="98" t="n"/>
      <c r="C57" s="98" t="n"/>
      <c r="D57" s="98" t="n"/>
      <c r="E57" s="148" t="n"/>
      <c r="F57" s="98" t="n"/>
    </row>
    <row r="58">
      <c r="A58" s="147" t="n"/>
      <c r="B58" s="98" t="n"/>
      <c r="C58" s="98" t="n"/>
      <c r="D58" s="98" t="n"/>
      <c r="E58" s="148" t="n"/>
      <c r="F58" s="98" t="n"/>
    </row>
    <row r="59">
      <c r="A59" s="147" t="n"/>
      <c r="B59" s="98" t="n"/>
      <c r="C59" s="98" t="n"/>
      <c r="D59" s="98" t="n"/>
      <c r="E59" s="148" t="n"/>
      <c r="F59" s="98" t="n"/>
    </row>
    <row r="60">
      <c r="A60" s="147" t="n"/>
      <c r="B60" s="98" t="n"/>
      <c r="C60" s="98" t="n"/>
      <c r="D60" s="98" t="n"/>
      <c r="E60" s="148" t="n"/>
      <c r="F60" s="98" t="n"/>
    </row>
    <row r="61">
      <c r="A61" s="147" t="n"/>
      <c r="B61" s="98" t="n"/>
      <c r="C61" s="98" t="n"/>
      <c r="D61" s="98" t="n"/>
      <c r="E61" s="148" t="n"/>
      <c r="F61" s="98" t="n"/>
    </row>
    <row r="62">
      <c r="A62" s="147" t="n"/>
      <c r="B62" s="98" t="n"/>
      <c r="C62" s="98" t="n"/>
      <c r="D62" s="98" t="n"/>
      <c r="E62" s="148" t="n"/>
      <c r="F62" s="98" t="n"/>
    </row>
    <row r="63">
      <c r="A63" s="147" t="n"/>
      <c r="B63" s="98" t="n"/>
      <c r="C63" s="98" t="n"/>
      <c r="D63" s="98" t="n"/>
      <c r="E63" s="148" t="n"/>
      <c r="F63" s="98" t="n"/>
    </row>
    <row r="64">
      <c r="A64" s="147" t="n"/>
      <c r="B64" s="98" t="n"/>
      <c r="C64" s="98" t="n"/>
      <c r="D64" s="98" t="n"/>
      <c r="E64" s="148" t="n"/>
      <c r="F64" s="98" t="n"/>
    </row>
    <row r="65">
      <c r="A65" s="147" t="n"/>
      <c r="B65" s="98" t="n"/>
      <c r="C65" s="98" t="n"/>
      <c r="D65" s="98" t="n"/>
      <c r="E65" s="148" t="n"/>
      <c r="F65" s="98" t="n"/>
    </row>
    <row r="66">
      <c r="A66" s="147" t="n"/>
      <c r="B66" s="98" t="n"/>
      <c r="C66" s="98" t="n"/>
      <c r="D66" s="98" t="n"/>
      <c r="E66" s="148" t="n"/>
      <c r="F66" s="98" t="n"/>
    </row>
    <row r="67">
      <c r="A67" s="147" t="n"/>
      <c r="B67" s="98" t="n"/>
      <c r="C67" s="98" t="n"/>
      <c r="D67" s="98" t="n"/>
      <c r="E67" s="148" t="n"/>
      <c r="F67" s="98" t="n"/>
    </row>
    <row r="68">
      <c r="A68" s="147" t="n"/>
      <c r="B68" s="98" t="n"/>
      <c r="C68" s="98" t="n"/>
      <c r="D68" s="98" t="n"/>
      <c r="E68" s="148" t="n"/>
      <c r="F68" s="98" t="n"/>
    </row>
    <row r="69">
      <c r="A69" s="147" t="n"/>
      <c r="B69" s="98" t="n"/>
      <c r="C69" s="98" t="n"/>
      <c r="D69" s="98" t="n"/>
      <c r="E69" s="148" t="n"/>
      <c r="F69" s="98" t="n"/>
    </row>
    <row r="70">
      <c r="A70" s="147" t="n"/>
      <c r="B70" s="98" t="n"/>
      <c r="C70" s="98" t="n"/>
      <c r="D70" s="98" t="n"/>
      <c r="E70" s="148" t="n"/>
      <c r="F70" s="98" t="n"/>
    </row>
    <row r="71">
      <c r="A71" s="147" t="n"/>
      <c r="B71" s="98" t="n"/>
      <c r="C71" s="98" t="n"/>
      <c r="D71" s="98" t="n"/>
      <c r="E71" s="148" t="n"/>
      <c r="F71" s="98" t="n"/>
    </row>
    <row r="72">
      <c r="A72" s="147" t="n"/>
      <c r="B72" s="98" t="n"/>
      <c r="C72" s="98" t="n"/>
      <c r="D72" s="98" t="n"/>
      <c r="E72" s="148" t="n"/>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n"/>
      <c r="B5" s="98" t="n"/>
      <c r="C5" s="147" t="n"/>
      <c r="D5" s="98" t="n"/>
      <c r="E5" s="98" t="n"/>
      <c r="F5" s="98" t="n"/>
      <c r="G5" s="98" t="n"/>
      <c r="H5" s="98" t="n"/>
      <c r="I5" s="98" t="n"/>
      <c r="J5" s="98" t="n"/>
      <c r="K5" s="98" t="n"/>
      <c r="L5" s="98" t="n"/>
      <c r="M5" s="98" t="n"/>
      <c r="N5" s="98" t="n"/>
      <c r="O5" s="98" t="n"/>
      <c r="P5" s="98" t="n"/>
      <c r="Q5" s="98" t="n"/>
      <c r="R5" s="149" t="n"/>
      <c r="S5" s="147" t="n"/>
      <c r="T5" s="149" t="n"/>
      <c r="U5" s="147" t="n"/>
      <c r="V5" s="98" t="n"/>
      <c r="W5" s="98" t="n"/>
      <c r="X5" s="149" t="n"/>
      <c r="Y5" s="147" t="n"/>
      <c r="Z5" s="98" t="n"/>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n"/>
      <c r="B6" s="98" t="n"/>
      <c r="C6" s="147" t="n"/>
      <c r="D6" s="98" t="n"/>
      <c r="E6" s="98" t="n"/>
      <c r="F6" s="98" t="n"/>
      <c r="G6" s="98" t="n"/>
      <c r="H6" s="98" t="n"/>
      <c r="I6" s="98" t="n"/>
      <c r="J6" s="98" t="n"/>
      <c r="K6" s="98" t="n"/>
      <c r="L6" s="98" t="n"/>
      <c r="M6" s="98" t="n"/>
      <c r="N6" s="98" t="n"/>
      <c r="O6" s="98" t="n"/>
      <c r="P6" s="98" t="n"/>
      <c r="Q6" s="98" t="n"/>
      <c r="R6" s="149" t="n"/>
      <c r="S6" s="147" t="n"/>
      <c r="T6" s="149" t="n"/>
      <c r="U6" s="147" t="n"/>
      <c r="V6" s="98" t="n"/>
      <c r="W6" s="98" t="n"/>
      <c r="X6" s="149" t="n"/>
      <c r="Y6" s="147" t="n"/>
      <c r="Z6" s="98" t="n"/>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n"/>
      <c r="B7" s="98" t="n"/>
      <c r="C7" s="147" t="n"/>
      <c r="D7" s="98" t="n"/>
      <c r="E7" s="98" t="n"/>
      <c r="F7" s="98" t="n"/>
      <c r="G7" s="98" t="n"/>
      <c r="H7" s="98" t="n"/>
      <c r="I7" s="98" t="n"/>
      <c r="J7" s="98" t="n"/>
      <c r="K7" s="98" t="n"/>
      <c r="L7" s="98" t="n"/>
      <c r="M7" s="98" t="n"/>
      <c r="N7" s="98" t="n"/>
      <c r="O7" s="98" t="n"/>
      <c r="P7" s="98" t="n"/>
      <c r="Q7" s="98" t="n"/>
      <c r="R7" s="149" t="n"/>
      <c r="S7" s="147" t="n"/>
      <c r="T7" s="149" t="n"/>
      <c r="U7" s="147" t="n"/>
      <c r="V7" s="98" t="n"/>
      <c r="W7" s="98" t="n"/>
      <c r="X7" s="149" t="n"/>
      <c r="Y7" s="147" t="n"/>
      <c r="Z7" s="98" t="n"/>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n"/>
      <c r="B8" s="98" t="n"/>
      <c r="C8" s="147" t="n"/>
      <c r="D8" s="98" t="n"/>
      <c r="E8" s="98" t="n"/>
      <c r="F8" s="98" t="n"/>
      <c r="G8" s="98" t="n"/>
      <c r="H8" s="98" t="n"/>
      <c r="I8" s="98" t="n"/>
      <c r="J8" s="98" t="n"/>
      <c r="K8" s="98" t="n"/>
      <c r="L8" s="98" t="n"/>
      <c r="M8" s="98" t="n"/>
      <c r="N8" s="98" t="n"/>
      <c r="O8" s="98" t="n"/>
      <c r="P8" s="98" t="n"/>
      <c r="Q8" s="98" t="n"/>
      <c r="R8" s="149" t="n"/>
      <c r="S8" s="147" t="n"/>
      <c r="T8" s="149" t="n"/>
      <c r="U8" s="147" t="n"/>
      <c r="V8" s="98" t="n"/>
      <c r="W8" s="98" t="n"/>
      <c r="X8" s="149" t="n"/>
      <c r="Y8" s="147" t="n"/>
      <c r="Z8" s="98" t="n"/>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n"/>
      <c r="B9" s="98" t="n"/>
      <c r="C9" s="147" t="n"/>
      <c r="D9" s="98" t="n"/>
      <c r="E9" s="98" t="n"/>
      <c r="F9" s="98" t="n"/>
      <c r="G9" s="98" t="n"/>
      <c r="H9" s="98" t="n"/>
      <c r="I9" s="98" t="n"/>
      <c r="J9" s="98" t="n"/>
      <c r="K9" s="98" t="n"/>
      <c r="L9" s="98" t="n"/>
      <c r="M9" s="98" t="n"/>
      <c r="N9" s="98" t="n"/>
      <c r="O9" s="98" t="n"/>
      <c r="P9" s="98" t="n"/>
      <c r="Q9" s="98" t="n"/>
      <c r="R9" s="149" t="n"/>
      <c r="S9" s="147" t="n"/>
      <c r="T9" s="149" t="n"/>
      <c r="U9" s="147" t="n"/>
      <c r="V9" s="98" t="n"/>
      <c r="W9" s="98" t="n"/>
      <c r="X9" s="149" t="n"/>
      <c r="Y9" s="147" t="n"/>
      <c r="Z9" s="98" t="n"/>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n"/>
      <c r="B5" s="147" t="n"/>
      <c r="C5" s="98" t="n"/>
      <c r="D5" s="98" t="n"/>
      <c r="E5" s="98" t="n"/>
      <c r="F5" s="149" t="n"/>
      <c r="G5" s="149" t="n"/>
      <c r="H5" s="149" t="n"/>
      <c r="I5" s="98" t="n"/>
      <c r="U5" s="29">
        <f>IF(A5="","",IFERROR(INDEX(Schedule!$N$7:$N$18,MATCH(A5,Schedule!$A$7:$A$18,0)),"not in schedule"))</f>
        <v/>
      </c>
    </row>
    <row r="6">
      <c r="A6" s="98" t="n"/>
      <c r="B6" s="147" t="n"/>
      <c r="C6" s="98" t="n"/>
      <c r="D6" s="98" t="n"/>
      <c r="E6" s="98" t="n"/>
      <c r="F6" s="149" t="n"/>
      <c r="G6" s="149" t="n"/>
      <c r="H6" s="149" t="n"/>
      <c r="I6" s="98" t="n"/>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2026-10-24T12:23:37Z</dcterms:modified>
</cp:coreProperties>
</file>